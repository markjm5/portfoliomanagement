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4" borderId="1"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5" borderId="1" pivotButton="0" quotePrefix="0" xfId="0"/>
    <xf numFmtId="0" fontId="11" fillId="2" borderId="3" applyAlignment="1" pivotButton="0" quotePrefix="0" xfId="0">
      <alignment horizontal="center"/>
    </xf>
    <xf numFmtId="0" fontId="11" fillId="2" borderId="14" applyAlignment="1" pivotButton="0" quotePrefix="0" xfId="0">
      <alignment horizontal="center"/>
    </xf>
    <xf numFmtId="0" fontId="2" fillId="5" borderId="1" pivotButton="0" quotePrefix="0" xfId="0"/>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0" borderId="0" pivotButton="0" quotePrefix="0" xfId="0"/>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0" fillId="0" borderId="10" pivotButton="0" quotePrefix="0" xfId="0"/>
    <xf numFmtId="0" fontId="12" fillId="2" borderId="0" applyAlignment="1" pivotButton="0" quotePrefix="0" xfId="0">
      <alignment wrapText="1"/>
    </xf>
    <xf numFmtId="0" fontId="0" fillId="2" borderId="0" pivotButton="0" quotePrefix="0" xfId="0"/>
    <xf numFmtId="0" fontId="11" fillId="5" borderId="1" applyAlignment="1" pivotButton="0" quotePrefix="0" xfId="0">
      <alignment horizontal="center"/>
    </xf>
    <xf numFmtId="0" fontId="0" fillId="0" borderId="8" pivotButton="0" quotePrefix="0" xfId="0"/>
    <xf numFmtId="0" fontId="0" fillId="0" borderId="9" pivotButton="0" quotePrefix="0" xfId="0"/>
    <xf numFmtId="0" fontId="11" fillId="5" borderId="21" applyAlignment="1" pivotButton="0" quotePrefix="0" xfId="0">
      <alignment horizontal="center" wrapText="1"/>
    </xf>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1" fillId="5" borderId="23" applyAlignment="1" pivotButton="0" quotePrefix="0" xfId="0">
      <alignment horizontal="center" wrapText="1"/>
    </xf>
    <xf numFmtId="0" fontId="0" fillId="0" borderId="33" pivotButton="0" quotePrefix="0" xfId="0"/>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13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Services'!$B$6:$B$301</f>
              <numCache>
                <formatCode>General</formatCode>
                <ptCount val="29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Details!$B$6:$B$303</f>
              <numCache>
                <formatCode>0.00</formatCode>
                <ptCount val="298"/>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Sectors!$B$6:$B$11</f>
              <numCache>
                <formatCode>General</formatCode>
                <ptCount val="6"/>
                <pt idx="0">
                  <v>13</v>
                </pt>
                <pt idx="1">
                  <v>16</v>
                </pt>
                <pt idx="2">
                  <v>17</v>
                </pt>
                <pt idx="3">
                  <v>18</v>
                </pt>
                <pt idx="4">
                  <v>16</v>
                </pt>
                <pt idx="5">
                  <v>5</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Sectors!$C$6:$C$11</f>
              <numCache>
                <formatCode>General</formatCode>
                <ptCount val="6"/>
                <pt idx="0">
                  <v>5</v>
                </pt>
                <pt idx="1">
                  <v>10</v>
                </pt>
                <pt idx="2">
                  <v>4</v>
                </pt>
                <pt idx="3">
                  <v>13</v>
                </pt>
                <pt idx="4">
                  <v>13</v>
                </pt>
                <pt idx="5">
                  <v>13</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Sectors!$D$6:$D$11</f>
              <numCache>
                <formatCode>General</formatCode>
                <ptCount val="6"/>
                <pt idx="0">
                  <v>17</v>
                </pt>
                <pt idx="1">
                  <v>-1</v>
                </pt>
                <pt idx="2">
                  <v>16</v>
                </pt>
                <pt idx="3">
                  <v>15</v>
                </pt>
                <pt idx="4">
                  <v>7</v>
                </pt>
                <pt idx="5">
                  <v>12</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Sectors!$E$6:$E$11</f>
              <numCache>
                <formatCode>General</formatCode>
                <ptCount val="6"/>
                <pt idx="0">
                  <v>9</v>
                </pt>
                <pt idx="1">
                  <v>11</v>
                </pt>
                <pt idx="2">
                  <v>7</v>
                </pt>
                <pt idx="3">
                  <v>14</v>
                </pt>
                <pt idx="4">
                  <v>6</v>
                </pt>
                <pt idx="5">
                  <v>15</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Sectors!$F$6:$F$11</f>
              <numCache>
                <formatCode>General</formatCode>
                <ptCount val="6"/>
                <pt idx="0">
                  <v>6</v>
                </pt>
                <pt idx="1">
                  <v>7</v>
                </pt>
                <pt idx="2">
                  <v>5</v>
                </pt>
                <pt idx="3">
                  <v>7</v>
                </pt>
                <pt idx="4">
                  <v>8</v>
                </pt>
                <pt idx="5">
                  <v>3</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Sectors!$G$6:$G$11</f>
              <numCache>
                <formatCode>General</formatCode>
                <ptCount val="6"/>
                <pt idx="0">
                  <v>15</v>
                </pt>
                <pt idx="1">
                  <v>17</v>
                </pt>
                <pt idx="2">
                  <v>11</v>
                </pt>
                <pt idx="3">
                  <v>8</v>
                </pt>
                <pt idx="4">
                  <v>1</v>
                </pt>
                <pt idx="5">
                  <v>18</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Sectors!$H$6:$H$11</f>
              <numCache>
                <formatCode>General</formatCode>
                <ptCount val="6"/>
                <pt idx="0">
                  <v>2</v>
                </pt>
                <pt idx="1">
                  <v>3</v>
                </pt>
                <pt idx="2">
                  <v>1</v>
                </pt>
                <pt idx="3">
                  <v>4</v>
                </pt>
                <pt idx="4">
                  <v>4</v>
                </pt>
                <pt idx="5">
                  <v>4</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Sectors!$I$6:$I$11</f>
              <numCache>
                <formatCode>General</formatCode>
                <ptCount val="6"/>
                <pt idx="0">
                  <v>12</v>
                </pt>
                <pt idx="1">
                  <v>2</v>
                </pt>
                <pt idx="2">
                  <v>12</v>
                </pt>
                <pt idx="3">
                  <v>16</v>
                </pt>
                <pt idx="4">
                  <v>18</v>
                </pt>
                <pt idx="5">
                  <v>6</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Sectors!$J$6:$J$11</f>
              <numCache>
                <formatCode>General</formatCode>
                <ptCount val="6"/>
                <pt idx="0">
                  <v>11</v>
                </pt>
                <pt idx="1">
                  <v>8</v>
                </pt>
                <pt idx="2">
                  <v>13</v>
                </pt>
                <pt idx="3">
                  <v>17</v>
                </pt>
                <pt idx="4">
                  <v>17</v>
                </pt>
                <pt idx="5">
                  <v>8</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Sectors!$K$6:$K$11</f>
              <numCache>
                <formatCode>General</formatCode>
                <ptCount val="6"/>
                <pt idx="0">
                  <v>1</v>
                </pt>
                <pt idx="1">
                  <v>12</v>
                </pt>
                <pt idx="2">
                  <v>9</v>
                </pt>
                <pt idx="3">
                  <v>1</v>
                </pt>
                <pt idx="4">
                  <v>11</v>
                </pt>
                <pt idx="5">
                  <v>17</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Sectors!$L$6:$L$11</f>
              <numCache>
                <formatCode>General</formatCode>
                <ptCount val="6"/>
                <pt idx="0">
                  <v>7</v>
                </pt>
                <pt idx="1">
                  <v>15</v>
                </pt>
                <pt idx="2">
                  <v>10</v>
                </pt>
                <pt idx="3">
                  <v>12</v>
                </pt>
                <pt idx="4">
                  <v>9</v>
                </pt>
                <pt idx="5">
                  <v>11</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Sectors!$M$6:$M$11</f>
              <numCache>
                <formatCode>General</formatCode>
                <ptCount val="6"/>
                <pt idx="0">
                  <v>16</v>
                </pt>
                <pt idx="1">
                  <v>6</v>
                </pt>
                <pt idx="2">
                  <v>2</v>
                </pt>
                <pt idx="3">
                  <v>9</v>
                </pt>
                <pt idx="4">
                  <v>12</v>
                </pt>
                <pt idx="5">
                  <v>14</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Sectors!$N$6:$N$11</f>
              <numCache>
                <formatCode>General</formatCode>
                <ptCount val="6"/>
                <pt idx="0">
                  <v>8</v>
                </pt>
                <pt idx="1">
                  <v>9</v>
                </pt>
                <pt idx="2">
                  <v>3</v>
                </pt>
                <pt idx="3">
                  <v>2</v>
                </pt>
                <pt idx="4">
                  <v>10</v>
                </pt>
                <pt idx="5">
                  <v>7</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Sectors!$O$6:$O$11</f>
              <numCache>
                <formatCode>General</formatCode>
                <ptCount val="6"/>
                <pt idx="0">
                  <v>4</v>
                </pt>
                <pt idx="1">
                  <v>1</v>
                </pt>
                <pt idx="2">
                  <v>8</v>
                </pt>
                <pt idx="3">
                  <v>3</v>
                </pt>
                <pt idx="4">
                  <v>5</v>
                </pt>
                <pt idx="5">
                  <v>2</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Sectors!$P$6:$P$11</f>
              <numCache>
                <formatCode>General</formatCode>
                <ptCount val="6"/>
                <pt idx="0">
                  <v>0</v>
                </pt>
                <pt idx="1">
                  <v>4</v>
                </pt>
                <pt idx="2">
                  <v>-1</v>
                </pt>
                <pt idx="3">
                  <v>6</v>
                </pt>
                <pt idx="4">
                  <v>15</v>
                </pt>
                <pt idx="5">
                  <v>1</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Sectors!$Q$6:$Q$11</f>
              <numCache>
                <formatCode>General</formatCode>
                <ptCount val="6"/>
                <pt idx="0">
                  <v>10</v>
                </pt>
                <pt idx="1">
                  <v>13</v>
                </pt>
                <pt idx="2">
                  <v>6</v>
                </pt>
                <pt idx="3">
                  <v>11</v>
                </pt>
                <pt idx="4">
                  <v>3</v>
                </pt>
                <pt idx="5">
                  <v>9</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Sectors!$R$6:$R$11</f>
              <numCache>
                <formatCode>General</formatCode>
                <ptCount val="6"/>
                <pt idx="0">
                  <v>3</v>
                </pt>
                <pt idx="1">
                  <v>14</v>
                </pt>
                <pt idx="2">
                  <v>14</v>
                </pt>
                <pt idx="3">
                  <v>10</v>
                </pt>
                <pt idx="4">
                  <v>2</v>
                </pt>
                <pt idx="5">
                  <v>10</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Sectors!$S$6:$S$11</f>
              <numCache>
                <formatCode>General</formatCode>
                <ptCount val="6"/>
                <pt idx="0">
                  <v>14</v>
                </pt>
                <pt idx="1">
                  <v>5</v>
                </pt>
                <pt idx="2">
                  <v>15</v>
                </pt>
                <pt idx="3">
                  <v>5</v>
                </pt>
                <pt idx="4">
                  <v>14</v>
                </pt>
                <pt idx="5">
                  <v>16</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SectorsBusinessActivity!$B$6:$B$11</f>
              <numCache>
                <formatCode>General</formatCode>
                <ptCount val="6"/>
                <pt idx="0">
                  <v>14</v>
                </pt>
                <pt idx="1">
                  <v>11</v>
                </pt>
                <pt idx="2">
                  <v>17</v>
                </pt>
                <pt idx="3">
                  <v>16</v>
                </pt>
                <pt idx="4">
                  <v>15</v>
                </pt>
                <pt idx="5">
                  <v>13</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SectorsBusinessActivity!$C$6:$C$11</f>
              <numCache>
                <formatCode>General</formatCode>
                <ptCount val="6"/>
                <pt idx="0">
                  <v>7</v>
                </pt>
                <pt idx="1">
                  <v>9</v>
                </pt>
                <pt idx="2">
                  <v>9</v>
                </pt>
                <pt idx="3">
                  <v>12</v>
                </pt>
                <pt idx="4">
                  <v>10</v>
                </pt>
                <pt idx="5">
                  <v>4</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SectorsBusinessActivity!$D$6:$D$11</f>
              <numCache>
                <formatCode>General</formatCode>
                <ptCount val="6"/>
                <pt idx="0">
                  <v>17</v>
                </pt>
                <pt idx="1">
                  <v>-2</v>
                </pt>
                <pt idx="2">
                  <v>16</v>
                </pt>
                <pt idx="3">
                  <v>10</v>
                </pt>
                <pt idx="4">
                  <v>0</v>
                </pt>
                <pt idx="5">
                  <v>9</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SectorsBusinessActivity!$E$6:$E$11</f>
              <numCache>
                <formatCode>General</formatCode>
                <ptCount val="6"/>
                <pt idx="0">
                  <v>6</v>
                </pt>
                <pt idx="1">
                  <v>12</v>
                </pt>
                <pt idx="2">
                  <v>4</v>
                </pt>
                <pt idx="3">
                  <v>5</v>
                </pt>
                <pt idx="4">
                  <v>7</v>
                </pt>
                <pt idx="5">
                  <v>7</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SectorsBusinessActivity!$F$6:$F$11</f>
              <numCache>
                <formatCode>General</formatCode>
                <ptCount val="6"/>
                <pt idx="0">
                  <v>10</v>
                </pt>
                <pt idx="1">
                  <v>10</v>
                </pt>
                <pt idx="2">
                  <v>13</v>
                </pt>
                <pt idx="3">
                  <v>11</v>
                </pt>
                <pt idx="4">
                  <v>11</v>
                </pt>
                <pt idx="5">
                  <v>11</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SectorsBusinessActivity!$G$6:$G$11</f>
              <numCache>
                <formatCode>General</formatCode>
                <ptCount val="6"/>
                <pt idx="0">
                  <v>12</v>
                </pt>
                <pt idx="1">
                  <v>14</v>
                </pt>
                <pt idx="2">
                  <v>6</v>
                </pt>
                <pt idx="3">
                  <v>3</v>
                </pt>
                <pt idx="4">
                  <v>0</v>
                </pt>
                <pt idx="5">
                  <v>15</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SectorsBusinessActivity!$H$6:$H$11</f>
              <numCache>
                <formatCode>General</formatCode>
                <ptCount val="6"/>
                <pt idx="0">
                  <v>3</v>
                </pt>
                <pt idx="1">
                  <v>5</v>
                </pt>
                <pt idx="2">
                  <v>8</v>
                </pt>
                <pt idx="3">
                  <v>7</v>
                </pt>
                <pt idx="4">
                  <v>5</v>
                </pt>
                <pt idx="5">
                  <v>6</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SectorsBusinessActivity!$I$6:$I$11</f>
              <numCache>
                <formatCode>General</formatCode>
                <ptCount val="6"/>
                <pt idx="0">
                  <v>13</v>
                </pt>
                <pt idx="1">
                  <v>-1</v>
                </pt>
                <pt idx="2">
                  <v>14</v>
                </pt>
                <pt idx="3">
                  <v>17</v>
                </pt>
                <pt idx="4">
                  <v>14</v>
                </pt>
                <pt idx="5">
                  <v>5</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SectorsBusinessActivity!$J$6:$J$11</f>
              <numCache>
                <formatCode>General</formatCode>
                <ptCount val="6"/>
                <pt idx="0">
                  <v>9</v>
                </pt>
                <pt idx="1">
                  <v>4</v>
                </pt>
                <pt idx="2">
                  <v>1</v>
                </pt>
                <pt idx="3">
                  <v>14</v>
                </pt>
                <pt idx="4">
                  <v>13</v>
                </pt>
                <pt idx="5">
                  <v>14</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SectorsBusinessActivity!$K$6:$K$11</f>
              <numCache>
                <formatCode>General</formatCode>
                <ptCount val="6"/>
                <pt idx="0">
                  <v>1</v>
                </pt>
                <pt idx="1">
                  <v>3</v>
                </pt>
                <pt idx="2">
                  <v>2</v>
                </pt>
                <pt idx="3">
                  <v>9</v>
                </pt>
                <pt idx="4">
                  <v>3</v>
                </pt>
                <pt idx="5">
                  <v>-3</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SectorsBusinessActivity!$L$6:$L$11</f>
              <numCache>
                <formatCode>General</formatCode>
                <ptCount val="6"/>
                <pt idx="0">
                  <v>5</v>
                </pt>
                <pt idx="1">
                  <v>8</v>
                </pt>
                <pt idx="2">
                  <v>3</v>
                </pt>
                <pt idx="3">
                  <v>4</v>
                </pt>
                <pt idx="4">
                  <v>6</v>
                </pt>
                <pt idx="5">
                  <v>8</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SectorsBusinessActivity!$M$6:$M$11</f>
              <numCache>
                <formatCode>General</formatCode>
                <ptCount val="6"/>
                <pt idx="0">
                  <v>15</v>
                </pt>
                <pt idx="1">
                  <v>2</v>
                </pt>
                <pt idx="2">
                  <v>7</v>
                </pt>
                <pt idx="3">
                  <v>8</v>
                </pt>
                <pt idx="4">
                  <v>12</v>
                </pt>
                <pt idx="5">
                  <v>12</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SectorsBusinessActivity!$N$6:$N$11</f>
              <numCache>
                <formatCode>General</formatCode>
                <ptCount val="6"/>
                <pt idx="0">
                  <v>8</v>
                </pt>
                <pt idx="1">
                  <v>15</v>
                </pt>
                <pt idx="2">
                  <v>5</v>
                </pt>
                <pt idx="3">
                  <v>1</v>
                </pt>
                <pt idx="4">
                  <v>9</v>
                </pt>
                <pt idx="5">
                  <v>1</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SectorsBusinessActivity!$O$6:$O$11</f>
              <numCache>
                <formatCode>General</formatCode>
                <ptCount val="6"/>
                <pt idx="0">
                  <v>4</v>
                </pt>
                <pt idx="1">
                  <v>1</v>
                </pt>
                <pt idx="2">
                  <v>11</v>
                </pt>
                <pt idx="3">
                  <v>2</v>
                </pt>
                <pt idx="4">
                  <v>2</v>
                </pt>
                <pt idx="5">
                  <v>2</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SectorsBusinessActivity!$P$6:$P$11</f>
              <numCache>
                <formatCode>General</formatCode>
                <ptCount val="6"/>
                <pt idx="0">
                  <v>0</v>
                </pt>
                <pt idx="1">
                  <v>6</v>
                </pt>
                <pt idx="2">
                  <v>-1</v>
                </pt>
                <pt idx="3">
                  <v>-1</v>
                </pt>
                <pt idx="4">
                  <v>8</v>
                </pt>
                <pt idx="5">
                  <v>-2</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SectorsBusinessActivity!$Q$6:$Q$11</f>
              <numCache>
                <formatCode>General</formatCode>
                <ptCount val="6"/>
                <pt idx="0">
                  <v>11</v>
                </pt>
                <pt idx="1">
                  <v>7</v>
                </pt>
                <pt idx="2">
                  <v>10</v>
                </pt>
                <pt idx="3">
                  <v>15</v>
                </pt>
                <pt idx="4">
                  <v>4</v>
                </pt>
                <pt idx="5">
                  <v>3</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SectorsBusinessActivity!$R$6:$R$11</f>
              <numCache>
                <formatCode>General</formatCode>
                <ptCount val="6"/>
                <pt idx="0">
                  <v>2</v>
                </pt>
                <pt idx="1">
                  <v>13</v>
                </pt>
                <pt idx="2">
                  <v>15</v>
                </pt>
                <pt idx="3">
                  <v>13</v>
                </pt>
                <pt idx="4">
                  <v>1</v>
                </pt>
                <pt idx="5">
                  <v>-1</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SectorsBusinessActivity!$S$6:$S$11</f>
              <numCache>
                <formatCode>General</formatCode>
                <ptCount val="6"/>
                <pt idx="0">
                  <v>16</v>
                </pt>
                <pt idx="1">
                  <v>0</v>
                </pt>
                <pt idx="2">
                  <v>12</v>
                </pt>
                <pt idx="3">
                  <v>6</v>
                </pt>
                <pt idx="4">
                  <v>16</v>
                </pt>
                <pt idx="5">
                  <v>10</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SectorsNewOrders!$B$6:$B$11</f>
              <numCache>
                <formatCode>General</formatCode>
                <ptCount val="6"/>
                <pt idx="0">
                  <v>7</v>
                </pt>
                <pt idx="1">
                  <v>11</v>
                </pt>
                <pt idx="2">
                  <v>17</v>
                </pt>
                <pt idx="3">
                  <v>16</v>
                </pt>
                <pt idx="4">
                  <v>17</v>
                </pt>
                <pt idx="5">
                  <v>6</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SectorsNewOrders!$C$6:$C$11</f>
              <numCache>
                <formatCode>General</formatCode>
                <ptCount val="6"/>
                <pt idx="0">
                  <v>8</v>
                </pt>
                <pt idx="1">
                  <v>3</v>
                </pt>
                <pt idx="2">
                  <v>6</v>
                </pt>
                <pt idx="3">
                  <v>12</v>
                </pt>
                <pt idx="4">
                  <v>6</v>
                </pt>
                <pt idx="5">
                  <v>2</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SectorsNewOrders!$D$6:$D$11</f>
              <numCache>
                <formatCode>General</formatCode>
                <ptCount val="6"/>
                <pt idx="0">
                  <v>16</v>
                </pt>
                <pt idx="1">
                  <v>-3</v>
                </pt>
                <pt idx="2">
                  <v>16</v>
                </pt>
                <pt idx="3">
                  <v>8</v>
                </pt>
                <pt idx="4">
                  <v>9</v>
                </pt>
                <pt idx="5">
                  <v>8</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SectorsNewOrders!$E$6:$E$11</f>
              <numCache>
                <formatCode>General</formatCode>
                <ptCount val="6"/>
                <pt idx="0">
                  <v>12</v>
                </pt>
                <pt idx="1">
                  <v>8</v>
                </pt>
                <pt idx="2">
                  <v>15</v>
                </pt>
                <pt idx="3">
                  <v>14</v>
                </pt>
                <pt idx="4">
                  <v>8</v>
                </pt>
                <pt idx="5">
                  <v>7</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SectorsNewOrders!$F$6:$F$11</f>
              <numCache>
                <formatCode>General</formatCode>
                <ptCount val="6"/>
                <pt idx="0">
                  <v>9</v>
                </pt>
                <pt idx="1">
                  <v>6</v>
                </pt>
                <pt idx="2">
                  <v>5</v>
                </pt>
                <pt idx="3">
                  <v>7</v>
                </pt>
                <pt idx="4">
                  <v>12</v>
                </pt>
                <pt idx="5">
                  <v>5</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SectorsNewOrders!$G$6:$G$11</f>
              <numCache>
                <formatCode>General</formatCode>
                <ptCount val="6"/>
                <pt idx="0">
                  <v>10</v>
                </pt>
                <pt idx="1">
                  <v>12</v>
                </pt>
                <pt idx="2">
                  <v>2</v>
                </pt>
                <pt idx="3">
                  <v>9</v>
                </pt>
                <pt idx="4">
                  <v>3</v>
                </pt>
                <pt idx="5">
                  <v>12</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SectorsNewOrders!$H$6:$H$11</f>
              <numCache>
                <formatCode>General</formatCode>
                <ptCount val="6"/>
                <pt idx="0">
                  <v>5</v>
                </pt>
                <pt idx="1">
                  <v>5</v>
                </pt>
                <pt idx="2">
                  <v>3</v>
                </pt>
                <pt idx="3">
                  <v>3</v>
                </pt>
                <pt idx="4">
                  <v>5</v>
                </pt>
                <pt idx="5">
                  <v>4</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SectorsNewOrders!$I$6:$I$11</f>
              <numCache>
                <formatCode>General</formatCode>
                <ptCount val="6"/>
                <pt idx="0">
                  <v>13</v>
                </pt>
                <pt idx="1">
                  <v>-2</v>
                </pt>
                <pt idx="2">
                  <v>14</v>
                </pt>
                <pt idx="3">
                  <v>13</v>
                </pt>
                <pt idx="4">
                  <v>7</v>
                </pt>
                <pt idx="5">
                  <v>0</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SectorsNewOrders!$J$6:$J$11</f>
              <numCache>
                <formatCode>General</formatCode>
                <ptCount val="6"/>
                <pt idx="0">
                  <v>6</v>
                </pt>
                <pt idx="1">
                  <v>2</v>
                </pt>
                <pt idx="2">
                  <v>10</v>
                </pt>
                <pt idx="3">
                  <v>15</v>
                </pt>
                <pt idx="4">
                  <v>18</v>
                </pt>
                <pt idx="5">
                  <v>10</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SectorsNewOrders!$K$6:$K$11</f>
              <numCache>
                <formatCode>General</formatCode>
                <ptCount val="6"/>
                <pt idx="0">
                  <v>-1</v>
                </pt>
                <pt idx="1">
                  <v>7</v>
                </pt>
                <pt idx="2">
                  <v>11</v>
                </pt>
                <pt idx="3">
                  <v>0</v>
                </pt>
                <pt idx="4">
                  <v>13</v>
                </pt>
                <pt idx="5">
                  <v>-3</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SectorsNewOrders!$L$6:$L$11</f>
              <numCache>
                <formatCode>General</formatCode>
                <ptCount val="6"/>
                <pt idx="0">
                  <v>1</v>
                </pt>
                <pt idx="1">
                  <v>9</v>
                </pt>
                <pt idx="2">
                  <v>8</v>
                </pt>
                <pt idx="3">
                  <v>5</v>
                </pt>
                <pt idx="4">
                  <v>15</v>
                </pt>
                <pt idx="5">
                  <v>13</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SectorsNewOrders!$M$6:$M$11</f>
              <numCache>
                <formatCode>General</formatCode>
                <ptCount val="6"/>
                <pt idx="0">
                  <v>15</v>
                </pt>
                <pt idx="1">
                  <v>-1</v>
                </pt>
                <pt idx="2">
                  <v>1</v>
                </pt>
                <pt idx="3">
                  <v>6</v>
                </pt>
                <pt idx="4">
                  <v>14</v>
                </pt>
                <pt idx="5">
                  <v>11</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SectorsNewOrders!$N$6:$N$11</f>
              <numCache>
                <formatCode>General</formatCode>
                <ptCount val="6"/>
                <pt idx="0">
                  <v>11</v>
                </pt>
                <pt idx="1">
                  <v>4</v>
                </pt>
                <pt idx="2">
                  <v>9</v>
                </pt>
                <pt idx="3">
                  <v>1</v>
                </pt>
                <pt idx="4">
                  <v>11</v>
                </pt>
                <pt idx="5">
                  <v>1</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SectorsNewOrders!$O$6:$O$11</f>
              <numCache>
                <formatCode>General</formatCode>
                <ptCount val="6"/>
                <pt idx="0">
                  <v>2</v>
                </pt>
                <pt idx="1">
                  <v>1</v>
                </pt>
                <pt idx="2">
                  <v>12</v>
                </pt>
                <pt idx="3">
                  <v>2</v>
                </pt>
                <pt idx="4">
                  <v>4</v>
                </pt>
                <pt idx="5">
                  <v>3</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SectorsNewOrders!$P$6:$P$11</f>
              <numCache>
                <formatCode>General</formatCode>
                <ptCount val="6"/>
                <pt idx="0">
                  <v>0</v>
                </pt>
                <pt idx="1">
                  <v>0</v>
                </pt>
                <pt idx="2">
                  <v>-1</v>
                </pt>
                <pt idx="3">
                  <v>0</v>
                </pt>
                <pt idx="4">
                  <v>10</v>
                </pt>
                <pt idx="5">
                  <v>-2</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SectorsNewOrders!$Q$6:$Q$11</f>
              <numCache>
                <formatCode>General</formatCode>
                <ptCount val="6"/>
                <pt idx="0">
                  <v>3</v>
                </pt>
                <pt idx="1">
                  <v>13</v>
                </pt>
                <pt idx="2">
                  <v>4</v>
                </pt>
                <pt idx="3">
                  <v>11</v>
                </pt>
                <pt idx="4">
                  <v>2</v>
                </pt>
                <pt idx="5">
                  <v>0</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SectorsNewOrders!$R$6:$R$11</f>
              <numCache>
                <formatCode>General</formatCode>
                <ptCount val="6"/>
                <pt idx="0">
                  <v>4</v>
                </pt>
                <pt idx="1">
                  <v>10</v>
                </pt>
                <pt idx="2">
                  <v>13</v>
                </pt>
                <pt idx="3">
                  <v>4</v>
                </pt>
                <pt idx="4">
                  <v>1</v>
                </pt>
                <pt idx="5">
                  <v>-1</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SectorsNewOrders!$S$6:$S$11</f>
              <numCache>
                <formatCode>General</formatCode>
                <ptCount val="6"/>
                <pt idx="0">
                  <v>14</v>
                </pt>
                <pt idx="1">
                  <v>0</v>
                </pt>
                <pt idx="2">
                  <v>7</v>
                </pt>
                <pt idx="3">
                  <v>10</v>
                </pt>
                <pt idx="4">
                  <v>16</v>
                </pt>
                <pt idx="5">
                  <v>9</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Details!$B$6:$B$303</f>
              <numCache>
                <formatCode>0.00</formatCode>
                <ptCount val="298"/>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Details!$B$6:$B$303</f>
              <numCache>
                <formatCode>0.00</formatCode>
                <ptCount val="298"/>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Details!$C$6:$C$303</f>
              <numCache>
                <formatCode>General</formatCode>
                <ptCount val="298"/>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Details!$C$6:$C$303</f>
              <numCache>
                <formatCode>General</formatCode>
                <ptCount val="298"/>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Details!$D$6:$D$303</f>
              <numCache>
                <formatCode>General</formatCode>
                <ptCount val="298"/>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Details!$D$6:$D$303</f>
              <numCache>
                <formatCode>General</formatCode>
                <ptCount val="298"/>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Details!$E$6:$E$303</f>
              <numCache>
                <formatCode>General</formatCode>
                <ptCount val="298"/>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Details!$E$6:$E$303</f>
              <numCache>
                <formatCode>General</formatCode>
                <ptCount val="298"/>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Details!$F$6:$F$303</f>
              <numCache>
                <formatCode>General</formatCode>
                <ptCount val="298"/>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Details!$F$6:$F$303</f>
              <numCache>
                <formatCode>General</formatCode>
                <ptCount val="298"/>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Details!$G$6:$G$303</f>
              <numCache>
                <formatCode>General</formatCode>
                <ptCount val="298"/>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Details!$G$6:$G$303</f>
              <numCache>
                <formatCode>General</formatCode>
                <ptCount val="298"/>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Details!$H$6:$H$303</f>
              <numCache>
                <formatCode>General</formatCode>
                <ptCount val="298"/>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Details!$H$6:$H$303</f>
              <numCache>
                <formatCode>General</formatCode>
                <ptCount val="298"/>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Details!$I$6:$I$303</f>
              <numCache>
                <formatCode>General</formatCode>
                <ptCount val="298"/>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Details!$I$6:$I$303</f>
              <numCache>
                <formatCode>General</formatCode>
                <ptCount val="298"/>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Details!$J$6:$J$303</f>
              <numCache>
                <formatCode>General</formatCode>
                <ptCount val="298"/>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Details!$J$6:$J$303</f>
              <numCache>
                <formatCode>General</formatCode>
                <ptCount val="298"/>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Details!$K$6:$K$303</f>
              <numCache>
                <formatCode>General</formatCode>
                <ptCount val="298"/>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Details!$K$6:$K$303</f>
              <numCache>
                <formatCode>General</formatCode>
                <ptCount val="298"/>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 vs GDP'!$C$6:$C$301</f>
              <numCache>
                <formatCode>0.00%</formatCode>
                <ptCount val="296"/>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pt idx="294">
                  <v>0.05531736362184171</v>
                </pt>
                <pt idx="295">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 vs GDP'!$B$6:$B$301</f>
              <numCache>
                <formatCode>0.00</formatCode>
                <ptCount val="29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 vs GDP'!$E$6:$E$301</f>
              <numCache>
                <formatCode>0.00%</formatCode>
                <ptCount val="296"/>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pt idx="294">
                  <v>0.06887440582969107</v>
                </pt>
                <pt idx="295">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 vs GDP'!$B$6:$B$301</f>
              <numCache>
                <formatCode>0.00</formatCode>
                <ptCount val="29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Services'!$B$6:$B$301</f>
              <numCache>
                <formatCode>General</formatCode>
                <ptCount val="29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373343</colOff>
      <row>264</row>
      <rowOff>31377</rowOff>
    </from>
    <to>
      <col>13</col>
      <colOff>535268</colOff>
      <row>282</row>
      <rowOff>177987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376517</colOff>
      <row>283</row>
      <rowOff>61820</rowOff>
    </from>
    <to>
      <col>13</col>
      <colOff>490818</colOff>
      <row>298</row>
      <rowOff>157069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154238</colOff>
      <row>284</row>
      <rowOff>138363</rowOff>
    </from>
    <to>
      <col>9</col>
      <colOff>468563</colOff>
      <row>299</row>
      <rowOff>20720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301" headerRowCount="1" totalsRowShown="0" headerRowDxfId="134" dataDxfId="132" headerRowBorderDxfId="133">
  <autoFilter ref="A5:L301"/>
  <tableColumns count="12">
    <tableColumn id="1" name="Date" dataDxfId="131"/>
    <tableColumn id="5" name="New Orders" dataDxfId="130">
      <calculatedColumnFormula>IF(VLOOKUP(Table91213[[#This Row],[Date]],'DB Details'!$A:$Q,2)=0,"",VLOOKUP(Table91213[[#This Row],[Date]],'DB Details'!$A:$Q,2))</calculatedColumnFormula>
    </tableColumn>
    <tableColumn id="3" name="Imports" dataDxfId="129">
      <calculatedColumnFormula>IF(VLOOKUP(Table91213[[#This Row],[Date]],'DB Details'!$A:$Q,3)=0,"",VLOOKUP(Table91213[[#This Row],[Date]],'DB Details'!$A:$Q,3))</calculatedColumnFormula>
    </tableColumn>
    <tableColumn id="2" name="Backlog Of Orders" dataDxfId="128">
      <calculatedColumnFormula>IF(VLOOKUP(Table91213[[#This Row],[Date]],'DB Details'!$A:$Q,4)=0,"",VLOOKUP(Table91213[[#This Row],[Date]],'DB Details'!$A:$Q,4))</calculatedColumnFormula>
    </tableColumn>
    <tableColumn id="4" name="Prices" dataDxfId="127">
      <calculatedColumnFormula>IF(VLOOKUP(Table91213[[#This Row],[Date]],'DB Details'!$A:$Q,5)=0,"",VLOOKUP(Table91213[[#This Row],[Date]],'DB Details'!$A:$Q,5))</calculatedColumnFormula>
    </tableColumn>
    <tableColumn id="6" name="Business Activity" dataDxfId="126">
      <calculatedColumnFormula>IF(VLOOKUP(Table91213[[#This Row],[Date]],'DB Details'!$A:$Q,6)=0,"",VLOOKUP(Table91213[[#This Row],[Date]],'DB Details'!$A:$Q,6))</calculatedColumnFormula>
    </tableColumn>
    <tableColumn id="7" name="Inventory Sentiment" dataDxfId="125">
      <calculatedColumnFormula>IF(VLOOKUP(Table91213[[#This Row],[Date]],'DB Details'!$A:$Q,7)=0,"",VLOOKUP(Table91213[[#This Row],[Date]],'DB Details'!$A:$Q,7))</calculatedColumnFormula>
    </tableColumn>
    <tableColumn id="8" name="Inventories" dataDxfId="124">
      <calculatedColumnFormula>IF(VLOOKUP(Table91213[[#This Row],[Date]],'DB Details'!$A:$Q,8)=0,"",VLOOKUP(Table91213[[#This Row],[Date]],'DB Details'!$A:$Q,8))</calculatedColumnFormula>
    </tableColumn>
    <tableColumn id="9" name="Deliveries" dataDxfId="123">
      <calculatedColumnFormula>IF(VLOOKUP(Table91213[[#This Row],[Date]],'DB Details'!$A:$Q,9)=0,"",VLOOKUP(Table91213[[#This Row],[Date]],'DB Details'!$A:$Q,9))</calculatedColumnFormula>
    </tableColumn>
    <tableColumn id="10" name="Employment" dataDxfId="122">
      <calculatedColumnFormula>IF(VLOOKUP(Table91213[[#This Row],[Date]],'DB Details'!$A:$Q,10)=0,"",VLOOKUP(Table91213[[#This Row],[Date]],'DB Details'!$A:$Q,10))</calculatedColumnFormula>
    </tableColumn>
    <tableColumn id="11" name="Exports" dataDxfId="121">
      <calculatedColumnFormula>IF(VLOOKUP(Table91213[[#This Row],[Date]],'DB Details'!$A:$Q,11)=0,"",VLOOKUP(Table91213[[#This Row],[Date]],'DB Details'!$A:$Q,11))</calculatedColumnFormula>
    </tableColumn>
    <tableColumn id="13" name="ISM Services" dataDxfId="120">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301" headerRowCount="1" totalsRowShown="0" headerRowDxfId="119" dataDxfId="117" headerRowBorderDxfId="118" tableBorderDxfId="116" totalsRowBorderDxfId="115">
  <autoFilter ref="A5:E301"/>
  <tableColumns count="5">
    <tableColumn id="1" name="Date" dataDxfId="114"/>
    <tableColumn id="2" name="ISM Services" dataDxfId="113">
      <calculatedColumnFormula>IF(VLOOKUP(Table311[[#This Row],[Date]],'DB Details'!$A:$Q,12)=0,"",VLOOKUP(Table311[[#This Row],[Date]],'DB Details'!$A:$Q,12))</calculatedColumnFormula>
    </tableColumn>
    <tableColumn id="6" name="GDP growth yoy %" dataDxfId="112">
      <calculatedColumnFormula>IF(VLOOKUP(Table311[[#This Row],[Date]],'DB Details'!$A:$Q,16)=0,"",VLOOKUP(Table311[[#This Row],[Date]],'DB Details'!$A:$Q,16))</calculatedColumnFormula>
    </tableColumn>
    <tableColumn id="5" name="GDP growth qoq %" dataDxfId="111">
      <calculatedColumnFormula>IF(VLOOKUP(Table311[[#This Row],[Date]],'DB Details'!$A:$Q,15)=0,"",VLOOKUP(Table311[[#This Row],[Date]],'DB Details'!$A:$Q,15))</calculatedColumnFormula>
    </tableColumn>
    <tableColumn id="4" name="GDP growth q/q % (annualised)" dataDxfId="110">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301" headerRowCount="1" totalsRowShown="0" headerRowDxfId="109" dataDxfId="107" headerRowBorderDxfId="108">
  <autoFilter ref="A5:C301"/>
  <tableColumns count="3">
    <tableColumn id="1" name="Date" dataDxfId="106"/>
    <tableColumn id="3" name="ISM Services" dataDxfId="105">
      <calculatedColumnFormula>IF(VLOOKUP(Table9[[#This Row],[Date]],'DB Details'!$A:$Q,12)=0,"",VLOOKUP(Table9[[#This Row],[Date]],'DB Details'!$A:$Q,12))</calculatedColumnFormula>
    </tableColumn>
    <tableColumn id="2" name="Change" dataDxfId="10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tabSelected="1" zoomScale="150" zoomScaleNormal="150" workbookViewId="0">
      <selection activeCell="P11" sqref="P11"/>
    </sheetView>
  </sheetViews>
  <sheetFormatPr baseColWidth="10" defaultColWidth="9.1640625" defaultRowHeight="15"/>
  <cols>
    <col width="15.6640625" customWidth="1" style="76" min="1" max="1"/>
    <col width="12.83203125" customWidth="1" style="76" min="2" max="5"/>
    <col width="13.6640625" customWidth="1" style="76" min="6" max="6"/>
    <col width="12.83203125" customWidth="1" style="76" min="7" max="10"/>
    <col width="2" customWidth="1" style="76" min="11" max="13"/>
    <col width="9.1640625" customWidth="1" style="76" min="14" max="14"/>
    <col width="15.5" customWidth="1" style="76" min="15" max="15"/>
    <col width="12.6640625" customWidth="1" style="76" min="16" max="18"/>
    <col width="5.5" customWidth="1" style="76" min="19" max="19"/>
    <col width="16.6640625" customWidth="1" style="76" min="20" max="20"/>
    <col width="9.1640625" customWidth="1" style="76" min="21" max="34"/>
    <col width="9.1640625" customWidth="1" style="76" min="35" max="16384"/>
  </cols>
  <sheetData>
    <row r="1" ht="16" customHeight="1" s="65" thickBot="1">
      <c r="B1" s="73" t="n"/>
      <c r="C1" s="74" t="n"/>
      <c r="D1" s="74" t="n"/>
      <c r="E1" s="74" t="n"/>
      <c r="F1" s="74" t="n"/>
      <c r="G1" s="74" t="n"/>
      <c r="H1" s="74" t="n"/>
      <c r="I1" s="74" t="n"/>
      <c r="J1" s="74" t="n"/>
    </row>
    <row r="3" ht="227.25" customHeight="1" s="65">
      <c r="B3" s="75"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s="65">
      <c r="B4" s="9" t="inlineStr">
        <is>
          <t>https://www.ismworld.org/</t>
        </is>
      </c>
      <c r="C4" s="81" t="n"/>
      <c r="D4" s="81" t="n"/>
      <c r="E4" s="81" t="n"/>
      <c r="F4" s="81" t="n"/>
      <c r="G4" s="81" t="n"/>
      <c r="H4" s="81" t="n"/>
      <c r="I4" s="81" t="n"/>
      <c r="J4" s="81" t="n"/>
    </row>
    <row r="5" ht="24" customHeight="1" s="65">
      <c r="B5" s="9" t="inlineStr">
        <is>
          <t>https://www.prnewswire.com/news/institute-for-supply-management/</t>
        </is>
      </c>
      <c r="C5" s="81" t="n"/>
      <c r="D5" s="81" t="n"/>
      <c r="E5" s="81" t="n"/>
      <c r="F5" s="81" t="n"/>
      <c r="G5" s="81" t="n"/>
      <c r="H5" s="81" t="n"/>
      <c r="I5" s="81" t="n"/>
      <c r="J5" s="81" t="n"/>
    </row>
    <row r="6" ht="16" customHeight="1" s="65" thickBot="1">
      <c r="B6" s="12" t="n"/>
      <c r="C6" s="13" t="n"/>
      <c r="D6" s="13" t="n"/>
      <c r="E6" s="13" t="n"/>
    </row>
    <row r="7" ht="16" customHeight="1" s="65" thickBot="1">
      <c r="B7" s="77" t="inlineStr">
        <is>
          <t>Process / TO DO LIST</t>
        </is>
      </c>
      <c r="C7" s="78" t="n"/>
      <c r="D7" s="78" t="n"/>
      <c r="E7" s="78" t="n"/>
      <c r="F7" s="78" t="n"/>
      <c r="G7" s="78" t="n"/>
      <c r="H7" s="78" t="n"/>
      <c r="I7" s="78" t="n"/>
      <c r="J7" s="79" t="n"/>
      <c r="N7" s="70" t="inlineStr">
        <is>
          <t>Summary</t>
        </is>
      </c>
      <c r="O7" s="71" t="n"/>
      <c r="P7" s="71" t="n"/>
      <c r="Q7" s="71" t="n"/>
      <c r="R7" s="71" t="n"/>
      <c r="S7" s="71" t="n"/>
      <c r="T7" s="71" t="n"/>
      <c r="U7" s="72" t="n"/>
    </row>
    <row r="8">
      <c r="N8" s="14" t="inlineStr">
        <is>
          <t>* input new month</t>
        </is>
      </c>
      <c r="T8" s="14" t="inlineStr">
        <is>
          <t>Modify new month</t>
        </is>
      </c>
    </row>
    <row r="9" ht="16" customHeight="1" s="65" thickBot="1">
      <c r="B9" s="77" t="inlineStr">
        <is>
          <t>TO DO LIST</t>
        </is>
      </c>
      <c r="C9" s="78" t="n"/>
      <c r="D9" s="78" t="n"/>
      <c r="E9" s="78" t="n"/>
      <c r="F9" s="79" t="n"/>
      <c r="G9" s="77" t="inlineStr">
        <is>
          <t>Comments</t>
        </is>
      </c>
      <c r="H9" s="78" t="n"/>
      <c r="I9" s="78" t="n"/>
      <c r="J9" s="79" t="n"/>
    </row>
    <row r="10">
      <c r="P10" s="15" t="n">
        <v>44593</v>
      </c>
      <c r="Q10" s="16">
        <f>DATE(YEAR(P10),MONTH(P10)-1,DAY(P10))</f>
        <v/>
      </c>
      <c r="R10" s="17" t="n"/>
      <c r="T10" s="18" t="inlineStr">
        <is>
          <t>Sector</t>
        </is>
      </c>
      <c r="U10" s="18" t="inlineStr">
        <is>
          <t>Ranking</t>
        </is>
      </c>
    </row>
    <row r="11" ht="16" customHeight="1" s="65" thickBot="1">
      <c r="B11" s="76" t="inlineStr">
        <is>
          <t>Update data in Sectors Trends</t>
        </is>
      </c>
      <c r="G11" s="76" t="inlineStr">
        <is>
          <t>Add new column for new month</t>
        </is>
      </c>
      <c r="P11" s="19" t="inlineStr">
        <is>
          <t>ISM</t>
        </is>
      </c>
      <c r="Q11" s="19" t="inlineStr">
        <is>
          <t>ISM</t>
        </is>
      </c>
      <c r="R11" s="20" t="inlineStr">
        <is>
          <t>Change %</t>
        </is>
      </c>
      <c r="T11" s="21" t="inlineStr">
        <is>
          <t>Accommodation &amp; Food Services</t>
        </is>
      </c>
      <c r="U11" s="22" t="n">
        <v>18</v>
      </c>
    </row>
    <row r="12" ht="30.75" customHeight="1" s="65">
      <c r="G12" s="81" t="inlineStr">
        <is>
          <t>Modify month and change number in Sectors - Look at trends for ISM index, new order, business activity</t>
        </is>
      </c>
      <c r="N12" s="82" t="inlineStr">
        <is>
          <t>ISM Services</t>
        </is>
      </c>
      <c r="O12" s="83" t="n"/>
      <c r="P12" s="23">
        <f>VLOOKUP($P$10,Details!$A:$L,MATCH(Note!N12,Table91213[#Headers],),)</f>
        <v/>
      </c>
      <c r="Q12" s="23">
        <f>VLOOKUP($Q$10,Details!$A:$L,MATCH(Note!N12,Table91213[#Headers],),)</f>
        <v/>
      </c>
      <c r="R12" s="24">
        <f>P12-Q12</f>
        <v/>
      </c>
      <c r="T12" s="21" t="inlineStr">
        <is>
          <t>Mining</t>
        </is>
      </c>
      <c r="U12" s="22" t="n">
        <v>17</v>
      </c>
    </row>
    <row r="13" ht="15" customHeight="1" s="65">
      <c r="B13" s="81" t="inlineStr">
        <is>
          <t>Update month + Number Sectors</t>
        </is>
      </c>
      <c r="G13" s="76" t="n"/>
      <c r="N13" s="80" t="inlineStr">
        <is>
          <t>New Orders</t>
        </is>
      </c>
      <c r="O13" s="79" t="n"/>
      <c r="P13" s="91">
        <f>VLOOKUP($P$10,Details!$A:$L,MATCH(Note!N13,Table91213[#Headers],),)</f>
        <v/>
      </c>
      <c r="Q13" s="91">
        <f>VLOOKUP($Q$10,Details!$A:$L,MATCH(Note!N13,Table91213[#Headers],),)</f>
        <v/>
      </c>
      <c r="R13" s="25">
        <f>P13-Q13</f>
        <v/>
      </c>
      <c r="T13" s="21" t="inlineStr">
        <is>
          <t>Management of Companies &amp; Support Services</t>
        </is>
      </c>
      <c r="U13" s="22" t="n">
        <v>16</v>
      </c>
    </row>
    <row r="14">
      <c r="B14" s="76" t="inlineStr">
        <is>
          <t>Update Industry Comments</t>
        </is>
      </c>
      <c r="N14" s="80" t="inlineStr">
        <is>
          <t>Imports</t>
        </is>
      </c>
      <c r="O14" s="79" t="n"/>
      <c r="P14" s="91">
        <f>VLOOKUP($P$10,Details!$A:$L,MATCH(Note!N14,Table91213[#Headers],),)</f>
        <v/>
      </c>
      <c r="Q14" s="91">
        <f>VLOOKUP($Q$10,Details!$A:$L,MATCH(Note!N14,Table91213[#Headers],),)</f>
        <v/>
      </c>
      <c r="R14" s="25">
        <f>P14-Q14</f>
        <v/>
      </c>
      <c r="T14" s="21" t="inlineStr">
        <is>
          <t>Other Services</t>
        </is>
      </c>
      <c r="U14" s="22" t="n">
        <v>15</v>
      </c>
    </row>
    <row r="15">
      <c r="B15" s="76" t="inlineStr">
        <is>
          <t>Update data in different ISM and Details</t>
        </is>
      </c>
      <c r="N15" s="80" t="inlineStr">
        <is>
          <t>Backlog Of Orders</t>
        </is>
      </c>
      <c r="O15" s="79" t="n"/>
      <c r="P15" s="91">
        <f>VLOOKUP($P$10,Details!$A:$L,MATCH(Note!N15,Table91213[#Headers],),)</f>
        <v/>
      </c>
      <c r="Q15" s="91">
        <f>VLOOKUP($Q$10,Details!$A:$L,MATCH(Note!N15,Table91213[#Headers],),)</f>
        <v/>
      </c>
      <c r="R15" s="25">
        <f>P15-Q15</f>
        <v/>
      </c>
      <c r="T15" s="21" t="inlineStr">
        <is>
          <t>Wholesale Trade</t>
        </is>
      </c>
      <c r="U15" s="22" t="n">
        <v>14</v>
      </c>
    </row>
    <row r="16">
      <c r="N16" s="80" t="inlineStr">
        <is>
          <t>Prices</t>
        </is>
      </c>
      <c r="O16" s="79" t="n"/>
      <c r="P16" s="91">
        <f>VLOOKUP($P$10,Details!$A:$L,MATCH(Note!N16,Table91213[#Headers],),)</f>
        <v/>
      </c>
      <c r="Q16" s="91">
        <f>VLOOKUP($Q$10,Details!$A:$L,MATCH(Note!N16,Table91213[#Headers],),)</f>
        <v/>
      </c>
      <c r="R16" s="25">
        <f>P16-Q16</f>
        <v/>
      </c>
      <c r="T16" s="21" t="inlineStr">
        <is>
          <t>Utilities</t>
        </is>
      </c>
      <c r="U16" s="22" t="n">
        <v>13</v>
      </c>
    </row>
    <row r="17">
      <c r="B17" s="76" t="n"/>
      <c r="G17" s="76" t="n"/>
      <c r="N17" s="80" t="inlineStr">
        <is>
          <t>Business Activity</t>
        </is>
      </c>
      <c r="O17" s="79" t="n"/>
      <c r="P17" s="91">
        <f>VLOOKUP($P$10,Details!$A:$L,MATCH(Note!N17,Table91213[#Headers],),)</f>
        <v/>
      </c>
      <c r="Q17" s="91">
        <f>VLOOKUP($Q$10,Details!$A:$L,MATCH(Note!N17,Table91213[#Headers],),)</f>
        <v/>
      </c>
      <c r="R17" s="25">
        <f>P17-Q17</f>
        <v/>
      </c>
      <c r="T17" s="21" t="inlineStr">
        <is>
          <t>Arts, Entertainment &amp; Reaction</t>
        </is>
      </c>
      <c r="U17" s="22" t="n">
        <v>12</v>
      </c>
    </row>
    <row r="18">
      <c r="B18" s="76" t="n"/>
      <c r="G18" s="76" t="n"/>
      <c r="N18" s="80" t="inlineStr">
        <is>
          <t>Inventory Sentiment</t>
        </is>
      </c>
      <c r="O18" s="79" t="n"/>
      <c r="P18" s="91">
        <f>VLOOKUP($P$10,Details!$A:$L,MATCH(Note!N18,Table91213[#Headers],),)</f>
        <v/>
      </c>
      <c r="Q18" s="91">
        <f>VLOOKUP($Q$10,Details!$A:$L,MATCH(Note!N18,Table91213[#Headers],),)</f>
        <v/>
      </c>
      <c r="R18" s="25">
        <f>P18-Q18</f>
        <v/>
      </c>
      <c r="T18" s="21" t="inlineStr">
        <is>
          <t>Construction</t>
        </is>
      </c>
      <c r="U18" s="22" t="n">
        <v>11</v>
      </c>
    </row>
    <row r="19">
      <c r="B19" s="76" t="n"/>
      <c r="G19" s="76" t="n"/>
      <c r="N19" s="80" t="inlineStr">
        <is>
          <t>Inventories</t>
        </is>
      </c>
      <c r="O19" s="79" t="n"/>
      <c r="P19" s="91">
        <f>VLOOKUP($P$10,Details!$A:$L,MATCH(Note!N19,Table91213[#Headers],),)</f>
        <v/>
      </c>
      <c r="Q19" s="91">
        <f>VLOOKUP($Q$10,Details!$A:$L,MATCH(Note!N19,Table91213[#Headers],),)</f>
        <v/>
      </c>
      <c r="R19" s="25">
        <f>P19-Q19</f>
        <v/>
      </c>
      <c r="T19" s="21" t="inlineStr">
        <is>
          <t>Educational Services</t>
        </is>
      </c>
      <c r="U19" s="22" t="n">
        <v>10</v>
      </c>
    </row>
    <row r="20">
      <c r="B20" s="76" t="n"/>
      <c r="N20" s="80" t="inlineStr">
        <is>
          <t>Deliveries</t>
        </is>
      </c>
      <c r="O20" s="79" t="n"/>
      <c r="P20" s="91">
        <f>VLOOKUP($P$10,Details!$A:$L,MATCH(Note!N20,Table91213[#Headers],),)</f>
        <v/>
      </c>
      <c r="Q20" s="91">
        <f>VLOOKUP($Q$10,Details!$A:$L,MATCH(Note!N20,Table91213[#Headers],),)</f>
        <v/>
      </c>
      <c r="R20" s="25">
        <f>P20-Q20</f>
        <v/>
      </c>
      <c r="T20" s="21" t="inlineStr">
        <is>
          <t>Information</t>
        </is>
      </c>
      <c r="U20" s="22" t="n">
        <v>9</v>
      </c>
    </row>
    <row r="21">
      <c r="B21" s="76" t="n"/>
      <c r="N21" s="80" t="inlineStr">
        <is>
          <t>Employment</t>
        </is>
      </c>
      <c r="O21" s="79" t="n"/>
      <c r="P21" s="91">
        <f>VLOOKUP($P$10,Details!$A:$L,MATCH(Note!N21,Table91213[#Headers],),)</f>
        <v/>
      </c>
      <c r="Q21" s="91">
        <f>VLOOKUP($Q$10,Details!$A:$L,MATCH(Note!N21,Table91213[#Headers],),)</f>
        <v/>
      </c>
      <c r="R21" s="25">
        <f>P21-Q21</f>
        <v/>
      </c>
      <c r="T21" s="21" t="inlineStr">
        <is>
          <t>Transportation &amp; Warehousing</t>
        </is>
      </c>
      <c r="U21" s="22" t="n">
        <v>8</v>
      </c>
    </row>
    <row r="22" ht="16" customHeight="1" s="65" thickBot="1">
      <c r="N22" s="84" t="inlineStr">
        <is>
          <t>Exports</t>
        </is>
      </c>
      <c r="O22" s="85" t="n"/>
      <c r="P22" s="26">
        <f>VLOOKUP($P$10,Details!$A:$L,MATCH(Note!N22,Table91213[#Headers],),)</f>
        <v/>
      </c>
      <c r="Q22" s="26">
        <f>VLOOKUP($Q$10,Details!$A:$L,MATCH(Note!N22,Table91213[#Headers],),)</f>
        <v/>
      </c>
      <c r="R22" s="27">
        <f>P22-Q22</f>
        <v/>
      </c>
      <c r="T22" s="21" t="inlineStr">
        <is>
          <t>Public Administration</t>
        </is>
      </c>
      <c r="U22" s="22" t="n">
        <v>7</v>
      </c>
    </row>
    <row r="23">
      <c r="T23" s="21" t="inlineStr">
        <is>
          <t>Real Estate, Rental &amp; Leasing</t>
        </is>
      </c>
      <c r="U23" s="22" t="n">
        <v>6</v>
      </c>
    </row>
    <row r="24">
      <c r="T24" s="21" t="inlineStr">
        <is>
          <t>Retail Trade</t>
        </is>
      </c>
      <c r="U24" s="22" t="n">
        <v>5</v>
      </c>
    </row>
    <row r="25">
      <c r="T25" s="21" t="inlineStr">
        <is>
          <t>Finance &amp; Insurance</t>
        </is>
      </c>
      <c r="U25" s="22" t="n">
        <v>4</v>
      </c>
    </row>
    <row r="26">
      <c r="T26" s="21" t="inlineStr">
        <is>
          <t>Health Care &amp; Social Assistance</t>
        </is>
      </c>
      <c r="U26" s="22" t="n">
        <v>3</v>
      </c>
    </row>
    <row r="27">
      <c r="T27" s="21" t="inlineStr">
        <is>
          <t>Professional, Scientific &amp; Technical Services</t>
        </is>
      </c>
      <c r="U27" s="22" t="n">
        <v>2</v>
      </c>
    </row>
    <row r="28" ht="30" customHeight="1" s="65">
      <c r="T28" s="21" t="inlineStr">
        <is>
          <t>Agriculture, Forestry, Fishing &amp; Hunting</t>
        </is>
      </c>
      <c r="U28" s="22" t="n">
        <v>1</v>
      </c>
    </row>
  </sheetData>
  <mergeCells count="32">
    <mergeCell ref="B18:F18"/>
    <mergeCell ref="G18:J18"/>
    <mergeCell ref="N18:O18"/>
    <mergeCell ref="N22:O22"/>
    <mergeCell ref="B19:F19"/>
    <mergeCell ref="G19:J19"/>
    <mergeCell ref="N19:O19"/>
    <mergeCell ref="B20:F20"/>
    <mergeCell ref="N20:O20"/>
    <mergeCell ref="B21:F21"/>
    <mergeCell ref="N21:O21"/>
    <mergeCell ref="N14:O14"/>
    <mergeCell ref="N16:O16"/>
    <mergeCell ref="B17:F17"/>
    <mergeCell ref="G17:J17"/>
    <mergeCell ref="N17:O17"/>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s>
  <conditionalFormatting sqref="R12:R22">
    <cfRule type="cellIs" priority="6" operator="lessThan" dxfId="103">
      <formula>0</formula>
    </cfRule>
    <cfRule type="cellIs" priority="7" operator="greaterThan" dxfId="102">
      <formula>0</formula>
    </cfRule>
  </conditionalFormatting>
  <conditionalFormatting sqref="U11:U28">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28"/>
  <sheetViews>
    <sheetView topLeftCell="A16" zoomScale="150" zoomScaleNormal="150" workbookViewId="0">
      <selection activeCell="K38" sqref="K38"/>
    </sheetView>
  </sheetViews>
  <sheetFormatPr baseColWidth="10" defaultRowHeight="15"/>
  <cols>
    <col width="25.1640625" customWidth="1" style="65"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row r="26">
      <c r="A26" s="93" t="n">
        <v>44562</v>
      </c>
      <c r="B26" t="n">
        <v>17</v>
      </c>
      <c r="C26" t="n">
        <v>1</v>
      </c>
      <c r="D26" t="n">
        <v>5</v>
      </c>
      <c r="E26" t="n">
        <v>14</v>
      </c>
      <c r="F26" t="n">
        <v>6</v>
      </c>
      <c r="G26" t="n">
        <v>3</v>
      </c>
      <c r="H26" t="n">
        <v>12</v>
      </c>
      <c r="I26" t="n">
        <v>9</v>
      </c>
      <c r="J26" t="n">
        <v>16</v>
      </c>
      <c r="K26" t="n">
        <v>11</v>
      </c>
      <c r="L26" t="n">
        <v>7</v>
      </c>
      <c r="M26" t="n">
        <v>8</v>
      </c>
      <c r="N26" t="n">
        <v>18</v>
      </c>
      <c r="O26" t="n">
        <v>4</v>
      </c>
      <c r="P26" t="n">
        <v>2</v>
      </c>
      <c r="Q26" t="n">
        <v>15</v>
      </c>
      <c r="R26" t="n">
        <v>13</v>
      </c>
      <c r="S26" t="n">
        <v>10</v>
      </c>
    </row>
    <row r="27">
      <c r="A27" s="93" t="n">
        <v>44593</v>
      </c>
      <c r="B27" t="n">
        <v>11</v>
      </c>
      <c r="C27" t="n">
        <v>5</v>
      </c>
      <c r="D27" t="n">
        <v>3</v>
      </c>
      <c r="E27" t="n">
        <v>2</v>
      </c>
      <c r="F27" t="n">
        <v>7</v>
      </c>
      <c r="G27" t="n">
        <v>6</v>
      </c>
      <c r="H27" t="n">
        <v>9</v>
      </c>
      <c r="I27" t="n">
        <v>10</v>
      </c>
      <c r="J27" t="n">
        <v>18</v>
      </c>
      <c r="K27" t="n">
        <v>17</v>
      </c>
      <c r="L27" t="n">
        <v>13</v>
      </c>
      <c r="M27" t="n">
        <v>4</v>
      </c>
      <c r="N27" t="n">
        <v>12</v>
      </c>
      <c r="O27" t="n">
        <v>8</v>
      </c>
      <c r="P27" t="n">
        <v>15</v>
      </c>
      <c r="Q27" t="n">
        <v>16</v>
      </c>
      <c r="R27" t="n">
        <v>1</v>
      </c>
      <c r="S27" t="n">
        <v>14</v>
      </c>
    </row>
    <row r="28">
      <c r="A28" s="93" t="n">
        <v>44621</v>
      </c>
      <c r="B28" t="n">
        <v>9</v>
      </c>
      <c r="C28" t="n">
        <v>6</v>
      </c>
      <c r="D28" t="n">
        <v>2</v>
      </c>
      <c r="E28" t="n">
        <v>3</v>
      </c>
      <c r="F28" t="n">
        <v>1</v>
      </c>
      <c r="G28" t="n">
        <v>12</v>
      </c>
      <c r="H28" t="n">
        <v>15</v>
      </c>
      <c r="I28" t="n">
        <v>16</v>
      </c>
      <c r="J28" t="n">
        <v>18</v>
      </c>
      <c r="K28" t="n">
        <v>10</v>
      </c>
      <c r="L28" t="n">
        <v>7</v>
      </c>
      <c r="M28" t="n">
        <v>4</v>
      </c>
      <c r="N28" t="n">
        <v>13</v>
      </c>
      <c r="O28" t="n">
        <v>11</v>
      </c>
      <c r="P28" t="n">
        <v>8</v>
      </c>
      <c r="Q28" t="n">
        <v>17</v>
      </c>
      <c r="R28" t="n">
        <v>5</v>
      </c>
      <c r="S28" t="n">
        <v>14</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28"/>
  <sheetViews>
    <sheetView zoomScale="150" zoomScaleNormal="150" workbookViewId="0">
      <selection activeCell="J58" sqref="J5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row r="26">
      <c r="A26" s="93" t="n">
        <v>44562</v>
      </c>
      <c r="B26" t="n">
        <v>-7</v>
      </c>
      <c r="C26" t="n">
        <v>0</v>
      </c>
      <c r="D26" t="n">
        <v>7</v>
      </c>
      <c r="E26" t="n">
        <v>-4</v>
      </c>
      <c r="F26" t="n">
        <v>2</v>
      </c>
      <c r="G26" t="n">
        <v>-2</v>
      </c>
      <c r="H26" t="n">
        <v>-3</v>
      </c>
      <c r="I26" t="n">
        <v>0</v>
      </c>
      <c r="J26" t="n">
        <v>6</v>
      </c>
      <c r="K26" t="n">
        <v>0</v>
      </c>
      <c r="L26" t="n">
        <v>5</v>
      </c>
      <c r="M26" t="n">
        <v>3</v>
      </c>
      <c r="N26" t="n">
        <v>-6</v>
      </c>
      <c r="O26" t="n">
        <v>-5</v>
      </c>
      <c r="P26" t="n">
        <v>-1</v>
      </c>
      <c r="Q26" t="n">
        <v>1</v>
      </c>
      <c r="R26" t="n">
        <v>8</v>
      </c>
      <c r="S26" t="n">
        <v>4</v>
      </c>
    </row>
    <row r="27">
      <c r="A27" s="93" t="n">
        <v>44593</v>
      </c>
      <c r="B27" t="n">
        <v>-3</v>
      </c>
      <c r="C27" t="n">
        <v>3</v>
      </c>
      <c r="D27" t="n">
        <v>1</v>
      </c>
      <c r="E27" t="n">
        <v>-1</v>
      </c>
      <c r="F27" t="n">
        <v>8</v>
      </c>
      <c r="G27" t="n">
        <v>-4</v>
      </c>
      <c r="H27" t="n">
        <v>11</v>
      </c>
      <c r="I27" t="n">
        <v>10</v>
      </c>
      <c r="J27" t="n">
        <v>7</v>
      </c>
      <c r="K27" t="n">
        <v>9</v>
      </c>
      <c r="L27" t="n">
        <v>6</v>
      </c>
      <c r="M27" t="n">
        <v>4</v>
      </c>
      <c r="N27" t="n">
        <v>-2</v>
      </c>
      <c r="O27" t="n">
        <v>0</v>
      </c>
      <c r="P27" t="n">
        <v>12</v>
      </c>
      <c r="Q27" t="n">
        <v>13</v>
      </c>
      <c r="R27" t="n">
        <v>2</v>
      </c>
      <c r="S27" t="n">
        <v>5</v>
      </c>
    </row>
    <row r="28">
      <c r="A28" s="93" t="n">
        <v>44621</v>
      </c>
      <c r="B28" t="n">
        <v>13</v>
      </c>
      <c r="C28" t="n">
        <v>10</v>
      </c>
      <c r="D28" t="n">
        <v>-1</v>
      </c>
      <c r="E28" t="n">
        <v>8</v>
      </c>
      <c r="F28" t="n">
        <v>3</v>
      </c>
      <c r="G28" t="n">
        <v>0</v>
      </c>
      <c r="H28" t="n">
        <v>4</v>
      </c>
      <c r="I28" t="n">
        <v>0</v>
      </c>
      <c r="J28" t="n">
        <v>6</v>
      </c>
      <c r="K28" t="n">
        <v>11</v>
      </c>
      <c r="L28" t="n">
        <v>5</v>
      </c>
      <c r="M28" t="n">
        <v>1</v>
      </c>
      <c r="N28" t="n">
        <v>-2</v>
      </c>
      <c r="O28" t="n">
        <v>7</v>
      </c>
      <c r="P28" t="n">
        <v>12</v>
      </c>
      <c r="Q28" t="n">
        <v>2</v>
      </c>
      <c r="R28" t="n">
        <v>0</v>
      </c>
      <c r="S28" t="n">
        <v>9</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28"/>
  <sheetViews>
    <sheetView zoomScale="150" zoomScaleNormal="150" workbookViewId="0">
      <selection activeCell="K38" sqref="K3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R2" t="n">
        <v>-3</v>
      </c>
      <c r="S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R3" t="n">
        <v>0</v>
      </c>
      <c r="S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R4" t="n">
        <v>-7</v>
      </c>
      <c r="S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R5" t="n">
        <v>-14</v>
      </c>
      <c r="S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R6" t="n">
        <v>-2</v>
      </c>
      <c r="S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R7" t="n">
        <v>9</v>
      </c>
      <c r="S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R8" t="n">
        <v>12</v>
      </c>
      <c r="S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R9" t="n">
        <v>3</v>
      </c>
      <c r="S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R10" t="n">
        <v>-1</v>
      </c>
      <c r="S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R11" t="n">
        <v>4</v>
      </c>
      <c r="S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R12" t="n">
        <v>6</v>
      </c>
      <c r="S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R13" t="n">
        <v>9</v>
      </c>
      <c r="S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R14" t="n">
        <v>0</v>
      </c>
      <c r="S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R15" t="n">
        <v>0</v>
      </c>
      <c r="S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R16" t="n">
        <v>8</v>
      </c>
      <c r="S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R17" t="n">
        <v>12</v>
      </c>
      <c r="S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R18" t="n">
        <v>18</v>
      </c>
      <c r="S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R19" t="n">
        <v>11</v>
      </c>
      <c r="S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R20" t="n">
        <v>7</v>
      </c>
      <c r="S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R21" t="n">
        <v>11</v>
      </c>
      <c r="S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R22" t="n">
        <v>17</v>
      </c>
      <c r="S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R23" t="n">
        <v>16</v>
      </c>
      <c r="S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R24" t="n">
        <v>17</v>
      </c>
      <c r="S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R25" t="n">
        <v>6</v>
      </c>
      <c r="S25" t="n">
        <v>2</v>
      </c>
    </row>
    <row r="26">
      <c r="A26" s="93" t="n">
        <v>44562</v>
      </c>
      <c r="B26" t="n">
        <v>-4</v>
      </c>
      <c r="C26" t="n">
        <v>0</v>
      </c>
      <c r="D26" t="n">
        <v>7</v>
      </c>
      <c r="E26" t="n">
        <v>-3</v>
      </c>
      <c r="F26" t="n">
        <v>3</v>
      </c>
      <c r="G26" t="n">
        <v>0</v>
      </c>
      <c r="H26" t="n">
        <v>2</v>
      </c>
      <c r="I26" t="n">
        <v>0</v>
      </c>
      <c r="J26" t="n">
        <v>9</v>
      </c>
      <c r="K26" t="n">
        <v>-1</v>
      </c>
      <c r="L26" t="n">
        <v>8</v>
      </c>
      <c r="M26" t="n">
        <v>4</v>
      </c>
      <c r="N26" t="n">
        <v>0</v>
      </c>
      <c r="O26" t="n">
        <v>-2</v>
      </c>
      <c r="P26" t="n">
        <v>1</v>
      </c>
      <c r="Q26" t="n">
        <v>6</v>
      </c>
      <c r="R26" t="n">
        <v>10</v>
      </c>
      <c r="S26" t="n">
        <v>5</v>
      </c>
    </row>
    <row r="27">
      <c r="A27" s="93" t="n">
        <v>44593</v>
      </c>
      <c r="B27" t="n">
        <v>-2</v>
      </c>
      <c r="C27" t="n">
        <v>0</v>
      </c>
      <c r="D27" t="n">
        <v>0</v>
      </c>
      <c r="E27" t="n">
        <v>-3</v>
      </c>
      <c r="F27" t="n">
        <v>5</v>
      </c>
      <c r="G27" t="n">
        <v>0</v>
      </c>
      <c r="H27" t="n">
        <v>6</v>
      </c>
      <c r="I27" t="n">
        <v>7</v>
      </c>
      <c r="J27" t="n">
        <v>10</v>
      </c>
      <c r="K27" t="n">
        <v>3</v>
      </c>
      <c r="L27" t="n">
        <v>4</v>
      </c>
      <c r="M27" t="n">
        <v>2</v>
      </c>
      <c r="N27" t="n">
        <v>0</v>
      </c>
      <c r="O27" t="n">
        <v>-1</v>
      </c>
      <c r="P27" t="n">
        <v>9</v>
      </c>
      <c r="Q27" t="n">
        <v>11</v>
      </c>
      <c r="R27" t="n">
        <v>1</v>
      </c>
      <c r="S27" t="n">
        <v>8</v>
      </c>
    </row>
    <row r="28">
      <c r="A28" s="93" t="n">
        <v>44621</v>
      </c>
      <c r="B28" t="n">
        <v>15</v>
      </c>
      <c r="C28" t="n">
        <v>8</v>
      </c>
      <c r="D28" t="n">
        <v>-1</v>
      </c>
      <c r="E28" t="n">
        <v>5</v>
      </c>
      <c r="F28" t="n">
        <v>3</v>
      </c>
      <c r="G28" t="n">
        <v>11</v>
      </c>
      <c r="H28" t="n">
        <v>1</v>
      </c>
      <c r="I28" t="n">
        <v>9</v>
      </c>
      <c r="J28" t="n">
        <v>7</v>
      </c>
      <c r="K28" t="n">
        <v>13</v>
      </c>
      <c r="L28" t="n">
        <v>2</v>
      </c>
      <c r="M28" t="n">
        <v>4</v>
      </c>
      <c r="N28" t="n">
        <v>-2</v>
      </c>
      <c r="O28" t="n">
        <v>6</v>
      </c>
      <c r="P28" t="n">
        <v>14</v>
      </c>
      <c r="Q28" t="n">
        <v>12</v>
      </c>
      <c r="R28" t="n">
        <v>0</v>
      </c>
      <c r="S28" t="n">
        <v>10</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T600"/>
  <sheetViews>
    <sheetView zoomScale="150" zoomScaleNormal="150" workbookViewId="0">
      <pane ySplit="1" topLeftCell="A422" activePane="bottomLeft" state="frozen"/>
      <selection pane="bottomLeft" activeCell="U396" sqref="U396"/>
    </sheetView>
  </sheetViews>
  <sheetFormatPr baseColWidth="10" defaultRowHeight="15"/>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93" t="n">
        <v>17168</v>
      </c>
      <c r="N2" t="n">
        <v>2034.45</v>
      </c>
    </row>
    <row r="3">
      <c r="A3" s="93" t="n">
        <v>17258</v>
      </c>
      <c r="N3" t="n">
        <v>2029.024</v>
      </c>
      <c r="O3" t="n">
        <v>-0.002667059893337343</v>
      </c>
      <c r="Q3" t="n">
        <v>-0.01062563615731604</v>
      </c>
      <c r="R3" t="n">
        <v>-0.002667059893337343</v>
      </c>
      <c r="S3" t="n">
        <v>-0.01062563615731604</v>
      </c>
    </row>
    <row r="4">
      <c r="A4" s="93" t="n">
        <v>17349</v>
      </c>
      <c r="N4" t="n">
        <v>2024.834</v>
      </c>
      <c r="O4" t="n">
        <v>-0.002065032251959478</v>
      </c>
      <c r="Q4" t="n">
        <v>-0.00823457806459249</v>
      </c>
      <c r="R4" t="n">
        <v>-0.002065032251959478</v>
      </c>
      <c r="S4" t="n">
        <v>-0.00823457806459249</v>
      </c>
    </row>
    <row r="5">
      <c r="A5" s="93" t="n">
        <v>17441</v>
      </c>
      <c r="N5" t="n">
        <v>2056.508</v>
      </c>
      <c r="O5" t="n">
        <v>0.01564276380187203</v>
      </c>
      <c r="Q5" t="n">
        <v>0.06405460233045623</v>
      </c>
      <c r="R5" t="n">
        <v>0.01564276380187203</v>
      </c>
      <c r="S5" t="n">
        <v>0.06405460233045623</v>
      </c>
    </row>
    <row r="6">
      <c r="A6" s="93" t="n">
        <v>17533</v>
      </c>
      <c r="N6" t="n">
        <v>2087.442</v>
      </c>
      <c r="O6" t="n">
        <v>0.01504200324044458</v>
      </c>
      <c r="P6" t="n">
        <v>0.02604733466047333</v>
      </c>
      <c r="Q6" t="n">
        <v>0.06153924905173613</v>
      </c>
      <c r="R6" t="n">
        <v>0.01504200324044458</v>
      </c>
      <c r="S6" t="n">
        <v>0.06153924905173613</v>
      </c>
      <c r="T6" t="n">
        <v>0.02604733466047333</v>
      </c>
    </row>
    <row r="7">
      <c r="A7" s="93" t="n">
        <v>17624</v>
      </c>
      <c r="N7" t="n">
        <v>2121.899</v>
      </c>
      <c r="O7" t="n">
        <v>0.01650680593760204</v>
      </c>
      <c r="P7" t="n">
        <v>0.04577323875912755</v>
      </c>
      <c r="Q7" t="n">
        <v>0.06768013659057992</v>
      </c>
      <c r="R7" t="n">
        <v>0.01650680593760204</v>
      </c>
      <c r="S7" t="n">
        <v>0.06768013659057992</v>
      </c>
      <c r="T7" t="n">
        <v>0.04577323875912755</v>
      </c>
    </row>
    <row r="8">
      <c r="A8" s="93" t="n">
        <v>17715</v>
      </c>
      <c r="N8" t="n">
        <v>2134.056</v>
      </c>
      <c r="O8" t="n">
        <v>0.0057293019130506</v>
      </c>
      <c r="P8" t="n">
        <v>0.05394121197095662</v>
      </c>
      <c r="Q8" t="n">
        <v>0.02311491038720082</v>
      </c>
      <c r="R8" t="n">
        <v>0.0057293019130506</v>
      </c>
      <c r="S8" t="n">
        <v>0.02311491038720082</v>
      </c>
      <c r="T8" t="n">
        <v>0.05394121197095662</v>
      </c>
    </row>
    <row r="9">
      <c r="A9" s="93" t="n">
        <v>17807</v>
      </c>
      <c r="N9" t="n">
        <v>2136.44</v>
      </c>
      <c r="O9" t="n">
        <v>0.001117121575066453</v>
      </c>
      <c r="P9" t="n">
        <v>0.03886782837703537</v>
      </c>
      <c r="Q9" t="n">
        <v>0.004475979641999084</v>
      </c>
      <c r="R9" t="n">
        <v>0.001117121575066453</v>
      </c>
      <c r="S9" t="n">
        <v>0.004475979641999084</v>
      </c>
      <c r="T9" t="n">
        <v>0.03886782837703537</v>
      </c>
    </row>
    <row r="10">
      <c r="A10" s="93" t="n">
        <v>17899</v>
      </c>
      <c r="N10" t="n">
        <v>2107.001</v>
      </c>
      <c r="O10" t="n">
        <v>-0.01377946490423314</v>
      </c>
      <c r="P10" t="n">
        <v>0.009369841174030318</v>
      </c>
      <c r="Q10" t="n">
        <v>-0.05398904707599994</v>
      </c>
      <c r="R10" t="n">
        <v>-0.01377946490423314</v>
      </c>
      <c r="S10" t="n">
        <v>-0.05398904707599994</v>
      </c>
      <c r="T10" t="n">
        <v>0.009369841174030318</v>
      </c>
    </row>
    <row r="11">
      <c r="A11" s="93" t="n">
        <v>17989</v>
      </c>
      <c r="N11" t="n">
        <v>2099.814</v>
      </c>
      <c r="O11" t="n">
        <v>-0.003411009297100643</v>
      </c>
      <c r="P11" t="n">
        <v>-0.01040812969891594</v>
      </c>
      <c r="Q11" t="n">
        <v>-0.01357438589464066</v>
      </c>
      <c r="R11" t="n">
        <v>-0.003411009297100643</v>
      </c>
      <c r="S11" t="n">
        <v>-0.01357438589464066</v>
      </c>
      <c r="T11" t="n">
        <v>-0.01040812969891594</v>
      </c>
    </row>
    <row r="12">
      <c r="A12" s="93" t="n">
        <v>18080</v>
      </c>
      <c r="N12" t="n">
        <v>2121.493</v>
      </c>
      <c r="O12" t="n">
        <v>0.010324247766707</v>
      </c>
      <c r="P12" t="n">
        <v>-0.005886912058540217</v>
      </c>
      <c r="Q12" t="n">
        <v>0.04194094483004052</v>
      </c>
      <c r="R12" t="n">
        <v>0.010324247766707</v>
      </c>
      <c r="S12" t="n">
        <v>0.04194094483004052</v>
      </c>
      <c r="T12" t="n">
        <v>-0.005886912058540217</v>
      </c>
    </row>
    <row r="13">
      <c r="A13" s="93" t="n">
        <v>18172</v>
      </c>
      <c r="N13" t="n">
        <v>2103.688</v>
      </c>
      <c r="O13" t="n">
        <v>-0.008392674404299159</v>
      </c>
      <c r="P13" t="n">
        <v>-0.01533017543202709</v>
      </c>
      <c r="Q13" t="n">
        <v>-0.03315043537256779</v>
      </c>
      <c r="R13" t="n">
        <v>-0.008392674404299159</v>
      </c>
      <c r="S13" t="n">
        <v>-0.03315043537256779</v>
      </c>
      <c r="T13" t="n">
        <v>-0.01533017543202709</v>
      </c>
    </row>
    <row r="14">
      <c r="A14" s="93" t="n">
        <v>18264</v>
      </c>
      <c r="N14" t="n">
        <v>2186.365</v>
      </c>
      <c r="O14" t="n">
        <v>0.03930097999323078</v>
      </c>
      <c r="P14" t="n">
        <v>0.03766680699249766</v>
      </c>
      <c r="Q14" t="n">
        <v>0.1667165198223277</v>
      </c>
      <c r="R14" t="n">
        <v>0.03930097999323078</v>
      </c>
      <c r="S14" t="n">
        <v>0.1667165198223277</v>
      </c>
      <c r="T14" t="n">
        <v>0.03766680699249766</v>
      </c>
    </row>
    <row r="15">
      <c r="A15" s="93" t="n">
        <v>18354</v>
      </c>
      <c r="N15" t="n">
        <v>2253.045</v>
      </c>
      <c r="O15" t="n">
        <v>0.03049810987643888</v>
      </c>
      <c r="P15" t="n">
        <v>0.0729736062336951</v>
      </c>
      <c r="Q15" t="n">
        <v>0.1276875822943975</v>
      </c>
      <c r="R15" t="n">
        <v>0.03049810987643888</v>
      </c>
      <c r="S15" t="n">
        <v>0.1276875822943975</v>
      </c>
      <c r="T15" t="n">
        <v>0.0729736062336951</v>
      </c>
    </row>
    <row r="16">
      <c r="A16" s="93" t="n">
        <v>18445</v>
      </c>
      <c r="N16" t="n">
        <v>2340.112</v>
      </c>
      <c r="O16" t="n">
        <v>0.03864414603347914</v>
      </c>
      <c r="P16" t="n">
        <v>0.1030495976182812</v>
      </c>
      <c r="Q16" t="n">
        <v>0.1637698744608329</v>
      </c>
      <c r="R16" t="n">
        <v>0.03864414603347914</v>
      </c>
      <c r="S16" t="n">
        <v>0.1637698744608329</v>
      </c>
      <c r="T16" t="n">
        <v>0.1030495976182812</v>
      </c>
    </row>
    <row r="17">
      <c r="A17" s="93" t="n">
        <v>18537</v>
      </c>
      <c r="N17" t="n">
        <v>2384.92</v>
      </c>
      <c r="O17" t="n">
        <v>0.01914780147275002</v>
      </c>
      <c r="P17" t="n">
        <v>0.1336852232840611</v>
      </c>
      <c r="Q17" t="n">
        <v>0.07881925139170076</v>
      </c>
      <c r="R17" t="n">
        <v>0.01914780147275002</v>
      </c>
      <c r="S17" t="n">
        <v>0.07881925139170076</v>
      </c>
      <c r="T17" t="n">
        <v>0.1336852232840611</v>
      </c>
    </row>
    <row r="18">
      <c r="A18" s="93" t="n">
        <v>18629</v>
      </c>
      <c r="N18" t="n">
        <v>2417.311</v>
      </c>
      <c r="O18" t="n">
        <v>0.01358158764235281</v>
      </c>
      <c r="P18" t="n">
        <v>0.1056301212286148</v>
      </c>
      <c r="Q18" t="n">
        <v>0.05544316274475469</v>
      </c>
      <c r="R18" t="n">
        <v>0.01358158764235281</v>
      </c>
      <c r="S18" t="n">
        <v>0.05544316274475469</v>
      </c>
      <c r="T18" t="n">
        <v>0.1056301212286148</v>
      </c>
    </row>
    <row r="19">
      <c r="A19" s="93" t="n">
        <v>18719</v>
      </c>
      <c r="N19" t="n">
        <v>2459.196</v>
      </c>
      <c r="O19" t="n">
        <v>0.01732710437341317</v>
      </c>
      <c r="P19" t="n">
        <v>0.09149883823891659</v>
      </c>
      <c r="Q19" t="n">
        <v>0.07113068727204253</v>
      </c>
      <c r="R19" t="n">
        <v>0.01732710437341317</v>
      </c>
      <c r="S19" t="n">
        <v>0.07113068727204253</v>
      </c>
      <c r="T19" t="n">
        <v>0.09149883823891659</v>
      </c>
    </row>
    <row r="20">
      <c r="A20" s="93" t="n">
        <v>18810</v>
      </c>
      <c r="N20" t="n">
        <v>2509.88</v>
      </c>
      <c r="O20" t="n">
        <v>0.02060998797981137</v>
      </c>
      <c r="P20" t="n">
        <v>0.07254695501753763</v>
      </c>
      <c r="Q20" t="n">
        <v>0.08502378012798339</v>
      </c>
      <c r="R20" t="n">
        <v>0.02060998797981137</v>
      </c>
      <c r="S20" t="n">
        <v>0.08502378012798339</v>
      </c>
      <c r="T20" t="n">
        <v>0.07254695501753763</v>
      </c>
    </row>
    <row r="21">
      <c r="A21" s="93" t="n">
        <v>18902</v>
      </c>
      <c r="N21" t="n">
        <v>2515.408</v>
      </c>
      <c r="O21" t="n">
        <v>0.002202495736847894</v>
      </c>
      <c r="P21" t="n">
        <v>0.05471378494876131</v>
      </c>
      <c r="Q21" t="n">
        <v>0.008839131632865316</v>
      </c>
      <c r="R21" t="n">
        <v>0.002202495736847894</v>
      </c>
      <c r="S21" t="n">
        <v>0.008839131632865316</v>
      </c>
      <c r="T21" t="n">
        <v>0.05471378494876131</v>
      </c>
    </row>
    <row r="22">
      <c r="A22" s="93" t="n">
        <v>18994</v>
      </c>
      <c r="N22" t="n">
        <v>2542.286</v>
      </c>
      <c r="O22" t="n">
        <v>0.01068534408732109</v>
      </c>
      <c r="P22" t="n">
        <v>0.05170000881144375</v>
      </c>
      <c r="Q22" t="n">
        <v>0.04343132891926405</v>
      </c>
      <c r="R22" t="n">
        <v>0.01068534408732109</v>
      </c>
      <c r="S22" t="n">
        <v>0.04343132891926405</v>
      </c>
      <c r="T22" t="n">
        <v>0.05170000881144375</v>
      </c>
    </row>
    <row r="23">
      <c r="A23" s="93" t="n">
        <v>19085</v>
      </c>
      <c r="N23" t="n">
        <v>2547.762</v>
      </c>
      <c r="O23" t="n">
        <v>0.002153966941563661</v>
      </c>
      <c r="P23" t="n">
        <v>0.03601420952213661</v>
      </c>
      <c r="Q23" t="n">
        <v>0.008643745203244402</v>
      </c>
      <c r="R23" t="n">
        <v>0.002153966941563661</v>
      </c>
      <c r="S23" t="n">
        <v>0.008643745203244402</v>
      </c>
      <c r="T23" t="n">
        <v>0.03601420952213661</v>
      </c>
    </row>
    <row r="24">
      <c r="A24" s="93" t="n">
        <v>19176</v>
      </c>
      <c r="N24" t="n">
        <v>2566.153</v>
      </c>
      <c r="O24" t="n">
        <v>0.007218492151150547</v>
      </c>
      <c r="P24" t="n">
        <v>0.02242059381324991</v>
      </c>
      <c r="Q24" t="n">
        <v>0.02918811561848789</v>
      </c>
      <c r="R24" t="n">
        <v>0.007218492151150547</v>
      </c>
      <c r="S24" t="n">
        <v>0.02918811561848789</v>
      </c>
      <c r="T24" t="n">
        <v>0.02242059381324991</v>
      </c>
    </row>
    <row r="25">
      <c r="A25" s="93" t="n">
        <v>19268</v>
      </c>
      <c r="N25" t="n">
        <v>2650.431</v>
      </c>
      <c r="O25" t="n">
        <v>0.03284215711222217</v>
      </c>
      <c r="P25" t="n">
        <v>0.05367836947326245</v>
      </c>
      <c r="Q25" t="n">
        <v>0.1379831307047703</v>
      </c>
      <c r="R25" t="n">
        <v>0.03284215711222217</v>
      </c>
      <c r="S25" t="n">
        <v>0.1379831307047703</v>
      </c>
      <c r="T25" t="n">
        <v>0.05367836947326245</v>
      </c>
    </row>
    <row r="26">
      <c r="A26" s="93" t="n">
        <v>19360</v>
      </c>
      <c r="N26" t="n">
        <v>2699.699</v>
      </c>
      <c r="O26" t="n">
        <v>0.01858867482307595</v>
      </c>
      <c r="P26" t="n">
        <v>0.06191789594089729</v>
      </c>
      <c r="Q26" t="n">
        <v>0.07645374411537942</v>
      </c>
      <c r="R26" t="n">
        <v>0.01858867482307595</v>
      </c>
      <c r="S26" t="n">
        <v>0.07645374411537942</v>
      </c>
      <c r="T26" t="n">
        <v>0.06191789594089729</v>
      </c>
    </row>
    <row r="27">
      <c r="A27" s="93" t="n">
        <v>19450</v>
      </c>
      <c r="N27" t="n">
        <v>2720.566</v>
      </c>
      <c r="O27" t="n">
        <v>0.007729380201274192</v>
      </c>
      <c r="P27" t="n">
        <v>0.0678258016251124</v>
      </c>
      <c r="Q27" t="n">
        <v>0.03127783139942197</v>
      </c>
      <c r="R27" t="n">
        <v>0.007729380201274192</v>
      </c>
      <c r="S27" t="n">
        <v>0.03127783139942197</v>
      </c>
      <c r="T27" t="n">
        <v>0.0678258016251124</v>
      </c>
    </row>
    <row r="28">
      <c r="A28" s="93" t="n">
        <v>19541</v>
      </c>
      <c r="N28" t="n">
        <v>2705.258</v>
      </c>
      <c r="O28" t="n">
        <v>-0.005626770311766005</v>
      </c>
      <c r="P28" t="n">
        <v>0.05420760180706296</v>
      </c>
      <c r="Q28" t="n">
        <v>-0.02231782956626527</v>
      </c>
      <c r="R28" t="n">
        <v>-0.005626770311766005</v>
      </c>
      <c r="S28" t="n">
        <v>-0.02231782956626527</v>
      </c>
      <c r="T28" t="n">
        <v>0.05420760180706296</v>
      </c>
    </row>
    <row r="29">
      <c r="A29" s="93" t="n">
        <v>19633</v>
      </c>
      <c r="N29" t="n">
        <v>2664.302</v>
      </c>
      <c r="O29" t="n">
        <v>-0.01513940629692239</v>
      </c>
      <c r="P29" t="n">
        <v>0.005233488440182029</v>
      </c>
      <c r="Q29" t="n">
        <v>-0.05919624282214508</v>
      </c>
      <c r="R29" t="n">
        <v>-0.01513940629692239</v>
      </c>
      <c r="S29" t="n">
        <v>-0.05919624282214508</v>
      </c>
      <c r="T29" t="n">
        <v>0.005233488440182029</v>
      </c>
    </row>
    <row r="30">
      <c r="A30" s="93" t="n">
        <v>19725</v>
      </c>
      <c r="N30" t="n">
        <v>2651.566</v>
      </c>
      <c r="O30" t="n">
        <v>-0.004780238876824148</v>
      </c>
      <c r="P30" t="n">
        <v>-0.01782902464311772</v>
      </c>
      <c r="Q30" t="n">
        <v>-0.01898428780973238</v>
      </c>
      <c r="R30" t="n">
        <v>-0.004780238876824148</v>
      </c>
      <c r="S30" t="n">
        <v>-0.01898428780973238</v>
      </c>
      <c r="T30" t="n">
        <v>-0.01782902464311772</v>
      </c>
    </row>
    <row r="31">
      <c r="A31" s="93" t="n">
        <v>19815</v>
      </c>
      <c r="N31" t="n">
        <v>2654.456</v>
      </c>
      <c r="O31" t="n">
        <v>0.001089921955553936</v>
      </c>
      <c r="P31" t="n">
        <v>-0.02430009049587464</v>
      </c>
      <c r="Q31" t="n">
        <v>0.004366820581845898</v>
      </c>
      <c r="R31" t="n">
        <v>0.001089921955553936</v>
      </c>
      <c r="S31" t="n">
        <v>0.004366820581845898</v>
      </c>
      <c r="T31" t="n">
        <v>-0.02430009049587464</v>
      </c>
    </row>
    <row r="32">
      <c r="A32" s="93" t="n">
        <v>19906</v>
      </c>
      <c r="N32" t="n">
        <v>2684.434</v>
      </c>
      <c r="O32" t="n">
        <v>0.01129346276600556</v>
      </c>
      <c r="P32" t="n">
        <v>-0.007697602225000209</v>
      </c>
      <c r="Q32" t="n">
        <v>0.04594488271546449</v>
      </c>
      <c r="R32" t="n">
        <v>0.01129346276600556</v>
      </c>
      <c r="S32" t="n">
        <v>0.04594488271546449</v>
      </c>
      <c r="T32" t="n">
        <v>-0.007697602225000209</v>
      </c>
    </row>
    <row r="33">
      <c r="A33" s="93" t="n">
        <v>19998</v>
      </c>
      <c r="N33" t="n">
        <v>2736.96</v>
      </c>
      <c r="O33" t="n">
        <v>0.01956688076518173</v>
      </c>
      <c r="P33" t="n">
        <v>0.0272709324993938</v>
      </c>
      <c r="Q33" t="n">
        <v>0.08059481230675947</v>
      </c>
      <c r="R33" t="n">
        <v>0.01956688076518173</v>
      </c>
      <c r="S33" t="n">
        <v>0.08059481230675947</v>
      </c>
      <c r="T33" t="n">
        <v>0.0272709324993938</v>
      </c>
    </row>
    <row r="34">
      <c r="A34" s="93" t="n">
        <v>20090</v>
      </c>
      <c r="N34" t="n">
        <v>2815.134</v>
      </c>
      <c r="O34" t="n">
        <v>0.0285623465450719</v>
      </c>
      <c r="P34" t="n">
        <v>0.06168731987059731</v>
      </c>
      <c r="Q34" t="n">
        <v>0.1192381030854879</v>
      </c>
      <c r="R34" t="n">
        <v>0.0285623465450719</v>
      </c>
      <c r="S34" t="n">
        <v>0.1192381030854879</v>
      </c>
      <c r="T34" t="n">
        <v>0.06168731987059731</v>
      </c>
    </row>
    <row r="35">
      <c r="A35" s="93" t="n">
        <v>20180</v>
      </c>
      <c r="N35" t="n">
        <v>2860.942</v>
      </c>
      <c r="O35" t="n">
        <v>0.016272049572063</v>
      </c>
      <c r="P35" t="n">
        <v>0.07778844328178726</v>
      </c>
      <c r="Q35" t="n">
        <v>0.06669418000707128</v>
      </c>
      <c r="R35" t="n">
        <v>0.016272049572063</v>
      </c>
      <c r="S35" t="n">
        <v>0.06669418000707128</v>
      </c>
      <c r="T35" t="n">
        <v>0.07778844328178726</v>
      </c>
    </row>
    <row r="36">
      <c r="A36" s="93" t="n">
        <v>20271</v>
      </c>
      <c r="N36" t="n">
        <v>2899.578</v>
      </c>
      <c r="O36" t="n">
        <v>0.01350464287636728</v>
      </c>
      <c r="P36" t="n">
        <v>0.08014501380924238</v>
      </c>
      <c r="Q36" t="n">
        <v>0.05512270869902025</v>
      </c>
      <c r="R36" t="n">
        <v>0.01350464287636728</v>
      </c>
      <c r="S36" t="n">
        <v>0.05512270869902025</v>
      </c>
      <c r="T36" t="n">
        <v>0.08014501380924238</v>
      </c>
    </row>
    <row r="37">
      <c r="A37" s="93" t="n">
        <v>20363</v>
      </c>
      <c r="N37" t="n">
        <v>2916.985</v>
      </c>
      <c r="O37" t="n">
        <v>0.006003287374921507</v>
      </c>
      <c r="P37" t="n">
        <v>0.06577553197708409</v>
      </c>
      <c r="Q37" t="n">
        <v>0.0242302529752878</v>
      </c>
      <c r="R37" t="n">
        <v>0.006003287374921507</v>
      </c>
      <c r="S37" t="n">
        <v>0.0242302529752878</v>
      </c>
      <c r="T37" t="n">
        <v>0.06577553197708409</v>
      </c>
    </row>
    <row r="38">
      <c r="A38" s="93" t="n">
        <v>20455</v>
      </c>
      <c r="N38" t="n">
        <v>2905.656</v>
      </c>
      <c r="O38" t="n">
        <v>-0.003883804681889066</v>
      </c>
      <c r="P38" t="n">
        <v>0.03215548531615189</v>
      </c>
      <c r="Q38" t="n">
        <v>-0.01544494919947736</v>
      </c>
      <c r="R38" t="n">
        <v>-0.003883804681889066</v>
      </c>
      <c r="S38" t="n">
        <v>-0.01544494919947736</v>
      </c>
      <c r="T38" t="n">
        <v>0.03215548531615189</v>
      </c>
    </row>
    <row r="39">
      <c r="A39" s="93" t="n">
        <v>20546</v>
      </c>
      <c r="N39" t="n">
        <v>2929.666</v>
      </c>
      <c r="O39" t="n">
        <v>0.0082631942666304</v>
      </c>
      <c r="P39" t="n">
        <v>0.02402145866641133</v>
      </c>
      <c r="Q39" t="n">
        <v>0.03346472086182173</v>
      </c>
      <c r="R39" t="n">
        <v>0.0082631942666304</v>
      </c>
      <c r="S39" t="n">
        <v>0.03346472086182173</v>
      </c>
      <c r="T39" t="n">
        <v>0.02402145866641133</v>
      </c>
    </row>
    <row r="40">
      <c r="A40" s="93" t="n">
        <v>20637</v>
      </c>
      <c r="N40" t="n">
        <v>2927.034</v>
      </c>
      <c r="O40" t="n">
        <v>-0.0008983959263615927</v>
      </c>
      <c r="P40" t="n">
        <v>0.009468964104431793</v>
      </c>
      <c r="Q40" t="n">
        <v>-0.003588743913787829</v>
      </c>
      <c r="R40" t="n">
        <v>-0.0008983959263615927</v>
      </c>
      <c r="S40" t="n">
        <v>-0.003588743913787829</v>
      </c>
      <c r="T40" t="n">
        <v>0.009468964104431793</v>
      </c>
    </row>
    <row r="41">
      <c r="A41" s="93" t="n">
        <v>20729</v>
      </c>
      <c r="N41" t="n">
        <v>2975.209</v>
      </c>
      <c r="O41" t="n">
        <v>0.01645864038477166</v>
      </c>
      <c r="P41" t="n">
        <v>0.01996033575764006</v>
      </c>
      <c r="Q41" t="n">
        <v>0.06747778969521656</v>
      </c>
      <c r="R41" t="n">
        <v>0.01645864038477166</v>
      </c>
      <c r="S41" t="n">
        <v>0.06747778969521656</v>
      </c>
      <c r="T41" t="n">
        <v>0.01996033575764006</v>
      </c>
    </row>
    <row r="42">
      <c r="A42" s="93" t="n">
        <v>20821</v>
      </c>
      <c r="N42" t="n">
        <v>2994.259</v>
      </c>
      <c r="O42" t="n">
        <v>0.006402911526551642</v>
      </c>
      <c r="P42" t="n">
        <v>0.03049328619767793</v>
      </c>
      <c r="Q42" t="n">
        <v>0.02585868145080883</v>
      </c>
      <c r="R42" t="n">
        <v>0.006402911526551642</v>
      </c>
      <c r="S42" t="n">
        <v>0.02585868145080883</v>
      </c>
      <c r="T42" t="n">
        <v>0.03049328619767793</v>
      </c>
    </row>
    <row r="43">
      <c r="A43" s="93" t="n">
        <v>20911</v>
      </c>
      <c r="N43" t="n">
        <v>2987.699</v>
      </c>
      <c r="O43" t="n">
        <v>-0.002190859240967446</v>
      </c>
      <c r="P43" t="n">
        <v>0.01980874270309308</v>
      </c>
      <c r="Q43" t="n">
        <v>-0.008734679818856006</v>
      </c>
      <c r="R43" t="n">
        <v>-0.002190859240967446</v>
      </c>
      <c r="S43" t="n">
        <v>-0.008734679818856006</v>
      </c>
      <c r="T43" t="n">
        <v>0.01980874270309308</v>
      </c>
    </row>
    <row r="44">
      <c r="A44" s="93" t="n">
        <v>21002</v>
      </c>
      <c r="N44" t="n">
        <v>3016.979</v>
      </c>
      <c r="O44" t="n">
        <v>0.009800184021214903</v>
      </c>
      <c r="P44" t="n">
        <v>0.03072905883566768</v>
      </c>
      <c r="Q44" t="n">
        <v>0.03978077193041707</v>
      </c>
      <c r="R44" t="n">
        <v>0.009800184021214903</v>
      </c>
      <c r="S44" t="n">
        <v>0.03978077193041707</v>
      </c>
      <c r="T44" t="n">
        <v>0.03072905883566768</v>
      </c>
    </row>
    <row r="45">
      <c r="A45" s="93" t="n">
        <v>21094</v>
      </c>
      <c r="N45" t="n">
        <v>2985.775</v>
      </c>
      <c r="O45" t="n">
        <v>-0.01034279655244525</v>
      </c>
      <c r="P45" t="n">
        <v>0.003551347149057514</v>
      </c>
      <c r="Q45" t="n">
        <v>-0.04073375974144</v>
      </c>
      <c r="R45" t="n">
        <v>-0.01034279655244525</v>
      </c>
      <c r="S45" t="n">
        <v>-0.04073375974144</v>
      </c>
      <c r="T45" t="n">
        <v>0.003551347149057514</v>
      </c>
    </row>
    <row r="46">
      <c r="A46" s="93" t="n">
        <v>21186</v>
      </c>
      <c r="N46" t="n">
        <v>2908.281</v>
      </c>
      <c r="O46" t="n">
        <v>-0.02595440044879475</v>
      </c>
      <c r="P46" t="n">
        <v>-0.02871428289937513</v>
      </c>
      <c r="Q46" t="n">
        <v>-0.09984529734545633</v>
      </c>
      <c r="R46" t="n">
        <v>-0.02595440044879475</v>
      </c>
      <c r="S46" t="n">
        <v>-0.09984529734545633</v>
      </c>
      <c r="T46" t="n">
        <v>-0.02871428289937513</v>
      </c>
    </row>
    <row r="47">
      <c r="A47" s="93" t="n">
        <v>21276</v>
      </c>
      <c r="N47" t="n">
        <v>2927.395</v>
      </c>
      <c r="O47" t="n">
        <v>0.006572267260281944</v>
      </c>
      <c r="P47" t="n">
        <v>-0.02018409485025101</v>
      </c>
      <c r="Q47" t="n">
        <v>0.02654937463692297</v>
      </c>
      <c r="R47" t="n">
        <v>0.006572267260281944</v>
      </c>
      <c r="S47" t="n">
        <v>0.02654937463692297</v>
      </c>
      <c r="T47" t="n">
        <v>-0.02018409485025101</v>
      </c>
    </row>
    <row r="48">
      <c r="A48" s="93" t="n">
        <v>21367</v>
      </c>
      <c r="N48" t="n">
        <v>2995.112</v>
      </c>
      <c r="O48" t="n">
        <v>0.02313217041089436</v>
      </c>
      <c r="P48" t="n">
        <v>-0.007247978855669773</v>
      </c>
      <c r="Q48" t="n">
        <v>0.09578906366867135</v>
      </c>
      <c r="R48" t="n">
        <v>0.02313217041089436</v>
      </c>
      <c r="S48" t="n">
        <v>0.09578906366867135</v>
      </c>
      <c r="T48" t="n">
        <v>-0.007247978855669773</v>
      </c>
    </row>
    <row r="49">
      <c r="A49" s="93" t="n">
        <v>21459</v>
      </c>
      <c r="N49" t="n">
        <v>3065.141</v>
      </c>
      <c r="O49" t="n">
        <v>0.02338109559842837</v>
      </c>
      <c r="P49" t="n">
        <v>0.02658137334527886</v>
      </c>
      <c r="Q49" t="n">
        <v>0.09685586253705125</v>
      </c>
      <c r="R49" t="n">
        <v>0.02338109559842837</v>
      </c>
      <c r="S49" t="n">
        <v>0.09685586253705125</v>
      </c>
      <c r="T49" t="n">
        <v>0.02658137334527886</v>
      </c>
    </row>
    <row r="50">
      <c r="A50" s="93" t="n">
        <v>21551</v>
      </c>
      <c r="N50" t="n">
        <v>3123.978</v>
      </c>
      <c r="O50" t="n">
        <v>0.0191955280360675</v>
      </c>
      <c r="P50" t="n">
        <v>0.07416649216495934</v>
      </c>
      <c r="Q50" t="n">
        <v>0.07902134946672668</v>
      </c>
      <c r="R50" t="n">
        <v>0.0191955280360675</v>
      </c>
      <c r="S50" t="n">
        <v>0.07902134946672668</v>
      </c>
      <c r="T50" t="n">
        <v>0.07416649216495934</v>
      </c>
    </row>
    <row r="51">
      <c r="A51" s="93" t="n">
        <v>21641</v>
      </c>
      <c r="N51" t="n">
        <v>3194.429</v>
      </c>
      <c r="O51" t="n">
        <v>0.02255169530643302</v>
      </c>
      <c r="P51" t="n">
        <v>0.09121898479706364</v>
      </c>
      <c r="Q51" t="n">
        <v>0.09330439091654563</v>
      </c>
      <c r="R51" t="n">
        <v>0.02255169530643302</v>
      </c>
      <c r="S51" t="n">
        <v>0.09330439091654563</v>
      </c>
      <c r="T51" t="n">
        <v>0.09121898479706364</v>
      </c>
    </row>
    <row r="52">
      <c r="A52" s="93" t="n">
        <v>21732</v>
      </c>
      <c r="N52" t="n">
        <v>3196.683</v>
      </c>
      <c r="O52" t="n">
        <v>0.0007056034114390727</v>
      </c>
      <c r="P52" t="n">
        <v>0.06729998744621234</v>
      </c>
      <c r="Q52" t="n">
        <v>0.002825402308261671</v>
      </c>
      <c r="R52" t="n">
        <v>0.0007056034114390727</v>
      </c>
      <c r="S52" t="n">
        <v>0.002825402308261671</v>
      </c>
      <c r="T52" t="n">
        <v>0.06729998744621234</v>
      </c>
    </row>
    <row r="53">
      <c r="A53" s="93" t="n">
        <v>21824</v>
      </c>
      <c r="N53" t="n">
        <v>3205.79</v>
      </c>
      <c r="O53" t="n">
        <v>0.002848890553113953</v>
      </c>
      <c r="P53" t="n">
        <v>0.04588663294771754</v>
      </c>
      <c r="Q53" t="n">
        <v>0.01144435183103387</v>
      </c>
      <c r="R53" t="n">
        <v>0.002848890553113953</v>
      </c>
      <c r="S53" t="n">
        <v>0.01144435183103387</v>
      </c>
      <c r="T53" t="n">
        <v>0.04588663294771754</v>
      </c>
    </row>
    <row r="54">
      <c r="A54" s="93" t="n">
        <v>21916</v>
      </c>
      <c r="N54" t="n">
        <v>3277.847</v>
      </c>
      <c r="O54" t="n">
        <v>0.02247714291953005</v>
      </c>
      <c r="P54" t="n">
        <v>0.04925418808967289</v>
      </c>
      <c r="Q54" t="n">
        <v>0.09298558243454158</v>
      </c>
      <c r="R54" t="n">
        <v>0.02247714291953005</v>
      </c>
      <c r="S54" t="n">
        <v>0.09298558243454158</v>
      </c>
      <c r="T54" t="n">
        <v>0.04925418808967289</v>
      </c>
    </row>
    <row r="55">
      <c r="A55" s="93" t="n">
        <v>22007</v>
      </c>
      <c r="N55" t="n">
        <v>3260.177</v>
      </c>
      <c r="O55" t="n">
        <v>-0.005390733612642711</v>
      </c>
      <c r="P55" t="n">
        <v>0.02058208211858835</v>
      </c>
      <c r="Q55" t="n">
        <v>-0.02138920017185875</v>
      </c>
      <c r="R55" t="n">
        <v>-0.005390733612642711</v>
      </c>
      <c r="S55" t="n">
        <v>-0.02138920017185875</v>
      </c>
      <c r="T55" t="n">
        <v>0.02058208211858835</v>
      </c>
    </row>
    <row r="56">
      <c r="A56" s="93" t="n">
        <v>22098</v>
      </c>
      <c r="N56" t="n">
        <v>3276.133</v>
      </c>
      <c r="O56" t="n">
        <v>0.004894212798875544</v>
      </c>
      <c r="P56" t="n">
        <v>0.02485388760787348</v>
      </c>
      <c r="Q56" t="n">
        <v>0.01972104061334812</v>
      </c>
      <c r="R56" t="n">
        <v>0.004894212798875544</v>
      </c>
      <c r="S56" t="n">
        <v>0.01972104061334812</v>
      </c>
      <c r="T56" t="n">
        <v>0.02485388760787348</v>
      </c>
    </row>
    <row r="57">
      <c r="A57" s="93" t="n">
        <v>22190</v>
      </c>
      <c r="N57" t="n">
        <v>3234.087</v>
      </c>
      <c r="O57" t="n">
        <v>-0.01283403329474103</v>
      </c>
      <c r="P57" t="n">
        <v>0.008826841433780762</v>
      </c>
      <c r="Q57" t="n">
        <v>-0.05035628728337038</v>
      </c>
      <c r="R57" t="n">
        <v>-0.01283403329474103</v>
      </c>
      <c r="S57" t="n">
        <v>-0.05035628728337038</v>
      </c>
      <c r="T57" t="n">
        <v>0.008826841433780762</v>
      </c>
    </row>
    <row r="58">
      <c r="A58" s="93" t="n">
        <v>22282</v>
      </c>
      <c r="N58" t="n">
        <v>3255.914</v>
      </c>
      <c r="O58" t="n">
        <v>0.006749045402922131</v>
      </c>
      <c r="P58" t="n">
        <v>-0.006691282418001814</v>
      </c>
      <c r="Q58" t="n">
        <v>0.02727071103520817</v>
      </c>
      <c r="R58" t="n">
        <v>0.006749045402922131</v>
      </c>
      <c r="S58" t="n">
        <v>0.02727071103520817</v>
      </c>
      <c r="T58" t="n">
        <v>-0.006691282418001814</v>
      </c>
    </row>
    <row r="59">
      <c r="A59" s="93" t="n">
        <v>22372</v>
      </c>
      <c r="N59" t="n">
        <v>3311.181</v>
      </c>
      <c r="O59" t="n">
        <v>0.01697434268841248</v>
      </c>
      <c r="P59" t="n">
        <v>0.01564454936035679</v>
      </c>
      <c r="Q59" t="n">
        <v>0.06964578678446376</v>
      </c>
      <c r="R59" t="n">
        <v>0.01697434268841248</v>
      </c>
      <c r="S59" t="n">
        <v>0.06964578678446376</v>
      </c>
      <c r="T59" t="n">
        <v>0.01564454936035679</v>
      </c>
    </row>
    <row r="60">
      <c r="A60" s="93" t="n">
        <v>22463</v>
      </c>
      <c r="N60" t="n">
        <v>3374.742</v>
      </c>
      <c r="O60" t="n">
        <v>0.01919586999321395</v>
      </c>
      <c r="P60" t="n">
        <v>0.03009920537414091</v>
      </c>
      <c r="Q60" t="n">
        <v>0.07902279758629582</v>
      </c>
      <c r="R60" t="n">
        <v>0.01919586999321395</v>
      </c>
      <c r="S60" t="n">
        <v>0.07902279758629582</v>
      </c>
      <c r="T60" t="n">
        <v>0.03009920537414091</v>
      </c>
    </row>
    <row r="61">
      <c r="A61" s="93" t="n">
        <v>22555</v>
      </c>
      <c r="N61" t="n">
        <v>3440.924</v>
      </c>
      <c r="O61" t="n">
        <v>0.01961098063200084</v>
      </c>
      <c r="P61" t="n">
        <v>0.06395529866698081</v>
      </c>
      <c r="Q61" t="n">
        <v>0.08078178259819491</v>
      </c>
      <c r="R61" t="n">
        <v>0.01961098063200084</v>
      </c>
      <c r="S61" t="n">
        <v>0.08078178259819491</v>
      </c>
      <c r="T61" t="n">
        <v>0.06395529866698081</v>
      </c>
    </row>
    <row r="62">
      <c r="A62" s="93" t="n">
        <v>22647</v>
      </c>
      <c r="N62" t="n">
        <v>3502.298</v>
      </c>
      <c r="O62" t="n">
        <v>0.01783648810610167</v>
      </c>
      <c r="P62" t="n">
        <v>0.07567276039846248</v>
      </c>
      <c r="Q62" t="n">
        <v>0.07327759350869312</v>
      </c>
      <c r="R62" t="n">
        <v>0.01783648810610167</v>
      </c>
      <c r="S62" t="n">
        <v>0.07327759350869312</v>
      </c>
      <c r="T62" t="n">
        <v>0.07567276039846248</v>
      </c>
    </row>
    <row r="63">
      <c r="A63" s="93" t="n">
        <v>22737</v>
      </c>
      <c r="N63" t="n">
        <v>3533.947</v>
      </c>
      <c r="O63" t="n">
        <v>0.009036638230099307</v>
      </c>
      <c r="P63" t="n">
        <v>0.06727690210834143</v>
      </c>
      <c r="Q63" t="n">
        <v>0.03663947632942977</v>
      </c>
      <c r="R63" t="n">
        <v>0.009036638230099307</v>
      </c>
      <c r="S63" t="n">
        <v>0.03663947632942977</v>
      </c>
      <c r="T63" t="n">
        <v>0.06727690210834143</v>
      </c>
    </row>
    <row r="64">
      <c r="A64" s="93" t="n">
        <v>22828</v>
      </c>
      <c r="N64" t="n">
        <v>3577.362</v>
      </c>
      <c r="O64" t="n">
        <v>0.01228513047875363</v>
      </c>
      <c r="P64" t="n">
        <v>0.06004014529110666</v>
      </c>
      <c r="Q64" t="n">
        <v>0.05005350778378181</v>
      </c>
      <c r="R64" t="n">
        <v>0.01228513047875363</v>
      </c>
      <c r="S64" t="n">
        <v>0.05005350778378181</v>
      </c>
      <c r="T64" t="n">
        <v>0.06004014529110666</v>
      </c>
    </row>
    <row r="65">
      <c r="A65" s="93" t="n">
        <v>22920</v>
      </c>
      <c r="N65" t="n">
        <v>3589.128</v>
      </c>
      <c r="O65" t="n">
        <v>0.003289015760775699</v>
      </c>
      <c r="P65" t="n">
        <v>0.04307098907154014</v>
      </c>
      <c r="Q65" t="n">
        <v>0.01322111122552361</v>
      </c>
      <c r="R65" t="n">
        <v>0.003289015760775699</v>
      </c>
      <c r="S65" t="n">
        <v>0.01322111122552361</v>
      </c>
      <c r="T65" t="n">
        <v>0.04307098907154014</v>
      </c>
    </row>
    <row r="66">
      <c r="A66" s="93" t="n">
        <v>23012</v>
      </c>
      <c r="N66" t="n">
        <v>3628.306</v>
      </c>
      <c r="O66" t="n">
        <v>0.01091574332261203</v>
      </c>
      <c r="P66" t="n">
        <v>0.03597866315202198</v>
      </c>
      <c r="Q66" t="n">
        <v>0.04438311079570934</v>
      </c>
      <c r="R66" t="n">
        <v>0.01091574332261203</v>
      </c>
      <c r="S66" t="n">
        <v>0.04438311079570934</v>
      </c>
      <c r="T66" t="n">
        <v>0.03597866315202198</v>
      </c>
    </row>
    <row r="67">
      <c r="A67" s="93" t="n">
        <v>23102</v>
      </c>
      <c r="N67" t="n">
        <v>3669.02</v>
      </c>
      <c r="O67" t="n">
        <v>0.01122121452821232</v>
      </c>
      <c r="P67" t="n">
        <v>0.03822156925386823</v>
      </c>
      <c r="Q67" t="n">
        <v>0.04564601960686088</v>
      </c>
      <c r="R67" t="n">
        <v>0.01122121452821232</v>
      </c>
      <c r="S67" t="n">
        <v>0.04564601960686088</v>
      </c>
      <c r="T67" t="n">
        <v>0.03822156925386823</v>
      </c>
    </row>
    <row r="68">
      <c r="A68" s="93" t="n">
        <v>23193</v>
      </c>
      <c r="N68" t="n">
        <v>3749.681</v>
      </c>
      <c r="O68" t="n">
        <v>0.02198434459337918</v>
      </c>
      <c r="P68" t="n">
        <v>0.04816929346261294</v>
      </c>
      <c r="Q68" t="n">
        <v>0.09087998154472277</v>
      </c>
      <c r="R68" t="n">
        <v>0.02198434459337918</v>
      </c>
      <c r="S68" t="n">
        <v>0.09087998154472277</v>
      </c>
      <c r="T68" t="n">
        <v>0.04816929346261294</v>
      </c>
    </row>
    <row r="69">
      <c r="A69" s="93" t="n">
        <v>23285</v>
      </c>
      <c r="N69" t="n">
        <v>3774.264</v>
      </c>
      <c r="O69" t="n">
        <v>0.006556024365806074</v>
      </c>
      <c r="P69" t="n">
        <v>0.05158244565253732</v>
      </c>
      <c r="Q69" t="n">
        <v>0.02648311519341773</v>
      </c>
      <c r="R69" t="n">
        <v>0.006556024365806074</v>
      </c>
      <c r="S69" t="n">
        <v>0.02648311519341773</v>
      </c>
      <c r="T69" t="n">
        <v>0.05158244565253732</v>
      </c>
    </row>
    <row r="70">
      <c r="A70" s="93" t="n">
        <v>23377</v>
      </c>
      <c r="N70" t="n">
        <v>3853.835</v>
      </c>
      <c r="O70" t="n">
        <v>0.0210825209895227</v>
      </c>
      <c r="P70" t="n">
        <v>0.06215820826578574</v>
      </c>
      <c r="Q70" t="n">
        <v>0.08703460008107822</v>
      </c>
      <c r="R70" t="n">
        <v>0.0210825209895227</v>
      </c>
      <c r="S70" t="n">
        <v>0.08703460008107822</v>
      </c>
      <c r="T70" t="n">
        <v>0.06215820826578574</v>
      </c>
    </row>
    <row r="71">
      <c r="A71" s="93" t="n">
        <v>23468</v>
      </c>
      <c r="N71" t="n">
        <v>3895.793</v>
      </c>
      <c r="O71" t="n">
        <v>0.01088733689947807</v>
      </c>
      <c r="P71" t="n">
        <v>0.06180751263280117</v>
      </c>
      <c r="Q71" t="n">
        <v>0.04426572835975362</v>
      </c>
      <c r="R71" t="n">
        <v>0.01088733689947807</v>
      </c>
      <c r="S71" t="n">
        <v>0.04426572835975362</v>
      </c>
      <c r="T71" t="n">
        <v>0.06180751263280117</v>
      </c>
    </row>
    <row r="72">
      <c r="A72" s="93" t="n">
        <v>23559</v>
      </c>
      <c r="N72" t="n">
        <v>3956.657</v>
      </c>
      <c r="O72" t="n">
        <v>0.01562300666385509</v>
      </c>
      <c r="P72" t="n">
        <v>0.05519829553500687</v>
      </c>
      <c r="Q72" t="n">
        <v>0.06397180920292422</v>
      </c>
      <c r="R72" t="n">
        <v>0.01562300666385509</v>
      </c>
      <c r="S72" t="n">
        <v>0.06397180920292422</v>
      </c>
      <c r="T72" t="n">
        <v>0.05519829553500687</v>
      </c>
    </row>
    <row r="73">
      <c r="A73" s="93" t="n">
        <v>23651</v>
      </c>
      <c r="N73" t="n">
        <v>3968.878</v>
      </c>
      <c r="O73" t="n">
        <v>0.003088718582379014</v>
      </c>
      <c r="P73" t="n">
        <v>0.05156343064502113</v>
      </c>
      <c r="Q73" t="n">
        <v>0.0124122333831731</v>
      </c>
      <c r="R73" t="n">
        <v>0.003088718582379014</v>
      </c>
      <c r="S73" t="n">
        <v>0.0124122333831731</v>
      </c>
      <c r="T73" t="n">
        <v>0.05156343064502113</v>
      </c>
    </row>
    <row r="74">
      <c r="A74" s="93" t="n">
        <v>23743</v>
      </c>
      <c r="N74" t="n">
        <v>4064.915</v>
      </c>
      <c r="O74" t="n">
        <v>0.02419751879498433</v>
      </c>
      <c r="P74" t="n">
        <v>0.0547714160050962</v>
      </c>
      <c r="Q74" t="n">
        <v>0.1003602100251837</v>
      </c>
      <c r="R74" t="n">
        <v>0.02419751879498433</v>
      </c>
      <c r="S74" t="n">
        <v>0.1003602100251837</v>
      </c>
      <c r="T74" t="n">
        <v>0.0547714160050962</v>
      </c>
    </row>
    <row r="75">
      <c r="A75" s="93" t="n">
        <v>23833</v>
      </c>
      <c r="N75" t="n">
        <v>4116.267</v>
      </c>
      <c r="O75" t="n">
        <v>0.01263298248548859</v>
      </c>
      <c r="P75" t="n">
        <v>0.05659284258686221</v>
      </c>
      <c r="Q75" t="n">
        <v>0.05149757339472938</v>
      </c>
      <c r="R75" t="n">
        <v>0.01263298248548859</v>
      </c>
      <c r="S75" t="n">
        <v>0.05149757339472938</v>
      </c>
      <c r="T75" t="n">
        <v>0.05659284258686221</v>
      </c>
    </row>
    <row r="76">
      <c r="A76" s="93" t="n">
        <v>23924</v>
      </c>
      <c r="N76" t="n">
        <v>4207.782</v>
      </c>
      <c r="O76" t="n">
        <v>0.02223252281739749</v>
      </c>
      <c r="P76" t="n">
        <v>0.06346898404385318</v>
      </c>
      <c r="Q76" t="n">
        <v>0.09194000282873915</v>
      </c>
      <c r="R76" t="n">
        <v>0.02223252281739749</v>
      </c>
      <c r="S76" t="n">
        <v>0.09194000282873915</v>
      </c>
      <c r="T76" t="n">
        <v>0.06346898404385318</v>
      </c>
    </row>
    <row r="77">
      <c r="A77" s="93" t="n">
        <v>24016</v>
      </c>
      <c r="N77" t="n">
        <v>4304.731</v>
      </c>
      <c r="O77" t="n">
        <v>0.02304040465974701</v>
      </c>
      <c r="P77" t="n">
        <v>0.08462164873800596</v>
      </c>
      <c r="Q77" t="n">
        <v>0.09539598687252315</v>
      </c>
      <c r="R77" t="n">
        <v>0.02304040465974701</v>
      </c>
      <c r="S77" t="n">
        <v>0.09539598687252315</v>
      </c>
      <c r="T77" t="n">
        <v>0.08462164873800596</v>
      </c>
    </row>
    <row r="78">
      <c r="A78" s="93" t="n">
        <v>24108</v>
      </c>
      <c r="N78" t="n">
        <v>4409.518</v>
      </c>
      <c r="O78" t="n">
        <v>0.0243422875900957</v>
      </c>
      <c r="P78" t="n">
        <v>0.08477495839396397</v>
      </c>
      <c r="Q78" t="n">
        <v>0.100982479057544</v>
      </c>
      <c r="R78" t="n">
        <v>0.0243422875900957</v>
      </c>
      <c r="S78" t="n">
        <v>0.100982479057544</v>
      </c>
      <c r="T78" t="n">
        <v>0.08477495839396397</v>
      </c>
    </row>
    <row r="79">
      <c r="A79" s="93" t="n">
        <v>24198</v>
      </c>
      <c r="N79" t="n">
        <v>4424.581</v>
      </c>
      <c r="O79" t="n">
        <v>0.003416019619377923</v>
      </c>
      <c r="P79" t="n">
        <v>0.07490136086896218</v>
      </c>
      <c r="Q79" t="n">
        <v>0.01373425320265032</v>
      </c>
      <c r="R79" t="n">
        <v>0.003416019619377923</v>
      </c>
      <c r="S79" t="n">
        <v>0.01373425320265032</v>
      </c>
      <c r="T79" t="n">
        <v>0.07490136086896218</v>
      </c>
    </row>
    <row r="80">
      <c r="A80" s="93" t="n">
        <v>24289</v>
      </c>
      <c r="N80" t="n">
        <v>4462.053</v>
      </c>
      <c r="O80" t="n">
        <v>0.008469050515743695</v>
      </c>
      <c r="P80" t="n">
        <v>0.06042874844751932</v>
      </c>
      <c r="Q80" t="n">
        <v>0.03430898587163456</v>
      </c>
      <c r="R80" t="n">
        <v>0.008469050515743695</v>
      </c>
      <c r="S80" t="n">
        <v>0.03430898587163456</v>
      </c>
      <c r="T80" t="n">
        <v>0.06042874844751932</v>
      </c>
    </row>
    <row r="81">
      <c r="A81" s="93" t="n">
        <v>24381</v>
      </c>
      <c r="N81" t="n">
        <v>4498.66</v>
      </c>
      <c r="O81" t="n">
        <v>0.008204071085663924</v>
      </c>
      <c r="P81" t="n">
        <v>0.04505020174315192</v>
      </c>
      <c r="Q81" t="n">
        <v>0.03322233832563914</v>
      </c>
      <c r="R81" t="n">
        <v>0.008204071085663924</v>
      </c>
      <c r="S81" t="n">
        <v>0.03322233832563914</v>
      </c>
      <c r="T81" t="n">
        <v>0.04505020174315192</v>
      </c>
    </row>
    <row r="82">
      <c r="A82" s="93" t="n">
        <v>24473</v>
      </c>
      <c r="N82" t="n">
        <v>4538.498</v>
      </c>
      <c r="O82" t="n">
        <v>0.008855525867702769</v>
      </c>
      <c r="P82" t="n">
        <v>0.02925036251127664</v>
      </c>
      <c r="Q82" t="n">
        <v>0.03589540946426273</v>
      </c>
      <c r="R82" t="n">
        <v>0.008855525867702769</v>
      </c>
      <c r="S82" t="n">
        <v>0.03589540946426273</v>
      </c>
      <c r="T82" t="n">
        <v>0.02925036251127664</v>
      </c>
    </row>
    <row r="83">
      <c r="A83" s="93" t="n">
        <v>24563</v>
      </c>
      <c r="N83" t="n">
        <v>4541.28</v>
      </c>
      <c r="O83" t="n">
        <v>0.0006129781262435619</v>
      </c>
      <c r="P83" t="n">
        <v>0.02637515281107965</v>
      </c>
      <c r="Q83" t="n">
        <v>0.002454167879502034</v>
      </c>
      <c r="R83" t="n">
        <v>0.0006129781262435619</v>
      </c>
      <c r="S83" t="n">
        <v>0.002454167879502034</v>
      </c>
      <c r="T83" t="n">
        <v>0.02637515281107965</v>
      </c>
    </row>
    <row r="84">
      <c r="A84" s="93" t="n">
        <v>24654</v>
      </c>
      <c r="N84" t="n">
        <v>4584.246</v>
      </c>
      <c r="O84" t="n">
        <v>0.009461209174505944</v>
      </c>
      <c r="P84" t="n">
        <v>0.02738492796925546</v>
      </c>
      <c r="Q84" t="n">
        <v>0.03838531924596955</v>
      </c>
      <c r="R84" t="n">
        <v>0.009461209174505944</v>
      </c>
      <c r="S84" t="n">
        <v>0.03838531924596955</v>
      </c>
      <c r="T84" t="n">
        <v>0.02738492796925546</v>
      </c>
    </row>
    <row r="85">
      <c r="A85" s="93" t="n">
        <v>24746</v>
      </c>
      <c r="N85" t="n">
        <v>4618.812</v>
      </c>
      <c r="O85" t="n">
        <v>0.007540171273531089</v>
      </c>
      <c r="P85" t="n">
        <v>0.02670839761173328</v>
      </c>
      <c r="Q85" t="n">
        <v>0.03050352818463198</v>
      </c>
      <c r="R85" t="n">
        <v>0.007540171273531089</v>
      </c>
      <c r="S85" t="n">
        <v>0.03050352818463198</v>
      </c>
      <c r="T85" t="n">
        <v>0.02670839761173328</v>
      </c>
    </row>
    <row r="86">
      <c r="A86" s="93" t="n">
        <v>24838</v>
      </c>
      <c r="N86" t="n">
        <v>4713.013</v>
      </c>
      <c r="O86" t="n">
        <v>0.02039507128672915</v>
      </c>
      <c r="P86" t="n">
        <v>0.0384521487064664</v>
      </c>
      <c r="Q86" t="n">
        <v>0.08411014581384135</v>
      </c>
      <c r="R86" t="n">
        <v>0.02039507128672915</v>
      </c>
      <c r="S86" t="n">
        <v>0.08411014581384135</v>
      </c>
      <c r="T86" t="n">
        <v>0.0384521487064664</v>
      </c>
    </row>
    <row r="87">
      <c r="A87" s="93" t="n">
        <v>24929</v>
      </c>
      <c r="N87" t="n">
        <v>4791.758</v>
      </c>
      <c r="O87" t="n">
        <v>0.01670799550096719</v>
      </c>
      <c r="P87" t="n">
        <v>0.0551558151005884</v>
      </c>
      <c r="Q87" t="n">
        <v>0.06852565923772147</v>
      </c>
      <c r="R87" t="n">
        <v>0.01670799550096719</v>
      </c>
      <c r="S87" t="n">
        <v>0.06852565923772147</v>
      </c>
      <c r="T87" t="n">
        <v>0.0551558151005884</v>
      </c>
    </row>
    <row r="88">
      <c r="A88" s="93" t="n">
        <v>25020</v>
      </c>
      <c r="N88" t="n">
        <v>4828.892</v>
      </c>
      <c r="O88" t="n">
        <v>0.007749556634537891</v>
      </c>
      <c r="P88" t="n">
        <v>0.05336668232900235</v>
      </c>
      <c r="Q88" t="n">
        <v>0.03136042553098384</v>
      </c>
      <c r="R88" t="n">
        <v>0.007749556634537891</v>
      </c>
      <c r="S88" t="n">
        <v>0.03136042553098384</v>
      </c>
      <c r="T88" t="n">
        <v>0.05336668232900235</v>
      </c>
    </row>
    <row r="89">
      <c r="A89" s="93" t="n">
        <v>25112</v>
      </c>
      <c r="N89" t="n">
        <v>4847.885</v>
      </c>
      <c r="O89" t="n">
        <v>0.003933200411191717</v>
      </c>
      <c r="P89" t="n">
        <v>0.04959565360096933</v>
      </c>
      <c r="Q89" t="n">
        <v>0.01582586566440858</v>
      </c>
      <c r="R89" t="n">
        <v>0.003933200411191717</v>
      </c>
      <c r="S89" t="n">
        <v>0.01582586566440858</v>
      </c>
      <c r="T89" t="n">
        <v>0.04959565360096933</v>
      </c>
    </row>
    <row r="90">
      <c r="A90" s="93" t="n">
        <v>25204</v>
      </c>
      <c r="N90" t="n">
        <v>4923.76</v>
      </c>
      <c r="O90" t="n">
        <v>0.01565115509134396</v>
      </c>
      <c r="P90" t="n">
        <v>0.04471598105076313</v>
      </c>
      <c r="Q90" t="n">
        <v>0.06408976784792308</v>
      </c>
      <c r="R90" t="n">
        <v>0.01565115509134396</v>
      </c>
      <c r="S90" t="n">
        <v>0.06408976784792308</v>
      </c>
      <c r="T90" t="n">
        <v>0.04471598105076313</v>
      </c>
    </row>
    <row r="91">
      <c r="A91" s="93" t="n">
        <v>25294</v>
      </c>
      <c r="N91" t="n">
        <v>4938.728</v>
      </c>
      <c r="O91" t="n">
        <v>0.003039953206492568</v>
      </c>
      <c r="P91" t="n">
        <v>0.03067141537615219</v>
      </c>
      <c r="Q91" t="n">
        <v>0.01221537317702515</v>
      </c>
      <c r="R91" t="n">
        <v>0.003039953206492568</v>
      </c>
      <c r="S91" t="n">
        <v>0.01221537317702515</v>
      </c>
      <c r="T91" t="n">
        <v>0.03067141537615219</v>
      </c>
    </row>
    <row r="92">
      <c r="A92" s="93" t="n">
        <v>25385</v>
      </c>
      <c r="N92" t="n">
        <v>4971.349</v>
      </c>
      <c r="O92" t="n">
        <v>0.006605142052771502</v>
      </c>
      <c r="P92" t="n">
        <v>0.02950097040894688</v>
      </c>
      <c r="Q92" t="n">
        <v>0.02668349019765204</v>
      </c>
      <c r="R92" t="n">
        <v>0.006605142052771502</v>
      </c>
      <c r="S92" t="n">
        <v>0.02668349019765204</v>
      </c>
      <c r="T92" t="n">
        <v>0.02950097040894688</v>
      </c>
    </row>
    <row r="93">
      <c r="A93" s="93" t="n">
        <v>25477</v>
      </c>
      <c r="N93" t="n">
        <v>4947.104</v>
      </c>
      <c r="O93" t="n">
        <v>-0.004876945875254361</v>
      </c>
      <c r="P93" t="n">
        <v>0.02046645083371409</v>
      </c>
      <c r="Q93" t="n">
        <v>-0.01936553931373741</v>
      </c>
      <c r="R93" t="n">
        <v>-0.004876945875254361</v>
      </c>
      <c r="S93" t="n">
        <v>-0.01936553931373741</v>
      </c>
      <c r="T93" t="n">
        <v>0.02046645083371409</v>
      </c>
    </row>
    <row r="94">
      <c r="A94" s="93" t="n">
        <v>25569</v>
      </c>
      <c r="N94" t="n">
        <v>4939.759</v>
      </c>
      <c r="O94" t="n">
        <v>-0.001484707012425907</v>
      </c>
      <c r="P94" t="n">
        <v>0.003249346028238541</v>
      </c>
      <c r="Q94" t="n">
        <v>-0.005925615006652563</v>
      </c>
      <c r="R94" t="n">
        <v>-0.001484707012425907</v>
      </c>
      <c r="S94" t="n">
        <v>-0.005925615006652563</v>
      </c>
      <c r="T94" t="n">
        <v>0.003249346028238541</v>
      </c>
    </row>
    <row r="95">
      <c r="A95" s="93" t="n">
        <v>25659</v>
      </c>
      <c r="N95" t="n">
        <v>4946.77</v>
      </c>
      <c r="O95" t="n">
        <v>0.001419300010385208</v>
      </c>
      <c r="P95" t="n">
        <v>0.001628354507476494</v>
      </c>
      <c r="Q95" t="n">
        <v>0.00568929795693851</v>
      </c>
      <c r="R95" t="n">
        <v>0.001419300010385208</v>
      </c>
      <c r="S95" t="n">
        <v>0.00568929795693851</v>
      </c>
      <c r="T95" t="n">
        <v>0.001628354507476494</v>
      </c>
    </row>
    <row r="96">
      <c r="A96" s="93" t="n">
        <v>25750</v>
      </c>
      <c r="N96" t="n">
        <v>4992.357</v>
      </c>
      <c r="O96" t="n">
        <v>0.009215508301376359</v>
      </c>
      <c r="P96" t="n">
        <v>0.004225814763759255</v>
      </c>
      <c r="Q96" t="n">
        <v>0.03737472450741652</v>
      </c>
      <c r="R96" t="n">
        <v>0.009215508301376359</v>
      </c>
      <c r="S96" t="n">
        <v>0.03737472450741652</v>
      </c>
      <c r="T96" t="n">
        <v>0.004225814763759255</v>
      </c>
    </row>
    <row r="97">
      <c r="A97" s="93" t="n">
        <v>25842</v>
      </c>
      <c r="N97" t="n">
        <v>4938.857</v>
      </c>
      <c r="O97" t="n">
        <v>-0.01071638106008845</v>
      </c>
      <c r="P97" t="n">
        <v>-0.001667035906259561</v>
      </c>
      <c r="Q97" t="n">
        <v>-0.04218138882587208</v>
      </c>
      <c r="R97" t="n">
        <v>-0.01071638106008845</v>
      </c>
      <c r="S97" t="n">
        <v>-0.04218138882587208</v>
      </c>
      <c r="T97" t="n">
        <v>-0.001667035906259561</v>
      </c>
    </row>
    <row r="98">
      <c r="A98" s="93" t="n">
        <v>25934</v>
      </c>
      <c r="N98" t="n">
        <v>5072.996</v>
      </c>
      <c r="O98" t="n">
        <v>0.02715992789424762</v>
      </c>
      <c r="P98" t="n">
        <v>0.02697236849004174</v>
      </c>
      <c r="Q98" t="n">
        <v>0.1131463651735802</v>
      </c>
      <c r="R98" t="n">
        <v>0.02715992789424762</v>
      </c>
      <c r="S98" t="n">
        <v>0.1131463651735802</v>
      </c>
      <c r="T98" t="n">
        <v>0.02697236849004174</v>
      </c>
    </row>
    <row r="99">
      <c r="A99" s="93" t="n">
        <v>26024</v>
      </c>
      <c r="N99" t="n">
        <v>5100.447</v>
      </c>
      <c r="O99" t="n">
        <v>0.005411200797319773</v>
      </c>
      <c r="P99" t="n">
        <v>0.03106613002019493</v>
      </c>
      <c r="Q99" t="n">
        <v>0.02182112439459316</v>
      </c>
      <c r="R99" t="n">
        <v>0.005411200797319773</v>
      </c>
      <c r="S99" t="n">
        <v>0.02182112439459316</v>
      </c>
      <c r="T99" t="n">
        <v>0.03106613002019493</v>
      </c>
    </row>
    <row r="100">
      <c r="A100" s="93" t="n">
        <v>26115</v>
      </c>
      <c r="N100" t="n">
        <v>5142.422</v>
      </c>
      <c r="O100" t="n">
        <v>0.008229670850417514</v>
      </c>
      <c r="P100" t="n">
        <v>0.03005894810807793</v>
      </c>
      <c r="Q100" t="n">
        <v>0.03332728238206673</v>
      </c>
      <c r="R100" t="n">
        <v>0.008229670850417514</v>
      </c>
      <c r="S100" t="n">
        <v>0.03332728238206673</v>
      </c>
      <c r="T100" t="n">
        <v>0.03005894810807793</v>
      </c>
    </row>
    <row r="101">
      <c r="A101" s="93" t="n">
        <v>26207</v>
      </c>
      <c r="N101" t="n">
        <v>5154.547</v>
      </c>
      <c r="O101" t="n">
        <v>0.002357838388214737</v>
      </c>
      <c r="P101" t="n">
        <v>0.04367204800624914</v>
      </c>
      <c r="Q101" t="n">
        <v>0.009464762427640272</v>
      </c>
      <c r="R101" t="n">
        <v>0.002357838388214737</v>
      </c>
      <c r="S101" t="n">
        <v>0.009464762427640272</v>
      </c>
      <c r="T101" t="n">
        <v>0.04367204800624914</v>
      </c>
    </row>
    <row r="102">
      <c r="A102" s="93" t="n">
        <v>26299</v>
      </c>
      <c r="N102" t="n">
        <v>5249.337</v>
      </c>
      <c r="O102" t="n">
        <v>0.01838958884262785</v>
      </c>
      <c r="P102" t="n">
        <v>0.03476072127791947</v>
      </c>
      <c r="Q102" t="n">
        <v>0.075612407343296</v>
      </c>
      <c r="R102" t="n">
        <v>0.01838958884262785</v>
      </c>
      <c r="S102" t="n">
        <v>0.075612407343296</v>
      </c>
      <c r="T102" t="n">
        <v>0.03476072127791947</v>
      </c>
    </row>
    <row r="103">
      <c r="A103" s="93" t="n">
        <v>26390</v>
      </c>
      <c r="N103" t="n">
        <v>5368.485</v>
      </c>
      <c r="O103" t="n">
        <v>0.02269772354108704</v>
      </c>
      <c r="P103" t="n">
        <v>0.05255186457186979</v>
      </c>
      <c r="Q103" t="n">
        <v>0.09392905376229566</v>
      </c>
      <c r="R103" t="n">
        <v>0.02269772354108704</v>
      </c>
      <c r="S103" t="n">
        <v>0.09392905376229566</v>
      </c>
      <c r="T103" t="n">
        <v>0.05255186457186979</v>
      </c>
    </row>
    <row r="104">
      <c r="A104" s="93" t="n">
        <v>26481</v>
      </c>
      <c r="N104" t="n">
        <v>5419.184</v>
      </c>
      <c r="O104" t="n">
        <v>0.009443818880000693</v>
      </c>
      <c r="P104" t="n">
        <v>0.05381938705147121</v>
      </c>
      <c r="Q104" t="n">
        <v>0.03831376677928255</v>
      </c>
      <c r="R104" t="n">
        <v>0.009443818880000693</v>
      </c>
      <c r="S104" t="n">
        <v>0.03831376677928255</v>
      </c>
      <c r="T104" t="n">
        <v>0.05381938705147121</v>
      </c>
    </row>
    <row r="105">
      <c r="A105" s="93" t="n">
        <v>26573</v>
      </c>
      <c r="N105" t="n">
        <v>5509.926</v>
      </c>
      <c r="O105" t="n">
        <v>0.01674458737699258</v>
      </c>
      <c r="P105" t="n">
        <v>0.06894475887017829</v>
      </c>
      <c r="Q105" t="n">
        <v>0.06867949483058555</v>
      </c>
      <c r="R105" t="n">
        <v>0.01674458737699258</v>
      </c>
      <c r="S105" t="n">
        <v>0.06867949483058555</v>
      </c>
      <c r="T105" t="n">
        <v>0.06894475887017829</v>
      </c>
    </row>
    <row r="106">
      <c r="A106" s="93" t="n">
        <v>26665</v>
      </c>
      <c r="N106" t="n">
        <v>5646.286</v>
      </c>
      <c r="O106" t="n">
        <v>0.02474806376709953</v>
      </c>
      <c r="P106" t="n">
        <v>0.07561888291797604</v>
      </c>
      <c r="Q106" t="n">
        <v>0.1027280596009803</v>
      </c>
      <c r="R106" t="n">
        <v>0.02474806376709953</v>
      </c>
      <c r="S106" t="n">
        <v>0.1027280596009803</v>
      </c>
      <c r="T106" t="n">
        <v>0.07561888291797604</v>
      </c>
    </row>
    <row r="107">
      <c r="A107" s="93" t="n">
        <v>26755</v>
      </c>
      <c r="N107" t="n">
        <v>5707.755</v>
      </c>
      <c r="O107" t="n">
        <v>0.01088662529669947</v>
      </c>
      <c r="P107" t="n">
        <v>0.06319660015814527</v>
      </c>
      <c r="Q107" t="n">
        <v>0.04426278796636973</v>
      </c>
      <c r="R107" t="n">
        <v>0.01088662529669947</v>
      </c>
      <c r="S107" t="n">
        <v>0.04426278796636973</v>
      </c>
      <c r="T107" t="n">
        <v>0.06319660015814527</v>
      </c>
    </row>
    <row r="108">
      <c r="A108" s="93" t="n">
        <v>26846</v>
      </c>
      <c r="N108" t="n">
        <v>5677.738</v>
      </c>
      <c r="O108" t="n">
        <v>-0.005258985362896589</v>
      </c>
      <c r="P108" t="n">
        <v>0.04771087307609412</v>
      </c>
      <c r="Q108" t="n">
        <v>-0.02087058091389593</v>
      </c>
      <c r="R108" t="n">
        <v>-0.005258985362896589</v>
      </c>
      <c r="S108" t="n">
        <v>-0.02087058091389593</v>
      </c>
      <c r="T108" t="n">
        <v>0.04771087307609412</v>
      </c>
    </row>
    <row r="109">
      <c r="A109" s="93" t="n">
        <v>26938</v>
      </c>
      <c r="N109" t="n">
        <v>5731.632</v>
      </c>
      <c r="O109" t="n">
        <v>0.009492160434313687</v>
      </c>
      <c r="P109" t="n">
        <v>0.0402375639890625</v>
      </c>
      <c r="Q109" t="n">
        <v>0.03851267753048382</v>
      </c>
      <c r="R109" t="n">
        <v>0.009492160434313687</v>
      </c>
      <c r="S109" t="n">
        <v>0.03851267753048382</v>
      </c>
      <c r="T109" t="n">
        <v>0.0402375639890625</v>
      </c>
    </row>
    <row r="110">
      <c r="A110" s="93" t="n">
        <v>27030</v>
      </c>
      <c r="N110" t="n">
        <v>5682.353</v>
      </c>
      <c r="O110" t="n">
        <v>-0.008597725743732246</v>
      </c>
      <c r="P110" t="n">
        <v>0.006387738771999861</v>
      </c>
      <c r="Q110" t="n">
        <v>-0.03394991438893069</v>
      </c>
      <c r="R110" t="n">
        <v>-0.008597725743732246</v>
      </c>
      <c r="S110" t="n">
        <v>-0.03394991438893069</v>
      </c>
      <c r="T110" t="n">
        <v>0.006387738771999861</v>
      </c>
    </row>
    <row r="111">
      <c r="A111" s="93" t="n">
        <v>27120</v>
      </c>
      <c r="N111" t="n">
        <v>5695.859</v>
      </c>
      <c r="O111" t="n">
        <v>0.002376832273531812</v>
      </c>
      <c r="P111" t="n">
        <v>-0.002084181959456867</v>
      </c>
      <c r="Q111" t="n">
        <v>0.009541278826036503</v>
      </c>
      <c r="R111" t="n">
        <v>0.002376832273531812</v>
      </c>
      <c r="S111" t="n">
        <v>0.009541278826036503</v>
      </c>
      <c r="T111" t="n">
        <v>-0.002084181959456867</v>
      </c>
    </row>
    <row r="112">
      <c r="A112" s="93" t="n">
        <v>27211</v>
      </c>
      <c r="N112" t="n">
        <v>5642.025</v>
      </c>
      <c r="O112" t="n">
        <v>-0.009451427782885907</v>
      </c>
      <c r="P112" t="n">
        <v>-0.006290004928018983</v>
      </c>
      <c r="Q112" t="n">
        <v>-0.03727310339376178</v>
      </c>
      <c r="R112" t="n">
        <v>-0.009451427782885907</v>
      </c>
      <c r="S112" t="n">
        <v>-0.03727310339376178</v>
      </c>
      <c r="T112" t="n">
        <v>-0.006290004928018983</v>
      </c>
    </row>
    <row r="113">
      <c r="A113" s="93" t="n">
        <v>27303</v>
      </c>
      <c r="N113" t="n">
        <v>5620.126</v>
      </c>
      <c r="O113" t="n">
        <v>-0.003881407827863123</v>
      </c>
      <c r="P113" t="n">
        <v>-0.01945449393820109</v>
      </c>
      <c r="Q113" t="n">
        <v>-0.01543547302283976</v>
      </c>
      <c r="R113" t="n">
        <v>-0.003881407827863123</v>
      </c>
      <c r="S113" t="n">
        <v>-0.01543547302283976</v>
      </c>
      <c r="T113" t="n">
        <v>-0.01945449393820109</v>
      </c>
    </row>
    <row r="114">
      <c r="A114" s="93" t="n">
        <v>27395</v>
      </c>
      <c r="N114" t="n">
        <v>5551.713</v>
      </c>
      <c r="O114" t="n">
        <v>-0.01217285875797099</v>
      </c>
      <c r="P114" t="n">
        <v>-0.0229904759524796</v>
      </c>
      <c r="Q114" t="n">
        <v>-0.04780955715630564</v>
      </c>
      <c r="R114" t="n">
        <v>-0.01217285875797099</v>
      </c>
      <c r="S114" t="n">
        <v>-0.04780955715630564</v>
      </c>
      <c r="T114" t="n">
        <v>-0.0229904759524796</v>
      </c>
    </row>
    <row r="115">
      <c r="A115" s="93" t="n">
        <v>27485</v>
      </c>
      <c r="N115" t="n">
        <v>5591.382</v>
      </c>
      <c r="O115" t="n">
        <v>0.007145362161192387</v>
      </c>
      <c r="P115" t="n">
        <v>-0.01834262400105072</v>
      </c>
      <c r="Q115" t="n">
        <v>0.02888924771416268</v>
      </c>
      <c r="R115" t="n">
        <v>0.007145362161192387</v>
      </c>
      <c r="S115" t="n">
        <v>0.02888924771416268</v>
      </c>
      <c r="T115" t="n">
        <v>-0.01834262400105072</v>
      </c>
    </row>
    <row r="116">
      <c r="A116" s="93" t="n">
        <v>27576</v>
      </c>
      <c r="N116" t="n">
        <v>5687.087</v>
      </c>
      <c r="O116" t="n">
        <v>0.0171165196725963</v>
      </c>
      <c r="P116" t="n">
        <v>0.007986848693510009</v>
      </c>
      <c r="Q116" t="n">
        <v>0.07024407486532014</v>
      </c>
      <c r="R116" t="n">
        <v>0.0171165196725963</v>
      </c>
      <c r="S116" t="n">
        <v>0.07024407486532014</v>
      </c>
      <c r="T116" t="n">
        <v>0.007986848693510009</v>
      </c>
    </row>
    <row r="117">
      <c r="A117" s="93" t="n">
        <v>27668</v>
      </c>
      <c r="N117" t="n">
        <v>5763.665</v>
      </c>
      <c r="O117" t="n">
        <v>0.01346524151995556</v>
      </c>
      <c r="P117" t="n">
        <v>0.02554017472206135</v>
      </c>
      <c r="Q117" t="n">
        <v>0.05495864100802961</v>
      </c>
      <c r="R117" t="n">
        <v>0.01346524151995556</v>
      </c>
      <c r="S117" t="n">
        <v>0.05495864100802961</v>
      </c>
      <c r="T117" t="n">
        <v>0.02554017472206135</v>
      </c>
    </row>
    <row r="118">
      <c r="A118" s="93" t="n">
        <v>27760</v>
      </c>
      <c r="N118" t="n">
        <v>5893.276</v>
      </c>
      <c r="O118" t="n">
        <v>0.02248760120513595</v>
      </c>
      <c r="P118" t="n">
        <v>0.06152389361625864</v>
      </c>
      <c r="Q118" t="n">
        <v>0.09303030101174148</v>
      </c>
      <c r="R118" t="n">
        <v>0.02248760120513595</v>
      </c>
      <c r="S118" t="n">
        <v>0.09303030101174148</v>
      </c>
      <c r="T118" t="n">
        <v>0.06152389361625864</v>
      </c>
    </row>
    <row r="119">
      <c r="A119" s="93" t="n">
        <v>27851</v>
      </c>
      <c r="N119" t="n">
        <v>5936.515</v>
      </c>
      <c r="O119" t="n">
        <v>0.00733700576725076</v>
      </c>
      <c r="P119" t="n">
        <v>0.06172588458452682</v>
      </c>
      <c r="Q119" t="n">
        <v>0.02967259574123471</v>
      </c>
      <c r="R119" t="n">
        <v>0.00733700576725076</v>
      </c>
      <c r="S119" t="n">
        <v>0.02967259574123471</v>
      </c>
      <c r="T119" t="n">
        <v>0.06172588458452682</v>
      </c>
    </row>
    <row r="120">
      <c r="A120" s="93" t="n">
        <v>27942</v>
      </c>
      <c r="N120" t="n">
        <v>5969.089</v>
      </c>
      <c r="O120" t="n">
        <v>0.005487057642404611</v>
      </c>
      <c r="P120" t="n">
        <v>0.04958636996409576</v>
      </c>
      <c r="Q120" t="n">
        <v>0.02212953909849547</v>
      </c>
      <c r="R120" t="n">
        <v>0.005487057642404611</v>
      </c>
      <c r="S120" t="n">
        <v>0.02212953909849547</v>
      </c>
      <c r="T120" t="n">
        <v>0.04958636996409576</v>
      </c>
    </row>
    <row r="121">
      <c r="A121" s="93" t="n">
        <v>28034</v>
      </c>
      <c r="N121" t="n">
        <v>6012.356</v>
      </c>
      <c r="O121" t="n">
        <v>0.007248509780973248</v>
      </c>
      <c r="P121" t="n">
        <v>0.04314806637790361</v>
      </c>
      <c r="Q121" t="n">
        <v>0.02931081062144569</v>
      </c>
      <c r="R121" t="n">
        <v>0.007248509780973248</v>
      </c>
      <c r="S121" t="n">
        <v>0.02931081062144569</v>
      </c>
      <c r="T121" t="n">
        <v>0.04314806637790361</v>
      </c>
    </row>
    <row r="122">
      <c r="A122" s="93" t="n">
        <v>28126</v>
      </c>
      <c r="N122" t="n">
        <v>6083.391</v>
      </c>
      <c r="O122" t="n">
        <v>0.01181483598110289</v>
      </c>
      <c r="P122" t="n">
        <v>0.03225964641737461</v>
      </c>
      <c r="Q122" t="n">
        <v>0.04810350245376394</v>
      </c>
      <c r="R122" t="n">
        <v>0.01181483598110289</v>
      </c>
      <c r="S122" t="n">
        <v>0.04810350245376394</v>
      </c>
      <c r="T122" t="n">
        <v>0.03225964641737461</v>
      </c>
    </row>
    <row r="123">
      <c r="A123" s="93" t="n">
        <v>28216</v>
      </c>
      <c r="N123" t="n">
        <v>6201.659</v>
      </c>
      <c r="O123" t="n">
        <v>0.01944113077722606</v>
      </c>
      <c r="P123" t="n">
        <v>0.04466324097555541</v>
      </c>
      <c r="Q123" t="n">
        <v>0.08006180304607624</v>
      </c>
      <c r="R123" t="n">
        <v>0.01944113077722606</v>
      </c>
      <c r="S123" t="n">
        <v>0.08006180304607624</v>
      </c>
      <c r="T123" t="n">
        <v>0.04466324097555541</v>
      </c>
    </row>
    <row r="124">
      <c r="A124" s="93" t="n">
        <v>28307</v>
      </c>
      <c r="N124" t="n">
        <v>6313.559</v>
      </c>
      <c r="O124" t="n">
        <v>0.01804355898961884</v>
      </c>
      <c r="P124" t="n">
        <v>0.05770897368090847</v>
      </c>
      <c r="Q124" t="n">
        <v>0.07415125984790261</v>
      </c>
      <c r="R124" t="n">
        <v>0.01804355898961884</v>
      </c>
      <c r="S124" t="n">
        <v>0.07415125984790261</v>
      </c>
      <c r="T124" t="n">
        <v>0.05770897368090847</v>
      </c>
    </row>
    <row r="125">
      <c r="A125" s="93" t="n">
        <v>28399</v>
      </c>
      <c r="N125" t="n">
        <v>6313.697</v>
      </c>
      <c r="O125" t="n">
        <v>2.185771923568307e-05</v>
      </c>
      <c r="P125" t="n">
        <v>0.05012028562513603</v>
      </c>
      <c r="Q125" t="n">
        <v>8.743374354391875e-05</v>
      </c>
      <c r="R125" t="n">
        <v>2.185771923568307e-05</v>
      </c>
      <c r="S125" t="n">
        <v>8.743374354391875e-05</v>
      </c>
      <c r="T125" t="n">
        <v>0.05012028562513603</v>
      </c>
    </row>
    <row r="126">
      <c r="A126" s="93" t="n">
        <v>28491</v>
      </c>
      <c r="N126" t="n">
        <v>6333.848</v>
      </c>
      <c r="O126" t="n">
        <v>0.003191632414415807</v>
      </c>
      <c r="P126" t="n">
        <v>0.04117062342367939</v>
      </c>
      <c r="Q126" t="n">
        <v>0.01282777891271847</v>
      </c>
      <c r="R126" t="n">
        <v>0.003191632414415807</v>
      </c>
      <c r="S126" t="n">
        <v>0.01282777891271847</v>
      </c>
      <c r="T126" t="n">
        <v>0.04117062342367939</v>
      </c>
    </row>
    <row r="127">
      <c r="A127" s="93" t="n">
        <v>28581</v>
      </c>
      <c r="N127" t="n">
        <v>6578.605</v>
      </c>
      <c r="O127" t="n">
        <v>0.03864270187727897</v>
      </c>
      <c r="P127" t="n">
        <v>0.06078147798838987</v>
      </c>
      <c r="Q127" t="n">
        <v>0.1637634019380503</v>
      </c>
      <c r="R127" t="n">
        <v>0.03864270187727897</v>
      </c>
      <c r="S127" t="n">
        <v>0.1637634019380503</v>
      </c>
      <c r="T127" t="n">
        <v>0.06078147798838987</v>
      </c>
    </row>
    <row r="128">
      <c r="A128" s="93" t="n">
        <v>28672</v>
      </c>
      <c r="N128" t="n">
        <v>6644.754</v>
      </c>
      <c r="O128" t="n">
        <v>0.010055171271113</v>
      </c>
      <c r="P128" t="n">
        <v>0.05245773421932062</v>
      </c>
      <c r="Q128" t="n">
        <v>0.0408314006941799</v>
      </c>
      <c r="R128" t="n">
        <v>0.010055171271113</v>
      </c>
      <c r="S128" t="n">
        <v>0.0408314006941799</v>
      </c>
      <c r="T128" t="n">
        <v>0.05245773421932062</v>
      </c>
    </row>
    <row r="129">
      <c r="A129" s="93" t="n">
        <v>28764</v>
      </c>
      <c r="N129" t="n">
        <v>6734.069</v>
      </c>
      <c r="O129" t="n">
        <v>0.01344143063836532</v>
      </c>
      <c r="P129" t="n">
        <v>0.06658095882650059</v>
      </c>
      <c r="Q129" t="n">
        <v>0.05485950150521157</v>
      </c>
      <c r="R129" t="n">
        <v>0.01344143063836532</v>
      </c>
      <c r="S129" t="n">
        <v>0.05485950150521157</v>
      </c>
      <c r="T129" t="n">
        <v>0.06658095882650059</v>
      </c>
    </row>
    <row r="130">
      <c r="A130" s="93" t="n">
        <v>28856</v>
      </c>
      <c r="N130" t="n">
        <v>6746.176</v>
      </c>
      <c r="O130" t="n">
        <v>0.001797872875968448</v>
      </c>
      <c r="P130" t="n">
        <v>0.06509913089167918</v>
      </c>
      <c r="Q130" t="n">
        <v>0.007210908840985741</v>
      </c>
      <c r="R130" t="n">
        <v>0.001797872875968448</v>
      </c>
      <c r="S130" t="n">
        <v>0.007210908840985741</v>
      </c>
      <c r="T130" t="n">
        <v>0.06509913089167918</v>
      </c>
    </row>
    <row r="131">
      <c r="A131" s="93" t="n">
        <v>28946</v>
      </c>
      <c r="N131" t="n">
        <v>6753.389</v>
      </c>
      <c r="O131" t="n">
        <v>0.001069198313236971</v>
      </c>
      <c r="P131" t="n">
        <v>0.02656855062737474</v>
      </c>
      <c r="Q131" t="n">
        <v>0.0042836572536189</v>
      </c>
      <c r="R131" t="n">
        <v>0.001069198313236971</v>
      </c>
      <c r="S131" t="n">
        <v>0.0042836572536189</v>
      </c>
      <c r="T131" t="n">
        <v>0.02656855062737474</v>
      </c>
    </row>
    <row r="132">
      <c r="A132" s="93" t="n">
        <v>29037</v>
      </c>
      <c r="N132" t="n">
        <v>6803.558</v>
      </c>
      <c r="O132" t="n">
        <v>0.007428714679400205</v>
      </c>
      <c r="P132" t="n">
        <v>0.02389915412970895</v>
      </c>
      <c r="Q132" t="n">
        <v>0.03004761641210396</v>
      </c>
      <c r="R132" t="n">
        <v>0.007428714679400205</v>
      </c>
      <c r="S132" t="n">
        <v>0.03004761641210396</v>
      </c>
      <c r="T132" t="n">
        <v>0.02389915412970895</v>
      </c>
    </row>
    <row r="133">
      <c r="A133" s="93" t="n">
        <v>29129</v>
      </c>
      <c r="N133" t="n">
        <v>6820.572</v>
      </c>
      <c r="O133" t="n">
        <v>0.002500750342688359</v>
      </c>
      <c r="P133" t="n">
        <v>0.01284557672337478</v>
      </c>
      <c r="Q133" t="n">
        <v>0.01004058647981432</v>
      </c>
      <c r="R133" t="n">
        <v>0.002500750342688359</v>
      </c>
      <c r="S133" t="n">
        <v>0.01004058647981432</v>
      </c>
      <c r="T133" t="n">
        <v>0.01284557672337478</v>
      </c>
    </row>
    <row r="134">
      <c r="A134" s="93" t="n">
        <v>29221</v>
      </c>
      <c r="N134" t="n">
        <v>6842.024</v>
      </c>
      <c r="O134" t="n">
        <v>0.003145190755262202</v>
      </c>
      <c r="P134" t="n">
        <v>0.01420775265869138</v>
      </c>
      <c r="Q134" t="n">
        <v>0.01264024091996396</v>
      </c>
      <c r="R134" t="n">
        <v>0.003145190755262202</v>
      </c>
      <c r="S134" t="n">
        <v>0.01264024091996396</v>
      </c>
      <c r="T134" t="n">
        <v>0.01420775265869138</v>
      </c>
    </row>
    <row r="135">
      <c r="A135" s="93" t="n">
        <v>29312</v>
      </c>
      <c r="N135" t="n">
        <v>6701.046</v>
      </c>
      <c r="O135" t="n">
        <v>-0.02060472164377091</v>
      </c>
      <c r="P135" t="n">
        <v>-0.007750627129578919</v>
      </c>
      <c r="Q135" t="n">
        <v>-0.07990637031804315</v>
      </c>
      <c r="R135" t="n">
        <v>-0.02060472164377091</v>
      </c>
      <c r="S135" t="n">
        <v>-0.07990637031804315</v>
      </c>
      <c r="T135" t="n">
        <v>-0.007750627129578919</v>
      </c>
    </row>
    <row r="136">
      <c r="A136" s="93" t="n">
        <v>29403</v>
      </c>
      <c r="N136" t="n">
        <v>6693.082</v>
      </c>
      <c r="O136" t="n">
        <v>-0.001188471173007907</v>
      </c>
      <c r="P136" t="n">
        <v>-0.01623797430697286</v>
      </c>
      <c r="Q136" t="n">
        <v>-0.004745416622351839</v>
      </c>
      <c r="R136" t="n">
        <v>-0.001188471173007907</v>
      </c>
      <c r="S136" t="n">
        <v>-0.004745416622351839</v>
      </c>
      <c r="T136" t="n">
        <v>-0.01623797430697286</v>
      </c>
    </row>
    <row r="137">
      <c r="A137" s="93" t="n">
        <v>29495</v>
      </c>
      <c r="N137" t="n">
        <v>6817.903</v>
      </c>
      <c r="O137" t="n">
        <v>0.01864925605274221</v>
      </c>
      <c r="P137" t="n">
        <v>-0.0003913161535425283</v>
      </c>
      <c r="Q137" t="n">
        <v>0.07670985813356723</v>
      </c>
      <c r="R137" t="n">
        <v>0.01864925605274221</v>
      </c>
      <c r="S137" t="n">
        <v>0.07670985813356723</v>
      </c>
      <c r="T137" t="n">
        <v>-0.0003913161535425283</v>
      </c>
    </row>
    <row r="138">
      <c r="A138" s="93" t="n">
        <v>29587</v>
      </c>
      <c r="N138" t="n">
        <v>6951.495</v>
      </c>
      <c r="O138" t="n">
        <v>0.01959429460935417</v>
      </c>
      <c r="P138" t="n">
        <v>0.0159997977206744</v>
      </c>
      <c r="Q138" t="n">
        <v>0.08071103598225138</v>
      </c>
      <c r="R138" t="n">
        <v>0.01959429460935417</v>
      </c>
      <c r="S138" t="n">
        <v>0.08071103598225138</v>
      </c>
      <c r="T138" t="n">
        <v>0.0159997977206744</v>
      </c>
    </row>
    <row r="139">
      <c r="A139" s="93" t="n">
        <v>29677</v>
      </c>
      <c r="N139" t="n">
        <v>6899.98</v>
      </c>
      <c r="O139" t="n">
        <v>-0.00741063612935064</v>
      </c>
      <c r="P139" t="n">
        <v>0.02968700707322398</v>
      </c>
      <c r="Q139" t="n">
        <v>-0.02931466422968176</v>
      </c>
      <c r="R139" t="n">
        <v>-0.00741063612935064</v>
      </c>
      <c r="S139" t="n">
        <v>-0.02931466422968176</v>
      </c>
      <c r="T139" t="n">
        <v>0.02968700707322398</v>
      </c>
    </row>
    <row r="140">
      <c r="A140" s="93" t="n">
        <v>29768</v>
      </c>
      <c r="N140" t="n">
        <v>6982.609</v>
      </c>
      <c r="O140" t="n">
        <v>0.01197525210218013</v>
      </c>
      <c r="P140" t="n">
        <v>0.04325765021256277</v>
      </c>
      <c r="Q140" t="n">
        <v>0.04876833827542182</v>
      </c>
      <c r="R140" t="n">
        <v>0.01197525210218013</v>
      </c>
      <c r="S140" t="n">
        <v>0.04876833827542182</v>
      </c>
      <c r="T140" t="n">
        <v>0.04325765021256277</v>
      </c>
    </row>
    <row r="141">
      <c r="A141" s="93" t="n">
        <v>29860</v>
      </c>
      <c r="N141" t="n">
        <v>6906.529</v>
      </c>
      <c r="O141" t="n">
        <v>-0.010895640870053</v>
      </c>
      <c r="P141" t="n">
        <v>0.01299901157291328</v>
      </c>
      <c r="Q141" t="n">
        <v>-0.04287543335073463</v>
      </c>
      <c r="R141" t="n">
        <v>-0.010895640870053</v>
      </c>
      <c r="S141" t="n">
        <v>-0.04287543335073463</v>
      </c>
      <c r="T141" t="n">
        <v>0.01299901157291328</v>
      </c>
    </row>
    <row r="142">
      <c r="A142" s="93" t="n">
        <v>29952</v>
      </c>
      <c r="N142" t="n">
        <v>6799.233</v>
      </c>
      <c r="O142" t="n">
        <v>-0.01553544479433885</v>
      </c>
      <c r="P142" t="n">
        <v>-0.02190348982485059</v>
      </c>
      <c r="Q142" t="n">
        <v>-0.06070861857896181</v>
      </c>
      <c r="R142" t="n">
        <v>-0.01553544479433885</v>
      </c>
      <c r="S142" t="n">
        <v>-0.06070861857896181</v>
      </c>
      <c r="T142" t="n">
        <v>-0.02190348982485059</v>
      </c>
    </row>
    <row r="143">
      <c r="A143" s="93" t="n">
        <v>30042</v>
      </c>
      <c r="N143" t="n">
        <v>6830.251</v>
      </c>
      <c r="O143" t="n">
        <v>0.004561985153325386</v>
      </c>
      <c r="P143" t="n">
        <v>-0.01010568146574329</v>
      </c>
      <c r="Q143" t="n">
        <v>0.01837319106848523</v>
      </c>
      <c r="R143" t="n">
        <v>0.004561985153325386</v>
      </c>
      <c r="S143" t="n">
        <v>0.01837319106848523</v>
      </c>
      <c r="T143" t="n">
        <v>-0.01010568146574329</v>
      </c>
    </row>
    <row r="144">
      <c r="A144" s="93" t="n">
        <v>30133</v>
      </c>
      <c r="N144" t="n">
        <v>6804.139</v>
      </c>
      <c r="O144" t="n">
        <v>-0.00382299274214082</v>
      </c>
      <c r="P144" t="n">
        <v>-0.02555921432805421</v>
      </c>
      <c r="Q144" t="n">
        <v>-0.01520450261025641</v>
      </c>
      <c r="R144" t="n">
        <v>-0.00382299274214082</v>
      </c>
      <c r="S144" t="n">
        <v>-0.01520450261025641</v>
      </c>
      <c r="T144" t="n">
        <v>-0.02555921432805421</v>
      </c>
    </row>
    <row r="145">
      <c r="A145" s="93" t="n">
        <v>30225</v>
      </c>
      <c r="N145" t="n">
        <v>6806.857</v>
      </c>
      <c r="O145" t="n">
        <v>0.0003994627387829448</v>
      </c>
      <c r="P145" t="n">
        <v>-0.01443156178740442</v>
      </c>
      <c r="Q145" t="n">
        <v>0.001598808633004989</v>
      </c>
      <c r="R145" t="n">
        <v>0.0003994627387829448</v>
      </c>
      <c r="S145" t="n">
        <v>0.001598808633004989</v>
      </c>
      <c r="T145" t="n">
        <v>-0.01443156178740442</v>
      </c>
    </row>
    <row r="146">
      <c r="A146" s="93" t="n">
        <v>30317</v>
      </c>
      <c r="N146" t="n">
        <v>6896.561</v>
      </c>
      <c r="O146" t="n">
        <v>0.01317847576348375</v>
      </c>
      <c r="P146" t="n">
        <v>0.01431455577415857</v>
      </c>
      <c r="Q146" t="n">
        <v>0.05376512149741908</v>
      </c>
      <c r="R146" t="n">
        <v>0.01317847576348375</v>
      </c>
      <c r="S146" t="n">
        <v>0.05376512149741908</v>
      </c>
      <c r="T146" t="n">
        <v>0.01431455577415857</v>
      </c>
    </row>
    <row r="147">
      <c r="A147" s="93" t="n">
        <v>30407</v>
      </c>
      <c r="N147" t="n">
        <v>7053.5</v>
      </c>
      <c r="O147" t="n">
        <v>0.02275612439301274</v>
      </c>
      <c r="P147" t="n">
        <v>0.03268532884077024</v>
      </c>
      <c r="Q147" t="n">
        <v>0.09417894915071301</v>
      </c>
      <c r="R147" t="n">
        <v>0.02275612439301274</v>
      </c>
      <c r="S147" t="n">
        <v>0.09417894915071301</v>
      </c>
      <c r="T147" t="n">
        <v>0.03268532884077024</v>
      </c>
    </row>
    <row r="148">
      <c r="A148" s="93" t="n">
        <v>30498</v>
      </c>
      <c r="N148" t="n">
        <v>7194.504</v>
      </c>
      <c r="O148" t="n">
        <v>0.01999064294321967</v>
      </c>
      <c r="P148" t="n">
        <v>0.05737169684511145</v>
      </c>
      <c r="Q148" t="n">
        <v>0.08239244141250013</v>
      </c>
      <c r="R148" t="n">
        <v>0.01999064294321967</v>
      </c>
      <c r="S148" t="n">
        <v>0.08239244141250013</v>
      </c>
      <c r="T148" t="n">
        <v>0.05737169684511145</v>
      </c>
    </row>
    <row r="149">
      <c r="A149" s="93" t="n">
        <v>30590</v>
      </c>
      <c r="N149" t="n">
        <v>7344.597</v>
      </c>
      <c r="O149" t="n">
        <v>0.02086217479342563</v>
      </c>
      <c r="P149" t="n">
        <v>0.07899974981110956</v>
      </c>
      <c r="Q149" t="n">
        <v>0.08609659002729053</v>
      </c>
      <c r="R149" t="n">
        <v>0.02086217479342563</v>
      </c>
      <c r="S149" t="n">
        <v>0.08609659002729053</v>
      </c>
      <c r="T149" t="n">
        <v>0.07899974981110956</v>
      </c>
    </row>
    <row r="150">
      <c r="A150" s="93" t="n">
        <v>30682</v>
      </c>
      <c r="N150" t="n">
        <v>7488.167</v>
      </c>
      <c r="O150" t="n">
        <v>0.01954770288962085</v>
      </c>
      <c r="P150" t="n">
        <v>0.08578275462219513</v>
      </c>
      <c r="Q150" t="n">
        <v>0.08051351139935758</v>
      </c>
      <c r="R150" t="n">
        <v>0.01954770288962085</v>
      </c>
      <c r="S150" t="n">
        <v>0.08051351139935758</v>
      </c>
      <c r="T150" t="n">
        <v>0.08578275462219513</v>
      </c>
    </row>
    <row r="151">
      <c r="A151" s="93" t="n">
        <v>30773</v>
      </c>
      <c r="N151" t="n">
        <v>7617.547</v>
      </c>
      <c r="O151" t="n">
        <v>0.01727792662743756</v>
      </c>
      <c r="P151" t="n">
        <v>0.07996696675409365</v>
      </c>
      <c r="Q151" t="n">
        <v>0.0709235878122596</v>
      </c>
      <c r="R151" t="n">
        <v>0.01727792662743756</v>
      </c>
      <c r="S151" t="n">
        <v>0.0709235878122596</v>
      </c>
      <c r="T151" t="n">
        <v>0.07996696675409365</v>
      </c>
    </row>
    <row r="152">
      <c r="A152" s="93" t="n">
        <v>30864</v>
      </c>
      <c r="N152" t="n">
        <v>7690.985</v>
      </c>
      <c r="O152" t="n">
        <v>0.00964063628357004</v>
      </c>
      <c r="P152" t="n">
        <v>0.06900837083418117</v>
      </c>
      <c r="Q152" t="n">
        <v>0.03912378905516167</v>
      </c>
      <c r="R152" t="n">
        <v>0.00964063628357004</v>
      </c>
      <c r="S152" t="n">
        <v>0.03912378905516167</v>
      </c>
      <c r="T152" t="n">
        <v>0.06900837083418117</v>
      </c>
    </row>
    <row r="153">
      <c r="A153" s="93" t="n">
        <v>30956</v>
      </c>
      <c r="N153" t="n">
        <v>7754.117</v>
      </c>
      <c r="O153" t="n">
        <v>0.008208571463863279</v>
      </c>
      <c r="P153" t="n">
        <v>0.05575799461835693</v>
      </c>
      <c r="Q153" t="n">
        <v>0.03324078666384356</v>
      </c>
      <c r="R153" t="n">
        <v>0.008208571463863279</v>
      </c>
      <c r="S153" t="n">
        <v>0.03324078666384356</v>
      </c>
      <c r="T153" t="n">
        <v>0.05575799461835693</v>
      </c>
    </row>
    <row r="154">
      <c r="A154" s="93" t="n">
        <v>31048</v>
      </c>
      <c r="M154" t="n">
        <v>179.6300048828125</v>
      </c>
      <c r="N154" t="n">
        <v>7829.26</v>
      </c>
      <c r="O154" t="n">
        <v>0.00969072300559819</v>
      </c>
      <c r="P154" t="n">
        <v>0.04555093389343478</v>
      </c>
      <c r="Q154" t="n">
        <v>0.03933000174327517</v>
      </c>
      <c r="R154" t="n">
        <v>0.00969072300559819</v>
      </c>
      <c r="S154" t="n">
        <v>0.03933000174327517</v>
      </c>
      <c r="T154" t="n">
        <v>0.04555093389343478</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c r="R157" t="n">
        <v>0.008804663531419342</v>
      </c>
      <c r="S157" t="n">
        <v>0.03568652295878616</v>
      </c>
      <c r="T157" t="n">
        <v>0.03684217504663914</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c r="R160" t="n">
        <v>0.01527121263417938</v>
      </c>
      <c r="S160" t="n">
        <v>0.06249841012954405</v>
      </c>
      <c r="T160" t="n">
        <v>0.04262444927405274</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c r="R163" t="n">
        <v>0.007433273444971662</v>
      </c>
      <c r="S163" t="n">
        <v>0.03006626101659382</v>
      </c>
      <c r="T163" t="n">
        <v>0.04182268593574223</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c r="R166" t="n">
        <v>0.009335247075075961</v>
      </c>
      <c r="S166" t="n">
        <v>0.0378671310716483</v>
      </c>
      <c r="T166" t="n">
        <v>0.04145589749222781</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c r="R169" t="n">
        <v>0.004503773625863378</v>
      </c>
      <c r="S169" t="n">
        <v>0.01813716419389122</v>
      </c>
      <c r="T169" t="n">
        <v>0.03701580386604827</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c r="R172" t="n">
        <v>0.009569928864379325</v>
      </c>
      <c r="S172" t="n">
        <v>0.03883273086767081</v>
      </c>
      <c r="T172" t="n">
        <v>0.03119241273859987</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c r="R175" t="n">
        <v>0.005369857182333668</v>
      </c>
      <c r="S175" t="n">
        <v>0.02165306112495746</v>
      </c>
      <c r="T175" t="n">
        <v>0.02908033320892772</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c r="R178" t="n">
        <v>0.007450196299007655</v>
      </c>
      <c r="S178" t="n">
        <v>0.03013547493148994</v>
      </c>
      <c r="T178" t="n">
        <v>0.02715840619174129</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c r="R181" t="n">
        <v>0.01078842316084223</v>
      </c>
      <c r="S181" t="n">
        <v>0.04385706929729549</v>
      </c>
      <c r="T181" t="n">
        <v>0.03358479379655969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c r="R184" t="n">
        <v>0.008675668556268291</v>
      </c>
      <c r="S184" t="n">
        <v>0.03515689521360321</v>
      </c>
      <c r="T184" t="n">
        <v>0.03266926151916798</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c r="R187" t="n">
        <v>0.01717036095830037</v>
      </c>
      <c r="S187" t="n">
        <v>0.07047070727767069</v>
      </c>
      <c r="T187" t="n">
        <v>0.04479019137679711</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c r="R190" t="n">
        <v>0.005166541671857194</v>
      </c>
      <c r="S190" t="n">
        <v>0.02082687796218141</v>
      </c>
      <c r="T190" t="n">
        <v>0.04242189568962163</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c r="R193" t="n">
        <v>0.01313900617474086</v>
      </c>
      <c r="S193" t="n">
        <v>0.0536009283304526</v>
      </c>
      <c r="T193" t="n">
        <v>0.0448460421728804</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c r="R196" t="n">
        <v>0.005859283143099971</v>
      </c>
      <c r="S196" t="n">
        <v>0.02364392556959816</v>
      </c>
      <c r="T196" t="n">
        <v>0.04192866323342976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c r="R199" t="n">
        <v>0.01332500553269732</v>
      </c>
      <c r="S199" t="n">
        <v>0.05437485201812042</v>
      </c>
      <c r="T199" t="n">
        <v>0.03798971043649484</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c r="R202" t="n">
        <v>0.01016597673759032</v>
      </c>
      <c r="S202" t="n">
        <v>0.04128820262532429</v>
      </c>
      <c r="T202" t="n">
        <v>0.04315239934533486</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c r="R205" t="n">
        <v>0.007632656565920425</v>
      </c>
      <c r="S205" t="n">
        <v>0.03088195297144991</v>
      </c>
      <c r="T205" t="n">
        <v>0.03748292874843969</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c r="R208" t="n">
        <v>0.007408769937583154</v>
      </c>
      <c r="S208" t="n">
        <v>0.02996604866089259</v>
      </c>
      <c r="T208" t="n">
        <v>0.03908113052928337</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c r="R211" t="n">
        <v>0.001970509742973655</v>
      </c>
      <c r="S211" t="n">
        <v>0.007905367044091838</v>
      </c>
      <c r="T211" t="n">
        <v>0.02743803255246614</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c r="R214" t="n">
        <v>0.01092795415929108</v>
      </c>
      <c r="S214" t="n">
        <v>0.04443357206409249</v>
      </c>
      <c r="T214" t="n">
        <v>0.02821303844360694</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c r="R217" t="n">
        <v>0.003629117904577434</v>
      </c>
      <c r="S217" t="n">
        <v>0.01459568596150662</v>
      </c>
      <c r="T217" t="n">
        <v>0.02412772955183759</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c r="R220" t="n">
        <v>0.0006651243216418434</v>
      </c>
      <c r="S220" t="n">
        <v>0.002663152805920666</v>
      </c>
      <c r="T220" t="n">
        <v>0.01727216636869786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c r="R223" t="n">
        <v>-0.009103945411629843</v>
      </c>
      <c r="S223" t="n">
        <v>-0.03592150205110989</v>
      </c>
      <c r="T223" t="n">
        <v>0.006028586964982286</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c r="R226" t="n">
        <v>-0.004678675840305243</v>
      </c>
      <c r="S226" t="n">
        <v>-0.01858377250133569</v>
      </c>
      <c r="T226" t="n">
        <v>-0.009502406971016092</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c r="R229" t="n">
        <v>0.007797180375009856</v>
      </c>
      <c r="S229" t="n">
        <v>0.03155539747719072</v>
      </c>
      <c r="T229" t="n">
        <v>-0.005388879602283176</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c r="R232" t="n">
        <v>0.005053384308288108</v>
      </c>
      <c r="S232" t="n">
        <v>0.02036727422997253</v>
      </c>
      <c r="T232" t="n">
        <v>-0.001027168500506232</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c r="R235" t="n">
        <v>0.003485639022466963</v>
      </c>
      <c r="S235" t="n">
        <v>0.01401562371143839</v>
      </c>
      <c r="T235" t="n">
        <v>0.01166503342248571</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c r="R238" t="n">
        <v>0.0119715757414335</v>
      </c>
      <c r="S238" t="n">
        <v>0.04875309825949259</v>
      </c>
      <c r="T238" t="n">
        <v>0.02858869105350608</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c r="R241" t="n">
        <v>0.0108432060394674</v>
      </c>
      <c r="S241" t="n">
        <v>0.04408338824994829</v>
      </c>
      <c r="T241" t="n">
        <v>0.03169755820667069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c r="R244" t="n">
        <v>0.009881071886633277</v>
      </c>
      <c r="S244" t="n">
        <v>0.04011396954581614</v>
      </c>
      <c r="T244" t="n">
        <v>0.03665322878509601</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c r="R247" t="n">
        <v>0.01042879871365018</v>
      </c>
      <c r="S247" t="n">
        <v>0.04237230267698999</v>
      </c>
      <c r="T247" t="n">
        <v>0.04382587643638389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c r="R250" t="n">
        <v>0.001669790919454932</v>
      </c>
      <c r="S250" t="n">
        <v>0.006695911518737718</v>
      </c>
      <c r="T250" t="n">
        <v>0.03319981753469755</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c r="R253" t="n">
        <v>0.005821134532830724</v>
      </c>
      <c r="S253" t="n">
        <v>0.02348864193376721</v>
      </c>
      <c r="T253" t="n">
        <v>0.02806667390440774</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c r="R256" t="n">
        <v>0.004771565873036193</v>
      </c>
      <c r="S256" t="n">
        <v>0.01922330560881425</v>
      </c>
      <c r="T256" t="n">
        <v>0.02286515760815716</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c r="R259" t="n">
        <v>0.01360075560087943</v>
      </c>
      <c r="S259" t="n">
        <v>0.05552300343997651</v>
      </c>
      <c r="T259" t="n">
        <v>0.02607615494464687</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c r="R262" t="n">
        <v>0.009703128401259713</v>
      </c>
      <c r="S262" t="n">
        <v>0.03938108089937553</v>
      </c>
      <c r="T262" t="n">
        <v>0.03430523014430593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c r="R265" t="n">
        <v>0.01355099752455496</v>
      </c>
      <c r="S265" t="n">
        <v>0.05531575447492609</v>
      </c>
      <c r="T265" t="n">
        <v>0.0422539970235709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c r="R268" t="n">
        <v>0.005845360161300549</v>
      </c>
      <c r="S268" t="n">
        <v>0.02358725012773033</v>
      </c>
      <c r="T268" t="n">
        <v>0.04336784859634325</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c r="R271" t="n">
        <v>0.01145518264658748</v>
      </c>
      <c r="S271" t="n">
        <v>0.04661408771384168</v>
      </c>
      <c r="T271" t="n">
        <v>0.04115926516252467</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c r="R274" t="n">
        <v>0.003546954702204828</v>
      </c>
      <c r="S274" t="n">
        <v>0.01426348278840983</v>
      </c>
      <c r="T274" t="n">
        <v>0.0348113029700438</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c r="R277" t="n">
        <v>0.002983056990776784</v>
      </c>
      <c r="S277" t="n">
        <v>0.01198572599682368</v>
      </c>
      <c r="T277" t="n">
        <v>0.02402168869293488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c r="R280" t="n">
        <v>0.008506648680937822</v>
      </c>
      <c r="S280" t="n">
        <v>0.03446324065976714</v>
      </c>
      <c r="T280" t="n">
        <v>0.02673106855580074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c r="R283" t="n">
        <v>0.006790365355671227</v>
      </c>
      <c r="S283" t="n">
        <v>0.02743937030821075</v>
      </c>
      <c r="T283" t="n">
        <v>0.02199579909068443</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c r="R286" t="n">
        <v>0.007489713290041279</v>
      </c>
      <c r="S286" t="n">
        <v>0.03029711170389682</v>
      </c>
      <c r="T286" t="n">
        <v>0.02601103992691744</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c r="R289" t="n">
        <v>0.0166788394735952</v>
      </c>
      <c r="S289" t="n">
        <v>0.06840309652184429</v>
      </c>
      <c r="T289" t="n">
        <v>0.04002127063806155</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c r="R292" t="n">
        <v>0.008970109358134323</v>
      </c>
      <c r="S292" t="n">
        <v>0.03636610812087238</v>
      </c>
      <c r="T292" t="n">
        <v>0.04049921390498906</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c r="R295" t="n">
        <v>0.01038397649121684</v>
      </c>
      <c r="S295" t="n">
        <v>0.04218735808893692</v>
      </c>
      <c r="T295" t="n">
        <v>0.0442131445208174</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c r="R298" t="n">
        <v>0.006455607769440447</v>
      </c>
      <c r="S298" t="n">
        <v>0.02607355819109536</v>
      </c>
      <c r="T298" t="n">
        <v>0.04314134541141839</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c r="R301" t="n">
        <v>0.01661978105089011</v>
      </c>
      <c r="S301" t="n">
        <v>0.06815486590490871</v>
      </c>
      <c r="T301" t="n">
        <v>0.04308074979348425</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c r="R304" t="n">
        <v>0.01250778573313949</v>
      </c>
      <c r="S304" t="n">
        <v>0.05097766273852433</v>
      </c>
      <c r="T304" t="n">
        <v>0.04673802575393323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c r="R307" t="n">
        <v>0.008587435626066455</v>
      </c>
      <c r="S307" t="n">
        <v>0.03479474533539229</v>
      </c>
      <c r="T307" t="n">
        <v>0.04487684457714512</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c r="R310" t="n">
        <v>0.009993754010374081</v>
      </c>
      <c r="S310" t="n">
        <v>0.04057826924134789</v>
      </c>
      <c r="T310" t="n">
        <v>0.04855005882657688</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c r="R313" t="n">
        <v>0.009258205069039573</v>
      </c>
      <c r="S313" t="n">
        <v>0.03755028803424176</v>
      </c>
      <c r="T313" t="n">
        <v>0.04095726841200665</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c r="R316" t="n">
        <v>0.01252764552668854</v>
      </c>
      <c r="S316" t="n">
        <v>0.05106012260225734</v>
      </c>
      <c r="T316" t="n">
        <v>0.04097768622679814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c r="R319" t="n">
        <v>0.01616190702337028</v>
      </c>
      <c r="S319" t="n">
        <v>0.06623182618291334</v>
      </c>
      <c r="T319" t="n">
        <v>0.04879540775598017</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c r="R322" t="n">
        <v>0.009438266145912767</v>
      </c>
      <c r="S322" t="n">
        <v>0.03829092080185514</v>
      </c>
      <c r="T322" t="n">
        <v>0.0482185793162023</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c r="R325" t="n">
        <v>0.008350000298127901</v>
      </c>
      <c r="S325" t="n">
        <v>0.03382066981536092</v>
      </c>
      <c r="T325" t="n">
        <v>0.04727531513473537</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c r="R328" t="n">
        <v>0.01323027026128614</v>
      </c>
      <c r="S328" t="n">
        <v>0.05398061530001885</v>
      </c>
      <c r="T328" t="n">
        <v>0.04800205236862531</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c r="R331" t="n">
        <v>0.01642779005040782</v>
      </c>
      <c r="S331" t="n">
        <v>0.06734820036933864</v>
      </c>
      <c r="T331" t="n">
        <v>0.04827626650330151</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c r="R334" t="n">
        <v>0.003644473611337272</v>
      </c>
      <c r="S334" t="n">
        <v>0.0146577813755211</v>
      </c>
      <c r="T334" t="n">
        <v>0.04225955858689924</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c r="R337" t="n">
        <v>0.01820583008355766</v>
      </c>
      <c r="S337" t="n">
        <v>0.07483628114231911</v>
      </c>
      <c r="T337" t="n">
        <v>0.05244682768853312</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c r="R340" t="n">
        <v>0.0009977412825952132</v>
      </c>
      <c r="S340" t="n">
        <v>0.003996942030330519</v>
      </c>
      <c r="T340" t="n">
        <v>0.03974084495579121</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c r="R343" t="n">
        <v>0.005943617551420755</v>
      </c>
      <c r="S343" t="n">
        <v>0.02398727086218799</v>
      </c>
      <c r="T343" t="n">
        <v>0.0290162047211726</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c r="R346" t="n">
        <v>-0.003242210032234334</v>
      </c>
      <c r="S346" t="n">
        <v>-0.01290590479056442</v>
      </c>
      <c r="T346" t="n">
        <v>0.02195542846787985</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c r="R349" t="n">
        <v>0.00621389214865502</v>
      </c>
      <c r="S349" t="n">
        <v>0.02508820455389205</v>
      </c>
      <c r="T349" t="n">
        <v>0.009919329568880284</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c r="R352" t="n">
        <v>-0.004003490160505012</v>
      </c>
      <c r="S352" t="n">
        <v>-0.01591804945502973</v>
      </c>
      <c r="T352" t="n">
        <v>0.004873523671693287</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c r="R355" t="n">
        <v>0.002773143584964562</v>
      </c>
      <c r="S355" t="n">
        <v>0.01113880165656167</v>
      </c>
      <c r="T355" t="n">
        <v>0.001706422364229252</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c r="R358" t="n">
        <v>0.00828227215584396</v>
      </c>
      <c r="S358" t="n">
        <v>0.03354294204519781</v>
      </c>
      <c r="T358" t="n">
        <v>0.0132881204842846</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c r="R361" t="n">
        <v>0.006155024557835768</v>
      </c>
      <c r="S361" t="n">
        <v>0.02484833834627009</v>
      </c>
      <c r="T361" t="n">
        <v>0.01322883902243626</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c r="R364" t="n">
        <v>0.004035287039980262</v>
      </c>
      <c r="S364" t="n">
        <v>0.01623911250910082</v>
      </c>
      <c r="T364" t="n">
        <v>0.02140669989799325</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c r="R367" t="n">
        <v>0.001306557670590968</v>
      </c>
      <c r="S367" t="n">
        <v>0.00523648216461936</v>
      </c>
      <c r="T367" t="n">
        <v>0.01991286184648556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c r="R370" t="n">
        <v>0.005167231869169835</v>
      </c>
      <c r="S370" t="n">
        <v>0.02082968176698108</v>
      </c>
      <c r="T370" t="n">
        <v>0.01676188940425874</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c r="R373" t="n">
        <v>0.008933778011626672</v>
      </c>
      <c r="S373" t="n">
        <v>0.03621684485857446</v>
      </c>
      <c r="T373" t="n">
        <v>0.01956993641779591</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c r="R376" t="n">
        <v>0.01666896269711016</v>
      </c>
      <c r="S376" t="n">
        <v>0.06836158006885595</v>
      </c>
      <c r="T376" t="n">
        <v>0.03239908301526014</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c r="R379" t="n">
        <v>0.01154045727617818</v>
      </c>
      <c r="S379" t="n">
        <v>0.0469670876988979</v>
      </c>
      <c r="T379" t="n">
        <v>0.04295076520243932</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c r="R382" t="n">
        <v>0.005729164860697553</v>
      </c>
      <c r="S382" t="n">
        <v>0.02311435270124318</v>
      </c>
      <c r="T382" t="n">
        <v>0.04353382086215924</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c r="R385" t="n">
        <v>0.00778738758008883</v>
      </c>
      <c r="S385" t="n">
        <v>0.03151530344471909</v>
      </c>
      <c r="T385" t="n">
        <v>0.04234811649454442</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c r="R388" t="n">
        <v>0.009412472246594451</v>
      </c>
      <c r="S388" t="n">
        <v>0.03818480021627169</v>
      </c>
      <c r="T388" t="n">
        <v>0.03490834068650776</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c r="R391" t="n">
        <v>0.01022027368972049</v>
      </c>
      <c r="S391" t="n">
        <v>0.04151209982891446</v>
      </c>
      <c r="T391" t="n">
        <v>0.03355765916404892</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c r="R394" t="n">
        <v>0.01110882507696538</v>
      </c>
      <c r="S394" t="n">
        <v>0.04518123508687388</v>
      </c>
      <c r="T394" t="n">
        <v>0.03908617440899946</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c r="R397" t="n">
        <v>0.004866044784053191</v>
      </c>
      <c r="S397" t="n">
        <v>0.01960671092838173</v>
      </c>
      <c r="T397" t="n">
        <v>0.03607410366126079</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c r="R400" t="n">
        <v>0.007856219802722447</v>
      </c>
      <c r="S400" t="n">
        <v>0.0317971437073068</v>
      </c>
      <c r="T400" t="n">
        <v>0.03447674589108512</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c r="R403" t="n">
        <v>0.005679282383580309</v>
      </c>
      <c r="S403" t="n">
        <v>0.02291138878895116</v>
      </c>
      <c r="T403" t="n">
        <v>0.02982672051361144</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c r="R406" t="n">
        <v>0.01348666119902943</v>
      </c>
      <c r="S406" t="n">
        <v>0.05504783041874162</v>
      </c>
      <c r="T406" t="n">
        <v>0.03224857572323006</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c r="R409" t="n">
        <v>0.00245583730558364</v>
      </c>
      <c r="S409" t="n">
        <v>0.009859595325901749</v>
      </c>
      <c r="T409" t="n">
        <v>0.02977269025594638</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c r="R412" t="n">
        <v>0.001504561881094995</v>
      </c>
      <c r="S412" t="n">
        <v>0.006031843391774094</v>
      </c>
      <c r="T412" t="n">
        <v>0.02328291151863791</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c r="R415" t="n">
        <v>0.008437116963573578</v>
      </c>
      <c r="S415" t="n">
        <v>0.03417798496028124</v>
      </c>
      <c r="T415" t="n">
        <v>0.02608901983560922</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c r="R418" t="n">
        <v>0.002935988606189744</v>
      </c>
      <c r="S418" t="n">
        <v>0.01179577590686653</v>
      </c>
      <c r="T418" t="n">
        <v>0.01540715325180492</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c r="R421" t="n">
        <v>0.00638434530080713</v>
      </c>
      <c r="S421" t="n">
        <v>0.02578298295432346</v>
      </c>
      <c r="T421" t="n">
        <v>0.01938641594997887</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c r="R424" t="n">
        <v>0.006023066574509698</v>
      </c>
      <c r="S424" t="n">
        <v>0.02431080560296794</v>
      </c>
      <c r="T424" t="n">
        <v>0.02398559850010293</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c r="R427" t="n">
        <v>0.006096440026404512</v>
      </c>
      <c r="S427" t="n">
        <v>0.0246096673082743</v>
      </c>
      <c r="T427" t="n">
        <v>0.02160883208196539</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c r="R430" t="n">
        <v>-0.004074294739200093</v>
      </c>
      <c r="S430" t="n">
        <v>-0.01619784994668938</v>
      </c>
      <c r="T430" t="n">
        <v>0.01446803001442738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c r="R433" t="n">
        <v>0.005722953445686955</v>
      </c>
      <c r="S433" t="n">
        <v>0.02308907778947789</v>
      </c>
      <c r="T433" t="n">
        <v>0.01380132559333386</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c r="R436" t="n">
        <v>-0.005268929022154585</v>
      </c>
      <c r="S436" t="n">
        <v>-0.02090973073554281</v>
      </c>
      <c r="T436" t="n">
        <v>0.002422023781227279</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c r="R439" t="n">
        <v>-0.02183097148093626</v>
      </c>
      <c r="S439" t="n">
        <v>-0.08450572869534734</v>
      </c>
      <c r="T439" t="n">
        <v>-0.02540339259876205</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c r="R442" t="n">
        <v>-0.01165722530679672</v>
      </c>
      <c r="S442" t="n">
        <v>-0.04581987379316921</v>
      </c>
      <c r="T442" t="n">
        <v>-0.03282392443793528</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c r="R445" t="n">
        <v>-0.001692381386635996</v>
      </c>
      <c r="S445" t="n">
        <v>-0.006752359998762336</v>
      </c>
      <c r="T445" t="n">
        <v>-0.03995504779306322</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c r="R448" t="n">
        <v>0.00361929990768889</v>
      </c>
      <c r="S448" t="n">
        <v>0.01455598543492087</v>
      </c>
      <c r="T448" t="n">
        <v>-0.03137675003287801</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c r="R451" t="n">
        <v>0.01067961949830339</v>
      </c>
      <c r="S451" t="n">
        <v>0.0434076888622974</v>
      </c>
      <c r="T451" t="n">
        <v>0.0008165758387652319</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c r="R454" t="n">
        <v>0.00500053481481906</v>
      </c>
      <c r="S454" t="n">
        <v>0.02015267213561023</v>
      </c>
      <c r="T454" t="n">
        <v>0.01768457232028358</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c r="R457" t="n">
        <v>0.009677046393262431</v>
      </c>
      <c r="S457" t="n">
        <v>0.03927369054068341</v>
      </c>
      <c r="T457" t="n">
        <v>0.02927467844787534</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c r="R460" t="n">
        <v>0.007731441503026897</v>
      </c>
      <c r="S460" t="n">
        <v>0.03128626930493783</v>
      </c>
      <c r="T460" t="n">
        <v>0.03349193813853987</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c r="R463" t="n">
        <v>0.005195951592372664</v>
      </c>
      <c r="S463" t="n">
        <v>0.02094635569547498</v>
      </c>
      <c r="T463" t="n">
        <v>0.02788449690506404</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c r="R466" t="n">
        <v>-0.002409160681035181</v>
      </c>
      <c r="S466" t="n">
        <v>-0.009601874290937396</v>
      </c>
      <c r="T466" t="n">
        <v>0.02030608190613149</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c r="R469" t="n">
        <v>0.006780507512058875</v>
      </c>
      <c r="S469" t="n">
        <v>0.02739913079767153</v>
      </c>
      <c r="T469" t="n">
        <v>0.01737905068607296</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c r="R472" t="n">
        <v>-0.0003876716265750793</v>
      </c>
      <c r="S472" t="n">
        <v>-0.001549785003588822</v>
      </c>
      <c r="T472" t="n">
        <v>0.009182208483861604</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c r="R475" t="n">
        <v>0.01121678183498582</v>
      </c>
      <c r="S475" t="n">
        <v>0.04562768534929051</v>
      </c>
      <c r="T475" t="n">
        <v>0.0152269152413066</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c r="R478" t="n">
        <v>0.008179228450998806</v>
      </c>
      <c r="S478" t="n">
        <v>0.03312050570216907</v>
      </c>
      <c r="T478" t="n">
        <v>0.02600249297538843</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c r="R481" t="n">
        <v>0.004558599868677108</v>
      </c>
      <c r="S481" t="n">
        <v>0.01835946382913334</v>
      </c>
      <c r="T481" t="n">
        <v>0.02373816349715461</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c r="R484" t="n">
        <v>0.001748829776015621</v>
      </c>
      <c r="S484" t="n">
        <v>0.007013690941451989</v>
      </c>
      <c r="T484" t="n">
        <v>0.02592622977056317</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c r="R487" t="n">
        <v>0.001098380674641822</v>
      </c>
      <c r="S487" t="n">
        <v>0.004400766641183385</v>
      </c>
      <c r="T487" t="n">
        <v>0.0156606434588916</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c r="R490" t="n">
        <v>0.008677895476911597</v>
      </c>
      <c r="S490" t="n">
        <v>0.03516603678394103</v>
      </c>
      <c r="T490" t="n">
        <v>0.01616301095280286</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c r="R493" t="n">
        <v>0.001393852197657185</v>
      </c>
      <c r="S493" t="n">
        <v>0.00558707657013402</v>
      </c>
      <c r="T493" t="n">
        <v>0.01296170490384775</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c r="R496" t="n">
        <v>0.007916534107950009</v>
      </c>
      <c r="S496" t="n">
        <v>0.03204415399787042</v>
      </c>
      <c r="T496" t="n">
        <v>0.01919844620038217</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c r="R499" t="n">
        <v>0.007111710015635665</v>
      </c>
      <c r="S499" t="n">
        <v>0.02875173987590807</v>
      </c>
      <c r="T499" t="n">
        <v>0.02532049777807217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c r="R502" t="n">
        <v>-0.003501097365126946</v>
      </c>
      <c r="S502" t="n">
        <v>-0.01393101487505966</v>
      </c>
      <c r="T502" t="n">
        <v>0.01294055859309538</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c r="R505" t="n">
        <v>0.01284128907179058</v>
      </c>
      <c r="S505" t="n">
        <v>0.05236304575665218</v>
      </c>
      <c r="T505" t="n">
        <v>0.0245199916765882</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c r="R508" t="n">
        <v>0.01164961644485469</v>
      </c>
      <c r="S508" t="n">
        <v>0.04741908962129937</v>
      </c>
      <c r="T508" t="n">
        <v>0.02831456925846958</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c r="R511" t="n">
        <v>0.004489934024885105</v>
      </c>
      <c r="S511" t="n">
        <v>0.01808105561066875</v>
      </c>
      <c r="T511" t="n">
        <v>0.02563759666266986</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c r="R514" t="n">
        <v>0.008133136264685727</v>
      </c>
      <c r="S514" t="n">
        <v>0.03293158882700409</v>
      </c>
      <c r="T514" t="n">
        <v>0.03761202773082455</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c r="R517" t="n">
        <v>0.005800014316593537</v>
      </c>
      <c r="S517" t="n">
        <v>0.02340267984825029</v>
      </c>
      <c r="T517" t="n">
        <v>0.03039854674877899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c r="R520" t="n">
        <v>0.003233726725495796</v>
      </c>
      <c r="S520" t="n">
        <v>0.01299778420271624</v>
      </c>
      <c r="T520" t="n">
        <v>0.02182668511263306</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c r="R523" t="n">
        <v>0.001462343465763751</v>
      </c>
      <c r="S523" t="n">
        <v>0.005862217066683106</v>
      </c>
      <c r="T523" t="n">
        <v>0.01874684058645722</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c r="R526" t="n">
        <v>0.005891798685635071</v>
      </c>
      <c r="S526" t="n">
        <v>0.02377629379297197</v>
      </c>
      <c r="T526" t="n">
        <v>0.01648190603048597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c r="R529" t="n">
        <v>0.003023888066726282</v>
      </c>
      <c r="S529" t="n">
        <v>0.0121505263452657</v>
      </c>
      <c r="T529" t="n">
        <v>0.01367629650405968</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c r="R532" t="n">
        <v>0.006011153792692107</v>
      </c>
      <c r="S532" t="n">
        <v>0.02426228912334993</v>
      </c>
      <c r="T532" t="n">
        <v>0.01648263356020616</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c r="R535" t="n">
        <v>0.004968887960606363</v>
      </c>
      <c r="S535" t="n">
        <v>0.02002418226174996</v>
      </c>
      <c r="T535" t="n">
        <v>0.0200417704624271</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17896.623</v>
      </c>
      <c r="O538" t="n">
        <v>0.004719310419164807</v>
      </c>
      <c r="P538" t="n">
        <v>0.01885278869645634</v>
      </c>
      <c r="Q538" t="n">
        <v>0.01901129394955658</v>
      </c>
      <c r="R538" t="n">
        <v>0.004719310419164807</v>
      </c>
      <c r="S538" t="n">
        <v>0.01901129394955658</v>
      </c>
      <c r="T538" t="n">
        <v>0.01885278869645634</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17996.802</v>
      </c>
      <c r="O541" t="n">
        <v>0.005597648226707356</v>
      </c>
      <c r="P541" t="n">
        <v>0.02146716582907564</v>
      </c>
      <c r="Q541" t="n">
        <v>0.02257929746199983</v>
      </c>
      <c r="R541" t="n">
        <v>0.005597648226707356</v>
      </c>
      <c r="S541" t="n">
        <v>0.02257929746199983</v>
      </c>
      <c r="T541" t="n">
        <v>0.02146716582907564</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18126.226</v>
      </c>
      <c r="O544" t="n">
        <v>0.007191499912039876</v>
      </c>
      <c r="P544" t="n">
        <v>0.02266564638337372</v>
      </c>
      <c r="Q544" t="n">
        <v>0.02907779605929184</v>
      </c>
      <c r="R544" t="n">
        <v>0.007191499912039876</v>
      </c>
      <c r="S544" t="n">
        <v>0.02907779605929184</v>
      </c>
      <c r="T544" t="n">
        <v>0.02266564638337372</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18296.685</v>
      </c>
      <c r="O547" t="n">
        <v>0.009403998383337081</v>
      </c>
      <c r="P547" t="n">
        <v>0.02717885581859093</v>
      </c>
      <c r="Q547" t="n">
        <v>0.03814993904506303</v>
      </c>
      <c r="R547" t="n">
        <v>0.009403998383337081</v>
      </c>
      <c r="S547" t="n">
        <v>0.03814993904506303</v>
      </c>
      <c r="T547" t="n">
        <v>0.02717885581859093</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18436.262</v>
      </c>
      <c r="O550" t="n">
        <v>0.007628540361272956</v>
      </c>
      <c r="P550" t="n">
        <v>0.03015311883141301</v>
      </c>
      <c r="Q550" t="n">
        <v>0.03086510836024359</v>
      </c>
      <c r="R550" t="n">
        <v>0.007628540361272956</v>
      </c>
      <c r="S550" t="n">
        <v>0.03086510836024359</v>
      </c>
      <c r="T550" t="n">
        <v>0.03015311883141301</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18590.004</v>
      </c>
      <c r="O553" t="n">
        <v>0.008339109088382559</v>
      </c>
      <c r="P553" t="n">
        <v>0.03296152283055629</v>
      </c>
      <c r="Q553" t="n">
        <v>0.03377600526305358</v>
      </c>
      <c r="R553" t="n">
        <v>0.008339109088382559</v>
      </c>
      <c r="S553" t="n">
        <v>0.03377600526305358</v>
      </c>
      <c r="T553" t="n">
        <v>0.03296152283055629</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18679.599</v>
      </c>
      <c r="O556" t="n">
        <v>0.004819525590204151</v>
      </c>
      <c r="P556" t="n">
        <v>0.03052885912379111</v>
      </c>
      <c r="Q556" t="n">
        <v>0.01941791765026113</v>
      </c>
      <c r="R556" t="n">
        <v>0.004819525590204151</v>
      </c>
      <c r="S556" t="n">
        <v>0.01941791765026113</v>
      </c>
      <c r="T556" t="n">
        <v>0.03052885912379111</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18721.281</v>
      </c>
      <c r="O559" t="n">
        <v>0.002231418351111322</v>
      </c>
      <c r="P559" t="n">
        <v>0.02320617095391857</v>
      </c>
      <c r="Q559" t="n">
        <v>0.008955593239346138</v>
      </c>
      <c r="R559" t="n">
        <v>0.002231418351111322</v>
      </c>
      <c r="S559" t="n">
        <v>0.008955593239346138</v>
      </c>
      <c r="T559" t="n">
        <v>0.02320617095391857</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18833.195</v>
      </c>
      <c r="O562" t="n">
        <v>0.005977902900982079</v>
      </c>
      <c r="P562" t="n">
        <v>0.0215300151408133</v>
      </c>
      <c r="Q562" t="n">
        <v>0.02412687930866952</v>
      </c>
      <c r="R562" t="n">
        <v>0.005977902900982079</v>
      </c>
      <c r="S562" t="n">
        <v>0.02412687930866952</v>
      </c>
      <c r="T562" t="n">
        <v>0.0215300151408133</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18982.528</v>
      </c>
      <c r="O565" t="n">
        <v>0.007929244082058234</v>
      </c>
      <c r="P565" t="n">
        <v>0.02111478835615084</v>
      </c>
      <c r="Q565" t="n">
        <v>0.03209621189016532</v>
      </c>
      <c r="R565" t="n">
        <v>0.007929244082058234</v>
      </c>
      <c r="S565" t="n">
        <v>0.03209621189016532</v>
      </c>
      <c r="T565" t="n">
        <v>0.02111478835615084</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19112.653</v>
      </c>
      <c r="O568" t="n">
        <v>0.006854987913095664</v>
      </c>
      <c r="P568" t="n">
        <v>0.02318325998325768</v>
      </c>
      <c r="Q568" t="n">
        <v>0.02770318750334555</v>
      </c>
      <c r="R568" t="n">
        <v>0.006854987913095664</v>
      </c>
      <c r="S568" t="n">
        <v>0.02770318750334555</v>
      </c>
      <c r="T568" t="n">
        <v>0.02318325998325768</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19202.31</v>
      </c>
      <c r="O571" t="n">
        <v>0.004690976182113644</v>
      </c>
      <c r="P571" t="n">
        <v>0.02569423534639549</v>
      </c>
      <c r="Q571" t="n">
        <v>0.01889634966248899</v>
      </c>
      <c r="R571" t="n">
        <v>0.004690976182113644</v>
      </c>
      <c r="S571" t="n">
        <v>0.01889634966248899</v>
      </c>
      <c r="T571" t="n">
        <v>0.02569423534639549</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18951.992</v>
      </c>
      <c r="O574" t="n">
        <v>-0.01303582746034216</v>
      </c>
      <c r="P574" t="n">
        <v>0.006307851641742077</v>
      </c>
      <c r="Q574" t="n">
        <v>-0.05113254503727427</v>
      </c>
      <c r="R574" t="n">
        <v>-0.01303582746034216</v>
      </c>
      <c r="S574" t="n">
        <v>-0.05113254503727427</v>
      </c>
      <c r="T574" t="n">
        <v>0.006307851641742077</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17258.205</v>
      </c>
      <c r="O577" t="n">
        <v>-0.08937250501161022</v>
      </c>
      <c r="P577" t="n">
        <v>-0.09083737424225038</v>
      </c>
      <c r="Q577" t="n">
        <v>-0.3123569846108508</v>
      </c>
      <c r="R577" t="n">
        <v>-0.08937250501161022</v>
      </c>
      <c r="S577" t="n">
        <v>-0.3123569846108508</v>
      </c>
      <c r="T577" t="n">
        <v>-0.09083737424225038</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18560.774</v>
      </c>
      <c r="O580" t="n">
        <v>0.07547534636423657</v>
      </c>
      <c r="P580" t="n">
        <v>-0.02887505988833666</v>
      </c>
      <c r="Q580" t="n">
        <v>0.3378327930079323</v>
      </c>
      <c r="R580" t="n">
        <v>0.07547534636423657</v>
      </c>
      <c r="S580" t="n">
        <v>0.3378327930079323</v>
      </c>
      <c r="T580" t="n">
        <v>-0.02887505988833666</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18767.778</v>
      </c>
      <c r="O583" t="n">
        <v>0.01115276765936578</v>
      </c>
      <c r="P583" t="n">
        <v>-0.0226291524300984</v>
      </c>
      <c r="Q583" t="n">
        <v>0.04536294038119415</v>
      </c>
      <c r="R583" t="n">
        <v>0.01115276765936578</v>
      </c>
      <c r="S583" t="n">
        <v>0.04536294038119415</v>
      </c>
      <c r="T583" t="n">
        <v>-0.0226291524300984</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19055.655</v>
      </c>
      <c r="O586" t="n">
        <v>0.01533889627211066</v>
      </c>
      <c r="P586" t="n">
        <v>0.005469768032827393</v>
      </c>
      <c r="Q586" t="n">
        <v>0.06278176672776592</v>
      </c>
      <c r="R586" t="n">
        <v>0.01533889627211066</v>
      </c>
      <c r="S586" t="n">
        <v>0.06278176672776592</v>
      </c>
      <c r="T586" t="n">
        <v>0.005469768032827393</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19368.31</v>
      </c>
      <c r="O589" t="n">
        <v>0.01640746539544311</v>
      </c>
      <c r="P589" t="n">
        <v>0.12226677108077</v>
      </c>
      <c r="Q589" t="n">
        <v>0.06726283145896073</v>
      </c>
      <c r="R589" t="n">
        <v>0.01640746539544311</v>
      </c>
      <c r="S589" t="n">
        <v>0.06726283145896073</v>
      </c>
      <c r="T589" t="n">
        <v>0.12226677108077</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19478.893</v>
      </c>
      <c r="O592" t="n">
        <v>0.005709481105992145</v>
      </c>
      <c r="P592" t="n">
        <v>0.04946555569288213</v>
      </c>
      <c r="Q592" t="n">
        <v>0.02303425900825307</v>
      </c>
      <c r="R592" t="n">
        <v>0.005709481105992145</v>
      </c>
      <c r="S592" t="n">
        <v>0.02303425900825307</v>
      </c>
      <c r="T592" t="n">
        <v>0.04946555569288213</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19805.962</v>
      </c>
      <c r="O595" t="n">
        <v>0.01679094392068376</v>
      </c>
      <c r="P595" t="n">
        <v>0.05531736362184171</v>
      </c>
      <c r="Q595" t="n">
        <v>0.06887440582969107</v>
      </c>
      <c r="R595" t="n">
        <v>0.01679094392068376</v>
      </c>
      <c r="S595" t="n">
        <v>0.06887440582969107</v>
      </c>
      <c r="T595" t="n">
        <v>0.05531736362184171</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B598" t="n">
        <v>61.7</v>
      </c>
      <c r="C598" t="n">
        <v>51.1</v>
      </c>
      <c r="D598" t="n">
        <v>57.4</v>
      </c>
      <c r="E598" t="n">
        <v>82.3</v>
      </c>
      <c r="F598" t="n">
        <v>59.9</v>
      </c>
      <c r="G598" t="n">
        <v>47.5</v>
      </c>
      <c r="H598" t="n">
        <v>49.4</v>
      </c>
      <c r="I598" t="n">
        <v>65.7</v>
      </c>
      <c r="J598" t="n">
        <v>52.3</v>
      </c>
      <c r="K598" t="n">
        <v>45.9</v>
      </c>
      <c r="L598" t="n">
        <v>59.9</v>
      </c>
      <c r="M598" t="n">
        <v>4515.5498046875</v>
      </c>
      <c r="O598" t="n">
        <v>0.01679094392068376</v>
      </c>
      <c r="P598" t="n">
        <v>0.05531736362184171</v>
      </c>
      <c r="Q598" t="n">
        <v>0.06887440582969107</v>
      </c>
    </row>
    <row r="599">
      <c r="A599" s="93" t="n">
        <v>44593</v>
      </c>
      <c r="B599" t="n">
        <v>56.1</v>
      </c>
      <c r="C599" t="n">
        <v>51.7</v>
      </c>
      <c r="D599" t="n">
        <v>64.2</v>
      </c>
      <c r="E599" t="n">
        <v>83.09999999999999</v>
      </c>
      <c r="F599" t="n">
        <v>55.1</v>
      </c>
      <c r="G599" t="n">
        <v>55.3</v>
      </c>
      <c r="H599" t="n">
        <v>50.8</v>
      </c>
      <c r="I599" t="n">
        <v>66.2</v>
      </c>
      <c r="J599" t="n">
        <v>48.5</v>
      </c>
      <c r="K599" t="n">
        <v>53</v>
      </c>
      <c r="L599" t="n">
        <v>56.5</v>
      </c>
      <c r="M599" t="n">
        <v>4373.93994140625</v>
      </c>
      <c r="O599" t="n">
        <v>0.01679094392068376</v>
      </c>
      <c r="P599" t="n">
        <v>0.05531736362184171</v>
      </c>
      <c r="Q599" t="n">
        <v>0.06887440582969107</v>
      </c>
    </row>
    <row r="600">
      <c r="A600" s="93" t="n">
        <v>44621</v>
      </c>
      <c r="B600" t="n">
        <v>60.1</v>
      </c>
      <c r="C600" t="n">
        <v>45</v>
      </c>
      <c r="D600" t="n">
        <v>64.5</v>
      </c>
      <c r="E600" t="n">
        <v>83.8</v>
      </c>
      <c r="F600" t="n">
        <v>55.5</v>
      </c>
      <c r="G600" t="n">
        <v>40.2</v>
      </c>
      <c r="H600" t="n">
        <v>51.7</v>
      </c>
      <c r="I600" t="n">
        <v>63.4</v>
      </c>
      <c r="J600" t="n">
        <v>54</v>
      </c>
      <c r="K600" t="n">
        <v>61</v>
      </c>
      <c r="L600" t="n">
        <v>58.3</v>
      </c>
      <c r="M600" t="n">
        <v>4530.41015625</v>
      </c>
      <c r="O600" t="n">
        <v>0.01679094392068376</v>
      </c>
      <c r="P600" t="n">
        <v>0.05531736362184171</v>
      </c>
      <c r="Q600"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zoomScale="140" zoomScaleNormal="140" workbookViewId="0">
      <selection activeCell="C2" sqref="C2"/>
    </sheetView>
  </sheetViews>
  <sheetFormatPr baseColWidth="10" defaultColWidth="9.1640625" defaultRowHeight="15"/>
  <cols>
    <col width="9.6640625" customWidth="1" style="76" min="1" max="1"/>
    <col width="8.83203125" customWidth="1" style="76" min="2" max="18"/>
    <col width="12.5" customWidth="1" style="76" min="19" max="19"/>
    <col width="8.83203125" customWidth="1" style="76" min="20" max="20"/>
    <col width="9.1640625" customWidth="1" style="76" min="21" max="34"/>
    <col width="9.1640625" customWidth="1" style="76" min="35" max="16384"/>
  </cols>
  <sheetData>
    <row r="1">
      <c r="B1" s="14" t="inlineStr">
        <is>
          <t>* to modify</t>
        </is>
      </c>
      <c r="J1" s="76" t="inlineStr">
        <is>
          <t>Last Month</t>
        </is>
      </c>
      <c r="L1" s="43" t="n">
        <v>44593</v>
      </c>
      <c r="O1" s="6" t="n"/>
    </row>
    <row r="2">
      <c r="L2" s="14" t="n">
        <v>24</v>
      </c>
      <c r="Y2" s="7" t="n"/>
    </row>
    <row r="4">
      <c r="U4" s="7">
        <f>DATE(YEAR(U5),MONTH(U5)-1,DAY(U5))</f>
        <v/>
      </c>
      <c r="V4" s="1">
        <f>V5-1</f>
        <v/>
      </c>
    </row>
    <row r="5" ht="90"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6" t="inlineStr">
        <is>
          <t>Min</t>
        </is>
      </c>
      <c r="Z5" s="76" t="inlineStr">
        <is>
          <t>Max</t>
        </is>
      </c>
    </row>
    <row r="6">
      <c r="A6" s="8">
        <f>DATE(YEAR(A7),MONTH(A7)-1,DAY(A7))</f>
        <v/>
      </c>
      <c r="B6" s="38">
        <f>VLOOKUP($B$5,'Sectors Trend'!$B$6:$AF$23,VLOOKUP(A6,$U:$V,2,),)</f>
        <v/>
      </c>
      <c r="C6" s="38">
        <f>VLOOKUP($C$5,'Sectors Trend'!$B$6:$AF$23,VLOOKUP(A6,$U:$V,2,),)</f>
        <v/>
      </c>
      <c r="D6" s="38">
        <f>VLOOKUP($D$5,'Sectors Trend'!$B$6:$AF$23,VLOOKUP(A6,$U:$V,2,),)</f>
        <v/>
      </c>
      <c r="E6" s="38">
        <f>VLOOKUP($E$5,'Sectors Trend'!$B$6:$AF$23,VLOOKUP(A6,$U:$V,2,),)</f>
        <v/>
      </c>
      <c r="F6" s="38">
        <f>VLOOKUP($F$5,'Sectors Trend'!$B$6:$AF$23,VLOOKUP(A6,$U:$V,2,),)</f>
        <v/>
      </c>
      <c r="G6" s="38">
        <f>VLOOKUP($G$5,'Sectors Trend'!$B$6:$AF$23,VLOOKUP(A6,$U:$V,2,),)</f>
        <v/>
      </c>
      <c r="H6" s="38">
        <f>VLOOKUP($H$5,'Sectors Trend'!$B$6:$AF$23,VLOOKUP(A6,$U:$V,2,),)</f>
        <v/>
      </c>
      <c r="I6" s="38">
        <f>VLOOKUP($I$5,'Sectors Trend'!$B$6:$AF$23,VLOOKUP(A6,$U:$V,2,),)</f>
        <v/>
      </c>
      <c r="J6" s="38">
        <f>VLOOKUP($J$5,'Sectors Trend'!$B$6:$AF$23,VLOOKUP(A6,$U:$V,2,),)</f>
        <v/>
      </c>
      <c r="K6" s="38">
        <f>VLOOKUP($K$5,'Sectors Trend'!$B$6:$AF$23,VLOOKUP(A6,$U:$V,2,),)</f>
        <v/>
      </c>
      <c r="L6" s="38">
        <f>VLOOKUP($L$5,'Sectors Trend'!$B$6:$AF$23,VLOOKUP(A6,$U:$V,2,),)</f>
        <v/>
      </c>
      <c r="M6" s="38">
        <f>VLOOKUP($M$5,'Sectors Trend'!$B$6:$AF$23,VLOOKUP(A6,$U:$V,2,),)</f>
        <v/>
      </c>
      <c r="N6" s="38">
        <f>VLOOKUP($N$5,'Sectors Trend'!$B$6:$AF$23,VLOOKUP(A6,$U:$V,2,),)</f>
        <v/>
      </c>
      <c r="O6" s="38">
        <f>VLOOKUP($O$5,'Sectors Trend'!$B$6:$AF$23,VLOOKUP(A6,$U:$V,2,),)</f>
        <v/>
      </c>
      <c r="P6" s="38">
        <f>VLOOKUP($P$5,'Sectors Trend'!$B$6:$AF$23,VLOOKUP(A6,$U:$V,2,),)</f>
        <v/>
      </c>
      <c r="Q6" s="38">
        <f>VLOOKUP($Q$5,'Sectors Trend'!$B$6:$AF$23,VLOOKUP(A6,$U:$V,2,),)</f>
        <v/>
      </c>
      <c r="R6" s="38">
        <f>VLOOKUP($R$5,'Sectors Trend'!$B$6:$AF$23,VLOOKUP(A6,$U:$V,2,),)</f>
        <v/>
      </c>
      <c r="S6" s="39">
        <f>VLOOKUP($S$5,'Sectors Trend'!$B$6:$AF$23,VLOOKUP(A6,$U:$V,2,),)</f>
        <v/>
      </c>
      <c r="U6" s="7">
        <f>DATE(YEAR(U7),MONTH(U7)-1,DAY(U7))</f>
        <v/>
      </c>
      <c r="V6" s="1">
        <f>V7-1</f>
        <v/>
      </c>
      <c r="Y6" s="76">
        <f>MIN(B6:S6)</f>
        <v/>
      </c>
      <c r="Z6" s="76">
        <f>MAX(B6:S6)</f>
        <v/>
      </c>
    </row>
    <row r="7">
      <c r="A7" s="8">
        <f>DATE(YEAR(A8),MONTH(A8)-1,DAY(A8))</f>
        <v/>
      </c>
      <c r="B7" s="5">
        <f>VLOOKUP($B$5,'Sectors Trend'!$B$6:$AF$23,VLOOKUP(A7,$U:$V,2,),)</f>
        <v/>
      </c>
      <c r="C7" s="5">
        <f>VLOOKUP($C$5,'Sectors Trend'!$B$6:$AF$23,VLOOKUP(A7,$U:$V,2,),)</f>
        <v/>
      </c>
      <c r="D7" s="5">
        <f>VLOOKUP($D$5,'Sectors Trend'!$B$6:$AF$23,VLOOKUP(A7,$U:$V,2,),)</f>
        <v/>
      </c>
      <c r="E7" s="5">
        <f>VLOOKUP($E$5,'Sectors Trend'!$B$6:$AF$23,VLOOKUP(A7,$U:$V,2,),)</f>
        <v/>
      </c>
      <c r="F7" s="5">
        <f>VLOOKUP($F$5,'Sectors Trend'!$B$6:$AF$23,VLOOKUP(A7,$U:$V,2,),)</f>
        <v/>
      </c>
      <c r="G7" s="5">
        <f>VLOOKUP($G$5,'Sectors Trend'!$B$6:$AF$23,VLOOKUP(A7,$U:$V,2,),)</f>
        <v/>
      </c>
      <c r="H7" s="5">
        <f>VLOOKUP($H$5,'Sectors Trend'!$B$6:$AF$23,VLOOKUP(A7,$U:$V,2,),)</f>
        <v/>
      </c>
      <c r="I7" s="5">
        <f>VLOOKUP($I$5,'Sectors Trend'!$B$6:$AF$23,VLOOKUP(A7,$U:$V,2,),)</f>
        <v/>
      </c>
      <c r="J7" s="5">
        <f>VLOOKUP($J$5,'Sectors Trend'!$B$6:$AF$23,VLOOKUP(A7,$U:$V,2,),)</f>
        <v/>
      </c>
      <c r="K7" s="5">
        <f>VLOOKUP($K$5,'Sectors Trend'!$B$6:$AF$23,VLOOKUP(A7,$U:$V,2,),)</f>
        <v/>
      </c>
      <c r="L7" s="5">
        <f>VLOOKUP($L$5,'Sectors Trend'!$B$6:$AF$23,VLOOKUP(A7,$U:$V,2,),)</f>
        <v/>
      </c>
      <c r="M7" s="5">
        <f>VLOOKUP($M$5,'Sectors Trend'!$B$6:$AF$23,VLOOKUP(A7,$U:$V,2,),)</f>
        <v/>
      </c>
      <c r="N7" s="5">
        <f>VLOOKUP($N$5,'Sectors Trend'!$B$6:$AF$23,VLOOKUP(A7,$U:$V,2,),)</f>
        <v/>
      </c>
      <c r="O7" s="5">
        <f>VLOOKUP($O$5,'Sectors Trend'!$B$6:$AF$23,VLOOKUP(A7,$U:$V,2,),)</f>
        <v/>
      </c>
      <c r="P7" s="5">
        <f>VLOOKUP($P$5,'Sectors Trend'!$B$6:$AF$23,VLOOKUP(A7,$U:$V,2,),)</f>
        <v/>
      </c>
      <c r="Q7" s="5">
        <f>VLOOKUP($Q$5,'Sectors Trend'!$B$6:$AF$23,VLOOKUP(A7,$U:$V,2,),)</f>
        <v/>
      </c>
      <c r="R7" s="5">
        <f>VLOOKUP($R$5,'Sectors Trend'!$B$6:$AF$23,VLOOKUP(A7,$U:$V,2,),)</f>
        <v/>
      </c>
      <c r="S7" s="40">
        <f>VLOOKUP($S$5,'Sectors Trend'!$B$6:$AF$23,VLOOKUP(A7,$U:$V,2,),)</f>
        <v/>
      </c>
      <c r="U7" s="7">
        <f>DATE(YEAR(U8),MONTH(U8)-1,DAY(U8))</f>
        <v/>
      </c>
      <c r="V7" s="1">
        <f>V8-1</f>
        <v/>
      </c>
      <c r="Y7" s="76">
        <f>MIN(B7:S7)</f>
        <v/>
      </c>
      <c r="Z7" s="76">
        <f>MAX(B7:S7)</f>
        <v/>
      </c>
    </row>
    <row r="8">
      <c r="A8" s="8">
        <f>DATE(YEAR(A9),MONTH(A9)-1,DAY(A9))</f>
        <v/>
      </c>
      <c r="B8" s="5">
        <f>VLOOKUP($B$5,'Sectors Trend'!$B$6:$AF$23,VLOOKUP(A8,$U:$V,2,),)</f>
        <v/>
      </c>
      <c r="C8" s="5">
        <f>VLOOKUP($C$5,'Sectors Trend'!$B$6:$AF$23,VLOOKUP(A8,$U:$V,2,),)</f>
        <v/>
      </c>
      <c r="D8" s="5">
        <f>VLOOKUP($D$5,'Sectors Trend'!$B$6:$AF$23,VLOOKUP(A8,$U:$V,2,),)</f>
        <v/>
      </c>
      <c r="E8" s="5">
        <f>VLOOKUP($E$5,'Sectors Trend'!$B$6:$AF$23,VLOOKUP(A8,$U:$V,2,),)</f>
        <v/>
      </c>
      <c r="F8" s="5">
        <f>VLOOKUP($F$5,'Sectors Trend'!$B$6:$AF$23,VLOOKUP(A8,$U:$V,2,),)</f>
        <v/>
      </c>
      <c r="G8" s="5">
        <f>VLOOKUP($G$5,'Sectors Trend'!$B$6:$AF$23,VLOOKUP(A8,$U:$V,2,),)</f>
        <v/>
      </c>
      <c r="H8" s="5">
        <f>VLOOKUP($H$5,'Sectors Trend'!$B$6:$AF$23,VLOOKUP(A8,$U:$V,2,),)</f>
        <v/>
      </c>
      <c r="I8" s="5">
        <f>VLOOKUP($I$5,'Sectors Trend'!$B$6:$AF$23,VLOOKUP(A8,$U:$V,2,),)</f>
        <v/>
      </c>
      <c r="J8" s="5">
        <f>VLOOKUP($J$5,'Sectors Trend'!$B$6:$AF$23,VLOOKUP(A8,$U:$V,2,),)</f>
        <v/>
      </c>
      <c r="K8" s="5">
        <f>VLOOKUP($K$5,'Sectors Trend'!$B$6:$AF$23,VLOOKUP(A8,$U:$V,2,),)</f>
        <v/>
      </c>
      <c r="L8" s="5">
        <f>VLOOKUP($L$5,'Sectors Trend'!$B$6:$AF$23,VLOOKUP(A8,$U:$V,2,),)</f>
        <v/>
      </c>
      <c r="M8" s="5">
        <f>VLOOKUP($M$5,'Sectors Trend'!$B$6:$AF$23,VLOOKUP(A8,$U:$V,2,),)</f>
        <v/>
      </c>
      <c r="N8" s="5">
        <f>VLOOKUP($N$5,'Sectors Trend'!$B$6:$AF$23,VLOOKUP(A8,$U:$V,2,),)</f>
        <v/>
      </c>
      <c r="O8" s="5">
        <f>VLOOKUP($O$5,'Sectors Trend'!$B$6:$AF$23,VLOOKUP(A8,$U:$V,2,),)</f>
        <v/>
      </c>
      <c r="P8" s="5">
        <f>VLOOKUP($P$5,'Sectors Trend'!$B$6:$AF$23,VLOOKUP(A8,$U:$V,2,),)</f>
        <v/>
      </c>
      <c r="Q8" s="5">
        <f>VLOOKUP($Q$5,'Sectors Trend'!$B$6:$AF$23,VLOOKUP(A8,$U:$V,2,),)</f>
        <v/>
      </c>
      <c r="R8" s="5">
        <f>VLOOKUP($R$5,'Sectors Trend'!$B$6:$AF$23,VLOOKUP(A8,$U:$V,2,),)</f>
        <v/>
      </c>
      <c r="S8" s="40">
        <f>VLOOKUP($S$5,'Sectors Trend'!$B$6:$AF$23,VLOOKUP(A8,$U:$V,2,),)</f>
        <v/>
      </c>
      <c r="U8" s="7">
        <f>DATE(YEAR(U9),MONTH(U9)-1,DAY(U9))</f>
        <v/>
      </c>
      <c r="V8" s="1">
        <f>V9-1</f>
        <v/>
      </c>
      <c r="Y8" s="76">
        <f>MIN(B8:S8)</f>
        <v/>
      </c>
      <c r="Z8" s="76">
        <f>MAX(B8:S8)</f>
        <v/>
      </c>
    </row>
    <row r="9">
      <c r="A9" s="8">
        <f>DATE(YEAR(A10),MONTH(A10)-1,DAY(A10))</f>
        <v/>
      </c>
      <c r="B9" s="5">
        <f>VLOOKUP($B$5,'Sectors Trend'!$B$6:$AF$23,VLOOKUP(A9,$U:$V,2,),)</f>
        <v/>
      </c>
      <c r="C9" s="5">
        <f>VLOOKUP($C$5,'Sectors Trend'!$B$6:$AF$23,VLOOKUP(A9,$U:$V,2,),)</f>
        <v/>
      </c>
      <c r="D9" s="5">
        <f>VLOOKUP($D$5,'Sectors Trend'!$B$6:$AF$23,VLOOKUP(A9,$U:$V,2,),)</f>
        <v/>
      </c>
      <c r="E9" s="5">
        <f>VLOOKUP($E$5,'Sectors Trend'!$B$6:$AF$23,VLOOKUP(A9,$U:$V,2,),)</f>
        <v/>
      </c>
      <c r="F9" s="5">
        <f>VLOOKUP($F$5,'Sectors Trend'!$B$6:$AF$23,VLOOKUP(A9,$U:$V,2,),)</f>
        <v/>
      </c>
      <c r="G9" s="5">
        <f>VLOOKUP($G$5,'Sectors Trend'!$B$6:$AF$23,VLOOKUP(A9,$U:$V,2,),)</f>
        <v/>
      </c>
      <c r="H9" s="5">
        <f>VLOOKUP($H$5,'Sectors Trend'!$B$6:$AF$23,VLOOKUP(A9,$U:$V,2,),)</f>
        <v/>
      </c>
      <c r="I9" s="5">
        <f>VLOOKUP($I$5,'Sectors Trend'!$B$6:$AF$23,VLOOKUP(A9,$U:$V,2,),)</f>
        <v/>
      </c>
      <c r="J9" s="5">
        <f>VLOOKUP($J$5,'Sectors Trend'!$B$6:$AF$23,VLOOKUP(A9,$U:$V,2,),)</f>
        <v/>
      </c>
      <c r="K9" s="5">
        <f>VLOOKUP($K$5,'Sectors Trend'!$B$6:$AF$23,VLOOKUP(A9,$U:$V,2,),)</f>
        <v/>
      </c>
      <c r="L9" s="5">
        <f>VLOOKUP($L$5,'Sectors Trend'!$B$6:$AF$23,VLOOKUP(A9,$U:$V,2,),)</f>
        <v/>
      </c>
      <c r="M9" s="5">
        <f>VLOOKUP($M$5,'Sectors Trend'!$B$6:$AF$23,VLOOKUP(A9,$U:$V,2,),)</f>
        <v/>
      </c>
      <c r="N9" s="5">
        <f>VLOOKUP($N$5,'Sectors Trend'!$B$6:$AF$23,VLOOKUP(A9,$U:$V,2,),)</f>
        <v/>
      </c>
      <c r="O9" s="5">
        <f>VLOOKUP($O$5,'Sectors Trend'!$B$6:$AF$23,VLOOKUP(A9,$U:$V,2,),)</f>
        <v/>
      </c>
      <c r="P9" s="5">
        <f>VLOOKUP($P$5,'Sectors Trend'!$B$6:$AF$23,VLOOKUP(A9,$U:$V,2,),)</f>
        <v/>
      </c>
      <c r="Q9" s="5">
        <f>VLOOKUP($Q$5,'Sectors Trend'!$B$6:$AF$23,VLOOKUP(A9,$U:$V,2,),)</f>
        <v/>
      </c>
      <c r="R9" s="5">
        <f>VLOOKUP($R$5,'Sectors Trend'!$B$6:$AF$23,VLOOKUP(A9,$U:$V,2,),)</f>
        <v/>
      </c>
      <c r="S9" s="40">
        <f>VLOOKUP($S$5,'Sectors Trend'!$B$6:$AF$23,VLOOKUP(A9,$U:$V,2,),)</f>
        <v/>
      </c>
      <c r="U9" s="7">
        <f>DATE(YEAR(U10),MONTH(U10)-1,DAY(U10))</f>
        <v/>
      </c>
      <c r="V9" s="1">
        <f>V10-1</f>
        <v/>
      </c>
      <c r="Y9" s="76">
        <f>MIN(B9:S9)</f>
        <v/>
      </c>
      <c r="Z9" s="76">
        <f>MAX(B9:S9)</f>
        <v/>
      </c>
    </row>
    <row r="10">
      <c r="A10" s="8">
        <f>DATE(YEAR(A11),MONTH(A11)-1,DAY(A11))</f>
        <v/>
      </c>
      <c r="B10" s="5">
        <f>VLOOKUP($B$5,'Sectors Trend'!$B$6:$AF$23,VLOOKUP(A10,$U:$V,2,),)</f>
        <v/>
      </c>
      <c r="C10" s="5">
        <f>VLOOKUP($C$5,'Sectors Trend'!$B$6:$AF$23,VLOOKUP(A10,$U:$V,2,),)</f>
        <v/>
      </c>
      <c r="D10" s="5">
        <f>VLOOKUP($D$5,'Sectors Trend'!$B$6:$AF$23,VLOOKUP(A10,$U:$V,2,),)</f>
        <v/>
      </c>
      <c r="E10" s="5">
        <f>VLOOKUP($E$5,'Sectors Trend'!$B$6:$AF$23,VLOOKUP(A10,$U:$V,2,),)</f>
        <v/>
      </c>
      <c r="F10" s="5">
        <f>VLOOKUP($F$5,'Sectors Trend'!$B$6:$AF$23,VLOOKUP(A10,$U:$V,2,),)</f>
        <v/>
      </c>
      <c r="G10" s="5">
        <f>VLOOKUP($G$5,'Sectors Trend'!$B$6:$AF$23,VLOOKUP(A10,$U:$V,2,),)</f>
        <v/>
      </c>
      <c r="H10" s="5">
        <f>VLOOKUP($H$5,'Sectors Trend'!$B$6:$AF$23,VLOOKUP(A10,$U:$V,2,),)</f>
        <v/>
      </c>
      <c r="I10" s="5">
        <f>VLOOKUP($I$5,'Sectors Trend'!$B$6:$AF$23,VLOOKUP(A10,$U:$V,2,),)</f>
        <v/>
      </c>
      <c r="J10" s="5">
        <f>VLOOKUP($J$5,'Sectors Trend'!$B$6:$AF$23,VLOOKUP(A10,$U:$V,2,),)</f>
        <v/>
      </c>
      <c r="K10" s="5">
        <f>VLOOKUP($K$5,'Sectors Trend'!$B$6:$AF$23,VLOOKUP(A10,$U:$V,2,),)</f>
        <v/>
      </c>
      <c r="L10" s="5">
        <f>VLOOKUP($L$5,'Sectors Trend'!$B$6:$AF$23,VLOOKUP(A10,$U:$V,2,),)</f>
        <v/>
      </c>
      <c r="M10" s="5">
        <f>VLOOKUP($M$5,'Sectors Trend'!$B$6:$AF$23,VLOOKUP(A10,$U:$V,2,),)</f>
        <v/>
      </c>
      <c r="N10" s="5">
        <f>VLOOKUP($N$5,'Sectors Trend'!$B$6:$AF$23,VLOOKUP(A10,$U:$V,2,),)</f>
        <v/>
      </c>
      <c r="O10" s="5">
        <f>VLOOKUP($O$5,'Sectors Trend'!$B$6:$AF$23,VLOOKUP(A10,$U:$V,2,),)</f>
        <v/>
      </c>
      <c r="P10" s="5">
        <f>VLOOKUP($P$5,'Sectors Trend'!$B$6:$AF$23,VLOOKUP(A10,$U:$V,2,),)</f>
        <v/>
      </c>
      <c r="Q10" s="5">
        <f>VLOOKUP($Q$5,'Sectors Trend'!$B$6:$AF$23,VLOOKUP(A10,$U:$V,2,),)</f>
        <v/>
      </c>
      <c r="R10" s="5">
        <f>VLOOKUP($R$5,'Sectors Trend'!$B$6:$AF$23,VLOOKUP(A10,$U:$V,2,),)</f>
        <v/>
      </c>
      <c r="S10" s="40">
        <f>VLOOKUP($S$5,'Sectors Trend'!$B$6:$AF$23,VLOOKUP(A10,$U:$V,2,),)</f>
        <v/>
      </c>
      <c r="U10" s="7">
        <f>DATE(YEAR(U11),MONTH(U11)-1,DAY(U11))</f>
        <v/>
      </c>
      <c r="V10" s="1">
        <f>V11-1</f>
        <v/>
      </c>
      <c r="Y10" s="76">
        <f>MIN(B10:S10)</f>
        <v/>
      </c>
      <c r="Z10" s="76">
        <f>MAX(B10:S10)</f>
        <v/>
      </c>
    </row>
    <row r="11" ht="16" customHeight="1" s="65" thickBot="1">
      <c r="A11" s="8">
        <f>L1</f>
        <v/>
      </c>
      <c r="B11" s="41">
        <f>VLOOKUP($B$5,'Sectors Trend'!$B$6:$AF$23,VLOOKUP(A11,$U:$V,2,),)</f>
        <v/>
      </c>
      <c r="C11" s="41">
        <f>VLOOKUP($C$5,'Sectors Trend'!$B$6:$AF$23,VLOOKUP(A11,$U:$V,2,),)</f>
        <v/>
      </c>
      <c r="D11" s="41">
        <f>VLOOKUP($D$5,'Sectors Trend'!$B$6:$AF$23,VLOOKUP(A11,$U:$V,2,),)</f>
        <v/>
      </c>
      <c r="E11" s="41">
        <f>VLOOKUP($E$5,'Sectors Trend'!$B$6:$AF$23,VLOOKUP(A11,$U:$V,2,),)</f>
        <v/>
      </c>
      <c r="F11" s="41">
        <f>VLOOKUP($F$5,'Sectors Trend'!$B$6:$AF$23,VLOOKUP(A11,$U:$V,2,),)</f>
        <v/>
      </c>
      <c r="G11" s="41">
        <f>VLOOKUP($G$5,'Sectors Trend'!$B$6:$AF$23,VLOOKUP(A11,$U:$V,2,),)</f>
        <v/>
      </c>
      <c r="H11" s="41">
        <f>VLOOKUP($H$5,'Sectors Trend'!$B$6:$AF$23,VLOOKUP(A11,$U:$V,2,),)</f>
        <v/>
      </c>
      <c r="I11" s="41">
        <f>VLOOKUP($I$5,'Sectors Trend'!$B$6:$AF$23,VLOOKUP(A11,$U:$V,2,),)</f>
        <v/>
      </c>
      <c r="J11" s="41">
        <f>VLOOKUP($J$5,'Sectors Trend'!$B$6:$AF$23,VLOOKUP(A11,$U:$V,2,),)</f>
        <v/>
      </c>
      <c r="K11" s="41">
        <f>VLOOKUP($K$5,'Sectors Trend'!$B$6:$AF$23,VLOOKUP(A11,$U:$V,2,),)</f>
        <v/>
      </c>
      <c r="L11" s="41">
        <f>VLOOKUP($L$5,'Sectors Trend'!$B$6:$AF$23,VLOOKUP(A11,$U:$V,2,),)</f>
        <v/>
      </c>
      <c r="M11" s="41">
        <f>VLOOKUP($M$5,'Sectors Trend'!$B$6:$AF$23,VLOOKUP(A11,$U:$V,2,),)</f>
        <v/>
      </c>
      <c r="N11" s="41">
        <f>VLOOKUP($N$5,'Sectors Trend'!$B$6:$AF$23,VLOOKUP(A11,$U:$V,2,),)</f>
        <v/>
      </c>
      <c r="O11" s="41">
        <f>VLOOKUP($O$5,'Sectors Trend'!$B$6:$AF$23,VLOOKUP(A11,$U:$V,2,),)</f>
        <v/>
      </c>
      <c r="P11" s="41">
        <f>VLOOKUP($P$5,'Sectors Trend'!$B$6:$AF$23,VLOOKUP(A11,$U:$V,2,),)</f>
        <v/>
      </c>
      <c r="Q11" s="41">
        <f>VLOOKUP($Q$5,'Sectors Trend'!$B$6:$AF$23,VLOOKUP(A11,$U:$V,2,),)</f>
        <v/>
      </c>
      <c r="R11" s="41">
        <f>VLOOKUP($R$5,'Sectors Trend'!$B$6:$AF$23,VLOOKUP(A11,$U:$V,2,),)</f>
        <v/>
      </c>
      <c r="S11" s="42">
        <f>VLOOKUP($S$5,'Sectors Trend'!$B$6:$AF$23,VLOOKUP(A11,$U:$V,2,),)</f>
        <v/>
      </c>
      <c r="U11" s="7">
        <f>L1</f>
        <v/>
      </c>
      <c r="V11" s="1">
        <f>L2+1</f>
        <v/>
      </c>
      <c r="Y11" s="76">
        <f>MIN(B11:S11)</f>
        <v/>
      </c>
      <c r="Z11" s="7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zoomScale="130" zoomScaleNormal="130" workbookViewId="0">
      <selection activeCell="K38" sqref="K38"/>
    </sheetView>
  </sheetViews>
  <sheetFormatPr baseColWidth="10" defaultColWidth="9.1640625" defaultRowHeight="15"/>
  <cols>
    <col width="9.6640625" customWidth="1" style="76" min="1" max="1"/>
    <col width="8.83203125" customWidth="1" style="76" min="2" max="18"/>
    <col width="10.5" customWidth="1" style="76" min="19" max="19"/>
    <col width="8.83203125" customWidth="1" style="76" min="20" max="20"/>
    <col width="9.1640625" customWidth="1" style="76" min="21" max="34"/>
    <col width="9.1640625" customWidth="1" style="76" min="35" max="16384"/>
  </cols>
  <sheetData>
    <row r="1">
      <c r="J1" s="76" t="inlineStr">
        <is>
          <t>Last Month</t>
        </is>
      </c>
      <c r="L1" s="7">
        <f>Sectors!L1</f>
        <v/>
      </c>
      <c r="O1" s="6" t="n"/>
    </row>
    <row r="2">
      <c r="L2" s="76">
        <f>Sectors!L2</f>
        <v/>
      </c>
      <c r="Y2" s="7" t="n"/>
    </row>
    <row r="4">
      <c r="U4" s="7">
        <f>DATE(YEAR(U5),MONTH(U5)-1,DAY(U5))</f>
        <v/>
      </c>
      <c r="V4" s="1">
        <f>V5-1</f>
        <v/>
      </c>
    </row>
    <row r="5" ht="89.2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6" t="inlineStr">
        <is>
          <t>Min</t>
        </is>
      </c>
      <c r="Z5" s="76" t="inlineStr">
        <is>
          <t>Max</t>
        </is>
      </c>
    </row>
    <row r="6">
      <c r="A6" s="8">
        <f>DATE(YEAR(A7),MONTH(A7)-1,DAY(A7))</f>
        <v/>
      </c>
      <c r="B6" s="38">
        <f>VLOOKUP($B$5,'Sectors Trend'!$B$28:$AF$45,VLOOKUP(A6,$U:$V,2,),)</f>
        <v/>
      </c>
      <c r="C6" s="38">
        <f>VLOOKUP($C$5,'Sectors Trend'!$B$28:$AF$45,VLOOKUP(A6,$U:$V,2,),)</f>
        <v/>
      </c>
      <c r="D6" s="38">
        <f>VLOOKUP($D$5,'Sectors Trend'!$B$28:$AF$45,VLOOKUP(A6,$U:$V,2,),)</f>
        <v/>
      </c>
      <c r="E6" s="38">
        <f>VLOOKUP($E$5,'Sectors Trend'!$B$28:$AF$45,VLOOKUP(A6,$U:$V,2,),)</f>
        <v/>
      </c>
      <c r="F6" s="38">
        <f>VLOOKUP($F$5,'Sectors Trend'!$B$28:$AF$45,VLOOKUP(A6,$U:$V,2,),)</f>
        <v/>
      </c>
      <c r="G6" s="38">
        <f>VLOOKUP($G$5,'Sectors Trend'!$B$28:$AF$45,VLOOKUP(A6,$U:$V,2,),)</f>
        <v/>
      </c>
      <c r="H6" s="38">
        <f>VLOOKUP($H$5,'Sectors Trend'!$B$28:$AF$45,VLOOKUP(A6,$U:$V,2,),)</f>
        <v/>
      </c>
      <c r="I6" s="38">
        <f>VLOOKUP($I$5,'Sectors Trend'!$B$28:$AF$45,VLOOKUP(A6,$U:$V,2,),)</f>
        <v/>
      </c>
      <c r="J6" s="38">
        <f>VLOOKUP($J$5,'Sectors Trend'!$B$28:$AF$45,VLOOKUP(A6,$U:$V,2,),)</f>
        <v/>
      </c>
      <c r="K6" s="38">
        <f>VLOOKUP($K$5,'Sectors Trend'!$B$28:$AF$45,VLOOKUP(A6,$U:$V,2,),)</f>
        <v/>
      </c>
      <c r="L6" s="38">
        <f>VLOOKUP($L$5,'Sectors Trend'!$B$28:$AF$45,VLOOKUP(A6,$U:$V,2,),)</f>
        <v/>
      </c>
      <c r="M6" s="38">
        <f>VLOOKUP($M$5,'Sectors Trend'!$B$28:$AF$45,VLOOKUP(A6,$U:$V,2,),)</f>
        <v/>
      </c>
      <c r="N6" s="38">
        <f>VLOOKUP($N$5,'Sectors Trend'!$B$28:$AF$45,VLOOKUP(A6,$U:$V,2,),)</f>
        <v/>
      </c>
      <c r="O6" s="38">
        <f>VLOOKUP($O$5,'Sectors Trend'!$B$28:$AF$45,VLOOKUP(A6,$U:$V,2,),)</f>
        <v/>
      </c>
      <c r="P6" s="38">
        <f>VLOOKUP($P$5,'Sectors Trend'!$B$28:$AF$45,VLOOKUP(A6,$U:$V,2,),)</f>
        <v/>
      </c>
      <c r="Q6" s="38">
        <f>VLOOKUP($Q$5,'Sectors Trend'!$B$28:$AF$45,VLOOKUP(A6,$U:$V,2,),)</f>
        <v/>
      </c>
      <c r="R6" s="38">
        <f>VLOOKUP($R$5,'Sectors Trend'!$B$28:$AF$45,VLOOKUP(A6,$U:$V,2,),)</f>
        <v/>
      </c>
      <c r="S6" s="39">
        <f>VLOOKUP($S$5,'Sectors Trend'!$B$28:$AF$45,VLOOKUP(A6,$U:$V,2,),)</f>
        <v/>
      </c>
      <c r="U6" s="7">
        <f>DATE(YEAR(U7),MONTH(U7)-1,DAY(U7))</f>
        <v/>
      </c>
      <c r="V6" s="1">
        <f>V7-1</f>
        <v/>
      </c>
      <c r="Y6" s="76">
        <f>MIN(B6:S6)</f>
        <v/>
      </c>
      <c r="Z6" s="76">
        <f>MAX(B6:S6)</f>
        <v/>
      </c>
    </row>
    <row r="7">
      <c r="A7" s="8">
        <f>DATE(YEAR(A8),MONTH(A8)-1,DAY(A8))</f>
        <v/>
      </c>
      <c r="B7" s="5">
        <f>VLOOKUP($B$5,'Sectors Trend'!$B$28:$AF$45,VLOOKUP(A7,$U:$V,2,),)</f>
        <v/>
      </c>
      <c r="C7" s="5">
        <f>VLOOKUP($C$5,'Sectors Trend'!$B$28:$AF$45,VLOOKUP(A7,$U:$V,2,),)</f>
        <v/>
      </c>
      <c r="D7" s="5">
        <f>VLOOKUP($D$5,'Sectors Trend'!$B$28:$AF$45,VLOOKUP(A7,$U:$V,2,),)</f>
        <v/>
      </c>
      <c r="E7" s="5">
        <f>VLOOKUP($E$5,'Sectors Trend'!$B$28:$AF$45,VLOOKUP(A7,$U:$V,2,),)</f>
        <v/>
      </c>
      <c r="F7" s="5">
        <f>VLOOKUP($F$5,'Sectors Trend'!$B$28:$AF$45,VLOOKUP(A7,$U:$V,2,),)</f>
        <v/>
      </c>
      <c r="G7" s="5">
        <f>VLOOKUP($G$5,'Sectors Trend'!$B$28:$AF$45,VLOOKUP(A7,$U:$V,2,),)</f>
        <v/>
      </c>
      <c r="H7" s="5">
        <f>VLOOKUP($H$5,'Sectors Trend'!$B$28:$AF$45,VLOOKUP(A7,$U:$V,2,),)</f>
        <v/>
      </c>
      <c r="I7" s="5">
        <f>VLOOKUP($I$5,'Sectors Trend'!$B$28:$AF$45,VLOOKUP(A7,$U:$V,2,),)</f>
        <v/>
      </c>
      <c r="J7" s="5">
        <f>VLOOKUP($J$5,'Sectors Trend'!$B$28:$AF$45,VLOOKUP(A7,$U:$V,2,),)</f>
        <v/>
      </c>
      <c r="K7" s="5">
        <f>VLOOKUP($K$5,'Sectors Trend'!$B$28:$AF$45,VLOOKUP(A7,$U:$V,2,),)</f>
        <v/>
      </c>
      <c r="L7" s="5">
        <f>VLOOKUP($L$5,'Sectors Trend'!$B$28:$AF$45,VLOOKUP(A7,$U:$V,2,),)</f>
        <v/>
      </c>
      <c r="M7" s="5">
        <f>VLOOKUP($M$5,'Sectors Trend'!$B$28:$AF$45,VLOOKUP(A7,$U:$V,2,),)</f>
        <v/>
      </c>
      <c r="N7" s="5">
        <f>VLOOKUP($N$5,'Sectors Trend'!$B$28:$AF$45,VLOOKUP(A7,$U:$V,2,),)</f>
        <v/>
      </c>
      <c r="O7" s="5">
        <f>VLOOKUP($O$5,'Sectors Trend'!$B$28:$AF$45,VLOOKUP(A7,$U:$V,2,),)</f>
        <v/>
      </c>
      <c r="P7" s="5">
        <f>VLOOKUP($P$5,'Sectors Trend'!$B$28:$AF$45,VLOOKUP(A7,$U:$V,2,),)</f>
        <v/>
      </c>
      <c r="Q7" s="5">
        <f>VLOOKUP($Q$5,'Sectors Trend'!$B$28:$AF$45,VLOOKUP(A7,$U:$V,2,),)</f>
        <v/>
      </c>
      <c r="R7" s="5">
        <f>VLOOKUP($R$5,'Sectors Trend'!$B$28:$AF$45,VLOOKUP(A7,$U:$V,2,),)</f>
        <v/>
      </c>
      <c r="S7" s="40">
        <f>VLOOKUP($S$5,'Sectors Trend'!$B$28:$AF$45,VLOOKUP(A7,$U:$V,2,),)</f>
        <v/>
      </c>
      <c r="U7" s="7">
        <f>DATE(YEAR(U8),MONTH(U8)-1,DAY(U8))</f>
        <v/>
      </c>
      <c r="V7" s="1">
        <f>V8-1</f>
        <v/>
      </c>
      <c r="Y7" s="76">
        <f>MIN(B7:S7)</f>
        <v/>
      </c>
      <c r="Z7" s="76">
        <f>MAX(B7:S7)</f>
        <v/>
      </c>
    </row>
    <row r="8">
      <c r="A8" s="8">
        <f>DATE(YEAR(A9),MONTH(A9)-1,DAY(A9))</f>
        <v/>
      </c>
      <c r="B8" s="5">
        <f>VLOOKUP($B$5,'Sectors Trend'!$B$28:$AF$45,VLOOKUP(A8,$U:$V,2,),)</f>
        <v/>
      </c>
      <c r="C8" s="5">
        <f>VLOOKUP($C$5,'Sectors Trend'!$B$28:$AF$45,VLOOKUP(A8,$U:$V,2,),)</f>
        <v/>
      </c>
      <c r="D8" s="5">
        <f>VLOOKUP($D$5,'Sectors Trend'!$B$28:$AF$45,VLOOKUP(A8,$U:$V,2,),)</f>
        <v/>
      </c>
      <c r="E8" s="5">
        <f>VLOOKUP($E$5,'Sectors Trend'!$B$28:$AF$45,VLOOKUP(A8,$U:$V,2,),)</f>
        <v/>
      </c>
      <c r="F8" s="5">
        <f>VLOOKUP($F$5,'Sectors Trend'!$B$28:$AF$45,VLOOKUP(A8,$U:$V,2,),)</f>
        <v/>
      </c>
      <c r="G8" s="5">
        <f>VLOOKUP($G$5,'Sectors Trend'!$B$28:$AF$45,VLOOKUP(A8,$U:$V,2,),)</f>
        <v/>
      </c>
      <c r="H8" s="5">
        <f>VLOOKUP($H$5,'Sectors Trend'!$B$28:$AF$45,VLOOKUP(A8,$U:$V,2,),)</f>
        <v/>
      </c>
      <c r="I8" s="5">
        <f>VLOOKUP($I$5,'Sectors Trend'!$B$28:$AF$45,VLOOKUP(A8,$U:$V,2,),)</f>
        <v/>
      </c>
      <c r="J8" s="5">
        <f>VLOOKUP($J$5,'Sectors Trend'!$B$28:$AF$45,VLOOKUP(A8,$U:$V,2,),)</f>
        <v/>
      </c>
      <c r="K8" s="5">
        <f>VLOOKUP($K$5,'Sectors Trend'!$B$28:$AF$45,VLOOKUP(A8,$U:$V,2,),)</f>
        <v/>
      </c>
      <c r="L8" s="5">
        <f>VLOOKUP($L$5,'Sectors Trend'!$B$28:$AF$45,VLOOKUP(A8,$U:$V,2,),)</f>
        <v/>
      </c>
      <c r="M8" s="5">
        <f>VLOOKUP($M$5,'Sectors Trend'!$B$28:$AF$45,VLOOKUP(A8,$U:$V,2,),)</f>
        <v/>
      </c>
      <c r="N8" s="5">
        <f>VLOOKUP($N$5,'Sectors Trend'!$B$28:$AF$45,VLOOKUP(A8,$U:$V,2,),)</f>
        <v/>
      </c>
      <c r="O8" s="5">
        <f>VLOOKUP($O$5,'Sectors Trend'!$B$28:$AF$45,VLOOKUP(A8,$U:$V,2,),)</f>
        <v/>
      </c>
      <c r="P8" s="5">
        <f>VLOOKUP($P$5,'Sectors Trend'!$B$28:$AF$45,VLOOKUP(A8,$U:$V,2,),)</f>
        <v/>
      </c>
      <c r="Q8" s="5">
        <f>VLOOKUP($Q$5,'Sectors Trend'!$B$28:$AF$45,VLOOKUP(A8,$U:$V,2,),)</f>
        <v/>
      </c>
      <c r="R8" s="5">
        <f>VLOOKUP($R$5,'Sectors Trend'!$B$28:$AF$45,VLOOKUP(A8,$U:$V,2,),)</f>
        <v/>
      </c>
      <c r="S8" s="40">
        <f>VLOOKUP($S$5,'Sectors Trend'!$B$28:$AF$45,VLOOKUP(A8,$U:$V,2,),)</f>
        <v/>
      </c>
      <c r="U8" s="7">
        <f>DATE(YEAR(U9),MONTH(U9)-1,DAY(U9))</f>
        <v/>
      </c>
      <c r="V8" s="1">
        <f>V9-1</f>
        <v/>
      </c>
      <c r="Y8" s="76">
        <f>MIN(B8:S8)</f>
        <v/>
      </c>
      <c r="Z8" s="76">
        <f>MAX(B8:S8)</f>
        <v/>
      </c>
    </row>
    <row r="9">
      <c r="A9" s="8">
        <f>DATE(YEAR(A10),MONTH(A10)-1,DAY(A10))</f>
        <v/>
      </c>
      <c r="B9" s="5">
        <f>VLOOKUP($B$5,'Sectors Trend'!$B$28:$AF$45,VLOOKUP(A9,$U:$V,2,),)</f>
        <v/>
      </c>
      <c r="C9" s="5">
        <f>VLOOKUP($C$5,'Sectors Trend'!$B$28:$AF$45,VLOOKUP(A9,$U:$V,2,),)</f>
        <v/>
      </c>
      <c r="D9" s="5">
        <f>VLOOKUP($D$5,'Sectors Trend'!$B$28:$AF$45,VLOOKUP(A9,$U:$V,2,),)</f>
        <v/>
      </c>
      <c r="E9" s="5">
        <f>VLOOKUP($E$5,'Sectors Trend'!$B$28:$AF$45,VLOOKUP(A9,$U:$V,2,),)</f>
        <v/>
      </c>
      <c r="F9" s="5">
        <f>VLOOKUP($F$5,'Sectors Trend'!$B$28:$AF$45,VLOOKUP(A9,$U:$V,2,),)</f>
        <v/>
      </c>
      <c r="G9" s="5">
        <f>VLOOKUP($G$5,'Sectors Trend'!$B$28:$AF$45,VLOOKUP(A9,$U:$V,2,),)</f>
        <v/>
      </c>
      <c r="H9" s="5">
        <f>VLOOKUP($H$5,'Sectors Trend'!$B$28:$AF$45,VLOOKUP(A9,$U:$V,2,),)</f>
        <v/>
      </c>
      <c r="I9" s="5">
        <f>VLOOKUP($I$5,'Sectors Trend'!$B$28:$AF$45,VLOOKUP(A9,$U:$V,2,),)</f>
        <v/>
      </c>
      <c r="J9" s="5">
        <f>VLOOKUP($J$5,'Sectors Trend'!$B$28:$AF$45,VLOOKUP(A9,$U:$V,2,),)</f>
        <v/>
      </c>
      <c r="K9" s="5">
        <f>VLOOKUP($K$5,'Sectors Trend'!$B$28:$AF$45,VLOOKUP(A9,$U:$V,2,),)</f>
        <v/>
      </c>
      <c r="L9" s="5">
        <f>VLOOKUP($L$5,'Sectors Trend'!$B$28:$AF$45,VLOOKUP(A9,$U:$V,2,),)</f>
        <v/>
      </c>
      <c r="M9" s="5">
        <f>VLOOKUP($M$5,'Sectors Trend'!$B$28:$AF$45,VLOOKUP(A9,$U:$V,2,),)</f>
        <v/>
      </c>
      <c r="N9" s="5">
        <f>VLOOKUP($N$5,'Sectors Trend'!$B$28:$AF$45,VLOOKUP(A9,$U:$V,2,),)</f>
        <v/>
      </c>
      <c r="O9" s="5">
        <f>VLOOKUP($O$5,'Sectors Trend'!$B$28:$AF$45,VLOOKUP(A9,$U:$V,2,),)</f>
        <v/>
      </c>
      <c r="P9" s="5">
        <f>VLOOKUP($P$5,'Sectors Trend'!$B$28:$AF$45,VLOOKUP(A9,$U:$V,2,),)</f>
        <v/>
      </c>
      <c r="Q9" s="5">
        <f>VLOOKUP($Q$5,'Sectors Trend'!$B$28:$AF$45,VLOOKUP(A9,$U:$V,2,),)</f>
        <v/>
      </c>
      <c r="R9" s="5">
        <f>VLOOKUP($R$5,'Sectors Trend'!$B$28:$AF$45,VLOOKUP(A9,$U:$V,2,),)</f>
        <v/>
      </c>
      <c r="S9" s="40">
        <f>VLOOKUP($S$5,'Sectors Trend'!$B$28:$AF$45,VLOOKUP(A9,$U:$V,2,),)</f>
        <v/>
      </c>
      <c r="U9" s="7">
        <f>DATE(YEAR(U10),MONTH(U10)-1,DAY(U10))</f>
        <v/>
      </c>
      <c r="V9" s="1">
        <f>V10-1</f>
        <v/>
      </c>
      <c r="Y9" s="76">
        <f>MIN(B9:S9)</f>
        <v/>
      </c>
      <c r="Z9" s="76">
        <f>MAX(B9:S9)</f>
        <v/>
      </c>
    </row>
    <row r="10">
      <c r="A10" s="8">
        <f>DATE(YEAR(A11),MONTH(A11)-1,DAY(A11))</f>
        <v/>
      </c>
      <c r="B10" s="5">
        <f>VLOOKUP($B$5,'Sectors Trend'!$B$28:$AF$45,VLOOKUP(A10,$U:$V,2,),)</f>
        <v/>
      </c>
      <c r="C10" s="5">
        <f>VLOOKUP($C$5,'Sectors Trend'!$B$28:$AF$45,VLOOKUP(A10,$U:$V,2,),)</f>
        <v/>
      </c>
      <c r="D10" s="5">
        <f>VLOOKUP($D$5,'Sectors Trend'!$B$28:$AF$45,VLOOKUP(A10,$U:$V,2,),)</f>
        <v/>
      </c>
      <c r="E10" s="5">
        <f>VLOOKUP($E$5,'Sectors Trend'!$B$28:$AF$45,VLOOKUP(A10,$U:$V,2,),)</f>
        <v/>
      </c>
      <c r="F10" s="5">
        <f>VLOOKUP($F$5,'Sectors Trend'!$B$28:$AF$45,VLOOKUP(A10,$U:$V,2,),)</f>
        <v/>
      </c>
      <c r="G10" s="5">
        <f>VLOOKUP($G$5,'Sectors Trend'!$B$28:$AF$45,VLOOKUP(A10,$U:$V,2,),)</f>
        <v/>
      </c>
      <c r="H10" s="5">
        <f>VLOOKUP($H$5,'Sectors Trend'!$B$28:$AF$45,VLOOKUP(A10,$U:$V,2,),)</f>
        <v/>
      </c>
      <c r="I10" s="5">
        <f>VLOOKUP($I$5,'Sectors Trend'!$B$28:$AF$45,VLOOKUP(A10,$U:$V,2,),)</f>
        <v/>
      </c>
      <c r="J10" s="5">
        <f>VLOOKUP($J$5,'Sectors Trend'!$B$28:$AF$45,VLOOKUP(A10,$U:$V,2,),)</f>
        <v/>
      </c>
      <c r="K10" s="5">
        <f>VLOOKUP($K$5,'Sectors Trend'!$B$28:$AF$45,VLOOKUP(A10,$U:$V,2,),)</f>
        <v/>
      </c>
      <c r="L10" s="5">
        <f>VLOOKUP($L$5,'Sectors Trend'!$B$28:$AF$45,VLOOKUP(A10,$U:$V,2,),)</f>
        <v/>
      </c>
      <c r="M10" s="5">
        <f>VLOOKUP($M$5,'Sectors Trend'!$B$28:$AF$45,VLOOKUP(A10,$U:$V,2,),)</f>
        <v/>
      </c>
      <c r="N10" s="5">
        <f>VLOOKUP($N$5,'Sectors Trend'!$B$28:$AF$45,VLOOKUP(A10,$U:$V,2,),)</f>
        <v/>
      </c>
      <c r="O10" s="5">
        <f>VLOOKUP($O$5,'Sectors Trend'!$B$28:$AF$45,VLOOKUP(A10,$U:$V,2,),)</f>
        <v/>
      </c>
      <c r="P10" s="5">
        <f>VLOOKUP($P$5,'Sectors Trend'!$B$28:$AF$45,VLOOKUP(A10,$U:$V,2,),)</f>
        <v/>
      </c>
      <c r="Q10" s="5">
        <f>VLOOKUP($Q$5,'Sectors Trend'!$B$28:$AF$45,VLOOKUP(A10,$U:$V,2,),)</f>
        <v/>
      </c>
      <c r="R10" s="5">
        <f>VLOOKUP($R$5,'Sectors Trend'!$B$28:$AF$45,VLOOKUP(A10,$U:$V,2,),)</f>
        <v/>
      </c>
      <c r="S10" s="40">
        <f>VLOOKUP($S$5,'Sectors Trend'!$B$28:$AF$45,VLOOKUP(A10,$U:$V,2,),)</f>
        <v/>
      </c>
      <c r="U10" s="7">
        <f>DATE(YEAR(U11),MONTH(U11)-1,DAY(U11))</f>
        <v/>
      </c>
      <c r="V10" s="1">
        <f>V11-1</f>
        <v/>
      </c>
      <c r="Y10" s="76">
        <f>MIN(B10:S10)</f>
        <v/>
      </c>
      <c r="Z10" s="76">
        <f>MAX(B10:S10)</f>
        <v/>
      </c>
    </row>
    <row r="11" ht="16" customHeight="1" s="65" thickBot="1">
      <c r="A11" s="8">
        <f>L1</f>
        <v/>
      </c>
      <c r="B11" s="41">
        <f>VLOOKUP($B$5,'Sectors Trend'!$B$28:$AF$45,VLOOKUP(A11,$U:$V,2,),)</f>
        <v/>
      </c>
      <c r="C11" s="41">
        <f>VLOOKUP($C$5,'Sectors Trend'!$B$28:$AF$45,VLOOKUP(A11,$U:$V,2,),)</f>
        <v/>
      </c>
      <c r="D11" s="41">
        <f>VLOOKUP($D$5,'Sectors Trend'!$B$28:$AF$45,VLOOKUP(A11,$U:$V,2,),)</f>
        <v/>
      </c>
      <c r="E11" s="41">
        <f>VLOOKUP($E$5,'Sectors Trend'!$B$28:$AF$45,VLOOKUP(A11,$U:$V,2,),)</f>
        <v/>
      </c>
      <c r="F11" s="41">
        <f>VLOOKUP($F$5,'Sectors Trend'!$B$28:$AF$45,VLOOKUP(A11,$U:$V,2,),)</f>
        <v/>
      </c>
      <c r="G11" s="41">
        <f>VLOOKUP($G$5,'Sectors Trend'!$B$28:$AF$45,VLOOKUP(A11,$U:$V,2,),)</f>
        <v/>
      </c>
      <c r="H11" s="41">
        <f>VLOOKUP($H$5,'Sectors Trend'!$B$28:$AF$45,VLOOKUP(A11,$U:$V,2,),)</f>
        <v/>
      </c>
      <c r="I11" s="41">
        <f>VLOOKUP($I$5,'Sectors Trend'!$B$28:$AF$45,VLOOKUP(A11,$U:$V,2,),)</f>
        <v/>
      </c>
      <c r="J11" s="41">
        <f>VLOOKUP($J$5,'Sectors Trend'!$B$28:$AF$45,VLOOKUP(A11,$U:$V,2,),)</f>
        <v/>
      </c>
      <c r="K11" s="41">
        <f>VLOOKUP($K$5,'Sectors Trend'!$B$28:$AF$45,VLOOKUP(A11,$U:$V,2,),)</f>
        <v/>
      </c>
      <c r="L11" s="41">
        <f>VLOOKUP($L$5,'Sectors Trend'!$B$28:$AF$45,VLOOKUP(A11,$U:$V,2,),)</f>
        <v/>
      </c>
      <c r="M11" s="41">
        <f>VLOOKUP($M$5,'Sectors Trend'!$B$28:$AF$45,VLOOKUP(A11,$U:$V,2,),)</f>
        <v/>
      </c>
      <c r="N11" s="41">
        <f>VLOOKUP($N$5,'Sectors Trend'!$B$28:$AF$45,VLOOKUP(A11,$U:$V,2,),)</f>
        <v/>
      </c>
      <c r="O11" s="41">
        <f>VLOOKUP($O$5,'Sectors Trend'!$B$28:$AF$45,VLOOKUP(A11,$U:$V,2,),)</f>
        <v/>
      </c>
      <c r="P11" s="41">
        <f>VLOOKUP($P$5,'Sectors Trend'!$B$28:$AF$45,VLOOKUP(A11,$U:$V,2,),)</f>
        <v/>
      </c>
      <c r="Q11" s="41">
        <f>VLOOKUP($Q$5,'Sectors Trend'!$B$28:$AF$45,VLOOKUP(A11,$U:$V,2,),)</f>
        <v/>
      </c>
      <c r="R11" s="41">
        <f>VLOOKUP($R$5,'Sectors Trend'!$B$28:$AF$45,VLOOKUP(A11,$U:$V,2,),)</f>
        <v/>
      </c>
      <c r="S11" s="42">
        <f>VLOOKUP($S$5,'Sectors Trend'!$B$28:$AF$45,VLOOKUP(A11,$U:$V,2,),)</f>
        <v/>
      </c>
      <c r="U11" s="7">
        <f>L1</f>
        <v/>
      </c>
      <c r="V11" s="1">
        <f>L2+1</f>
        <v/>
      </c>
      <c r="Y11" s="76">
        <f>MIN(B11:S11)</f>
        <v/>
      </c>
      <c r="Z11" s="7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zoomScale="140" zoomScaleNormal="140" workbookViewId="0">
      <selection activeCell="AC25" sqref="AC25"/>
    </sheetView>
  </sheetViews>
  <sheetFormatPr baseColWidth="10" defaultColWidth="9.1640625" defaultRowHeight="15"/>
  <cols>
    <col width="9.6640625" customWidth="1" style="76" min="1" max="1"/>
    <col width="8.83203125" customWidth="1" style="76" min="2" max="20"/>
    <col width="9.1640625" customWidth="1" style="76" min="21" max="34"/>
    <col width="9.1640625" customWidth="1" style="76" min="35" max="16384"/>
  </cols>
  <sheetData>
    <row r="1">
      <c r="J1" s="76" t="inlineStr">
        <is>
          <t>Last Month</t>
        </is>
      </c>
      <c r="L1" s="7">
        <f>Sectors!L1</f>
        <v/>
      </c>
      <c r="O1" s="6" t="n"/>
    </row>
    <row r="2">
      <c r="L2" s="76">
        <f>Sectors!L2</f>
        <v/>
      </c>
      <c r="Y2" s="7" t="n"/>
    </row>
    <row r="4">
      <c r="U4" s="7">
        <f>DATE(YEAR(U5),MONTH(U5)-1,DAY(U5))</f>
        <v/>
      </c>
      <c r="V4" s="1">
        <f>V5-1</f>
        <v/>
      </c>
    </row>
    <row r="5" ht="67.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6" t="inlineStr">
        <is>
          <t>Min</t>
        </is>
      </c>
      <c r="Z5" s="76" t="inlineStr">
        <is>
          <t>Max</t>
        </is>
      </c>
    </row>
    <row r="6">
      <c r="A6" s="8">
        <f>DATE(YEAR(A7),MONTH(A7)-1,DAY(A7))</f>
        <v/>
      </c>
      <c r="B6" s="38">
        <f>VLOOKUP($B$5,'Sectors Trend'!$B$50:$AF$67,VLOOKUP(A6,$U:$V,2,),)</f>
        <v/>
      </c>
      <c r="C6" s="38">
        <f>VLOOKUP($C$5,'Sectors Trend'!$B$50:$AF$67,VLOOKUP(A6,$U:$V,2,),)</f>
        <v/>
      </c>
      <c r="D6" s="38">
        <f>VLOOKUP($D$5,'Sectors Trend'!$B$50:$AF$67,VLOOKUP(A6,$U:$V,2,),)</f>
        <v/>
      </c>
      <c r="E6" s="38">
        <f>VLOOKUP($E$5,'Sectors Trend'!$B$50:$AF$67,VLOOKUP(A6,$U:$V,2,),)</f>
        <v/>
      </c>
      <c r="F6" s="38">
        <f>VLOOKUP($F$5,'Sectors Trend'!$B$50:$AF$67,VLOOKUP(A6,$U:$V,2,),)</f>
        <v/>
      </c>
      <c r="G6" s="38">
        <f>VLOOKUP($G$5,'Sectors Trend'!$B$50:$AF$67,VLOOKUP(A6,$U:$V,2,),)</f>
        <v/>
      </c>
      <c r="H6" s="38">
        <f>VLOOKUP($H$5,'Sectors Trend'!$B$50:$AF$67,VLOOKUP(A6,$U:$V,2,),)</f>
        <v/>
      </c>
      <c r="I6" s="38">
        <f>VLOOKUP($I$5,'Sectors Trend'!$B$50:$AF$67,VLOOKUP(A6,$U:$V,2,),)</f>
        <v/>
      </c>
      <c r="J6" s="38">
        <f>VLOOKUP($J$5,'Sectors Trend'!$B$50:$AF$67,VLOOKUP(A6,$U:$V,2,),)</f>
        <v/>
      </c>
      <c r="K6" s="38">
        <f>VLOOKUP($K$5,'Sectors Trend'!$B$50:$AF$67,VLOOKUP(A6,$U:$V,2,),)</f>
        <v/>
      </c>
      <c r="L6" s="38">
        <f>VLOOKUP($L$5,'Sectors Trend'!$B$50:$AF$67,VLOOKUP(A6,$U:$V,2,),)</f>
        <v/>
      </c>
      <c r="M6" s="38">
        <f>VLOOKUP($M$5,'Sectors Trend'!$B$50:$AF$67,VLOOKUP(A6,$U:$V,2,),)</f>
        <v/>
      </c>
      <c r="N6" s="38">
        <f>VLOOKUP($N$5,'Sectors Trend'!$B$50:$AF$67,VLOOKUP(A6,$U:$V,2,),)</f>
        <v/>
      </c>
      <c r="O6" s="38">
        <f>VLOOKUP($O$5,'Sectors Trend'!$B$50:$AF$67,VLOOKUP(A6,$U:$V,2,),)</f>
        <v/>
      </c>
      <c r="P6" s="38">
        <f>VLOOKUP($P$5,'Sectors Trend'!$B$50:$AF$67,VLOOKUP(A6,$U:$V,2,),)</f>
        <v/>
      </c>
      <c r="Q6" s="38">
        <f>VLOOKUP($Q$5,'Sectors Trend'!$B$50:$AF$67,VLOOKUP(A6,$U:$V,2,),)</f>
        <v/>
      </c>
      <c r="R6" s="38">
        <f>VLOOKUP($R$5,'Sectors Trend'!$B$50:$AF$67,VLOOKUP(A6,$U:$V,2,),)</f>
        <v/>
      </c>
      <c r="S6" s="39">
        <f>VLOOKUP($S$5,'Sectors Trend'!$B$50:$AF$67,VLOOKUP(A6,$U:$V,2,),)</f>
        <v/>
      </c>
      <c r="U6" s="7">
        <f>DATE(YEAR(U7),MONTH(U7)-1,DAY(U7))</f>
        <v/>
      </c>
      <c r="V6" s="1">
        <f>V7-1</f>
        <v/>
      </c>
      <c r="Y6" s="76">
        <f>MIN(B6:S6)</f>
        <v/>
      </c>
      <c r="Z6" s="76">
        <f>MAX(B6:S6)</f>
        <v/>
      </c>
    </row>
    <row r="7">
      <c r="A7" s="8">
        <f>DATE(YEAR(A8),MONTH(A8)-1,DAY(A8))</f>
        <v/>
      </c>
      <c r="B7" s="5">
        <f>VLOOKUP($B$5,'Sectors Trend'!$B$50:$AF$67,VLOOKUP(A7,$U:$V,2,),)</f>
        <v/>
      </c>
      <c r="C7" s="5">
        <f>VLOOKUP($C$5,'Sectors Trend'!$B$50:$AF$67,VLOOKUP(A7,$U:$V,2,),)</f>
        <v/>
      </c>
      <c r="D7" s="5">
        <f>VLOOKUP($D$5,'Sectors Trend'!$B$50:$AF$67,VLOOKUP(A7,$U:$V,2,),)</f>
        <v/>
      </c>
      <c r="E7" s="5">
        <f>VLOOKUP($E$5,'Sectors Trend'!$B$50:$AF$67,VLOOKUP(A7,$U:$V,2,),)</f>
        <v/>
      </c>
      <c r="F7" s="5">
        <f>VLOOKUP($F$5,'Sectors Trend'!$B$50:$AF$67,VLOOKUP(A7,$U:$V,2,),)</f>
        <v/>
      </c>
      <c r="G7" s="5">
        <f>VLOOKUP($G$5,'Sectors Trend'!$B$50:$AF$67,VLOOKUP(A7,$U:$V,2,),)</f>
        <v/>
      </c>
      <c r="H7" s="5">
        <f>VLOOKUP($H$5,'Sectors Trend'!$B$50:$AF$67,VLOOKUP(A7,$U:$V,2,),)</f>
        <v/>
      </c>
      <c r="I7" s="5">
        <f>VLOOKUP($I$5,'Sectors Trend'!$B$50:$AF$67,VLOOKUP(A7,$U:$V,2,),)</f>
        <v/>
      </c>
      <c r="J7" s="5">
        <f>VLOOKUP($J$5,'Sectors Trend'!$B$50:$AF$67,VLOOKUP(A7,$U:$V,2,),)</f>
        <v/>
      </c>
      <c r="K7" s="5">
        <f>VLOOKUP($K$5,'Sectors Trend'!$B$50:$AF$67,VLOOKUP(A7,$U:$V,2,),)</f>
        <v/>
      </c>
      <c r="L7" s="5">
        <f>VLOOKUP($L$5,'Sectors Trend'!$B$50:$AF$67,VLOOKUP(A7,$U:$V,2,),)</f>
        <v/>
      </c>
      <c r="M7" s="5">
        <f>VLOOKUP($M$5,'Sectors Trend'!$B$50:$AF$67,VLOOKUP(A7,$U:$V,2,),)</f>
        <v/>
      </c>
      <c r="N7" s="5">
        <f>VLOOKUP($N$5,'Sectors Trend'!$B$50:$AF$67,VLOOKUP(A7,$U:$V,2,),)</f>
        <v/>
      </c>
      <c r="O7" s="5">
        <f>VLOOKUP($O$5,'Sectors Trend'!$B$50:$AF$67,VLOOKUP(A7,$U:$V,2,),)</f>
        <v/>
      </c>
      <c r="P7" s="5">
        <f>VLOOKUP($P$5,'Sectors Trend'!$B$50:$AF$67,VLOOKUP(A7,$U:$V,2,),)</f>
        <v/>
      </c>
      <c r="Q7" s="5">
        <f>VLOOKUP($Q$5,'Sectors Trend'!$B$50:$AF$67,VLOOKUP(A7,$U:$V,2,),)</f>
        <v/>
      </c>
      <c r="R7" s="5">
        <f>VLOOKUP($R$5,'Sectors Trend'!$B$50:$AF$67,VLOOKUP(A7,$U:$V,2,),)</f>
        <v/>
      </c>
      <c r="S7" s="40">
        <f>VLOOKUP($S$5,'Sectors Trend'!$B$50:$AF$67,VLOOKUP(A7,$U:$V,2,),)</f>
        <v/>
      </c>
      <c r="U7" s="7">
        <f>DATE(YEAR(U8),MONTH(U8)-1,DAY(U8))</f>
        <v/>
      </c>
      <c r="V7" s="1">
        <f>V8-1</f>
        <v/>
      </c>
      <c r="Y7" s="76">
        <f>MIN(B7:S7)</f>
        <v/>
      </c>
      <c r="Z7" s="76">
        <f>MAX(B7:S7)</f>
        <v/>
      </c>
    </row>
    <row r="8">
      <c r="A8" s="8">
        <f>DATE(YEAR(A9),MONTH(A9)-1,DAY(A9))</f>
        <v/>
      </c>
      <c r="B8" s="5">
        <f>VLOOKUP($B$5,'Sectors Trend'!$B$50:$AF$67,VLOOKUP(A8,$U:$V,2,),)</f>
        <v/>
      </c>
      <c r="C8" s="5">
        <f>VLOOKUP($C$5,'Sectors Trend'!$B$50:$AF$67,VLOOKUP(A8,$U:$V,2,),)</f>
        <v/>
      </c>
      <c r="D8" s="5">
        <f>VLOOKUP($D$5,'Sectors Trend'!$B$50:$AF$67,VLOOKUP(A8,$U:$V,2,),)</f>
        <v/>
      </c>
      <c r="E8" s="5">
        <f>VLOOKUP($E$5,'Sectors Trend'!$B$50:$AF$67,VLOOKUP(A8,$U:$V,2,),)</f>
        <v/>
      </c>
      <c r="F8" s="5">
        <f>VLOOKUP($F$5,'Sectors Trend'!$B$50:$AF$67,VLOOKUP(A8,$U:$V,2,),)</f>
        <v/>
      </c>
      <c r="G8" s="5">
        <f>VLOOKUP($G$5,'Sectors Trend'!$B$50:$AF$67,VLOOKUP(A8,$U:$V,2,),)</f>
        <v/>
      </c>
      <c r="H8" s="5">
        <f>VLOOKUP($H$5,'Sectors Trend'!$B$50:$AF$67,VLOOKUP(A8,$U:$V,2,),)</f>
        <v/>
      </c>
      <c r="I8" s="5">
        <f>VLOOKUP($I$5,'Sectors Trend'!$B$50:$AF$67,VLOOKUP(A8,$U:$V,2,),)</f>
        <v/>
      </c>
      <c r="J8" s="5">
        <f>VLOOKUP($J$5,'Sectors Trend'!$B$50:$AF$67,VLOOKUP(A8,$U:$V,2,),)</f>
        <v/>
      </c>
      <c r="K8" s="5">
        <f>VLOOKUP($K$5,'Sectors Trend'!$B$50:$AF$67,VLOOKUP(A8,$U:$V,2,),)</f>
        <v/>
      </c>
      <c r="L8" s="5">
        <f>VLOOKUP($L$5,'Sectors Trend'!$B$50:$AF$67,VLOOKUP(A8,$U:$V,2,),)</f>
        <v/>
      </c>
      <c r="M8" s="5">
        <f>VLOOKUP($M$5,'Sectors Trend'!$B$50:$AF$67,VLOOKUP(A8,$U:$V,2,),)</f>
        <v/>
      </c>
      <c r="N8" s="5">
        <f>VLOOKUP($N$5,'Sectors Trend'!$B$50:$AF$67,VLOOKUP(A8,$U:$V,2,),)</f>
        <v/>
      </c>
      <c r="O8" s="5">
        <f>VLOOKUP($O$5,'Sectors Trend'!$B$50:$AF$67,VLOOKUP(A8,$U:$V,2,),)</f>
        <v/>
      </c>
      <c r="P8" s="5">
        <f>VLOOKUP($P$5,'Sectors Trend'!$B$50:$AF$67,VLOOKUP(A8,$U:$V,2,),)</f>
        <v/>
      </c>
      <c r="Q8" s="5">
        <f>VLOOKUP($Q$5,'Sectors Trend'!$B$50:$AF$67,VLOOKUP(A8,$U:$V,2,),)</f>
        <v/>
      </c>
      <c r="R8" s="5">
        <f>VLOOKUP($R$5,'Sectors Trend'!$B$50:$AF$67,VLOOKUP(A8,$U:$V,2,),)</f>
        <v/>
      </c>
      <c r="S8" s="40">
        <f>VLOOKUP($S$5,'Sectors Trend'!$B$50:$AF$67,VLOOKUP(A8,$U:$V,2,),)</f>
        <v/>
      </c>
      <c r="U8" s="7">
        <f>DATE(YEAR(U9),MONTH(U9)-1,DAY(U9))</f>
        <v/>
      </c>
      <c r="V8" s="1">
        <f>V9-1</f>
        <v/>
      </c>
      <c r="Y8" s="76">
        <f>MIN(B8:S8)</f>
        <v/>
      </c>
      <c r="Z8" s="76">
        <f>MAX(B8:S8)</f>
        <v/>
      </c>
    </row>
    <row r="9">
      <c r="A9" s="8">
        <f>DATE(YEAR(A10),MONTH(A10)-1,DAY(A10))</f>
        <v/>
      </c>
      <c r="B9" s="5">
        <f>VLOOKUP($B$5,'Sectors Trend'!$B$50:$AF$67,VLOOKUP(A9,$U:$V,2,),)</f>
        <v/>
      </c>
      <c r="C9" s="5">
        <f>VLOOKUP($C$5,'Sectors Trend'!$B$50:$AF$67,VLOOKUP(A9,$U:$V,2,),)</f>
        <v/>
      </c>
      <c r="D9" s="5">
        <f>VLOOKUP($D$5,'Sectors Trend'!$B$50:$AF$67,VLOOKUP(A9,$U:$V,2,),)</f>
        <v/>
      </c>
      <c r="E9" s="5">
        <f>VLOOKUP($E$5,'Sectors Trend'!$B$50:$AF$67,VLOOKUP(A9,$U:$V,2,),)</f>
        <v/>
      </c>
      <c r="F9" s="5">
        <f>VLOOKUP($F$5,'Sectors Trend'!$B$50:$AF$67,VLOOKUP(A9,$U:$V,2,),)</f>
        <v/>
      </c>
      <c r="G9" s="5">
        <f>VLOOKUP($G$5,'Sectors Trend'!$B$50:$AF$67,VLOOKUP(A9,$U:$V,2,),)</f>
        <v/>
      </c>
      <c r="H9" s="5">
        <f>VLOOKUP($H$5,'Sectors Trend'!$B$50:$AF$67,VLOOKUP(A9,$U:$V,2,),)</f>
        <v/>
      </c>
      <c r="I9" s="5">
        <f>VLOOKUP($I$5,'Sectors Trend'!$B$50:$AF$67,VLOOKUP(A9,$U:$V,2,),)</f>
        <v/>
      </c>
      <c r="J9" s="5">
        <f>VLOOKUP($J$5,'Sectors Trend'!$B$50:$AF$67,VLOOKUP(A9,$U:$V,2,),)</f>
        <v/>
      </c>
      <c r="K9" s="5">
        <f>VLOOKUP($K$5,'Sectors Trend'!$B$50:$AF$67,VLOOKUP(A9,$U:$V,2,),)</f>
        <v/>
      </c>
      <c r="L9" s="5">
        <f>VLOOKUP($L$5,'Sectors Trend'!$B$50:$AF$67,VLOOKUP(A9,$U:$V,2,),)</f>
        <v/>
      </c>
      <c r="M9" s="5">
        <f>VLOOKUP($M$5,'Sectors Trend'!$B$50:$AF$67,VLOOKUP(A9,$U:$V,2,),)</f>
        <v/>
      </c>
      <c r="N9" s="5">
        <f>VLOOKUP($N$5,'Sectors Trend'!$B$50:$AF$67,VLOOKUP(A9,$U:$V,2,),)</f>
        <v/>
      </c>
      <c r="O9" s="5">
        <f>VLOOKUP($O$5,'Sectors Trend'!$B$50:$AF$67,VLOOKUP(A9,$U:$V,2,),)</f>
        <v/>
      </c>
      <c r="P9" s="5">
        <f>VLOOKUP($P$5,'Sectors Trend'!$B$50:$AF$67,VLOOKUP(A9,$U:$V,2,),)</f>
        <v/>
      </c>
      <c r="Q9" s="5">
        <f>VLOOKUP($Q$5,'Sectors Trend'!$B$50:$AF$67,VLOOKUP(A9,$U:$V,2,),)</f>
        <v/>
      </c>
      <c r="R9" s="5">
        <f>VLOOKUP($R$5,'Sectors Trend'!$B$50:$AF$67,VLOOKUP(A9,$U:$V,2,),)</f>
        <v/>
      </c>
      <c r="S9" s="40">
        <f>VLOOKUP($S$5,'Sectors Trend'!$B$50:$AF$67,VLOOKUP(A9,$U:$V,2,),)</f>
        <v/>
      </c>
      <c r="U9" s="7">
        <f>DATE(YEAR(U10),MONTH(U10)-1,DAY(U10))</f>
        <v/>
      </c>
      <c r="V9" s="1">
        <f>V10-1</f>
        <v/>
      </c>
      <c r="Y9" s="76">
        <f>MIN(B9:S9)</f>
        <v/>
      </c>
      <c r="Z9" s="76">
        <f>MAX(B9:S9)</f>
        <v/>
      </c>
    </row>
    <row r="10">
      <c r="A10" s="8">
        <f>DATE(YEAR(A11),MONTH(A11)-1,DAY(A11))</f>
        <v/>
      </c>
      <c r="B10" s="5">
        <f>VLOOKUP($B$5,'Sectors Trend'!$B$50:$AF$67,VLOOKUP(A10,$U:$V,2,),)</f>
        <v/>
      </c>
      <c r="C10" s="5">
        <f>VLOOKUP($C$5,'Sectors Trend'!$B$50:$AF$67,VLOOKUP(A10,$U:$V,2,),)</f>
        <v/>
      </c>
      <c r="D10" s="5">
        <f>VLOOKUP($D$5,'Sectors Trend'!$B$50:$AF$67,VLOOKUP(A10,$U:$V,2,),)</f>
        <v/>
      </c>
      <c r="E10" s="5">
        <f>VLOOKUP($E$5,'Sectors Trend'!$B$50:$AF$67,VLOOKUP(A10,$U:$V,2,),)</f>
        <v/>
      </c>
      <c r="F10" s="5">
        <f>VLOOKUP($F$5,'Sectors Trend'!$B$50:$AF$67,VLOOKUP(A10,$U:$V,2,),)</f>
        <v/>
      </c>
      <c r="G10" s="5">
        <f>VLOOKUP($G$5,'Sectors Trend'!$B$50:$AF$67,VLOOKUP(A10,$U:$V,2,),)</f>
        <v/>
      </c>
      <c r="H10" s="5">
        <f>VLOOKUP($H$5,'Sectors Trend'!$B$50:$AF$67,VLOOKUP(A10,$U:$V,2,),)</f>
        <v/>
      </c>
      <c r="I10" s="5">
        <f>VLOOKUP($I$5,'Sectors Trend'!$B$50:$AF$67,VLOOKUP(A10,$U:$V,2,),)</f>
        <v/>
      </c>
      <c r="J10" s="5">
        <f>VLOOKUP($J$5,'Sectors Trend'!$B$50:$AF$67,VLOOKUP(A10,$U:$V,2,),)</f>
        <v/>
      </c>
      <c r="K10" s="5">
        <f>VLOOKUP($K$5,'Sectors Trend'!$B$50:$AF$67,VLOOKUP(A10,$U:$V,2,),)</f>
        <v/>
      </c>
      <c r="L10" s="5">
        <f>VLOOKUP($L$5,'Sectors Trend'!$B$50:$AF$67,VLOOKUP(A10,$U:$V,2,),)</f>
        <v/>
      </c>
      <c r="M10" s="5">
        <f>VLOOKUP($M$5,'Sectors Trend'!$B$50:$AF$67,VLOOKUP(A10,$U:$V,2,),)</f>
        <v/>
      </c>
      <c r="N10" s="5">
        <f>VLOOKUP($N$5,'Sectors Trend'!$B$50:$AF$67,VLOOKUP(A10,$U:$V,2,),)</f>
        <v/>
      </c>
      <c r="O10" s="5">
        <f>VLOOKUP($O$5,'Sectors Trend'!$B$50:$AF$67,VLOOKUP(A10,$U:$V,2,),)</f>
        <v/>
      </c>
      <c r="P10" s="5">
        <f>VLOOKUP($P$5,'Sectors Trend'!$B$50:$AF$67,VLOOKUP(A10,$U:$V,2,),)</f>
        <v/>
      </c>
      <c r="Q10" s="5">
        <f>VLOOKUP($Q$5,'Sectors Trend'!$B$50:$AF$67,VLOOKUP(A10,$U:$V,2,),)</f>
        <v/>
      </c>
      <c r="R10" s="5">
        <f>VLOOKUP($R$5,'Sectors Trend'!$B$50:$AF$67,VLOOKUP(A10,$U:$V,2,),)</f>
        <v/>
      </c>
      <c r="S10" s="40">
        <f>VLOOKUP($S$5,'Sectors Trend'!$B$50:$AF$67,VLOOKUP(A10,$U:$V,2,),)</f>
        <v/>
      </c>
      <c r="U10" s="7">
        <f>DATE(YEAR(U11),MONTH(U11)-1,DAY(U11))</f>
        <v/>
      </c>
      <c r="V10" s="1">
        <f>V11-1</f>
        <v/>
      </c>
      <c r="Y10" s="76">
        <f>MIN(B10:S10)</f>
        <v/>
      </c>
      <c r="Z10" s="76">
        <f>MAX(B10:S10)</f>
        <v/>
      </c>
    </row>
    <row r="11" ht="16" customHeight="1" s="65" thickBot="1">
      <c r="A11" s="8">
        <f>L1</f>
        <v/>
      </c>
      <c r="B11" s="41">
        <f>VLOOKUP($B$5,'Sectors Trend'!$B$50:$AF$67,VLOOKUP(A11,$U:$V,2,),)</f>
        <v/>
      </c>
      <c r="C11" s="41">
        <f>VLOOKUP($C$5,'Sectors Trend'!$B$50:$AF$67,VLOOKUP(A11,$U:$V,2,),)</f>
        <v/>
      </c>
      <c r="D11" s="41">
        <f>VLOOKUP($D$5,'Sectors Trend'!$B$50:$AF$67,VLOOKUP(A11,$U:$V,2,),)</f>
        <v/>
      </c>
      <c r="E11" s="41">
        <f>VLOOKUP($E$5,'Sectors Trend'!$B$50:$AF$67,VLOOKUP(A11,$U:$V,2,),)</f>
        <v/>
      </c>
      <c r="F11" s="41">
        <f>VLOOKUP($F$5,'Sectors Trend'!$B$50:$AF$67,VLOOKUP(A11,$U:$V,2,),)</f>
        <v/>
      </c>
      <c r="G11" s="41">
        <f>VLOOKUP($G$5,'Sectors Trend'!$B$50:$AF$67,VLOOKUP(A11,$U:$V,2,),)</f>
        <v/>
      </c>
      <c r="H11" s="41">
        <f>VLOOKUP($H$5,'Sectors Trend'!$B$50:$AF$67,VLOOKUP(A11,$U:$V,2,),)</f>
        <v/>
      </c>
      <c r="I11" s="41">
        <f>VLOOKUP($I$5,'Sectors Trend'!$B$50:$AF$67,VLOOKUP(A11,$U:$V,2,),)</f>
        <v/>
      </c>
      <c r="J11" s="41">
        <f>VLOOKUP($J$5,'Sectors Trend'!$B$50:$AF$67,VLOOKUP(A11,$U:$V,2,),)</f>
        <v/>
      </c>
      <c r="K11" s="41">
        <f>VLOOKUP($K$5,'Sectors Trend'!$B$50:$AF$67,VLOOKUP(A11,$U:$V,2,),)</f>
        <v/>
      </c>
      <c r="L11" s="41">
        <f>VLOOKUP($L$5,'Sectors Trend'!$B$50:$AF$67,VLOOKUP(A11,$U:$V,2,),)</f>
        <v/>
      </c>
      <c r="M11" s="41">
        <f>VLOOKUP($M$5,'Sectors Trend'!$B$50:$AF$67,VLOOKUP(A11,$U:$V,2,),)</f>
        <v/>
      </c>
      <c r="N11" s="41">
        <f>VLOOKUP($N$5,'Sectors Trend'!$B$50:$AF$67,VLOOKUP(A11,$U:$V,2,),)</f>
        <v/>
      </c>
      <c r="O11" s="41">
        <f>VLOOKUP($O$5,'Sectors Trend'!$B$50:$AF$67,VLOOKUP(A11,$U:$V,2,),)</f>
        <v/>
      </c>
      <c r="P11" s="41">
        <f>VLOOKUP($P$5,'Sectors Trend'!$B$50:$AF$67,VLOOKUP(A11,$U:$V,2,),)</f>
        <v/>
      </c>
      <c r="Q11" s="41">
        <f>VLOOKUP($Q$5,'Sectors Trend'!$B$50:$AF$67,VLOOKUP(A11,$U:$V,2,),)</f>
        <v/>
      </c>
      <c r="R11" s="41">
        <f>VLOOKUP($R$5,'Sectors Trend'!$B$50:$AF$67,VLOOKUP(A11,$U:$V,2,),)</f>
        <v/>
      </c>
      <c r="S11" s="42">
        <f>VLOOKUP($S$5,'Sectors Trend'!$B$50:$AF$67,VLOOKUP(A11,$U:$V,2,),)</f>
        <v/>
      </c>
      <c r="U11" s="7">
        <f>L1</f>
        <v/>
      </c>
      <c r="V11" s="1">
        <f>L2+1</f>
        <v/>
      </c>
      <c r="Y11" s="76">
        <f>MIN(B11:S11)</f>
        <v/>
      </c>
      <c r="Z11" s="7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I68"/>
  <sheetViews>
    <sheetView zoomScale="130" zoomScaleNormal="130" workbookViewId="0">
      <pane xSplit="2" ySplit="5" topLeftCell="T45" activePane="bottomRight" state="frozen"/>
      <selection pane="topRight" activeCell="C1" sqref="C1"/>
      <selection pane="bottomLeft" activeCell="A6" sqref="A6"/>
      <selection pane="bottomRight" activeCell="AG65" sqref="AG65"/>
    </sheetView>
  </sheetViews>
  <sheetFormatPr baseColWidth="10" defaultColWidth="8.83203125" defaultRowHeight="15"/>
  <cols>
    <col width="9.1640625" customWidth="1" style="76" min="1" max="1"/>
    <col width="30.5" customWidth="1" style="76" min="2" max="2"/>
    <col width="10.5" customWidth="1" style="29" min="3" max="28"/>
    <col width="10.1640625" customWidth="1" style="76" min="29" max="32"/>
    <col width="9.1640625" customWidth="1" style="76" min="33" max="34"/>
    <col width="10.6640625" bestFit="1" customWidth="1" style="76" min="35" max="35"/>
    <col width="9.1640625" customWidth="1" style="76" min="36" max="235"/>
    <col width="28.6640625" customWidth="1" style="76" min="236" max="236"/>
    <col width="9" bestFit="1" customWidth="1" style="76" min="237" max="237"/>
    <col width="5.33203125" customWidth="1" style="76" min="238" max="238"/>
    <col width="9" bestFit="1" customWidth="1" style="76" min="239" max="239"/>
    <col width="5.33203125" customWidth="1" style="76" min="240" max="240"/>
    <col width="9" bestFit="1" customWidth="1" style="76" min="241" max="241"/>
    <col width="5" customWidth="1" style="76" min="242" max="242"/>
    <col width="9" bestFit="1" customWidth="1" style="76" min="243" max="243"/>
    <col width="5.1640625" customWidth="1" style="76" min="244" max="244"/>
    <col width="9.1640625" customWidth="1" style="76" min="245" max="245"/>
    <col width="6" customWidth="1" style="76" min="246" max="246"/>
    <col width="9.1640625" customWidth="1" style="76" min="247" max="247"/>
    <col width="6" customWidth="1" style="76" min="248" max="248"/>
    <col width="10.1640625" customWidth="1" style="76" min="249" max="250"/>
    <col width="10" customWidth="1" style="76" min="251" max="251"/>
    <col width="10.33203125" customWidth="1" style="76" min="252" max="252"/>
    <col width="9.1640625" customWidth="1" style="76" min="253" max="263"/>
    <col width="11.33203125" customWidth="1" style="76" min="264" max="264"/>
    <col hidden="1" width="13" customWidth="1" style="76" min="265" max="285"/>
    <col width="9.1640625" customWidth="1" style="76" min="286" max="491"/>
    <col width="28.6640625" customWidth="1" style="76" min="492" max="492"/>
    <col width="9" bestFit="1" customWidth="1" style="76" min="493" max="493"/>
    <col width="5.33203125" customWidth="1" style="76" min="494" max="494"/>
    <col width="9" bestFit="1" customWidth="1" style="76" min="495" max="495"/>
    <col width="5.33203125" customWidth="1" style="76" min="496" max="496"/>
    <col width="9" bestFit="1" customWidth="1" style="76" min="497" max="497"/>
    <col width="5" customWidth="1" style="76" min="498" max="498"/>
    <col width="9" bestFit="1" customWidth="1" style="76" min="499" max="499"/>
    <col width="5.1640625" customWidth="1" style="76" min="500" max="500"/>
    <col width="9.1640625" customWidth="1" style="76" min="501" max="501"/>
    <col width="6" customWidth="1" style="76" min="502" max="502"/>
    <col width="9.1640625" customWidth="1" style="76" min="503" max="503"/>
    <col width="6" customWidth="1" style="76" min="504" max="504"/>
    <col width="10.1640625" customWidth="1" style="76" min="505" max="506"/>
    <col width="10" customWidth="1" style="76" min="507" max="507"/>
    <col width="10.33203125" customWidth="1" style="76" min="508" max="508"/>
    <col width="9.1640625" customWidth="1" style="76" min="509" max="519"/>
    <col width="11.33203125" customWidth="1" style="76" min="520" max="520"/>
    <col hidden="1" width="13" customWidth="1" style="76" min="521" max="541"/>
    <col width="9.1640625" customWidth="1" style="76" min="542" max="747"/>
    <col width="28.6640625" customWidth="1" style="76" min="748" max="748"/>
    <col width="9" bestFit="1" customWidth="1" style="76" min="749" max="749"/>
    <col width="5.33203125" customWidth="1" style="76" min="750" max="750"/>
    <col width="9" bestFit="1" customWidth="1" style="76" min="751" max="751"/>
    <col width="5.33203125" customWidth="1" style="76" min="752" max="752"/>
    <col width="9" bestFit="1" customWidth="1" style="76" min="753" max="753"/>
    <col width="5" customWidth="1" style="76" min="754" max="754"/>
    <col width="9" bestFit="1" customWidth="1" style="76" min="755" max="755"/>
    <col width="5.1640625" customWidth="1" style="76" min="756" max="756"/>
    <col width="9.1640625" customWidth="1" style="76" min="757" max="757"/>
    <col width="6" customWidth="1" style="76" min="758" max="758"/>
    <col width="9.1640625" customWidth="1" style="76" min="759" max="759"/>
    <col width="6" customWidth="1" style="76" min="760" max="760"/>
    <col width="10.1640625" customWidth="1" style="76" min="761" max="762"/>
    <col width="10" customWidth="1" style="76" min="763" max="763"/>
    <col width="10.33203125" customWidth="1" style="76" min="764" max="764"/>
    <col width="9.1640625" customWidth="1" style="76" min="765" max="775"/>
    <col width="11.33203125" customWidth="1" style="76" min="776" max="776"/>
    <col hidden="1" width="13" customWidth="1" style="76" min="777" max="797"/>
    <col width="9.1640625" customWidth="1" style="76" min="798" max="1003"/>
    <col width="28.6640625" customWidth="1" style="76" min="1004" max="1004"/>
    <col width="9" bestFit="1" customWidth="1" style="76" min="1005" max="1005"/>
    <col width="5.33203125" customWidth="1" style="76" min="1006" max="1006"/>
    <col width="9" bestFit="1" customWidth="1" style="76" min="1007" max="1007"/>
    <col width="5.33203125" customWidth="1" style="76" min="1008" max="1008"/>
    <col width="9" bestFit="1" customWidth="1" style="76" min="1009" max="1009"/>
    <col width="5" customWidth="1" style="76" min="1010" max="1010"/>
    <col width="9" bestFit="1" customWidth="1" style="76" min="1011" max="1011"/>
    <col width="5.1640625" customWidth="1" style="76" min="1012" max="1012"/>
    <col width="9.1640625" customWidth="1" style="76" min="1013" max="1013"/>
    <col width="6" customWidth="1" style="76" min="1014" max="1014"/>
    <col width="9.1640625" customWidth="1" style="76" min="1015" max="1015"/>
    <col width="6" customWidth="1" style="76" min="1016" max="1016"/>
    <col width="10.1640625" customWidth="1" style="76" min="1017" max="1018"/>
    <col width="10" customWidth="1" style="76" min="1019" max="1019"/>
    <col width="10.33203125" customWidth="1" style="76" min="1020" max="1020"/>
    <col width="9.1640625" customWidth="1" style="76" min="1021" max="1031"/>
    <col width="11.33203125" customWidth="1" style="76" min="1032" max="1032"/>
    <col hidden="1" width="13" customWidth="1" style="76" min="1033" max="1053"/>
    <col width="9.1640625" customWidth="1" style="76" min="1054" max="1259"/>
    <col width="28.6640625" customWidth="1" style="76" min="1260" max="1260"/>
    <col width="9" bestFit="1" customWidth="1" style="76" min="1261" max="1261"/>
    <col width="5.33203125" customWidth="1" style="76" min="1262" max="1262"/>
    <col width="9" bestFit="1" customWidth="1" style="76" min="1263" max="1263"/>
    <col width="5.33203125" customWidth="1" style="76" min="1264" max="1264"/>
    <col width="9" bestFit="1" customWidth="1" style="76" min="1265" max="1265"/>
    <col width="5" customWidth="1" style="76" min="1266" max="1266"/>
    <col width="9" bestFit="1" customWidth="1" style="76" min="1267" max="1267"/>
    <col width="5.1640625" customWidth="1" style="76" min="1268" max="1268"/>
    <col width="9.1640625" customWidth="1" style="76" min="1269" max="1269"/>
    <col width="6" customWidth="1" style="76" min="1270" max="1270"/>
    <col width="9.1640625" customWidth="1" style="76" min="1271" max="1271"/>
    <col width="6" customWidth="1" style="76" min="1272" max="1272"/>
    <col width="10.1640625" customWidth="1" style="76" min="1273" max="1274"/>
    <col width="10" customWidth="1" style="76" min="1275" max="1275"/>
    <col width="10.33203125" customWidth="1" style="76" min="1276" max="1276"/>
    <col width="9.1640625" customWidth="1" style="76" min="1277" max="1287"/>
    <col width="11.33203125" customWidth="1" style="76" min="1288" max="1288"/>
    <col hidden="1" width="13" customWidth="1" style="76" min="1289" max="1309"/>
    <col width="9.1640625" customWidth="1" style="76" min="1310" max="1515"/>
    <col width="28.6640625" customWidth="1" style="76" min="1516" max="1516"/>
    <col width="9" bestFit="1" customWidth="1" style="76" min="1517" max="1517"/>
    <col width="5.33203125" customWidth="1" style="76" min="1518" max="1518"/>
    <col width="9" bestFit="1" customWidth="1" style="76" min="1519" max="1519"/>
    <col width="5.33203125" customWidth="1" style="76" min="1520" max="1520"/>
    <col width="9" bestFit="1" customWidth="1" style="76" min="1521" max="1521"/>
    <col width="5" customWidth="1" style="76" min="1522" max="1522"/>
    <col width="9" bestFit="1" customWidth="1" style="76" min="1523" max="1523"/>
    <col width="5.1640625" customWidth="1" style="76" min="1524" max="1524"/>
    <col width="9.1640625" customWidth="1" style="76" min="1525" max="1525"/>
    <col width="6" customWidth="1" style="76" min="1526" max="1526"/>
    <col width="9.1640625" customWidth="1" style="76" min="1527" max="1527"/>
    <col width="6" customWidth="1" style="76" min="1528" max="1528"/>
    <col width="10.1640625" customWidth="1" style="76" min="1529" max="1530"/>
    <col width="10" customWidth="1" style="76" min="1531" max="1531"/>
    <col width="10.33203125" customWidth="1" style="76" min="1532" max="1532"/>
    <col width="9.1640625" customWidth="1" style="76" min="1533" max="1543"/>
    <col width="11.33203125" customWidth="1" style="76" min="1544" max="1544"/>
    <col hidden="1" width="13" customWidth="1" style="76" min="1545" max="1565"/>
    <col width="9.1640625" customWidth="1" style="76" min="1566" max="1771"/>
    <col width="28.6640625" customWidth="1" style="76" min="1772" max="1772"/>
    <col width="9" bestFit="1" customWidth="1" style="76" min="1773" max="1773"/>
    <col width="5.33203125" customWidth="1" style="76" min="1774" max="1774"/>
    <col width="9" bestFit="1" customWidth="1" style="76" min="1775" max="1775"/>
    <col width="5.33203125" customWidth="1" style="76" min="1776" max="1776"/>
    <col width="9" bestFit="1" customWidth="1" style="76" min="1777" max="1777"/>
    <col width="5" customWidth="1" style="76" min="1778" max="1778"/>
    <col width="9" bestFit="1" customWidth="1" style="76" min="1779" max="1779"/>
    <col width="5.1640625" customWidth="1" style="76" min="1780" max="1780"/>
    <col width="9.1640625" customWidth="1" style="76" min="1781" max="1781"/>
    <col width="6" customWidth="1" style="76" min="1782" max="1782"/>
    <col width="9.1640625" customWidth="1" style="76" min="1783" max="1783"/>
    <col width="6" customWidth="1" style="76" min="1784" max="1784"/>
    <col width="10.1640625" customWidth="1" style="76" min="1785" max="1786"/>
    <col width="10" customWidth="1" style="76" min="1787" max="1787"/>
    <col width="10.33203125" customWidth="1" style="76" min="1788" max="1788"/>
    <col width="9.1640625" customWidth="1" style="76" min="1789" max="1799"/>
    <col width="11.33203125" customWidth="1" style="76" min="1800" max="1800"/>
    <col hidden="1" width="13" customWidth="1" style="76" min="1801" max="1821"/>
    <col width="9.1640625" customWidth="1" style="76" min="1822" max="2027"/>
    <col width="28.6640625" customWidth="1" style="76" min="2028" max="2028"/>
    <col width="9" bestFit="1" customWidth="1" style="76" min="2029" max="2029"/>
    <col width="5.33203125" customWidth="1" style="76" min="2030" max="2030"/>
    <col width="9" bestFit="1" customWidth="1" style="76" min="2031" max="2031"/>
    <col width="5.33203125" customWidth="1" style="76" min="2032" max="2032"/>
    <col width="9" bestFit="1" customWidth="1" style="76" min="2033" max="2033"/>
    <col width="5" customWidth="1" style="76" min="2034" max="2034"/>
    <col width="9" bestFit="1" customWidth="1" style="76" min="2035" max="2035"/>
    <col width="5.1640625" customWidth="1" style="76" min="2036" max="2036"/>
    <col width="9.1640625" customWidth="1" style="76" min="2037" max="2037"/>
    <col width="6" customWidth="1" style="76" min="2038" max="2038"/>
    <col width="9.1640625" customWidth="1" style="76" min="2039" max="2039"/>
    <col width="6" customWidth="1" style="76" min="2040" max="2040"/>
    <col width="10.1640625" customWidth="1" style="76" min="2041" max="2042"/>
    <col width="10" customWidth="1" style="76" min="2043" max="2043"/>
    <col width="10.33203125" customWidth="1" style="76" min="2044" max="2044"/>
    <col width="9.1640625" customWidth="1" style="76" min="2045" max="2055"/>
    <col width="11.33203125" customWidth="1" style="76" min="2056" max="2056"/>
    <col hidden="1" width="13" customWidth="1" style="76" min="2057" max="2077"/>
    <col width="9.1640625" customWidth="1" style="76" min="2078" max="2283"/>
    <col width="28.6640625" customWidth="1" style="76" min="2284" max="2284"/>
    <col width="9" bestFit="1" customWidth="1" style="76" min="2285" max="2285"/>
    <col width="5.33203125" customWidth="1" style="76" min="2286" max="2286"/>
    <col width="9" bestFit="1" customWidth="1" style="76" min="2287" max="2287"/>
    <col width="5.33203125" customWidth="1" style="76" min="2288" max="2288"/>
    <col width="9" bestFit="1" customWidth="1" style="76" min="2289" max="2289"/>
    <col width="5" customWidth="1" style="76" min="2290" max="2290"/>
    <col width="9" bestFit="1" customWidth="1" style="76" min="2291" max="2291"/>
    <col width="5.1640625" customWidth="1" style="76" min="2292" max="2292"/>
    <col width="9.1640625" customWidth="1" style="76" min="2293" max="2293"/>
    <col width="6" customWidth="1" style="76" min="2294" max="2294"/>
    <col width="9.1640625" customWidth="1" style="76" min="2295" max="2295"/>
    <col width="6" customWidth="1" style="76" min="2296" max="2296"/>
    <col width="10.1640625" customWidth="1" style="76" min="2297" max="2298"/>
    <col width="10" customWidth="1" style="76" min="2299" max="2299"/>
    <col width="10.33203125" customWidth="1" style="76" min="2300" max="2300"/>
    <col width="9.1640625" customWidth="1" style="76" min="2301" max="2311"/>
    <col width="11.33203125" customWidth="1" style="76" min="2312" max="2312"/>
    <col hidden="1" width="13" customWidth="1" style="76" min="2313" max="2333"/>
    <col width="9.1640625" customWidth="1" style="76" min="2334" max="2539"/>
    <col width="28.6640625" customWidth="1" style="76" min="2540" max="2540"/>
    <col width="9" bestFit="1" customWidth="1" style="76" min="2541" max="2541"/>
    <col width="5.33203125" customWidth="1" style="76" min="2542" max="2542"/>
    <col width="9" bestFit="1" customWidth="1" style="76" min="2543" max="2543"/>
    <col width="5.33203125" customWidth="1" style="76" min="2544" max="2544"/>
    <col width="9" bestFit="1" customWidth="1" style="76" min="2545" max="2545"/>
    <col width="5" customWidth="1" style="76" min="2546" max="2546"/>
    <col width="9" bestFit="1" customWidth="1" style="76" min="2547" max="2547"/>
    <col width="5.1640625" customWidth="1" style="76" min="2548" max="2548"/>
    <col width="9.1640625" customWidth="1" style="76" min="2549" max="2549"/>
    <col width="6" customWidth="1" style="76" min="2550" max="2550"/>
    <col width="9.1640625" customWidth="1" style="76" min="2551" max="2551"/>
    <col width="6" customWidth="1" style="76" min="2552" max="2552"/>
    <col width="10.1640625" customWidth="1" style="76" min="2553" max="2554"/>
    <col width="10" customWidth="1" style="76" min="2555" max="2555"/>
    <col width="10.33203125" customWidth="1" style="76" min="2556" max="2556"/>
    <col width="9.1640625" customWidth="1" style="76" min="2557" max="2567"/>
    <col width="11.33203125" customWidth="1" style="76" min="2568" max="2568"/>
    <col hidden="1" width="13" customWidth="1" style="76" min="2569" max="2589"/>
    <col width="9.1640625" customWidth="1" style="76" min="2590" max="2795"/>
    <col width="28.6640625" customWidth="1" style="76" min="2796" max="2796"/>
    <col width="9" bestFit="1" customWidth="1" style="76" min="2797" max="2797"/>
    <col width="5.33203125" customWidth="1" style="76" min="2798" max="2798"/>
    <col width="9" bestFit="1" customWidth="1" style="76" min="2799" max="2799"/>
    <col width="5.33203125" customWidth="1" style="76" min="2800" max="2800"/>
    <col width="9" bestFit="1" customWidth="1" style="76" min="2801" max="2801"/>
    <col width="5" customWidth="1" style="76" min="2802" max="2802"/>
    <col width="9" bestFit="1" customWidth="1" style="76" min="2803" max="2803"/>
    <col width="5.1640625" customWidth="1" style="76" min="2804" max="2804"/>
    <col width="9.1640625" customWidth="1" style="76" min="2805" max="2805"/>
    <col width="6" customWidth="1" style="76" min="2806" max="2806"/>
    <col width="9.1640625" customWidth="1" style="76" min="2807" max="2807"/>
    <col width="6" customWidth="1" style="76" min="2808" max="2808"/>
    <col width="10.1640625" customWidth="1" style="76" min="2809" max="2810"/>
    <col width="10" customWidth="1" style="76" min="2811" max="2811"/>
    <col width="10.33203125" customWidth="1" style="76" min="2812" max="2812"/>
    <col width="9.1640625" customWidth="1" style="76" min="2813" max="2823"/>
    <col width="11.33203125" customWidth="1" style="76" min="2824" max="2824"/>
    <col hidden="1" width="13" customWidth="1" style="76" min="2825" max="2845"/>
    <col width="9.1640625" customWidth="1" style="76" min="2846" max="3051"/>
    <col width="28.6640625" customWidth="1" style="76" min="3052" max="3052"/>
    <col width="9" bestFit="1" customWidth="1" style="76" min="3053" max="3053"/>
    <col width="5.33203125" customWidth="1" style="76" min="3054" max="3054"/>
    <col width="9" bestFit="1" customWidth="1" style="76" min="3055" max="3055"/>
    <col width="5.33203125" customWidth="1" style="76" min="3056" max="3056"/>
    <col width="9" bestFit="1" customWidth="1" style="76" min="3057" max="3057"/>
    <col width="5" customWidth="1" style="76" min="3058" max="3058"/>
    <col width="9" bestFit="1" customWidth="1" style="76" min="3059" max="3059"/>
    <col width="5.1640625" customWidth="1" style="76" min="3060" max="3060"/>
    <col width="9.1640625" customWidth="1" style="76" min="3061" max="3061"/>
    <col width="6" customWidth="1" style="76" min="3062" max="3062"/>
    <col width="9.1640625" customWidth="1" style="76" min="3063" max="3063"/>
    <col width="6" customWidth="1" style="76" min="3064" max="3064"/>
    <col width="10.1640625" customWidth="1" style="76" min="3065" max="3066"/>
    <col width="10" customWidth="1" style="76" min="3067" max="3067"/>
    <col width="10.33203125" customWidth="1" style="76" min="3068" max="3068"/>
    <col width="9.1640625" customWidth="1" style="76" min="3069" max="3079"/>
    <col width="11.33203125" customWidth="1" style="76" min="3080" max="3080"/>
    <col hidden="1" width="13" customWidth="1" style="76" min="3081" max="3101"/>
    <col width="9.1640625" customWidth="1" style="76" min="3102" max="3307"/>
    <col width="28.6640625" customWidth="1" style="76" min="3308" max="3308"/>
    <col width="9" bestFit="1" customWidth="1" style="76" min="3309" max="3309"/>
    <col width="5.33203125" customWidth="1" style="76" min="3310" max="3310"/>
    <col width="9" bestFit="1" customWidth="1" style="76" min="3311" max="3311"/>
    <col width="5.33203125" customWidth="1" style="76" min="3312" max="3312"/>
    <col width="9" bestFit="1" customWidth="1" style="76" min="3313" max="3313"/>
    <col width="5" customWidth="1" style="76" min="3314" max="3314"/>
    <col width="9" bestFit="1" customWidth="1" style="76" min="3315" max="3315"/>
    <col width="5.1640625" customWidth="1" style="76" min="3316" max="3316"/>
    <col width="9.1640625" customWidth="1" style="76" min="3317" max="3317"/>
    <col width="6" customWidth="1" style="76" min="3318" max="3318"/>
    <col width="9.1640625" customWidth="1" style="76" min="3319" max="3319"/>
    <col width="6" customWidth="1" style="76" min="3320" max="3320"/>
    <col width="10.1640625" customWidth="1" style="76" min="3321" max="3322"/>
    <col width="10" customWidth="1" style="76" min="3323" max="3323"/>
    <col width="10.33203125" customWidth="1" style="76" min="3324" max="3324"/>
    <col width="9.1640625" customWidth="1" style="76" min="3325" max="3335"/>
    <col width="11.33203125" customWidth="1" style="76" min="3336" max="3336"/>
    <col hidden="1" width="13" customWidth="1" style="76" min="3337" max="3357"/>
    <col width="9.1640625" customWidth="1" style="76" min="3358" max="3563"/>
    <col width="28.6640625" customWidth="1" style="76" min="3564" max="3564"/>
    <col width="9" bestFit="1" customWidth="1" style="76" min="3565" max="3565"/>
    <col width="5.33203125" customWidth="1" style="76" min="3566" max="3566"/>
    <col width="9" bestFit="1" customWidth="1" style="76" min="3567" max="3567"/>
    <col width="5.33203125" customWidth="1" style="76" min="3568" max="3568"/>
    <col width="9" bestFit="1" customWidth="1" style="76" min="3569" max="3569"/>
    <col width="5" customWidth="1" style="76" min="3570" max="3570"/>
    <col width="9" bestFit="1" customWidth="1" style="76" min="3571" max="3571"/>
    <col width="5.1640625" customWidth="1" style="76" min="3572" max="3572"/>
    <col width="9.1640625" customWidth="1" style="76" min="3573" max="3573"/>
    <col width="6" customWidth="1" style="76" min="3574" max="3574"/>
    <col width="9.1640625" customWidth="1" style="76" min="3575" max="3575"/>
    <col width="6" customWidth="1" style="76" min="3576" max="3576"/>
    <col width="10.1640625" customWidth="1" style="76" min="3577" max="3578"/>
    <col width="10" customWidth="1" style="76" min="3579" max="3579"/>
    <col width="10.33203125" customWidth="1" style="76" min="3580" max="3580"/>
    <col width="9.1640625" customWidth="1" style="76" min="3581" max="3591"/>
    <col width="11.33203125" customWidth="1" style="76" min="3592" max="3592"/>
    <col hidden="1" width="13" customWidth="1" style="76" min="3593" max="3613"/>
    <col width="9.1640625" customWidth="1" style="76" min="3614" max="3819"/>
    <col width="28.6640625" customWidth="1" style="76" min="3820" max="3820"/>
    <col width="9" bestFit="1" customWidth="1" style="76" min="3821" max="3821"/>
    <col width="5.33203125" customWidth="1" style="76" min="3822" max="3822"/>
    <col width="9" bestFit="1" customWidth="1" style="76" min="3823" max="3823"/>
    <col width="5.33203125" customWidth="1" style="76" min="3824" max="3824"/>
    <col width="9" bestFit="1" customWidth="1" style="76" min="3825" max="3825"/>
    <col width="5" customWidth="1" style="76" min="3826" max="3826"/>
    <col width="9" bestFit="1" customWidth="1" style="76" min="3827" max="3827"/>
    <col width="5.1640625" customWidth="1" style="76" min="3828" max="3828"/>
    <col width="9.1640625" customWidth="1" style="76" min="3829" max="3829"/>
    <col width="6" customWidth="1" style="76" min="3830" max="3830"/>
    <col width="9.1640625" customWidth="1" style="76" min="3831" max="3831"/>
    <col width="6" customWidth="1" style="76" min="3832" max="3832"/>
    <col width="10.1640625" customWidth="1" style="76" min="3833" max="3834"/>
    <col width="10" customWidth="1" style="76" min="3835" max="3835"/>
    <col width="10.33203125" customWidth="1" style="76" min="3836" max="3836"/>
    <col width="9.1640625" customWidth="1" style="76" min="3837" max="3847"/>
    <col width="11.33203125" customWidth="1" style="76" min="3848" max="3848"/>
    <col hidden="1" width="13" customWidth="1" style="76" min="3849" max="3869"/>
    <col width="9.1640625" customWidth="1" style="76" min="3870" max="4075"/>
    <col width="28.6640625" customWidth="1" style="76" min="4076" max="4076"/>
    <col width="9" bestFit="1" customWidth="1" style="76" min="4077" max="4077"/>
    <col width="5.33203125" customWidth="1" style="76" min="4078" max="4078"/>
    <col width="9" bestFit="1" customWidth="1" style="76" min="4079" max="4079"/>
    <col width="5.33203125" customWidth="1" style="76" min="4080" max="4080"/>
    <col width="9" bestFit="1" customWidth="1" style="76" min="4081" max="4081"/>
    <col width="5" customWidth="1" style="76" min="4082" max="4082"/>
    <col width="9" bestFit="1" customWidth="1" style="76" min="4083" max="4083"/>
    <col width="5.1640625" customWidth="1" style="76" min="4084" max="4084"/>
    <col width="9.1640625" customWidth="1" style="76" min="4085" max="4085"/>
    <col width="6" customWidth="1" style="76" min="4086" max="4086"/>
    <col width="9.1640625" customWidth="1" style="76" min="4087" max="4087"/>
    <col width="6" customWidth="1" style="76" min="4088" max="4088"/>
    <col width="10.1640625" customWidth="1" style="76" min="4089" max="4090"/>
    <col width="10" customWidth="1" style="76" min="4091" max="4091"/>
    <col width="10.33203125" customWidth="1" style="76" min="4092" max="4092"/>
    <col width="9.1640625" customWidth="1" style="76" min="4093" max="4103"/>
    <col width="11.33203125" customWidth="1" style="76" min="4104" max="4104"/>
    <col hidden="1" width="13" customWidth="1" style="76" min="4105" max="4125"/>
    <col width="9.1640625" customWidth="1" style="76" min="4126" max="4331"/>
    <col width="28.6640625" customWidth="1" style="76" min="4332" max="4332"/>
    <col width="9" bestFit="1" customWidth="1" style="76" min="4333" max="4333"/>
    <col width="5.33203125" customWidth="1" style="76" min="4334" max="4334"/>
    <col width="9" bestFit="1" customWidth="1" style="76" min="4335" max="4335"/>
    <col width="5.33203125" customWidth="1" style="76" min="4336" max="4336"/>
    <col width="9" bestFit="1" customWidth="1" style="76" min="4337" max="4337"/>
    <col width="5" customWidth="1" style="76" min="4338" max="4338"/>
    <col width="9" bestFit="1" customWidth="1" style="76" min="4339" max="4339"/>
    <col width="5.1640625" customWidth="1" style="76" min="4340" max="4340"/>
    <col width="9.1640625" customWidth="1" style="76" min="4341" max="4341"/>
    <col width="6" customWidth="1" style="76" min="4342" max="4342"/>
    <col width="9.1640625" customWidth="1" style="76" min="4343" max="4343"/>
    <col width="6" customWidth="1" style="76" min="4344" max="4344"/>
    <col width="10.1640625" customWidth="1" style="76" min="4345" max="4346"/>
    <col width="10" customWidth="1" style="76" min="4347" max="4347"/>
    <col width="10.33203125" customWidth="1" style="76" min="4348" max="4348"/>
    <col width="9.1640625" customWidth="1" style="76" min="4349" max="4359"/>
    <col width="11.33203125" customWidth="1" style="76" min="4360" max="4360"/>
    <col hidden="1" width="13" customWidth="1" style="76" min="4361" max="4381"/>
    <col width="9.1640625" customWidth="1" style="76" min="4382" max="4587"/>
    <col width="28.6640625" customWidth="1" style="76" min="4588" max="4588"/>
    <col width="9" bestFit="1" customWidth="1" style="76" min="4589" max="4589"/>
    <col width="5.33203125" customWidth="1" style="76" min="4590" max="4590"/>
    <col width="9" bestFit="1" customWidth="1" style="76" min="4591" max="4591"/>
    <col width="5.33203125" customWidth="1" style="76" min="4592" max="4592"/>
    <col width="9" bestFit="1" customWidth="1" style="76" min="4593" max="4593"/>
    <col width="5" customWidth="1" style="76" min="4594" max="4594"/>
    <col width="9" bestFit="1" customWidth="1" style="76" min="4595" max="4595"/>
    <col width="5.1640625" customWidth="1" style="76" min="4596" max="4596"/>
    <col width="9.1640625" customWidth="1" style="76" min="4597" max="4597"/>
    <col width="6" customWidth="1" style="76" min="4598" max="4598"/>
    <col width="9.1640625" customWidth="1" style="76" min="4599" max="4599"/>
    <col width="6" customWidth="1" style="76" min="4600" max="4600"/>
    <col width="10.1640625" customWidth="1" style="76" min="4601" max="4602"/>
    <col width="10" customWidth="1" style="76" min="4603" max="4603"/>
    <col width="10.33203125" customWidth="1" style="76" min="4604" max="4604"/>
    <col width="9.1640625" customWidth="1" style="76" min="4605" max="4615"/>
    <col width="11.33203125" customWidth="1" style="76" min="4616" max="4616"/>
    <col hidden="1" width="13" customWidth="1" style="76" min="4617" max="4637"/>
    <col width="9.1640625" customWidth="1" style="76" min="4638" max="4843"/>
    <col width="28.6640625" customWidth="1" style="76" min="4844" max="4844"/>
    <col width="9" bestFit="1" customWidth="1" style="76" min="4845" max="4845"/>
    <col width="5.33203125" customWidth="1" style="76" min="4846" max="4846"/>
    <col width="9" bestFit="1" customWidth="1" style="76" min="4847" max="4847"/>
    <col width="5.33203125" customWidth="1" style="76" min="4848" max="4848"/>
    <col width="9" bestFit="1" customWidth="1" style="76" min="4849" max="4849"/>
    <col width="5" customWidth="1" style="76" min="4850" max="4850"/>
    <col width="9" bestFit="1" customWidth="1" style="76" min="4851" max="4851"/>
    <col width="5.1640625" customWidth="1" style="76" min="4852" max="4852"/>
    <col width="9.1640625" customWidth="1" style="76" min="4853" max="4853"/>
    <col width="6" customWidth="1" style="76" min="4854" max="4854"/>
    <col width="9.1640625" customWidth="1" style="76" min="4855" max="4855"/>
    <col width="6" customWidth="1" style="76" min="4856" max="4856"/>
    <col width="10.1640625" customWidth="1" style="76" min="4857" max="4858"/>
    <col width="10" customWidth="1" style="76" min="4859" max="4859"/>
    <col width="10.33203125" customWidth="1" style="76" min="4860" max="4860"/>
    <col width="9.1640625" customWidth="1" style="76" min="4861" max="4871"/>
    <col width="11.33203125" customWidth="1" style="76" min="4872" max="4872"/>
    <col hidden="1" width="13" customWidth="1" style="76" min="4873" max="4893"/>
    <col width="9.1640625" customWidth="1" style="76" min="4894" max="5099"/>
    <col width="28.6640625" customWidth="1" style="76" min="5100" max="5100"/>
    <col width="9" bestFit="1" customWidth="1" style="76" min="5101" max="5101"/>
    <col width="5.33203125" customWidth="1" style="76" min="5102" max="5102"/>
    <col width="9" bestFit="1" customWidth="1" style="76" min="5103" max="5103"/>
    <col width="5.33203125" customWidth="1" style="76" min="5104" max="5104"/>
    <col width="9" bestFit="1" customWidth="1" style="76" min="5105" max="5105"/>
    <col width="5" customWidth="1" style="76" min="5106" max="5106"/>
    <col width="9" bestFit="1" customWidth="1" style="76" min="5107" max="5107"/>
    <col width="5.1640625" customWidth="1" style="76" min="5108" max="5108"/>
    <col width="9.1640625" customWidth="1" style="76" min="5109" max="5109"/>
    <col width="6" customWidth="1" style="76" min="5110" max="5110"/>
    <col width="9.1640625" customWidth="1" style="76" min="5111" max="5111"/>
    <col width="6" customWidth="1" style="76" min="5112" max="5112"/>
    <col width="10.1640625" customWidth="1" style="76" min="5113" max="5114"/>
    <col width="10" customWidth="1" style="76" min="5115" max="5115"/>
    <col width="10.33203125" customWidth="1" style="76" min="5116" max="5116"/>
    <col width="9.1640625" customWidth="1" style="76" min="5117" max="5127"/>
    <col width="11.33203125" customWidth="1" style="76" min="5128" max="5128"/>
    <col hidden="1" width="13" customWidth="1" style="76" min="5129" max="5149"/>
    <col width="9.1640625" customWidth="1" style="76" min="5150" max="5355"/>
    <col width="28.6640625" customWidth="1" style="76" min="5356" max="5356"/>
    <col width="9" bestFit="1" customWidth="1" style="76" min="5357" max="5357"/>
    <col width="5.33203125" customWidth="1" style="76" min="5358" max="5358"/>
    <col width="9" bestFit="1" customWidth="1" style="76" min="5359" max="5359"/>
    <col width="5.33203125" customWidth="1" style="76" min="5360" max="5360"/>
    <col width="9" bestFit="1" customWidth="1" style="76" min="5361" max="5361"/>
    <col width="5" customWidth="1" style="76" min="5362" max="5362"/>
    <col width="9" bestFit="1" customWidth="1" style="76" min="5363" max="5363"/>
    <col width="5.1640625" customWidth="1" style="76" min="5364" max="5364"/>
    <col width="9.1640625" customWidth="1" style="76" min="5365" max="5365"/>
    <col width="6" customWidth="1" style="76" min="5366" max="5366"/>
    <col width="9.1640625" customWidth="1" style="76" min="5367" max="5367"/>
    <col width="6" customWidth="1" style="76" min="5368" max="5368"/>
    <col width="10.1640625" customWidth="1" style="76" min="5369" max="5370"/>
    <col width="10" customWidth="1" style="76" min="5371" max="5371"/>
    <col width="10.33203125" customWidth="1" style="76" min="5372" max="5372"/>
    <col width="9.1640625" customWidth="1" style="76" min="5373" max="5383"/>
    <col width="11.33203125" customWidth="1" style="76" min="5384" max="5384"/>
    <col hidden="1" width="13" customWidth="1" style="76" min="5385" max="5405"/>
    <col width="9.1640625" customWidth="1" style="76" min="5406" max="5611"/>
    <col width="28.6640625" customWidth="1" style="76" min="5612" max="5612"/>
    <col width="9" bestFit="1" customWidth="1" style="76" min="5613" max="5613"/>
    <col width="5.33203125" customWidth="1" style="76" min="5614" max="5614"/>
    <col width="9" bestFit="1" customWidth="1" style="76" min="5615" max="5615"/>
    <col width="5.33203125" customWidth="1" style="76" min="5616" max="5616"/>
    <col width="9" bestFit="1" customWidth="1" style="76" min="5617" max="5617"/>
    <col width="5" customWidth="1" style="76" min="5618" max="5618"/>
    <col width="9" bestFit="1" customWidth="1" style="76" min="5619" max="5619"/>
    <col width="5.1640625" customWidth="1" style="76" min="5620" max="5620"/>
    <col width="9.1640625" customWidth="1" style="76" min="5621" max="5621"/>
    <col width="6" customWidth="1" style="76" min="5622" max="5622"/>
    <col width="9.1640625" customWidth="1" style="76" min="5623" max="5623"/>
    <col width="6" customWidth="1" style="76" min="5624" max="5624"/>
    <col width="10.1640625" customWidth="1" style="76" min="5625" max="5626"/>
    <col width="10" customWidth="1" style="76" min="5627" max="5627"/>
    <col width="10.33203125" customWidth="1" style="76" min="5628" max="5628"/>
    <col width="9.1640625" customWidth="1" style="76" min="5629" max="5639"/>
    <col width="11.33203125" customWidth="1" style="76" min="5640" max="5640"/>
    <col hidden="1" width="13" customWidth="1" style="76" min="5641" max="5661"/>
    <col width="9.1640625" customWidth="1" style="76" min="5662" max="5867"/>
    <col width="28.6640625" customWidth="1" style="76" min="5868" max="5868"/>
    <col width="9" bestFit="1" customWidth="1" style="76" min="5869" max="5869"/>
    <col width="5.33203125" customWidth="1" style="76" min="5870" max="5870"/>
    <col width="9" bestFit="1" customWidth="1" style="76" min="5871" max="5871"/>
    <col width="5.33203125" customWidth="1" style="76" min="5872" max="5872"/>
    <col width="9" bestFit="1" customWidth="1" style="76" min="5873" max="5873"/>
    <col width="5" customWidth="1" style="76" min="5874" max="5874"/>
    <col width="9" bestFit="1" customWidth="1" style="76" min="5875" max="5875"/>
    <col width="5.1640625" customWidth="1" style="76" min="5876" max="5876"/>
    <col width="9.1640625" customWidth="1" style="76" min="5877" max="5877"/>
    <col width="6" customWidth="1" style="76" min="5878" max="5878"/>
    <col width="9.1640625" customWidth="1" style="76" min="5879" max="5879"/>
    <col width="6" customWidth="1" style="76" min="5880" max="5880"/>
    <col width="10.1640625" customWidth="1" style="76" min="5881" max="5882"/>
    <col width="10" customWidth="1" style="76" min="5883" max="5883"/>
    <col width="10.33203125" customWidth="1" style="76" min="5884" max="5884"/>
    <col width="9.1640625" customWidth="1" style="76" min="5885" max="5895"/>
    <col width="11.33203125" customWidth="1" style="76" min="5896" max="5896"/>
    <col hidden="1" width="13" customWidth="1" style="76" min="5897" max="5917"/>
    <col width="9.1640625" customWidth="1" style="76" min="5918" max="6123"/>
    <col width="28.6640625" customWidth="1" style="76" min="6124" max="6124"/>
    <col width="9" bestFit="1" customWidth="1" style="76" min="6125" max="6125"/>
    <col width="5.33203125" customWidth="1" style="76" min="6126" max="6126"/>
    <col width="9" bestFit="1" customWidth="1" style="76" min="6127" max="6127"/>
    <col width="5.33203125" customWidth="1" style="76" min="6128" max="6128"/>
    <col width="9" bestFit="1" customWidth="1" style="76" min="6129" max="6129"/>
    <col width="5" customWidth="1" style="76" min="6130" max="6130"/>
    <col width="9" bestFit="1" customWidth="1" style="76" min="6131" max="6131"/>
    <col width="5.1640625" customWidth="1" style="76" min="6132" max="6132"/>
    <col width="9.1640625" customWidth="1" style="76" min="6133" max="6133"/>
    <col width="6" customWidth="1" style="76" min="6134" max="6134"/>
    <col width="9.1640625" customWidth="1" style="76" min="6135" max="6135"/>
    <col width="6" customWidth="1" style="76" min="6136" max="6136"/>
    <col width="10.1640625" customWidth="1" style="76" min="6137" max="6138"/>
    <col width="10" customWidth="1" style="76" min="6139" max="6139"/>
    <col width="10.33203125" customWidth="1" style="76" min="6140" max="6140"/>
    <col width="9.1640625" customWidth="1" style="76" min="6141" max="6151"/>
    <col width="11.33203125" customWidth="1" style="76" min="6152" max="6152"/>
    <col hidden="1" width="13" customWidth="1" style="76" min="6153" max="6173"/>
    <col width="9.1640625" customWidth="1" style="76" min="6174" max="6379"/>
    <col width="28.6640625" customWidth="1" style="76" min="6380" max="6380"/>
    <col width="9" bestFit="1" customWidth="1" style="76" min="6381" max="6381"/>
    <col width="5.33203125" customWidth="1" style="76" min="6382" max="6382"/>
    <col width="9" bestFit="1" customWidth="1" style="76" min="6383" max="6383"/>
    <col width="5.33203125" customWidth="1" style="76" min="6384" max="6384"/>
    <col width="9" bestFit="1" customWidth="1" style="76" min="6385" max="6385"/>
    <col width="5" customWidth="1" style="76" min="6386" max="6386"/>
    <col width="9" bestFit="1" customWidth="1" style="76" min="6387" max="6387"/>
    <col width="5.1640625" customWidth="1" style="76" min="6388" max="6388"/>
    <col width="9.1640625" customWidth="1" style="76" min="6389" max="6389"/>
    <col width="6" customWidth="1" style="76" min="6390" max="6390"/>
    <col width="9.1640625" customWidth="1" style="76" min="6391" max="6391"/>
    <col width="6" customWidth="1" style="76" min="6392" max="6392"/>
    <col width="10.1640625" customWidth="1" style="76" min="6393" max="6394"/>
    <col width="10" customWidth="1" style="76" min="6395" max="6395"/>
    <col width="10.33203125" customWidth="1" style="76" min="6396" max="6396"/>
    <col width="9.1640625" customWidth="1" style="76" min="6397" max="6407"/>
    <col width="11.33203125" customWidth="1" style="76" min="6408" max="6408"/>
    <col hidden="1" width="13" customWidth="1" style="76" min="6409" max="6429"/>
    <col width="9.1640625" customWidth="1" style="76" min="6430" max="6635"/>
    <col width="28.6640625" customWidth="1" style="76" min="6636" max="6636"/>
    <col width="9" bestFit="1" customWidth="1" style="76" min="6637" max="6637"/>
    <col width="5.33203125" customWidth="1" style="76" min="6638" max="6638"/>
    <col width="9" bestFit="1" customWidth="1" style="76" min="6639" max="6639"/>
    <col width="5.33203125" customWidth="1" style="76" min="6640" max="6640"/>
    <col width="9" bestFit="1" customWidth="1" style="76" min="6641" max="6641"/>
    <col width="5" customWidth="1" style="76" min="6642" max="6642"/>
    <col width="9" bestFit="1" customWidth="1" style="76" min="6643" max="6643"/>
    <col width="5.1640625" customWidth="1" style="76" min="6644" max="6644"/>
    <col width="9.1640625" customWidth="1" style="76" min="6645" max="6645"/>
    <col width="6" customWidth="1" style="76" min="6646" max="6646"/>
    <col width="9.1640625" customWidth="1" style="76" min="6647" max="6647"/>
    <col width="6" customWidth="1" style="76" min="6648" max="6648"/>
    <col width="10.1640625" customWidth="1" style="76" min="6649" max="6650"/>
    <col width="10" customWidth="1" style="76" min="6651" max="6651"/>
    <col width="10.33203125" customWidth="1" style="76" min="6652" max="6652"/>
    <col width="9.1640625" customWidth="1" style="76" min="6653" max="6663"/>
    <col width="11.33203125" customWidth="1" style="76" min="6664" max="6664"/>
    <col hidden="1" width="13" customWidth="1" style="76" min="6665" max="6685"/>
    <col width="9.1640625" customWidth="1" style="76" min="6686" max="6891"/>
    <col width="28.6640625" customWidth="1" style="76" min="6892" max="6892"/>
    <col width="9" bestFit="1" customWidth="1" style="76" min="6893" max="6893"/>
    <col width="5.33203125" customWidth="1" style="76" min="6894" max="6894"/>
    <col width="9" bestFit="1" customWidth="1" style="76" min="6895" max="6895"/>
    <col width="5.33203125" customWidth="1" style="76" min="6896" max="6896"/>
    <col width="9" bestFit="1" customWidth="1" style="76" min="6897" max="6897"/>
    <col width="5" customWidth="1" style="76" min="6898" max="6898"/>
    <col width="9" bestFit="1" customWidth="1" style="76" min="6899" max="6899"/>
    <col width="5.1640625" customWidth="1" style="76" min="6900" max="6900"/>
    <col width="9.1640625" customWidth="1" style="76" min="6901" max="6901"/>
    <col width="6" customWidth="1" style="76" min="6902" max="6902"/>
    <col width="9.1640625" customWidth="1" style="76" min="6903" max="6903"/>
    <col width="6" customWidth="1" style="76" min="6904" max="6904"/>
    <col width="10.1640625" customWidth="1" style="76" min="6905" max="6906"/>
    <col width="10" customWidth="1" style="76" min="6907" max="6907"/>
    <col width="10.33203125" customWidth="1" style="76" min="6908" max="6908"/>
    <col width="9.1640625" customWidth="1" style="76" min="6909" max="6919"/>
    <col width="11.33203125" customWidth="1" style="76" min="6920" max="6920"/>
    <col hidden="1" width="13" customWidth="1" style="76" min="6921" max="6941"/>
    <col width="9.1640625" customWidth="1" style="76" min="6942" max="7147"/>
    <col width="28.6640625" customWidth="1" style="76" min="7148" max="7148"/>
    <col width="9" bestFit="1" customWidth="1" style="76" min="7149" max="7149"/>
    <col width="5.33203125" customWidth="1" style="76" min="7150" max="7150"/>
    <col width="9" bestFit="1" customWidth="1" style="76" min="7151" max="7151"/>
    <col width="5.33203125" customWidth="1" style="76" min="7152" max="7152"/>
    <col width="9" bestFit="1" customWidth="1" style="76" min="7153" max="7153"/>
    <col width="5" customWidth="1" style="76" min="7154" max="7154"/>
    <col width="9" bestFit="1" customWidth="1" style="76" min="7155" max="7155"/>
    <col width="5.1640625" customWidth="1" style="76" min="7156" max="7156"/>
    <col width="9.1640625" customWidth="1" style="76" min="7157" max="7157"/>
    <col width="6" customWidth="1" style="76" min="7158" max="7158"/>
    <col width="9.1640625" customWidth="1" style="76" min="7159" max="7159"/>
    <col width="6" customWidth="1" style="76" min="7160" max="7160"/>
    <col width="10.1640625" customWidth="1" style="76" min="7161" max="7162"/>
    <col width="10" customWidth="1" style="76" min="7163" max="7163"/>
    <col width="10.33203125" customWidth="1" style="76" min="7164" max="7164"/>
    <col width="9.1640625" customWidth="1" style="76" min="7165" max="7175"/>
    <col width="11.33203125" customWidth="1" style="76" min="7176" max="7176"/>
    <col hidden="1" width="13" customWidth="1" style="76" min="7177" max="7197"/>
    <col width="9.1640625" customWidth="1" style="76" min="7198" max="7403"/>
    <col width="28.6640625" customWidth="1" style="76" min="7404" max="7404"/>
    <col width="9" bestFit="1" customWidth="1" style="76" min="7405" max="7405"/>
    <col width="5.33203125" customWidth="1" style="76" min="7406" max="7406"/>
    <col width="9" bestFit="1" customWidth="1" style="76" min="7407" max="7407"/>
    <col width="5.33203125" customWidth="1" style="76" min="7408" max="7408"/>
    <col width="9" bestFit="1" customWidth="1" style="76" min="7409" max="7409"/>
    <col width="5" customWidth="1" style="76" min="7410" max="7410"/>
    <col width="9" bestFit="1" customWidth="1" style="76" min="7411" max="7411"/>
    <col width="5.1640625" customWidth="1" style="76" min="7412" max="7412"/>
    <col width="9.1640625" customWidth="1" style="76" min="7413" max="7413"/>
    <col width="6" customWidth="1" style="76" min="7414" max="7414"/>
    <col width="9.1640625" customWidth="1" style="76" min="7415" max="7415"/>
    <col width="6" customWidth="1" style="76" min="7416" max="7416"/>
    <col width="10.1640625" customWidth="1" style="76" min="7417" max="7418"/>
    <col width="10" customWidth="1" style="76" min="7419" max="7419"/>
    <col width="10.33203125" customWidth="1" style="76" min="7420" max="7420"/>
    <col width="9.1640625" customWidth="1" style="76" min="7421" max="7431"/>
    <col width="11.33203125" customWidth="1" style="76" min="7432" max="7432"/>
    <col hidden="1" width="13" customWidth="1" style="76" min="7433" max="7453"/>
    <col width="9.1640625" customWidth="1" style="76" min="7454" max="7659"/>
    <col width="28.6640625" customWidth="1" style="76" min="7660" max="7660"/>
    <col width="9" bestFit="1" customWidth="1" style="76" min="7661" max="7661"/>
    <col width="5.33203125" customWidth="1" style="76" min="7662" max="7662"/>
    <col width="9" bestFit="1" customWidth="1" style="76" min="7663" max="7663"/>
    <col width="5.33203125" customWidth="1" style="76" min="7664" max="7664"/>
    <col width="9" bestFit="1" customWidth="1" style="76" min="7665" max="7665"/>
    <col width="5" customWidth="1" style="76" min="7666" max="7666"/>
    <col width="9" bestFit="1" customWidth="1" style="76" min="7667" max="7667"/>
    <col width="5.1640625" customWidth="1" style="76" min="7668" max="7668"/>
    <col width="9.1640625" customWidth="1" style="76" min="7669" max="7669"/>
    <col width="6" customWidth="1" style="76" min="7670" max="7670"/>
    <col width="9.1640625" customWidth="1" style="76" min="7671" max="7671"/>
    <col width="6" customWidth="1" style="76" min="7672" max="7672"/>
    <col width="10.1640625" customWidth="1" style="76" min="7673" max="7674"/>
    <col width="10" customWidth="1" style="76" min="7675" max="7675"/>
    <col width="10.33203125" customWidth="1" style="76" min="7676" max="7676"/>
    <col width="9.1640625" customWidth="1" style="76" min="7677" max="7687"/>
    <col width="11.33203125" customWidth="1" style="76" min="7688" max="7688"/>
    <col hidden="1" width="13" customWidth="1" style="76" min="7689" max="7709"/>
    <col width="9.1640625" customWidth="1" style="76" min="7710" max="7915"/>
    <col width="28.6640625" customWidth="1" style="76" min="7916" max="7916"/>
    <col width="9" bestFit="1" customWidth="1" style="76" min="7917" max="7917"/>
    <col width="5.33203125" customWidth="1" style="76" min="7918" max="7918"/>
    <col width="9" bestFit="1" customWidth="1" style="76" min="7919" max="7919"/>
    <col width="5.33203125" customWidth="1" style="76" min="7920" max="7920"/>
    <col width="9" bestFit="1" customWidth="1" style="76" min="7921" max="7921"/>
    <col width="5" customWidth="1" style="76" min="7922" max="7922"/>
    <col width="9" bestFit="1" customWidth="1" style="76" min="7923" max="7923"/>
    <col width="5.1640625" customWidth="1" style="76" min="7924" max="7924"/>
    <col width="9.1640625" customWidth="1" style="76" min="7925" max="7925"/>
    <col width="6" customWidth="1" style="76" min="7926" max="7926"/>
    <col width="9.1640625" customWidth="1" style="76" min="7927" max="7927"/>
    <col width="6" customWidth="1" style="76" min="7928" max="7928"/>
    <col width="10.1640625" customWidth="1" style="76" min="7929" max="7930"/>
    <col width="10" customWidth="1" style="76" min="7931" max="7931"/>
    <col width="10.33203125" customWidth="1" style="76" min="7932" max="7932"/>
    <col width="9.1640625" customWidth="1" style="76" min="7933" max="7943"/>
    <col width="11.33203125" customWidth="1" style="76" min="7944" max="7944"/>
    <col hidden="1" width="13" customWidth="1" style="76" min="7945" max="7965"/>
    <col width="9.1640625" customWidth="1" style="76" min="7966" max="8171"/>
    <col width="28.6640625" customWidth="1" style="76" min="8172" max="8172"/>
    <col width="9" bestFit="1" customWidth="1" style="76" min="8173" max="8173"/>
    <col width="5.33203125" customWidth="1" style="76" min="8174" max="8174"/>
    <col width="9" bestFit="1" customWidth="1" style="76" min="8175" max="8175"/>
    <col width="5.33203125" customWidth="1" style="76" min="8176" max="8176"/>
    <col width="9" bestFit="1" customWidth="1" style="76" min="8177" max="8177"/>
    <col width="5" customWidth="1" style="76" min="8178" max="8178"/>
    <col width="9" bestFit="1" customWidth="1" style="76" min="8179" max="8179"/>
    <col width="5.1640625" customWidth="1" style="76" min="8180" max="8180"/>
    <col width="9.1640625" customWidth="1" style="76" min="8181" max="8181"/>
    <col width="6" customWidth="1" style="76" min="8182" max="8182"/>
    <col width="9.1640625" customWidth="1" style="76" min="8183" max="8183"/>
    <col width="6" customWidth="1" style="76" min="8184" max="8184"/>
    <col width="10.1640625" customWidth="1" style="76" min="8185" max="8186"/>
    <col width="10" customWidth="1" style="76" min="8187" max="8187"/>
    <col width="10.33203125" customWidth="1" style="76" min="8188" max="8188"/>
    <col width="9.1640625" customWidth="1" style="76" min="8189" max="8199"/>
    <col width="11.33203125" customWidth="1" style="76" min="8200" max="8200"/>
    <col hidden="1" width="13" customWidth="1" style="76" min="8201" max="8221"/>
    <col width="9.1640625" customWidth="1" style="76" min="8222" max="8427"/>
    <col width="28.6640625" customWidth="1" style="76" min="8428" max="8428"/>
    <col width="9" bestFit="1" customWidth="1" style="76" min="8429" max="8429"/>
    <col width="5.33203125" customWidth="1" style="76" min="8430" max="8430"/>
    <col width="9" bestFit="1" customWidth="1" style="76" min="8431" max="8431"/>
    <col width="5.33203125" customWidth="1" style="76" min="8432" max="8432"/>
    <col width="9" bestFit="1" customWidth="1" style="76" min="8433" max="8433"/>
    <col width="5" customWidth="1" style="76" min="8434" max="8434"/>
    <col width="9" bestFit="1" customWidth="1" style="76" min="8435" max="8435"/>
    <col width="5.1640625" customWidth="1" style="76" min="8436" max="8436"/>
    <col width="9.1640625" customWidth="1" style="76" min="8437" max="8437"/>
    <col width="6" customWidth="1" style="76" min="8438" max="8438"/>
    <col width="9.1640625" customWidth="1" style="76" min="8439" max="8439"/>
    <col width="6" customWidth="1" style="76" min="8440" max="8440"/>
    <col width="10.1640625" customWidth="1" style="76" min="8441" max="8442"/>
    <col width="10" customWidth="1" style="76" min="8443" max="8443"/>
    <col width="10.33203125" customWidth="1" style="76" min="8444" max="8444"/>
    <col width="9.1640625" customWidth="1" style="76" min="8445" max="8455"/>
    <col width="11.33203125" customWidth="1" style="76" min="8456" max="8456"/>
    <col hidden="1" width="13" customWidth="1" style="76" min="8457" max="8477"/>
    <col width="9.1640625" customWidth="1" style="76" min="8478" max="8683"/>
    <col width="28.6640625" customWidth="1" style="76" min="8684" max="8684"/>
    <col width="9" bestFit="1" customWidth="1" style="76" min="8685" max="8685"/>
    <col width="5.33203125" customWidth="1" style="76" min="8686" max="8686"/>
    <col width="9" bestFit="1" customWidth="1" style="76" min="8687" max="8687"/>
    <col width="5.33203125" customWidth="1" style="76" min="8688" max="8688"/>
    <col width="9" bestFit="1" customWidth="1" style="76" min="8689" max="8689"/>
    <col width="5" customWidth="1" style="76" min="8690" max="8690"/>
    <col width="9" bestFit="1" customWidth="1" style="76" min="8691" max="8691"/>
    <col width="5.1640625" customWidth="1" style="76" min="8692" max="8692"/>
    <col width="9.1640625" customWidth="1" style="76" min="8693" max="8693"/>
    <col width="6" customWidth="1" style="76" min="8694" max="8694"/>
    <col width="9.1640625" customWidth="1" style="76" min="8695" max="8695"/>
    <col width="6" customWidth="1" style="76" min="8696" max="8696"/>
    <col width="10.1640625" customWidth="1" style="76" min="8697" max="8698"/>
    <col width="10" customWidth="1" style="76" min="8699" max="8699"/>
    <col width="10.33203125" customWidth="1" style="76" min="8700" max="8700"/>
    <col width="9.1640625" customWidth="1" style="76" min="8701" max="8711"/>
    <col width="11.33203125" customWidth="1" style="76" min="8712" max="8712"/>
    <col hidden="1" width="13" customWidth="1" style="76" min="8713" max="8733"/>
    <col width="9.1640625" customWidth="1" style="76" min="8734" max="8939"/>
    <col width="28.6640625" customWidth="1" style="76" min="8940" max="8940"/>
    <col width="9" bestFit="1" customWidth="1" style="76" min="8941" max="8941"/>
    <col width="5.33203125" customWidth="1" style="76" min="8942" max="8942"/>
    <col width="9" bestFit="1" customWidth="1" style="76" min="8943" max="8943"/>
    <col width="5.33203125" customWidth="1" style="76" min="8944" max="8944"/>
    <col width="9" bestFit="1" customWidth="1" style="76" min="8945" max="8945"/>
    <col width="5" customWidth="1" style="76" min="8946" max="8946"/>
    <col width="9" bestFit="1" customWidth="1" style="76" min="8947" max="8947"/>
    <col width="5.1640625" customWidth="1" style="76" min="8948" max="8948"/>
    <col width="9.1640625" customWidth="1" style="76" min="8949" max="8949"/>
    <col width="6" customWidth="1" style="76" min="8950" max="8950"/>
    <col width="9.1640625" customWidth="1" style="76" min="8951" max="8951"/>
    <col width="6" customWidth="1" style="76" min="8952" max="8952"/>
    <col width="10.1640625" customWidth="1" style="76" min="8953" max="8954"/>
    <col width="10" customWidth="1" style="76" min="8955" max="8955"/>
    <col width="10.33203125" customWidth="1" style="76" min="8956" max="8956"/>
    <col width="9.1640625" customWidth="1" style="76" min="8957" max="8967"/>
    <col width="11.33203125" customWidth="1" style="76" min="8968" max="8968"/>
    <col hidden="1" width="13" customWidth="1" style="76" min="8969" max="8989"/>
    <col width="9.1640625" customWidth="1" style="76" min="8990" max="9195"/>
    <col width="28.6640625" customWidth="1" style="76" min="9196" max="9196"/>
    <col width="9" bestFit="1" customWidth="1" style="76" min="9197" max="9197"/>
    <col width="5.33203125" customWidth="1" style="76" min="9198" max="9198"/>
    <col width="9" bestFit="1" customWidth="1" style="76" min="9199" max="9199"/>
    <col width="5.33203125" customWidth="1" style="76" min="9200" max="9200"/>
    <col width="9" bestFit="1" customWidth="1" style="76" min="9201" max="9201"/>
    <col width="5" customWidth="1" style="76" min="9202" max="9202"/>
    <col width="9" bestFit="1" customWidth="1" style="76" min="9203" max="9203"/>
    <col width="5.1640625" customWidth="1" style="76" min="9204" max="9204"/>
    <col width="9.1640625" customWidth="1" style="76" min="9205" max="9205"/>
    <col width="6" customWidth="1" style="76" min="9206" max="9206"/>
    <col width="9.1640625" customWidth="1" style="76" min="9207" max="9207"/>
    <col width="6" customWidth="1" style="76" min="9208" max="9208"/>
    <col width="10.1640625" customWidth="1" style="76" min="9209" max="9210"/>
    <col width="10" customWidth="1" style="76" min="9211" max="9211"/>
    <col width="10.33203125" customWidth="1" style="76" min="9212" max="9212"/>
    <col width="9.1640625" customWidth="1" style="76" min="9213" max="9223"/>
    <col width="11.33203125" customWidth="1" style="76" min="9224" max="9224"/>
    <col hidden="1" width="13" customWidth="1" style="76" min="9225" max="9245"/>
    <col width="9.1640625" customWidth="1" style="76" min="9246" max="9451"/>
    <col width="28.6640625" customWidth="1" style="76" min="9452" max="9452"/>
    <col width="9" bestFit="1" customWidth="1" style="76" min="9453" max="9453"/>
    <col width="5.33203125" customWidth="1" style="76" min="9454" max="9454"/>
    <col width="9" bestFit="1" customWidth="1" style="76" min="9455" max="9455"/>
    <col width="5.33203125" customWidth="1" style="76" min="9456" max="9456"/>
    <col width="9" bestFit="1" customWidth="1" style="76" min="9457" max="9457"/>
    <col width="5" customWidth="1" style="76" min="9458" max="9458"/>
    <col width="9" bestFit="1" customWidth="1" style="76" min="9459" max="9459"/>
    <col width="5.1640625" customWidth="1" style="76" min="9460" max="9460"/>
    <col width="9.1640625" customWidth="1" style="76" min="9461" max="9461"/>
    <col width="6" customWidth="1" style="76" min="9462" max="9462"/>
    <col width="9.1640625" customWidth="1" style="76" min="9463" max="9463"/>
    <col width="6" customWidth="1" style="76" min="9464" max="9464"/>
    <col width="10.1640625" customWidth="1" style="76" min="9465" max="9466"/>
    <col width="10" customWidth="1" style="76" min="9467" max="9467"/>
    <col width="10.33203125" customWidth="1" style="76" min="9468" max="9468"/>
    <col width="9.1640625" customWidth="1" style="76" min="9469" max="9479"/>
    <col width="11.33203125" customWidth="1" style="76" min="9480" max="9480"/>
    <col hidden="1" width="13" customWidth="1" style="76" min="9481" max="9501"/>
    <col width="9.1640625" customWidth="1" style="76" min="9502" max="9707"/>
    <col width="28.6640625" customWidth="1" style="76" min="9708" max="9708"/>
    <col width="9" bestFit="1" customWidth="1" style="76" min="9709" max="9709"/>
    <col width="5.33203125" customWidth="1" style="76" min="9710" max="9710"/>
    <col width="9" bestFit="1" customWidth="1" style="76" min="9711" max="9711"/>
    <col width="5.33203125" customWidth="1" style="76" min="9712" max="9712"/>
    <col width="9" bestFit="1" customWidth="1" style="76" min="9713" max="9713"/>
    <col width="5" customWidth="1" style="76" min="9714" max="9714"/>
    <col width="9" bestFit="1" customWidth="1" style="76" min="9715" max="9715"/>
    <col width="5.1640625" customWidth="1" style="76" min="9716" max="9716"/>
    <col width="9.1640625" customWidth="1" style="76" min="9717" max="9717"/>
    <col width="6" customWidth="1" style="76" min="9718" max="9718"/>
    <col width="9.1640625" customWidth="1" style="76" min="9719" max="9719"/>
    <col width="6" customWidth="1" style="76" min="9720" max="9720"/>
    <col width="10.1640625" customWidth="1" style="76" min="9721" max="9722"/>
    <col width="10" customWidth="1" style="76" min="9723" max="9723"/>
    <col width="10.33203125" customWidth="1" style="76" min="9724" max="9724"/>
    <col width="9.1640625" customWidth="1" style="76" min="9725" max="9735"/>
    <col width="11.33203125" customWidth="1" style="76" min="9736" max="9736"/>
    <col hidden="1" width="13" customWidth="1" style="76" min="9737" max="9757"/>
    <col width="9.1640625" customWidth="1" style="76" min="9758" max="9963"/>
    <col width="28.6640625" customWidth="1" style="76" min="9964" max="9964"/>
    <col width="9" bestFit="1" customWidth="1" style="76" min="9965" max="9965"/>
    <col width="5.33203125" customWidth="1" style="76" min="9966" max="9966"/>
    <col width="9" bestFit="1" customWidth="1" style="76" min="9967" max="9967"/>
    <col width="5.33203125" customWidth="1" style="76" min="9968" max="9968"/>
    <col width="9" bestFit="1" customWidth="1" style="76" min="9969" max="9969"/>
    <col width="5" customWidth="1" style="76" min="9970" max="9970"/>
    <col width="9" bestFit="1" customWidth="1" style="76" min="9971" max="9971"/>
    <col width="5.1640625" customWidth="1" style="76" min="9972" max="9972"/>
    <col width="9.1640625" customWidth="1" style="76" min="9973" max="9973"/>
    <col width="6" customWidth="1" style="76" min="9974" max="9974"/>
    <col width="9.1640625" customWidth="1" style="76" min="9975" max="9975"/>
    <col width="6" customWidth="1" style="76" min="9976" max="9976"/>
    <col width="10.1640625" customWidth="1" style="76" min="9977" max="9978"/>
    <col width="10" customWidth="1" style="76" min="9979" max="9979"/>
    <col width="10.33203125" customWidth="1" style="76" min="9980" max="9980"/>
    <col width="9.1640625" customWidth="1" style="76" min="9981" max="9991"/>
    <col width="11.33203125" customWidth="1" style="76" min="9992" max="9992"/>
    <col hidden="1" width="13" customWidth="1" style="76" min="9993" max="10013"/>
    <col width="9.1640625" customWidth="1" style="76" min="10014" max="10219"/>
    <col width="28.6640625" customWidth="1" style="76" min="10220" max="10220"/>
    <col width="9" bestFit="1" customWidth="1" style="76" min="10221" max="10221"/>
    <col width="5.33203125" customWidth="1" style="76" min="10222" max="10222"/>
    <col width="9" bestFit="1" customWidth="1" style="76" min="10223" max="10223"/>
    <col width="5.33203125" customWidth="1" style="76" min="10224" max="10224"/>
    <col width="9" bestFit="1" customWidth="1" style="76" min="10225" max="10225"/>
    <col width="5" customWidth="1" style="76" min="10226" max="10226"/>
    <col width="9" bestFit="1" customWidth="1" style="76" min="10227" max="10227"/>
    <col width="5.1640625" customWidth="1" style="76" min="10228" max="10228"/>
    <col width="9.1640625" customWidth="1" style="76" min="10229" max="10229"/>
    <col width="6" customWidth="1" style="76" min="10230" max="10230"/>
    <col width="9.1640625" customWidth="1" style="76" min="10231" max="10231"/>
    <col width="6" customWidth="1" style="76" min="10232" max="10232"/>
    <col width="10.1640625" customWidth="1" style="76" min="10233" max="10234"/>
    <col width="10" customWidth="1" style="76" min="10235" max="10235"/>
    <col width="10.33203125" customWidth="1" style="76" min="10236" max="10236"/>
    <col width="9.1640625" customWidth="1" style="76" min="10237" max="10247"/>
    <col width="11.33203125" customWidth="1" style="76" min="10248" max="10248"/>
    <col hidden="1" width="13" customWidth="1" style="76" min="10249" max="10269"/>
    <col width="9.1640625" customWidth="1" style="76" min="10270" max="10475"/>
    <col width="28.6640625" customWidth="1" style="76" min="10476" max="10476"/>
    <col width="9" bestFit="1" customWidth="1" style="76" min="10477" max="10477"/>
    <col width="5.33203125" customWidth="1" style="76" min="10478" max="10478"/>
    <col width="9" bestFit="1" customWidth="1" style="76" min="10479" max="10479"/>
    <col width="5.33203125" customWidth="1" style="76" min="10480" max="10480"/>
    <col width="9" bestFit="1" customWidth="1" style="76" min="10481" max="10481"/>
    <col width="5" customWidth="1" style="76" min="10482" max="10482"/>
    <col width="9" bestFit="1" customWidth="1" style="76" min="10483" max="10483"/>
    <col width="5.1640625" customWidth="1" style="76" min="10484" max="10484"/>
    <col width="9.1640625" customWidth="1" style="76" min="10485" max="10485"/>
    <col width="6" customWidth="1" style="76" min="10486" max="10486"/>
    <col width="9.1640625" customWidth="1" style="76" min="10487" max="10487"/>
    <col width="6" customWidth="1" style="76" min="10488" max="10488"/>
    <col width="10.1640625" customWidth="1" style="76" min="10489" max="10490"/>
    <col width="10" customWidth="1" style="76" min="10491" max="10491"/>
    <col width="10.33203125" customWidth="1" style="76" min="10492" max="10492"/>
    <col width="9.1640625" customWidth="1" style="76" min="10493" max="10503"/>
    <col width="11.33203125" customWidth="1" style="76" min="10504" max="10504"/>
    <col hidden="1" width="13" customWidth="1" style="76" min="10505" max="10525"/>
    <col width="9.1640625" customWidth="1" style="76" min="10526" max="10731"/>
    <col width="28.6640625" customWidth="1" style="76" min="10732" max="10732"/>
    <col width="9" bestFit="1" customWidth="1" style="76" min="10733" max="10733"/>
    <col width="5.33203125" customWidth="1" style="76" min="10734" max="10734"/>
    <col width="9" bestFit="1" customWidth="1" style="76" min="10735" max="10735"/>
    <col width="5.33203125" customWidth="1" style="76" min="10736" max="10736"/>
    <col width="9" bestFit="1" customWidth="1" style="76" min="10737" max="10737"/>
    <col width="5" customWidth="1" style="76" min="10738" max="10738"/>
    <col width="9" bestFit="1" customWidth="1" style="76" min="10739" max="10739"/>
    <col width="5.1640625" customWidth="1" style="76" min="10740" max="10740"/>
    <col width="9.1640625" customWidth="1" style="76" min="10741" max="10741"/>
    <col width="6" customWidth="1" style="76" min="10742" max="10742"/>
    <col width="9.1640625" customWidth="1" style="76" min="10743" max="10743"/>
    <col width="6" customWidth="1" style="76" min="10744" max="10744"/>
    <col width="10.1640625" customWidth="1" style="76" min="10745" max="10746"/>
    <col width="10" customWidth="1" style="76" min="10747" max="10747"/>
    <col width="10.33203125" customWidth="1" style="76" min="10748" max="10748"/>
    <col width="9.1640625" customWidth="1" style="76" min="10749" max="10759"/>
    <col width="11.33203125" customWidth="1" style="76" min="10760" max="10760"/>
    <col hidden="1" width="13" customWidth="1" style="76" min="10761" max="10781"/>
    <col width="9.1640625" customWidth="1" style="76" min="10782" max="10987"/>
    <col width="28.6640625" customWidth="1" style="76" min="10988" max="10988"/>
    <col width="9" bestFit="1" customWidth="1" style="76" min="10989" max="10989"/>
    <col width="5.33203125" customWidth="1" style="76" min="10990" max="10990"/>
    <col width="9" bestFit="1" customWidth="1" style="76" min="10991" max="10991"/>
    <col width="5.33203125" customWidth="1" style="76" min="10992" max="10992"/>
    <col width="9" bestFit="1" customWidth="1" style="76" min="10993" max="10993"/>
    <col width="5" customWidth="1" style="76" min="10994" max="10994"/>
    <col width="9" bestFit="1" customWidth="1" style="76" min="10995" max="10995"/>
    <col width="5.1640625" customWidth="1" style="76" min="10996" max="10996"/>
    <col width="9.1640625" customWidth="1" style="76" min="10997" max="10997"/>
    <col width="6" customWidth="1" style="76" min="10998" max="10998"/>
    <col width="9.1640625" customWidth="1" style="76" min="10999" max="10999"/>
    <col width="6" customWidth="1" style="76" min="11000" max="11000"/>
    <col width="10.1640625" customWidth="1" style="76" min="11001" max="11002"/>
    <col width="10" customWidth="1" style="76" min="11003" max="11003"/>
    <col width="10.33203125" customWidth="1" style="76" min="11004" max="11004"/>
    <col width="9.1640625" customWidth="1" style="76" min="11005" max="11015"/>
    <col width="11.33203125" customWidth="1" style="76" min="11016" max="11016"/>
    <col hidden="1" width="13" customWidth="1" style="76" min="11017" max="11037"/>
    <col width="9.1640625" customWidth="1" style="76" min="11038" max="11243"/>
    <col width="28.6640625" customWidth="1" style="76" min="11244" max="11244"/>
    <col width="9" bestFit="1" customWidth="1" style="76" min="11245" max="11245"/>
    <col width="5.33203125" customWidth="1" style="76" min="11246" max="11246"/>
    <col width="9" bestFit="1" customWidth="1" style="76" min="11247" max="11247"/>
    <col width="5.33203125" customWidth="1" style="76" min="11248" max="11248"/>
    <col width="9" bestFit="1" customWidth="1" style="76" min="11249" max="11249"/>
    <col width="5" customWidth="1" style="76" min="11250" max="11250"/>
    <col width="9" bestFit="1" customWidth="1" style="76" min="11251" max="11251"/>
    <col width="5.1640625" customWidth="1" style="76" min="11252" max="11252"/>
    <col width="9.1640625" customWidth="1" style="76" min="11253" max="11253"/>
    <col width="6" customWidth="1" style="76" min="11254" max="11254"/>
    <col width="9.1640625" customWidth="1" style="76" min="11255" max="11255"/>
    <col width="6" customWidth="1" style="76" min="11256" max="11256"/>
    <col width="10.1640625" customWidth="1" style="76" min="11257" max="11258"/>
    <col width="10" customWidth="1" style="76" min="11259" max="11259"/>
    <col width="10.33203125" customWidth="1" style="76" min="11260" max="11260"/>
    <col width="9.1640625" customWidth="1" style="76" min="11261" max="11271"/>
    <col width="11.33203125" customWidth="1" style="76" min="11272" max="11272"/>
    <col hidden="1" width="13" customWidth="1" style="76" min="11273" max="11293"/>
    <col width="9.1640625" customWidth="1" style="76" min="11294" max="11499"/>
    <col width="28.6640625" customWidth="1" style="76" min="11500" max="11500"/>
    <col width="9" bestFit="1" customWidth="1" style="76" min="11501" max="11501"/>
    <col width="5.33203125" customWidth="1" style="76" min="11502" max="11502"/>
    <col width="9" bestFit="1" customWidth="1" style="76" min="11503" max="11503"/>
    <col width="5.33203125" customWidth="1" style="76" min="11504" max="11504"/>
    <col width="9" bestFit="1" customWidth="1" style="76" min="11505" max="11505"/>
    <col width="5" customWidth="1" style="76" min="11506" max="11506"/>
    <col width="9" bestFit="1" customWidth="1" style="76" min="11507" max="11507"/>
    <col width="5.1640625" customWidth="1" style="76" min="11508" max="11508"/>
    <col width="9.1640625" customWidth="1" style="76" min="11509" max="11509"/>
    <col width="6" customWidth="1" style="76" min="11510" max="11510"/>
    <col width="9.1640625" customWidth="1" style="76" min="11511" max="11511"/>
    <col width="6" customWidth="1" style="76" min="11512" max="11512"/>
    <col width="10.1640625" customWidth="1" style="76" min="11513" max="11514"/>
    <col width="10" customWidth="1" style="76" min="11515" max="11515"/>
    <col width="10.33203125" customWidth="1" style="76" min="11516" max="11516"/>
    <col width="9.1640625" customWidth="1" style="76" min="11517" max="11527"/>
    <col width="11.33203125" customWidth="1" style="76" min="11528" max="11528"/>
    <col hidden="1" width="13" customWidth="1" style="76" min="11529" max="11549"/>
    <col width="9.1640625" customWidth="1" style="76" min="11550" max="11755"/>
    <col width="28.6640625" customWidth="1" style="76" min="11756" max="11756"/>
    <col width="9" bestFit="1" customWidth="1" style="76" min="11757" max="11757"/>
    <col width="5.33203125" customWidth="1" style="76" min="11758" max="11758"/>
    <col width="9" bestFit="1" customWidth="1" style="76" min="11759" max="11759"/>
    <col width="5.33203125" customWidth="1" style="76" min="11760" max="11760"/>
    <col width="9" bestFit="1" customWidth="1" style="76" min="11761" max="11761"/>
    <col width="5" customWidth="1" style="76" min="11762" max="11762"/>
    <col width="9" bestFit="1" customWidth="1" style="76" min="11763" max="11763"/>
    <col width="5.1640625" customWidth="1" style="76" min="11764" max="11764"/>
    <col width="9.1640625" customWidth="1" style="76" min="11765" max="11765"/>
    <col width="6" customWidth="1" style="76" min="11766" max="11766"/>
    <col width="9.1640625" customWidth="1" style="76" min="11767" max="11767"/>
    <col width="6" customWidth="1" style="76" min="11768" max="11768"/>
    <col width="10.1640625" customWidth="1" style="76" min="11769" max="11770"/>
    <col width="10" customWidth="1" style="76" min="11771" max="11771"/>
    <col width="10.33203125" customWidth="1" style="76" min="11772" max="11772"/>
    <col width="9.1640625" customWidth="1" style="76" min="11773" max="11783"/>
    <col width="11.33203125" customWidth="1" style="76" min="11784" max="11784"/>
    <col hidden="1" width="13" customWidth="1" style="76" min="11785" max="11805"/>
    <col width="9.1640625" customWidth="1" style="76" min="11806" max="12011"/>
    <col width="28.6640625" customWidth="1" style="76" min="12012" max="12012"/>
    <col width="9" bestFit="1" customWidth="1" style="76" min="12013" max="12013"/>
    <col width="5.33203125" customWidth="1" style="76" min="12014" max="12014"/>
    <col width="9" bestFit="1" customWidth="1" style="76" min="12015" max="12015"/>
    <col width="5.33203125" customWidth="1" style="76" min="12016" max="12016"/>
    <col width="9" bestFit="1" customWidth="1" style="76" min="12017" max="12017"/>
    <col width="5" customWidth="1" style="76" min="12018" max="12018"/>
    <col width="9" bestFit="1" customWidth="1" style="76" min="12019" max="12019"/>
    <col width="5.1640625" customWidth="1" style="76" min="12020" max="12020"/>
    <col width="9.1640625" customWidth="1" style="76" min="12021" max="12021"/>
    <col width="6" customWidth="1" style="76" min="12022" max="12022"/>
    <col width="9.1640625" customWidth="1" style="76" min="12023" max="12023"/>
    <col width="6" customWidth="1" style="76" min="12024" max="12024"/>
    <col width="10.1640625" customWidth="1" style="76" min="12025" max="12026"/>
    <col width="10" customWidth="1" style="76" min="12027" max="12027"/>
    <col width="10.33203125" customWidth="1" style="76" min="12028" max="12028"/>
    <col width="9.1640625" customWidth="1" style="76" min="12029" max="12039"/>
    <col width="11.33203125" customWidth="1" style="76" min="12040" max="12040"/>
    <col hidden="1" width="13" customWidth="1" style="76" min="12041" max="12061"/>
    <col width="9.1640625" customWidth="1" style="76" min="12062" max="12267"/>
    <col width="28.6640625" customWidth="1" style="76" min="12268" max="12268"/>
    <col width="9" bestFit="1" customWidth="1" style="76" min="12269" max="12269"/>
    <col width="5.33203125" customWidth="1" style="76" min="12270" max="12270"/>
    <col width="9" bestFit="1" customWidth="1" style="76" min="12271" max="12271"/>
    <col width="5.33203125" customWidth="1" style="76" min="12272" max="12272"/>
    <col width="9" bestFit="1" customWidth="1" style="76" min="12273" max="12273"/>
    <col width="5" customWidth="1" style="76" min="12274" max="12274"/>
    <col width="9" bestFit="1" customWidth="1" style="76" min="12275" max="12275"/>
    <col width="5.1640625" customWidth="1" style="76" min="12276" max="12276"/>
    <col width="9.1640625" customWidth="1" style="76" min="12277" max="12277"/>
    <col width="6" customWidth="1" style="76" min="12278" max="12278"/>
    <col width="9.1640625" customWidth="1" style="76" min="12279" max="12279"/>
    <col width="6" customWidth="1" style="76" min="12280" max="12280"/>
    <col width="10.1640625" customWidth="1" style="76" min="12281" max="12282"/>
    <col width="10" customWidth="1" style="76" min="12283" max="12283"/>
    <col width="10.33203125" customWidth="1" style="76" min="12284" max="12284"/>
    <col width="9.1640625" customWidth="1" style="76" min="12285" max="12295"/>
    <col width="11.33203125" customWidth="1" style="76" min="12296" max="12296"/>
    <col hidden="1" width="13" customWidth="1" style="76" min="12297" max="12317"/>
    <col width="9.1640625" customWidth="1" style="76" min="12318" max="12523"/>
    <col width="28.6640625" customWidth="1" style="76" min="12524" max="12524"/>
    <col width="9" bestFit="1" customWidth="1" style="76" min="12525" max="12525"/>
    <col width="5.33203125" customWidth="1" style="76" min="12526" max="12526"/>
    <col width="9" bestFit="1" customWidth="1" style="76" min="12527" max="12527"/>
    <col width="5.33203125" customWidth="1" style="76" min="12528" max="12528"/>
    <col width="9" bestFit="1" customWidth="1" style="76" min="12529" max="12529"/>
    <col width="5" customWidth="1" style="76" min="12530" max="12530"/>
    <col width="9" bestFit="1" customWidth="1" style="76" min="12531" max="12531"/>
    <col width="5.1640625" customWidth="1" style="76" min="12532" max="12532"/>
    <col width="9.1640625" customWidth="1" style="76" min="12533" max="12533"/>
    <col width="6" customWidth="1" style="76" min="12534" max="12534"/>
    <col width="9.1640625" customWidth="1" style="76" min="12535" max="12535"/>
    <col width="6" customWidth="1" style="76" min="12536" max="12536"/>
    <col width="10.1640625" customWidth="1" style="76" min="12537" max="12538"/>
    <col width="10" customWidth="1" style="76" min="12539" max="12539"/>
    <col width="10.33203125" customWidth="1" style="76" min="12540" max="12540"/>
    <col width="9.1640625" customWidth="1" style="76" min="12541" max="12551"/>
    <col width="11.33203125" customWidth="1" style="76" min="12552" max="12552"/>
    <col hidden="1" width="13" customWidth="1" style="76" min="12553" max="12573"/>
    <col width="9.1640625" customWidth="1" style="76" min="12574" max="12779"/>
    <col width="28.6640625" customWidth="1" style="76" min="12780" max="12780"/>
    <col width="9" bestFit="1" customWidth="1" style="76" min="12781" max="12781"/>
    <col width="5.33203125" customWidth="1" style="76" min="12782" max="12782"/>
    <col width="9" bestFit="1" customWidth="1" style="76" min="12783" max="12783"/>
    <col width="5.33203125" customWidth="1" style="76" min="12784" max="12784"/>
    <col width="9" bestFit="1" customWidth="1" style="76" min="12785" max="12785"/>
    <col width="5" customWidth="1" style="76" min="12786" max="12786"/>
    <col width="9" bestFit="1" customWidth="1" style="76" min="12787" max="12787"/>
    <col width="5.1640625" customWidth="1" style="76" min="12788" max="12788"/>
    <col width="9.1640625" customWidth="1" style="76" min="12789" max="12789"/>
    <col width="6" customWidth="1" style="76" min="12790" max="12790"/>
    <col width="9.1640625" customWidth="1" style="76" min="12791" max="12791"/>
    <col width="6" customWidth="1" style="76" min="12792" max="12792"/>
    <col width="10.1640625" customWidth="1" style="76" min="12793" max="12794"/>
    <col width="10" customWidth="1" style="76" min="12795" max="12795"/>
    <col width="10.33203125" customWidth="1" style="76" min="12796" max="12796"/>
    <col width="9.1640625" customWidth="1" style="76" min="12797" max="12807"/>
    <col width="11.33203125" customWidth="1" style="76" min="12808" max="12808"/>
    <col hidden="1" width="13" customWidth="1" style="76" min="12809" max="12829"/>
    <col width="9.1640625" customWidth="1" style="76" min="12830" max="13035"/>
    <col width="28.6640625" customWidth="1" style="76" min="13036" max="13036"/>
    <col width="9" bestFit="1" customWidth="1" style="76" min="13037" max="13037"/>
    <col width="5.33203125" customWidth="1" style="76" min="13038" max="13038"/>
    <col width="9" bestFit="1" customWidth="1" style="76" min="13039" max="13039"/>
    <col width="5.33203125" customWidth="1" style="76" min="13040" max="13040"/>
    <col width="9" bestFit="1" customWidth="1" style="76" min="13041" max="13041"/>
    <col width="5" customWidth="1" style="76" min="13042" max="13042"/>
    <col width="9" bestFit="1" customWidth="1" style="76" min="13043" max="13043"/>
    <col width="5.1640625" customWidth="1" style="76" min="13044" max="13044"/>
    <col width="9.1640625" customWidth="1" style="76" min="13045" max="13045"/>
    <col width="6" customWidth="1" style="76" min="13046" max="13046"/>
    <col width="9.1640625" customWidth="1" style="76" min="13047" max="13047"/>
    <col width="6" customWidth="1" style="76" min="13048" max="13048"/>
    <col width="10.1640625" customWidth="1" style="76" min="13049" max="13050"/>
    <col width="10" customWidth="1" style="76" min="13051" max="13051"/>
    <col width="10.33203125" customWidth="1" style="76" min="13052" max="13052"/>
    <col width="9.1640625" customWidth="1" style="76" min="13053" max="13063"/>
    <col width="11.33203125" customWidth="1" style="76" min="13064" max="13064"/>
    <col hidden="1" width="13" customWidth="1" style="76" min="13065" max="13085"/>
    <col width="9.1640625" customWidth="1" style="76" min="13086" max="13291"/>
    <col width="28.6640625" customWidth="1" style="76" min="13292" max="13292"/>
    <col width="9" bestFit="1" customWidth="1" style="76" min="13293" max="13293"/>
    <col width="5.33203125" customWidth="1" style="76" min="13294" max="13294"/>
    <col width="9" bestFit="1" customWidth="1" style="76" min="13295" max="13295"/>
    <col width="5.33203125" customWidth="1" style="76" min="13296" max="13296"/>
    <col width="9" bestFit="1" customWidth="1" style="76" min="13297" max="13297"/>
    <col width="5" customWidth="1" style="76" min="13298" max="13298"/>
    <col width="9" bestFit="1" customWidth="1" style="76" min="13299" max="13299"/>
    <col width="5.1640625" customWidth="1" style="76" min="13300" max="13300"/>
    <col width="9.1640625" customWidth="1" style="76" min="13301" max="13301"/>
    <col width="6" customWidth="1" style="76" min="13302" max="13302"/>
    <col width="9.1640625" customWidth="1" style="76" min="13303" max="13303"/>
    <col width="6" customWidth="1" style="76" min="13304" max="13304"/>
    <col width="10.1640625" customWidth="1" style="76" min="13305" max="13306"/>
    <col width="10" customWidth="1" style="76" min="13307" max="13307"/>
    <col width="10.33203125" customWidth="1" style="76" min="13308" max="13308"/>
    <col width="9.1640625" customWidth="1" style="76" min="13309" max="13319"/>
    <col width="11.33203125" customWidth="1" style="76" min="13320" max="13320"/>
    <col hidden="1" width="13" customWidth="1" style="76" min="13321" max="13341"/>
    <col width="9.1640625" customWidth="1" style="76" min="13342" max="13547"/>
    <col width="28.6640625" customWidth="1" style="76" min="13548" max="13548"/>
    <col width="9" bestFit="1" customWidth="1" style="76" min="13549" max="13549"/>
    <col width="5.33203125" customWidth="1" style="76" min="13550" max="13550"/>
    <col width="9" bestFit="1" customWidth="1" style="76" min="13551" max="13551"/>
    <col width="5.33203125" customWidth="1" style="76" min="13552" max="13552"/>
    <col width="9" bestFit="1" customWidth="1" style="76" min="13553" max="13553"/>
    <col width="5" customWidth="1" style="76" min="13554" max="13554"/>
    <col width="9" bestFit="1" customWidth="1" style="76" min="13555" max="13555"/>
    <col width="5.1640625" customWidth="1" style="76" min="13556" max="13556"/>
    <col width="9.1640625" customWidth="1" style="76" min="13557" max="13557"/>
    <col width="6" customWidth="1" style="76" min="13558" max="13558"/>
    <col width="9.1640625" customWidth="1" style="76" min="13559" max="13559"/>
    <col width="6" customWidth="1" style="76" min="13560" max="13560"/>
    <col width="10.1640625" customWidth="1" style="76" min="13561" max="13562"/>
    <col width="10" customWidth="1" style="76" min="13563" max="13563"/>
    <col width="10.33203125" customWidth="1" style="76" min="13564" max="13564"/>
    <col width="9.1640625" customWidth="1" style="76" min="13565" max="13575"/>
    <col width="11.33203125" customWidth="1" style="76" min="13576" max="13576"/>
    <col hidden="1" width="13" customWidth="1" style="76" min="13577" max="13597"/>
    <col width="9.1640625" customWidth="1" style="76" min="13598" max="13803"/>
    <col width="28.6640625" customWidth="1" style="76" min="13804" max="13804"/>
    <col width="9" bestFit="1" customWidth="1" style="76" min="13805" max="13805"/>
    <col width="5.33203125" customWidth="1" style="76" min="13806" max="13806"/>
    <col width="9" bestFit="1" customWidth="1" style="76" min="13807" max="13807"/>
    <col width="5.33203125" customWidth="1" style="76" min="13808" max="13808"/>
    <col width="9" bestFit="1" customWidth="1" style="76" min="13809" max="13809"/>
    <col width="5" customWidth="1" style="76" min="13810" max="13810"/>
    <col width="9" bestFit="1" customWidth="1" style="76" min="13811" max="13811"/>
    <col width="5.1640625" customWidth="1" style="76" min="13812" max="13812"/>
    <col width="9.1640625" customWidth="1" style="76" min="13813" max="13813"/>
    <col width="6" customWidth="1" style="76" min="13814" max="13814"/>
    <col width="9.1640625" customWidth="1" style="76" min="13815" max="13815"/>
    <col width="6" customWidth="1" style="76" min="13816" max="13816"/>
    <col width="10.1640625" customWidth="1" style="76" min="13817" max="13818"/>
    <col width="10" customWidth="1" style="76" min="13819" max="13819"/>
    <col width="10.33203125" customWidth="1" style="76" min="13820" max="13820"/>
    <col width="9.1640625" customWidth="1" style="76" min="13821" max="13831"/>
    <col width="11.33203125" customWidth="1" style="76" min="13832" max="13832"/>
    <col hidden="1" width="13" customWidth="1" style="76" min="13833" max="13853"/>
    <col width="9.1640625" customWidth="1" style="76" min="13854" max="14059"/>
    <col width="28.6640625" customWidth="1" style="76" min="14060" max="14060"/>
    <col width="9" bestFit="1" customWidth="1" style="76" min="14061" max="14061"/>
    <col width="5.33203125" customWidth="1" style="76" min="14062" max="14062"/>
    <col width="9" bestFit="1" customWidth="1" style="76" min="14063" max="14063"/>
    <col width="5.33203125" customWidth="1" style="76" min="14064" max="14064"/>
    <col width="9" bestFit="1" customWidth="1" style="76" min="14065" max="14065"/>
    <col width="5" customWidth="1" style="76" min="14066" max="14066"/>
    <col width="9" bestFit="1" customWidth="1" style="76" min="14067" max="14067"/>
    <col width="5.1640625" customWidth="1" style="76" min="14068" max="14068"/>
    <col width="9.1640625" customWidth="1" style="76" min="14069" max="14069"/>
    <col width="6" customWidth="1" style="76" min="14070" max="14070"/>
    <col width="9.1640625" customWidth="1" style="76" min="14071" max="14071"/>
    <col width="6" customWidth="1" style="76" min="14072" max="14072"/>
    <col width="10.1640625" customWidth="1" style="76" min="14073" max="14074"/>
    <col width="10" customWidth="1" style="76" min="14075" max="14075"/>
    <col width="10.33203125" customWidth="1" style="76" min="14076" max="14076"/>
    <col width="9.1640625" customWidth="1" style="76" min="14077" max="14087"/>
    <col width="11.33203125" customWidth="1" style="76" min="14088" max="14088"/>
    <col hidden="1" width="13" customWidth="1" style="76" min="14089" max="14109"/>
    <col width="9.1640625" customWidth="1" style="76" min="14110" max="14315"/>
    <col width="28.6640625" customWidth="1" style="76" min="14316" max="14316"/>
    <col width="9" bestFit="1" customWidth="1" style="76" min="14317" max="14317"/>
    <col width="5.33203125" customWidth="1" style="76" min="14318" max="14318"/>
    <col width="9" bestFit="1" customWidth="1" style="76" min="14319" max="14319"/>
    <col width="5.33203125" customWidth="1" style="76" min="14320" max="14320"/>
    <col width="9" bestFit="1" customWidth="1" style="76" min="14321" max="14321"/>
    <col width="5" customWidth="1" style="76" min="14322" max="14322"/>
    <col width="9" bestFit="1" customWidth="1" style="76" min="14323" max="14323"/>
    <col width="5.1640625" customWidth="1" style="76" min="14324" max="14324"/>
    <col width="9.1640625" customWidth="1" style="76" min="14325" max="14325"/>
    <col width="6" customWidth="1" style="76" min="14326" max="14326"/>
    <col width="9.1640625" customWidth="1" style="76" min="14327" max="14327"/>
    <col width="6" customWidth="1" style="76" min="14328" max="14328"/>
    <col width="10.1640625" customWidth="1" style="76" min="14329" max="14330"/>
    <col width="10" customWidth="1" style="76" min="14331" max="14331"/>
    <col width="10.33203125" customWidth="1" style="76" min="14332" max="14332"/>
    <col width="9.1640625" customWidth="1" style="76" min="14333" max="14343"/>
    <col width="11.33203125" customWidth="1" style="76" min="14344" max="14344"/>
    <col hidden="1" width="13" customWidth="1" style="76" min="14345" max="14365"/>
    <col width="9.1640625" customWidth="1" style="76" min="14366" max="14571"/>
    <col width="28.6640625" customWidth="1" style="76" min="14572" max="14572"/>
    <col width="9" bestFit="1" customWidth="1" style="76" min="14573" max="14573"/>
    <col width="5.33203125" customWidth="1" style="76" min="14574" max="14574"/>
    <col width="9" bestFit="1" customWidth="1" style="76" min="14575" max="14575"/>
    <col width="5.33203125" customWidth="1" style="76" min="14576" max="14576"/>
    <col width="9" bestFit="1" customWidth="1" style="76" min="14577" max="14577"/>
    <col width="5" customWidth="1" style="76" min="14578" max="14578"/>
    <col width="9" bestFit="1" customWidth="1" style="76" min="14579" max="14579"/>
    <col width="5.1640625" customWidth="1" style="76" min="14580" max="14580"/>
    <col width="9.1640625" customWidth="1" style="76" min="14581" max="14581"/>
    <col width="6" customWidth="1" style="76" min="14582" max="14582"/>
    <col width="9.1640625" customWidth="1" style="76" min="14583" max="14583"/>
    <col width="6" customWidth="1" style="76" min="14584" max="14584"/>
    <col width="10.1640625" customWidth="1" style="76" min="14585" max="14586"/>
    <col width="10" customWidth="1" style="76" min="14587" max="14587"/>
    <col width="10.33203125" customWidth="1" style="76" min="14588" max="14588"/>
    <col width="9.1640625" customWidth="1" style="76" min="14589" max="14599"/>
    <col width="11.33203125" customWidth="1" style="76" min="14600" max="14600"/>
    <col hidden="1" width="13" customWidth="1" style="76" min="14601" max="14621"/>
    <col width="9.1640625" customWidth="1" style="76" min="14622" max="14827"/>
    <col width="28.6640625" customWidth="1" style="76" min="14828" max="14828"/>
    <col width="9" bestFit="1" customWidth="1" style="76" min="14829" max="14829"/>
    <col width="5.33203125" customWidth="1" style="76" min="14830" max="14830"/>
    <col width="9" bestFit="1" customWidth="1" style="76" min="14831" max="14831"/>
    <col width="5.33203125" customWidth="1" style="76" min="14832" max="14832"/>
    <col width="9" bestFit="1" customWidth="1" style="76" min="14833" max="14833"/>
    <col width="5" customWidth="1" style="76" min="14834" max="14834"/>
    <col width="9" bestFit="1" customWidth="1" style="76" min="14835" max="14835"/>
    <col width="5.1640625" customWidth="1" style="76" min="14836" max="14836"/>
    <col width="9.1640625" customWidth="1" style="76" min="14837" max="14837"/>
    <col width="6" customWidth="1" style="76" min="14838" max="14838"/>
    <col width="9.1640625" customWidth="1" style="76" min="14839" max="14839"/>
    <col width="6" customWidth="1" style="76" min="14840" max="14840"/>
    <col width="10.1640625" customWidth="1" style="76" min="14841" max="14842"/>
    <col width="10" customWidth="1" style="76" min="14843" max="14843"/>
    <col width="10.33203125" customWidth="1" style="76" min="14844" max="14844"/>
    <col width="9.1640625" customWidth="1" style="76" min="14845" max="14855"/>
    <col width="11.33203125" customWidth="1" style="76" min="14856" max="14856"/>
    <col hidden="1" width="13" customWidth="1" style="76" min="14857" max="14877"/>
    <col width="9.1640625" customWidth="1" style="76" min="14878" max="15083"/>
    <col width="28.6640625" customWidth="1" style="76" min="15084" max="15084"/>
    <col width="9" bestFit="1" customWidth="1" style="76" min="15085" max="15085"/>
    <col width="5.33203125" customWidth="1" style="76" min="15086" max="15086"/>
    <col width="9" bestFit="1" customWidth="1" style="76" min="15087" max="15087"/>
    <col width="5.33203125" customWidth="1" style="76" min="15088" max="15088"/>
    <col width="9" bestFit="1" customWidth="1" style="76" min="15089" max="15089"/>
    <col width="5" customWidth="1" style="76" min="15090" max="15090"/>
    <col width="9" bestFit="1" customWidth="1" style="76" min="15091" max="15091"/>
    <col width="5.1640625" customWidth="1" style="76" min="15092" max="15092"/>
    <col width="9.1640625" customWidth="1" style="76" min="15093" max="15093"/>
    <col width="6" customWidth="1" style="76" min="15094" max="15094"/>
    <col width="9.1640625" customWidth="1" style="76" min="15095" max="15095"/>
    <col width="6" customWidth="1" style="76" min="15096" max="15096"/>
    <col width="10.1640625" customWidth="1" style="76" min="15097" max="15098"/>
    <col width="10" customWidth="1" style="76" min="15099" max="15099"/>
    <col width="10.33203125" customWidth="1" style="76" min="15100" max="15100"/>
    <col width="9.1640625" customWidth="1" style="76" min="15101" max="15111"/>
    <col width="11.33203125" customWidth="1" style="76" min="15112" max="15112"/>
    <col hidden="1" width="13" customWidth="1" style="76" min="15113" max="15133"/>
    <col width="9.1640625" customWidth="1" style="76" min="15134" max="15339"/>
    <col width="28.6640625" customWidth="1" style="76" min="15340" max="15340"/>
    <col width="9" bestFit="1" customWidth="1" style="76" min="15341" max="15341"/>
    <col width="5.33203125" customWidth="1" style="76" min="15342" max="15342"/>
    <col width="9" bestFit="1" customWidth="1" style="76" min="15343" max="15343"/>
    <col width="5.33203125" customWidth="1" style="76" min="15344" max="15344"/>
    <col width="9" bestFit="1" customWidth="1" style="76" min="15345" max="15345"/>
    <col width="5" customWidth="1" style="76" min="15346" max="15346"/>
    <col width="9" bestFit="1" customWidth="1" style="76" min="15347" max="15347"/>
    <col width="5.1640625" customWidth="1" style="76" min="15348" max="15348"/>
    <col width="9.1640625" customWidth="1" style="76" min="15349" max="15349"/>
    <col width="6" customWidth="1" style="76" min="15350" max="15350"/>
    <col width="9.1640625" customWidth="1" style="76" min="15351" max="15351"/>
    <col width="6" customWidth="1" style="76" min="15352" max="15352"/>
    <col width="10.1640625" customWidth="1" style="76" min="15353" max="15354"/>
    <col width="10" customWidth="1" style="76" min="15355" max="15355"/>
    <col width="10.33203125" customWidth="1" style="76" min="15356" max="15356"/>
    <col width="9.1640625" customWidth="1" style="76" min="15357" max="15367"/>
    <col width="11.33203125" customWidth="1" style="76" min="15368" max="15368"/>
    <col hidden="1" width="13" customWidth="1" style="76" min="15369" max="15389"/>
    <col width="9.1640625" customWidth="1" style="76" min="15390" max="15595"/>
    <col width="28.6640625" customWidth="1" style="76" min="15596" max="15596"/>
    <col width="9" bestFit="1" customWidth="1" style="76" min="15597" max="15597"/>
    <col width="5.33203125" customWidth="1" style="76" min="15598" max="15598"/>
    <col width="9" bestFit="1" customWidth="1" style="76" min="15599" max="15599"/>
    <col width="5.33203125" customWidth="1" style="76" min="15600" max="15600"/>
    <col width="9" bestFit="1" customWidth="1" style="76" min="15601" max="15601"/>
    <col width="5" customWidth="1" style="76" min="15602" max="15602"/>
    <col width="9" bestFit="1" customWidth="1" style="76" min="15603" max="15603"/>
    <col width="5.1640625" customWidth="1" style="76" min="15604" max="15604"/>
    <col width="9.1640625" customWidth="1" style="76" min="15605" max="15605"/>
    <col width="6" customWidth="1" style="76" min="15606" max="15606"/>
    <col width="9.1640625" customWidth="1" style="76" min="15607" max="15607"/>
    <col width="6" customWidth="1" style="76" min="15608" max="15608"/>
    <col width="10.1640625" customWidth="1" style="76" min="15609" max="15610"/>
    <col width="10" customWidth="1" style="76" min="15611" max="15611"/>
    <col width="10.33203125" customWidth="1" style="76" min="15612" max="15612"/>
    <col width="9.1640625" customWidth="1" style="76" min="15613" max="15623"/>
    <col width="11.33203125" customWidth="1" style="76" min="15624" max="15624"/>
    <col hidden="1" width="13" customWidth="1" style="76" min="15625" max="15645"/>
    <col width="9.1640625" customWidth="1" style="76" min="15646" max="15851"/>
    <col width="28.6640625" customWidth="1" style="76" min="15852" max="15852"/>
    <col width="9" bestFit="1" customWidth="1" style="76" min="15853" max="15853"/>
    <col width="5.33203125" customWidth="1" style="76" min="15854" max="15854"/>
    <col width="9" bestFit="1" customWidth="1" style="76" min="15855" max="15855"/>
    <col width="5.33203125" customWidth="1" style="76" min="15856" max="15856"/>
    <col width="9" bestFit="1" customWidth="1" style="76" min="15857" max="15857"/>
    <col width="5" customWidth="1" style="76" min="15858" max="15858"/>
    <col width="9" bestFit="1" customWidth="1" style="76" min="15859" max="15859"/>
    <col width="5.1640625" customWidth="1" style="76" min="15860" max="15860"/>
    <col width="9.1640625" customWidth="1" style="76" min="15861" max="15861"/>
    <col width="6" customWidth="1" style="76" min="15862" max="15862"/>
    <col width="9.1640625" customWidth="1" style="76" min="15863" max="15863"/>
    <col width="6" customWidth="1" style="76" min="15864" max="15864"/>
    <col width="10.1640625" customWidth="1" style="76" min="15865" max="15866"/>
    <col width="10" customWidth="1" style="76" min="15867" max="15867"/>
    <col width="10.33203125" customWidth="1" style="76" min="15868" max="15868"/>
    <col width="9.1640625" customWidth="1" style="76" min="15869" max="15879"/>
    <col width="11.33203125" customWidth="1" style="76" min="15880" max="15880"/>
    <col hidden="1" width="13" customWidth="1" style="76" min="15881" max="15901"/>
    <col width="9.1640625" customWidth="1" style="76" min="15902" max="16107"/>
    <col width="28.6640625" customWidth="1" style="76" min="16108" max="16108"/>
    <col width="9" bestFit="1" customWidth="1" style="76" min="16109" max="16109"/>
    <col width="5.33203125" customWidth="1" style="76" min="16110" max="16110"/>
    <col width="9" bestFit="1" customWidth="1" style="76" min="16111" max="16111"/>
    <col width="5.33203125" customWidth="1" style="76" min="16112" max="16112"/>
    <col width="9" bestFit="1" customWidth="1" style="76" min="16113" max="16113"/>
    <col width="5" customWidth="1" style="76" min="16114" max="16114"/>
    <col width="9" bestFit="1" customWidth="1" style="76" min="16115" max="16115"/>
    <col width="5.1640625" customWidth="1" style="76" min="16116" max="16116"/>
    <col width="9.1640625" customWidth="1" style="76" min="16117" max="16117"/>
    <col width="6" customWidth="1" style="76" min="16118" max="16118"/>
    <col width="9.1640625" customWidth="1" style="76" min="16119" max="16119"/>
    <col width="6" customWidth="1" style="76" min="16120" max="16120"/>
    <col width="10.1640625" customWidth="1" style="76" min="16121" max="16122"/>
    <col width="10" customWidth="1" style="76" min="16123" max="16123"/>
    <col width="10.33203125" customWidth="1" style="76" min="16124" max="16124"/>
    <col width="9.1640625" customWidth="1" style="76" min="16125" max="16135"/>
    <col width="11.33203125" customWidth="1" style="76" min="16136" max="16136"/>
    <col hidden="1" width="13" customWidth="1" style="76" min="16137" max="16157"/>
    <col width="9.1640625" customWidth="1" style="76" min="16158" max="16384"/>
  </cols>
  <sheetData>
    <row r="1">
      <c r="AC1" s="14" t="inlineStr">
        <is>
          <t>Add column</t>
        </is>
      </c>
      <c r="AD1" s="90" t="inlineStr">
        <is>
          <t>To modify</t>
        </is>
      </c>
    </row>
    <row r="2">
      <c r="B2" s="30" t="n"/>
    </row>
    <row r="3" ht="16" customHeight="1" s="65" thickBot="1">
      <c r="C3" s="11" t="n"/>
      <c r="D3" s="11" t="n"/>
      <c r="E3" s="11" t="n"/>
      <c r="F3" s="11" t="n"/>
      <c r="G3" s="11" t="n"/>
      <c r="H3" s="11" t="n"/>
      <c r="I3" s="11" t="n"/>
      <c r="J3" s="11" t="n"/>
      <c r="K3" s="11" t="n"/>
      <c r="L3" s="11" t="n"/>
      <c r="M3" s="11" t="n"/>
      <c r="N3" s="11" t="n"/>
      <c r="O3" s="11" t="n"/>
      <c r="P3" s="11" t="n"/>
      <c r="Q3" s="11" t="n"/>
      <c r="R3" s="11" t="n"/>
      <c r="S3" s="11" t="n"/>
      <c r="T3" s="11" t="n"/>
      <c r="U3" s="11" t="n"/>
      <c r="V3" s="11" t="n"/>
      <c r="W3" s="11" t="n"/>
      <c r="X3" s="11" t="n"/>
      <c r="Y3" s="11" t="n"/>
      <c r="Z3" s="11" t="n"/>
      <c r="AA3" s="11" t="n"/>
      <c r="AB3" s="11" t="n"/>
      <c r="AE3" s="91" t="inlineStr">
        <is>
          <t>Average</t>
        </is>
      </c>
      <c r="AF3" s="79" t="n"/>
    </row>
    <row r="4">
      <c r="B4" s="86" t="inlineStr">
        <is>
          <t>ISM Services</t>
        </is>
      </c>
      <c r="C4" s="31" t="n">
        <v>43831</v>
      </c>
      <c r="D4" s="31" t="n">
        <v>43862</v>
      </c>
      <c r="E4" s="31" t="n">
        <v>43891</v>
      </c>
      <c r="F4" s="31" t="n">
        <v>43922</v>
      </c>
      <c r="G4" s="31" t="n">
        <v>43952</v>
      </c>
      <c r="H4" s="31" t="n">
        <v>43983</v>
      </c>
      <c r="I4" s="31" t="n">
        <v>44013</v>
      </c>
      <c r="J4" s="31" t="n">
        <v>44044</v>
      </c>
      <c r="K4" s="31" t="n">
        <v>44075</v>
      </c>
      <c r="L4" s="31" t="n">
        <v>44105</v>
      </c>
      <c r="M4" s="31" t="n">
        <v>44136</v>
      </c>
      <c r="N4" s="31" t="n">
        <v>44166</v>
      </c>
      <c r="O4" s="31" t="n">
        <v>44197</v>
      </c>
      <c r="P4" s="31" t="n">
        <v>44228</v>
      </c>
      <c r="Q4" s="31" t="n">
        <v>44256</v>
      </c>
      <c r="R4" s="31" t="n">
        <v>44287</v>
      </c>
      <c r="S4" s="31" t="n">
        <v>44317</v>
      </c>
      <c r="T4" s="31" t="n">
        <v>44348</v>
      </c>
      <c r="U4" s="31" t="n">
        <v>44378</v>
      </c>
      <c r="V4" s="31" t="n">
        <v>44409</v>
      </c>
      <c r="W4" s="31" t="n">
        <v>44440</v>
      </c>
      <c r="X4" s="31" t="n">
        <v>44470</v>
      </c>
      <c r="Y4" s="31" t="n">
        <v>44501</v>
      </c>
      <c r="Z4" s="31" t="n">
        <v>44531</v>
      </c>
      <c r="AA4" s="31" t="n">
        <v>44562</v>
      </c>
      <c r="AB4" s="31" t="n">
        <v>44593</v>
      </c>
      <c r="AC4" s="10" t="n"/>
      <c r="AD4" s="88" t="inlineStr">
        <is>
          <t>mom</t>
        </is>
      </c>
      <c r="AE4" s="88" t="inlineStr">
        <is>
          <t>3 months</t>
        </is>
      </c>
      <c r="AF4" s="88" t="inlineStr">
        <is>
          <t>6 months</t>
        </is>
      </c>
    </row>
    <row r="5" ht="16" customHeight="1" s="65" thickBot="1">
      <c r="B5" s="87"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10" t="n"/>
      <c r="AD5" s="89" t="n"/>
      <c r="AE5" s="89" t="n"/>
      <c r="AF5" s="89" t="n"/>
    </row>
    <row r="6">
      <c r="B6" s="3" t="inlineStr">
        <is>
          <t>Retail Trade</t>
        </is>
      </c>
      <c r="C6" s="2">
        <f>VLOOKUP(C$4,'DB Services ISM'!$A:$S,MATCH($B6,'DB Services ISM'!$A$1:$S$1,0),0)</f>
        <v/>
      </c>
      <c r="D6" s="2">
        <f>VLOOKUP(D$4,'DB Services ISM'!$A:$S,MATCH($B6,'DB Services ISM'!$A$1:$S$1,0),0)</f>
        <v/>
      </c>
      <c r="E6" s="2">
        <f>VLOOKUP(E$4,'DB Services ISM'!$A:$S,MATCH($B6,'DB Services ISM'!$A$1:$S$1,0),0)</f>
        <v/>
      </c>
      <c r="F6" s="2">
        <f>VLOOKUP(F$4,'DB Services ISM'!$A:$S,MATCH($B6,'DB Services ISM'!$A$1:$S$1,0),0)</f>
        <v/>
      </c>
      <c r="G6" s="2">
        <f>VLOOKUP(G$4,'DB Services ISM'!$A:$S,MATCH($B6,'DB Services ISM'!$A$1:$S$1,0),0)</f>
        <v/>
      </c>
      <c r="H6" s="2">
        <f>VLOOKUP(H$4,'DB Services ISM'!$A:$S,MATCH($B6,'DB Services ISM'!$A$1:$S$1,0),0)</f>
        <v/>
      </c>
      <c r="I6" s="2">
        <f>VLOOKUP(I$4,'DB Services ISM'!$A:$S,MATCH($B6,'DB Services ISM'!$A$1:$S$1,0),0)</f>
        <v/>
      </c>
      <c r="J6" s="2">
        <f>VLOOKUP(J$4,'DB Services ISM'!$A:$S,MATCH($B6,'DB Services ISM'!$A$1:$S$1,0),0)</f>
        <v/>
      </c>
      <c r="K6" s="2">
        <f>VLOOKUP(K$4,'DB Services ISM'!$A:$S,MATCH($B6,'DB Services ISM'!$A$1:$S$1,0),0)</f>
        <v/>
      </c>
      <c r="L6" s="2">
        <f>VLOOKUP(L$4,'DB Services ISM'!$A:$S,MATCH($B6,'DB Services ISM'!$A$1:$S$1,0),0)</f>
        <v/>
      </c>
      <c r="M6" s="2">
        <f>VLOOKUP(M$4,'DB Services ISM'!$A:$S,MATCH($B6,'DB Services ISM'!$A$1:$S$1,0),0)</f>
        <v/>
      </c>
      <c r="N6" s="2">
        <f>VLOOKUP(N$4,'DB Services ISM'!$A:$S,MATCH($B6,'DB Services ISM'!$A$1:$S$1,0),0)</f>
        <v/>
      </c>
      <c r="O6" s="2">
        <f>VLOOKUP(O$4,'DB Services ISM'!$A:$S,MATCH($B6,'DB Services ISM'!$A$1:$S$1,0),0)</f>
        <v/>
      </c>
      <c r="P6" s="2">
        <f>VLOOKUP(P$4,'DB Services ISM'!$A:$S,MATCH($B6,'DB Services ISM'!$A$1:$S$1,0),0)</f>
        <v/>
      </c>
      <c r="Q6" s="2">
        <f>VLOOKUP(Q$4,'DB Services ISM'!$A:$S,MATCH($B6,'DB Services ISM'!$A$1:$S$1,0),0)</f>
        <v/>
      </c>
      <c r="R6" s="2">
        <f>VLOOKUP(R$4,'DB Services ISM'!$A:$S,MATCH($B6,'DB Services ISM'!$A$1:$S$1,0),0)</f>
        <v/>
      </c>
      <c r="S6" s="2">
        <f>VLOOKUP(S$4,'DB Services ISM'!$A:$S,MATCH($B6,'DB Services ISM'!$A$1:$S$1,0),0)</f>
        <v/>
      </c>
      <c r="T6" s="2">
        <f>VLOOKUP(T$4,'DB Services ISM'!$A:$S,MATCH($B6,'DB Services ISM'!$A$1:$S$1,0),0)</f>
        <v/>
      </c>
      <c r="U6" s="2">
        <f>VLOOKUP(U$4,'DB Services ISM'!$A:$S,MATCH($B6,'DB Services ISM'!$A$1:$S$1,0),0)</f>
        <v/>
      </c>
      <c r="V6" s="2">
        <f>VLOOKUP(V$4,'DB Services ISM'!$A:$S,MATCH($B6,'DB Services ISM'!$A$1:$S$1,0),0)</f>
        <v/>
      </c>
      <c r="W6" s="2">
        <f>VLOOKUP(W$4,'DB Services ISM'!$A:$S,MATCH($B6,'DB Services ISM'!$A$1:$S$1,0),0)</f>
        <v/>
      </c>
      <c r="X6" s="2">
        <f>VLOOKUP(X$4,'DB Services ISM'!$A:$S,MATCH($B6,'DB Services ISM'!$A$1:$S$1,0),0)</f>
        <v/>
      </c>
      <c r="Y6" s="2">
        <f>VLOOKUP(Y$4,'DB Services ISM'!$A:$S,MATCH($B6,'DB Services ISM'!$A$1:$S$1,0),0)</f>
        <v/>
      </c>
      <c r="Z6" s="2">
        <f>VLOOKUP(Z$4,'DB Services ISM'!$A:$S,MATCH($B6,'DB Services ISM'!$A$1:$S$1,0),0)</f>
        <v/>
      </c>
      <c r="AA6" s="2">
        <f>VLOOKUP(AA$4,'DB Services ISM'!$A:$S,MATCH($B6,'DB Services ISM'!$A$1:$S$1,0),0)</f>
        <v/>
      </c>
      <c r="AB6" s="2">
        <f>VLOOKUP(AB$4,'DB Services ISM'!$A:$S,MATCH($B6,'DB Services ISM'!$A$1:$S$1,0),0)</f>
        <v/>
      </c>
      <c r="AC6" s="33" t="n"/>
      <c r="AD6" s="22">
        <f>AA6-Z6</f>
        <v/>
      </c>
      <c r="AE6" s="34">
        <f>AVERAGE(Y6:AA6)</f>
        <v/>
      </c>
      <c r="AF6" s="34">
        <f>AVERAGE(V6:AA6)</f>
        <v/>
      </c>
    </row>
    <row r="7">
      <c r="B7" s="3" t="inlineStr">
        <is>
          <t>Utilities</t>
        </is>
      </c>
      <c r="C7" s="2">
        <f>VLOOKUP(C$4,'DB Services ISM'!$A:$S,MATCH($B7,'DB Services ISM'!$A$1:$S$1,0),0)</f>
        <v/>
      </c>
      <c r="D7" s="2">
        <f>VLOOKUP(D$4,'DB Services ISM'!$A:$S,MATCH($B7,'DB Services ISM'!$A$1:$S$1,0),0)</f>
        <v/>
      </c>
      <c r="E7" s="2">
        <f>VLOOKUP(E$4,'DB Services ISM'!$A:$S,MATCH($B7,'DB Services ISM'!$A$1:$S$1,0),0)</f>
        <v/>
      </c>
      <c r="F7" s="2">
        <f>VLOOKUP(F$4,'DB Services ISM'!$A:$S,MATCH($B7,'DB Services ISM'!$A$1:$S$1,0),0)</f>
        <v/>
      </c>
      <c r="G7" s="2">
        <f>VLOOKUP(G$4,'DB Services ISM'!$A:$S,MATCH($B7,'DB Services ISM'!$A$1:$S$1,0),0)</f>
        <v/>
      </c>
      <c r="H7" s="2">
        <f>VLOOKUP(H$4,'DB Services ISM'!$A:$S,MATCH($B7,'DB Services ISM'!$A$1:$S$1,0),0)</f>
        <v/>
      </c>
      <c r="I7" s="2">
        <f>VLOOKUP(I$4,'DB Services ISM'!$A:$S,MATCH($B7,'DB Services ISM'!$A$1:$S$1,0),0)</f>
        <v/>
      </c>
      <c r="J7" s="2">
        <f>VLOOKUP(J$4,'DB Services ISM'!$A:$S,MATCH($B7,'DB Services ISM'!$A$1:$S$1,0),0)</f>
        <v/>
      </c>
      <c r="K7" s="2">
        <f>VLOOKUP(K$4,'DB Services ISM'!$A:$S,MATCH($B7,'DB Services ISM'!$A$1:$S$1,0),0)</f>
        <v/>
      </c>
      <c r="L7" s="2">
        <f>VLOOKUP(L$4,'DB Services ISM'!$A:$S,MATCH($B7,'DB Services ISM'!$A$1:$S$1,0),0)</f>
        <v/>
      </c>
      <c r="M7" s="2">
        <f>VLOOKUP(M$4,'DB Services ISM'!$A:$S,MATCH($B7,'DB Services ISM'!$A$1:$S$1,0),0)</f>
        <v/>
      </c>
      <c r="N7" s="2">
        <f>VLOOKUP(N$4,'DB Services ISM'!$A:$S,MATCH($B7,'DB Services ISM'!$A$1:$S$1,0),0)</f>
        <v/>
      </c>
      <c r="O7" s="2">
        <f>VLOOKUP(O$4,'DB Services ISM'!$A:$S,MATCH($B7,'DB Services ISM'!$A$1:$S$1,0),0)</f>
        <v/>
      </c>
      <c r="P7" s="2">
        <f>VLOOKUP(P$4,'DB Services ISM'!$A:$S,MATCH($B7,'DB Services ISM'!$A$1:$S$1,0),0)</f>
        <v/>
      </c>
      <c r="Q7" s="2">
        <f>VLOOKUP(Q$4,'DB Services ISM'!$A:$S,MATCH($B7,'DB Services ISM'!$A$1:$S$1,0),0)</f>
        <v/>
      </c>
      <c r="R7" s="2">
        <f>VLOOKUP(R$4,'DB Services ISM'!$A:$S,MATCH($B7,'DB Services ISM'!$A$1:$S$1,0),0)</f>
        <v/>
      </c>
      <c r="S7" s="2">
        <f>VLOOKUP(S$4,'DB Services ISM'!$A:$S,MATCH($B7,'DB Services ISM'!$A$1:$S$1,0),0)</f>
        <v/>
      </c>
      <c r="T7" s="2">
        <f>VLOOKUP(T$4,'DB Services ISM'!$A:$S,MATCH($B7,'DB Services ISM'!$A$1:$S$1,0),0)</f>
        <v/>
      </c>
      <c r="U7" s="2">
        <f>VLOOKUP(U$4,'DB Services ISM'!$A:$S,MATCH($B7,'DB Services ISM'!$A$1:$S$1,0),0)</f>
        <v/>
      </c>
      <c r="V7" s="2">
        <f>VLOOKUP(V$4,'DB Services ISM'!$A:$S,MATCH($B7,'DB Services ISM'!$A$1:$S$1,0),0)</f>
        <v/>
      </c>
      <c r="W7" s="2">
        <f>VLOOKUP(W$4,'DB Services ISM'!$A:$S,MATCH($B7,'DB Services ISM'!$A$1:$S$1,0),0)</f>
        <v/>
      </c>
      <c r="X7" s="2">
        <f>VLOOKUP(X$4,'DB Services ISM'!$A:$S,MATCH($B7,'DB Services ISM'!$A$1:$S$1,0),0)</f>
        <v/>
      </c>
      <c r="Y7" s="2">
        <f>VLOOKUP(Y$4,'DB Services ISM'!$A:$S,MATCH($B7,'DB Services ISM'!$A$1:$S$1,0),0)</f>
        <v/>
      </c>
      <c r="Z7" s="2">
        <f>VLOOKUP(Z$4,'DB Services ISM'!$A:$S,MATCH($B7,'DB Services ISM'!$A$1:$S$1,0),0)</f>
        <v/>
      </c>
      <c r="AA7" s="2">
        <f>VLOOKUP(AA$4,'DB Services ISM'!$A:$S,MATCH($B7,'DB Services ISM'!$A$1:$S$1,0),0)</f>
        <v/>
      </c>
      <c r="AB7" s="2">
        <f>VLOOKUP(AB$4,'DB Services ISM'!$A:$S,MATCH($B7,'DB Services ISM'!$A$1:$S$1,0),0)</f>
        <v/>
      </c>
      <c r="AC7" s="33" t="n"/>
      <c r="AD7" s="22">
        <f>AA7-Z7</f>
        <v/>
      </c>
      <c r="AE7" s="34">
        <f>AVERAGE(Y7:AA7)</f>
        <v/>
      </c>
      <c r="AF7" s="34">
        <f>AVERAGE(V7:AA7)</f>
        <v/>
      </c>
    </row>
    <row r="8">
      <c r="B8" s="3" t="inlineStr">
        <is>
          <t>Arts, Entertainment &amp; Recreation</t>
        </is>
      </c>
      <c r="C8" s="2">
        <f>VLOOKUP(C$4,'DB Services ISM'!$A:$S,MATCH($B8,'DB Services ISM'!$A$1:$S$1,0),0)</f>
        <v/>
      </c>
      <c r="D8" s="2">
        <f>VLOOKUP(D$4,'DB Services ISM'!$A:$S,MATCH($B8,'DB Services ISM'!$A$1:$S$1,0),0)</f>
        <v/>
      </c>
      <c r="E8" s="2">
        <f>VLOOKUP(E$4,'DB Services ISM'!$A:$S,MATCH($B8,'DB Services ISM'!$A$1:$S$1,0),0)</f>
        <v/>
      </c>
      <c r="F8" s="2">
        <f>VLOOKUP(F$4,'DB Services ISM'!$A:$S,MATCH($B8,'DB Services ISM'!$A$1:$S$1,0),0)</f>
        <v/>
      </c>
      <c r="G8" s="2">
        <f>VLOOKUP(G$4,'DB Services ISM'!$A:$S,MATCH($B8,'DB Services ISM'!$A$1:$S$1,0),0)</f>
        <v/>
      </c>
      <c r="H8" s="2">
        <f>VLOOKUP(H$4,'DB Services ISM'!$A:$S,MATCH($B8,'DB Services ISM'!$A$1:$S$1,0),0)</f>
        <v/>
      </c>
      <c r="I8" s="2">
        <f>VLOOKUP(I$4,'DB Services ISM'!$A:$S,MATCH($B8,'DB Services ISM'!$A$1:$S$1,0),0)</f>
        <v/>
      </c>
      <c r="J8" s="2">
        <f>VLOOKUP(J$4,'DB Services ISM'!$A:$S,MATCH($B8,'DB Services ISM'!$A$1:$S$1,0),0)</f>
        <v/>
      </c>
      <c r="K8" s="2">
        <f>VLOOKUP(K$4,'DB Services ISM'!$A:$S,MATCH($B8,'DB Services ISM'!$A$1:$S$1,0),0)</f>
        <v/>
      </c>
      <c r="L8" s="2">
        <f>VLOOKUP(L$4,'DB Services ISM'!$A:$S,MATCH($B8,'DB Services ISM'!$A$1:$S$1,0),0)</f>
        <v/>
      </c>
      <c r="M8" s="2">
        <f>VLOOKUP(M$4,'DB Services ISM'!$A:$S,MATCH($B8,'DB Services ISM'!$A$1:$S$1,0),0)</f>
        <v/>
      </c>
      <c r="N8" s="2">
        <f>VLOOKUP(N$4,'DB Services ISM'!$A:$S,MATCH($B8,'DB Services ISM'!$A$1:$S$1,0),0)</f>
        <v/>
      </c>
      <c r="O8" s="2">
        <f>VLOOKUP(O$4,'DB Services ISM'!$A:$S,MATCH($B8,'DB Services ISM'!$A$1:$S$1,0),0)</f>
        <v/>
      </c>
      <c r="P8" s="2">
        <f>VLOOKUP(P$4,'DB Services ISM'!$A:$S,MATCH($B8,'DB Services ISM'!$A$1:$S$1,0),0)</f>
        <v/>
      </c>
      <c r="Q8" s="2">
        <f>VLOOKUP(Q$4,'DB Services ISM'!$A:$S,MATCH($B8,'DB Services ISM'!$A$1:$S$1,0),0)</f>
        <v/>
      </c>
      <c r="R8" s="2">
        <f>VLOOKUP(R$4,'DB Services ISM'!$A:$S,MATCH($B8,'DB Services ISM'!$A$1:$S$1,0),0)</f>
        <v/>
      </c>
      <c r="S8" s="2">
        <f>VLOOKUP(S$4,'DB Services ISM'!$A:$S,MATCH($B8,'DB Services ISM'!$A$1:$S$1,0),0)</f>
        <v/>
      </c>
      <c r="T8" s="2">
        <f>VLOOKUP(T$4,'DB Services ISM'!$A:$S,MATCH($B8,'DB Services ISM'!$A$1:$S$1,0),0)</f>
        <v/>
      </c>
      <c r="U8" s="2">
        <f>VLOOKUP(U$4,'DB Services ISM'!$A:$S,MATCH($B8,'DB Services ISM'!$A$1:$S$1,0),0)</f>
        <v/>
      </c>
      <c r="V8" s="2">
        <f>VLOOKUP(V$4,'DB Services ISM'!$A:$S,MATCH($B8,'DB Services ISM'!$A$1:$S$1,0),0)</f>
        <v/>
      </c>
      <c r="W8" s="2">
        <f>VLOOKUP(W$4,'DB Services ISM'!$A:$S,MATCH($B8,'DB Services ISM'!$A$1:$S$1,0),0)</f>
        <v/>
      </c>
      <c r="X8" s="2">
        <f>VLOOKUP(X$4,'DB Services ISM'!$A:$S,MATCH($B8,'DB Services ISM'!$A$1:$S$1,0),0)</f>
        <v/>
      </c>
      <c r="Y8" s="2">
        <f>VLOOKUP(Y$4,'DB Services ISM'!$A:$S,MATCH($B8,'DB Services ISM'!$A$1:$S$1,0),0)</f>
        <v/>
      </c>
      <c r="Z8" s="2">
        <f>VLOOKUP(Z$4,'DB Services ISM'!$A:$S,MATCH($B8,'DB Services ISM'!$A$1:$S$1,0),0)</f>
        <v/>
      </c>
      <c r="AA8" s="2">
        <f>VLOOKUP(AA$4,'DB Services ISM'!$A:$S,MATCH($B8,'DB Services ISM'!$A$1:$S$1,0),0)</f>
        <v/>
      </c>
      <c r="AB8" s="2">
        <f>VLOOKUP(AB$4,'DB Services ISM'!$A:$S,MATCH($B8,'DB Services ISM'!$A$1:$S$1,0),0)</f>
        <v/>
      </c>
      <c r="AC8" s="33" t="n"/>
      <c r="AD8" s="22">
        <f>AA8-Z8</f>
        <v/>
      </c>
      <c r="AE8" s="34">
        <f>AVERAGE(Y8:AA8)</f>
        <v/>
      </c>
      <c r="AF8" s="34">
        <f>AVERAGE(V8:AA8)</f>
        <v/>
      </c>
    </row>
    <row r="9">
      <c r="B9" s="3" t="inlineStr">
        <is>
          <t>Other Services</t>
        </is>
      </c>
      <c r="C9" s="2">
        <f>VLOOKUP(C$4,'DB Services ISM'!$A:$S,MATCH($B9,'DB Services ISM'!$A$1:$S$1,0),0)</f>
        <v/>
      </c>
      <c r="D9" s="2">
        <f>VLOOKUP(D$4,'DB Services ISM'!$A:$S,MATCH($B9,'DB Services ISM'!$A$1:$S$1,0),0)</f>
        <v/>
      </c>
      <c r="E9" s="2">
        <f>VLOOKUP(E$4,'DB Services ISM'!$A:$S,MATCH($B9,'DB Services ISM'!$A$1:$S$1,0),0)</f>
        <v/>
      </c>
      <c r="F9" s="2">
        <f>VLOOKUP(F$4,'DB Services ISM'!$A:$S,MATCH($B9,'DB Services ISM'!$A$1:$S$1,0),0)</f>
        <v/>
      </c>
      <c r="G9" s="2">
        <f>VLOOKUP(G$4,'DB Services ISM'!$A:$S,MATCH($B9,'DB Services ISM'!$A$1:$S$1,0),0)</f>
        <v/>
      </c>
      <c r="H9" s="2">
        <f>VLOOKUP(H$4,'DB Services ISM'!$A:$S,MATCH($B9,'DB Services ISM'!$A$1:$S$1,0),0)</f>
        <v/>
      </c>
      <c r="I9" s="2">
        <f>VLOOKUP(I$4,'DB Services ISM'!$A:$S,MATCH($B9,'DB Services ISM'!$A$1:$S$1,0),0)</f>
        <v/>
      </c>
      <c r="J9" s="2">
        <f>VLOOKUP(J$4,'DB Services ISM'!$A:$S,MATCH($B9,'DB Services ISM'!$A$1:$S$1,0),0)</f>
        <v/>
      </c>
      <c r="K9" s="2">
        <f>VLOOKUP(K$4,'DB Services ISM'!$A:$S,MATCH($B9,'DB Services ISM'!$A$1:$S$1,0),0)</f>
        <v/>
      </c>
      <c r="L9" s="2">
        <f>VLOOKUP(L$4,'DB Services ISM'!$A:$S,MATCH($B9,'DB Services ISM'!$A$1:$S$1,0),0)</f>
        <v/>
      </c>
      <c r="M9" s="2">
        <f>VLOOKUP(M$4,'DB Services ISM'!$A:$S,MATCH($B9,'DB Services ISM'!$A$1:$S$1,0),0)</f>
        <v/>
      </c>
      <c r="N9" s="2">
        <f>VLOOKUP(N$4,'DB Services ISM'!$A:$S,MATCH($B9,'DB Services ISM'!$A$1:$S$1,0),0)</f>
        <v/>
      </c>
      <c r="O9" s="2">
        <f>VLOOKUP(O$4,'DB Services ISM'!$A:$S,MATCH($B9,'DB Services ISM'!$A$1:$S$1,0),0)</f>
        <v/>
      </c>
      <c r="P9" s="2">
        <f>VLOOKUP(P$4,'DB Services ISM'!$A:$S,MATCH($B9,'DB Services ISM'!$A$1:$S$1,0),0)</f>
        <v/>
      </c>
      <c r="Q9" s="2">
        <f>VLOOKUP(Q$4,'DB Services ISM'!$A:$S,MATCH($B9,'DB Services ISM'!$A$1:$S$1,0),0)</f>
        <v/>
      </c>
      <c r="R9" s="2">
        <f>VLOOKUP(R$4,'DB Services ISM'!$A:$S,MATCH($B9,'DB Services ISM'!$A$1:$S$1,0),0)</f>
        <v/>
      </c>
      <c r="S9" s="2">
        <f>VLOOKUP(S$4,'DB Services ISM'!$A:$S,MATCH($B9,'DB Services ISM'!$A$1:$S$1,0),0)</f>
        <v/>
      </c>
      <c r="T9" s="2">
        <f>VLOOKUP(T$4,'DB Services ISM'!$A:$S,MATCH($B9,'DB Services ISM'!$A$1:$S$1,0),0)</f>
        <v/>
      </c>
      <c r="U9" s="2">
        <f>VLOOKUP(U$4,'DB Services ISM'!$A:$S,MATCH($B9,'DB Services ISM'!$A$1:$S$1,0),0)</f>
        <v/>
      </c>
      <c r="V9" s="2">
        <f>VLOOKUP(V$4,'DB Services ISM'!$A:$S,MATCH($B9,'DB Services ISM'!$A$1:$S$1,0),0)</f>
        <v/>
      </c>
      <c r="W9" s="2">
        <f>VLOOKUP(W$4,'DB Services ISM'!$A:$S,MATCH($B9,'DB Services ISM'!$A$1:$S$1,0),0)</f>
        <v/>
      </c>
      <c r="X9" s="2">
        <f>VLOOKUP(X$4,'DB Services ISM'!$A:$S,MATCH($B9,'DB Services ISM'!$A$1:$S$1,0),0)</f>
        <v/>
      </c>
      <c r="Y9" s="2">
        <f>VLOOKUP(Y$4,'DB Services ISM'!$A:$S,MATCH($B9,'DB Services ISM'!$A$1:$S$1,0),0)</f>
        <v/>
      </c>
      <c r="Z9" s="2">
        <f>VLOOKUP(Z$4,'DB Services ISM'!$A:$S,MATCH($B9,'DB Services ISM'!$A$1:$S$1,0),0)</f>
        <v/>
      </c>
      <c r="AA9" s="2">
        <f>VLOOKUP(AA$4,'DB Services ISM'!$A:$S,MATCH($B9,'DB Services ISM'!$A$1:$S$1,0),0)</f>
        <v/>
      </c>
      <c r="AB9" s="2">
        <f>VLOOKUP(AB$4,'DB Services ISM'!$A:$S,MATCH($B9,'DB Services ISM'!$A$1:$S$1,0),0)</f>
        <v/>
      </c>
      <c r="AC9" s="33" t="n"/>
      <c r="AD9" s="22">
        <f>AA9-Z9</f>
        <v/>
      </c>
      <c r="AE9" s="34">
        <f>AVERAGE(Y9:AA9)</f>
        <v/>
      </c>
      <c r="AF9" s="34">
        <f>AVERAGE(V9:AA9)</f>
        <v/>
      </c>
    </row>
    <row r="10">
      <c r="B10" s="3" t="inlineStr">
        <is>
          <t>Health Care &amp; Social Assistance</t>
        </is>
      </c>
      <c r="C10" s="2">
        <f>VLOOKUP(C$4,'DB Services ISM'!$A:$S,MATCH($B10,'DB Services ISM'!$A$1:$S$1,0),0)</f>
        <v/>
      </c>
      <c r="D10" s="2">
        <f>VLOOKUP(D$4,'DB Services ISM'!$A:$S,MATCH($B10,'DB Services ISM'!$A$1:$S$1,0),0)</f>
        <v/>
      </c>
      <c r="E10" s="2">
        <f>VLOOKUP(E$4,'DB Services ISM'!$A:$S,MATCH($B10,'DB Services ISM'!$A$1:$S$1,0),0)</f>
        <v/>
      </c>
      <c r="F10" s="2">
        <f>VLOOKUP(F$4,'DB Services ISM'!$A:$S,MATCH($B10,'DB Services ISM'!$A$1:$S$1,0),0)</f>
        <v/>
      </c>
      <c r="G10" s="2">
        <f>VLOOKUP(G$4,'DB Services ISM'!$A:$S,MATCH($B10,'DB Services ISM'!$A$1:$S$1,0),0)</f>
        <v/>
      </c>
      <c r="H10" s="2">
        <f>VLOOKUP(H$4,'DB Services ISM'!$A:$S,MATCH($B10,'DB Services ISM'!$A$1:$S$1,0),0)</f>
        <v/>
      </c>
      <c r="I10" s="2">
        <f>VLOOKUP(I$4,'DB Services ISM'!$A:$S,MATCH($B10,'DB Services ISM'!$A$1:$S$1,0),0)</f>
        <v/>
      </c>
      <c r="J10" s="2">
        <f>VLOOKUP(J$4,'DB Services ISM'!$A:$S,MATCH($B10,'DB Services ISM'!$A$1:$S$1,0),0)</f>
        <v/>
      </c>
      <c r="K10" s="2">
        <f>VLOOKUP(K$4,'DB Services ISM'!$A:$S,MATCH($B10,'DB Services ISM'!$A$1:$S$1,0),0)</f>
        <v/>
      </c>
      <c r="L10" s="2">
        <f>VLOOKUP(L$4,'DB Services ISM'!$A:$S,MATCH($B10,'DB Services ISM'!$A$1:$S$1,0),0)</f>
        <v/>
      </c>
      <c r="M10" s="2">
        <f>VLOOKUP(M$4,'DB Services ISM'!$A:$S,MATCH($B10,'DB Services ISM'!$A$1:$S$1,0),0)</f>
        <v/>
      </c>
      <c r="N10" s="2">
        <f>VLOOKUP(N$4,'DB Services ISM'!$A:$S,MATCH($B10,'DB Services ISM'!$A$1:$S$1,0),0)</f>
        <v/>
      </c>
      <c r="O10" s="2">
        <f>VLOOKUP(O$4,'DB Services ISM'!$A:$S,MATCH($B10,'DB Services ISM'!$A$1:$S$1,0),0)</f>
        <v/>
      </c>
      <c r="P10" s="2">
        <f>VLOOKUP(P$4,'DB Services ISM'!$A:$S,MATCH($B10,'DB Services ISM'!$A$1:$S$1,0),0)</f>
        <v/>
      </c>
      <c r="Q10" s="2">
        <f>VLOOKUP(Q$4,'DB Services ISM'!$A:$S,MATCH($B10,'DB Services ISM'!$A$1:$S$1,0),0)</f>
        <v/>
      </c>
      <c r="R10" s="2">
        <f>VLOOKUP(R$4,'DB Services ISM'!$A:$S,MATCH($B10,'DB Services ISM'!$A$1:$S$1,0),0)</f>
        <v/>
      </c>
      <c r="S10" s="2">
        <f>VLOOKUP(S$4,'DB Services ISM'!$A:$S,MATCH($B10,'DB Services ISM'!$A$1:$S$1,0),0)</f>
        <v/>
      </c>
      <c r="T10" s="2">
        <f>VLOOKUP(T$4,'DB Services ISM'!$A:$S,MATCH($B10,'DB Services ISM'!$A$1:$S$1,0),0)</f>
        <v/>
      </c>
      <c r="U10" s="2">
        <f>VLOOKUP(U$4,'DB Services ISM'!$A:$S,MATCH($B10,'DB Services ISM'!$A$1:$S$1,0),0)</f>
        <v/>
      </c>
      <c r="V10" s="2">
        <f>VLOOKUP(V$4,'DB Services ISM'!$A:$S,MATCH($B10,'DB Services ISM'!$A$1:$S$1,0),0)</f>
        <v/>
      </c>
      <c r="W10" s="2">
        <f>VLOOKUP(W$4,'DB Services ISM'!$A:$S,MATCH($B10,'DB Services ISM'!$A$1:$S$1,0),0)</f>
        <v/>
      </c>
      <c r="X10" s="2">
        <f>VLOOKUP(X$4,'DB Services ISM'!$A:$S,MATCH($B10,'DB Services ISM'!$A$1:$S$1,0),0)</f>
        <v/>
      </c>
      <c r="Y10" s="2">
        <f>VLOOKUP(Y$4,'DB Services ISM'!$A:$S,MATCH($B10,'DB Services ISM'!$A$1:$S$1,0),0)</f>
        <v/>
      </c>
      <c r="Z10" s="2">
        <f>VLOOKUP(Z$4,'DB Services ISM'!$A:$S,MATCH($B10,'DB Services ISM'!$A$1:$S$1,0),0)</f>
        <v/>
      </c>
      <c r="AA10" s="2">
        <f>VLOOKUP(AA$4,'DB Services ISM'!$A:$S,MATCH($B10,'DB Services ISM'!$A$1:$S$1,0),0)</f>
        <v/>
      </c>
      <c r="AB10" s="2">
        <f>VLOOKUP(AB$4,'DB Services ISM'!$A:$S,MATCH($B10,'DB Services ISM'!$A$1:$S$1,0),0)</f>
        <v/>
      </c>
      <c r="AC10" s="33" t="n"/>
      <c r="AD10" s="22">
        <f>AB10-AA10</f>
        <v/>
      </c>
      <c r="AE10" s="34">
        <f>AVERAGE(Z10:AB10)</f>
        <v/>
      </c>
      <c r="AF10" s="34">
        <f>AVERAGE(W10:AB10)</f>
        <v/>
      </c>
    </row>
    <row r="11">
      <c r="B11" s="3" t="inlineStr">
        <is>
          <t>Accommodation &amp; Food Services</t>
        </is>
      </c>
      <c r="C11" s="2">
        <f>VLOOKUP(C$4,'DB Services ISM'!$A:$S,MATCH($B11,'DB Services ISM'!$A$1:$S$1,0),0)</f>
        <v/>
      </c>
      <c r="D11" s="2">
        <f>VLOOKUP(D$4,'DB Services ISM'!$A:$S,MATCH($B11,'DB Services ISM'!$A$1:$S$1,0),0)</f>
        <v/>
      </c>
      <c r="E11" s="2">
        <f>VLOOKUP(E$4,'DB Services ISM'!$A:$S,MATCH($B11,'DB Services ISM'!$A$1:$S$1,0),0)</f>
        <v/>
      </c>
      <c r="F11" s="2">
        <f>VLOOKUP(F$4,'DB Services ISM'!$A:$S,MATCH($B11,'DB Services ISM'!$A$1:$S$1,0),0)</f>
        <v/>
      </c>
      <c r="G11" s="2">
        <f>VLOOKUP(G$4,'DB Services ISM'!$A:$S,MATCH($B11,'DB Services ISM'!$A$1:$S$1,0),0)</f>
        <v/>
      </c>
      <c r="H11" s="2">
        <f>VLOOKUP(H$4,'DB Services ISM'!$A:$S,MATCH($B11,'DB Services ISM'!$A$1:$S$1,0),0)</f>
        <v/>
      </c>
      <c r="I11" s="2">
        <f>VLOOKUP(I$4,'DB Services ISM'!$A:$S,MATCH($B11,'DB Services ISM'!$A$1:$S$1,0),0)</f>
        <v/>
      </c>
      <c r="J11" s="2">
        <f>VLOOKUP(J$4,'DB Services ISM'!$A:$S,MATCH($B11,'DB Services ISM'!$A$1:$S$1,0),0)</f>
        <v/>
      </c>
      <c r="K11" s="2">
        <f>VLOOKUP(K$4,'DB Services ISM'!$A:$S,MATCH($B11,'DB Services ISM'!$A$1:$S$1,0),0)</f>
        <v/>
      </c>
      <c r="L11" s="2">
        <f>VLOOKUP(L$4,'DB Services ISM'!$A:$S,MATCH($B11,'DB Services ISM'!$A$1:$S$1,0),0)</f>
        <v/>
      </c>
      <c r="M11" s="2">
        <f>VLOOKUP(M$4,'DB Services ISM'!$A:$S,MATCH($B11,'DB Services ISM'!$A$1:$S$1,0),0)</f>
        <v/>
      </c>
      <c r="N11" s="2">
        <f>VLOOKUP(N$4,'DB Services ISM'!$A:$S,MATCH($B11,'DB Services ISM'!$A$1:$S$1,0),0)</f>
        <v/>
      </c>
      <c r="O11" s="2">
        <f>VLOOKUP(O$4,'DB Services ISM'!$A:$S,MATCH($B11,'DB Services ISM'!$A$1:$S$1,0),0)</f>
        <v/>
      </c>
      <c r="P11" s="2">
        <f>VLOOKUP(P$4,'DB Services ISM'!$A:$S,MATCH($B11,'DB Services ISM'!$A$1:$S$1,0),0)</f>
        <v/>
      </c>
      <c r="Q11" s="2">
        <f>VLOOKUP(Q$4,'DB Services ISM'!$A:$S,MATCH($B11,'DB Services ISM'!$A$1:$S$1,0),0)</f>
        <v/>
      </c>
      <c r="R11" s="2">
        <f>VLOOKUP(R$4,'DB Services ISM'!$A:$S,MATCH($B11,'DB Services ISM'!$A$1:$S$1,0),0)</f>
        <v/>
      </c>
      <c r="S11" s="2">
        <f>VLOOKUP(S$4,'DB Services ISM'!$A:$S,MATCH($B11,'DB Services ISM'!$A$1:$S$1,0),0)</f>
        <v/>
      </c>
      <c r="T11" s="2">
        <f>VLOOKUP(T$4,'DB Services ISM'!$A:$S,MATCH($B11,'DB Services ISM'!$A$1:$S$1,0),0)</f>
        <v/>
      </c>
      <c r="U11" s="2">
        <f>VLOOKUP(U$4,'DB Services ISM'!$A:$S,MATCH($B11,'DB Services ISM'!$A$1:$S$1,0),0)</f>
        <v/>
      </c>
      <c r="V11" s="2">
        <f>VLOOKUP(V$4,'DB Services ISM'!$A:$S,MATCH($B11,'DB Services ISM'!$A$1:$S$1,0),0)</f>
        <v/>
      </c>
      <c r="W11" s="2">
        <f>VLOOKUP(W$4,'DB Services ISM'!$A:$S,MATCH($B11,'DB Services ISM'!$A$1:$S$1,0),0)</f>
        <v/>
      </c>
      <c r="X11" s="2">
        <f>VLOOKUP(X$4,'DB Services ISM'!$A:$S,MATCH($B11,'DB Services ISM'!$A$1:$S$1,0),0)</f>
        <v/>
      </c>
      <c r="Y11" s="2">
        <f>VLOOKUP(Y$4,'DB Services ISM'!$A:$S,MATCH($B11,'DB Services ISM'!$A$1:$S$1,0),0)</f>
        <v/>
      </c>
      <c r="Z11" s="2">
        <f>VLOOKUP(Z$4,'DB Services ISM'!$A:$S,MATCH($B11,'DB Services ISM'!$A$1:$S$1,0),0)</f>
        <v/>
      </c>
      <c r="AA11" s="2">
        <f>VLOOKUP(AA$4,'DB Services ISM'!$A:$S,MATCH($B11,'DB Services ISM'!$A$1:$S$1,0),0)</f>
        <v/>
      </c>
      <c r="AB11" s="2">
        <f>VLOOKUP(AB$4,'DB Services ISM'!$A:$S,MATCH($B11,'DB Services ISM'!$A$1:$S$1,0),0)</f>
        <v/>
      </c>
      <c r="AC11" s="33" t="n"/>
      <c r="AD11" s="22">
        <f>AB11-AA11</f>
        <v/>
      </c>
      <c r="AE11" s="34">
        <f>AVERAGE(Z11:AB11)</f>
        <v/>
      </c>
      <c r="AF11" s="34">
        <f>AVERAGE(W11:AB11)</f>
        <v/>
      </c>
    </row>
    <row r="12">
      <c r="B12" s="3" t="inlineStr">
        <is>
          <t>Finance &amp; Insurance</t>
        </is>
      </c>
      <c r="C12" s="2">
        <f>VLOOKUP(C$4,'DB Services ISM'!$A:$S,MATCH($B12,'DB Services ISM'!$A$1:$S$1,0),0)</f>
        <v/>
      </c>
      <c r="D12" s="2">
        <f>VLOOKUP(D$4,'DB Services ISM'!$A:$S,MATCH($B12,'DB Services ISM'!$A$1:$S$1,0),0)</f>
        <v/>
      </c>
      <c r="E12" s="2">
        <f>VLOOKUP(E$4,'DB Services ISM'!$A:$S,MATCH($B12,'DB Services ISM'!$A$1:$S$1,0),0)</f>
        <v/>
      </c>
      <c r="F12" s="2">
        <f>VLOOKUP(F$4,'DB Services ISM'!$A:$S,MATCH($B12,'DB Services ISM'!$A$1:$S$1,0),0)</f>
        <v/>
      </c>
      <c r="G12" s="2">
        <f>VLOOKUP(G$4,'DB Services ISM'!$A:$S,MATCH($B12,'DB Services ISM'!$A$1:$S$1,0),0)</f>
        <v/>
      </c>
      <c r="H12" s="2">
        <f>VLOOKUP(H$4,'DB Services ISM'!$A:$S,MATCH($B12,'DB Services ISM'!$A$1:$S$1,0),0)</f>
        <v/>
      </c>
      <c r="I12" s="2">
        <f>VLOOKUP(I$4,'DB Services ISM'!$A:$S,MATCH($B12,'DB Services ISM'!$A$1:$S$1,0),0)</f>
        <v/>
      </c>
      <c r="J12" s="2">
        <f>VLOOKUP(J$4,'DB Services ISM'!$A:$S,MATCH($B12,'DB Services ISM'!$A$1:$S$1,0),0)</f>
        <v/>
      </c>
      <c r="K12" s="2">
        <f>VLOOKUP(K$4,'DB Services ISM'!$A:$S,MATCH($B12,'DB Services ISM'!$A$1:$S$1,0),0)</f>
        <v/>
      </c>
      <c r="L12" s="2">
        <f>VLOOKUP(L$4,'DB Services ISM'!$A:$S,MATCH($B12,'DB Services ISM'!$A$1:$S$1,0),0)</f>
        <v/>
      </c>
      <c r="M12" s="2">
        <f>VLOOKUP(M$4,'DB Services ISM'!$A:$S,MATCH($B12,'DB Services ISM'!$A$1:$S$1,0),0)</f>
        <v/>
      </c>
      <c r="N12" s="2">
        <f>VLOOKUP(N$4,'DB Services ISM'!$A:$S,MATCH($B12,'DB Services ISM'!$A$1:$S$1,0),0)</f>
        <v/>
      </c>
      <c r="O12" s="2">
        <f>VLOOKUP(O$4,'DB Services ISM'!$A:$S,MATCH($B12,'DB Services ISM'!$A$1:$S$1,0),0)</f>
        <v/>
      </c>
      <c r="P12" s="2">
        <f>VLOOKUP(P$4,'DB Services ISM'!$A:$S,MATCH($B12,'DB Services ISM'!$A$1:$S$1,0),0)</f>
        <v/>
      </c>
      <c r="Q12" s="2">
        <f>VLOOKUP(Q$4,'DB Services ISM'!$A:$S,MATCH($B12,'DB Services ISM'!$A$1:$S$1,0),0)</f>
        <v/>
      </c>
      <c r="R12" s="2">
        <f>VLOOKUP(R$4,'DB Services ISM'!$A:$S,MATCH($B12,'DB Services ISM'!$A$1:$S$1,0),0)</f>
        <v/>
      </c>
      <c r="S12" s="2">
        <f>VLOOKUP(S$4,'DB Services ISM'!$A:$S,MATCH($B12,'DB Services ISM'!$A$1:$S$1,0),0)</f>
        <v/>
      </c>
      <c r="T12" s="2">
        <f>VLOOKUP(T$4,'DB Services ISM'!$A:$S,MATCH($B12,'DB Services ISM'!$A$1:$S$1,0),0)</f>
        <v/>
      </c>
      <c r="U12" s="2">
        <f>VLOOKUP(U$4,'DB Services ISM'!$A:$S,MATCH($B12,'DB Services ISM'!$A$1:$S$1,0),0)</f>
        <v/>
      </c>
      <c r="V12" s="2">
        <f>VLOOKUP(V$4,'DB Services ISM'!$A:$S,MATCH($B12,'DB Services ISM'!$A$1:$S$1,0),0)</f>
        <v/>
      </c>
      <c r="W12" s="2">
        <f>VLOOKUP(W$4,'DB Services ISM'!$A:$S,MATCH($B12,'DB Services ISM'!$A$1:$S$1,0),0)</f>
        <v/>
      </c>
      <c r="X12" s="2">
        <f>VLOOKUP(X$4,'DB Services ISM'!$A:$S,MATCH($B12,'DB Services ISM'!$A$1:$S$1,0),0)</f>
        <v/>
      </c>
      <c r="Y12" s="2">
        <f>VLOOKUP(Y$4,'DB Services ISM'!$A:$S,MATCH($B12,'DB Services ISM'!$A$1:$S$1,0),0)</f>
        <v/>
      </c>
      <c r="Z12" s="2">
        <f>VLOOKUP(Z$4,'DB Services ISM'!$A:$S,MATCH($B12,'DB Services ISM'!$A$1:$S$1,0),0)</f>
        <v/>
      </c>
      <c r="AA12" s="2">
        <f>VLOOKUP(AA$4,'DB Services ISM'!$A:$S,MATCH($B12,'DB Services ISM'!$A$1:$S$1,0),0)</f>
        <v/>
      </c>
      <c r="AB12" s="2">
        <f>VLOOKUP(AB$4,'DB Services ISM'!$A:$S,MATCH($B12,'DB Services ISM'!$A$1:$S$1,0),0)</f>
        <v/>
      </c>
      <c r="AC12" s="33" t="n"/>
      <c r="AD12" s="22">
        <f>AB12-AA12</f>
        <v/>
      </c>
      <c r="AE12" s="34">
        <f>AVERAGE(Z12:AB12)</f>
        <v/>
      </c>
      <c r="AF12" s="34">
        <f>AVERAGE(W12:AB12)</f>
        <v/>
      </c>
    </row>
    <row r="13">
      <c r="B13" s="3" t="inlineStr">
        <is>
          <t>Real Estate, Rental &amp; Leasing</t>
        </is>
      </c>
      <c r="C13" s="2">
        <f>VLOOKUP(C$4,'DB Services ISM'!$A:$S,MATCH($B13,'DB Services ISM'!$A$1:$S$1,0),0)</f>
        <v/>
      </c>
      <c r="D13" s="2">
        <f>VLOOKUP(D$4,'DB Services ISM'!$A:$S,MATCH($B13,'DB Services ISM'!$A$1:$S$1,0),0)</f>
        <v/>
      </c>
      <c r="E13" s="2">
        <f>VLOOKUP(E$4,'DB Services ISM'!$A:$S,MATCH($B13,'DB Services ISM'!$A$1:$S$1,0),0)</f>
        <v/>
      </c>
      <c r="F13" s="2">
        <f>VLOOKUP(F$4,'DB Services ISM'!$A:$S,MATCH($B13,'DB Services ISM'!$A$1:$S$1,0),0)</f>
        <v/>
      </c>
      <c r="G13" s="2">
        <f>VLOOKUP(G$4,'DB Services ISM'!$A:$S,MATCH($B13,'DB Services ISM'!$A$1:$S$1,0),0)</f>
        <v/>
      </c>
      <c r="H13" s="2">
        <f>VLOOKUP(H$4,'DB Services ISM'!$A:$S,MATCH($B13,'DB Services ISM'!$A$1:$S$1,0),0)</f>
        <v/>
      </c>
      <c r="I13" s="2">
        <f>VLOOKUP(I$4,'DB Services ISM'!$A:$S,MATCH($B13,'DB Services ISM'!$A$1:$S$1,0),0)</f>
        <v/>
      </c>
      <c r="J13" s="2">
        <f>VLOOKUP(J$4,'DB Services ISM'!$A:$S,MATCH($B13,'DB Services ISM'!$A$1:$S$1,0),0)</f>
        <v/>
      </c>
      <c r="K13" s="2">
        <f>VLOOKUP(K$4,'DB Services ISM'!$A:$S,MATCH($B13,'DB Services ISM'!$A$1:$S$1,0),0)</f>
        <v/>
      </c>
      <c r="L13" s="2">
        <f>VLOOKUP(L$4,'DB Services ISM'!$A:$S,MATCH($B13,'DB Services ISM'!$A$1:$S$1,0),0)</f>
        <v/>
      </c>
      <c r="M13" s="2">
        <f>VLOOKUP(M$4,'DB Services ISM'!$A:$S,MATCH($B13,'DB Services ISM'!$A$1:$S$1,0),0)</f>
        <v/>
      </c>
      <c r="N13" s="2">
        <f>VLOOKUP(N$4,'DB Services ISM'!$A:$S,MATCH($B13,'DB Services ISM'!$A$1:$S$1,0),0)</f>
        <v/>
      </c>
      <c r="O13" s="2">
        <f>VLOOKUP(O$4,'DB Services ISM'!$A:$S,MATCH($B13,'DB Services ISM'!$A$1:$S$1,0),0)</f>
        <v/>
      </c>
      <c r="P13" s="2">
        <f>VLOOKUP(P$4,'DB Services ISM'!$A:$S,MATCH($B13,'DB Services ISM'!$A$1:$S$1,0),0)</f>
        <v/>
      </c>
      <c r="Q13" s="2">
        <f>VLOOKUP(Q$4,'DB Services ISM'!$A:$S,MATCH($B13,'DB Services ISM'!$A$1:$S$1,0),0)</f>
        <v/>
      </c>
      <c r="R13" s="2">
        <f>VLOOKUP(R$4,'DB Services ISM'!$A:$S,MATCH($B13,'DB Services ISM'!$A$1:$S$1,0),0)</f>
        <v/>
      </c>
      <c r="S13" s="2">
        <f>VLOOKUP(S$4,'DB Services ISM'!$A:$S,MATCH($B13,'DB Services ISM'!$A$1:$S$1,0),0)</f>
        <v/>
      </c>
      <c r="T13" s="2">
        <f>VLOOKUP(T$4,'DB Services ISM'!$A:$S,MATCH($B13,'DB Services ISM'!$A$1:$S$1,0),0)</f>
        <v/>
      </c>
      <c r="U13" s="2">
        <f>VLOOKUP(U$4,'DB Services ISM'!$A:$S,MATCH($B13,'DB Services ISM'!$A$1:$S$1,0),0)</f>
        <v/>
      </c>
      <c r="V13" s="2">
        <f>VLOOKUP(V$4,'DB Services ISM'!$A:$S,MATCH($B13,'DB Services ISM'!$A$1:$S$1,0),0)</f>
        <v/>
      </c>
      <c r="W13" s="2">
        <f>VLOOKUP(W$4,'DB Services ISM'!$A:$S,MATCH($B13,'DB Services ISM'!$A$1:$S$1,0),0)</f>
        <v/>
      </c>
      <c r="X13" s="2">
        <f>VLOOKUP(X$4,'DB Services ISM'!$A:$S,MATCH($B13,'DB Services ISM'!$A$1:$S$1,0),0)</f>
        <v/>
      </c>
      <c r="Y13" s="2">
        <f>VLOOKUP(Y$4,'DB Services ISM'!$A:$S,MATCH($B13,'DB Services ISM'!$A$1:$S$1,0),0)</f>
        <v/>
      </c>
      <c r="Z13" s="2">
        <f>VLOOKUP(Z$4,'DB Services ISM'!$A:$S,MATCH($B13,'DB Services ISM'!$A$1:$S$1,0),0)</f>
        <v/>
      </c>
      <c r="AA13" s="2">
        <f>VLOOKUP(AA$4,'DB Services ISM'!$A:$S,MATCH($B13,'DB Services ISM'!$A$1:$S$1,0),0)</f>
        <v/>
      </c>
      <c r="AB13" s="2">
        <f>VLOOKUP(AB$4,'DB Services ISM'!$A:$S,MATCH($B13,'DB Services ISM'!$A$1:$S$1,0),0)</f>
        <v/>
      </c>
      <c r="AC13" s="33" t="n"/>
      <c r="AD13" s="22">
        <f>AB13-AA13</f>
        <v/>
      </c>
      <c r="AE13" s="34">
        <f>AVERAGE(Z13:AB13)</f>
        <v/>
      </c>
      <c r="AF13" s="34">
        <f>AVERAGE(W13:AB13)</f>
        <v/>
      </c>
    </row>
    <row r="14">
      <c r="B14" s="3" t="inlineStr">
        <is>
          <t>Transportation &amp; Warehousing</t>
        </is>
      </c>
      <c r="C14" s="2">
        <f>VLOOKUP(C$4,'DB Services ISM'!$A:$S,MATCH($B14,'DB Services ISM'!$A$1:$S$1,0),0)</f>
        <v/>
      </c>
      <c r="D14" s="2">
        <f>VLOOKUP(D$4,'DB Services ISM'!$A:$S,MATCH($B14,'DB Services ISM'!$A$1:$S$1,0),0)</f>
        <v/>
      </c>
      <c r="E14" s="2">
        <f>VLOOKUP(E$4,'DB Services ISM'!$A:$S,MATCH($B14,'DB Services ISM'!$A$1:$S$1,0),0)</f>
        <v/>
      </c>
      <c r="F14" s="2">
        <f>VLOOKUP(F$4,'DB Services ISM'!$A:$S,MATCH($B14,'DB Services ISM'!$A$1:$S$1,0),0)</f>
        <v/>
      </c>
      <c r="G14" s="2">
        <f>VLOOKUP(G$4,'DB Services ISM'!$A:$S,MATCH($B14,'DB Services ISM'!$A$1:$S$1,0),0)</f>
        <v/>
      </c>
      <c r="H14" s="2">
        <f>VLOOKUP(H$4,'DB Services ISM'!$A:$S,MATCH($B14,'DB Services ISM'!$A$1:$S$1,0),0)</f>
        <v/>
      </c>
      <c r="I14" s="2">
        <f>VLOOKUP(I$4,'DB Services ISM'!$A:$S,MATCH($B14,'DB Services ISM'!$A$1:$S$1,0),0)</f>
        <v/>
      </c>
      <c r="J14" s="2">
        <f>VLOOKUP(J$4,'DB Services ISM'!$A:$S,MATCH($B14,'DB Services ISM'!$A$1:$S$1,0),0)</f>
        <v/>
      </c>
      <c r="K14" s="2">
        <f>VLOOKUP(K$4,'DB Services ISM'!$A:$S,MATCH($B14,'DB Services ISM'!$A$1:$S$1,0),0)</f>
        <v/>
      </c>
      <c r="L14" s="2">
        <f>VLOOKUP(L$4,'DB Services ISM'!$A:$S,MATCH($B14,'DB Services ISM'!$A$1:$S$1,0),0)</f>
        <v/>
      </c>
      <c r="M14" s="2">
        <f>VLOOKUP(M$4,'DB Services ISM'!$A:$S,MATCH($B14,'DB Services ISM'!$A$1:$S$1,0),0)</f>
        <v/>
      </c>
      <c r="N14" s="2">
        <f>VLOOKUP(N$4,'DB Services ISM'!$A:$S,MATCH($B14,'DB Services ISM'!$A$1:$S$1,0),0)</f>
        <v/>
      </c>
      <c r="O14" s="2">
        <f>VLOOKUP(O$4,'DB Services ISM'!$A:$S,MATCH($B14,'DB Services ISM'!$A$1:$S$1,0),0)</f>
        <v/>
      </c>
      <c r="P14" s="2">
        <f>VLOOKUP(P$4,'DB Services ISM'!$A:$S,MATCH($B14,'DB Services ISM'!$A$1:$S$1,0),0)</f>
        <v/>
      </c>
      <c r="Q14" s="2">
        <f>VLOOKUP(Q$4,'DB Services ISM'!$A:$S,MATCH($B14,'DB Services ISM'!$A$1:$S$1,0),0)</f>
        <v/>
      </c>
      <c r="R14" s="2">
        <f>VLOOKUP(R$4,'DB Services ISM'!$A:$S,MATCH($B14,'DB Services ISM'!$A$1:$S$1,0),0)</f>
        <v/>
      </c>
      <c r="S14" s="2">
        <f>VLOOKUP(S$4,'DB Services ISM'!$A:$S,MATCH($B14,'DB Services ISM'!$A$1:$S$1,0),0)</f>
        <v/>
      </c>
      <c r="T14" s="2">
        <f>VLOOKUP(T$4,'DB Services ISM'!$A:$S,MATCH($B14,'DB Services ISM'!$A$1:$S$1,0),0)</f>
        <v/>
      </c>
      <c r="U14" s="2">
        <f>VLOOKUP(U$4,'DB Services ISM'!$A:$S,MATCH($B14,'DB Services ISM'!$A$1:$S$1,0),0)</f>
        <v/>
      </c>
      <c r="V14" s="2">
        <f>VLOOKUP(V$4,'DB Services ISM'!$A:$S,MATCH($B14,'DB Services ISM'!$A$1:$S$1,0),0)</f>
        <v/>
      </c>
      <c r="W14" s="2">
        <f>VLOOKUP(W$4,'DB Services ISM'!$A:$S,MATCH($B14,'DB Services ISM'!$A$1:$S$1,0),0)</f>
        <v/>
      </c>
      <c r="X14" s="2">
        <f>VLOOKUP(X$4,'DB Services ISM'!$A:$S,MATCH($B14,'DB Services ISM'!$A$1:$S$1,0),0)</f>
        <v/>
      </c>
      <c r="Y14" s="2">
        <f>VLOOKUP(Y$4,'DB Services ISM'!$A:$S,MATCH($B14,'DB Services ISM'!$A$1:$S$1,0),0)</f>
        <v/>
      </c>
      <c r="Z14" s="2">
        <f>VLOOKUP(Z$4,'DB Services ISM'!$A:$S,MATCH($B14,'DB Services ISM'!$A$1:$S$1,0),0)</f>
        <v/>
      </c>
      <c r="AA14" s="2">
        <f>VLOOKUP(AA$4,'DB Services ISM'!$A:$S,MATCH($B14,'DB Services ISM'!$A$1:$S$1,0),0)</f>
        <v/>
      </c>
      <c r="AB14" s="2">
        <f>VLOOKUP(AB$4,'DB Services ISM'!$A:$S,MATCH($B14,'DB Services ISM'!$A$1:$S$1,0),0)</f>
        <v/>
      </c>
      <c r="AC14" s="33" t="n"/>
      <c r="AD14" s="22">
        <f>AB14-AA14</f>
        <v/>
      </c>
      <c r="AE14" s="34">
        <f>AVERAGE(Z14:AB14)</f>
        <v/>
      </c>
      <c r="AF14" s="34">
        <f>AVERAGE(W14:AB14)</f>
        <v/>
      </c>
    </row>
    <row r="15">
      <c r="B15" s="3" t="inlineStr">
        <is>
          <t>Mining</t>
        </is>
      </c>
      <c r="C15" s="2">
        <f>VLOOKUP(C$4,'DB Services ISM'!$A:$S,MATCH($B15,'DB Services ISM'!$A$1:$S$1,0),0)</f>
        <v/>
      </c>
      <c r="D15" s="2">
        <f>VLOOKUP(D$4,'DB Services ISM'!$A:$S,MATCH($B15,'DB Services ISM'!$A$1:$S$1,0),0)</f>
        <v/>
      </c>
      <c r="E15" s="2">
        <f>VLOOKUP(E$4,'DB Services ISM'!$A:$S,MATCH($B15,'DB Services ISM'!$A$1:$S$1,0),0)</f>
        <v/>
      </c>
      <c r="F15" s="2">
        <f>VLOOKUP(F$4,'DB Services ISM'!$A:$S,MATCH($B15,'DB Services ISM'!$A$1:$S$1,0),0)</f>
        <v/>
      </c>
      <c r="G15" s="2">
        <f>VLOOKUP(G$4,'DB Services ISM'!$A:$S,MATCH($B15,'DB Services ISM'!$A$1:$S$1,0),0)</f>
        <v/>
      </c>
      <c r="H15" s="2">
        <f>VLOOKUP(H$4,'DB Services ISM'!$A:$S,MATCH($B15,'DB Services ISM'!$A$1:$S$1,0),0)</f>
        <v/>
      </c>
      <c r="I15" s="2">
        <f>VLOOKUP(I$4,'DB Services ISM'!$A:$S,MATCH($B15,'DB Services ISM'!$A$1:$S$1,0),0)</f>
        <v/>
      </c>
      <c r="J15" s="2">
        <f>VLOOKUP(J$4,'DB Services ISM'!$A:$S,MATCH($B15,'DB Services ISM'!$A$1:$S$1,0),0)</f>
        <v/>
      </c>
      <c r="K15" s="2">
        <f>VLOOKUP(K$4,'DB Services ISM'!$A:$S,MATCH($B15,'DB Services ISM'!$A$1:$S$1,0),0)</f>
        <v/>
      </c>
      <c r="L15" s="2">
        <f>VLOOKUP(L$4,'DB Services ISM'!$A:$S,MATCH($B15,'DB Services ISM'!$A$1:$S$1,0),0)</f>
        <v/>
      </c>
      <c r="M15" s="2">
        <f>VLOOKUP(M$4,'DB Services ISM'!$A:$S,MATCH($B15,'DB Services ISM'!$A$1:$S$1,0),0)</f>
        <v/>
      </c>
      <c r="N15" s="2">
        <f>VLOOKUP(N$4,'DB Services ISM'!$A:$S,MATCH($B15,'DB Services ISM'!$A$1:$S$1,0),0)</f>
        <v/>
      </c>
      <c r="O15" s="2">
        <f>VLOOKUP(O$4,'DB Services ISM'!$A:$S,MATCH($B15,'DB Services ISM'!$A$1:$S$1,0),0)</f>
        <v/>
      </c>
      <c r="P15" s="2">
        <f>VLOOKUP(P$4,'DB Services ISM'!$A:$S,MATCH($B15,'DB Services ISM'!$A$1:$S$1,0),0)</f>
        <v/>
      </c>
      <c r="Q15" s="2">
        <f>VLOOKUP(Q$4,'DB Services ISM'!$A:$S,MATCH($B15,'DB Services ISM'!$A$1:$S$1,0),0)</f>
        <v/>
      </c>
      <c r="R15" s="2">
        <f>VLOOKUP(R$4,'DB Services ISM'!$A:$S,MATCH($B15,'DB Services ISM'!$A$1:$S$1,0),0)</f>
        <v/>
      </c>
      <c r="S15" s="2">
        <f>VLOOKUP(S$4,'DB Services ISM'!$A:$S,MATCH($B15,'DB Services ISM'!$A$1:$S$1,0),0)</f>
        <v/>
      </c>
      <c r="T15" s="2">
        <f>VLOOKUP(T$4,'DB Services ISM'!$A:$S,MATCH($B15,'DB Services ISM'!$A$1:$S$1,0),0)</f>
        <v/>
      </c>
      <c r="U15" s="2">
        <f>VLOOKUP(U$4,'DB Services ISM'!$A:$S,MATCH($B15,'DB Services ISM'!$A$1:$S$1,0),0)</f>
        <v/>
      </c>
      <c r="V15" s="2">
        <f>VLOOKUP(V$4,'DB Services ISM'!$A:$S,MATCH($B15,'DB Services ISM'!$A$1:$S$1,0),0)</f>
        <v/>
      </c>
      <c r="W15" s="2">
        <f>VLOOKUP(W$4,'DB Services ISM'!$A:$S,MATCH($B15,'DB Services ISM'!$A$1:$S$1,0),0)</f>
        <v/>
      </c>
      <c r="X15" s="2">
        <f>VLOOKUP(X$4,'DB Services ISM'!$A:$S,MATCH($B15,'DB Services ISM'!$A$1:$S$1,0),0)</f>
        <v/>
      </c>
      <c r="Y15" s="2">
        <f>VLOOKUP(Y$4,'DB Services ISM'!$A:$S,MATCH($B15,'DB Services ISM'!$A$1:$S$1,0),0)</f>
        <v/>
      </c>
      <c r="Z15" s="2">
        <f>VLOOKUP(Z$4,'DB Services ISM'!$A:$S,MATCH($B15,'DB Services ISM'!$A$1:$S$1,0),0)</f>
        <v/>
      </c>
      <c r="AA15" s="2">
        <f>VLOOKUP(AA$4,'DB Services ISM'!$A:$S,MATCH($B15,'DB Services ISM'!$A$1:$S$1,0),0)</f>
        <v/>
      </c>
      <c r="AB15" s="2">
        <f>VLOOKUP(AB$4,'DB Services ISM'!$A:$S,MATCH($B15,'DB Services ISM'!$A$1:$S$1,0),0)</f>
        <v/>
      </c>
      <c r="AC15" s="33" t="n"/>
      <c r="AD15" s="22">
        <f>AB15-AA15</f>
        <v/>
      </c>
      <c r="AE15" s="34">
        <f>AVERAGE(Z15:AB15)</f>
        <v/>
      </c>
      <c r="AF15" s="34">
        <f>AVERAGE(W15:AB15)</f>
        <v/>
      </c>
    </row>
    <row r="16">
      <c r="B16" s="3" t="inlineStr">
        <is>
          <t>Construction</t>
        </is>
      </c>
      <c r="C16" s="2">
        <f>VLOOKUP(C$4,'DB Services ISM'!$A:$S,MATCH($B16,'DB Services ISM'!$A$1:$S$1,0),0)</f>
        <v/>
      </c>
      <c r="D16" s="2">
        <f>VLOOKUP(D$4,'DB Services ISM'!$A:$S,MATCH($B16,'DB Services ISM'!$A$1:$S$1,0),0)</f>
        <v/>
      </c>
      <c r="E16" s="2">
        <f>VLOOKUP(E$4,'DB Services ISM'!$A:$S,MATCH($B16,'DB Services ISM'!$A$1:$S$1,0),0)</f>
        <v/>
      </c>
      <c r="F16" s="2">
        <f>VLOOKUP(F$4,'DB Services ISM'!$A:$S,MATCH($B16,'DB Services ISM'!$A$1:$S$1,0),0)</f>
        <v/>
      </c>
      <c r="G16" s="2">
        <f>VLOOKUP(G$4,'DB Services ISM'!$A:$S,MATCH($B16,'DB Services ISM'!$A$1:$S$1,0),0)</f>
        <v/>
      </c>
      <c r="H16" s="2">
        <f>VLOOKUP(H$4,'DB Services ISM'!$A:$S,MATCH($B16,'DB Services ISM'!$A$1:$S$1,0),0)</f>
        <v/>
      </c>
      <c r="I16" s="2">
        <f>VLOOKUP(I$4,'DB Services ISM'!$A:$S,MATCH($B16,'DB Services ISM'!$A$1:$S$1,0),0)</f>
        <v/>
      </c>
      <c r="J16" s="2">
        <f>VLOOKUP(J$4,'DB Services ISM'!$A:$S,MATCH($B16,'DB Services ISM'!$A$1:$S$1,0),0)</f>
        <v/>
      </c>
      <c r="K16" s="2">
        <f>VLOOKUP(K$4,'DB Services ISM'!$A:$S,MATCH($B16,'DB Services ISM'!$A$1:$S$1,0),0)</f>
        <v/>
      </c>
      <c r="L16" s="2">
        <f>VLOOKUP(L$4,'DB Services ISM'!$A:$S,MATCH($B16,'DB Services ISM'!$A$1:$S$1,0),0)</f>
        <v/>
      </c>
      <c r="M16" s="2">
        <f>VLOOKUP(M$4,'DB Services ISM'!$A:$S,MATCH($B16,'DB Services ISM'!$A$1:$S$1,0),0)</f>
        <v/>
      </c>
      <c r="N16" s="2">
        <f>VLOOKUP(N$4,'DB Services ISM'!$A:$S,MATCH($B16,'DB Services ISM'!$A$1:$S$1,0),0)</f>
        <v/>
      </c>
      <c r="O16" s="2">
        <f>VLOOKUP(O$4,'DB Services ISM'!$A:$S,MATCH($B16,'DB Services ISM'!$A$1:$S$1,0),0)</f>
        <v/>
      </c>
      <c r="P16" s="2">
        <f>VLOOKUP(P$4,'DB Services ISM'!$A:$S,MATCH($B16,'DB Services ISM'!$A$1:$S$1,0),0)</f>
        <v/>
      </c>
      <c r="Q16" s="2">
        <f>VLOOKUP(Q$4,'DB Services ISM'!$A:$S,MATCH($B16,'DB Services ISM'!$A$1:$S$1,0),0)</f>
        <v/>
      </c>
      <c r="R16" s="2">
        <f>VLOOKUP(R$4,'DB Services ISM'!$A:$S,MATCH($B16,'DB Services ISM'!$A$1:$S$1,0),0)</f>
        <v/>
      </c>
      <c r="S16" s="2">
        <f>VLOOKUP(S$4,'DB Services ISM'!$A:$S,MATCH($B16,'DB Services ISM'!$A$1:$S$1,0),0)</f>
        <v/>
      </c>
      <c r="T16" s="2">
        <f>VLOOKUP(T$4,'DB Services ISM'!$A:$S,MATCH($B16,'DB Services ISM'!$A$1:$S$1,0),0)</f>
        <v/>
      </c>
      <c r="U16" s="2">
        <f>VLOOKUP(U$4,'DB Services ISM'!$A:$S,MATCH($B16,'DB Services ISM'!$A$1:$S$1,0),0)</f>
        <v/>
      </c>
      <c r="V16" s="2">
        <f>VLOOKUP(V$4,'DB Services ISM'!$A:$S,MATCH($B16,'DB Services ISM'!$A$1:$S$1,0),0)</f>
        <v/>
      </c>
      <c r="W16" s="2">
        <f>VLOOKUP(W$4,'DB Services ISM'!$A:$S,MATCH($B16,'DB Services ISM'!$A$1:$S$1,0),0)</f>
        <v/>
      </c>
      <c r="X16" s="2">
        <f>VLOOKUP(X$4,'DB Services ISM'!$A:$S,MATCH($B16,'DB Services ISM'!$A$1:$S$1,0),0)</f>
        <v/>
      </c>
      <c r="Y16" s="2">
        <f>VLOOKUP(Y$4,'DB Services ISM'!$A:$S,MATCH($B16,'DB Services ISM'!$A$1:$S$1,0),0)</f>
        <v/>
      </c>
      <c r="Z16" s="2">
        <f>VLOOKUP(Z$4,'DB Services ISM'!$A:$S,MATCH($B16,'DB Services ISM'!$A$1:$S$1,0),0)</f>
        <v/>
      </c>
      <c r="AA16" s="2">
        <f>VLOOKUP(AA$4,'DB Services ISM'!$A:$S,MATCH($B16,'DB Services ISM'!$A$1:$S$1,0),0)</f>
        <v/>
      </c>
      <c r="AB16" s="2">
        <f>VLOOKUP(AB$4,'DB Services ISM'!$A:$S,MATCH($B16,'DB Services ISM'!$A$1:$S$1,0),0)</f>
        <v/>
      </c>
      <c r="AC16" s="33" t="n"/>
      <c r="AD16" s="22">
        <f>AB16-AA16</f>
        <v/>
      </c>
      <c r="AE16" s="34">
        <f>AVERAGE(Z16:AB16)</f>
        <v/>
      </c>
      <c r="AF16" s="34">
        <f>AVERAGE(W16:AB16)</f>
        <v/>
      </c>
    </row>
    <row r="17">
      <c r="B17" s="3" t="inlineStr">
        <is>
          <t>Wholesale Trade</t>
        </is>
      </c>
      <c r="C17" s="2">
        <f>VLOOKUP(C$4,'DB Services ISM'!$A:$S,MATCH($B17,'DB Services ISM'!$A$1:$S$1,0),0)</f>
        <v/>
      </c>
      <c r="D17" s="2">
        <f>VLOOKUP(D$4,'DB Services ISM'!$A:$S,MATCH($B17,'DB Services ISM'!$A$1:$S$1,0),0)</f>
        <v/>
      </c>
      <c r="E17" s="2">
        <f>VLOOKUP(E$4,'DB Services ISM'!$A:$S,MATCH($B17,'DB Services ISM'!$A$1:$S$1,0),0)</f>
        <v/>
      </c>
      <c r="F17" s="2">
        <f>VLOOKUP(F$4,'DB Services ISM'!$A:$S,MATCH($B17,'DB Services ISM'!$A$1:$S$1,0),0)</f>
        <v/>
      </c>
      <c r="G17" s="2">
        <f>VLOOKUP(G$4,'DB Services ISM'!$A:$S,MATCH($B17,'DB Services ISM'!$A$1:$S$1,0),0)</f>
        <v/>
      </c>
      <c r="H17" s="2">
        <f>VLOOKUP(H$4,'DB Services ISM'!$A:$S,MATCH($B17,'DB Services ISM'!$A$1:$S$1,0),0)</f>
        <v/>
      </c>
      <c r="I17" s="2">
        <f>VLOOKUP(I$4,'DB Services ISM'!$A:$S,MATCH($B17,'DB Services ISM'!$A$1:$S$1,0),0)</f>
        <v/>
      </c>
      <c r="J17" s="2">
        <f>VLOOKUP(J$4,'DB Services ISM'!$A:$S,MATCH($B17,'DB Services ISM'!$A$1:$S$1,0),0)</f>
        <v/>
      </c>
      <c r="K17" s="2">
        <f>VLOOKUP(K$4,'DB Services ISM'!$A:$S,MATCH($B17,'DB Services ISM'!$A$1:$S$1,0),0)</f>
        <v/>
      </c>
      <c r="L17" s="2">
        <f>VLOOKUP(L$4,'DB Services ISM'!$A:$S,MATCH($B17,'DB Services ISM'!$A$1:$S$1,0),0)</f>
        <v/>
      </c>
      <c r="M17" s="2">
        <f>VLOOKUP(M$4,'DB Services ISM'!$A:$S,MATCH($B17,'DB Services ISM'!$A$1:$S$1,0),0)</f>
        <v/>
      </c>
      <c r="N17" s="2">
        <f>VLOOKUP(N$4,'DB Services ISM'!$A:$S,MATCH($B17,'DB Services ISM'!$A$1:$S$1,0),0)</f>
        <v/>
      </c>
      <c r="O17" s="2">
        <f>VLOOKUP(O$4,'DB Services ISM'!$A:$S,MATCH($B17,'DB Services ISM'!$A$1:$S$1,0),0)</f>
        <v/>
      </c>
      <c r="P17" s="2">
        <f>VLOOKUP(P$4,'DB Services ISM'!$A:$S,MATCH($B17,'DB Services ISM'!$A$1:$S$1,0),0)</f>
        <v/>
      </c>
      <c r="Q17" s="2">
        <f>VLOOKUP(Q$4,'DB Services ISM'!$A:$S,MATCH($B17,'DB Services ISM'!$A$1:$S$1,0),0)</f>
        <v/>
      </c>
      <c r="R17" s="2">
        <f>VLOOKUP(R$4,'DB Services ISM'!$A:$S,MATCH($B17,'DB Services ISM'!$A$1:$S$1,0),0)</f>
        <v/>
      </c>
      <c r="S17" s="2">
        <f>VLOOKUP(S$4,'DB Services ISM'!$A:$S,MATCH($B17,'DB Services ISM'!$A$1:$S$1,0),0)</f>
        <v/>
      </c>
      <c r="T17" s="2">
        <f>VLOOKUP(T$4,'DB Services ISM'!$A:$S,MATCH($B17,'DB Services ISM'!$A$1:$S$1,0),0)</f>
        <v/>
      </c>
      <c r="U17" s="2">
        <f>VLOOKUP(U$4,'DB Services ISM'!$A:$S,MATCH($B17,'DB Services ISM'!$A$1:$S$1,0),0)</f>
        <v/>
      </c>
      <c r="V17" s="2">
        <f>VLOOKUP(V$4,'DB Services ISM'!$A:$S,MATCH($B17,'DB Services ISM'!$A$1:$S$1,0),0)</f>
        <v/>
      </c>
      <c r="W17" s="2">
        <f>VLOOKUP(W$4,'DB Services ISM'!$A:$S,MATCH($B17,'DB Services ISM'!$A$1:$S$1,0),0)</f>
        <v/>
      </c>
      <c r="X17" s="2">
        <f>VLOOKUP(X$4,'DB Services ISM'!$A:$S,MATCH($B17,'DB Services ISM'!$A$1:$S$1,0),0)</f>
        <v/>
      </c>
      <c r="Y17" s="2">
        <f>VLOOKUP(Y$4,'DB Services ISM'!$A:$S,MATCH($B17,'DB Services ISM'!$A$1:$S$1,0),0)</f>
        <v/>
      </c>
      <c r="Z17" s="2">
        <f>VLOOKUP(Z$4,'DB Services ISM'!$A:$S,MATCH($B17,'DB Services ISM'!$A$1:$S$1,0),0)</f>
        <v/>
      </c>
      <c r="AA17" s="2">
        <f>VLOOKUP(AA$4,'DB Services ISM'!$A:$S,MATCH($B17,'DB Services ISM'!$A$1:$S$1,0),0)</f>
        <v/>
      </c>
      <c r="AB17" s="2">
        <f>VLOOKUP(AB$4,'DB Services ISM'!$A:$S,MATCH($B17,'DB Services ISM'!$A$1:$S$1,0),0)</f>
        <v/>
      </c>
      <c r="AC17" s="33" t="n"/>
      <c r="AD17" s="22">
        <f>AB17-AA17</f>
        <v/>
      </c>
      <c r="AE17" s="34">
        <f>AVERAGE(Z17:AB17)</f>
        <v/>
      </c>
      <c r="AF17" s="34">
        <f>AVERAGE(W17:AB17)</f>
        <v/>
      </c>
    </row>
    <row r="18">
      <c r="B18" s="3" t="inlineStr">
        <is>
          <t>Public Administration</t>
        </is>
      </c>
      <c r="C18" s="2">
        <f>VLOOKUP(C$4,'DB Services ISM'!$A:$S,MATCH($B18,'DB Services ISM'!$A$1:$S$1,0),0)</f>
        <v/>
      </c>
      <c r="D18" s="2">
        <f>VLOOKUP(D$4,'DB Services ISM'!$A:$S,MATCH($B18,'DB Services ISM'!$A$1:$S$1,0),0)</f>
        <v/>
      </c>
      <c r="E18" s="2">
        <f>VLOOKUP(E$4,'DB Services ISM'!$A:$S,MATCH($B18,'DB Services ISM'!$A$1:$S$1,0),0)</f>
        <v/>
      </c>
      <c r="F18" s="2">
        <f>VLOOKUP(F$4,'DB Services ISM'!$A:$S,MATCH($B18,'DB Services ISM'!$A$1:$S$1,0),0)</f>
        <v/>
      </c>
      <c r="G18" s="2">
        <f>VLOOKUP(G$4,'DB Services ISM'!$A:$S,MATCH($B18,'DB Services ISM'!$A$1:$S$1,0),0)</f>
        <v/>
      </c>
      <c r="H18" s="2">
        <f>VLOOKUP(H$4,'DB Services ISM'!$A:$S,MATCH($B18,'DB Services ISM'!$A$1:$S$1,0),0)</f>
        <v/>
      </c>
      <c r="I18" s="2">
        <f>VLOOKUP(I$4,'DB Services ISM'!$A:$S,MATCH($B18,'DB Services ISM'!$A$1:$S$1,0),0)</f>
        <v/>
      </c>
      <c r="J18" s="2">
        <f>VLOOKUP(J$4,'DB Services ISM'!$A:$S,MATCH($B18,'DB Services ISM'!$A$1:$S$1,0),0)</f>
        <v/>
      </c>
      <c r="K18" s="2">
        <f>VLOOKUP(K$4,'DB Services ISM'!$A:$S,MATCH($B18,'DB Services ISM'!$A$1:$S$1,0),0)</f>
        <v/>
      </c>
      <c r="L18" s="2">
        <f>VLOOKUP(L$4,'DB Services ISM'!$A:$S,MATCH($B18,'DB Services ISM'!$A$1:$S$1,0),0)</f>
        <v/>
      </c>
      <c r="M18" s="2">
        <f>VLOOKUP(M$4,'DB Services ISM'!$A:$S,MATCH($B18,'DB Services ISM'!$A$1:$S$1,0),0)</f>
        <v/>
      </c>
      <c r="N18" s="2">
        <f>VLOOKUP(N$4,'DB Services ISM'!$A:$S,MATCH($B18,'DB Services ISM'!$A$1:$S$1,0),0)</f>
        <v/>
      </c>
      <c r="O18" s="2">
        <f>VLOOKUP(O$4,'DB Services ISM'!$A:$S,MATCH($B18,'DB Services ISM'!$A$1:$S$1,0),0)</f>
        <v/>
      </c>
      <c r="P18" s="2">
        <f>VLOOKUP(P$4,'DB Services ISM'!$A:$S,MATCH($B18,'DB Services ISM'!$A$1:$S$1,0),0)</f>
        <v/>
      </c>
      <c r="Q18" s="2">
        <f>VLOOKUP(Q$4,'DB Services ISM'!$A:$S,MATCH($B18,'DB Services ISM'!$A$1:$S$1,0),0)</f>
        <v/>
      </c>
      <c r="R18" s="2">
        <f>VLOOKUP(R$4,'DB Services ISM'!$A:$S,MATCH($B18,'DB Services ISM'!$A$1:$S$1,0),0)</f>
        <v/>
      </c>
      <c r="S18" s="2">
        <f>VLOOKUP(S$4,'DB Services ISM'!$A:$S,MATCH($B18,'DB Services ISM'!$A$1:$S$1,0),0)</f>
        <v/>
      </c>
      <c r="T18" s="2">
        <f>VLOOKUP(T$4,'DB Services ISM'!$A:$S,MATCH($B18,'DB Services ISM'!$A$1:$S$1,0),0)</f>
        <v/>
      </c>
      <c r="U18" s="2">
        <f>VLOOKUP(U$4,'DB Services ISM'!$A:$S,MATCH($B18,'DB Services ISM'!$A$1:$S$1,0),0)</f>
        <v/>
      </c>
      <c r="V18" s="2">
        <f>VLOOKUP(V$4,'DB Services ISM'!$A:$S,MATCH($B18,'DB Services ISM'!$A$1:$S$1,0),0)</f>
        <v/>
      </c>
      <c r="W18" s="2">
        <f>VLOOKUP(W$4,'DB Services ISM'!$A:$S,MATCH($B18,'DB Services ISM'!$A$1:$S$1,0),0)</f>
        <v/>
      </c>
      <c r="X18" s="2">
        <f>VLOOKUP(X$4,'DB Services ISM'!$A:$S,MATCH($B18,'DB Services ISM'!$A$1:$S$1,0),0)</f>
        <v/>
      </c>
      <c r="Y18" s="2">
        <f>VLOOKUP(Y$4,'DB Services ISM'!$A:$S,MATCH($B18,'DB Services ISM'!$A$1:$S$1,0),0)</f>
        <v/>
      </c>
      <c r="Z18" s="2">
        <f>VLOOKUP(Z$4,'DB Services ISM'!$A:$S,MATCH($B18,'DB Services ISM'!$A$1:$S$1,0),0)</f>
        <v/>
      </c>
      <c r="AA18" s="2">
        <f>VLOOKUP(AA$4,'DB Services ISM'!$A:$S,MATCH($B18,'DB Services ISM'!$A$1:$S$1,0),0)</f>
        <v/>
      </c>
      <c r="AB18" s="2">
        <f>VLOOKUP(AB$4,'DB Services ISM'!$A:$S,MATCH($B18,'DB Services ISM'!$A$1:$S$1,0),0)</f>
        <v/>
      </c>
      <c r="AC18" s="33" t="n"/>
      <c r="AD18" s="22">
        <f>AB18-AA18</f>
        <v/>
      </c>
      <c r="AE18" s="34">
        <f>AVERAGE(Z18:AB18)</f>
        <v/>
      </c>
      <c r="AF18" s="34">
        <f>AVERAGE(W18:AB18)</f>
        <v/>
      </c>
      <c r="AI18" s="35" t="n"/>
    </row>
    <row r="19">
      <c r="B19" s="3" t="inlineStr">
        <is>
          <t>Professional, Scientific &amp; Technical Services</t>
        </is>
      </c>
      <c r="C19" s="2">
        <f>VLOOKUP(C$4,'DB Services ISM'!$A:$S,MATCH($B19,'DB Services ISM'!$A$1:$S$1,0),0)</f>
        <v/>
      </c>
      <c r="D19" s="2">
        <f>VLOOKUP(D$4,'DB Services ISM'!$A:$S,MATCH($B19,'DB Services ISM'!$A$1:$S$1,0),0)</f>
        <v/>
      </c>
      <c r="E19" s="2">
        <f>VLOOKUP(E$4,'DB Services ISM'!$A:$S,MATCH($B19,'DB Services ISM'!$A$1:$S$1,0),0)</f>
        <v/>
      </c>
      <c r="F19" s="2">
        <f>VLOOKUP(F$4,'DB Services ISM'!$A:$S,MATCH($B19,'DB Services ISM'!$A$1:$S$1,0),0)</f>
        <v/>
      </c>
      <c r="G19" s="2">
        <f>VLOOKUP(G$4,'DB Services ISM'!$A:$S,MATCH($B19,'DB Services ISM'!$A$1:$S$1,0),0)</f>
        <v/>
      </c>
      <c r="H19" s="2">
        <f>VLOOKUP(H$4,'DB Services ISM'!$A:$S,MATCH($B19,'DB Services ISM'!$A$1:$S$1,0),0)</f>
        <v/>
      </c>
      <c r="I19" s="2">
        <f>VLOOKUP(I$4,'DB Services ISM'!$A:$S,MATCH($B19,'DB Services ISM'!$A$1:$S$1,0),0)</f>
        <v/>
      </c>
      <c r="J19" s="2">
        <f>VLOOKUP(J$4,'DB Services ISM'!$A:$S,MATCH($B19,'DB Services ISM'!$A$1:$S$1,0),0)</f>
        <v/>
      </c>
      <c r="K19" s="2">
        <f>VLOOKUP(K$4,'DB Services ISM'!$A:$S,MATCH($B19,'DB Services ISM'!$A$1:$S$1,0),0)</f>
        <v/>
      </c>
      <c r="L19" s="2">
        <f>VLOOKUP(L$4,'DB Services ISM'!$A:$S,MATCH($B19,'DB Services ISM'!$A$1:$S$1,0),0)</f>
        <v/>
      </c>
      <c r="M19" s="2">
        <f>VLOOKUP(M$4,'DB Services ISM'!$A:$S,MATCH($B19,'DB Services ISM'!$A$1:$S$1,0),0)</f>
        <v/>
      </c>
      <c r="N19" s="2">
        <f>VLOOKUP(N$4,'DB Services ISM'!$A:$S,MATCH($B19,'DB Services ISM'!$A$1:$S$1,0),0)</f>
        <v/>
      </c>
      <c r="O19" s="2">
        <f>VLOOKUP(O$4,'DB Services ISM'!$A:$S,MATCH($B19,'DB Services ISM'!$A$1:$S$1,0),0)</f>
        <v/>
      </c>
      <c r="P19" s="2">
        <f>VLOOKUP(P$4,'DB Services ISM'!$A:$S,MATCH($B19,'DB Services ISM'!$A$1:$S$1,0),0)</f>
        <v/>
      </c>
      <c r="Q19" s="2">
        <f>VLOOKUP(Q$4,'DB Services ISM'!$A:$S,MATCH($B19,'DB Services ISM'!$A$1:$S$1,0),0)</f>
        <v/>
      </c>
      <c r="R19" s="2">
        <f>VLOOKUP(R$4,'DB Services ISM'!$A:$S,MATCH($B19,'DB Services ISM'!$A$1:$S$1,0),0)</f>
        <v/>
      </c>
      <c r="S19" s="2">
        <f>VLOOKUP(S$4,'DB Services ISM'!$A:$S,MATCH($B19,'DB Services ISM'!$A$1:$S$1,0),0)</f>
        <v/>
      </c>
      <c r="T19" s="2">
        <f>VLOOKUP(T$4,'DB Services ISM'!$A:$S,MATCH($B19,'DB Services ISM'!$A$1:$S$1,0),0)</f>
        <v/>
      </c>
      <c r="U19" s="2">
        <f>VLOOKUP(U$4,'DB Services ISM'!$A:$S,MATCH($B19,'DB Services ISM'!$A$1:$S$1,0),0)</f>
        <v/>
      </c>
      <c r="V19" s="2">
        <f>VLOOKUP(V$4,'DB Services ISM'!$A:$S,MATCH($B19,'DB Services ISM'!$A$1:$S$1,0),0)</f>
        <v/>
      </c>
      <c r="W19" s="2">
        <f>VLOOKUP(W$4,'DB Services ISM'!$A:$S,MATCH($B19,'DB Services ISM'!$A$1:$S$1,0),0)</f>
        <v/>
      </c>
      <c r="X19" s="2">
        <f>VLOOKUP(X$4,'DB Services ISM'!$A:$S,MATCH($B19,'DB Services ISM'!$A$1:$S$1,0),0)</f>
        <v/>
      </c>
      <c r="Y19" s="2">
        <f>VLOOKUP(Y$4,'DB Services ISM'!$A:$S,MATCH($B19,'DB Services ISM'!$A$1:$S$1,0),0)</f>
        <v/>
      </c>
      <c r="Z19" s="2">
        <f>VLOOKUP(Z$4,'DB Services ISM'!$A:$S,MATCH($B19,'DB Services ISM'!$A$1:$S$1,0),0)</f>
        <v/>
      </c>
      <c r="AA19" s="2">
        <f>VLOOKUP(AA$4,'DB Services ISM'!$A:$S,MATCH($B19,'DB Services ISM'!$A$1:$S$1,0),0)</f>
        <v/>
      </c>
      <c r="AB19" s="2">
        <f>VLOOKUP(AB$4,'DB Services ISM'!$A:$S,MATCH($B19,'DB Services ISM'!$A$1:$S$1,0),0)</f>
        <v/>
      </c>
      <c r="AC19" s="33" t="n"/>
      <c r="AD19" s="22">
        <f>AB19-AA19</f>
        <v/>
      </c>
      <c r="AE19" s="34">
        <f>AVERAGE(Z19:AB19)</f>
        <v/>
      </c>
      <c r="AF19" s="34">
        <f>AVERAGE(W19:AB19)</f>
        <v/>
      </c>
    </row>
    <row r="20">
      <c r="B20" s="3" t="inlineStr">
        <is>
          <t>Agriculture, Forestry, Fishing &amp; Hunting</t>
        </is>
      </c>
      <c r="C20" s="2">
        <f>VLOOKUP(C$4,'DB Services ISM'!$A:$S,MATCH($B20,'DB Services ISM'!$A$1:$S$1,0),0)</f>
        <v/>
      </c>
      <c r="D20" s="2">
        <f>VLOOKUP(D$4,'DB Services ISM'!$A:$S,MATCH($B20,'DB Services ISM'!$A$1:$S$1,0),0)</f>
        <v/>
      </c>
      <c r="E20" s="2">
        <f>VLOOKUP(E$4,'DB Services ISM'!$A:$S,MATCH($B20,'DB Services ISM'!$A$1:$S$1,0),0)</f>
        <v/>
      </c>
      <c r="F20" s="2">
        <f>VLOOKUP(F$4,'DB Services ISM'!$A:$S,MATCH($B20,'DB Services ISM'!$A$1:$S$1,0),0)</f>
        <v/>
      </c>
      <c r="G20" s="2">
        <f>VLOOKUP(G$4,'DB Services ISM'!$A:$S,MATCH($B20,'DB Services ISM'!$A$1:$S$1,0),0)</f>
        <v/>
      </c>
      <c r="H20" s="2">
        <f>VLOOKUP(H$4,'DB Services ISM'!$A:$S,MATCH($B20,'DB Services ISM'!$A$1:$S$1,0),0)</f>
        <v/>
      </c>
      <c r="I20" s="2">
        <f>VLOOKUP(I$4,'DB Services ISM'!$A:$S,MATCH($B20,'DB Services ISM'!$A$1:$S$1,0),0)</f>
        <v/>
      </c>
      <c r="J20" s="2">
        <f>VLOOKUP(J$4,'DB Services ISM'!$A:$S,MATCH($B20,'DB Services ISM'!$A$1:$S$1,0),0)</f>
        <v/>
      </c>
      <c r="K20" s="2">
        <f>VLOOKUP(K$4,'DB Services ISM'!$A:$S,MATCH($B20,'DB Services ISM'!$A$1:$S$1,0),0)</f>
        <v/>
      </c>
      <c r="L20" s="2">
        <f>VLOOKUP(L$4,'DB Services ISM'!$A:$S,MATCH($B20,'DB Services ISM'!$A$1:$S$1,0),0)</f>
        <v/>
      </c>
      <c r="M20" s="2">
        <f>VLOOKUP(M$4,'DB Services ISM'!$A:$S,MATCH($B20,'DB Services ISM'!$A$1:$S$1,0),0)</f>
        <v/>
      </c>
      <c r="N20" s="2">
        <f>VLOOKUP(N$4,'DB Services ISM'!$A:$S,MATCH($B20,'DB Services ISM'!$A$1:$S$1,0),0)</f>
        <v/>
      </c>
      <c r="O20" s="2">
        <f>VLOOKUP(O$4,'DB Services ISM'!$A:$S,MATCH($B20,'DB Services ISM'!$A$1:$S$1,0),0)</f>
        <v/>
      </c>
      <c r="P20" s="2">
        <f>VLOOKUP(P$4,'DB Services ISM'!$A:$S,MATCH($B20,'DB Services ISM'!$A$1:$S$1,0),0)</f>
        <v/>
      </c>
      <c r="Q20" s="2">
        <f>VLOOKUP(Q$4,'DB Services ISM'!$A:$S,MATCH($B20,'DB Services ISM'!$A$1:$S$1,0),0)</f>
        <v/>
      </c>
      <c r="R20" s="2">
        <f>VLOOKUP(R$4,'DB Services ISM'!$A:$S,MATCH($B20,'DB Services ISM'!$A$1:$S$1,0),0)</f>
        <v/>
      </c>
      <c r="S20" s="2">
        <f>VLOOKUP(S$4,'DB Services ISM'!$A:$S,MATCH($B20,'DB Services ISM'!$A$1:$S$1,0),0)</f>
        <v/>
      </c>
      <c r="T20" s="2">
        <f>VLOOKUP(T$4,'DB Services ISM'!$A:$S,MATCH($B20,'DB Services ISM'!$A$1:$S$1,0),0)</f>
        <v/>
      </c>
      <c r="U20" s="2">
        <f>VLOOKUP(U$4,'DB Services ISM'!$A:$S,MATCH($B20,'DB Services ISM'!$A$1:$S$1,0),0)</f>
        <v/>
      </c>
      <c r="V20" s="2">
        <f>VLOOKUP(V$4,'DB Services ISM'!$A:$S,MATCH($B20,'DB Services ISM'!$A$1:$S$1,0),0)</f>
        <v/>
      </c>
      <c r="W20" s="2">
        <f>VLOOKUP(W$4,'DB Services ISM'!$A:$S,MATCH($B20,'DB Services ISM'!$A$1:$S$1,0),0)</f>
        <v/>
      </c>
      <c r="X20" s="2">
        <f>VLOOKUP(X$4,'DB Services ISM'!$A:$S,MATCH($B20,'DB Services ISM'!$A$1:$S$1,0),0)</f>
        <v/>
      </c>
      <c r="Y20" s="2">
        <f>VLOOKUP(Y$4,'DB Services ISM'!$A:$S,MATCH($B20,'DB Services ISM'!$A$1:$S$1,0),0)</f>
        <v/>
      </c>
      <c r="Z20" s="2">
        <f>VLOOKUP(Z$4,'DB Services ISM'!$A:$S,MATCH($B20,'DB Services ISM'!$A$1:$S$1,0),0)</f>
        <v/>
      </c>
      <c r="AA20" s="2">
        <f>VLOOKUP(AA$4,'DB Services ISM'!$A:$S,MATCH($B20,'DB Services ISM'!$A$1:$S$1,0),0)</f>
        <v/>
      </c>
      <c r="AB20" s="2">
        <f>VLOOKUP(AB$4,'DB Services ISM'!$A:$S,MATCH($B20,'DB Services ISM'!$A$1:$S$1,0),0)</f>
        <v/>
      </c>
      <c r="AC20" s="33" t="n"/>
      <c r="AD20" s="22">
        <f>AB20-AA20</f>
        <v/>
      </c>
      <c r="AE20" s="34">
        <f>AVERAGE(Z20:AB20)</f>
        <v/>
      </c>
      <c r="AF20" s="34">
        <f>AVERAGE(W20:AB20)</f>
        <v/>
      </c>
    </row>
    <row r="21">
      <c r="B21" s="3" t="inlineStr">
        <is>
          <t>Information</t>
        </is>
      </c>
      <c r="C21" s="2">
        <f>VLOOKUP(C$4,'DB Services ISM'!$A:$S,MATCH($B21,'DB Services ISM'!$A$1:$S$1,0),0)</f>
        <v/>
      </c>
      <c r="D21" s="2">
        <f>VLOOKUP(D$4,'DB Services ISM'!$A:$S,MATCH($B21,'DB Services ISM'!$A$1:$S$1,0),0)</f>
        <v/>
      </c>
      <c r="E21" s="2">
        <f>VLOOKUP(E$4,'DB Services ISM'!$A:$S,MATCH($B21,'DB Services ISM'!$A$1:$S$1,0),0)</f>
        <v/>
      </c>
      <c r="F21" s="2">
        <f>VLOOKUP(F$4,'DB Services ISM'!$A:$S,MATCH($B21,'DB Services ISM'!$A$1:$S$1,0),0)</f>
        <v/>
      </c>
      <c r="G21" s="2">
        <f>VLOOKUP(G$4,'DB Services ISM'!$A:$S,MATCH($B21,'DB Services ISM'!$A$1:$S$1,0),0)</f>
        <v/>
      </c>
      <c r="H21" s="2">
        <f>VLOOKUP(H$4,'DB Services ISM'!$A:$S,MATCH($B21,'DB Services ISM'!$A$1:$S$1,0),0)</f>
        <v/>
      </c>
      <c r="I21" s="2">
        <f>VLOOKUP(I$4,'DB Services ISM'!$A:$S,MATCH($B21,'DB Services ISM'!$A$1:$S$1,0),0)</f>
        <v/>
      </c>
      <c r="J21" s="2">
        <f>VLOOKUP(J$4,'DB Services ISM'!$A:$S,MATCH($B21,'DB Services ISM'!$A$1:$S$1,0),0)</f>
        <v/>
      </c>
      <c r="K21" s="2">
        <f>VLOOKUP(K$4,'DB Services ISM'!$A:$S,MATCH($B21,'DB Services ISM'!$A$1:$S$1,0),0)</f>
        <v/>
      </c>
      <c r="L21" s="2">
        <f>VLOOKUP(L$4,'DB Services ISM'!$A:$S,MATCH($B21,'DB Services ISM'!$A$1:$S$1,0),0)</f>
        <v/>
      </c>
      <c r="M21" s="2">
        <f>VLOOKUP(M$4,'DB Services ISM'!$A:$S,MATCH($B21,'DB Services ISM'!$A$1:$S$1,0),0)</f>
        <v/>
      </c>
      <c r="N21" s="2">
        <f>VLOOKUP(N$4,'DB Services ISM'!$A:$S,MATCH($B21,'DB Services ISM'!$A$1:$S$1,0),0)</f>
        <v/>
      </c>
      <c r="O21" s="2">
        <f>VLOOKUP(O$4,'DB Services ISM'!$A:$S,MATCH($B21,'DB Services ISM'!$A$1:$S$1,0),0)</f>
        <v/>
      </c>
      <c r="P21" s="2">
        <f>VLOOKUP(P$4,'DB Services ISM'!$A:$S,MATCH($B21,'DB Services ISM'!$A$1:$S$1,0),0)</f>
        <v/>
      </c>
      <c r="Q21" s="2">
        <f>VLOOKUP(Q$4,'DB Services ISM'!$A:$S,MATCH($B21,'DB Services ISM'!$A$1:$S$1,0),0)</f>
        <v/>
      </c>
      <c r="R21" s="2">
        <f>VLOOKUP(R$4,'DB Services ISM'!$A:$S,MATCH($B21,'DB Services ISM'!$A$1:$S$1,0),0)</f>
        <v/>
      </c>
      <c r="S21" s="2">
        <f>VLOOKUP(S$4,'DB Services ISM'!$A:$S,MATCH($B21,'DB Services ISM'!$A$1:$S$1,0),0)</f>
        <v/>
      </c>
      <c r="T21" s="2">
        <f>VLOOKUP(T$4,'DB Services ISM'!$A:$S,MATCH($B21,'DB Services ISM'!$A$1:$S$1,0),0)</f>
        <v/>
      </c>
      <c r="U21" s="2">
        <f>VLOOKUP(U$4,'DB Services ISM'!$A:$S,MATCH($B21,'DB Services ISM'!$A$1:$S$1,0),0)</f>
        <v/>
      </c>
      <c r="V21" s="2">
        <f>VLOOKUP(V$4,'DB Services ISM'!$A:$S,MATCH($B21,'DB Services ISM'!$A$1:$S$1,0),0)</f>
        <v/>
      </c>
      <c r="W21" s="2">
        <f>VLOOKUP(W$4,'DB Services ISM'!$A:$S,MATCH($B21,'DB Services ISM'!$A$1:$S$1,0),0)</f>
        <v/>
      </c>
      <c r="X21" s="2">
        <f>VLOOKUP(X$4,'DB Services ISM'!$A:$S,MATCH($B21,'DB Services ISM'!$A$1:$S$1,0),0)</f>
        <v/>
      </c>
      <c r="Y21" s="2">
        <f>VLOOKUP(Y$4,'DB Services ISM'!$A:$S,MATCH($B21,'DB Services ISM'!$A$1:$S$1,0),0)</f>
        <v/>
      </c>
      <c r="Z21" s="2">
        <f>VLOOKUP(Z$4,'DB Services ISM'!$A:$S,MATCH($B21,'DB Services ISM'!$A$1:$S$1,0),0)</f>
        <v/>
      </c>
      <c r="AA21" s="2">
        <f>VLOOKUP(AA$4,'DB Services ISM'!$A:$S,MATCH($B21,'DB Services ISM'!$A$1:$S$1,0),0)</f>
        <v/>
      </c>
      <c r="AB21" s="2">
        <f>VLOOKUP(AB$4,'DB Services ISM'!$A:$S,MATCH($B21,'DB Services ISM'!$A$1:$S$1,0),0)</f>
        <v/>
      </c>
      <c r="AC21" s="33" t="n"/>
      <c r="AD21" s="22">
        <f>AB21-AA21</f>
        <v/>
      </c>
      <c r="AE21" s="34">
        <f>AVERAGE(Z21:AB21)</f>
        <v/>
      </c>
      <c r="AF21" s="34">
        <f>AVERAGE(W21:AB21)</f>
        <v/>
      </c>
    </row>
    <row r="22">
      <c r="B22" s="3" t="inlineStr">
        <is>
          <t>Educational Services</t>
        </is>
      </c>
      <c r="C22" s="2">
        <f>VLOOKUP(C$4,'DB Services ISM'!$A:$S,MATCH($B22,'DB Services ISM'!$A$1:$S$1,0),0)</f>
        <v/>
      </c>
      <c r="D22" s="2">
        <f>VLOOKUP(D$4,'DB Services ISM'!$A:$S,MATCH($B22,'DB Services ISM'!$A$1:$S$1,0),0)</f>
        <v/>
      </c>
      <c r="E22" s="2">
        <f>VLOOKUP(E$4,'DB Services ISM'!$A:$S,MATCH($B22,'DB Services ISM'!$A$1:$S$1,0),0)</f>
        <v/>
      </c>
      <c r="F22" s="2">
        <f>VLOOKUP(F$4,'DB Services ISM'!$A:$S,MATCH($B22,'DB Services ISM'!$A$1:$S$1,0),0)</f>
        <v/>
      </c>
      <c r="G22" s="2">
        <f>VLOOKUP(G$4,'DB Services ISM'!$A:$S,MATCH($B22,'DB Services ISM'!$A$1:$S$1,0),0)</f>
        <v/>
      </c>
      <c r="H22" s="2">
        <f>VLOOKUP(H$4,'DB Services ISM'!$A:$S,MATCH($B22,'DB Services ISM'!$A$1:$S$1,0),0)</f>
        <v/>
      </c>
      <c r="I22" s="2">
        <f>VLOOKUP(I$4,'DB Services ISM'!$A:$S,MATCH($B22,'DB Services ISM'!$A$1:$S$1,0),0)</f>
        <v/>
      </c>
      <c r="J22" s="2">
        <f>VLOOKUP(J$4,'DB Services ISM'!$A:$S,MATCH($B22,'DB Services ISM'!$A$1:$S$1,0),0)</f>
        <v/>
      </c>
      <c r="K22" s="2">
        <f>VLOOKUP(K$4,'DB Services ISM'!$A:$S,MATCH($B22,'DB Services ISM'!$A$1:$S$1,0),0)</f>
        <v/>
      </c>
      <c r="L22" s="2">
        <f>VLOOKUP(L$4,'DB Services ISM'!$A:$S,MATCH($B22,'DB Services ISM'!$A$1:$S$1,0),0)</f>
        <v/>
      </c>
      <c r="M22" s="2">
        <f>VLOOKUP(M$4,'DB Services ISM'!$A:$S,MATCH($B22,'DB Services ISM'!$A$1:$S$1,0),0)</f>
        <v/>
      </c>
      <c r="N22" s="2">
        <f>VLOOKUP(N$4,'DB Services ISM'!$A:$S,MATCH($B22,'DB Services ISM'!$A$1:$S$1,0),0)</f>
        <v/>
      </c>
      <c r="O22" s="2">
        <f>VLOOKUP(O$4,'DB Services ISM'!$A:$S,MATCH($B22,'DB Services ISM'!$A$1:$S$1,0),0)</f>
        <v/>
      </c>
      <c r="P22" s="2">
        <f>VLOOKUP(P$4,'DB Services ISM'!$A:$S,MATCH($B22,'DB Services ISM'!$A$1:$S$1,0),0)</f>
        <v/>
      </c>
      <c r="Q22" s="2">
        <f>VLOOKUP(Q$4,'DB Services ISM'!$A:$S,MATCH($B22,'DB Services ISM'!$A$1:$S$1,0),0)</f>
        <v/>
      </c>
      <c r="R22" s="2">
        <f>VLOOKUP(R$4,'DB Services ISM'!$A:$S,MATCH($B22,'DB Services ISM'!$A$1:$S$1,0),0)</f>
        <v/>
      </c>
      <c r="S22" s="2">
        <f>VLOOKUP(S$4,'DB Services ISM'!$A:$S,MATCH($B22,'DB Services ISM'!$A$1:$S$1,0),0)</f>
        <v/>
      </c>
      <c r="T22" s="2">
        <f>VLOOKUP(T$4,'DB Services ISM'!$A:$S,MATCH($B22,'DB Services ISM'!$A$1:$S$1,0),0)</f>
        <v/>
      </c>
      <c r="U22" s="2">
        <f>VLOOKUP(U$4,'DB Services ISM'!$A:$S,MATCH($B22,'DB Services ISM'!$A$1:$S$1,0),0)</f>
        <v/>
      </c>
      <c r="V22" s="2">
        <f>VLOOKUP(V$4,'DB Services ISM'!$A:$S,MATCH($B22,'DB Services ISM'!$A$1:$S$1,0),0)</f>
        <v/>
      </c>
      <c r="W22" s="2">
        <f>VLOOKUP(W$4,'DB Services ISM'!$A:$S,MATCH($B22,'DB Services ISM'!$A$1:$S$1,0),0)</f>
        <v/>
      </c>
      <c r="X22" s="2">
        <f>VLOOKUP(X$4,'DB Services ISM'!$A:$S,MATCH($B22,'DB Services ISM'!$A$1:$S$1,0),0)</f>
        <v/>
      </c>
      <c r="Y22" s="2">
        <f>VLOOKUP(Y$4,'DB Services ISM'!$A:$S,MATCH($B22,'DB Services ISM'!$A$1:$S$1,0),0)</f>
        <v/>
      </c>
      <c r="Z22" s="2">
        <f>VLOOKUP(Z$4,'DB Services ISM'!$A:$S,MATCH($B22,'DB Services ISM'!$A$1:$S$1,0),0)</f>
        <v/>
      </c>
      <c r="AA22" s="2">
        <f>VLOOKUP(AA$4,'DB Services ISM'!$A:$S,MATCH($B22,'DB Services ISM'!$A$1:$S$1,0),0)</f>
        <v/>
      </c>
      <c r="AB22" s="2">
        <f>VLOOKUP(AB$4,'DB Services ISM'!$A:$S,MATCH($B22,'DB Services ISM'!$A$1:$S$1,0),0)</f>
        <v/>
      </c>
      <c r="AC22" s="33" t="n"/>
      <c r="AD22" s="22">
        <f>AB22-AA22</f>
        <v/>
      </c>
      <c r="AE22" s="34">
        <f>AVERAGE(Z22:AB22)</f>
        <v/>
      </c>
      <c r="AF22" s="34">
        <f>AVERAGE(W22:AB22)</f>
        <v/>
      </c>
    </row>
    <row r="23">
      <c r="B23" s="4" t="inlineStr">
        <is>
          <t>Management of Companies &amp; Support Services</t>
        </is>
      </c>
      <c r="C23" s="2">
        <f>VLOOKUP(C$4,'DB Services ISM'!$A:$S,MATCH($B23,'DB Services ISM'!$A$1:$S$1,0),0)</f>
        <v/>
      </c>
      <c r="D23" s="2">
        <f>VLOOKUP(D$4,'DB Services ISM'!$A:$S,MATCH($B23,'DB Services ISM'!$A$1:$S$1,0),0)</f>
        <v/>
      </c>
      <c r="E23" s="2">
        <f>VLOOKUP(E$4,'DB Services ISM'!$A:$S,MATCH($B23,'DB Services ISM'!$A$1:$S$1,0),0)</f>
        <v/>
      </c>
      <c r="F23" s="2">
        <f>VLOOKUP(F$4,'DB Services ISM'!$A:$S,MATCH($B23,'DB Services ISM'!$A$1:$S$1,0),0)</f>
        <v/>
      </c>
      <c r="G23" s="2">
        <f>VLOOKUP(G$4,'DB Services ISM'!$A:$S,MATCH($B23,'DB Services ISM'!$A$1:$S$1,0),0)</f>
        <v/>
      </c>
      <c r="H23" s="2">
        <f>VLOOKUP(H$4,'DB Services ISM'!$A:$S,MATCH($B23,'DB Services ISM'!$A$1:$S$1,0),0)</f>
        <v/>
      </c>
      <c r="I23" s="2">
        <f>VLOOKUP(I$4,'DB Services ISM'!$A:$S,MATCH($B23,'DB Services ISM'!$A$1:$S$1,0),0)</f>
        <v/>
      </c>
      <c r="J23" s="2">
        <f>VLOOKUP(J$4,'DB Services ISM'!$A:$S,MATCH($B23,'DB Services ISM'!$A$1:$S$1,0),0)</f>
        <v/>
      </c>
      <c r="K23" s="2">
        <f>VLOOKUP(K$4,'DB Services ISM'!$A:$S,MATCH($B23,'DB Services ISM'!$A$1:$S$1,0),0)</f>
        <v/>
      </c>
      <c r="L23" s="2">
        <f>VLOOKUP(L$4,'DB Services ISM'!$A:$S,MATCH($B23,'DB Services ISM'!$A$1:$S$1,0),0)</f>
        <v/>
      </c>
      <c r="M23" s="2">
        <f>VLOOKUP(M$4,'DB Services ISM'!$A:$S,MATCH($B23,'DB Services ISM'!$A$1:$S$1,0),0)</f>
        <v/>
      </c>
      <c r="N23" s="2">
        <f>VLOOKUP(N$4,'DB Services ISM'!$A:$S,MATCH($B23,'DB Services ISM'!$A$1:$S$1,0),0)</f>
        <v/>
      </c>
      <c r="O23" s="2">
        <f>VLOOKUP(O$4,'DB Services ISM'!$A:$S,MATCH($B23,'DB Services ISM'!$A$1:$S$1,0),0)</f>
        <v/>
      </c>
      <c r="P23" s="2">
        <f>VLOOKUP(P$4,'DB Services ISM'!$A:$S,MATCH($B23,'DB Services ISM'!$A$1:$S$1,0),0)</f>
        <v/>
      </c>
      <c r="Q23" s="2">
        <f>VLOOKUP(Q$4,'DB Services ISM'!$A:$S,MATCH($B23,'DB Services ISM'!$A$1:$S$1,0),0)</f>
        <v/>
      </c>
      <c r="R23" s="2">
        <f>VLOOKUP(R$4,'DB Services ISM'!$A:$S,MATCH($B23,'DB Services ISM'!$A$1:$S$1,0),0)</f>
        <v/>
      </c>
      <c r="S23" s="2">
        <f>VLOOKUP(S$4,'DB Services ISM'!$A:$S,MATCH($B23,'DB Services ISM'!$A$1:$S$1,0),0)</f>
        <v/>
      </c>
      <c r="T23" s="2">
        <f>VLOOKUP(T$4,'DB Services ISM'!$A:$S,MATCH($B23,'DB Services ISM'!$A$1:$S$1,0),0)</f>
        <v/>
      </c>
      <c r="U23" s="2">
        <f>VLOOKUP(U$4,'DB Services ISM'!$A:$S,MATCH($B23,'DB Services ISM'!$A$1:$S$1,0),0)</f>
        <v/>
      </c>
      <c r="V23" s="2">
        <f>VLOOKUP(V$4,'DB Services ISM'!$A:$S,MATCH($B23,'DB Services ISM'!$A$1:$S$1,0),0)</f>
        <v/>
      </c>
      <c r="W23" s="2">
        <f>VLOOKUP(W$4,'DB Services ISM'!$A:$S,MATCH($B23,'DB Services ISM'!$A$1:$S$1,0),0)</f>
        <v/>
      </c>
      <c r="X23" s="2">
        <f>VLOOKUP(X$4,'DB Services ISM'!$A:$S,MATCH($B23,'DB Services ISM'!$A$1:$S$1,0),0)</f>
        <v/>
      </c>
      <c r="Y23" s="2">
        <f>VLOOKUP(Y$4,'DB Services ISM'!$A:$S,MATCH($B23,'DB Services ISM'!$A$1:$S$1,0),0)</f>
        <v/>
      </c>
      <c r="Z23" s="2">
        <f>VLOOKUP(Z$4,'DB Services ISM'!$A:$S,MATCH($B23,'DB Services ISM'!$A$1:$S$1,0),0)</f>
        <v/>
      </c>
      <c r="AA23" s="2">
        <f>VLOOKUP(AA$4,'DB Services ISM'!$A:$S,MATCH($B23,'DB Services ISM'!$A$1:$S$1,0),0)</f>
        <v/>
      </c>
      <c r="AB23" s="2">
        <f>VLOOKUP(AB$4,'DB Services ISM'!$A:$S,MATCH($B23,'DB Services ISM'!$A$1:$S$1,0),0)</f>
        <v/>
      </c>
      <c r="AC23" s="33" t="n"/>
      <c r="AD23" s="22">
        <f>AB23-AA23</f>
        <v/>
      </c>
      <c r="AE23" s="34">
        <f>AVERAGE(Z23:AB23)</f>
        <v/>
      </c>
      <c r="AF23" s="34">
        <f>AVERAGE(W23:AB23)</f>
        <v/>
      </c>
    </row>
    <row r="24">
      <c r="B24" s="33" t="n"/>
      <c r="C24" s="36" t="n">
        <v>1</v>
      </c>
      <c r="D24" s="36" t="n">
        <v>2</v>
      </c>
      <c r="E24" s="36" t="n">
        <v>3</v>
      </c>
      <c r="F24" s="36" t="n">
        <v>4</v>
      </c>
      <c r="G24" s="36" t="n">
        <v>5</v>
      </c>
      <c r="H24" s="36" t="n">
        <v>6</v>
      </c>
      <c r="I24" s="36" t="n">
        <v>7</v>
      </c>
      <c r="J24" s="36" t="n">
        <v>8</v>
      </c>
      <c r="K24" s="36" t="n">
        <v>9</v>
      </c>
      <c r="L24" s="36" t="n">
        <v>10</v>
      </c>
      <c r="M24" s="36" t="n">
        <v>11</v>
      </c>
      <c r="N24" s="36" t="n">
        <v>12</v>
      </c>
      <c r="O24" s="36" t="n">
        <v>13</v>
      </c>
      <c r="P24" s="36" t="n">
        <v>14</v>
      </c>
      <c r="Q24" s="36" t="n">
        <v>15</v>
      </c>
      <c r="R24" s="36" t="n">
        <v>16</v>
      </c>
      <c r="S24" s="36" t="n">
        <v>17</v>
      </c>
      <c r="T24" s="36" t="n">
        <v>18</v>
      </c>
      <c r="U24" s="36" t="n">
        <v>19</v>
      </c>
      <c r="V24" s="36" t="n">
        <v>20</v>
      </c>
      <c r="W24" s="36" t="n">
        <v>21</v>
      </c>
      <c r="X24" s="36" t="n">
        <v>22</v>
      </c>
      <c r="Y24" s="36" t="n">
        <v>23</v>
      </c>
      <c r="Z24" s="36" t="n">
        <v>24</v>
      </c>
      <c r="AA24" s="36" t="n"/>
      <c r="AB24" s="36" t="n"/>
      <c r="AC24" s="33" t="n"/>
      <c r="AD24" s="33" t="n"/>
      <c r="AE24" s="33" t="n"/>
      <c r="AF24" s="33" t="n"/>
    </row>
    <row r="25" ht="16" customHeight="1" s="65" thickBot="1">
      <c r="C25" s="37" t="n"/>
      <c r="D25" s="37" t="n"/>
      <c r="E25" s="37" t="n"/>
      <c r="F25" s="37" t="n"/>
      <c r="G25" s="37" t="n"/>
      <c r="H25" s="37" t="n"/>
      <c r="I25" s="37" t="n"/>
      <c r="J25" s="37" t="n"/>
      <c r="K25" s="37" t="n"/>
      <c r="L25" s="37" t="n"/>
      <c r="M25" s="37" t="n"/>
      <c r="N25" s="37" t="n"/>
      <c r="O25" s="37" t="n"/>
      <c r="P25" s="37" t="n"/>
      <c r="Q25" s="37" t="n"/>
      <c r="R25" s="37" t="n"/>
      <c r="S25" s="37" t="n"/>
      <c r="T25" s="37" t="n"/>
      <c r="U25" s="37" t="n"/>
      <c r="V25" s="37" t="n"/>
      <c r="W25" s="37" t="n"/>
      <c r="X25" s="37" t="n"/>
      <c r="Y25" s="37" t="n"/>
      <c r="Z25" s="37" t="n"/>
      <c r="AA25" s="37" t="n"/>
      <c r="AB25" s="37" t="n"/>
    </row>
    <row r="26">
      <c r="B26" s="86" t="inlineStr">
        <is>
          <t>Business Activity</t>
        </is>
      </c>
      <c r="C26" s="31" t="n">
        <v>43831</v>
      </c>
      <c r="D26" s="31" t="n">
        <v>43862</v>
      </c>
      <c r="E26" s="31" t="n">
        <v>43891</v>
      </c>
      <c r="F26" s="31" t="n">
        <v>43922</v>
      </c>
      <c r="G26" s="31" t="n">
        <v>43952</v>
      </c>
      <c r="H26" s="31" t="n">
        <v>43983</v>
      </c>
      <c r="I26" s="31" t="n">
        <v>44013</v>
      </c>
      <c r="J26" s="31" t="n">
        <v>44044</v>
      </c>
      <c r="K26" s="31" t="n">
        <v>44075</v>
      </c>
      <c r="L26" s="31" t="n">
        <v>44105</v>
      </c>
      <c r="M26" s="31" t="n">
        <v>44136</v>
      </c>
      <c r="N26" s="31" t="n">
        <v>44166</v>
      </c>
      <c r="O26" s="31" t="n">
        <v>44197</v>
      </c>
      <c r="P26" s="31" t="n">
        <v>44228</v>
      </c>
      <c r="Q26" s="31" t="n">
        <v>44256</v>
      </c>
      <c r="R26" s="31" t="n">
        <v>44287</v>
      </c>
      <c r="S26" s="31" t="n">
        <v>44317</v>
      </c>
      <c r="T26" s="31" t="n">
        <v>44348</v>
      </c>
      <c r="U26" s="31" t="n">
        <v>44378</v>
      </c>
      <c r="V26" s="31" t="n">
        <v>44409</v>
      </c>
      <c r="W26" s="31" t="n">
        <v>44440</v>
      </c>
      <c r="X26" s="31" t="n">
        <v>44470</v>
      </c>
      <c r="Y26" s="31" t="n">
        <v>44501</v>
      </c>
      <c r="Z26" s="31" t="n">
        <v>44531</v>
      </c>
      <c r="AA26" s="31" t="n">
        <v>44562</v>
      </c>
      <c r="AB26" s="31" t="n">
        <v>44593</v>
      </c>
      <c r="AC26" s="10" t="n"/>
      <c r="AD26" s="88" t="inlineStr">
        <is>
          <t>mom</t>
        </is>
      </c>
      <c r="AE26" s="88" t="inlineStr">
        <is>
          <t>3 months</t>
        </is>
      </c>
      <c r="AF26" s="88" t="inlineStr">
        <is>
          <t>6 months</t>
        </is>
      </c>
    </row>
    <row r="27" ht="16" customHeight="1" s="65" thickBot="1">
      <c r="B27" s="87" t="n"/>
      <c r="C27" s="32" t="n"/>
      <c r="D27" s="32" t="n"/>
      <c r="E27" s="32" t="n"/>
      <c r="F27" s="32" t="n"/>
      <c r="G27" s="32" t="n"/>
      <c r="H27" s="32" t="n"/>
      <c r="I27" s="32" t="n"/>
      <c r="J27" s="32" t="n"/>
      <c r="K27" s="32" t="n"/>
      <c r="L27" s="32" t="n"/>
      <c r="M27" s="32" t="n"/>
      <c r="N27" s="32" t="n"/>
      <c r="O27" s="32" t="n"/>
      <c r="P27" s="32" t="n"/>
      <c r="Q27" s="32" t="n"/>
      <c r="R27" s="32" t="n"/>
      <c r="S27" s="32" t="n"/>
      <c r="T27" s="32" t="n"/>
      <c r="U27" s="32" t="n"/>
      <c r="V27" s="32" t="n"/>
      <c r="W27" s="32" t="n"/>
      <c r="X27" s="32" t="n"/>
      <c r="Y27" s="32" t="n"/>
      <c r="Z27" s="32" t="n"/>
      <c r="AA27" s="32" t="n"/>
      <c r="AB27" s="32" t="n"/>
      <c r="AC27" s="10" t="n"/>
      <c r="AD27" s="89" t="n"/>
      <c r="AE27" s="89" t="n"/>
      <c r="AF27" s="89" t="n"/>
    </row>
    <row r="28">
      <c r="B28" s="3" t="inlineStr">
        <is>
          <t>Utilities</t>
        </is>
      </c>
      <c r="C28" s="2">
        <f>VLOOKUP(C$26,'DB Business'!$A:$S,MATCH($B28,'DB Business'!$A$1:$S$1,0),0)</f>
        <v/>
      </c>
      <c r="D28" s="2">
        <f>VLOOKUP(D$26,'DB Business'!$A:$S,MATCH($B28,'DB Business'!$A$1:$S$1,0),0)</f>
        <v/>
      </c>
      <c r="E28" s="2">
        <f>VLOOKUP(E$26,'DB Business'!$A:$S,MATCH($B28,'DB Business'!$A$1:$S$1,0),0)</f>
        <v/>
      </c>
      <c r="F28" s="2">
        <f>VLOOKUP(F$26,'DB Business'!$A:$S,MATCH($B28,'DB Business'!$A$1:$S$1,0),0)</f>
        <v/>
      </c>
      <c r="G28" s="2">
        <f>VLOOKUP(G$26,'DB Business'!$A:$S,MATCH($B28,'DB Business'!$A$1:$S$1,0),0)</f>
        <v/>
      </c>
      <c r="H28" s="2">
        <f>VLOOKUP(H$26,'DB Business'!$A:$S,MATCH($B28,'DB Business'!$A$1:$S$1,0),0)</f>
        <v/>
      </c>
      <c r="I28" s="2">
        <f>VLOOKUP(I$26,'DB Business'!$A:$S,MATCH($B28,'DB Business'!$A$1:$S$1,0),0)</f>
        <v/>
      </c>
      <c r="J28" s="2">
        <f>VLOOKUP(J$26,'DB Business'!$A:$S,MATCH($B28,'DB Business'!$A$1:$S$1,0),0)</f>
        <v/>
      </c>
      <c r="K28" s="2">
        <f>VLOOKUP(K$26,'DB Business'!$A:$S,MATCH($B28,'DB Business'!$A$1:$S$1,0),0)</f>
        <v/>
      </c>
      <c r="L28" s="2">
        <f>VLOOKUP(L$26,'DB Business'!$A:$S,MATCH($B28,'DB Business'!$A$1:$S$1,0),0)</f>
        <v/>
      </c>
      <c r="M28" s="2">
        <f>VLOOKUP(M$26,'DB Business'!$A:$S,MATCH($B28,'DB Business'!$A$1:$S$1,0),0)</f>
        <v/>
      </c>
      <c r="N28" s="2">
        <f>VLOOKUP(N$26,'DB Business'!$A:$S,MATCH($B28,'DB Business'!$A$1:$S$1,0),0)</f>
        <v/>
      </c>
      <c r="O28" s="2">
        <f>VLOOKUP(O$26,'DB Business'!$A:$S,MATCH($B28,'DB Business'!$A$1:$S$1,0),0)</f>
        <v/>
      </c>
      <c r="P28" s="2">
        <f>VLOOKUP(P$26,'DB Business'!$A:$S,MATCH($B28,'DB Business'!$A$1:$S$1,0),0)</f>
        <v/>
      </c>
      <c r="Q28" s="2">
        <f>VLOOKUP(Q$26,'DB Business'!$A:$S,MATCH($B28,'DB Business'!$A$1:$S$1,0),0)</f>
        <v/>
      </c>
      <c r="R28" s="2">
        <f>VLOOKUP(R$26,'DB Business'!$A:$S,MATCH($B28,'DB Business'!$A$1:$S$1,0),0)</f>
        <v/>
      </c>
      <c r="S28" s="2">
        <f>VLOOKUP(S$26,'DB Business'!$A:$S,MATCH($B28,'DB Business'!$A$1:$S$1,0),0)</f>
        <v/>
      </c>
      <c r="T28" s="2">
        <f>VLOOKUP(T$26,'DB Business'!$A:$S,MATCH($B28,'DB Business'!$A$1:$S$1,0),0)</f>
        <v/>
      </c>
      <c r="U28" s="2">
        <f>VLOOKUP(U$26,'DB Business'!$A:$S,MATCH($B28,'DB Business'!$A$1:$S$1,0),0)</f>
        <v/>
      </c>
      <c r="V28" s="2">
        <f>VLOOKUP(V$26,'DB Business'!$A:$S,MATCH($B28,'DB Business'!$A$1:$S$1,0),0)</f>
        <v/>
      </c>
      <c r="W28" s="2">
        <f>VLOOKUP(W$26,'DB Business'!$A:$S,MATCH($B28,'DB Business'!$A$1:$S$1,0),0)</f>
        <v/>
      </c>
      <c r="X28" s="2">
        <f>VLOOKUP(X$26,'DB Business'!$A:$S,MATCH($B28,'DB Business'!$A$1:$S$1,0),0)</f>
        <v/>
      </c>
      <c r="Y28" s="2">
        <f>VLOOKUP(Y$26,'DB Business'!$A:$S,MATCH($B28,'DB Business'!$A$1:$S$1,0),0)</f>
        <v/>
      </c>
      <c r="Z28" s="2">
        <f>VLOOKUP(Z$26,'DB Business'!$A:$S,MATCH($B28,'DB Business'!$A$1:$S$1,0),0)</f>
        <v/>
      </c>
      <c r="AA28" s="2">
        <f>VLOOKUP(AA$26,'DB Business'!$A:$S,MATCH($B28,'DB Business'!$A$1:$S$1,0),0)</f>
        <v/>
      </c>
      <c r="AB28" s="2">
        <f>VLOOKUP(AB$26,'DB Business'!$A:$S,MATCH($B28,'DB Business'!$A$1:$S$1,0),0)</f>
        <v/>
      </c>
      <c r="AD28" s="22">
        <f>AB28-AA28</f>
        <v/>
      </c>
      <c r="AE28" s="34">
        <f>AVERAGE(Z28:AB28)</f>
        <v/>
      </c>
      <c r="AF28" s="34">
        <f>AVERAGE(W28:AB28)</f>
        <v/>
      </c>
    </row>
    <row r="29">
      <c r="B29" s="3" t="inlineStr">
        <is>
          <t>Retail Trade</t>
        </is>
      </c>
      <c r="C29" s="2">
        <f>VLOOKUP(C$26,'DB Business'!$A:$S,MATCH($B29,'DB Business'!$A$1:$S$1,0),0)</f>
        <v/>
      </c>
      <c r="D29" s="2">
        <f>VLOOKUP(D$26,'DB Business'!$A:$S,MATCH($B29,'DB Business'!$A$1:$S$1,0),0)</f>
        <v/>
      </c>
      <c r="E29" s="2">
        <f>VLOOKUP(E$26,'DB Business'!$A:$S,MATCH($B29,'DB Business'!$A$1:$S$1,0),0)</f>
        <v/>
      </c>
      <c r="F29" s="2">
        <f>VLOOKUP(F$26,'DB Business'!$A:$S,MATCH($B29,'DB Business'!$A$1:$S$1,0),0)</f>
        <v/>
      </c>
      <c r="G29" s="2">
        <f>VLOOKUP(G$26,'DB Business'!$A:$S,MATCH($B29,'DB Business'!$A$1:$S$1,0),0)</f>
        <v/>
      </c>
      <c r="H29" s="2">
        <f>VLOOKUP(H$26,'DB Business'!$A:$S,MATCH($B29,'DB Business'!$A$1:$S$1,0),0)</f>
        <v/>
      </c>
      <c r="I29" s="2">
        <f>VLOOKUP(I$26,'DB Business'!$A:$S,MATCH($B29,'DB Business'!$A$1:$S$1,0),0)</f>
        <v/>
      </c>
      <c r="J29" s="2">
        <f>VLOOKUP(J$26,'DB Business'!$A:$S,MATCH($B29,'DB Business'!$A$1:$S$1,0),0)</f>
        <v/>
      </c>
      <c r="K29" s="2">
        <f>VLOOKUP(K$26,'DB Business'!$A:$S,MATCH($B29,'DB Business'!$A$1:$S$1,0),0)</f>
        <v/>
      </c>
      <c r="L29" s="2">
        <f>VLOOKUP(L$26,'DB Business'!$A:$S,MATCH($B29,'DB Business'!$A$1:$S$1,0),0)</f>
        <v/>
      </c>
      <c r="M29" s="2">
        <f>VLOOKUP(M$26,'DB Business'!$A:$S,MATCH($B29,'DB Business'!$A$1:$S$1,0),0)</f>
        <v/>
      </c>
      <c r="N29" s="2">
        <f>VLOOKUP(N$26,'DB Business'!$A:$S,MATCH($B29,'DB Business'!$A$1:$S$1,0),0)</f>
        <v/>
      </c>
      <c r="O29" s="2">
        <f>VLOOKUP(O$26,'DB Business'!$A:$S,MATCH($B29,'DB Business'!$A$1:$S$1,0),0)</f>
        <v/>
      </c>
      <c r="P29" s="2">
        <f>VLOOKUP(P$26,'DB Business'!$A:$S,MATCH($B29,'DB Business'!$A$1:$S$1,0),0)</f>
        <v/>
      </c>
      <c r="Q29" s="2">
        <f>VLOOKUP(Q$26,'DB Business'!$A:$S,MATCH($B29,'DB Business'!$A$1:$S$1,0),0)</f>
        <v/>
      </c>
      <c r="R29" s="2">
        <f>VLOOKUP(R$26,'DB Business'!$A:$S,MATCH($B29,'DB Business'!$A$1:$S$1,0),0)</f>
        <v/>
      </c>
      <c r="S29" s="2">
        <f>VLOOKUP(S$26,'DB Business'!$A:$S,MATCH($B29,'DB Business'!$A$1:$S$1,0),0)</f>
        <v/>
      </c>
      <c r="T29" s="2">
        <f>VLOOKUP(T$26,'DB Business'!$A:$S,MATCH($B29,'DB Business'!$A$1:$S$1,0),0)</f>
        <v/>
      </c>
      <c r="U29" s="2">
        <f>VLOOKUP(U$26,'DB Business'!$A:$S,MATCH($B29,'DB Business'!$A$1:$S$1,0),0)</f>
        <v/>
      </c>
      <c r="V29" s="2">
        <f>VLOOKUP(V$26,'DB Business'!$A:$S,MATCH($B29,'DB Business'!$A$1:$S$1,0),0)</f>
        <v/>
      </c>
      <c r="W29" s="2">
        <f>VLOOKUP(W$26,'DB Business'!$A:$S,MATCH($B29,'DB Business'!$A$1:$S$1,0),0)</f>
        <v/>
      </c>
      <c r="X29" s="2">
        <f>VLOOKUP(X$26,'DB Business'!$A:$S,MATCH($B29,'DB Business'!$A$1:$S$1,0),0)</f>
        <v/>
      </c>
      <c r="Y29" s="2">
        <f>VLOOKUP(Y$26,'DB Business'!$A:$S,MATCH($B29,'DB Business'!$A$1:$S$1,0),0)</f>
        <v/>
      </c>
      <c r="Z29" s="2">
        <f>VLOOKUP(Z$26,'DB Business'!$A:$S,MATCH($B29,'DB Business'!$A$1:$S$1,0),0)</f>
        <v/>
      </c>
      <c r="AA29" s="2">
        <f>VLOOKUP(AA$26,'DB Business'!$A:$S,MATCH($B29,'DB Business'!$A$1:$S$1,0),0)</f>
        <v/>
      </c>
      <c r="AB29" s="2">
        <f>VLOOKUP(AB$26,'DB Business'!$A:$S,MATCH($B29,'DB Business'!$A$1:$S$1,0),0)</f>
        <v/>
      </c>
      <c r="AD29" s="22">
        <f>AB29-AA29</f>
        <v/>
      </c>
      <c r="AE29" s="34">
        <f>AVERAGE(Z29:AB29)</f>
        <v/>
      </c>
      <c r="AF29" s="34">
        <f>AVERAGE(W29:AB29)</f>
        <v/>
      </c>
    </row>
    <row r="30">
      <c r="B30" s="3" t="inlineStr">
        <is>
          <t>Arts, Entertainment &amp; Recreation</t>
        </is>
      </c>
      <c r="C30" s="2">
        <f>VLOOKUP(C$26,'DB Business'!$A:$S,MATCH($B30,'DB Business'!$A$1:$S$1,0),0)</f>
        <v/>
      </c>
      <c r="D30" s="2">
        <f>VLOOKUP(D$26,'DB Business'!$A:$S,MATCH($B30,'DB Business'!$A$1:$S$1,0),0)</f>
        <v/>
      </c>
      <c r="E30" s="2">
        <f>VLOOKUP(E$26,'DB Business'!$A:$S,MATCH($B30,'DB Business'!$A$1:$S$1,0),0)</f>
        <v/>
      </c>
      <c r="F30" s="2">
        <f>VLOOKUP(F$26,'DB Business'!$A:$S,MATCH($B30,'DB Business'!$A$1:$S$1,0),0)</f>
        <v/>
      </c>
      <c r="G30" s="2">
        <f>VLOOKUP(G$26,'DB Business'!$A:$S,MATCH($B30,'DB Business'!$A$1:$S$1,0),0)</f>
        <v/>
      </c>
      <c r="H30" s="2">
        <f>VLOOKUP(H$26,'DB Business'!$A:$S,MATCH($B30,'DB Business'!$A$1:$S$1,0),0)</f>
        <v/>
      </c>
      <c r="I30" s="2">
        <f>VLOOKUP(I$26,'DB Business'!$A:$S,MATCH($B30,'DB Business'!$A$1:$S$1,0),0)</f>
        <v/>
      </c>
      <c r="J30" s="2">
        <f>VLOOKUP(J$26,'DB Business'!$A:$S,MATCH($B30,'DB Business'!$A$1:$S$1,0),0)</f>
        <v/>
      </c>
      <c r="K30" s="2">
        <f>VLOOKUP(K$26,'DB Business'!$A:$S,MATCH($B30,'DB Business'!$A$1:$S$1,0),0)</f>
        <v/>
      </c>
      <c r="L30" s="2">
        <f>VLOOKUP(L$26,'DB Business'!$A:$S,MATCH($B30,'DB Business'!$A$1:$S$1,0),0)</f>
        <v/>
      </c>
      <c r="M30" s="2">
        <f>VLOOKUP(M$26,'DB Business'!$A:$S,MATCH($B30,'DB Business'!$A$1:$S$1,0),0)</f>
        <v/>
      </c>
      <c r="N30" s="2">
        <f>VLOOKUP(N$26,'DB Business'!$A:$S,MATCH($B30,'DB Business'!$A$1:$S$1,0),0)</f>
        <v/>
      </c>
      <c r="O30" s="2">
        <f>VLOOKUP(O$26,'DB Business'!$A:$S,MATCH($B30,'DB Business'!$A$1:$S$1,0),0)</f>
        <v/>
      </c>
      <c r="P30" s="2">
        <f>VLOOKUP(P$26,'DB Business'!$A:$S,MATCH($B30,'DB Business'!$A$1:$S$1,0),0)</f>
        <v/>
      </c>
      <c r="Q30" s="2">
        <f>VLOOKUP(Q$26,'DB Business'!$A:$S,MATCH($B30,'DB Business'!$A$1:$S$1,0),0)</f>
        <v/>
      </c>
      <c r="R30" s="2">
        <f>VLOOKUP(R$26,'DB Business'!$A:$S,MATCH($B30,'DB Business'!$A$1:$S$1,0),0)</f>
        <v/>
      </c>
      <c r="S30" s="2">
        <f>VLOOKUP(S$26,'DB Business'!$A:$S,MATCH($B30,'DB Business'!$A$1:$S$1,0),0)</f>
        <v/>
      </c>
      <c r="T30" s="2">
        <f>VLOOKUP(T$26,'DB Business'!$A:$S,MATCH($B30,'DB Business'!$A$1:$S$1,0),0)</f>
        <v/>
      </c>
      <c r="U30" s="2">
        <f>VLOOKUP(U$26,'DB Business'!$A:$S,MATCH($B30,'DB Business'!$A$1:$S$1,0),0)</f>
        <v/>
      </c>
      <c r="V30" s="2">
        <f>VLOOKUP(V$26,'DB Business'!$A:$S,MATCH($B30,'DB Business'!$A$1:$S$1,0),0)</f>
        <v/>
      </c>
      <c r="W30" s="2">
        <f>VLOOKUP(W$26,'DB Business'!$A:$S,MATCH($B30,'DB Business'!$A$1:$S$1,0),0)</f>
        <v/>
      </c>
      <c r="X30" s="2">
        <f>VLOOKUP(X$26,'DB Business'!$A:$S,MATCH($B30,'DB Business'!$A$1:$S$1,0),0)</f>
        <v/>
      </c>
      <c r="Y30" s="2">
        <f>VLOOKUP(Y$26,'DB Business'!$A:$S,MATCH($B30,'DB Business'!$A$1:$S$1,0),0)</f>
        <v/>
      </c>
      <c r="Z30" s="2">
        <f>VLOOKUP(Z$26,'DB Business'!$A:$S,MATCH($B30,'DB Business'!$A$1:$S$1,0),0)</f>
        <v/>
      </c>
      <c r="AA30" s="2">
        <f>VLOOKUP(AA$26,'DB Business'!$A:$S,MATCH($B30,'DB Business'!$A$1:$S$1,0),0)</f>
        <v/>
      </c>
      <c r="AB30" s="2">
        <f>VLOOKUP(AB$26,'DB Business'!$A:$S,MATCH($B30,'DB Business'!$A$1:$S$1,0),0)</f>
        <v/>
      </c>
      <c r="AD30" s="22">
        <f>AB30-AA30</f>
        <v/>
      </c>
      <c r="AE30" s="34">
        <f>AVERAGE(Z30:AB30)</f>
        <v/>
      </c>
      <c r="AF30" s="34">
        <f>AVERAGE(W30:AB30)</f>
        <v/>
      </c>
    </row>
    <row r="31">
      <c r="B31" s="3" t="inlineStr">
        <is>
          <t>Other Services</t>
        </is>
      </c>
      <c r="C31" s="2">
        <f>VLOOKUP(C$26,'DB Business'!$A:$S,MATCH($B31,'DB Business'!$A$1:$S$1,0),0)</f>
        <v/>
      </c>
      <c r="D31" s="2">
        <f>VLOOKUP(D$26,'DB Business'!$A:$S,MATCH($B31,'DB Business'!$A$1:$S$1,0),0)</f>
        <v/>
      </c>
      <c r="E31" s="2">
        <f>VLOOKUP(E$26,'DB Business'!$A:$S,MATCH($B31,'DB Business'!$A$1:$S$1,0),0)</f>
        <v/>
      </c>
      <c r="F31" s="2">
        <f>VLOOKUP(F$26,'DB Business'!$A:$S,MATCH($B31,'DB Business'!$A$1:$S$1,0),0)</f>
        <v/>
      </c>
      <c r="G31" s="2">
        <f>VLOOKUP(G$26,'DB Business'!$A:$S,MATCH($B31,'DB Business'!$A$1:$S$1,0),0)</f>
        <v/>
      </c>
      <c r="H31" s="2">
        <f>VLOOKUP(H$26,'DB Business'!$A:$S,MATCH($B31,'DB Business'!$A$1:$S$1,0),0)</f>
        <v/>
      </c>
      <c r="I31" s="2">
        <f>VLOOKUP(I$26,'DB Business'!$A:$S,MATCH($B31,'DB Business'!$A$1:$S$1,0),0)</f>
        <v/>
      </c>
      <c r="J31" s="2">
        <f>VLOOKUP(J$26,'DB Business'!$A:$S,MATCH($B31,'DB Business'!$A$1:$S$1,0),0)</f>
        <v/>
      </c>
      <c r="K31" s="2">
        <f>VLOOKUP(K$26,'DB Business'!$A:$S,MATCH($B31,'DB Business'!$A$1:$S$1,0),0)</f>
        <v/>
      </c>
      <c r="L31" s="2">
        <f>VLOOKUP(L$26,'DB Business'!$A:$S,MATCH($B31,'DB Business'!$A$1:$S$1,0),0)</f>
        <v/>
      </c>
      <c r="M31" s="2">
        <f>VLOOKUP(M$26,'DB Business'!$A:$S,MATCH($B31,'DB Business'!$A$1:$S$1,0),0)</f>
        <v/>
      </c>
      <c r="N31" s="2">
        <f>VLOOKUP(N$26,'DB Business'!$A:$S,MATCH($B31,'DB Business'!$A$1:$S$1,0),0)</f>
        <v/>
      </c>
      <c r="O31" s="2">
        <f>VLOOKUP(O$26,'DB Business'!$A:$S,MATCH($B31,'DB Business'!$A$1:$S$1,0),0)</f>
        <v/>
      </c>
      <c r="P31" s="2">
        <f>VLOOKUP(P$26,'DB Business'!$A:$S,MATCH($B31,'DB Business'!$A$1:$S$1,0),0)</f>
        <v/>
      </c>
      <c r="Q31" s="2">
        <f>VLOOKUP(Q$26,'DB Business'!$A:$S,MATCH($B31,'DB Business'!$A$1:$S$1,0),0)</f>
        <v/>
      </c>
      <c r="R31" s="2">
        <f>VLOOKUP(R$26,'DB Business'!$A:$S,MATCH($B31,'DB Business'!$A$1:$S$1,0),0)</f>
        <v/>
      </c>
      <c r="S31" s="2">
        <f>VLOOKUP(S$26,'DB Business'!$A:$S,MATCH($B31,'DB Business'!$A$1:$S$1,0),0)</f>
        <v/>
      </c>
      <c r="T31" s="2">
        <f>VLOOKUP(T$26,'DB Business'!$A:$S,MATCH($B31,'DB Business'!$A$1:$S$1,0),0)</f>
        <v/>
      </c>
      <c r="U31" s="2">
        <f>VLOOKUP(U$26,'DB Business'!$A:$S,MATCH($B31,'DB Business'!$A$1:$S$1,0),0)</f>
        <v/>
      </c>
      <c r="V31" s="2">
        <f>VLOOKUP(V$26,'DB Business'!$A:$S,MATCH($B31,'DB Business'!$A$1:$S$1,0),0)</f>
        <v/>
      </c>
      <c r="W31" s="2">
        <f>VLOOKUP(W$26,'DB Business'!$A:$S,MATCH($B31,'DB Business'!$A$1:$S$1,0),0)</f>
        <v/>
      </c>
      <c r="X31" s="2">
        <f>VLOOKUP(X$26,'DB Business'!$A:$S,MATCH($B31,'DB Business'!$A$1:$S$1,0),0)</f>
        <v/>
      </c>
      <c r="Y31" s="2">
        <f>VLOOKUP(Y$26,'DB Business'!$A:$S,MATCH($B31,'DB Business'!$A$1:$S$1,0),0)</f>
        <v/>
      </c>
      <c r="Z31" s="2">
        <f>VLOOKUP(Z$26,'DB Business'!$A:$S,MATCH($B31,'DB Business'!$A$1:$S$1,0),0)</f>
        <v/>
      </c>
      <c r="AA31" s="2">
        <f>VLOOKUP(AA$26,'DB Business'!$A:$S,MATCH($B31,'DB Business'!$A$1:$S$1,0),0)</f>
        <v/>
      </c>
      <c r="AB31" s="2">
        <f>VLOOKUP(AB$26,'DB Business'!$A:$S,MATCH($B31,'DB Business'!$A$1:$S$1,0),0)</f>
        <v/>
      </c>
      <c r="AD31" s="22">
        <f>AB31-AA31</f>
        <v/>
      </c>
      <c r="AE31" s="34">
        <f>AVERAGE(Z31:AB31)</f>
        <v/>
      </c>
      <c r="AF31" s="34">
        <f>AVERAGE(W31:AB31)</f>
        <v/>
      </c>
    </row>
    <row r="32">
      <c r="B32" s="3" t="inlineStr">
        <is>
          <t>Health Care &amp; Social Assistance</t>
        </is>
      </c>
      <c r="C32" s="2">
        <f>VLOOKUP(C$26,'DB Business'!$A:$S,MATCH($B32,'DB Business'!$A$1:$S$1,0),0)</f>
        <v/>
      </c>
      <c r="D32" s="2">
        <f>VLOOKUP(D$26,'DB Business'!$A:$S,MATCH($B32,'DB Business'!$A$1:$S$1,0),0)</f>
        <v/>
      </c>
      <c r="E32" s="2">
        <f>VLOOKUP(E$26,'DB Business'!$A:$S,MATCH($B32,'DB Business'!$A$1:$S$1,0),0)</f>
        <v/>
      </c>
      <c r="F32" s="2">
        <f>VLOOKUP(F$26,'DB Business'!$A:$S,MATCH($B32,'DB Business'!$A$1:$S$1,0),0)</f>
        <v/>
      </c>
      <c r="G32" s="2">
        <f>VLOOKUP(G$26,'DB Business'!$A:$S,MATCH($B32,'DB Business'!$A$1:$S$1,0),0)</f>
        <v/>
      </c>
      <c r="H32" s="2">
        <f>VLOOKUP(H$26,'DB Business'!$A:$S,MATCH($B32,'DB Business'!$A$1:$S$1,0),0)</f>
        <v/>
      </c>
      <c r="I32" s="2">
        <f>VLOOKUP(I$26,'DB Business'!$A:$S,MATCH($B32,'DB Business'!$A$1:$S$1,0),0)</f>
        <v/>
      </c>
      <c r="J32" s="2">
        <f>VLOOKUP(J$26,'DB Business'!$A:$S,MATCH($B32,'DB Business'!$A$1:$S$1,0),0)</f>
        <v/>
      </c>
      <c r="K32" s="2">
        <f>VLOOKUP(K$26,'DB Business'!$A:$S,MATCH($B32,'DB Business'!$A$1:$S$1,0),0)</f>
        <v/>
      </c>
      <c r="L32" s="2">
        <f>VLOOKUP(L$26,'DB Business'!$A:$S,MATCH($B32,'DB Business'!$A$1:$S$1,0),0)</f>
        <v/>
      </c>
      <c r="M32" s="2">
        <f>VLOOKUP(M$26,'DB Business'!$A:$S,MATCH($B32,'DB Business'!$A$1:$S$1,0),0)</f>
        <v/>
      </c>
      <c r="N32" s="2">
        <f>VLOOKUP(N$26,'DB Business'!$A:$S,MATCH($B32,'DB Business'!$A$1:$S$1,0),0)</f>
        <v/>
      </c>
      <c r="O32" s="2">
        <f>VLOOKUP(O$26,'DB Business'!$A:$S,MATCH($B32,'DB Business'!$A$1:$S$1,0),0)</f>
        <v/>
      </c>
      <c r="P32" s="2">
        <f>VLOOKUP(P$26,'DB Business'!$A:$S,MATCH($B32,'DB Business'!$A$1:$S$1,0),0)</f>
        <v/>
      </c>
      <c r="Q32" s="2">
        <f>VLOOKUP(Q$26,'DB Business'!$A:$S,MATCH($B32,'DB Business'!$A$1:$S$1,0),0)</f>
        <v/>
      </c>
      <c r="R32" s="2">
        <f>VLOOKUP(R$26,'DB Business'!$A:$S,MATCH($B32,'DB Business'!$A$1:$S$1,0),0)</f>
        <v/>
      </c>
      <c r="S32" s="2">
        <f>VLOOKUP(S$26,'DB Business'!$A:$S,MATCH($B32,'DB Business'!$A$1:$S$1,0),0)</f>
        <v/>
      </c>
      <c r="T32" s="2">
        <f>VLOOKUP(T$26,'DB Business'!$A:$S,MATCH($B32,'DB Business'!$A$1:$S$1,0),0)</f>
        <v/>
      </c>
      <c r="U32" s="2">
        <f>VLOOKUP(U$26,'DB Business'!$A:$S,MATCH($B32,'DB Business'!$A$1:$S$1,0),0)</f>
        <v/>
      </c>
      <c r="V32" s="2">
        <f>VLOOKUP(V$26,'DB Business'!$A:$S,MATCH($B32,'DB Business'!$A$1:$S$1,0),0)</f>
        <v/>
      </c>
      <c r="W32" s="2">
        <f>VLOOKUP(W$26,'DB Business'!$A:$S,MATCH($B32,'DB Business'!$A$1:$S$1,0),0)</f>
        <v/>
      </c>
      <c r="X32" s="2">
        <f>VLOOKUP(X$26,'DB Business'!$A:$S,MATCH($B32,'DB Business'!$A$1:$S$1,0),0)</f>
        <v/>
      </c>
      <c r="Y32" s="2">
        <f>VLOOKUP(Y$26,'DB Business'!$A:$S,MATCH($B32,'DB Business'!$A$1:$S$1,0),0)</f>
        <v/>
      </c>
      <c r="Z32" s="2">
        <f>VLOOKUP(Z$26,'DB Business'!$A:$S,MATCH($B32,'DB Business'!$A$1:$S$1,0),0)</f>
        <v/>
      </c>
      <c r="AA32" s="2">
        <f>VLOOKUP(AA$26,'DB Business'!$A:$S,MATCH($B32,'DB Business'!$A$1:$S$1,0),0)</f>
        <v/>
      </c>
      <c r="AB32" s="2">
        <f>VLOOKUP(AB$26,'DB Business'!$A:$S,MATCH($B32,'DB Business'!$A$1:$S$1,0),0)</f>
        <v/>
      </c>
      <c r="AD32" s="22">
        <f>AB32-AA32</f>
        <v/>
      </c>
      <c r="AE32" s="34">
        <f>AVERAGE(Z32:AB32)</f>
        <v/>
      </c>
      <c r="AF32" s="34">
        <f>AVERAGE(W32:AB32)</f>
        <v/>
      </c>
    </row>
    <row r="33">
      <c r="B33" s="3" t="inlineStr">
        <is>
          <t>Accommodation &amp; Food Services</t>
        </is>
      </c>
      <c r="C33" s="2">
        <f>VLOOKUP(C$26,'DB Business'!$A:$S,MATCH($B33,'DB Business'!$A$1:$S$1,0),0)</f>
        <v/>
      </c>
      <c r="D33" s="2">
        <f>VLOOKUP(D$26,'DB Business'!$A:$S,MATCH($B33,'DB Business'!$A$1:$S$1,0),0)</f>
        <v/>
      </c>
      <c r="E33" s="2">
        <f>VLOOKUP(E$26,'DB Business'!$A:$S,MATCH($B33,'DB Business'!$A$1:$S$1,0),0)</f>
        <v/>
      </c>
      <c r="F33" s="2">
        <f>VLOOKUP(F$26,'DB Business'!$A:$S,MATCH($B33,'DB Business'!$A$1:$S$1,0),0)</f>
        <v/>
      </c>
      <c r="G33" s="2">
        <f>VLOOKUP(G$26,'DB Business'!$A:$S,MATCH($B33,'DB Business'!$A$1:$S$1,0),0)</f>
        <v/>
      </c>
      <c r="H33" s="2">
        <f>VLOOKUP(H$26,'DB Business'!$A:$S,MATCH($B33,'DB Business'!$A$1:$S$1,0),0)</f>
        <v/>
      </c>
      <c r="I33" s="2">
        <f>VLOOKUP(I$26,'DB Business'!$A:$S,MATCH($B33,'DB Business'!$A$1:$S$1,0),0)</f>
        <v/>
      </c>
      <c r="J33" s="2">
        <f>VLOOKUP(J$26,'DB Business'!$A:$S,MATCH($B33,'DB Business'!$A$1:$S$1,0),0)</f>
        <v/>
      </c>
      <c r="K33" s="2">
        <f>VLOOKUP(K$26,'DB Business'!$A:$S,MATCH($B33,'DB Business'!$A$1:$S$1,0),0)</f>
        <v/>
      </c>
      <c r="L33" s="2">
        <f>VLOOKUP(L$26,'DB Business'!$A:$S,MATCH($B33,'DB Business'!$A$1:$S$1,0),0)</f>
        <v/>
      </c>
      <c r="M33" s="2">
        <f>VLOOKUP(M$26,'DB Business'!$A:$S,MATCH($B33,'DB Business'!$A$1:$S$1,0),0)</f>
        <v/>
      </c>
      <c r="N33" s="2">
        <f>VLOOKUP(N$26,'DB Business'!$A:$S,MATCH($B33,'DB Business'!$A$1:$S$1,0),0)</f>
        <v/>
      </c>
      <c r="O33" s="2">
        <f>VLOOKUP(O$26,'DB Business'!$A:$S,MATCH($B33,'DB Business'!$A$1:$S$1,0),0)</f>
        <v/>
      </c>
      <c r="P33" s="2">
        <f>VLOOKUP(P$26,'DB Business'!$A:$S,MATCH($B33,'DB Business'!$A$1:$S$1,0),0)</f>
        <v/>
      </c>
      <c r="Q33" s="2">
        <f>VLOOKUP(Q$26,'DB Business'!$A:$S,MATCH($B33,'DB Business'!$A$1:$S$1,0),0)</f>
        <v/>
      </c>
      <c r="R33" s="2">
        <f>VLOOKUP(R$26,'DB Business'!$A:$S,MATCH($B33,'DB Business'!$A$1:$S$1,0),0)</f>
        <v/>
      </c>
      <c r="S33" s="2">
        <f>VLOOKUP(S$26,'DB Business'!$A:$S,MATCH($B33,'DB Business'!$A$1:$S$1,0),0)</f>
        <v/>
      </c>
      <c r="T33" s="2">
        <f>VLOOKUP(T$26,'DB Business'!$A:$S,MATCH($B33,'DB Business'!$A$1:$S$1,0),0)</f>
        <v/>
      </c>
      <c r="U33" s="2">
        <f>VLOOKUP(U$26,'DB Business'!$A:$S,MATCH($B33,'DB Business'!$A$1:$S$1,0),0)</f>
        <v/>
      </c>
      <c r="V33" s="2">
        <f>VLOOKUP(V$26,'DB Business'!$A:$S,MATCH($B33,'DB Business'!$A$1:$S$1,0),0)</f>
        <v/>
      </c>
      <c r="W33" s="2">
        <f>VLOOKUP(W$26,'DB Business'!$A:$S,MATCH($B33,'DB Business'!$A$1:$S$1,0),0)</f>
        <v/>
      </c>
      <c r="X33" s="2">
        <f>VLOOKUP(X$26,'DB Business'!$A:$S,MATCH($B33,'DB Business'!$A$1:$S$1,0),0)</f>
        <v/>
      </c>
      <c r="Y33" s="2">
        <f>VLOOKUP(Y$26,'DB Business'!$A:$S,MATCH($B33,'DB Business'!$A$1:$S$1,0),0)</f>
        <v/>
      </c>
      <c r="Z33" s="2">
        <f>VLOOKUP(Z$26,'DB Business'!$A:$S,MATCH($B33,'DB Business'!$A$1:$S$1,0),0)</f>
        <v/>
      </c>
      <c r="AA33" s="2">
        <f>VLOOKUP(AA$26,'DB Business'!$A:$S,MATCH($B33,'DB Business'!$A$1:$S$1,0),0)</f>
        <v/>
      </c>
      <c r="AB33" s="2">
        <f>VLOOKUP(AB$26,'DB Business'!$A:$S,MATCH($B33,'DB Business'!$A$1:$S$1,0),0)</f>
        <v/>
      </c>
      <c r="AD33" s="22">
        <f>AB33-AA33</f>
        <v/>
      </c>
      <c r="AE33" s="34">
        <f>AVERAGE(Z33:AB33)</f>
        <v/>
      </c>
      <c r="AF33" s="34">
        <f>AVERAGE(W33:AB33)</f>
        <v/>
      </c>
    </row>
    <row r="34">
      <c r="B34" s="3" t="inlineStr">
        <is>
          <t>Transportation &amp; Warehousing</t>
        </is>
      </c>
      <c r="C34" s="2">
        <f>VLOOKUP(C$26,'DB Business'!$A:$S,MATCH($B34,'DB Business'!$A$1:$S$1,0),0)</f>
        <v/>
      </c>
      <c r="D34" s="2">
        <f>VLOOKUP(D$26,'DB Business'!$A:$S,MATCH($B34,'DB Business'!$A$1:$S$1,0),0)</f>
        <v/>
      </c>
      <c r="E34" s="2">
        <f>VLOOKUP(E$26,'DB Business'!$A:$S,MATCH($B34,'DB Business'!$A$1:$S$1,0),0)</f>
        <v/>
      </c>
      <c r="F34" s="2">
        <f>VLOOKUP(F$26,'DB Business'!$A:$S,MATCH($B34,'DB Business'!$A$1:$S$1,0),0)</f>
        <v/>
      </c>
      <c r="G34" s="2">
        <f>VLOOKUP(G$26,'DB Business'!$A:$S,MATCH($B34,'DB Business'!$A$1:$S$1,0),0)</f>
        <v/>
      </c>
      <c r="H34" s="2">
        <f>VLOOKUP(H$26,'DB Business'!$A:$S,MATCH($B34,'DB Business'!$A$1:$S$1,0),0)</f>
        <v/>
      </c>
      <c r="I34" s="2">
        <f>VLOOKUP(I$26,'DB Business'!$A:$S,MATCH($B34,'DB Business'!$A$1:$S$1,0),0)</f>
        <v/>
      </c>
      <c r="J34" s="2">
        <f>VLOOKUP(J$26,'DB Business'!$A:$S,MATCH($B34,'DB Business'!$A$1:$S$1,0),0)</f>
        <v/>
      </c>
      <c r="K34" s="2">
        <f>VLOOKUP(K$26,'DB Business'!$A:$S,MATCH($B34,'DB Business'!$A$1:$S$1,0),0)</f>
        <v/>
      </c>
      <c r="L34" s="2">
        <f>VLOOKUP(L$26,'DB Business'!$A:$S,MATCH($B34,'DB Business'!$A$1:$S$1,0),0)</f>
        <v/>
      </c>
      <c r="M34" s="2">
        <f>VLOOKUP(M$26,'DB Business'!$A:$S,MATCH($B34,'DB Business'!$A$1:$S$1,0),0)</f>
        <v/>
      </c>
      <c r="N34" s="2">
        <f>VLOOKUP(N$26,'DB Business'!$A:$S,MATCH($B34,'DB Business'!$A$1:$S$1,0),0)</f>
        <v/>
      </c>
      <c r="O34" s="2">
        <f>VLOOKUP(O$26,'DB Business'!$A:$S,MATCH($B34,'DB Business'!$A$1:$S$1,0),0)</f>
        <v/>
      </c>
      <c r="P34" s="2">
        <f>VLOOKUP(P$26,'DB Business'!$A:$S,MATCH($B34,'DB Business'!$A$1:$S$1,0),0)</f>
        <v/>
      </c>
      <c r="Q34" s="2">
        <f>VLOOKUP(Q$26,'DB Business'!$A:$S,MATCH($B34,'DB Business'!$A$1:$S$1,0),0)</f>
        <v/>
      </c>
      <c r="R34" s="2">
        <f>VLOOKUP(R$26,'DB Business'!$A:$S,MATCH($B34,'DB Business'!$A$1:$S$1,0),0)</f>
        <v/>
      </c>
      <c r="S34" s="2">
        <f>VLOOKUP(S$26,'DB Business'!$A:$S,MATCH($B34,'DB Business'!$A$1:$S$1,0),0)</f>
        <v/>
      </c>
      <c r="T34" s="2">
        <f>VLOOKUP(T$26,'DB Business'!$A:$S,MATCH($B34,'DB Business'!$A$1:$S$1,0),0)</f>
        <v/>
      </c>
      <c r="U34" s="2">
        <f>VLOOKUP(U$26,'DB Business'!$A:$S,MATCH($B34,'DB Business'!$A$1:$S$1,0),0)</f>
        <v/>
      </c>
      <c r="V34" s="2">
        <f>VLOOKUP(V$26,'DB Business'!$A:$S,MATCH($B34,'DB Business'!$A$1:$S$1,0),0)</f>
        <v/>
      </c>
      <c r="W34" s="2">
        <f>VLOOKUP(W$26,'DB Business'!$A:$S,MATCH($B34,'DB Business'!$A$1:$S$1,0),0)</f>
        <v/>
      </c>
      <c r="X34" s="2">
        <f>VLOOKUP(X$26,'DB Business'!$A:$S,MATCH($B34,'DB Business'!$A$1:$S$1,0),0)</f>
        <v/>
      </c>
      <c r="Y34" s="2">
        <f>VLOOKUP(Y$26,'DB Business'!$A:$S,MATCH($B34,'DB Business'!$A$1:$S$1,0),0)</f>
        <v/>
      </c>
      <c r="Z34" s="2">
        <f>VLOOKUP(Z$26,'DB Business'!$A:$S,MATCH($B34,'DB Business'!$A$1:$S$1,0),0)</f>
        <v/>
      </c>
      <c r="AA34" s="2">
        <f>VLOOKUP(AA$26,'DB Business'!$A:$S,MATCH($B34,'DB Business'!$A$1:$S$1,0),0)</f>
        <v/>
      </c>
      <c r="AB34" s="2">
        <f>VLOOKUP(AB$26,'DB Business'!$A:$S,MATCH($B34,'DB Business'!$A$1:$S$1,0),0)</f>
        <v/>
      </c>
      <c r="AD34" s="22">
        <f>AB34-AA34</f>
        <v/>
      </c>
      <c r="AE34" s="34">
        <f>AVERAGE(Z34:AB34)</f>
        <v/>
      </c>
      <c r="AF34" s="34">
        <f>AVERAGE(W34:AB34)</f>
        <v/>
      </c>
    </row>
    <row r="35">
      <c r="B35" s="3" t="inlineStr">
        <is>
          <t>Finance &amp; Insurance</t>
        </is>
      </c>
      <c r="C35" s="2">
        <f>VLOOKUP(C$26,'DB Business'!$A:$S,MATCH($B35,'DB Business'!$A$1:$S$1,0),0)</f>
        <v/>
      </c>
      <c r="D35" s="2">
        <f>VLOOKUP(D$26,'DB Business'!$A:$S,MATCH($B35,'DB Business'!$A$1:$S$1,0),0)</f>
        <v/>
      </c>
      <c r="E35" s="2">
        <f>VLOOKUP(E$26,'DB Business'!$A:$S,MATCH($B35,'DB Business'!$A$1:$S$1,0),0)</f>
        <v/>
      </c>
      <c r="F35" s="2">
        <f>VLOOKUP(F$26,'DB Business'!$A:$S,MATCH($B35,'DB Business'!$A$1:$S$1,0),0)</f>
        <v/>
      </c>
      <c r="G35" s="2">
        <f>VLOOKUP(G$26,'DB Business'!$A:$S,MATCH($B35,'DB Business'!$A$1:$S$1,0),0)</f>
        <v/>
      </c>
      <c r="H35" s="2">
        <f>VLOOKUP(H$26,'DB Business'!$A:$S,MATCH($B35,'DB Business'!$A$1:$S$1,0),0)</f>
        <v/>
      </c>
      <c r="I35" s="2">
        <f>VLOOKUP(I$26,'DB Business'!$A:$S,MATCH($B35,'DB Business'!$A$1:$S$1,0),0)</f>
        <v/>
      </c>
      <c r="J35" s="2">
        <f>VLOOKUP(J$26,'DB Business'!$A:$S,MATCH($B35,'DB Business'!$A$1:$S$1,0),0)</f>
        <v/>
      </c>
      <c r="K35" s="2">
        <f>VLOOKUP(K$26,'DB Business'!$A:$S,MATCH($B35,'DB Business'!$A$1:$S$1,0),0)</f>
        <v/>
      </c>
      <c r="L35" s="2">
        <f>VLOOKUP(L$26,'DB Business'!$A:$S,MATCH($B35,'DB Business'!$A$1:$S$1,0),0)</f>
        <v/>
      </c>
      <c r="M35" s="2">
        <f>VLOOKUP(M$26,'DB Business'!$A:$S,MATCH($B35,'DB Business'!$A$1:$S$1,0),0)</f>
        <v/>
      </c>
      <c r="N35" s="2">
        <f>VLOOKUP(N$26,'DB Business'!$A:$S,MATCH($B35,'DB Business'!$A$1:$S$1,0),0)</f>
        <v/>
      </c>
      <c r="O35" s="2">
        <f>VLOOKUP(O$26,'DB Business'!$A:$S,MATCH($B35,'DB Business'!$A$1:$S$1,0),0)</f>
        <v/>
      </c>
      <c r="P35" s="2">
        <f>VLOOKUP(P$26,'DB Business'!$A:$S,MATCH($B35,'DB Business'!$A$1:$S$1,0),0)</f>
        <v/>
      </c>
      <c r="Q35" s="2">
        <f>VLOOKUP(Q$26,'DB Business'!$A:$S,MATCH($B35,'DB Business'!$A$1:$S$1,0),0)</f>
        <v/>
      </c>
      <c r="R35" s="2">
        <f>VLOOKUP(R$26,'DB Business'!$A:$S,MATCH($B35,'DB Business'!$A$1:$S$1,0),0)</f>
        <v/>
      </c>
      <c r="S35" s="2">
        <f>VLOOKUP(S$26,'DB Business'!$A:$S,MATCH($B35,'DB Business'!$A$1:$S$1,0),0)</f>
        <v/>
      </c>
      <c r="T35" s="2">
        <f>VLOOKUP(T$26,'DB Business'!$A:$S,MATCH($B35,'DB Business'!$A$1:$S$1,0),0)</f>
        <v/>
      </c>
      <c r="U35" s="2">
        <f>VLOOKUP(U$26,'DB Business'!$A:$S,MATCH($B35,'DB Business'!$A$1:$S$1,0),0)</f>
        <v/>
      </c>
      <c r="V35" s="2">
        <f>VLOOKUP(V$26,'DB Business'!$A:$S,MATCH($B35,'DB Business'!$A$1:$S$1,0),0)</f>
        <v/>
      </c>
      <c r="W35" s="2">
        <f>VLOOKUP(W$26,'DB Business'!$A:$S,MATCH($B35,'DB Business'!$A$1:$S$1,0),0)</f>
        <v/>
      </c>
      <c r="X35" s="2">
        <f>VLOOKUP(X$26,'DB Business'!$A:$S,MATCH($B35,'DB Business'!$A$1:$S$1,0),0)</f>
        <v/>
      </c>
      <c r="Y35" s="2">
        <f>VLOOKUP(Y$26,'DB Business'!$A:$S,MATCH($B35,'DB Business'!$A$1:$S$1,0),0)</f>
        <v/>
      </c>
      <c r="Z35" s="2">
        <f>VLOOKUP(Z$26,'DB Business'!$A:$S,MATCH($B35,'DB Business'!$A$1:$S$1,0),0)</f>
        <v/>
      </c>
      <c r="AA35" s="2">
        <f>VLOOKUP(AA$26,'DB Business'!$A:$S,MATCH($B35,'DB Business'!$A$1:$S$1,0),0)</f>
        <v/>
      </c>
      <c r="AB35" s="2">
        <f>VLOOKUP(AB$26,'DB Business'!$A:$S,MATCH($B35,'DB Business'!$A$1:$S$1,0),0)</f>
        <v/>
      </c>
      <c r="AD35" s="22">
        <f>AB35-AA35</f>
        <v/>
      </c>
      <c r="AE35" s="34">
        <f>AVERAGE(Z35:AB35)</f>
        <v/>
      </c>
      <c r="AF35" s="34">
        <f>AVERAGE(W35:AB35)</f>
        <v/>
      </c>
    </row>
    <row r="36">
      <c r="B36" s="3" t="inlineStr">
        <is>
          <t>Real Estate, Rental &amp; Leasing</t>
        </is>
      </c>
      <c r="C36" s="2">
        <f>VLOOKUP(C$26,'DB Business'!$A:$S,MATCH($B36,'DB Business'!$A$1:$S$1,0),0)</f>
        <v/>
      </c>
      <c r="D36" s="2">
        <f>VLOOKUP(D$26,'DB Business'!$A:$S,MATCH($B36,'DB Business'!$A$1:$S$1,0),0)</f>
        <v/>
      </c>
      <c r="E36" s="2">
        <f>VLOOKUP(E$26,'DB Business'!$A:$S,MATCH($B36,'DB Business'!$A$1:$S$1,0),0)</f>
        <v/>
      </c>
      <c r="F36" s="2">
        <f>VLOOKUP(F$26,'DB Business'!$A:$S,MATCH($B36,'DB Business'!$A$1:$S$1,0),0)</f>
        <v/>
      </c>
      <c r="G36" s="2">
        <f>VLOOKUP(G$26,'DB Business'!$A:$S,MATCH($B36,'DB Business'!$A$1:$S$1,0),0)</f>
        <v/>
      </c>
      <c r="H36" s="2">
        <f>VLOOKUP(H$26,'DB Business'!$A:$S,MATCH($B36,'DB Business'!$A$1:$S$1,0),0)</f>
        <v/>
      </c>
      <c r="I36" s="2">
        <f>VLOOKUP(I$26,'DB Business'!$A:$S,MATCH($B36,'DB Business'!$A$1:$S$1,0),0)</f>
        <v/>
      </c>
      <c r="J36" s="2">
        <f>VLOOKUP(J$26,'DB Business'!$A:$S,MATCH($B36,'DB Business'!$A$1:$S$1,0),0)</f>
        <v/>
      </c>
      <c r="K36" s="2">
        <f>VLOOKUP(K$26,'DB Business'!$A:$S,MATCH($B36,'DB Business'!$A$1:$S$1,0),0)</f>
        <v/>
      </c>
      <c r="L36" s="2">
        <f>VLOOKUP(L$26,'DB Business'!$A:$S,MATCH($B36,'DB Business'!$A$1:$S$1,0),0)</f>
        <v/>
      </c>
      <c r="M36" s="2">
        <f>VLOOKUP(M$26,'DB Business'!$A:$S,MATCH($B36,'DB Business'!$A$1:$S$1,0),0)</f>
        <v/>
      </c>
      <c r="N36" s="2">
        <f>VLOOKUP(N$26,'DB Business'!$A:$S,MATCH($B36,'DB Business'!$A$1:$S$1,0),0)</f>
        <v/>
      </c>
      <c r="O36" s="2">
        <f>VLOOKUP(O$26,'DB Business'!$A:$S,MATCH($B36,'DB Business'!$A$1:$S$1,0),0)</f>
        <v/>
      </c>
      <c r="P36" s="2">
        <f>VLOOKUP(P$26,'DB Business'!$A:$S,MATCH($B36,'DB Business'!$A$1:$S$1,0),0)</f>
        <v/>
      </c>
      <c r="Q36" s="2">
        <f>VLOOKUP(Q$26,'DB Business'!$A:$S,MATCH($B36,'DB Business'!$A$1:$S$1,0),0)</f>
        <v/>
      </c>
      <c r="R36" s="2">
        <f>VLOOKUP(R$26,'DB Business'!$A:$S,MATCH($B36,'DB Business'!$A$1:$S$1,0),0)</f>
        <v/>
      </c>
      <c r="S36" s="2">
        <f>VLOOKUP(S$26,'DB Business'!$A:$S,MATCH($B36,'DB Business'!$A$1:$S$1,0),0)</f>
        <v/>
      </c>
      <c r="T36" s="2">
        <f>VLOOKUP(T$26,'DB Business'!$A:$S,MATCH($B36,'DB Business'!$A$1:$S$1,0),0)</f>
        <v/>
      </c>
      <c r="U36" s="2">
        <f>VLOOKUP(U$26,'DB Business'!$A:$S,MATCH($B36,'DB Business'!$A$1:$S$1,0),0)</f>
        <v/>
      </c>
      <c r="V36" s="2">
        <f>VLOOKUP(V$26,'DB Business'!$A:$S,MATCH($B36,'DB Business'!$A$1:$S$1,0),0)</f>
        <v/>
      </c>
      <c r="W36" s="2">
        <f>VLOOKUP(W$26,'DB Business'!$A:$S,MATCH($B36,'DB Business'!$A$1:$S$1,0),0)</f>
        <v/>
      </c>
      <c r="X36" s="2">
        <f>VLOOKUP(X$26,'DB Business'!$A:$S,MATCH($B36,'DB Business'!$A$1:$S$1,0),0)</f>
        <v/>
      </c>
      <c r="Y36" s="2">
        <f>VLOOKUP(Y$26,'DB Business'!$A:$S,MATCH($B36,'DB Business'!$A$1:$S$1,0),0)</f>
        <v/>
      </c>
      <c r="Z36" s="2">
        <f>VLOOKUP(Z$26,'DB Business'!$A:$S,MATCH($B36,'DB Business'!$A$1:$S$1,0),0)</f>
        <v/>
      </c>
      <c r="AA36" s="2">
        <f>VLOOKUP(AA$26,'DB Business'!$A:$S,MATCH($B36,'DB Business'!$A$1:$S$1,0),0)</f>
        <v/>
      </c>
      <c r="AB36" s="2">
        <f>VLOOKUP(AB$26,'DB Business'!$A:$S,MATCH($B36,'DB Business'!$A$1:$S$1,0),0)</f>
        <v/>
      </c>
      <c r="AD36" s="22">
        <f>AB36-AA36</f>
        <v/>
      </c>
      <c r="AE36" s="34">
        <f>AVERAGE(Z36:AB36)</f>
        <v/>
      </c>
      <c r="AF36" s="34">
        <f>AVERAGE(W36:AB36)</f>
        <v/>
      </c>
    </row>
    <row r="37">
      <c r="B37" s="3" t="inlineStr">
        <is>
          <t>Public Administration</t>
        </is>
      </c>
      <c r="C37" s="2">
        <f>VLOOKUP(C$26,'DB Business'!$A:$S,MATCH($B37,'DB Business'!$A$1:$S$1,0),0)</f>
        <v/>
      </c>
      <c r="D37" s="2">
        <f>VLOOKUP(D$26,'DB Business'!$A:$S,MATCH($B37,'DB Business'!$A$1:$S$1,0),0)</f>
        <v/>
      </c>
      <c r="E37" s="2">
        <f>VLOOKUP(E$26,'DB Business'!$A:$S,MATCH($B37,'DB Business'!$A$1:$S$1,0),0)</f>
        <v/>
      </c>
      <c r="F37" s="2">
        <f>VLOOKUP(F$26,'DB Business'!$A:$S,MATCH($B37,'DB Business'!$A$1:$S$1,0),0)</f>
        <v/>
      </c>
      <c r="G37" s="2">
        <f>VLOOKUP(G$26,'DB Business'!$A:$S,MATCH($B37,'DB Business'!$A$1:$S$1,0),0)</f>
        <v/>
      </c>
      <c r="H37" s="2">
        <f>VLOOKUP(H$26,'DB Business'!$A:$S,MATCH($B37,'DB Business'!$A$1:$S$1,0),0)</f>
        <v/>
      </c>
      <c r="I37" s="2">
        <f>VLOOKUP(I$26,'DB Business'!$A:$S,MATCH($B37,'DB Business'!$A$1:$S$1,0),0)</f>
        <v/>
      </c>
      <c r="J37" s="2">
        <f>VLOOKUP(J$26,'DB Business'!$A:$S,MATCH($B37,'DB Business'!$A$1:$S$1,0),0)</f>
        <v/>
      </c>
      <c r="K37" s="2">
        <f>VLOOKUP(K$26,'DB Business'!$A:$S,MATCH($B37,'DB Business'!$A$1:$S$1,0),0)</f>
        <v/>
      </c>
      <c r="L37" s="2">
        <f>VLOOKUP(L$26,'DB Business'!$A:$S,MATCH($B37,'DB Business'!$A$1:$S$1,0),0)</f>
        <v/>
      </c>
      <c r="M37" s="2">
        <f>VLOOKUP(M$26,'DB Business'!$A:$S,MATCH($B37,'DB Business'!$A$1:$S$1,0),0)</f>
        <v/>
      </c>
      <c r="N37" s="2">
        <f>VLOOKUP(N$26,'DB Business'!$A:$S,MATCH($B37,'DB Business'!$A$1:$S$1,0),0)</f>
        <v/>
      </c>
      <c r="O37" s="2">
        <f>VLOOKUP(O$26,'DB Business'!$A:$S,MATCH($B37,'DB Business'!$A$1:$S$1,0),0)</f>
        <v/>
      </c>
      <c r="P37" s="2">
        <f>VLOOKUP(P$26,'DB Business'!$A:$S,MATCH($B37,'DB Business'!$A$1:$S$1,0),0)</f>
        <v/>
      </c>
      <c r="Q37" s="2">
        <f>VLOOKUP(Q$26,'DB Business'!$A:$S,MATCH($B37,'DB Business'!$A$1:$S$1,0),0)</f>
        <v/>
      </c>
      <c r="R37" s="2">
        <f>VLOOKUP(R$26,'DB Business'!$A:$S,MATCH($B37,'DB Business'!$A$1:$S$1,0),0)</f>
        <v/>
      </c>
      <c r="S37" s="2">
        <f>VLOOKUP(S$26,'DB Business'!$A:$S,MATCH($B37,'DB Business'!$A$1:$S$1,0),0)</f>
        <v/>
      </c>
      <c r="T37" s="2">
        <f>VLOOKUP(T$26,'DB Business'!$A:$S,MATCH($B37,'DB Business'!$A$1:$S$1,0),0)</f>
        <v/>
      </c>
      <c r="U37" s="2">
        <f>VLOOKUP(U$26,'DB Business'!$A:$S,MATCH($B37,'DB Business'!$A$1:$S$1,0),0)</f>
        <v/>
      </c>
      <c r="V37" s="2">
        <f>VLOOKUP(V$26,'DB Business'!$A:$S,MATCH($B37,'DB Business'!$A$1:$S$1,0),0)</f>
        <v/>
      </c>
      <c r="W37" s="2">
        <f>VLOOKUP(W$26,'DB Business'!$A:$S,MATCH($B37,'DB Business'!$A$1:$S$1,0),0)</f>
        <v/>
      </c>
      <c r="X37" s="2">
        <f>VLOOKUP(X$26,'DB Business'!$A:$S,MATCH($B37,'DB Business'!$A$1:$S$1,0),0)</f>
        <v/>
      </c>
      <c r="Y37" s="2">
        <f>VLOOKUP(Y$26,'DB Business'!$A:$S,MATCH($B37,'DB Business'!$A$1:$S$1,0),0)</f>
        <v/>
      </c>
      <c r="Z37" s="2">
        <f>VLOOKUP(Z$26,'DB Business'!$A:$S,MATCH($B37,'DB Business'!$A$1:$S$1,0),0)</f>
        <v/>
      </c>
      <c r="AA37" s="2">
        <f>VLOOKUP(AA$26,'DB Business'!$A:$S,MATCH($B37,'DB Business'!$A$1:$S$1,0),0)</f>
        <v/>
      </c>
      <c r="AB37" s="2">
        <f>VLOOKUP(AB$26,'DB Business'!$A:$S,MATCH($B37,'DB Business'!$A$1:$S$1,0),0)</f>
        <v/>
      </c>
      <c r="AD37" s="22">
        <f>AB37-AA37</f>
        <v/>
      </c>
      <c r="AE37" s="34">
        <f>AVERAGE(Z37:AB37)</f>
        <v/>
      </c>
      <c r="AF37" s="34">
        <f>AVERAGE(W37:AB37)</f>
        <v/>
      </c>
    </row>
    <row r="38">
      <c r="B38" s="3" t="inlineStr">
        <is>
          <t>Agriculture, Forestry, Fishing &amp; Hunting</t>
        </is>
      </c>
      <c r="C38" s="2">
        <f>VLOOKUP(C$26,'DB Business'!$A:$S,MATCH($B38,'DB Business'!$A$1:$S$1,0),0)</f>
        <v/>
      </c>
      <c r="D38" s="2">
        <f>VLOOKUP(D$26,'DB Business'!$A:$S,MATCH($B38,'DB Business'!$A$1:$S$1,0),0)</f>
        <v/>
      </c>
      <c r="E38" s="2">
        <f>VLOOKUP(E$26,'DB Business'!$A:$S,MATCH($B38,'DB Business'!$A$1:$S$1,0),0)</f>
        <v/>
      </c>
      <c r="F38" s="2">
        <f>VLOOKUP(F$26,'DB Business'!$A:$S,MATCH($B38,'DB Business'!$A$1:$S$1,0),0)</f>
        <v/>
      </c>
      <c r="G38" s="2">
        <f>VLOOKUP(G$26,'DB Business'!$A:$S,MATCH($B38,'DB Business'!$A$1:$S$1,0),0)</f>
        <v/>
      </c>
      <c r="H38" s="2">
        <f>VLOOKUP(H$26,'DB Business'!$A:$S,MATCH($B38,'DB Business'!$A$1:$S$1,0),0)</f>
        <v/>
      </c>
      <c r="I38" s="2">
        <f>VLOOKUP(I$26,'DB Business'!$A:$S,MATCH($B38,'DB Business'!$A$1:$S$1,0),0)</f>
        <v/>
      </c>
      <c r="J38" s="2">
        <f>VLOOKUP(J$26,'DB Business'!$A:$S,MATCH($B38,'DB Business'!$A$1:$S$1,0),0)</f>
        <v/>
      </c>
      <c r="K38" s="2">
        <f>VLOOKUP(K$26,'DB Business'!$A:$S,MATCH($B38,'DB Business'!$A$1:$S$1,0),0)</f>
        <v/>
      </c>
      <c r="L38" s="2">
        <f>VLOOKUP(L$26,'DB Business'!$A:$S,MATCH($B38,'DB Business'!$A$1:$S$1,0),0)</f>
        <v/>
      </c>
      <c r="M38" s="2">
        <f>VLOOKUP(M$26,'DB Business'!$A:$S,MATCH($B38,'DB Business'!$A$1:$S$1,0),0)</f>
        <v/>
      </c>
      <c r="N38" s="2">
        <f>VLOOKUP(N$26,'DB Business'!$A:$S,MATCH($B38,'DB Business'!$A$1:$S$1,0),0)</f>
        <v/>
      </c>
      <c r="O38" s="2">
        <f>VLOOKUP(O$26,'DB Business'!$A:$S,MATCH($B38,'DB Business'!$A$1:$S$1,0),0)</f>
        <v/>
      </c>
      <c r="P38" s="2">
        <f>VLOOKUP(P$26,'DB Business'!$A:$S,MATCH($B38,'DB Business'!$A$1:$S$1,0),0)</f>
        <v/>
      </c>
      <c r="Q38" s="2">
        <f>VLOOKUP(Q$26,'DB Business'!$A:$S,MATCH($B38,'DB Business'!$A$1:$S$1,0),0)</f>
        <v/>
      </c>
      <c r="R38" s="2">
        <f>VLOOKUP(R$26,'DB Business'!$A:$S,MATCH($B38,'DB Business'!$A$1:$S$1,0),0)</f>
        <v/>
      </c>
      <c r="S38" s="2">
        <f>VLOOKUP(S$26,'DB Business'!$A:$S,MATCH($B38,'DB Business'!$A$1:$S$1,0),0)</f>
        <v/>
      </c>
      <c r="T38" s="2">
        <f>VLOOKUP(T$26,'DB Business'!$A:$S,MATCH($B38,'DB Business'!$A$1:$S$1,0),0)</f>
        <v/>
      </c>
      <c r="U38" s="2">
        <f>VLOOKUP(U$26,'DB Business'!$A:$S,MATCH($B38,'DB Business'!$A$1:$S$1,0),0)</f>
        <v/>
      </c>
      <c r="V38" s="2">
        <f>VLOOKUP(V$26,'DB Business'!$A:$S,MATCH($B38,'DB Business'!$A$1:$S$1,0),0)</f>
        <v/>
      </c>
      <c r="W38" s="2">
        <f>VLOOKUP(W$26,'DB Business'!$A:$S,MATCH($B38,'DB Business'!$A$1:$S$1,0),0)</f>
        <v/>
      </c>
      <c r="X38" s="2">
        <f>VLOOKUP(X$26,'DB Business'!$A:$S,MATCH($B38,'DB Business'!$A$1:$S$1,0),0)</f>
        <v/>
      </c>
      <c r="Y38" s="2">
        <f>VLOOKUP(Y$26,'DB Business'!$A:$S,MATCH($B38,'DB Business'!$A$1:$S$1,0),0)</f>
        <v/>
      </c>
      <c r="Z38" s="2">
        <f>VLOOKUP(Z$26,'DB Business'!$A:$S,MATCH($B38,'DB Business'!$A$1:$S$1,0),0)</f>
        <v/>
      </c>
      <c r="AA38" s="2">
        <f>VLOOKUP(AA$26,'DB Business'!$A:$S,MATCH($B38,'DB Business'!$A$1:$S$1,0),0)</f>
        <v/>
      </c>
      <c r="AB38" s="2">
        <f>VLOOKUP(AB$26,'DB Business'!$A:$S,MATCH($B38,'DB Business'!$A$1:$S$1,0),0)</f>
        <v/>
      </c>
      <c r="AD38" s="22">
        <f>AB38-AA38</f>
        <v/>
      </c>
      <c r="AE38" s="34">
        <f>AVERAGE(Z38:AB38)</f>
        <v/>
      </c>
      <c r="AF38" s="34">
        <f>AVERAGE(W38:AB38)</f>
        <v/>
      </c>
    </row>
    <row r="39">
      <c r="B39" s="3" t="inlineStr">
        <is>
          <t>Construction</t>
        </is>
      </c>
      <c r="C39" s="2">
        <f>VLOOKUP(C$26,'DB Business'!$A:$S,MATCH($B39,'DB Business'!$A$1:$S$1,0),0)</f>
        <v/>
      </c>
      <c r="D39" s="2">
        <f>VLOOKUP(D$26,'DB Business'!$A:$S,MATCH($B39,'DB Business'!$A$1:$S$1,0),0)</f>
        <v/>
      </c>
      <c r="E39" s="2">
        <f>VLOOKUP(E$26,'DB Business'!$A:$S,MATCH($B39,'DB Business'!$A$1:$S$1,0),0)</f>
        <v/>
      </c>
      <c r="F39" s="2">
        <f>VLOOKUP(F$26,'DB Business'!$A:$S,MATCH($B39,'DB Business'!$A$1:$S$1,0),0)</f>
        <v/>
      </c>
      <c r="G39" s="2">
        <f>VLOOKUP(G$26,'DB Business'!$A:$S,MATCH($B39,'DB Business'!$A$1:$S$1,0),0)</f>
        <v/>
      </c>
      <c r="H39" s="2">
        <f>VLOOKUP(H$26,'DB Business'!$A:$S,MATCH($B39,'DB Business'!$A$1:$S$1,0),0)</f>
        <v/>
      </c>
      <c r="I39" s="2">
        <f>VLOOKUP(I$26,'DB Business'!$A:$S,MATCH($B39,'DB Business'!$A$1:$S$1,0),0)</f>
        <v/>
      </c>
      <c r="J39" s="2">
        <f>VLOOKUP(J$26,'DB Business'!$A:$S,MATCH($B39,'DB Business'!$A$1:$S$1,0),0)</f>
        <v/>
      </c>
      <c r="K39" s="2">
        <f>VLOOKUP(K$26,'DB Business'!$A:$S,MATCH($B39,'DB Business'!$A$1:$S$1,0),0)</f>
        <v/>
      </c>
      <c r="L39" s="2">
        <f>VLOOKUP(L$26,'DB Business'!$A:$S,MATCH($B39,'DB Business'!$A$1:$S$1,0),0)</f>
        <v/>
      </c>
      <c r="M39" s="2">
        <f>VLOOKUP(M$26,'DB Business'!$A:$S,MATCH($B39,'DB Business'!$A$1:$S$1,0),0)</f>
        <v/>
      </c>
      <c r="N39" s="2">
        <f>VLOOKUP(N$26,'DB Business'!$A:$S,MATCH($B39,'DB Business'!$A$1:$S$1,0),0)</f>
        <v/>
      </c>
      <c r="O39" s="2">
        <f>VLOOKUP(O$26,'DB Business'!$A:$S,MATCH($B39,'DB Business'!$A$1:$S$1,0),0)</f>
        <v/>
      </c>
      <c r="P39" s="2">
        <f>VLOOKUP(P$26,'DB Business'!$A:$S,MATCH($B39,'DB Business'!$A$1:$S$1,0),0)</f>
        <v/>
      </c>
      <c r="Q39" s="2">
        <f>VLOOKUP(Q$26,'DB Business'!$A:$S,MATCH($B39,'DB Business'!$A$1:$S$1,0),0)</f>
        <v/>
      </c>
      <c r="R39" s="2">
        <f>VLOOKUP(R$26,'DB Business'!$A:$S,MATCH($B39,'DB Business'!$A$1:$S$1,0),0)</f>
        <v/>
      </c>
      <c r="S39" s="2">
        <f>VLOOKUP(S$26,'DB Business'!$A:$S,MATCH($B39,'DB Business'!$A$1:$S$1,0),0)</f>
        <v/>
      </c>
      <c r="T39" s="2">
        <f>VLOOKUP(T$26,'DB Business'!$A:$S,MATCH($B39,'DB Business'!$A$1:$S$1,0),0)</f>
        <v/>
      </c>
      <c r="U39" s="2">
        <f>VLOOKUP(U$26,'DB Business'!$A:$S,MATCH($B39,'DB Business'!$A$1:$S$1,0),0)</f>
        <v/>
      </c>
      <c r="V39" s="2">
        <f>VLOOKUP(V$26,'DB Business'!$A:$S,MATCH($B39,'DB Business'!$A$1:$S$1,0),0)</f>
        <v/>
      </c>
      <c r="W39" s="2">
        <f>VLOOKUP(W$26,'DB Business'!$A:$S,MATCH($B39,'DB Business'!$A$1:$S$1,0),0)</f>
        <v/>
      </c>
      <c r="X39" s="2">
        <f>VLOOKUP(X$26,'DB Business'!$A:$S,MATCH($B39,'DB Business'!$A$1:$S$1,0),0)</f>
        <v/>
      </c>
      <c r="Y39" s="2">
        <f>VLOOKUP(Y$26,'DB Business'!$A:$S,MATCH($B39,'DB Business'!$A$1:$S$1,0),0)</f>
        <v/>
      </c>
      <c r="Z39" s="2">
        <f>VLOOKUP(Z$26,'DB Business'!$A:$S,MATCH($B39,'DB Business'!$A$1:$S$1,0),0)</f>
        <v/>
      </c>
      <c r="AA39" s="2">
        <f>VLOOKUP(AA$26,'DB Business'!$A:$S,MATCH($B39,'DB Business'!$A$1:$S$1,0),0)</f>
        <v/>
      </c>
      <c r="AB39" s="2">
        <f>VLOOKUP(AB$26,'DB Business'!$A:$S,MATCH($B39,'DB Business'!$A$1:$S$1,0),0)</f>
        <v/>
      </c>
      <c r="AD39" s="22">
        <f>AB39-AA39</f>
        <v/>
      </c>
      <c r="AE39" s="34">
        <f>AVERAGE(Z39:AB39)</f>
        <v/>
      </c>
      <c r="AF39" s="34">
        <f>AVERAGE(W39:AB39)</f>
        <v/>
      </c>
    </row>
    <row r="40">
      <c r="B40" s="3" t="inlineStr">
        <is>
          <t>Professional, Scientific &amp; Technical Services</t>
        </is>
      </c>
      <c r="C40" s="2">
        <f>VLOOKUP(C$26,'DB Business'!$A:$S,MATCH($B40,'DB Business'!$A$1:$S$1,0),0)</f>
        <v/>
      </c>
      <c r="D40" s="2">
        <f>VLOOKUP(D$26,'DB Business'!$A:$S,MATCH($B40,'DB Business'!$A$1:$S$1,0),0)</f>
        <v/>
      </c>
      <c r="E40" s="2">
        <f>VLOOKUP(E$26,'DB Business'!$A:$S,MATCH($B40,'DB Business'!$A$1:$S$1,0),0)</f>
        <v/>
      </c>
      <c r="F40" s="2">
        <f>VLOOKUP(F$26,'DB Business'!$A:$S,MATCH($B40,'DB Business'!$A$1:$S$1,0),0)</f>
        <v/>
      </c>
      <c r="G40" s="2">
        <f>VLOOKUP(G$26,'DB Business'!$A:$S,MATCH($B40,'DB Business'!$A$1:$S$1,0),0)</f>
        <v/>
      </c>
      <c r="H40" s="2">
        <f>VLOOKUP(H$26,'DB Business'!$A:$S,MATCH($B40,'DB Business'!$A$1:$S$1,0),0)</f>
        <v/>
      </c>
      <c r="I40" s="2">
        <f>VLOOKUP(I$26,'DB Business'!$A:$S,MATCH($B40,'DB Business'!$A$1:$S$1,0),0)</f>
        <v/>
      </c>
      <c r="J40" s="2">
        <f>VLOOKUP(J$26,'DB Business'!$A:$S,MATCH($B40,'DB Business'!$A$1:$S$1,0),0)</f>
        <v/>
      </c>
      <c r="K40" s="2">
        <f>VLOOKUP(K$26,'DB Business'!$A:$S,MATCH($B40,'DB Business'!$A$1:$S$1,0),0)</f>
        <v/>
      </c>
      <c r="L40" s="2">
        <f>VLOOKUP(L$26,'DB Business'!$A:$S,MATCH($B40,'DB Business'!$A$1:$S$1,0),0)</f>
        <v/>
      </c>
      <c r="M40" s="2">
        <f>VLOOKUP(M$26,'DB Business'!$A:$S,MATCH($B40,'DB Business'!$A$1:$S$1,0),0)</f>
        <v/>
      </c>
      <c r="N40" s="2">
        <f>VLOOKUP(N$26,'DB Business'!$A:$S,MATCH($B40,'DB Business'!$A$1:$S$1,0),0)</f>
        <v/>
      </c>
      <c r="O40" s="2">
        <f>VLOOKUP(O$26,'DB Business'!$A:$S,MATCH($B40,'DB Business'!$A$1:$S$1,0),0)</f>
        <v/>
      </c>
      <c r="P40" s="2">
        <f>VLOOKUP(P$26,'DB Business'!$A:$S,MATCH($B40,'DB Business'!$A$1:$S$1,0),0)</f>
        <v/>
      </c>
      <c r="Q40" s="2">
        <f>VLOOKUP(Q$26,'DB Business'!$A:$S,MATCH($B40,'DB Business'!$A$1:$S$1,0),0)</f>
        <v/>
      </c>
      <c r="R40" s="2">
        <f>VLOOKUP(R$26,'DB Business'!$A:$S,MATCH($B40,'DB Business'!$A$1:$S$1,0),0)</f>
        <v/>
      </c>
      <c r="S40" s="2">
        <f>VLOOKUP(S$26,'DB Business'!$A:$S,MATCH($B40,'DB Business'!$A$1:$S$1,0),0)</f>
        <v/>
      </c>
      <c r="T40" s="2">
        <f>VLOOKUP(T$26,'DB Business'!$A:$S,MATCH($B40,'DB Business'!$A$1:$S$1,0),0)</f>
        <v/>
      </c>
      <c r="U40" s="2">
        <f>VLOOKUP(U$26,'DB Business'!$A:$S,MATCH($B40,'DB Business'!$A$1:$S$1,0),0)</f>
        <v/>
      </c>
      <c r="V40" s="2">
        <f>VLOOKUP(V$26,'DB Business'!$A:$S,MATCH($B40,'DB Business'!$A$1:$S$1,0),0)</f>
        <v/>
      </c>
      <c r="W40" s="2">
        <f>VLOOKUP(W$26,'DB Business'!$A:$S,MATCH($B40,'DB Business'!$A$1:$S$1,0),0)</f>
        <v/>
      </c>
      <c r="X40" s="2">
        <f>VLOOKUP(X$26,'DB Business'!$A:$S,MATCH($B40,'DB Business'!$A$1:$S$1,0),0)</f>
        <v/>
      </c>
      <c r="Y40" s="2">
        <f>VLOOKUP(Y$26,'DB Business'!$A:$S,MATCH($B40,'DB Business'!$A$1:$S$1,0),0)</f>
        <v/>
      </c>
      <c r="Z40" s="2">
        <f>VLOOKUP(Z$26,'DB Business'!$A:$S,MATCH($B40,'DB Business'!$A$1:$S$1,0),0)</f>
        <v/>
      </c>
      <c r="AA40" s="2">
        <f>VLOOKUP(AA$26,'DB Business'!$A:$S,MATCH($B40,'DB Business'!$A$1:$S$1,0),0)</f>
        <v/>
      </c>
      <c r="AB40" s="2">
        <f>VLOOKUP(AB$26,'DB Business'!$A:$S,MATCH($B40,'DB Business'!$A$1:$S$1,0),0)</f>
        <v/>
      </c>
      <c r="AD40" s="22">
        <f>AB40-AA40</f>
        <v/>
      </c>
      <c r="AE40" s="34">
        <f>AVERAGE(Z40:AB40)</f>
        <v/>
      </c>
      <c r="AF40" s="34">
        <f>AVERAGE(W40:AB40)</f>
        <v/>
      </c>
    </row>
    <row r="41">
      <c r="B41" s="3" t="inlineStr">
        <is>
          <t>Wholesale Trade</t>
        </is>
      </c>
      <c r="C41" s="2">
        <f>VLOOKUP(C$26,'DB Business'!$A:$S,MATCH($B41,'DB Business'!$A$1:$S$1,0),0)</f>
        <v/>
      </c>
      <c r="D41" s="2">
        <f>VLOOKUP(D$26,'DB Business'!$A:$S,MATCH($B41,'DB Business'!$A$1:$S$1,0),0)</f>
        <v/>
      </c>
      <c r="E41" s="2">
        <f>VLOOKUP(E$26,'DB Business'!$A:$S,MATCH($B41,'DB Business'!$A$1:$S$1,0),0)</f>
        <v/>
      </c>
      <c r="F41" s="2">
        <f>VLOOKUP(F$26,'DB Business'!$A:$S,MATCH($B41,'DB Business'!$A$1:$S$1,0),0)</f>
        <v/>
      </c>
      <c r="G41" s="2">
        <f>VLOOKUP(G$26,'DB Business'!$A:$S,MATCH($B41,'DB Business'!$A$1:$S$1,0),0)</f>
        <v/>
      </c>
      <c r="H41" s="2">
        <f>VLOOKUP(H$26,'DB Business'!$A:$S,MATCH($B41,'DB Business'!$A$1:$S$1,0),0)</f>
        <v/>
      </c>
      <c r="I41" s="2">
        <f>VLOOKUP(I$26,'DB Business'!$A:$S,MATCH($B41,'DB Business'!$A$1:$S$1,0),0)</f>
        <v/>
      </c>
      <c r="J41" s="2">
        <f>VLOOKUP(J$26,'DB Business'!$A:$S,MATCH($B41,'DB Business'!$A$1:$S$1,0),0)</f>
        <v/>
      </c>
      <c r="K41" s="2">
        <f>VLOOKUP(K$26,'DB Business'!$A:$S,MATCH($B41,'DB Business'!$A$1:$S$1,0),0)</f>
        <v/>
      </c>
      <c r="L41" s="2">
        <f>VLOOKUP(L$26,'DB Business'!$A:$S,MATCH($B41,'DB Business'!$A$1:$S$1,0),0)</f>
        <v/>
      </c>
      <c r="M41" s="2">
        <f>VLOOKUP(M$26,'DB Business'!$A:$S,MATCH($B41,'DB Business'!$A$1:$S$1,0),0)</f>
        <v/>
      </c>
      <c r="N41" s="2">
        <f>VLOOKUP(N$26,'DB Business'!$A:$S,MATCH($B41,'DB Business'!$A$1:$S$1,0),0)</f>
        <v/>
      </c>
      <c r="O41" s="2">
        <f>VLOOKUP(O$26,'DB Business'!$A:$S,MATCH($B41,'DB Business'!$A$1:$S$1,0),0)</f>
        <v/>
      </c>
      <c r="P41" s="2">
        <f>VLOOKUP(P$26,'DB Business'!$A:$S,MATCH($B41,'DB Business'!$A$1:$S$1,0),0)</f>
        <v/>
      </c>
      <c r="Q41" s="2">
        <f>VLOOKUP(Q$26,'DB Business'!$A:$S,MATCH($B41,'DB Business'!$A$1:$S$1,0),0)</f>
        <v/>
      </c>
      <c r="R41" s="2">
        <f>VLOOKUP(R$26,'DB Business'!$A:$S,MATCH($B41,'DB Business'!$A$1:$S$1,0),0)</f>
        <v/>
      </c>
      <c r="S41" s="2">
        <f>VLOOKUP(S$26,'DB Business'!$A:$S,MATCH($B41,'DB Business'!$A$1:$S$1,0),0)</f>
        <v/>
      </c>
      <c r="T41" s="2">
        <f>VLOOKUP(T$26,'DB Business'!$A:$S,MATCH($B41,'DB Business'!$A$1:$S$1,0),0)</f>
        <v/>
      </c>
      <c r="U41" s="2">
        <f>VLOOKUP(U$26,'DB Business'!$A:$S,MATCH($B41,'DB Business'!$A$1:$S$1,0),0)</f>
        <v/>
      </c>
      <c r="V41" s="2">
        <f>VLOOKUP(V$26,'DB Business'!$A:$S,MATCH($B41,'DB Business'!$A$1:$S$1,0),0)</f>
        <v/>
      </c>
      <c r="W41" s="2">
        <f>VLOOKUP(W$26,'DB Business'!$A:$S,MATCH($B41,'DB Business'!$A$1:$S$1,0),0)</f>
        <v/>
      </c>
      <c r="X41" s="2">
        <f>VLOOKUP(X$26,'DB Business'!$A:$S,MATCH($B41,'DB Business'!$A$1:$S$1,0),0)</f>
        <v/>
      </c>
      <c r="Y41" s="2">
        <f>VLOOKUP(Y$26,'DB Business'!$A:$S,MATCH($B41,'DB Business'!$A$1:$S$1,0),0)</f>
        <v/>
      </c>
      <c r="Z41" s="2">
        <f>VLOOKUP(Z$26,'DB Business'!$A:$S,MATCH($B41,'DB Business'!$A$1:$S$1,0),0)</f>
        <v/>
      </c>
      <c r="AA41" s="2">
        <f>VLOOKUP(AA$26,'DB Business'!$A:$S,MATCH($B41,'DB Business'!$A$1:$S$1,0),0)</f>
        <v/>
      </c>
      <c r="AB41" s="2">
        <f>VLOOKUP(AB$26,'DB Business'!$A:$S,MATCH($B41,'DB Business'!$A$1:$S$1,0),0)</f>
        <v/>
      </c>
      <c r="AD41" s="22">
        <f>AB41-AA41</f>
        <v/>
      </c>
      <c r="AE41" s="34">
        <f>AVERAGE(Z41:AB41)</f>
        <v/>
      </c>
      <c r="AF41" s="34">
        <f>AVERAGE(W41:AB41)</f>
        <v/>
      </c>
    </row>
    <row r="42">
      <c r="B42" s="3" t="inlineStr">
        <is>
          <t>Management of Companies &amp; Support Services</t>
        </is>
      </c>
      <c r="C42" s="2">
        <f>VLOOKUP(C$26,'DB Business'!$A:$S,MATCH($B42,'DB Business'!$A$1:$S$1,0),0)</f>
        <v/>
      </c>
      <c r="D42" s="2">
        <f>VLOOKUP(D$26,'DB Business'!$A:$S,MATCH($B42,'DB Business'!$A$1:$S$1,0),0)</f>
        <v/>
      </c>
      <c r="E42" s="2">
        <f>VLOOKUP(E$26,'DB Business'!$A:$S,MATCH($B42,'DB Business'!$A$1:$S$1,0),0)</f>
        <v/>
      </c>
      <c r="F42" s="2">
        <f>VLOOKUP(F$26,'DB Business'!$A:$S,MATCH($B42,'DB Business'!$A$1:$S$1,0),0)</f>
        <v/>
      </c>
      <c r="G42" s="2">
        <f>VLOOKUP(G$26,'DB Business'!$A:$S,MATCH($B42,'DB Business'!$A$1:$S$1,0),0)</f>
        <v/>
      </c>
      <c r="H42" s="2">
        <f>VLOOKUP(H$26,'DB Business'!$A:$S,MATCH($B42,'DB Business'!$A$1:$S$1,0),0)</f>
        <v/>
      </c>
      <c r="I42" s="2">
        <f>VLOOKUP(I$26,'DB Business'!$A:$S,MATCH($B42,'DB Business'!$A$1:$S$1,0),0)</f>
        <v/>
      </c>
      <c r="J42" s="2">
        <f>VLOOKUP(J$26,'DB Business'!$A:$S,MATCH($B42,'DB Business'!$A$1:$S$1,0),0)</f>
        <v/>
      </c>
      <c r="K42" s="2">
        <f>VLOOKUP(K$26,'DB Business'!$A:$S,MATCH($B42,'DB Business'!$A$1:$S$1,0),0)</f>
        <v/>
      </c>
      <c r="L42" s="2">
        <f>VLOOKUP(L$26,'DB Business'!$A:$S,MATCH($B42,'DB Business'!$A$1:$S$1,0),0)</f>
        <v/>
      </c>
      <c r="M42" s="2">
        <f>VLOOKUP(M$26,'DB Business'!$A:$S,MATCH($B42,'DB Business'!$A$1:$S$1,0),0)</f>
        <v/>
      </c>
      <c r="N42" s="2">
        <f>VLOOKUP(N$26,'DB Business'!$A:$S,MATCH($B42,'DB Business'!$A$1:$S$1,0),0)</f>
        <v/>
      </c>
      <c r="O42" s="2">
        <f>VLOOKUP(O$26,'DB Business'!$A:$S,MATCH($B42,'DB Business'!$A$1:$S$1,0),0)</f>
        <v/>
      </c>
      <c r="P42" s="2">
        <f>VLOOKUP(P$26,'DB Business'!$A:$S,MATCH($B42,'DB Business'!$A$1:$S$1,0),0)</f>
        <v/>
      </c>
      <c r="Q42" s="2">
        <f>VLOOKUP(Q$26,'DB Business'!$A:$S,MATCH($B42,'DB Business'!$A$1:$S$1,0),0)</f>
        <v/>
      </c>
      <c r="R42" s="2">
        <f>VLOOKUP(R$26,'DB Business'!$A:$S,MATCH($B42,'DB Business'!$A$1:$S$1,0),0)</f>
        <v/>
      </c>
      <c r="S42" s="2">
        <f>VLOOKUP(S$26,'DB Business'!$A:$S,MATCH($B42,'DB Business'!$A$1:$S$1,0),0)</f>
        <v/>
      </c>
      <c r="T42" s="2">
        <f>VLOOKUP(T$26,'DB Business'!$A:$S,MATCH($B42,'DB Business'!$A$1:$S$1,0),0)</f>
        <v/>
      </c>
      <c r="U42" s="2">
        <f>VLOOKUP(U$26,'DB Business'!$A:$S,MATCH($B42,'DB Business'!$A$1:$S$1,0),0)</f>
        <v/>
      </c>
      <c r="V42" s="2">
        <f>VLOOKUP(V$26,'DB Business'!$A:$S,MATCH($B42,'DB Business'!$A$1:$S$1,0),0)</f>
        <v/>
      </c>
      <c r="W42" s="2">
        <f>VLOOKUP(W$26,'DB Business'!$A:$S,MATCH($B42,'DB Business'!$A$1:$S$1,0),0)</f>
        <v/>
      </c>
      <c r="X42" s="2">
        <f>VLOOKUP(X$26,'DB Business'!$A:$S,MATCH($B42,'DB Business'!$A$1:$S$1,0),0)</f>
        <v/>
      </c>
      <c r="Y42" s="2">
        <f>VLOOKUP(Y$26,'DB Business'!$A:$S,MATCH($B42,'DB Business'!$A$1:$S$1,0),0)</f>
        <v/>
      </c>
      <c r="Z42" s="2">
        <f>VLOOKUP(Z$26,'DB Business'!$A:$S,MATCH($B42,'DB Business'!$A$1:$S$1,0),0)</f>
        <v/>
      </c>
      <c r="AA42" s="2">
        <f>VLOOKUP(AA$26,'DB Business'!$A:$S,MATCH($B42,'DB Business'!$A$1:$S$1,0),0)</f>
        <v/>
      </c>
      <c r="AB42" s="2">
        <f>VLOOKUP(AB$26,'DB Business'!$A:$S,MATCH($B42,'DB Business'!$A$1:$S$1,0),0)</f>
        <v/>
      </c>
      <c r="AD42" s="22">
        <f>AB42-AA42</f>
        <v/>
      </c>
      <c r="AE42" s="34">
        <f>AVERAGE(Z42:AB42)</f>
        <v/>
      </c>
      <c r="AF42" s="34">
        <f>AVERAGE(W42:AB42)</f>
        <v/>
      </c>
    </row>
    <row r="43">
      <c r="B43" s="3" t="inlineStr">
        <is>
          <t>Mining</t>
        </is>
      </c>
      <c r="C43" s="2">
        <f>VLOOKUP(C$26,'DB Business'!$A:$S,MATCH($B43,'DB Business'!$A$1:$S$1,0),0)</f>
        <v/>
      </c>
      <c r="D43" s="2">
        <f>VLOOKUP(D$26,'DB Business'!$A:$S,MATCH($B43,'DB Business'!$A$1:$S$1,0),0)</f>
        <v/>
      </c>
      <c r="E43" s="2">
        <f>VLOOKUP(E$26,'DB Business'!$A:$S,MATCH($B43,'DB Business'!$A$1:$S$1,0),0)</f>
        <v/>
      </c>
      <c r="F43" s="2">
        <f>VLOOKUP(F$26,'DB Business'!$A:$S,MATCH($B43,'DB Business'!$A$1:$S$1,0),0)</f>
        <v/>
      </c>
      <c r="G43" s="2">
        <f>VLOOKUP(G$26,'DB Business'!$A:$S,MATCH($B43,'DB Business'!$A$1:$S$1,0),0)</f>
        <v/>
      </c>
      <c r="H43" s="2">
        <f>VLOOKUP(H$26,'DB Business'!$A:$S,MATCH($B43,'DB Business'!$A$1:$S$1,0),0)</f>
        <v/>
      </c>
      <c r="I43" s="2">
        <f>VLOOKUP(I$26,'DB Business'!$A:$S,MATCH($B43,'DB Business'!$A$1:$S$1,0),0)</f>
        <v/>
      </c>
      <c r="J43" s="2">
        <f>VLOOKUP(J$26,'DB Business'!$A:$S,MATCH($B43,'DB Business'!$A$1:$S$1,0),0)</f>
        <v/>
      </c>
      <c r="K43" s="2">
        <f>VLOOKUP(K$26,'DB Business'!$A:$S,MATCH($B43,'DB Business'!$A$1:$S$1,0),0)</f>
        <v/>
      </c>
      <c r="L43" s="2">
        <f>VLOOKUP(L$26,'DB Business'!$A:$S,MATCH($B43,'DB Business'!$A$1:$S$1,0),0)</f>
        <v/>
      </c>
      <c r="M43" s="2">
        <f>VLOOKUP(M$26,'DB Business'!$A:$S,MATCH($B43,'DB Business'!$A$1:$S$1,0),0)</f>
        <v/>
      </c>
      <c r="N43" s="2">
        <f>VLOOKUP(N$26,'DB Business'!$A:$S,MATCH($B43,'DB Business'!$A$1:$S$1,0),0)</f>
        <v/>
      </c>
      <c r="O43" s="2">
        <f>VLOOKUP(O$26,'DB Business'!$A:$S,MATCH($B43,'DB Business'!$A$1:$S$1,0),0)</f>
        <v/>
      </c>
      <c r="P43" s="2">
        <f>VLOOKUP(P$26,'DB Business'!$A:$S,MATCH($B43,'DB Business'!$A$1:$S$1,0),0)</f>
        <v/>
      </c>
      <c r="Q43" s="2">
        <f>VLOOKUP(Q$26,'DB Business'!$A:$S,MATCH($B43,'DB Business'!$A$1:$S$1,0),0)</f>
        <v/>
      </c>
      <c r="R43" s="2">
        <f>VLOOKUP(R$26,'DB Business'!$A:$S,MATCH($B43,'DB Business'!$A$1:$S$1,0),0)</f>
        <v/>
      </c>
      <c r="S43" s="2">
        <f>VLOOKUP(S$26,'DB Business'!$A:$S,MATCH($B43,'DB Business'!$A$1:$S$1,0),0)</f>
        <v/>
      </c>
      <c r="T43" s="2">
        <f>VLOOKUP(T$26,'DB Business'!$A:$S,MATCH($B43,'DB Business'!$A$1:$S$1,0),0)</f>
        <v/>
      </c>
      <c r="U43" s="2">
        <f>VLOOKUP(U$26,'DB Business'!$A:$S,MATCH($B43,'DB Business'!$A$1:$S$1,0),0)</f>
        <v/>
      </c>
      <c r="V43" s="2">
        <f>VLOOKUP(V$26,'DB Business'!$A:$S,MATCH($B43,'DB Business'!$A$1:$S$1,0),0)</f>
        <v/>
      </c>
      <c r="W43" s="2">
        <f>VLOOKUP(W$26,'DB Business'!$A:$S,MATCH($B43,'DB Business'!$A$1:$S$1,0),0)</f>
        <v/>
      </c>
      <c r="X43" s="2">
        <f>VLOOKUP(X$26,'DB Business'!$A:$S,MATCH($B43,'DB Business'!$A$1:$S$1,0),0)</f>
        <v/>
      </c>
      <c r="Y43" s="2">
        <f>VLOOKUP(Y$26,'DB Business'!$A:$S,MATCH($B43,'DB Business'!$A$1:$S$1,0),0)</f>
        <v/>
      </c>
      <c r="Z43" s="2">
        <f>VLOOKUP(Z$26,'DB Business'!$A:$S,MATCH($B43,'DB Business'!$A$1:$S$1,0),0)</f>
        <v/>
      </c>
      <c r="AA43" s="2">
        <f>VLOOKUP(AA$26,'DB Business'!$A:$S,MATCH($B43,'DB Business'!$A$1:$S$1,0),0)</f>
        <v/>
      </c>
      <c r="AB43" s="2">
        <f>VLOOKUP(AB$26,'DB Business'!$A:$S,MATCH($B43,'DB Business'!$A$1:$S$1,0),0)</f>
        <v/>
      </c>
      <c r="AD43" s="22">
        <f>AB43-AA43</f>
        <v/>
      </c>
      <c r="AE43" s="34">
        <f>AVERAGE(Z43:AB43)</f>
        <v/>
      </c>
      <c r="AF43" s="34">
        <f>AVERAGE(W43:AB43)</f>
        <v/>
      </c>
    </row>
    <row r="44">
      <c r="B44" s="3" t="inlineStr">
        <is>
          <t>Information</t>
        </is>
      </c>
      <c r="C44" s="2">
        <f>VLOOKUP(C$26,'DB Business'!$A:$S,MATCH($B44,'DB Business'!$A$1:$S$1,0),0)</f>
        <v/>
      </c>
      <c r="D44" s="2">
        <f>VLOOKUP(D$26,'DB Business'!$A:$S,MATCH($B44,'DB Business'!$A$1:$S$1,0),0)</f>
        <v/>
      </c>
      <c r="E44" s="2">
        <f>VLOOKUP(E$26,'DB Business'!$A:$S,MATCH($B44,'DB Business'!$A$1:$S$1,0),0)</f>
        <v/>
      </c>
      <c r="F44" s="2">
        <f>VLOOKUP(F$26,'DB Business'!$A:$S,MATCH($B44,'DB Business'!$A$1:$S$1,0),0)</f>
        <v/>
      </c>
      <c r="G44" s="2">
        <f>VLOOKUP(G$26,'DB Business'!$A:$S,MATCH($B44,'DB Business'!$A$1:$S$1,0),0)</f>
        <v/>
      </c>
      <c r="H44" s="2">
        <f>VLOOKUP(H$26,'DB Business'!$A:$S,MATCH($B44,'DB Business'!$A$1:$S$1,0),0)</f>
        <v/>
      </c>
      <c r="I44" s="2">
        <f>VLOOKUP(I$26,'DB Business'!$A:$S,MATCH($B44,'DB Business'!$A$1:$S$1,0),0)</f>
        <v/>
      </c>
      <c r="J44" s="2">
        <f>VLOOKUP(J$26,'DB Business'!$A:$S,MATCH($B44,'DB Business'!$A$1:$S$1,0),0)</f>
        <v/>
      </c>
      <c r="K44" s="2">
        <f>VLOOKUP(K$26,'DB Business'!$A:$S,MATCH($B44,'DB Business'!$A$1:$S$1,0),0)</f>
        <v/>
      </c>
      <c r="L44" s="2">
        <f>VLOOKUP(L$26,'DB Business'!$A:$S,MATCH($B44,'DB Business'!$A$1:$S$1,0),0)</f>
        <v/>
      </c>
      <c r="M44" s="2">
        <f>VLOOKUP(M$26,'DB Business'!$A:$S,MATCH($B44,'DB Business'!$A$1:$S$1,0),0)</f>
        <v/>
      </c>
      <c r="N44" s="2">
        <f>VLOOKUP(N$26,'DB Business'!$A:$S,MATCH($B44,'DB Business'!$A$1:$S$1,0),0)</f>
        <v/>
      </c>
      <c r="O44" s="2">
        <f>VLOOKUP(O$26,'DB Business'!$A:$S,MATCH($B44,'DB Business'!$A$1:$S$1,0),0)</f>
        <v/>
      </c>
      <c r="P44" s="2">
        <f>VLOOKUP(P$26,'DB Business'!$A:$S,MATCH($B44,'DB Business'!$A$1:$S$1,0),0)</f>
        <v/>
      </c>
      <c r="Q44" s="2">
        <f>VLOOKUP(Q$26,'DB Business'!$A:$S,MATCH($B44,'DB Business'!$A$1:$S$1,0),0)</f>
        <v/>
      </c>
      <c r="R44" s="2">
        <f>VLOOKUP(R$26,'DB Business'!$A:$S,MATCH($B44,'DB Business'!$A$1:$S$1,0),0)</f>
        <v/>
      </c>
      <c r="S44" s="2">
        <f>VLOOKUP(S$26,'DB Business'!$A:$S,MATCH($B44,'DB Business'!$A$1:$S$1,0),0)</f>
        <v/>
      </c>
      <c r="T44" s="2">
        <f>VLOOKUP(T$26,'DB Business'!$A:$S,MATCH($B44,'DB Business'!$A$1:$S$1,0),0)</f>
        <v/>
      </c>
      <c r="U44" s="2">
        <f>VLOOKUP(U$26,'DB Business'!$A:$S,MATCH($B44,'DB Business'!$A$1:$S$1,0),0)</f>
        <v/>
      </c>
      <c r="V44" s="2">
        <f>VLOOKUP(V$26,'DB Business'!$A:$S,MATCH($B44,'DB Business'!$A$1:$S$1,0),0)</f>
        <v/>
      </c>
      <c r="W44" s="2">
        <f>VLOOKUP(W$26,'DB Business'!$A:$S,MATCH($B44,'DB Business'!$A$1:$S$1,0),0)</f>
        <v/>
      </c>
      <c r="X44" s="2">
        <f>VLOOKUP(X$26,'DB Business'!$A:$S,MATCH($B44,'DB Business'!$A$1:$S$1,0),0)</f>
        <v/>
      </c>
      <c r="Y44" s="2">
        <f>VLOOKUP(Y$26,'DB Business'!$A:$S,MATCH($B44,'DB Business'!$A$1:$S$1,0),0)</f>
        <v/>
      </c>
      <c r="Z44" s="2">
        <f>VLOOKUP(Z$26,'DB Business'!$A:$S,MATCH($B44,'DB Business'!$A$1:$S$1,0),0)</f>
        <v/>
      </c>
      <c r="AA44" s="2">
        <f>VLOOKUP(AA$26,'DB Business'!$A:$S,MATCH($B44,'DB Business'!$A$1:$S$1,0),0)</f>
        <v/>
      </c>
      <c r="AB44" s="2">
        <f>VLOOKUP(AB$26,'DB Business'!$A:$S,MATCH($B44,'DB Business'!$A$1:$S$1,0),0)</f>
        <v/>
      </c>
      <c r="AD44" s="22">
        <f>AB44-AA44</f>
        <v/>
      </c>
      <c r="AE44" s="34">
        <f>AVERAGE(Z44:AB44)</f>
        <v/>
      </c>
      <c r="AF44" s="34">
        <f>AVERAGE(W44:AB44)</f>
        <v/>
      </c>
    </row>
    <row r="45">
      <c r="B45" s="4" t="inlineStr">
        <is>
          <t>Educational Services</t>
        </is>
      </c>
      <c r="C45" s="2">
        <f>VLOOKUP(C$26,'DB Business'!$A:$S,MATCH($B45,'DB Business'!$A$1:$S$1,0),0)</f>
        <v/>
      </c>
      <c r="D45" s="2">
        <f>VLOOKUP(D$26,'DB Business'!$A:$S,MATCH($B45,'DB Business'!$A$1:$S$1,0),0)</f>
        <v/>
      </c>
      <c r="E45" s="2">
        <f>VLOOKUP(E$26,'DB Business'!$A:$S,MATCH($B45,'DB Business'!$A$1:$S$1,0),0)</f>
        <v/>
      </c>
      <c r="F45" s="2">
        <f>VLOOKUP(F$26,'DB Business'!$A:$S,MATCH($B45,'DB Business'!$A$1:$S$1,0),0)</f>
        <v/>
      </c>
      <c r="G45" s="2">
        <f>VLOOKUP(G$26,'DB Business'!$A:$S,MATCH($B45,'DB Business'!$A$1:$S$1,0),0)</f>
        <v/>
      </c>
      <c r="H45" s="2">
        <f>VLOOKUP(H$26,'DB Business'!$A:$S,MATCH($B45,'DB Business'!$A$1:$S$1,0),0)</f>
        <v/>
      </c>
      <c r="I45" s="2">
        <f>VLOOKUP(I$26,'DB Business'!$A:$S,MATCH($B45,'DB Business'!$A$1:$S$1,0),0)</f>
        <v/>
      </c>
      <c r="J45" s="2">
        <f>VLOOKUP(J$26,'DB Business'!$A:$S,MATCH($B45,'DB Business'!$A$1:$S$1,0),0)</f>
        <v/>
      </c>
      <c r="K45" s="2">
        <f>VLOOKUP(K$26,'DB Business'!$A:$S,MATCH($B45,'DB Business'!$A$1:$S$1,0),0)</f>
        <v/>
      </c>
      <c r="L45" s="2">
        <f>VLOOKUP(L$26,'DB Business'!$A:$S,MATCH($B45,'DB Business'!$A$1:$S$1,0),0)</f>
        <v/>
      </c>
      <c r="M45" s="2">
        <f>VLOOKUP(M$26,'DB Business'!$A:$S,MATCH($B45,'DB Business'!$A$1:$S$1,0),0)</f>
        <v/>
      </c>
      <c r="N45" s="2">
        <f>VLOOKUP(N$26,'DB Business'!$A:$S,MATCH($B45,'DB Business'!$A$1:$S$1,0),0)</f>
        <v/>
      </c>
      <c r="O45" s="2">
        <f>VLOOKUP(O$26,'DB Business'!$A:$S,MATCH($B45,'DB Business'!$A$1:$S$1,0),0)</f>
        <v/>
      </c>
      <c r="P45" s="2">
        <f>VLOOKUP(P$26,'DB Business'!$A:$S,MATCH($B45,'DB Business'!$A$1:$S$1,0),0)</f>
        <v/>
      </c>
      <c r="Q45" s="2">
        <f>VLOOKUP(Q$26,'DB Business'!$A:$S,MATCH($B45,'DB Business'!$A$1:$S$1,0),0)</f>
        <v/>
      </c>
      <c r="R45" s="2">
        <f>VLOOKUP(R$26,'DB Business'!$A:$S,MATCH($B45,'DB Business'!$A$1:$S$1,0),0)</f>
        <v/>
      </c>
      <c r="S45" s="2">
        <f>VLOOKUP(S$26,'DB Business'!$A:$S,MATCH($B45,'DB Business'!$A$1:$S$1,0),0)</f>
        <v/>
      </c>
      <c r="T45" s="2">
        <f>VLOOKUP(T$26,'DB Business'!$A:$S,MATCH($B45,'DB Business'!$A$1:$S$1,0),0)</f>
        <v/>
      </c>
      <c r="U45" s="2">
        <f>VLOOKUP(U$26,'DB Business'!$A:$S,MATCH($B45,'DB Business'!$A$1:$S$1,0),0)</f>
        <v/>
      </c>
      <c r="V45" s="2">
        <f>VLOOKUP(V$26,'DB Business'!$A:$S,MATCH($B45,'DB Business'!$A$1:$S$1,0),0)</f>
        <v/>
      </c>
      <c r="W45" s="2">
        <f>VLOOKUP(W$26,'DB Business'!$A:$S,MATCH($B45,'DB Business'!$A$1:$S$1,0),0)</f>
        <v/>
      </c>
      <c r="X45" s="2">
        <f>VLOOKUP(X$26,'DB Business'!$A:$S,MATCH($B45,'DB Business'!$A$1:$S$1,0),0)</f>
        <v/>
      </c>
      <c r="Y45" s="2">
        <f>VLOOKUP(Y$26,'DB Business'!$A:$S,MATCH($B45,'DB Business'!$A$1:$S$1,0),0)</f>
        <v/>
      </c>
      <c r="Z45" s="2">
        <f>VLOOKUP(Z$26,'DB Business'!$A:$S,MATCH($B45,'DB Business'!$A$1:$S$1,0),0)</f>
        <v/>
      </c>
      <c r="AA45" s="2">
        <f>VLOOKUP(AA$26,'DB Business'!$A:$S,MATCH($B45,'DB Business'!$A$1:$S$1,0),0)</f>
        <v/>
      </c>
      <c r="AB45" s="2">
        <f>VLOOKUP(AB$26,'DB Business'!$A:$S,MATCH($B45,'DB Business'!$A$1:$S$1,0),0)</f>
        <v/>
      </c>
      <c r="AD45" s="22">
        <f>AB45-AA45</f>
        <v/>
      </c>
      <c r="AE45" s="34">
        <f>AVERAGE(Z45:AB45)</f>
        <v/>
      </c>
      <c r="AF45" s="34">
        <f>AVERAGE(W45:AB45)</f>
        <v/>
      </c>
    </row>
    <row r="46">
      <c r="C46" s="37" t="n"/>
      <c r="D46" s="37" t="n"/>
      <c r="E46" s="37" t="n"/>
      <c r="F46" s="37" t="n"/>
      <c r="G46" s="37" t="n"/>
      <c r="H46" s="37" t="n"/>
      <c r="I46" s="37" t="n"/>
      <c r="J46" s="37" t="n"/>
      <c r="K46" s="37" t="n"/>
      <c r="L46" s="37" t="n"/>
      <c r="M46" s="37" t="n"/>
      <c r="N46" s="37" t="n"/>
      <c r="O46" s="37" t="n"/>
      <c r="P46" s="37" t="n"/>
      <c r="Q46" s="37" t="n"/>
      <c r="R46" s="37" t="n"/>
      <c r="S46" s="37" t="n"/>
      <c r="T46" s="37" t="n"/>
      <c r="U46" s="37" t="n"/>
      <c r="V46" s="37" t="n"/>
      <c r="W46" s="37" t="n"/>
      <c r="X46" s="37" t="n"/>
      <c r="Y46" s="37" t="n"/>
      <c r="Z46" s="37" t="n"/>
      <c r="AA46" s="37" t="n"/>
      <c r="AB46" s="37" t="n"/>
    </row>
    <row r="47" ht="16" customHeight="1" s="65" thickBot="1">
      <c r="C47" s="37" t="n"/>
      <c r="D47" s="37" t="n"/>
      <c r="E47" s="37" t="n"/>
      <c r="F47" s="37" t="n"/>
      <c r="G47" s="37" t="n"/>
      <c r="H47" s="37" t="n"/>
      <c r="I47" s="37" t="n"/>
      <c r="J47" s="37" t="n"/>
      <c r="K47" s="37" t="n"/>
      <c r="L47" s="37" t="n"/>
      <c r="M47" s="37" t="n"/>
      <c r="N47" s="37" t="n"/>
      <c r="O47" s="37" t="n"/>
      <c r="P47" s="37" t="n"/>
      <c r="Q47" s="37" t="n"/>
      <c r="R47" s="37" t="n"/>
      <c r="S47" s="37" t="n"/>
      <c r="T47" s="37" t="n"/>
      <c r="U47" s="37" t="n"/>
      <c r="V47" s="37" t="n"/>
      <c r="W47" s="37" t="n"/>
      <c r="X47" s="37" t="n"/>
      <c r="Y47" s="37" t="n"/>
      <c r="Z47" s="37" t="n"/>
      <c r="AA47" s="37" t="n"/>
      <c r="AB47" s="37" t="n"/>
    </row>
    <row r="48">
      <c r="B48" s="86" t="inlineStr">
        <is>
          <t>New Orders</t>
        </is>
      </c>
      <c r="C48" s="31" t="n">
        <v>43831</v>
      </c>
      <c r="D48" s="31" t="n">
        <v>43862</v>
      </c>
      <c r="E48" s="31" t="n">
        <v>43891</v>
      </c>
      <c r="F48" s="31" t="n">
        <v>43922</v>
      </c>
      <c r="G48" s="31" t="n">
        <v>43952</v>
      </c>
      <c r="H48" s="31" t="n">
        <v>43983</v>
      </c>
      <c r="I48" s="31" t="n">
        <v>44013</v>
      </c>
      <c r="J48" s="31" t="n">
        <v>44044</v>
      </c>
      <c r="K48" s="31" t="n">
        <v>44075</v>
      </c>
      <c r="L48" s="31" t="n">
        <v>44105</v>
      </c>
      <c r="M48" s="31" t="n">
        <v>44136</v>
      </c>
      <c r="N48" s="31" t="n">
        <v>44166</v>
      </c>
      <c r="O48" s="31" t="n">
        <v>44197</v>
      </c>
      <c r="P48" s="31" t="n">
        <v>44228</v>
      </c>
      <c r="Q48" s="31" t="n">
        <v>44256</v>
      </c>
      <c r="R48" s="31" t="n">
        <v>44287</v>
      </c>
      <c r="S48" s="31" t="n">
        <v>44317</v>
      </c>
      <c r="T48" s="31" t="n">
        <v>44348</v>
      </c>
      <c r="U48" s="31" t="n">
        <v>44378</v>
      </c>
      <c r="V48" s="31" t="n">
        <v>44409</v>
      </c>
      <c r="W48" s="31" t="n">
        <v>44440</v>
      </c>
      <c r="X48" s="31" t="n">
        <v>44470</v>
      </c>
      <c r="Y48" s="31" t="n">
        <v>44501</v>
      </c>
      <c r="Z48" s="31" t="n">
        <v>44531</v>
      </c>
      <c r="AA48" s="31" t="n">
        <v>44562</v>
      </c>
      <c r="AB48" s="31" t="n">
        <v>44593</v>
      </c>
      <c r="AC48" s="10" t="n"/>
      <c r="AD48" s="88" t="inlineStr">
        <is>
          <t>mom</t>
        </is>
      </c>
      <c r="AE48" s="88" t="inlineStr">
        <is>
          <t>3 months</t>
        </is>
      </c>
      <c r="AF48" s="88" t="inlineStr">
        <is>
          <t>6 months</t>
        </is>
      </c>
    </row>
    <row r="49" ht="16" customHeight="1" s="65" thickBot="1">
      <c r="B49" s="87" t="n"/>
      <c r="C49" s="32" t="n"/>
      <c r="D49" s="32" t="n"/>
      <c r="E49" s="32" t="n"/>
      <c r="F49" s="32" t="n"/>
      <c r="G49" s="32" t="n"/>
      <c r="H49" s="32" t="n"/>
      <c r="I49" s="32" t="n"/>
      <c r="J49" s="32" t="n"/>
      <c r="K49" s="32" t="n"/>
      <c r="L49" s="32" t="n"/>
      <c r="M49" s="32" t="n"/>
      <c r="N49" s="32" t="n"/>
      <c r="O49" s="32" t="n"/>
      <c r="P49" s="32" t="n"/>
      <c r="Q49" s="32" t="n"/>
      <c r="R49" s="32" t="n"/>
      <c r="S49" s="32" t="n"/>
      <c r="T49" s="32" t="n"/>
      <c r="U49" s="32" t="n"/>
      <c r="V49" s="32" t="n"/>
      <c r="W49" s="32" t="n"/>
      <c r="X49" s="32" t="n"/>
      <c r="Y49" s="32" t="n"/>
      <c r="Z49" s="32" t="n"/>
      <c r="AA49" s="32" t="n"/>
      <c r="AB49" s="32" t="n"/>
      <c r="AC49" s="10" t="n"/>
      <c r="AD49" s="89" t="n"/>
      <c r="AE49" s="89" t="n"/>
      <c r="AF49" s="89" t="n"/>
    </row>
    <row r="50">
      <c r="B50" s="3" t="inlineStr">
        <is>
          <t>Retail Trade</t>
        </is>
      </c>
      <c r="C50" s="22">
        <f>VLOOKUP(C$48,'DB New Orders'!$A:$S,MATCH($B50,'DB New Orders'!$A$1:$S$1,0),0)</f>
        <v/>
      </c>
      <c r="D50" s="22">
        <f>VLOOKUP(D$48,'DB New Orders'!$A:$S,MATCH($B50,'DB New Orders'!$A$1:$S$1,0),0)</f>
        <v/>
      </c>
      <c r="E50" s="22">
        <f>VLOOKUP(E$48,'DB New Orders'!$A:$S,MATCH($B50,'DB New Orders'!$A$1:$S$1,0),0)</f>
        <v/>
      </c>
      <c r="F50" s="22">
        <f>VLOOKUP(F$48,'DB New Orders'!$A:$S,MATCH($B50,'DB New Orders'!$A$1:$S$1,0),0)</f>
        <v/>
      </c>
      <c r="G50" s="22">
        <f>VLOOKUP(G$48,'DB New Orders'!$A:$S,MATCH($B50,'DB New Orders'!$A$1:$S$1,0),0)</f>
        <v/>
      </c>
      <c r="H50" s="22">
        <f>VLOOKUP(H$48,'DB New Orders'!$A:$S,MATCH($B50,'DB New Orders'!$A$1:$S$1,0),0)</f>
        <v/>
      </c>
      <c r="I50" s="22">
        <f>VLOOKUP(I$48,'DB New Orders'!$A:$S,MATCH($B50,'DB New Orders'!$A$1:$S$1,0),0)</f>
        <v/>
      </c>
      <c r="J50" s="22">
        <f>VLOOKUP(J$48,'DB New Orders'!$A:$S,MATCH($B50,'DB New Orders'!$A$1:$S$1,0),0)</f>
        <v/>
      </c>
      <c r="K50" s="22">
        <f>VLOOKUP(K$48,'DB New Orders'!$A:$S,MATCH($B50,'DB New Orders'!$A$1:$S$1,0),0)</f>
        <v/>
      </c>
      <c r="L50" s="22">
        <f>VLOOKUP(L$48,'DB New Orders'!$A:$S,MATCH($B50,'DB New Orders'!$A$1:$S$1,0),0)</f>
        <v/>
      </c>
      <c r="M50" s="22">
        <f>VLOOKUP(M$48,'DB New Orders'!$A:$S,MATCH($B50,'DB New Orders'!$A$1:$S$1,0),0)</f>
        <v/>
      </c>
      <c r="N50" s="22">
        <f>VLOOKUP(N$48,'DB New Orders'!$A:$S,MATCH($B50,'DB New Orders'!$A$1:$S$1,0),0)</f>
        <v/>
      </c>
      <c r="O50" s="22">
        <f>VLOOKUP(O$48,'DB New Orders'!$A:$S,MATCH($B50,'DB New Orders'!$A$1:$S$1,0),0)</f>
        <v/>
      </c>
      <c r="P50" s="22">
        <f>VLOOKUP(P$48,'DB New Orders'!$A:$S,MATCH($B50,'DB New Orders'!$A$1:$S$1,0),0)</f>
        <v/>
      </c>
      <c r="Q50" s="22">
        <f>VLOOKUP(Q$48,'DB New Orders'!$A:$S,MATCH($B50,'DB New Orders'!$A$1:$S$1,0),0)</f>
        <v/>
      </c>
      <c r="R50" s="22">
        <f>VLOOKUP(R$48,'DB New Orders'!$A:$S,MATCH($B50,'DB New Orders'!$A$1:$S$1,0),0)</f>
        <v/>
      </c>
      <c r="S50" s="22">
        <f>VLOOKUP(S$48,'DB New Orders'!$A:$S,MATCH($B50,'DB New Orders'!$A$1:$S$1,0),0)</f>
        <v/>
      </c>
      <c r="T50" s="22">
        <f>VLOOKUP(T$48,'DB New Orders'!$A:$S,MATCH($B50,'DB New Orders'!$A$1:$S$1,0),0)</f>
        <v/>
      </c>
      <c r="U50" s="22">
        <f>VLOOKUP(U$48,'DB New Orders'!$A:$S,MATCH($B50,'DB New Orders'!$A$1:$S$1,0),0)</f>
        <v/>
      </c>
      <c r="V50" s="22">
        <f>VLOOKUP(V$48,'DB New Orders'!$A:$S,MATCH($B50,'DB New Orders'!$A$1:$S$1,0),0)</f>
        <v/>
      </c>
      <c r="W50" s="22">
        <f>VLOOKUP(W$48,'DB New Orders'!$A:$S,MATCH($B50,'DB New Orders'!$A$1:$S$1,0),0)</f>
        <v/>
      </c>
      <c r="X50" s="22">
        <f>VLOOKUP(X$48,'DB New Orders'!$A:$S,MATCH($B50,'DB New Orders'!$A$1:$S$1,0),0)</f>
        <v/>
      </c>
      <c r="Y50" s="22">
        <f>VLOOKUP(Y$48,'DB New Orders'!$A:$S,MATCH($B50,'DB New Orders'!$A$1:$S$1,0),0)</f>
        <v/>
      </c>
      <c r="Z50" s="22">
        <f>VLOOKUP(Z$48,'DB New Orders'!$A:$S,MATCH($B50,'DB New Orders'!$A$1:$S$1,0),0)</f>
        <v/>
      </c>
      <c r="AA50" s="22">
        <f>VLOOKUP(AA$48,'DB New Orders'!$A:$S,MATCH($B50,'DB New Orders'!$A$1:$S$1,0),0)</f>
        <v/>
      </c>
      <c r="AB50" s="22">
        <f>VLOOKUP(AB$48,'DB New Orders'!$A:$S,MATCH($B50,'DB New Orders'!$A$1:$S$1,0),0)</f>
        <v/>
      </c>
      <c r="AD50" s="22">
        <f>AB50-AA50</f>
        <v/>
      </c>
      <c r="AE50" s="34">
        <f>AVERAGE(Z50:AB50)</f>
        <v/>
      </c>
      <c r="AF50" s="34">
        <f>AVERAGE(W50:AB50)</f>
        <v/>
      </c>
    </row>
    <row r="51">
      <c r="B51" s="3" t="inlineStr">
        <is>
          <t>Finance &amp; Insurance</t>
        </is>
      </c>
      <c r="C51" s="22">
        <f>VLOOKUP(C$48,'DB New Orders'!$A:$S,MATCH($B51,'DB New Orders'!$A$1:$S$1,0),0)</f>
        <v/>
      </c>
      <c r="D51" s="22">
        <f>VLOOKUP(D$48,'DB New Orders'!$A:$S,MATCH($B51,'DB New Orders'!$A$1:$S$1,0),0)</f>
        <v/>
      </c>
      <c r="E51" s="22">
        <f>VLOOKUP(E$48,'DB New Orders'!$A:$S,MATCH($B51,'DB New Orders'!$A$1:$S$1,0),0)</f>
        <v/>
      </c>
      <c r="F51" s="22">
        <f>VLOOKUP(F$48,'DB New Orders'!$A:$S,MATCH($B51,'DB New Orders'!$A$1:$S$1,0),0)</f>
        <v/>
      </c>
      <c r="G51" s="22">
        <f>VLOOKUP(G$48,'DB New Orders'!$A:$S,MATCH($B51,'DB New Orders'!$A$1:$S$1,0),0)</f>
        <v/>
      </c>
      <c r="H51" s="22">
        <f>VLOOKUP(H$48,'DB New Orders'!$A:$S,MATCH($B51,'DB New Orders'!$A$1:$S$1,0),0)</f>
        <v/>
      </c>
      <c r="I51" s="22">
        <f>VLOOKUP(I$48,'DB New Orders'!$A:$S,MATCH($B51,'DB New Orders'!$A$1:$S$1,0),0)</f>
        <v/>
      </c>
      <c r="J51" s="22">
        <f>VLOOKUP(J$48,'DB New Orders'!$A:$S,MATCH($B51,'DB New Orders'!$A$1:$S$1,0),0)</f>
        <v/>
      </c>
      <c r="K51" s="22">
        <f>VLOOKUP(K$48,'DB New Orders'!$A:$S,MATCH($B51,'DB New Orders'!$A$1:$S$1,0),0)</f>
        <v/>
      </c>
      <c r="L51" s="22">
        <f>VLOOKUP(L$48,'DB New Orders'!$A:$S,MATCH($B51,'DB New Orders'!$A$1:$S$1,0),0)</f>
        <v/>
      </c>
      <c r="M51" s="22">
        <f>VLOOKUP(M$48,'DB New Orders'!$A:$S,MATCH($B51,'DB New Orders'!$A$1:$S$1,0),0)</f>
        <v/>
      </c>
      <c r="N51" s="22">
        <f>VLOOKUP(N$48,'DB New Orders'!$A:$S,MATCH($B51,'DB New Orders'!$A$1:$S$1,0),0)</f>
        <v/>
      </c>
      <c r="O51" s="22">
        <f>VLOOKUP(O$48,'DB New Orders'!$A:$S,MATCH($B51,'DB New Orders'!$A$1:$S$1,0),0)</f>
        <v/>
      </c>
      <c r="P51" s="22">
        <f>VLOOKUP(P$48,'DB New Orders'!$A:$S,MATCH($B51,'DB New Orders'!$A$1:$S$1,0),0)</f>
        <v/>
      </c>
      <c r="Q51" s="22">
        <f>VLOOKUP(Q$48,'DB New Orders'!$A:$S,MATCH($B51,'DB New Orders'!$A$1:$S$1,0),0)</f>
        <v/>
      </c>
      <c r="R51" s="22">
        <f>VLOOKUP(R$48,'DB New Orders'!$A:$S,MATCH($B51,'DB New Orders'!$A$1:$S$1,0),0)</f>
        <v/>
      </c>
      <c r="S51" s="22">
        <f>VLOOKUP(S$48,'DB New Orders'!$A:$S,MATCH($B51,'DB New Orders'!$A$1:$S$1,0),0)</f>
        <v/>
      </c>
      <c r="T51" s="22">
        <f>VLOOKUP(T$48,'DB New Orders'!$A:$S,MATCH($B51,'DB New Orders'!$A$1:$S$1,0),0)</f>
        <v/>
      </c>
      <c r="U51" s="22">
        <f>VLOOKUP(U$48,'DB New Orders'!$A:$S,MATCH($B51,'DB New Orders'!$A$1:$S$1,0),0)</f>
        <v/>
      </c>
      <c r="V51" s="22">
        <f>VLOOKUP(V$48,'DB New Orders'!$A:$S,MATCH($B51,'DB New Orders'!$A$1:$S$1,0),0)</f>
        <v/>
      </c>
      <c r="W51" s="22">
        <f>VLOOKUP(W$48,'DB New Orders'!$A:$S,MATCH($B51,'DB New Orders'!$A$1:$S$1,0),0)</f>
        <v/>
      </c>
      <c r="X51" s="22">
        <f>VLOOKUP(X$48,'DB New Orders'!$A:$S,MATCH($B51,'DB New Orders'!$A$1:$S$1,0),0)</f>
        <v/>
      </c>
      <c r="Y51" s="22">
        <f>VLOOKUP(Y$48,'DB New Orders'!$A:$S,MATCH($B51,'DB New Orders'!$A$1:$S$1,0),0)</f>
        <v/>
      </c>
      <c r="Z51" s="22">
        <f>VLOOKUP(Z$48,'DB New Orders'!$A:$S,MATCH($B51,'DB New Orders'!$A$1:$S$1,0),0)</f>
        <v/>
      </c>
      <c r="AA51" s="22">
        <f>VLOOKUP(AA$48,'DB New Orders'!$A:$S,MATCH($B51,'DB New Orders'!$A$1:$S$1,0),0)</f>
        <v/>
      </c>
      <c r="AB51" s="22">
        <f>VLOOKUP(AB$48,'DB New Orders'!$A:$S,MATCH($B51,'DB New Orders'!$A$1:$S$1,0),0)</f>
        <v/>
      </c>
      <c r="AD51" s="22">
        <f>AB51-AA51</f>
        <v/>
      </c>
      <c r="AE51" s="34">
        <f>AVERAGE(Z51:AB51)</f>
        <v/>
      </c>
      <c r="AF51" s="34">
        <f>AVERAGE(W51:AB51)</f>
        <v/>
      </c>
    </row>
    <row r="52">
      <c r="B52" s="3" t="inlineStr">
        <is>
          <t>Health Care &amp; Social Assistance</t>
        </is>
      </c>
      <c r="C52" s="22">
        <f>VLOOKUP(C$48,'DB New Orders'!$A:$S,MATCH($B52,'DB New Orders'!$A$1:$S$1,0),0)</f>
        <v/>
      </c>
      <c r="D52" s="22">
        <f>VLOOKUP(D$48,'DB New Orders'!$A:$S,MATCH($B52,'DB New Orders'!$A$1:$S$1,0),0)</f>
        <v/>
      </c>
      <c r="E52" s="22">
        <f>VLOOKUP(E$48,'DB New Orders'!$A:$S,MATCH($B52,'DB New Orders'!$A$1:$S$1,0),0)</f>
        <v/>
      </c>
      <c r="F52" s="22">
        <f>VLOOKUP(F$48,'DB New Orders'!$A:$S,MATCH($B52,'DB New Orders'!$A$1:$S$1,0),0)</f>
        <v/>
      </c>
      <c r="G52" s="22">
        <f>VLOOKUP(G$48,'DB New Orders'!$A:$S,MATCH($B52,'DB New Orders'!$A$1:$S$1,0),0)</f>
        <v/>
      </c>
      <c r="H52" s="22">
        <f>VLOOKUP(H$48,'DB New Orders'!$A:$S,MATCH($B52,'DB New Orders'!$A$1:$S$1,0),0)</f>
        <v/>
      </c>
      <c r="I52" s="22">
        <f>VLOOKUP(I$48,'DB New Orders'!$A:$S,MATCH($B52,'DB New Orders'!$A$1:$S$1,0),0)</f>
        <v/>
      </c>
      <c r="J52" s="22">
        <f>VLOOKUP(J$48,'DB New Orders'!$A:$S,MATCH($B52,'DB New Orders'!$A$1:$S$1,0),0)</f>
        <v/>
      </c>
      <c r="K52" s="22">
        <f>VLOOKUP(K$48,'DB New Orders'!$A:$S,MATCH($B52,'DB New Orders'!$A$1:$S$1,0),0)</f>
        <v/>
      </c>
      <c r="L52" s="22">
        <f>VLOOKUP(L$48,'DB New Orders'!$A:$S,MATCH($B52,'DB New Orders'!$A$1:$S$1,0),0)</f>
        <v/>
      </c>
      <c r="M52" s="22">
        <f>VLOOKUP(M$48,'DB New Orders'!$A:$S,MATCH($B52,'DB New Orders'!$A$1:$S$1,0),0)</f>
        <v/>
      </c>
      <c r="N52" s="22">
        <f>VLOOKUP(N$48,'DB New Orders'!$A:$S,MATCH($B52,'DB New Orders'!$A$1:$S$1,0),0)</f>
        <v/>
      </c>
      <c r="O52" s="22">
        <f>VLOOKUP(O$48,'DB New Orders'!$A:$S,MATCH($B52,'DB New Orders'!$A$1:$S$1,0),0)</f>
        <v/>
      </c>
      <c r="P52" s="22">
        <f>VLOOKUP(P$48,'DB New Orders'!$A:$S,MATCH($B52,'DB New Orders'!$A$1:$S$1,0),0)</f>
        <v/>
      </c>
      <c r="Q52" s="22">
        <f>VLOOKUP(Q$48,'DB New Orders'!$A:$S,MATCH($B52,'DB New Orders'!$A$1:$S$1,0),0)</f>
        <v/>
      </c>
      <c r="R52" s="22">
        <f>VLOOKUP(R$48,'DB New Orders'!$A:$S,MATCH($B52,'DB New Orders'!$A$1:$S$1,0),0)</f>
        <v/>
      </c>
      <c r="S52" s="22">
        <f>VLOOKUP(S$48,'DB New Orders'!$A:$S,MATCH($B52,'DB New Orders'!$A$1:$S$1,0),0)</f>
        <v/>
      </c>
      <c r="T52" s="22">
        <f>VLOOKUP(T$48,'DB New Orders'!$A:$S,MATCH($B52,'DB New Orders'!$A$1:$S$1,0),0)</f>
        <v/>
      </c>
      <c r="U52" s="22">
        <f>VLOOKUP(U$48,'DB New Orders'!$A:$S,MATCH($B52,'DB New Orders'!$A$1:$S$1,0),0)</f>
        <v/>
      </c>
      <c r="V52" s="22">
        <f>VLOOKUP(V$48,'DB New Orders'!$A:$S,MATCH($B52,'DB New Orders'!$A$1:$S$1,0),0)</f>
        <v/>
      </c>
      <c r="W52" s="22">
        <f>VLOOKUP(W$48,'DB New Orders'!$A:$S,MATCH($B52,'DB New Orders'!$A$1:$S$1,0),0)</f>
        <v/>
      </c>
      <c r="X52" s="22">
        <f>VLOOKUP(X$48,'DB New Orders'!$A:$S,MATCH($B52,'DB New Orders'!$A$1:$S$1,0),0)</f>
        <v/>
      </c>
      <c r="Y52" s="22">
        <f>VLOOKUP(Y$48,'DB New Orders'!$A:$S,MATCH($B52,'DB New Orders'!$A$1:$S$1,0),0)</f>
        <v/>
      </c>
      <c r="Z52" s="22">
        <f>VLOOKUP(Z$48,'DB New Orders'!$A:$S,MATCH($B52,'DB New Orders'!$A$1:$S$1,0),0)</f>
        <v/>
      </c>
      <c r="AA52" s="22">
        <f>VLOOKUP(AA$48,'DB New Orders'!$A:$S,MATCH($B52,'DB New Orders'!$A$1:$S$1,0),0)</f>
        <v/>
      </c>
      <c r="AB52" s="22">
        <f>VLOOKUP(AB$48,'DB New Orders'!$A:$S,MATCH($B52,'DB New Orders'!$A$1:$S$1,0),0)</f>
        <v/>
      </c>
      <c r="AD52" s="22">
        <f>AB52-AA52</f>
        <v/>
      </c>
      <c r="AE52" s="34">
        <f>AVERAGE(Z52:AB52)</f>
        <v/>
      </c>
      <c r="AF52" s="34">
        <f>AVERAGE(W52:AB52)</f>
        <v/>
      </c>
    </row>
    <row r="53">
      <c r="B53" s="3" t="inlineStr">
        <is>
          <t>Utilities</t>
        </is>
      </c>
      <c r="C53" s="22">
        <f>VLOOKUP(C$48,'DB New Orders'!$A:$S,MATCH($B53,'DB New Orders'!$A$1:$S$1,0),0)</f>
        <v/>
      </c>
      <c r="D53" s="22">
        <f>VLOOKUP(D$48,'DB New Orders'!$A:$S,MATCH($B53,'DB New Orders'!$A$1:$S$1,0),0)</f>
        <v/>
      </c>
      <c r="E53" s="22">
        <f>VLOOKUP(E$48,'DB New Orders'!$A:$S,MATCH($B53,'DB New Orders'!$A$1:$S$1,0),0)</f>
        <v/>
      </c>
      <c r="F53" s="22">
        <f>VLOOKUP(F$48,'DB New Orders'!$A:$S,MATCH($B53,'DB New Orders'!$A$1:$S$1,0),0)</f>
        <v/>
      </c>
      <c r="G53" s="22">
        <f>VLOOKUP(G$48,'DB New Orders'!$A:$S,MATCH($B53,'DB New Orders'!$A$1:$S$1,0),0)</f>
        <v/>
      </c>
      <c r="H53" s="22">
        <f>VLOOKUP(H$48,'DB New Orders'!$A:$S,MATCH($B53,'DB New Orders'!$A$1:$S$1,0),0)</f>
        <v/>
      </c>
      <c r="I53" s="22">
        <f>VLOOKUP(I$48,'DB New Orders'!$A:$S,MATCH($B53,'DB New Orders'!$A$1:$S$1,0),0)</f>
        <v/>
      </c>
      <c r="J53" s="22">
        <f>VLOOKUP(J$48,'DB New Orders'!$A:$S,MATCH($B53,'DB New Orders'!$A$1:$S$1,0),0)</f>
        <v/>
      </c>
      <c r="K53" s="22">
        <f>VLOOKUP(K$48,'DB New Orders'!$A:$S,MATCH($B53,'DB New Orders'!$A$1:$S$1,0),0)</f>
        <v/>
      </c>
      <c r="L53" s="22">
        <f>VLOOKUP(L$48,'DB New Orders'!$A:$S,MATCH($B53,'DB New Orders'!$A$1:$S$1,0),0)</f>
        <v/>
      </c>
      <c r="M53" s="22">
        <f>VLOOKUP(M$48,'DB New Orders'!$A:$S,MATCH($B53,'DB New Orders'!$A$1:$S$1,0),0)</f>
        <v/>
      </c>
      <c r="N53" s="22">
        <f>VLOOKUP(N$48,'DB New Orders'!$A:$S,MATCH($B53,'DB New Orders'!$A$1:$S$1,0),0)</f>
        <v/>
      </c>
      <c r="O53" s="22">
        <f>VLOOKUP(O$48,'DB New Orders'!$A:$S,MATCH($B53,'DB New Orders'!$A$1:$S$1,0),0)</f>
        <v/>
      </c>
      <c r="P53" s="22">
        <f>VLOOKUP(P$48,'DB New Orders'!$A:$S,MATCH($B53,'DB New Orders'!$A$1:$S$1,0),0)</f>
        <v/>
      </c>
      <c r="Q53" s="22">
        <f>VLOOKUP(Q$48,'DB New Orders'!$A:$S,MATCH($B53,'DB New Orders'!$A$1:$S$1,0),0)</f>
        <v/>
      </c>
      <c r="R53" s="22">
        <f>VLOOKUP(R$48,'DB New Orders'!$A:$S,MATCH($B53,'DB New Orders'!$A$1:$S$1,0),0)</f>
        <v/>
      </c>
      <c r="S53" s="22">
        <f>VLOOKUP(S$48,'DB New Orders'!$A:$S,MATCH($B53,'DB New Orders'!$A$1:$S$1,0),0)</f>
        <v/>
      </c>
      <c r="T53" s="22">
        <f>VLOOKUP(T$48,'DB New Orders'!$A:$S,MATCH($B53,'DB New Orders'!$A$1:$S$1,0),0)</f>
        <v/>
      </c>
      <c r="U53" s="22">
        <f>VLOOKUP(U$48,'DB New Orders'!$A:$S,MATCH($B53,'DB New Orders'!$A$1:$S$1,0),0)</f>
        <v/>
      </c>
      <c r="V53" s="22">
        <f>VLOOKUP(V$48,'DB New Orders'!$A:$S,MATCH($B53,'DB New Orders'!$A$1:$S$1,0),0)</f>
        <v/>
      </c>
      <c r="W53" s="22">
        <f>VLOOKUP(W$48,'DB New Orders'!$A:$S,MATCH($B53,'DB New Orders'!$A$1:$S$1,0),0)</f>
        <v/>
      </c>
      <c r="X53" s="22">
        <f>VLOOKUP(X$48,'DB New Orders'!$A:$S,MATCH($B53,'DB New Orders'!$A$1:$S$1,0),0)</f>
        <v/>
      </c>
      <c r="Y53" s="22">
        <f>VLOOKUP(Y$48,'DB New Orders'!$A:$S,MATCH($B53,'DB New Orders'!$A$1:$S$1,0),0)</f>
        <v/>
      </c>
      <c r="Z53" s="22">
        <f>VLOOKUP(Z$48,'DB New Orders'!$A:$S,MATCH($B53,'DB New Orders'!$A$1:$S$1,0),0)</f>
        <v/>
      </c>
      <c r="AA53" s="22">
        <f>VLOOKUP(AA$48,'DB New Orders'!$A:$S,MATCH($B53,'DB New Orders'!$A$1:$S$1,0),0)</f>
        <v/>
      </c>
      <c r="AB53" s="22">
        <f>VLOOKUP(AB$48,'DB New Orders'!$A:$S,MATCH($B53,'DB New Orders'!$A$1:$S$1,0),0)</f>
        <v/>
      </c>
      <c r="AD53" s="22">
        <f>AB53-AA53</f>
        <v/>
      </c>
      <c r="AE53" s="34">
        <f>AVERAGE(Z53:AB53)</f>
        <v/>
      </c>
      <c r="AF53" s="34">
        <f>AVERAGE(W53:AB53)</f>
        <v/>
      </c>
    </row>
    <row r="54">
      <c r="B54" s="3" t="inlineStr">
        <is>
          <t>Other Services</t>
        </is>
      </c>
      <c r="C54" s="22">
        <f>VLOOKUP(C$48,'DB New Orders'!$A:$S,MATCH($B54,'DB New Orders'!$A$1:$S$1,0),0)</f>
        <v/>
      </c>
      <c r="D54" s="22">
        <f>VLOOKUP(D$48,'DB New Orders'!$A:$S,MATCH($B54,'DB New Orders'!$A$1:$S$1,0),0)</f>
        <v/>
      </c>
      <c r="E54" s="22">
        <f>VLOOKUP(E$48,'DB New Orders'!$A:$S,MATCH($B54,'DB New Orders'!$A$1:$S$1,0),0)</f>
        <v/>
      </c>
      <c r="F54" s="22">
        <f>VLOOKUP(F$48,'DB New Orders'!$A:$S,MATCH($B54,'DB New Orders'!$A$1:$S$1,0),0)</f>
        <v/>
      </c>
      <c r="G54" s="22">
        <f>VLOOKUP(G$48,'DB New Orders'!$A:$S,MATCH($B54,'DB New Orders'!$A$1:$S$1,0),0)</f>
        <v/>
      </c>
      <c r="H54" s="22">
        <f>VLOOKUP(H$48,'DB New Orders'!$A:$S,MATCH($B54,'DB New Orders'!$A$1:$S$1,0),0)</f>
        <v/>
      </c>
      <c r="I54" s="22">
        <f>VLOOKUP(I$48,'DB New Orders'!$A:$S,MATCH($B54,'DB New Orders'!$A$1:$S$1,0),0)</f>
        <v/>
      </c>
      <c r="J54" s="22">
        <f>VLOOKUP(J$48,'DB New Orders'!$A:$S,MATCH($B54,'DB New Orders'!$A$1:$S$1,0),0)</f>
        <v/>
      </c>
      <c r="K54" s="22">
        <f>VLOOKUP(K$48,'DB New Orders'!$A:$S,MATCH($B54,'DB New Orders'!$A$1:$S$1,0),0)</f>
        <v/>
      </c>
      <c r="L54" s="22">
        <f>VLOOKUP(L$48,'DB New Orders'!$A:$S,MATCH($B54,'DB New Orders'!$A$1:$S$1,0),0)</f>
        <v/>
      </c>
      <c r="M54" s="22">
        <f>VLOOKUP(M$48,'DB New Orders'!$A:$S,MATCH($B54,'DB New Orders'!$A$1:$S$1,0),0)</f>
        <v/>
      </c>
      <c r="N54" s="22">
        <f>VLOOKUP(N$48,'DB New Orders'!$A:$S,MATCH($B54,'DB New Orders'!$A$1:$S$1,0),0)</f>
        <v/>
      </c>
      <c r="O54" s="22">
        <f>VLOOKUP(O$48,'DB New Orders'!$A:$S,MATCH($B54,'DB New Orders'!$A$1:$S$1,0),0)</f>
        <v/>
      </c>
      <c r="P54" s="22">
        <f>VLOOKUP(P$48,'DB New Orders'!$A:$S,MATCH($B54,'DB New Orders'!$A$1:$S$1,0),0)</f>
        <v/>
      </c>
      <c r="Q54" s="22">
        <f>VLOOKUP(Q$48,'DB New Orders'!$A:$S,MATCH($B54,'DB New Orders'!$A$1:$S$1,0),0)</f>
        <v/>
      </c>
      <c r="R54" s="22">
        <f>VLOOKUP(R$48,'DB New Orders'!$A:$S,MATCH($B54,'DB New Orders'!$A$1:$S$1,0),0)</f>
        <v/>
      </c>
      <c r="S54" s="22">
        <f>VLOOKUP(S$48,'DB New Orders'!$A:$S,MATCH($B54,'DB New Orders'!$A$1:$S$1,0),0)</f>
        <v/>
      </c>
      <c r="T54" s="22">
        <f>VLOOKUP(T$48,'DB New Orders'!$A:$S,MATCH($B54,'DB New Orders'!$A$1:$S$1,0),0)</f>
        <v/>
      </c>
      <c r="U54" s="22">
        <f>VLOOKUP(U$48,'DB New Orders'!$A:$S,MATCH($B54,'DB New Orders'!$A$1:$S$1,0),0)</f>
        <v/>
      </c>
      <c r="V54" s="22">
        <f>VLOOKUP(V$48,'DB New Orders'!$A:$S,MATCH($B54,'DB New Orders'!$A$1:$S$1,0),0)</f>
        <v/>
      </c>
      <c r="W54" s="22">
        <f>VLOOKUP(W$48,'DB New Orders'!$A:$S,MATCH($B54,'DB New Orders'!$A$1:$S$1,0),0)</f>
        <v/>
      </c>
      <c r="X54" s="22">
        <f>VLOOKUP(X$48,'DB New Orders'!$A:$S,MATCH($B54,'DB New Orders'!$A$1:$S$1,0),0)</f>
        <v/>
      </c>
      <c r="Y54" s="22">
        <f>VLOOKUP(Y$48,'DB New Orders'!$A:$S,MATCH($B54,'DB New Orders'!$A$1:$S$1,0),0)</f>
        <v/>
      </c>
      <c r="Z54" s="22">
        <f>VLOOKUP(Z$48,'DB New Orders'!$A:$S,MATCH($B54,'DB New Orders'!$A$1:$S$1,0),0)</f>
        <v/>
      </c>
      <c r="AA54" s="22">
        <f>VLOOKUP(AA$48,'DB New Orders'!$A:$S,MATCH($B54,'DB New Orders'!$A$1:$S$1,0),0)</f>
        <v/>
      </c>
      <c r="AB54" s="22">
        <f>VLOOKUP(AB$48,'DB New Orders'!$A:$S,MATCH($B54,'DB New Orders'!$A$1:$S$1,0),0)</f>
        <v/>
      </c>
      <c r="AD54" s="22">
        <f>AB54-AA54</f>
        <v/>
      </c>
      <c r="AE54" s="34">
        <f>AVERAGE(Z54:AB54)</f>
        <v/>
      </c>
      <c r="AF54" s="34">
        <f>AVERAGE(W54:AB54)</f>
        <v/>
      </c>
    </row>
    <row r="55">
      <c r="B55" s="3" t="inlineStr">
        <is>
          <t>Real Estate, Rental &amp; Leasing</t>
        </is>
      </c>
      <c r="C55" s="22">
        <f>VLOOKUP(C$48,'DB New Orders'!$A:$S,MATCH($B55,'DB New Orders'!$A$1:$S$1,0),0)</f>
        <v/>
      </c>
      <c r="D55" s="22">
        <f>VLOOKUP(D$48,'DB New Orders'!$A:$S,MATCH($B55,'DB New Orders'!$A$1:$S$1,0),0)</f>
        <v/>
      </c>
      <c r="E55" s="22">
        <f>VLOOKUP(E$48,'DB New Orders'!$A:$S,MATCH($B55,'DB New Orders'!$A$1:$S$1,0),0)</f>
        <v/>
      </c>
      <c r="F55" s="22">
        <f>VLOOKUP(F$48,'DB New Orders'!$A:$S,MATCH($B55,'DB New Orders'!$A$1:$S$1,0),0)</f>
        <v/>
      </c>
      <c r="G55" s="22">
        <f>VLOOKUP(G$48,'DB New Orders'!$A:$S,MATCH($B55,'DB New Orders'!$A$1:$S$1,0),0)</f>
        <v/>
      </c>
      <c r="H55" s="22">
        <f>VLOOKUP(H$48,'DB New Orders'!$A:$S,MATCH($B55,'DB New Orders'!$A$1:$S$1,0),0)</f>
        <v/>
      </c>
      <c r="I55" s="22">
        <f>VLOOKUP(I$48,'DB New Orders'!$A:$S,MATCH($B55,'DB New Orders'!$A$1:$S$1,0),0)</f>
        <v/>
      </c>
      <c r="J55" s="22">
        <f>VLOOKUP(J$48,'DB New Orders'!$A:$S,MATCH($B55,'DB New Orders'!$A$1:$S$1,0),0)</f>
        <v/>
      </c>
      <c r="K55" s="22">
        <f>VLOOKUP(K$48,'DB New Orders'!$A:$S,MATCH($B55,'DB New Orders'!$A$1:$S$1,0),0)</f>
        <v/>
      </c>
      <c r="L55" s="22">
        <f>VLOOKUP(L$48,'DB New Orders'!$A:$S,MATCH($B55,'DB New Orders'!$A$1:$S$1,0),0)</f>
        <v/>
      </c>
      <c r="M55" s="22">
        <f>VLOOKUP(M$48,'DB New Orders'!$A:$S,MATCH($B55,'DB New Orders'!$A$1:$S$1,0),0)</f>
        <v/>
      </c>
      <c r="N55" s="22">
        <f>VLOOKUP(N$48,'DB New Orders'!$A:$S,MATCH($B55,'DB New Orders'!$A$1:$S$1,0),0)</f>
        <v/>
      </c>
      <c r="O55" s="22">
        <f>VLOOKUP(O$48,'DB New Orders'!$A:$S,MATCH($B55,'DB New Orders'!$A$1:$S$1,0),0)</f>
        <v/>
      </c>
      <c r="P55" s="22">
        <f>VLOOKUP(P$48,'DB New Orders'!$A:$S,MATCH($B55,'DB New Orders'!$A$1:$S$1,0),0)</f>
        <v/>
      </c>
      <c r="Q55" s="22">
        <f>VLOOKUP(Q$48,'DB New Orders'!$A:$S,MATCH($B55,'DB New Orders'!$A$1:$S$1,0),0)</f>
        <v/>
      </c>
      <c r="R55" s="22">
        <f>VLOOKUP(R$48,'DB New Orders'!$A:$S,MATCH($B55,'DB New Orders'!$A$1:$S$1,0),0)</f>
        <v/>
      </c>
      <c r="S55" s="22">
        <f>VLOOKUP(S$48,'DB New Orders'!$A:$S,MATCH($B55,'DB New Orders'!$A$1:$S$1,0),0)</f>
        <v/>
      </c>
      <c r="T55" s="22">
        <f>VLOOKUP(T$48,'DB New Orders'!$A:$S,MATCH($B55,'DB New Orders'!$A$1:$S$1,0),0)</f>
        <v/>
      </c>
      <c r="U55" s="22">
        <f>VLOOKUP(U$48,'DB New Orders'!$A:$S,MATCH($B55,'DB New Orders'!$A$1:$S$1,0),0)</f>
        <v/>
      </c>
      <c r="V55" s="22">
        <f>VLOOKUP(V$48,'DB New Orders'!$A:$S,MATCH($B55,'DB New Orders'!$A$1:$S$1,0),0)</f>
        <v/>
      </c>
      <c r="W55" s="22">
        <f>VLOOKUP(W$48,'DB New Orders'!$A:$S,MATCH($B55,'DB New Orders'!$A$1:$S$1,0),0)</f>
        <v/>
      </c>
      <c r="X55" s="22">
        <f>VLOOKUP(X$48,'DB New Orders'!$A:$S,MATCH($B55,'DB New Orders'!$A$1:$S$1,0),0)</f>
        <v/>
      </c>
      <c r="Y55" s="22">
        <f>VLOOKUP(Y$48,'DB New Orders'!$A:$S,MATCH($B55,'DB New Orders'!$A$1:$S$1,0),0)</f>
        <v/>
      </c>
      <c r="Z55" s="22">
        <f>VLOOKUP(Z$48,'DB New Orders'!$A:$S,MATCH($B55,'DB New Orders'!$A$1:$S$1,0),0)</f>
        <v/>
      </c>
      <c r="AA55" s="22">
        <f>VLOOKUP(AA$48,'DB New Orders'!$A:$S,MATCH($B55,'DB New Orders'!$A$1:$S$1,0),0)</f>
        <v/>
      </c>
      <c r="AB55" s="22">
        <f>VLOOKUP(AB$48,'DB New Orders'!$A:$S,MATCH($B55,'DB New Orders'!$A$1:$S$1,0),0)</f>
        <v/>
      </c>
      <c r="AD55" s="22">
        <f>AB55-AA55</f>
        <v/>
      </c>
      <c r="AE55" s="34">
        <f>AVERAGE(Z55:AB55)</f>
        <v/>
      </c>
      <c r="AF55" s="34">
        <f>AVERAGE(W55:AB55)</f>
        <v/>
      </c>
    </row>
    <row r="56">
      <c r="B56" s="3" t="inlineStr">
        <is>
          <t>Transportation &amp; Warehousing</t>
        </is>
      </c>
      <c r="C56" s="22">
        <f>VLOOKUP(C$48,'DB New Orders'!$A:$S,MATCH($B56,'DB New Orders'!$A$1:$S$1,0),0)</f>
        <v/>
      </c>
      <c r="D56" s="22">
        <f>VLOOKUP(D$48,'DB New Orders'!$A:$S,MATCH($B56,'DB New Orders'!$A$1:$S$1,0),0)</f>
        <v/>
      </c>
      <c r="E56" s="22">
        <f>VLOOKUP(E$48,'DB New Orders'!$A:$S,MATCH($B56,'DB New Orders'!$A$1:$S$1,0),0)</f>
        <v/>
      </c>
      <c r="F56" s="22">
        <f>VLOOKUP(F$48,'DB New Orders'!$A:$S,MATCH($B56,'DB New Orders'!$A$1:$S$1,0),0)</f>
        <v/>
      </c>
      <c r="G56" s="22">
        <f>VLOOKUP(G$48,'DB New Orders'!$A:$S,MATCH($B56,'DB New Orders'!$A$1:$S$1,0),0)</f>
        <v/>
      </c>
      <c r="H56" s="22">
        <f>VLOOKUP(H$48,'DB New Orders'!$A:$S,MATCH($B56,'DB New Orders'!$A$1:$S$1,0),0)</f>
        <v/>
      </c>
      <c r="I56" s="22">
        <f>VLOOKUP(I$48,'DB New Orders'!$A:$S,MATCH($B56,'DB New Orders'!$A$1:$S$1,0),0)</f>
        <v/>
      </c>
      <c r="J56" s="22">
        <f>VLOOKUP(J$48,'DB New Orders'!$A:$S,MATCH($B56,'DB New Orders'!$A$1:$S$1,0),0)</f>
        <v/>
      </c>
      <c r="K56" s="22">
        <f>VLOOKUP(K$48,'DB New Orders'!$A:$S,MATCH($B56,'DB New Orders'!$A$1:$S$1,0),0)</f>
        <v/>
      </c>
      <c r="L56" s="22">
        <f>VLOOKUP(L$48,'DB New Orders'!$A:$S,MATCH($B56,'DB New Orders'!$A$1:$S$1,0),0)</f>
        <v/>
      </c>
      <c r="M56" s="22">
        <f>VLOOKUP(M$48,'DB New Orders'!$A:$S,MATCH($B56,'DB New Orders'!$A$1:$S$1,0),0)</f>
        <v/>
      </c>
      <c r="N56" s="22">
        <f>VLOOKUP(N$48,'DB New Orders'!$A:$S,MATCH($B56,'DB New Orders'!$A$1:$S$1,0),0)</f>
        <v/>
      </c>
      <c r="O56" s="22">
        <f>VLOOKUP(O$48,'DB New Orders'!$A:$S,MATCH($B56,'DB New Orders'!$A$1:$S$1,0),0)</f>
        <v/>
      </c>
      <c r="P56" s="22">
        <f>VLOOKUP(P$48,'DB New Orders'!$A:$S,MATCH($B56,'DB New Orders'!$A$1:$S$1,0),0)</f>
        <v/>
      </c>
      <c r="Q56" s="22">
        <f>VLOOKUP(Q$48,'DB New Orders'!$A:$S,MATCH($B56,'DB New Orders'!$A$1:$S$1,0),0)</f>
        <v/>
      </c>
      <c r="R56" s="22">
        <f>VLOOKUP(R$48,'DB New Orders'!$A:$S,MATCH($B56,'DB New Orders'!$A$1:$S$1,0),0)</f>
        <v/>
      </c>
      <c r="S56" s="22">
        <f>VLOOKUP(S$48,'DB New Orders'!$A:$S,MATCH($B56,'DB New Orders'!$A$1:$S$1,0),0)</f>
        <v/>
      </c>
      <c r="T56" s="22">
        <f>VLOOKUP(T$48,'DB New Orders'!$A:$S,MATCH($B56,'DB New Orders'!$A$1:$S$1,0),0)</f>
        <v/>
      </c>
      <c r="U56" s="22">
        <f>VLOOKUP(U$48,'DB New Orders'!$A:$S,MATCH($B56,'DB New Orders'!$A$1:$S$1,0),0)</f>
        <v/>
      </c>
      <c r="V56" s="22">
        <f>VLOOKUP(V$48,'DB New Orders'!$A:$S,MATCH($B56,'DB New Orders'!$A$1:$S$1,0),0)</f>
        <v/>
      </c>
      <c r="W56" s="22">
        <f>VLOOKUP(W$48,'DB New Orders'!$A:$S,MATCH($B56,'DB New Orders'!$A$1:$S$1,0),0)</f>
        <v/>
      </c>
      <c r="X56" s="22">
        <f>VLOOKUP(X$48,'DB New Orders'!$A:$S,MATCH($B56,'DB New Orders'!$A$1:$S$1,0),0)</f>
        <v/>
      </c>
      <c r="Y56" s="22">
        <f>VLOOKUP(Y$48,'DB New Orders'!$A:$S,MATCH($B56,'DB New Orders'!$A$1:$S$1,0),0)</f>
        <v/>
      </c>
      <c r="Z56" s="22">
        <f>VLOOKUP(Z$48,'DB New Orders'!$A:$S,MATCH($B56,'DB New Orders'!$A$1:$S$1,0),0)</f>
        <v/>
      </c>
      <c r="AA56" s="22">
        <f>VLOOKUP(AA$48,'DB New Orders'!$A:$S,MATCH($B56,'DB New Orders'!$A$1:$S$1,0),0)</f>
        <v/>
      </c>
      <c r="AB56" s="22">
        <f>VLOOKUP(AB$48,'DB New Orders'!$A:$S,MATCH($B56,'DB New Orders'!$A$1:$S$1,0),0)</f>
        <v/>
      </c>
      <c r="AD56" s="22">
        <f>AB56-AA56</f>
        <v/>
      </c>
      <c r="AE56" s="34">
        <f>AVERAGE(Z56:AB56)</f>
        <v/>
      </c>
      <c r="AF56" s="34">
        <f>AVERAGE(W56:AB56)</f>
        <v/>
      </c>
    </row>
    <row r="57">
      <c r="B57" s="3" t="inlineStr">
        <is>
          <t>Accommodation &amp; Food Services</t>
        </is>
      </c>
      <c r="C57" s="22">
        <f>VLOOKUP(C$48,'DB New Orders'!$A:$S,MATCH($B57,'DB New Orders'!$A$1:$S$1,0),0)</f>
        <v/>
      </c>
      <c r="D57" s="22">
        <f>VLOOKUP(D$48,'DB New Orders'!$A:$S,MATCH($B57,'DB New Orders'!$A$1:$S$1,0),0)</f>
        <v/>
      </c>
      <c r="E57" s="22">
        <f>VLOOKUP(E$48,'DB New Orders'!$A:$S,MATCH($B57,'DB New Orders'!$A$1:$S$1,0),0)</f>
        <v/>
      </c>
      <c r="F57" s="22">
        <f>VLOOKUP(F$48,'DB New Orders'!$A:$S,MATCH($B57,'DB New Orders'!$A$1:$S$1,0),0)</f>
        <v/>
      </c>
      <c r="G57" s="22">
        <f>VLOOKUP(G$48,'DB New Orders'!$A:$S,MATCH($B57,'DB New Orders'!$A$1:$S$1,0),0)</f>
        <v/>
      </c>
      <c r="H57" s="22">
        <f>VLOOKUP(H$48,'DB New Orders'!$A:$S,MATCH($B57,'DB New Orders'!$A$1:$S$1,0),0)</f>
        <v/>
      </c>
      <c r="I57" s="22">
        <f>VLOOKUP(I$48,'DB New Orders'!$A:$S,MATCH($B57,'DB New Orders'!$A$1:$S$1,0),0)</f>
        <v/>
      </c>
      <c r="J57" s="22">
        <f>VLOOKUP(J$48,'DB New Orders'!$A:$S,MATCH($B57,'DB New Orders'!$A$1:$S$1,0),0)</f>
        <v/>
      </c>
      <c r="K57" s="22">
        <f>VLOOKUP(K$48,'DB New Orders'!$A:$S,MATCH($B57,'DB New Orders'!$A$1:$S$1,0),0)</f>
        <v/>
      </c>
      <c r="L57" s="22">
        <f>VLOOKUP(L$48,'DB New Orders'!$A:$S,MATCH($B57,'DB New Orders'!$A$1:$S$1,0),0)</f>
        <v/>
      </c>
      <c r="M57" s="22">
        <f>VLOOKUP(M$48,'DB New Orders'!$A:$S,MATCH($B57,'DB New Orders'!$A$1:$S$1,0),0)</f>
        <v/>
      </c>
      <c r="N57" s="22">
        <f>VLOOKUP(N$48,'DB New Orders'!$A:$S,MATCH($B57,'DB New Orders'!$A$1:$S$1,0),0)</f>
        <v/>
      </c>
      <c r="O57" s="22">
        <f>VLOOKUP(O$48,'DB New Orders'!$A:$S,MATCH($B57,'DB New Orders'!$A$1:$S$1,0),0)</f>
        <v/>
      </c>
      <c r="P57" s="22">
        <f>VLOOKUP(P$48,'DB New Orders'!$A:$S,MATCH($B57,'DB New Orders'!$A$1:$S$1,0),0)</f>
        <v/>
      </c>
      <c r="Q57" s="22">
        <f>VLOOKUP(Q$48,'DB New Orders'!$A:$S,MATCH($B57,'DB New Orders'!$A$1:$S$1,0),0)</f>
        <v/>
      </c>
      <c r="R57" s="22">
        <f>VLOOKUP(R$48,'DB New Orders'!$A:$S,MATCH($B57,'DB New Orders'!$A$1:$S$1,0),0)</f>
        <v/>
      </c>
      <c r="S57" s="22">
        <f>VLOOKUP(S$48,'DB New Orders'!$A:$S,MATCH($B57,'DB New Orders'!$A$1:$S$1,0),0)</f>
        <v/>
      </c>
      <c r="T57" s="22">
        <f>VLOOKUP(T$48,'DB New Orders'!$A:$S,MATCH($B57,'DB New Orders'!$A$1:$S$1,0),0)</f>
        <v/>
      </c>
      <c r="U57" s="22">
        <f>VLOOKUP(U$48,'DB New Orders'!$A:$S,MATCH($B57,'DB New Orders'!$A$1:$S$1,0),0)</f>
        <v/>
      </c>
      <c r="V57" s="22">
        <f>VLOOKUP(V$48,'DB New Orders'!$A:$S,MATCH($B57,'DB New Orders'!$A$1:$S$1,0),0)</f>
        <v/>
      </c>
      <c r="W57" s="22">
        <f>VLOOKUP(W$48,'DB New Orders'!$A:$S,MATCH($B57,'DB New Orders'!$A$1:$S$1,0),0)</f>
        <v/>
      </c>
      <c r="X57" s="22">
        <f>VLOOKUP(X$48,'DB New Orders'!$A:$S,MATCH($B57,'DB New Orders'!$A$1:$S$1,0),0)</f>
        <v/>
      </c>
      <c r="Y57" s="22">
        <f>VLOOKUP(Y$48,'DB New Orders'!$A:$S,MATCH($B57,'DB New Orders'!$A$1:$S$1,0),0)</f>
        <v/>
      </c>
      <c r="Z57" s="22">
        <f>VLOOKUP(Z$48,'DB New Orders'!$A:$S,MATCH($B57,'DB New Orders'!$A$1:$S$1,0),0)</f>
        <v/>
      </c>
      <c r="AA57" s="22">
        <f>VLOOKUP(AA$48,'DB New Orders'!$A:$S,MATCH($B57,'DB New Orders'!$A$1:$S$1,0),0)</f>
        <v/>
      </c>
      <c r="AB57" s="22">
        <f>VLOOKUP(AB$48,'DB New Orders'!$A:$S,MATCH($B57,'DB New Orders'!$A$1:$S$1,0),0)</f>
        <v/>
      </c>
      <c r="AD57" s="22">
        <f>AB57-AA57</f>
        <v/>
      </c>
      <c r="AE57" s="34">
        <f>AVERAGE(Z57:AB57)</f>
        <v/>
      </c>
      <c r="AF57" s="34">
        <f>AVERAGE(W57:AB57)</f>
        <v/>
      </c>
    </row>
    <row r="58">
      <c r="B58" s="3" t="inlineStr">
        <is>
          <t>Construction</t>
        </is>
      </c>
      <c r="C58" s="22">
        <f>VLOOKUP(C$48,'DB New Orders'!$A:$S,MATCH($B58,'DB New Orders'!$A$1:$S$1,0),0)</f>
        <v/>
      </c>
      <c r="D58" s="22">
        <f>VLOOKUP(D$48,'DB New Orders'!$A:$S,MATCH($B58,'DB New Orders'!$A$1:$S$1,0),0)</f>
        <v/>
      </c>
      <c r="E58" s="22">
        <f>VLOOKUP(E$48,'DB New Orders'!$A:$S,MATCH($B58,'DB New Orders'!$A$1:$S$1,0),0)</f>
        <v/>
      </c>
      <c r="F58" s="22">
        <f>VLOOKUP(F$48,'DB New Orders'!$A:$S,MATCH($B58,'DB New Orders'!$A$1:$S$1,0),0)</f>
        <v/>
      </c>
      <c r="G58" s="22">
        <f>VLOOKUP(G$48,'DB New Orders'!$A:$S,MATCH($B58,'DB New Orders'!$A$1:$S$1,0),0)</f>
        <v/>
      </c>
      <c r="H58" s="22">
        <f>VLOOKUP(H$48,'DB New Orders'!$A:$S,MATCH($B58,'DB New Orders'!$A$1:$S$1,0),0)</f>
        <v/>
      </c>
      <c r="I58" s="22">
        <f>VLOOKUP(I$48,'DB New Orders'!$A:$S,MATCH($B58,'DB New Orders'!$A$1:$S$1,0),0)</f>
        <v/>
      </c>
      <c r="J58" s="22">
        <f>VLOOKUP(J$48,'DB New Orders'!$A:$S,MATCH($B58,'DB New Orders'!$A$1:$S$1,0),0)</f>
        <v/>
      </c>
      <c r="K58" s="22">
        <f>VLOOKUP(K$48,'DB New Orders'!$A:$S,MATCH($B58,'DB New Orders'!$A$1:$S$1,0),0)</f>
        <v/>
      </c>
      <c r="L58" s="22">
        <f>VLOOKUP(L$48,'DB New Orders'!$A:$S,MATCH($B58,'DB New Orders'!$A$1:$S$1,0),0)</f>
        <v/>
      </c>
      <c r="M58" s="22">
        <f>VLOOKUP(M$48,'DB New Orders'!$A:$S,MATCH($B58,'DB New Orders'!$A$1:$S$1,0),0)</f>
        <v/>
      </c>
      <c r="N58" s="22">
        <f>VLOOKUP(N$48,'DB New Orders'!$A:$S,MATCH($B58,'DB New Orders'!$A$1:$S$1,0),0)</f>
        <v/>
      </c>
      <c r="O58" s="22">
        <f>VLOOKUP(O$48,'DB New Orders'!$A:$S,MATCH($B58,'DB New Orders'!$A$1:$S$1,0),0)</f>
        <v/>
      </c>
      <c r="P58" s="22">
        <f>VLOOKUP(P$48,'DB New Orders'!$A:$S,MATCH($B58,'DB New Orders'!$A$1:$S$1,0),0)</f>
        <v/>
      </c>
      <c r="Q58" s="22">
        <f>VLOOKUP(Q$48,'DB New Orders'!$A:$S,MATCH($B58,'DB New Orders'!$A$1:$S$1,0),0)</f>
        <v/>
      </c>
      <c r="R58" s="22">
        <f>VLOOKUP(R$48,'DB New Orders'!$A:$S,MATCH($B58,'DB New Orders'!$A$1:$S$1,0),0)</f>
        <v/>
      </c>
      <c r="S58" s="22">
        <f>VLOOKUP(S$48,'DB New Orders'!$A:$S,MATCH($B58,'DB New Orders'!$A$1:$S$1,0),0)</f>
        <v/>
      </c>
      <c r="T58" s="22">
        <f>VLOOKUP(T$48,'DB New Orders'!$A:$S,MATCH($B58,'DB New Orders'!$A$1:$S$1,0),0)</f>
        <v/>
      </c>
      <c r="U58" s="22">
        <f>VLOOKUP(U$48,'DB New Orders'!$A:$S,MATCH($B58,'DB New Orders'!$A$1:$S$1,0),0)</f>
        <v/>
      </c>
      <c r="V58" s="22">
        <f>VLOOKUP(V$48,'DB New Orders'!$A:$S,MATCH($B58,'DB New Orders'!$A$1:$S$1,0),0)</f>
        <v/>
      </c>
      <c r="W58" s="22">
        <f>VLOOKUP(W$48,'DB New Orders'!$A:$S,MATCH($B58,'DB New Orders'!$A$1:$S$1,0),0)</f>
        <v/>
      </c>
      <c r="X58" s="22">
        <f>VLOOKUP(X$48,'DB New Orders'!$A:$S,MATCH($B58,'DB New Orders'!$A$1:$S$1,0),0)</f>
        <v/>
      </c>
      <c r="Y58" s="22">
        <f>VLOOKUP(Y$48,'DB New Orders'!$A:$S,MATCH($B58,'DB New Orders'!$A$1:$S$1,0),0)</f>
        <v/>
      </c>
      <c r="Z58" s="22">
        <f>VLOOKUP(Z$48,'DB New Orders'!$A:$S,MATCH($B58,'DB New Orders'!$A$1:$S$1,0),0)</f>
        <v/>
      </c>
      <c r="AA58" s="22">
        <f>VLOOKUP(AA$48,'DB New Orders'!$A:$S,MATCH($B58,'DB New Orders'!$A$1:$S$1,0),0)</f>
        <v/>
      </c>
      <c r="AB58" s="22">
        <f>VLOOKUP(AB$48,'DB New Orders'!$A:$S,MATCH($B58,'DB New Orders'!$A$1:$S$1,0),0)</f>
        <v/>
      </c>
      <c r="AD58" s="22">
        <f>AB58-AA58</f>
        <v/>
      </c>
      <c r="AE58" s="34">
        <f>AVERAGE(Z58:AB58)</f>
        <v/>
      </c>
      <c r="AF58" s="34">
        <f>AVERAGE(W58:AB58)</f>
        <v/>
      </c>
    </row>
    <row r="59">
      <c r="B59" s="3" t="inlineStr">
        <is>
          <t>Agriculture, Forestry, Fishing &amp; Hunting</t>
        </is>
      </c>
      <c r="C59" s="22">
        <f>VLOOKUP(C$48,'DB New Orders'!$A:$S,MATCH($B59,'DB New Orders'!$A$1:$S$1,0),0)</f>
        <v/>
      </c>
      <c r="D59" s="22">
        <f>VLOOKUP(D$48,'DB New Orders'!$A:$S,MATCH($B59,'DB New Orders'!$A$1:$S$1,0),0)</f>
        <v/>
      </c>
      <c r="E59" s="22">
        <f>VLOOKUP(E$48,'DB New Orders'!$A:$S,MATCH($B59,'DB New Orders'!$A$1:$S$1,0),0)</f>
        <v/>
      </c>
      <c r="F59" s="22">
        <f>VLOOKUP(F$48,'DB New Orders'!$A:$S,MATCH($B59,'DB New Orders'!$A$1:$S$1,0),0)</f>
        <v/>
      </c>
      <c r="G59" s="22">
        <f>VLOOKUP(G$48,'DB New Orders'!$A:$S,MATCH($B59,'DB New Orders'!$A$1:$S$1,0),0)</f>
        <v/>
      </c>
      <c r="H59" s="22">
        <f>VLOOKUP(H$48,'DB New Orders'!$A:$S,MATCH($B59,'DB New Orders'!$A$1:$S$1,0),0)</f>
        <v/>
      </c>
      <c r="I59" s="22">
        <f>VLOOKUP(I$48,'DB New Orders'!$A:$S,MATCH($B59,'DB New Orders'!$A$1:$S$1,0),0)</f>
        <v/>
      </c>
      <c r="J59" s="22">
        <f>VLOOKUP(J$48,'DB New Orders'!$A:$S,MATCH($B59,'DB New Orders'!$A$1:$S$1,0),0)</f>
        <v/>
      </c>
      <c r="K59" s="22">
        <f>VLOOKUP(K$48,'DB New Orders'!$A:$S,MATCH($B59,'DB New Orders'!$A$1:$S$1,0),0)</f>
        <v/>
      </c>
      <c r="L59" s="22">
        <f>VLOOKUP(L$48,'DB New Orders'!$A:$S,MATCH($B59,'DB New Orders'!$A$1:$S$1,0),0)</f>
        <v/>
      </c>
      <c r="M59" s="22">
        <f>VLOOKUP(M$48,'DB New Orders'!$A:$S,MATCH($B59,'DB New Orders'!$A$1:$S$1,0),0)</f>
        <v/>
      </c>
      <c r="N59" s="22">
        <f>VLOOKUP(N$48,'DB New Orders'!$A:$S,MATCH($B59,'DB New Orders'!$A$1:$S$1,0),0)</f>
        <v/>
      </c>
      <c r="O59" s="22">
        <f>VLOOKUP(O$48,'DB New Orders'!$A:$S,MATCH($B59,'DB New Orders'!$A$1:$S$1,0),0)</f>
        <v/>
      </c>
      <c r="P59" s="22">
        <f>VLOOKUP(P$48,'DB New Orders'!$A:$S,MATCH($B59,'DB New Orders'!$A$1:$S$1,0),0)</f>
        <v/>
      </c>
      <c r="Q59" s="22">
        <f>VLOOKUP(Q$48,'DB New Orders'!$A:$S,MATCH($B59,'DB New Orders'!$A$1:$S$1,0),0)</f>
        <v/>
      </c>
      <c r="R59" s="22">
        <f>VLOOKUP(R$48,'DB New Orders'!$A:$S,MATCH($B59,'DB New Orders'!$A$1:$S$1,0),0)</f>
        <v/>
      </c>
      <c r="S59" s="22">
        <f>VLOOKUP(S$48,'DB New Orders'!$A:$S,MATCH($B59,'DB New Orders'!$A$1:$S$1,0),0)</f>
        <v/>
      </c>
      <c r="T59" s="22">
        <f>VLOOKUP(T$48,'DB New Orders'!$A:$S,MATCH($B59,'DB New Orders'!$A$1:$S$1,0),0)</f>
        <v/>
      </c>
      <c r="U59" s="22">
        <f>VLOOKUP(U$48,'DB New Orders'!$A:$S,MATCH($B59,'DB New Orders'!$A$1:$S$1,0),0)</f>
        <v/>
      </c>
      <c r="V59" s="22">
        <f>VLOOKUP(V$48,'DB New Orders'!$A:$S,MATCH($B59,'DB New Orders'!$A$1:$S$1,0),0)</f>
        <v/>
      </c>
      <c r="W59" s="22">
        <f>VLOOKUP(W$48,'DB New Orders'!$A:$S,MATCH($B59,'DB New Orders'!$A$1:$S$1,0),0)</f>
        <v/>
      </c>
      <c r="X59" s="22">
        <f>VLOOKUP(X$48,'DB New Orders'!$A:$S,MATCH($B59,'DB New Orders'!$A$1:$S$1,0),0)</f>
        <v/>
      </c>
      <c r="Y59" s="22">
        <f>VLOOKUP(Y$48,'DB New Orders'!$A:$S,MATCH($B59,'DB New Orders'!$A$1:$S$1,0),0)</f>
        <v/>
      </c>
      <c r="Z59" s="22">
        <f>VLOOKUP(Z$48,'DB New Orders'!$A:$S,MATCH($B59,'DB New Orders'!$A$1:$S$1,0),0)</f>
        <v/>
      </c>
      <c r="AA59" s="22">
        <f>VLOOKUP(AA$48,'DB New Orders'!$A:$S,MATCH($B59,'DB New Orders'!$A$1:$S$1,0),0)</f>
        <v/>
      </c>
      <c r="AB59" s="22">
        <f>VLOOKUP(AB$48,'DB New Orders'!$A:$S,MATCH($B59,'DB New Orders'!$A$1:$S$1,0),0)</f>
        <v/>
      </c>
      <c r="AD59" s="22">
        <f>AB59-AA59</f>
        <v/>
      </c>
      <c r="AE59" s="34">
        <f>AVERAGE(Z59:AB59)</f>
        <v/>
      </c>
      <c r="AF59" s="34">
        <f>AVERAGE(W59:AB59)</f>
        <v/>
      </c>
    </row>
    <row r="60">
      <c r="B60" s="3" t="inlineStr">
        <is>
          <t>Arts, Entertainment &amp; Recreation</t>
        </is>
      </c>
      <c r="C60" s="22">
        <f>VLOOKUP(C$48,'DB New Orders'!$A:$S,MATCH($B60,'DB New Orders'!$A$1:$S$1,0),0)</f>
        <v/>
      </c>
      <c r="D60" s="22">
        <f>VLOOKUP(D$48,'DB New Orders'!$A:$S,MATCH($B60,'DB New Orders'!$A$1:$S$1,0),0)</f>
        <v/>
      </c>
      <c r="E60" s="22">
        <f>VLOOKUP(E$48,'DB New Orders'!$A:$S,MATCH($B60,'DB New Orders'!$A$1:$S$1,0),0)</f>
        <v/>
      </c>
      <c r="F60" s="22">
        <f>VLOOKUP(F$48,'DB New Orders'!$A:$S,MATCH($B60,'DB New Orders'!$A$1:$S$1,0),0)</f>
        <v/>
      </c>
      <c r="G60" s="22">
        <f>VLOOKUP(G$48,'DB New Orders'!$A:$S,MATCH($B60,'DB New Orders'!$A$1:$S$1,0),0)</f>
        <v/>
      </c>
      <c r="H60" s="22">
        <f>VLOOKUP(H$48,'DB New Orders'!$A:$S,MATCH($B60,'DB New Orders'!$A$1:$S$1,0),0)</f>
        <v/>
      </c>
      <c r="I60" s="22">
        <f>VLOOKUP(I$48,'DB New Orders'!$A:$S,MATCH($B60,'DB New Orders'!$A$1:$S$1,0),0)</f>
        <v/>
      </c>
      <c r="J60" s="22">
        <f>VLOOKUP(J$48,'DB New Orders'!$A:$S,MATCH($B60,'DB New Orders'!$A$1:$S$1,0),0)</f>
        <v/>
      </c>
      <c r="K60" s="22">
        <f>VLOOKUP(K$48,'DB New Orders'!$A:$S,MATCH($B60,'DB New Orders'!$A$1:$S$1,0),0)</f>
        <v/>
      </c>
      <c r="L60" s="22">
        <f>VLOOKUP(L$48,'DB New Orders'!$A:$S,MATCH($B60,'DB New Orders'!$A$1:$S$1,0),0)</f>
        <v/>
      </c>
      <c r="M60" s="22">
        <f>VLOOKUP(M$48,'DB New Orders'!$A:$S,MATCH($B60,'DB New Orders'!$A$1:$S$1,0),0)</f>
        <v/>
      </c>
      <c r="N60" s="22">
        <f>VLOOKUP(N$48,'DB New Orders'!$A:$S,MATCH($B60,'DB New Orders'!$A$1:$S$1,0),0)</f>
        <v/>
      </c>
      <c r="O60" s="22">
        <f>VLOOKUP(O$48,'DB New Orders'!$A:$S,MATCH($B60,'DB New Orders'!$A$1:$S$1,0),0)</f>
        <v/>
      </c>
      <c r="P60" s="22">
        <f>VLOOKUP(P$48,'DB New Orders'!$A:$S,MATCH($B60,'DB New Orders'!$A$1:$S$1,0),0)</f>
        <v/>
      </c>
      <c r="Q60" s="22">
        <f>VLOOKUP(Q$48,'DB New Orders'!$A:$S,MATCH($B60,'DB New Orders'!$A$1:$S$1,0),0)</f>
        <v/>
      </c>
      <c r="R60" s="22">
        <f>VLOOKUP(R$48,'DB New Orders'!$A:$S,MATCH($B60,'DB New Orders'!$A$1:$S$1,0),0)</f>
        <v/>
      </c>
      <c r="S60" s="22">
        <f>VLOOKUP(S$48,'DB New Orders'!$A:$S,MATCH($B60,'DB New Orders'!$A$1:$S$1,0),0)</f>
        <v/>
      </c>
      <c r="T60" s="22">
        <f>VLOOKUP(T$48,'DB New Orders'!$A:$S,MATCH($B60,'DB New Orders'!$A$1:$S$1,0),0)</f>
        <v/>
      </c>
      <c r="U60" s="22">
        <f>VLOOKUP(U$48,'DB New Orders'!$A:$S,MATCH($B60,'DB New Orders'!$A$1:$S$1,0),0)</f>
        <v/>
      </c>
      <c r="V60" s="22">
        <f>VLOOKUP(V$48,'DB New Orders'!$A:$S,MATCH($B60,'DB New Orders'!$A$1:$S$1,0),0)</f>
        <v/>
      </c>
      <c r="W60" s="22">
        <f>VLOOKUP(W$48,'DB New Orders'!$A:$S,MATCH($B60,'DB New Orders'!$A$1:$S$1,0),0)</f>
        <v/>
      </c>
      <c r="X60" s="22">
        <f>VLOOKUP(X$48,'DB New Orders'!$A:$S,MATCH($B60,'DB New Orders'!$A$1:$S$1,0),0)</f>
        <v/>
      </c>
      <c r="Y60" s="22">
        <f>VLOOKUP(Y$48,'DB New Orders'!$A:$S,MATCH($B60,'DB New Orders'!$A$1:$S$1,0),0)</f>
        <v/>
      </c>
      <c r="Z60" s="22">
        <f>VLOOKUP(Z$48,'DB New Orders'!$A:$S,MATCH($B60,'DB New Orders'!$A$1:$S$1,0),0)</f>
        <v/>
      </c>
      <c r="AA60" s="22">
        <f>VLOOKUP(AA$48,'DB New Orders'!$A:$S,MATCH($B60,'DB New Orders'!$A$1:$S$1,0),0)</f>
        <v/>
      </c>
      <c r="AB60" s="22">
        <f>VLOOKUP(AB$48,'DB New Orders'!$A:$S,MATCH($B60,'DB New Orders'!$A$1:$S$1,0),0)</f>
        <v/>
      </c>
      <c r="AD60" s="22">
        <f>AB60-AA60</f>
        <v/>
      </c>
      <c r="AE60" s="34">
        <f>AVERAGE(Z60:AB60)</f>
        <v/>
      </c>
      <c r="AF60" s="34">
        <f>AVERAGE(W60:AB60)</f>
        <v/>
      </c>
    </row>
    <row r="61">
      <c r="B61" s="3" t="inlineStr">
        <is>
          <t>Mining</t>
        </is>
      </c>
      <c r="C61" s="22">
        <f>VLOOKUP(C$48,'DB New Orders'!$A:$S,MATCH($B61,'DB New Orders'!$A$1:$S$1,0),0)</f>
        <v/>
      </c>
      <c r="D61" s="22">
        <f>VLOOKUP(D$48,'DB New Orders'!$A:$S,MATCH($B61,'DB New Orders'!$A$1:$S$1,0),0)</f>
        <v/>
      </c>
      <c r="E61" s="22">
        <f>VLOOKUP(E$48,'DB New Orders'!$A:$S,MATCH($B61,'DB New Orders'!$A$1:$S$1,0),0)</f>
        <v/>
      </c>
      <c r="F61" s="22">
        <f>VLOOKUP(F$48,'DB New Orders'!$A:$S,MATCH($B61,'DB New Orders'!$A$1:$S$1,0),0)</f>
        <v/>
      </c>
      <c r="G61" s="22">
        <f>VLOOKUP(G$48,'DB New Orders'!$A:$S,MATCH($B61,'DB New Orders'!$A$1:$S$1,0),0)</f>
        <v/>
      </c>
      <c r="H61" s="22">
        <f>VLOOKUP(H$48,'DB New Orders'!$A:$S,MATCH($B61,'DB New Orders'!$A$1:$S$1,0),0)</f>
        <v/>
      </c>
      <c r="I61" s="22">
        <f>VLOOKUP(I$48,'DB New Orders'!$A:$S,MATCH($B61,'DB New Orders'!$A$1:$S$1,0),0)</f>
        <v/>
      </c>
      <c r="J61" s="22">
        <f>VLOOKUP(J$48,'DB New Orders'!$A:$S,MATCH($B61,'DB New Orders'!$A$1:$S$1,0),0)</f>
        <v/>
      </c>
      <c r="K61" s="22">
        <f>VLOOKUP(K$48,'DB New Orders'!$A:$S,MATCH($B61,'DB New Orders'!$A$1:$S$1,0),0)</f>
        <v/>
      </c>
      <c r="L61" s="22">
        <f>VLOOKUP(L$48,'DB New Orders'!$A:$S,MATCH($B61,'DB New Orders'!$A$1:$S$1,0),0)</f>
        <v/>
      </c>
      <c r="M61" s="22">
        <f>VLOOKUP(M$48,'DB New Orders'!$A:$S,MATCH($B61,'DB New Orders'!$A$1:$S$1,0),0)</f>
        <v/>
      </c>
      <c r="N61" s="22">
        <f>VLOOKUP(N$48,'DB New Orders'!$A:$S,MATCH($B61,'DB New Orders'!$A$1:$S$1,0),0)</f>
        <v/>
      </c>
      <c r="O61" s="22">
        <f>VLOOKUP(O$48,'DB New Orders'!$A:$S,MATCH($B61,'DB New Orders'!$A$1:$S$1,0),0)</f>
        <v/>
      </c>
      <c r="P61" s="22">
        <f>VLOOKUP(P$48,'DB New Orders'!$A:$S,MATCH($B61,'DB New Orders'!$A$1:$S$1,0),0)</f>
        <v/>
      </c>
      <c r="Q61" s="22">
        <f>VLOOKUP(Q$48,'DB New Orders'!$A:$S,MATCH($B61,'DB New Orders'!$A$1:$S$1,0),0)</f>
        <v/>
      </c>
      <c r="R61" s="22">
        <f>VLOOKUP(R$48,'DB New Orders'!$A:$S,MATCH($B61,'DB New Orders'!$A$1:$S$1,0),0)</f>
        <v/>
      </c>
      <c r="S61" s="22">
        <f>VLOOKUP(S$48,'DB New Orders'!$A:$S,MATCH($B61,'DB New Orders'!$A$1:$S$1,0),0)</f>
        <v/>
      </c>
      <c r="T61" s="22">
        <f>VLOOKUP(T$48,'DB New Orders'!$A:$S,MATCH($B61,'DB New Orders'!$A$1:$S$1,0),0)</f>
        <v/>
      </c>
      <c r="U61" s="22">
        <f>VLOOKUP(U$48,'DB New Orders'!$A:$S,MATCH($B61,'DB New Orders'!$A$1:$S$1,0),0)</f>
        <v/>
      </c>
      <c r="V61" s="22">
        <f>VLOOKUP(V$48,'DB New Orders'!$A:$S,MATCH($B61,'DB New Orders'!$A$1:$S$1,0),0)</f>
        <v/>
      </c>
      <c r="W61" s="22">
        <f>VLOOKUP(W$48,'DB New Orders'!$A:$S,MATCH($B61,'DB New Orders'!$A$1:$S$1,0),0)</f>
        <v/>
      </c>
      <c r="X61" s="22">
        <f>VLOOKUP(X$48,'DB New Orders'!$A:$S,MATCH($B61,'DB New Orders'!$A$1:$S$1,0),0)</f>
        <v/>
      </c>
      <c r="Y61" s="22">
        <f>VLOOKUP(Y$48,'DB New Orders'!$A:$S,MATCH($B61,'DB New Orders'!$A$1:$S$1,0),0)</f>
        <v/>
      </c>
      <c r="Z61" s="22">
        <f>VLOOKUP(Z$48,'DB New Orders'!$A:$S,MATCH($B61,'DB New Orders'!$A$1:$S$1,0),0)</f>
        <v/>
      </c>
      <c r="AA61" s="22">
        <f>VLOOKUP(AA$48,'DB New Orders'!$A:$S,MATCH($B61,'DB New Orders'!$A$1:$S$1,0),0)</f>
        <v/>
      </c>
      <c r="AB61" s="22">
        <f>VLOOKUP(AB$48,'DB New Orders'!$A:$S,MATCH($B61,'DB New Orders'!$A$1:$S$1,0),0)</f>
        <v/>
      </c>
      <c r="AD61" s="22">
        <f>AB61-AA61</f>
        <v/>
      </c>
      <c r="AE61" s="34">
        <f>AVERAGE(Z61:AB61)</f>
        <v/>
      </c>
      <c r="AF61" s="34">
        <f>AVERAGE(W61:AB61)</f>
        <v/>
      </c>
    </row>
    <row r="62">
      <c r="B62" s="3" t="inlineStr">
        <is>
          <t>Professional, Scientific &amp; Technical Services</t>
        </is>
      </c>
      <c r="C62" s="22">
        <f>VLOOKUP(C$48,'DB New Orders'!$A:$S,MATCH($B62,'DB New Orders'!$A$1:$S$1,0),0)</f>
        <v/>
      </c>
      <c r="D62" s="22">
        <f>VLOOKUP(D$48,'DB New Orders'!$A:$S,MATCH($B62,'DB New Orders'!$A$1:$S$1,0),0)</f>
        <v/>
      </c>
      <c r="E62" s="22">
        <f>VLOOKUP(E$48,'DB New Orders'!$A:$S,MATCH($B62,'DB New Orders'!$A$1:$S$1,0),0)</f>
        <v/>
      </c>
      <c r="F62" s="22">
        <f>VLOOKUP(F$48,'DB New Orders'!$A:$S,MATCH($B62,'DB New Orders'!$A$1:$S$1,0),0)</f>
        <v/>
      </c>
      <c r="G62" s="22">
        <f>VLOOKUP(G$48,'DB New Orders'!$A:$S,MATCH($B62,'DB New Orders'!$A$1:$S$1,0),0)</f>
        <v/>
      </c>
      <c r="H62" s="22">
        <f>VLOOKUP(H$48,'DB New Orders'!$A:$S,MATCH($B62,'DB New Orders'!$A$1:$S$1,0),0)</f>
        <v/>
      </c>
      <c r="I62" s="22">
        <f>VLOOKUP(I$48,'DB New Orders'!$A:$S,MATCH($B62,'DB New Orders'!$A$1:$S$1,0),0)</f>
        <v/>
      </c>
      <c r="J62" s="22">
        <f>VLOOKUP(J$48,'DB New Orders'!$A:$S,MATCH($B62,'DB New Orders'!$A$1:$S$1,0),0)</f>
        <v/>
      </c>
      <c r="K62" s="22">
        <f>VLOOKUP(K$48,'DB New Orders'!$A:$S,MATCH($B62,'DB New Orders'!$A$1:$S$1,0),0)</f>
        <v/>
      </c>
      <c r="L62" s="22">
        <f>VLOOKUP(L$48,'DB New Orders'!$A:$S,MATCH($B62,'DB New Orders'!$A$1:$S$1,0),0)</f>
        <v/>
      </c>
      <c r="M62" s="22">
        <f>VLOOKUP(M$48,'DB New Orders'!$A:$S,MATCH($B62,'DB New Orders'!$A$1:$S$1,0),0)</f>
        <v/>
      </c>
      <c r="N62" s="22">
        <f>VLOOKUP(N$48,'DB New Orders'!$A:$S,MATCH($B62,'DB New Orders'!$A$1:$S$1,0),0)</f>
        <v/>
      </c>
      <c r="O62" s="22">
        <f>VLOOKUP(O$48,'DB New Orders'!$A:$S,MATCH($B62,'DB New Orders'!$A$1:$S$1,0),0)</f>
        <v/>
      </c>
      <c r="P62" s="22">
        <f>VLOOKUP(P$48,'DB New Orders'!$A:$S,MATCH($B62,'DB New Orders'!$A$1:$S$1,0),0)</f>
        <v/>
      </c>
      <c r="Q62" s="22">
        <f>VLOOKUP(Q$48,'DB New Orders'!$A:$S,MATCH($B62,'DB New Orders'!$A$1:$S$1,0),0)</f>
        <v/>
      </c>
      <c r="R62" s="22">
        <f>VLOOKUP(R$48,'DB New Orders'!$A:$S,MATCH($B62,'DB New Orders'!$A$1:$S$1,0),0)</f>
        <v/>
      </c>
      <c r="S62" s="22">
        <f>VLOOKUP(S$48,'DB New Orders'!$A:$S,MATCH($B62,'DB New Orders'!$A$1:$S$1,0),0)</f>
        <v/>
      </c>
      <c r="T62" s="22">
        <f>VLOOKUP(T$48,'DB New Orders'!$A:$S,MATCH($B62,'DB New Orders'!$A$1:$S$1,0),0)</f>
        <v/>
      </c>
      <c r="U62" s="22">
        <f>VLOOKUP(U$48,'DB New Orders'!$A:$S,MATCH($B62,'DB New Orders'!$A$1:$S$1,0),0)</f>
        <v/>
      </c>
      <c r="V62" s="22">
        <f>VLOOKUP(V$48,'DB New Orders'!$A:$S,MATCH($B62,'DB New Orders'!$A$1:$S$1,0),0)</f>
        <v/>
      </c>
      <c r="W62" s="22">
        <f>VLOOKUP(W$48,'DB New Orders'!$A:$S,MATCH($B62,'DB New Orders'!$A$1:$S$1,0),0)</f>
        <v/>
      </c>
      <c r="X62" s="22">
        <f>VLOOKUP(X$48,'DB New Orders'!$A:$S,MATCH($B62,'DB New Orders'!$A$1:$S$1,0),0)</f>
        <v/>
      </c>
      <c r="Y62" s="22">
        <f>VLOOKUP(Y$48,'DB New Orders'!$A:$S,MATCH($B62,'DB New Orders'!$A$1:$S$1,0),0)</f>
        <v/>
      </c>
      <c r="Z62" s="22">
        <f>VLOOKUP(Z$48,'DB New Orders'!$A:$S,MATCH($B62,'DB New Orders'!$A$1:$S$1,0),0)</f>
        <v/>
      </c>
      <c r="AA62" s="22">
        <f>VLOOKUP(AA$48,'DB New Orders'!$A:$S,MATCH($B62,'DB New Orders'!$A$1:$S$1,0),0)</f>
        <v/>
      </c>
      <c r="AB62" s="22">
        <f>VLOOKUP(AB$48,'DB New Orders'!$A:$S,MATCH($B62,'DB New Orders'!$A$1:$S$1,0),0)</f>
        <v/>
      </c>
      <c r="AD62" s="22">
        <f>AB62-AA62</f>
        <v/>
      </c>
      <c r="AE62" s="34">
        <f>AVERAGE(Z62:AB62)</f>
        <v/>
      </c>
      <c r="AF62" s="34">
        <f>AVERAGE(W62:AB62)</f>
        <v/>
      </c>
    </row>
    <row r="63">
      <c r="B63" s="3" t="inlineStr">
        <is>
          <t>Wholesale Trade</t>
        </is>
      </c>
      <c r="C63" s="22">
        <f>VLOOKUP(C$48,'DB New Orders'!$A:$S,MATCH($B63,'DB New Orders'!$A$1:$S$1,0),0)</f>
        <v/>
      </c>
      <c r="D63" s="22">
        <f>VLOOKUP(D$48,'DB New Orders'!$A:$S,MATCH($B63,'DB New Orders'!$A$1:$S$1,0),0)</f>
        <v/>
      </c>
      <c r="E63" s="22">
        <f>VLOOKUP(E$48,'DB New Orders'!$A:$S,MATCH($B63,'DB New Orders'!$A$1:$S$1,0),0)</f>
        <v/>
      </c>
      <c r="F63" s="22">
        <f>VLOOKUP(F$48,'DB New Orders'!$A:$S,MATCH($B63,'DB New Orders'!$A$1:$S$1,0),0)</f>
        <v/>
      </c>
      <c r="G63" s="22">
        <f>VLOOKUP(G$48,'DB New Orders'!$A:$S,MATCH($B63,'DB New Orders'!$A$1:$S$1,0),0)</f>
        <v/>
      </c>
      <c r="H63" s="22">
        <f>VLOOKUP(H$48,'DB New Orders'!$A:$S,MATCH($B63,'DB New Orders'!$A$1:$S$1,0),0)</f>
        <v/>
      </c>
      <c r="I63" s="22">
        <f>VLOOKUP(I$48,'DB New Orders'!$A:$S,MATCH($B63,'DB New Orders'!$A$1:$S$1,0),0)</f>
        <v/>
      </c>
      <c r="J63" s="22">
        <f>VLOOKUP(J$48,'DB New Orders'!$A:$S,MATCH($B63,'DB New Orders'!$A$1:$S$1,0),0)</f>
        <v/>
      </c>
      <c r="K63" s="22">
        <f>VLOOKUP(K$48,'DB New Orders'!$A:$S,MATCH($B63,'DB New Orders'!$A$1:$S$1,0),0)</f>
        <v/>
      </c>
      <c r="L63" s="22">
        <f>VLOOKUP(L$48,'DB New Orders'!$A:$S,MATCH($B63,'DB New Orders'!$A$1:$S$1,0),0)</f>
        <v/>
      </c>
      <c r="M63" s="22">
        <f>VLOOKUP(M$48,'DB New Orders'!$A:$S,MATCH($B63,'DB New Orders'!$A$1:$S$1,0),0)</f>
        <v/>
      </c>
      <c r="N63" s="22">
        <f>VLOOKUP(N$48,'DB New Orders'!$A:$S,MATCH($B63,'DB New Orders'!$A$1:$S$1,0),0)</f>
        <v/>
      </c>
      <c r="O63" s="22">
        <f>VLOOKUP(O$48,'DB New Orders'!$A:$S,MATCH($B63,'DB New Orders'!$A$1:$S$1,0),0)</f>
        <v/>
      </c>
      <c r="P63" s="22">
        <f>VLOOKUP(P$48,'DB New Orders'!$A:$S,MATCH($B63,'DB New Orders'!$A$1:$S$1,0),0)</f>
        <v/>
      </c>
      <c r="Q63" s="22">
        <f>VLOOKUP(Q$48,'DB New Orders'!$A:$S,MATCH($B63,'DB New Orders'!$A$1:$S$1,0),0)</f>
        <v/>
      </c>
      <c r="R63" s="22">
        <f>VLOOKUP(R$48,'DB New Orders'!$A:$S,MATCH($B63,'DB New Orders'!$A$1:$S$1,0),0)</f>
        <v/>
      </c>
      <c r="S63" s="22">
        <f>VLOOKUP(S$48,'DB New Orders'!$A:$S,MATCH($B63,'DB New Orders'!$A$1:$S$1,0),0)</f>
        <v/>
      </c>
      <c r="T63" s="22">
        <f>VLOOKUP(T$48,'DB New Orders'!$A:$S,MATCH($B63,'DB New Orders'!$A$1:$S$1,0),0)</f>
        <v/>
      </c>
      <c r="U63" s="22">
        <f>VLOOKUP(U$48,'DB New Orders'!$A:$S,MATCH($B63,'DB New Orders'!$A$1:$S$1,0),0)</f>
        <v/>
      </c>
      <c r="V63" s="22">
        <f>VLOOKUP(V$48,'DB New Orders'!$A:$S,MATCH($B63,'DB New Orders'!$A$1:$S$1,0),0)</f>
        <v/>
      </c>
      <c r="W63" s="22">
        <f>VLOOKUP(W$48,'DB New Orders'!$A:$S,MATCH($B63,'DB New Orders'!$A$1:$S$1,0),0)</f>
        <v/>
      </c>
      <c r="X63" s="22">
        <f>VLOOKUP(X$48,'DB New Orders'!$A:$S,MATCH($B63,'DB New Orders'!$A$1:$S$1,0),0)</f>
        <v/>
      </c>
      <c r="Y63" s="22">
        <f>VLOOKUP(Y$48,'DB New Orders'!$A:$S,MATCH($B63,'DB New Orders'!$A$1:$S$1,0),0)</f>
        <v/>
      </c>
      <c r="Z63" s="22">
        <f>VLOOKUP(Z$48,'DB New Orders'!$A:$S,MATCH($B63,'DB New Orders'!$A$1:$S$1,0),0)</f>
        <v/>
      </c>
      <c r="AA63" s="22">
        <f>VLOOKUP(AA$48,'DB New Orders'!$A:$S,MATCH($B63,'DB New Orders'!$A$1:$S$1,0),0)</f>
        <v/>
      </c>
      <c r="AB63" s="22">
        <f>VLOOKUP(AB$48,'DB New Orders'!$A:$S,MATCH($B63,'DB New Orders'!$A$1:$S$1,0),0)</f>
        <v/>
      </c>
      <c r="AD63" s="22">
        <f>AB63-AA63</f>
        <v/>
      </c>
      <c r="AE63" s="34">
        <f>AVERAGE(Z63:AB63)</f>
        <v/>
      </c>
      <c r="AF63" s="34">
        <f>AVERAGE(W63:AB63)</f>
        <v/>
      </c>
    </row>
    <row r="64">
      <c r="B64" s="3" t="inlineStr">
        <is>
          <t>Public Administration</t>
        </is>
      </c>
      <c r="C64" s="22">
        <f>VLOOKUP(C$48,'DB New Orders'!$A:$S,MATCH($B64,'DB New Orders'!$A$1:$S$1,0),0)</f>
        <v/>
      </c>
      <c r="D64" s="22">
        <f>VLOOKUP(D$48,'DB New Orders'!$A:$S,MATCH($B64,'DB New Orders'!$A$1:$S$1,0),0)</f>
        <v/>
      </c>
      <c r="E64" s="22">
        <f>VLOOKUP(E$48,'DB New Orders'!$A:$S,MATCH($B64,'DB New Orders'!$A$1:$S$1,0),0)</f>
        <v/>
      </c>
      <c r="F64" s="22">
        <f>VLOOKUP(F$48,'DB New Orders'!$A:$S,MATCH($B64,'DB New Orders'!$A$1:$S$1,0),0)</f>
        <v/>
      </c>
      <c r="G64" s="22">
        <f>VLOOKUP(G$48,'DB New Orders'!$A:$S,MATCH($B64,'DB New Orders'!$A$1:$S$1,0),0)</f>
        <v/>
      </c>
      <c r="H64" s="22">
        <f>VLOOKUP(H$48,'DB New Orders'!$A:$S,MATCH($B64,'DB New Orders'!$A$1:$S$1,0),0)</f>
        <v/>
      </c>
      <c r="I64" s="22">
        <f>VLOOKUP(I$48,'DB New Orders'!$A:$S,MATCH($B64,'DB New Orders'!$A$1:$S$1,0),0)</f>
        <v/>
      </c>
      <c r="J64" s="22">
        <f>VLOOKUP(J$48,'DB New Orders'!$A:$S,MATCH($B64,'DB New Orders'!$A$1:$S$1,0),0)</f>
        <v/>
      </c>
      <c r="K64" s="22">
        <f>VLOOKUP(K$48,'DB New Orders'!$A:$S,MATCH($B64,'DB New Orders'!$A$1:$S$1,0),0)</f>
        <v/>
      </c>
      <c r="L64" s="22">
        <f>VLOOKUP(L$48,'DB New Orders'!$A:$S,MATCH($B64,'DB New Orders'!$A$1:$S$1,0),0)</f>
        <v/>
      </c>
      <c r="M64" s="22">
        <f>VLOOKUP(M$48,'DB New Orders'!$A:$S,MATCH($B64,'DB New Orders'!$A$1:$S$1,0),0)</f>
        <v/>
      </c>
      <c r="N64" s="22">
        <f>VLOOKUP(N$48,'DB New Orders'!$A:$S,MATCH($B64,'DB New Orders'!$A$1:$S$1,0),0)</f>
        <v/>
      </c>
      <c r="O64" s="22">
        <f>VLOOKUP(O$48,'DB New Orders'!$A:$S,MATCH($B64,'DB New Orders'!$A$1:$S$1,0),0)</f>
        <v/>
      </c>
      <c r="P64" s="22">
        <f>VLOOKUP(P$48,'DB New Orders'!$A:$S,MATCH($B64,'DB New Orders'!$A$1:$S$1,0),0)</f>
        <v/>
      </c>
      <c r="Q64" s="22">
        <f>VLOOKUP(Q$48,'DB New Orders'!$A:$S,MATCH($B64,'DB New Orders'!$A$1:$S$1,0),0)</f>
        <v/>
      </c>
      <c r="R64" s="22">
        <f>VLOOKUP(R$48,'DB New Orders'!$A:$S,MATCH($B64,'DB New Orders'!$A$1:$S$1,0),0)</f>
        <v/>
      </c>
      <c r="S64" s="22">
        <f>VLOOKUP(S$48,'DB New Orders'!$A:$S,MATCH($B64,'DB New Orders'!$A$1:$S$1,0),0)</f>
        <v/>
      </c>
      <c r="T64" s="22">
        <f>VLOOKUP(T$48,'DB New Orders'!$A:$S,MATCH($B64,'DB New Orders'!$A$1:$S$1,0),0)</f>
        <v/>
      </c>
      <c r="U64" s="22">
        <f>VLOOKUP(U$48,'DB New Orders'!$A:$S,MATCH($B64,'DB New Orders'!$A$1:$S$1,0),0)</f>
        <v/>
      </c>
      <c r="V64" s="22">
        <f>VLOOKUP(V$48,'DB New Orders'!$A:$S,MATCH($B64,'DB New Orders'!$A$1:$S$1,0),0)</f>
        <v/>
      </c>
      <c r="W64" s="22">
        <f>VLOOKUP(W$48,'DB New Orders'!$A:$S,MATCH($B64,'DB New Orders'!$A$1:$S$1,0),0)</f>
        <v/>
      </c>
      <c r="X64" s="22">
        <f>VLOOKUP(X$48,'DB New Orders'!$A:$S,MATCH($B64,'DB New Orders'!$A$1:$S$1,0),0)</f>
        <v/>
      </c>
      <c r="Y64" s="22">
        <f>VLOOKUP(Y$48,'DB New Orders'!$A:$S,MATCH($B64,'DB New Orders'!$A$1:$S$1,0),0)</f>
        <v/>
      </c>
      <c r="Z64" s="22">
        <f>VLOOKUP(Z$48,'DB New Orders'!$A:$S,MATCH($B64,'DB New Orders'!$A$1:$S$1,0),0)</f>
        <v/>
      </c>
      <c r="AA64" s="22">
        <f>VLOOKUP(AA$48,'DB New Orders'!$A:$S,MATCH($B64,'DB New Orders'!$A$1:$S$1,0),0)</f>
        <v/>
      </c>
      <c r="AB64" s="22">
        <f>VLOOKUP(AB$48,'DB New Orders'!$A:$S,MATCH($B64,'DB New Orders'!$A$1:$S$1,0),0)</f>
        <v/>
      </c>
      <c r="AD64" s="22">
        <f>AB64-AA64</f>
        <v/>
      </c>
      <c r="AE64" s="34">
        <f>AVERAGE(Z64:AB64)</f>
        <v/>
      </c>
      <c r="AF64" s="34">
        <f>AVERAGE(W64:AB64)</f>
        <v/>
      </c>
    </row>
    <row r="65">
      <c r="B65" s="3" t="inlineStr">
        <is>
          <t>Information</t>
        </is>
      </c>
      <c r="C65" s="22">
        <f>VLOOKUP(C$48,'DB New Orders'!$A:$S,MATCH($B65,'DB New Orders'!$A$1:$S$1,0),0)</f>
        <v/>
      </c>
      <c r="D65" s="22">
        <f>VLOOKUP(D$48,'DB New Orders'!$A:$S,MATCH($B65,'DB New Orders'!$A$1:$S$1,0),0)</f>
        <v/>
      </c>
      <c r="E65" s="22">
        <f>VLOOKUP(E$48,'DB New Orders'!$A:$S,MATCH($B65,'DB New Orders'!$A$1:$S$1,0),0)</f>
        <v/>
      </c>
      <c r="F65" s="22">
        <f>VLOOKUP(F$48,'DB New Orders'!$A:$S,MATCH($B65,'DB New Orders'!$A$1:$S$1,0),0)</f>
        <v/>
      </c>
      <c r="G65" s="22">
        <f>VLOOKUP(G$48,'DB New Orders'!$A:$S,MATCH($B65,'DB New Orders'!$A$1:$S$1,0),0)</f>
        <v/>
      </c>
      <c r="H65" s="22">
        <f>VLOOKUP(H$48,'DB New Orders'!$A:$S,MATCH($B65,'DB New Orders'!$A$1:$S$1,0),0)</f>
        <v/>
      </c>
      <c r="I65" s="22">
        <f>VLOOKUP(I$48,'DB New Orders'!$A:$S,MATCH($B65,'DB New Orders'!$A$1:$S$1,0),0)</f>
        <v/>
      </c>
      <c r="J65" s="22">
        <f>VLOOKUP(J$48,'DB New Orders'!$A:$S,MATCH($B65,'DB New Orders'!$A$1:$S$1,0),0)</f>
        <v/>
      </c>
      <c r="K65" s="22">
        <f>VLOOKUP(K$48,'DB New Orders'!$A:$S,MATCH($B65,'DB New Orders'!$A$1:$S$1,0),0)</f>
        <v/>
      </c>
      <c r="L65" s="22">
        <f>VLOOKUP(L$48,'DB New Orders'!$A:$S,MATCH($B65,'DB New Orders'!$A$1:$S$1,0),0)</f>
        <v/>
      </c>
      <c r="M65" s="22">
        <f>VLOOKUP(M$48,'DB New Orders'!$A:$S,MATCH($B65,'DB New Orders'!$A$1:$S$1,0),0)</f>
        <v/>
      </c>
      <c r="N65" s="22">
        <f>VLOOKUP(N$48,'DB New Orders'!$A:$S,MATCH($B65,'DB New Orders'!$A$1:$S$1,0),0)</f>
        <v/>
      </c>
      <c r="O65" s="22">
        <f>VLOOKUP(O$48,'DB New Orders'!$A:$S,MATCH($B65,'DB New Orders'!$A$1:$S$1,0),0)</f>
        <v/>
      </c>
      <c r="P65" s="22">
        <f>VLOOKUP(P$48,'DB New Orders'!$A:$S,MATCH($B65,'DB New Orders'!$A$1:$S$1,0),0)</f>
        <v/>
      </c>
      <c r="Q65" s="22">
        <f>VLOOKUP(Q$48,'DB New Orders'!$A:$S,MATCH($B65,'DB New Orders'!$A$1:$S$1,0),0)</f>
        <v/>
      </c>
      <c r="R65" s="22">
        <f>VLOOKUP(R$48,'DB New Orders'!$A:$S,MATCH($B65,'DB New Orders'!$A$1:$S$1,0),0)</f>
        <v/>
      </c>
      <c r="S65" s="22">
        <f>VLOOKUP(S$48,'DB New Orders'!$A:$S,MATCH($B65,'DB New Orders'!$A$1:$S$1,0),0)</f>
        <v/>
      </c>
      <c r="T65" s="22">
        <f>VLOOKUP(T$48,'DB New Orders'!$A:$S,MATCH($B65,'DB New Orders'!$A$1:$S$1,0),0)</f>
        <v/>
      </c>
      <c r="U65" s="22">
        <f>VLOOKUP(U$48,'DB New Orders'!$A:$S,MATCH($B65,'DB New Orders'!$A$1:$S$1,0),0)</f>
        <v/>
      </c>
      <c r="V65" s="22">
        <f>VLOOKUP(V$48,'DB New Orders'!$A:$S,MATCH($B65,'DB New Orders'!$A$1:$S$1,0),0)</f>
        <v/>
      </c>
      <c r="W65" s="22">
        <f>VLOOKUP(W$48,'DB New Orders'!$A:$S,MATCH($B65,'DB New Orders'!$A$1:$S$1,0),0)</f>
        <v/>
      </c>
      <c r="X65" s="22">
        <f>VLOOKUP(X$48,'DB New Orders'!$A:$S,MATCH($B65,'DB New Orders'!$A$1:$S$1,0),0)</f>
        <v/>
      </c>
      <c r="Y65" s="22">
        <f>VLOOKUP(Y$48,'DB New Orders'!$A:$S,MATCH($B65,'DB New Orders'!$A$1:$S$1,0),0)</f>
        <v/>
      </c>
      <c r="Z65" s="22">
        <f>VLOOKUP(Z$48,'DB New Orders'!$A:$S,MATCH($B65,'DB New Orders'!$A$1:$S$1,0),0)</f>
        <v/>
      </c>
      <c r="AA65" s="22">
        <f>VLOOKUP(AA$48,'DB New Orders'!$A:$S,MATCH($B65,'DB New Orders'!$A$1:$S$1,0),0)</f>
        <v/>
      </c>
      <c r="AB65" s="22">
        <f>VLOOKUP(AB$48,'DB New Orders'!$A:$S,MATCH($B65,'DB New Orders'!$A$1:$S$1,0),0)</f>
        <v/>
      </c>
      <c r="AD65" s="22">
        <f>AB65-AA65</f>
        <v/>
      </c>
      <c r="AE65" s="34">
        <f>AVERAGE(Z65:AB65)</f>
        <v/>
      </c>
      <c r="AF65" s="34">
        <f>AVERAGE(W65:AB65)</f>
        <v/>
      </c>
    </row>
    <row r="66">
      <c r="B66" s="3" t="inlineStr">
        <is>
          <t>Management of Companies &amp; Support Services</t>
        </is>
      </c>
      <c r="C66" s="22">
        <f>VLOOKUP(C$48,'DB New Orders'!$A:$S,MATCH($B66,'DB New Orders'!$A$1:$S$1,0),0)</f>
        <v/>
      </c>
      <c r="D66" s="22">
        <f>VLOOKUP(D$48,'DB New Orders'!$A:$S,MATCH($B66,'DB New Orders'!$A$1:$S$1,0),0)</f>
        <v/>
      </c>
      <c r="E66" s="22">
        <f>VLOOKUP(E$48,'DB New Orders'!$A:$S,MATCH($B66,'DB New Orders'!$A$1:$S$1,0),0)</f>
        <v/>
      </c>
      <c r="F66" s="22">
        <f>VLOOKUP(F$48,'DB New Orders'!$A:$S,MATCH($B66,'DB New Orders'!$A$1:$S$1,0),0)</f>
        <v/>
      </c>
      <c r="G66" s="22">
        <f>VLOOKUP(G$48,'DB New Orders'!$A:$S,MATCH($B66,'DB New Orders'!$A$1:$S$1,0),0)</f>
        <v/>
      </c>
      <c r="H66" s="22">
        <f>VLOOKUP(H$48,'DB New Orders'!$A:$S,MATCH($B66,'DB New Orders'!$A$1:$S$1,0),0)</f>
        <v/>
      </c>
      <c r="I66" s="22">
        <f>VLOOKUP(I$48,'DB New Orders'!$A:$S,MATCH($B66,'DB New Orders'!$A$1:$S$1,0),0)</f>
        <v/>
      </c>
      <c r="J66" s="22">
        <f>VLOOKUP(J$48,'DB New Orders'!$A:$S,MATCH($B66,'DB New Orders'!$A$1:$S$1,0),0)</f>
        <v/>
      </c>
      <c r="K66" s="22">
        <f>VLOOKUP(K$48,'DB New Orders'!$A:$S,MATCH($B66,'DB New Orders'!$A$1:$S$1,0),0)</f>
        <v/>
      </c>
      <c r="L66" s="22">
        <f>VLOOKUP(L$48,'DB New Orders'!$A:$S,MATCH($B66,'DB New Orders'!$A$1:$S$1,0),0)</f>
        <v/>
      </c>
      <c r="M66" s="22">
        <f>VLOOKUP(M$48,'DB New Orders'!$A:$S,MATCH($B66,'DB New Orders'!$A$1:$S$1,0),0)</f>
        <v/>
      </c>
      <c r="N66" s="22">
        <f>VLOOKUP(N$48,'DB New Orders'!$A:$S,MATCH($B66,'DB New Orders'!$A$1:$S$1,0),0)</f>
        <v/>
      </c>
      <c r="O66" s="22">
        <f>VLOOKUP(O$48,'DB New Orders'!$A:$S,MATCH($B66,'DB New Orders'!$A$1:$S$1,0),0)</f>
        <v/>
      </c>
      <c r="P66" s="22">
        <f>VLOOKUP(P$48,'DB New Orders'!$A:$S,MATCH($B66,'DB New Orders'!$A$1:$S$1,0),0)</f>
        <v/>
      </c>
      <c r="Q66" s="22">
        <f>VLOOKUP(Q$48,'DB New Orders'!$A:$S,MATCH($B66,'DB New Orders'!$A$1:$S$1,0),0)</f>
        <v/>
      </c>
      <c r="R66" s="22">
        <f>VLOOKUP(R$48,'DB New Orders'!$A:$S,MATCH($B66,'DB New Orders'!$A$1:$S$1,0),0)</f>
        <v/>
      </c>
      <c r="S66" s="22">
        <f>VLOOKUP(S$48,'DB New Orders'!$A:$S,MATCH($B66,'DB New Orders'!$A$1:$S$1,0),0)</f>
        <v/>
      </c>
      <c r="T66" s="22">
        <f>VLOOKUP(T$48,'DB New Orders'!$A:$S,MATCH($B66,'DB New Orders'!$A$1:$S$1,0),0)</f>
        <v/>
      </c>
      <c r="U66" s="22">
        <f>VLOOKUP(U$48,'DB New Orders'!$A:$S,MATCH($B66,'DB New Orders'!$A$1:$S$1,0),0)</f>
        <v/>
      </c>
      <c r="V66" s="22">
        <f>VLOOKUP(V$48,'DB New Orders'!$A:$S,MATCH($B66,'DB New Orders'!$A$1:$S$1,0),0)</f>
        <v/>
      </c>
      <c r="W66" s="22">
        <f>VLOOKUP(W$48,'DB New Orders'!$A:$S,MATCH($B66,'DB New Orders'!$A$1:$S$1,0),0)</f>
        <v/>
      </c>
      <c r="X66" s="22">
        <f>VLOOKUP(X$48,'DB New Orders'!$A:$S,MATCH($B66,'DB New Orders'!$A$1:$S$1,0),0)</f>
        <v/>
      </c>
      <c r="Y66" s="22">
        <f>VLOOKUP(Y$48,'DB New Orders'!$A:$S,MATCH($B66,'DB New Orders'!$A$1:$S$1,0),0)</f>
        <v/>
      </c>
      <c r="Z66" s="22">
        <f>VLOOKUP(Z$48,'DB New Orders'!$A:$S,MATCH($B66,'DB New Orders'!$A$1:$S$1,0),0)</f>
        <v/>
      </c>
      <c r="AA66" s="22">
        <f>VLOOKUP(AA$48,'DB New Orders'!$A:$S,MATCH($B66,'DB New Orders'!$A$1:$S$1,0),0)</f>
        <v/>
      </c>
      <c r="AB66" s="22">
        <f>VLOOKUP(AB$48,'DB New Orders'!$A:$S,MATCH($B66,'DB New Orders'!$A$1:$S$1,0),0)</f>
        <v/>
      </c>
      <c r="AD66" s="22">
        <f>AB66-AA66</f>
        <v/>
      </c>
      <c r="AE66" s="34">
        <f>AVERAGE(Z66:AB66)</f>
        <v/>
      </c>
      <c r="AF66" s="34">
        <f>AVERAGE(W66:AB66)</f>
        <v/>
      </c>
    </row>
    <row r="67">
      <c r="B67" s="4" t="inlineStr">
        <is>
          <t>Educational Services</t>
        </is>
      </c>
      <c r="C67" s="22">
        <f>VLOOKUP(C$48,'DB New Orders'!$A:$S,MATCH($B67,'DB New Orders'!$A$1:$S$1,0),0)</f>
        <v/>
      </c>
      <c r="D67" s="22">
        <f>VLOOKUP(D$48,'DB New Orders'!$A:$S,MATCH($B67,'DB New Orders'!$A$1:$S$1,0),0)</f>
        <v/>
      </c>
      <c r="E67" s="22">
        <f>VLOOKUP(E$48,'DB New Orders'!$A:$S,MATCH($B67,'DB New Orders'!$A$1:$S$1,0),0)</f>
        <v/>
      </c>
      <c r="F67" s="22">
        <f>VLOOKUP(F$48,'DB New Orders'!$A:$S,MATCH($B67,'DB New Orders'!$A$1:$S$1,0),0)</f>
        <v/>
      </c>
      <c r="G67" s="22">
        <f>VLOOKUP(G$48,'DB New Orders'!$A:$S,MATCH($B67,'DB New Orders'!$A$1:$S$1,0),0)</f>
        <v/>
      </c>
      <c r="H67" s="22">
        <f>VLOOKUP(H$48,'DB New Orders'!$A:$S,MATCH($B67,'DB New Orders'!$A$1:$S$1,0),0)</f>
        <v/>
      </c>
      <c r="I67" s="22">
        <f>VLOOKUP(I$48,'DB New Orders'!$A:$S,MATCH($B67,'DB New Orders'!$A$1:$S$1,0),0)</f>
        <v/>
      </c>
      <c r="J67" s="22">
        <f>VLOOKUP(J$48,'DB New Orders'!$A:$S,MATCH($B67,'DB New Orders'!$A$1:$S$1,0),0)</f>
        <v/>
      </c>
      <c r="K67" s="22">
        <f>VLOOKUP(K$48,'DB New Orders'!$A:$S,MATCH($B67,'DB New Orders'!$A$1:$S$1,0),0)</f>
        <v/>
      </c>
      <c r="L67" s="22">
        <f>VLOOKUP(L$48,'DB New Orders'!$A:$S,MATCH($B67,'DB New Orders'!$A$1:$S$1,0),0)</f>
        <v/>
      </c>
      <c r="M67" s="22">
        <f>VLOOKUP(M$48,'DB New Orders'!$A:$S,MATCH($B67,'DB New Orders'!$A$1:$S$1,0),0)</f>
        <v/>
      </c>
      <c r="N67" s="22">
        <f>VLOOKUP(N$48,'DB New Orders'!$A:$S,MATCH($B67,'DB New Orders'!$A$1:$S$1,0),0)</f>
        <v/>
      </c>
      <c r="O67" s="22">
        <f>VLOOKUP(O$48,'DB New Orders'!$A:$S,MATCH($B67,'DB New Orders'!$A$1:$S$1,0),0)</f>
        <v/>
      </c>
      <c r="P67" s="22">
        <f>VLOOKUP(P$48,'DB New Orders'!$A:$S,MATCH($B67,'DB New Orders'!$A$1:$S$1,0),0)</f>
        <v/>
      </c>
      <c r="Q67" s="22">
        <f>VLOOKUP(Q$48,'DB New Orders'!$A:$S,MATCH($B67,'DB New Orders'!$A$1:$S$1,0),0)</f>
        <v/>
      </c>
      <c r="R67" s="22">
        <f>VLOOKUP(R$48,'DB New Orders'!$A:$S,MATCH($B67,'DB New Orders'!$A$1:$S$1,0),0)</f>
        <v/>
      </c>
      <c r="S67" s="22">
        <f>VLOOKUP(S$48,'DB New Orders'!$A:$S,MATCH($B67,'DB New Orders'!$A$1:$S$1,0),0)</f>
        <v/>
      </c>
      <c r="T67" s="22">
        <f>VLOOKUP(T$48,'DB New Orders'!$A:$S,MATCH($B67,'DB New Orders'!$A$1:$S$1,0),0)</f>
        <v/>
      </c>
      <c r="U67" s="22">
        <f>VLOOKUP(U$48,'DB New Orders'!$A:$S,MATCH($B67,'DB New Orders'!$A$1:$S$1,0),0)</f>
        <v/>
      </c>
      <c r="V67" s="22">
        <f>VLOOKUP(V$48,'DB New Orders'!$A:$S,MATCH($B67,'DB New Orders'!$A$1:$S$1,0),0)</f>
        <v/>
      </c>
      <c r="W67" s="22">
        <f>VLOOKUP(W$48,'DB New Orders'!$A:$S,MATCH($B67,'DB New Orders'!$A$1:$S$1,0),0)</f>
        <v/>
      </c>
      <c r="X67" s="22">
        <f>VLOOKUP(X$48,'DB New Orders'!$A:$S,MATCH($B67,'DB New Orders'!$A$1:$S$1,0),0)</f>
        <v/>
      </c>
      <c r="Y67" s="22">
        <f>VLOOKUP(Y$48,'DB New Orders'!$A:$S,MATCH($B67,'DB New Orders'!$A$1:$S$1,0),0)</f>
        <v/>
      </c>
      <c r="Z67" s="22">
        <f>VLOOKUP(Z$48,'DB New Orders'!$A:$S,MATCH($B67,'DB New Orders'!$A$1:$S$1,0),0)</f>
        <v/>
      </c>
      <c r="AA67" s="22">
        <f>VLOOKUP(AA$48,'DB New Orders'!$A:$S,MATCH($B67,'DB New Orders'!$A$1:$S$1,0),0)</f>
        <v/>
      </c>
      <c r="AB67" s="22">
        <f>VLOOKUP(AB$48,'DB New Orders'!$A:$S,MATCH($B67,'DB New Orders'!$A$1:$S$1,0),0)</f>
        <v/>
      </c>
      <c r="AD67" s="22">
        <f>AB67-AA67</f>
        <v/>
      </c>
      <c r="AE67" s="34">
        <f>AVERAGE(Z67:AB67)</f>
        <v/>
      </c>
      <c r="AF67" s="34">
        <f>AVERAGE(W67:AB67)</f>
        <v/>
      </c>
    </row>
    <row r="68">
      <c r="C68" s="37" t="n"/>
      <c r="D68" s="37" t="n"/>
      <c r="E68" s="37" t="n"/>
      <c r="F68" s="37" t="n"/>
      <c r="G68" s="37" t="n"/>
      <c r="H68" s="37" t="n"/>
      <c r="I68" s="37" t="n"/>
      <c r="J68" s="37" t="n"/>
      <c r="K68" s="37" t="n"/>
      <c r="L68" s="37" t="n"/>
      <c r="M68" s="37" t="n"/>
      <c r="N68" s="37" t="n"/>
      <c r="O68" s="37" t="n"/>
      <c r="P68" s="37" t="n"/>
      <c r="Q68" s="37" t="n"/>
      <c r="R68" s="37" t="n"/>
      <c r="S68" s="37" t="n"/>
      <c r="T68" s="37" t="n"/>
      <c r="U68" s="37" t="n"/>
      <c r="V68" s="37" t="n"/>
      <c r="W68" s="37" t="n"/>
      <c r="X68" s="37" t="n"/>
      <c r="Y68" s="37" t="n"/>
      <c r="Z68" s="37" t="n"/>
      <c r="AA68" s="37" t="n"/>
      <c r="AB68" s="37" t="n"/>
    </row>
  </sheetData>
  <mergeCells count="14">
    <mergeCell ref="B48:B49"/>
    <mergeCell ref="AD48:AD49"/>
    <mergeCell ref="AE48:AE49"/>
    <mergeCell ref="AF48:AF49"/>
    <mergeCell ref="AD1:AF1"/>
    <mergeCell ref="AE3:AF3"/>
    <mergeCell ref="B4:B5"/>
    <mergeCell ref="AD4:AD5"/>
    <mergeCell ref="AE4:AE5"/>
    <mergeCell ref="AF4:AF5"/>
    <mergeCell ref="B26:B27"/>
    <mergeCell ref="AD26:AD27"/>
    <mergeCell ref="AE26:AE27"/>
    <mergeCell ref="AF26:AF27"/>
  </mergeCells>
  <conditionalFormatting sqref="AD6:AD23">
    <cfRule type="cellIs" priority="1236" operator="equal" dxfId="0">
      <formula>0</formula>
    </cfRule>
    <cfRule type="cellIs" priority="1237" operator="lessThan" dxfId="1">
      <formula>0</formula>
    </cfRule>
    <cfRule type="cellIs" priority="1238" operator="greaterThan" dxfId="0">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E6:AE23">
    <cfRule type="cellIs" priority="1231" operator="equal" dxfId="0">
      <formula>0</formula>
    </cfRule>
    <cfRule type="cellIs" priority="1232" operator="lessThan" dxfId="1">
      <formula>0</formula>
    </cfRule>
    <cfRule type="cellIs" priority="1233" operator="greaterThan" dxfId="0">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F6:AF23">
    <cfRule type="cellIs" priority="1226" operator="equal" dxfId="0">
      <formula>0</formula>
    </cfRule>
    <cfRule type="cellIs" priority="1227" operator="lessThan" dxfId="1">
      <formula>0</formula>
    </cfRule>
    <cfRule type="cellIs" priority="1228" operator="greaterThan" dxfId="0">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priority="1003" operator="equal" dxfId="0">
      <formula>0</formula>
    </cfRule>
    <cfRule type="cellIs" priority="1004" operator="lessThan" dxfId="1">
      <formula>0</formula>
    </cfRule>
    <cfRule type="cellIs" priority="1005" operator="greaterThan" dxfId="0">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priority="993" operator="equal" dxfId="0">
      <formula>0</formula>
    </cfRule>
    <cfRule type="cellIs" priority="994" operator="lessThan" dxfId="1">
      <formula>0</formula>
    </cfRule>
    <cfRule type="cellIs" priority="995" operator="greaterThan" dxfId="0">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priority="953" operator="equal" dxfId="0">
      <formula>0</formula>
    </cfRule>
    <cfRule type="cellIs" priority="954" operator="lessThan" dxfId="1">
      <formula>0</formula>
    </cfRule>
    <cfRule type="cellIs" priority="955" operator="greaterThan" dxfId="0">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priority="913" operator="equal" dxfId="0">
      <formula>0</formula>
    </cfRule>
    <cfRule type="cellIs" priority="914" operator="lessThan" dxfId="1">
      <formula>0</formula>
    </cfRule>
    <cfRule type="cellIs" priority="915" operator="greaterThan" dxfId="0">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priority="873" operator="equal" dxfId="0">
      <formula>0</formula>
    </cfRule>
    <cfRule type="cellIs" priority="874" operator="lessThan" dxfId="1">
      <formula>0</formula>
    </cfRule>
    <cfRule type="cellIs" priority="875" operator="greaterThan" dxfId="0">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priority="803" operator="equal" dxfId="0">
      <formula>0</formula>
    </cfRule>
    <cfRule type="cellIs" priority="804" operator="lessThan" dxfId="1">
      <formula>0</formula>
    </cfRule>
    <cfRule type="cellIs" priority="805" operator="greaterThan" dxfId="0">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priority="763" operator="equal" dxfId="0">
      <formula>0</formula>
    </cfRule>
    <cfRule type="cellIs" priority="764" operator="lessThan" dxfId="1">
      <formula>0</formula>
    </cfRule>
    <cfRule type="cellIs" priority="765" operator="greaterThan" dxfId="0">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priority="723" operator="equal" dxfId="0">
      <formula>0</formula>
    </cfRule>
    <cfRule type="cellIs" priority="724" operator="lessThan" dxfId="1">
      <formula>0</formula>
    </cfRule>
    <cfRule type="cellIs" priority="725" operator="greaterThan" dxfId="0">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priority="683" operator="equal" dxfId="0">
      <formula>0</formula>
    </cfRule>
    <cfRule type="cellIs" priority="684" operator="lessThan" dxfId="1">
      <formula>0</formula>
    </cfRule>
    <cfRule type="cellIs" priority="685" operator="greaterThan" dxfId="0">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priority="641" operator="equal" dxfId="0">
      <formula>0</formula>
    </cfRule>
    <cfRule type="cellIs" priority="642" operator="lessThan" dxfId="1">
      <formula>0</formula>
    </cfRule>
    <cfRule type="cellIs" priority="643" operator="greaterThan" dxfId="0">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priority="601" operator="equal" dxfId="0">
      <formula>0</formula>
    </cfRule>
    <cfRule type="cellIs" priority="602" operator="lessThan" dxfId="1">
      <formula>0</formula>
    </cfRule>
    <cfRule type="cellIs" priority="603" operator="greaterThan" dxfId="0">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priority="561" operator="equal" dxfId="0">
      <formula>0</formula>
    </cfRule>
    <cfRule type="cellIs" priority="562" operator="lessThan" dxfId="1">
      <formula>0</formula>
    </cfRule>
    <cfRule type="cellIs" priority="563" operator="greaterThan" dxfId="0">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priority="521" operator="equal" dxfId="0">
      <formula>0</formula>
    </cfRule>
    <cfRule type="cellIs" priority="522" operator="lessThan" dxfId="1">
      <formula>0</formula>
    </cfRule>
    <cfRule type="cellIs" priority="523" operator="greaterThan" dxfId="0">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priority="481" operator="equal" dxfId="0">
      <formula>0</formula>
    </cfRule>
    <cfRule type="cellIs" priority="482" operator="lessThan" dxfId="1">
      <formula>0</formula>
    </cfRule>
    <cfRule type="cellIs" priority="483" operator="greaterThan" dxfId="0">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priority="441" operator="equal" dxfId="0">
      <formula>0</formula>
    </cfRule>
    <cfRule type="cellIs" priority="442" operator="lessThan" dxfId="1">
      <formula>0</formula>
    </cfRule>
    <cfRule type="cellIs" priority="443" operator="greaterThan" dxfId="0">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priority="356" operator="equal" dxfId="0">
      <formula>0</formula>
    </cfRule>
    <cfRule type="cellIs" priority="357" operator="lessThan" dxfId="1">
      <formula>0</formula>
    </cfRule>
    <cfRule type="cellIs" priority="358" operator="greaterThan" dxfId="0">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priority="316" operator="equal" dxfId="0">
      <formula>0</formula>
    </cfRule>
    <cfRule type="cellIs" priority="317" operator="lessThan" dxfId="1">
      <formula>0</formula>
    </cfRule>
    <cfRule type="cellIs" priority="318" operator="greaterThan" dxfId="0">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priority="276" operator="equal" dxfId="0">
      <formula>0</formula>
    </cfRule>
    <cfRule type="cellIs" priority="277" operator="lessThan" dxfId="1">
      <formula>0</formula>
    </cfRule>
    <cfRule type="cellIs" priority="278" operator="greaterThan" dxfId="0">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priority="236" operator="equal" dxfId="0">
      <formula>0</formula>
    </cfRule>
    <cfRule type="cellIs" priority="237" operator="lessThan" dxfId="1">
      <formula>0</formula>
    </cfRule>
    <cfRule type="cellIs" priority="238" operator="greaterThan" dxfId="0">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priority="196" operator="equal" dxfId="0">
      <formula>0</formula>
    </cfRule>
    <cfRule type="cellIs" priority="197" operator="lessThan" dxfId="1">
      <formula>0</formula>
    </cfRule>
    <cfRule type="cellIs" priority="198" operator="greaterThan" dxfId="0">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priority="156" operator="equal" dxfId="0">
      <formula>0</formula>
    </cfRule>
    <cfRule type="cellIs" priority="157" operator="lessThan" dxfId="1">
      <formula>0</formula>
    </cfRule>
    <cfRule type="cellIs" priority="158" operator="greaterThan" dxfId="0">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B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B67">
    <cfRule type="cellIs" priority="116" operator="equal" dxfId="0">
      <formula>0</formula>
    </cfRule>
    <cfRule type="cellIs" priority="117" operator="lessThan" dxfId="1">
      <formula>0</formula>
    </cfRule>
    <cfRule type="cellIs" priority="118" operator="greaterThan" dxfId="0">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B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priority="76" operator="equal" dxfId="0">
      <formula>0</formula>
    </cfRule>
    <cfRule type="cellIs" priority="77" operator="lessThan" dxfId="1">
      <formula>0</formula>
    </cfRule>
    <cfRule type="cellIs" priority="78" operator="greaterThan" dxfId="0">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priority="36" operator="equal" dxfId="0">
      <formula>0</formula>
    </cfRule>
    <cfRule type="cellIs" priority="37" operator="lessThan" dxfId="1">
      <formula>0</formula>
    </cfRule>
    <cfRule type="cellIs" priority="38" operator="greaterThan" dxfId="0">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D28:AD45">
    <cfRule type="cellIs" priority="26" operator="equal" dxfId="0">
      <formula>0</formula>
    </cfRule>
    <cfRule type="cellIs" priority="27" operator="lessThan" dxfId="1">
      <formula>0</formula>
    </cfRule>
    <cfRule type="cellIs" priority="28" operator="greaterThan" dxfId="0">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E28:AE45">
    <cfRule type="cellIs" priority="21" operator="equal" dxfId="0">
      <formula>0</formula>
    </cfRule>
    <cfRule type="cellIs" priority="22" operator="lessThan" dxfId="1">
      <formula>0</formula>
    </cfRule>
    <cfRule type="cellIs" priority="23" operator="greaterThan" dxfId="0">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F28:AF45">
    <cfRule type="cellIs" priority="16" operator="equal" dxfId="0">
      <formula>0</formula>
    </cfRule>
    <cfRule type="cellIs" priority="17" operator="lessThan" dxfId="1">
      <formula>0</formula>
    </cfRule>
    <cfRule type="cellIs" priority="18" operator="greaterThan" dxfId="0">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D50:AD67">
    <cfRule type="cellIs" priority="11" operator="equal" dxfId="0">
      <formula>0</formula>
    </cfRule>
    <cfRule type="cellIs" priority="12" operator="lessThan" dxfId="1">
      <formula>0</formula>
    </cfRule>
    <cfRule type="cellIs" priority="13" operator="greaterThan" dxfId="0">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E50:AE67">
    <cfRule type="cellIs" priority="6" operator="equal" dxfId="0">
      <formula>0</formula>
    </cfRule>
    <cfRule type="cellIs" priority="7" operator="lessThan" dxfId="1">
      <formula>0</formula>
    </cfRule>
    <cfRule type="cellIs" priority="8" operator="greaterThan" dxfId="0">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F50:AF67">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301"/>
  <sheetViews>
    <sheetView zoomScale="170" zoomScaleNormal="170" workbookViewId="0">
      <pane xSplit="1" ySplit="5" topLeftCell="B290" activePane="bottomRight" state="frozen"/>
      <selection pane="topRight" activeCell="B1" sqref="B1"/>
      <selection pane="bottomLeft" activeCell="A6" sqref="A6"/>
      <selection pane="bottomRight" activeCell="K302" sqref="K302"/>
    </sheetView>
  </sheetViews>
  <sheetFormatPr baseColWidth="10" defaultColWidth="9.1640625" defaultRowHeight="15"/>
  <cols>
    <col width="12" customWidth="1" style="76" min="1" max="1"/>
    <col width="13.1640625" customWidth="1" style="76" min="2" max="2"/>
    <col width="11.5" customWidth="1" style="76" min="3" max="9"/>
    <col width="12.1640625" customWidth="1" style="76" min="10" max="10"/>
    <col width="11.5" customWidth="1" style="76" min="11" max="11"/>
    <col width="15.33203125" customWidth="1" style="76" min="12" max="12"/>
    <col width="9.1640625" customWidth="1" style="76" min="13" max="26"/>
    <col width="9.1640625" customWidth="1" style="76" min="27" max="16384"/>
  </cols>
  <sheetData>
    <row r="1">
      <c r="A1" s="28" t="n"/>
      <c r="B1" s="28" t="n"/>
      <c r="J1" s="45" t="n"/>
    </row>
    <row r="2">
      <c r="C2" s="45" t="n"/>
      <c r="D2" s="45" t="n"/>
    </row>
    <row r="3">
      <c r="C3" s="45" t="n"/>
      <c r="D3" s="45" t="n"/>
    </row>
    <row r="4" ht="16" customHeight="1" s="65" thickBot="1">
      <c r="C4" s="45" t="n"/>
      <c r="D4" s="45" t="n"/>
    </row>
    <row r="5" ht="39" customHeight="1" s="65" thickBot="1">
      <c r="A5" s="46" t="inlineStr">
        <is>
          <t>Date</t>
        </is>
      </c>
      <c r="B5" s="47" t="inlineStr">
        <is>
          <t>New Orders</t>
        </is>
      </c>
      <c r="C5" s="47" t="inlineStr">
        <is>
          <t>Imports</t>
        </is>
      </c>
      <c r="D5" s="47" t="inlineStr">
        <is>
          <t>Backlog Of Orders</t>
        </is>
      </c>
      <c r="E5" s="47" t="inlineStr">
        <is>
          <t>Prices</t>
        </is>
      </c>
      <c r="F5" s="47" t="inlineStr">
        <is>
          <t>Business Activity</t>
        </is>
      </c>
      <c r="G5" s="47" t="inlineStr">
        <is>
          <t>Inventory Sentiment</t>
        </is>
      </c>
      <c r="H5" s="47" t="inlineStr">
        <is>
          <t>Inventories</t>
        </is>
      </c>
      <c r="I5" s="47" t="inlineStr">
        <is>
          <t>Deliveries</t>
        </is>
      </c>
      <c r="J5" s="47" t="inlineStr">
        <is>
          <t>Employment</t>
        </is>
      </c>
      <c r="K5" s="47" t="inlineStr">
        <is>
          <t>Exports</t>
        </is>
      </c>
      <c r="L5" s="48" t="inlineStr">
        <is>
          <t>ISM Services</t>
        </is>
      </c>
    </row>
    <row r="6" ht="14.25" customHeight="1" s="65">
      <c r="A6" s="49" t="n">
        <v>35612</v>
      </c>
      <c r="B6" s="50">
        <f>IF(VLOOKUP(Table91213[[#This Row],[Date]],'DB Details'!$A:$Q,2)=0,"",VLOOKUP(Table91213[[#This Row],[Date]],'DB Details'!$A:$Q,2))</f>
        <v/>
      </c>
      <c r="C6" s="51">
        <f>IF(VLOOKUP(Table91213[[#This Row],[Date]],'DB Details'!$A:$Q,3)=0,"",VLOOKUP(Table91213[[#This Row],[Date]],'DB Details'!$A:$Q,3))</f>
        <v/>
      </c>
      <c r="D6" s="51">
        <f>IF(VLOOKUP(Table91213[[#This Row],[Date]],'DB Details'!$A:$Q,4)=0,"",VLOOKUP(Table91213[[#This Row],[Date]],'DB Details'!$A:$Q,4))</f>
        <v/>
      </c>
      <c r="E6" s="52">
        <f>IF(VLOOKUP(Table91213[[#This Row],[Date]],'DB Details'!$A:$Q,5)=0,"",VLOOKUP(Table91213[[#This Row],[Date]],'DB Details'!$A:$Q,5))</f>
        <v/>
      </c>
      <c r="F6" s="51">
        <f>IF(VLOOKUP(Table91213[[#This Row],[Date]],'DB Details'!$A:$Q,6)=0,"",VLOOKUP(Table91213[[#This Row],[Date]],'DB Details'!$A:$Q,6))</f>
        <v/>
      </c>
      <c r="G6" s="52">
        <f>IF(VLOOKUP(Table91213[[#This Row],[Date]],'DB Details'!$A:$Q,7)=0,"",VLOOKUP(Table91213[[#This Row],[Date]],'DB Details'!$A:$Q,7))</f>
        <v/>
      </c>
      <c r="H6" s="52">
        <f>IF(VLOOKUP(Table91213[[#This Row],[Date]],'DB Details'!$A:$Q,8)=0,"",VLOOKUP(Table91213[[#This Row],[Date]],'DB Details'!$A:$Q,8))</f>
        <v/>
      </c>
      <c r="I6" s="52">
        <f>IF(VLOOKUP(Table91213[[#This Row],[Date]],'DB Details'!$A:$Q,9)=0,"",VLOOKUP(Table91213[[#This Row],[Date]],'DB Details'!$A:$Q,9))</f>
        <v/>
      </c>
      <c r="J6" s="52">
        <f>IF(VLOOKUP(Table91213[[#This Row],[Date]],'DB Details'!$A:$Q,10)=0,"",VLOOKUP(Table91213[[#This Row],[Date]],'DB Details'!$A:$Q,10))</f>
        <v/>
      </c>
      <c r="K6" s="52">
        <f>IF(VLOOKUP(Table91213[[#This Row],[Date]],'DB Details'!$A:$Q,11)=0,"",VLOOKUP(Table91213[[#This Row],[Date]],'DB Details'!$A:$Q,11))</f>
        <v/>
      </c>
      <c r="L6" s="50">
        <f>IF(VLOOKUP(Table91213[[#This Row],[Date]],'DB Details'!$A:$Q,12)=0,"",VLOOKUP(Table91213[[#This Row],[Date]],'DB Details'!$A:$Q,12))</f>
        <v/>
      </c>
    </row>
    <row r="7" ht="14.25" customHeight="1" s="65">
      <c r="A7" s="53" t="n">
        <v>35643</v>
      </c>
      <c r="B7" s="50">
        <f>IF(VLOOKUP(Table91213[[#This Row],[Date]],'DB Details'!$A:$Q,2)=0,"",VLOOKUP(Table91213[[#This Row],[Date]],'DB Details'!$A:$Q,2))</f>
        <v/>
      </c>
      <c r="C7" s="51">
        <f>IF(VLOOKUP(Table91213[[#This Row],[Date]],'DB Details'!$A:$Q,3)=0,"",VLOOKUP(Table91213[[#This Row],[Date]],'DB Details'!$A:$Q,3))</f>
        <v/>
      </c>
      <c r="D7" s="51">
        <f>IF(VLOOKUP(Table91213[[#This Row],[Date]],'DB Details'!$A:$Q,4)=0,"",VLOOKUP(Table91213[[#This Row],[Date]],'DB Details'!$A:$Q,4))</f>
        <v/>
      </c>
      <c r="E7" s="52">
        <f>IF(VLOOKUP(Table91213[[#This Row],[Date]],'DB Details'!$A:$Q,5)=0,"",VLOOKUP(Table91213[[#This Row],[Date]],'DB Details'!$A:$Q,5))</f>
        <v/>
      </c>
      <c r="F7" s="51">
        <f>IF(VLOOKUP(Table91213[[#This Row],[Date]],'DB Details'!$A:$Q,6)=0,"",VLOOKUP(Table91213[[#This Row],[Date]],'DB Details'!$A:$Q,6))</f>
        <v/>
      </c>
      <c r="G7" s="52">
        <f>IF(VLOOKUP(Table91213[[#This Row],[Date]],'DB Details'!$A:$Q,7)=0,"",VLOOKUP(Table91213[[#This Row],[Date]],'DB Details'!$A:$Q,7))</f>
        <v/>
      </c>
      <c r="H7" s="52">
        <f>IF(VLOOKUP(Table91213[[#This Row],[Date]],'DB Details'!$A:$Q,8)=0,"",VLOOKUP(Table91213[[#This Row],[Date]],'DB Details'!$A:$Q,8))</f>
        <v/>
      </c>
      <c r="I7" s="52">
        <f>IF(VLOOKUP(Table91213[[#This Row],[Date]],'DB Details'!$A:$Q,9)=0,"",VLOOKUP(Table91213[[#This Row],[Date]],'DB Details'!$A:$Q,9))</f>
        <v/>
      </c>
      <c r="J7" s="52">
        <f>IF(VLOOKUP(Table91213[[#This Row],[Date]],'DB Details'!$A:$Q,10)=0,"",VLOOKUP(Table91213[[#This Row],[Date]],'DB Details'!$A:$Q,10))</f>
        <v/>
      </c>
      <c r="K7" s="52">
        <f>IF(VLOOKUP(Table91213[[#This Row],[Date]],'DB Details'!$A:$Q,11)=0,"",VLOOKUP(Table91213[[#This Row],[Date]],'DB Details'!$A:$Q,11))</f>
        <v/>
      </c>
      <c r="L7" s="50">
        <f>IF(VLOOKUP(Table91213[[#This Row],[Date]],'DB Details'!$A:$Q,12)=0,"",VLOOKUP(Table91213[[#This Row],[Date]],'DB Details'!$A:$Q,12))</f>
        <v/>
      </c>
    </row>
    <row r="8" ht="14.25" customHeight="1" s="65">
      <c r="A8" s="49" t="n">
        <v>35674</v>
      </c>
      <c r="B8" s="50">
        <f>IF(VLOOKUP(Table91213[[#This Row],[Date]],'DB Details'!$A:$Q,2)=0,"",VLOOKUP(Table91213[[#This Row],[Date]],'DB Details'!$A:$Q,2))</f>
        <v/>
      </c>
      <c r="C8" s="51">
        <f>IF(VLOOKUP(Table91213[[#This Row],[Date]],'DB Details'!$A:$Q,3)=0,"",VLOOKUP(Table91213[[#This Row],[Date]],'DB Details'!$A:$Q,3))</f>
        <v/>
      </c>
      <c r="D8" s="51">
        <f>IF(VLOOKUP(Table91213[[#This Row],[Date]],'DB Details'!$A:$Q,4)=0,"",VLOOKUP(Table91213[[#This Row],[Date]],'DB Details'!$A:$Q,4))</f>
        <v/>
      </c>
      <c r="E8" s="52">
        <f>IF(VLOOKUP(Table91213[[#This Row],[Date]],'DB Details'!$A:$Q,5)=0,"",VLOOKUP(Table91213[[#This Row],[Date]],'DB Details'!$A:$Q,5))</f>
        <v/>
      </c>
      <c r="F8" s="51">
        <f>IF(VLOOKUP(Table91213[[#This Row],[Date]],'DB Details'!$A:$Q,6)=0,"",VLOOKUP(Table91213[[#This Row],[Date]],'DB Details'!$A:$Q,6))</f>
        <v/>
      </c>
      <c r="G8" s="52">
        <f>IF(VLOOKUP(Table91213[[#This Row],[Date]],'DB Details'!$A:$Q,7)=0,"",VLOOKUP(Table91213[[#This Row],[Date]],'DB Details'!$A:$Q,7))</f>
        <v/>
      </c>
      <c r="H8" s="52">
        <f>IF(VLOOKUP(Table91213[[#This Row],[Date]],'DB Details'!$A:$Q,8)=0,"",VLOOKUP(Table91213[[#This Row],[Date]],'DB Details'!$A:$Q,8))</f>
        <v/>
      </c>
      <c r="I8" s="52">
        <f>IF(VLOOKUP(Table91213[[#This Row],[Date]],'DB Details'!$A:$Q,9)=0,"",VLOOKUP(Table91213[[#This Row],[Date]],'DB Details'!$A:$Q,9))</f>
        <v/>
      </c>
      <c r="J8" s="52">
        <f>IF(VLOOKUP(Table91213[[#This Row],[Date]],'DB Details'!$A:$Q,10)=0,"",VLOOKUP(Table91213[[#This Row],[Date]],'DB Details'!$A:$Q,10))</f>
        <v/>
      </c>
      <c r="K8" s="52">
        <f>IF(VLOOKUP(Table91213[[#This Row],[Date]],'DB Details'!$A:$Q,11)=0,"",VLOOKUP(Table91213[[#This Row],[Date]],'DB Details'!$A:$Q,11))</f>
        <v/>
      </c>
      <c r="L8" s="50">
        <f>IF(VLOOKUP(Table91213[[#This Row],[Date]],'DB Details'!$A:$Q,12)=0,"",VLOOKUP(Table91213[[#This Row],[Date]],'DB Details'!$A:$Q,12))</f>
        <v/>
      </c>
    </row>
    <row r="9" ht="14.25" customHeight="1" s="65">
      <c r="A9" s="53" t="n">
        <v>35704</v>
      </c>
      <c r="B9" s="50">
        <f>IF(VLOOKUP(Table91213[[#This Row],[Date]],'DB Details'!$A:$Q,2)=0,"",VLOOKUP(Table91213[[#This Row],[Date]],'DB Details'!$A:$Q,2))</f>
        <v/>
      </c>
      <c r="C9" s="51">
        <f>IF(VLOOKUP(Table91213[[#This Row],[Date]],'DB Details'!$A:$Q,3)=0,"",VLOOKUP(Table91213[[#This Row],[Date]],'DB Details'!$A:$Q,3))</f>
        <v/>
      </c>
      <c r="D9" s="51">
        <f>IF(VLOOKUP(Table91213[[#This Row],[Date]],'DB Details'!$A:$Q,4)=0,"",VLOOKUP(Table91213[[#This Row],[Date]],'DB Details'!$A:$Q,4))</f>
        <v/>
      </c>
      <c r="E9" s="52">
        <f>IF(VLOOKUP(Table91213[[#This Row],[Date]],'DB Details'!$A:$Q,5)=0,"",VLOOKUP(Table91213[[#This Row],[Date]],'DB Details'!$A:$Q,5))</f>
        <v/>
      </c>
      <c r="F9" s="51">
        <f>IF(VLOOKUP(Table91213[[#This Row],[Date]],'DB Details'!$A:$Q,6)=0,"",VLOOKUP(Table91213[[#This Row],[Date]],'DB Details'!$A:$Q,6))</f>
        <v/>
      </c>
      <c r="G9" s="52">
        <f>IF(VLOOKUP(Table91213[[#This Row],[Date]],'DB Details'!$A:$Q,7)=0,"",VLOOKUP(Table91213[[#This Row],[Date]],'DB Details'!$A:$Q,7))</f>
        <v/>
      </c>
      <c r="H9" s="52">
        <f>IF(VLOOKUP(Table91213[[#This Row],[Date]],'DB Details'!$A:$Q,8)=0,"",VLOOKUP(Table91213[[#This Row],[Date]],'DB Details'!$A:$Q,8))</f>
        <v/>
      </c>
      <c r="I9" s="52">
        <f>IF(VLOOKUP(Table91213[[#This Row],[Date]],'DB Details'!$A:$Q,9)=0,"",VLOOKUP(Table91213[[#This Row],[Date]],'DB Details'!$A:$Q,9))</f>
        <v/>
      </c>
      <c r="J9" s="52">
        <f>IF(VLOOKUP(Table91213[[#This Row],[Date]],'DB Details'!$A:$Q,10)=0,"",VLOOKUP(Table91213[[#This Row],[Date]],'DB Details'!$A:$Q,10))</f>
        <v/>
      </c>
      <c r="K9" s="52">
        <f>IF(VLOOKUP(Table91213[[#This Row],[Date]],'DB Details'!$A:$Q,11)=0,"",VLOOKUP(Table91213[[#This Row],[Date]],'DB Details'!$A:$Q,11))</f>
        <v/>
      </c>
      <c r="L9" s="50">
        <f>IF(VLOOKUP(Table91213[[#This Row],[Date]],'DB Details'!$A:$Q,12)=0,"",VLOOKUP(Table91213[[#This Row],[Date]],'DB Details'!$A:$Q,12))</f>
        <v/>
      </c>
    </row>
    <row r="10" ht="14.25" customHeight="1" s="65">
      <c r="A10" s="49" t="n">
        <v>35735</v>
      </c>
      <c r="B10" s="50">
        <f>IF(VLOOKUP(Table91213[[#This Row],[Date]],'DB Details'!$A:$Q,2)=0,"",VLOOKUP(Table91213[[#This Row],[Date]],'DB Details'!$A:$Q,2))</f>
        <v/>
      </c>
      <c r="C10" s="51">
        <f>IF(VLOOKUP(Table91213[[#This Row],[Date]],'DB Details'!$A:$Q,3)=0,"",VLOOKUP(Table91213[[#This Row],[Date]],'DB Details'!$A:$Q,3))</f>
        <v/>
      </c>
      <c r="D10" s="51">
        <f>IF(VLOOKUP(Table91213[[#This Row],[Date]],'DB Details'!$A:$Q,4)=0,"",VLOOKUP(Table91213[[#This Row],[Date]],'DB Details'!$A:$Q,4))</f>
        <v/>
      </c>
      <c r="E10" s="52">
        <f>IF(VLOOKUP(Table91213[[#This Row],[Date]],'DB Details'!$A:$Q,5)=0,"",VLOOKUP(Table91213[[#This Row],[Date]],'DB Details'!$A:$Q,5))</f>
        <v/>
      </c>
      <c r="F10" s="51">
        <f>IF(VLOOKUP(Table91213[[#This Row],[Date]],'DB Details'!$A:$Q,6)=0,"",VLOOKUP(Table91213[[#This Row],[Date]],'DB Details'!$A:$Q,6))</f>
        <v/>
      </c>
      <c r="G10" s="52">
        <f>IF(VLOOKUP(Table91213[[#This Row],[Date]],'DB Details'!$A:$Q,7)=0,"",VLOOKUP(Table91213[[#This Row],[Date]],'DB Details'!$A:$Q,7))</f>
        <v/>
      </c>
      <c r="H10" s="52">
        <f>IF(VLOOKUP(Table91213[[#This Row],[Date]],'DB Details'!$A:$Q,8)=0,"",VLOOKUP(Table91213[[#This Row],[Date]],'DB Details'!$A:$Q,8))</f>
        <v/>
      </c>
      <c r="I10" s="52">
        <f>IF(VLOOKUP(Table91213[[#This Row],[Date]],'DB Details'!$A:$Q,9)=0,"",VLOOKUP(Table91213[[#This Row],[Date]],'DB Details'!$A:$Q,9))</f>
        <v/>
      </c>
      <c r="J10" s="52">
        <f>IF(VLOOKUP(Table91213[[#This Row],[Date]],'DB Details'!$A:$Q,10)=0,"",VLOOKUP(Table91213[[#This Row],[Date]],'DB Details'!$A:$Q,10))</f>
        <v/>
      </c>
      <c r="K10" s="52">
        <f>IF(VLOOKUP(Table91213[[#This Row],[Date]],'DB Details'!$A:$Q,11)=0,"",VLOOKUP(Table91213[[#This Row],[Date]],'DB Details'!$A:$Q,11))</f>
        <v/>
      </c>
      <c r="L10" s="50">
        <f>IF(VLOOKUP(Table91213[[#This Row],[Date]],'DB Details'!$A:$Q,12)=0,"",VLOOKUP(Table91213[[#This Row],[Date]],'DB Details'!$A:$Q,12))</f>
        <v/>
      </c>
    </row>
    <row r="11" ht="14.25" customHeight="1" s="65">
      <c r="A11" s="53" t="n">
        <v>35765</v>
      </c>
      <c r="B11" s="50">
        <f>IF(VLOOKUP(Table91213[[#This Row],[Date]],'DB Details'!$A:$Q,2)=0,"",VLOOKUP(Table91213[[#This Row],[Date]],'DB Details'!$A:$Q,2))</f>
        <v/>
      </c>
      <c r="C11" s="51">
        <f>IF(VLOOKUP(Table91213[[#This Row],[Date]],'DB Details'!$A:$Q,3)=0,"",VLOOKUP(Table91213[[#This Row],[Date]],'DB Details'!$A:$Q,3))</f>
        <v/>
      </c>
      <c r="D11" s="51">
        <f>IF(VLOOKUP(Table91213[[#This Row],[Date]],'DB Details'!$A:$Q,4)=0,"",VLOOKUP(Table91213[[#This Row],[Date]],'DB Details'!$A:$Q,4))</f>
        <v/>
      </c>
      <c r="E11" s="52">
        <f>IF(VLOOKUP(Table91213[[#This Row],[Date]],'DB Details'!$A:$Q,5)=0,"",VLOOKUP(Table91213[[#This Row],[Date]],'DB Details'!$A:$Q,5))</f>
        <v/>
      </c>
      <c r="F11" s="51">
        <f>IF(VLOOKUP(Table91213[[#This Row],[Date]],'DB Details'!$A:$Q,6)=0,"",VLOOKUP(Table91213[[#This Row],[Date]],'DB Details'!$A:$Q,6))</f>
        <v/>
      </c>
      <c r="G11" s="52">
        <f>IF(VLOOKUP(Table91213[[#This Row],[Date]],'DB Details'!$A:$Q,7)=0,"",VLOOKUP(Table91213[[#This Row],[Date]],'DB Details'!$A:$Q,7))</f>
        <v/>
      </c>
      <c r="H11" s="52">
        <f>IF(VLOOKUP(Table91213[[#This Row],[Date]],'DB Details'!$A:$Q,8)=0,"",VLOOKUP(Table91213[[#This Row],[Date]],'DB Details'!$A:$Q,8))</f>
        <v/>
      </c>
      <c r="I11" s="52">
        <f>IF(VLOOKUP(Table91213[[#This Row],[Date]],'DB Details'!$A:$Q,9)=0,"",VLOOKUP(Table91213[[#This Row],[Date]],'DB Details'!$A:$Q,9))</f>
        <v/>
      </c>
      <c r="J11" s="52">
        <f>IF(VLOOKUP(Table91213[[#This Row],[Date]],'DB Details'!$A:$Q,10)=0,"",VLOOKUP(Table91213[[#This Row],[Date]],'DB Details'!$A:$Q,10))</f>
        <v/>
      </c>
      <c r="K11" s="52">
        <f>IF(VLOOKUP(Table91213[[#This Row],[Date]],'DB Details'!$A:$Q,11)=0,"",VLOOKUP(Table91213[[#This Row],[Date]],'DB Details'!$A:$Q,11))</f>
        <v/>
      </c>
      <c r="L11" s="50">
        <f>IF(VLOOKUP(Table91213[[#This Row],[Date]],'DB Details'!$A:$Q,12)=0,"",VLOOKUP(Table91213[[#This Row],[Date]],'DB Details'!$A:$Q,12))</f>
        <v/>
      </c>
    </row>
    <row r="12" ht="14.25" customHeight="1" s="65">
      <c r="A12" s="49" t="n">
        <v>35796</v>
      </c>
      <c r="B12" s="50">
        <f>IF(VLOOKUP(Table91213[[#This Row],[Date]],'DB Details'!$A:$Q,2)=0,"",VLOOKUP(Table91213[[#This Row],[Date]],'DB Details'!$A:$Q,2))</f>
        <v/>
      </c>
      <c r="C12" s="51">
        <f>IF(VLOOKUP(Table91213[[#This Row],[Date]],'DB Details'!$A:$Q,3)=0,"",VLOOKUP(Table91213[[#This Row],[Date]],'DB Details'!$A:$Q,3))</f>
        <v/>
      </c>
      <c r="D12" s="51">
        <f>IF(VLOOKUP(Table91213[[#This Row],[Date]],'DB Details'!$A:$Q,4)=0,"",VLOOKUP(Table91213[[#This Row],[Date]],'DB Details'!$A:$Q,4))</f>
        <v/>
      </c>
      <c r="E12" s="52">
        <f>IF(VLOOKUP(Table91213[[#This Row],[Date]],'DB Details'!$A:$Q,5)=0,"",VLOOKUP(Table91213[[#This Row],[Date]],'DB Details'!$A:$Q,5))</f>
        <v/>
      </c>
      <c r="F12" s="51">
        <f>IF(VLOOKUP(Table91213[[#This Row],[Date]],'DB Details'!$A:$Q,6)=0,"",VLOOKUP(Table91213[[#This Row],[Date]],'DB Details'!$A:$Q,6))</f>
        <v/>
      </c>
      <c r="G12" s="52">
        <f>IF(VLOOKUP(Table91213[[#This Row],[Date]],'DB Details'!$A:$Q,7)=0,"",VLOOKUP(Table91213[[#This Row],[Date]],'DB Details'!$A:$Q,7))</f>
        <v/>
      </c>
      <c r="H12" s="52">
        <f>IF(VLOOKUP(Table91213[[#This Row],[Date]],'DB Details'!$A:$Q,8)=0,"",VLOOKUP(Table91213[[#This Row],[Date]],'DB Details'!$A:$Q,8))</f>
        <v/>
      </c>
      <c r="I12" s="52">
        <f>IF(VLOOKUP(Table91213[[#This Row],[Date]],'DB Details'!$A:$Q,9)=0,"",VLOOKUP(Table91213[[#This Row],[Date]],'DB Details'!$A:$Q,9))</f>
        <v/>
      </c>
      <c r="J12" s="52">
        <f>IF(VLOOKUP(Table91213[[#This Row],[Date]],'DB Details'!$A:$Q,10)=0,"",VLOOKUP(Table91213[[#This Row],[Date]],'DB Details'!$A:$Q,10))</f>
        <v/>
      </c>
      <c r="K12" s="52">
        <f>IF(VLOOKUP(Table91213[[#This Row],[Date]],'DB Details'!$A:$Q,11)=0,"",VLOOKUP(Table91213[[#This Row],[Date]],'DB Details'!$A:$Q,11))</f>
        <v/>
      </c>
      <c r="L12" s="50">
        <f>IF(VLOOKUP(Table91213[[#This Row],[Date]],'DB Details'!$A:$Q,12)=0,"",VLOOKUP(Table91213[[#This Row],[Date]],'DB Details'!$A:$Q,12))</f>
        <v/>
      </c>
    </row>
    <row r="13" ht="14.25" customHeight="1" s="65">
      <c r="A13" s="53" t="n">
        <v>35827</v>
      </c>
      <c r="B13" s="50">
        <f>IF(VLOOKUP(Table91213[[#This Row],[Date]],'DB Details'!$A:$Q,2)=0,"",VLOOKUP(Table91213[[#This Row],[Date]],'DB Details'!$A:$Q,2))</f>
        <v/>
      </c>
      <c r="C13" s="51">
        <f>IF(VLOOKUP(Table91213[[#This Row],[Date]],'DB Details'!$A:$Q,3)=0,"",VLOOKUP(Table91213[[#This Row],[Date]],'DB Details'!$A:$Q,3))</f>
        <v/>
      </c>
      <c r="D13" s="51">
        <f>IF(VLOOKUP(Table91213[[#This Row],[Date]],'DB Details'!$A:$Q,4)=0,"",VLOOKUP(Table91213[[#This Row],[Date]],'DB Details'!$A:$Q,4))</f>
        <v/>
      </c>
      <c r="E13" s="52">
        <f>IF(VLOOKUP(Table91213[[#This Row],[Date]],'DB Details'!$A:$Q,5)=0,"",VLOOKUP(Table91213[[#This Row],[Date]],'DB Details'!$A:$Q,5))</f>
        <v/>
      </c>
      <c r="F13" s="51">
        <f>IF(VLOOKUP(Table91213[[#This Row],[Date]],'DB Details'!$A:$Q,6)=0,"",VLOOKUP(Table91213[[#This Row],[Date]],'DB Details'!$A:$Q,6))</f>
        <v/>
      </c>
      <c r="G13" s="52">
        <f>IF(VLOOKUP(Table91213[[#This Row],[Date]],'DB Details'!$A:$Q,7)=0,"",VLOOKUP(Table91213[[#This Row],[Date]],'DB Details'!$A:$Q,7))</f>
        <v/>
      </c>
      <c r="H13" s="52">
        <f>IF(VLOOKUP(Table91213[[#This Row],[Date]],'DB Details'!$A:$Q,8)=0,"",VLOOKUP(Table91213[[#This Row],[Date]],'DB Details'!$A:$Q,8))</f>
        <v/>
      </c>
      <c r="I13" s="52">
        <f>IF(VLOOKUP(Table91213[[#This Row],[Date]],'DB Details'!$A:$Q,9)=0,"",VLOOKUP(Table91213[[#This Row],[Date]],'DB Details'!$A:$Q,9))</f>
        <v/>
      </c>
      <c r="J13" s="52">
        <f>IF(VLOOKUP(Table91213[[#This Row],[Date]],'DB Details'!$A:$Q,10)=0,"",VLOOKUP(Table91213[[#This Row],[Date]],'DB Details'!$A:$Q,10))</f>
        <v/>
      </c>
      <c r="K13" s="52">
        <f>IF(VLOOKUP(Table91213[[#This Row],[Date]],'DB Details'!$A:$Q,11)=0,"",VLOOKUP(Table91213[[#This Row],[Date]],'DB Details'!$A:$Q,11))</f>
        <v/>
      </c>
      <c r="L13" s="50">
        <f>IF(VLOOKUP(Table91213[[#This Row],[Date]],'DB Details'!$A:$Q,12)=0,"",VLOOKUP(Table91213[[#This Row],[Date]],'DB Details'!$A:$Q,12))</f>
        <v/>
      </c>
    </row>
    <row r="14" ht="14.25" customHeight="1" s="65">
      <c r="A14" s="49" t="n">
        <v>35855</v>
      </c>
      <c r="B14" s="50">
        <f>IF(VLOOKUP(Table91213[[#This Row],[Date]],'DB Details'!$A:$Q,2)=0,"",VLOOKUP(Table91213[[#This Row],[Date]],'DB Details'!$A:$Q,2))</f>
        <v/>
      </c>
      <c r="C14" s="51">
        <f>IF(VLOOKUP(Table91213[[#This Row],[Date]],'DB Details'!$A:$Q,3)=0,"",VLOOKUP(Table91213[[#This Row],[Date]],'DB Details'!$A:$Q,3))</f>
        <v/>
      </c>
      <c r="D14" s="51">
        <f>IF(VLOOKUP(Table91213[[#This Row],[Date]],'DB Details'!$A:$Q,4)=0,"",VLOOKUP(Table91213[[#This Row],[Date]],'DB Details'!$A:$Q,4))</f>
        <v/>
      </c>
      <c r="E14" s="52">
        <f>IF(VLOOKUP(Table91213[[#This Row],[Date]],'DB Details'!$A:$Q,5)=0,"",VLOOKUP(Table91213[[#This Row],[Date]],'DB Details'!$A:$Q,5))</f>
        <v/>
      </c>
      <c r="F14" s="51">
        <f>IF(VLOOKUP(Table91213[[#This Row],[Date]],'DB Details'!$A:$Q,6)=0,"",VLOOKUP(Table91213[[#This Row],[Date]],'DB Details'!$A:$Q,6))</f>
        <v/>
      </c>
      <c r="G14" s="52">
        <f>IF(VLOOKUP(Table91213[[#This Row],[Date]],'DB Details'!$A:$Q,7)=0,"",VLOOKUP(Table91213[[#This Row],[Date]],'DB Details'!$A:$Q,7))</f>
        <v/>
      </c>
      <c r="H14" s="52">
        <f>IF(VLOOKUP(Table91213[[#This Row],[Date]],'DB Details'!$A:$Q,8)=0,"",VLOOKUP(Table91213[[#This Row],[Date]],'DB Details'!$A:$Q,8))</f>
        <v/>
      </c>
      <c r="I14" s="52">
        <f>IF(VLOOKUP(Table91213[[#This Row],[Date]],'DB Details'!$A:$Q,9)=0,"",VLOOKUP(Table91213[[#This Row],[Date]],'DB Details'!$A:$Q,9))</f>
        <v/>
      </c>
      <c r="J14" s="52">
        <f>IF(VLOOKUP(Table91213[[#This Row],[Date]],'DB Details'!$A:$Q,10)=0,"",VLOOKUP(Table91213[[#This Row],[Date]],'DB Details'!$A:$Q,10))</f>
        <v/>
      </c>
      <c r="K14" s="52">
        <f>IF(VLOOKUP(Table91213[[#This Row],[Date]],'DB Details'!$A:$Q,11)=0,"",VLOOKUP(Table91213[[#This Row],[Date]],'DB Details'!$A:$Q,11))</f>
        <v/>
      </c>
      <c r="L14" s="50">
        <f>IF(VLOOKUP(Table91213[[#This Row],[Date]],'DB Details'!$A:$Q,12)=0,"",VLOOKUP(Table91213[[#This Row],[Date]],'DB Details'!$A:$Q,12))</f>
        <v/>
      </c>
    </row>
    <row r="15">
      <c r="A15" s="53" t="n">
        <v>35886</v>
      </c>
      <c r="B15" s="50">
        <f>IF(VLOOKUP(Table91213[[#This Row],[Date]],'DB Details'!$A:$Q,2)=0,"",VLOOKUP(Table91213[[#This Row],[Date]],'DB Details'!$A:$Q,2))</f>
        <v/>
      </c>
      <c r="C15" s="51">
        <f>IF(VLOOKUP(Table91213[[#This Row],[Date]],'DB Details'!$A:$Q,3)=0,"",VLOOKUP(Table91213[[#This Row],[Date]],'DB Details'!$A:$Q,3))</f>
        <v/>
      </c>
      <c r="D15" s="51">
        <f>IF(VLOOKUP(Table91213[[#This Row],[Date]],'DB Details'!$A:$Q,4)=0,"",VLOOKUP(Table91213[[#This Row],[Date]],'DB Details'!$A:$Q,4))</f>
        <v/>
      </c>
      <c r="E15" s="52">
        <f>IF(VLOOKUP(Table91213[[#This Row],[Date]],'DB Details'!$A:$Q,5)=0,"",VLOOKUP(Table91213[[#This Row],[Date]],'DB Details'!$A:$Q,5))</f>
        <v/>
      </c>
      <c r="F15" s="51">
        <f>IF(VLOOKUP(Table91213[[#This Row],[Date]],'DB Details'!$A:$Q,6)=0,"",VLOOKUP(Table91213[[#This Row],[Date]],'DB Details'!$A:$Q,6))</f>
        <v/>
      </c>
      <c r="G15" s="52">
        <f>IF(VLOOKUP(Table91213[[#This Row],[Date]],'DB Details'!$A:$Q,7)=0,"",VLOOKUP(Table91213[[#This Row],[Date]],'DB Details'!$A:$Q,7))</f>
        <v/>
      </c>
      <c r="H15" s="52">
        <f>IF(VLOOKUP(Table91213[[#This Row],[Date]],'DB Details'!$A:$Q,8)=0,"",VLOOKUP(Table91213[[#This Row],[Date]],'DB Details'!$A:$Q,8))</f>
        <v/>
      </c>
      <c r="I15" s="52">
        <f>IF(VLOOKUP(Table91213[[#This Row],[Date]],'DB Details'!$A:$Q,9)=0,"",VLOOKUP(Table91213[[#This Row],[Date]],'DB Details'!$A:$Q,9))</f>
        <v/>
      </c>
      <c r="J15" s="52">
        <f>IF(VLOOKUP(Table91213[[#This Row],[Date]],'DB Details'!$A:$Q,10)=0,"",VLOOKUP(Table91213[[#This Row],[Date]],'DB Details'!$A:$Q,10))</f>
        <v/>
      </c>
      <c r="K15" s="52">
        <f>IF(VLOOKUP(Table91213[[#This Row],[Date]],'DB Details'!$A:$Q,11)=0,"",VLOOKUP(Table91213[[#This Row],[Date]],'DB Details'!$A:$Q,11))</f>
        <v/>
      </c>
      <c r="L15" s="50">
        <f>IF(VLOOKUP(Table91213[[#This Row],[Date]],'DB Details'!$A:$Q,12)=0,"",VLOOKUP(Table91213[[#This Row],[Date]],'DB Details'!$A:$Q,12))</f>
        <v/>
      </c>
    </row>
    <row r="16">
      <c r="A16" s="53" t="n">
        <v>35916</v>
      </c>
      <c r="B16" s="50">
        <f>IF(VLOOKUP(Table91213[[#This Row],[Date]],'DB Details'!$A:$Q,2)=0,"",VLOOKUP(Table91213[[#This Row],[Date]],'DB Details'!$A:$Q,2))</f>
        <v/>
      </c>
      <c r="C16" s="51">
        <f>IF(VLOOKUP(Table91213[[#This Row],[Date]],'DB Details'!$A:$Q,3)=0,"",VLOOKUP(Table91213[[#This Row],[Date]],'DB Details'!$A:$Q,3))</f>
        <v/>
      </c>
      <c r="D16" s="51">
        <f>IF(VLOOKUP(Table91213[[#This Row],[Date]],'DB Details'!$A:$Q,4)=0,"",VLOOKUP(Table91213[[#This Row],[Date]],'DB Details'!$A:$Q,4))</f>
        <v/>
      </c>
      <c r="E16" s="52">
        <f>IF(VLOOKUP(Table91213[[#This Row],[Date]],'DB Details'!$A:$Q,5)=0,"",VLOOKUP(Table91213[[#This Row],[Date]],'DB Details'!$A:$Q,5))</f>
        <v/>
      </c>
      <c r="F16" s="51">
        <f>IF(VLOOKUP(Table91213[[#This Row],[Date]],'DB Details'!$A:$Q,6)=0,"",VLOOKUP(Table91213[[#This Row],[Date]],'DB Details'!$A:$Q,6))</f>
        <v/>
      </c>
      <c r="G16" s="52">
        <f>IF(VLOOKUP(Table91213[[#This Row],[Date]],'DB Details'!$A:$Q,7)=0,"",VLOOKUP(Table91213[[#This Row],[Date]],'DB Details'!$A:$Q,7))</f>
        <v/>
      </c>
      <c r="H16" s="52">
        <f>IF(VLOOKUP(Table91213[[#This Row],[Date]],'DB Details'!$A:$Q,8)=0,"",VLOOKUP(Table91213[[#This Row],[Date]],'DB Details'!$A:$Q,8))</f>
        <v/>
      </c>
      <c r="I16" s="52">
        <f>IF(VLOOKUP(Table91213[[#This Row],[Date]],'DB Details'!$A:$Q,9)=0,"",VLOOKUP(Table91213[[#This Row],[Date]],'DB Details'!$A:$Q,9))</f>
        <v/>
      </c>
      <c r="J16" s="52">
        <f>IF(VLOOKUP(Table91213[[#This Row],[Date]],'DB Details'!$A:$Q,10)=0,"",VLOOKUP(Table91213[[#This Row],[Date]],'DB Details'!$A:$Q,10))</f>
        <v/>
      </c>
      <c r="K16" s="52">
        <f>IF(VLOOKUP(Table91213[[#This Row],[Date]],'DB Details'!$A:$Q,11)=0,"",VLOOKUP(Table91213[[#This Row],[Date]],'DB Details'!$A:$Q,11))</f>
        <v/>
      </c>
      <c r="L16" s="50">
        <f>IF(VLOOKUP(Table91213[[#This Row],[Date]],'DB Details'!$A:$Q,12)=0,"",VLOOKUP(Table91213[[#This Row],[Date]],'DB Details'!$A:$Q,12))</f>
        <v/>
      </c>
    </row>
    <row r="17">
      <c r="A17" s="53" t="n">
        <v>35947</v>
      </c>
      <c r="B17" s="50">
        <f>IF(VLOOKUP(Table91213[[#This Row],[Date]],'DB Details'!$A:$Q,2)=0,"",VLOOKUP(Table91213[[#This Row],[Date]],'DB Details'!$A:$Q,2))</f>
        <v/>
      </c>
      <c r="C17" s="51">
        <f>IF(VLOOKUP(Table91213[[#This Row],[Date]],'DB Details'!$A:$Q,3)=0,"",VLOOKUP(Table91213[[#This Row],[Date]],'DB Details'!$A:$Q,3))</f>
        <v/>
      </c>
      <c r="D17" s="51">
        <f>IF(VLOOKUP(Table91213[[#This Row],[Date]],'DB Details'!$A:$Q,4)=0,"",VLOOKUP(Table91213[[#This Row],[Date]],'DB Details'!$A:$Q,4))</f>
        <v/>
      </c>
      <c r="E17" s="52">
        <f>IF(VLOOKUP(Table91213[[#This Row],[Date]],'DB Details'!$A:$Q,5)=0,"",VLOOKUP(Table91213[[#This Row],[Date]],'DB Details'!$A:$Q,5))</f>
        <v/>
      </c>
      <c r="F17" s="51">
        <f>IF(VLOOKUP(Table91213[[#This Row],[Date]],'DB Details'!$A:$Q,6)=0,"",VLOOKUP(Table91213[[#This Row],[Date]],'DB Details'!$A:$Q,6))</f>
        <v/>
      </c>
      <c r="G17" s="52">
        <f>IF(VLOOKUP(Table91213[[#This Row],[Date]],'DB Details'!$A:$Q,7)=0,"",VLOOKUP(Table91213[[#This Row],[Date]],'DB Details'!$A:$Q,7))</f>
        <v/>
      </c>
      <c r="H17" s="52">
        <f>IF(VLOOKUP(Table91213[[#This Row],[Date]],'DB Details'!$A:$Q,8)=0,"",VLOOKUP(Table91213[[#This Row],[Date]],'DB Details'!$A:$Q,8))</f>
        <v/>
      </c>
      <c r="I17" s="52">
        <f>IF(VLOOKUP(Table91213[[#This Row],[Date]],'DB Details'!$A:$Q,9)=0,"",VLOOKUP(Table91213[[#This Row],[Date]],'DB Details'!$A:$Q,9))</f>
        <v/>
      </c>
      <c r="J17" s="52">
        <f>IF(VLOOKUP(Table91213[[#This Row],[Date]],'DB Details'!$A:$Q,10)=0,"",VLOOKUP(Table91213[[#This Row],[Date]],'DB Details'!$A:$Q,10))</f>
        <v/>
      </c>
      <c r="K17" s="52">
        <f>IF(VLOOKUP(Table91213[[#This Row],[Date]],'DB Details'!$A:$Q,11)=0,"",VLOOKUP(Table91213[[#This Row],[Date]],'DB Details'!$A:$Q,11))</f>
        <v/>
      </c>
      <c r="L17" s="50">
        <f>IF(VLOOKUP(Table91213[[#This Row],[Date]],'DB Details'!$A:$Q,12)=0,"",VLOOKUP(Table91213[[#This Row],[Date]],'DB Details'!$A:$Q,12))</f>
        <v/>
      </c>
    </row>
    <row r="18">
      <c r="A18" s="53" t="n">
        <v>35977</v>
      </c>
      <c r="B18" s="50">
        <f>IF(VLOOKUP(Table91213[[#This Row],[Date]],'DB Details'!$A:$Q,2)=0,"",VLOOKUP(Table91213[[#This Row],[Date]],'DB Details'!$A:$Q,2))</f>
        <v/>
      </c>
      <c r="C18" s="51">
        <f>IF(VLOOKUP(Table91213[[#This Row],[Date]],'DB Details'!$A:$Q,3)=0,"",VLOOKUP(Table91213[[#This Row],[Date]],'DB Details'!$A:$Q,3))</f>
        <v/>
      </c>
      <c r="D18" s="51">
        <f>IF(VLOOKUP(Table91213[[#This Row],[Date]],'DB Details'!$A:$Q,4)=0,"",VLOOKUP(Table91213[[#This Row],[Date]],'DB Details'!$A:$Q,4))</f>
        <v/>
      </c>
      <c r="E18" s="52">
        <f>IF(VLOOKUP(Table91213[[#This Row],[Date]],'DB Details'!$A:$Q,5)=0,"",VLOOKUP(Table91213[[#This Row],[Date]],'DB Details'!$A:$Q,5))</f>
        <v/>
      </c>
      <c r="F18" s="51">
        <f>IF(VLOOKUP(Table91213[[#This Row],[Date]],'DB Details'!$A:$Q,6)=0,"",VLOOKUP(Table91213[[#This Row],[Date]],'DB Details'!$A:$Q,6))</f>
        <v/>
      </c>
      <c r="G18" s="52">
        <f>IF(VLOOKUP(Table91213[[#This Row],[Date]],'DB Details'!$A:$Q,7)=0,"",VLOOKUP(Table91213[[#This Row],[Date]],'DB Details'!$A:$Q,7))</f>
        <v/>
      </c>
      <c r="H18" s="52">
        <f>IF(VLOOKUP(Table91213[[#This Row],[Date]],'DB Details'!$A:$Q,8)=0,"",VLOOKUP(Table91213[[#This Row],[Date]],'DB Details'!$A:$Q,8))</f>
        <v/>
      </c>
      <c r="I18" s="52">
        <f>IF(VLOOKUP(Table91213[[#This Row],[Date]],'DB Details'!$A:$Q,9)=0,"",VLOOKUP(Table91213[[#This Row],[Date]],'DB Details'!$A:$Q,9))</f>
        <v/>
      </c>
      <c r="J18" s="52">
        <f>IF(VLOOKUP(Table91213[[#This Row],[Date]],'DB Details'!$A:$Q,10)=0,"",VLOOKUP(Table91213[[#This Row],[Date]],'DB Details'!$A:$Q,10))</f>
        <v/>
      </c>
      <c r="K18" s="52">
        <f>IF(VLOOKUP(Table91213[[#This Row],[Date]],'DB Details'!$A:$Q,11)=0,"",VLOOKUP(Table91213[[#This Row],[Date]],'DB Details'!$A:$Q,11))</f>
        <v/>
      </c>
      <c r="L18" s="50">
        <f>IF(VLOOKUP(Table91213[[#This Row],[Date]],'DB Details'!$A:$Q,12)=0,"",VLOOKUP(Table91213[[#This Row],[Date]],'DB Details'!$A:$Q,12))</f>
        <v/>
      </c>
    </row>
    <row r="19">
      <c r="A19" s="53" t="n">
        <v>36008</v>
      </c>
      <c r="B19" s="50">
        <f>IF(VLOOKUP(Table91213[[#This Row],[Date]],'DB Details'!$A:$Q,2)=0,"",VLOOKUP(Table91213[[#This Row],[Date]],'DB Details'!$A:$Q,2))</f>
        <v/>
      </c>
      <c r="C19" s="51">
        <f>IF(VLOOKUP(Table91213[[#This Row],[Date]],'DB Details'!$A:$Q,3)=0,"",VLOOKUP(Table91213[[#This Row],[Date]],'DB Details'!$A:$Q,3))</f>
        <v/>
      </c>
      <c r="D19" s="51">
        <f>IF(VLOOKUP(Table91213[[#This Row],[Date]],'DB Details'!$A:$Q,4)=0,"",VLOOKUP(Table91213[[#This Row],[Date]],'DB Details'!$A:$Q,4))</f>
        <v/>
      </c>
      <c r="E19" s="52">
        <f>IF(VLOOKUP(Table91213[[#This Row],[Date]],'DB Details'!$A:$Q,5)=0,"",VLOOKUP(Table91213[[#This Row],[Date]],'DB Details'!$A:$Q,5))</f>
        <v/>
      </c>
      <c r="F19" s="51">
        <f>IF(VLOOKUP(Table91213[[#This Row],[Date]],'DB Details'!$A:$Q,6)=0,"",VLOOKUP(Table91213[[#This Row],[Date]],'DB Details'!$A:$Q,6))</f>
        <v/>
      </c>
      <c r="G19" s="52">
        <f>IF(VLOOKUP(Table91213[[#This Row],[Date]],'DB Details'!$A:$Q,7)=0,"",VLOOKUP(Table91213[[#This Row],[Date]],'DB Details'!$A:$Q,7))</f>
        <v/>
      </c>
      <c r="H19" s="52">
        <f>IF(VLOOKUP(Table91213[[#This Row],[Date]],'DB Details'!$A:$Q,8)=0,"",VLOOKUP(Table91213[[#This Row],[Date]],'DB Details'!$A:$Q,8))</f>
        <v/>
      </c>
      <c r="I19" s="52">
        <f>IF(VLOOKUP(Table91213[[#This Row],[Date]],'DB Details'!$A:$Q,9)=0,"",VLOOKUP(Table91213[[#This Row],[Date]],'DB Details'!$A:$Q,9))</f>
        <v/>
      </c>
      <c r="J19" s="52">
        <f>IF(VLOOKUP(Table91213[[#This Row],[Date]],'DB Details'!$A:$Q,10)=0,"",VLOOKUP(Table91213[[#This Row],[Date]],'DB Details'!$A:$Q,10))</f>
        <v/>
      </c>
      <c r="K19" s="52">
        <f>IF(VLOOKUP(Table91213[[#This Row],[Date]],'DB Details'!$A:$Q,11)=0,"",VLOOKUP(Table91213[[#This Row],[Date]],'DB Details'!$A:$Q,11))</f>
        <v/>
      </c>
      <c r="L19" s="50">
        <f>IF(VLOOKUP(Table91213[[#This Row],[Date]],'DB Details'!$A:$Q,12)=0,"",VLOOKUP(Table91213[[#This Row],[Date]],'DB Details'!$A:$Q,12))</f>
        <v/>
      </c>
    </row>
    <row r="20">
      <c r="A20" s="53" t="n">
        <v>36039</v>
      </c>
      <c r="B20" s="50">
        <f>IF(VLOOKUP(Table91213[[#This Row],[Date]],'DB Details'!$A:$Q,2)=0,"",VLOOKUP(Table91213[[#This Row],[Date]],'DB Details'!$A:$Q,2))</f>
        <v/>
      </c>
      <c r="C20" s="51">
        <f>IF(VLOOKUP(Table91213[[#This Row],[Date]],'DB Details'!$A:$Q,3)=0,"",VLOOKUP(Table91213[[#This Row],[Date]],'DB Details'!$A:$Q,3))</f>
        <v/>
      </c>
      <c r="D20" s="51">
        <f>IF(VLOOKUP(Table91213[[#This Row],[Date]],'DB Details'!$A:$Q,4)=0,"",VLOOKUP(Table91213[[#This Row],[Date]],'DB Details'!$A:$Q,4))</f>
        <v/>
      </c>
      <c r="E20" s="52">
        <f>IF(VLOOKUP(Table91213[[#This Row],[Date]],'DB Details'!$A:$Q,5)=0,"",VLOOKUP(Table91213[[#This Row],[Date]],'DB Details'!$A:$Q,5))</f>
        <v/>
      </c>
      <c r="F20" s="51">
        <f>IF(VLOOKUP(Table91213[[#This Row],[Date]],'DB Details'!$A:$Q,6)=0,"",VLOOKUP(Table91213[[#This Row],[Date]],'DB Details'!$A:$Q,6))</f>
        <v/>
      </c>
      <c r="G20" s="52">
        <f>IF(VLOOKUP(Table91213[[#This Row],[Date]],'DB Details'!$A:$Q,7)=0,"",VLOOKUP(Table91213[[#This Row],[Date]],'DB Details'!$A:$Q,7))</f>
        <v/>
      </c>
      <c r="H20" s="52">
        <f>IF(VLOOKUP(Table91213[[#This Row],[Date]],'DB Details'!$A:$Q,8)=0,"",VLOOKUP(Table91213[[#This Row],[Date]],'DB Details'!$A:$Q,8))</f>
        <v/>
      </c>
      <c r="I20" s="52">
        <f>IF(VLOOKUP(Table91213[[#This Row],[Date]],'DB Details'!$A:$Q,9)=0,"",VLOOKUP(Table91213[[#This Row],[Date]],'DB Details'!$A:$Q,9))</f>
        <v/>
      </c>
      <c r="J20" s="52">
        <f>IF(VLOOKUP(Table91213[[#This Row],[Date]],'DB Details'!$A:$Q,10)=0,"",VLOOKUP(Table91213[[#This Row],[Date]],'DB Details'!$A:$Q,10))</f>
        <v/>
      </c>
      <c r="K20" s="52">
        <f>IF(VLOOKUP(Table91213[[#This Row],[Date]],'DB Details'!$A:$Q,11)=0,"",VLOOKUP(Table91213[[#This Row],[Date]],'DB Details'!$A:$Q,11))</f>
        <v/>
      </c>
      <c r="L20" s="50">
        <f>IF(VLOOKUP(Table91213[[#This Row],[Date]],'DB Details'!$A:$Q,12)=0,"",VLOOKUP(Table91213[[#This Row],[Date]],'DB Details'!$A:$Q,12))</f>
        <v/>
      </c>
    </row>
    <row r="21">
      <c r="A21" s="53" t="n">
        <v>36069</v>
      </c>
      <c r="B21" s="50">
        <f>IF(VLOOKUP(Table91213[[#This Row],[Date]],'DB Details'!$A:$Q,2)=0,"",VLOOKUP(Table91213[[#This Row],[Date]],'DB Details'!$A:$Q,2))</f>
        <v/>
      </c>
      <c r="C21" s="51">
        <f>IF(VLOOKUP(Table91213[[#This Row],[Date]],'DB Details'!$A:$Q,3)=0,"",VLOOKUP(Table91213[[#This Row],[Date]],'DB Details'!$A:$Q,3))</f>
        <v/>
      </c>
      <c r="D21" s="51">
        <f>IF(VLOOKUP(Table91213[[#This Row],[Date]],'DB Details'!$A:$Q,4)=0,"",VLOOKUP(Table91213[[#This Row],[Date]],'DB Details'!$A:$Q,4))</f>
        <v/>
      </c>
      <c r="E21" s="52">
        <f>IF(VLOOKUP(Table91213[[#This Row],[Date]],'DB Details'!$A:$Q,5)=0,"",VLOOKUP(Table91213[[#This Row],[Date]],'DB Details'!$A:$Q,5))</f>
        <v/>
      </c>
      <c r="F21" s="51">
        <f>IF(VLOOKUP(Table91213[[#This Row],[Date]],'DB Details'!$A:$Q,6)=0,"",VLOOKUP(Table91213[[#This Row],[Date]],'DB Details'!$A:$Q,6))</f>
        <v/>
      </c>
      <c r="G21" s="52">
        <f>IF(VLOOKUP(Table91213[[#This Row],[Date]],'DB Details'!$A:$Q,7)=0,"",VLOOKUP(Table91213[[#This Row],[Date]],'DB Details'!$A:$Q,7))</f>
        <v/>
      </c>
      <c r="H21" s="52">
        <f>IF(VLOOKUP(Table91213[[#This Row],[Date]],'DB Details'!$A:$Q,8)=0,"",VLOOKUP(Table91213[[#This Row],[Date]],'DB Details'!$A:$Q,8))</f>
        <v/>
      </c>
      <c r="I21" s="52">
        <f>IF(VLOOKUP(Table91213[[#This Row],[Date]],'DB Details'!$A:$Q,9)=0,"",VLOOKUP(Table91213[[#This Row],[Date]],'DB Details'!$A:$Q,9))</f>
        <v/>
      </c>
      <c r="J21" s="52">
        <f>IF(VLOOKUP(Table91213[[#This Row],[Date]],'DB Details'!$A:$Q,10)=0,"",VLOOKUP(Table91213[[#This Row],[Date]],'DB Details'!$A:$Q,10))</f>
        <v/>
      </c>
      <c r="K21" s="52">
        <f>IF(VLOOKUP(Table91213[[#This Row],[Date]],'DB Details'!$A:$Q,11)=0,"",VLOOKUP(Table91213[[#This Row],[Date]],'DB Details'!$A:$Q,11))</f>
        <v/>
      </c>
      <c r="L21" s="50">
        <f>IF(VLOOKUP(Table91213[[#This Row],[Date]],'DB Details'!$A:$Q,12)=0,"",VLOOKUP(Table91213[[#This Row],[Date]],'DB Details'!$A:$Q,12))</f>
        <v/>
      </c>
    </row>
    <row r="22">
      <c r="A22" s="53" t="n">
        <v>36100</v>
      </c>
      <c r="B22" s="50">
        <f>IF(VLOOKUP(Table91213[[#This Row],[Date]],'DB Details'!$A:$Q,2)=0,"",VLOOKUP(Table91213[[#This Row],[Date]],'DB Details'!$A:$Q,2))</f>
        <v/>
      </c>
      <c r="C22" s="51">
        <f>IF(VLOOKUP(Table91213[[#This Row],[Date]],'DB Details'!$A:$Q,3)=0,"",VLOOKUP(Table91213[[#This Row],[Date]],'DB Details'!$A:$Q,3))</f>
        <v/>
      </c>
      <c r="D22" s="51">
        <f>IF(VLOOKUP(Table91213[[#This Row],[Date]],'DB Details'!$A:$Q,4)=0,"",VLOOKUP(Table91213[[#This Row],[Date]],'DB Details'!$A:$Q,4))</f>
        <v/>
      </c>
      <c r="E22" s="52">
        <f>IF(VLOOKUP(Table91213[[#This Row],[Date]],'DB Details'!$A:$Q,5)=0,"",VLOOKUP(Table91213[[#This Row],[Date]],'DB Details'!$A:$Q,5))</f>
        <v/>
      </c>
      <c r="F22" s="51">
        <f>IF(VLOOKUP(Table91213[[#This Row],[Date]],'DB Details'!$A:$Q,6)=0,"",VLOOKUP(Table91213[[#This Row],[Date]],'DB Details'!$A:$Q,6))</f>
        <v/>
      </c>
      <c r="G22" s="52">
        <f>IF(VLOOKUP(Table91213[[#This Row],[Date]],'DB Details'!$A:$Q,7)=0,"",VLOOKUP(Table91213[[#This Row],[Date]],'DB Details'!$A:$Q,7))</f>
        <v/>
      </c>
      <c r="H22" s="52">
        <f>IF(VLOOKUP(Table91213[[#This Row],[Date]],'DB Details'!$A:$Q,8)=0,"",VLOOKUP(Table91213[[#This Row],[Date]],'DB Details'!$A:$Q,8))</f>
        <v/>
      </c>
      <c r="I22" s="52">
        <f>IF(VLOOKUP(Table91213[[#This Row],[Date]],'DB Details'!$A:$Q,9)=0,"",VLOOKUP(Table91213[[#This Row],[Date]],'DB Details'!$A:$Q,9))</f>
        <v/>
      </c>
      <c r="J22" s="52">
        <f>IF(VLOOKUP(Table91213[[#This Row],[Date]],'DB Details'!$A:$Q,10)=0,"",VLOOKUP(Table91213[[#This Row],[Date]],'DB Details'!$A:$Q,10))</f>
        <v/>
      </c>
      <c r="K22" s="52">
        <f>IF(VLOOKUP(Table91213[[#This Row],[Date]],'DB Details'!$A:$Q,11)=0,"",VLOOKUP(Table91213[[#This Row],[Date]],'DB Details'!$A:$Q,11))</f>
        <v/>
      </c>
      <c r="L22" s="50">
        <f>IF(VLOOKUP(Table91213[[#This Row],[Date]],'DB Details'!$A:$Q,12)=0,"",VLOOKUP(Table91213[[#This Row],[Date]],'DB Details'!$A:$Q,12))</f>
        <v/>
      </c>
    </row>
    <row r="23">
      <c r="A23" s="53" t="n">
        <v>36130</v>
      </c>
      <c r="B23" s="50">
        <f>IF(VLOOKUP(Table91213[[#This Row],[Date]],'DB Details'!$A:$Q,2)=0,"",VLOOKUP(Table91213[[#This Row],[Date]],'DB Details'!$A:$Q,2))</f>
        <v/>
      </c>
      <c r="C23" s="51">
        <f>IF(VLOOKUP(Table91213[[#This Row],[Date]],'DB Details'!$A:$Q,3)=0,"",VLOOKUP(Table91213[[#This Row],[Date]],'DB Details'!$A:$Q,3))</f>
        <v/>
      </c>
      <c r="D23" s="51">
        <f>IF(VLOOKUP(Table91213[[#This Row],[Date]],'DB Details'!$A:$Q,4)=0,"",VLOOKUP(Table91213[[#This Row],[Date]],'DB Details'!$A:$Q,4))</f>
        <v/>
      </c>
      <c r="E23" s="52">
        <f>IF(VLOOKUP(Table91213[[#This Row],[Date]],'DB Details'!$A:$Q,5)=0,"",VLOOKUP(Table91213[[#This Row],[Date]],'DB Details'!$A:$Q,5))</f>
        <v/>
      </c>
      <c r="F23" s="51">
        <f>IF(VLOOKUP(Table91213[[#This Row],[Date]],'DB Details'!$A:$Q,6)=0,"",VLOOKUP(Table91213[[#This Row],[Date]],'DB Details'!$A:$Q,6))</f>
        <v/>
      </c>
      <c r="G23" s="52">
        <f>IF(VLOOKUP(Table91213[[#This Row],[Date]],'DB Details'!$A:$Q,7)=0,"",VLOOKUP(Table91213[[#This Row],[Date]],'DB Details'!$A:$Q,7))</f>
        <v/>
      </c>
      <c r="H23" s="52">
        <f>IF(VLOOKUP(Table91213[[#This Row],[Date]],'DB Details'!$A:$Q,8)=0,"",VLOOKUP(Table91213[[#This Row],[Date]],'DB Details'!$A:$Q,8))</f>
        <v/>
      </c>
      <c r="I23" s="52">
        <f>IF(VLOOKUP(Table91213[[#This Row],[Date]],'DB Details'!$A:$Q,9)=0,"",VLOOKUP(Table91213[[#This Row],[Date]],'DB Details'!$A:$Q,9))</f>
        <v/>
      </c>
      <c r="J23" s="52">
        <f>IF(VLOOKUP(Table91213[[#This Row],[Date]],'DB Details'!$A:$Q,10)=0,"",VLOOKUP(Table91213[[#This Row],[Date]],'DB Details'!$A:$Q,10))</f>
        <v/>
      </c>
      <c r="K23" s="52">
        <f>IF(VLOOKUP(Table91213[[#This Row],[Date]],'DB Details'!$A:$Q,11)=0,"",VLOOKUP(Table91213[[#This Row],[Date]],'DB Details'!$A:$Q,11))</f>
        <v/>
      </c>
      <c r="L23" s="50">
        <f>IF(VLOOKUP(Table91213[[#This Row],[Date]],'DB Details'!$A:$Q,12)=0,"",VLOOKUP(Table91213[[#This Row],[Date]],'DB Details'!$A:$Q,12))</f>
        <v/>
      </c>
    </row>
    <row r="24">
      <c r="A24" s="53" t="n">
        <v>36161</v>
      </c>
      <c r="B24" s="50">
        <f>IF(VLOOKUP(Table91213[[#This Row],[Date]],'DB Details'!$A:$Q,2)=0,"",VLOOKUP(Table91213[[#This Row],[Date]],'DB Details'!$A:$Q,2))</f>
        <v/>
      </c>
      <c r="C24" s="51">
        <f>IF(VLOOKUP(Table91213[[#This Row],[Date]],'DB Details'!$A:$Q,3)=0,"",VLOOKUP(Table91213[[#This Row],[Date]],'DB Details'!$A:$Q,3))</f>
        <v/>
      </c>
      <c r="D24" s="51">
        <f>IF(VLOOKUP(Table91213[[#This Row],[Date]],'DB Details'!$A:$Q,4)=0,"",VLOOKUP(Table91213[[#This Row],[Date]],'DB Details'!$A:$Q,4))</f>
        <v/>
      </c>
      <c r="E24" s="52">
        <f>IF(VLOOKUP(Table91213[[#This Row],[Date]],'DB Details'!$A:$Q,5)=0,"",VLOOKUP(Table91213[[#This Row],[Date]],'DB Details'!$A:$Q,5))</f>
        <v/>
      </c>
      <c r="F24" s="51">
        <f>IF(VLOOKUP(Table91213[[#This Row],[Date]],'DB Details'!$A:$Q,6)=0,"",VLOOKUP(Table91213[[#This Row],[Date]],'DB Details'!$A:$Q,6))</f>
        <v/>
      </c>
      <c r="G24" s="52">
        <f>IF(VLOOKUP(Table91213[[#This Row],[Date]],'DB Details'!$A:$Q,7)=0,"",VLOOKUP(Table91213[[#This Row],[Date]],'DB Details'!$A:$Q,7))</f>
        <v/>
      </c>
      <c r="H24" s="52">
        <f>IF(VLOOKUP(Table91213[[#This Row],[Date]],'DB Details'!$A:$Q,8)=0,"",VLOOKUP(Table91213[[#This Row],[Date]],'DB Details'!$A:$Q,8))</f>
        <v/>
      </c>
      <c r="I24" s="52">
        <f>IF(VLOOKUP(Table91213[[#This Row],[Date]],'DB Details'!$A:$Q,9)=0,"",VLOOKUP(Table91213[[#This Row],[Date]],'DB Details'!$A:$Q,9))</f>
        <v/>
      </c>
      <c r="J24" s="52">
        <f>IF(VLOOKUP(Table91213[[#This Row],[Date]],'DB Details'!$A:$Q,10)=0,"",VLOOKUP(Table91213[[#This Row],[Date]],'DB Details'!$A:$Q,10))</f>
        <v/>
      </c>
      <c r="K24" s="52">
        <f>IF(VLOOKUP(Table91213[[#This Row],[Date]],'DB Details'!$A:$Q,11)=0,"",VLOOKUP(Table91213[[#This Row],[Date]],'DB Details'!$A:$Q,11))</f>
        <v/>
      </c>
      <c r="L24" s="50">
        <f>IF(VLOOKUP(Table91213[[#This Row],[Date]],'DB Details'!$A:$Q,12)=0,"",VLOOKUP(Table91213[[#This Row],[Date]],'DB Details'!$A:$Q,12))</f>
        <v/>
      </c>
    </row>
    <row r="25">
      <c r="A25" s="53" t="n">
        <v>36192</v>
      </c>
      <c r="B25" s="50">
        <f>IF(VLOOKUP(Table91213[[#This Row],[Date]],'DB Details'!$A:$Q,2)=0,"",VLOOKUP(Table91213[[#This Row],[Date]],'DB Details'!$A:$Q,2))</f>
        <v/>
      </c>
      <c r="C25" s="51">
        <f>IF(VLOOKUP(Table91213[[#This Row],[Date]],'DB Details'!$A:$Q,3)=0,"",VLOOKUP(Table91213[[#This Row],[Date]],'DB Details'!$A:$Q,3))</f>
        <v/>
      </c>
      <c r="D25" s="51">
        <f>IF(VLOOKUP(Table91213[[#This Row],[Date]],'DB Details'!$A:$Q,4)=0,"",VLOOKUP(Table91213[[#This Row],[Date]],'DB Details'!$A:$Q,4))</f>
        <v/>
      </c>
      <c r="E25" s="52">
        <f>IF(VLOOKUP(Table91213[[#This Row],[Date]],'DB Details'!$A:$Q,5)=0,"",VLOOKUP(Table91213[[#This Row],[Date]],'DB Details'!$A:$Q,5))</f>
        <v/>
      </c>
      <c r="F25" s="51">
        <f>IF(VLOOKUP(Table91213[[#This Row],[Date]],'DB Details'!$A:$Q,6)=0,"",VLOOKUP(Table91213[[#This Row],[Date]],'DB Details'!$A:$Q,6))</f>
        <v/>
      </c>
      <c r="G25" s="52">
        <f>IF(VLOOKUP(Table91213[[#This Row],[Date]],'DB Details'!$A:$Q,7)=0,"",VLOOKUP(Table91213[[#This Row],[Date]],'DB Details'!$A:$Q,7))</f>
        <v/>
      </c>
      <c r="H25" s="52">
        <f>IF(VLOOKUP(Table91213[[#This Row],[Date]],'DB Details'!$A:$Q,8)=0,"",VLOOKUP(Table91213[[#This Row],[Date]],'DB Details'!$A:$Q,8))</f>
        <v/>
      </c>
      <c r="I25" s="52">
        <f>IF(VLOOKUP(Table91213[[#This Row],[Date]],'DB Details'!$A:$Q,9)=0,"",VLOOKUP(Table91213[[#This Row],[Date]],'DB Details'!$A:$Q,9))</f>
        <v/>
      </c>
      <c r="J25" s="52">
        <f>IF(VLOOKUP(Table91213[[#This Row],[Date]],'DB Details'!$A:$Q,10)=0,"",VLOOKUP(Table91213[[#This Row],[Date]],'DB Details'!$A:$Q,10))</f>
        <v/>
      </c>
      <c r="K25" s="52">
        <f>IF(VLOOKUP(Table91213[[#This Row],[Date]],'DB Details'!$A:$Q,11)=0,"",VLOOKUP(Table91213[[#This Row],[Date]],'DB Details'!$A:$Q,11))</f>
        <v/>
      </c>
      <c r="L25" s="50">
        <f>IF(VLOOKUP(Table91213[[#This Row],[Date]],'DB Details'!$A:$Q,12)=0,"",VLOOKUP(Table91213[[#This Row],[Date]],'DB Details'!$A:$Q,12))</f>
        <v/>
      </c>
    </row>
    <row r="26">
      <c r="A26" s="53" t="n">
        <v>36220</v>
      </c>
      <c r="B26" s="50">
        <f>IF(VLOOKUP(Table91213[[#This Row],[Date]],'DB Details'!$A:$Q,2)=0,"",VLOOKUP(Table91213[[#This Row],[Date]],'DB Details'!$A:$Q,2))</f>
        <v/>
      </c>
      <c r="C26" s="51">
        <f>IF(VLOOKUP(Table91213[[#This Row],[Date]],'DB Details'!$A:$Q,3)=0,"",VLOOKUP(Table91213[[#This Row],[Date]],'DB Details'!$A:$Q,3))</f>
        <v/>
      </c>
      <c r="D26" s="51">
        <f>IF(VLOOKUP(Table91213[[#This Row],[Date]],'DB Details'!$A:$Q,4)=0,"",VLOOKUP(Table91213[[#This Row],[Date]],'DB Details'!$A:$Q,4))</f>
        <v/>
      </c>
      <c r="E26" s="52">
        <f>IF(VLOOKUP(Table91213[[#This Row],[Date]],'DB Details'!$A:$Q,5)=0,"",VLOOKUP(Table91213[[#This Row],[Date]],'DB Details'!$A:$Q,5))</f>
        <v/>
      </c>
      <c r="F26" s="51">
        <f>IF(VLOOKUP(Table91213[[#This Row],[Date]],'DB Details'!$A:$Q,6)=0,"",VLOOKUP(Table91213[[#This Row],[Date]],'DB Details'!$A:$Q,6))</f>
        <v/>
      </c>
      <c r="G26" s="52">
        <f>IF(VLOOKUP(Table91213[[#This Row],[Date]],'DB Details'!$A:$Q,7)=0,"",VLOOKUP(Table91213[[#This Row],[Date]],'DB Details'!$A:$Q,7))</f>
        <v/>
      </c>
      <c r="H26" s="52">
        <f>IF(VLOOKUP(Table91213[[#This Row],[Date]],'DB Details'!$A:$Q,8)=0,"",VLOOKUP(Table91213[[#This Row],[Date]],'DB Details'!$A:$Q,8))</f>
        <v/>
      </c>
      <c r="I26" s="52">
        <f>IF(VLOOKUP(Table91213[[#This Row],[Date]],'DB Details'!$A:$Q,9)=0,"",VLOOKUP(Table91213[[#This Row],[Date]],'DB Details'!$A:$Q,9))</f>
        <v/>
      </c>
      <c r="J26" s="52">
        <f>IF(VLOOKUP(Table91213[[#This Row],[Date]],'DB Details'!$A:$Q,10)=0,"",VLOOKUP(Table91213[[#This Row],[Date]],'DB Details'!$A:$Q,10))</f>
        <v/>
      </c>
      <c r="K26" s="52">
        <f>IF(VLOOKUP(Table91213[[#This Row],[Date]],'DB Details'!$A:$Q,11)=0,"",VLOOKUP(Table91213[[#This Row],[Date]],'DB Details'!$A:$Q,11))</f>
        <v/>
      </c>
      <c r="L26" s="50">
        <f>IF(VLOOKUP(Table91213[[#This Row],[Date]],'DB Details'!$A:$Q,12)=0,"",VLOOKUP(Table91213[[#This Row],[Date]],'DB Details'!$A:$Q,12))</f>
        <v/>
      </c>
    </row>
    <row r="27">
      <c r="A27" s="53" t="n">
        <v>36251</v>
      </c>
      <c r="B27" s="50">
        <f>IF(VLOOKUP(Table91213[[#This Row],[Date]],'DB Details'!$A:$Q,2)=0,"",VLOOKUP(Table91213[[#This Row],[Date]],'DB Details'!$A:$Q,2))</f>
        <v/>
      </c>
      <c r="C27" s="51">
        <f>IF(VLOOKUP(Table91213[[#This Row],[Date]],'DB Details'!$A:$Q,3)=0,"",VLOOKUP(Table91213[[#This Row],[Date]],'DB Details'!$A:$Q,3))</f>
        <v/>
      </c>
      <c r="D27" s="51">
        <f>IF(VLOOKUP(Table91213[[#This Row],[Date]],'DB Details'!$A:$Q,4)=0,"",VLOOKUP(Table91213[[#This Row],[Date]],'DB Details'!$A:$Q,4))</f>
        <v/>
      </c>
      <c r="E27" s="52">
        <f>IF(VLOOKUP(Table91213[[#This Row],[Date]],'DB Details'!$A:$Q,5)=0,"",VLOOKUP(Table91213[[#This Row],[Date]],'DB Details'!$A:$Q,5))</f>
        <v/>
      </c>
      <c r="F27" s="51">
        <f>IF(VLOOKUP(Table91213[[#This Row],[Date]],'DB Details'!$A:$Q,6)=0,"",VLOOKUP(Table91213[[#This Row],[Date]],'DB Details'!$A:$Q,6))</f>
        <v/>
      </c>
      <c r="G27" s="52">
        <f>IF(VLOOKUP(Table91213[[#This Row],[Date]],'DB Details'!$A:$Q,7)=0,"",VLOOKUP(Table91213[[#This Row],[Date]],'DB Details'!$A:$Q,7))</f>
        <v/>
      </c>
      <c r="H27" s="52">
        <f>IF(VLOOKUP(Table91213[[#This Row],[Date]],'DB Details'!$A:$Q,8)=0,"",VLOOKUP(Table91213[[#This Row],[Date]],'DB Details'!$A:$Q,8))</f>
        <v/>
      </c>
      <c r="I27" s="52">
        <f>IF(VLOOKUP(Table91213[[#This Row],[Date]],'DB Details'!$A:$Q,9)=0,"",VLOOKUP(Table91213[[#This Row],[Date]],'DB Details'!$A:$Q,9))</f>
        <v/>
      </c>
      <c r="J27" s="52">
        <f>IF(VLOOKUP(Table91213[[#This Row],[Date]],'DB Details'!$A:$Q,10)=0,"",VLOOKUP(Table91213[[#This Row],[Date]],'DB Details'!$A:$Q,10))</f>
        <v/>
      </c>
      <c r="K27" s="52">
        <f>IF(VLOOKUP(Table91213[[#This Row],[Date]],'DB Details'!$A:$Q,11)=0,"",VLOOKUP(Table91213[[#This Row],[Date]],'DB Details'!$A:$Q,11))</f>
        <v/>
      </c>
      <c r="L27" s="50">
        <f>IF(VLOOKUP(Table91213[[#This Row],[Date]],'DB Details'!$A:$Q,12)=0,"",VLOOKUP(Table91213[[#This Row],[Date]],'DB Details'!$A:$Q,12))</f>
        <v/>
      </c>
    </row>
    <row r="28">
      <c r="A28" s="53" t="n">
        <v>36281</v>
      </c>
      <c r="B28" s="50">
        <f>IF(VLOOKUP(Table91213[[#This Row],[Date]],'DB Details'!$A:$Q,2)=0,"",VLOOKUP(Table91213[[#This Row],[Date]],'DB Details'!$A:$Q,2))</f>
        <v/>
      </c>
      <c r="C28" s="51">
        <f>IF(VLOOKUP(Table91213[[#This Row],[Date]],'DB Details'!$A:$Q,3)=0,"",VLOOKUP(Table91213[[#This Row],[Date]],'DB Details'!$A:$Q,3))</f>
        <v/>
      </c>
      <c r="D28" s="51">
        <f>IF(VLOOKUP(Table91213[[#This Row],[Date]],'DB Details'!$A:$Q,4)=0,"",VLOOKUP(Table91213[[#This Row],[Date]],'DB Details'!$A:$Q,4))</f>
        <v/>
      </c>
      <c r="E28" s="52">
        <f>IF(VLOOKUP(Table91213[[#This Row],[Date]],'DB Details'!$A:$Q,5)=0,"",VLOOKUP(Table91213[[#This Row],[Date]],'DB Details'!$A:$Q,5))</f>
        <v/>
      </c>
      <c r="F28" s="51">
        <f>IF(VLOOKUP(Table91213[[#This Row],[Date]],'DB Details'!$A:$Q,6)=0,"",VLOOKUP(Table91213[[#This Row],[Date]],'DB Details'!$A:$Q,6))</f>
        <v/>
      </c>
      <c r="G28" s="52">
        <f>IF(VLOOKUP(Table91213[[#This Row],[Date]],'DB Details'!$A:$Q,7)=0,"",VLOOKUP(Table91213[[#This Row],[Date]],'DB Details'!$A:$Q,7))</f>
        <v/>
      </c>
      <c r="H28" s="52">
        <f>IF(VLOOKUP(Table91213[[#This Row],[Date]],'DB Details'!$A:$Q,8)=0,"",VLOOKUP(Table91213[[#This Row],[Date]],'DB Details'!$A:$Q,8))</f>
        <v/>
      </c>
      <c r="I28" s="52">
        <f>IF(VLOOKUP(Table91213[[#This Row],[Date]],'DB Details'!$A:$Q,9)=0,"",VLOOKUP(Table91213[[#This Row],[Date]],'DB Details'!$A:$Q,9))</f>
        <v/>
      </c>
      <c r="J28" s="52">
        <f>IF(VLOOKUP(Table91213[[#This Row],[Date]],'DB Details'!$A:$Q,10)=0,"",VLOOKUP(Table91213[[#This Row],[Date]],'DB Details'!$A:$Q,10))</f>
        <v/>
      </c>
      <c r="K28" s="52">
        <f>IF(VLOOKUP(Table91213[[#This Row],[Date]],'DB Details'!$A:$Q,11)=0,"",VLOOKUP(Table91213[[#This Row],[Date]],'DB Details'!$A:$Q,11))</f>
        <v/>
      </c>
      <c r="L28" s="50">
        <f>IF(VLOOKUP(Table91213[[#This Row],[Date]],'DB Details'!$A:$Q,12)=0,"",VLOOKUP(Table91213[[#This Row],[Date]],'DB Details'!$A:$Q,12))</f>
        <v/>
      </c>
    </row>
    <row r="29">
      <c r="A29" s="53" t="n">
        <v>36312</v>
      </c>
      <c r="B29" s="50">
        <f>IF(VLOOKUP(Table91213[[#This Row],[Date]],'DB Details'!$A:$Q,2)=0,"",VLOOKUP(Table91213[[#This Row],[Date]],'DB Details'!$A:$Q,2))</f>
        <v/>
      </c>
      <c r="C29" s="51">
        <f>IF(VLOOKUP(Table91213[[#This Row],[Date]],'DB Details'!$A:$Q,3)=0,"",VLOOKUP(Table91213[[#This Row],[Date]],'DB Details'!$A:$Q,3))</f>
        <v/>
      </c>
      <c r="D29" s="51">
        <f>IF(VLOOKUP(Table91213[[#This Row],[Date]],'DB Details'!$A:$Q,4)=0,"",VLOOKUP(Table91213[[#This Row],[Date]],'DB Details'!$A:$Q,4))</f>
        <v/>
      </c>
      <c r="E29" s="52">
        <f>IF(VLOOKUP(Table91213[[#This Row],[Date]],'DB Details'!$A:$Q,5)=0,"",VLOOKUP(Table91213[[#This Row],[Date]],'DB Details'!$A:$Q,5))</f>
        <v/>
      </c>
      <c r="F29" s="51">
        <f>IF(VLOOKUP(Table91213[[#This Row],[Date]],'DB Details'!$A:$Q,6)=0,"",VLOOKUP(Table91213[[#This Row],[Date]],'DB Details'!$A:$Q,6))</f>
        <v/>
      </c>
      <c r="G29" s="52">
        <f>IF(VLOOKUP(Table91213[[#This Row],[Date]],'DB Details'!$A:$Q,7)=0,"",VLOOKUP(Table91213[[#This Row],[Date]],'DB Details'!$A:$Q,7))</f>
        <v/>
      </c>
      <c r="H29" s="52">
        <f>IF(VLOOKUP(Table91213[[#This Row],[Date]],'DB Details'!$A:$Q,8)=0,"",VLOOKUP(Table91213[[#This Row],[Date]],'DB Details'!$A:$Q,8))</f>
        <v/>
      </c>
      <c r="I29" s="52">
        <f>IF(VLOOKUP(Table91213[[#This Row],[Date]],'DB Details'!$A:$Q,9)=0,"",VLOOKUP(Table91213[[#This Row],[Date]],'DB Details'!$A:$Q,9))</f>
        <v/>
      </c>
      <c r="J29" s="52">
        <f>IF(VLOOKUP(Table91213[[#This Row],[Date]],'DB Details'!$A:$Q,10)=0,"",VLOOKUP(Table91213[[#This Row],[Date]],'DB Details'!$A:$Q,10))</f>
        <v/>
      </c>
      <c r="K29" s="52">
        <f>IF(VLOOKUP(Table91213[[#This Row],[Date]],'DB Details'!$A:$Q,11)=0,"",VLOOKUP(Table91213[[#This Row],[Date]],'DB Details'!$A:$Q,11))</f>
        <v/>
      </c>
      <c r="L29" s="50">
        <f>IF(VLOOKUP(Table91213[[#This Row],[Date]],'DB Details'!$A:$Q,12)=0,"",VLOOKUP(Table91213[[#This Row],[Date]],'DB Details'!$A:$Q,12))</f>
        <v/>
      </c>
    </row>
    <row r="30">
      <c r="A30" s="53" t="n">
        <v>36342</v>
      </c>
      <c r="B30" s="50">
        <f>IF(VLOOKUP(Table91213[[#This Row],[Date]],'DB Details'!$A:$Q,2)=0,"",VLOOKUP(Table91213[[#This Row],[Date]],'DB Details'!$A:$Q,2))</f>
        <v/>
      </c>
      <c r="C30" s="51">
        <f>IF(VLOOKUP(Table91213[[#This Row],[Date]],'DB Details'!$A:$Q,3)=0,"",VLOOKUP(Table91213[[#This Row],[Date]],'DB Details'!$A:$Q,3))</f>
        <v/>
      </c>
      <c r="D30" s="51">
        <f>IF(VLOOKUP(Table91213[[#This Row],[Date]],'DB Details'!$A:$Q,4)=0,"",VLOOKUP(Table91213[[#This Row],[Date]],'DB Details'!$A:$Q,4))</f>
        <v/>
      </c>
      <c r="E30" s="52">
        <f>IF(VLOOKUP(Table91213[[#This Row],[Date]],'DB Details'!$A:$Q,5)=0,"",VLOOKUP(Table91213[[#This Row],[Date]],'DB Details'!$A:$Q,5))</f>
        <v/>
      </c>
      <c r="F30" s="51">
        <f>IF(VLOOKUP(Table91213[[#This Row],[Date]],'DB Details'!$A:$Q,6)=0,"",VLOOKUP(Table91213[[#This Row],[Date]],'DB Details'!$A:$Q,6))</f>
        <v/>
      </c>
      <c r="G30" s="52">
        <f>IF(VLOOKUP(Table91213[[#This Row],[Date]],'DB Details'!$A:$Q,7)=0,"",VLOOKUP(Table91213[[#This Row],[Date]],'DB Details'!$A:$Q,7))</f>
        <v/>
      </c>
      <c r="H30" s="52">
        <f>IF(VLOOKUP(Table91213[[#This Row],[Date]],'DB Details'!$A:$Q,8)=0,"",VLOOKUP(Table91213[[#This Row],[Date]],'DB Details'!$A:$Q,8))</f>
        <v/>
      </c>
      <c r="I30" s="52">
        <f>IF(VLOOKUP(Table91213[[#This Row],[Date]],'DB Details'!$A:$Q,9)=0,"",VLOOKUP(Table91213[[#This Row],[Date]],'DB Details'!$A:$Q,9))</f>
        <v/>
      </c>
      <c r="J30" s="52">
        <f>IF(VLOOKUP(Table91213[[#This Row],[Date]],'DB Details'!$A:$Q,10)=0,"",VLOOKUP(Table91213[[#This Row],[Date]],'DB Details'!$A:$Q,10))</f>
        <v/>
      </c>
      <c r="K30" s="52">
        <f>IF(VLOOKUP(Table91213[[#This Row],[Date]],'DB Details'!$A:$Q,11)=0,"",VLOOKUP(Table91213[[#This Row],[Date]],'DB Details'!$A:$Q,11))</f>
        <v/>
      </c>
      <c r="L30" s="50">
        <f>IF(VLOOKUP(Table91213[[#This Row],[Date]],'DB Details'!$A:$Q,12)=0,"",VLOOKUP(Table91213[[#This Row],[Date]],'DB Details'!$A:$Q,12))</f>
        <v/>
      </c>
    </row>
    <row r="31">
      <c r="A31" s="53" t="n">
        <v>36373</v>
      </c>
      <c r="B31" s="50">
        <f>IF(VLOOKUP(Table91213[[#This Row],[Date]],'DB Details'!$A:$Q,2)=0,"",VLOOKUP(Table91213[[#This Row],[Date]],'DB Details'!$A:$Q,2))</f>
        <v/>
      </c>
      <c r="C31" s="51">
        <f>IF(VLOOKUP(Table91213[[#This Row],[Date]],'DB Details'!$A:$Q,3)=0,"",VLOOKUP(Table91213[[#This Row],[Date]],'DB Details'!$A:$Q,3))</f>
        <v/>
      </c>
      <c r="D31" s="51">
        <f>IF(VLOOKUP(Table91213[[#This Row],[Date]],'DB Details'!$A:$Q,4)=0,"",VLOOKUP(Table91213[[#This Row],[Date]],'DB Details'!$A:$Q,4))</f>
        <v/>
      </c>
      <c r="E31" s="52">
        <f>IF(VLOOKUP(Table91213[[#This Row],[Date]],'DB Details'!$A:$Q,5)=0,"",VLOOKUP(Table91213[[#This Row],[Date]],'DB Details'!$A:$Q,5))</f>
        <v/>
      </c>
      <c r="F31" s="51">
        <f>IF(VLOOKUP(Table91213[[#This Row],[Date]],'DB Details'!$A:$Q,6)=0,"",VLOOKUP(Table91213[[#This Row],[Date]],'DB Details'!$A:$Q,6))</f>
        <v/>
      </c>
      <c r="G31" s="52">
        <f>IF(VLOOKUP(Table91213[[#This Row],[Date]],'DB Details'!$A:$Q,7)=0,"",VLOOKUP(Table91213[[#This Row],[Date]],'DB Details'!$A:$Q,7))</f>
        <v/>
      </c>
      <c r="H31" s="52">
        <f>IF(VLOOKUP(Table91213[[#This Row],[Date]],'DB Details'!$A:$Q,8)=0,"",VLOOKUP(Table91213[[#This Row],[Date]],'DB Details'!$A:$Q,8))</f>
        <v/>
      </c>
      <c r="I31" s="52">
        <f>IF(VLOOKUP(Table91213[[#This Row],[Date]],'DB Details'!$A:$Q,9)=0,"",VLOOKUP(Table91213[[#This Row],[Date]],'DB Details'!$A:$Q,9))</f>
        <v/>
      </c>
      <c r="J31" s="52">
        <f>IF(VLOOKUP(Table91213[[#This Row],[Date]],'DB Details'!$A:$Q,10)=0,"",VLOOKUP(Table91213[[#This Row],[Date]],'DB Details'!$A:$Q,10))</f>
        <v/>
      </c>
      <c r="K31" s="52">
        <f>IF(VLOOKUP(Table91213[[#This Row],[Date]],'DB Details'!$A:$Q,11)=0,"",VLOOKUP(Table91213[[#This Row],[Date]],'DB Details'!$A:$Q,11))</f>
        <v/>
      </c>
      <c r="L31" s="50">
        <f>IF(VLOOKUP(Table91213[[#This Row],[Date]],'DB Details'!$A:$Q,12)=0,"",VLOOKUP(Table91213[[#This Row],[Date]],'DB Details'!$A:$Q,12))</f>
        <v/>
      </c>
    </row>
    <row r="32">
      <c r="A32" s="53" t="n">
        <v>36404</v>
      </c>
      <c r="B32" s="50">
        <f>IF(VLOOKUP(Table91213[[#This Row],[Date]],'DB Details'!$A:$Q,2)=0,"",VLOOKUP(Table91213[[#This Row],[Date]],'DB Details'!$A:$Q,2))</f>
        <v/>
      </c>
      <c r="C32" s="51">
        <f>IF(VLOOKUP(Table91213[[#This Row],[Date]],'DB Details'!$A:$Q,3)=0,"",VLOOKUP(Table91213[[#This Row],[Date]],'DB Details'!$A:$Q,3))</f>
        <v/>
      </c>
      <c r="D32" s="51">
        <f>IF(VLOOKUP(Table91213[[#This Row],[Date]],'DB Details'!$A:$Q,4)=0,"",VLOOKUP(Table91213[[#This Row],[Date]],'DB Details'!$A:$Q,4))</f>
        <v/>
      </c>
      <c r="E32" s="52">
        <f>IF(VLOOKUP(Table91213[[#This Row],[Date]],'DB Details'!$A:$Q,5)=0,"",VLOOKUP(Table91213[[#This Row],[Date]],'DB Details'!$A:$Q,5))</f>
        <v/>
      </c>
      <c r="F32" s="51">
        <f>IF(VLOOKUP(Table91213[[#This Row],[Date]],'DB Details'!$A:$Q,6)=0,"",VLOOKUP(Table91213[[#This Row],[Date]],'DB Details'!$A:$Q,6))</f>
        <v/>
      </c>
      <c r="G32" s="52">
        <f>IF(VLOOKUP(Table91213[[#This Row],[Date]],'DB Details'!$A:$Q,7)=0,"",VLOOKUP(Table91213[[#This Row],[Date]],'DB Details'!$A:$Q,7))</f>
        <v/>
      </c>
      <c r="H32" s="52">
        <f>IF(VLOOKUP(Table91213[[#This Row],[Date]],'DB Details'!$A:$Q,8)=0,"",VLOOKUP(Table91213[[#This Row],[Date]],'DB Details'!$A:$Q,8))</f>
        <v/>
      </c>
      <c r="I32" s="52">
        <f>IF(VLOOKUP(Table91213[[#This Row],[Date]],'DB Details'!$A:$Q,9)=0,"",VLOOKUP(Table91213[[#This Row],[Date]],'DB Details'!$A:$Q,9))</f>
        <v/>
      </c>
      <c r="J32" s="52">
        <f>IF(VLOOKUP(Table91213[[#This Row],[Date]],'DB Details'!$A:$Q,10)=0,"",VLOOKUP(Table91213[[#This Row],[Date]],'DB Details'!$A:$Q,10))</f>
        <v/>
      </c>
      <c r="K32" s="52">
        <f>IF(VLOOKUP(Table91213[[#This Row],[Date]],'DB Details'!$A:$Q,11)=0,"",VLOOKUP(Table91213[[#This Row],[Date]],'DB Details'!$A:$Q,11))</f>
        <v/>
      </c>
      <c r="L32" s="50">
        <f>IF(VLOOKUP(Table91213[[#This Row],[Date]],'DB Details'!$A:$Q,12)=0,"",VLOOKUP(Table91213[[#This Row],[Date]],'DB Details'!$A:$Q,12))</f>
        <v/>
      </c>
    </row>
    <row r="33">
      <c r="A33" s="53" t="n">
        <v>36434</v>
      </c>
      <c r="B33" s="50">
        <f>IF(VLOOKUP(Table91213[[#This Row],[Date]],'DB Details'!$A:$Q,2)=0,"",VLOOKUP(Table91213[[#This Row],[Date]],'DB Details'!$A:$Q,2))</f>
        <v/>
      </c>
      <c r="C33" s="51">
        <f>IF(VLOOKUP(Table91213[[#This Row],[Date]],'DB Details'!$A:$Q,3)=0,"",VLOOKUP(Table91213[[#This Row],[Date]],'DB Details'!$A:$Q,3))</f>
        <v/>
      </c>
      <c r="D33" s="51">
        <f>IF(VLOOKUP(Table91213[[#This Row],[Date]],'DB Details'!$A:$Q,4)=0,"",VLOOKUP(Table91213[[#This Row],[Date]],'DB Details'!$A:$Q,4))</f>
        <v/>
      </c>
      <c r="E33" s="52">
        <f>IF(VLOOKUP(Table91213[[#This Row],[Date]],'DB Details'!$A:$Q,5)=0,"",VLOOKUP(Table91213[[#This Row],[Date]],'DB Details'!$A:$Q,5))</f>
        <v/>
      </c>
      <c r="F33" s="51">
        <f>IF(VLOOKUP(Table91213[[#This Row],[Date]],'DB Details'!$A:$Q,6)=0,"",VLOOKUP(Table91213[[#This Row],[Date]],'DB Details'!$A:$Q,6))</f>
        <v/>
      </c>
      <c r="G33" s="52">
        <f>IF(VLOOKUP(Table91213[[#This Row],[Date]],'DB Details'!$A:$Q,7)=0,"",VLOOKUP(Table91213[[#This Row],[Date]],'DB Details'!$A:$Q,7))</f>
        <v/>
      </c>
      <c r="H33" s="52">
        <f>IF(VLOOKUP(Table91213[[#This Row],[Date]],'DB Details'!$A:$Q,8)=0,"",VLOOKUP(Table91213[[#This Row],[Date]],'DB Details'!$A:$Q,8))</f>
        <v/>
      </c>
      <c r="I33" s="52">
        <f>IF(VLOOKUP(Table91213[[#This Row],[Date]],'DB Details'!$A:$Q,9)=0,"",VLOOKUP(Table91213[[#This Row],[Date]],'DB Details'!$A:$Q,9))</f>
        <v/>
      </c>
      <c r="J33" s="52">
        <f>IF(VLOOKUP(Table91213[[#This Row],[Date]],'DB Details'!$A:$Q,10)=0,"",VLOOKUP(Table91213[[#This Row],[Date]],'DB Details'!$A:$Q,10))</f>
        <v/>
      </c>
      <c r="K33" s="52">
        <f>IF(VLOOKUP(Table91213[[#This Row],[Date]],'DB Details'!$A:$Q,11)=0,"",VLOOKUP(Table91213[[#This Row],[Date]],'DB Details'!$A:$Q,11))</f>
        <v/>
      </c>
      <c r="L33" s="50">
        <f>IF(VLOOKUP(Table91213[[#This Row],[Date]],'DB Details'!$A:$Q,12)=0,"",VLOOKUP(Table91213[[#This Row],[Date]],'DB Details'!$A:$Q,12))</f>
        <v/>
      </c>
    </row>
    <row r="34">
      <c r="A34" s="53" t="n">
        <v>36465</v>
      </c>
      <c r="B34" s="50">
        <f>IF(VLOOKUP(Table91213[[#This Row],[Date]],'DB Details'!$A:$Q,2)=0,"",VLOOKUP(Table91213[[#This Row],[Date]],'DB Details'!$A:$Q,2))</f>
        <v/>
      </c>
      <c r="C34" s="51">
        <f>IF(VLOOKUP(Table91213[[#This Row],[Date]],'DB Details'!$A:$Q,3)=0,"",VLOOKUP(Table91213[[#This Row],[Date]],'DB Details'!$A:$Q,3))</f>
        <v/>
      </c>
      <c r="D34" s="51">
        <f>IF(VLOOKUP(Table91213[[#This Row],[Date]],'DB Details'!$A:$Q,4)=0,"",VLOOKUP(Table91213[[#This Row],[Date]],'DB Details'!$A:$Q,4))</f>
        <v/>
      </c>
      <c r="E34" s="52">
        <f>IF(VLOOKUP(Table91213[[#This Row],[Date]],'DB Details'!$A:$Q,5)=0,"",VLOOKUP(Table91213[[#This Row],[Date]],'DB Details'!$A:$Q,5))</f>
        <v/>
      </c>
      <c r="F34" s="51">
        <f>IF(VLOOKUP(Table91213[[#This Row],[Date]],'DB Details'!$A:$Q,6)=0,"",VLOOKUP(Table91213[[#This Row],[Date]],'DB Details'!$A:$Q,6))</f>
        <v/>
      </c>
      <c r="G34" s="52">
        <f>IF(VLOOKUP(Table91213[[#This Row],[Date]],'DB Details'!$A:$Q,7)=0,"",VLOOKUP(Table91213[[#This Row],[Date]],'DB Details'!$A:$Q,7))</f>
        <v/>
      </c>
      <c r="H34" s="52">
        <f>IF(VLOOKUP(Table91213[[#This Row],[Date]],'DB Details'!$A:$Q,8)=0,"",VLOOKUP(Table91213[[#This Row],[Date]],'DB Details'!$A:$Q,8))</f>
        <v/>
      </c>
      <c r="I34" s="52">
        <f>IF(VLOOKUP(Table91213[[#This Row],[Date]],'DB Details'!$A:$Q,9)=0,"",VLOOKUP(Table91213[[#This Row],[Date]],'DB Details'!$A:$Q,9))</f>
        <v/>
      </c>
      <c r="J34" s="52">
        <f>IF(VLOOKUP(Table91213[[#This Row],[Date]],'DB Details'!$A:$Q,10)=0,"",VLOOKUP(Table91213[[#This Row],[Date]],'DB Details'!$A:$Q,10))</f>
        <v/>
      </c>
      <c r="K34" s="52">
        <f>IF(VLOOKUP(Table91213[[#This Row],[Date]],'DB Details'!$A:$Q,11)=0,"",VLOOKUP(Table91213[[#This Row],[Date]],'DB Details'!$A:$Q,11))</f>
        <v/>
      </c>
      <c r="L34" s="50">
        <f>IF(VLOOKUP(Table91213[[#This Row],[Date]],'DB Details'!$A:$Q,12)=0,"",VLOOKUP(Table91213[[#This Row],[Date]],'DB Details'!$A:$Q,12))</f>
        <v/>
      </c>
    </row>
    <row r="35">
      <c r="A35" s="53" t="n">
        <v>36495</v>
      </c>
      <c r="B35" s="50">
        <f>IF(VLOOKUP(Table91213[[#This Row],[Date]],'DB Details'!$A:$Q,2)=0,"",VLOOKUP(Table91213[[#This Row],[Date]],'DB Details'!$A:$Q,2))</f>
        <v/>
      </c>
      <c r="C35" s="51">
        <f>IF(VLOOKUP(Table91213[[#This Row],[Date]],'DB Details'!$A:$Q,3)=0,"",VLOOKUP(Table91213[[#This Row],[Date]],'DB Details'!$A:$Q,3))</f>
        <v/>
      </c>
      <c r="D35" s="51">
        <f>IF(VLOOKUP(Table91213[[#This Row],[Date]],'DB Details'!$A:$Q,4)=0,"",VLOOKUP(Table91213[[#This Row],[Date]],'DB Details'!$A:$Q,4))</f>
        <v/>
      </c>
      <c r="E35" s="52">
        <f>IF(VLOOKUP(Table91213[[#This Row],[Date]],'DB Details'!$A:$Q,5)=0,"",VLOOKUP(Table91213[[#This Row],[Date]],'DB Details'!$A:$Q,5))</f>
        <v/>
      </c>
      <c r="F35" s="51">
        <f>IF(VLOOKUP(Table91213[[#This Row],[Date]],'DB Details'!$A:$Q,6)=0,"",VLOOKUP(Table91213[[#This Row],[Date]],'DB Details'!$A:$Q,6))</f>
        <v/>
      </c>
      <c r="G35" s="52">
        <f>IF(VLOOKUP(Table91213[[#This Row],[Date]],'DB Details'!$A:$Q,7)=0,"",VLOOKUP(Table91213[[#This Row],[Date]],'DB Details'!$A:$Q,7))</f>
        <v/>
      </c>
      <c r="H35" s="52">
        <f>IF(VLOOKUP(Table91213[[#This Row],[Date]],'DB Details'!$A:$Q,8)=0,"",VLOOKUP(Table91213[[#This Row],[Date]],'DB Details'!$A:$Q,8))</f>
        <v/>
      </c>
      <c r="I35" s="52">
        <f>IF(VLOOKUP(Table91213[[#This Row],[Date]],'DB Details'!$A:$Q,9)=0,"",VLOOKUP(Table91213[[#This Row],[Date]],'DB Details'!$A:$Q,9))</f>
        <v/>
      </c>
      <c r="J35" s="52">
        <f>IF(VLOOKUP(Table91213[[#This Row],[Date]],'DB Details'!$A:$Q,10)=0,"",VLOOKUP(Table91213[[#This Row],[Date]],'DB Details'!$A:$Q,10))</f>
        <v/>
      </c>
      <c r="K35" s="52">
        <f>IF(VLOOKUP(Table91213[[#This Row],[Date]],'DB Details'!$A:$Q,11)=0,"",VLOOKUP(Table91213[[#This Row],[Date]],'DB Details'!$A:$Q,11))</f>
        <v/>
      </c>
      <c r="L35" s="50">
        <f>IF(VLOOKUP(Table91213[[#This Row],[Date]],'DB Details'!$A:$Q,12)=0,"",VLOOKUP(Table91213[[#This Row],[Date]],'DB Details'!$A:$Q,12))</f>
        <v/>
      </c>
    </row>
    <row r="36">
      <c r="A36" s="53" t="n">
        <v>36526</v>
      </c>
      <c r="B36" s="50">
        <f>IF(VLOOKUP(Table91213[[#This Row],[Date]],'DB Details'!$A:$Q,2)=0,"",VLOOKUP(Table91213[[#This Row],[Date]],'DB Details'!$A:$Q,2))</f>
        <v/>
      </c>
      <c r="C36" s="51">
        <f>IF(VLOOKUP(Table91213[[#This Row],[Date]],'DB Details'!$A:$Q,3)=0,"",VLOOKUP(Table91213[[#This Row],[Date]],'DB Details'!$A:$Q,3))</f>
        <v/>
      </c>
      <c r="D36" s="51">
        <f>IF(VLOOKUP(Table91213[[#This Row],[Date]],'DB Details'!$A:$Q,4)=0,"",VLOOKUP(Table91213[[#This Row],[Date]],'DB Details'!$A:$Q,4))</f>
        <v/>
      </c>
      <c r="E36" s="52">
        <f>IF(VLOOKUP(Table91213[[#This Row],[Date]],'DB Details'!$A:$Q,5)=0,"",VLOOKUP(Table91213[[#This Row],[Date]],'DB Details'!$A:$Q,5))</f>
        <v/>
      </c>
      <c r="F36" s="51">
        <f>IF(VLOOKUP(Table91213[[#This Row],[Date]],'DB Details'!$A:$Q,6)=0,"",VLOOKUP(Table91213[[#This Row],[Date]],'DB Details'!$A:$Q,6))</f>
        <v/>
      </c>
      <c r="G36" s="52">
        <f>IF(VLOOKUP(Table91213[[#This Row],[Date]],'DB Details'!$A:$Q,7)=0,"",VLOOKUP(Table91213[[#This Row],[Date]],'DB Details'!$A:$Q,7))</f>
        <v/>
      </c>
      <c r="H36" s="52">
        <f>IF(VLOOKUP(Table91213[[#This Row],[Date]],'DB Details'!$A:$Q,8)=0,"",VLOOKUP(Table91213[[#This Row],[Date]],'DB Details'!$A:$Q,8))</f>
        <v/>
      </c>
      <c r="I36" s="52">
        <f>IF(VLOOKUP(Table91213[[#This Row],[Date]],'DB Details'!$A:$Q,9)=0,"",VLOOKUP(Table91213[[#This Row],[Date]],'DB Details'!$A:$Q,9))</f>
        <v/>
      </c>
      <c r="J36" s="52">
        <f>IF(VLOOKUP(Table91213[[#This Row],[Date]],'DB Details'!$A:$Q,10)=0,"",VLOOKUP(Table91213[[#This Row],[Date]],'DB Details'!$A:$Q,10))</f>
        <v/>
      </c>
      <c r="K36" s="52">
        <f>IF(VLOOKUP(Table91213[[#This Row],[Date]],'DB Details'!$A:$Q,11)=0,"",VLOOKUP(Table91213[[#This Row],[Date]],'DB Details'!$A:$Q,11))</f>
        <v/>
      </c>
      <c r="L36" s="50">
        <f>IF(VLOOKUP(Table91213[[#This Row],[Date]],'DB Details'!$A:$Q,12)=0,"",VLOOKUP(Table91213[[#This Row],[Date]],'DB Details'!$A:$Q,12))</f>
        <v/>
      </c>
    </row>
    <row r="37">
      <c r="A37" s="53" t="n">
        <v>36557</v>
      </c>
      <c r="B37" s="50">
        <f>IF(VLOOKUP(Table91213[[#This Row],[Date]],'DB Details'!$A:$Q,2)=0,"",VLOOKUP(Table91213[[#This Row],[Date]],'DB Details'!$A:$Q,2))</f>
        <v/>
      </c>
      <c r="C37" s="51">
        <f>IF(VLOOKUP(Table91213[[#This Row],[Date]],'DB Details'!$A:$Q,3)=0,"",VLOOKUP(Table91213[[#This Row],[Date]],'DB Details'!$A:$Q,3))</f>
        <v/>
      </c>
      <c r="D37" s="51">
        <f>IF(VLOOKUP(Table91213[[#This Row],[Date]],'DB Details'!$A:$Q,4)=0,"",VLOOKUP(Table91213[[#This Row],[Date]],'DB Details'!$A:$Q,4))</f>
        <v/>
      </c>
      <c r="E37" s="52">
        <f>IF(VLOOKUP(Table91213[[#This Row],[Date]],'DB Details'!$A:$Q,5)=0,"",VLOOKUP(Table91213[[#This Row],[Date]],'DB Details'!$A:$Q,5))</f>
        <v/>
      </c>
      <c r="F37" s="51">
        <f>IF(VLOOKUP(Table91213[[#This Row],[Date]],'DB Details'!$A:$Q,6)=0,"",VLOOKUP(Table91213[[#This Row],[Date]],'DB Details'!$A:$Q,6))</f>
        <v/>
      </c>
      <c r="G37" s="52">
        <f>IF(VLOOKUP(Table91213[[#This Row],[Date]],'DB Details'!$A:$Q,7)=0,"",VLOOKUP(Table91213[[#This Row],[Date]],'DB Details'!$A:$Q,7))</f>
        <v/>
      </c>
      <c r="H37" s="52">
        <f>IF(VLOOKUP(Table91213[[#This Row],[Date]],'DB Details'!$A:$Q,8)=0,"",VLOOKUP(Table91213[[#This Row],[Date]],'DB Details'!$A:$Q,8))</f>
        <v/>
      </c>
      <c r="I37" s="52">
        <f>IF(VLOOKUP(Table91213[[#This Row],[Date]],'DB Details'!$A:$Q,9)=0,"",VLOOKUP(Table91213[[#This Row],[Date]],'DB Details'!$A:$Q,9))</f>
        <v/>
      </c>
      <c r="J37" s="52">
        <f>IF(VLOOKUP(Table91213[[#This Row],[Date]],'DB Details'!$A:$Q,10)=0,"",VLOOKUP(Table91213[[#This Row],[Date]],'DB Details'!$A:$Q,10))</f>
        <v/>
      </c>
      <c r="K37" s="52">
        <f>IF(VLOOKUP(Table91213[[#This Row],[Date]],'DB Details'!$A:$Q,11)=0,"",VLOOKUP(Table91213[[#This Row],[Date]],'DB Details'!$A:$Q,11))</f>
        <v/>
      </c>
      <c r="L37" s="50">
        <f>IF(VLOOKUP(Table91213[[#This Row],[Date]],'DB Details'!$A:$Q,12)=0,"",VLOOKUP(Table91213[[#This Row],[Date]],'DB Details'!$A:$Q,12))</f>
        <v/>
      </c>
    </row>
    <row r="38">
      <c r="A38" s="53" t="n">
        <v>36586</v>
      </c>
      <c r="B38" s="50">
        <f>IF(VLOOKUP(Table91213[[#This Row],[Date]],'DB Details'!$A:$Q,2)=0,"",VLOOKUP(Table91213[[#This Row],[Date]],'DB Details'!$A:$Q,2))</f>
        <v/>
      </c>
      <c r="C38" s="51">
        <f>IF(VLOOKUP(Table91213[[#This Row],[Date]],'DB Details'!$A:$Q,3)=0,"",VLOOKUP(Table91213[[#This Row],[Date]],'DB Details'!$A:$Q,3))</f>
        <v/>
      </c>
      <c r="D38" s="51">
        <f>IF(VLOOKUP(Table91213[[#This Row],[Date]],'DB Details'!$A:$Q,4)=0,"",VLOOKUP(Table91213[[#This Row],[Date]],'DB Details'!$A:$Q,4))</f>
        <v/>
      </c>
      <c r="E38" s="52">
        <f>IF(VLOOKUP(Table91213[[#This Row],[Date]],'DB Details'!$A:$Q,5)=0,"",VLOOKUP(Table91213[[#This Row],[Date]],'DB Details'!$A:$Q,5))</f>
        <v/>
      </c>
      <c r="F38" s="51">
        <f>IF(VLOOKUP(Table91213[[#This Row],[Date]],'DB Details'!$A:$Q,6)=0,"",VLOOKUP(Table91213[[#This Row],[Date]],'DB Details'!$A:$Q,6))</f>
        <v/>
      </c>
      <c r="G38" s="52">
        <f>IF(VLOOKUP(Table91213[[#This Row],[Date]],'DB Details'!$A:$Q,7)=0,"",VLOOKUP(Table91213[[#This Row],[Date]],'DB Details'!$A:$Q,7))</f>
        <v/>
      </c>
      <c r="H38" s="52">
        <f>IF(VLOOKUP(Table91213[[#This Row],[Date]],'DB Details'!$A:$Q,8)=0,"",VLOOKUP(Table91213[[#This Row],[Date]],'DB Details'!$A:$Q,8))</f>
        <v/>
      </c>
      <c r="I38" s="52">
        <f>IF(VLOOKUP(Table91213[[#This Row],[Date]],'DB Details'!$A:$Q,9)=0,"",VLOOKUP(Table91213[[#This Row],[Date]],'DB Details'!$A:$Q,9))</f>
        <v/>
      </c>
      <c r="J38" s="52">
        <f>IF(VLOOKUP(Table91213[[#This Row],[Date]],'DB Details'!$A:$Q,10)=0,"",VLOOKUP(Table91213[[#This Row],[Date]],'DB Details'!$A:$Q,10))</f>
        <v/>
      </c>
      <c r="K38" s="52">
        <f>IF(VLOOKUP(Table91213[[#This Row],[Date]],'DB Details'!$A:$Q,11)=0,"",VLOOKUP(Table91213[[#This Row],[Date]],'DB Details'!$A:$Q,11))</f>
        <v/>
      </c>
      <c r="L38" s="50">
        <f>IF(VLOOKUP(Table91213[[#This Row],[Date]],'DB Details'!$A:$Q,12)=0,"",VLOOKUP(Table91213[[#This Row],[Date]],'DB Details'!$A:$Q,12))</f>
        <v/>
      </c>
    </row>
    <row r="39">
      <c r="A39" s="53" t="n">
        <v>36617</v>
      </c>
      <c r="B39" s="50">
        <f>IF(VLOOKUP(Table91213[[#This Row],[Date]],'DB Details'!$A:$Q,2)=0,"",VLOOKUP(Table91213[[#This Row],[Date]],'DB Details'!$A:$Q,2))</f>
        <v/>
      </c>
      <c r="C39" s="51">
        <f>IF(VLOOKUP(Table91213[[#This Row],[Date]],'DB Details'!$A:$Q,3)=0,"",VLOOKUP(Table91213[[#This Row],[Date]],'DB Details'!$A:$Q,3))</f>
        <v/>
      </c>
      <c r="D39" s="51">
        <f>IF(VLOOKUP(Table91213[[#This Row],[Date]],'DB Details'!$A:$Q,4)=0,"",VLOOKUP(Table91213[[#This Row],[Date]],'DB Details'!$A:$Q,4))</f>
        <v/>
      </c>
      <c r="E39" s="52">
        <f>IF(VLOOKUP(Table91213[[#This Row],[Date]],'DB Details'!$A:$Q,5)=0,"",VLOOKUP(Table91213[[#This Row],[Date]],'DB Details'!$A:$Q,5))</f>
        <v/>
      </c>
      <c r="F39" s="51">
        <f>IF(VLOOKUP(Table91213[[#This Row],[Date]],'DB Details'!$A:$Q,6)=0,"",VLOOKUP(Table91213[[#This Row],[Date]],'DB Details'!$A:$Q,6))</f>
        <v/>
      </c>
      <c r="G39" s="52">
        <f>IF(VLOOKUP(Table91213[[#This Row],[Date]],'DB Details'!$A:$Q,7)=0,"",VLOOKUP(Table91213[[#This Row],[Date]],'DB Details'!$A:$Q,7))</f>
        <v/>
      </c>
      <c r="H39" s="52">
        <f>IF(VLOOKUP(Table91213[[#This Row],[Date]],'DB Details'!$A:$Q,8)=0,"",VLOOKUP(Table91213[[#This Row],[Date]],'DB Details'!$A:$Q,8))</f>
        <v/>
      </c>
      <c r="I39" s="52">
        <f>IF(VLOOKUP(Table91213[[#This Row],[Date]],'DB Details'!$A:$Q,9)=0,"",VLOOKUP(Table91213[[#This Row],[Date]],'DB Details'!$A:$Q,9))</f>
        <v/>
      </c>
      <c r="J39" s="52">
        <f>IF(VLOOKUP(Table91213[[#This Row],[Date]],'DB Details'!$A:$Q,10)=0,"",VLOOKUP(Table91213[[#This Row],[Date]],'DB Details'!$A:$Q,10))</f>
        <v/>
      </c>
      <c r="K39" s="52">
        <f>IF(VLOOKUP(Table91213[[#This Row],[Date]],'DB Details'!$A:$Q,11)=0,"",VLOOKUP(Table91213[[#This Row],[Date]],'DB Details'!$A:$Q,11))</f>
        <v/>
      </c>
      <c r="L39" s="50">
        <f>IF(VLOOKUP(Table91213[[#This Row],[Date]],'DB Details'!$A:$Q,12)=0,"",VLOOKUP(Table91213[[#This Row],[Date]],'DB Details'!$A:$Q,12))</f>
        <v/>
      </c>
    </row>
    <row r="40">
      <c r="A40" s="53" t="n">
        <v>36647</v>
      </c>
      <c r="B40" s="50">
        <f>IF(VLOOKUP(Table91213[[#This Row],[Date]],'DB Details'!$A:$Q,2)=0,"",VLOOKUP(Table91213[[#This Row],[Date]],'DB Details'!$A:$Q,2))</f>
        <v/>
      </c>
      <c r="C40" s="51">
        <f>IF(VLOOKUP(Table91213[[#This Row],[Date]],'DB Details'!$A:$Q,3)=0,"",VLOOKUP(Table91213[[#This Row],[Date]],'DB Details'!$A:$Q,3))</f>
        <v/>
      </c>
      <c r="D40" s="51">
        <f>IF(VLOOKUP(Table91213[[#This Row],[Date]],'DB Details'!$A:$Q,4)=0,"",VLOOKUP(Table91213[[#This Row],[Date]],'DB Details'!$A:$Q,4))</f>
        <v/>
      </c>
      <c r="E40" s="52">
        <f>IF(VLOOKUP(Table91213[[#This Row],[Date]],'DB Details'!$A:$Q,5)=0,"",VLOOKUP(Table91213[[#This Row],[Date]],'DB Details'!$A:$Q,5))</f>
        <v/>
      </c>
      <c r="F40" s="51">
        <f>IF(VLOOKUP(Table91213[[#This Row],[Date]],'DB Details'!$A:$Q,6)=0,"",VLOOKUP(Table91213[[#This Row],[Date]],'DB Details'!$A:$Q,6))</f>
        <v/>
      </c>
      <c r="G40" s="52">
        <f>IF(VLOOKUP(Table91213[[#This Row],[Date]],'DB Details'!$A:$Q,7)=0,"",VLOOKUP(Table91213[[#This Row],[Date]],'DB Details'!$A:$Q,7))</f>
        <v/>
      </c>
      <c r="H40" s="52">
        <f>IF(VLOOKUP(Table91213[[#This Row],[Date]],'DB Details'!$A:$Q,8)=0,"",VLOOKUP(Table91213[[#This Row],[Date]],'DB Details'!$A:$Q,8))</f>
        <v/>
      </c>
      <c r="I40" s="52">
        <f>IF(VLOOKUP(Table91213[[#This Row],[Date]],'DB Details'!$A:$Q,9)=0,"",VLOOKUP(Table91213[[#This Row],[Date]],'DB Details'!$A:$Q,9))</f>
        <v/>
      </c>
      <c r="J40" s="52">
        <f>IF(VLOOKUP(Table91213[[#This Row],[Date]],'DB Details'!$A:$Q,10)=0,"",VLOOKUP(Table91213[[#This Row],[Date]],'DB Details'!$A:$Q,10))</f>
        <v/>
      </c>
      <c r="K40" s="52">
        <f>IF(VLOOKUP(Table91213[[#This Row],[Date]],'DB Details'!$A:$Q,11)=0,"",VLOOKUP(Table91213[[#This Row],[Date]],'DB Details'!$A:$Q,11))</f>
        <v/>
      </c>
      <c r="L40" s="50">
        <f>IF(VLOOKUP(Table91213[[#This Row],[Date]],'DB Details'!$A:$Q,12)=0,"",VLOOKUP(Table91213[[#This Row],[Date]],'DB Details'!$A:$Q,12))</f>
        <v/>
      </c>
    </row>
    <row r="41">
      <c r="A41" s="53" t="n">
        <v>36678</v>
      </c>
      <c r="B41" s="50">
        <f>IF(VLOOKUP(Table91213[[#This Row],[Date]],'DB Details'!$A:$Q,2)=0,"",VLOOKUP(Table91213[[#This Row],[Date]],'DB Details'!$A:$Q,2))</f>
        <v/>
      </c>
      <c r="C41" s="51">
        <f>IF(VLOOKUP(Table91213[[#This Row],[Date]],'DB Details'!$A:$Q,3)=0,"",VLOOKUP(Table91213[[#This Row],[Date]],'DB Details'!$A:$Q,3))</f>
        <v/>
      </c>
      <c r="D41" s="51">
        <f>IF(VLOOKUP(Table91213[[#This Row],[Date]],'DB Details'!$A:$Q,4)=0,"",VLOOKUP(Table91213[[#This Row],[Date]],'DB Details'!$A:$Q,4))</f>
        <v/>
      </c>
      <c r="E41" s="52">
        <f>IF(VLOOKUP(Table91213[[#This Row],[Date]],'DB Details'!$A:$Q,5)=0,"",VLOOKUP(Table91213[[#This Row],[Date]],'DB Details'!$A:$Q,5))</f>
        <v/>
      </c>
      <c r="F41" s="51">
        <f>IF(VLOOKUP(Table91213[[#This Row],[Date]],'DB Details'!$A:$Q,6)=0,"",VLOOKUP(Table91213[[#This Row],[Date]],'DB Details'!$A:$Q,6))</f>
        <v/>
      </c>
      <c r="G41" s="52">
        <f>IF(VLOOKUP(Table91213[[#This Row],[Date]],'DB Details'!$A:$Q,7)=0,"",VLOOKUP(Table91213[[#This Row],[Date]],'DB Details'!$A:$Q,7))</f>
        <v/>
      </c>
      <c r="H41" s="52">
        <f>IF(VLOOKUP(Table91213[[#This Row],[Date]],'DB Details'!$A:$Q,8)=0,"",VLOOKUP(Table91213[[#This Row],[Date]],'DB Details'!$A:$Q,8))</f>
        <v/>
      </c>
      <c r="I41" s="52">
        <f>IF(VLOOKUP(Table91213[[#This Row],[Date]],'DB Details'!$A:$Q,9)=0,"",VLOOKUP(Table91213[[#This Row],[Date]],'DB Details'!$A:$Q,9))</f>
        <v/>
      </c>
      <c r="J41" s="52">
        <f>IF(VLOOKUP(Table91213[[#This Row],[Date]],'DB Details'!$A:$Q,10)=0,"",VLOOKUP(Table91213[[#This Row],[Date]],'DB Details'!$A:$Q,10))</f>
        <v/>
      </c>
      <c r="K41" s="52">
        <f>IF(VLOOKUP(Table91213[[#This Row],[Date]],'DB Details'!$A:$Q,11)=0,"",VLOOKUP(Table91213[[#This Row],[Date]],'DB Details'!$A:$Q,11))</f>
        <v/>
      </c>
      <c r="L41" s="50">
        <f>IF(VLOOKUP(Table91213[[#This Row],[Date]],'DB Details'!$A:$Q,12)=0,"",VLOOKUP(Table91213[[#This Row],[Date]],'DB Details'!$A:$Q,12))</f>
        <v/>
      </c>
    </row>
    <row r="42">
      <c r="A42" s="53" t="n">
        <v>36708</v>
      </c>
      <c r="B42" s="50">
        <f>IF(VLOOKUP(Table91213[[#This Row],[Date]],'DB Details'!$A:$Q,2)=0,"",VLOOKUP(Table91213[[#This Row],[Date]],'DB Details'!$A:$Q,2))</f>
        <v/>
      </c>
      <c r="C42" s="51">
        <f>IF(VLOOKUP(Table91213[[#This Row],[Date]],'DB Details'!$A:$Q,3)=0,"",VLOOKUP(Table91213[[#This Row],[Date]],'DB Details'!$A:$Q,3))</f>
        <v/>
      </c>
      <c r="D42" s="51">
        <f>IF(VLOOKUP(Table91213[[#This Row],[Date]],'DB Details'!$A:$Q,4)=0,"",VLOOKUP(Table91213[[#This Row],[Date]],'DB Details'!$A:$Q,4))</f>
        <v/>
      </c>
      <c r="E42" s="52">
        <f>IF(VLOOKUP(Table91213[[#This Row],[Date]],'DB Details'!$A:$Q,5)=0,"",VLOOKUP(Table91213[[#This Row],[Date]],'DB Details'!$A:$Q,5))</f>
        <v/>
      </c>
      <c r="F42" s="51">
        <f>IF(VLOOKUP(Table91213[[#This Row],[Date]],'DB Details'!$A:$Q,6)=0,"",VLOOKUP(Table91213[[#This Row],[Date]],'DB Details'!$A:$Q,6))</f>
        <v/>
      </c>
      <c r="G42" s="52">
        <f>IF(VLOOKUP(Table91213[[#This Row],[Date]],'DB Details'!$A:$Q,7)=0,"",VLOOKUP(Table91213[[#This Row],[Date]],'DB Details'!$A:$Q,7))</f>
        <v/>
      </c>
      <c r="H42" s="52">
        <f>IF(VLOOKUP(Table91213[[#This Row],[Date]],'DB Details'!$A:$Q,8)=0,"",VLOOKUP(Table91213[[#This Row],[Date]],'DB Details'!$A:$Q,8))</f>
        <v/>
      </c>
      <c r="I42" s="52">
        <f>IF(VLOOKUP(Table91213[[#This Row],[Date]],'DB Details'!$A:$Q,9)=0,"",VLOOKUP(Table91213[[#This Row],[Date]],'DB Details'!$A:$Q,9))</f>
        <v/>
      </c>
      <c r="J42" s="52">
        <f>IF(VLOOKUP(Table91213[[#This Row],[Date]],'DB Details'!$A:$Q,10)=0,"",VLOOKUP(Table91213[[#This Row],[Date]],'DB Details'!$A:$Q,10))</f>
        <v/>
      </c>
      <c r="K42" s="52">
        <f>IF(VLOOKUP(Table91213[[#This Row],[Date]],'DB Details'!$A:$Q,11)=0,"",VLOOKUP(Table91213[[#This Row],[Date]],'DB Details'!$A:$Q,11))</f>
        <v/>
      </c>
      <c r="L42" s="50">
        <f>IF(VLOOKUP(Table91213[[#This Row],[Date]],'DB Details'!$A:$Q,12)=0,"",VLOOKUP(Table91213[[#This Row],[Date]],'DB Details'!$A:$Q,12))</f>
        <v/>
      </c>
    </row>
    <row r="43">
      <c r="A43" s="53" t="n">
        <v>36739</v>
      </c>
      <c r="B43" s="50">
        <f>IF(VLOOKUP(Table91213[[#This Row],[Date]],'DB Details'!$A:$Q,2)=0,"",VLOOKUP(Table91213[[#This Row],[Date]],'DB Details'!$A:$Q,2))</f>
        <v/>
      </c>
      <c r="C43" s="51">
        <f>IF(VLOOKUP(Table91213[[#This Row],[Date]],'DB Details'!$A:$Q,3)=0,"",VLOOKUP(Table91213[[#This Row],[Date]],'DB Details'!$A:$Q,3))</f>
        <v/>
      </c>
      <c r="D43" s="51">
        <f>IF(VLOOKUP(Table91213[[#This Row],[Date]],'DB Details'!$A:$Q,4)=0,"",VLOOKUP(Table91213[[#This Row],[Date]],'DB Details'!$A:$Q,4))</f>
        <v/>
      </c>
      <c r="E43" s="52">
        <f>IF(VLOOKUP(Table91213[[#This Row],[Date]],'DB Details'!$A:$Q,5)=0,"",VLOOKUP(Table91213[[#This Row],[Date]],'DB Details'!$A:$Q,5))</f>
        <v/>
      </c>
      <c r="F43" s="51">
        <f>IF(VLOOKUP(Table91213[[#This Row],[Date]],'DB Details'!$A:$Q,6)=0,"",VLOOKUP(Table91213[[#This Row],[Date]],'DB Details'!$A:$Q,6))</f>
        <v/>
      </c>
      <c r="G43" s="52">
        <f>IF(VLOOKUP(Table91213[[#This Row],[Date]],'DB Details'!$A:$Q,7)=0,"",VLOOKUP(Table91213[[#This Row],[Date]],'DB Details'!$A:$Q,7))</f>
        <v/>
      </c>
      <c r="H43" s="52">
        <f>IF(VLOOKUP(Table91213[[#This Row],[Date]],'DB Details'!$A:$Q,8)=0,"",VLOOKUP(Table91213[[#This Row],[Date]],'DB Details'!$A:$Q,8))</f>
        <v/>
      </c>
      <c r="I43" s="52">
        <f>IF(VLOOKUP(Table91213[[#This Row],[Date]],'DB Details'!$A:$Q,9)=0,"",VLOOKUP(Table91213[[#This Row],[Date]],'DB Details'!$A:$Q,9))</f>
        <v/>
      </c>
      <c r="J43" s="52">
        <f>IF(VLOOKUP(Table91213[[#This Row],[Date]],'DB Details'!$A:$Q,10)=0,"",VLOOKUP(Table91213[[#This Row],[Date]],'DB Details'!$A:$Q,10))</f>
        <v/>
      </c>
      <c r="K43" s="52">
        <f>IF(VLOOKUP(Table91213[[#This Row],[Date]],'DB Details'!$A:$Q,11)=0,"",VLOOKUP(Table91213[[#This Row],[Date]],'DB Details'!$A:$Q,11))</f>
        <v/>
      </c>
      <c r="L43" s="50">
        <f>IF(VLOOKUP(Table91213[[#This Row],[Date]],'DB Details'!$A:$Q,12)=0,"",VLOOKUP(Table91213[[#This Row],[Date]],'DB Details'!$A:$Q,12))</f>
        <v/>
      </c>
    </row>
    <row r="44">
      <c r="A44" s="53" t="n">
        <v>36770</v>
      </c>
      <c r="B44" s="50">
        <f>IF(VLOOKUP(Table91213[[#This Row],[Date]],'DB Details'!$A:$Q,2)=0,"",VLOOKUP(Table91213[[#This Row],[Date]],'DB Details'!$A:$Q,2))</f>
        <v/>
      </c>
      <c r="C44" s="51">
        <f>IF(VLOOKUP(Table91213[[#This Row],[Date]],'DB Details'!$A:$Q,3)=0,"",VLOOKUP(Table91213[[#This Row],[Date]],'DB Details'!$A:$Q,3))</f>
        <v/>
      </c>
      <c r="D44" s="51">
        <f>IF(VLOOKUP(Table91213[[#This Row],[Date]],'DB Details'!$A:$Q,4)=0,"",VLOOKUP(Table91213[[#This Row],[Date]],'DB Details'!$A:$Q,4))</f>
        <v/>
      </c>
      <c r="E44" s="52">
        <f>IF(VLOOKUP(Table91213[[#This Row],[Date]],'DB Details'!$A:$Q,5)=0,"",VLOOKUP(Table91213[[#This Row],[Date]],'DB Details'!$A:$Q,5))</f>
        <v/>
      </c>
      <c r="F44" s="51">
        <f>IF(VLOOKUP(Table91213[[#This Row],[Date]],'DB Details'!$A:$Q,6)=0,"",VLOOKUP(Table91213[[#This Row],[Date]],'DB Details'!$A:$Q,6))</f>
        <v/>
      </c>
      <c r="G44" s="52">
        <f>IF(VLOOKUP(Table91213[[#This Row],[Date]],'DB Details'!$A:$Q,7)=0,"",VLOOKUP(Table91213[[#This Row],[Date]],'DB Details'!$A:$Q,7))</f>
        <v/>
      </c>
      <c r="H44" s="52">
        <f>IF(VLOOKUP(Table91213[[#This Row],[Date]],'DB Details'!$A:$Q,8)=0,"",VLOOKUP(Table91213[[#This Row],[Date]],'DB Details'!$A:$Q,8))</f>
        <v/>
      </c>
      <c r="I44" s="52">
        <f>IF(VLOOKUP(Table91213[[#This Row],[Date]],'DB Details'!$A:$Q,9)=0,"",VLOOKUP(Table91213[[#This Row],[Date]],'DB Details'!$A:$Q,9))</f>
        <v/>
      </c>
      <c r="J44" s="52">
        <f>IF(VLOOKUP(Table91213[[#This Row],[Date]],'DB Details'!$A:$Q,10)=0,"",VLOOKUP(Table91213[[#This Row],[Date]],'DB Details'!$A:$Q,10))</f>
        <v/>
      </c>
      <c r="K44" s="52">
        <f>IF(VLOOKUP(Table91213[[#This Row],[Date]],'DB Details'!$A:$Q,11)=0,"",VLOOKUP(Table91213[[#This Row],[Date]],'DB Details'!$A:$Q,11))</f>
        <v/>
      </c>
      <c r="L44" s="50">
        <f>IF(VLOOKUP(Table91213[[#This Row],[Date]],'DB Details'!$A:$Q,12)=0,"",VLOOKUP(Table91213[[#This Row],[Date]],'DB Details'!$A:$Q,12))</f>
        <v/>
      </c>
    </row>
    <row r="45">
      <c r="A45" s="53" t="n">
        <v>36800</v>
      </c>
      <c r="B45" s="50">
        <f>IF(VLOOKUP(Table91213[[#This Row],[Date]],'DB Details'!$A:$Q,2)=0,"",VLOOKUP(Table91213[[#This Row],[Date]],'DB Details'!$A:$Q,2))</f>
        <v/>
      </c>
      <c r="C45" s="51">
        <f>IF(VLOOKUP(Table91213[[#This Row],[Date]],'DB Details'!$A:$Q,3)=0,"",VLOOKUP(Table91213[[#This Row],[Date]],'DB Details'!$A:$Q,3))</f>
        <v/>
      </c>
      <c r="D45" s="51">
        <f>IF(VLOOKUP(Table91213[[#This Row],[Date]],'DB Details'!$A:$Q,4)=0,"",VLOOKUP(Table91213[[#This Row],[Date]],'DB Details'!$A:$Q,4))</f>
        <v/>
      </c>
      <c r="E45" s="52">
        <f>IF(VLOOKUP(Table91213[[#This Row],[Date]],'DB Details'!$A:$Q,5)=0,"",VLOOKUP(Table91213[[#This Row],[Date]],'DB Details'!$A:$Q,5))</f>
        <v/>
      </c>
      <c r="F45" s="51">
        <f>IF(VLOOKUP(Table91213[[#This Row],[Date]],'DB Details'!$A:$Q,6)=0,"",VLOOKUP(Table91213[[#This Row],[Date]],'DB Details'!$A:$Q,6))</f>
        <v/>
      </c>
      <c r="G45" s="52">
        <f>IF(VLOOKUP(Table91213[[#This Row],[Date]],'DB Details'!$A:$Q,7)=0,"",VLOOKUP(Table91213[[#This Row],[Date]],'DB Details'!$A:$Q,7))</f>
        <v/>
      </c>
      <c r="H45" s="52">
        <f>IF(VLOOKUP(Table91213[[#This Row],[Date]],'DB Details'!$A:$Q,8)=0,"",VLOOKUP(Table91213[[#This Row],[Date]],'DB Details'!$A:$Q,8))</f>
        <v/>
      </c>
      <c r="I45" s="52">
        <f>IF(VLOOKUP(Table91213[[#This Row],[Date]],'DB Details'!$A:$Q,9)=0,"",VLOOKUP(Table91213[[#This Row],[Date]],'DB Details'!$A:$Q,9))</f>
        <v/>
      </c>
      <c r="J45" s="52">
        <f>IF(VLOOKUP(Table91213[[#This Row],[Date]],'DB Details'!$A:$Q,10)=0,"",VLOOKUP(Table91213[[#This Row],[Date]],'DB Details'!$A:$Q,10))</f>
        <v/>
      </c>
      <c r="K45" s="52">
        <f>IF(VLOOKUP(Table91213[[#This Row],[Date]],'DB Details'!$A:$Q,11)=0,"",VLOOKUP(Table91213[[#This Row],[Date]],'DB Details'!$A:$Q,11))</f>
        <v/>
      </c>
      <c r="L45" s="50">
        <f>IF(VLOOKUP(Table91213[[#This Row],[Date]],'DB Details'!$A:$Q,12)=0,"",VLOOKUP(Table91213[[#This Row],[Date]],'DB Details'!$A:$Q,12))</f>
        <v/>
      </c>
    </row>
    <row r="46">
      <c r="A46" s="53" t="n">
        <v>36831</v>
      </c>
      <c r="B46" s="50">
        <f>IF(VLOOKUP(Table91213[[#This Row],[Date]],'DB Details'!$A:$Q,2)=0,"",VLOOKUP(Table91213[[#This Row],[Date]],'DB Details'!$A:$Q,2))</f>
        <v/>
      </c>
      <c r="C46" s="51">
        <f>IF(VLOOKUP(Table91213[[#This Row],[Date]],'DB Details'!$A:$Q,3)=0,"",VLOOKUP(Table91213[[#This Row],[Date]],'DB Details'!$A:$Q,3))</f>
        <v/>
      </c>
      <c r="D46" s="51">
        <f>IF(VLOOKUP(Table91213[[#This Row],[Date]],'DB Details'!$A:$Q,4)=0,"",VLOOKUP(Table91213[[#This Row],[Date]],'DB Details'!$A:$Q,4))</f>
        <v/>
      </c>
      <c r="E46" s="52">
        <f>IF(VLOOKUP(Table91213[[#This Row],[Date]],'DB Details'!$A:$Q,5)=0,"",VLOOKUP(Table91213[[#This Row],[Date]],'DB Details'!$A:$Q,5))</f>
        <v/>
      </c>
      <c r="F46" s="51">
        <f>IF(VLOOKUP(Table91213[[#This Row],[Date]],'DB Details'!$A:$Q,6)=0,"",VLOOKUP(Table91213[[#This Row],[Date]],'DB Details'!$A:$Q,6))</f>
        <v/>
      </c>
      <c r="G46" s="52">
        <f>IF(VLOOKUP(Table91213[[#This Row],[Date]],'DB Details'!$A:$Q,7)=0,"",VLOOKUP(Table91213[[#This Row],[Date]],'DB Details'!$A:$Q,7))</f>
        <v/>
      </c>
      <c r="H46" s="52">
        <f>IF(VLOOKUP(Table91213[[#This Row],[Date]],'DB Details'!$A:$Q,8)=0,"",VLOOKUP(Table91213[[#This Row],[Date]],'DB Details'!$A:$Q,8))</f>
        <v/>
      </c>
      <c r="I46" s="52">
        <f>IF(VLOOKUP(Table91213[[#This Row],[Date]],'DB Details'!$A:$Q,9)=0,"",VLOOKUP(Table91213[[#This Row],[Date]],'DB Details'!$A:$Q,9))</f>
        <v/>
      </c>
      <c r="J46" s="52">
        <f>IF(VLOOKUP(Table91213[[#This Row],[Date]],'DB Details'!$A:$Q,10)=0,"",VLOOKUP(Table91213[[#This Row],[Date]],'DB Details'!$A:$Q,10))</f>
        <v/>
      </c>
      <c r="K46" s="52">
        <f>IF(VLOOKUP(Table91213[[#This Row],[Date]],'DB Details'!$A:$Q,11)=0,"",VLOOKUP(Table91213[[#This Row],[Date]],'DB Details'!$A:$Q,11))</f>
        <v/>
      </c>
      <c r="L46" s="50">
        <f>IF(VLOOKUP(Table91213[[#This Row],[Date]],'DB Details'!$A:$Q,12)=0,"",VLOOKUP(Table91213[[#This Row],[Date]],'DB Details'!$A:$Q,12))</f>
        <v/>
      </c>
    </row>
    <row r="47">
      <c r="A47" s="53" t="n">
        <v>36861</v>
      </c>
      <c r="B47" s="50">
        <f>IF(VLOOKUP(Table91213[[#This Row],[Date]],'DB Details'!$A:$Q,2)=0,"",VLOOKUP(Table91213[[#This Row],[Date]],'DB Details'!$A:$Q,2))</f>
        <v/>
      </c>
      <c r="C47" s="51">
        <f>IF(VLOOKUP(Table91213[[#This Row],[Date]],'DB Details'!$A:$Q,3)=0,"",VLOOKUP(Table91213[[#This Row],[Date]],'DB Details'!$A:$Q,3))</f>
        <v/>
      </c>
      <c r="D47" s="51">
        <f>IF(VLOOKUP(Table91213[[#This Row],[Date]],'DB Details'!$A:$Q,4)=0,"",VLOOKUP(Table91213[[#This Row],[Date]],'DB Details'!$A:$Q,4))</f>
        <v/>
      </c>
      <c r="E47" s="52">
        <f>IF(VLOOKUP(Table91213[[#This Row],[Date]],'DB Details'!$A:$Q,5)=0,"",VLOOKUP(Table91213[[#This Row],[Date]],'DB Details'!$A:$Q,5))</f>
        <v/>
      </c>
      <c r="F47" s="51">
        <f>IF(VLOOKUP(Table91213[[#This Row],[Date]],'DB Details'!$A:$Q,6)=0,"",VLOOKUP(Table91213[[#This Row],[Date]],'DB Details'!$A:$Q,6))</f>
        <v/>
      </c>
      <c r="G47" s="52">
        <f>IF(VLOOKUP(Table91213[[#This Row],[Date]],'DB Details'!$A:$Q,7)=0,"",VLOOKUP(Table91213[[#This Row],[Date]],'DB Details'!$A:$Q,7))</f>
        <v/>
      </c>
      <c r="H47" s="52">
        <f>IF(VLOOKUP(Table91213[[#This Row],[Date]],'DB Details'!$A:$Q,8)=0,"",VLOOKUP(Table91213[[#This Row],[Date]],'DB Details'!$A:$Q,8))</f>
        <v/>
      </c>
      <c r="I47" s="52">
        <f>IF(VLOOKUP(Table91213[[#This Row],[Date]],'DB Details'!$A:$Q,9)=0,"",VLOOKUP(Table91213[[#This Row],[Date]],'DB Details'!$A:$Q,9))</f>
        <v/>
      </c>
      <c r="J47" s="52">
        <f>IF(VLOOKUP(Table91213[[#This Row],[Date]],'DB Details'!$A:$Q,10)=0,"",VLOOKUP(Table91213[[#This Row],[Date]],'DB Details'!$A:$Q,10))</f>
        <v/>
      </c>
      <c r="K47" s="52">
        <f>IF(VLOOKUP(Table91213[[#This Row],[Date]],'DB Details'!$A:$Q,11)=0,"",VLOOKUP(Table91213[[#This Row],[Date]],'DB Details'!$A:$Q,11))</f>
        <v/>
      </c>
      <c r="L47" s="50">
        <f>IF(VLOOKUP(Table91213[[#This Row],[Date]],'DB Details'!$A:$Q,12)=0,"",VLOOKUP(Table91213[[#This Row],[Date]],'DB Details'!$A:$Q,12))</f>
        <v/>
      </c>
    </row>
    <row r="48">
      <c r="A48" s="53" t="n">
        <v>36892</v>
      </c>
      <c r="B48" s="50">
        <f>IF(VLOOKUP(Table91213[[#This Row],[Date]],'DB Details'!$A:$Q,2)=0,"",VLOOKUP(Table91213[[#This Row],[Date]],'DB Details'!$A:$Q,2))</f>
        <v/>
      </c>
      <c r="C48" s="51">
        <f>IF(VLOOKUP(Table91213[[#This Row],[Date]],'DB Details'!$A:$Q,3)=0,"",VLOOKUP(Table91213[[#This Row],[Date]],'DB Details'!$A:$Q,3))</f>
        <v/>
      </c>
      <c r="D48" s="51">
        <f>IF(VLOOKUP(Table91213[[#This Row],[Date]],'DB Details'!$A:$Q,4)=0,"",VLOOKUP(Table91213[[#This Row],[Date]],'DB Details'!$A:$Q,4))</f>
        <v/>
      </c>
      <c r="E48" s="52">
        <f>IF(VLOOKUP(Table91213[[#This Row],[Date]],'DB Details'!$A:$Q,5)=0,"",VLOOKUP(Table91213[[#This Row],[Date]],'DB Details'!$A:$Q,5))</f>
        <v/>
      </c>
      <c r="F48" s="51">
        <f>IF(VLOOKUP(Table91213[[#This Row],[Date]],'DB Details'!$A:$Q,6)=0,"",VLOOKUP(Table91213[[#This Row],[Date]],'DB Details'!$A:$Q,6))</f>
        <v/>
      </c>
      <c r="G48" s="52">
        <f>IF(VLOOKUP(Table91213[[#This Row],[Date]],'DB Details'!$A:$Q,7)=0,"",VLOOKUP(Table91213[[#This Row],[Date]],'DB Details'!$A:$Q,7))</f>
        <v/>
      </c>
      <c r="H48" s="52">
        <f>IF(VLOOKUP(Table91213[[#This Row],[Date]],'DB Details'!$A:$Q,8)=0,"",VLOOKUP(Table91213[[#This Row],[Date]],'DB Details'!$A:$Q,8))</f>
        <v/>
      </c>
      <c r="I48" s="52">
        <f>IF(VLOOKUP(Table91213[[#This Row],[Date]],'DB Details'!$A:$Q,9)=0,"",VLOOKUP(Table91213[[#This Row],[Date]],'DB Details'!$A:$Q,9))</f>
        <v/>
      </c>
      <c r="J48" s="52">
        <f>IF(VLOOKUP(Table91213[[#This Row],[Date]],'DB Details'!$A:$Q,10)=0,"",VLOOKUP(Table91213[[#This Row],[Date]],'DB Details'!$A:$Q,10))</f>
        <v/>
      </c>
      <c r="K48" s="52">
        <f>IF(VLOOKUP(Table91213[[#This Row],[Date]],'DB Details'!$A:$Q,11)=0,"",VLOOKUP(Table91213[[#This Row],[Date]],'DB Details'!$A:$Q,11))</f>
        <v/>
      </c>
      <c r="L48" s="50">
        <f>IF(VLOOKUP(Table91213[[#This Row],[Date]],'DB Details'!$A:$Q,12)=0,"",VLOOKUP(Table91213[[#This Row],[Date]],'DB Details'!$A:$Q,12))</f>
        <v/>
      </c>
    </row>
    <row r="49">
      <c r="A49" s="53" t="n">
        <v>36923</v>
      </c>
      <c r="B49" s="50">
        <f>IF(VLOOKUP(Table91213[[#This Row],[Date]],'DB Details'!$A:$Q,2)=0,"",VLOOKUP(Table91213[[#This Row],[Date]],'DB Details'!$A:$Q,2))</f>
        <v/>
      </c>
      <c r="C49" s="51">
        <f>IF(VLOOKUP(Table91213[[#This Row],[Date]],'DB Details'!$A:$Q,3)=0,"",VLOOKUP(Table91213[[#This Row],[Date]],'DB Details'!$A:$Q,3))</f>
        <v/>
      </c>
      <c r="D49" s="51">
        <f>IF(VLOOKUP(Table91213[[#This Row],[Date]],'DB Details'!$A:$Q,4)=0,"",VLOOKUP(Table91213[[#This Row],[Date]],'DB Details'!$A:$Q,4))</f>
        <v/>
      </c>
      <c r="E49" s="52">
        <f>IF(VLOOKUP(Table91213[[#This Row],[Date]],'DB Details'!$A:$Q,5)=0,"",VLOOKUP(Table91213[[#This Row],[Date]],'DB Details'!$A:$Q,5))</f>
        <v/>
      </c>
      <c r="F49" s="51">
        <f>IF(VLOOKUP(Table91213[[#This Row],[Date]],'DB Details'!$A:$Q,6)=0,"",VLOOKUP(Table91213[[#This Row],[Date]],'DB Details'!$A:$Q,6))</f>
        <v/>
      </c>
      <c r="G49" s="52">
        <f>IF(VLOOKUP(Table91213[[#This Row],[Date]],'DB Details'!$A:$Q,7)=0,"",VLOOKUP(Table91213[[#This Row],[Date]],'DB Details'!$A:$Q,7))</f>
        <v/>
      </c>
      <c r="H49" s="52">
        <f>IF(VLOOKUP(Table91213[[#This Row],[Date]],'DB Details'!$A:$Q,8)=0,"",VLOOKUP(Table91213[[#This Row],[Date]],'DB Details'!$A:$Q,8))</f>
        <v/>
      </c>
      <c r="I49" s="52">
        <f>IF(VLOOKUP(Table91213[[#This Row],[Date]],'DB Details'!$A:$Q,9)=0,"",VLOOKUP(Table91213[[#This Row],[Date]],'DB Details'!$A:$Q,9))</f>
        <v/>
      </c>
      <c r="J49" s="52">
        <f>IF(VLOOKUP(Table91213[[#This Row],[Date]],'DB Details'!$A:$Q,10)=0,"",VLOOKUP(Table91213[[#This Row],[Date]],'DB Details'!$A:$Q,10))</f>
        <v/>
      </c>
      <c r="K49" s="52">
        <f>IF(VLOOKUP(Table91213[[#This Row],[Date]],'DB Details'!$A:$Q,11)=0,"",VLOOKUP(Table91213[[#This Row],[Date]],'DB Details'!$A:$Q,11))</f>
        <v/>
      </c>
      <c r="L49" s="50">
        <f>IF(VLOOKUP(Table91213[[#This Row],[Date]],'DB Details'!$A:$Q,12)=0,"",VLOOKUP(Table91213[[#This Row],[Date]],'DB Details'!$A:$Q,12))</f>
        <v/>
      </c>
    </row>
    <row r="50">
      <c r="A50" s="53" t="n">
        <v>36951</v>
      </c>
      <c r="B50" s="50">
        <f>IF(VLOOKUP(Table91213[[#This Row],[Date]],'DB Details'!$A:$Q,2)=0,"",VLOOKUP(Table91213[[#This Row],[Date]],'DB Details'!$A:$Q,2))</f>
        <v/>
      </c>
      <c r="C50" s="51">
        <f>IF(VLOOKUP(Table91213[[#This Row],[Date]],'DB Details'!$A:$Q,3)=0,"",VLOOKUP(Table91213[[#This Row],[Date]],'DB Details'!$A:$Q,3))</f>
        <v/>
      </c>
      <c r="D50" s="51">
        <f>IF(VLOOKUP(Table91213[[#This Row],[Date]],'DB Details'!$A:$Q,4)=0,"",VLOOKUP(Table91213[[#This Row],[Date]],'DB Details'!$A:$Q,4))</f>
        <v/>
      </c>
      <c r="E50" s="52">
        <f>IF(VLOOKUP(Table91213[[#This Row],[Date]],'DB Details'!$A:$Q,5)=0,"",VLOOKUP(Table91213[[#This Row],[Date]],'DB Details'!$A:$Q,5))</f>
        <v/>
      </c>
      <c r="F50" s="51">
        <f>IF(VLOOKUP(Table91213[[#This Row],[Date]],'DB Details'!$A:$Q,6)=0,"",VLOOKUP(Table91213[[#This Row],[Date]],'DB Details'!$A:$Q,6))</f>
        <v/>
      </c>
      <c r="G50" s="52">
        <f>IF(VLOOKUP(Table91213[[#This Row],[Date]],'DB Details'!$A:$Q,7)=0,"",VLOOKUP(Table91213[[#This Row],[Date]],'DB Details'!$A:$Q,7))</f>
        <v/>
      </c>
      <c r="H50" s="52">
        <f>IF(VLOOKUP(Table91213[[#This Row],[Date]],'DB Details'!$A:$Q,8)=0,"",VLOOKUP(Table91213[[#This Row],[Date]],'DB Details'!$A:$Q,8))</f>
        <v/>
      </c>
      <c r="I50" s="52">
        <f>IF(VLOOKUP(Table91213[[#This Row],[Date]],'DB Details'!$A:$Q,9)=0,"",VLOOKUP(Table91213[[#This Row],[Date]],'DB Details'!$A:$Q,9))</f>
        <v/>
      </c>
      <c r="J50" s="52">
        <f>IF(VLOOKUP(Table91213[[#This Row],[Date]],'DB Details'!$A:$Q,10)=0,"",VLOOKUP(Table91213[[#This Row],[Date]],'DB Details'!$A:$Q,10))</f>
        <v/>
      </c>
      <c r="K50" s="52">
        <f>IF(VLOOKUP(Table91213[[#This Row],[Date]],'DB Details'!$A:$Q,11)=0,"",VLOOKUP(Table91213[[#This Row],[Date]],'DB Details'!$A:$Q,11))</f>
        <v/>
      </c>
      <c r="L50" s="50">
        <f>IF(VLOOKUP(Table91213[[#This Row],[Date]],'DB Details'!$A:$Q,12)=0,"",VLOOKUP(Table91213[[#This Row],[Date]],'DB Details'!$A:$Q,12))</f>
        <v/>
      </c>
    </row>
    <row r="51">
      <c r="A51" s="53" t="n">
        <v>36982</v>
      </c>
      <c r="B51" s="50">
        <f>IF(VLOOKUP(Table91213[[#This Row],[Date]],'DB Details'!$A:$Q,2)=0,"",VLOOKUP(Table91213[[#This Row],[Date]],'DB Details'!$A:$Q,2))</f>
        <v/>
      </c>
      <c r="C51" s="51">
        <f>IF(VLOOKUP(Table91213[[#This Row],[Date]],'DB Details'!$A:$Q,3)=0,"",VLOOKUP(Table91213[[#This Row],[Date]],'DB Details'!$A:$Q,3))</f>
        <v/>
      </c>
      <c r="D51" s="51">
        <f>IF(VLOOKUP(Table91213[[#This Row],[Date]],'DB Details'!$A:$Q,4)=0,"",VLOOKUP(Table91213[[#This Row],[Date]],'DB Details'!$A:$Q,4))</f>
        <v/>
      </c>
      <c r="E51" s="52">
        <f>IF(VLOOKUP(Table91213[[#This Row],[Date]],'DB Details'!$A:$Q,5)=0,"",VLOOKUP(Table91213[[#This Row],[Date]],'DB Details'!$A:$Q,5))</f>
        <v/>
      </c>
      <c r="F51" s="51">
        <f>IF(VLOOKUP(Table91213[[#This Row],[Date]],'DB Details'!$A:$Q,6)=0,"",VLOOKUP(Table91213[[#This Row],[Date]],'DB Details'!$A:$Q,6))</f>
        <v/>
      </c>
      <c r="G51" s="52">
        <f>IF(VLOOKUP(Table91213[[#This Row],[Date]],'DB Details'!$A:$Q,7)=0,"",VLOOKUP(Table91213[[#This Row],[Date]],'DB Details'!$A:$Q,7))</f>
        <v/>
      </c>
      <c r="H51" s="52">
        <f>IF(VLOOKUP(Table91213[[#This Row],[Date]],'DB Details'!$A:$Q,8)=0,"",VLOOKUP(Table91213[[#This Row],[Date]],'DB Details'!$A:$Q,8))</f>
        <v/>
      </c>
      <c r="I51" s="52">
        <f>IF(VLOOKUP(Table91213[[#This Row],[Date]],'DB Details'!$A:$Q,9)=0,"",VLOOKUP(Table91213[[#This Row],[Date]],'DB Details'!$A:$Q,9))</f>
        <v/>
      </c>
      <c r="J51" s="52">
        <f>IF(VLOOKUP(Table91213[[#This Row],[Date]],'DB Details'!$A:$Q,10)=0,"",VLOOKUP(Table91213[[#This Row],[Date]],'DB Details'!$A:$Q,10))</f>
        <v/>
      </c>
      <c r="K51" s="52">
        <f>IF(VLOOKUP(Table91213[[#This Row],[Date]],'DB Details'!$A:$Q,11)=0,"",VLOOKUP(Table91213[[#This Row],[Date]],'DB Details'!$A:$Q,11))</f>
        <v/>
      </c>
      <c r="L51" s="50">
        <f>IF(VLOOKUP(Table91213[[#This Row],[Date]],'DB Details'!$A:$Q,12)=0,"",VLOOKUP(Table91213[[#This Row],[Date]],'DB Details'!$A:$Q,12))</f>
        <v/>
      </c>
    </row>
    <row r="52">
      <c r="A52" s="53" t="n">
        <v>37012</v>
      </c>
      <c r="B52" s="50">
        <f>IF(VLOOKUP(Table91213[[#This Row],[Date]],'DB Details'!$A:$Q,2)=0,"",VLOOKUP(Table91213[[#This Row],[Date]],'DB Details'!$A:$Q,2))</f>
        <v/>
      </c>
      <c r="C52" s="51">
        <f>IF(VLOOKUP(Table91213[[#This Row],[Date]],'DB Details'!$A:$Q,3)=0,"",VLOOKUP(Table91213[[#This Row],[Date]],'DB Details'!$A:$Q,3))</f>
        <v/>
      </c>
      <c r="D52" s="51">
        <f>IF(VLOOKUP(Table91213[[#This Row],[Date]],'DB Details'!$A:$Q,4)=0,"",VLOOKUP(Table91213[[#This Row],[Date]],'DB Details'!$A:$Q,4))</f>
        <v/>
      </c>
      <c r="E52" s="52">
        <f>IF(VLOOKUP(Table91213[[#This Row],[Date]],'DB Details'!$A:$Q,5)=0,"",VLOOKUP(Table91213[[#This Row],[Date]],'DB Details'!$A:$Q,5))</f>
        <v/>
      </c>
      <c r="F52" s="51">
        <f>IF(VLOOKUP(Table91213[[#This Row],[Date]],'DB Details'!$A:$Q,6)=0,"",VLOOKUP(Table91213[[#This Row],[Date]],'DB Details'!$A:$Q,6))</f>
        <v/>
      </c>
      <c r="G52" s="52">
        <f>IF(VLOOKUP(Table91213[[#This Row],[Date]],'DB Details'!$A:$Q,7)=0,"",VLOOKUP(Table91213[[#This Row],[Date]],'DB Details'!$A:$Q,7))</f>
        <v/>
      </c>
      <c r="H52" s="52">
        <f>IF(VLOOKUP(Table91213[[#This Row],[Date]],'DB Details'!$A:$Q,8)=0,"",VLOOKUP(Table91213[[#This Row],[Date]],'DB Details'!$A:$Q,8))</f>
        <v/>
      </c>
      <c r="I52" s="52">
        <f>IF(VLOOKUP(Table91213[[#This Row],[Date]],'DB Details'!$A:$Q,9)=0,"",VLOOKUP(Table91213[[#This Row],[Date]],'DB Details'!$A:$Q,9))</f>
        <v/>
      </c>
      <c r="J52" s="52">
        <f>IF(VLOOKUP(Table91213[[#This Row],[Date]],'DB Details'!$A:$Q,10)=0,"",VLOOKUP(Table91213[[#This Row],[Date]],'DB Details'!$A:$Q,10))</f>
        <v/>
      </c>
      <c r="K52" s="52">
        <f>IF(VLOOKUP(Table91213[[#This Row],[Date]],'DB Details'!$A:$Q,11)=0,"",VLOOKUP(Table91213[[#This Row],[Date]],'DB Details'!$A:$Q,11))</f>
        <v/>
      </c>
      <c r="L52" s="50">
        <f>IF(VLOOKUP(Table91213[[#This Row],[Date]],'DB Details'!$A:$Q,12)=0,"",VLOOKUP(Table91213[[#This Row],[Date]],'DB Details'!$A:$Q,12))</f>
        <v/>
      </c>
    </row>
    <row r="53">
      <c r="A53" s="53" t="n">
        <v>37043</v>
      </c>
      <c r="B53" s="50">
        <f>IF(VLOOKUP(Table91213[[#This Row],[Date]],'DB Details'!$A:$Q,2)=0,"",VLOOKUP(Table91213[[#This Row],[Date]],'DB Details'!$A:$Q,2))</f>
        <v/>
      </c>
      <c r="C53" s="51">
        <f>IF(VLOOKUP(Table91213[[#This Row],[Date]],'DB Details'!$A:$Q,3)=0,"",VLOOKUP(Table91213[[#This Row],[Date]],'DB Details'!$A:$Q,3))</f>
        <v/>
      </c>
      <c r="D53" s="51">
        <f>IF(VLOOKUP(Table91213[[#This Row],[Date]],'DB Details'!$A:$Q,4)=0,"",VLOOKUP(Table91213[[#This Row],[Date]],'DB Details'!$A:$Q,4))</f>
        <v/>
      </c>
      <c r="E53" s="52">
        <f>IF(VLOOKUP(Table91213[[#This Row],[Date]],'DB Details'!$A:$Q,5)=0,"",VLOOKUP(Table91213[[#This Row],[Date]],'DB Details'!$A:$Q,5))</f>
        <v/>
      </c>
      <c r="F53" s="51">
        <f>IF(VLOOKUP(Table91213[[#This Row],[Date]],'DB Details'!$A:$Q,6)=0,"",VLOOKUP(Table91213[[#This Row],[Date]],'DB Details'!$A:$Q,6))</f>
        <v/>
      </c>
      <c r="G53" s="52">
        <f>IF(VLOOKUP(Table91213[[#This Row],[Date]],'DB Details'!$A:$Q,7)=0,"",VLOOKUP(Table91213[[#This Row],[Date]],'DB Details'!$A:$Q,7))</f>
        <v/>
      </c>
      <c r="H53" s="52">
        <f>IF(VLOOKUP(Table91213[[#This Row],[Date]],'DB Details'!$A:$Q,8)=0,"",VLOOKUP(Table91213[[#This Row],[Date]],'DB Details'!$A:$Q,8))</f>
        <v/>
      </c>
      <c r="I53" s="52">
        <f>IF(VLOOKUP(Table91213[[#This Row],[Date]],'DB Details'!$A:$Q,9)=0,"",VLOOKUP(Table91213[[#This Row],[Date]],'DB Details'!$A:$Q,9))</f>
        <v/>
      </c>
      <c r="J53" s="52">
        <f>IF(VLOOKUP(Table91213[[#This Row],[Date]],'DB Details'!$A:$Q,10)=0,"",VLOOKUP(Table91213[[#This Row],[Date]],'DB Details'!$A:$Q,10))</f>
        <v/>
      </c>
      <c r="K53" s="52">
        <f>IF(VLOOKUP(Table91213[[#This Row],[Date]],'DB Details'!$A:$Q,11)=0,"",VLOOKUP(Table91213[[#This Row],[Date]],'DB Details'!$A:$Q,11))</f>
        <v/>
      </c>
      <c r="L53" s="50">
        <f>IF(VLOOKUP(Table91213[[#This Row],[Date]],'DB Details'!$A:$Q,12)=0,"",VLOOKUP(Table91213[[#This Row],[Date]],'DB Details'!$A:$Q,12))</f>
        <v/>
      </c>
    </row>
    <row r="54">
      <c r="A54" s="53" t="n">
        <v>37073</v>
      </c>
      <c r="B54" s="50">
        <f>IF(VLOOKUP(Table91213[[#This Row],[Date]],'DB Details'!$A:$Q,2)=0,"",VLOOKUP(Table91213[[#This Row],[Date]],'DB Details'!$A:$Q,2))</f>
        <v/>
      </c>
      <c r="C54" s="51">
        <f>IF(VLOOKUP(Table91213[[#This Row],[Date]],'DB Details'!$A:$Q,3)=0,"",VLOOKUP(Table91213[[#This Row],[Date]],'DB Details'!$A:$Q,3))</f>
        <v/>
      </c>
      <c r="D54" s="51">
        <f>IF(VLOOKUP(Table91213[[#This Row],[Date]],'DB Details'!$A:$Q,4)=0,"",VLOOKUP(Table91213[[#This Row],[Date]],'DB Details'!$A:$Q,4))</f>
        <v/>
      </c>
      <c r="E54" s="52">
        <f>IF(VLOOKUP(Table91213[[#This Row],[Date]],'DB Details'!$A:$Q,5)=0,"",VLOOKUP(Table91213[[#This Row],[Date]],'DB Details'!$A:$Q,5))</f>
        <v/>
      </c>
      <c r="F54" s="51">
        <f>IF(VLOOKUP(Table91213[[#This Row],[Date]],'DB Details'!$A:$Q,6)=0,"",VLOOKUP(Table91213[[#This Row],[Date]],'DB Details'!$A:$Q,6))</f>
        <v/>
      </c>
      <c r="G54" s="52">
        <f>IF(VLOOKUP(Table91213[[#This Row],[Date]],'DB Details'!$A:$Q,7)=0,"",VLOOKUP(Table91213[[#This Row],[Date]],'DB Details'!$A:$Q,7))</f>
        <v/>
      </c>
      <c r="H54" s="52">
        <f>IF(VLOOKUP(Table91213[[#This Row],[Date]],'DB Details'!$A:$Q,8)=0,"",VLOOKUP(Table91213[[#This Row],[Date]],'DB Details'!$A:$Q,8))</f>
        <v/>
      </c>
      <c r="I54" s="52">
        <f>IF(VLOOKUP(Table91213[[#This Row],[Date]],'DB Details'!$A:$Q,9)=0,"",VLOOKUP(Table91213[[#This Row],[Date]],'DB Details'!$A:$Q,9))</f>
        <v/>
      </c>
      <c r="J54" s="52">
        <f>IF(VLOOKUP(Table91213[[#This Row],[Date]],'DB Details'!$A:$Q,10)=0,"",VLOOKUP(Table91213[[#This Row],[Date]],'DB Details'!$A:$Q,10))</f>
        <v/>
      </c>
      <c r="K54" s="52">
        <f>IF(VLOOKUP(Table91213[[#This Row],[Date]],'DB Details'!$A:$Q,11)=0,"",VLOOKUP(Table91213[[#This Row],[Date]],'DB Details'!$A:$Q,11))</f>
        <v/>
      </c>
      <c r="L54" s="50">
        <f>IF(VLOOKUP(Table91213[[#This Row],[Date]],'DB Details'!$A:$Q,12)=0,"",VLOOKUP(Table91213[[#This Row],[Date]],'DB Details'!$A:$Q,12))</f>
        <v/>
      </c>
    </row>
    <row r="55">
      <c r="A55" s="53" t="n">
        <v>37104</v>
      </c>
      <c r="B55" s="50">
        <f>IF(VLOOKUP(Table91213[[#This Row],[Date]],'DB Details'!$A:$Q,2)=0,"",VLOOKUP(Table91213[[#This Row],[Date]],'DB Details'!$A:$Q,2))</f>
        <v/>
      </c>
      <c r="C55" s="51">
        <f>IF(VLOOKUP(Table91213[[#This Row],[Date]],'DB Details'!$A:$Q,3)=0,"",VLOOKUP(Table91213[[#This Row],[Date]],'DB Details'!$A:$Q,3))</f>
        <v/>
      </c>
      <c r="D55" s="51">
        <f>IF(VLOOKUP(Table91213[[#This Row],[Date]],'DB Details'!$A:$Q,4)=0,"",VLOOKUP(Table91213[[#This Row],[Date]],'DB Details'!$A:$Q,4))</f>
        <v/>
      </c>
      <c r="E55" s="52">
        <f>IF(VLOOKUP(Table91213[[#This Row],[Date]],'DB Details'!$A:$Q,5)=0,"",VLOOKUP(Table91213[[#This Row],[Date]],'DB Details'!$A:$Q,5))</f>
        <v/>
      </c>
      <c r="F55" s="51">
        <f>IF(VLOOKUP(Table91213[[#This Row],[Date]],'DB Details'!$A:$Q,6)=0,"",VLOOKUP(Table91213[[#This Row],[Date]],'DB Details'!$A:$Q,6))</f>
        <v/>
      </c>
      <c r="G55" s="52">
        <f>IF(VLOOKUP(Table91213[[#This Row],[Date]],'DB Details'!$A:$Q,7)=0,"",VLOOKUP(Table91213[[#This Row],[Date]],'DB Details'!$A:$Q,7))</f>
        <v/>
      </c>
      <c r="H55" s="52">
        <f>IF(VLOOKUP(Table91213[[#This Row],[Date]],'DB Details'!$A:$Q,8)=0,"",VLOOKUP(Table91213[[#This Row],[Date]],'DB Details'!$A:$Q,8))</f>
        <v/>
      </c>
      <c r="I55" s="52">
        <f>IF(VLOOKUP(Table91213[[#This Row],[Date]],'DB Details'!$A:$Q,9)=0,"",VLOOKUP(Table91213[[#This Row],[Date]],'DB Details'!$A:$Q,9))</f>
        <v/>
      </c>
      <c r="J55" s="52">
        <f>IF(VLOOKUP(Table91213[[#This Row],[Date]],'DB Details'!$A:$Q,10)=0,"",VLOOKUP(Table91213[[#This Row],[Date]],'DB Details'!$A:$Q,10))</f>
        <v/>
      </c>
      <c r="K55" s="52">
        <f>IF(VLOOKUP(Table91213[[#This Row],[Date]],'DB Details'!$A:$Q,11)=0,"",VLOOKUP(Table91213[[#This Row],[Date]],'DB Details'!$A:$Q,11))</f>
        <v/>
      </c>
      <c r="L55" s="50">
        <f>IF(VLOOKUP(Table91213[[#This Row],[Date]],'DB Details'!$A:$Q,12)=0,"",VLOOKUP(Table91213[[#This Row],[Date]],'DB Details'!$A:$Q,12))</f>
        <v/>
      </c>
    </row>
    <row r="56">
      <c r="A56" s="53" t="n">
        <v>37135</v>
      </c>
      <c r="B56" s="50">
        <f>IF(VLOOKUP(Table91213[[#This Row],[Date]],'DB Details'!$A:$Q,2)=0,"",VLOOKUP(Table91213[[#This Row],[Date]],'DB Details'!$A:$Q,2))</f>
        <v/>
      </c>
      <c r="C56" s="51">
        <f>IF(VLOOKUP(Table91213[[#This Row],[Date]],'DB Details'!$A:$Q,3)=0,"",VLOOKUP(Table91213[[#This Row],[Date]],'DB Details'!$A:$Q,3))</f>
        <v/>
      </c>
      <c r="D56" s="51">
        <f>IF(VLOOKUP(Table91213[[#This Row],[Date]],'DB Details'!$A:$Q,4)=0,"",VLOOKUP(Table91213[[#This Row],[Date]],'DB Details'!$A:$Q,4))</f>
        <v/>
      </c>
      <c r="E56" s="52">
        <f>IF(VLOOKUP(Table91213[[#This Row],[Date]],'DB Details'!$A:$Q,5)=0,"",VLOOKUP(Table91213[[#This Row],[Date]],'DB Details'!$A:$Q,5))</f>
        <v/>
      </c>
      <c r="F56" s="51">
        <f>IF(VLOOKUP(Table91213[[#This Row],[Date]],'DB Details'!$A:$Q,6)=0,"",VLOOKUP(Table91213[[#This Row],[Date]],'DB Details'!$A:$Q,6))</f>
        <v/>
      </c>
      <c r="G56" s="52">
        <f>IF(VLOOKUP(Table91213[[#This Row],[Date]],'DB Details'!$A:$Q,7)=0,"",VLOOKUP(Table91213[[#This Row],[Date]],'DB Details'!$A:$Q,7))</f>
        <v/>
      </c>
      <c r="H56" s="52">
        <f>IF(VLOOKUP(Table91213[[#This Row],[Date]],'DB Details'!$A:$Q,8)=0,"",VLOOKUP(Table91213[[#This Row],[Date]],'DB Details'!$A:$Q,8))</f>
        <v/>
      </c>
      <c r="I56" s="52">
        <f>IF(VLOOKUP(Table91213[[#This Row],[Date]],'DB Details'!$A:$Q,9)=0,"",VLOOKUP(Table91213[[#This Row],[Date]],'DB Details'!$A:$Q,9))</f>
        <v/>
      </c>
      <c r="J56" s="52">
        <f>IF(VLOOKUP(Table91213[[#This Row],[Date]],'DB Details'!$A:$Q,10)=0,"",VLOOKUP(Table91213[[#This Row],[Date]],'DB Details'!$A:$Q,10))</f>
        <v/>
      </c>
      <c r="K56" s="52">
        <f>IF(VLOOKUP(Table91213[[#This Row],[Date]],'DB Details'!$A:$Q,11)=0,"",VLOOKUP(Table91213[[#This Row],[Date]],'DB Details'!$A:$Q,11))</f>
        <v/>
      </c>
      <c r="L56" s="50">
        <f>IF(VLOOKUP(Table91213[[#This Row],[Date]],'DB Details'!$A:$Q,12)=0,"",VLOOKUP(Table91213[[#This Row],[Date]],'DB Details'!$A:$Q,12))</f>
        <v/>
      </c>
    </row>
    <row r="57">
      <c r="A57" s="53" t="n">
        <v>37165</v>
      </c>
      <c r="B57" s="50">
        <f>IF(VLOOKUP(Table91213[[#This Row],[Date]],'DB Details'!$A:$Q,2)=0,"",VLOOKUP(Table91213[[#This Row],[Date]],'DB Details'!$A:$Q,2))</f>
        <v/>
      </c>
      <c r="C57" s="51">
        <f>IF(VLOOKUP(Table91213[[#This Row],[Date]],'DB Details'!$A:$Q,3)=0,"",VLOOKUP(Table91213[[#This Row],[Date]],'DB Details'!$A:$Q,3))</f>
        <v/>
      </c>
      <c r="D57" s="51">
        <f>IF(VLOOKUP(Table91213[[#This Row],[Date]],'DB Details'!$A:$Q,4)=0,"",VLOOKUP(Table91213[[#This Row],[Date]],'DB Details'!$A:$Q,4))</f>
        <v/>
      </c>
      <c r="E57" s="52">
        <f>IF(VLOOKUP(Table91213[[#This Row],[Date]],'DB Details'!$A:$Q,5)=0,"",VLOOKUP(Table91213[[#This Row],[Date]],'DB Details'!$A:$Q,5))</f>
        <v/>
      </c>
      <c r="F57" s="51">
        <f>IF(VLOOKUP(Table91213[[#This Row],[Date]],'DB Details'!$A:$Q,6)=0,"",VLOOKUP(Table91213[[#This Row],[Date]],'DB Details'!$A:$Q,6))</f>
        <v/>
      </c>
      <c r="G57" s="52">
        <f>IF(VLOOKUP(Table91213[[#This Row],[Date]],'DB Details'!$A:$Q,7)=0,"",VLOOKUP(Table91213[[#This Row],[Date]],'DB Details'!$A:$Q,7))</f>
        <v/>
      </c>
      <c r="H57" s="52">
        <f>IF(VLOOKUP(Table91213[[#This Row],[Date]],'DB Details'!$A:$Q,8)=0,"",VLOOKUP(Table91213[[#This Row],[Date]],'DB Details'!$A:$Q,8))</f>
        <v/>
      </c>
      <c r="I57" s="52">
        <f>IF(VLOOKUP(Table91213[[#This Row],[Date]],'DB Details'!$A:$Q,9)=0,"",VLOOKUP(Table91213[[#This Row],[Date]],'DB Details'!$A:$Q,9))</f>
        <v/>
      </c>
      <c r="J57" s="52">
        <f>IF(VLOOKUP(Table91213[[#This Row],[Date]],'DB Details'!$A:$Q,10)=0,"",VLOOKUP(Table91213[[#This Row],[Date]],'DB Details'!$A:$Q,10))</f>
        <v/>
      </c>
      <c r="K57" s="52">
        <f>IF(VLOOKUP(Table91213[[#This Row],[Date]],'DB Details'!$A:$Q,11)=0,"",VLOOKUP(Table91213[[#This Row],[Date]],'DB Details'!$A:$Q,11))</f>
        <v/>
      </c>
      <c r="L57" s="50">
        <f>IF(VLOOKUP(Table91213[[#This Row],[Date]],'DB Details'!$A:$Q,12)=0,"",VLOOKUP(Table91213[[#This Row],[Date]],'DB Details'!$A:$Q,12))</f>
        <v/>
      </c>
    </row>
    <row r="58">
      <c r="A58" s="53" t="n">
        <v>37196</v>
      </c>
      <c r="B58" s="50">
        <f>IF(VLOOKUP(Table91213[[#This Row],[Date]],'DB Details'!$A:$Q,2)=0,"",VLOOKUP(Table91213[[#This Row],[Date]],'DB Details'!$A:$Q,2))</f>
        <v/>
      </c>
      <c r="C58" s="51">
        <f>IF(VLOOKUP(Table91213[[#This Row],[Date]],'DB Details'!$A:$Q,3)=0,"",VLOOKUP(Table91213[[#This Row],[Date]],'DB Details'!$A:$Q,3))</f>
        <v/>
      </c>
      <c r="D58" s="51">
        <f>IF(VLOOKUP(Table91213[[#This Row],[Date]],'DB Details'!$A:$Q,4)=0,"",VLOOKUP(Table91213[[#This Row],[Date]],'DB Details'!$A:$Q,4))</f>
        <v/>
      </c>
      <c r="E58" s="52">
        <f>IF(VLOOKUP(Table91213[[#This Row],[Date]],'DB Details'!$A:$Q,5)=0,"",VLOOKUP(Table91213[[#This Row],[Date]],'DB Details'!$A:$Q,5))</f>
        <v/>
      </c>
      <c r="F58" s="51">
        <f>IF(VLOOKUP(Table91213[[#This Row],[Date]],'DB Details'!$A:$Q,6)=0,"",VLOOKUP(Table91213[[#This Row],[Date]],'DB Details'!$A:$Q,6))</f>
        <v/>
      </c>
      <c r="G58" s="52">
        <f>IF(VLOOKUP(Table91213[[#This Row],[Date]],'DB Details'!$A:$Q,7)=0,"",VLOOKUP(Table91213[[#This Row],[Date]],'DB Details'!$A:$Q,7))</f>
        <v/>
      </c>
      <c r="H58" s="52">
        <f>IF(VLOOKUP(Table91213[[#This Row],[Date]],'DB Details'!$A:$Q,8)=0,"",VLOOKUP(Table91213[[#This Row],[Date]],'DB Details'!$A:$Q,8))</f>
        <v/>
      </c>
      <c r="I58" s="52">
        <f>IF(VLOOKUP(Table91213[[#This Row],[Date]],'DB Details'!$A:$Q,9)=0,"",VLOOKUP(Table91213[[#This Row],[Date]],'DB Details'!$A:$Q,9))</f>
        <v/>
      </c>
      <c r="J58" s="52">
        <f>IF(VLOOKUP(Table91213[[#This Row],[Date]],'DB Details'!$A:$Q,10)=0,"",VLOOKUP(Table91213[[#This Row],[Date]],'DB Details'!$A:$Q,10))</f>
        <v/>
      </c>
      <c r="K58" s="52">
        <f>IF(VLOOKUP(Table91213[[#This Row],[Date]],'DB Details'!$A:$Q,11)=0,"",VLOOKUP(Table91213[[#This Row],[Date]],'DB Details'!$A:$Q,11))</f>
        <v/>
      </c>
      <c r="L58" s="50">
        <f>IF(VLOOKUP(Table91213[[#This Row],[Date]],'DB Details'!$A:$Q,12)=0,"",VLOOKUP(Table91213[[#This Row],[Date]],'DB Details'!$A:$Q,12))</f>
        <v/>
      </c>
    </row>
    <row r="59">
      <c r="A59" s="53" t="n">
        <v>37226</v>
      </c>
      <c r="B59" s="50">
        <f>IF(VLOOKUP(Table91213[[#This Row],[Date]],'DB Details'!$A:$Q,2)=0,"",VLOOKUP(Table91213[[#This Row],[Date]],'DB Details'!$A:$Q,2))</f>
        <v/>
      </c>
      <c r="C59" s="51">
        <f>IF(VLOOKUP(Table91213[[#This Row],[Date]],'DB Details'!$A:$Q,3)=0,"",VLOOKUP(Table91213[[#This Row],[Date]],'DB Details'!$A:$Q,3))</f>
        <v/>
      </c>
      <c r="D59" s="51">
        <f>IF(VLOOKUP(Table91213[[#This Row],[Date]],'DB Details'!$A:$Q,4)=0,"",VLOOKUP(Table91213[[#This Row],[Date]],'DB Details'!$A:$Q,4))</f>
        <v/>
      </c>
      <c r="E59" s="52">
        <f>IF(VLOOKUP(Table91213[[#This Row],[Date]],'DB Details'!$A:$Q,5)=0,"",VLOOKUP(Table91213[[#This Row],[Date]],'DB Details'!$A:$Q,5))</f>
        <v/>
      </c>
      <c r="F59" s="51">
        <f>IF(VLOOKUP(Table91213[[#This Row],[Date]],'DB Details'!$A:$Q,6)=0,"",VLOOKUP(Table91213[[#This Row],[Date]],'DB Details'!$A:$Q,6))</f>
        <v/>
      </c>
      <c r="G59" s="52">
        <f>IF(VLOOKUP(Table91213[[#This Row],[Date]],'DB Details'!$A:$Q,7)=0,"",VLOOKUP(Table91213[[#This Row],[Date]],'DB Details'!$A:$Q,7))</f>
        <v/>
      </c>
      <c r="H59" s="52">
        <f>IF(VLOOKUP(Table91213[[#This Row],[Date]],'DB Details'!$A:$Q,8)=0,"",VLOOKUP(Table91213[[#This Row],[Date]],'DB Details'!$A:$Q,8))</f>
        <v/>
      </c>
      <c r="I59" s="52">
        <f>IF(VLOOKUP(Table91213[[#This Row],[Date]],'DB Details'!$A:$Q,9)=0,"",VLOOKUP(Table91213[[#This Row],[Date]],'DB Details'!$A:$Q,9))</f>
        <v/>
      </c>
      <c r="J59" s="52">
        <f>IF(VLOOKUP(Table91213[[#This Row],[Date]],'DB Details'!$A:$Q,10)=0,"",VLOOKUP(Table91213[[#This Row],[Date]],'DB Details'!$A:$Q,10))</f>
        <v/>
      </c>
      <c r="K59" s="52">
        <f>IF(VLOOKUP(Table91213[[#This Row],[Date]],'DB Details'!$A:$Q,11)=0,"",VLOOKUP(Table91213[[#This Row],[Date]],'DB Details'!$A:$Q,11))</f>
        <v/>
      </c>
      <c r="L59" s="50">
        <f>IF(VLOOKUP(Table91213[[#This Row],[Date]],'DB Details'!$A:$Q,12)=0,"",VLOOKUP(Table91213[[#This Row],[Date]],'DB Details'!$A:$Q,12))</f>
        <v/>
      </c>
    </row>
    <row r="60">
      <c r="A60" s="53" t="n">
        <v>37257</v>
      </c>
      <c r="B60" s="50">
        <f>IF(VLOOKUP(Table91213[[#This Row],[Date]],'DB Details'!$A:$Q,2)=0,"",VLOOKUP(Table91213[[#This Row],[Date]],'DB Details'!$A:$Q,2))</f>
        <v/>
      </c>
      <c r="C60" s="51">
        <f>IF(VLOOKUP(Table91213[[#This Row],[Date]],'DB Details'!$A:$Q,3)=0,"",VLOOKUP(Table91213[[#This Row],[Date]],'DB Details'!$A:$Q,3))</f>
        <v/>
      </c>
      <c r="D60" s="51">
        <f>IF(VLOOKUP(Table91213[[#This Row],[Date]],'DB Details'!$A:$Q,4)=0,"",VLOOKUP(Table91213[[#This Row],[Date]],'DB Details'!$A:$Q,4))</f>
        <v/>
      </c>
      <c r="E60" s="52">
        <f>IF(VLOOKUP(Table91213[[#This Row],[Date]],'DB Details'!$A:$Q,5)=0,"",VLOOKUP(Table91213[[#This Row],[Date]],'DB Details'!$A:$Q,5))</f>
        <v/>
      </c>
      <c r="F60" s="51">
        <f>IF(VLOOKUP(Table91213[[#This Row],[Date]],'DB Details'!$A:$Q,6)=0,"",VLOOKUP(Table91213[[#This Row],[Date]],'DB Details'!$A:$Q,6))</f>
        <v/>
      </c>
      <c r="G60" s="52">
        <f>IF(VLOOKUP(Table91213[[#This Row],[Date]],'DB Details'!$A:$Q,7)=0,"",VLOOKUP(Table91213[[#This Row],[Date]],'DB Details'!$A:$Q,7))</f>
        <v/>
      </c>
      <c r="H60" s="52">
        <f>IF(VLOOKUP(Table91213[[#This Row],[Date]],'DB Details'!$A:$Q,8)=0,"",VLOOKUP(Table91213[[#This Row],[Date]],'DB Details'!$A:$Q,8))</f>
        <v/>
      </c>
      <c r="I60" s="52">
        <f>IF(VLOOKUP(Table91213[[#This Row],[Date]],'DB Details'!$A:$Q,9)=0,"",VLOOKUP(Table91213[[#This Row],[Date]],'DB Details'!$A:$Q,9))</f>
        <v/>
      </c>
      <c r="J60" s="52">
        <f>IF(VLOOKUP(Table91213[[#This Row],[Date]],'DB Details'!$A:$Q,10)=0,"",VLOOKUP(Table91213[[#This Row],[Date]],'DB Details'!$A:$Q,10))</f>
        <v/>
      </c>
      <c r="K60" s="52">
        <f>IF(VLOOKUP(Table91213[[#This Row],[Date]],'DB Details'!$A:$Q,11)=0,"",VLOOKUP(Table91213[[#This Row],[Date]],'DB Details'!$A:$Q,11))</f>
        <v/>
      </c>
      <c r="L60" s="50">
        <f>IF(VLOOKUP(Table91213[[#This Row],[Date]],'DB Details'!$A:$Q,12)=0,"",VLOOKUP(Table91213[[#This Row],[Date]],'DB Details'!$A:$Q,12))</f>
        <v/>
      </c>
    </row>
    <row r="61">
      <c r="A61" s="53" t="n">
        <v>37288</v>
      </c>
      <c r="B61" s="50">
        <f>IF(VLOOKUP(Table91213[[#This Row],[Date]],'DB Details'!$A:$Q,2)=0,"",VLOOKUP(Table91213[[#This Row],[Date]],'DB Details'!$A:$Q,2))</f>
        <v/>
      </c>
      <c r="C61" s="51">
        <f>IF(VLOOKUP(Table91213[[#This Row],[Date]],'DB Details'!$A:$Q,3)=0,"",VLOOKUP(Table91213[[#This Row],[Date]],'DB Details'!$A:$Q,3))</f>
        <v/>
      </c>
      <c r="D61" s="51">
        <f>IF(VLOOKUP(Table91213[[#This Row],[Date]],'DB Details'!$A:$Q,4)=0,"",VLOOKUP(Table91213[[#This Row],[Date]],'DB Details'!$A:$Q,4))</f>
        <v/>
      </c>
      <c r="E61" s="52">
        <f>IF(VLOOKUP(Table91213[[#This Row],[Date]],'DB Details'!$A:$Q,5)=0,"",VLOOKUP(Table91213[[#This Row],[Date]],'DB Details'!$A:$Q,5))</f>
        <v/>
      </c>
      <c r="F61" s="51">
        <f>IF(VLOOKUP(Table91213[[#This Row],[Date]],'DB Details'!$A:$Q,6)=0,"",VLOOKUP(Table91213[[#This Row],[Date]],'DB Details'!$A:$Q,6))</f>
        <v/>
      </c>
      <c r="G61" s="52">
        <f>IF(VLOOKUP(Table91213[[#This Row],[Date]],'DB Details'!$A:$Q,7)=0,"",VLOOKUP(Table91213[[#This Row],[Date]],'DB Details'!$A:$Q,7))</f>
        <v/>
      </c>
      <c r="H61" s="52">
        <f>IF(VLOOKUP(Table91213[[#This Row],[Date]],'DB Details'!$A:$Q,8)=0,"",VLOOKUP(Table91213[[#This Row],[Date]],'DB Details'!$A:$Q,8))</f>
        <v/>
      </c>
      <c r="I61" s="52">
        <f>IF(VLOOKUP(Table91213[[#This Row],[Date]],'DB Details'!$A:$Q,9)=0,"",VLOOKUP(Table91213[[#This Row],[Date]],'DB Details'!$A:$Q,9))</f>
        <v/>
      </c>
      <c r="J61" s="52">
        <f>IF(VLOOKUP(Table91213[[#This Row],[Date]],'DB Details'!$A:$Q,10)=0,"",VLOOKUP(Table91213[[#This Row],[Date]],'DB Details'!$A:$Q,10))</f>
        <v/>
      </c>
      <c r="K61" s="52">
        <f>IF(VLOOKUP(Table91213[[#This Row],[Date]],'DB Details'!$A:$Q,11)=0,"",VLOOKUP(Table91213[[#This Row],[Date]],'DB Details'!$A:$Q,11))</f>
        <v/>
      </c>
      <c r="L61" s="50">
        <f>IF(VLOOKUP(Table91213[[#This Row],[Date]],'DB Details'!$A:$Q,12)=0,"",VLOOKUP(Table91213[[#This Row],[Date]],'DB Details'!$A:$Q,12))</f>
        <v/>
      </c>
    </row>
    <row r="62">
      <c r="A62" s="53" t="n">
        <v>37316</v>
      </c>
      <c r="B62" s="50">
        <f>IF(VLOOKUP(Table91213[[#This Row],[Date]],'DB Details'!$A:$Q,2)=0,"",VLOOKUP(Table91213[[#This Row],[Date]],'DB Details'!$A:$Q,2))</f>
        <v/>
      </c>
      <c r="C62" s="51">
        <f>IF(VLOOKUP(Table91213[[#This Row],[Date]],'DB Details'!$A:$Q,3)=0,"",VLOOKUP(Table91213[[#This Row],[Date]],'DB Details'!$A:$Q,3))</f>
        <v/>
      </c>
      <c r="D62" s="51">
        <f>IF(VLOOKUP(Table91213[[#This Row],[Date]],'DB Details'!$A:$Q,4)=0,"",VLOOKUP(Table91213[[#This Row],[Date]],'DB Details'!$A:$Q,4))</f>
        <v/>
      </c>
      <c r="E62" s="52">
        <f>IF(VLOOKUP(Table91213[[#This Row],[Date]],'DB Details'!$A:$Q,5)=0,"",VLOOKUP(Table91213[[#This Row],[Date]],'DB Details'!$A:$Q,5))</f>
        <v/>
      </c>
      <c r="F62" s="51">
        <f>IF(VLOOKUP(Table91213[[#This Row],[Date]],'DB Details'!$A:$Q,6)=0,"",VLOOKUP(Table91213[[#This Row],[Date]],'DB Details'!$A:$Q,6))</f>
        <v/>
      </c>
      <c r="G62" s="52">
        <f>IF(VLOOKUP(Table91213[[#This Row],[Date]],'DB Details'!$A:$Q,7)=0,"",VLOOKUP(Table91213[[#This Row],[Date]],'DB Details'!$A:$Q,7))</f>
        <v/>
      </c>
      <c r="H62" s="52">
        <f>IF(VLOOKUP(Table91213[[#This Row],[Date]],'DB Details'!$A:$Q,8)=0,"",VLOOKUP(Table91213[[#This Row],[Date]],'DB Details'!$A:$Q,8))</f>
        <v/>
      </c>
      <c r="I62" s="52">
        <f>IF(VLOOKUP(Table91213[[#This Row],[Date]],'DB Details'!$A:$Q,9)=0,"",VLOOKUP(Table91213[[#This Row],[Date]],'DB Details'!$A:$Q,9))</f>
        <v/>
      </c>
      <c r="J62" s="52">
        <f>IF(VLOOKUP(Table91213[[#This Row],[Date]],'DB Details'!$A:$Q,10)=0,"",VLOOKUP(Table91213[[#This Row],[Date]],'DB Details'!$A:$Q,10))</f>
        <v/>
      </c>
      <c r="K62" s="52">
        <f>IF(VLOOKUP(Table91213[[#This Row],[Date]],'DB Details'!$A:$Q,11)=0,"",VLOOKUP(Table91213[[#This Row],[Date]],'DB Details'!$A:$Q,11))</f>
        <v/>
      </c>
      <c r="L62" s="50">
        <f>IF(VLOOKUP(Table91213[[#This Row],[Date]],'DB Details'!$A:$Q,12)=0,"",VLOOKUP(Table91213[[#This Row],[Date]],'DB Details'!$A:$Q,12))</f>
        <v/>
      </c>
    </row>
    <row r="63">
      <c r="A63" s="53" t="n">
        <v>37347</v>
      </c>
      <c r="B63" s="50">
        <f>IF(VLOOKUP(Table91213[[#This Row],[Date]],'DB Details'!$A:$Q,2)=0,"",VLOOKUP(Table91213[[#This Row],[Date]],'DB Details'!$A:$Q,2))</f>
        <v/>
      </c>
      <c r="C63" s="51">
        <f>IF(VLOOKUP(Table91213[[#This Row],[Date]],'DB Details'!$A:$Q,3)=0,"",VLOOKUP(Table91213[[#This Row],[Date]],'DB Details'!$A:$Q,3))</f>
        <v/>
      </c>
      <c r="D63" s="51">
        <f>IF(VLOOKUP(Table91213[[#This Row],[Date]],'DB Details'!$A:$Q,4)=0,"",VLOOKUP(Table91213[[#This Row],[Date]],'DB Details'!$A:$Q,4))</f>
        <v/>
      </c>
      <c r="E63" s="52">
        <f>IF(VLOOKUP(Table91213[[#This Row],[Date]],'DB Details'!$A:$Q,5)=0,"",VLOOKUP(Table91213[[#This Row],[Date]],'DB Details'!$A:$Q,5))</f>
        <v/>
      </c>
      <c r="F63" s="51">
        <f>IF(VLOOKUP(Table91213[[#This Row],[Date]],'DB Details'!$A:$Q,6)=0,"",VLOOKUP(Table91213[[#This Row],[Date]],'DB Details'!$A:$Q,6))</f>
        <v/>
      </c>
      <c r="G63" s="52">
        <f>IF(VLOOKUP(Table91213[[#This Row],[Date]],'DB Details'!$A:$Q,7)=0,"",VLOOKUP(Table91213[[#This Row],[Date]],'DB Details'!$A:$Q,7))</f>
        <v/>
      </c>
      <c r="H63" s="52">
        <f>IF(VLOOKUP(Table91213[[#This Row],[Date]],'DB Details'!$A:$Q,8)=0,"",VLOOKUP(Table91213[[#This Row],[Date]],'DB Details'!$A:$Q,8))</f>
        <v/>
      </c>
      <c r="I63" s="52">
        <f>IF(VLOOKUP(Table91213[[#This Row],[Date]],'DB Details'!$A:$Q,9)=0,"",VLOOKUP(Table91213[[#This Row],[Date]],'DB Details'!$A:$Q,9))</f>
        <v/>
      </c>
      <c r="J63" s="52">
        <f>IF(VLOOKUP(Table91213[[#This Row],[Date]],'DB Details'!$A:$Q,10)=0,"",VLOOKUP(Table91213[[#This Row],[Date]],'DB Details'!$A:$Q,10))</f>
        <v/>
      </c>
      <c r="K63" s="52">
        <f>IF(VLOOKUP(Table91213[[#This Row],[Date]],'DB Details'!$A:$Q,11)=0,"",VLOOKUP(Table91213[[#This Row],[Date]],'DB Details'!$A:$Q,11))</f>
        <v/>
      </c>
      <c r="L63" s="50">
        <f>IF(VLOOKUP(Table91213[[#This Row],[Date]],'DB Details'!$A:$Q,12)=0,"",VLOOKUP(Table91213[[#This Row],[Date]],'DB Details'!$A:$Q,12))</f>
        <v/>
      </c>
    </row>
    <row r="64">
      <c r="A64" s="53" t="n">
        <v>37377</v>
      </c>
      <c r="B64" s="50">
        <f>IF(VLOOKUP(Table91213[[#This Row],[Date]],'DB Details'!$A:$Q,2)=0,"",VLOOKUP(Table91213[[#This Row],[Date]],'DB Details'!$A:$Q,2))</f>
        <v/>
      </c>
      <c r="C64" s="51">
        <f>IF(VLOOKUP(Table91213[[#This Row],[Date]],'DB Details'!$A:$Q,3)=0,"",VLOOKUP(Table91213[[#This Row],[Date]],'DB Details'!$A:$Q,3))</f>
        <v/>
      </c>
      <c r="D64" s="51">
        <f>IF(VLOOKUP(Table91213[[#This Row],[Date]],'DB Details'!$A:$Q,4)=0,"",VLOOKUP(Table91213[[#This Row],[Date]],'DB Details'!$A:$Q,4))</f>
        <v/>
      </c>
      <c r="E64" s="52">
        <f>IF(VLOOKUP(Table91213[[#This Row],[Date]],'DB Details'!$A:$Q,5)=0,"",VLOOKUP(Table91213[[#This Row],[Date]],'DB Details'!$A:$Q,5))</f>
        <v/>
      </c>
      <c r="F64" s="51">
        <f>IF(VLOOKUP(Table91213[[#This Row],[Date]],'DB Details'!$A:$Q,6)=0,"",VLOOKUP(Table91213[[#This Row],[Date]],'DB Details'!$A:$Q,6))</f>
        <v/>
      </c>
      <c r="G64" s="52">
        <f>IF(VLOOKUP(Table91213[[#This Row],[Date]],'DB Details'!$A:$Q,7)=0,"",VLOOKUP(Table91213[[#This Row],[Date]],'DB Details'!$A:$Q,7))</f>
        <v/>
      </c>
      <c r="H64" s="52">
        <f>IF(VLOOKUP(Table91213[[#This Row],[Date]],'DB Details'!$A:$Q,8)=0,"",VLOOKUP(Table91213[[#This Row],[Date]],'DB Details'!$A:$Q,8))</f>
        <v/>
      </c>
      <c r="I64" s="52">
        <f>IF(VLOOKUP(Table91213[[#This Row],[Date]],'DB Details'!$A:$Q,9)=0,"",VLOOKUP(Table91213[[#This Row],[Date]],'DB Details'!$A:$Q,9))</f>
        <v/>
      </c>
      <c r="J64" s="52">
        <f>IF(VLOOKUP(Table91213[[#This Row],[Date]],'DB Details'!$A:$Q,10)=0,"",VLOOKUP(Table91213[[#This Row],[Date]],'DB Details'!$A:$Q,10))</f>
        <v/>
      </c>
      <c r="K64" s="52">
        <f>IF(VLOOKUP(Table91213[[#This Row],[Date]],'DB Details'!$A:$Q,11)=0,"",VLOOKUP(Table91213[[#This Row],[Date]],'DB Details'!$A:$Q,11))</f>
        <v/>
      </c>
      <c r="L64" s="50">
        <f>IF(VLOOKUP(Table91213[[#This Row],[Date]],'DB Details'!$A:$Q,12)=0,"",VLOOKUP(Table91213[[#This Row],[Date]],'DB Details'!$A:$Q,12))</f>
        <v/>
      </c>
    </row>
    <row r="65">
      <c r="A65" s="53" t="n">
        <v>37408</v>
      </c>
      <c r="B65" s="50">
        <f>IF(VLOOKUP(Table91213[[#This Row],[Date]],'DB Details'!$A:$Q,2)=0,"",VLOOKUP(Table91213[[#This Row],[Date]],'DB Details'!$A:$Q,2))</f>
        <v/>
      </c>
      <c r="C65" s="51">
        <f>IF(VLOOKUP(Table91213[[#This Row],[Date]],'DB Details'!$A:$Q,3)=0,"",VLOOKUP(Table91213[[#This Row],[Date]],'DB Details'!$A:$Q,3))</f>
        <v/>
      </c>
      <c r="D65" s="51">
        <f>IF(VLOOKUP(Table91213[[#This Row],[Date]],'DB Details'!$A:$Q,4)=0,"",VLOOKUP(Table91213[[#This Row],[Date]],'DB Details'!$A:$Q,4))</f>
        <v/>
      </c>
      <c r="E65" s="52">
        <f>IF(VLOOKUP(Table91213[[#This Row],[Date]],'DB Details'!$A:$Q,5)=0,"",VLOOKUP(Table91213[[#This Row],[Date]],'DB Details'!$A:$Q,5))</f>
        <v/>
      </c>
      <c r="F65" s="51">
        <f>IF(VLOOKUP(Table91213[[#This Row],[Date]],'DB Details'!$A:$Q,6)=0,"",VLOOKUP(Table91213[[#This Row],[Date]],'DB Details'!$A:$Q,6))</f>
        <v/>
      </c>
      <c r="G65" s="52">
        <f>IF(VLOOKUP(Table91213[[#This Row],[Date]],'DB Details'!$A:$Q,7)=0,"",VLOOKUP(Table91213[[#This Row],[Date]],'DB Details'!$A:$Q,7))</f>
        <v/>
      </c>
      <c r="H65" s="52">
        <f>IF(VLOOKUP(Table91213[[#This Row],[Date]],'DB Details'!$A:$Q,8)=0,"",VLOOKUP(Table91213[[#This Row],[Date]],'DB Details'!$A:$Q,8))</f>
        <v/>
      </c>
      <c r="I65" s="52">
        <f>IF(VLOOKUP(Table91213[[#This Row],[Date]],'DB Details'!$A:$Q,9)=0,"",VLOOKUP(Table91213[[#This Row],[Date]],'DB Details'!$A:$Q,9))</f>
        <v/>
      </c>
      <c r="J65" s="52">
        <f>IF(VLOOKUP(Table91213[[#This Row],[Date]],'DB Details'!$A:$Q,10)=0,"",VLOOKUP(Table91213[[#This Row],[Date]],'DB Details'!$A:$Q,10))</f>
        <v/>
      </c>
      <c r="K65" s="52">
        <f>IF(VLOOKUP(Table91213[[#This Row],[Date]],'DB Details'!$A:$Q,11)=0,"",VLOOKUP(Table91213[[#This Row],[Date]],'DB Details'!$A:$Q,11))</f>
        <v/>
      </c>
      <c r="L65" s="50">
        <f>IF(VLOOKUP(Table91213[[#This Row],[Date]],'DB Details'!$A:$Q,12)=0,"",VLOOKUP(Table91213[[#This Row],[Date]],'DB Details'!$A:$Q,12))</f>
        <v/>
      </c>
    </row>
    <row r="66">
      <c r="A66" s="53" t="n">
        <v>37438</v>
      </c>
      <c r="B66" s="50">
        <f>IF(VLOOKUP(Table91213[[#This Row],[Date]],'DB Details'!$A:$Q,2)=0,"",VLOOKUP(Table91213[[#This Row],[Date]],'DB Details'!$A:$Q,2))</f>
        <v/>
      </c>
      <c r="C66" s="51">
        <f>IF(VLOOKUP(Table91213[[#This Row],[Date]],'DB Details'!$A:$Q,3)=0,"",VLOOKUP(Table91213[[#This Row],[Date]],'DB Details'!$A:$Q,3))</f>
        <v/>
      </c>
      <c r="D66" s="51">
        <f>IF(VLOOKUP(Table91213[[#This Row],[Date]],'DB Details'!$A:$Q,4)=0,"",VLOOKUP(Table91213[[#This Row],[Date]],'DB Details'!$A:$Q,4))</f>
        <v/>
      </c>
      <c r="E66" s="52">
        <f>IF(VLOOKUP(Table91213[[#This Row],[Date]],'DB Details'!$A:$Q,5)=0,"",VLOOKUP(Table91213[[#This Row],[Date]],'DB Details'!$A:$Q,5))</f>
        <v/>
      </c>
      <c r="F66" s="51">
        <f>IF(VLOOKUP(Table91213[[#This Row],[Date]],'DB Details'!$A:$Q,6)=0,"",VLOOKUP(Table91213[[#This Row],[Date]],'DB Details'!$A:$Q,6))</f>
        <v/>
      </c>
      <c r="G66" s="52">
        <f>IF(VLOOKUP(Table91213[[#This Row],[Date]],'DB Details'!$A:$Q,7)=0,"",VLOOKUP(Table91213[[#This Row],[Date]],'DB Details'!$A:$Q,7))</f>
        <v/>
      </c>
      <c r="H66" s="52">
        <f>IF(VLOOKUP(Table91213[[#This Row],[Date]],'DB Details'!$A:$Q,8)=0,"",VLOOKUP(Table91213[[#This Row],[Date]],'DB Details'!$A:$Q,8))</f>
        <v/>
      </c>
      <c r="I66" s="52">
        <f>IF(VLOOKUP(Table91213[[#This Row],[Date]],'DB Details'!$A:$Q,9)=0,"",VLOOKUP(Table91213[[#This Row],[Date]],'DB Details'!$A:$Q,9))</f>
        <v/>
      </c>
      <c r="J66" s="52">
        <f>IF(VLOOKUP(Table91213[[#This Row],[Date]],'DB Details'!$A:$Q,10)=0,"",VLOOKUP(Table91213[[#This Row],[Date]],'DB Details'!$A:$Q,10))</f>
        <v/>
      </c>
      <c r="K66" s="52">
        <f>IF(VLOOKUP(Table91213[[#This Row],[Date]],'DB Details'!$A:$Q,11)=0,"",VLOOKUP(Table91213[[#This Row],[Date]],'DB Details'!$A:$Q,11))</f>
        <v/>
      </c>
      <c r="L66" s="50">
        <f>IF(VLOOKUP(Table91213[[#This Row],[Date]],'DB Details'!$A:$Q,12)=0,"",VLOOKUP(Table91213[[#This Row],[Date]],'DB Details'!$A:$Q,12))</f>
        <v/>
      </c>
    </row>
    <row r="67">
      <c r="A67" s="53" t="n">
        <v>37469</v>
      </c>
      <c r="B67" s="50">
        <f>IF(VLOOKUP(Table91213[[#This Row],[Date]],'DB Details'!$A:$Q,2)=0,"",VLOOKUP(Table91213[[#This Row],[Date]],'DB Details'!$A:$Q,2))</f>
        <v/>
      </c>
      <c r="C67" s="51">
        <f>IF(VLOOKUP(Table91213[[#This Row],[Date]],'DB Details'!$A:$Q,3)=0,"",VLOOKUP(Table91213[[#This Row],[Date]],'DB Details'!$A:$Q,3))</f>
        <v/>
      </c>
      <c r="D67" s="51">
        <f>IF(VLOOKUP(Table91213[[#This Row],[Date]],'DB Details'!$A:$Q,4)=0,"",VLOOKUP(Table91213[[#This Row],[Date]],'DB Details'!$A:$Q,4))</f>
        <v/>
      </c>
      <c r="E67" s="52">
        <f>IF(VLOOKUP(Table91213[[#This Row],[Date]],'DB Details'!$A:$Q,5)=0,"",VLOOKUP(Table91213[[#This Row],[Date]],'DB Details'!$A:$Q,5))</f>
        <v/>
      </c>
      <c r="F67" s="51">
        <f>IF(VLOOKUP(Table91213[[#This Row],[Date]],'DB Details'!$A:$Q,6)=0,"",VLOOKUP(Table91213[[#This Row],[Date]],'DB Details'!$A:$Q,6))</f>
        <v/>
      </c>
      <c r="G67" s="52">
        <f>IF(VLOOKUP(Table91213[[#This Row],[Date]],'DB Details'!$A:$Q,7)=0,"",VLOOKUP(Table91213[[#This Row],[Date]],'DB Details'!$A:$Q,7))</f>
        <v/>
      </c>
      <c r="H67" s="52">
        <f>IF(VLOOKUP(Table91213[[#This Row],[Date]],'DB Details'!$A:$Q,8)=0,"",VLOOKUP(Table91213[[#This Row],[Date]],'DB Details'!$A:$Q,8))</f>
        <v/>
      </c>
      <c r="I67" s="52">
        <f>IF(VLOOKUP(Table91213[[#This Row],[Date]],'DB Details'!$A:$Q,9)=0,"",VLOOKUP(Table91213[[#This Row],[Date]],'DB Details'!$A:$Q,9))</f>
        <v/>
      </c>
      <c r="J67" s="52">
        <f>IF(VLOOKUP(Table91213[[#This Row],[Date]],'DB Details'!$A:$Q,10)=0,"",VLOOKUP(Table91213[[#This Row],[Date]],'DB Details'!$A:$Q,10))</f>
        <v/>
      </c>
      <c r="K67" s="52">
        <f>IF(VLOOKUP(Table91213[[#This Row],[Date]],'DB Details'!$A:$Q,11)=0,"",VLOOKUP(Table91213[[#This Row],[Date]],'DB Details'!$A:$Q,11))</f>
        <v/>
      </c>
      <c r="L67" s="50">
        <f>IF(VLOOKUP(Table91213[[#This Row],[Date]],'DB Details'!$A:$Q,12)=0,"",VLOOKUP(Table91213[[#This Row],[Date]],'DB Details'!$A:$Q,12))</f>
        <v/>
      </c>
    </row>
    <row r="68">
      <c r="A68" s="53" t="n">
        <v>37500</v>
      </c>
      <c r="B68" s="50">
        <f>IF(VLOOKUP(Table91213[[#This Row],[Date]],'DB Details'!$A:$Q,2)=0,"",VLOOKUP(Table91213[[#This Row],[Date]],'DB Details'!$A:$Q,2))</f>
        <v/>
      </c>
      <c r="C68" s="51">
        <f>IF(VLOOKUP(Table91213[[#This Row],[Date]],'DB Details'!$A:$Q,3)=0,"",VLOOKUP(Table91213[[#This Row],[Date]],'DB Details'!$A:$Q,3))</f>
        <v/>
      </c>
      <c r="D68" s="51">
        <f>IF(VLOOKUP(Table91213[[#This Row],[Date]],'DB Details'!$A:$Q,4)=0,"",VLOOKUP(Table91213[[#This Row],[Date]],'DB Details'!$A:$Q,4))</f>
        <v/>
      </c>
      <c r="E68" s="52">
        <f>IF(VLOOKUP(Table91213[[#This Row],[Date]],'DB Details'!$A:$Q,5)=0,"",VLOOKUP(Table91213[[#This Row],[Date]],'DB Details'!$A:$Q,5))</f>
        <v/>
      </c>
      <c r="F68" s="51">
        <f>IF(VLOOKUP(Table91213[[#This Row],[Date]],'DB Details'!$A:$Q,6)=0,"",VLOOKUP(Table91213[[#This Row],[Date]],'DB Details'!$A:$Q,6))</f>
        <v/>
      </c>
      <c r="G68" s="52">
        <f>IF(VLOOKUP(Table91213[[#This Row],[Date]],'DB Details'!$A:$Q,7)=0,"",VLOOKUP(Table91213[[#This Row],[Date]],'DB Details'!$A:$Q,7))</f>
        <v/>
      </c>
      <c r="H68" s="52">
        <f>IF(VLOOKUP(Table91213[[#This Row],[Date]],'DB Details'!$A:$Q,8)=0,"",VLOOKUP(Table91213[[#This Row],[Date]],'DB Details'!$A:$Q,8))</f>
        <v/>
      </c>
      <c r="I68" s="52">
        <f>IF(VLOOKUP(Table91213[[#This Row],[Date]],'DB Details'!$A:$Q,9)=0,"",VLOOKUP(Table91213[[#This Row],[Date]],'DB Details'!$A:$Q,9))</f>
        <v/>
      </c>
      <c r="J68" s="52">
        <f>IF(VLOOKUP(Table91213[[#This Row],[Date]],'DB Details'!$A:$Q,10)=0,"",VLOOKUP(Table91213[[#This Row],[Date]],'DB Details'!$A:$Q,10))</f>
        <v/>
      </c>
      <c r="K68" s="52">
        <f>IF(VLOOKUP(Table91213[[#This Row],[Date]],'DB Details'!$A:$Q,11)=0,"",VLOOKUP(Table91213[[#This Row],[Date]],'DB Details'!$A:$Q,11))</f>
        <v/>
      </c>
      <c r="L68" s="50">
        <f>IF(VLOOKUP(Table91213[[#This Row],[Date]],'DB Details'!$A:$Q,12)=0,"",VLOOKUP(Table91213[[#This Row],[Date]],'DB Details'!$A:$Q,12))</f>
        <v/>
      </c>
    </row>
    <row r="69">
      <c r="A69" s="53" t="n">
        <v>37530</v>
      </c>
      <c r="B69" s="50">
        <f>IF(VLOOKUP(Table91213[[#This Row],[Date]],'DB Details'!$A:$Q,2)=0,"",VLOOKUP(Table91213[[#This Row],[Date]],'DB Details'!$A:$Q,2))</f>
        <v/>
      </c>
      <c r="C69" s="51">
        <f>IF(VLOOKUP(Table91213[[#This Row],[Date]],'DB Details'!$A:$Q,3)=0,"",VLOOKUP(Table91213[[#This Row],[Date]],'DB Details'!$A:$Q,3))</f>
        <v/>
      </c>
      <c r="D69" s="51">
        <f>IF(VLOOKUP(Table91213[[#This Row],[Date]],'DB Details'!$A:$Q,4)=0,"",VLOOKUP(Table91213[[#This Row],[Date]],'DB Details'!$A:$Q,4))</f>
        <v/>
      </c>
      <c r="E69" s="52">
        <f>IF(VLOOKUP(Table91213[[#This Row],[Date]],'DB Details'!$A:$Q,5)=0,"",VLOOKUP(Table91213[[#This Row],[Date]],'DB Details'!$A:$Q,5))</f>
        <v/>
      </c>
      <c r="F69" s="51">
        <f>IF(VLOOKUP(Table91213[[#This Row],[Date]],'DB Details'!$A:$Q,6)=0,"",VLOOKUP(Table91213[[#This Row],[Date]],'DB Details'!$A:$Q,6))</f>
        <v/>
      </c>
      <c r="G69" s="52">
        <f>IF(VLOOKUP(Table91213[[#This Row],[Date]],'DB Details'!$A:$Q,7)=0,"",VLOOKUP(Table91213[[#This Row],[Date]],'DB Details'!$A:$Q,7))</f>
        <v/>
      </c>
      <c r="H69" s="52">
        <f>IF(VLOOKUP(Table91213[[#This Row],[Date]],'DB Details'!$A:$Q,8)=0,"",VLOOKUP(Table91213[[#This Row],[Date]],'DB Details'!$A:$Q,8))</f>
        <v/>
      </c>
      <c r="I69" s="52">
        <f>IF(VLOOKUP(Table91213[[#This Row],[Date]],'DB Details'!$A:$Q,9)=0,"",VLOOKUP(Table91213[[#This Row],[Date]],'DB Details'!$A:$Q,9))</f>
        <v/>
      </c>
      <c r="J69" s="52">
        <f>IF(VLOOKUP(Table91213[[#This Row],[Date]],'DB Details'!$A:$Q,10)=0,"",VLOOKUP(Table91213[[#This Row],[Date]],'DB Details'!$A:$Q,10))</f>
        <v/>
      </c>
      <c r="K69" s="52">
        <f>IF(VLOOKUP(Table91213[[#This Row],[Date]],'DB Details'!$A:$Q,11)=0,"",VLOOKUP(Table91213[[#This Row],[Date]],'DB Details'!$A:$Q,11))</f>
        <v/>
      </c>
      <c r="L69" s="50">
        <f>IF(VLOOKUP(Table91213[[#This Row],[Date]],'DB Details'!$A:$Q,12)=0,"",VLOOKUP(Table91213[[#This Row],[Date]],'DB Details'!$A:$Q,12))</f>
        <v/>
      </c>
    </row>
    <row r="70">
      <c r="A70" s="53" t="n">
        <v>37561</v>
      </c>
      <c r="B70" s="50">
        <f>IF(VLOOKUP(Table91213[[#This Row],[Date]],'DB Details'!$A:$Q,2)=0,"",VLOOKUP(Table91213[[#This Row],[Date]],'DB Details'!$A:$Q,2))</f>
        <v/>
      </c>
      <c r="C70" s="51">
        <f>IF(VLOOKUP(Table91213[[#This Row],[Date]],'DB Details'!$A:$Q,3)=0,"",VLOOKUP(Table91213[[#This Row],[Date]],'DB Details'!$A:$Q,3))</f>
        <v/>
      </c>
      <c r="D70" s="51">
        <f>IF(VLOOKUP(Table91213[[#This Row],[Date]],'DB Details'!$A:$Q,4)=0,"",VLOOKUP(Table91213[[#This Row],[Date]],'DB Details'!$A:$Q,4))</f>
        <v/>
      </c>
      <c r="E70" s="52">
        <f>IF(VLOOKUP(Table91213[[#This Row],[Date]],'DB Details'!$A:$Q,5)=0,"",VLOOKUP(Table91213[[#This Row],[Date]],'DB Details'!$A:$Q,5))</f>
        <v/>
      </c>
      <c r="F70" s="51">
        <f>IF(VLOOKUP(Table91213[[#This Row],[Date]],'DB Details'!$A:$Q,6)=0,"",VLOOKUP(Table91213[[#This Row],[Date]],'DB Details'!$A:$Q,6))</f>
        <v/>
      </c>
      <c r="G70" s="52">
        <f>IF(VLOOKUP(Table91213[[#This Row],[Date]],'DB Details'!$A:$Q,7)=0,"",VLOOKUP(Table91213[[#This Row],[Date]],'DB Details'!$A:$Q,7))</f>
        <v/>
      </c>
      <c r="H70" s="52">
        <f>IF(VLOOKUP(Table91213[[#This Row],[Date]],'DB Details'!$A:$Q,8)=0,"",VLOOKUP(Table91213[[#This Row],[Date]],'DB Details'!$A:$Q,8))</f>
        <v/>
      </c>
      <c r="I70" s="52">
        <f>IF(VLOOKUP(Table91213[[#This Row],[Date]],'DB Details'!$A:$Q,9)=0,"",VLOOKUP(Table91213[[#This Row],[Date]],'DB Details'!$A:$Q,9))</f>
        <v/>
      </c>
      <c r="J70" s="52">
        <f>IF(VLOOKUP(Table91213[[#This Row],[Date]],'DB Details'!$A:$Q,10)=0,"",VLOOKUP(Table91213[[#This Row],[Date]],'DB Details'!$A:$Q,10))</f>
        <v/>
      </c>
      <c r="K70" s="52">
        <f>IF(VLOOKUP(Table91213[[#This Row],[Date]],'DB Details'!$A:$Q,11)=0,"",VLOOKUP(Table91213[[#This Row],[Date]],'DB Details'!$A:$Q,11))</f>
        <v/>
      </c>
      <c r="L70" s="50">
        <f>IF(VLOOKUP(Table91213[[#This Row],[Date]],'DB Details'!$A:$Q,12)=0,"",VLOOKUP(Table91213[[#This Row],[Date]],'DB Details'!$A:$Q,12))</f>
        <v/>
      </c>
    </row>
    <row r="71">
      <c r="A71" s="53" t="n">
        <v>37591</v>
      </c>
      <c r="B71" s="50">
        <f>IF(VLOOKUP(Table91213[[#This Row],[Date]],'DB Details'!$A:$Q,2)=0,"",VLOOKUP(Table91213[[#This Row],[Date]],'DB Details'!$A:$Q,2))</f>
        <v/>
      </c>
      <c r="C71" s="51">
        <f>IF(VLOOKUP(Table91213[[#This Row],[Date]],'DB Details'!$A:$Q,3)=0,"",VLOOKUP(Table91213[[#This Row],[Date]],'DB Details'!$A:$Q,3))</f>
        <v/>
      </c>
      <c r="D71" s="51">
        <f>IF(VLOOKUP(Table91213[[#This Row],[Date]],'DB Details'!$A:$Q,4)=0,"",VLOOKUP(Table91213[[#This Row],[Date]],'DB Details'!$A:$Q,4))</f>
        <v/>
      </c>
      <c r="E71" s="52">
        <f>IF(VLOOKUP(Table91213[[#This Row],[Date]],'DB Details'!$A:$Q,5)=0,"",VLOOKUP(Table91213[[#This Row],[Date]],'DB Details'!$A:$Q,5))</f>
        <v/>
      </c>
      <c r="F71" s="51">
        <f>IF(VLOOKUP(Table91213[[#This Row],[Date]],'DB Details'!$A:$Q,6)=0,"",VLOOKUP(Table91213[[#This Row],[Date]],'DB Details'!$A:$Q,6))</f>
        <v/>
      </c>
      <c r="G71" s="52">
        <f>IF(VLOOKUP(Table91213[[#This Row],[Date]],'DB Details'!$A:$Q,7)=0,"",VLOOKUP(Table91213[[#This Row],[Date]],'DB Details'!$A:$Q,7))</f>
        <v/>
      </c>
      <c r="H71" s="52">
        <f>IF(VLOOKUP(Table91213[[#This Row],[Date]],'DB Details'!$A:$Q,8)=0,"",VLOOKUP(Table91213[[#This Row],[Date]],'DB Details'!$A:$Q,8))</f>
        <v/>
      </c>
      <c r="I71" s="52">
        <f>IF(VLOOKUP(Table91213[[#This Row],[Date]],'DB Details'!$A:$Q,9)=0,"",VLOOKUP(Table91213[[#This Row],[Date]],'DB Details'!$A:$Q,9))</f>
        <v/>
      </c>
      <c r="J71" s="52">
        <f>IF(VLOOKUP(Table91213[[#This Row],[Date]],'DB Details'!$A:$Q,10)=0,"",VLOOKUP(Table91213[[#This Row],[Date]],'DB Details'!$A:$Q,10))</f>
        <v/>
      </c>
      <c r="K71" s="52">
        <f>IF(VLOOKUP(Table91213[[#This Row],[Date]],'DB Details'!$A:$Q,11)=0,"",VLOOKUP(Table91213[[#This Row],[Date]],'DB Details'!$A:$Q,11))</f>
        <v/>
      </c>
      <c r="L71" s="50">
        <f>IF(VLOOKUP(Table91213[[#This Row],[Date]],'DB Details'!$A:$Q,12)=0,"",VLOOKUP(Table91213[[#This Row],[Date]],'DB Details'!$A:$Q,12))</f>
        <v/>
      </c>
    </row>
    <row r="72">
      <c r="A72" s="53" t="n">
        <v>37622</v>
      </c>
      <c r="B72" s="50">
        <f>IF(VLOOKUP(Table91213[[#This Row],[Date]],'DB Details'!$A:$Q,2)=0,"",VLOOKUP(Table91213[[#This Row],[Date]],'DB Details'!$A:$Q,2))</f>
        <v/>
      </c>
      <c r="C72" s="51">
        <f>IF(VLOOKUP(Table91213[[#This Row],[Date]],'DB Details'!$A:$Q,3)=0,"",VLOOKUP(Table91213[[#This Row],[Date]],'DB Details'!$A:$Q,3))</f>
        <v/>
      </c>
      <c r="D72" s="51">
        <f>IF(VLOOKUP(Table91213[[#This Row],[Date]],'DB Details'!$A:$Q,4)=0,"",VLOOKUP(Table91213[[#This Row],[Date]],'DB Details'!$A:$Q,4))</f>
        <v/>
      </c>
      <c r="E72" s="52">
        <f>IF(VLOOKUP(Table91213[[#This Row],[Date]],'DB Details'!$A:$Q,5)=0,"",VLOOKUP(Table91213[[#This Row],[Date]],'DB Details'!$A:$Q,5))</f>
        <v/>
      </c>
      <c r="F72" s="51">
        <f>IF(VLOOKUP(Table91213[[#This Row],[Date]],'DB Details'!$A:$Q,6)=0,"",VLOOKUP(Table91213[[#This Row],[Date]],'DB Details'!$A:$Q,6))</f>
        <v/>
      </c>
      <c r="G72" s="52">
        <f>IF(VLOOKUP(Table91213[[#This Row],[Date]],'DB Details'!$A:$Q,7)=0,"",VLOOKUP(Table91213[[#This Row],[Date]],'DB Details'!$A:$Q,7))</f>
        <v/>
      </c>
      <c r="H72" s="52">
        <f>IF(VLOOKUP(Table91213[[#This Row],[Date]],'DB Details'!$A:$Q,8)=0,"",VLOOKUP(Table91213[[#This Row],[Date]],'DB Details'!$A:$Q,8))</f>
        <v/>
      </c>
      <c r="I72" s="52">
        <f>IF(VLOOKUP(Table91213[[#This Row],[Date]],'DB Details'!$A:$Q,9)=0,"",VLOOKUP(Table91213[[#This Row],[Date]],'DB Details'!$A:$Q,9))</f>
        <v/>
      </c>
      <c r="J72" s="52">
        <f>IF(VLOOKUP(Table91213[[#This Row],[Date]],'DB Details'!$A:$Q,10)=0,"",VLOOKUP(Table91213[[#This Row],[Date]],'DB Details'!$A:$Q,10))</f>
        <v/>
      </c>
      <c r="K72" s="52">
        <f>IF(VLOOKUP(Table91213[[#This Row],[Date]],'DB Details'!$A:$Q,11)=0,"",VLOOKUP(Table91213[[#This Row],[Date]],'DB Details'!$A:$Q,11))</f>
        <v/>
      </c>
      <c r="L72" s="50">
        <f>IF(VLOOKUP(Table91213[[#This Row],[Date]],'DB Details'!$A:$Q,12)=0,"",VLOOKUP(Table91213[[#This Row],[Date]],'DB Details'!$A:$Q,12))</f>
        <v/>
      </c>
    </row>
    <row r="73">
      <c r="A73" s="53" t="n">
        <v>37653</v>
      </c>
      <c r="B73" s="50">
        <f>IF(VLOOKUP(Table91213[[#This Row],[Date]],'DB Details'!$A:$Q,2)=0,"",VLOOKUP(Table91213[[#This Row],[Date]],'DB Details'!$A:$Q,2))</f>
        <v/>
      </c>
      <c r="C73" s="51">
        <f>IF(VLOOKUP(Table91213[[#This Row],[Date]],'DB Details'!$A:$Q,3)=0,"",VLOOKUP(Table91213[[#This Row],[Date]],'DB Details'!$A:$Q,3))</f>
        <v/>
      </c>
      <c r="D73" s="51">
        <f>IF(VLOOKUP(Table91213[[#This Row],[Date]],'DB Details'!$A:$Q,4)=0,"",VLOOKUP(Table91213[[#This Row],[Date]],'DB Details'!$A:$Q,4))</f>
        <v/>
      </c>
      <c r="E73" s="52">
        <f>IF(VLOOKUP(Table91213[[#This Row],[Date]],'DB Details'!$A:$Q,5)=0,"",VLOOKUP(Table91213[[#This Row],[Date]],'DB Details'!$A:$Q,5))</f>
        <v/>
      </c>
      <c r="F73" s="51">
        <f>IF(VLOOKUP(Table91213[[#This Row],[Date]],'DB Details'!$A:$Q,6)=0,"",VLOOKUP(Table91213[[#This Row],[Date]],'DB Details'!$A:$Q,6))</f>
        <v/>
      </c>
      <c r="G73" s="52">
        <f>IF(VLOOKUP(Table91213[[#This Row],[Date]],'DB Details'!$A:$Q,7)=0,"",VLOOKUP(Table91213[[#This Row],[Date]],'DB Details'!$A:$Q,7))</f>
        <v/>
      </c>
      <c r="H73" s="52">
        <f>IF(VLOOKUP(Table91213[[#This Row],[Date]],'DB Details'!$A:$Q,8)=0,"",VLOOKUP(Table91213[[#This Row],[Date]],'DB Details'!$A:$Q,8))</f>
        <v/>
      </c>
      <c r="I73" s="52">
        <f>IF(VLOOKUP(Table91213[[#This Row],[Date]],'DB Details'!$A:$Q,9)=0,"",VLOOKUP(Table91213[[#This Row],[Date]],'DB Details'!$A:$Q,9))</f>
        <v/>
      </c>
      <c r="J73" s="52">
        <f>IF(VLOOKUP(Table91213[[#This Row],[Date]],'DB Details'!$A:$Q,10)=0,"",VLOOKUP(Table91213[[#This Row],[Date]],'DB Details'!$A:$Q,10))</f>
        <v/>
      </c>
      <c r="K73" s="52">
        <f>IF(VLOOKUP(Table91213[[#This Row],[Date]],'DB Details'!$A:$Q,11)=0,"",VLOOKUP(Table91213[[#This Row],[Date]],'DB Details'!$A:$Q,11))</f>
        <v/>
      </c>
      <c r="L73" s="50">
        <f>IF(VLOOKUP(Table91213[[#This Row],[Date]],'DB Details'!$A:$Q,12)=0,"",VLOOKUP(Table91213[[#This Row],[Date]],'DB Details'!$A:$Q,12))</f>
        <v/>
      </c>
    </row>
    <row r="74">
      <c r="A74" s="53" t="n">
        <v>37681</v>
      </c>
      <c r="B74" s="50">
        <f>IF(VLOOKUP(Table91213[[#This Row],[Date]],'DB Details'!$A:$Q,2)=0,"",VLOOKUP(Table91213[[#This Row],[Date]],'DB Details'!$A:$Q,2))</f>
        <v/>
      </c>
      <c r="C74" s="51">
        <f>IF(VLOOKUP(Table91213[[#This Row],[Date]],'DB Details'!$A:$Q,3)=0,"",VLOOKUP(Table91213[[#This Row],[Date]],'DB Details'!$A:$Q,3))</f>
        <v/>
      </c>
      <c r="D74" s="51">
        <f>IF(VLOOKUP(Table91213[[#This Row],[Date]],'DB Details'!$A:$Q,4)=0,"",VLOOKUP(Table91213[[#This Row],[Date]],'DB Details'!$A:$Q,4))</f>
        <v/>
      </c>
      <c r="E74" s="52">
        <f>IF(VLOOKUP(Table91213[[#This Row],[Date]],'DB Details'!$A:$Q,5)=0,"",VLOOKUP(Table91213[[#This Row],[Date]],'DB Details'!$A:$Q,5))</f>
        <v/>
      </c>
      <c r="F74" s="51">
        <f>IF(VLOOKUP(Table91213[[#This Row],[Date]],'DB Details'!$A:$Q,6)=0,"",VLOOKUP(Table91213[[#This Row],[Date]],'DB Details'!$A:$Q,6))</f>
        <v/>
      </c>
      <c r="G74" s="52">
        <f>IF(VLOOKUP(Table91213[[#This Row],[Date]],'DB Details'!$A:$Q,7)=0,"",VLOOKUP(Table91213[[#This Row],[Date]],'DB Details'!$A:$Q,7))</f>
        <v/>
      </c>
      <c r="H74" s="52">
        <f>IF(VLOOKUP(Table91213[[#This Row],[Date]],'DB Details'!$A:$Q,8)=0,"",VLOOKUP(Table91213[[#This Row],[Date]],'DB Details'!$A:$Q,8))</f>
        <v/>
      </c>
      <c r="I74" s="52">
        <f>IF(VLOOKUP(Table91213[[#This Row],[Date]],'DB Details'!$A:$Q,9)=0,"",VLOOKUP(Table91213[[#This Row],[Date]],'DB Details'!$A:$Q,9))</f>
        <v/>
      </c>
      <c r="J74" s="52">
        <f>IF(VLOOKUP(Table91213[[#This Row],[Date]],'DB Details'!$A:$Q,10)=0,"",VLOOKUP(Table91213[[#This Row],[Date]],'DB Details'!$A:$Q,10))</f>
        <v/>
      </c>
      <c r="K74" s="52">
        <f>IF(VLOOKUP(Table91213[[#This Row],[Date]],'DB Details'!$A:$Q,11)=0,"",VLOOKUP(Table91213[[#This Row],[Date]],'DB Details'!$A:$Q,11))</f>
        <v/>
      </c>
      <c r="L74" s="50">
        <f>IF(VLOOKUP(Table91213[[#This Row],[Date]],'DB Details'!$A:$Q,12)=0,"",VLOOKUP(Table91213[[#This Row],[Date]],'DB Details'!$A:$Q,12))</f>
        <v/>
      </c>
    </row>
    <row r="75">
      <c r="A75" s="53" t="n">
        <v>37712</v>
      </c>
      <c r="B75" s="50">
        <f>IF(VLOOKUP(Table91213[[#This Row],[Date]],'DB Details'!$A:$Q,2)=0,"",VLOOKUP(Table91213[[#This Row],[Date]],'DB Details'!$A:$Q,2))</f>
        <v/>
      </c>
      <c r="C75" s="51">
        <f>IF(VLOOKUP(Table91213[[#This Row],[Date]],'DB Details'!$A:$Q,3)=0,"",VLOOKUP(Table91213[[#This Row],[Date]],'DB Details'!$A:$Q,3))</f>
        <v/>
      </c>
      <c r="D75" s="51">
        <f>IF(VLOOKUP(Table91213[[#This Row],[Date]],'DB Details'!$A:$Q,4)=0,"",VLOOKUP(Table91213[[#This Row],[Date]],'DB Details'!$A:$Q,4))</f>
        <v/>
      </c>
      <c r="E75" s="52">
        <f>IF(VLOOKUP(Table91213[[#This Row],[Date]],'DB Details'!$A:$Q,5)=0,"",VLOOKUP(Table91213[[#This Row],[Date]],'DB Details'!$A:$Q,5))</f>
        <v/>
      </c>
      <c r="F75" s="51">
        <f>IF(VLOOKUP(Table91213[[#This Row],[Date]],'DB Details'!$A:$Q,6)=0,"",VLOOKUP(Table91213[[#This Row],[Date]],'DB Details'!$A:$Q,6))</f>
        <v/>
      </c>
      <c r="G75" s="52">
        <f>IF(VLOOKUP(Table91213[[#This Row],[Date]],'DB Details'!$A:$Q,7)=0,"",VLOOKUP(Table91213[[#This Row],[Date]],'DB Details'!$A:$Q,7))</f>
        <v/>
      </c>
      <c r="H75" s="52">
        <f>IF(VLOOKUP(Table91213[[#This Row],[Date]],'DB Details'!$A:$Q,8)=0,"",VLOOKUP(Table91213[[#This Row],[Date]],'DB Details'!$A:$Q,8))</f>
        <v/>
      </c>
      <c r="I75" s="52">
        <f>IF(VLOOKUP(Table91213[[#This Row],[Date]],'DB Details'!$A:$Q,9)=0,"",VLOOKUP(Table91213[[#This Row],[Date]],'DB Details'!$A:$Q,9))</f>
        <v/>
      </c>
      <c r="J75" s="52">
        <f>IF(VLOOKUP(Table91213[[#This Row],[Date]],'DB Details'!$A:$Q,10)=0,"",VLOOKUP(Table91213[[#This Row],[Date]],'DB Details'!$A:$Q,10))</f>
        <v/>
      </c>
      <c r="K75" s="52">
        <f>IF(VLOOKUP(Table91213[[#This Row],[Date]],'DB Details'!$A:$Q,11)=0,"",VLOOKUP(Table91213[[#This Row],[Date]],'DB Details'!$A:$Q,11))</f>
        <v/>
      </c>
      <c r="L75" s="50">
        <f>IF(VLOOKUP(Table91213[[#This Row],[Date]],'DB Details'!$A:$Q,12)=0,"",VLOOKUP(Table91213[[#This Row],[Date]],'DB Details'!$A:$Q,12))</f>
        <v/>
      </c>
    </row>
    <row r="76">
      <c r="A76" s="53" t="n">
        <v>37742</v>
      </c>
      <c r="B76" s="50">
        <f>IF(VLOOKUP(Table91213[[#This Row],[Date]],'DB Details'!$A:$Q,2)=0,"",VLOOKUP(Table91213[[#This Row],[Date]],'DB Details'!$A:$Q,2))</f>
        <v/>
      </c>
      <c r="C76" s="51">
        <f>IF(VLOOKUP(Table91213[[#This Row],[Date]],'DB Details'!$A:$Q,3)=0,"",VLOOKUP(Table91213[[#This Row],[Date]],'DB Details'!$A:$Q,3))</f>
        <v/>
      </c>
      <c r="D76" s="51">
        <f>IF(VLOOKUP(Table91213[[#This Row],[Date]],'DB Details'!$A:$Q,4)=0,"",VLOOKUP(Table91213[[#This Row],[Date]],'DB Details'!$A:$Q,4))</f>
        <v/>
      </c>
      <c r="E76" s="52">
        <f>IF(VLOOKUP(Table91213[[#This Row],[Date]],'DB Details'!$A:$Q,5)=0,"",VLOOKUP(Table91213[[#This Row],[Date]],'DB Details'!$A:$Q,5))</f>
        <v/>
      </c>
      <c r="F76" s="51">
        <f>IF(VLOOKUP(Table91213[[#This Row],[Date]],'DB Details'!$A:$Q,6)=0,"",VLOOKUP(Table91213[[#This Row],[Date]],'DB Details'!$A:$Q,6))</f>
        <v/>
      </c>
      <c r="G76" s="52">
        <f>IF(VLOOKUP(Table91213[[#This Row],[Date]],'DB Details'!$A:$Q,7)=0,"",VLOOKUP(Table91213[[#This Row],[Date]],'DB Details'!$A:$Q,7))</f>
        <v/>
      </c>
      <c r="H76" s="52">
        <f>IF(VLOOKUP(Table91213[[#This Row],[Date]],'DB Details'!$A:$Q,8)=0,"",VLOOKUP(Table91213[[#This Row],[Date]],'DB Details'!$A:$Q,8))</f>
        <v/>
      </c>
      <c r="I76" s="52">
        <f>IF(VLOOKUP(Table91213[[#This Row],[Date]],'DB Details'!$A:$Q,9)=0,"",VLOOKUP(Table91213[[#This Row],[Date]],'DB Details'!$A:$Q,9))</f>
        <v/>
      </c>
      <c r="J76" s="52">
        <f>IF(VLOOKUP(Table91213[[#This Row],[Date]],'DB Details'!$A:$Q,10)=0,"",VLOOKUP(Table91213[[#This Row],[Date]],'DB Details'!$A:$Q,10))</f>
        <v/>
      </c>
      <c r="K76" s="52">
        <f>IF(VLOOKUP(Table91213[[#This Row],[Date]],'DB Details'!$A:$Q,11)=0,"",VLOOKUP(Table91213[[#This Row],[Date]],'DB Details'!$A:$Q,11))</f>
        <v/>
      </c>
      <c r="L76" s="50">
        <f>IF(VLOOKUP(Table91213[[#This Row],[Date]],'DB Details'!$A:$Q,12)=0,"",VLOOKUP(Table91213[[#This Row],[Date]],'DB Details'!$A:$Q,12))</f>
        <v/>
      </c>
    </row>
    <row r="77">
      <c r="A77" s="53" t="n">
        <v>37773</v>
      </c>
      <c r="B77" s="50">
        <f>IF(VLOOKUP(Table91213[[#This Row],[Date]],'DB Details'!$A:$Q,2)=0,"",VLOOKUP(Table91213[[#This Row],[Date]],'DB Details'!$A:$Q,2))</f>
        <v/>
      </c>
      <c r="C77" s="51">
        <f>IF(VLOOKUP(Table91213[[#This Row],[Date]],'DB Details'!$A:$Q,3)=0,"",VLOOKUP(Table91213[[#This Row],[Date]],'DB Details'!$A:$Q,3))</f>
        <v/>
      </c>
      <c r="D77" s="51">
        <f>IF(VLOOKUP(Table91213[[#This Row],[Date]],'DB Details'!$A:$Q,4)=0,"",VLOOKUP(Table91213[[#This Row],[Date]],'DB Details'!$A:$Q,4))</f>
        <v/>
      </c>
      <c r="E77" s="52">
        <f>IF(VLOOKUP(Table91213[[#This Row],[Date]],'DB Details'!$A:$Q,5)=0,"",VLOOKUP(Table91213[[#This Row],[Date]],'DB Details'!$A:$Q,5))</f>
        <v/>
      </c>
      <c r="F77" s="51">
        <f>IF(VLOOKUP(Table91213[[#This Row],[Date]],'DB Details'!$A:$Q,6)=0,"",VLOOKUP(Table91213[[#This Row],[Date]],'DB Details'!$A:$Q,6))</f>
        <v/>
      </c>
      <c r="G77" s="52">
        <f>IF(VLOOKUP(Table91213[[#This Row],[Date]],'DB Details'!$A:$Q,7)=0,"",VLOOKUP(Table91213[[#This Row],[Date]],'DB Details'!$A:$Q,7))</f>
        <v/>
      </c>
      <c r="H77" s="52">
        <f>IF(VLOOKUP(Table91213[[#This Row],[Date]],'DB Details'!$A:$Q,8)=0,"",VLOOKUP(Table91213[[#This Row],[Date]],'DB Details'!$A:$Q,8))</f>
        <v/>
      </c>
      <c r="I77" s="52">
        <f>IF(VLOOKUP(Table91213[[#This Row],[Date]],'DB Details'!$A:$Q,9)=0,"",VLOOKUP(Table91213[[#This Row],[Date]],'DB Details'!$A:$Q,9))</f>
        <v/>
      </c>
      <c r="J77" s="52">
        <f>IF(VLOOKUP(Table91213[[#This Row],[Date]],'DB Details'!$A:$Q,10)=0,"",VLOOKUP(Table91213[[#This Row],[Date]],'DB Details'!$A:$Q,10))</f>
        <v/>
      </c>
      <c r="K77" s="52">
        <f>IF(VLOOKUP(Table91213[[#This Row],[Date]],'DB Details'!$A:$Q,11)=0,"",VLOOKUP(Table91213[[#This Row],[Date]],'DB Details'!$A:$Q,11))</f>
        <v/>
      </c>
      <c r="L77" s="50">
        <f>IF(VLOOKUP(Table91213[[#This Row],[Date]],'DB Details'!$A:$Q,12)=0,"",VLOOKUP(Table91213[[#This Row],[Date]],'DB Details'!$A:$Q,12))</f>
        <v/>
      </c>
    </row>
    <row r="78">
      <c r="A78" s="53" t="n">
        <v>37803</v>
      </c>
      <c r="B78" s="50">
        <f>IF(VLOOKUP(Table91213[[#This Row],[Date]],'DB Details'!$A:$Q,2)=0,"",VLOOKUP(Table91213[[#This Row],[Date]],'DB Details'!$A:$Q,2))</f>
        <v/>
      </c>
      <c r="C78" s="51">
        <f>IF(VLOOKUP(Table91213[[#This Row],[Date]],'DB Details'!$A:$Q,3)=0,"",VLOOKUP(Table91213[[#This Row],[Date]],'DB Details'!$A:$Q,3))</f>
        <v/>
      </c>
      <c r="D78" s="51">
        <f>IF(VLOOKUP(Table91213[[#This Row],[Date]],'DB Details'!$A:$Q,4)=0,"",VLOOKUP(Table91213[[#This Row],[Date]],'DB Details'!$A:$Q,4))</f>
        <v/>
      </c>
      <c r="E78" s="52">
        <f>IF(VLOOKUP(Table91213[[#This Row],[Date]],'DB Details'!$A:$Q,5)=0,"",VLOOKUP(Table91213[[#This Row],[Date]],'DB Details'!$A:$Q,5))</f>
        <v/>
      </c>
      <c r="F78" s="51">
        <f>IF(VLOOKUP(Table91213[[#This Row],[Date]],'DB Details'!$A:$Q,6)=0,"",VLOOKUP(Table91213[[#This Row],[Date]],'DB Details'!$A:$Q,6))</f>
        <v/>
      </c>
      <c r="G78" s="52">
        <f>IF(VLOOKUP(Table91213[[#This Row],[Date]],'DB Details'!$A:$Q,7)=0,"",VLOOKUP(Table91213[[#This Row],[Date]],'DB Details'!$A:$Q,7))</f>
        <v/>
      </c>
      <c r="H78" s="52">
        <f>IF(VLOOKUP(Table91213[[#This Row],[Date]],'DB Details'!$A:$Q,8)=0,"",VLOOKUP(Table91213[[#This Row],[Date]],'DB Details'!$A:$Q,8))</f>
        <v/>
      </c>
      <c r="I78" s="52">
        <f>IF(VLOOKUP(Table91213[[#This Row],[Date]],'DB Details'!$A:$Q,9)=0,"",VLOOKUP(Table91213[[#This Row],[Date]],'DB Details'!$A:$Q,9))</f>
        <v/>
      </c>
      <c r="J78" s="52">
        <f>IF(VLOOKUP(Table91213[[#This Row],[Date]],'DB Details'!$A:$Q,10)=0,"",VLOOKUP(Table91213[[#This Row],[Date]],'DB Details'!$A:$Q,10))</f>
        <v/>
      </c>
      <c r="K78" s="52">
        <f>IF(VLOOKUP(Table91213[[#This Row],[Date]],'DB Details'!$A:$Q,11)=0,"",VLOOKUP(Table91213[[#This Row],[Date]],'DB Details'!$A:$Q,11))</f>
        <v/>
      </c>
      <c r="L78" s="50">
        <f>IF(VLOOKUP(Table91213[[#This Row],[Date]],'DB Details'!$A:$Q,12)=0,"",VLOOKUP(Table91213[[#This Row],[Date]],'DB Details'!$A:$Q,12))</f>
        <v/>
      </c>
    </row>
    <row r="79">
      <c r="A79" s="53" t="n">
        <v>37834</v>
      </c>
      <c r="B79" s="50">
        <f>IF(VLOOKUP(Table91213[[#This Row],[Date]],'DB Details'!$A:$Q,2)=0,"",VLOOKUP(Table91213[[#This Row],[Date]],'DB Details'!$A:$Q,2))</f>
        <v/>
      </c>
      <c r="C79" s="51">
        <f>IF(VLOOKUP(Table91213[[#This Row],[Date]],'DB Details'!$A:$Q,3)=0,"",VLOOKUP(Table91213[[#This Row],[Date]],'DB Details'!$A:$Q,3))</f>
        <v/>
      </c>
      <c r="D79" s="51">
        <f>IF(VLOOKUP(Table91213[[#This Row],[Date]],'DB Details'!$A:$Q,4)=0,"",VLOOKUP(Table91213[[#This Row],[Date]],'DB Details'!$A:$Q,4))</f>
        <v/>
      </c>
      <c r="E79" s="52">
        <f>IF(VLOOKUP(Table91213[[#This Row],[Date]],'DB Details'!$A:$Q,5)=0,"",VLOOKUP(Table91213[[#This Row],[Date]],'DB Details'!$A:$Q,5))</f>
        <v/>
      </c>
      <c r="F79" s="51">
        <f>IF(VLOOKUP(Table91213[[#This Row],[Date]],'DB Details'!$A:$Q,6)=0,"",VLOOKUP(Table91213[[#This Row],[Date]],'DB Details'!$A:$Q,6))</f>
        <v/>
      </c>
      <c r="G79" s="52">
        <f>IF(VLOOKUP(Table91213[[#This Row],[Date]],'DB Details'!$A:$Q,7)=0,"",VLOOKUP(Table91213[[#This Row],[Date]],'DB Details'!$A:$Q,7))</f>
        <v/>
      </c>
      <c r="H79" s="52">
        <f>IF(VLOOKUP(Table91213[[#This Row],[Date]],'DB Details'!$A:$Q,8)=0,"",VLOOKUP(Table91213[[#This Row],[Date]],'DB Details'!$A:$Q,8))</f>
        <v/>
      </c>
      <c r="I79" s="52">
        <f>IF(VLOOKUP(Table91213[[#This Row],[Date]],'DB Details'!$A:$Q,9)=0,"",VLOOKUP(Table91213[[#This Row],[Date]],'DB Details'!$A:$Q,9))</f>
        <v/>
      </c>
      <c r="J79" s="52">
        <f>IF(VLOOKUP(Table91213[[#This Row],[Date]],'DB Details'!$A:$Q,10)=0,"",VLOOKUP(Table91213[[#This Row],[Date]],'DB Details'!$A:$Q,10))</f>
        <v/>
      </c>
      <c r="K79" s="52">
        <f>IF(VLOOKUP(Table91213[[#This Row],[Date]],'DB Details'!$A:$Q,11)=0,"",VLOOKUP(Table91213[[#This Row],[Date]],'DB Details'!$A:$Q,11))</f>
        <v/>
      </c>
      <c r="L79" s="50">
        <f>IF(VLOOKUP(Table91213[[#This Row],[Date]],'DB Details'!$A:$Q,12)=0,"",VLOOKUP(Table91213[[#This Row],[Date]],'DB Details'!$A:$Q,12))</f>
        <v/>
      </c>
    </row>
    <row r="80">
      <c r="A80" s="53" t="n">
        <v>37865</v>
      </c>
      <c r="B80" s="50">
        <f>IF(VLOOKUP(Table91213[[#This Row],[Date]],'DB Details'!$A:$Q,2)=0,"",VLOOKUP(Table91213[[#This Row],[Date]],'DB Details'!$A:$Q,2))</f>
        <v/>
      </c>
      <c r="C80" s="51">
        <f>IF(VLOOKUP(Table91213[[#This Row],[Date]],'DB Details'!$A:$Q,3)=0,"",VLOOKUP(Table91213[[#This Row],[Date]],'DB Details'!$A:$Q,3))</f>
        <v/>
      </c>
      <c r="D80" s="51">
        <f>IF(VLOOKUP(Table91213[[#This Row],[Date]],'DB Details'!$A:$Q,4)=0,"",VLOOKUP(Table91213[[#This Row],[Date]],'DB Details'!$A:$Q,4))</f>
        <v/>
      </c>
      <c r="E80" s="52">
        <f>IF(VLOOKUP(Table91213[[#This Row],[Date]],'DB Details'!$A:$Q,5)=0,"",VLOOKUP(Table91213[[#This Row],[Date]],'DB Details'!$A:$Q,5))</f>
        <v/>
      </c>
      <c r="F80" s="51">
        <f>IF(VLOOKUP(Table91213[[#This Row],[Date]],'DB Details'!$A:$Q,6)=0,"",VLOOKUP(Table91213[[#This Row],[Date]],'DB Details'!$A:$Q,6))</f>
        <v/>
      </c>
      <c r="G80" s="52">
        <f>IF(VLOOKUP(Table91213[[#This Row],[Date]],'DB Details'!$A:$Q,7)=0,"",VLOOKUP(Table91213[[#This Row],[Date]],'DB Details'!$A:$Q,7))</f>
        <v/>
      </c>
      <c r="H80" s="52">
        <f>IF(VLOOKUP(Table91213[[#This Row],[Date]],'DB Details'!$A:$Q,8)=0,"",VLOOKUP(Table91213[[#This Row],[Date]],'DB Details'!$A:$Q,8))</f>
        <v/>
      </c>
      <c r="I80" s="52">
        <f>IF(VLOOKUP(Table91213[[#This Row],[Date]],'DB Details'!$A:$Q,9)=0,"",VLOOKUP(Table91213[[#This Row],[Date]],'DB Details'!$A:$Q,9))</f>
        <v/>
      </c>
      <c r="J80" s="52">
        <f>IF(VLOOKUP(Table91213[[#This Row],[Date]],'DB Details'!$A:$Q,10)=0,"",VLOOKUP(Table91213[[#This Row],[Date]],'DB Details'!$A:$Q,10))</f>
        <v/>
      </c>
      <c r="K80" s="52">
        <f>IF(VLOOKUP(Table91213[[#This Row],[Date]],'DB Details'!$A:$Q,11)=0,"",VLOOKUP(Table91213[[#This Row],[Date]],'DB Details'!$A:$Q,11))</f>
        <v/>
      </c>
      <c r="L80" s="50">
        <f>IF(VLOOKUP(Table91213[[#This Row],[Date]],'DB Details'!$A:$Q,12)=0,"",VLOOKUP(Table91213[[#This Row],[Date]],'DB Details'!$A:$Q,12))</f>
        <v/>
      </c>
    </row>
    <row r="81">
      <c r="A81" s="53" t="n">
        <v>37895</v>
      </c>
      <c r="B81" s="50">
        <f>IF(VLOOKUP(Table91213[[#This Row],[Date]],'DB Details'!$A:$Q,2)=0,"",VLOOKUP(Table91213[[#This Row],[Date]],'DB Details'!$A:$Q,2))</f>
        <v/>
      </c>
      <c r="C81" s="51">
        <f>IF(VLOOKUP(Table91213[[#This Row],[Date]],'DB Details'!$A:$Q,3)=0,"",VLOOKUP(Table91213[[#This Row],[Date]],'DB Details'!$A:$Q,3))</f>
        <v/>
      </c>
      <c r="D81" s="51">
        <f>IF(VLOOKUP(Table91213[[#This Row],[Date]],'DB Details'!$A:$Q,4)=0,"",VLOOKUP(Table91213[[#This Row],[Date]],'DB Details'!$A:$Q,4))</f>
        <v/>
      </c>
      <c r="E81" s="52">
        <f>IF(VLOOKUP(Table91213[[#This Row],[Date]],'DB Details'!$A:$Q,5)=0,"",VLOOKUP(Table91213[[#This Row],[Date]],'DB Details'!$A:$Q,5))</f>
        <v/>
      </c>
      <c r="F81" s="51">
        <f>IF(VLOOKUP(Table91213[[#This Row],[Date]],'DB Details'!$A:$Q,6)=0,"",VLOOKUP(Table91213[[#This Row],[Date]],'DB Details'!$A:$Q,6))</f>
        <v/>
      </c>
      <c r="G81" s="52">
        <f>IF(VLOOKUP(Table91213[[#This Row],[Date]],'DB Details'!$A:$Q,7)=0,"",VLOOKUP(Table91213[[#This Row],[Date]],'DB Details'!$A:$Q,7))</f>
        <v/>
      </c>
      <c r="H81" s="52">
        <f>IF(VLOOKUP(Table91213[[#This Row],[Date]],'DB Details'!$A:$Q,8)=0,"",VLOOKUP(Table91213[[#This Row],[Date]],'DB Details'!$A:$Q,8))</f>
        <v/>
      </c>
      <c r="I81" s="52">
        <f>IF(VLOOKUP(Table91213[[#This Row],[Date]],'DB Details'!$A:$Q,9)=0,"",VLOOKUP(Table91213[[#This Row],[Date]],'DB Details'!$A:$Q,9))</f>
        <v/>
      </c>
      <c r="J81" s="52">
        <f>IF(VLOOKUP(Table91213[[#This Row],[Date]],'DB Details'!$A:$Q,10)=0,"",VLOOKUP(Table91213[[#This Row],[Date]],'DB Details'!$A:$Q,10))</f>
        <v/>
      </c>
      <c r="K81" s="52">
        <f>IF(VLOOKUP(Table91213[[#This Row],[Date]],'DB Details'!$A:$Q,11)=0,"",VLOOKUP(Table91213[[#This Row],[Date]],'DB Details'!$A:$Q,11))</f>
        <v/>
      </c>
      <c r="L81" s="50">
        <f>IF(VLOOKUP(Table91213[[#This Row],[Date]],'DB Details'!$A:$Q,12)=0,"",VLOOKUP(Table91213[[#This Row],[Date]],'DB Details'!$A:$Q,12))</f>
        <v/>
      </c>
    </row>
    <row r="82">
      <c r="A82" s="53" t="n">
        <v>37926</v>
      </c>
      <c r="B82" s="50">
        <f>IF(VLOOKUP(Table91213[[#This Row],[Date]],'DB Details'!$A:$Q,2)=0,"",VLOOKUP(Table91213[[#This Row],[Date]],'DB Details'!$A:$Q,2))</f>
        <v/>
      </c>
      <c r="C82" s="51">
        <f>IF(VLOOKUP(Table91213[[#This Row],[Date]],'DB Details'!$A:$Q,3)=0,"",VLOOKUP(Table91213[[#This Row],[Date]],'DB Details'!$A:$Q,3))</f>
        <v/>
      </c>
      <c r="D82" s="51">
        <f>IF(VLOOKUP(Table91213[[#This Row],[Date]],'DB Details'!$A:$Q,4)=0,"",VLOOKUP(Table91213[[#This Row],[Date]],'DB Details'!$A:$Q,4))</f>
        <v/>
      </c>
      <c r="E82" s="52">
        <f>IF(VLOOKUP(Table91213[[#This Row],[Date]],'DB Details'!$A:$Q,5)=0,"",VLOOKUP(Table91213[[#This Row],[Date]],'DB Details'!$A:$Q,5))</f>
        <v/>
      </c>
      <c r="F82" s="51">
        <f>IF(VLOOKUP(Table91213[[#This Row],[Date]],'DB Details'!$A:$Q,6)=0,"",VLOOKUP(Table91213[[#This Row],[Date]],'DB Details'!$A:$Q,6))</f>
        <v/>
      </c>
      <c r="G82" s="52">
        <f>IF(VLOOKUP(Table91213[[#This Row],[Date]],'DB Details'!$A:$Q,7)=0,"",VLOOKUP(Table91213[[#This Row],[Date]],'DB Details'!$A:$Q,7))</f>
        <v/>
      </c>
      <c r="H82" s="52">
        <f>IF(VLOOKUP(Table91213[[#This Row],[Date]],'DB Details'!$A:$Q,8)=0,"",VLOOKUP(Table91213[[#This Row],[Date]],'DB Details'!$A:$Q,8))</f>
        <v/>
      </c>
      <c r="I82" s="52">
        <f>IF(VLOOKUP(Table91213[[#This Row],[Date]],'DB Details'!$A:$Q,9)=0,"",VLOOKUP(Table91213[[#This Row],[Date]],'DB Details'!$A:$Q,9))</f>
        <v/>
      </c>
      <c r="J82" s="52">
        <f>IF(VLOOKUP(Table91213[[#This Row],[Date]],'DB Details'!$A:$Q,10)=0,"",VLOOKUP(Table91213[[#This Row],[Date]],'DB Details'!$A:$Q,10))</f>
        <v/>
      </c>
      <c r="K82" s="52">
        <f>IF(VLOOKUP(Table91213[[#This Row],[Date]],'DB Details'!$A:$Q,11)=0,"",VLOOKUP(Table91213[[#This Row],[Date]],'DB Details'!$A:$Q,11))</f>
        <v/>
      </c>
      <c r="L82" s="50">
        <f>IF(VLOOKUP(Table91213[[#This Row],[Date]],'DB Details'!$A:$Q,12)=0,"",VLOOKUP(Table91213[[#This Row],[Date]],'DB Details'!$A:$Q,12))</f>
        <v/>
      </c>
    </row>
    <row r="83">
      <c r="A83" s="53" t="n">
        <v>37956</v>
      </c>
      <c r="B83" s="50">
        <f>IF(VLOOKUP(Table91213[[#This Row],[Date]],'DB Details'!$A:$Q,2)=0,"",VLOOKUP(Table91213[[#This Row],[Date]],'DB Details'!$A:$Q,2))</f>
        <v/>
      </c>
      <c r="C83" s="51">
        <f>IF(VLOOKUP(Table91213[[#This Row],[Date]],'DB Details'!$A:$Q,3)=0,"",VLOOKUP(Table91213[[#This Row],[Date]],'DB Details'!$A:$Q,3))</f>
        <v/>
      </c>
      <c r="D83" s="51">
        <f>IF(VLOOKUP(Table91213[[#This Row],[Date]],'DB Details'!$A:$Q,4)=0,"",VLOOKUP(Table91213[[#This Row],[Date]],'DB Details'!$A:$Q,4))</f>
        <v/>
      </c>
      <c r="E83" s="52">
        <f>IF(VLOOKUP(Table91213[[#This Row],[Date]],'DB Details'!$A:$Q,5)=0,"",VLOOKUP(Table91213[[#This Row],[Date]],'DB Details'!$A:$Q,5))</f>
        <v/>
      </c>
      <c r="F83" s="51">
        <f>IF(VLOOKUP(Table91213[[#This Row],[Date]],'DB Details'!$A:$Q,6)=0,"",VLOOKUP(Table91213[[#This Row],[Date]],'DB Details'!$A:$Q,6))</f>
        <v/>
      </c>
      <c r="G83" s="52">
        <f>IF(VLOOKUP(Table91213[[#This Row],[Date]],'DB Details'!$A:$Q,7)=0,"",VLOOKUP(Table91213[[#This Row],[Date]],'DB Details'!$A:$Q,7))</f>
        <v/>
      </c>
      <c r="H83" s="52">
        <f>IF(VLOOKUP(Table91213[[#This Row],[Date]],'DB Details'!$A:$Q,8)=0,"",VLOOKUP(Table91213[[#This Row],[Date]],'DB Details'!$A:$Q,8))</f>
        <v/>
      </c>
      <c r="I83" s="52">
        <f>IF(VLOOKUP(Table91213[[#This Row],[Date]],'DB Details'!$A:$Q,9)=0,"",VLOOKUP(Table91213[[#This Row],[Date]],'DB Details'!$A:$Q,9))</f>
        <v/>
      </c>
      <c r="J83" s="52">
        <f>IF(VLOOKUP(Table91213[[#This Row],[Date]],'DB Details'!$A:$Q,10)=0,"",VLOOKUP(Table91213[[#This Row],[Date]],'DB Details'!$A:$Q,10))</f>
        <v/>
      </c>
      <c r="K83" s="52">
        <f>IF(VLOOKUP(Table91213[[#This Row],[Date]],'DB Details'!$A:$Q,11)=0,"",VLOOKUP(Table91213[[#This Row],[Date]],'DB Details'!$A:$Q,11))</f>
        <v/>
      </c>
      <c r="L83" s="50">
        <f>IF(VLOOKUP(Table91213[[#This Row],[Date]],'DB Details'!$A:$Q,12)=0,"",VLOOKUP(Table91213[[#This Row],[Date]],'DB Details'!$A:$Q,12))</f>
        <v/>
      </c>
    </row>
    <row r="84">
      <c r="A84" s="53" t="n">
        <v>37987</v>
      </c>
      <c r="B84" s="50">
        <f>IF(VLOOKUP(Table91213[[#This Row],[Date]],'DB Details'!$A:$Q,2)=0,"",VLOOKUP(Table91213[[#This Row],[Date]],'DB Details'!$A:$Q,2))</f>
        <v/>
      </c>
      <c r="C84" s="51">
        <f>IF(VLOOKUP(Table91213[[#This Row],[Date]],'DB Details'!$A:$Q,3)=0,"",VLOOKUP(Table91213[[#This Row],[Date]],'DB Details'!$A:$Q,3))</f>
        <v/>
      </c>
      <c r="D84" s="51">
        <f>IF(VLOOKUP(Table91213[[#This Row],[Date]],'DB Details'!$A:$Q,4)=0,"",VLOOKUP(Table91213[[#This Row],[Date]],'DB Details'!$A:$Q,4))</f>
        <v/>
      </c>
      <c r="E84" s="52">
        <f>IF(VLOOKUP(Table91213[[#This Row],[Date]],'DB Details'!$A:$Q,5)=0,"",VLOOKUP(Table91213[[#This Row],[Date]],'DB Details'!$A:$Q,5))</f>
        <v/>
      </c>
      <c r="F84" s="51">
        <f>IF(VLOOKUP(Table91213[[#This Row],[Date]],'DB Details'!$A:$Q,6)=0,"",VLOOKUP(Table91213[[#This Row],[Date]],'DB Details'!$A:$Q,6))</f>
        <v/>
      </c>
      <c r="G84" s="52">
        <f>IF(VLOOKUP(Table91213[[#This Row],[Date]],'DB Details'!$A:$Q,7)=0,"",VLOOKUP(Table91213[[#This Row],[Date]],'DB Details'!$A:$Q,7))</f>
        <v/>
      </c>
      <c r="H84" s="52">
        <f>IF(VLOOKUP(Table91213[[#This Row],[Date]],'DB Details'!$A:$Q,8)=0,"",VLOOKUP(Table91213[[#This Row],[Date]],'DB Details'!$A:$Q,8))</f>
        <v/>
      </c>
      <c r="I84" s="52">
        <f>IF(VLOOKUP(Table91213[[#This Row],[Date]],'DB Details'!$A:$Q,9)=0,"",VLOOKUP(Table91213[[#This Row],[Date]],'DB Details'!$A:$Q,9))</f>
        <v/>
      </c>
      <c r="J84" s="52">
        <f>IF(VLOOKUP(Table91213[[#This Row],[Date]],'DB Details'!$A:$Q,10)=0,"",VLOOKUP(Table91213[[#This Row],[Date]],'DB Details'!$A:$Q,10))</f>
        <v/>
      </c>
      <c r="K84" s="52">
        <f>IF(VLOOKUP(Table91213[[#This Row],[Date]],'DB Details'!$A:$Q,11)=0,"",VLOOKUP(Table91213[[#This Row],[Date]],'DB Details'!$A:$Q,11))</f>
        <v/>
      </c>
      <c r="L84" s="50">
        <f>IF(VLOOKUP(Table91213[[#This Row],[Date]],'DB Details'!$A:$Q,12)=0,"",VLOOKUP(Table91213[[#This Row],[Date]],'DB Details'!$A:$Q,12))</f>
        <v/>
      </c>
    </row>
    <row r="85">
      <c r="A85" s="53" t="n">
        <v>38018</v>
      </c>
      <c r="B85" s="50">
        <f>IF(VLOOKUP(Table91213[[#This Row],[Date]],'DB Details'!$A:$Q,2)=0,"",VLOOKUP(Table91213[[#This Row],[Date]],'DB Details'!$A:$Q,2))</f>
        <v/>
      </c>
      <c r="C85" s="51">
        <f>IF(VLOOKUP(Table91213[[#This Row],[Date]],'DB Details'!$A:$Q,3)=0,"",VLOOKUP(Table91213[[#This Row],[Date]],'DB Details'!$A:$Q,3))</f>
        <v/>
      </c>
      <c r="D85" s="51">
        <f>IF(VLOOKUP(Table91213[[#This Row],[Date]],'DB Details'!$A:$Q,4)=0,"",VLOOKUP(Table91213[[#This Row],[Date]],'DB Details'!$A:$Q,4))</f>
        <v/>
      </c>
      <c r="E85" s="52">
        <f>IF(VLOOKUP(Table91213[[#This Row],[Date]],'DB Details'!$A:$Q,5)=0,"",VLOOKUP(Table91213[[#This Row],[Date]],'DB Details'!$A:$Q,5))</f>
        <v/>
      </c>
      <c r="F85" s="51">
        <f>IF(VLOOKUP(Table91213[[#This Row],[Date]],'DB Details'!$A:$Q,6)=0,"",VLOOKUP(Table91213[[#This Row],[Date]],'DB Details'!$A:$Q,6))</f>
        <v/>
      </c>
      <c r="G85" s="52">
        <f>IF(VLOOKUP(Table91213[[#This Row],[Date]],'DB Details'!$A:$Q,7)=0,"",VLOOKUP(Table91213[[#This Row],[Date]],'DB Details'!$A:$Q,7))</f>
        <v/>
      </c>
      <c r="H85" s="52">
        <f>IF(VLOOKUP(Table91213[[#This Row],[Date]],'DB Details'!$A:$Q,8)=0,"",VLOOKUP(Table91213[[#This Row],[Date]],'DB Details'!$A:$Q,8))</f>
        <v/>
      </c>
      <c r="I85" s="52">
        <f>IF(VLOOKUP(Table91213[[#This Row],[Date]],'DB Details'!$A:$Q,9)=0,"",VLOOKUP(Table91213[[#This Row],[Date]],'DB Details'!$A:$Q,9))</f>
        <v/>
      </c>
      <c r="J85" s="52">
        <f>IF(VLOOKUP(Table91213[[#This Row],[Date]],'DB Details'!$A:$Q,10)=0,"",VLOOKUP(Table91213[[#This Row],[Date]],'DB Details'!$A:$Q,10))</f>
        <v/>
      </c>
      <c r="K85" s="52">
        <f>IF(VLOOKUP(Table91213[[#This Row],[Date]],'DB Details'!$A:$Q,11)=0,"",VLOOKUP(Table91213[[#This Row],[Date]],'DB Details'!$A:$Q,11))</f>
        <v/>
      </c>
      <c r="L85" s="50">
        <f>IF(VLOOKUP(Table91213[[#This Row],[Date]],'DB Details'!$A:$Q,12)=0,"",VLOOKUP(Table91213[[#This Row],[Date]],'DB Details'!$A:$Q,12))</f>
        <v/>
      </c>
    </row>
    <row r="86">
      <c r="A86" s="53" t="n">
        <v>38047</v>
      </c>
      <c r="B86" s="50">
        <f>IF(VLOOKUP(Table91213[[#This Row],[Date]],'DB Details'!$A:$Q,2)=0,"",VLOOKUP(Table91213[[#This Row],[Date]],'DB Details'!$A:$Q,2))</f>
        <v/>
      </c>
      <c r="C86" s="51">
        <f>IF(VLOOKUP(Table91213[[#This Row],[Date]],'DB Details'!$A:$Q,3)=0,"",VLOOKUP(Table91213[[#This Row],[Date]],'DB Details'!$A:$Q,3))</f>
        <v/>
      </c>
      <c r="D86" s="51">
        <f>IF(VLOOKUP(Table91213[[#This Row],[Date]],'DB Details'!$A:$Q,4)=0,"",VLOOKUP(Table91213[[#This Row],[Date]],'DB Details'!$A:$Q,4))</f>
        <v/>
      </c>
      <c r="E86" s="52">
        <f>IF(VLOOKUP(Table91213[[#This Row],[Date]],'DB Details'!$A:$Q,5)=0,"",VLOOKUP(Table91213[[#This Row],[Date]],'DB Details'!$A:$Q,5))</f>
        <v/>
      </c>
      <c r="F86" s="51">
        <f>IF(VLOOKUP(Table91213[[#This Row],[Date]],'DB Details'!$A:$Q,6)=0,"",VLOOKUP(Table91213[[#This Row],[Date]],'DB Details'!$A:$Q,6))</f>
        <v/>
      </c>
      <c r="G86" s="52">
        <f>IF(VLOOKUP(Table91213[[#This Row],[Date]],'DB Details'!$A:$Q,7)=0,"",VLOOKUP(Table91213[[#This Row],[Date]],'DB Details'!$A:$Q,7))</f>
        <v/>
      </c>
      <c r="H86" s="52">
        <f>IF(VLOOKUP(Table91213[[#This Row],[Date]],'DB Details'!$A:$Q,8)=0,"",VLOOKUP(Table91213[[#This Row],[Date]],'DB Details'!$A:$Q,8))</f>
        <v/>
      </c>
      <c r="I86" s="52">
        <f>IF(VLOOKUP(Table91213[[#This Row],[Date]],'DB Details'!$A:$Q,9)=0,"",VLOOKUP(Table91213[[#This Row],[Date]],'DB Details'!$A:$Q,9))</f>
        <v/>
      </c>
      <c r="J86" s="52">
        <f>IF(VLOOKUP(Table91213[[#This Row],[Date]],'DB Details'!$A:$Q,10)=0,"",VLOOKUP(Table91213[[#This Row],[Date]],'DB Details'!$A:$Q,10))</f>
        <v/>
      </c>
      <c r="K86" s="52">
        <f>IF(VLOOKUP(Table91213[[#This Row],[Date]],'DB Details'!$A:$Q,11)=0,"",VLOOKUP(Table91213[[#This Row],[Date]],'DB Details'!$A:$Q,11))</f>
        <v/>
      </c>
      <c r="L86" s="50">
        <f>IF(VLOOKUP(Table91213[[#This Row],[Date]],'DB Details'!$A:$Q,12)=0,"",VLOOKUP(Table91213[[#This Row],[Date]],'DB Details'!$A:$Q,12))</f>
        <v/>
      </c>
    </row>
    <row r="87">
      <c r="A87" s="53" t="n">
        <v>38078</v>
      </c>
      <c r="B87" s="50">
        <f>IF(VLOOKUP(Table91213[[#This Row],[Date]],'DB Details'!$A:$Q,2)=0,"",VLOOKUP(Table91213[[#This Row],[Date]],'DB Details'!$A:$Q,2))</f>
        <v/>
      </c>
      <c r="C87" s="51">
        <f>IF(VLOOKUP(Table91213[[#This Row],[Date]],'DB Details'!$A:$Q,3)=0,"",VLOOKUP(Table91213[[#This Row],[Date]],'DB Details'!$A:$Q,3))</f>
        <v/>
      </c>
      <c r="D87" s="51">
        <f>IF(VLOOKUP(Table91213[[#This Row],[Date]],'DB Details'!$A:$Q,4)=0,"",VLOOKUP(Table91213[[#This Row],[Date]],'DB Details'!$A:$Q,4))</f>
        <v/>
      </c>
      <c r="E87" s="52">
        <f>IF(VLOOKUP(Table91213[[#This Row],[Date]],'DB Details'!$A:$Q,5)=0,"",VLOOKUP(Table91213[[#This Row],[Date]],'DB Details'!$A:$Q,5))</f>
        <v/>
      </c>
      <c r="F87" s="51">
        <f>IF(VLOOKUP(Table91213[[#This Row],[Date]],'DB Details'!$A:$Q,6)=0,"",VLOOKUP(Table91213[[#This Row],[Date]],'DB Details'!$A:$Q,6))</f>
        <v/>
      </c>
      <c r="G87" s="52">
        <f>IF(VLOOKUP(Table91213[[#This Row],[Date]],'DB Details'!$A:$Q,7)=0,"",VLOOKUP(Table91213[[#This Row],[Date]],'DB Details'!$A:$Q,7))</f>
        <v/>
      </c>
      <c r="H87" s="52">
        <f>IF(VLOOKUP(Table91213[[#This Row],[Date]],'DB Details'!$A:$Q,8)=0,"",VLOOKUP(Table91213[[#This Row],[Date]],'DB Details'!$A:$Q,8))</f>
        <v/>
      </c>
      <c r="I87" s="52">
        <f>IF(VLOOKUP(Table91213[[#This Row],[Date]],'DB Details'!$A:$Q,9)=0,"",VLOOKUP(Table91213[[#This Row],[Date]],'DB Details'!$A:$Q,9))</f>
        <v/>
      </c>
      <c r="J87" s="52">
        <f>IF(VLOOKUP(Table91213[[#This Row],[Date]],'DB Details'!$A:$Q,10)=0,"",VLOOKUP(Table91213[[#This Row],[Date]],'DB Details'!$A:$Q,10))</f>
        <v/>
      </c>
      <c r="K87" s="52">
        <f>IF(VLOOKUP(Table91213[[#This Row],[Date]],'DB Details'!$A:$Q,11)=0,"",VLOOKUP(Table91213[[#This Row],[Date]],'DB Details'!$A:$Q,11))</f>
        <v/>
      </c>
      <c r="L87" s="50">
        <f>IF(VLOOKUP(Table91213[[#This Row],[Date]],'DB Details'!$A:$Q,12)=0,"",VLOOKUP(Table91213[[#This Row],[Date]],'DB Details'!$A:$Q,12))</f>
        <v/>
      </c>
    </row>
    <row r="88">
      <c r="A88" s="53" t="n">
        <v>38108</v>
      </c>
      <c r="B88" s="50">
        <f>IF(VLOOKUP(Table91213[[#This Row],[Date]],'DB Details'!$A:$Q,2)=0,"",VLOOKUP(Table91213[[#This Row],[Date]],'DB Details'!$A:$Q,2))</f>
        <v/>
      </c>
      <c r="C88" s="51">
        <f>IF(VLOOKUP(Table91213[[#This Row],[Date]],'DB Details'!$A:$Q,3)=0,"",VLOOKUP(Table91213[[#This Row],[Date]],'DB Details'!$A:$Q,3))</f>
        <v/>
      </c>
      <c r="D88" s="51">
        <f>IF(VLOOKUP(Table91213[[#This Row],[Date]],'DB Details'!$A:$Q,4)=0,"",VLOOKUP(Table91213[[#This Row],[Date]],'DB Details'!$A:$Q,4))</f>
        <v/>
      </c>
      <c r="E88" s="52">
        <f>IF(VLOOKUP(Table91213[[#This Row],[Date]],'DB Details'!$A:$Q,5)=0,"",VLOOKUP(Table91213[[#This Row],[Date]],'DB Details'!$A:$Q,5))</f>
        <v/>
      </c>
      <c r="F88" s="51">
        <f>IF(VLOOKUP(Table91213[[#This Row],[Date]],'DB Details'!$A:$Q,6)=0,"",VLOOKUP(Table91213[[#This Row],[Date]],'DB Details'!$A:$Q,6))</f>
        <v/>
      </c>
      <c r="G88" s="52">
        <f>IF(VLOOKUP(Table91213[[#This Row],[Date]],'DB Details'!$A:$Q,7)=0,"",VLOOKUP(Table91213[[#This Row],[Date]],'DB Details'!$A:$Q,7))</f>
        <v/>
      </c>
      <c r="H88" s="52">
        <f>IF(VLOOKUP(Table91213[[#This Row],[Date]],'DB Details'!$A:$Q,8)=0,"",VLOOKUP(Table91213[[#This Row],[Date]],'DB Details'!$A:$Q,8))</f>
        <v/>
      </c>
      <c r="I88" s="52">
        <f>IF(VLOOKUP(Table91213[[#This Row],[Date]],'DB Details'!$A:$Q,9)=0,"",VLOOKUP(Table91213[[#This Row],[Date]],'DB Details'!$A:$Q,9))</f>
        <v/>
      </c>
      <c r="J88" s="52">
        <f>IF(VLOOKUP(Table91213[[#This Row],[Date]],'DB Details'!$A:$Q,10)=0,"",VLOOKUP(Table91213[[#This Row],[Date]],'DB Details'!$A:$Q,10))</f>
        <v/>
      </c>
      <c r="K88" s="52">
        <f>IF(VLOOKUP(Table91213[[#This Row],[Date]],'DB Details'!$A:$Q,11)=0,"",VLOOKUP(Table91213[[#This Row],[Date]],'DB Details'!$A:$Q,11))</f>
        <v/>
      </c>
      <c r="L88" s="50">
        <f>IF(VLOOKUP(Table91213[[#This Row],[Date]],'DB Details'!$A:$Q,12)=0,"",VLOOKUP(Table91213[[#This Row],[Date]],'DB Details'!$A:$Q,12))</f>
        <v/>
      </c>
    </row>
    <row r="89">
      <c r="A89" s="53" t="n">
        <v>38139</v>
      </c>
      <c r="B89" s="50">
        <f>IF(VLOOKUP(Table91213[[#This Row],[Date]],'DB Details'!$A:$Q,2)=0,"",VLOOKUP(Table91213[[#This Row],[Date]],'DB Details'!$A:$Q,2))</f>
        <v/>
      </c>
      <c r="C89" s="51">
        <f>IF(VLOOKUP(Table91213[[#This Row],[Date]],'DB Details'!$A:$Q,3)=0,"",VLOOKUP(Table91213[[#This Row],[Date]],'DB Details'!$A:$Q,3))</f>
        <v/>
      </c>
      <c r="D89" s="51">
        <f>IF(VLOOKUP(Table91213[[#This Row],[Date]],'DB Details'!$A:$Q,4)=0,"",VLOOKUP(Table91213[[#This Row],[Date]],'DB Details'!$A:$Q,4))</f>
        <v/>
      </c>
      <c r="E89" s="52">
        <f>IF(VLOOKUP(Table91213[[#This Row],[Date]],'DB Details'!$A:$Q,5)=0,"",VLOOKUP(Table91213[[#This Row],[Date]],'DB Details'!$A:$Q,5))</f>
        <v/>
      </c>
      <c r="F89" s="51">
        <f>IF(VLOOKUP(Table91213[[#This Row],[Date]],'DB Details'!$A:$Q,6)=0,"",VLOOKUP(Table91213[[#This Row],[Date]],'DB Details'!$A:$Q,6))</f>
        <v/>
      </c>
      <c r="G89" s="52">
        <f>IF(VLOOKUP(Table91213[[#This Row],[Date]],'DB Details'!$A:$Q,7)=0,"",VLOOKUP(Table91213[[#This Row],[Date]],'DB Details'!$A:$Q,7))</f>
        <v/>
      </c>
      <c r="H89" s="52">
        <f>IF(VLOOKUP(Table91213[[#This Row],[Date]],'DB Details'!$A:$Q,8)=0,"",VLOOKUP(Table91213[[#This Row],[Date]],'DB Details'!$A:$Q,8))</f>
        <v/>
      </c>
      <c r="I89" s="52">
        <f>IF(VLOOKUP(Table91213[[#This Row],[Date]],'DB Details'!$A:$Q,9)=0,"",VLOOKUP(Table91213[[#This Row],[Date]],'DB Details'!$A:$Q,9))</f>
        <v/>
      </c>
      <c r="J89" s="52">
        <f>IF(VLOOKUP(Table91213[[#This Row],[Date]],'DB Details'!$A:$Q,10)=0,"",VLOOKUP(Table91213[[#This Row],[Date]],'DB Details'!$A:$Q,10))</f>
        <v/>
      </c>
      <c r="K89" s="52">
        <f>IF(VLOOKUP(Table91213[[#This Row],[Date]],'DB Details'!$A:$Q,11)=0,"",VLOOKUP(Table91213[[#This Row],[Date]],'DB Details'!$A:$Q,11))</f>
        <v/>
      </c>
      <c r="L89" s="50">
        <f>IF(VLOOKUP(Table91213[[#This Row],[Date]],'DB Details'!$A:$Q,12)=0,"",VLOOKUP(Table91213[[#This Row],[Date]],'DB Details'!$A:$Q,12))</f>
        <v/>
      </c>
    </row>
    <row r="90">
      <c r="A90" s="53" t="n">
        <v>38169</v>
      </c>
      <c r="B90" s="50">
        <f>IF(VLOOKUP(Table91213[[#This Row],[Date]],'DB Details'!$A:$Q,2)=0,"",VLOOKUP(Table91213[[#This Row],[Date]],'DB Details'!$A:$Q,2))</f>
        <v/>
      </c>
      <c r="C90" s="51">
        <f>IF(VLOOKUP(Table91213[[#This Row],[Date]],'DB Details'!$A:$Q,3)=0,"",VLOOKUP(Table91213[[#This Row],[Date]],'DB Details'!$A:$Q,3))</f>
        <v/>
      </c>
      <c r="D90" s="51">
        <f>IF(VLOOKUP(Table91213[[#This Row],[Date]],'DB Details'!$A:$Q,4)=0,"",VLOOKUP(Table91213[[#This Row],[Date]],'DB Details'!$A:$Q,4))</f>
        <v/>
      </c>
      <c r="E90" s="52">
        <f>IF(VLOOKUP(Table91213[[#This Row],[Date]],'DB Details'!$A:$Q,5)=0,"",VLOOKUP(Table91213[[#This Row],[Date]],'DB Details'!$A:$Q,5))</f>
        <v/>
      </c>
      <c r="F90" s="51">
        <f>IF(VLOOKUP(Table91213[[#This Row],[Date]],'DB Details'!$A:$Q,6)=0,"",VLOOKUP(Table91213[[#This Row],[Date]],'DB Details'!$A:$Q,6))</f>
        <v/>
      </c>
      <c r="G90" s="52">
        <f>IF(VLOOKUP(Table91213[[#This Row],[Date]],'DB Details'!$A:$Q,7)=0,"",VLOOKUP(Table91213[[#This Row],[Date]],'DB Details'!$A:$Q,7))</f>
        <v/>
      </c>
      <c r="H90" s="52">
        <f>IF(VLOOKUP(Table91213[[#This Row],[Date]],'DB Details'!$A:$Q,8)=0,"",VLOOKUP(Table91213[[#This Row],[Date]],'DB Details'!$A:$Q,8))</f>
        <v/>
      </c>
      <c r="I90" s="52">
        <f>IF(VLOOKUP(Table91213[[#This Row],[Date]],'DB Details'!$A:$Q,9)=0,"",VLOOKUP(Table91213[[#This Row],[Date]],'DB Details'!$A:$Q,9))</f>
        <v/>
      </c>
      <c r="J90" s="52">
        <f>IF(VLOOKUP(Table91213[[#This Row],[Date]],'DB Details'!$A:$Q,10)=0,"",VLOOKUP(Table91213[[#This Row],[Date]],'DB Details'!$A:$Q,10))</f>
        <v/>
      </c>
      <c r="K90" s="52">
        <f>IF(VLOOKUP(Table91213[[#This Row],[Date]],'DB Details'!$A:$Q,11)=0,"",VLOOKUP(Table91213[[#This Row],[Date]],'DB Details'!$A:$Q,11))</f>
        <v/>
      </c>
      <c r="L90" s="50">
        <f>IF(VLOOKUP(Table91213[[#This Row],[Date]],'DB Details'!$A:$Q,12)=0,"",VLOOKUP(Table91213[[#This Row],[Date]],'DB Details'!$A:$Q,12))</f>
        <v/>
      </c>
    </row>
    <row r="91">
      <c r="A91" s="53" t="n">
        <v>38200</v>
      </c>
      <c r="B91" s="50">
        <f>IF(VLOOKUP(Table91213[[#This Row],[Date]],'DB Details'!$A:$Q,2)=0,"",VLOOKUP(Table91213[[#This Row],[Date]],'DB Details'!$A:$Q,2))</f>
        <v/>
      </c>
      <c r="C91" s="51">
        <f>IF(VLOOKUP(Table91213[[#This Row],[Date]],'DB Details'!$A:$Q,3)=0,"",VLOOKUP(Table91213[[#This Row],[Date]],'DB Details'!$A:$Q,3))</f>
        <v/>
      </c>
      <c r="D91" s="51">
        <f>IF(VLOOKUP(Table91213[[#This Row],[Date]],'DB Details'!$A:$Q,4)=0,"",VLOOKUP(Table91213[[#This Row],[Date]],'DB Details'!$A:$Q,4))</f>
        <v/>
      </c>
      <c r="E91" s="52">
        <f>IF(VLOOKUP(Table91213[[#This Row],[Date]],'DB Details'!$A:$Q,5)=0,"",VLOOKUP(Table91213[[#This Row],[Date]],'DB Details'!$A:$Q,5))</f>
        <v/>
      </c>
      <c r="F91" s="51">
        <f>IF(VLOOKUP(Table91213[[#This Row],[Date]],'DB Details'!$A:$Q,6)=0,"",VLOOKUP(Table91213[[#This Row],[Date]],'DB Details'!$A:$Q,6))</f>
        <v/>
      </c>
      <c r="G91" s="52">
        <f>IF(VLOOKUP(Table91213[[#This Row],[Date]],'DB Details'!$A:$Q,7)=0,"",VLOOKUP(Table91213[[#This Row],[Date]],'DB Details'!$A:$Q,7))</f>
        <v/>
      </c>
      <c r="H91" s="52">
        <f>IF(VLOOKUP(Table91213[[#This Row],[Date]],'DB Details'!$A:$Q,8)=0,"",VLOOKUP(Table91213[[#This Row],[Date]],'DB Details'!$A:$Q,8))</f>
        <v/>
      </c>
      <c r="I91" s="52">
        <f>IF(VLOOKUP(Table91213[[#This Row],[Date]],'DB Details'!$A:$Q,9)=0,"",VLOOKUP(Table91213[[#This Row],[Date]],'DB Details'!$A:$Q,9))</f>
        <v/>
      </c>
      <c r="J91" s="52">
        <f>IF(VLOOKUP(Table91213[[#This Row],[Date]],'DB Details'!$A:$Q,10)=0,"",VLOOKUP(Table91213[[#This Row],[Date]],'DB Details'!$A:$Q,10))</f>
        <v/>
      </c>
      <c r="K91" s="52">
        <f>IF(VLOOKUP(Table91213[[#This Row],[Date]],'DB Details'!$A:$Q,11)=0,"",VLOOKUP(Table91213[[#This Row],[Date]],'DB Details'!$A:$Q,11))</f>
        <v/>
      </c>
      <c r="L91" s="50">
        <f>IF(VLOOKUP(Table91213[[#This Row],[Date]],'DB Details'!$A:$Q,12)=0,"",VLOOKUP(Table91213[[#This Row],[Date]],'DB Details'!$A:$Q,12))</f>
        <v/>
      </c>
    </row>
    <row r="92">
      <c r="A92" s="53" t="n">
        <v>38231</v>
      </c>
      <c r="B92" s="50">
        <f>IF(VLOOKUP(Table91213[[#This Row],[Date]],'DB Details'!$A:$Q,2)=0,"",VLOOKUP(Table91213[[#This Row],[Date]],'DB Details'!$A:$Q,2))</f>
        <v/>
      </c>
      <c r="C92" s="51">
        <f>IF(VLOOKUP(Table91213[[#This Row],[Date]],'DB Details'!$A:$Q,3)=0,"",VLOOKUP(Table91213[[#This Row],[Date]],'DB Details'!$A:$Q,3))</f>
        <v/>
      </c>
      <c r="D92" s="51">
        <f>IF(VLOOKUP(Table91213[[#This Row],[Date]],'DB Details'!$A:$Q,4)=0,"",VLOOKUP(Table91213[[#This Row],[Date]],'DB Details'!$A:$Q,4))</f>
        <v/>
      </c>
      <c r="E92" s="52">
        <f>IF(VLOOKUP(Table91213[[#This Row],[Date]],'DB Details'!$A:$Q,5)=0,"",VLOOKUP(Table91213[[#This Row],[Date]],'DB Details'!$A:$Q,5))</f>
        <v/>
      </c>
      <c r="F92" s="51">
        <f>IF(VLOOKUP(Table91213[[#This Row],[Date]],'DB Details'!$A:$Q,6)=0,"",VLOOKUP(Table91213[[#This Row],[Date]],'DB Details'!$A:$Q,6))</f>
        <v/>
      </c>
      <c r="G92" s="52">
        <f>IF(VLOOKUP(Table91213[[#This Row],[Date]],'DB Details'!$A:$Q,7)=0,"",VLOOKUP(Table91213[[#This Row],[Date]],'DB Details'!$A:$Q,7))</f>
        <v/>
      </c>
      <c r="H92" s="52">
        <f>IF(VLOOKUP(Table91213[[#This Row],[Date]],'DB Details'!$A:$Q,8)=0,"",VLOOKUP(Table91213[[#This Row],[Date]],'DB Details'!$A:$Q,8))</f>
        <v/>
      </c>
      <c r="I92" s="52">
        <f>IF(VLOOKUP(Table91213[[#This Row],[Date]],'DB Details'!$A:$Q,9)=0,"",VLOOKUP(Table91213[[#This Row],[Date]],'DB Details'!$A:$Q,9))</f>
        <v/>
      </c>
      <c r="J92" s="52">
        <f>IF(VLOOKUP(Table91213[[#This Row],[Date]],'DB Details'!$A:$Q,10)=0,"",VLOOKUP(Table91213[[#This Row],[Date]],'DB Details'!$A:$Q,10))</f>
        <v/>
      </c>
      <c r="K92" s="52">
        <f>IF(VLOOKUP(Table91213[[#This Row],[Date]],'DB Details'!$A:$Q,11)=0,"",VLOOKUP(Table91213[[#This Row],[Date]],'DB Details'!$A:$Q,11))</f>
        <v/>
      </c>
      <c r="L92" s="50">
        <f>IF(VLOOKUP(Table91213[[#This Row],[Date]],'DB Details'!$A:$Q,12)=0,"",VLOOKUP(Table91213[[#This Row],[Date]],'DB Details'!$A:$Q,12))</f>
        <v/>
      </c>
    </row>
    <row r="93">
      <c r="A93" s="53" t="n">
        <v>38261</v>
      </c>
      <c r="B93" s="50">
        <f>IF(VLOOKUP(Table91213[[#This Row],[Date]],'DB Details'!$A:$Q,2)=0,"",VLOOKUP(Table91213[[#This Row],[Date]],'DB Details'!$A:$Q,2))</f>
        <v/>
      </c>
      <c r="C93" s="51">
        <f>IF(VLOOKUP(Table91213[[#This Row],[Date]],'DB Details'!$A:$Q,3)=0,"",VLOOKUP(Table91213[[#This Row],[Date]],'DB Details'!$A:$Q,3))</f>
        <v/>
      </c>
      <c r="D93" s="51">
        <f>IF(VLOOKUP(Table91213[[#This Row],[Date]],'DB Details'!$A:$Q,4)=0,"",VLOOKUP(Table91213[[#This Row],[Date]],'DB Details'!$A:$Q,4))</f>
        <v/>
      </c>
      <c r="E93" s="52">
        <f>IF(VLOOKUP(Table91213[[#This Row],[Date]],'DB Details'!$A:$Q,5)=0,"",VLOOKUP(Table91213[[#This Row],[Date]],'DB Details'!$A:$Q,5))</f>
        <v/>
      </c>
      <c r="F93" s="51">
        <f>IF(VLOOKUP(Table91213[[#This Row],[Date]],'DB Details'!$A:$Q,6)=0,"",VLOOKUP(Table91213[[#This Row],[Date]],'DB Details'!$A:$Q,6))</f>
        <v/>
      </c>
      <c r="G93" s="52">
        <f>IF(VLOOKUP(Table91213[[#This Row],[Date]],'DB Details'!$A:$Q,7)=0,"",VLOOKUP(Table91213[[#This Row],[Date]],'DB Details'!$A:$Q,7))</f>
        <v/>
      </c>
      <c r="H93" s="52">
        <f>IF(VLOOKUP(Table91213[[#This Row],[Date]],'DB Details'!$A:$Q,8)=0,"",VLOOKUP(Table91213[[#This Row],[Date]],'DB Details'!$A:$Q,8))</f>
        <v/>
      </c>
      <c r="I93" s="52">
        <f>IF(VLOOKUP(Table91213[[#This Row],[Date]],'DB Details'!$A:$Q,9)=0,"",VLOOKUP(Table91213[[#This Row],[Date]],'DB Details'!$A:$Q,9))</f>
        <v/>
      </c>
      <c r="J93" s="52">
        <f>IF(VLOOKUP(Table91213[[#This Row],[Date]],'DB Details'!$A:$Q,10)=0,"",VLOOKUP(Table91213[[#This Row],[Date]],'DB Details'!$A:$Q,10))</f>
        <v/>
      </c>
      <c r="K93" s="52">
        <f>IF(VLOOKUP(Table91213[[#This Row],[Date]],'DB Details'!$A:$Q,11)=0,"",VLOOKUP(Table91213[[#This Row],[Date]],'DB Details'!$A:$Q,11))</f>
        <v/>
      </c>
      <c r="L93" s="50">
        <f>IF(VLOOKUP(Table91213[[#This Row],[Date]],'DB Details'!$A:$Q,12)=0,"",VLOOKUP(Table91213[[#This Row],[Date]],'DB Details'!$A:$Q,12))</f>
        <v/>
      </c>
    </row>
    <row r="94">
      <c r="A94" s="53" t="n">
        <v>38292</v>
      </c>
      <c r="B94" s="50">
        <f>IF(VLOOKUP(Table91213[[#This Row],[Date]],'DB Details'!$A:$Q,2)=0,"",VLOOKUP(Table91213[[#This Row],[Date]],'DB Details'!$A:$Q,2))</f>
        <v/>
      </c>
      <c r="C94" s="51">
        <f>IF(VLOOKUP(Table91213[[#This Row],[Date]],'DB Details'!$A:$Q,3)=0,"",VLOOKUP(Table91213[[#This Row],[Date]],'DB Details'!$A:$Q,3))</f>
        <v/>
      </c>
      <c r="D94" s="51">
        <f>IF(VLOOKUP(Table91213[[#This Row],[Date]],'DB Details'!$A:$Q,4)=0,"",VLOOKUP(Table91213[[#This Row],[Date]],'DB Details'!$A:$Q,4))</f>
        <v/>
      </c>
      <c r="E94" s="52">
        <f>IF(VLOOKUP(Table91213[[#This Row],[Date]],'DB Details'!$A:$Q,5)=0,"",VLOOKUP(Table91213[[#This Row],[Date]],'DB Details'!$A:$Q,5))</f>
        <v/>
      </c>
      <c r="F94" s="51">
        <f>IF(VLOOKUP(Table91213[[#This Row],[Date]],'DB Details'!$A:$Q,6)=0,"",VLOOKUP(Table91213[[#This Row],[Date]],'DB Details'!$A:$Q,6))</f>
        <v/>
      </c>
      <c r="G94" s="52">
        <f>IF(VLOOKUP(Table91213[[#This Row],[Date]],'DB Details'!$A:$Q,7)=0,"",VLOOKUP(Table91213[[#This Row],[Date]],'DB Details'!$A:$Q,7))</f>
        <v/>
      </c>
      <c r="H94" s="52">
        <f>IF(VLOOKUP(Table91213[[#This Row],[Date]],'DB Details'!$A:$Q,8)=0,"",VLOOKUP(Table91213[[#This Row],[Date]],'DB Details'!$A:$Q,8))</f>
        <v/>
      </c>
      <c r="I94" s="52">
        <f>IF(VLOOKUP(Table91213[[#This Row],[Date]],'DB Details'!$A:$Q,9)=0,"",VLOOKUP(Table91213[[#This Row],[Date]],'DB Details'!$A:$Q,9))</f>
        <v/>
      </c>
      <c r="J94" s="52">
        <f>IF(VLOOKUP(Table91213[[#This Row],[Date]],'DB Details'!$A:$Q,10)=0,"",VLOOKUP(Table91213[[#This Row],[Date]],'DB Details'!$A:$Q,10))</f>
        <v/>
      </c>
      <c r="K94" s="52">
        <f>IF(VLOOKUP(Table91213[[#This Row],[Date]],'DB Details'!$A:$Q,11)=0,"",VLOOKUP(Table91213[[#This Row],[Date]],'DB Details'!$A:$Q,11))</f>
        <v/>
      </c>
      <c r="L94" s="50">
        <f>IF(VLOOKUP(Table91213[[#This Row],[Date]],'DB Details'!$A:$Q,12)=0,"",VLOOKUP(Table91213[[#This Row],[Date]],'DB Details'!$A:$Q,12))</f>
        <v/>
      </c>
    </row>
    <row r="95">
      <c r="A95" s="53" t="n">
        <v>38322</v>
      </c>
      <c r="B95" s="50">
        <f>IF(VLOOKUP(Table91213[[#This Row],[Date]],'DB Details'!$A:$Q,2)=0,"",VLOOKUP(Table91213[[#This Row],[Date]],'DB Details'!$A:$Q,2))</f>
        <v/>
      </c>
      <c r="C95" s="51">
        <f>IF(VLOOKUP(Table91213[[#This Row],[Date]],'DB Details'!$A:$Q,3)=0,"",VLOOKUP(Table91213[[#This Row],[Date]],'DB Details'!$A:$Q,3))</f>
        <v/>
      </c>
      <c r="D95" s="51">
        <f>IF(VLOOKUP(Table91213[[#This Row],[Date]],'DB Details'!$A:$Q,4)=0,"",VLOOKUP(Table91213[[#This Row],[Date]],'DB Details'!$A:$Q,4))</f>
        <v/>
      </c>
      <c r="E95" s="52">
        <f>IF(VLOOKUP(Table91213[[#This Row],[Date]],'DB Details'!$A:$Q,5)=0,"",VLOOKUP(Table91213[[#This Row],[Date]],'DB Details'!$A:$Q,5))</f>
        <v/>
      </c>
      <c r="F95" s="51">
        <f>IF(VLOOKUP(Table91213[[#This Row],[Date]],'DB Details'!$A:$Q,6)=0,"",VLOOKUP(Table91213[[#This Row],[Date]],'DB Details'!$A:$Q,6))</f>
        <v/>
      </c>
      <c r="G95" s="52">
        <f>IF(VLOOKUP(Table91213[[#This Row],[Date]],'DB Details'!$A:$Q,7)=0,"",VLOOKUP(Table91213[[#This Row],[Date]],'DB Details'!$A:$Q,7))</f>
        <v/>
      </c>
      <c r="H95" s="52">
        <f>IF(VLOOKUP(Table91213[[#This Row],[Date]],'DB Details'!$A:$Q,8)=0,"",VLOOKUP(Table91213[[#This Row],[Date]],'DB Details'!$A:$Q,8))</f>
        <v/>
      </c>
      <c r="I95" s="52">
        <f>IF(VLOOKUP(Table91213[[#This Row],[Date]],'DB Details'!$A:$Q,9)=0,"",VLOOKUP(Table91213[[#This Row],[Date]],'DB Details'!$A:$Q,9))</f>
        <v/>
      </c>
      <c r="J95" s="52">
        <f>IF(VLOOKUP(Table91213[[#This Row],[Date]],'DB Details'!$A:$Q,10)=0,"",VLOOKUP(Table91213[[#This Row],[Date]],'DB Details'!$A:$Q,10))</f>
        <v/>
      </c>
      <c r="K95" s="52">
        <f>IF(VLOOKUP(Table91213[[#This Row],[Date]],'DB Details'!$A:$Q,11)=0,"",VLOOKUP(Table91213[[#This Row],[Date]],'DB Details'!$A:$Q,11))</f>
        <v/>
      </c>
      <c r="L95" s="50">
        <f>IF(VLOOKUP(Table91213[[#This Row],[Date]],'DB Details'!$A:$Q,12)=0,"",VLOOKUP(Table91213[[#This Row],[Date]],'DB Details'!$A:$Q,12))</f>
        <v/>
      </c>
    </row>
    <row r="96">
      <c r="A96" s="53" t="n">
        <v>38353</v>
      </c>
      <c r="B96" s="50">
        <f>IF(VLOOKUP(Table91213[[#This Row],[Date]],'DB Details'!$A:$Q,2)=0,"",VLOOKUP(Table91213[[#This Row],[Date]],'DB Details'!$A:$Q,2))</f>
        <v/>
      </c>
      <c r="C96" s="51">
        <f>IF(VLOOKUP(Table91213[[#This Row],[Date]],'DB Details'!$A:$Q,3)=0,"",VLOOKUP(Table91213[[#This Row],[Date]],'DB Details'!$A:$Q,3))</f>
        <v/>
      </c>
      <c r="D96" s="51">
        <f>IF(VLOOKUP(Table91213[[#This Row],[Date]],'DB Details'!$A:$Q,4)=0,"",VLOOKUP(Table91213[[#This Row],[Date]],'DB Details'!$A:$Q,4))</f>
        <v/>
      </c>
      <c r="E96" s="52">
        <f>IF(VLOOKUP(Table91213[[#This Row],[Date]],'DB Details'!$A:$Q,5)=0,"",VLOOKUP(Table91213[[#This Row],[Date]],'DB Details'!$A:$Q,5))</f>
        <v/>
      </c>
      <c r="F96" s="51">
        <f>IF(VLOOKUP(Table91213[[#This Row],[Date]],'DB Details'!$A:$Q,6)=0,"",VLOOKUP(Table91213[[#This Row],[Date]],'DB Details'!$A:$Q,6))</f>
        <v/>
      </c>
      <c r="G96" s="52">
        <f>IF(VLOOKUP(Table91213[[#This Row],[Date]],'DB Details'!$A:$Q,7)=0,"",VLOOKUP(Table91213[[#This Row],[Date]],'DB Details'!$A:$Q,7))</f>
        <v/>
      </c>
      <c r="H96" s="52">
        <f>IF(VLOOKUP(Table91213[[#This Row],[Date]],'DB Details'!$A:$Q,8)=0,"",VLOOKUP(Table91213[[#This Row],[Date]],'DB Details'!$A:$Q,8))</f>
        <v/>
      </c>
      <c r="I96" s="52">
        <f>IF(VLOOKUP(Table91213[[#This Row],[Date]],'DB Details'!$A:$Q,9)=0,"",VLOOKUP(Table91213[[#This Row],[Date]],'DB Details'!$A:$Q,9))</f>
        <v/>
      </c>
      <c r="J96" s="52">
        <f>IF(VLOOKUP(Table91213[[#This Row],[Date]],'DB Details'!$A:$Q,10)=0,"",VLOOKUP(Table91213[[#This Row],[Date]],'DB Details'!$A:$Q,10))</f>
        <v/>
      </c>
      <c r="K96" s="52">
        <f>IF(VLOOKUP(Table91213[[#This Row],[Date]],'DB Details'!$A:$Q,11)=0,"",VLOOKUP(Table91213[[#This Row],[Date]],'DB Details'!$A:$Q,11))</f>
        <v/>
      </c>
      <c r="L96" s="50">
        <f>IF(VLOOKUP(Table91213[[#This Row],[Date]],'DB Details'!$A:$Q,12)=0,"",VLOOKUP(Table91213[[#This Row],[Date]],'DB Details'!$A:$Q,12))</f>
        <v/>
      </c>
    </row>
    <row r="97">
      <c r="A97" s="53" t="n">
        <v>38384</v>
      </c>
      <c r="B97" s="50">
        <f>IF(VLOOKUP(Table91213[[#This Row],[Date]],'DB Details'!$A:$Q,2)=0,"",VLOOKUP(Table91213[[#This Row],[Date]],'DB Details'!$A:$Q,2))</f>
        <v/>
      </c>
      <c r="C97" s="51">
        <f>IF(VLOOKUP(Table91213[[#This Row],[Date]],'DB Details'!$A:$Q,3)=0,"",VLOOKUP(Table91213[[#This Row],[Date]],'DB Details'!$A:$Q,3))</f>
        <v/>
      </c>
      <c r="D97" s="51">
        <f>IF(VLOOKUP(Table91213[[#This Row],[Date]],'DB Details'!$A:$Q,4)=0,"",VLOOKUP(Table91213[[#This Row],[Date]],'DB Details'!$A:$Q,4))</f>
        <v/>
      </c>
      <c r="E97" s="52">
        <f>IF(VLOOKUP(Table91213[[#This Row],[Date]],'DB Details'!$A:$Q,5)=0,"",VLOOKUP(Table91213[[#This Row],[Date]],'DB Details'!$A:$Q,5))</f>
        <v/>
      </c>
      <c r="F97" s="51">
        <f>IF(VLOOKUP(Table91213[[#This Row],[Date]],'DB Details'!$A:$Q,6)=0,"",VLOOKUP(Table91213[[#This Row],[Date]],'DB Details'!$A:$Q,6))</f>
        <v/>
      </c>
      <c r="G97" s="52">
        <f>IF(VLOOKUP(Table91213[[#This Row],[Date]],'DB Details'!$A:$Q,7)=0,"",VLOOKUP(Table91213[[#This Row],[Date]],'DB Details'!$A:$Q,7))</f>
        <v/>
      </c>
      <c r="H97" s="52">
        <f>IF(VLOOKUP(Table91213[[#This Row],[Date]],'DB Details'!$A:$Q,8)=0,"",VLOOKUP(Table91213[[#This Row],[Date]],'DB Details'!$A:$Q,8))</f>
        <v/>
      </c>
      <c r="I97" s="52">
        <f>IF(VLOOKUP(Table91213[[#This Row],[Date]],'DB Details'!$A:$Q,9)=0,"",VLOOKUP(Table91213[[#This Row],[Date]],'DB Details'!$A:$Q,9))</f>
        <v/>
      </c>
      <c r="J97" s="52">
        <f>IF(VLOOKUP(Table91213[[#This Row],[Date]],'DB Details'!$A:$Q,10)=0,"",VLOOKUP(Table91213[[#This Row],[Date]],'DB Details'!$A:$Q,10))</f>
        <v/>
      </c>
      <c r="K97" s="52">
        <f>IF(VLOOKUP(Table91213[[#This Row],[Date]],'DB Details'!$A:$Q,11)=0,"",VLOOKUP(Table91213[[#This Row],[Date]],'DB Details'!$A:$Q,11))</f>
        <v/>
      </c>
      <c r="L97" s="50">
        <f>IF(VLOOKUP(Table91213[[#This Row],[Date]],'DB Details'!$A:$Q,12)=0,"",VLOOKUP(Table91213[[#This Row],[Date]],'DB Details'!$A:$Q,12))</f>
        <v/>
      </c>
    </row>
    <row r="98">
      <c r="A98" s="53" t="n">
        <v>38412</v>
      </c>
      <c r="B98" s="50">
        <f>IF(VLOOKUP(Table91213[[#This Row],[Date]],'DB Details'!$A:$Q,2)=0,"",VLOOKUP(Table91213[[#This Row],[Date]],'DB Details'!$A:$Q,2))</f>
        <v/>
      </c>
      <c r="C98" s="51">
        <f>IF(VLOOKUP(Table91213[[#This Row],[Date]],'DB Details'!$A:$Q,3)=0,"",VLOOKUP(Table91213[[#This Row],[Date]],'DB Details'!$A:$Q,3))</f>
        <v/>
      </c>
      <c r="D98" s="51">
        <f>IF(VLOOKUP(Table91213[[#This Row],[Date]],'DB Details'!$A:$Q,4)=0,"",VLOOKUP(Table91213[[#This Row],[Date]],'DB Details'!$A:$Q,4))</f>
        <v/>
      </c>
      <c r="E98" s="52">
        <f>IF(VLOOKUP(Table91213[[#This Row],[Date]],'DB Details'!$A:$Q,5)=0,"",VLOOKUP(Table91213[[#This Row],[Date]],'DB Details'!$A:$Q,5))</f>
        <v/>
      </c>
      <c r="F98" s="51">
        <f>IF(VLOOKUP(Table91213[[#This Row],[Date]],'DB Details'!$A:$Q,6)=0,"",VLOOKUP(Table91213[[#This Row],[Date]],'DB Details'!$A:$Q,6))</f>
        <v/>
      </c>
      <c r="G98" s="52">
        <f>IF(VLOOKUP(Table91213[[#This Row],[Date]],'DB Details'!$A:$Q,7)=0,"",VLOOKUP(Table91213[[#This Row],[Date]],'DB Details'!$A:$Q,7))</f>
        <v/>
      </c>
      <c r="H98" s="52">
        <f>IF(VLOOKUP(Table91213[[#This Row],[Date]],'DB Details'!$A:$Q,8)=0,"",VLOOKUP(Table91213[[#This Row],[Date]],'DB Details'!$A:$Q,8))</f>
        <v/>
      </c>
      <c r="I98" s="52">
        <f>IF(VLOOKUP(Table91213[[#This Row],[Date]],'DB Details'!$A:$Q,9)=0,"",VLOOKUP(Table91213[[#This Row],[Date]],'DB Details'!$A:$Q,9))</f>
        <v/>
      </c>
      <c r="J98" s="52">
        <f>IF(VLOOKUP(Table91213[[#This Row],[Date]],'DB Details'!$A:$Q,10)=0,"",VLOOKUP(Table91213[[#This Row],[Date]],'DB Details'!$A:$Q,10))</f>
        <v/>
      </c>
      <c r="K98" s="52">
        <f>IF(VLOOKUP(Table91213[[#This Row],[Date]],'DB Details'!$A:$Q,11)=0,"",VLOOKUP(Table91213[[#This Row],[Date]],'DB Details'!$A:$Q,11))</f>
        <v/>
      </c>
      <c r="L98" s="50">
        <f>IF(VLOOKUP(Table91213[[#This Row],[Date]],'DB Details'!$A:$Q,12)=0,"",VLOOKUP(Table91213[[#This Row],[Date]],'DB Details'!$A:$Q,12))</f>
        <v/>
      </c>
    </row>
    <row r="99">
      <c r="A99" s="53" t="n">
        <v>38443</v>
      </c>
      <c r="B99" s="50">
        <f>IF(VLOOKUP(Table91213[[#This Row],[Date]],'DB Details'!$A:$Q,2)=0,"",VLOOKUP(Table91213[[#This Row],[Date]],'DB Details'!$A:$Q,2))</f>
        <v/>
      </c>
      <c r="C99" s="51">
        <f>IF(VLOOKUP(Table91213[[#This Row],[Date]],'DB Details'!$A:$Q,3)=0,"",VLOOKUP(Table91213[[#This Row],[Date]],'DB Details'!$A:$Q,3))</f>
        <v/>
      </c>
      <c r="D99" s="51">
        <f>IF(VLOOKUP(Table91213[[#This Row],[Date]],'DB Details'!$A:$Q,4)=0,"",VLOOKUP(Table91213[[#This Row],[Date]],'DB Details'!$A:$Q,4))</f>
        <v/>
      </c>
      <c r="E99" s="52">
        <f>IF(VLOOKUP(Table91213[[#This Row],[Date]],'DB Details'!$A:$Q,5)=0,"",VLOOKUP(Table91213[[#This Row],[Date]],'DB Details'!$A:$Q,5))</f>
        <v/>
      </c>
      <c r="F99" s="51">
        <f>IF(VLOOKUP(Table91213[[#This Row],[Date]],'DB Details'!$A:$Q,6)=0,"",VLOOKUP(Table91213[[#This Row],[Date]],'DB Details'!$A:$Q,6))</f>
        <v/>
      </c>
      <c r="G99" s="52">
        <f>IF(VLOOKUP(Table91213[[#This Row],[Date]],'DB Details'!$A:$Q,7)=0,"",VLOOKUP(Table91213[[#This Row],[Date]],'DB Details'!$A:$Q,7))</f>
        <v/>
      </c>
      <c r="H99" s="52">
        <f>IF(VLOOKUP(Table91213[[#This Row],[Date]],'DB Details'!$A:$Q,8)=0,"",VLOOKUP(Table91213[[#This Row],[Date]],'DB Details'!$A:$Q,8))</f>
        <v/>
      </c>
      <c r="I99" s="52">
        <f>IF(VLOOKUP(Table91213[[#This Row],[Date]],'DB Details'!$A:$Q,9)=0,"",VLOOKUP(Table91213[[#This Row],[Date]],'DB Details'!$A:$Q,9))</f>
        <v/>
      </c>
      <c r="J99" s="52">
        <f>IF(VLOOKUP(Table91213[[#This Row],[Date]],'DB Details'!$A:$Q,10)=0,"",VLOOKUP(Table91213[[#This Row],[Date]],'DB Details'!$A:$Q,10))</f>
        <v/>
      </c>
      <c r="K99" s="52">
        <f>IF(VLOOKUP(Table91213[[#This Row],[Date]],'DB Details'!$A:$Q,11)=0,"",VLOOKUP(Table91213[[#This Row],[Date]],'DB Details'!$A:$Q,11))</f>
        <v/>
      </c>
      <c r="L99" s="50">
        <f>IF(VLOOKUP(Table91213[[#This Row],[Date]],'DB Details'!$A:$Q,12)=0,"",VLOOKUP(Table91213[[#This Row],[Date]],'DB Details'!$A:$Q,12))</f>
        <v/>
      </c>
    </row>
    <row r="100">
      <c r="A100" s="53" t="n">
        <v>38473</v>
      </c>
      <c r="B100" s="50">
        <f>IF(VLOOKUP(Table91213[[#This Row],[Date]],'DB Details'!$A:$Q,2)=0,"",VLOOKUP(Table91213[[#This Row],[Date]],'DB Details'!$A:$Q,2))</f>
        <v/>
      </c>
      <c r="C100" s="51">
        <f>IF(VLOOKUP(Table91213[[#This Row],[Date]],'DB Details'!$A:$Q,3)=0,"",VLOOKUP(Table91213[[#This Row],[Date]],'DB Details'!$A:$Q,3))</f>
        <v/>
      </c>
      <c r="D100" s="51">
        <f>IF(VLOOKUP(Table91213[[#This Row],[Date]],'DB Details'!$A:$Q,4)=0,"",VLOOKUP(Table91213[[#This Row],[Date]],'DB Details'!$A:$Q,4))</f>
        <v/>
      </c>
      <c r="E100" s="52">
        <f>IF(VLOOKUP(Table91213[[#This Row],[Date]],'DB Details'!$A:$Q,5)=0,"",VLOOKUP(Table91213[[#This Row],[Date]],'DB Details'!$A:$Q,5))</f>
        <v/>
      </c>
      <c r="F100" s="51">
        <f>IF(VLOOKUP(Table91213[[#This Row],[Date]],'DB Details'!$A:$Q,6)=0,"",VLOOKUP(Table91213[[#This Row],[Date]],'DB Details'!$A:$Q,6))</f>
        <v/>
      </c>
      <c r="G100" s="52">
        <f>IF(VLOOKUP(Table91213[[#This Row],[Date]],'DB Details'!$A:$Q,7)=0,"",VLOOKUP(Table91213[[#This Row],[Date]],'DB Details'!$A:$Q,7))</f>
        <v/>
      </c>
      <c r="H100" s="52">
        <f>IF(VLOOKUP(Table91213[[#This Row],[Date]],'DB Details'!$A:$Q,8)=0,"",VLOOKUP(Table91213[[#This Row],[Date]],'DB Details'!$A:$Q,8))</f>
        <v/>
      </c>
      <c r="I100" s="52">
        <f>IF(VLOOKUP(Table91213[[#This Row],[Date]],'DB Details'!$A:$Q,9)=0,"",VLOOKUP(Table91213[[#This Row],[Date]],'DB Details'!$A:$Q,9))</f>
        <v/>
      </c>
      <c r="J100" s="52">
        <f>IF(VLOOKUP(Table91213[[#This Row],[Date]],'DB Details'!$A:$Q,10)=0,"",VLOOKUP(Table91213[[#This Row],[Date]],'DB Details'!$A:$Q,10))</f>
        <v/>
      </c>
      <c r="K100" s="52">
        <f>IF(VLOOKUP(Table91213[[#This Row],[Date]],'DB Details'!$A:$Q,11)=0,"",VLOOKUP(Table91213[[#This Row],[Date]],'DB Details'!$A:$Q,11))</f>
        <v/>
      </c>
      <c r="L100" s="50">
        <f>IF(VLOOKUP(Table91213[[#This Row],[Date]],'DB Details'!$A:$Q,12)=0,"",VLOOKUP(Table91213[[#This Row],[Date]],'DB Details'!$A:$Q,12))</f>
        <v/>
      </c>
    </row>
    <row r="101">
      <c r="A101" s="53" t="n">
        <v>38504</v>
      </c>
      <c r="B101" s="50">
        <f>IF(VLOOKUP(Table91213[[#This Row],[Date]],'DB Details'!$A:$Q,2)=0,"",VLOOKUP(Table91213[[#This Row],[Date]],'DB Details'!$A:$Q,2))</f>
        <v/>
      </c>
      <c r="C101" s="51">
        <f>IF(VLOOKUP(Table91213[[#This Row],[Date]],'DB Details'!$A:$Q,3)=0,"",VLOOKUP(Table91213[[#This Row],[Date]],'DB Details'!$A:$Q,3))</f>
        <v/>
      </c>
      <c r="D101" s="51">
        <f>IF(VLOOKUP(Table91213[[#This Row],[Date]],'DB Details'!$A:$Q,4)=0,"",VLOOKUP(Table91213[[#This Row],[Date]],'DB Details'!$A:$Q,4))</f>
        <v/>
      </c>
      <c r="E101" s="52">
        <f>IF(VLOOKUP(Table91213[[#This Row],[Date]],'DB Details'!$A:$Q,5)=0,"",VLOOKUP(Table91213[[#This Row],[Date]],'DB Details'!$A:$Q,5))</f>
        <v/>
      </c>
      <c r="F101" s="51">
        <f>IF(VLOOKUP(Table91213[[#This Row],[Date]],'DB Details'!$A:$Q,6)=0,"",VLOOKUP(Table91213[[#This Row],[Date]],'DB Details'!$A:$Q,6))</f>
        <v/>
      </c>
      <c r="G101" s="52">
        <f>IF(VLOOKUP(Table91213[[#This Row],[Date]],'DB Details'!$A:$Q,7)=0,"",VLOOKUP(Table91213[[#This Row],[Date]],'DB Details'!$A:$Q,7))</f>
        <v/>
      </c>
      <c r="H101" s="52">
        <f>IF(VLOOKUP(Table91213[[#This Row],[Date]],'DB Details'!$A:$Q,8)=0,"",VLOOKUP(Table91213[[#This Row],[Date]],'DB Details'!$A:$Q,8))</f>
        <v/>
      </c>
      <c r="I101" s="52">
        <f>IF(VLOOKUP(Table91213[[#This Row],[Date]],'DB Details'!$A:$Q,9)=0,"",VLOOKUP(Table91213[[#This Row],[Date]],'DB Details'!$A:$Q,9))</f>
        <v/>
      </c>
      <c r="J101" s="52">
        <f>IF(VLOOKUP(Table91213[[#This Row],[Date]],'DB Details'!$A:$Q,10)=0,"",VLOOKUP(Table91213[[#This Row],[Date]],'DB Details'!$A:$Q,10))</f>
        <v/>
      </c>
      <c r="K101" s="52">
        <f>IF(VLOOKUP(Table91213[[#This Row],[Date]],'DB Details'!$A:$Q,11)=0,"",VLOOKUP(Table91213[[#This Row],[Date]],'DB Details'!$A:$Q,11))</f>
        <v/>
      </c>
      <c r="L101" s="50">
        <f>IF(VLOOKUP(Table91213[[#This Row],[Date]],'DB Details'!$A:$Q,12)=0,"",VLOOKUP(Table91213[[#This Row],[Date]],'DB Details'!$A:$Q,12))</f>
        <v/>
      </c>
    </row>
    <row r="102">
      <c r="A102" s="53" t="n">
        <v>38534</v>
      </c>
      <c r="B102" s="50">
        <f>IF(VLOOKUP(Table91213[[#This Row],[Date]],'DB Details'!$A:$Q,2)=0,"",VLOOKUP(Table91213[[#This Row],[Date]],'DB Details'!$A:$Q,2))</f>
        <v/>
      </c>
      <c r="C102" s="51">
        <f>IF(VLOOKUP(Table91213[[#This Row],[Date]],'DB Details'!$A:$Q,3)=0,"",VLOOKUP(Table91213[[#This Row],[Date]],'DB Details'!$A:$Q,3))</f>
        <v/>
      </c>
      <c r="D102" s="51">
        <f>IF(VLOOKUP(Table91213[[#This Row],[Date]],'DB Details'!$A:$Q,4)=0,"",VLOOKUP(Table91213[[#This Row],[Date]],'DB Details'!$A:$Q,4))</f>
        <v/>
      </c>
      <c r="E102" s="52">
        <f>IF(VLOOKUP(Table91213[[#This Row],[Date]],'DB Details'!$A:$Q,5)=0,"",VLOOKUP(Table91213[[#This Row],[Date]],'DB Details'!$A:$Q,5))</f>
        <v/>
      </c>
      <c r="F102" s="51">
        <f>IF(VLOOKUP(Table91213[[#This Row],[Date]],'DB Details'!$A:$Q,6)=0,"",VLOOKUP(Table91213[[#This Row],[Date]],'DB Details'!$A:$Q,6))</f>
        <v/>
      </c>
      <c r="G102" s="52">
        <f>IF(VLOOKUP(Table91213[[#This Row],[Date]],'DB Details'!$A:$Q,7)=0,"",VLOOKUP(Table91213[[#This Row],[Date]],'DB Details'!$A:$Q,7))</f>
        <v/>
      </c>
      <c r="H102" s="52">
        <f>IF(VLOOKUP(Table91213[[#This Row],[Date]],'DB Details'!$A:$Q,8)=0,"",VLOOKUP(Table91213[[#This Row],[Date]],'DB Details'!$A:$Q,8))</f>
        <v/>
      </c>
      <c r="I102" s="52">
        <f>IF(VLOOKUP(Table91213[[#This Row],[Date]],'DB Details'!$A:$Q,9)=0,"",VLOOKUP(Table91213[[#This Row],[Date]],'DB Details'!$A:$Q,9))</f>
        <v/>
      </c>
      <c r="J102" s="52">
        <f>IF(VLOOKUP(Table91213[[#This Row],[Date]],'DB Details'!$A:$Q,10)=0,"",VLOOKUP(Table91213[[#This Row],[Date]],'DB Details'!$A:$Q,10))</f>
        <v/>
      </c>
      <c r="K102" s="52">
        <f>IF(VLOOKUP(Table91213[[#This Row],[Date]],'DB Details'!$A:$Q,11)=0,"",VLOOKUP(Table91213[[#This Row],[Date]],'DB Details'!$A:$Q,11))</f>
        <v/>
      </c>
      <c r="L102" s="50">
        <f>IF(VLOOKUP(Table91213[[#This Row],[Date]],'DB Details'!$A:$Q,12)=0,"",VLOOKUP(Table91213[[#This Row],[Date]],'DB Details'!$A:$Q,12))</f>
        <v/>
      </c>
    </row>
    <row r="103">
      <c r="A103" s="53" t="n">
        <v>38565</v>
      </c>
      <c r="B103" s="50">
        <f>IF(VLOOKUP(Table91213[[#This Row],[Date]],'DB Details'!$A:$Q,2)=0,"",VLOOKUP(Table91213[[#This Row],[Date]],'DB Details'!$A:$Q,2))</f>
        <v/>
      </c>
      <c r="C103" s="51">
        <f>IF(VLOOKUP(Table91213[[#This Row],[Date]],'DB Details'!$A:$Q,3)=0,"",VLOOKUP(Table91213[[#This Row],[Date]],'DB Details'!$A:$Q,3))</f>
        <v/>
      </c>
      <c r="D103" s="51">
        <f>IF(VLOOKUP(Table91213[[#This Row],[Date]],'DB Details'!$A:$Q,4)=0,"",VLOOKUP(Table91213[[#This Row],[Date]],'DB Details'!$A:$Q,4))</f>
        <v/>
      </c>
      <c r="E103" s="52">
        <f>IF(VLOOKUP(Table91213[[#This Row],[Date]],'DB Details'!$A:$Q,5)=0,"",VLOOKUP(Table91213[[#This Row],[Date]],'DB Details'!$A:$Q,5))</f>
        <v/>
      </c>
      <c r="F103" s="51">
        <f>IF(VLOOKUP(Table91213[[#This Row],[Date]],'DB Details'!$A:$Q,6)=0,"",VLOOKUP(Table91213[[#This Row],[Date]],'DB Details'!$A:$Q,6))</f>
        <v/>
      </c>
      <c r="G103" s="52">
        <f>IF(VLOOKUP(Table91213[[#This Row],[Date]],'DB Details'!$A:$Q,7)=0,"",VLOOKUP(Table91213[[#This Row],[Date]],'DB Details'!$A:$Q,7))</f>
        <v/>
      </c>
      <c r="H103" s="52">
        <f>IF(VLOOKUP(Table91213[[#This Row],[Date]],'DB Details'!$A:$Q,8)=0,"",VLOOKUP(Table91213[[#This Row],[Date]],'DB Details'!$A:$Q,8))</f>
        <v/>
      </c>
      <c r="I103" s="52">
        <f>IF(VLOOKUP(Table91213[[#This Row],[Date]],'DB Details'!$A:$Q,9)=0,"",VLOOKUP(Table91213[[#This Row],[Date]],'DB Details'!$A:$Q,9))</f>
        <v/>
      </c>
      <c r="J103" s="52">
        <f>IF(VLOOKUP(Table91213[[#This Row],[Date]],'DB Details'!$A:$Q,10)=0,"",VLOOKUP(Table91213[[#This Row],[Date]],'DB Details'!$A:$Q,10))</f>
        <v/>
      </c>
      <c r="K103" s="52">
        <f>IF(VLOOKUP(Table91213[[#This Row],[Date]],'DB Details'!$A:$Q,11)=0,"",VLOOKUP(Table91213[[#This Row],[Date]],'DB Details'!$A:$Q,11))</f>
        <v/>
      </c>
      <c r="L103" s="50">
        <f>IF(VLOOKUP(Table91213[[#This Row],[Date]],'DB Details'!$A:$Q,12)=0,"",VLOOKUP(Table91213[[#This Row],[Date]],'DB Details'!$A:$Q,12))</f>
        <v/>
      </c>
    </row>
    <row r="104">
      <c r="A104" s="53" t="n">
        <v>38596</v>
      </c>
      <c r="B104" s="50">
        <f>IF(VLOOKUP(Table91213[[#This Row],[Date]],'DB Details'!$A:$Q,2)=0,"",VLOOKUP(Table91213[[#This Row],[Date]],'DB Details'!$A:$Q,2))</f>
        <v/>
      </c>
      <c r="C104" s="51">
        <f>IF(VLOOKUP(Table91213[[#This Row],[Date]],'DB Details'!$A:$Q,3)=0,"",VLOOKUP(Table91213[[#This Row],[Date]],'DB Details'!$A:$Q,3))</f>
        <v/>
      </c>
      <c r="D104" s="51">
        <f>IF(VLOOKUP(Table91213[[#This Row],[Date]],'DB Details'!$A:$Q,4)=0,"",VLOOKUP(Table91213[[#This Row],[Date]],'DB Details'!$A:$Q,4))</f>
        <v/>
      </c>
      <c r="E104" s="52">
        <f>IF(VLOOKUP(Table91213[[#This Row],[Date]],'DB Details'!$A:$Q,5)=0,"",VLOOKUP(Table91213[[#This Row],[Date]],'DB Details'!$A:$Q,5))</f>
        <v/>
      </c>
      <c r="F104" s="51">
        <f>IF(VLOOKUP(Table91213[[#This Row],[Date]],'DB Details'!$A:$Q,6)=0,"",VLOOKUP(Table91213[[#This Row],[Date]],'DB Details'!$A:$Q,6))</f>
        <v/>
      </c>
      <c r="G104" s="52">
        <f>IF(VLOOKUP(Table91213[[#This Row],[Date]],'DB Details'!$A:$Q,7)=0,"",VLOOKUP(Table91213[[#This Row],[Date]],'DB Details'!$A:$Q,7))</f>
        <v/>
      </c>
      <c r="H104" s="52">
        <f>IF(VLOOKUP(Table91213[[#This Row],[Date]],'DB Details'!$A:$Q,8)=0,"",VLOOKUP(Table91213[[#This Row],[Date]],'DB Details'!$A:$Q,8))</f>
        <v/>
      </c>
      <c r="I104" s="52">
        <f>IF(VLOOKUP(Table91213[[#This Row],[Date]],'DB Details'!$A:$Q,9)=0,"",VLOOKUP(Table91213[[#This Row],[Date]],'DB Details'!$A:$Q,9))</f>
        <v/>
      </c>
      <c r="J104" s="52">
        <f>IF(VLOOKUP(Table91213[[#This Row],[Date]],'DB Details'!$A:$Q,10)=0,"",VLOOKUP(Table91213[[#This Row],[Date]],'DB Details'!$A:$Q,10))</f>
        <v/>
      </c>
      <c r="K104" s="52">
        <f>IF(VLOOKUP(Table91213[[#This Row],[Date]],'DB Details'!$A:$Q,11)=0,"",VLOOKUP(Table91213[[#This Row],[Date]],'DB Details'!$A:$Q,11))</f>
        <v/>
      </c>
      <c r="L104" s="50">
        <f>IF(VLOOKUP(Table91213[[#This Row],[Date]],'DB Details'!$A:$Q,12)=0,"",VLOOKUP(Table91213[[#This Row],[Date]],'DB Details'!$A:$Q,12))</f>
        <v/>
      </c>
    </row>
    <row r="105">
      <c r="A105" s="53" t="n">
        <v>38626</v>
      </c>
      <c r="B105" s="50">
        <f>IF(VLOOKUP(Table91213[[#This Row],[Date]],'DB Details'!$A:$Q,2)=0,"",VLOOKUP(Table91213[[#This Row],[Date]],'DB Details'!$A:$Q,2))</f>
        <v/>
      </c>
      <c r="C105" s="51">
        <f>IF(VLOOKUP(Table91213[[#This Row],[Date]],'DB Details'!$A:$Q,3)=0,"",VLOOKUP(Table91213[[#This Row],[Date]],'DB Details'!$A:$Q,3))</f>
        <v/>
      </c>
      <c r="D105" s="51">
        <f>IF(VLOOKUP(Table91213[[#This Row],[Date]],'DB Details'!$A:$Q,4)=0,"",VLOOKUP(Table91213[[#This Row],[Date]],'DB Details'!$A:$Q,4))</f>
        <v/>
      </c>
      <c r="E105" s="52">
        <f>IF(VLOOKUP(Table91213[[#This Row],[Date]],'DB Details'!$A:$Q,5)=0,"",VLOOKUP(Table91213[[#This Row],[Date]],'DB Details'!$A:$Q,5))</f>
        <v/>
      </c>
      <c r="F105" s="51">
        <f>IF(VLOOKUP(Table91213[[#This Row],[Date]],'DB Details'!$A:$Q,6)=0,"",VLOOKUP(Table91213[[#This Row],[Date]],'DB Details'!$A:$Q,6))</f>
        <v/>
      </c>
      <c r="G105" s="52">
        <f>IF(VLOOKUP(Table91213[[#This Row],[Date]],'DB Details'!$A:$Q,7)=0,"",VLOOKUP(Table91213[[#This Row],[Date]],'DB Details'!$A:$Q,7))</f>
        <v/>
      </c>
      <c r="H105" s="52">
        <f>IF(VLOOKUP(Table91213[[#This Row],[Date]],'DB Details'!$A:$Q,8)=0,"",VLOOKUP(Table91213[[#This Row],[Date]],'DB Details'!$A:$Q,8))</f>
        <v/>
      </c>
      <c r="I105" s="52">
        <f>IF(VLOOKUP(Table91213[[#This Row],[Date]],'DB Details'!$A:$Q,9)=0,"",VLOOKUP(Table91213[[#This Row],[Date]],'DB Details'!$A:$Q,9))</f>
        <v/>
      </c>
      <c r="J105" s="52">
        <f>IF(VLOOKUP(Table91213[[#This Row],[Date]],'DB Details'!$A:$Q,10)=0,"",VLOOKUP(Table91213[[#This Row],[Date]],'DB Details'!$A:$Q,10))</f>
        <v/>
      </c>
      <c r="K105" s="52">
        <f>IF(VLOOKUP(Table91213[[#This Row],[Date]],'DB Details'!$A:$Q,11)=0,"",VLOOKUP(Table91213[[#This Row],[Date]],'DB Details'!$A:$Q,11))</f>
        <v/>
      </c>
      <c r="L105" s="50">
        <f>IF(VLOOKUP(Table91213[[#This Row],[Date]],'DB Details'!$A:$Q,12)=0,"",VLOOKUP(Table91213[[#This Row],[Date]],'DB Details'!$A:$Q,12))</f>
        <v/>
      </c>
    </row>
    <row r="106">
      <c r="A106" s="53" t="n">
        <v>38657</v>
      </c>
      <c r="B106" s="50">
        <f>IF(VLOOKUP(Table91213[[#This Row],[Date]],'DB Details'!$A:$Q,2)=0,"",VLOOKUP(Table91213[[#This Row],[Date]],'DB Details'!$A:$Q,2))</f>
        <v/>
      </c>
      <c r="C106" s="51">
        <f>IF(VLOOKUP(Table91213[[#This Row],[Date]],'DB Details'!$A:$Q,3)=0,"",VLOOKUP(Table91213[[#This Row],[Date]],'DB Details'!$A:$Q,3))</f>
        <v/>
      </c>
      <c r="D106" s="51">
        <f>IF(VLOOKUP(Table91213[[#This Row],[Date]],'DB Details'!$A:$Q,4)=0,"",VLOOKUP(Table91213[[#This Row],[Date]],'DB Details'!$A:$Q,4))</f>
        <v/>
      </c>
      <c r="E106" s="52">
        <f>IF(VLOOKUP(Table91213[[#This Row],[Date]],'DB Details'!$A:$Q,5)=0,"",VLOOKUP(Table91213[[#This Row],[Date]],'DB Details'!$A:$Q,5))</f>
        <v/>
      </c>
      <c r="F106" s="51">
        <f>IF(VLOOKUP(Table91213[[#This Row],[Date]],'DB Details'!$A:$Q,6)=0,"",VLOOKUP(Table91213[[#This Row],[Date]],'DB Details'!$A:$Q,6))</f>
        <v/>
      </c>
      <c r="G106" s="52">
        <f>IF(VLOOKUP(Table91213[[#This Row],[Date]],'DB Details'!$A:$Q,7)=0,"",VLOOKUP(Table91213[[#This Row],[Date]],'DB Details'!$A:$Q,7))</f>
        <v/>
      </c>
      <c r="H106" s="52">
        <f>IF(VLOOKUP(Table91213[[#This Row],[Date]],'DB Details'!$A:$Q,8)=0,"",VLOOKUP(Table91213[[#This Row],[Date]],'DB Details'!$A:$Q,8))</f>
        <v/>
      </c>
      <c r="I106" s="52">
        <f>IF(VLOOKUP(Table91213[[#This Row],[Date]],'DB Details'!$A:$Q,9)=0,"",VLOOKUP(Table91213[[#This Row],[Date]],'DB Details'!$A:$Q,9))</f>
        <v/>
      </c>
      <c r="J106" s="52">
        <f>IF(VLOOKUP(Table91213[[#This Row],[Date]],'DB Details'!$A:$Q,10)=0,"",VLOOKUP(Table91213[[#This Row],[Date]],'DB Details'!$A:$Q,10))</f>
        <v/>
      </c>
      <c r="K106" s="52">
        <f>IF(VLOOKUP(Table91213[[#This Row],[Date]],'DB Details'!$A:$Q,11)=0,"",VLOOKUP(Table91213[[#This Row],[Date]],'DB Details'!$A:$Q,11))</f>
        <v/>
      </c>
      <c r="L106" s="50">
        <f>IF(VLOOKUP(Table91213[[#This Row],[Date]],'DB Details'!$A:$Q,12)=0,"",VLOOKUP(Table91213[[#This Row],[Date]],'DB Details'!$A:$Q,12))</f>
        <v/>
      </c>
    </row>
    <row r="107">
      <c r="A107" s="53" t="n">
        <v>38687</v>
      </c>
      <c r="B107" s="50">
        <f>IF(VLOOKUP(Table91213[[#This Row],[Date]],'DB Details'!$A:$Q,2)=0,"",VLOOKUP(Table91213[[#This Row],[Date]],'DB Details'!$A:$Q,2))</f>
        <v/>
      </c>
      <c r="C107" s="51">
        <f>IF(VLOOKUP(Table91213[[#This Row],[Date]],'DB Details'!$A:$Q,3)=0,"",VLOOKUP(Table91213[[#This Row],[Date]],'DB Details'!$A:$Q,3))</f>
        <v/>
      </c>
      <c r="D107" s="51">
        <f>IF(VLOOKUP(Table91213[[#This Row],[Date]],'DB Details'!$A:$Q,4)=0,"",VLOOKUP(Table91213[[#This Row],[Date]],'DB Details'!$A:$Q,4))</f>
        <v/>
      </c>
      <c r="E107" s="52">
        <f>IF(VLOOKUP(Table91213[[#This Row],[Date]],'DB Details'!$A:$Q,5)=0,"",VLOOKUP(Table91213[[#This Row],[Date]],'DB Details'!$A:$Q,5))</f>
        <v/>
      </c>
      <c r="F107" s="51">
        <f>IF(VLOOKUP(Table91213[[#This Row],[Date]],'DB Details'!$A:$Q,6)=0,"",VLOOKUP(Table91213[[#This Row],[Date]],'DB Details'!$A:$Q,6))</f>
        <v/>
      </c>
      <c r="G107" s="52">
        <f>IF(VLOOKUP(Table91213[[#This Row],[Date]],'DB Details'!$A:$Q,7)=0,"",VLOOKUP(Table91213[[#This Row],[Date]],'DB Details'!$A:$Q,7))</f>
        <v/>
      </c>
      <c r="H107" s="52">
        <f>IF(VLOOKUP(Table91213[[#This Row],[Date]],'DB Details'!$A:$Q,8)=0,"",VLOOKUP(Table91213[[#This Row],[Date]],'DB Details'!$A:$Q,8))</f>
        <v/>
      </c>
      <c r="I107" s="52">
        <f>IF(VLOOKUP(Table91213[[#This Row],[Date]],'DB Details'!$A:$Q,9)=0,"",VLOOKUP(Table91213[[#This Row],[Date]],'DB Details'!$A:$Q,9))</f>
        <v/>
      </c>
      <c r="J107" s="52">
        <f>IF(VLOOKUP(Table91213[[#This Row],[Date]],'DB Details'!$A:$Q,10)=0,"",VLOOKUP(Table91213[[#This Row],[Date]],'DB Details'!$A:$Q,10))</f>
        <v/>
      </c>
      <c r="K107" s="52">
        <f>IF(VLOOKUP(Table91213[[#This Row],[Date]],'DB Details'!$A:$Q,11)=0,"",VLOOKUP(Table91213[[#This Row],[Date]],'DB Details'!$A:$Q,11))</f>
        <v/>
      </c>
      <c r="L107" s="50">
        <f>IF(VLOOKUP(Table91213[[#This Row],[Date]],'DB Details'!$A:$Q,12)=0,"",VLOOKUP(Table91213[[#This Row],[Date]],'DB Details'!$A:$Q,12))</f>
        <v/>
      </c>
    </row>
    <row r="108">
      <c r="A108" s="53" t="n">
        <v>38718</v>
      </c>
      <c r="B108" s="50">
        <f>IF(VLOOKUP(Table91213[[#This Row],[Date]],'DB Details'!$A:$Q,2)=0,"",VLOOKUP(Table91213[[#This Row],[Date]],'DB Details'!$A:$Q,2))</f>
        <v/>
      </c>
      <c r="C108" s="51">
        <f>IF(VLOOKUP(Table91213[[#This Row],[Date]],'DB Details'!$A:$Q,3)=0,"",VLOOKUP(Table91213[[#This Row],[Date]],'DB Details'!$A:$Q,3))</f>
        <v/>
      </c>
      <c r="D108" s="51">
        <f>IF(VLOOKUP(Table91213[[#This Row],[Date]],'DB Details'!$A:$Q,4)=0,"",VLOOKUP(Table91213[[#This Row],[Date]],'DB Details'!$A:$Q,4))</f>
        <v/>
      </c>
      <c r="E108" s="52">
        <f>IF(VLOOKUP(Table91213[[#This Row],[Date]],'DB Details'!$A:$Q,5)=0,"",VLOOKUP(Table91213[[#This Row],[Date]],'DB Details'!$A:$Q,5))</f>
        <v/>
      </c>
      <c r="F108" s="51">
        <f>IF(VLOOKUP(Table91213[[#This Row],[Date]],'DB Details'!$A:$Q,6)=0,"",VLOOKUP(Table91213[[#This Row],[Date]],'DB Details'!$A:$Q,6))</f>
        <v/>
      </c>
      <c r="G108" s="52">
        <f>IF(VLOOKUP(Table91213[[#This Row],[Date]],'DB Details'!$A:$Q,7)=0,"",VLOOKUP(Table91213[[#This Row],[Date]],'DB Details'!$A:$Q,7))</f>
        <v/>
      </c>
      <c r="H108" s="52">
        <f>IF(VLOOKUP(Table91213[[#This Row],[Date]],'DB Details'!$A:$Q,8)=0,"",VLOOKUP(Table91213[[#This Row],[Date]],'DB Details'!$A:$Q,8))</f>
        <v/>
      </c>
      <c r="I108" s="52">
        <f>IF(VLOOKUP(Table91213[[#This Row],[Date]],'DB Details'!$A:$Q,9)=0,"",VLOOKUP(Table91213[[#This Row],[Date]],'DB Details'!$A:$Q,9))</f>
        <v/>
      </c>
      <c r="J108" s="52">
        <f>IF(VLOOKUP(Table91213[[#This Row],[Date]],'DB Details'!$A:$Q,10)=0,"",VLOOKUP(Table91213[[#This Row],[Date]],'DB Details'!$A:$Q,10))</f>
        <v/>
      </c>
      <c r="K108" s="52">
        <f>IF(VLOOKUP(Table91213[[#This Row],[Date]],'DB Details'!$A:$Q,11)=0,"",VLOOKUP(Table91213[[#This Row],[Date]],'DB Details'!$A:$Q,11))</f>
        <v/>
      </c>
      <c r="L108" s="50">
        <f>IF(VLOOKUP(Table91213[[#This Row],[Date]],'DB Details'!$A:$Q,12)=0,"",VLOOKUP(Table91213[[#This Row],[Date]],'DB Details'!$A:$Q,12))</f>
        <v/>
      </c>
    </row>
    <row r="109">
      <c r="A109" s="53" t="n">
        <v>38749</v>
      </c>
      <c r="B109" s="50">
        <f>IF(VLOOKUP(Table91213[[#This Row],[Date]],'DB Details'!$A:$Q,2)=0,"",VLOOKUP(Table91213[[#This Row],[Date]],'DB Details'!$A:$Q,2))</f>
        <v/>
      </c>
      <c r="C109" s="51">
        <f>IF(VLOOKUP(Table91213[[#This Row],[Date]],'DB Details'!$A:$Q,3)=0,"",VLOOKUP(Table91213[[#This Row],[Date]],'DB Details'!$A:$Q,3))</f>
        <v/>
      </c>
      <c r="D109" s="51">
        <f>IF(VLOOKUP(Table91213[[#This Row],[Date]],'DB Details'!$A:$Q,4)=0,"",VLOOKUP(Table91213[[#This Row],[Date]],'DB Details'!$A:$Q,4))</f>
        <v/>
      </c>
      <c r="E109" s="52">
        <f>IF(VLOOKUP(Table91213[[#This Row],[Date]],'DB Details'!$A:$Q,5)=0,"",VLOOKUP(Table91213[[#This Row],[Date]],'DB Details'!$A:$Q,5))</f>
        <v/>
      </c>
      <c r="F109" s="51">
        <f>IF(VLOOKUP(Table91213[[#This Row],[Date]],'DB Details'!$A:$Q,6)=0,"",VLOOKUP(Table91213[[#This Row],[Date]],'DB Details'!$A:$Q,6))</f>
        <v/>
      </c>
      <c r="G109" s="52">
        <f>IF(VLOOKUP(Table91213[[#This Row],[Date]],'DB Details'!$A:$Q,7)=0,"",VLOOKUP(Table91213[[#This Row],[Date]],'DB Details'!$A:$Q,7))</f>
        <v/>
      </c>
      <c r="H109" s="52">
        <f>IF(VLOOKUP(Table91213[[#This Row],[Date]],'DB Details'!$A:$Q,8)=0,"",VLOOKUP(Table91213[[#This Row],[Date]],'DB Details'!$A:$Q,8))</f>
        <v/>
      </c>
      <c r="I109" s="52">
        <f>IF(VLOOKUP(Table91213[[#This Row],[Date]],'DB Details'!$A:$Q,9)=0,"",VLOOKUP(Table91213[[#This Row],[Date]],'DB Details'!$A:$Q,9))</f>
        <v/>
      </c>
      <c r="J109" s="52">
        <f>IF(VLOOKUP(Table91213[[#This Row],[Date]],'DB Details'!$A:$Q,10)=0,"",VLOOKUP(Table91213[[#This Row],[Date]],'DB Details'!$A:$Q,10))</f>
        <v/>
      </c>
      <c r="K109" s="52">
        <f>IF(VLOOKUP(Table91213[[#This Row],[Date]],'DB Details'!$A:$Q,11)=0,"",VLOOKUP(Table91213[[#This Row],[Date]],'DB Details'!$A:$Q,11))</f>
        <v/>
      </c>
      <c r="L109" s="50">
        <f>IF(VLOOKUP(Table91213[[#This Row],[Date]],'DB Details'!$A:$Q,12)=0,"",VLOOKUP(Table91213[[#This Row],[Date]],'DB Details'!$A:$Q,12))</f>
        <v/>
      </c>
    </row>
    <row r="110">
      <c r="A110" s="53" t="n">
        <v>38777</v>
      </c>
      <c r="B110" s="50">
        <f>IF(VLOOKUP(Table91213[[#This Row],[Date]],'DB Details'!$A:$Q,2)=0,"",VLOOKUP(Table91213[[#This Row],[Date]],'DB Details'!$A:$Q,2))</f>
        <v/>
      </c>
      <c r="C110" s="51">
        <f>IF(VLOOKUP(Table91213[[#This Row],[Date]],'DB Details'!$A:$Q,3)=0,"",VLOOKUP(Table91213[[#This Row],[Date]],'DB Details'!$A:$Q,3))</f>
        <v/>
      </c>
      <c r="D110" s="51">
        <f>IF(VLOOKUP(Table91213[[#This Row],[Date]],'DB Details'!$A:$Q,4)=0,"",VLOOKUP(Table91213[[#This Row],[Date]],'DB Details'!$A:$Q,4))</f>
        <v/>
      </c>
      <c r="E110" s="52">
        <f>IF(VLOOKUP(Table91213[[#This Row],[Date]],'DB Details'!$A:$Q,5)=0,"",VLOOKUP(Table91213[[#This Row],[Date]],'DB Details'!$A:$Q,5))</f>
        <v/>
      </c>
      <c r="F110" s="51">
        <f>IF(VLOOKUP(Table91213[[#This Row],[Date]],'DB Details'!$A:$Q,6)=0,"",VLOOKUP(Table91213[[#This Row],[Date]],'DB Details'!$A:$Q,6))</f>
        <v/>
      </c>
      <c r="G110" s="52">
        <f>IF(VLOOKUP(Table91213[[#This Row],[Date]],'DB Details'!$A:$Q,7)=0,"",VLOOKUP(Table91213[[#This Row],[Date]],'DB Details'!$A:$Q,7))</f>
        <v/>
      </c>
      <c r="H110" s="52">
        <f>IF(VLOOKUP(Table91213[[#This Row],[Date]],'DB Details'!$A:$Q,8)=0,"",VLOOKUP(Table91213[[#This Row],[Date]],'DB Details'!$A:$Q,8))</f>
        <v/>
      </c>
      <c r="I110" s="52">
        <f>IF(VLOOKUP(Table91213[[#This Row],[Date]],'DB Details'!$A:$Q,9)=0,"",VLOOKUP(Table91213[[#This Row],[Date]],'DB Details'!$A:$Q,9))</f>
        <v/>
      </c>
      <c r="J110" s="52">
        <f>IF(VLOOKUP(Table91213[[#This Row],[Date]],'DB Details'!$A:$Q,10)=0,"",VLOOKUP(Table91213[[#This Row],[Date]],'DB Details'!$A:$Q,10))</f>
        <v/>
      </c>
      <c r="K110" s="52">
        <f>IF(VLOOKUP(Table91213[[#This Row],[Date]],'DB Details'!$A:$Q,11)=0,"",VLOOKUP(Table91213[[#This Row],[Date]],'DB Details'!$A:$Q,11))</f>
        <v/>
      </c>
      <c r="L110" s="50">
        <f>IF(VLOOKUP(Table91213[[#This Row],[Date]],'DB Details'!$A:$Q,12)=0,"",VLOOKUP(Table91213[[#This Row],[Date]],'DB Details'!$A:$Q,12))</f>
        <v/>
      </c>
    </row>
    <row r="111">
      <c r="A111" s="53" t="n">
        <v>38808</v>
      </c>
      <c r="B111" s="50">
        <f>IF(VLOOKUP(Table91213[[#This Row],[Date]],'DB Details'!$A:$Q,2)=0,"",VLOOKUP(Table91213[[#This Row],[Date]],'DB Details'!$A:$Q,2))</f>
        <v/>
      </c>
      <c r="C111" s="51">
        <f>IF(VLOOKUP(Table91213[[#This Row],[Date]],'DB Details'!$A:$Q,3)=0,"",VLOOKUP(Table91213[[#This Row],[Date]],'DB Details'!$A:$Q,3))</f>
        <v/>
      </c>
      <c r="D111" s="51">
        <f>IF(VLOOKUP(Table91213[[#This Row],[Date]],'DB Details'!$A:$Q,4)=0,"",VLOOKUP(Table91213[[#This Row],[Date]],'DB Details'!$A:$Q,4))</f>
        <v/>
      </c>
      <c r="E111" s="52">
        <f>IF(VLOOKUP(Table91213[[#This Row],[Date]],'DB Details'!$A:$Q,5)=0,"",VLOOKUP(Table91213[[#This Row],[Date]],'DB Details'!$A:$Q,5))</f>
        <v/>
      </c>
      <c r="F111" s="51">
        <f>IF(VLOOKUP(Table91213[[#This Row],[Date]],'DB Details'!$A:$Q,6)=0,"",VLOOKUP(Table91213[[#This Row],[Date]],'DB Details'!$A:$Q,6))</f>
        <v/>
      </c>
      <c r="G111" s="52">
        <f>IF(VLOOKUP(Table91213[[#This Row],[Date]],'DB Details'!$A:$Q,7)=0,"",VLOOKUP(Table91213[[#This Row],[Date]],'DB Details'!$A:$Q,7))</f>
        <v/>
      </c>
      <c r="H111" s="52">
        <f>IF(VLOOKUP(Table91213[[#This Row],[Date]],'DB Details'!$A:$Q,8)=0,"",VLOOKUP(Table91213[[#This Row],[Date]],'DB Details'!$A:$Q,8))</f>
        <v/>
      </c>
      <c r="I111" s="52">
        <f>IF(VLOOKUP(Table91213[[#This Row],[Date]],'DB Details'!$A:$Q,9)=0,"",VLOOKUP(Table91213[[#This Row],[Date]],'DB Details'!$A:$Q,9))</f>
        <v/>
      </c>
      <c r="J111" s="52">
        <f>IF(VLOOKUP(Table91213[[#This Row],[Date]],'DB Details'!$A:$Q,10)=0,"",VLOOKUP(Table91213[[#This Row],[Date]],'DB Details'!$A:$Q,10))</f>
        <v/>
      </c>
      <c r="K111" s="52">
        <f>IF(VLOOKUP(Table91213[[#This Row],[Date]],'DB Details'!$A:$Q,11)=0,"",VLOOKUP(Table91213[[#This Row],[Date]],'DB Details'!$A:$Q,11))</f>
        <v/>
      </c>
      <c r="L111" s="50">
        <f>IF(VLOOKUP(Table91213[[#This Row],[Date]],'DB Details'!$A:$Q,12)=0,"",VLOOKUP(Table91213[[#This Row],[Date]],'DB Details'!$A:$Q,12))</f>
        <v/>
      </c>
    </row>
    <row r="112">
      <c r="A112" s="53" t="n">
        <v>38838</v>
      </c>
      <c r="B112" s="50">
        <f>IF(VLOOKUP(Table91213[[#This Row],[Date]],'DB Details'!$A:$Q,2)=0,"",VLOOKUP(Table91213[[#This Row],[Date]],'DB Details'!$A:$Q,2))</f>
        <v/>
      </c>
      <c r="C112" s="51">
        <f>IF(VLOOKUP(Table91213[[#This Row],[Date]],'DB Details'!$A:$Q,3)=0,"",VLOOKUP(Table91213[[#This Row],[Date]],'DB Details'!$A:$Q,3))</f>
        <v/>
      </c>
      <c r="D112" s="51">
        <f>IF(VLOOKUP(Table91213[[#This Row],[Date]],'DB Details'!$A:$Q,4)=0,"",VLOOKUP(Table91213[[#This Row],[Date]],'DB Details'!$A:$Q,4))</f>
        <v/>
      </c>
      <c r="E112" s="52">
        <f>IF(VLOOKUP(Table91213[[#This Row],[Date]],'DB Details'!$A:$Q,5)=0,"",VLOOKUP(Table91213[[#This Row],[Date]],'DB Details'!$A:$Q,5))</f>
        <v/>
      </c>
      <c r="F112" s="51">
        <f>IF(VLOOKUP(Table91213[[#This Row],[Date]],'DB Details'!$A:$Q,6)=0,"",VLOOKUP(Table91213[[#This Row],[Date]],'DB Details'!$A:$Q,6))</f>
        <v/>
      </c>
      <c r="G112" s="52">
        <f>IF(VLOOKUP(Table91213[[#This Row],[Date]],'DB Details'!$A:$Q,7)=0,"",VLOOKUP(Table91213[[#This Row],[Date]],'DB Details'!$A:$Q,7))</f>
        <v/>
      </c>
      <c r="H112" s="52">
        <f>IF(VLOOKUP(Table91213[[#This Row],[Date]],'DB Details'!$A:$Q,8)=0,"",VLOOKUP(Table91213[[#This Row],[Date]],'DB Details'!$A:$Q,8))</f>
        <v/>
      </c>
      <c r="I112" s="52">
        <f>IF(VLOOKUP(Table91213[[#This Row],[Date]],'DB Details'!$A:$Q,9)=0,"",VLOOKUP(Table91213[[#This Row],[Date]],'DB Details'!$A:$Q,9))</f>
        <v/>
      </c>
      <c r="J112" s="52">
        <f>IF(VLOOKUP(Table91213[[#This Row],[Date]],'DB Details'!$A:$Q,10)=0,"",VLOOKUP(Table91213[[#This Row],[Date]],'DB Details'!$A:$Q,10))</f>
        <v/>
      </c>
      <c r="K112" s="52">
        <f>IF(VLOOKUP(Table91213[[#This Row],[Date]],'DB Details'!$A:$Q,11)=0,"",VLOOKUP(Table91213[[#This Row],[Date]],'DB Details'!$A:$Q,11))</f>
        <v/>
      </c>
      <c r="L112" s="50">
        <f>IF(VLOOKUP(Table91213[[#This Row],[Date]],'DB Details'!$A:$Q,12)=0,"",VLOOKUP(Table91213[[#This Row],[Date]],'DB Details'!$A:$Q,12))</f>
        <v/>
      </c>
    </row>
    <row r="113">
      <c r="A113" s="53" t="n">
        <v>38869</v>
      </c>
      <c r="B113" s="50">
        <f>IF(VLOOKUP(Table91213[[#This Row],[Date]],'DB Details'!$A:$Q,2)=0,"",VLOOKUP(Table91213[[#This Row],[Date]],'DB Details'!$A:$Q,2))</f>
        <v/>
      </c>
      <c r="C113" s="51">
        <f>IF(VLOOKUP(Table91213[[#This Row],[Date]],'DB Details'!$A:$Q,3)=0,"",VLOOKUP(Table91213[[#This Row],[Date]],'DB Details'!$A:$Q,3))</f>
        <v/>
      </c>
      <c r="D113" s="51">
        <f>IF(VLOOKUP(Table91213[[#This Row],[Date]],'DB Details'!$A:$Q,4)=0,"",VLOOKUP(Table91213[[#This Row],[Date]],'DB Details'!$A:$Q,4))</f>
        <v/>
      </c>
      <c r="E113" s="52">
        <f>IF(VLOOKUP(Table91213[[#This Row],[Date]],'DB Details'!$A:$Q,5)=0,"",VLOOKUP(Table91213[[#This Row],[Date]],'DB Details'!$A:$Q,5))</f>
        <v/>
      </c>
      <c r="F113" s="51">
        <f>IF(VLOOKUP(Table91213[[#This Row],[Date]],'DB Details'!$A:$Q,6)=0,"",VLOOKUP(Table91213[[#This Row],[Date]],'DB Details'!$A:$Q,6))</f>
        <v/>
      </c>
      <c r="G113" s="52">
        <f>IF(VLOOKUP(Table91213[[#This Row],[Date]],'DB Details'!$A:$Q,7)=0,"",VLOOKUP(Table91213[[#This Row],[Date]],'DB Details'!$A:$Q,7))</f>
        <v/>
      </c>
      <c r="H113" s="52">
        <f>IF(VLOOKUP(Table91213[[#This Row],[Date]],'DB Details'!$A:$Q,8)=0,"",VLOOKUP(Table91213[[#This Row],[Date]],'DB Details'!$A:$Q,8))</f>
        <v/>
      </c>
      <c r="I113" s="52">
        <f>IF(VLOOKUP(Table91213[[#This Row],[Date]],'DB Details'!$A:$Q,9)=0,"",VLOOKUP(Table91213[[#This Row],[Date]],'DB Details'!$A:$Q,9))</f>
        <v/>
      </c>
      <c r="J113" s="52">
        <f>IF(VLOOKUP(Table91213[[#This Row],[Date]],'DB Details'!$A:$Q,10)=0,"",VLOOKUP(Table91213[[#This Row],[Date]],'DB Details'!$A:$Q,10))</f>
        <v/>
      </c>
      <c r="K113" s="52">
        <f>IF(VLOOKUP(Table91213[[#This Row],[Date]],'DB Details'!$A:$Q,11)=0,"",VLOOKUP(Table91213[[#This Row],[Date]],'DB Details'!$A:$Q,11))</f>
        <v/>
      </c>
      <c r="L113" s="50">
        <f>IF(VLOOKUP(Table91213[[#This Row],[Date]],'DB Details'!$A:$Q,12)=0,"",VLOOKUP(Table91213[[#This Row],[Date]],'DB Details'!$A:$Q,12))</f>
        <v/>
      </c>
    </row>
    <row r="114">
      <c r="A114" s="53" t="n">
        <v>38899</v>
      </c>
      <c r="B114" s="50">
        <f>IF(VLOOKUP(Table91213[[#This Row],[Date]],'DB Details'!$A:$Q,2)=0,"",VLOOKUP(Table91213[[#This Row],[Date]],'DB Details'!$A:$Q,2))</f>
        <v/>
      </c>
      <c r="C114" s="51">
        <f>IF(VLOOKUP(Table91213[[#This Row],[Date]],'DB Details'!$A:$Q,3)=0,"",VLOOKUP(Table91213[[#This Row],[Date]],'DB Details'!$A:$Q,3))</f>
        <v/>
      </c>
      <c r="D114" s="51">
        <f>IF(VLOOKUP(Table91213[[#This Row],[Date]],'DB Details'!$A:$Q,4)=0,"",VLOOKUP(Table91213[[#This Row],[Date]],'DB Details'!$A:$Q,4))</f>
        <v/>
      </c>
      <c r="E114" s="52">
        <f>IF(VLOOKUP(Table91213[[#This Row],[Date]],'DB Details'!$A:$Q,5)=0,"",VLOOKUP(Table91213[[#This Row],[Date]],'DB Details'!$A:$Q,5))</f>
        <v/>
      </c>
      <c r="F114" s="51">
        <f>IF(VLOOKUP(Table91213[[#This Row],[Date]],'DB Details'!$A:$Q,6)=0,"",VLOOKUP(Table91213[[#This Row],[Date]],'DB Details'!$A:$Q,6))</f>
        <v/>
      </c>
      <c r="G114" s="52">
        <f>IF(VLOOKUP(Table91213[[#This Row],[Date]],'DB Details'!$A:$Q,7)=0,"",VLOOKUP(Table91213[[#This Row],[Date]],'DB Details'!$A:$Q,7))</f>
        <v/>
      </c>
      <c r="H114" s="52">
        <f>IF(VLOOKUP(Table91213[[#This Row],[Date]],'DB Details'!$A:$Q,8)=0,"",VLOOKUP(Table91213[[#This Row],[Date]],'DB Details'!$A:$Q,8))</f>
        <v/>
      </c>
      <c r="I114" s="52">
        <f>IF(VLOOKUP(Table91213[[#This Row],[Date]],'DB Details'!$A:$Q,9)=0,"",VLOOKUP(Table91213[[#This Row],[Date]],'DB Details'!$A:$Q,9))</f>
        <v/>
      </c>
      <c r="J114" s="52">
        <f>IF(VLOOKUP(Table91213[[#This Row],[Date]],'DB Details'!$A:$Q,10)=0,"",VLOOKUP(Table91213[[#This Row],[Date]],'DB Details'!$A:$Q,10))</f>
        <v/>
      </c>
      <c r="K114" s="52">
        <f>IF(VLOOKUP(Table91213[[#This Row],[Date]],'DB Details'!$A:$Q,11)=0,"",VLOOKUP(Table91213[[#This Row],[Date]],'DB Details'!$A:$Q,11))</f>
        <v/>
      </c>
      <c r="L114" s="50">
        <f>IF(VLOOKUP(Table91213[[#This Row],[Date]],'DB Details'!$A:$Q,12)=0,"",VLOOKUP(Table91213[[#This Row],[Date]],'DB Details'!$A:$Q,12))</f>
        <v/>
      </c>
    </row>
    <row r="115">
      <c r="A115" s="53" t="n">
        <v>38930</v>
      </c>
      <c r="B115" s="50">
        <f>IF(VLOOKUP(Table91213[[#This Row],[Date]],'DB Details'!$A:$Q,2)=0,"",VLOOKUP(Table91213[[#This Row],[Date]],'DB Details'!$A:$Q,2))</f>
        <v/>
      </c>
      <c r="C115" s="51">
        <f>IF(VLOOKUP(Table91213[[#This Row],[Date]],'DB Details'!$A:$Q,3)=0,"",VLOOKUP(Table91213[[#This Row],[Date]],'DB Details'!$A:$Q,3))</f>
        <v/>
      </c>
      <c r="D115" s="51">
        <f>IF(VLOOKUP(Table91213[[#This Row],[Date]],'DB Details'!$A:$Q,4)=0,"",VLOOKUP(Table91213[[#This Row],[Date]],'DB Details'!$A:$Q,4))</f>
        <v/>
      </c>
      <c r="E115" s="52">
        <f>IF(VLOOKUP(Table91213[[#This Row],[Date]],'DB Details'!$A:$Q,5)=0,"",VLOOKUP(Table91213[[#This Row],[Date]],'DB Details'!$A:$Q,5))</f>
        <v/>
      </c>
      <c r="F115" s="51">
        <f>IF(VLOOKUP(Table91213[[#This Row],[Date]],'DB Details'!$A:$Q,6)=0,"",VLOOKUP(Table91213[[#This Row],[Date]],'DB Details'!$A:$Q,6))</f>
        <v/>
      </c>
      <c r="G115" s="52">
        <f>IF(VLOOKUP(Table91213[[#This Row],[Date]],'DB Details'!$A:$Q,7)=0,"",VLOOKUP(Table91213[[#This Row],[Date]],'DB Details'!$A:$Q,7))</f>
        <v/>
      </c>
      <c r="H115" s="52">
        <f>IF(VLOOKUP(Table91213[[#This Row],[Date]],'DB Details'!$A:$Q,8)=0,"",VLOOKUP(Table91213[[#This Row],[Date]],'DB Details'!$A:$Q,8))</f>
        <v/>
      </c>
      <c r="I115" s="52">
        <f>IF(VLOOKUP(Table91213[[#This Row],[Date]],'DB Details'!$A:$Q,9)=0,"",VLOOKUP(Table91213[[#This Row],[Date]],'DB Details'!$A:$Q,9))</f>
        <v/>
      </c>
      <c r="J115" s="52">
        <f>IF(VLOOKUP(Table91213[[#This Row],[Date]],'DB Details'!$A:$Q,10)=0,"",VLOOKUP(Table91213[[#This Row],[Date]],'DB Details'!$A:$Q,10))</f>
        <v/>
      </c>
      <c r="K115" s="52">
        <f>IF(VLOOKUP(Table91213[[#This Row],[Date]],'DB Details'!$A:$Q,11)=0,"",VLOOKUP(Table91213[[#This Row],[Date]],'DB Details'!$A:$Q,11))</f>
        <v/>
      </c>
      <c r="L115" s="50">
        <f>IF(VLOOKUP(Table91213[[#This Row],[Date]],'DB Details'!$A:$Q,12)=0,"",VLOOKUP(Table91213[[#This Row],[Date]],'DB Details'!$A:$Q,12))</f>
        <v/>
      </c>
    </row>
    <row r="116">
      <c r="A116" s="53" t="n">
        <v>38961</v>
      </c>
      <c r="B116" s="50">
        <f>IF(VLOOKUP(Table91213[[#This Row],[Date]],'DB Details'!$A:$Q,2)=0,"",VLOOKUP(Table91213[[#This Row],[Date]],'DB Details'!$A:$Q,2))</f>
        <v/>
      </c>
      <c r="C116" s="51">
        <f>IF(VLOOKUP(Table91213[[#This Row],[Date]],'DB Details'!$A:$Q,3)=0,"",VLOOKUP(Table91213[[#This Row],[Date]],'DB Details'!$A:$Q,3))</f>
        <v/>
      </c>
      <c r="D116" s="51">
        <f>IF(VLOOKUP(Table91213[[#This Row],[Date]],'DB Details'!$A:$Q,4)=0,"",VLOOKUP(Table91213[[#This Row],[Date]],'DB Details'!$A:$Q,4))</f>
        <v/>
      </c>
      <c r="E116" s="52">
        <f>IF(VLOOKUP(Table91213[[#This Row],[Date]],'DB Details'!$A:$Q,5)=0,"",VLOOKUP(Table91213[[#This Row],[Date]],'DB Details'!$A:$Q,5))</f>
        <v/>
      </c>
      <c r="F116" s="51">
        <f>IF(VLOOKUP(Table91213[[#This Row],[Date]],'DB Details'!$A:$Q,6)=0,"",VLOOKUP(Table91213[[#This Row],[Date]],'DB Details'!$A:$Q,6))</f>
        <v/>
      </c>
      <c r="G116" s="52">
        <f>IF(VLOOKUP(Table91213[[#This Row],[Date]],'DB Details'!$A:$Q,7)=0,"",VLOOKUP(Table91213[[#This Row],[Date]],'DB Details'!$A:$Q,7))</f>
        <v/>
      </c>
      <c r="H116" s="52">
        <f>IF(VLOOKUP(Table91213[[#This Row],[Date]],'DB Details'!$A:$Q,8)=0,"",VLOOKUP(Table91213[[#This Row],[Date]],'DB Details'!$A:$Q,8))</f>
        <v/>
      </c>
      <c r="I116" s="52">
        <f>IF(VLOOKUP(Table91213[[#This Row],[Date]],'DB Details'!$A:$Q,9)=0,"",VLOOKUP(Table91213[[#This Row],[Date]],'DB Details'!$A:$Q,9))</f>
        <v/>
      </c>
      <c r="J116" s="52">
        <f>IF(VLOOKUP(Table91213[[#This Row],[Date]],'DB Details'!$A:$Q,10)=0,"",VLOOKUP(Table91213[[#This Row],[Date]],'DB Details'!$A:$Q,10))</f>
        <v/>
      </c>
      <c r="K116" s="52">
        <f>IF(VLOOKUP(Table91213[[#This Row],[Date]],'DB Details'!$A:$Q,11)=0,"",VLOOKUP(Table91213[[#This Row],[Date]],'DB Details'!$A:$Q,11))</f>
        <v/>
      </c>
      <c r="L116" s="50">
        <f>IF(VLOOKUP(Table91213[[#This Row],[Date]],'DB Details'!$A:$Q,12)=0,"",VLOOKUP(Table91213[[#This Row],[Date]],'DB Details'!$A:$Q,12))</f>
        <v/>
      </c>
    </row>
    <row r="117">
      <c r="A117" s="53" t="n">
        <v>38991</v>
      </c>
      <c r="B117" s="50">
        <f>IF(VLOOKUP(Table91213[[#This Row],[Date]],'DB Details'!$A:$Q,2)=0,"",VLOOKUP(Table91213[[#This Row],[Date]],'DB Details'!$A:$Q,2))</f>
        <v/>
      </c>
      <c r="C117" s="51">
        <f>IF(VLOOKUP(Table91213[[#This Row],[Date]],'DB Details'!$A:$Q,3)=0,"",VLOOKUP(Table91213[[#This Row],[Date]],'DB Details'!$A:$Q,3))</f>
        <v/>
      </c>
      <c r="D117" s="51">
        <f>IF(VLOOKUP(Table91213[[#This Row],[Date]],'DB Details'!$A:$Q,4)=0,"",VLOOKUP(Table91213[[#This Row],[Date]],'DB Details'!$A:$Q,4))</f>
        <v/>
      </c>
      <c r="E117" s="52">
        <f>IF(VLOOKUP(Table91213[[#This Row],[Date]],'DB Details'!$A:$Q,5)=0,"",VLOOKUP(Table91213[[#This Row],[Date]],'DB Details'!$A:$Q,5))</f>
        <v/>
      </c>
      <c r="F117" s="51">
        <f>IF(VLOOKUP(Table91213[[#This Row],[Date]],'DB Details'!$A:$Q,6)=0,"",VLOOKUP(Table91213[[#This Row],[Date]],'DB Details'!$A:$Q,6))</f>
        <v/>
      </c>
      <c r="G117" s="52">
        <f>IF(VLOOKUP(Table91213[[#This Row],[Date]],'DB Details'!$A:$Q,7)=0,"",VLOOKUP(Table91213[[#This Row],[Date]],'DB Details'!$A:$Q,7))</f>
        <v/>
      </c>
      <c r="H117" s="52">
        <f>IF(VLOOKUP(Table91213[[#This Row],[Date]],'DB Details'!$A:$Q,8)=0,"",VLOOKUP(Table91213[[#This Row],[Date]],'DB Details'!$A:$Q,8))</f>
        <v/>
      </c>
      <c r="I117" s="52">
        <f>IF(VLOOKUP(Table91213[[#This Row],[Date]],'DB Details'!$A:$Q,9)=0,"",VLOOKUP(Table91213[[#This Row],[Date]],'DB Details'!$A:$Q,9))</f>
        <v/>
      </c>
      <c r="J117" s="52">
        <f>IF(VLOOKUP(Table91213[[#This Row],[Date]],'DB Details'!$A:$Q,10)=0,"",VLOOKUP(Table91213[[#This Row],[Date]],'DB Details'!$A:$Q,10))</f>
        <v/>
      </c>
      <c r="K117" s="52">
        <f>IF(VLOOKUP(Table91213[[#This Row],[Date]],'DB Details'!$A:$Q,11)=0,"",VLOOKUP(Table91213[[#This Row],[Date]],'DB Details'!$A:$Q,11))</f>
        <v/>
      </c>
      <c r="L117" s="50">
        <f>IF(VLOOKUP(Table91213[[#This Row],[Date]],'DB Details'!$A:$Q,12)=0,"",VLOOKUP(Table91213[[#This Row],[Date]],'DB Details'!$A:$Q,12))</f>
        <v/>
      </c>
    </row>
    <row r="118">
      <c r="A118" s="53" t="n">
        <v>39022</v>
      </c>
      <c r="B118" s="50">
        <f>IF(VLOOKUP(Table91213[[#This Row],[Date]],'DB Details'!$A:$Q,2)=0,"",VLOOKUP(Table91213[[#This Row],[Date]],'DB Details'!$A:$Q,2))</f>
        <v/>
      </c>
      <c r="C118" s="51">
        <f>IF(VLOOKUP(Table91213[[#This Row],[Date]],'DB Details'!$A:$Q,3)=0,"",VLOOKUP(Table91213[[#This Row],[Date]],'DB Details'!$A:$Q,3))</f>
        <v/>
      </c>
      <c r="D118" s="51">
        <f>IF(VLOOKUP(Table91213[[#This Row],[Date]],'DB Details'!$A:$Q,4)=0,"",VLOOKUP(Table91213[[#This Row],[Date]],'DB Details'!$A:$Q,4))</f>
        <v/>
      </c>
      <c r="E118" s="52">
        <f>IF(VLOOKUP(Table91213[[#This Row],[Date]],'DB Details'!$A:$Q,5)=0,"",VLOOKUP(Table91213[[#This Row],[Date]],'DB Details'!$A:$Q,5))</f>
        <v/>
      </c>
      <c r="F118" s="51">
        <f>IF(VLOOKUP(Table91213[[#This Row],[Date]],'DB Details'!$A:$Q,6)=0,"",VLOOKUP(Table91213[[#This Row],[Date]],'DB Details'!$A:$Q,6))</f>
        <v/>
      </c>
      <c r="G118" s="52">
        <f>IF(VLOOKUP(Table91213[[#This Row],[Date]],'DB Details'!$A:$Q,7)=0,"",VLOOKUP(Table91213[[#This Row],[Date]],'DB Details'!$A:$Q,7))</f>
        <v/>
      </c>
      <c r="H118" s="52">
        <f>IF(VLOOKUP(Table91213[[#This Row],[Date]],'DB Details'!$A:$Q,8)=0,"",VLOOKUP(Table91213[[#This Row],[Date]],'DB Details'!$A:$Q,8))</f>
        <v/>
      </c>
      <c r="I118" s="52">
        <f>IF(VLOOKUP(Table91213[[#This Row],[Date]],'DB Details'!$A:$Q,9)=0,"",VLOOKUP(Table91213[[#This Row],[Date]],'DB Details'!$A:$Q,9))</f>
        <v/>
      </c>
      <c r="J118" s="52">
        <f>IF(VLOOKUP(Table91213[[#This Row],[Date]],'DB Details'!$A:$Q,10)=0,"",VLOOKUP(Table91213[[#This Row],[Date]],'DB Details'!$A:$Q,10))</f>
        <v/>
      </c>
      <c r="K118" s="52">
        <f>IF(VLOOKUP(Table91213[[#This Row],[Date]],'DB Details'!$A:$Q,11)=0,"",VLOOKUP(Table91213[[#This Row],[Date]],'DB Details'!$A:$Q,11))</f>
        <v/>
      </c>
      <c r="L118" s="50">
        <f>IF(VLOOKUP(Table91213[[#This Row],[Date]],'DB Details'!$A:$Q,12)=0,"",VLOOKUP(Table91213[[#This Row],[Date]],'DB Details'!$A:$Q,12))</f>
        <v/>
      </c>
    </row>
    <row r="119">
      <c r="A119" s="53" t="n">
        <v>39052</v>
      </c>
      <c r="B119" s="50">
        <f>IF(VLOOKUP(Table91213[[#This Row],[Date]],'DB Details'!$A:$Q,2)=0,"",VLOOKUP(Table91213[[#This Row],[Date]],'DB Details'!$A:$Q,2))</f>
        <v/>
      </c>
      <c r="C119" s="51">
        <f>IF(VLOOKUP(Table91213[[#This Row],[Date]],'DB Details'!$A:$Q,3)=0,"",VLOOKUP(Table91213[[#This Row],[Date]],'DB Details'!$A:$Q,3))</f>
        <v/>
      </c>
      <c r="D119" s="51">
        <f>IF(VLOOKUP(Table91213[[#This Row],[Date]],'DB Details'!$A:$Q,4)=0,"",VLOOKUP(Table91213[[#This Row],[Date]],'DB Details'!$A:$Q,4))</f>
        <v/>
      </c>
      <c r="E119" s="52">
        <f>IF(VLOOKUP(Table91213[[#This Row],[Date]],'DB Details'!$A:$Q,5)=0,"",VLOOKUP(Table91213[[#This Row],[Date]],'DB Details'!$A:$Q,5))</f>
        <v/>
      </c>
      <c r="F119" s="51">
        <f>IF(VLOOKUP(Table91213[[#This Row],[Date]],'DB Details'!$A:$Q,6)=0,"",VLOOKUP(Table91213[[#This Row],[Date]],'DB Details'!$A:$Q,6))</f>
        <v/>
      </c>
      <c r="G119" s="52">
        <f>IF(VLOOKUP(Table91213[[#This Row],[Date]],'DB Details'!$A:$Q,7)=0,"",VLOOKUP(Table91213[[#This Row],[Date]],'DB Details'!$A:$Q,7))</f>
        <v/>
      </c>
      <c r="H119" s="52">
        <f>IF(VLOOKUP(Table91213[[#This Row],[Date]],'DB Details'!$A:$Q,8)=0,"",VLOOKUP(Table91213[[#This Row],[Date]],'DB Details'!$A:$Q,8))</f>
        <v/>
      </c>
      <c r="I119" s="52">
        <f>IF(VLOOKUP(Table91213[[#This Row],[Date]],'DB Details'!$A:$Q,9)=0,"",VLOOKUP(Table91213[[#This Row],[Date]],'DB Details'!$A:$Q,9))</f>
        <v/>
      </c>
      <c r="J119" s="52">
        <f>IF(VLOOKUP(Table91213[[#This Row],[Date]],'DB Details'!$A:$Q,10)=0,"",VLOOKUP(Table91213[[#This Row],[Date]],'DB Details'!$A:$Q,10))</f>
        <v/>
      </c>
      <c r="K119" s="52">
        <f>IF(VLOOKUP(Table91213[[#This Row],[Date]],'DB Details'!$A:$Q,11)=0,"",VLOOKUP(Table91213[[#This Row],[Date]],'DB Details'!$A:$Q,11))</f>
        <v/>
      </c>
      <c r="L119" s="50">
        <f>IF(VLOOKUP(Table91213[[#This Row],[Date]],'DB Details'!$A:$Q,12)=0,"",VLOOKUP(Table91213[[#This Row],[Date]],'DB Details'!$A:$Q,12))</f>
        <v/>
      </c>
    </row>
    <row r="120">
      <c r="A120" s="53" t="n">
        <v>39083</v>
      </c>
      <c r="B120" s="50">
        <f>IF(VLOOKUP(Table91213[[#This Row],[Date]],'DB Details'!$A:$Q,2)=0,"",VLOOKUP(Table91213[[#This Row],[Date]],'DB Details'!$A:$Q,2))</f>
        <v/>
      </c>
      <c r="C120" s="51">
        <f>IF(VLOOKUP(Table91213[[#This Row],[Date]],'DB Details'!$A:$Q,3)=0,"",VLOOKUP(Table91213[[#This Row],[Date]],'DB Details'!$A:$Q,3))</f>
        <v/>
      </c>
      <c r="D120" s="51">
        <f>IF(VLOOKUP(Table91213[[#This Row],[Date]],'DB Details'!$A:$Q,4)=0,"",VLOOKUP(Table91213[[#This Row],[Date]],'DB Details'!$A:$Q,4))</f>
        <v/>
      </c>
      <c r="E120" s="52">
        <f>IF(VLOOKUP(Table91213[[#This Row],[Date]],'DB Details'!$A:$Q,5)=0,"",VLOOKUP(Table91213[[#This Row],[Date]],'DB Details'!$A:$Q,5))</f>
        <v/>
      </c>
      <c r="F120" s="51">
        <f>IF(VLOOKUP(Table91213[[#This Row],[Date]],'DB Details'!$A:$Q,6)=0,"",VLOOKUP(Table91213[[#This Row],[Date]],'DB Details'!$A:$Q,6))</f>
        <v/>
      </c>
      <c r="G120" s="52">
        <f>IF(VLOOKUP(Table91213[[#This Row],[Date]],'DB Details'!$A:$Q,7)=0,"",VLOOKUP(Table91213[[#This Row],[Date]],'DB Details'!$A:$Q,7))</f>
        <v/>
      </c>
      <c r="H120" s="52">
        <f>IF(VLOOKUP(Table91213[[#This Row],[Date]],'DB Details'!$A:$Q,8)=0,"",VLOOKUP(Table91213[[#This Row],[Date]],'DB Details'!$A:$Q,8))</f>
        <v/>
      </c>
      <c r="I120" s="52">
        <f>IF(VLOOKUP(Table91213[[#This Row],[Date]],'DB Details'!$A:$Q,9)=0,"",VLOOKUP(Table91213[[#This Row],[Date]],'DB Details'!$A:$Q,9))</f>
        <v/>
      </c>
      <c r="J120" s="52">
        <f>IF(VLOOKUP(Table91213[[#This Row],[Date]],'DB Details'!$A:$Q,10)=0,"",VLOOKUP(Table91213[[#This Row],[Date]],'DB Details'!$A:$Q,10))</f>
        <v/>
      </c>
      <c r="K120" s="52">
        <f>IF(VLOOKUP(Table91213[[#This Row],[Date]],'DB Details'!$A:$Q,11)=0,"",VLOOKUP(Table91213[[#This Row],[Date]],'DB Details'!$A:$Q,11))</f>
        <v/>
      </c>
      <c r="L120" s="50">
        <f>IF(VLOOKUP(Table91213[[#This Row],[Date]],'DB Details'!$A:$Q,12)=0,"",VLOOKUP(Table91213[[#This Row],[Date]],'DB Details'!$A:$Q,12))</f>
        <v/>
      </c>
    </row>
    <row r="121">
      <c r="A121" s="53" t="n">
        <v>39114</v>
      </c>
      <c r="B121" s="50">
        <f>IF(VLOOKUP(Table91213[[#This Row],[Date]],'DB Details'!$A:$Q,2)=0,"",VLOOKUP(Table91213[[#This Row],[Date]],'DB Details'!$A:$Q,2))</f>
        <v/>
      </c>
      <c r="C121" s="51">
        <f>IF(VLOOKUP(Table91213[[#This Row],[Date]],'DB Details'!$A:$Q,3)=0,"",VLOOKUP(Table91213[[#This Row],[Date]],'DB Details'!$A:$Q,3))</f>
        <v/>
      </c>
      <c r="D121" s="51">
        <f>IF(VLOOKUP(Table91213[[#This Row],[Date]],'DB Details'!$A:$Q,4)=0,"",VLOOKUP(Table91213[[#This Row],[Date]],'DB Details'!$A:$Q,4))</f>
        <v/>
      </c>
      <c r="E121" s="52">
        <f>IF(VLOOKUP(Table91213[[#This Row],[Date]],'DB Details'!$A:$Q,5)=0,"",VLOOKUP(Table91213[[#This Row],[Date]],'DB Details'!$A:$Q,5))</f>
        <v/>
      </c>
      <c r="F121" s="51">
        <f>IF(VLOOKUP(Table91213[[#This Row],[Date]],'DB Details'!$A:$Q,6)=0,"",VLOOKUP(Table91213[[#This Row],[Date]],'DB Details'!$A:$Q,6))</f>
        <v/>
      </c>
      <c r="G121" s="52">
        <f>IF(VLOOKUP(Table91213[[#This Row],[Date]],'DB Details'!$A:$Q,7)=0,"",VLOOKUP(Table91213[[#This Row],[Date]],'DB Details'!$A:$Q,7))</f>
        <v/>
      </c>
      <c r="H121" s="52">
        <f>IF(VLOOKUP(Table91213[[#This Row],[Date]],'DB Details'!$A:$Q,8)=0,"",VLOOKUP(Table91213[[#This Row],[Date]],'DB Details'!$A:$Q,8))</f>
        <v/>
      </c>
      <c r="I121" s="52">
        <f>IF(VLOOKUP(Table91213[[#This Row],[Date]],'DB Details'!$A:$Q,9)=0,"",VLOOKUP(Table91213[[#This Row],[Date]],'DB Details'!$A:$Q,9))</f>
        <v/>
      </c>
      <c r="J121" s="52">
        <f>IF(VLOOKUP(Table91213[[#This Row],[Date]],'DB Details'!$A:$Q,10)=0,"",VLOOKUP(Table91213[[#This Row],[Date]],'DB Details'!$A:$Q,10))</f>
        <v/>
      </c>
      <c r="K121" s="52">
        <f>IF(VLOOKUP(Table91213[[#This Row],[Date]],'DB Details'!$A:$Q,11)=0,"",VLOOKUP(Table91213[[#This Row],[Date]],'DB Details'!$A:$Q,11))</f>
        <v/>
      </c>
      <c r="L121" s="50">
        <f>IF(VLOOKUP(Table91213[[#This Row],[Date]],'DB Details'!$A:$Q,12)=0,"",VLOOKUP(Table91213[[#This Row],[Date]],'DB Details'!$A:$Q,12))</f>
        <v/>
      </c>
    </row>
    <row r="122">
      <c r="A122" s="53" t="n">
        <v>39142</v>
      </c>
      <c r="B122" s="50">
        <f>IF(VLOOKUP(Table91213[[#This Row],[Date]],'DB Details'!$A:$Q,2)=0,"",VLOOKUP(Table91213[[#This Row],[Date]],'DB Details'!$A:$Q,2))</f>
        <v/>
      </c>
      <c r="C122" s="51">
        <f>IF(VLOOKUP(Table91213[[#This Row],[Date]],'DB Details'!$A:$Q,3)=0,"",VLOOKUP(Table91213[[#This Row],[Date]],'DB Details'!$A:$Q,3))</f>
        <v/>
      </c>
      <c r="D122" s="51">
        <f>IF(VLOOKUP(Table91213[[#This Row],[Date]],'DB Details'!$A:$Q,4)=0,"",VLOOKUP(Table91213[[#This Row],[Date]],'DB Details'!$A:$Q,4))</f>
        <v/>
      </c>
      <c r="E122" s="52">
        <f>IF(VLOOKUP(Table91213[[#This Row],[Date]],'DB Details'!$A:$Q,5)=0,"",VLOOKUP(Table91213[[#This Row],[Date]],'DB Details'!$A:$Q,5))</f>
        <v/>
      </c>
      <c r="F122" s="51">
        <f>IF(VLOOKUP(Table91213[[#This Row],[Date]],'DB Details'!$A:$Q,6)=0,"",VLOOKUP(Table91213[[#This Row],[Date]],'DB Details'!$A:$Q,6))</f>
        <v/>
      </c>
      <c r="G122" s="52">
        <f>IF(VLOOKUP(Table91213[[#This Row],[Date]],'DB Details'!$A:$Q,7)=0,"",VLOOKUP(Table91213[[#This Row],[Date]],'DB Details'!$A:$Q,7))</f>
        <v/>
      </c>
      <c r="H122" s="52">
        <f>IF(VLOOKUP(Table91213[[#This Row],[Date]],'DB Details'!$A:$Q,8)=0,"",VLOOKUP(Table91213[[#This Row],[Date]],'DB Details'!$A:$Q,8))</f>
        <v/>
      </c>
      <c r="I122" s="52">
        <f>IF(VLOOKUP(Table91213[[#This Row],[Date]],'DB Details'!$A:$Q,9)=0,"",VLOOKUP(Table91213[[#This Row],[Date]],'DB Details'!$A:$Q,9))</f>
        <v/>
      </c>
      <c r="J122" s="52">
        <f>IF(VLOOKUP(Table91213[[#This Row],[Date]],'DB Details'!$A:$Q,10)=0,"",VLOOKUP(Table91213[[#This Row],[Date]],'DB Details'!$A:$Q,10))</f>
        <v/>
      </c>
      <c r="K122" s="52">
        <f>IF(VLOOKUP(Table91213[[#This Row],[Date]],'DB Details'!$A:$Q,11)=0,"",VLOOKUP(Table91213[[#This Row],[Date]],'DB Details'!$A:$Q,11))</f>
        <v/>
      </c>
      <c r="L122" s="50">
        <f>IF(VLOOKUP(Table91213[[#This Row],[Date]],'DB Details'!$A:$Q,12)=0,"",VLOOKUP(Table91213[[#This Row],[Date]],'DB Details'!$A:$Q,12))</f>
        <v/>
      </c>
    </row>
    <row r="123">
      <c r="A123" s="53" t="n">
        <v>39173</v>
      </c>
      <c r="B123" s="50">
        <f>IF(VLOOKUP(Table91213[[#This Row],[Date]],'DB Details'!$A:$Q,2)=0,"",VLOOKUP(Table91213[[#This Row],[Date]],'DB Details'!$A:$Q,2))</f>
        <v/>
      </c>
      <c r="C123" s="51">
        <f>IF(VLOOKUP(Table91213[[#This Row],[Date]],'DB Details'!$A:$Q,3)=0,"",VLOOKUP(Table91213[[#This Row],[Date]],'DB Details'!$A:$Q,3))</f>
        <v/>
      </c>
      <c r="D123" s="51">
        <f>IF(VLOOKUP(Table91213[[#This Row],[Date]],'DB Details'!$A:$Q,4)=0,"",VLOOKUP(Table91213[[#This Row],[Date]],'DB Details'!$A:$Q,4))</f>
        <v/>
      </c>
      <c r="E123" s="52">
        <f>IF(VLOOKUP(Table91213[[#This Row],[Date]],'DB Details'!$A:$Q,5)=0,"",VLOOKUP(Table91213[[#This Row],[Date]],'DB Details'!$A:$Q,5))</f>
        <v/>
      </c>
      <c r="F123" s="51">
        <f>IF(VLOOKUP(Table91213[[#This Row],[Date]],'DB Details'!$A:$Q,6)=0,"",VLOOKUP(Table91213[[#This Row],[Date]],'DB Details'!$A:$Q,6))</f>
        <v/>
      </c>
      <c r="G123" s="52">
        <f>IF(VLOOKUP(Table91213[[#This Row],[Date]],'DB Details'!$A:$Q,7)=0,"",VLOOKUP(Table91213[[#This Row],[Date]],'DB Details'!$A:$Q,7))</f>
        <v/>
      </c>
      <c r="H123" s="52">
        <f>IF(VLOOKUP(Table91213[[#This Row],[Date]],'DB Details'!$A:$Q,8)=0,"",VLOOKUP(Table91213[[#This Row],[Date]],'DB Details'!$A:$Q,8))</f>
        <v/>
      </c>
      <c r="I123" s="52">
        <f>IF(VLOOKUP(Table91213[[#This Row],[Date]],'DB Details'!$A:$Q,9)=0,"",VLOOKUP(Table91213[[#This Row],[Date]],'DB Details'!$A:$Q,9))</f>
        <v/>
      </c>
      <c r="J123" s="52">
        <f>IF(VLOOKUP(Table91213[[#This Row],[Date]],'DB Details'!$A:$Q,10)=0,"",VLOOKUP(Table91213[[#This Row],[Date]],'DB Details'!$A:$Q,10))</f>
        <v/>
      </c>
      <c r="K123" s="52">
        <f>IF(VLOOKUP(Table91213[[#This Row],[Date]],'DB Details'!$A:$Q,11)=0,"",VLOOKUP(Table91213[[#This Row],[Date]],'DB Details'!$A:$Q,11))</f>
        <v/>
      </c>
      <c r="L123" s="50">
        <f>IF(VLOOKUP(Table91213[[#This Row],[Date]],'DB Details'!$A:$Q,12)=0,"",VLOOKUP(Table91213[[#This Row],[Date]],'DB Details'!$A:$Q,12))</f>
        <v/>
      </c>
    </row>
    <row r="124">
      <c r="A124" s="53" t="n">
        <v>39203</v>
      </c>
      <c r="B124" s="50">
        <f>IF(VLOOKUP(Table91213[[#This Row],[Date]],'DB Details'!$A:$Q,2)=0,"",VLOOKUP(Table91213[[#This Row],[Date]],'DB Details'!$A:$Q,2))</f>
        <v/>
      </c>
      <c r="C124" s="51">
        <f>IF(VLOOKUP(Table91213[[#This Row],[Date]],'DB Details'!$A:$Q,3)=0,"",VLOOKUP(Table91213[[#This Row],[Date]],'DB Details'!$A:$Q,3))</f>
        <v/>
      </c>
      <c r="D124" s="51">
        <f>IF(VLOOKUP(Table91213[[#This Row],[Date]],'DB Details'!$A:$Q,4)=0,"",VLOOKUP(Table91213[[#This Row],[Date]],'DB Details'!$A:$Q,4))</f>
        <v/>
      </c>
      <c r="E124" s="52">
        <f>IF(VLOOKUP(Table91213[[#This Row],[Date]],'DB Details'!$A:$Q,5)=0,"",VLOOKUP(Table91213[[#This Row],[Date]],'DB Details'!$A:$Q,5))</f>
        <v/>
      </c>
      <c r="F124" s="51">
        <f>IF(VLOOKUP(Table91213[[#This Row],[Date]],'DB Details'!$A:$Q,6)=0,"",VLOOKUP(Table91213[[#This Row],[Date]],'DB Details'!$A:$Q,6))</f>
        <v/>
      </c>
      <c r="G124" s="52">
        <f>IF(VLOOKUP(Table91213[[#This Row],[Date]],'DB Details'!$A:$Q,7)=0,"",VLOOKUP(Table91213[[#This Row],[Date]],'DB Details'!$A:$Q,7))</f>
        <v/>
      </c>
      <c r="H124" s="52">
        <f>IF(VLOOKUP(Table91213[[#This Row],[Date]],'DB Details'!$A:$Q,8)=0,"",VLOOKUP(Table91213[[#This Row],[Date]],'DB Details'!$A:$Q,8))</f>
        <v/>
      </c>
      <c r="I124" s="52">
        <f>IF(VLOOKUP(Table91213[[#This Row],[Date]],'DB Details'!$A:$Q,9)=0,"",VLOOKUP(Table91213[[#This Row],[Date]],'DB Details'!$A:$Q,9))</f>
        <v/>
      </c>
      <c r="J124" s="52">
        <f>IF(VLOOKUP(Table91213[[#This Row],[Date]],'DB Details'!$A:$Q,10)=0,"",VLOOKUP(Table91213[[#This Row],[Date]],'DB Details'!$A:$Q,10))</f>
        <v/>
      </c>
      <c r="K124" s="52">
        <f>IF(VLOOKUP(Table91213[[#This Row],[Date]],'DB Details'!$A:$Q,11)=0,"",VLOOKUP(Table91213[[#This Row],[Date]],'DB Details'!$A:$Q,11))</f>
        <v/>
      </c>
      <c r="L124" s="50">
        <f>IF(VLOOKUP(Table91213[[#This Row],[Date]],'DB Details'!$A:$Q,12)=0,"",VLOOKUP(Table91213[[#This Row],[Date]],'DB Details'!$A:$Q,12))</f>
        <v/>
      </c>
    </row>
    <row r="125">
      <c r="A125" s="53" t="n">
        <v>39234</v>
      </c>
      <c r="B125" s="50">
        <f>IF(VLOOKUP(Table91213[[#This Row],[Date]],'DB Details'!$A:$Q,2)=0,"",VLOOKUP(Table91213[[#This Row],[Date]],'DB Details'!$A:$Q,2))</f>
        <v/>
      </c>
      <c r="C125" s="51">
        <f>IF(VLOOKUP(Table91213[[#This Row],[Date]],'DB Details'!$A:$Q,3)=0,"",VLOOKUP(Table91213[[#This Row],[Date]],'DB Details'!$A:$Q,3))</f>
        <v/>
      </c>
      <c r="D125" s="51">
        <f>IF(VLOOKUP(Table91213[[#This Row],[Date]],'DB Details'!$A:$Q,4)=0,"",VLOOKUP(Table91213[[#This Row],[Date]],'DB Details'!$A:$Q,4))</f>
        <v/>
      </c>
      <c r="E125" s="52">
        <f>IF(VLOOKUP(Table91213[[#This Row],[Date]],'DB Details'!$A:$Q,5)=0,"",VLOOKUP(Table91213[[#This Row],[Date]],'DB Details'!$A:$Q,5))</f>
        <v/>
      </c>
      <c r="F125" s="51">
        <f>IF(VLOOKUP(Table91213[[#This Row],[Date]],'DB Details'!$A:$Q,6)=0,"",VLOOKUP(Table91213[[#This Row],[Date]],'DB Details'!$A:$Q,6))</f>
        <v/>
      </c>
      <c r="G125" s="52">
        <f>IF(VLOOKUP(Table91213[[#This Row],[Date]],'DB Details'!$A:$Q,7)=0,"",VLOOKUP(Table91213[[#This Row],[Date]],'DB Details'!$A:$Q,7))</f>
        <v/>
      </c>
      <c r="H125" s="52">
        <f>IF(VLOOKUP(Table91213[[#This Row],[Date]],'DB Details'!$A:$Q,8)=0,"",VLOOKUP(Table91213[[#This Row],[Date]],'DB Details'!$A:$Q,8))</f>
        <v/>
      </c>
      <c r="I125" s="52">
        <f>IF(VLOOKUP(Table91213[[#This Row],[Date]],'DB Details'!$A:$Q,9)=0,"",VLOOKUP(Table91213[[#This Row],[Date]],'DB Details'!$A:$Q,9))</f>
        <v/>
      </c>
      <c r="J125" s="52">
        <f>IF(VLOOKUP(Table91213[[#This Row],[Date]],'DB Details'!$A:$Q,10)=0,"",VLOOKUP(Table91213[[#This Row],[Date]],'DB Details'!$A:$Q,10))</f>
        <v/>
      </c>
      <c r="K125" s="52">
        <f>IF(VLOOKUP(Table91213[[#This Row],[Date]],'DB Details'!$A:$Q,11)=0,"",VLOOKUP(Table91213[[#This Row],[Date]],'DB Details'!$A:$Q,11))</f>
        <v/>
      </c>
      <c r="L125" s="50">
        <f>IF(VLOOKUP(Table91213[[#This Row],[Date]],'DB Details'!$A:$Q,12)=0,"",VLOOKUP(Table91213[[#This Row],[Date]],'DB Details'!$A:$Q,12))</f>
        <v/>
      </c>
    </row>
    <row r="126">
      <c r="A126" s="53" t="n">
        <v>39264</v>
      </c>
      <c r="B126" s="50">
        <f>IF(VLOOKUP(Table91213[[#This Row],[Date]],'DB Details'!$A:$Q,2)=0,"",VLOOKUP(Table91213[[#This Row],[Date]],'DB Details'!$A:$Q,2))</f>
        <v/>
      </c>
      <c r="C126" s="51">
        <f>IF(VLOOKUP(Table91213[[#This Row],[Date]],'DB Details'!$A:$Q,3)=0,"",VLOOKUP(Table91213[[#This Row],[Date]],'DB Details'!$A:$Q,3))</f>
        <v/>
      </c>
      <c r="D126" s="51">
        <f>IF(VLOOKUP(Table91213[[#This Row],[Date]],'DB Details'!$A:$Q,4)=0,"",VLOOKUP(Table91213[[#This Row],[Date]],'DB Details'!$A:$Q,4))</f>
        <v/>
      </c>
      <c r="E126" s="52">
        <f>IF(VLOOKUP(Table91213[[#This Row],[Date]],'DB Details'!$A:$Q,5)=0,"",VLOOKUP(Table91213[[#This Row],[Date]],'DB Details'!$A:$Q,5))</f>
        <v/>
      </c>
      <c r="F126" s="51">
        <f>IF(VLOOKUP(Table91213[[#This Row],[Date]],'DB Details'!$A:$Q,6)=0,"",VLOOKUP(Table91213[[#This Row],[Date]],'DB Details'!$A:$Q,6))</f>
        <v/>
      </c>
      <c r="G126" s="52">
        <f>IF(VLOOKUP(Table91213[[#This Row],[Date]],'DB Details'!$A:$Q,7)=0,"",VLOOKUP(Table91213[[#This Row],[Date]],'DB Details'!$A:$Q,7))</f>
        <v/>
      </c>
      <c r="H126" s="52">
        <f>IF(VLOOKUP(Table91213[[#This Row],[Date]],'DB Details'!$A:$Q,8)=0,"",VLOOKUP(Table91213[[#This Row],[Date]],'DB Details'!$A:$Q,8))</f>
        <v/>
      </c>
      <c r="I126" s="52">
        <f>IF(VLOOKUP(Table91213[[#This Row],[Date]],'DB Details'!$A:$Q,9)=0,"",VLOOKUP(Table91213[[#This Row],[Date]],'DB Details'!$A:$Q,9))</f>
        <v/>
      </c>
      <c r="J126" s="52">
        <f>IF(VLOOKUP(Table91213[[#This Row],[Date]],'DB Details'!$A:$Q,10)=0,"",VLOOKUP(Table91213[[#This Row],[Date]],'DB Details'!$A:$Q,10))</f>
        <v/>
      </c>
      <c r="K126" s="52">
        <f>IF(VLOOKUP(Table91213[[#This Row],[Date]],'DB Details'!$A:$Q,11)=0,"",VLOOKUP(Table91213[[#This Row],[Date]],'DB Details'!$A:$Q,11))</f>
        <v/>
      </c>
      <c r="L126" s="50">
        <f>IF(VLOOKUP(Table91213[[#This Row],[Date]],'DB Details'!$A:$Q,12)=0,"",VLOOKUP(Table91213[[#This Row],[Date]],'DB Details'!$A:$Q,12))</f>
        <v/>
      </c>
    </row>
    <row r="127">
      <c r="A127" s="53" t="n">
        <v>39295</v>
      </c>
      <c r="B127" s="50">
        <f>IF(VLOOKUP(Table91213[[#This Row],[Date]],'DB Details'!$A:$Q,2)=0,"",VLOOKUP(Table91213[[#This Row],[Date]],'DB Details'!$A:$Q,2))</f>
        <v/>
      </c>
      <c r="C127" s="51">
        <f>IF(VLOOKUP(Table91213[[#This Row],[Date]],'DB Details'!$A:$Q,3)=0,"",VLOOKUP(Table91213[[#This Row],[Date]],'DB Details'!$A:$Q,3))</f>
        <v/>
      </c>
      <c r="D127" s="51">
        <f>IF(VLOOKUP(Table91213[[#This Row],[Date]],'DB Details'!$A:$Q,4)=0,"",VLOOKUP(Table91213[[#This Row],[Date]],'DB Details'!$A:$Q,4))</f>
        <v/>
      </c>
      <c r="E127" s="52">
        <f>IF(VLOOKUP(Table91213[[#This Row],[Date]],'DB Details'!$A:$Q,5)=0,"",VLOOKUP(Table91213[[#This Row],[Date]],'DB Details'!$A:$Q,5))</f>
        <v/>
      </c>
      <c r="F127" s="51">
        <f>IF(VLOOKUP(Table91213[[#This Row],[Date]],'DB Details'!$A:$Q,6)=0,"",VLOOKUP(Table91213[[#This Row],[Date]],'DB Details'!$A:$Q,6))</f>
        <v/>
      </c>
      <c r="G127" s="52">
        <f>IF(VLOOKUP(Table91213[[#This Row],[Date]],'DB Details'!$A:$Q,7)=0,"",VLOOKUP(Table91213[[#This Row],[Date]],'DB Details'!$A:$Q,7))</f>
        <v/>
      </c>
      <c r="H127" s="52">
        <f>IF(VLOOKUP(Table91213[[#This Row],[Date]],'DB Details'!$A:$Q,8)=0,"",VLOOKUP(Table91213[[#This Row],[Date]],'DB Details'!$A:$Q,8))</f>
        <v/>
      </c>
      <c r="I127" s="52">
        <f>IF(VLOOKUP(Table91213[[#This Row],[Date]],'DB Details'!$A:$Q,9)=0,"",VLOOKUP(Table91213[[#This Row],[Date]],'DB Details'!$A:$Q,9))</f>
        <v/>
      </c>
      <c r="J127" s="52">
        <f>IF(VLOOKUP(Table91213[[#This Row],[Date]],'DB Details'!$A:$Q,10)=0,"",VLOOKUP(Table91213[[#This Row],[Date]],'DB Details'!$A:$Q,10))</f>
        <v/>
      </c>
      <c r="K127" s="52">
        <f>IF(VLOOKUP(Table91213[[#This Row],[Date]],'DB Details'!$A:$Q,11)=0,"",VLOOKUP(Table91213[[#This Row],[Date]],'DB Details'!$A:$Q,11))</f>
        <v/>
      </c>
      <c r="L127" s="50">
        <f>IF(VLOOKUP(Table91213[[#This Row],[Date]],'DB Details'!$A:$Q,12)=0,"",VLOOKUP(Table91213[[#This Row],[Date]],'DB Details'!$A:$Q,12))</f>
        <v/>
      </c>
    </row>
    <row r="128">
      <c r="A128" s="53" t="n">
        <v>39326</v>
      </c>
      <c r="B128" s="50">
        <f>IF(VLOOKUP(Table91213[[#This Row],[Date]],'DB Details'!$A:$Q,2)=0,"",VLOOKUP(Table91213[[#This Row],[Date]],'DB Details'!$A:$Q,2))</f>
        <v/>
      </c>
      <c r="C128" s="51">
        <f>IF(VLOOKUP(Table91213[[#This Row],[Date]],'DB Details'!$A:$Q,3)=0,"",VLOOKUP(Table91213[[#This Row],[Date]],'DB Details'!$A:$Q,3))</f>
        <v/>
      </c>
      <c r="D128" s="51">
        <f>IF(VLOOKUP(Table91213[[#This Row],[Date]],'DB Details'!$A:$Q,4)=0,"",VLOOKUP(Table91213[[#This Row],[Date]],'DB Details'!$A:$Q,4))</f>
        <v/>
      </c>
      <c r="E128" s="52">
        <f>IF(VLOOKUP(Table91213[[#This Row],[Date]],'DB Details'!$A:$Q,5)=0,"",VLOOKUP(Table91213[[#This Row],[Date]],'DB Details'!$A:$Q,5))</f>
        <v/>
      </c>
      <c r="F128" s="51">
        <f>IF(VLOOKUP(Table91213[[#This Row],[Date]],'DB Details'!$A:$Q,6)=0,"",VLOOKUP(Table91213[[#This Row],[Date]],'DB Details'!$A:$Q,6))</f>
        <v/>
      </c>
      <c r="G128" s="52">
        <f>IF(VLOOKUP(Table91213[[#This Row],[Date]],'DB Details'!$A:$Q,7)=0,"",VLOOKUP(Table91213[[#This Row],[Date]],'DB Details'!$A:$Q,7))</f>
        <v/>
      </c>
      <c r="H128" s="52">
        <f>IF(VLOOKUP(Table91213[[#This Row],[Date]],'DB Details'!$A:$Q,8)=0,"",VLOOKUP(Table91213[[#This Row],[Date]],'DB Details'!$A:$Q,8))</f>
        <v/>
      </c>
      <c r="I128" s="52">
        <f>IF(VLOOKUP(Table91213[[#This Row],[Date]],'DB Details'!$A:$Q,9)=0,"",VLOOKUP(Table91213[[#This Row],[Date]],'DB Details'!$A:$Q,9))</f>
        <v/>
      </c>
      <c r="J128" s="52">
        <f>IF(VLOOKUP(Table91213[[#This Row],[Date]],'DB Details'!$A:$Q,10)=0,"",VLOOKUP(Table91213[[#This Row],[Date]],'DB Details'!$A:$Q,10))</f>
        <v/>
      </c>
      <c r="K128" s="52">
        <f>IF(VLOOKUP(Table91213[[#This Row],[Date]],'DB Details'!$A:$Q,11)=0,"",VLOOKUP(Table91213[[#This Row],[Date]],'DB Details'!$A:$Q,11))</f>
        <v/>
      </c>
      <c r="L128" s="50">
        <f>IF(VLOOKUP(Table91213[[#This Row],[Date]],'DB Details'!$A:$Q,12)=0,"",VLOOKUP(Table91213[[#This Row],[Date]],'DB Details'!$A:$Q,12))</f>
        <v/>
      </c>
    </row>
    <row r="129">
      <c r="A129" s="53" t="n">
        <v>39356</v>
      </c>
      <c r="B129" s="50">
        <f>IF(VLOOKUP(Table91213[[#This Row],[Date]],'DB Details'!$A:$Q,2)=0,"",VLOOKUP(Table91213[[#This Row],[Date]],'DB Details'!$A:$Q,2))</f>
        <v/>
      </c>
      <c r="C129" s="51">
        <f>IF(VLOOKUP(Table91213[[#This Row],[Date]],'DB Details'!$A:$Q,3)=0,"",VLOOKUP(Table91213[[#This Row],[Date]],'DB Details'!$A:$Q,3))</f>
        <v/>
      </c>
      <c r="D129" s="51">
        <f>IF(VLOOKUP(Table91213[[#This Row],[Date]],'DB Details'!$A:$Q,4)=0,"",VLOOKUP(Table91213[[#This Row],[Date]],'DB Details'!$A:$Q,4))</f>
        <v/>
      </c>
      <c r="E129" s="52">
        <f>IF(VLOOKUP(Table91213[[#This Row],[Date]],'DB Details'!$A:$Q,5)=0,"",VLOOKUP(Table91213[[#This Row],[Date]],'DB Details'!$A:$Q,5))</f>
        <v/>
      </c>
      <c r="F129" s="51">
        <f>IF(VLOOKUP(Table91213[[#This Row],[Date]],'DB Details'!$A:$Q,6)=0,"",VLOOKUP(Table91213[[#This Row],[Date]],'DB Details'!$A:$Q,6))</f>
        <v/>
      </c>
      <c r="G129" s="52">
        <f>IF(VLOOKUP(Table91213[[#This Row],[Date]],'DB Details'!$A:$Q,7)=0,"",VLOOKUP(Table91213[[#This Row],[Date]],'DB Details'!$A:$Q,7))</f>
        <v/>
      </c>
      <c r="H129" s="52">
        <f>IF(VLOOKUP(Table91213[[#This Row],[Date]],'DB Details'!$A:$Q,8)=0,"",VLOOKUP(Table91213[[#This Row],[Date]],'DB Details'!$A:$Q,8))</f>
        <v/>
      </c>
      <c r="I129" s="52">
        <f>IF(VLOOKUP(Table91213[[#This Row],[Date]],'DB Details'!$A:$Q,9)=0,"",VLOOKUP(Table91213[[#This Row],[Date]],'DB Details'!$A:$Q,9))</f>
        <v/>
      </c>
      <c r="J129" s="52">
        <f>IF(VLOOKUP(Table91213[[#This Row],[Date]],'DB Details'!$A:$Q,10)=0,"",VLOOKUP(Table91213[[#This Row],[Date]],'DB Details'!$A:$Q,10))</f>
        <v/>
      </c>
      <c r="K129" s="52">
        <f>IF(VLOOKUP(Table91213[[#This Row],[Date]],'DB Details'!$A:$Q,11)=0,"",VLOOKUP(Table91213[[#This Row],[Date]],'DB Details'!$A:$Q,11))</f>
        <v/>
      </c>
      <c r="L129" s="50">
        <f>IF(VLOOKUP(Table91213[[#This Row],[Date]],'DB Details'!$A:$Q,12)=0,"",VLOOKUP(Table91213[[#This Row],[Date]],'DB Details'!$A:$Q,12))</f>
        <v/>
      </c>
    </row>
    <row r="130">
      <c r="A130" s="53" t="n">
        <v>39387</v>
      </c>
      <c r="B130" s="50">
        <f>IF(VLOOKUP(Table91213[[#This Row],[Date]],'DB Details'!$A:$Q,2)=0,"",VLOOKUP(Table91213[[#This Row],[Date]],'DB Details'!$A:$Q,2))</f>
        <v/>
      </c>
      <c r="C130" s="51">
        <f>IF(VLOOKUP(Table91213[[#This Row],[Date]],'DB Details'!$A:$Q,3)=0,"",VLOOKUP(Table91213[[#This Row],[Date]],'DB Details'!$A:$Q,3))</f>
        <v/>
      </c>
      <c r="D130" s="51">
        <f>IF(VLOOKUP(Table91213[[#This Row],[Date]],'DB Details'!$A:$Q,4)=0,"",VLOOKUP(Table91213[[#This Row],[Date]],'DB Details'!$A:$Q,4))</f>
        <v/>
      </c>
      <c r="E130" s="52">
        <f>IF(VLOOKUP(Table91213[[#This Row],[Date]],'DB Details'!$A:$Q,5)=0,"",VLOOKUP(Table91213[[#This Row],[Date]],'DB Details'!$A:$Q,5))</f>
        <v/>
      </c>
      <c r="F130" s="51">
        <f>IF(VLOOKUP(Table91213[[#This Row],[Date]],'DB Details'!$A:$Q,6)=0,"",VLOOKUP(Table91213[[#This Row],[Date]],'DB Details'!$A:$Q,6))</f>
        <v/>
      </c>
      <c r="G130" s="52">
        <f>IF(VLOOKUP(Table91213[[#This Row],[Date]],'DB Details'!$A:$Q,7)=0,"",VLOOKUP(Table91213[[#This Row],[Date]],'DB Details'!$A:$Q,7))</f>
        <v/>
      </c>
      <c r="H130" s="52">
        <f>IF(VLOOKUP(Table91213[[#This Row],[Date]],'DB Details'!$A:$Q,8)=0,"",VLOOKUP(Table91213[[#This Row],[Date]],'DB Details'!$A:$Q,8))</f>
        <v/>
      </c>
      <c r="I130" s="52">
        <f>IF(VLOOKUP(Table91213[[#This Row],[Date]],'DB Details'!$A:$Q,9)=0,"",VLOOKUP(Table91213[[#This Row],[Date]],'DB Details'!$A:$Q,9))</f>
        <v/>
      </c>
      <c r="J130" s="52">
        <f>IF(VLOOKUP(Table91213[[#This Row],[Date]],'DB Details'!$A:$Q,10)=0,"",VLOOKUP(Table91213[[#This Row],[Date]],'DB Details'!$A:$Q,10))</f>
        <v/>
      </c>
      <c r="K130" s="52">
        <f>IF(VLOOKUP(Table91213[[#This Row],[Date]],'DB Details'!$A:$Q,11)=0,"",VLOOKUP(Table91213[[#This Row],[Date]],'DB Details'!$A:$Q,11))</f>
        <v/>
      </c>
      <c r="L130" s="50">
        <f>IF(VLOOKUP(Table91213[[#This Row],[Date]],'DB Details'!$A:$Q,12)=0,"",VLOOKUP(Table91213[[#This Row],[Date]],'DB Details'!$A:$Q,12))</f>
        <v/>
      </c>
    </row>
    <row r="131">
      <c r="A131" s="53" t="n">
        <v>39417</v>
      </c>
      <c r="B131" s="50">
        <f>IF(VLOOKUP(Table91213[[#This Row],[Date]],'DB Details'!$A:$Q,2)=0,"",VLOOKUP(Table91213[[#This Row],[Date]],'DB Details'!$A:$Q,2))</f>
        <v/>
      </c>
      <c r="C131" s="51">
        <f>IF(VLOOKUP(Table91213[[#This Row],[Date]],'DB Details'!$A:$Q,3)=0,"",VLOOKUP(Table91213[[#This Row],[Date]],'DB Details'!$A:$Q,3))</f>
        <v/>
      </c>
      <c r="D131" s="51">
        <f>IF(VLOOKUP(Table91213[[#This Row],[Date]],'DB Details'!$A:$Q,4)=0,"",VLOOKUP(Table91213[[#This Row],[Date]],'DB Details'!$A:$Q,4))</f>
        <v/>
      </c>
      <c r="E131" s="52">
        <f>IF(VLOOKUP(Table91213[[#This Row],[Date]],'DB Details'!$A:$Q,5)=0,"",VLOOKUP(Table91213[[#This Row],[Date]],'DB Details'!$A:$Q,5))</f>
        <v/>
      </c>
      <c r="F131" s="51">
        <f>IF(VLOOKUP(Table91213[[#This Row],[Date]],'DB Details'!$A:$Q,6)=0,"",VLOOKUP(Table91213[[#This Row],[Date]],'DB Details'!$A:$Q,6))</f>
        <v/>
      </c>
      <c r="G131" s="52">
        <f>IF(VLOOKUP(Table91213[[#This Row],[Date]],'DB Details'!$A:$Q,7)=0,"",VLOOKUP(Table91213[[#This Row],[Date]],'DB Details'!$A:$Q,7))</f>
        <v/>
      </c>
      <c r="H131" s="52">
        <f>IF(VLOOKUP(Table91213[[#This Row],[Date]],'DB Details'!$A:$Q,8)=0,"",VLOOKUP(Table91213[[#This Row],[Date]],'DB Details'!$A:$Q,8))</f>
        <v/>
      </c>
      <c r="I131" s="52">
        <f>IF(VLOOKUP(Table91213[[#This Row],[Date]],'DB Details'!$A:$Q,9)=0,"",VLOOKUP(Table91213[[#This Row],[Date]],'DB Details'!$A:$Q,9))</f>
        <v/>
      </c>
      <c r="J131" s="52">
        <f>IF(VLOOKUP(Table91213[[#This Row],[Date]],'DB Details'!$A:$Q,10)=0,"",VLOOKUP(Table91213[[#This Row],[Date]],'DB Details'!$A:$Q,10))</f>
        <v/>
      </c>
      <c r="K131" s="52">
        <f>IF(VLOOKUP(Table91213[[#This Row],[Date]],'DB Details'!$A:$Q,11)=0,"",VLOOKUP(Table91213[[#This Row],[Date]],'DB Details'!$A:$Q,11))</f>
        <v/>
      </c>
      <c r="L131" s="50">
        <f>IF(VLOOKUP(Table91213[[#This Row],[Date]],'DB Details'!$A:$Q,12)=0,"",VLOOKUP(Table91213[[#This Row],[Date]],'DB Details'!$A:$Q,12))</f>
        <v/>
      </c>
    </row>
    <row r="132">
      <c r="A132" s="53" t="n">
        <v>39448</v>
      </c>
      <c r="B132" s="50">
        <f>IF(VLOOKUP(Table91213[[#This Row],[Date]],'DB Details'!$A:$Q,2)=0,"",VLOOKUP(Table91213[[#This Row],[Date]],'DB Details'!$A:$Q,2))</f>
        <v/>
      </c>
      <c r="C132" s="51">
        <f>IF(VLOOKUP(Table91213[[#This Row],[Date]],'DB Details'!$A:$Q,3)=0,"",VLOOKUP(Table91213[[#This Row],[Date]],'DB Details'!$A:$Q,3))</f>
        <v/>
      </c>
      <c r="D132" s="51">
        <f>IF(VLOOKUP(Table91213[[#This Row],[Date]],'DB Details'!$A:$Q,4)=0,"",VLOOKUP(Table91213[[#This Row],[Date]],'DB Details'!$A:$Q,4))</f>
        <v/>
      </c>
      <c r="E132" s="52">
        <f>IF(VLOOKUP(Table91213[[#This Row],[Date]],'DB Details'!$A:$Q,5)=0,"",VLOOKUP(Table91213[[#This Row],[Date]],'DB Details'!$A:$Q,5))</f>
        <v/>
      </c>
      <c r="F132" s="51">
        <f>IF(VLOOKUP(Table91213[[#This Row],[Date]],'DB Details'!$A:$Q,6)=0,"",VLOOKUP(Table91213[[#This Row],[Date]],'DB Details'!$A:$Q,6))</f>
        <v/>
      </c>
      <c r="G132" s="52">
        <f>IF(VLOOKUP(Table91213[[#This Row],[Date]],'DB Details'!$A:$Q,7)=0,"",VLOOKUP(Table91213[[#This Row],[Date]],'DB Details'!$A:$Q,7))</f>
        <v/>
      </c>
      <c r="H132" s="52">
        <f>IF(VLOOKUP(Table91213[[#This Row],[Date]],'DB Details'!$A:$Q,8)=0,"",VLOOKUP(Table91213[[#This Row],[Date]],'DB Details'!$A:$Q,8))</f>
        <v/>
      </c>
      <c r="I132" s="52">
        <f>IF(VLOOKUP(Table91213[[#This Row],[Date]],'DB Details'!$A:$Q,9)=0,"",VLOOKUP(Table91213[[#This Row],[Date]],'DB Details'!$A:$Q,9))</f>
        <v/>
      </c>
      <c r="J132" s="52">
        <f>IF(VLOOKUP(Table91213[[#This Row],[Date]],'DB Details'!$A:$Q,10)=0,"",VLOOKUP(Table91213[[#This Row],[Date]],'DB Details'!$A:$Q,10))</f>
        <v/>
      </c>
      <c r="K132" s="52">
        <f>IF(VLOOKUP(Table91213[[#This Row],[Date]],'DB Details'!$A:$Q,11)=0,"",VLOOKUP(Table91213[[#This Row],[Date]],'DB Details'!$A:$Q,11))</f>
        <v/>
      </c>
      <c r="L132" s="50">
        <f>IF(VLOOKUP(Table91213[[#This Row],[Date]],'DB Details'!$A:$Q,12)=0,"",VLOOKUP(Table91213[[#This Row],[Date]],'DB Details'!$A:$Q,12))</f>
        <v/>
      </c>
    </row>
    <row r="133">
      <c r="A133" s="53" t="n">
        <v>39479</v>
      </c>
      <c r="B133" s="50">
        <f>IF(VLOOKUP(Table91213[[#This Row],[Date]],'DB Details'!$A:$Q,2)=0,"",VLOOKUP(Table91213[[#This Row],[Date]],'DB Details'!$A:$Q,2))</f>
        <v/>
      </c>
      <c r="C133" s="51">
        <f>IF(VLOOKUP(Table91213[[#This Row],[Date]],'DB Details'!$A:$Q,3)=0,"",VLOOKUP(Table91213[[#This Row],[Date]],'DB Details'!$A:$Q,3))</f>
        <v/>
      </c>
      <c r="D133" s="51">
        <f>IF(VLOOKUP(Table91213[[#This Row],[Date]],'DB Details'!$A:$Q,4)=0,"",VLOOKUP(Table91213[[#This Row],[Date]],'DB Details'!$A:$Q,4))</f>
        <v/>
      </c>
      <c r="E133" s="52">
        <f>IF(VLOOKUP(Table91213[[#This Row],[Date]],'DB Details'!$A:$Q,5)=0,"",VLOOKUP(Table91213[[#This Row],[Date]],'DB Details'!$A:$Q,5))</f>
        <v/>
      </c>
      <c r="F133" s="51">
        <f>IF(VLOOKUP(Table91213[[#This Row],[Date]],'DB Details'!$A:$Q,6)=0,"",VLOOKUP(Table91213[[#This Row],[Date]],'DB Details'!$A:$Q,6))</f>
        <v/>
      </c>
      <c r="G133" s="52">
        <f>IF(VLOOKUP(Table91213[[#This Row],[Date]],'DB Details'!$A:$Q,7)=0,"",VLOOKUP(Table91213[[#This Row],[Date]],'DB Details'!$A:$Q,7))</f>
        <v/>
      </c>
      <c r="H133" s="52">
        <f>IF(VLOOKUP(Table91213[[#This Row],[Date]],'DB Details'!$A:$Q,8)=0,"",VLOOKUP(Table91213[[#This Row],[Date]],'DB Details'!$A:$Q,8))</f>
        <v/>
      </c>
      <c r="I133" s="52">
        <f>IF(VLOOKUP(Table91213[[#This Row],[Date]],'DB Details'!$A:$Q,9)=0,"",VLOOKUP(Table91213[[#This Row],[Date]],'DB Details'!$A:$Q,9))</f>
        <v/>
      </c>
      <c r="J133" s="52">
        <f>IF(VLOOKUP(Table91213[[#This Row],[Date]],'DB Details'!$A:$Q,10)=0,"",VLOOKUP(Table91213[[#This Row],[Date]],'DB Details'!$A:$Q,10))</f>
        <v/>
      </c>
      <c r="K133" s="52">
        <f>IF(VLOOKUP(Table91213[[#This Row],[Date]],'DB Details'!$A:$Q,11)=0,"",VLOOKUP(Table91213[[#This Row],[Date]],'DB Details'!$A:$Q,11))</f>
        <v/>
      </c>
      <c r="L133" s="50">
        <f>IF(VLOOKUP(Table91213[[#This Row],[Date]],'DB Details'!$A:$Q,12)=0,"",VLOOKUP(Table91213[[#This Row],[Date]],'DB Details'!$A:$Q,12))</f>
        <v/>
      </c>
    </row>
    <row r="134">
      <c r="A134" s="53" t="n">
        <v>39508</v>
      </c>
      <c r="B134" s="50">
        <f>IF(VLOOKUP(Table91213[[#This Row],[Date]],'DB Details'!$A:$Q,2)=0,"",VLOOKUP(Table91213[[#This Row],[Date]],'DB Details'!$A:$Q,2))</f>
        <v/>
      </c>
      <c r="C134" s="51">
        <f>IF(VLOOKUP(Table91213[[#This Row],[Date]],'DB Details'!$A:$Q,3)=0,"",VLOOKUP(Table91213[[#This Row],[Date]],'DB Details'!$A:$Q,3))</f>
        <v/>
      </c>
      <c r="D134" s="51">
        <f>IF(VLOOKUP(Table91213[[#This Row],[Date]],'DB Details'!$A:$Q,4)=0,"",VLOOKUP(Table91213[[#This Row],[Date]],'DB Details'!$A:$Q,4))</f>
        <v/>
      </c>
      <c r="E134" s="52">
        <f>IF(VLOOKUP(Table91213[[#This Row],[Date]],'DB Details'!$A:$Q,5)=0,"",VLOOKUP(Table91213[[#This Row],[Date]],'DB Details'!$A:$Q,5))</f>
        <v/>
      </c>
      <c r="F134" s="51">
        <f>IF(VLOOKUP(Table91213[[#This Row],[Date]],'DB Details'!$A:$Q,6)=0,"",VLOOKUP(Table91213[[#This Row],[Date]],'DB Details'!$A:$Q,6))</f>
        <v/>
      </c>
      <c r="G134" s="52">
        <f>IF(VLOOKUP(Table91213[[#This Row],[Date]],'DB Details'!$A:$Q,7)=0,"",VLOOKUP(Table91213[[#This Row],[Date]],'DB Details'!$A:$Q,7))</f>
        <v/>
      </c>
      <c r="H134" s="52">
        <f>IF(VLOOKUP(Table91213[[#This Row],[Date]],'DB Details'!$A:$Q,8)=0,"",VLOOKUP(Table91213[[#This Row],[Date]],'DB Details'!$A:$Q,8))</f>
        <v/>
      </c>
      <c r="I134" s="52">
        <f>IF(VLOOKUP(Table91213[[#This Row],[Date]],'DB Details'!$A:$Q,9)=0,"",VLOOKUP(Table91213[[#This Row],[Date]],'DB Details'!$A:$Q,9))</f>
        <v/>
      </c>
      <c r="J134" s="52">
        <f>IF(VLOOKUP(Table91213[[#This Row],[Date]],'DB Details'!$A:$Q,10)=0,"",VLOOKUP(Table91213[[#This Row],[Date]],'DB Details'!$A:$Q,10))</f>
        <v/>
      </c>
      <c r="K134" s="52">
        <f>IF(VLOOKUP(Table91213[[#This Row],[Date]],'DB Details'!$A:$Q,11)=0,"",VLOOKUP(Table91213[[#This Row],[Date]],'DB Details'!$A:$Q,11))</f>
        <v/>
      </c>
      <c r="L134" s="50">
        <f>IF(VLOOKUP(Table91213[[#This Row],[Date]],'DB Details'!$A:$Q,12)=0,"",VLOOKUP(Table91213[[#This Row],[Date]],'DB Details'!$A:$Q,12))</f>
        <v/>
      </c>
    </row>
    <row r="135">
      <c r="A135" s="53" t="n">
        <v>39539</v>
      </c>
      <c r="B135" s="50">
        <f>IF(VLOOKUP(Table91213[[#This Row],[Date]],'DB Details'!$A:$Q,2)=0,"",VLOOKUP(Table91213[[#This Row],[Date]],'DB Details'!$A:$Q,2))</f>
        <v/>
      </c>
      <c r="C135" s="51">
        <f>IF(VLOOKUP(Table91213[[#This Row],[Date]],'DB Details'!$A:$Q,3)=0,"",VLOOKUP(Table91213[[#This Row],[Date]],'DB Details'!$A:$Q,3))</f>
        <v/>
      </c>
      <c r="D135" s="51">
        <f>IF(VLOOKUP(Table91213[[#This Row],[Date]],'DB Details'!$A:$Q,4)=0,"",VLOOKUP(Table91213[[#This Row],[Date]],'DB Details'!$A:$Q,4))</f>
        <v/>
      </c>
      <c r="E135" s="52">
        <f>IF(VLOOKUP(Table91213[[#This Row],[Date]],'DB Details'!$A:$Q,5)=0,"",VLOOKUP(Table91213[[#This Row],[Date]],'DB Details'!$A:$Q,5))</f>
        <v/>
      </c>
      <c r="F135" s="51">
        <f>IF(VLOOKUP(Table91213[[#This Row],[Date]],'DB Details'!$A:$Q,6)=0,"",VLOOKUP(Table91213[[#This Row],[Date]],'DB Details'!$A:$Q,6))</f>
        <v/>
      </c>
      <c r="G135" s="52">
        <f>IF(VLOOKUP(Table91213[[#This Row],[Date]],'DB Details'!$A:$Q,7)=0,"",VLOOKUP(Table91213[[#This Row],[Date]],'DB Details'!$A:$Q,7))</f>
        <v/>
      </c>
      <c r="H135" s="52">
        <f>IF(VLOOKUP(Table91213[[#This Row],[Date]],'DB Details'!$A:$Q,8)=0,"",VLOOKUP(Table91213[[#This Row],[Date]],'DB Details'!$A:$Q,8))</f>
        <v/>
      </c>
      <c r="I135" s="52">
        <f>IF(VLOOKUP(Table91213[[#This Row],[Date]],'DB Details'!$A:$Q,9)=0,"",VLOOKUP(Table91213[[#This Row],[Date]],'DB Details'!$A:$Q,9))</f>
        <v/>
      </c>
      <c r="J135" s="52">
        <f>IF(VLOOKUP(Table91213[[#This Row],[Date]],'DB Details'!$A:$Q,10)=0,"",VLOOKUP(Table91213[[#This Row],[Date]],'DB Details'!$A:$Q,10))</f>
        <v/>
      </c>
      <c r="K135" s="52">
        <f>IF(VLOOKUP(Table91213[[#This Row],[Date]],'DB Details'!$A:$Q,11)=0,"",VLOOKUP(Table91213[[#This Row],[Date]],'DB Details'!$A:$Q,11))</f>
        <v/>
      </c>
      <c r="L135" s="50">
        <f>IF(VLOOKUP(Table91213[[#This Row],[Date]],'DB Details'!$A:$Q,12)=0,"",VLOOKUP(Table91213[[#This Row],[Date]],'DB Details'!$A:$Q,12))</f>
        <v/>
      </c>
    </row>
    <row r="136">
      <c r="A136" s="53" t="n">
        <v>39569</v>
      </c>
      <c r="B136" s="50">
        <f>IF(VLOOKUP(Table91213[[#This Row],[Date]],'DB Details'!$A:$Q,2)=0,"",VLOOKUP(Table91213[[#This Row],[Date]],'DB Details'!$A:$Q,2))</f>
        <v/>
      </c>
      <c r="C136" s="51">
        <f>IF(VLOOKUP(Table91213[[#This Row],[Date]],'DB Details'!$A:$Q,3)=0,"",VLOOKUP(Table91213[[#This Row],[Date]],'DB Details'!$A:$Q,3))</f>
        <v/>
      </c>
      <c r="D136" s="51">
        <f>IF(VLOOKUP(Table91213[[#This Row],[Date]],'DB Details'!$A:$Q,4)=0,"",VLOOKUP(Table91213[[#This Row],[Date]],'DB Details'!$A:$Q,4))</f>
        <v/>
      </c>
      <c r="E136" s="52">
        <f>IF(VLOOKUP(Table91213[[#This Row],[Date]],'DB Details'!$A:$Q,5)=0,"",VLOOKUP(Table91213[[#This Row],[Date]],'DB Details'!$A:$Q,5))</f>
        <v/>
      </c>
      <c r="F136" s="51">
        <f>IF(VLOOKUP(Table91213[[#This Row],[Date]],'DB Details'!$A:$Q,6)=0,"",VLOOKUP(Table91213[[#This Row],[Date]],'DB Details'!$A:$Q,6))</f>
        <v/>
      </c>
      <c r="G136" s="52">
        <f>IF(VLOOKUP(Table91213[[#This Row],[Date]],'DB Details'!$A:$Q,7)=0,"",VLOOKUP(Table91213[[#This Row],[Date]],'DB Details'!$A:$Q,7))</f>
        <v/>
      </c>
      <c r="H136" s="52">
        <f>IF(VLOOKUP(Table91213[[#This Row],[Date]],'DB Details'!$A:$Q,8)=0,"",VLOOKUP(Table91213[[#This Row],[Date]],'DB Details'!$A:$Q,8))</f>
        <v/>
      </c>
      <c r="I136" s="52">
        <f>IF(VLOOKUP(Table91213[[#This Row],[Date]],'DB Details'!$A:$Q,9)=0,"",VLOOKUP(Table91213[[#This Row],[Date]],'DB Details'!$A:$Q,9))</f>
        <v/>
      </c>
      <c r="J136" s="52">
        <f>IF(VLOOKUP(Table91213[[#This Row],[Date]],'DB Details'!$A:$Q,10)=0,"",VLOOKUP(Table91213[[#This Row],[Date]],'DB Details'!$A:$Q,10))</f>
        <v/>
      </c>
      <c r="K136" s="52">
        <f>IF(VLOOKUP(Table91213[[#This Row],[Date]],'DB Details'!$A:$Q,11)=0,"",VLOOKUP(Table91213[[#This Row],[Date]],'DB Details'!$A:$Q,11))</f>
        <v/>
      </c>
      <c r="L136" s="50">
        <f>IF(VLOOKUP(Table91213[[#This Row],[Date]],'DB Details'!$A:$Q,12)=0,"",VLOOKUP(Table91213[[#This Row],[Date]],'DB Details'!$A:$Q,12))</f>
        <v/>
      </c>
    </row>
    <row r="137">
      <c r="A137" s="53" t="n">
        <v>39600</v>
      </c>
      <c r="B137" s="50">
        <f>IF(VLOOKUP(Table91213[[#This Row],[Date]],'DB Details'!$A:$Q,2)=0,"",VLOOKUP(Table91213[[#This Row],[Date]],'DB Details'!$A:$Q,2))</f>
        <v/>
      </c>
      <c r="C137" s="51">
        <f>IF(VLOOKUP(Table91213[[#This Row],[Date]],'DB Details'!$A:$Q,3)=0,"",VLOOKUP(Table91213[[#This Row],[Date]],'DB Details'!$A:$Q,3))</f>
        <v/>
      </c>
      <c r="D137" s="51">
        <f>IF(VLOOKUP(Table91213[[#This Row],[Date]],'DB Details'!$A:$Q,4)=0,"",VLOOKUP(Table91213[[#This Row],[Date]],'DB Details'!$A:$Q,4))</f>
        <v/>
      </c>
      <c r="E137" s="52">
        <f>IF(VLOOKUP(Table91213[[#This Row],[Date]],'DB Details'!$A:$Q,5)=0,"",VLOOKUP(Table91213[[#This Row],[Date]],'DB Details'!$A:$Q,5))</f>
        <v/>
      </c>
      <c r="F137" s="51">
        <f>IF(VLOOKUP(Table91213[[#This Row],[Date]],'DB Details'!$A:$Q,6)=0,"",VLOOKUP(Table91213[[#This Row],[Date]],'DB Details'!$A:$Q,6))</f>
        <v/>
      </c>
      <c r="G137" s="52">
        <f>IF(VLOOKUP(Table91213[[#This Row],[Date]],'DB Details'!$A:$Q,7)=0,"",VLOOKUP(Table91213[[#This Row],[Date]],'DB Details'!$A:$Q,7))</f>
        <v/>
      </c>
      <c r="H137" s="52">
        <f>IF(VLOOKUP(Table91213[[#This Row],[Date]],'DB Details'!$A:$Q,8)=0,"",VLOOKUP(Table91213[[#This Row],[Date]],'DB Details'!$A:$Q,8))</f>
        <v/>
      </c>
      <c r="I137" s="52">
        <f>IF(VLOOKUP(Table91213[[#This Row],[Date]],'DB Details'!$A:$Q,9)=0,"",VLOOKUP(Table91213[[#This Row],[Date]],'DB Details'!$A:$Q,9))</f>
        <v/>
      </c>
      <c r="J137" s="52">
        <f>IF(VLOOKUP(Table91213[[#This Row],[Date]],'DB Details'!$A:$Q,10)=0,"",VLOOKUP(Table91213[[#This Row],[Date]],'DB Details'!$A:$Q,10))</f>
        <v/>
      </c>
      <c r="K137" s="52">
        <f>IF(VLOOKUP(Table91213[[#This Row],[Date]],'DB Details'!$A:$Q,11)=0,"",VLOOKUP(Table91213[[#This Row],[Date]],'DB Details'!$A:$Q,11))</f>
        <v/>
      </c>
      <c r="L137" s="50">
        <f>IF(VLOOKUP(Table91213[[#This Row],[Date]],'DB Details'!$A:$Q,12)=0,"",VLOOKUP(Table91213[[#This Row],[Date]],'DB Details'!$A:$Q,12))</f>
        <v/>
      </c>
    </row>
    <row r="138">
      <c r="A138" s="53" t="n">
        <v>39630</v>
      </c>
      <c r="B138" s="50">
        <f>IF(VLOOKUP(Table91213[[#This Row],[Date]],'DB Details'!$A:$Q,2)=0,"",VLOOKUP(Table91213[[#This Row],[Date]],'DB Details'!$A:$Q,2))</f>
        <v/>
      </c>
      <c r="C138" s="51">
        <f>IF(VLOOKUP(Table91213[[#This Row],[Date]],'DB Details'!$A:$Q,3)=0,"",VLOOKUP(Table91213[[#This Row],[Date]],'DB Details'!$A:$Q,3))</f>
        <v/>
      </c>
      <c r="D138" s="51">
        <f>IF(VLOOKUP(Table91213[[#This Row],[Date]],'DB Details'!$A:$Q,4)=0,"",VLOOKUP(Table91213[[#This Row],[Date]],'DB Details'!$A:$Q,4))</f>
        <v/>
      </c>
      <c r="E138" s="52">
        <f>IF(VLOOKUP(Table91213[[#This Row],[Date]],'DB Details'!$A:$Q,5)=0,"",VLOOKUP(Table91213[[#This Row],[Date]],'DB Details'!$A:$Q,5))</f>
        <v/>
      </c>
      <c r="F138" s="51">
        <f>IF(VLOOKUP(Table91213[[#This Row],[Date]],'DB Details'!$A:$Q,6)=0,"",VLOOKUP(Table91213[[#This Row],[Date]],'DB Details'!$A:$Q,6))</f>
        <v/>
      </c>
      <c r="G138" s="52">
        <f>IF(VLOOKUP(Table91213[[#This Row],[Date]],'DB Details'!$A:$Q,7)=0,"",VLOOKUP(Table91213[[#This Row],[Date]],'DB Details'!$A:$Q,7))</f>
        <v/>
      </c>
      <c r="H138" s="52">
        <f>IF(VLOOKUP(Table91213[[#This Row],[Date]],'DB Details'!$A:$Q,8)=0,"",VLOOKUP(Table91213[[#This Row],[Date]],'DB Details'!$A:$Q,8))</f>
        <v/>
      </c>
      <c r="I138" s="52">
        <f>IF(VLOOKUP(Table91213[[#This Row],[Date]],'DB Details'!$A:$Q,9)=0,"",VLOOKUP(Table91213[[#This Row],[Date]],'DB Details'!$A:$Q,9))</f>
        <v/>
      </c>
      <c r="J138" s="52">
        <f>IF(VLOOKUP(Table91213[[#This Row],[Date]],'DB Details'!$A:$Q,10)=0,"",VLOOKUP(Table91213[[#This Row],[Date]],'DB Details'!$A:$Q,10))</f>
        <v/>
      </c>
      <c r="K138" s="52">
        <f>IF(VLOOKUP(Table91213[[#This Row],[Date]],'DB Details'!$A:$Q,11)=0,"",VLOOKUP(Table91213[[#This Row],[Date]],'DB Details'!$A:$Q,11))</f>
        <v/>
      </c>
      <c r="L138" s="50">
        <f>IF(VLOOKUP(Table91213[[#This Row],[Date]],'DB Details'!$A:$Q,12)=0,"",VLOOKUP(Table91213[[#This Row],[Date]],'DB Details'!$A:$Q,12))</f>
        <v/>
      </c>
    </row>
    <row r="139">
      <c r="A139" s="53" t="n">
        <v>39661</v>
      </c>
      <c r="B139" s="50">
        <f>IF(VLOOKUP(Table91213[[#This Row],[Date]],'DB Details'!$A:$Q,2)=0,"",VLOOKUP(Table91213[[#This Row],[Date]],'DB Details'!$A:$Q,2))</f>
        <v/>
      </c>
      <c r="C139" s="51">
        <f>IF(VLOOKUP(Table91213[[#This Row],[Date]],'DB Details'!$A:$Q,3)=0,"",VLOOKUP(Table91213[[#This Row],[Date]],'DB Details'!$A:$Q,3))</f>
        <v/>
      </c>
      <c r="D139" s="51">
        <f>IF(VLOOKUP(Table91213[[#This Row],[Date]],'DB Details'!$A:$Q,4)=0,"",VLOOKUP(Table91213[[#This Row],[Date]],'DB Details'!$A:$Q,4))</f>
        <v/>
      </c>
      <c r="E139" s="52">
        <f>IF(VLOOKUP(Table91213[[#This Row],[Date]],'DB Details'!$A:$Q,5)=0,"",VLOOKUP(Table91213[[#This Row],[Date]],'DB Details'!$A:$Q,5))</f>
        <v/>
      </c>
      <c r="F139" s="51">
        <f>IF(VLOOKUP(Table91213[[#This Row],[Date]],'DB Details'!$A:$Q,6)=0,"",VLOOKUP(Table91213[[#This Row],[Date]],'DB Details'!$A:$Q,6))</f>
        <v/>
      </c>
      <c r="G139" s="52">
        <f>IF(VLOOKUP(Table91213[[#This Row],[Date]],'DB Details'!$A:$Q,7)=0,"",VLOOKUP(Table91213[[#This Row],[Date]],'DB Details'!$A:$Q,7))</f>
        <v/>
      </c>
      <c r="H139" s="52">
        <f>IF(VLOOKUP(Table91213[[#This Row],[Date]],'DB Details'!$A:$Q,8)=0,"",VLOOKUP(Table91213[[#This Row],[Date]],'DB Details'!$A:$Q,8))</f>
        <v/>
      </c>
      <c r="I139" s="52">
        <f>IF(VLOOKUP(Table91213[[#This Row],[Date]],'DB Details'!$A:$Q,9)=0,"",VLOOKUP(Table91213[[#This Row],[Date]],'DB Details'!$A:$Q,9))</f>
        <v/>
      </c>
      <c r="J139" s="52">
        <f>IF(VLOOKUP(Table91213[[#This Row],[Date]],'DB Details'!$A:$Q,10)=0,"",VLOOKUP(Table91213[[#This Row],[Date]],'DB Details'!$A:$Q,10))</f>
        <v/>
      </c>
      <c r="K139" s="52">
        <f>IF(VLOOKUP(Table91213[[#This Row],[Date]],'DB Details'!$A:$Q,11)=0,"",VLOOKUP(Table91213[[#This Row],[Date]],'DB Details'!$A:$Q,11))</f>
        <v/>
      </c>
      <c r="L139" s="50">
        <f>IF(VLOOKUP(Table91213[[#This Row],[Date]],'DB Details'!$A:$Q,12)=0,"",VLOOKUP(Table91213[[#This Row],[Date]],'DB Details'!$A:$Q,12))</f>
        <v/>
      </c>
    </row>
    <row r="140">
      <c r="A140" s="53" t="n">
        <v>39692</v>
      </c>
      <c r="B140" s="50">
        <f>IF(VLOOKUP(Table91213[[#This Row],[Date]],'DB Details'!$A:$Q,2)=0,"",VLOOKUP(Table91213[[#This Row],[Date]],'DB Details'!$A:$Q,2))</f>
        <v/>
      </c>
      <c r="C140" s="51">
        <f>IF(VLOOKUP(Table91213[[#This Row],[Date]],'DB Details'!$A:$Q,3)=0,"",VLOOKUP(Table91213[[#This Row],[Date]],'DB Details'!$A:$Q,3))</f>
        <v/>
      </c>
      <c r="D140" s="51">
        <f>IF(VLOOKUP(Table91213[[#This Row],[Date]],'DB Details'!$A:$Q,4)=0,"",VLOOKUP(Table91213[[#This Row],[Date]],'DB Details'!$A:$Q,4))</f>
        <v/>
      </c>
      <c r="E140" s="52">
        <f>IF(VLOOKUP(Table91213[[#This Row],[Date]],'DB Details'!$A:$Q,5)=0,"",VLOOKUP(Table91213[[#This Row],[Date]],'DB Details'!$A:$Q,5))</f>
        <v/>
      </c>
      <c r="F140" s="51">
        <f>IF(VLOOKUP(Table91213[[#This Row],[Date]],'DB Details'!$A:$Q,6)=0,"",VLOOKUP(Table91213[[#This Row],[Date]],'DB Details'!$A:$Q,6))</f>
        <v/>
      </c>
      <c r="G140" s="52">
        <f>IF(VLOOKUP(Table91213[[#This Row],[Date]],'DB Details'!$A:$Q,7)=0,"",VLOOKUP(Table91213[[#This Row],[Date]],'DB Details'!$A:$Q,7))</f>
        <v/>
      </c>
      <c r="H140" s="52">
        <f>IF(VLOOKUP(Table91213[[#This Row],[Date]],'DB Details'!$A:$Q,8)=0,"",VLOOKUP(Table91213[[#This Row],[Date]],'DB Details'!$A:$Q,8))</f>
        <v/>
      </c>
      <c r="I140" s="52">
        <f>IF(VLOOKUP(Table91213[[#This Row],[Date]],'DB Details'!$A:$Q,9)=0,"",VLOOKUP(Table91213[[#This Row],[Date]],'DB Details'!$A:$Q,9))</f>
        <v/>
      </c>
      <c r="J140" s="52">
        <f>IF(VLOOKUP(Table91213[[#This Row],[Date]],'DB Details'!$A:$Q,10)=0,"",VLOOKUP(Table91213[[#This Row],[Date]],'DB Details'!$A:$Q,10))</f>
        <v/>
      </c>
      <c r="K140" s="52">
        <f>IF(VLOOKUP(Table91213[[#This Row],[Date]],'DB Details'!$A:$Q,11)=0,"",VLOOKUP(Table91213[[#This Row],[Date]],'DB Details'!$A:$Q,11))</f>
        <v/>
      </c>
      <c r="L140" s="50">
        <f>IF(VLOOKUP(Table91213[[#This Row],[Date]],'DB Details'!$A:$Q,12)=0,"",VLOOKUP(Table91213[[#This Row],[Date]],'DB Details'!$A:$Q,12))</f>
        <v/>
      </c>
    </row>
    <row r="141">
      <c r="A141" s="53" t="n">
        <v>39722</v>
      </c>
      <c r="B141" s="50">
        <f>IF(VLOOKUP(Table91213[[#This Row],[Date]],'DB Details'!$A:$Q,2)=0,"",VLOOKUP(Table91213[[#This Row],[Date]],'DB Details'!$A:$Q,2))</f>
        <v/>
      </c>
      <c r="C141" s="51">
        <f>IF(VLOOKUP(Table91213[[#This Row],[Date]],'DB Details'!$A:$Q,3)=0,"",VLOOKUP(Table91213[[#This Row],[Date]],'DB Details'!$A:$Q,3))</f>
        <v/>
      </c>
      <c r="D141" s="51">
        <f>IF(VLOOKUP(Table91213[[#This Row],[Date]],'DB Details'!$A:$Q,4)=0,"",VLOOKUP(Table91213[[#This Row],[Date]],'DB Details'!$A:$Q,4))</f>
        <v/>
      </c>
      <c r="E141" s="52">
        <f>IF(VLOOKUP(Table91213[[#This Row],[Date]],'DB Details'!$A:$Q,5)=0,"",VLOOKUP(Table91213[[#This Row],[Date]],'DB Details'!$A:$Q,5))</f>
        <v/>
      </c>
      <c r="F141" s="51">
        <f>IF(VLOOKUP(Table91213[[#This Row],[Date]],'DB Details'!$A:$Q,6)=0,"",VLOOKUP(Table91213[[#This Row],[Date]],'DB Details'!$A:$Q,6))</f>
        <v/>
      </c>
      <c r="G141" s="52">
        <f>IF(VLOOKUP(Table91213[[#This Row],[Date]],'DB Details'!$A:$Q,7)=0,"",VLOOKUP(Table91213[[#This Row],[Date]],'DB Details'!$A:$Q,7))</f>
        <v/>
      </c>
      <c r="H141" s="52">
        <f>IF(VLOOKUP(Table91213[[#This Row],[Date]],'DB Details'!$A:$Q,8)=0,"",VLOOKUP(Table91213[[#This Row],[Date]],'DB Details'!$A:$Q,8))</f>
        <v/>
      </c>
      <c r="I141" s="52">
        <f>IF(VLOOKUP(Table91213[[#This Row],[Date]],'DB Details'!$A:$Q,9)=0,"",VLOOKUP(Table91213[[#This Row],[Date]],'DB Details'!$A:$Q,9))</f>
        <v/>
      </c>
      <c r="J141" s="52">
        <f>IF(VLOOKUP(Table91213[[#This Row],[Date]],'DB Details'!$A:$Q,10)=0,"",VLOOKUP(Table91213[[#This Row],[Date]],'DB Details'!$A:$Q,10))</f>
        <v/>
      </c>
      <c r="K141" s="52">
        <f>IF(VLOOKUP(Table91213[[#This Row],[Date]],'DB Details'!$A:$Q,11)=0,"",VLOOKUP(Table91213[[#This Row],[Date]],'DB Details'!$A:$Q,11))</f>
        <v/>
      </c>
      <c r="L141" s="50">
        <f>IF(VLOOKUP(Table91213[[#This Row],[Date]],'DB Details'!$A:$Q,12)=0,"",VLOOKUP(Table91213[[#This Row],[Date]],'DB Details'!$A:$Q,12))</f>
        <v/>
      </c>
    </row>
    <row r="142">
      <c r="A142" s="53" t="n">
        <v>39753</v>
      </c>
      <c r="B142" s="50">
        <f>IF(VLOOKUP(Table91213[[#This Row],[Date]],'DB Details'!$A:$Q,2)=0,"",VLOOKUP(Table91213[[#This Row],[Date]],'DB Details'!$A:$Q,2))</f>
        <v/>
      </c>
      <c r="C142" s="51">
        <f>IF(VLOOKUP(Table91213[[#This Row],[Date]],'DB Details'!$A:$Q,3)=0,"",VLOOKUP(Table91213[[#This Row],[Date]],'DB Details'!$A:$Q,3))</f>
        <v/>
      </c>
      <c r="D142" s="51">
        <f>IF(VLOOKUP(Table91213[[#This Row],[Date]],'DB Details'!$A:$Q,4)=0,"",VLOOKUP(Table91213[[#This Row],[Date]],'DB Details'!$A:$Q,4))</f>
        <v/>
      </c>
      <c r="E142" s="52">
        <f>IF(VLOOKUP(Table91213[[#This Row],[Date]],'DB Details'!$A:$Q,5)=0,"",VLOOKUP(Table91213[[#This Row],[Date]],'DB Details'!$A:$Q,5))</f>
        <v/>
      </c>
      <c r="F142" s="51">
        <f>IF(VLOOKUP(Table91213[[#This Row],[Date]],'DB Details'!$A:$Q,6)=0,"",VLOOKUP(Table91213[[#This Row],[Date]],'DB Details'!$A:$Q,6))</f>
        <v/>
      </c>
      <c r="G142" s="52">
        <f>IF(VLOOKUP(Table91213[[#This Row],[Date]],'DB Details'!$A:$Q,7)=0,"",VLOOKUP(Table91213[[#This Row],[Date]],'DB Details'!$A:$Q,7))</f>
        <v/>
      </c>
      <c r="H142" s="52">
        <f>IF(VLOOKUP(Table91213[[#This Row],[Date]],'DB Details'!$A:$Q,8)=0,"",VLOOKUP(Table91213[[#This Row],[Date]],'DB Details'!$A:$Q,8))</f>
        <v/>
      </c>
      <c r="I142" s="52">
        <f>IF(VLOOKUP(Table91213[[#This Row],[Date]],'DB Details'!$A:$Q,9)=0,"",VLOOKUP(Table91213[[#This Row],[Date]],'DB Details'!$A:$Q,9))</f>
        <v/>
      </c>
      <c r="J142" s="52">
        <f>IF(VLOOKUP(Table91213[[#This Row],[Date]],'DB Details'!$A:$Q,10)=0,"",VLOOKUP(Table91213[[#This Row],[Date]],'DB Details'!$A:$Q,10))</f>
        <v/>
      </c>
      <c r="K142" s="52">
        <f>IF(VLOOKUP(Table91213[[#This Row],[Date]],'DB Details'!$A:$Q,11)=0,"",VLOOKUP(Table91213[[#This Row],[Date]],'DB Details'!$A:$Q,11))</f>
        <v/>
      </c>
      <c r="L142" s="50">
        <f>IF(VLOOKUP(Table91213[[#This Row],[Date]],'DB Details'!$A:$Q,12)=0,"",VLOOKUP(Table91213[[#This Row],[Date]],'DB Details'!$A:$Q,12))</f>
        <v/>
      </c>
    </row>
    <row r="143">
      <c r="A143" s="53" t="n">
        <v>39783</v>
      </c>
      <c r="B143" s="50">
        <f>IF(VLOOKUP(Table91213[[#This Row],[Date]],'DB Details'!$A:$Q,2)=0,"",VLOOKUP(Table91213[[#This Row],[Date]],'DB Details'!$A:$Q,2))</f>
        <v/>
      </c>
      <c r="C143" s="51">
        <f>IF(VLOOKUP(Table91213[[#This Row],[Date]],'DB Details'!$A:$Q,3)=0,"",VLOOKUP(Table91213[[#This Row],[Date]],'DB Details'!$A:$Q,3))</f>
        <v/>
      </c>
      <c r="D143" s="51">
        <f>IF(VLOOKUP(Table91213[[#This Row],[Date]],'DB Details'!$A:$Q,4)=0,"",VLOOKUP(Table91213[[#This Row],[Date]],'DB Details'!$A:$Q,4))</f>
        <v/>
      </c>
      <c r="E143" s="52">
        <f>IF(VLOOKUP(Table91213[[#This Row],[Date]],'DB Details'!$A:$Q,5)=0,"",VLOOKUP(Table91213[[#This Row],[Date]],'DB Details'!$A:$Q,5))</f>
        <v/>
      </c>
      <c r="F143" s="51">
        <f>IF(VLOOKUP(Table91213[[#This Row],[Date]],'DB Details'!$A:$Q,6)=0,"",VLOOKUP(Table91213[[#This Row],[Date]],'DB Details'!$A:$Q,6))</f>
        <v/>
      </c>
      <c r="G143" s="52">
        <f>IF(VLOOKUP(Table91213[[#This Row],[Date]],'DB Details'!$A:$Q,7)=0,"",VLOOKUP(Table91213[[#This Row],[Date]],'DB Details'!$A:$Q,7))</f>
        <v/>
      </c>
      <c r="H143" s="52">
        <f>IF(VLOOKUP(Table91213[[#This Row],[Date]],'DB Details'!$A:$Q,8)=0,"",VLOOKUP(Table91213[[#This Row],[Date]],'DB Details'!$A:$Q,8))</f>
        <v/>
      </c>
      <c r="I143" s="52">
        <f>IF(VLOOKUP(Table91213[[#This Row],[Date]],'DB Details'!$A:$Q,9)=0,"",VLOOKUP(Table91213[[#This Row],[Date]],'DB Details'!$A:$Q,9))</f>
        <v/>
      </c>
      <c r="J143" s="52">
        <f>IF(VLOOKUP(Table91213[[#This Row],[Date]],'DB Details'!$A:$Q,10)=0,"",VLOOKUP(Table91213[[#This Row],[Date]],'DB Details'!$A:$Q,10))</f>
        <v/>
      </c>
      <c r="K143" s="52">
        <f>IF(VLOOKUP(Table91213[[#This Row],[Date]],'DB Details'!$A:$Q,11)=0,"",VLOOKUP(Table91213[[#This Row],[Date]],'DB Details'!$A:$Q,11))</f>
        <v/>
      </c>
      <c r="L143" s="50">
        <f>IF(VLOOKUP(Table91213[[#This Row],[Date]],'DB Details'!$A:$Q,12)=0,"",VLOOKUP(Table91213[[#This Row],[Date]],'DB Details'!$A:$Q,12))</f>
        <v/>
      </c>
    </row>
    <row r="144">
      <c r="A144" s="53" t="n">
        <v>39814</v>
      </c>
      <c r="B144" s="50">
        <f>IF(VLOOKUP(Table91213[[#This Row],[Date]],'DB Details'!$A:$Q,2)=0,"",VLOOKUP(Table91213[[#This Row],[Date]],'DB Details'!$A:$Q,2))</f>
        <v/>
      </c>
      <c r="C144" s="51">
        <f>IF(VLOOKUP(Table91213[[#This Row],[Date]],'DB Details'!$A:$Q,3)=0,"",VLOOKUP(Table91213[[#This Row],[Date]],'DB Details'!$A:$Q,3))</f>
        <v/>
      </c>
      <c r="D144" s="51">
        <f>IF(VLOOKUP(Table91213[[#This Row],[Date]],'DB Details'!$A:$Q,4)=0,"",VLOOKUP(Table91213[[#This Row],[Date]],'DB Details'!$A:$Q,4))</f>
        <v/>
      </c>
      <c r="E144" s="52">
        <f>IF(VLOOKUP(Table91213[[#This Row],[Date]],'DB Details'!$A:$Q,5)=0,"",VLOOKUP(Table91213[[#This Row],[Date]],'DB Details'!$A:$Q,5))</f>
        <v/>
      </c>
      <c r="F144" s="51">
        <f>IF(VLOOKUP(Table91213[[#This Row],[Date]],'DB Details'!$A:$Q,6)=0,"",VLOOKUP(Table91213[[#This Row],[Date]],'DB Details'!$A:$Q,6))</f>
        <v/>
      </c>
      <c r="G144" s="52">
        <f>IF(VLOOKUP(Table91213[[#This Row],[Date]],'DB Details'!$A:$Q,7)=0,"",VLOOKUP(Table91213[[#This Row],[Date]],'DB Details'!$A:$Q,7))</f>
        <v/>
      </c>
      <c r="H144" s="52">
        <f>IF(VLOOKUP(Table91213[[#This Row],[Date]],'DB Details'!$A:$Q,8)=0,"",VLOOKUP(Table91213[[#This Row],[Date]],'DB Details'!$A:$Q,8))</f>
        <v/>
      </c>
      <c r="I144" s="52">
        <f>IF(VLOOKUP(Table91213[[#This Row],[Date]],'DB Details'!$A:$Q,9)=0,"",VLOOKUP(Table91213[[#This Row],[Date]],'DB Details'!$A:$Q,9))</f>
        <v/>
      </c>
      <c r="J144" s="52">
        <f>IF(VLOOKUP(Table91213[[#This Row],[Date]],'DB Details'!$A:$Q,10)=0,"",VLOOKUP(Table91213[[#This Row],[Date]],'DB Details'!$A:$Q,10))</f>
        <v/>
      </c>
      <c r="K144" s="52">
        <f>IF(VLOOKUP(Table91213[[#This Row],[Date]],'DB Details'!$A:$Q,11)=0,"",VLOOKUP(Table91213[[#This Row],[Date]],'DB Details'!$A:$Q,11))</f>
        <v/>
      </c>
      <c r="L144" s="50">
        <f>IF(VLOOKUP(Table91213[[#This Row],[Date]],'DB Details'!$A:$Q,12)=0,"",VLOOKUP(Table91213[[#This Row],[Date]],'DB Details'!$A:$Q,12))</f>
        <v/>
      </c>
    </row>
    <row r="145">
      <c r="A145" s="53" t="n">
        <v>39845</v>
      </c>
      <c r="B145" s="50">
        <f>IF(VLOOKUP(Table91213[[#This Row],[Date]],'DB Details'!$A:$Q,2)=0,"",VLOOKUP(Table91213[[#This Row],[Date]],'DB Details'!$A:$Q,2))</f>
        <v/>
      </c>
      <c r="C145" s="51">
        <f>IF(VLOOKUP(Table91213[[#This Row],[Date]],'DB Details'!$A:$Q,3)=0,"",VLOOKUP(Table91213[[#This Row],[Date]],'DB Details'!$A:$Q,3))</f>
        <v/>
      </c>
      <c r="D145" s="51">
        <f>IF(VLOOKUP(Table91213[[#This Row],[Date]],'DB Details'!$A:$Q,4)=0,"",VLOOKUP(Table91213[[#This Row],[Date]],'DB Details'!$A:$Q,4))</f>
        <v/>
      </c>
      <c r="E145" s="52">
        <f>IF(VLOOKUP(Table91213[[#This Row],[Date]],'DB Details'!$A:$Q,5)=0,"",VLOOKUP(Table91213[[#This Row],[Date]],'DB Details'!$A:$Q,5))</f>
        <v/>
      </c>
      <c r="F145" s="51">
        <f>IF(VLOOKUP(Table91213[[#This Row],[Date]],'DB Details'!$A:$Q,6)=0,"",VLOOKUP(Table91213[[#This Row],[Date]],'DB Details'!$A:$Q,6))</f>
        <v/>
      </c>
      <c r="G145" s="52">
        <f>IF(VLOOKUP(Table91213[[#This Row],[Date]],'DB Details'!$A:$Q,7)=0,"",VLOOKUP(Table91213[[#This Row],[Date]],'DB Details'!$A:$Q,7))</f>
        <v/>
      </c>
      <c r="H145" s="52">
        <f>IF(VLOOKUP(Table91213[[#This Row],[Date]],'DB Details'!$A:$Q,8)=0,"",VLOOKUP(Table91213[[#This Row],[Date]],'DB Details'!$A:$Q,8))</f>
        <v/>
      </c>
      <c r="I145" s="52">
        <f>IF(VLOOKUP(Table91213[[#This Row],[Date]],'DB Details'!$A:$Q,9)=0,"",VLOOKUP(Table91213[[#This Row],[Date]],'DB Details'!$A:$Q,9))</f>
        <v/>
      </c>
      <c r="J145" s="52">
        <f>IF(VLOOKUP(Table91213[[#This Row],[Date]],'DB Details'!$A:$Q,10)=0,"",VLOOKUP(Table91213[[#This Row],[Date]],'DB Details'!$A:$Q,10))</f>
        <v/>
      </c>
      <c r="K145" s="52">
        <f>IF(VLOOKUP(Table91213[[#This Row],[Date]],'DB Details'!$A:$Q,11)=0,"",VLOOKUP(Table91213[[#This Row],[Date]],'DB Details'!$A:$Q,11))</f>
        <v/>
      </c>
      <c r="L145" s="50">
        <f>IF(VLOOKUP(Table91213[[#This Row],[Date]],'DB Details'!$A:$Q,12)=0,"",VLOOKUP(Table91213[[#This Row],[Date]],'DB Details'!$A:$Q,12))</f>
        <v/>
      </c>
    </row>
    <row r="146">
      <c r="A146" s="53" t="n">
        <v>39873</v>
      </c>
      <c r="B146" s="50">
        <f>IF(VLOOKUP(Table91213[[#This Row],[Date]],'DB Details'!$A:$Q,2)=0,"",VLOOKUP(Table91213[[#This Row],[Date]],'DB Details'!$A:$Q,2))</f>
        <v/>
      </c>
      <c r="C146" s="51">
        <f>IF(VLOOKUP(Table91213[[#This Row],[Date]],'DB Details'!$A:$Q,3)=0,"",VLOOKUP(Table91213[[#This Row],[Date]],'DB Details'!$A:$Q,3))</f>
        <v/>
      </c>
      <c r="D146" s="51">
        <f>IF(VLOOKUP(Table91213[[#This Row],[Date]],'DB Details'!$A:$Q,4)=0,"",VLOOKUP(Table91213[[#This Row],[Date]],'DB Details'!$A:$Q,4))</f>
        <v/>
      </c>
      <c r="E146" s="52">
        <f>IF(VLOOKUP(Table91213[[#This Row],[Date]],'DB Details'!$A:$Q,5)=0,"",VLOOKUP(Table91213[[#This Row],[Date]],'DB Details'!$A:$Q,5))</f>
        <v/>
      </c>
      <c r="F146" s="51">
        <f>IF(VLOOKUP(Table91213[[#This Row],[Date]],'DB Details'!$A:$Q,6)=0,"",VLOOKUP(Table91213[[#This Row],[Date]],'DB Details'!$A:$Q,6))</f>
        <v/>
      </c>
      <c r="G146" s="52">
        <f>IF(VLOOKUP(Table91213[[#This Row],[Date]],'DB Details'!$A:$Q,7)=0,"",VLOOKUP(Table91213[[#This Row],[Date]],'DB Details'!$A:$Q,7))</f>
        <v/>
      </c>
      <c r="H146" s="52">
        <f>IF(VLOOKUP(Table91213[[#This Row],[Date]],'DB Details'!$A:$Q,8)=0,"",VLOOKUP(Table91213[[#This Row],[Date]],'DB Details'!$A:$Q,8))</f>
        <v/>
      </c>
      <c r="I146" s="52">
        <f>IF(VLOOKUP(Table91213[[#This Row],[Date]],'DB Details'!$A:$Q,9)=0,"",VLOOKUP(Table91213[[#This Row],[Date]],'DB Details'!$A:$Q,9))</f>
        <v/>
      </c>
      <c r="J146" s="52">
        <f>IF(VLOOKUP(Table91213[[#This Row],[Date]],'DB Details'!$A:$Q,10)=0,"",VLOOKUP(Table91213[[#This Row],[Date]],'DB Details'!$A:$Q,10))</f>
        <v/>
      </c>
      <c r="K146" s="52">
        <f>IF(VLOOKUP(Table91213[[#This Row],[Date]],'DB Details'!$A:$Q,11)=0,"",VLOOKUP(Table91213[[#This Row],[Date]],'DB Details'!$A:$Q,11))</f>
        <v/>
      </c>
      <c r="L146" s="50">
        <f>IF(VLOOKUP(Table91213[[#This Row],[Date]],'DB Details'!$A:$Q,12)=0,"",VLOOKUP(Table91213[[#This Row],[Date]],'DB Details'!$A:$Q,12))</f>
        <v/>
      </c>
    </row>
    <row r="147">
      <c r="A147" s="53" t="n">
        <v>39904</v>
      </c>
      <c r="B147" s="50">
        <f>IF(VLOOKUP(Table91213[[#This Row],[Date]],'DB Details'!$A:$Q,2)=0,"",VLOOKUP(Table91213[[#This Row],[Date]],'DB Details'!$A:$Q,2))</f>
        <v/>
      </c>
      <c r="C147" s="51">
        <f>IF(VLOOKUP(Table91213[[#This Row],[Date]],'DB Details'!$A:$Q,3)=0,"",VLOOKUP(Table91213[[#This Row],[Date]],'DB Details'!$A:$Q,3))</f>
        <v/>
      </c>
      <c r="D147" s="51">
        <f>IF(VLOOKUP(Table91213[[#This Row],[Date]],'DB Details'!$A:$Q,4)=0,"",VLOOKUP(Table91213[[#This Row],[Date]],'DB Details'!$A:$Q,4))</f>
        <v/>
      </c>
      <c r="E147" s="52">
        <f>IF(VLOOKUP(Table91213[[#This Row],[Date]],'DB Details'!$A:$Q,5)=0,"",VLOOKUP(Table91213[[#This Row],[Date]],'DB Details'!$A:$Q,5))</f>
        <v/>
      </c>
      <c r="F147" s="51">
        <f>IF(VLOOKUP(Table91213[[#This Row],[Date]],'DB Details'!$A:$Q,6)=0,"",VLOOKUP(Table91213[[#This Row],[Date]],'DB Details'!$A:$Q,6))</f>
        <v/>
      </c>
      <c r="G147" s="52">
        <f>IF(VLOOKUP(Table91213[[#This Row],[Date]],'DB Details'!$A:$Q,7)=0,"",VLOOKUP(Table91213[[#This Row],[Date]],'DB Details'!$A:$Q,7))</f>
        <v/>
      </c>
      <c r="H147" s="52">
        <f>IF(VLOOKUP(Table91213[[#This Row],[Date]],'DB Details'!$A:$Q,8)=0,"",VLOOKUP(Table91213[[#This Row],[Date]],'DB Details'!$A:$Q,8))</f>
        <v/>
      </c>
      <c r="I147" s="52">
        <f>IF(VLOOKUP(Table91213[[#This Row],[Date]],'DB Details'!$A:$Q,9)=0,"",VLOOKUP(Table91213[[#This Row],[Date]],'DB Details'!$A:$Q,9))</f>
        <v/>
      </c>
      <c r="J147" s="52">
        <f>IF(VLOOKUP(Table91213[[#This Row],[Date]],'DB Details'!$A:$Q,10)=0,"",VLOOKUP(Table91213[[#This Row],[Date]],'DB Details'!$A:$Q,10))</f>
        <v/>
      </c>
      <c r="K147" s="52">
        <f>IF(VLOOKUP(Table91213[[#This Row],[Date]],'DB Details'!$A:$Q,11)=0,"",VLOOKUP(Table91213[[#This Row],[Date]],'DB Details'!$A:$Q,11))</f>
        <v/>
      </c>
      <c r="L147" s="50">
        <f>IF(VLOOKUP(Table91213[[#This Row],[Date]],'DB Details'!$A:$Q,12)=0,"",VLOOKUP(Table91213[[#This Row],[Date]],'DB Details'!$A:$Q,12))</f>
        <v/>
      </c>
    </row>
    <row r="148">
      <c r="A148" s="53" t="n">
        <v>39934</v>
      </c>
      <c r="B148" s="50">
        <f>IF(VLOOKUP(Table91213[[#This Row],[Date]],'DB Details'!$A:$Q,2)=0,"",VLOOKUP(Table91213[[#This Row],[Date]],'DB Details'!$A:$Q,2))</f>
        <v/>
      </c>
      <c r="C148" s="51">
        <f>IF(VLOOKUP(Table91213[[#This Row],[Date]],'DB Details'!$A:$Q,3)=0,"",VLOOKUP(Table91213[[#This Row],[Date]],'DB Details'!$A:$Q,3))</f>
        <v/>
      </c>
      <c r="D148" s="51">
        <f>IF(VLOOKUP(Table91213[[#This Row],[Date]],'DB Details'!$A:$Q,4)=0,"",VLOOKUP(Table91213[[#This Row],[Date]],'DB Details'!$A:$Q,4))</f>
        <v/>
      </c>
      <c r="E148" s="52">
        <f>IF(VLOOKUP(Table91213[[#This Row],[Date]],'DB Details'!$A:$Q,5)=0,"",VLOOKUP(Table91213[[#This Row],[Date]],'DB Details'!$A:$Q,5))</f>
        <v/>
      </c>
      <c r="F148" s="51">
        <f>IF(VLOOKUP(Table91213[[#This Row],[Date]],'DB Details'!$A:$Q,6)=0,"",VLOOKUP(Table91213[[#This Row],[Date]],'DB Details'!$A:$Q,6))</f>
        <v/>
      </c>
      <c r="G148" s="52">
        <f>IF(VLOOKUP(Table91213[[#This Row],[Date]],'DB Details'!$A:$Q,7)=0,"",VLOOKUP(Table91213[[#This Row],[Date]],'DB Details'!$A:$Q,7))</f>
        <v/>
      </c>
      <c r="H148" s="52">
        <f>IF(VLOOKUP(Table91213[[#This Row],[Date]],'DB Details'!$A:$Q,8)=0,"",VLOOKUP(Table91213[[#This Row],[Date]],'DB Details'!$A:$Q,8))</f>
        <v/>
      </c>
      <c r="I148" s="52">
        <f>IF(VLOOKUP(Table91213[[#This Row],[Date]],'DB Details'!$A:$Q,9)=0,"",VLOOKUP(Table91213[[#This Row],[Date]],'DB Details'!$A:$Q,9))</f>
        <v/>
      </c>
      <c r="J148" s="52">
        <f>IF(VLOOKUP(Table91213[[#This Row],[Date]],'DB Details'!$A:$Q,10)=0,"",VLOOKUP(Table91213[[#This Row],[Date]],'DB Details'!$A:$Q,10))</f>
        <v/>
      </c>
      <c r="K148" s="52">
        <f>IF(VLOOKUP(Table91213[[#This Row],[Date]],'DB Details'!$A:$Q,11)=0,"",VLOOKUP(Table91213[[#This Row],[Date]],'DB Details'!$A:$Q,11))</f>
        <v/>
      </c>
      <c r="L148" s="50">
        <f>IF(VLOOKUP(Table91213[[#This Row],[Date]],'DB Details'!$A:$Q,12)=0,"",VLOOKUP(Table91213[[#This Row],[Date]],'DB Details'!$A:$Q,12))</f>
        <v/>
      </c>
    </row>
    <row r="149">
      <c r="A149" s="53" t="n">
        <v>39965</v>
      </c>
      <c r="B149" s="50">
        <f>IF(VLOOKUP(Table91213[[#This Row],[Date]],'DB Details'!$A:$Q,2)=0,"",VLOOKUP(Table91213[[#This Row],[Date]],'DB Details'!$A:$Q,2))</f>
        <v/>
      </c>
      <c r="C149" s="51">
        <f>IF(VLOOKUP(Table91213[[#This Row],[Date]],'DB Details'!$A:$Q,3)=0,"",VLOOKUP(Table91213[[#This Row],[Date]],'DB Details'!$A:$Q,3))</f>
        <v/>
      </c>
      <c r="D149" s="51">
        <f>IF(VLOOKUP(Table91213[[#This Row],[Date]],'DB Details'!$A:$Q,4)=0,"",VLOOKUP(Table91213[[#This Row],[Date]],'DB Details'!$A:$Q,4))</f>
        <v/>
      </c>
      <c r="E149" s="52">
        <f>IF(VLOOKUP(Table91213[[#This Row],[Date]],'DB Details'!$A:$Q,5)=0,"",VLOOKUP(Table91213[[#This Row],[Date]],'DB Details'!$A:$Q,5))</f>
        <v/>
      </c>
      <c r="F149" s="51">
        <f>IF(VLOOKUP(Table91213[[#This Row],[Date]],'DB Details'!$A:$Q,6)=0,"",VLOOKUP(Table91213[[#This Row],[Date]],'DB Details'!$A:$Q,6))</f>
        <v/>
      </c>
      <c r="G149" s="52">
        <f>IF(VLOOKUP(Table91213[[#This Row],[Date]],'DB Details'!$A:$Q,7)=0,"",VLOOKUP(Table91213[[#This Row],[Date]],'DB Details'!$A:$Q,7))</f>
        <v/>
      </c>
      <c r="H149" s="52">
        <f>IF(VLOOKUP(Table91213[[#This Row],[Date]],'DB Details'!$A:$Q,8)=0,"",VLOOKUP(Table91213[[#This Row],[Date]],'DB Details'!$A:$Q,8))</f>
        <v/>
      </c>
      <c r="I149" s="52">
        <f>IF(VLOOKUP(Table91213[[#This Row],[Date]],'DB Details'!$A:$Q,9)=0,"",VLOOKUP(Table91213[[#This Row],[Date]],'DB Details'!$A:$Q,9))</f>
        <v/>
      </c>
      <c r="J149" s="52">
        <f>IF(VLOOKUP(Table91213[[#This Row],[Date]],'DB Details'!$A:$Q,10)=0,"",VLOOKUP(Table91213[[#This Row],[Date]],'DB Details'!$A:$Q,10))</f>
        <v/>
      </c>
      <c r="K149" s="52">
        <f>IF(VLOOKUP(Table91213[[#This Row],[Date]],'DB Details'!$A:$Q,11)=0,"",VLOOKUP(Table91213[[#This Row],[Date]],'DB Details'!$A:$Q,11))</f>
        <v/>
      </c>
      <c r="L149" s="50">
        <f>IF(VLOOKUP(Table91213[[#This Row],[Date]],'DB Details'!$A:$Q,12)=0,"",VLOOKUP(Table91213[[#This Row],[Date]],'DB Details'!$A:$Q,12))</f>
        <v/>
      </c>
    </row>
    <row r="150">
      <c r="A150" s="53" t="n">
        <v>39995</v>
      </c>
      <c r="B150" s="50">
        <f>IF(VLOOKUP(Table91213[[#This Row],[Date]],'DB Details'!$A:$Q,2)=0,"",VLOOKUP(Table91213[[#This Row],[Date]],'DB Details'!$A:$Q,2))</f>
        <v/>
      </c>
      <c r="C150" s="51">
        <f>IF(VLOOKUP(Table91213[[#This Row],[Date]],'DB Details'!$A:$Q,3)=0,"",VLOOKUP(Table91213[[#This Row],[Date]],'DB Details'!$A:$Q,3))</f>
        <v/>
      </c>
      <c r="D150" s="51">
        <f>IF(VLOOKUP(Table91213[[#This Row],[Date]],'DB Details'!$A:$Q,4)=0,"",VLOOKUP(Table91213[[#This Row],[Date]],'DB Details'!$A:$Q,4))</f>
        <v/>
      </c>
      <c r="E150" s="52">
        <f>IF(VLOOKUP(Table91213[[#This Row],[Date]],'DB Details'!$A:$Q,5)=0,"",VLOOKUP(Table91213[[#This Row],[Date]],'DB Details'!$A:$Q,5))</f>
        <v/>
      </c>
      <c r="F150" s="51">
        <f>IF(VLOOKUP(Table91213[[#This Row],[Date]],'DB Details'!$A:$Q,6)=0,"",VLOOKUP(Table91213[[#This Row],[Date]],'DB Details'!$A:$Q,6))</f>
        <v/>
      </c>
      <c r="G150" s="52">
        <f>IF(VLOOKUP(Table91213[[#This Row],[Date]],'DB Details'!$A:$Q,7)=0,"",VLOOKUP(Table91213[[#This Row],[Date]],'DB Details'!$A:$Q,7))</f>
        <v/>
      </c>
      <c r="H150" s="52">
        <f>IF(VLOOKUP(Table91213[[#This Row],[Date]],'DB Details'!$A:$Q,8)=0,"",VLOOKUP(Table91213[[#This Row],[Date]],'DB Details'!$A:$Q,8))</f>
        <v/>
      </c>
      <c r="I150" s="52">
        <f>IF(VLOOKUP(Table91213[[#This Row],[Date]],'DB Details'!$A:$Q,9)=0,"",VLOOKUP(Table91213[[#This Row],[Date]],'DB Details'!$A:$Q,9))</f>
        <v/>
      </c>
      <c r="J150" s="52">
        <f>IF(VLOOKUP(Table91213[[#This Row],[Date]],'DB Details'!$A:$Q,10)=0,"",VLOOKUP(Table91213[[#This Row],[Date]],'DB Details'!$A:$Q,10))</f>
        <v/>
      </c>
      <c r="K150" s="52">
        <f>IF(VLOOKUP(Table91213[[#This Row],[Date]],'DB Details'!$A:$Q,11)=0,"",VLOOKUP(Table91213[[#This Row],[Date]],'DB Details'!$A:$Q,11))</f>
        <v/>
      </c>
      <c r="L150" s="50">
        <f>IF(VLOOKUP(Table91213[[#This Row],[Date]],'DB Details'!$A:$Q,12)=0,"",VLOOKUP(Table91213[[#This Row],[Date]],'DB Details'!$A:$Q,12))</f>
        <v/>
      </c>
    </row>
    <row r="151">
      <c r="A151" s="53" t="n">
        <v>40026</v>
      </c>
      <c r="B151" s="50">
        <f>IF(VLOOKUP(Table91213[[#This Row],[Date]],'DB Details'!$A:$Q,2)=0,"",VLOOKUP(Table91213[[#This Row],[Date]],'DB Details'!$A:$Q,2))</f>
        <v/>
      </c>
      <c r="C151" s="51">
        <f>IF(VLOOKUP(Table91213[[#This Row],[Date]],'DB Details'!$A:$Q,3)=0,"",VLOOKUP(Table91213[[#This Row],[Date]],'DB Details'!$A:$Q,3))</f>
        <v/>
      </c>
      <c r="D151" s="51">
        <f>IF(VLOOKUP(Table91213[[#This Row],[Date]],'DB Details'!$A:$Q,4)=0,"",VLOOKUP(Table91213[[#This Row],[Date]],'DB Details'!$A:$Q,4))</f>
        <v/>
      </c>
      <c r="E151" s="52">
        <f>IF(VLOOKUP(Table91213[[#This Row],[Date]],'DB Details'!$A:$Q,5)=0,"",VLOOKUP(Table91213[[#This Row],[Date]],'DB Details'!$A:$Q,5))</f>
        <v/>
      </c>
      <c r="F151" s="51">
        <f>IF(VLOOKUP(Table91213[[#This Row],[Date]],'DB Details'!$A:$Q,6)=0,"",VLOOKUP(Table91213[[#This Row],[Date]],'DB Details'!$A:$Q,6))</f>
        <v/>
      </c>
      <c r="G151" s="52">
        <f>IF(VLOOKUP(Table91213[[#This Row],[Date]],'DB Details'!$A:$Q,7)=0,"",VLOOKUP(Table91213[[#This Row],[Date]],'DB Details'!$A:$Q,7))</f>
        <v/>
      </c>
      <c r="H151" s="52">
        <f>IF(VLOOKUP(Table91213[[#This Row],[Date]],'DB Details'!$A:$Q,8)=0,"",VLOOKUP(Table91213[[#This Row],[Date]],'DB Details'!$A:$Q,8))</f>
        <v/>
      </c>
      <c r="I151" s="52">
        <f>IF(VLOOKUP(Table91213[[#This Row],[Date]],'DB Details'!$A:$Q,9)=0,"",VLOOKUP(Table91213[[#This Row],[Date]],'DB Details'!$A:$Q,9))</f>
        <v/>
      </c>
      <c r="J151" s="52">
        <f>IF(VLOOKUP(Table91213[[#This Row],[Date]],'DB Details'!$A:$Q,10)=0,"",VLOOKUP(Table91213[[#This Row],[Date]],'DB Details'!$A:$Q,10))</f>
        <v/>
      </c>
      <c r="K151" s="52">
        <f>IF(VLOOKUP(Table91213[[#This Row],[Date]],'DB Details'!$A:$Q,11)=0,"",VLOOKUP(Table91213[[#This Row],[Date]],'DB Details'!$A:$Q,11))</f>
        <v/>
      </c>
      <c r="L151" s="50">
        <f>IF(VLOOKUP(Table91213[[#This Row],[Date]],'DB Details'!$A:$Q,12)=0,"",VLOOKUP(Table91213[[#This Row],[Date]],'DB Details'!$A:$Q,12))</f>
        <v/>
      </c>
    </row>
    <row r="152">
      <c r="A152" s="53" t="n">
        <v>40057</v>
      </c>
      <c r="B152" s="50">
        <f>IF(VLOOKUP(Table91213[[#This Row],[Date]],'DB Details'!$A:$Q,2)=0,"",VLOOKUP(Table91213[[#This Row],[Date]],'DB Details'!$A:$Q,2))</f>
        <v/>
      </c>
      <c r="C152" s="51">
        <f>IF(VLOOKUP(Table91213[[#This Row],[Date]],'DB Details'!$A:$Q,3)=0,"",VLOOKUP(Table91213[[#This Row],[Date]],'DB Details'!$A:$Q,3))</f>
        <v/>
      </c>
      <c r="D152" s="51">
        <f>IF(VLOOKUP(Table91213[[#This Row],[Date]],'DB Details'!$A:$Q,4)=0,"",VLOOKUP(Table91213[[#This Row],[Date]],'DB Details'!$A:$Q,4))</f>
        <v/>
      </c>
      <c r="E152" s="52">
        <f>IF(VLOOKUP(Table91213[[#This Row],[Date]],'DB Details'!$A:$Q,5)=0,"",VLOOKUP(Table91213[[#This Row],[Date]],'DB Details'!$A:$Q,5))</f>
        <v/>
      </c>
      <c r="F152" s="51">
        <f>IF(VLOOKUP(Table91213[[#This Row],[Date]],'DB Details'!$A:$Q,6)=0,"",VLOOKUP(Table91213[[#This Row],[Date]],'DB Details'!$A:$Q,6))</f>
        <v/>
      </c>
      <c r="G152" s="52">
        <f>IF(VLOOKUP(Table91213[[#This Row],[Date]],'DB Details'!$A:$Q,7)=0,"",VLOOKUP(Table91213[[#This Row],[Date]],'DB Details'!$A:$Q,7))</f>
        <v/>
      </c>
      <c r="H152" s="52">
        <f>IF(VLOOKUP(Table91213[[#This Row],[Date]],'DB Details'!$A:$Q,8)=0,"",VLOOKUP(Table91213[[#This Row],[Date]],'DB Details'!$A:$Q,8))</f>
        <v/>
      </c>
      <c r="I152" s="52">
        <f>IF(VLOOKUP(Table91213[[#This Row],[Date]],'DB Details'!$A:$Q,9)=0,"",VLOOKUP(Table91213[[#This Row],[Date]],'DB Details'!$A:$Q,9))</f>
        <v/>
      </c>
      <c r="J152" s="52">
        <f>IF(VLOOKUP(Table91213[[#This Row],[Date]],'DB Details'!$A:$Q,10)=0,"",VLOOKUP(Table91213[[#This Row],[Date]],'DB Details'!$A:$Q,10))</f>
        <v/>
      </c>
      <c r="K152" s="52">
        <f>IF(VLOOKUP(Table91213[[#This Row],[Date]],'DB Details'!$A:$Q,11)=0,"",VLOOKUP(Table91213[[#This Row],[Date]],'DB Details'!$A:$Q,11))</f>
        <v/>
      </c>
      <c r="L152" s="50">
        <f>IF(VLOOKUP(Table91213[[#This Row],[Date]],'DB Details'!$A:$Q,12)=0,"",VLOOKUP(Table91213[[#This Row],[Date]],'DB Details'!$A:$Q,12))</f>
        <v/>
      </c>
    </row>
    <row r="153">
      <c r="A153" s="53" t="n">
        <v>40087</v>
      </c>
      <c r="B153" s="50">
        <f>IF(VLOOKUP(Table91213[[#This Row],[Date]],'DB Details'!$A:$Q,2)=0,"",VLOOKUP(Table91213[[#This Row],[Date]],'DB Details'!$A:$Q,2))</f>
        <v/>
      </c>
      <c r="C153" s="51">
        <f>IF(VLOOKUP(Table91213[[#This Row],[Date]],'DB Details'!$A:$Q,3)=0,"",VLOOKUP(Table91213[[#This Row],[Date]],'DB Details'!$A:$Q,3))</f>
        <v/>
      </c>
      <c r="D153" s="51">
        <f>IF(VLOOKUP(Table91213[[#This Row],[Date]],'DB Details'!$A:$Q,4)=0,"",VLOOKUP(Table91213[[#This Row],[Date]],'DB Details'!$A:$Q,4))</f>
        <v/>
      </c>
      <c r="E153" s="52">
        <f>IF(VLOOKUP(Table91213[[#This Row],[Date]],'DB Details'!$A:$Q,5)=0,"",VLOOKUP(Table91213[[#This Row],[Date]],'DB Details'!$A:$Q,5))</f>
        <v/>
      </c>
      <c r="F153" s="51">
        <f>IF(VLOOKUP(Table91213[[#This Row],[Date]],'DB Details'!$A:$Q,6)=0,"",VLOOKUP(Table91213[[#This Row],[Date]],'DB Details'!$A:$Q,6))</f>
        <v/>
      </c>
      <c r="G153" s="52">
        <f>IF(VLOOKUP(Table91213[[#This Row],[Date]],'DB Details'!$A:$Q,7)=0,"",VLOOKUP(Table91213[[#This Row],[Date]],'DB Details'!$A:$Q,7))</f>
        <v/>
      </c>
      <c r="H153" s="52">
        <f>IF(VLOOKUP(Table91213[[#This Row],[Date]],'DB Details'!$A:$Q,8)=0,"",VLOOKUP(Table91213[[#This Row],[Date]],'DB Details'!$A:$Q,8))</f>
        <v/>
      </c>
      <c r="I153" s="52">
        <f>IF(VLOOKUP(Table91213[[#This Row],[Date]],'DB Details'!$A:$Q,9)=0,"",VLOOKUP(Table91213[[#This Row],[Date]],'DB Details'!$A:$Q,9))</f>
        <v/>
      </c>
      <c r="J153" s="52">
        <f>IF(VLOOKUP(Table91213[[#This Row],[Date]],'DB Details'!$A:$Q,10)=0,"",VLOOKUP(Table91213[[#This Row],[Date]],'DB Details'!$A:$Q,10))</f>
        <v/>
      </c>
      <c r="K153" s="52">
        <f>IF(VLOOKUP(Table91213[[#This Row],[Date]],'DB Details'!$A:$Q,11)=0,"",VLOOKUP(Table91213[[#This Row],[Date]],'DB Details'!$A:$Q,11))</f>
        <v/>
      </c>
      <c r="L153" s="50">
        <f>IF(VLOOKUP(Table91213[[#This Row],[Date]],'DB Details'!$A:$Q,12)=0,"",VLOOKUP(Table91213[[#This Row],[Date]],'DB Details'!$A:$Q,12))</f>
        <v/>
      </c>
    </row>
    <row r="154">
      <c r="A154" s="53" t="n">
        <v>40118</v>
      </c>
      <c r="B154" s="50">
        <f>IF(VLOOKUP(Table91213[[#This Row],[Date]],'DB Details'!$A:$Q,2)=0,"",VLOOKUP(Table91213[[#This Row],[Date]],'DB Details'!$A:$Q,2))</f>
        <v/>
      </c>
      <c r="C154" s="51">
        <f>IF(VLOOKUP(Table91213[[#This Row],[Date]],'DB Details'!$A:$Q,3)=0,"",VLOOKUP(Table91213[[#This Row],[Date]],'DB Details'!$A:$Q,3))</f>
        <v/>
      </c>
      <c r="D154" s="51">
        <f>IF(VLOOKUP(Table91213[[#This Row],[Date]],'DB Details'!$A:$Q,4)=0,"",VLOOKUP(Table91213[[#This Row],[Date]],'DB Details'!$A:$Q,4))</f>
        <v/>
      </c>
      <c r="E154" s="52">
        <f>IF(VLOOKUP(Table91213[[#This Row],[Date]],'DB Details'!$A:$Q,5)=0,"",VLOOKUP(Table91213[[#This Row],[Date]],'DB Details'!$A:$Q,5))</f>
        <v/>
      </c>
      <c r="F154" s="51">
        <f>IF(VLOOKUP(Table91213[[#This Row],[Date]],'DB Details'!$A:$Q,6)=0,"",VLOOKUP(Table91213[[#This Row],[Date]],'DB Details'!$A:$Q,6))</f>
        <v/>
      </c>
      <c r="G154" s="52">
        <f>IF(VLOOKUP(Table91213[[#This Row],[Date]],'DB Details'!$A:$Q,7)=0,"",VLOOKUP(Table91213[[#This Row],[Date]],'DB Details'!$A:$Q,7))</f>
        <v/>
      </c>
      <c r="H154" s="52">
        <f>IF(VLOOKUP(Table91213[[#This Row],[Date]],'DB Details'!$A:$Q,8)=0,"",VLOOKUP(Table91213[[#This Row],[Date]],'DB Details'!$A:$Q,8))</f>
        <v/>
      </c>
      <c r="I154" s="52">
        <f>IF(VLOOKUP(Table91213[[#This Row],[Date]],'DB Details'!$A:$Q,9)=0,"",VLOOKUP(Table91213[[#This Row],[Date]],'DB Details'!$A:$Q,9))</f>
        <v/>
      </c>
      <c r="J154" s="52">
        <f>IF(VLOOKUP(Table91213[[#This Row],[Date]],'DB Details'!$A:$Q,10)=0,"",VLOOKUP(Table91213[[#This Row],[Date]],'DB Details'!$A:$Q,10))</f>
        <v/>
      </c>
      <c r="K154" s="52">
        <f>IF(VLOOKUP(Table91213[[#This Row],[Date]],'DB Details'!$A:$Q,11)=0,"",VLOOKUP(Table91213[[#This Row],[Date]],'DB Details'!$A:$Q,11))</f>
        <v/>
      </c>
      <c r="L154" s="50">
        <f>IF(VLOOKUP(Table91213[[#This Row],[Date]],'DB Details'!$A:$Q,12)=0,"",VLOOKUP(Table91213[[#This Row],[Date]],'DB Details'!$A:$Q,12))</f>
        <v/>
      </c>
    </row>
    <row r="155">
      <c r="A155" s="53" t="n">
        <v>40148</v>
      </c>
      <c r="B155" s="50">
        <f>IF(VLOOKUP(Table91213[[#This Row],[Date]],'DB Details'!$A:$Q,2)=0,"",VLOOKUP(Table91213[[#This Row],[Date]],'DB Details'!$A:$Q,2))</f>
        <v/>
      </c>
      <c r="C155" s="51">
        <f>IF(VLOOKUP(Table91213[[#This Row],[Date]],'DB Details'!$A:$Q,3)=0,"",VLOOKUP(Table91213[[#This Row],[Date]],'DB Details'!$A:$Q,3))</f>
        <v/>
      </c>
      <c r="D155" s="51">
        <f>IF(VLOOKUP(Table91213[[#This Row],[Date]],'DB Details'!$A:$Q,4)=0,"",VLOOKUP(Table91213[[#This Row],[Date]],'DB Details'!$A:$Q,4))</f>
        <v/>
      </c>
      <c r="E155" s="52">
        <f>IF(VLOOKUP(Table91213[[#This Row],[Date]],'DB Details'!$A:$Q,5)=0,"",VLOOKUP(Table91213[[#This Row],[Date]],'DB Details'!$A:$Q,5))</f>
        <v/>
      </c>
      <c r="F155" s="51">
        <f>IF(VLOOKUP(Table91213[[#This Row],[Date]],'DB Details'!$A:$Q,6)=0,"",VLOOKUP(Table91213[[#This Row],[Date]],'DB Details'!$A:$Q,6))</f>
        <v/>
      </c>
      <c r="G155" s="52">
        <f>IF(VLOOKUP(Table91213[[#This Row],[Date]],'DB Details'!$A:$Q,7)=0,"",VLOOKUP(Table91213[[#This Row],[Date]],'DB Details'!$A:$Q,7))</f>
        <v/>
      </c>
      <c r="H155" s="52">
        <f>IF(VLOOKUP(Table91213[[#This Row],[Date]],'DB Details'!$A:$Q,8)=0,"",VLOOKUP(Table91213[[#This Row],[Date]],'DB Details'!$A:$Q,8))</f>
        <v/>
      </c>
      <c r="I155" s="52">
        <f>IF(VLOOKUP(Table91213[[#This Row],[Date]],'DB Details'!$A:$Q,9)=0,"",VLOOKUP(Table91213[[#This Row],[Date]],'DB Details'!$A:$Q,9))</f>
        <v/>
      </c>
      <c r="J155" s="52">
        <f>IF(VLOOKUP(Table91213[[#This Row],[Date]],'DB Details'!$A:$Q,10)=0,"",VLOOKUP(Table91213[[#This Row],[Date]],'DB Details'!$A:$Q,10))</f>
        <v/>
      </c>
      <c r="K155" s="52">
        <f>IF(VLOOKUP(Table91213[[#This Row],[Date]],'DB Details'!$A:$Q,11)=0,"",VLOOKUP(Table91213[[#This Row],[Date]],'DB Details'!$A:$Q,11))</f>
        <v/>
      </c>
      <c r="L155" s="50">
        <f>IF(VLOOKUP(Table91213[[#This Row],[Date]],'DB Details'!$A:$Q,12)=0,"",VLOOKUP(Table91213[[#This Row],[Date]],'DB Details'!$A:$Q,12))</f>
        <v/>
      </c>
    </row>
    <row r="156">
      <c r="A156" s="53" t="n">
        <v>40179</v>
      </c>
      <c r="B156" s="50">
        <f>IF(VLOOKUP(Table91213[[#This Row],[Date]],'DB Details'!$A:$Q,2)=0,"",VLOOKUP(Table91213[[#This Row],[Date]],'DB Details'!$A:$Q,2))</f>
        <v/>
      </c>
      <c r="C156" s="51">
        <f>IF(VLOOKUP(Table91213[[#This Row],[Date]],'DB Details'!$A:$Q,3)=0,"",VLOOKUP(Table91213[[#This Row],[Date]],'DB Details'!$A:$Q,3))</f>
        <v/>
      </c>
      <c r="D156" s="51">
        <f>IF(VLOOKUP(Table91213[[#This Row],[Date]],'DB Details'!$A:$Q,4)=0,"",VLOOKUP(Table91213[[#This Row],[Date]],'DB Details'!$A:$Q,4))</f>
        <v/>
      </c>
      <c r="E156" s="52">
        <f>IF(VLOOKUP(Table91213[[#This Row],[Date]],'DB Details'!$A:$Q,5)=0,"",VLOOKUP(Table91213[[#This Row],[Date]],'DB Details'!$A:$Q,5))</f>
        <v/>
      </c>
      <c r="F156" s="51">
        <f>IF(VLOOKUP(Table91213[[#This Row],[Date]],'DB Details'!$A:$Q,6)=0,"",VLOOKUP(Table91213[[#This Row],[Date]],'DB Details'!$A:$Q,6))</f>
        <v/>
      </c>
      <c r="G156" s="52">
        <f>IF(VLOOKUP(Table91213[[#This Row],[Date]],'DB Details'!$A:$Q,7)=0,"",VLOOKUP(Table91213[[#This Row],[Date]],'DB Details'!$A:$Q,7))</f>
        <v/>
      </c>
      <c r="H156" s="52">
        <f>IF(VLOOKUP(Table91213[[#This Row],[Date]],'DB Details'!$A:$Q,8)=0,"",VLOOKUP(Table91213[[#This Row],[Date]],'DB Details'!$A:$Q,8))</f>
        <v/>
      </c>
      <c r="I156" s="52">
        <f>IF(VLOOKUP(Table91213[[#This Row],[Date]],'DB Details'!$A:$Q,9)=0,"",VLOOKUP(Table91213[[#This Row],[Date]],'DB Details'!$A:$Q,9))</f>
        <v/>
      </c>
      <c r="J156" s="52">
        <f>IF(VLOOKUP(Table91213[[#This Row],[Date]],'DB Details'!$A:$Q,10)=0,"",VLOOKUP(Table91213[[#This Row],[Date]],'DB Details'!$A:$Q,10))</f>
        <v/>
      </c>
      <c r="K156" s="52">
        <f>IF(VLOOKUP(Table91213[[#This Row],[Date]],'DB Details'!$A:$Q,11)=0,"",VLOOKUP(Table91213[[#This Row],[Date]],'DB Details'!$A:$Q,11))</f>
        <v/>
      </c>
      <c r="L156" s="50">
        <f>IF(VLOOKUP(Table91213[[#This Row],[Date]],'DB Details'!$A:$Q,12)=0,"",VLOOKUP(Table91213[[#This Row],[Date]],'DB Details'!$A:$Q,12))</f>
        <v/>
      </c>
    </row>
    <row r="157">
      <c r="A157" s="53" t="n">
        <v>40210</v>
      </c>
      <c r="B157" s="50">
        <f>IF(VLOOKUP(Table91213[[#This Row],[Date]],'DB Details'!$A:$Q,2)=0,"",VLOOKUP(Table91213[[#This Row],[Date]],'DB Details'!$A:$Q,2))</f>
        <v/>
      </c>
      <c r="C157" s="51">
        <f>IF(VLOOKUP(Table91213[[#This Row],[Date]],'DB Details'!$A:$Q,3)=0,"",VLOOKUP(Table91213[[#This Row],[Date]],'DB Details'!$A:$Q,3))</f>
        <v/>
      </c>
      <c r="D157" s="51">
        <f>IF(VLOOKUP(Table91213[[#This Row],[Date]],'DB Details'!$A:$Q,4)=0,"",VLOOKUP(Table91213[[#This Row],[Date]],'DB Details'!$A:$Q,4))</f>
        <v/>
      </c>
      <c r="E157" s="52">
        <f>IF(VLOOKUP(Table91213[[#This Row],[Date]],'DB Details'!$A:$Q,5)=0,"",VLOOKUP(Table91213[[#This Row],[Date]],'DB Details'!$A:$Q,5))</f>
        <v/>
      </c>
      <c r="F157" s="51">
        <f>IF(VLOOKUP(Table91213[[#This Row],[Date]],'DB Details'!$A:$Q,6)=0,"",VLOOKUP(Table91213[[#This Row],[Date]],'DB Details'!$A:$Q,6))</f>
        <v/>
      </c>
      <c r="G157" s="52">
        <f>IF(VLOOKUP(Table91213[[#This Row],[Date]],'DB Details'!$A:$Q,7)=0,"",VLOOKUP(Table91213[[#This Row],[Date]],'DB Details'!$A:$Q,7))</f>
        <v/>
      </c>
      <c r="H157" s="52">
        <f>IF(VLOOKUP(Table91213[[#This Row],[Date]],'DB Details'!$A:$Q,8)=0,"",VLOOKUP(Table91213[[#This Row],[Date]],'DB Details'!$A:$Q,8))</f>
        <v/>
      </c>
      <c r="I157" s="52">
        <f>IF(VLOOKUP(Table91213[[#This Row],[Date]],'DB Details'!$A:$Q,9)=0,"",VLOOKUP(Table91213[[#This Row],[Date]],'DB Details'!$A:$Q,9))</f>
        <v/>
      </c>
      <c r="J157" s="52">
        <f>IF(VLOOKUP(Table91213[[#This Row],[Date]],'DB Details'!$A:$Q,10)=0,"",VLOOKUP(Table91213[[#This Row],[Date]],'DB Details'!$A:$Q,10))</f>
        <v/>
      </c>
      <c r="K157" s="52">
        <f>IF(VLOOKUP(Table91213[[#This Row],[Date]],'DB Details'!$A:$Q,11)=0,"",VLOOKUP(Table91213[[#This Row],[Date]],'DB Details'!$A:$Q,11))</f>
        <v/>
      </c>
      <c r="L157" s="50">
        <f>IF(VLOOKUP(Table91213[[#This Row],[Date]],'DB Details'!$A:$Q,12)=0,"",VLOOKUP(Table91213[[#This Row],[Date]],'DB Details'!$A:$Q,12))</f>
        <v/>
      </c>
    </row>
    <row r="158">
      <c r="A158" s="53" t="n">
        <v>40238</v>
      </c>
      <c r="B158" s="50">
        <f>IF(VLOOKUP(Table91213[[#This Row],[Date]],'DB Details'!$A:$Q,2)=0,"",VLOOKUP(Table91213[[#This Row],[Date]],'DB Details'!$A:$Q,2))</f>
        <v/>
      </c>
      <c r="C158" s="51">
        <f>IF(VLOOKUP(Table91213[[#This Row],[Date]],'DB Details'!$A:$Q,3)=0,"",VLOOKUP(Table91213[[#This Row],[Date]],'DB Details'!$A:$Q,3))</f>
        <v/>
      </c>
      <c r="D158" s="51">
        <f>IF(VLOOKUP(Table91213[[#This Row],[Date]],'DB Details'!$A:$Q,4)=0,"",VLOOKUP(Table91213[[#This Row],[Date]],'DB Details'!$A:$Q,4))</f>
        <v/>
      </c>
      <c r="E158" s="52">
        <f>IF(VLOOKUP(Table91213[[#This Row],[Date]],'DB Details'!$A:$Q,5)=0,"",VLOOKUP(Table91213[[#This Row],[Date]],'DB Details'!$A:$Q,5))</f>
        <v/>
      </c>
      <c r="F158" s="51">
        <f>IF(VLOOKUP(Table91213[[#This Row],[Date]],'DB Details'!$A:$Q,6)=0,"",VLOOKUP(Table91213[[#This Row],[Date]],'DB Details'!$A:$Q,6))</f>
        <v/>
      </c>
      <c r="G158" s="52">
        <f>IF(VLOOKUP(Table91213[[#This Row],[Date]],'DB Details'!$A:$Q,7)=0,"",VLOOKUP(Table91213[[#This Row],[Date]],'DB Details'!$A:$Q,7))</f>
        <v/>
      </c>
      <c r="H158" s="52">
        <f>IF(VLOOKUP(Table91213[[#This Row],[Date]],'DB Details'!$A:$Q,8)=0,"",VLOOKUP(Table91213[[#This Row],[Date]],'DB Details'!$A:$Q,8))</f>
        <v/>
      </c>
      <c r="I158" s="52">
        <f>IF(VLOOKUP(Table91213[[#This Row],[Date]],'DB Details'!$A:$Q,9)=0,"",VLOOKUP(Table91213[[#This Row],[Date]],'DB Details'!$A:$Q,9))</f>
        <v/>
      </c>
      <c r="J158" s="52">
        <f>IF(VLOOKUP(Table91213[[#This Row],[Date]],'DB Details'!$A:$Q,10)=0,"",VLOOKUP(Table91213[[#This Row],[Date]],'DB Details'!$A:$Q,10))</f>
        <v/>
      </c>
      <c r="K158" s="52">
        <f>IF(VLOOKUP(Table91213[[#This Row],[Date]],'DB Details'!$A:$Q,11)=0,"",VLOOKUP(Table91213[[#This Row],[Date]],'DB Details'!$A:$Q,11))</f>
        <v/>
      </c>
      <c r="L158" s="50">
        <f>IF(VLOOKUP(Table91213[[#This Row],[Date]],'DB Details'!$A:$Q,12)=0,"",VLOOKUP(Table91213[[#This Row],[Date]],'DB Details'!$A:$Q,12))</f>
        <v/>
      </c>
    </row>
    <row r="159">
      <c r="A159" s="53" t="n">
        <v>40269</v>
      </c>
      <c r="B159" s="50">
        <f>IF(VLOOKUP(Table91213[[#This Row],[Date]],'DB Details'!$A:$Q,2)=0,"",VLOOKUP(Table91213[[#This Row],[Date]],'DB Details'!$A:$Q,2))</f>
        <v/>
      </c>
      <c r="C159" s="51">
        <f>IF(VLOOKUP(Table91213[[#This Row],[Date]],'DB Details'!$A:$Q,3)=0,"",VLOOKUP(Table91213[[#This Row],[Date]],'DB Details'!$A:$Q,3))</f>
        <v/>
      </c>
      <c r="D159" s="51">
        <f>IF(VLOOKUP(Table91213[[#This Row],[Date]],'DB Details'!$A:$Q,4)=0,"",VLOOKUP(Table91213[[#This Row],[Date]],'DB Details'!$A:$Q,4))</f>
        <v/>
      </c>
      <c r="E159" s="52">
        <f>IF(VLOOKUP(Table91213[[#This Row],[Date]],'DB Details'!$A:$Q,5)=0,"",VLOOKUP(Table91213[[#This Row],[Date]],'DB Details'!$A:$Q,5))</f>
        <v/>
      </c>
      <c r="F159" s="51">
        <f>IF(VLOOKUP(Table91213[[#This Row],[Date]],'DB Details'!$A:$Q,6)=0,"",VLOOKUP(Table91213[[#This Row],[Date]],'DB Details'!$A:$Q,6))</f>
        <v/>
      </c>
      <c r="G159" s="52">
        <f>IF(VLOOKUP(Table91213[[#This Row],[Date]],'DB Details'!$A:$Q,7)=0,"",VLOOKUP(Table91213[[#This Row],[Date]],'DB Details'!$A:$Q,7))</f>
        <v/>
      </c>
      <c r="H159" s="52">
        <f>IF(VLOOKUP(Table91213[[#This Row],[Date]],'DB Details'!$A:$Q,8)=0,"",VLOOKUP(Table91213[[#This Row],[Date]],'DB Details'!$A:$Q,8))</f>
        <v/>
      </c>
      <c r="I159" s="52">
        <f>IF(VLOOKUP(Table91213[[#This Row],[Date]],'DB Details'!$A:$Q,9)=0,"",VLOOKUP(Table91213[[#This Row],[Date]],'DB Details'!$A:$Q,9))</f>
        <v/>
      </c>
      <c r="J159" s="52">
        <f>IF(VLOOKUP(Table91213[[#This Row],[Date]],'DB Details'!$A:$Q,10)=0,"",VLOOKUP(Table91213[[#This Row],[Date]],'DB Details'!$A:$Q,10))</f>
        <v/>
      </c>
      <c r="K159" s="52">
        <f>IF(VLOOKUP(Table91213[[#This Row],[Date]],'DB Details'!$A:$Q,11)=0,"",VLOOKUP(Table91213[[#This Row],[Date]],'DB Details'!$A:$Q,11))</f>
        <v/>
      </c>
      <c r="L159" s="50">
        <f>IF(VLOOKUP(Table91213[[#This Row],[Date]],'DB Details'!$A:$Q,12)=0,"",VLOOKUP(Table91213[[#This Row],[Date]],'DB Details'!$A:$Q,12))</f>
        <v/>
      </c>
    </row>
    <row r="160">
      <c r="A160" s="53" t="n">
        <v>40299</v>
      </c>
      <c r="B160" s="50">
        <f>IF(VLOOKUP(Table91213[[#This Row],[Date]],'DB Details'!$A:$Q,2)=0,"",VLOOKUP(Table91213[[#This Row],[Date]],'DB Details'!$A:$Q,2))</f>
        <v/>
      </c>
      <c r="C160" s="51">
        <f>IF(VLOOKUP(Table91213[[#This Row],[Date]],'DB Details'!$A:$Q,3)=0,"",VLOOKUP(Table91213[[#This Row],[Date]],'DB Details'!$A:$Q,3))</f>
        <v/>
      </c>
      <c r="D160" s="51">
        <f>IF(VLOOKUP(Table91213[[#This Row],[Date]],'DB Details'!$A:$Q,4)=0,"",VLOOKUP(Table91213[[#This Row],[Date]],'DB Details'!$A:$Q,4))</f>
        <v/>
      </c>
      <c r="E160" s="52">
        <f>IF(VLOOKUP(Table91213[[#This Row],[Date]],'DB Details'!$A:$Q,5)=0,"",VLOOKUP(Table91213[[#This Row],[Date]],'DB Details'!$A:$Q,5))</f>
        <v/>
      </c>
      <c r="F160" s="51">
        <f>IF(VLOOKUP(Table91213[[#This Row],[Date]],'DB Details'!$A:$Q,6)=0,"",VLOOKUP(Table91213[[#This Row],[Date]],'DB Details'!$A:$Q,6))</f>
        <v/>
      </c>
      <c r="G160" s="52">
        <f>IF(VLOOKUP(Table91213[[#This Row],[Date]],'DB Details'!$A:$Q,7)=0,"",VLOOKUP(Table91213[[#This Row],[Date]],'DB Details'!$A:$Q,7))</f>
        <v/>
      </c>
      <c r="H160" s="52">
        <f>IF(VLOOKUP(Table91213[[#This Row],[Date]],'DB Details'!$A:$Q,8)=0,"",VLOOKUP(Table91213[[#This Row],[Date]],'DB Details'!$A:$Q,8))</f>
        <v/>
      </c>
      <c r="I160" s="52">
        <f>IF(VLOOKUP(Table91213[[#This Row],[Date]],'DB Details'!$A:$Q,9)=0,"",VLOOKUP(Table91213[[#This Row],[Date]],'DB Details'!$A:$Q,9))</f>
        <v/>
      </c>
      <c r="J160" s="52">
        <f>IF(VLOOKUP(Table91213[[#This Row],[Date]],'DB Details'!$A:$Q,10)=0,"",VLOOKUP(Table91213[[#This Row],[Date]],'DB Details'!$A:$Q,10))</f>
        <v/>
      </c>
      <c r="K160" s="52">
        <f>IF(VLOOKUP(Table91213[[#This Row],[Date]],'DB Details'!$A:$Q,11)=0,"",VLOOKUP(Table91213[[#This Row],[Date]],'DB Details'!$A:$Q,11))</f>
        <v/>
      </c>
      <c r="L160" s="50">
        <f>IF(VLOOKUP(Table91213[[#This Row],[Date]],'DB Details'!$A:$Q,12)=0,"",VLOOKUP(Table91213[[#This Row],[Date]],'DB Details'!$A:$Q,12))</f>
        <v/>
      </c>
    </row>
    <row r="161">
      <c r="A161" s="53" t="n">
        <v>40330</v>
      </c>
      <c r="B161" s="50">
        <f>IF(VLOOKUP(Table91213[[#This Row],[Date]],'DB Details'!$A:$Q,2)=0,"",VLOOKUP(Table91213[[#This Row],[Date]],'DB Details'!$A:$Q,2))</f>
        <v/>
      </c>
      <c r="C161" s="51">
        <f>IF(VLOOKUP(Table91213[[#This Row],[Date]],'DB Details'!$A:$Q,3)=0,"",VLOOKUP(Table91213[[#This Row],[Date]],'DB Details'!$A:$Q,3))</f>
        <v/>
      </c>
      <c r="D161" s="51">
        <f>IF(VLOOKUP(Table91213[[#This Row],[Date]],'DB Details'!$A:$Q,4)=0,"",VLOOKUP(Table91213[[#This Row],[Date]],'DB Details'!$A:$Q,4))</f>
        <v/>
      </c>
      <c r="E161" s="52">
        <f>IF(VLOOKUP(Table91213[[#This Row],[Date]],'DB Details'!$A:$Q,5)=0,"",VLOOKUP(Table91213[[#This Row],[Date]],'DB Details'!$A:$Q,5))</f>
        <v/>
      </c>
      <c r="F161" s="51">
        <f>IF(VLOOKUP(Table91213[[#This Row],[Date]],'DB Details'!$A:$Q,6)=0,"",VLOOKUP(Table91213[[#This Row],[Date]],'DB Details'!$A:$Q,6))</f>
        <v/>
      </c>
      <c r="G161" s="52">
        <f>IF(VLOOKUP(Table91213[[#This Row],[Date]],'DB Details'!$A:$Q,7)=0,"",VLOOKUP(Table91213[[#This Row],[Date]],'DB Details'!$A:$Q,7))</f>
        <v/>
      </c>
      <c r="H161" s="52">
        <f>IF(VLOOKUP(Table91213[[#This Row],[Date]],'DB Details'!$A:$Q,8)=0,"",VLOOKUP(Table91213[[#This Row],[Date]],'DB Details'!$A:$Q,8))</f>
        <v/>
      </c>
      <c r="I161" s="52">
        <f>IF(VLOOKUP(Table91213[[#This Row],[Date]],'DB Details'!$A:$Q,9)=0,"",VLOOKUP(Table91213[[#This Row],[Date]],'DB Details'!$A:$Q,9))</f>
        <v/>
      </c>
      <c r="J161" s="52">
        <f>IF(VLOOKUP(Table91213[[#This Row],[Date]],'DB Details'!$A:$Q,10)=0,"",VLOOKUP(Table91213[[#This Row],[Date]],'DB Details'!$A:$Q,10))</f>
        <v/>
      </c>
      <c r="K161" s="52">
        <f>IF(VLOOKUP(Table91213[[#This Row],[Date]],'DB Details'!$A:$Q,11)=0,"",VLOOKUP(Table91213[[#This Row],[Date]],'DB Details'!$A:$Q,11))</f>
        <v/>
      </c>
      <c r="L161" s="50">
        <f>IF(VLOOKUP(Table91213[[#This Row],[Date]],'DB Details'!$A:$Q,12)=0,"",VLOOKUP(Table91213[[#This Row],[Date]],'DB Details'!$A:$Q,12))</f>
        <v/>
      </c>
    </row>
    <row r="162">
      <c r="A162" s="53" t="n">
        <v>40360</v>
      </c>
      <c r="B162" s="50">
        <f>IF(VLOOKUP(Table91213[[#This Row],[Date]],'DB Details'!$A:$Q,2)=0,"",VLOOKUP(Table91213[[#This Row],[Date]],'DB Details'!$A:$Q,2))</f>
        <v/>
      </c>
      <c r="C162" s="51">
        <f>IF(VLOOKUP(Table91213[[#This Row],[Date]],'DB Details'!$A:$Q,3)=0,"",VLOOKUP(Table91213[[#This Row],[Date]],'DB Details'!$A:$Q,3))</f>
        <v/>
      </c>
      <c r="D162" s="51">
        <f>IF(VLOOKUP(Table91213[[#This Row],[Date]],'DB Details'!$A:$Q,4)=0,"",VLOOKUP(Table91213[[#This Row],[Date]],'DB Details'!$A:$Q,4))</f>
        <v/>
      </c>
      <c r="E162" s="52">
        <f>IF(VLOOKUP(Table91213[[#This Row],[Date]],'DB Details'!$A:$Q,5)=0,"",VLOOKUP(Table91213[[#This Row],[Date]],'DB Details'!$A:$Q,5))</f>
        <v/>
      </c>
      <c r="F162" s="51">
        <f>IF(VLOOKUP(Table91213[[#This Row],[Date]],'DB Details'!$A:$Q,6)=0,"",VLOOKUP(Table91213[[#This Row],[Date]],'DB Details'!$A:$Q,6))</f>
        <v/>
      </c>
      <c r="G162" s="52">
        <f>IF(VLOOKUP(Table91213[[#This Row],[Date]],'DB Details'!$A:$Q,7)=0,"",VLOOKUP(Table91213[[#This Row],[Date]],'DB Details'!$A:$Q,7))</f>
        <v/>
      </c>
      <c r="H162" s="52">
        <f>IF(VLOOKUP(Table91213[[#This Row],[Date]],'DB Details'!$A:$Q,8)=0,"",VLOOKUP(Table91213[[#This Row],[Date]],'DB Details'!$A:$Q,8))</f>
        <v/>
      </c>
      <c r="I162" s="52">
        <f>IF(VLOOKUP(Table91213[[#This Row],[Date]],'DB Details'!$A:$Q,9)=0,"",VLOOKUP(Table91213[[#This Row],[Date]],'DB Details'!$A:$Q,9))</f>
        <v/>
      </c>
      <c r="J162" s="52">
        <f>IF(VLOOKUP(Table91213[[#This Row],[Date]],'DB Details'!$A:$Q,10)=0,"",VLOOKUP(Table91213[[#This Row],[Date]],'DB Details'!$A:$Q,10))</f>
        <v/>
      </c>
      <c r="K162" s="52">
        <f>IF(VLOOKUP(Table91213[[#This Row],[Date]],'DB Details'!$A:$Q,11)=0,"",VLOOKUP(Table91213[[#This Row],[Date]],'DB Details'!$A:$Q,11))</f>
        <v/>
      </c>
      <c r="L162" s="50">
        <f>IF(VLOOKUP(Table91213[[#This Row],[Date]],'DB Details'!$A:$Q,12)=0,"",VLOOKUP(Table91213[[#This Row],[Date]],'DB Details'!$A:$Q,12))</f>
        <v/>
      </c>
    </row>
    <row r="163">
      <c r="A163" s="53" t="n">
        <v>40391</v>
      </c>
      <c r="B163" s="50">
        <f>IF(VLOOKUP(Table91213[[#This Row],[Date]],'DB Details'!$A:$Q,2)=0,"",VLOOKUP(Table91213[[#This Row],[Date]],'DB Details'!$A:$Q,2))</f>
        <v/>
      </c>
      <c r="C163" s="51">
        <f>IF(VLOOKUP(Table91213[[#This Row],[Date]],'DB Details'!$A:$Q,3)=0,"",VLOOKUP(Table91213[[#This Row],[Date]],'DB Details'!$A:$Q,3))</f>
        <v/>
      </c>
      <c r="D163" s="51">
        <f>IF(VLOOKUP(Table91213[[#This Row],[Date]],'DB Details'!$A:$Q,4)=0,"",VLOOKUP(Table91213[[#This Row],[Date]],'DB Details'!$A:$Q,4))</f>
        <v/>
      </c>
      <c r="E163" s="52">
        <f>IF(VLOOKUP(Table91213[[#This Row],[Date]],'DB Details'!$A:$Q,5)=0,"",VLOOKUP(Table91213[[#This Row],[Date]],'DB Details'!$A:$Q,5))</f>
        <v/>
      </c>
      <c r="F163" s="51">
        <f>IF(VLOOKUP(Table91213[[#This Row],[Date]],'DB Details'!$A:$Q,6)=0,"",VLOOKUP(Table91213[[#This Row],[Date]],'DB Details'!$A:$Q,6))</f>
        <v/>
      </c>
      <c r="G163" s="52">
        <f>IF(VLOOKUP(Table91213[[#This Row],[Date]],'DB Details'!$A:$Q,7)=0,"",VLOOKUP(Table91213[[#This Row],[Date]],'DB Details'!$A:$Q,7))</f>
        <v/>
      </c>
      <c r="H163" s="52">
        <f>IF(VLOOKUP(Table91213[[#This Row],[Date]],'DB Details'!$A:$Q,8)=0,"",VLOOKUP(Table91213[[#This Row],[Date]],'DB Details'!$A:$Q,8))</f>
        <v/>
      </c>
      <c r="I163" s="52">
        <f>IF(VLOOKUP(Table91213[[#This Row],[Date]],'DB Details'!$A:$Q,9)=0,"",VLOOKUP(Table91213[[#This Row],[Date]],'DB Details'!$A:$Q,9))</f>
        <v/>
      </c>
      <c r="J163" s="52">
        <f>IF(VLOOKUP(Table91213[[#This Row],[Date]],'DB Details'!$A:$Q,10)=0,"",VLOOKUP(Table91213[[#This Row],[Date]],'DB Details'!$A:$Q,10))</f>
        <v/>
      </c>
      <c r="K163" s="52">
        <f>IF(VLOOKUP(Table91213[[#This Row],[Date]],'DB Details'!$A:$Q,11)=0,"",VLOOKUP(Table91213[[#This Row],[Date]],'DB Details'!$A:$Q,11))</f>
        <v/>
      </c>
      <c r="L163" s="50">
        <f>IF(VLOOKUP(Table91213[[#This Row],[Date]],'DB Details'!$A:$Q,12)=0,"",VLOOKUP(Table91213[[#This Row],[Date]],'DB Details'!$A:$Q,12))</f>
        <v/>
      </c>
    </row>
    <row r="164">
      <c r="A164" s="53" t="n">
        <v>40422</v>
      </c>
      <c r="B164" s="50">
        <f>IF(VLOOKUP(Table91213[[#This Row],[Date]],'DB Details'!$A:$Q,2)=0,"",VLOOKUP(Table91213[[#This Row],[Date]],'DB Details'!$A:$Q,2))</f>
        <v/>
      </c>
      <c r="C164" s="51">
        <f>IF(VLOOKUP(Table91213[[#This Row],[Date]],'DB Details'!$A:$Q,3)=0,"",VLOOKUP(Table91213[[#This Row],[Date]],'DB Details'!$A:$Q,3))</f>
        <v/>
      </c>
      <c r="D164" s="51">
        <f>IF(VLOOKUP(Table91213[[#This Row],[Date]],'DB Details'!$A:$Q,4)=0,"",VLOOKUP(Table91213[[#This Row],[Date]],'DB Details'!$A:$Q,4))</f>
        <v/>
      </c>
      <c r="E164" s="52">
        <f>IF(VLOOKUP(Table91213[[#This Row],[Date]],'DB Details'!$A:$Q,5)=0,"",VLOOKUP(Table91213[[#This Row],[Date]],'DB Details'!$A:$Q,5))</f>
        <v/>
      </c>
      <c r="F164" s="51">
        <f>IF(VLOOKUP(Table91213[[#This Row],[Date]],'DB Details'!$A:$Q,6)=0,"",VLOOKUP(Table91213[[#This Row],[Date]],'DB Details'!$A:$Q,6))</f>
        <v/>
      </c>
      <c r="G164" s="52">
        <f>IF(VLOOKUP(Table91213[[#This Row],[Date]],'DB Details'!$A:$Q,7)=0,"",VLOOKUP(Table91213[[#This Row],[Date]],'DB Details'!$A:$Q,7))</f>
        <v/>
      </c>
      <c r="H164" s="52">
        <f>IF(VLOOKUP(Table91213[[#This Row],[Date]],'DB Details'!$A:$Q,8)=0,"",VLOOKUP(Table91213[[#This Row],[Date]],'DB Details'!$A:$Q,8))</f>
        <v/>
      </c>
      <c r="I164" s="52">
        <f>IF(VLOOKUP(Table91213[[#This Row],[Date]],'DB Details'!$A:$Q,9)=0,"",VLOOKUP(Table91213[[#This Row],[Date]],'DB Details'!$A:$Q,9))</f>
        <v/>
      </c>
      <c r="J164" s="52">
        <f>IF(VLOOKUP(Table91213[[#This Row],[Date]],'DB Details'!$A:$Q,10)=0,"",VLOOKUP(Table91213[[#This Row],[Date]],'DB Details'!$A:$Q,10))</f>
        <v/>
      </c>
      <c r="K164" s="52">
        <f>IF(VLOOKUP(Table91213[[#This Row],[Date]],'DB Details'!$A:$Q,11)=0,"",VLOOKUP(Table91213[[#This Row],[Date]],'DB Details'!$A:$Q,11))</f>
        <v/>
      </c>
      <c r="L164" s="50">
        <f>IF(VLOOKUP(Table91213[[#This Row],[Date]],'DB Details'!$A:$Q,12)=0,"",VLOOKUP(Table91213[[#This Row],[Date]],'DB Details'!$A:$Q,12))</f>
        <v/>
      </c>
    </row>
    <row r="165">
      <c r="A165" s="53" t="n">
        <v>40452</v>
      </c>
      <c r="B165" s="50">
        <f>IF(VLOOKUP(Table91213[[#This Row],[Date]],'DB Details'!$A:$Q,2)=0,"",VLOOKUP(Table91213[[#This Row],[Date]],'DB Details'!$A:$Q,2))</f>
        <v/>
      </c>
      <c r="C165" s="51">
        <f>IF(VLOOKUP(Table91213[[#This Row],[Date]],'DB Details'!$A:$Q,3)=0,"",VLOOKUP(Table91213[[#This Row],[Date]],'DB Details'!$A:$Q,3))</f>
        <v/>
      </c>
      <c r="D165" s="51">
        <f>IF(VLOOKUP(Table91213[[#This Row],[Date]],'DB Details'!$A:$Q,4)=0,"",VLOOKUP(Table91213[[#This Row],[Date]],'DB Details'!$A:$Q,4))</f>
        <v/>
      </c>
      <c r="E165" s="52">
        <f>IF(VLOOKUP(Table91213[[#This Row],[Date]],'DB Details'!$A:$Q,5)=0,"",VLOOKUP(Table91213[[#This Row],[Date]],'DB Details'!$A:$Q,5))</f>
        <v/>
      </c>
      <c r="F165" s="51">
        <f>IF(VLOOKUP(Table91213[[#This Row],[Date]],'DB Details'!$A:$Q,6)=0,"",VLOOKUP(Table91213[[#This Row],[Date]],'DB Details'!$A:$Q,6))</f>
        <v/>
      </c>
      <c r="G165" s="52">
        <f>IF(VLOOKUP(Table91213[[#This Row],[Date]],'DB Details'!$A:$Q,7)=0,"",VLOOKUP(Table91213[[#This Row],[Date]],'DB Details'!$A:$Q,7))</f>
        <v/>
      </c>
      <c r="H165" s="52">
        <f>IF(VLOOKUP(Table91213[[#This Row],[Date]],'DB Details'!$A:$Q,8)=0,"",VLOOKUP(Table91213[[#This Row],[Date]],'DB Details'!$A:$Q,8))</f>
        <v/>
      </c>
      <c r="I165" s="52">
        <f>IF(VLOOKUP(Table91213[[#This Row],[Date]],'DB Details'!$A:$Q,9)=0,"",VLOOKUP(Table91213[[#This Row],[Date]],'DB Details'!$A:$Q,9))</f>
        <v/>
      </c>
      <c r="J165" s="52">
        <f>IF(VLOOKUP(Table91213[[#This Row],[Date]],'DB Details'!$A:$Q,10)=0,"",VLOOKUP(Table91213[[#This Row],[Date]],'DB Details'!$A:$Q,10))</f>
        <v/>
      </c>
      <c r="K165" s="52">
        <f>IF(VLOOKUP(Table91213[[#This Row],[Date]],'DB Details'!$A:$Q,11)=0,"",VLOOKUP(Table91213[[#This Row],[Date]],'DB Details'!$A:$Q,11))</f>
        <v/>
      </c>
      <c r="L165" s="50">
        <f>IF(VLOOKUP(Table91213[[#This Row],[Date]],'DB Details'!$A:$Q,12)=0,"",VLOOKUP(Table91213[[#This Row],[Date]],'DB Details'!$A:$Q,12))</f>
        <v/>
      </c>
    </row>
    <row r="166">
      <c r="A166" s="53" t="n">
        <v>40483</v>
      </c>
      <c r="B166" s="50">
        <f>IF(VLOOKUP(Table91213[[#This Row],[Date]],'DB Details'!$A:$Q,2)=0,"",VLOOKUP(Table91213[[#This Row],[Date]],'DB Details'!$A:$Q,2))</f>
        <v/>
      </c>
      <c r="C166" s="51">
        <f>IF(VLOOKUP(Table91213[[#This Row],[Date]],'DB Details'!$A:$Q,3)=0,"",VLOOKUP(Table91213[[#This Row],[Date]],'DB Details'!$A:$Q,3))</f>
        <v/>
      </c>
      <c r="D166" s="51">
        <f>IF(VLOOKUP(Table91213[[#This Row],[Date]],'DB Details'!$A:$Q,4)=0,"",VLOOKUP(Table91213[[#This Row],[Date]],'DB Details'!$A:$Q,4))</f>
        <v/>
      </c>
      <c r="E166" s="52">
        <f>IF(VLOOKUP(Table91213[[#This Row],[Date]],'DB Details'!$A:$Q,5)=0,"",VLOOKUP(Table91213[[#This Row],[Date]],'DB Details'!$A:$Q,5))</f>
        <v/>
      </c>
      <c r="F166" s="51">
        <f>IF(VLOOKUP(Table91213[[#This Row],[Date]],'DB Details'!$A:$Q,6)=0,"",VLOOKUP(Table91213[[#This Row],[Date]],'DB Details'!$A:$Q,6))</f>
        <v/>
      </c>
      <c r="G166" s="52">
        <f>IF(VLOOKUP(Table91213[[#This Row],[Date]],'DB Details'!$A:$Q,7)=0,"",VLOOKUP(Table91213[[#This Row],[Date]],'DB Details'!$A:$Q,7))</f>
        <v/>
      </c>
      <c r="H166" s="52">
        <f>IF(VLOOKUP(Table91213[[#This Row],[Date]],'DB Details'!$A:$Q,8)=0,"",VLOOKUP(Table91213[[#This Row],[Date]],'DB Details'!$A:$Q,8))</f>
        <v/>
      </c>
      <c r="I166" s="52">
        <f>IF(VLOOKUP(Table91213[[#This Row],[Date]],'DB Details'!$A:$Q,9)=0,"",VLOOKUP(Table91213[[#This Row],[Date]],'DB Details'!$A:$Q,9))</f>
        <v/>
      </c>
      <c r="J166" s="52">
        <f>IF(VLOOKUP(Table91213[[#This Row],[Date]],'DB Details'!$A:$Q,10)=0,"",VLOOKUP(Table91213[[#This Row],[Date]],'DB Details'!$A:$Q,10))</f>
        <v/>
      </c>
      <c r="K166" s="52">
        <f>IF(VLOOKUP(Table91213[[#This Row],[Date]],'DB Details'!$A:$Q,11)=0,"",VLOOKUP(Table91213[[#This Row],[Date]],'DB Details'!$A:$Q,11))</f>
        <v/>
      </c>
      <c r="L166" s="50">
        <f>IF(VLOOKUP(Table91213[[#This Row],[Date]],'DB Details'!$A:$Q,12)=0,"",VLOOKUP(Table91213[[#This Row],[Date]],'DB Details'!$A:$Q,12))</f>
        <v/>
      </c>
    </row>
    <row r="167">
      <c r="A167" s="53" t="n">
        <v>40513</v>
      </c>
      <c r="B167" s="50">
        <f>IF(VLOOKUP(Table91213[[#This Row],[Date]],'DB Details'!$A:$Q,2)=0,"",VLOOKUP(Table91213[[#This Row],[Date]],'DB Details'!$A:$Q,2))</f>
        <v/>
      </c>
      <c r="C167" s="51">
        <f>IF(VLOOKUP(Table91213[[#This Row],[Date]],'DB Details'!$A:$Q,3)=0,"",VLOOKUP(Table91213[[#This Row],[Date]],'DB Details'!$A:$Q,3))</f>
        <v/>
      </c>
      <c r="D167" s="51">
        <f>IF(VLOOKUP(Table91213[[#This Row],[Date]],'DB Details'!$A:$Q,4)=0,"",VLOOKUP(Table91213[[#This Row],[Date]],'DB Details'!$A:$Q,4))</f>
        <v/>
      </c>
      <c r="E167" s="52">
        <f>IF(VLOOKUP(Table91213[[#This Row],[Date]],'DB Details'!$A:$Q,5)=0,"",VLOOKUP(Table91213[[#This Row],[Date]],'DB Details'!$A:$Q,5))</f>
        <v/>
      </c>
      <c r="F167" s="51">
        <f>IF(VLOOKUP(Table91213[[#This Row],[Date]],'DB Details'!$A:$Q,6)=0,"",VLOOKUP(Table91213[[#This Row],[Date]],'DB Details'!$A:$Q,6))</f>
        <v/>
      </c>
      <c r="G167" s="52">
        <f>IF(VLOOKUP(Table91213[[#This Row],[Date]],'DB Details'!$A:$Q,7)=0,"",VLOOKUP(Table91213[[#This Row],[Date]],'DB Details'!$A:$Q,7))</f>
        <v/>
      </c>
      <c r="H167" s="52">
        <f>IF(VLOOKUP(Table91213[[#This Row],[Date]],'DB Details'!$A:$Q,8)=0,"",VLOOKUP(Table91213[[#This Row],[Date]],'DB Details'!$A:$Q,8))</f>
        <v/>
      </c>
      <c r="I167" s="52">
        <f>IF(VLOOKUP(Table91213[[#This Row],[Date]],'DB Details'!$A:$Q,9)=0,"",VLOOKUP(Table91213[[#This Row],[Date]],'DB Details'!$A:$Q,9))</f>
        <v/>
      </c>
      <c r="J167" s="52">
        <f>IF(VLOOKUP(Table91213[[#This Row],[Date]],'DB Details'!$A:$Q,10)=0,"",VLOOKUP(Table91213[[#This Row],[Date]],'DB Details'!$A:$Q,10))</f>
        <v/>
      </c>
      <c r="K167" s="52">
        <f>IF(VLOOKUP(Table91213[[#This Row],[Date]],'DB Details'!$A:$Q,11)=0,"",VLOOKUP(Table91213[[#This Row],[Date]],'DB Details'!$A:$Q,11))</f>
        <v/>
      </c>
      <c r="L167" s="50">
        <f>IF(VLOOKUP(Table91213[[#This Row],[Date]],'DB Details'!$A:$Q,12)=0,"",VLOOKUP(Table91213[[#This Row],[Date]],'DB Details'!$A:$Q,12))</f>
        <v/>
      </c>
    </row>
    <row r="168">
      <c r="A168" s="53" t="n">
        <v>40544</v>
      </c>
      <c r="B168" s="50">
        <f>IF(VLOOKUP(Table91213[[#This Row],[Date]],'DB Details'!$A:$Q,2)=0,"",VLOOKUP(Table91213[[#This Row],[Date]],'DB Details'!$A:$Q,2))</f>
        <v/>
      </c>
      <c r="C168" s="51">
        <f>IF(VLOOKUP(Table91213[[#This Row],[Date]],'DB Details'!$A:$Q,3)=0,"",VLOOKUP(Table91213[[#This Row],[Date]],'DB Details'!$A:$Q,3))</f>
        <v/>
      </c>
      <c r="D168" s="51">
        <f>IF(VLOOKUP(Table91213[[#This Row],[Date]],'DB Details'!$A:$Q,4)=0,"",VLOOKUP(Table91213[[#This Row],[Date]],'DB Details'!$A:$Q,4))</f>
        <v/>
      </c>
      <c r="E168" s="52">
        <f>IF(VLOOKUP(Table91213[[#This Row],[Date]],'DB Details'!$A:$Q,5)=0,"",VLOOKUP(Table91213[[#This Row],[Date]],'DB Details'!$A:$Q,5))</f>
        <v/>
      </c>
      <c r="F168" s="51">
        <f>IF(VLOOKUP(Table91213[[#This Row],[Date]],'DB Details'!$A:$Q,6)=0,"",VLOOKUP(Table91213[[#This Row],[Date]],'DB Details'!$A:$Q,6))</f>
        <v/>
      </c>
      <c r="G168" s="52">
        <f>IF(VLOOKUP(Table91213[[#This Row],[Date]],'DB Details'!$A:$Q,7)=0,"",VLOOKUP(Table91213[[#This Row],[Date]],'DB Details'!$A:$Q,7))</f>
        <v/>
      </c>
      <c r="H168" s="52">
        <f>IF(VLOOKUP(Table91213[[#This Row],[Date]],'DB Details'!$A:$Q,8)=0,"",VLOOKUP(Table91213[[#This Row],[Date]],'DB Details'!$A:$Q,8))</f>
        <v/>
      </c>
      <c r="I168" s="52">
        <f>IF(VLOOKUP(Table91213[[#This Row],[Date]],'DB Details'!$A:$Q,9)=0,"",VLOOKUP(Table91213[[#This Row],[Date]],'DB Details'!$A:$Q,9))</f>
        <v/>
      </c>
      <c r="J168" s="52">
        <f>IF(VLOOKUP(Table91213[[#This Row],[Date]],'DB Details'!$A:$Q,10)=0,"",VLOOKUP(Table91213[[#This Row],[Date]],'DB Details'!$A:$Q,10))</f>
        <v/>
      </c>
      <c r="K168" s="52">
        <f>IF(VLOOKUP(Table91213[[#This Row],[Date]],'DB Details'!$A:$Q,11)=0,"",VLOOKUP(Table91213[[#This Row],[Date]],'DB Details'!$A:$Q,11))</f>
        <v/>
      </c>
      <c r="L168" s="50">
        <f>IF(VLOOKUP(Table91213[[#This Row],[Date]],'DB Details'!$A:$Q,12)=0,"",VLOOKUP(Table91213[[#This Row],[Date]],'DB Details'!$A:$Q,12))</f>
        <v/>
      </c>
    </row>
    <row r="169">
      <c r="A169" s="53" t="n">
        <v>40575</v>
      </c>
      <c r="B169" s="50">
        <f>IF(VLOOKUP(Table91213[[#This Row],[Date]],'DB Details'!$A:$Q,2)=0,"",VLOOKUP(Table91213[[#This Row],[Date]],'DB Details'!$A:$Q,2))</f>
        <v/>
      </c>
      <c r="C169" s="51">
        <f>IF(VLOOKUP(Table91213[[#This Row],[Date]],'DB Details'!$A:$Q,3)=0,"",VLOOKUP(Table91213[[#This Row],[Date]],'DB Details'!$A:$Q,3))</f>
        <v/>
      </c>
      <c r="D169" s="51">
        <f>IF(VLOOKUP(Table91213[[#This Row],[Date]],'DB Details'!$A:$Q,4)=0,"",VLOOKUP(Table91213[[#This Row],[Date]],'DB Details'!$A:$Q,4))</f>
        <v/>
      </c>
      <c r="E169" s="52">
        <f>IF(VLOOKUP(Table91213[[#This Row],[Date]],'DB Details'!$A:$Q,5)=0,"",VLOOKUP(Table91213[[#This Row],[Date]],'DB Details'!$A:$Q,5))</f>
        <v/>
      </c>
      <c r="F169" s="51">
        <f>IF(VLOOKUP(Table91213[[#This Row],[Date]],'DB Details'!$A:$Q,6)=0,"",VLOOKUP(Table91213[[#This Row],[Date]],'DB Details'!$A:$Q,6))</f>
        <v/>
      </c>
      <c r="G169" s="52">
        <f>IF(VLOOKUP(Table91213[[#This Row],[Date]],'DB Details'!$A:$Q,7)=0,"",VLOOKUP(Table91213[[#This Row],[Date]],'DB Details'!$A:$Q,7))</f>
        <v/>
      </c>
      <c r="H169" s="52">
        <f>IF(VLOOKUP(Table91213[[#This Row],[Date]],'DB Details'!$A:$Q,8)=0,"",VLOOKUP(Table91213[[#This Row],[Date]],'DB Details'!$A:$Q,8))</f>
        <v/>
      </c>
      <c r="I169" s="52">
        <f>IF(VLOOKUP(Table91213[[#This Row],[Date]],'DB Details'!$A:$Q,9)=0,"",VLOOKUP(Table91213[[#This Row],[Date]],'DB Details'!$A:$Q,9))</f>
        <v/>
      </c>
      <c r="J169" s="52">
        <f>IF(VLOOKUP(Table91213[[#This Row],[Date]],'DB Details'!$A:$Q,10)=0,"",VLOOKUP(Table91213[[#This Row],[Date]],'DB Details'!$A:$Q,10))</f>
        <v/>
      </c>
      <c r="K169" s="52">
        <f>IF(VLOOKUP(Table91213[[#This Row],[Date]],'DB Details'!$A:$Q,11)=0,"",VLOOKUP(Table91213[[#This Row],[Date]],'DB Details'!$A:$Q,11))</f>
        <v/>
      </c>
      <c r="L169" s="50">
        <f>IF(VLOOKUP(Table91213[[#This Row],[Date]],'DB Details'!$A:$Q,12)=0,"",VLOOKUP(Table91213[[#This Row],[Date]],'DB Details'!$A:$Q,12))</f>
        <v/>
      </c>
    </row>
    <row r="170">
      <c r="A170" s="53" t="n">
        <v>40603</v>
      </c>
      <c r="B170" s="50">
        <f>IF(VLOOKUP(Table91213[[#This Row],[Date]],'DB Details'!$A:$Q,2)=0,"",VLOOKUP(Table91213[[#This Row],[Date]],'DB Details'!$A:$Q,2))</f>
        <v/>
      </c>
      <c r="C170" s="51">
        <f>IF(VLOOKUP(Table91213[[#This Row],[Date]],'DB Details'!$A:$Q,3)=0,"",VLOOKUP(Table91213[[#This Row],[Date]],'DB Details'!$A:$Q,3))</f>
        <v/>
      </c>
      <c r="D170" s="51">
        <f>IF(VLOOKUP(Table91213[[#This Row],[Date]],'DB Details'!$A:$Q,4)=0,"",VLOOKUP(Table91213[[#This Row],[Date]],'DB Details'!$A:$Q,4))</f>
        <v/>
      </c>
      <c r="E170" s="52">
        <f>IF(VLOOKUP(Table91213[[#This Row],[Date]],'DB Details'!$A:$Q,5)=0,"",VLOOKUP(Table91213[[#This Row],[Date]],'DB Details'!$A:$Q,5))</f>
        <v/>
      </c>
      <c r="F170" s="51">
        <f>IF(VLOOKUP(Table91213[[#This Row],[Date]],'DB Details'!$A:$Q,6)=0,"",VLOOKUP(Table91213[[#This Row],[Date]],'DB Details'!$A:$Q,6))</f>
        <v/>
      </c>
      <c r="G170" s="52">
        <f>IF(VLOOKUP(Table91213[[#This Row],[Date]],'DB Details'!$A:$Q,7)=0,"",VLOOKUP(Table91213[[#This Row],[Date]],'DB Details'!$A:$Q,7))</f>
        <v/>
      </c>
      <c r="H170" s="52">
        <f>IF(VLOOKUP(Table91213[[#This Row],[Date]],'DB Details'!$A:$Q,8)=0,"",VLOOKUP(Table91213[[#This Row],[Date]],'DB Details'!$A:$Q,8))</f>
        <v/>
      </c>
      <c r="I170" s="52">
        <f>IF(VLOOKUP(Table91213[[#This Row],[Date]],'DB Details'!$A:$Q,9)=0,"",VLOOKUP(Table91213[[#This Row],[Date]],'DB Details'!$A:$Q,9))</f>
        <v/>
      </c>
      <c r="J170" s="52">
        <f>IF(VLOOKUP(Table91213[[#This Row],[Date]],'DB Details'!$A:$Q,10)=0,"",VLOOKUP(Table91213[[#This Row],[Date]],'DB Details'!$A:$Q,10))</f>
        <v/>
      </c>
      <c r="K170" s="52">
        <f>IF(VLOOKUP(Table91213[[#This Row],[Date]],'DB Details'!$A:$Q,11)=0,"",VLOOKUP(Table91213[[#This Row],[Date]],'DB Details'!$A:$Q,11))</f>
        <v/>
      </c>
      <c r="L170" s="50">
        <f>IF(VLOOKUP(Table91213[[#This Row],[Date]],'DB Details'!$A:$Q,12)=0,"",VLOOKUP(Table91213[[#This Row],[Date]],'DB Details'!$A:$Q,12))</f>
        <v/>
      </c>
    </row>
    <row r="171">
      <c r="A171" s="53" t="n">
        <v>40634</v>
      </c>
      <c r="B171" s="50">
        <f>IF(VLOOKUP(Table91213[[#This Row],[Date]],'DB Details'!$A:$Q,2)=0,"",VLOOKUP(Table91213[[#This Row],[Date]],'DB Details'!$A:$Q,2))</f>
        <v/>
      </c>
      <c r="C171" s="51">
        <f>IF(VLOOKUP(Table91213[[#This Row],[Date]],'DB Details'!$A:$Q,3)=0,"",VLOOKUP(Table91213[[#This Row],[Date]],'DB Details'!$A:$Q,3))</f>
        <v/>
      </c>
      <c r="D171" s="51">
        <f>IF(VLOOKUP(Table91213[[#This Row],[Date]],'DB Details'!$A:$Q,4)=0,"",VLOOKUP(Table91213[[#This Row],[Date]],'DB Details'!$A:$Q,4))</f>
        <v/>
      </c>
      <c r="E171" s="52">
        <f>IF(VLOOKUP(Table91213[[#This Row],[Date]],'DB Details'!$A:$Q,5)=0,"",VLOOKUP(Table91213[[#This Row],[Date]],'DB Details'!$A:$Q,5))</f>
        <v/>
      </c>
      <c r="F171" s="51">
        <f>IF(VLOOKUP(Table91213[[#This Row],[Date]],'DB Details'!$A:$Q,6)=0,"",VLOOKUP(Table91213[[#This Row],[Date]],'DB Details'!$A:$Q,6))</f>
        <v/>
      </c>
      <c r="G171" s="52">
        <f>IF(VLOOKUP(Table91213[[#This Row],[Date]],'DB Details'!$A:$Q,7)=0,"",VLOOKUP(Table91213[[#This Row],[Date]],'DB Details'!$A:$Q,7))</f>
        <v/>
      </c>
      <c r="H171" s="52">
        <f>IF(VLOOKUP(Table91213[[#This Row],[Date]],'DB Details'!$A:$Q,8)=0,"",VLOOKUP(Table91213[[#This Row],[Date]],'DB Details'!$A:$Q,8))</f>
        <v/>
      </c>
      <c r="I171" s="52">
        <f>IF(VLOOKUP(Table91213[[#This Row],[Date]],'DB Details'!$A:$Q,9)=0,"",VLOOKUP(Table91213[[#This Row],[Date]],'DB Details'!$A:$Q,9))</f>
        <v/>
      </c>
      <c r="J171" s="52">
        <f>IF(VLOOKUP(Table91213[[#This Row],[Date]],'DB Details'!$A:$Q,10)=0,"",VLOOKUP(Table91213[[#This Row],[Date]],'DB Details'!$A:$Q,10))</f>
        <v/>
      </c>
      <c r="K171" s="52">
        <f>IF(VLOOKUP(Table91213[[#This Row],[Date]],'DB Details'!$A:$Q,11)=0,"",VLOOKUP(Table91213[[#This Row],[Date]],'DB Details'!$A:$Q,11))</f>
        <v/>
      </c>
      <c r="L171" s="50">
        <f>IF(VLOOKUP(Table91213[[#This Row],[Date]],'DB Details'!$A:$Q,12)=0,"",VLOOKUP(Table91213[[#This Row],[Date]],'DB Details'!$A:$Q,12))</f>
        <v/>
      </c>
    </row>
    <row r="172">
      <c r="A172" s="53" t="n">
        <v>40664</v>
      </c>
      <c r="B172" s="50">
        <f>IF(VLOOKUP(Table91213[[#This Row],[Date]],'DB Details'!$A:$Q,2)=0,"",VLOOKUP(Table91213[[#This Row],[Date]],'DB Details'!$A:$Q,2))</f>
        <v/>
      </c>
      <c r="C172" s="51">
        <f>IF(VLOOKUP(Table91213[[#This Row],[Date]],'DB Details'!$A:$Q,3)=0,"",VLOOKUP(Table91213[[#This Row],[Date]],'DB Details'!$A:$Q,3))</f>
        <v/>
      </c>
      <c r="D172" s="51">
        <f>IF(VLOOKUP(Table91213[[#This Row],[Date]],'DB Details'!$A:$Q,4)=0,"",VLOOKUP(Table91213[[#This Row],[Date]],'DB Details'!$A:$Q,4))</f>
        <v/>
      </c>
      <c r="E172" s="52">
        <f>IF(VLOOKUP(Table91213[[#This Row],[Date]],'DB Details'!$A:$Q,5)=0,"",VLOOKUP(Table91213[[#This Row],[Date]],'DB Details'!$A:$Q,5))</f>
        <v/>
      </c>
      <c r="F172" s="51">
        <f>IF(VLOOKUP(Table91213[[#This Row],[Date]],'DB Details'!$A:$Q,6)=0,"",VLOOKUP(Table91213[[#This Row],[Date]],'DB Details'!$A:$Q,6))</f>
        <v/>
      </c>
      <c r="G172" s="52">
        <f>IF(VLOOKUP(Table91213[[#This Row],[Date]],'DB Details'!$A:$Q,7)=0,"",VLOOKUP(Table91213[[#This Row],[Date]],'DB Details'!$A:$Q,7))</f>
        <v/>
      </c>
      <c r="H172" s="52">
        <f>IF(VLOOKUP(Table91213[[#This Row],[Date]],'DB Details'!$A:$Q,8)=0,"",VLOOKUP(Table91213[[#This Row],[Date]],'DB Details'!$A:$Q,8))</f>
        <v/>
      </c>
      <c r="I172" s="52">
        <f>IF(VLOOKUP(Table91213[[#This Row],[Date]],'DB Details'!$A:$Q,9)=0,"",VLOOKUP(Table91213[[#This Row],[Date]],'DB Details'!$A:$Q,9))</f>
        <v/>
      </c>
      <c r="J172" s="52">
        <f>IF(VLOOKUP(Table91213[[#This Row],[Date]],'DB Details'!$A:$Q,10)=0,"",VLOOKUP(Table91213[[#This Row],[Date]],'DB Details'!$A:$Q,10))</f>
        <v/>
      </c>
      <c r="K172" s="52">
        <f>IF(VLOOKUP(Table91213[[#This Row],[Date]],'DB Details'!$A:$Q,11)=0,"",VLOOKUP(Table91213[[#This Row],[Date]],'DB Details'!$A:$Q,11))</f>
        <v/>
      </c>
      <c r="L172" s="50">
        <f>IF(VLOOKUP(Table91213[[#This Row],[Date]],'DB Details'!$A:$Q,12)=0,"",VLOOKUP(Table91213[[#This Row],[Date]],'DB Details'!$A:$Q,12))</f>
        <v/>
      </c>
    </row>
    <row r="173">
      <c r="A173" s="53" t="n">
        <v>40695</v>
      </c>
      <c r="B173" s="50">
        <f>IF(VLOOKUP(Table91213[[#This Row],[Date]],'DB Details'!$A:$Q,2)=0,"",VLOOKUP(Table91213[[#This Row],[Date]],'DB Details'!$A:$Q,2))</f>
        <v/>
      </c>
      <c r="C173" s="51">
        <f>IF(VLOOKUP(Table91213[[#This Row],[Date]],'DB Details'!$A:$Q,3)=0,"",VLOOKUP(Table91213[[#This Row],[Date]],'DB Details'!$A:$Q,3))</f>
        <v/>
      </c>
      <c r="D173" s="51">
        <f>IF(VLOOKUP(Table91213[[#This Row],[Date]],'DB Details'!$A:$Q,4)=0,"",VLOOKUP(Table91213[[#This Row],[Date]],'DB Details'!$A:$Q,4))</f>
        <v/>
      </c>
      <c r="E173" s="52">
        <f>IF(VLOOKUP(Table91213[[#This Row],[Date]],'DB Details'!$A:$Q,5)=0,"",VLOOKUP(Table91213[[#This Row],[Date]],'DB Details'!$A:$Q,5))</f>
        <v/>
      </c>
      <c r="F173" s="51">
        <f>IF(VLOOKUP(Table91213[[#This Row],[Date]],'DB Details'!$A:$Q,6)=0,"",VLOOKUP(Table91213[[#This Row],[Date]],'DB Details'!$A:$Q,6))</f>
        <v/>
      </c>
      <c r="G173" s="52">
        <f>IF(VLOOKUP(Table91213[[#This Row],[Date]],'DB Details'!$A:$Q,7)=0,"",VLOOKUP(Table91213[[#This Row],[Date]],'DB Details'!$A:$Q,7))</f>
        <v/>
      </c>
      <c r="H173" s="52">
        <f>IF(VLOOKUP(Table91213[[#This Row],[Date]],'DB Details'!$A:$Q,8)=0,"",VLOOKUP(Table91213[[#This Row],[Date]],'DB Details'!$A:$Q,8))</f>
        <v/>
      </c>
      <c r="I173" s="52">
        <f>IF(VLOOKUP(Table91213[[#This Row],[Date]],'DB Details'!$A:$Q,9)=0,"",VLOOKUP(Table91213[[#This Row],[Date]],'DB Details'!$A:$Q,9))</f>
        <v/>
      </c>
      <c r="J173" s="52">
        <f>IF(VLOOKUP(Table91213[[#This Row],[Date]],'DB Details'!$A:$Q,10)=0,"",VLOOKUP(Table91213[[#This Row],[Date]],'DB Details'!$A:$Q,10))</f>
        <v/>
      </c>
      <c r="K173" s="52">
        <f>IF(VLOOKUP(Table91213[[#This Row],[Date]],'DB Details'!$A:$Q,11)=0,"",VLOOKUP(Table91213[[#This Row],[Date]],'DB Details'!$A:$Q,11))</f>
        <v/>
      </c>
      <c r="L173" s="50">
        <f>IF(VLOOKUP(Table91213[[#This Row],[Date]],'DB Details'!$A:$Q,12)=0,"",VLOOKUP(Table91213[[#This Row],[Date]],'DB Details'!$A:$Q,12))</f>
        <v/>
      </c>
    </row>
    <row r="174">
      <c r="A174" s="53" t="n">
        <v>40725</v>
      </c>
      <c r="B174" s="50">
        <f>IF(VLOOKUP(Table91213[[#This Row],[Date]],'DB Details'!$A:$Q,2)=0,"",VLOOKUP(Table91213[[#This Row],[Date]],'DB Details'!$A:$Q,2))</f>
        <v/>
      </c>
      <c r="C174" s="51">
        <f>IF(VLOOKUP(Table91213[[#This Row],[Date]],'DB Details'!$A:$Q,3)=0,"",VLOOKUP(Table91213[[#This Row],[Date]],'DB Details'!$A:$Q,3))</f>
        <v/>
      </c>
      <c r="D174" s="51">
        <f>IF(VLOOKUP(Table91213[[#This Row],[Date]],'DB Details'!$A:$Q,4)=0,"",VLOOKUP(Table91213[[#This Row],[Date]],'DB Details'!$A:$Q,4))</f>
        <v/>
      </c>
      <c r="E174" s="52">
        <f>IF(VLOOKUP(Table91213[[#This Row],[Date]],'DB Details'!$A:$Q,5)=0,"",VLOOKUP(Table91213[[#This Row],[Date]],'DB Details'!$A:$Q,5))</f>
        <v/>
      </c>
      <c r="F174" s="51">
        <f>IF(VLOOKUP(Table91213[[#This Row],[Date]],'DB Details'!$A:$Q,6)=0,"",VLOOKUP(Table91213[[#This Row],[Date]],'DB Details'!$A:$Q,6))</f>
        <v/>
      </c>
      <c r="G174" s="52">
        <f>IF(VLOOKUP(Table91213[[#This Row],[Date]],'DB Details'!$A:$Q,7)=0,"",VLOOKUP(Table91213[[#This Row],[Date]],'DB Details'!$A:$Q,7))</f>
        <v/>
      </c>
      <c r="H174" s="52">
        <f>IF(VLOOKUP(Table91213[[#This Row],[Date]],'DB Details'!$A:$Q,8)=0,"",VLOOKUP(Table91213[[#This Row],[Date]],'DB Details'!$A:$Q,8))</f>
        <v/>
      </c>
      <c r="I174" s="52">
        <f>IF(VLOOKUP(Table91213[[#This Row],[Date]],'DB Details'!$A:$Q,9)=0,"",VLOOKUP(Table91213[[#This Row],[Date]],'DB Details'!$A:$Q,9))</f>
        <v/>
      </c>
      <c r="J174" s="52">
        <f>IF(VLOOKUP(Table91213[[#This Row],[Date]],'DB Details'!$A:$Q,10)=0,"",VLOOKUP(Table91213[[#This Row],[Date]],'DB Details'!$A:$Q,10))</f>
        <v/>
      </c>
      <c r="K174" s="52">
        <f>IF(VLOOKUP(Table91213[[#This Row],[Date]],'DB Details'!$A:$Q,11)=0,"",VLOOKUP(Table91213[[#This Row],[Date]],'DB Details'!$A:$Q,11))</f>
        <v/>
      </c>
      <c r="L174" s="50">
        <f>IF(VLOOKUP(Table91213[[#This Row],[Date]],'DB Details'!$A:$Q,12)=0,"",VLOOKUP(Table91213[[#This Row],[Date]],'DB Details'!$A:$Q,12))</f>
        <v/>
      </c>
    </row>
    <row r="175">
      <c r="A175" s="53" t="n">
        <v>40756</v>
      </c>
      <c r="B175" s="50">
        <f>IF(VLOOKUP(Table91213[[#This Row],[Date]],'DB Details'!$A:$Q,2)=0,"",VLOOKUP(Table91213[[#This Row],[Date]],'DB Details'!$A:$Q,2))</f>
        <v/>
      </c>
      <c r="C175" s="51">
        <f>IF(VLOOKUP(Table91213[[#This Row],[Date]],'DB Details'!$A:$Q,3)=0,"",VLOOKUP(Table91213[[#This Row],[Date]],'DB Details'!$A:$Q,3))</f>
        <v/>
      </c>
      <c r="D175" s="51">
        <f>IF(VLOOKUP(Table91213[[#This Row],[Date]],'DB Details'!$A:$Q,4)=0,"",VLOOKUP(Table91213[[#This Row],[Date]],'DB Details'!$A:$Q,4))</f>
        <v/>
      </c>
      <c r="E175" s="52">
        <f>IF(VLOOKUP(Table91213[[#This Row],[Date]],'DB Details'!$A:$Q,5)=0,"",VLOOKUP(Table91213[[#This Row],[Date]],'DB Details'!$A:$Q,5))</f>
        <v/>
      </c>
      <c r="F175" s="51">
        <f>IF(VLOOKUP(Table91213[[#This Row],[Date]],'DB Details'!$A:$Q,6)=0,"",VLOOKUP(Table91213[[#This Row],[Date]],'DB Details'!$A:$Q,6))</f>
        <v/>
      </c>
      <c r="G175" s="52">
        <f>IF(VLOOKUP(Table91213[[#This Row],[Date]],'DB Details'!$A:$Q,7)=0,"",VLOOKUP(Table91213[[#This Row],[Date]],'DB Details'!$A:$Q,7))</f>
        <v/>
      </c>
      <c r="H175" s="52">
        <f>IF(VLOOKUP(Table91213[[#This Row],[Date]],'DB Details'!$A:$Q,8)=0,"",VLOOKUP(Table91213[[#This Row],[Date]],'DB Details'!$A:$Q,8))</f>
        <v/>
      </c>
      <c r="I175" s="52">
        <f>IF(VLOOKUP(Table91213[[#This Row],[Date]],'DB Details'!$A:$Q,9)=0,"",VLOOKUP(Table91213[[#This Row],[Date]],'DB Details'!$A:$Q,9))</f>
        <v/>
      </c>
      <c r="J175" s="52">
        <f>IF(VLOOKUP(Table91213[[#This Row],[Date]],'DB Details'!$A:$Q,10)=0,"",VLOOKUP(Table91213[[#This Row],[Date]],'DB Details'!$A:$Q,10))</f>
        <v/>
      </c>
      <c r="K175" s="52">
        <f>IF(VLOOKUP(Table91213[[#This Row],[Date]],'DB Details'!$A:$Q,11)=0,"",VLOOKUP(Table91213[[#This Row],[Date]],'DB Details'!$A:$Q,11))</f>
        <v/>
      </c>
      <c r="L175" s="50">
        <f>IF(VLOOKUP(Table91213[[#This Row],[Date]],'DB Details'!$A:$Q,12)=0,"",VLOOKUP(Table91213[[#This Row],[Date]],'DB Details'!$A:$Q,12))</f>
        <v/>
      </c>
    </row>
    <row r="176">
      <c r="A176" s="53" t="n">
        <v>40787</v>
      </c>
      <c r="B176" s="50">
        <f>IF(VLOOKUP(Table91213[[#This Row],[Date]],'DB Details'!$A:$Q,2)=0,"",VLOOKUP(Table91213[[#This Row],[Date]],'DB Details'!$A:$Q,2))</f>
        <v/>
      </c>
      <c r="C176" s="51">
        <f>IF(VLOOKUP(Table91213[[#This Row],[Date]],'DB Details'!$A:$Q,3)=0,"",VLOOKUP(Table91213[[#This Row],[Date]],'DB Details'!$A:$Q,3))</f>
        <v/>
      </c>
      <c r="D176" s="51">
        <f>IF(VLOOKUP(Table91213[[#This Row],[Date]],'DB Details'!$A:$Q,4)=0,"",VLOOKUP(Table91213[[#This Row],[Date]],'DB Details'!$A:$Q,4))</f>
        <v/>
      </c>
      <c r="E176" s="52">
        <f>IF(VLOOKUP(Table91213[[#This Row],[Date]],'DB Details'!$A:$Q,5)=0,"",VLOOKUP(Table91213[[#This Row],[Date]],'DB Details'!$A:$Q,5))</f>
        <v/>
      </c>
      <c r="F176" s="51">
        <f>IF(VLOOKUP(Table91213[[#This Row],[Date]],'DB Details'!$A:$Q,6)=0,"",VLOOKUP(Table91213[[#This Row],[Date]],'DB Details'!$A:$Q,6))</f>
        <v/>
      </c>
      <c r="G176" s="52">
        <f>IF(VLOOKUP(Table91213[[#This Row],[Date]],'DB Details'!$A:$Q,7)=0,"",VLOOKUP(Table91213[[#This Row],[Date]],'DB Details'!$A:$Q,7))</f>
        <v/>
      </c>
      <c r="H176" s="52">
        <f>IF(VLOOKUP(Table91213[[#This Row],[Date]],'DB Details'!$A:$Q,8)=0,"",VLOOKUP(Table91213[[#This Row],[Date]],'DB Details'!$A:$Q,8))</f>
        <v/>
      </c>
      <c r="I176" s="52">
        <f>IF(VLOOKUP(Table91213[[#This Row],[Date]],'DB Details'!$A:$Q,9)=0,"",VLOOKUP(Table91213[[#This Row],[Date]],'DB Details'!$A:$Q,9))</f>
        <v/>
      </c>
      <c r="J176" s="52">
        <f>IF(VLOOKUP(Table91213[[#This Row],[Date]],'DB Details'!$A:$Q,10)=0,"",VLOOKUP(Table91213[[#This Row],[Date]],'DB Details'!$A:$Q,10))</f>
        <v/>
      </c>
      <c r="K176" s="52">
        <f>IF(VLOOKUP(Table91213[[#This Row],[Date]],'DB Details'!$A:$Q,11)=0,"",VLOOKUP(Table91213[[#This Row],[Date]],'DB Details'!$A:$Q,11))</f>
        <v/>
      </c>
      <c r="L176" s="50">
        <f>IF(VLOOKUP(Table91213[[#This Row],[Date]],'DB Details'!$A:$Q,12)=0,"",VLOOKUP(Table91213[[#This Row],[Date]],'DB Details'!$A:$Q,12))</f>
        <v/>
      </c>
    </row>
    <row r="177">
      <c r="A177" s="53" t="n">
        <v>40817</v>
      </c>
      <c r="B177" s="50">
        <f>IF(VLOOKUP(Table91213[[#This Row],[Date]],'DB Details'!$A:$Q,2)=0,"",VLOOKUP(Table91213[[#This Row],[Date]],'DB Details'!$A:$Q,2))</f>
        <v/>
      </c>
      <c r="C177" s="51">
        <f>IF(VLOOKUP(Table91213[[#This Row],[Date]],'DB Details'!$A:$Q,3)=0,"",VLOOKUP(Table91213[[#This Row],[Date]],'DB Details'!$A:$Q,3))</f>
        <v/>
      </c>
      <c r="D177" s="51">
        <f>IF(VLOOKUP(Table91213[[#This Row],[Date]],'DB Details'!$A:$Q,4)=0,"",VLOOKUP(Table91213[[#This Row],[Date]],'DB Details'!$A:$Q,4))</f>
        <v/>
      </c>
      <c r="E177" s="52">
        <f>IF(VLOOKUP(Table91213[[#This Row],[Date]],'DB Details'!$A:$Q,5)=0,"",VLOOKUP(Table91213[[#This Row],[Date]],'DB Details'!$A:$Q,5))</f>
        <v/>
      </c>
      <c r="F177" s="51">
        <f>IF(VLOOKUP(Table91213[[#This Row],[Date]],'DB Details'!$A:$Q,6)=0,"",VLOOKUP(Table91213[[#This Row],[Date]],'DB Details'!$A:$Q,6))</f>
        <v/>
      </c>
      <c r="G177" s="52">
        <f>IF(VLOOKUP(Table91213[[#This Row],[Date]],'DB Details'!$A:$Q,7)=0,"",VLOOKUP(Table91213[[#This Row],[Date]],'DB Details'!$A:$Q,7))</f>
        <v/>
      </c>
      <c r="H177" s="52">
        <f>IF(VLOOKUP(Table91213[[#This Row],[Date]],'DB Details'!$A:$Q,8)=0,"",VLOOKUP(Table91213[[#This Row],[Date]],'DB Details'!$A:$Q,8))</f>
        <v/>
      </c>
      <c r="I177" s="52">
        <f>IF(VLOOKUP(Table91213[[#This Row],[Date]],'DB Details'!$A:$Q,9)=0,"",VLOOKUP(Table91213[[#This Row],[Date]],'DB Details'!$A:$Q,9))</f>
        <v/>
      </c>
      <c r="J177" s="52">
        <f>IF(VLOOKUP(Table91213[[#This Row],[Date]],'DB Details'!$A:$Q,10)=0,"",VLOOKUP(Table91213[[#This Row],[Date]],'DB Details'!$A:$Q,10))</f>
        <v/>
      </c>
      <c r="K177" s="52">
        <f>IF(VLOOKUP(Table91213[[#This Row],[Date]],'DB Details'!$A:$Q,11)=0,"",VLOOKUP(Table91213[[#This Row],[Date]],'DB Details'!$A:$Q,11))</f>
        <v/>
      </c>
      <c r="L177" s="50">
        <f>IF(VLOOKUP(Table91213[[#This Row],[Date]],'DB Details'!$A:$Q,12)=0,"",VLOOKUP(Table91213[[#This Row],[Date]],'DB Details'!$A:$Q,12))</f>
        <v/>
      </c>
    </row>
    <row r="178">
      <c r="A178" s="53" t="n">
        <v>40848</v>
      </c>
      <c r="B178" s="50">
        <f>IF(VLOOKUP(Table91213[[#This Row],[Date]],'DB Details'!$A:$Q,2)=0,"",VLOOKUP(Table91213[[#This Row],[Date]],'DB Details'!$A:$Q,2))</f>
        <v/>
      </c>
      <c r="C178" s="51">
        <f>IF(VLOOKUP(Table91213[[#This Row],[Date]],'DB Details'!$A:$Q,3)=0,"",VLOOKUP(Table91213[[#This Row],[Date]],'DB Details'!$A:$Q,3))</f>
        <v/>
      </c>
      <c r="D178" s="51">
        <f>IF(VLOOKUP(Table91213[[#This Row],[Date]],'DB Details'!$A:$Q,4)=0,"",VLOOKUP(Table91213[[#This Row],[Date]],'DB Details'!$A:$Q,4))</f>
        <v/>
      </c>
      <c r="E178" s="52">
        <f>IF(VLOOKUP(Table91213[[#This Row],[Date]],'DB Details'!$A:$Q,5)=0,"",VLOOKUP(Table91213[[#This Row],[Date]],'DB Details'!$A:$Q,5))</f>
        <v/>
      </c>
      <c r="F178" s="51">
        <f>IF(VLOOKUP(Table91213[[#This Row],[Date]],'DB Details'!$A:$Q,6)=0,"",VLOOKUP(Table91213[[#This Row],[Date]],'DB Details'!$A:$Q,6))</f>
        <v/>
      </c>
      <c r="G178" s="52">
        <f>IF(VLOOKUP(Table91213[[#This Row],[Date]],'DB Details'!$A:$Q,7)=0,"",VLOOKUP(Table91213[[#This Row],[Date]],'DB Details'!$A:$Q,7))</f>
        <v/>
      </c>
      <c r="H178" s="52">
        <f>IF(VLOOKUP(Table91213[[#This Row],[Date]],'DB Details'!$A:$Q,8)=0,"",VLOOKUP(Table91213[[#This Row],[Date]],'DB Details'!$A:$Q,8))</f>
        <v/>
      </c>
      <c r="I178" s="52">
        <f>IF(VLOOKUP(Table91213[[#This Row],[Date]],'DB Details'!$A:$Q,9)=0,"",VLOOKUP(Table91213[[#This Row],[Date]],'DB Details'!$A:$Q,9))</f>
        <v/>
      </c>
      <c r="J178" s="52">
        <f>IF(VLOOKUP(Table91213[[#This Row],[Date]],'DB Details'!$A:$Q,10)=0,"",VLOOKUP(Table91213[[#This Row],[Date]],'DB Details'!$A:$Q,10))</f>
        <v/>
      </c>
      <c r="K178" s="52">
        <f>IF(VLOOKUP(Table91213[[#This Row],[Date]],'DB Details'!$A:$Q,11)=0,"",VLOOKUP(Table91213[[#This Row],[Date]],'DB Details'!$A:$Q,11))</f>
        <v/>
      </c>
      <c r="L178" s="50">
        <f>IF(VLOOKUP(Table91213[[#This Row],[Date]],'DB Details'!$A:$Q,12)=0,"",VLOOKUP(Table91213[[#This Row],[Date]],'DB Details'!$A:$Q,12))</f>
        <v/>
      </c>
    </row>
    <row r="179">
      <c r="A179" s="53" t="n">
        <v>40878</v>
      </c>
      <c r="B179" s="50">
        <f>IF(VLOOKUP(Table91213[[#This Row],[Date]],'DB Details'!$A:$Q,2)=0,"",VLOOKUP(Table91213[[#This Row],[Date]],'DB Details'!$A:$Q,2))</f>
        <v/>
      </c>
      <c r="C179" s="51">
        <f>IF(VLOOKUP(Table91213[[#This Row],[Date]],'DB Details'!$A:$Q,3)=0,"",VLOOKUP(Table91213[[#This Row],[Date]],'DB Details'!$A:$Q,3))</f>
        <v/>
      </c>
      <c r="D179" s="51">
        <f>IF(VLOOKUP(Table91213[[#This Row],[Date]],'DB Details'!$A:$Q,4)=0,"",VLOOKUP(Table91213[[#This Row],[Date]],'DB Details'!$A:$Q,4))</f>
        <v/>
      </c>
      <c r="E179" s="52">
        <f>IF(VLOOKUP(Table91213[[#This Row],[Date]],'DB Details'!$A:$Q,5)=0,"",VLOOKUP(Table91213[[#This Row],[Date]],'DB Details'!$A:$Q,5))</f>
        <v/>
      </c>
      <c r="F179" s="51">
        <f>IF(VLOOKUP(Table91213[[#This Row],[Date]],'DB Details'!$A:$Q,6)=0,"",VLOOKUP(Table91213[[#This Row],[Date]],'DB Details'!$A:$Q,6))</f>
        <v/>
      </c>
      <c r="G179" s="52">
        <f>IF(VLOOKUP(Table91213[[#This Row],[Date]],'DB Details'!$A:$Q,7)=0,"",VLOOKUP(Table91213[[#This Row],[Date]],'DB Details'!$A:$Q,7))</f>
        <v/>
      </c>
      <c r="H179" s="52">
        <f>IF(VLOOKUP(Table91213[[#This Row],[Date]],'DB Details'!$A:$Q,8)=0,"",VLOOKUP(Table91213[[#This Row],[Date]],'DB Details'!$A:$Q,8))</f>
        <v/>
      </c>
      <c r="I179" s="52">
        <f>IF(VLOOKUP(Table91213[[#This Row],[Date]],'DB Details'!$A:$Q,9)=0,"",VLOOKUP(Table91213[[#This Row],[Date]],'DB Details'!$A:$Q,9))</f>
        <v/>
      </c>
      <c r="J179" s="52">
        <f>IF(VLOOKUP(Table91213[[#This Row],[Date]],'DB Details'!$A:$Q,10)=0,"",VLOOKUP(Table91213[[#This Row],[Date]],'DB Details'!$A:$Q,10))</f>
        <v/>
      </c>
      <c r="K179" s="52">
        <f>IF(VLOOKUP(Table91213[[#This Row],[Date]],'DB Details'!$A:$Q,11)=0,"",VLOOKUP(Table91213[[#This Row],[Date]],'DB Details'!$A:$Q,11))</f>
        <v/>
      </c>
      <c r="L179" s="50">
        <f>IF(VLOOKUP(Table91213[[#This Row],[Date]],'DB Details'!$A:$Q,12)=0,"",VLOOKUP(Table91213[[#This Row],[Date]],'DB Details'!$A:$Q,12))</f>
        <v/>
      </c>
    </row>
    <row r="180">
      <c r="A180" s="53" t="n">
        <v>40909</v>
      </c>
      <c r="B180" s="50">
        <f>IF(VLOOKUP(Table91213[[#This Row],[Date]],'DB Details'!$A:$Q,2)=0,"",VLOOKUP(Table91213[[#This Row],[Date]],'DB Details'!$A:$Q,2))</f>
        <v/>
      </c>
      <c r="C180" s="51">
        <f>IF(VLOOKUP(Table91213[[#This Row],[Date]],'DB Details'!$A:$Q,3)=0,"",VLOOKUP(Table91213[[#This Row],[Date]],'DB Details'!$A:$Q,3))</f>
        <v/>
      </c>
      <c r="D180" s="51">
        <f>IF(VLOOKUP(Table91213[[#This Row],[Date]],'DB Details'!$A:$Q,4)=0,"",VLOOKUP(Table91213[[#This Row],[Date]],'DB Details'!$A:$Q,4))</f>
        <v/>
      </c>
      <c r="E180" s="52">
        <f>IF(VLOOKUP(Table91213[[#This Row],[Date]],'DB Details'!$A:$Q,5)=0,"",VLOOKUP(Table91213[[#This Row],[Date]],'DB Details'!$A:$Q,5))</f>
        <v/>
      </c>
      <c r="F180" s="51">
        <f>IF(VLOOKUP(Table91213[[#This Row],[Date]],'DB Details'!$A:$Q,6)=0,"",VLOOKUP(Table91213[[#This Row],[Date]],'DB Details'!$A:$Q,6))</f>
        <v/>
      </c>
      <c r="G180" s="52">
        <f>IF(VLOOKUP(Table91213[[#This Row],[Date]],'DB Details'!$A:$Q,7)=0,"",VLOOKUP(Table91213[[#This Row],[Date]],'DB Details'!$A:$Q,7))</f>
        <v/>
      </c>
      <c r="H180" s="52">
        <f>IF(VLOOKUP(Table91213[[#This Row],[Date]],'DB Details'!$A:$Q,8)=0,"",VLOOKUP(Table91213[[#This Row],[Date]],'DB Details'!$A:$Q,8))</f>
        <v/>
      </c>
      <c r="I180" s="52">
        <f>IF(VLOOKUP(Table91213[[#This Row],[Date]],'DB Details'!$A:$Q,9)=0,"",VLOOKUP(Table91213[[#This Row],[Date]],'DB Details'!$A:$Q,9))</f>
        <v/>
      </c>
      <c r="J180" s="52">
        <f>IF(VLOOKUP(Table91213[[#This Row],[Date]],'DB Details'!$A:$Q,10)=0,"",VLOOKUP(Table91213[[#This Row],[Date]],'DB Details'!$A:$Q,10))</f>
        <v/>
      </c>
      <c r="K180" s="52">
        <f>IF(VLOOKUP(Table91213[[#This Row],[Date]],'DB Details'!$A:$Q,11)=0,"",VLOOKUP(Table91213[[#This Row],[Date]],'DB Details'!$A:$Q,11))</f>
        <v/>
      </c>
      <c r="L180" s="50">
        <f>IF(VLOOKUP(Table91213[[#This Row],[Date]],'DB Details'!$A:$Q,12)=0,"",VLOOKUP(Table91213[[#This Row],[Date]],'DB Details'!$A:$Q,12))</f>
        <v/>
      </c>
    </row>
    <row r="181">
      <c r="A181" s="53" t="n">
        <v>40940</v>
      </c>
      <c r="B181" s="50">
        <f>IF(VLOOKUP(Table91213[[#This Row],[Date]],'DB Details'!$A:$Q,2)=0,"",VLOOKUP(Table91213[[#This Row],[Date]],'DB Details'!$A:$Q,2))</f>
        <v/>
      </c>
      <c r="C181" s="51">
        <f>IF(VLOOKUP(Table91213[[#This Row],[Date]],'DB Details'!$A:$Q,3)=0,"",VLOOKUP(Table91213[[#This Row],[Date]],'DB Details'!$A:$Q,3))</f>
        <v/>
      </c>
      <c r="D181" s="51">
        <f>IF(VLOOKUP(Table91213[[#This Row],[Date]],'DB Details'!$A:$Q,4)=0,"",VLOOKUP(Table91213[[#This Row],[Date]],'DB Details'!$A:$Q,4))</f>
        <v/>
      </c>
      <c r="E181" s="52">
        <f>IF(VLOOKUP(Table91213[[#This Row],[Date]],'DB Details'!$A:$Q,5)=0,"",VLOOKUP(Table91213[[#This Row],[Date]],'DB Details'!$A:$Q,5))</f>
        <v/>
      </c>
      <c r="F181" s="51">
        <f>IF(VLOOKUP(Table91213[[#This Row],[Date]],'DB Details'!$A:$Q,6)=0,"",VLOOKUP(Table91213[[#This Row],[Date]],'DB Details'!$A:$Q,6))</f>
        <v/>
      </c>
      <c r="G181" s="52">
        <f>IF(VLOOKUP(Table91213[[#This Row],[Date]],'DB Details'!$A:$Q,7)=0,"",VLOOKUP(Table91213[[#This Row],[Date]],'DB Details'!$A:$Q,7))</f>
        <v/>
      </c>
      <c r="H181" s="52">
        <f>IF(VLOOKUP(Table91213[[#This Row],[Date]],'DB Details'!$A:$Q,8)=0,"",VLOOKUP(Table91213[[#This Row],[Date]],'DB Details'!$A:$Q,8))</f>
        <v/>
      </c>
      <c r="I181" s="52">
        <f>IF(VLOOKUP(Table91213[[#This Row],[Date]],'DB Details'!$A:$Q,9)=0,"",VLOOKUP(Table91213[[#This Row],[Date]],'DB Details'!$A:$Q,9))</f>
        <v/>
      </c>
      <c r="J181" s="52">
        <f>IF(VLOOKUP(Table91213[[#This Row],[Date]],'DB Details'!$A:$Q,10)=0,"",VLOOKUP(Table91213[[#This Row],[Date]],'DB Details'!$A:$Q,10))</f>
        <v/>
      </c>
      <c r="K181" s="52">
        <f>IF(VLOOKUP(Table91213[[#This Row],[Date]],'DB Details'!$A:$Q,11)=0,"",VLOOKUP(Table91213[[#This Row],[Date]],'DB Details'!$A:$Q,11))</f>
        <v/>
      </c>
      <c r="L181" s="50">
        <f>IF(VLOOKUP(Table91213[[#This Row],[Date]],'DB Details'!$A:$Q,12)=0,"",VLOOKUP(Table91213[[#This Row],[Date]],'DB Details'!$A:$Q,12))</f>
        <v/>
      </c>
    </row>
    <row r="182">
      <c r="A182" s="53" t="n">
        <v>40969</v>
      </c>
      <c r="B182" s="50">
        <f>IF(VLOOKUP(Table91213[[#This Row],[Date]],'DB Details'!$A:$Q,2)=0,"",VLOOKUP(Table91213[[#This Row],[Date]],'DB Details'!$A:$Q,2))</f>
        <v/>
      </c>
      <c r="C182" s="51">
        <f>IF(VLOOKUP(Table91213[[#This Row],[Date]],'DB Details'!$A:$Q,3)=0,"",VLOOKUP(Table91213[[#This Row],[Date]],'DB Details'!$A:$Q,3))</f>
        <v/>
      </c>
      <c r="D182" s="51">
        <f>IF(VLOOKUP(Table91213[[#This Row],[Date]],'DB Details'!$A:$Q,4)=0,"",VLOOKUP(Table91213[[#This Row],[Date]],'DB Details'!$A:$Q,4))</f>
        <v/>
      </c>
      <c r="E182" s="52">
        <f>IF(VLOOKUP(Table91213[[#This Row],[Date]],'DB Details'!$A:$Q,5)=0,"",VLOOKUP(Table91213[[#This Row],[Date]],'DB Details'!$A:$Q,5))</f>
        <v/>
      </c>
      <c r="F182" s="51">
        <f>IF(VLOOKUP(Table91213[[#This Row],[Date]],'DB Details'!$A:$Q,6)=0,"",VLOOKUP(Table91213[[#This Row],[Date]],'DB Details'!$A:$Q,6))</f>
        <v/>
      </c>
      <c r="G182" s="52">
        <f>IF(VLOOKUP(Table91213[[#This Row],[Date]],'DB Details'!$A:$Q,7)=0,"",VLOOKUP(Table91213[[#This Row],[Date]],'DB Details'!$A:$Q,7))</f>
        <v/>
      </c>
      <c r="H182" s="52">
        <f>IF(VLOOKUP(Table91213[[#This Row],[Date]],'DB Details'!$A:$Q,8)=0,"",VLOOKUP(Table91213[[#This Row],[Date]],'DB Details'!$A:$Q,8))</f>
        <v/>
      </c>
      <c r="I182" s="52">
        <f>IF(VLOOKUP(Table91213[[#This Row],[Date]],'DB Details'!$A:$Q,9)=0,"",VLOOKUP(Table91213[[#This Row],[Date]],'DB Details'!$A:$Q,9))</f>
        <v/>
      </c>
      <c r="J182" s="52">
        <f>IF(VLOOKUP(Table91213[[#This Row],[Date]],'DB Details'!$A:$Q,10)=0,"",VLOOKUP(Table91213[[#This Row],[Date]],'DB Details'!$A:$Q,10))</f>
        <v/>
      </c>
      <c r="K182" s="52">
        <f>IF(VLOOKUP(Table91213[[#This Row],[Date]],'DB Details'!$A:$Q,11)=0,"",VLOOKUP(Table91213[[#This Row],[Date]],'DB Details'!$A:$Q,11))</f>
        <v/>
      </c>
      <c r="L182" s="50">
        <f>IF(VLOOKUP(Table91213[[#This Row],[Date]],'DB Details'!$A:$Q,12)=0,"",VLOOKUP(Table91213[[#This Row],[Date]],'DB Details'!$A:$Q,12))</f>
        <v/>
      </c>
    </row>
    <row r="183">
      <c r="A183" s="53" t="n">
        <v>41000</v>
      </c>
      <c r="B183" s="50">
        <f>IF(VLOOKUP(Table91213[[#This Row],[Date]],'DB Details'!$A:$Q,2)=0,"",VLOOKUP(Table91213[[#This Row],[Date]],'DB Details'!$A:$Q,2))</f>
        <v/>
      </c>
      <c r="C183" s="51">
        <f>IF(VLOOKUP(Table91213[[#This Row],[Date]],'DB Details'!$A:$Q,3)=0,"",VLOOKUP(Table91213[[#This Row],[Date]],'DB Details'!$A:$Q,3))</f>
        <v/>
      </c>
      <c r="D183" s="51">
        <f>IF(VLOOKUP(Table91213[[#This Row],[Date]],'DB Details'!$A:$Q,4)=0,"",VLOOKUP(Table91213[[#This Row],[Date]],'DB Details'!$A:$Q,4))</f>
        <v/>
      </c>
      <c r="E183" s="52">
        <f>IF(VLOOKUP(Table91213[[#This Row],[Date]],'DB Details'!$A:$Q,5)=0,"",VLOOKUP(Table91213[[#This Row],[Date]],'DB Details'!$A:$Q,5))</f>
        <v/>
      </c>
      <c r="F183" s="51">
        <f>IF(VLOOKUP(Table91213[[#This Row],[Date]],'DB Details'!$A:$Q,6)=0,"",VLOOKUP(Table91213[[#This Row],[Date]],'DB Details'!$A:$Q,6))</f>
        <v/>
      </c>
      <c r="G183" s="52">
        <f>IF(VLOOKUP(Table91213[[#This Row],[Date]],'DB Details'!$A:$Q,7)=0,"",VLOOKUP(Table91213[[#This Row],[Date]],'DB Details'!$A:$Q,7))</f>
        <v/>
      </c>
      <c r="H183" s="52">
        <f>IF(VLOOKUP(Table91213[[#This Row],[Date]],'DB Details'!$A:$Q,8)=0,"",VLOOKUP(Table91213[[#This Row],[Date]],'DB Details'!$A:$Q,8))</f>
        <v/>
      </c>
      <c r="I183" s="52">
        <f>IF(VLOOKUP(Table91213[[#This Row],[Date]],'DB Details'!$A:$Q,9)=0,"",VLOOKUP(Table91213[[#This Row],[Date]],'DB Details'!$A:$Q,9))</f>
        <v/>
      </c>
      <c r="J183" s="52">
        <f>IF(VLOOKUP(Table91213[[#This Row],[Date]],'DB Details'!$A:$Q,10)=0,"",VLOOKUP(Table91213[[#This Row],[Date]],'DB Details'!$A:$Q,10))</f>
        <v/>
      </c>
      <c r="K183" s="52">
        <f>IF(VLOOKUP(Table91213[[#This Row],[Date]],'DB Details'!$A:$Q,11)=0,"",VLOOKUP(Table91213[[#This Row],[Date]],'DB Details'!$A:$Q,11))</f>
        <v/>
      </c>
      <c r="L183" s="50">
        <f>IF(VLOOKUP(Table91213[[#This Row],[Date]],'DB Details'!$A:$Q,12)=0,"",VLOOKUP(Table91213[[#This Row],[Date]],'DB Details'!$A:$Q,12))</f>
        <v/>
      </c>
    </row>
    <row r="184">
      <c r="A184" s="53" t="n">
        <v>41030</v>
      </c>
      <c r="B184" s="50">
        <f>IF(VLOOKUP(Table91213[[#This Row],[Date]],'DB Details'!$A:$Q,2)=0,"",VLOOKUP(Table91213[[#This Row],[Date]],'DB Details'!$A:$Q,2))</f>
        <v/>
      </c>
      <c r="C184" s="51">
        <f>IF(VLOOKUP(Table91213[[#This Row],[Date]],'DB Details'!$A:$Q,3)=0,"",VLOOKUP(Table91213[[#This Row],[Date]],'DB Details'!$A:$Q,3))</f>
        <v/>
      </c>
      <c r="D184" s="51">
        <f>IF(VLOOKUP(Table91213[[#This Row],[Date]],'DB Details'!$A:$Q,4)=0,"",VLOOKUP(Table91213[[#This Row],[Date]],'DB Details'!$A:$Q,4))</f>
        <v/>
      </c>
      <c r="E184" s="52">
        <f>IF(VLOOKUP(Table91213[[#This Row],[Date]],'DB Details'!$A:$Q,5)=0,"",VLOOKUP(Table91213[[#This Row],[Date]],'DB Details'!$A:$Q,5))</f>
        <v/>
      </c>
      <c r="F184" s="51">
        <f>IF(VLOOKUP(Table91213[[#This Row],[Date]],'DB Details'!$A:$Q,6)=0,"",VLOOKUP(Table91213[[#This Row],[Date]],'DB Details'!$A:$Q,6))</f>
        <v/>
      </c>
      <c r="G184" s="52">
        <f>IF(VLOOKUP(Table91213[[#This Row],[Date]],'DB Details'!$A:$Q,7)=0,"",VLOOKUP(Table91213[[#This Row],[Date]],'DB Details'!$A:$Q,7))</f>
        <v/>
      </c>
      <c r="H184" s="52">
        <f>IF(VLOOKUP(Table91213[[#This Row],[Date]],'DB Details'!$A:$Q,8)=0,"",VLOOKUP(Table91213[[#This Row],[Date]],'DB Details'!$A:$Q,8))</f>
        <v/>
      </c>
      <c r="I184" s="52">
        <f>IF(VLOOKUP(Table91213[[#This Row],[Date]],'DB Details'!$A:$Q,9)=0,"",VLOOKUP(Table91213[[#This Row],[Date]],'DB Details'!$A:$Q,9))</f>
        <v/>
      </c>
      <c r="J184" s="52">
        <f>IF(VLOOKUP(Table91213[[#This Row],[Date]],'DB Details'!$A:$Q,10)=0,"",VLOOKUP(Table91213[[#This Row],[Date]],'DB Details'!$A:$Q,10))</f>
        <v/>
      </c>
      <c r="K184" s="52">
        <f>IF(VLOOKUP(Table91213[[#This Row],[Date]],'DB Details'!$A:$Q,11)=0,"",VLOOKUP(Table91213[[#This Row],[Date]],'DB Details'!$A:$Q,11))</f>
        <v/>
      </c>
      <c r="L184" s="50">
        <f>IF(VLOOKUP(Table91213[[#This Row],[Date]],'DB Details'!$A:$Q,12)=0,"",VLOOKUP(Table91213[[#This Row],[Date]],'DB Details'!$A:$Q,12))</f>
        <v/>
      </c>
    </row>
    <row r="185">
      <c r="A185" s="53" t="n">
        <v>41061</v>
      </c>
      <c r="B185" s="50">
        <f>IF(VLOOKUP(Table91213[[#This Row],[Date]],'DB Details'!$A:$Q,2)=0,"",VLOOKUP(Table91213[[#This Row],[Date]],'DB Details'!$A:$Q,2))</f>
        <v/>
      </c>
      <c r="C185" s="51">
        <f>IF(VLOOKUP(Table91213[[#This Row],[Date]],'DB Details'!$A:$Q,3)=0,"",VLOOKUP(Table91213[[#This Row],[Date]],'DB Details'!$A:$Q,3))</f>
        <v/>
      </c>
      <c r="D185" s="51">
        <f>IF(VLOOKUP(Table91213[[#This Row],[Date]],'DB Details'!$A:$Q,4)=0,"",VLOOKUP(Table91213[[#This Row],[Date]],'DB Details'!$A:$Q,4))</f>
        <v/>
      </c>
      <c r="E185" s="52">
        <f>IF(VLOOKUP(Table91213[[#This Row],[Date]],'DB Details'!$A:$Q,5)=0,"",VLOOKUP(Table91213[[#This Row],[Date]],'DB Details'!$A:$Q,5))</f>
        <v/>
      </c>
      <c r="F185" s="51">
        <f>IF(VLOOKUP(Table91213[[#This Row],[Date]],'DB Details'!$A:$Q,6)=0,"",VLOOKUP(Table91213[[#This Row],[Date]],'DB Details'!$A:$Q,6))</f>
        <v/>
      </c>
      <c r="G185" s="52">
        <f>IF(VLOOKUP(Table91213[[#This Row],[Date]],'DB Details'!$A:$Q,7)=0,"",VLOOKUP(Table91213[[#This Row],[Date]],'DB Details'!$A:$Q,7))</f>
        <v/>
      </c>
      <c r="H185" s="52">
        <f>IF(VLOOKUP(Table91213[[#This Row],[Date]],'DB Details'!$A:$Q,8)=0,"",VLOOKUP(Table91213[[#This Row],[Date]],'DB Details'!$A:$Q,8))</f>
        <v/>
      </c>
      <c r="I185" s="52">
        <f>IF(VLOOKUP(Table91213[[#This Row],[Date]],'DB Details'!$A:$Q,9)=0,"",VLOOKUP(Table91213[[#This Row],[Date]],'DB Details'!$A:$Q,9))</f>
        <v/>
      </c>
      <c r="J185" s="52">
        <f>IF(VLOOKUP(Table91213[[#This Row],[Date]],'DB Details'!$A:$Q,10)=0,"",VLOOKUP(Table91213[[#This Row],[Date]],'DB Details'!$A:$Q,10))</f>
        <v/>
      </c>
      <c r="K185" s="52">
        <f>IF(VLOOKUP(Table91213[[#This Row],[Date]],'DB Details'!$A:$Q,11)=0,"",VLOOKUP(Table91213[[#This Row],[Date]],'DB Details'!$A:$Q,11))</f>
        <v/>
      </c>
      <c r="L185" s="50">
        <f>IF(VLOOKUP(Table91213[[#This Row],[Date]],'DB Details'!$A:$Q,12)=0,"",VLOOKUP(Table91213[[#This Row],[Date]],'DB Details'!$A:$Q,12))</f>
        <v/>
      </c>
    </row>
    <row r="186">
      <c r="A186" s="53" t="n">
        <v>41091</v>
      </c>
      <c r="B186" s="50">
        <f>IF(VLOOKUP(Table91213[[#This Row],[Date]],'DB Details'!$A:$Q,2)=0,"",VLOOKUP(Table91213[[#This Row],[Date]],'DB Details'!$A:$Q,2))</f>
        <v/>
      </c>
      <c r="C186" s="51">
        <f>IF(VLOOKUP(Table91213[[#This Row],[Date]],'DB Details'!$A:$Q,3)=0,"",VLOOKUP(Table91213[[#This Row],[Date]],'DB Details'!$A:$Q,3))</f>
        <v/>
      </c>
      <c r="D186" s="51">
        <f>IF(VLOOKUP(Table91213[[#This Row],[Date]],'DB Details'!$A:$Q,4)=0,"",VLOOKUP(Table91213[[#This Row],[Date]],'DB Details'!$A:$Q,4))</f>
        <v/>
      </c>
      <c r="E186" s="52">
        <f>IF(VLOOKUP(Table91213[[#This Row],[Date]],'DB Details'!$A:$Q,5)=0,"",VLOOKUP(Table91213[[#This Row],[Date]],'DB Details'!$A:$Q,5))</f>
        <v/>
      </c>
      <c r="F186" s="51">
        <f>IF(VLOOKUP(Table91213[[#This Row],[Date]],'DB Details'!$A:$Q,6)=0,"",VLOOKUP(Table91213[[#This Row],[Date]],'DB Details'!$A:$Q,6))</f>
        <v/>
      </c>
      <c r="G186" s="52">
        <f>IF(VLOOKUP(Table91213[[#This Row],[Date]],'DB Details'!$A:$Q,7)=0,"",VLOOKUP(Table91213[[#This Row],[Date]],'DB Details'!$A:$Q,7))</f>
        <v/>
      </c>
      <c r="H186" s="52">
        <f>IF(VLOOKUP(Table91213[[#This Row],[Date]],'DB Details'!$A:$Q,8)=0,"",VLOOKUP(Table91213[[#This Row],[Date]],'DB Details'!$A:$Q,8))</f>
        <v/>
      </c>
      <c r="I186" s="52">
        <f>IF(VLOOKUP(Table91213[[#This Row],[Date]],'DB Details'!$A:$Q,9)=0,"",VLOOKUP(Table91213[[#This Row],[Date]],'DB Details'!$A:$Q,9))</f>
        <v/>
      </c>
      <c r="J186" s="52">
        <f>IF(VLOOKUP(Table91213[[#This Row],[Date]],'DB Details'!$A:$Q,10)=0,"",VLOOKUP(Table91213[[#This Row],[Date]],'DB Details'!$A:$Q,10))</f>
        <v/>
      </c>
      <c r="K186" s="52">
        <f>IF(VLOOKUP(Table91213[[#This Row],[Date]],'DB Details'!$A:$Q,11)=0,"",VLOOKUP(Table91213[[#This Row],[Date]],'DB Details'!$A:$Q,11))</f>
        <v/>
      </c>
      <c r="L186" s="50">
        <f>IF(VLOOKUP(Table91213[[#This Row],[Date]],'DB Details'!$A:$Q,12)=0,"",VLOOKUP(Table91213[[#This Row],[Date]],'DB Details'!$A:$Q,12))</f>
        <v/>
      </c>
    </row>
    <row r="187">
      <c r="A187" s="53" t="n">
        <v>41122</v>
      </c>
      <c r="B187" s="50">
        <f>IF(VLOOKUP(Table91213[[#This Row],[Date]],'DB Details'!$A:$Q,2)=0,"",VLOOKUP(Table91213[[#This Row],[Date]],'DB Details'!$A:$Q,2))</f>
        <v/>
      </c>
      <c r="C187" s="51">
        <f>IF(VLOOKUP(Table91213[[#This Row],[Date]],'DB Details'!$A:$Q,3)=0,"",VLOOKUP(Table91213[[#This Row],[Date]],'DB Details'!$A:$Q,3))</f>
        <v/>
      </c>
      <c r="D187" s="51">
        <f>IF(VLOOKUP(Table91213[[#This Row],[Date]],'DB Details'!$A:$Q,4)=0,"",VLOOKUP(Table91213[[#This Row],[Date]],'DB Details'!$A:$Q,4))</f>
        <v/>
      </c>
      <c r="E187" s="52">
        <f>IF(VLOOKUP(Table91213[[#This Row],[Date]],'DB Details'!$A:$Q,5)=0,"",VLOOKUP(Table91213[[#This Row],[Date]],'DB Details'!$A:$Q,5))</f>
        <v/>
      </c>
      <c r="F187" s="51">
        <f>IF(VLOOKUP(Table91213[[#This Row],[Date]],'DB Details'!$A:$Q,6)=0,"",VLOOKUP(Table91213[[#This Row],[Date]],'DB Details'!$A:$Q,6))</f>
        <v/>
      </c>
      <c r="G187" s="52">
        <f>IF(VLOOKUP(Table91213[[#This Row],[Date]],'DB Details'!$A:$Q,7)=0,"",VLOOKUP(Table91213[[#This Row],[Date]],'DB Details'!$A:$Q,7))</f>
        <v/>
      </c>
      <c r="H187" s="52">
        <f>IF(VLOOKUP(Table91213[[#This Row],[Date]],'DB Details'!$A:$Q,8)=0,"",VLOOKUP(Table91213[[#This Row],[Date]],'DB Details'!$A:$Q,8))</f>
        <v/>
      </c>
      <c r="I187" s="52">
        <f>IF(VLOOKUP(Table91213[[#This Row],[Date]],'DB Details'!$A:$Q,9)=0,"",VLOOKUP(Table91213[[#This Row],[Date]],'DB Details'!$A:$Q,9))</f>
        <v/>
      </c>
      <c r="J187" s="52">
        <f>IF(VLOOKUP(Table91213[[#This Row],[Date]],'DB Details'!$A:$Q,10)=0,"",VLOOKUP(Table91213[[#This Row],[Date]],'DB Details'!$A:$Q,10))</f>
        <v/>
      </c>
      <c r="K187" s="52">
        <f>IF(VLOOKUP(Table91213[[#This Row],[Date]],'DB Details'!$A:$Q,11)=0,"",VLOOKUP(Table91213[[#This Row],[Date]],'DB Details'!$A:$Q,11))</f>
        <v/>
      </c>
      <c r="L187" s="50">
        <f>IF(VLOOKUP(Table91213[[#This Row],[Date]],'DB Details'!$A:$Q,12)=0,"",VLOOKUP(Table91213[[#This Row],[Date]],'DB Details'!$A:$Q,12))</f>
        <v/>
      </c>
    </row>
    <row r="188">
      <c r="A188" s="53" t="n">
        <v>41153</v>
      </c>
      <c r="B188" s="50">
        <f>IF(VLOOKUP(Table91213[[#This Row],[Date]],'DB Details'!$A:$Q,2)=0,"",VLOOKUP(Table91213[[#This Row],[Date]],'DB Details'!$A:$Q,2))</f>
        <v/>
      </c>
      <c r="C188" s="51">
        <f>IF(VLOOKUP(Table91213[[#This Row],[Date]],'DB Details'!$A:$Q,3)=0,"",VLOOKUP(Table91213[[#This Row],[Date]],'DB Details'!$A:$Q,3))</f>
        <v/>
      </c>
      <c r="D188" s="51">
        <f>IF(VLOOKUP(Table91213[[#This Row],[Date]],'DB Details'!$A:$Q,4)=0,"",VLOOKUP(Table91213[[#This Row],[Date]],'DB Details'!$A:$Q,4))</f>
        <v/>
      </c>
      <c r="E188" s="52">
        <f>IF(VLOOKUP(Table91213[[#This Row],[Date]],'DB Details'!$A:$Q,5)=0,"",VLOOKUP(Table91213[[#This Row],[Date]],'DB Details'!$A:$Q,5))</f>
        <v/>
      </c>
      <c r="F188" s="51">
        <f>IF(VLOOKUP(Table91213[[#This Row],[Date]],'DB Details'!$A:$Q,6)=0,"",VLOOKUP(Table91213[[#This Row],[Date]],'DB Details'!$A:$Q,6))</f>
        <v/>
      </c>
      <c r="G188" s="52">
        <f>IF(VLOOKUP(Table91213[[#This Row],[Date]],'DB Details'!$A:$Q,7)=0,"",VLOOKUP(Table91213[[#This Row],[Date]],'DB Details'!$A:$Q,7))</f>
        <v/>
      </c>
      <c r="H188" s="52">
        <f>IF(VLOOKUP(Table91213[[#This Row],[Date]],'DB Details'!$A:$Q,8)=0,"",VLOOKUP(Table91213[[#This Row],[Date]],'DB Details'!$A:$Q,8))</f>
        <v/>
      </c>
      <c r="I188" s="52">
        <f>IF(VLOOKUP(Table91213[[#This Row],[Date]],'DB Details'!$A:$Q,9)=0,"",VLOOKUP(Table91213[[#This Row],[Date]],'DB Details'!$A:$Q,9))</f>
        <v/>
      </c>
      <c r="J188" s="52">
        <f>IF(VLOOKUP(Table91213[[#This Row],[Date]],'DB Details'!$A:$Q,10)=0,"",VLOOKUP(Table91213[[#This Row],[Date]],'DB Details'!$A:$Q,10))</f>
        <v/>
      </c>
      <c r="K188" s="52">
        <f>IF(VLOOKUP(Table91213[[#This Row],[Date]],'DB Details'!$A:$Q,11)=0,"",VLOOKUP(Table91213[[#This Row],[Date]],'DB Details'!$A:$Q,11))</f>
        <v/>
      </c>
      <c r="L188" s="50">
        <f>IF(VLOOKUP(Table91213[[#This Row],[Date]],'DB Details'!$A:$Q,12)=0,"",VLOOKUP(Table91213[[#This Row],[Date]],'DB Details'!$A:$Q,12))</f>
        <v/>
      </c>
    </row>
    <row r="189">
      <c r="A189" s="53" t="n">
        <v>41183</v>
      </c>
      <c r="B189" s="50">
        <f>IF(VLOOKUP(Table91213[[#This Row],[Date]],'DB Details'!$A:$Q,2)=0,"",VLOOKUP(Table91213[[#This Row],[Date]],'DB Details'!$A:$Q,2))</f>
        <v/>
      </c>
      <c r="C189" s="51">
        <f>IF(VLOOKUP(Table91213[[#This Row],[Date]],'DB Details'!$A:$Q,3)=0,"",VLOOKUP(Table91213[[#This Row],[Date]],'DB Details'!$A:$Q,3))</f>
        <v/>
      </c>
      <c r="D189" s="51">
        <f>IF(VLOOKUP(Table91213[[#This Row],[Date]],'DB Details'!$A:$Q,4)=0,"",VLOOKUP(Table91213[[#This Row],[Date]],'DB Details'!$A:$Q,4))</f>
        <v/>
      </c>
      <c r="E189" s="52">
        <f>IF(VLOOKUP(Table91213[[#This Row],[Date]],'DB Details'!$A:$Q,5)=0,"",VLOOKUP(Table91213[[#This Row],[Date]],'DB Details'!$A:$Q,5))</f>
        <v/>
      </c>
      <c r="F189" s="51">
        <f>IF(VLOOKUP(Table91213[[#This Row],[Date]],'DB Details'!$A:$Q,6)=0,"",VLOOKUP(Table91213[[#This Row],[Date]],'DB Details'!$A:$Q,6))</f>
        <v/>
      </c>
      <c r="G189" s="52">
        <f>IF(VLOOKUP(Table91213[[#This Row],[Date]],'DB Details'!$A:$Q,7)=0,"",VLOOKUP(Table91213[[#This Row],[Date]],'DB Details'!$A:$Q,7))</f>
        <v/>
      </c>
      <c r="H189" s="52">
        <f>IF(VLOOKUP(Table91213[[#This Row],[Date]],'DB Details'!$A:$Q,8)=0,"",VLOOKUP(Table91213[[#This Row],[Date]],'DB Details'!$A:$Q,8))</f>
        <v/>
      </c>
      <c r="I189" s="52">
        <f>IF(VLOOKUP(Table91213[[#This Row],[Date]],'DB Details'!$A:$Q,9)=0,"",VLOOKUP(Table91213[[#This Row],[Date]],'DB Details'!$A:$Q,9))</f>
        <v/>
      </c>
      <c r="J189" s="52">
        <f>IF(VLOOKUP(Table91213[[#This Row],[Date]],'DB Details'!$A:$Q,10)=0,"",VLOOKUP(Table91213[[#This Row],[Date]],'DB Details'!$A:$Q,10))</f>
        <v/>
      </c>
      <c r="K189" s="52">
        <f>IF(VLOOKUP(Table91213[[#This Row],[Date]],'DB Details'!$A:$Q,11)=0,"",VLOOKUP(Table91213[[#This Row],[Date]],'DB Details'!$A:$Q,11))</f>
        <v/>
      </c>
      <c r="L189" s="50">
        <f>IF(VLOOKUP(Table91213[[#This Row],[Date]],'DB Details'!$A:$Q,12)=0,"",VLOOKUP(Table91213[[#This Row],[Date]],'DB Details'!$A:$Q,12))</f>
        <v/>
      </c>
    </row>
    <row r="190">
      <c r="A190" s="53" t="n">
        <v>41214</v>
      </c>
      <c r="B190" s="50">
        <f>IF(VLOOKUP(Table91213[[#This Row],[Date]],'DB Details'!$A:$Q,2)=0,"",VLOOKUP(Table91213[[#This Row],[Date]],'DB Details'!$A:$Q,2))</f>
        <v/>
      </c>
      <c r="C190" s="51">
        <f>IF(VLOOKUP(Table91213[[#This Row],[Date]],'DB Details'!$A:$Q,3)=0,"",VLOOKUP(Table91213[[#This Row],[Date]],'DB Details'!$A:$Q,3))</f>
        <v/>
      </c>
      <c r="D190" s="51">
        <f>IF(VLOOKUP(Table91213[[#This Row],[Date]],'DB Details'!$A:$Q,4)=0,"",VLOOKUP(Table91213[[#This Row],[Date]],'DB Details'!$A:$Q,4))</f>
        <v/>
      </c>
      <c r="E190" s="52">
        <f>IF(VLOOKUP(Table91213[[#This Row],[Date]],'DB Details'!$A:$Q,5)=0,"",VLOOKUP(Table91213[[#This Row],[Date]],'DB Details'!$A:$Q,5))</f>
        <v/>
      </c>
      <c r="F190" s="51">
        <f>IF(VLOOKUP(Table91213[[#This Row],[Date]],'DB Details'!$A:$Q,6)=0,"",VLOOKUP(Table91213[[#This Row],[Date]],'DB Details'!$A:$Q,6))</f>
        <v/>
      </c>
      <c r="G190" s="52">
        <f>IF(VLOOKUP(Table91213[[#This Row],[Date]],'DB Details'!$A:$Q,7)=0,"",VLOOKUP(Table91213[[#This Row],[Date]],'DB Details'!$A:$Q,7))</f>
        <v/>
      </c>
      <c r="H190" s="52">
        <f>IF(VLOOKUP(Table91213[[#This Row],[Date]],'DB Details'!$A:$Q,8)=0,"",VLOOKUP(Table91213[[#This Row],[Date]],'DB Details'!$A:$Q,8))</f>
        <v/>
      </c>
      <c r="I190" s="52">
        <f>IF(VLOOKUP(Table91213[[#This Row],[Date]],'DB Details'!$A:$Q,9)=0,"",VLOOKUP(Table91213[[#This Row],[Date]],'DB Details'!$A:$Q,9))</f>
        <v/>
      </c>
      <c r="J190" s="52">
        <f>IF(VLOOKUP(Table91213[[#This Row],[Date]],'DB Details'!$A:$Q,10)=0,"",VLOOKUP(Table91213[[#This Row],[Date]],'DB Details'!$A:$Q,10))</f>
        <v/>
      </c>
      <c r="K190" s="52">
        <f>IF(VLOOKUP(Table91213[[#This Row],[Date]],'DB Details'!$A:$Q,11)=0,"",VLOOKUP(Table91213[[#This Row],[Date]],'DB Details'!$A:$Q,11))</f>
        <v/>
      </c>
      <c r="L190" s="50">
        <f>IF(VLOOKUP(Table91213[[#This Row],[Date]],'DB Details'!$A:$Q,12)=0,"",VLOOKUP(Table91213[[#This Row],[Date]],'DB Details'!$A:$Q,12))</f>
        <v/>
      </c>
    </row>
    <row r="191">
      <c r="A191" s="53" t="n">
        <v>41244</v>
      </c>
      <c r="B191" s="50">
        <f>IF(VLOOKUP(Table91213[[#This Row],[Date]],'DB Details'!$A:$Q,2)=0,"",VLOOKUP(Table91213[[#This Row],[Date]],'DB Details'!$A:$Q,2))</f>
        <v/>
      </c>
      <c r="C191" s="51">
        <f>IF(VLOOKUP(Table91213[[#This Row],[Date]],'DB Details'!$A:$Q,3)=0,"",VLOOKUP(Table91213[[#This Row],[Date]],'DB Details'!$A:$Q,3))</f>
        <v/>
      </c>
      <c r="D191" s="51">
        <f>IF(VLOOKUP(Table91213[[#This Row],[Date]],'DB Details'!$A:$Q,4)=0,"",VLOOKUP(Table91213[[#This Row],[Date]],'DB Details'!$A:$Q,4))</f>
        <v/>
      </c>
      <c r="E191" s="52">
        <f>IF(VLOOKUP(Table91213[[#This Row],[Date]],'DB Details'!$A:$Q,5)=0,"",VLOOKUP(Table91213[[#This Row],[Date]],'DB Details'!$A:$Q,5))</f>
        <v/>
      </c>
      <c r="F191" s="51">
        <f>IF(VLOOKUP(Table91213[[#This Row],[Date]],'DB Details'!$A:$Q,6)=0,"",VLOOKUP(Table91213[[#This Row],[Date]],'DB Details'!$A:$Q,6))</f>
        <v/>
      </c>
      <c r="G191" s="52">
        <f>IF(VLOOKUP(Table91213[[#This Row],[Date]],'DB Details'!$A:$Q,7)=0,"",VLOOKUP(Table91213[[#This Row],[Date]],'DB Details'!$A:$Q,7))</f>
        <v/>
      </c>
      <c r="H191" s="52">
        <f>IF(VLOOKUP(Table91213[[#This Row],[Date]],'DB Details'!$A:$Q,8)=0,"",VLOOKUP(Table91213[[#This Row],[Date]],'DB Details'!$A:$Q,8))</f>
        <v/>
      </c>
      <c r="I191" s="52">
        <f>IF(VLOOKUP(Table91213[[#This Row],[Date]],'DB Details'!$A:$Q,9)=0,"",VLOOKUP(Table91213[[#This Row],[Date]],'DB Details'!$A:$Q,9))</f>
        <v/>
      </c>
      <c r="J191" s="52">
        <f>IF(VLOOKUP(Table91213[[#This Row],[Date]],'DB Details'!$A:$Q,10)=0,"",VLOOKUP(Table91213[[#This Row],[Date]],'DB Details'!$A:$Q,10))</f>
        <v/>
      </c>
      <c r="K191" s="52">
        <f>IF(VLOOKUP(Table91213[[#This Row],[Date]],'DB Details'!$A:$Q,11)=0,"",VLOOKUP(Table91213[[#This Row],[Date]],'DB Details'!$A:$Q,11))</f>
        <v/>
      </c>
      <c r="L191" s="50">
        <f>IF(VLOOKUP(Table91213[[#This Row],[Date]],'DB Details'!$A:$Q,12)=0,"",VLOOKUP(Table91213[[#This Row],[Date]],'DB Details'!$A:$Q,12))</f>
        <v/>
      </c>
    </row>
    <row r="192">
      <c r="A192" s="53" t="n">
        <v>41275</v>
      </c>
      <c r="B192" s="50">
        <f>IF(VLOOKUP(Table91213[[#This Row],[Date]],'DB Details'!$A:$Q,2)=0,"",VLOOKUP(Table91213[[#This Row],[Date]],'DB Details'!$A:$Q,2))</f>
        <v/>
      </c>
      <c r="C192" s="51">
        <f>IF(VLOOKUP(Table91213[[#This Row],[Date]],'DB Details'!$A:$Q,3)=0,"",VLOOKUP(Table91213[[#This Row],[Date]],'DB Details'!$A:$Q,3))</f>
        <v/>
      </c>
      <c r="D192" s="51">
        <f>IF(VLOOKUP(Table91213[[#This Row],[Date]],'DB Details'!$A:$Q,4)=0,"",VLOOKUP(Table91213[[#This Row],[Date]],'DB Details'!$A:$Q,4))</f>
        <v/>
      </c>
      <c r="E192" s="52">
        <f>IF(VLOOKUP(Table91213[[#This Row],[Date]],'DB Details'!$A:$Q,5)=0,"",VLOOKUP(Table91213[[#This Row],[Date]],'DB Details'!$A:$Q,5))</f>
        <v/>
      </c>
      <c r="F192" s="51">
        <f>IF(VLOOKUP(Table91213[[#This Row],[Date]],'DB Details'!$A:$Q,6)=0,"",VLOOKUP(Table91213[[#This Row],[Date]],'DB Details'!$A:$Q,6))</f>
        <v/>
      </c>
      <c r="G192" s="52">
        <f>IF(VLOOKUP(Table91213[[#This Row],[Date]],'DB Details'!$A:$Q,7)=0,"",VLOOKUP(Table91213[[#This Row],[Date]],'DB Details'!$A:$Q,7))</f>
        <v/>
      </c>
      <c r="H192" s="52">
        <f>IF(VLOOKUP(Table91213[[#This Row],[Date]],'DB Details'!$A:$Q,8)=0,"",VLOOKUP(Table91213[[#This Row],[Date]],'DB Details'!$A:$Q,8))</f>
        <v/>
      </c>
      <c r="I192" s="52">
        <f>IF(VLOOKUP(Table91213[[#This Row],[Date]],'DB Details'!$A:$Q,9)=0,"",VLOOKUP(Table91213[[#This Row],[Date]],'DB Details'!$A:$Q,9))</f>
        <v/>
      </c>
      <c r="J192" s="52">
        <f>IF(VLOOKUP(Table91213[[#This Row],[Date]],'DB Details'!$A:$Q,10)=0,"",VLOOKUP(Table91213[[#This Row],[Date]],'DB Details'!$A:$Q,10))</f>
        <v/>
      </c>
      <c r="K192" s="52">
        <f>IF(VLOOKUP(Table91213[[#This Row],[Date]],'DB Details'!$A:$Q,11)=0,"",VLOOKUP(Table91213[[#This Row],[Date]],'DB Details'!$A:$Q,11))</f>
        <v/>
      </c>
      <c r="L192" s="50">
        <f>IF(VLOOKUP(Table91213[[#This Row],[Date]],'DB Details'!$A:$Q,12)=0,"",VLOOKUP(Table91213[[#This Row],[Date]],'DB Details'!$A:$Q,12))</f>
        <v/>
      </c>
    </row>
    <row r="193">
      <c r="A193" s="53" t="n">
        <v>41306</v>
      </c>
      <c r="B193" s="50">
        <f>IF(VLOOKUP(Table91213[[#This Row],[Date]],'DB Details'!$A:$Q,2)=0,"",VLOOKUP(Table91213[[#This Row],[Date]],'DB Details'!$A:$Q,2))</f>
        <v/>
      </c>
      <c r="C193" s="51">
        <f>IF(VLOOKUP(Table91213[[#This Row],[Date]],'DB Details'!$A:$Q,3)=0,"",VLOOKUP(Table91213[[#This Row],[Date]],'DB Details'!$A:$Q,3))</f>
        <v/>
      </c>
      <c r="D193" s="51">
        <f>IF(VLOOKUP(Table91213[[#This Row],[Date]],'DB Details'!$A:$Q,4)=0,"",VLOOKUP(Table91213[[#This Row],[Date]],'DB Details'!$A:$Q,4))</f>
        <v/>
      </c>
      <c r="E193" s="52">
        <f>IF(VLOOKUP(Table91213[[#This Row],[Date]],'DB Details'!$A:$Q,5)=0,"",VLOOKUP(Table91213[[#This Row],[Date]],'DB Details'!$A:$Q,5))</f>
        <v/>
      </c>
      <c r="F193" s="51">
        <f>IF(VLOOKUP(Table91213[[#This Row],[Date]],'DB Details'!$A:$Q,6)=0,"",VLOOKUP(Table91213[[#This Row],[Date]],'DB Details'!$A:$Q,6))</f>
        <v/>
      </c>
      <c r="G193" s="52">
        <f>IF(VLOOKUP(Table91213[[#This Row],[Date]],'DB Details'!$A:$Q,7)=0,"",VLOOKUP(Table91213[[#This Row],[Date]],'DB Details'!$A:$Q,7))</f>
        <v/>
      </c>
      <c r="H193" s="52">
        <f>IF(VLOOKUP(Table91213[[#This Row],[Date]],'DB Details'!$A:$Q,8)=0,"",VLOOKUP(Table91213[[#This Row],[Date]],'DB Details'!$A:$Q,8))</f>
        <v/>
      </c>
      <c r="I193" s="52">
        <f>IF(VLOOKUP(Table91213[[#This Row],[Date]],'DB Details'!$A:$Q,9)=0,"",VLOOKUP(Table91213[[#This Row],[Date]],'DB Details'!$A:$Q,9))</f>
        <v/>
      </c>
      <c r="J193" s="52">
        <f>IF(VLOOKUP(Table91213[[#This Row],[Date]],'DB Details'!$A:$Q,10)=0,"",VLOOKUP(Table91213[[#This Row],[Date]],'DB Details'!$A:$Q,10))</f>
        <v/>
      </c>
      <c r="K193" s="52">
        <f>IF(VLOOKUP(Table91213[[#This Row],[Date]],'DB Details'!$A:$Q,11)=0,"",VLOOKUP(Table91213[[#This Row],[Date]],'DB Details'!$A:$Q,11))</f>
        <v/>
      </c>
      <c r="L193" s="50">
        <f>IF(VLOOKUP(Table91213[[#This Row],[Date]],'DB Details'!$A:$Q,12)=0,"",VLOOKUP(Table91213[[#This Row],[Date]],'DB Details'!$A:$Q,12))</f>
        <v/>
      </c>
    </row>
    <row r="194">
      <c r="A194" s="53" t="n">
        <v>41334</v>
      </c>
      <c r="B194" s="50">
        <f>IF(VLOOKUP(Table91213[[#This Row],[Date]],'DB Details'!$A:$Q,2)=0,"",VLOOKUP(Table91213[[#This Row],[Date]],'DB Details'!$A:$Q,2))</f>
        <v/>
      </c>
      <c r="C194" s="51">
        <f>IF(VLOOKUP(Table91213[[#This Row],[Date]],'DB Details'!$A:$Q,3)=0,"",VLOOKUP(Table91213[[#This Row],[Date]],'DB Details'!$A:$Q,3))</f>
        <v/>
      </c>
      <c r="D194" s="51">
        <f>IF(VLOOKUP(Table91213[[#This Row],[Date]],'DB Details'!$A:$Q,4)=0,"",VLOOKUP(Table91213[[#This Row],[Date]],'DB Details'!$A:$Q,4))</f>
        <v/>
      </c>
      <c r="E194" s="52">
        <f>IF(VLOOKUP(Table91213[[#This Row],[Date]],'DB Details'!$A:$Q,5)=0,"",VLOOKUP(Table91213[[#This Row],[Date]],'DB Details'!$A:$Q,5))</f>
        <v/>
      </c>
      <c r="F194" s="51">
        <f>IF(VLOOKUP(Table91213[[#This Row],[Date]],'DB Details'!$A:$Q,6)=0,"",VLOOKUP(Table91213[[#This Row],[Date]],'DB Details'!$A:$Q,6))</f>
        <v/>
      </c>
      <c r="G194" s="52">
        <f>IF(VLOOKUP(Table91213[[#This Row],[Date]],'DB Details'!$A:$Q,7)=0,"",VLOOKUP(Table91213[[#This Row],[Date]],'DB Details'!$A:$Q,7))</f>
        <v/>
      </c>
      <c r="H194" s="52">
        <f>IF(VLOOKUP(Table91213[[#This Row],[Date]],'DB Details'!$A:$Q,8)=0,"",VLOOKUP(Table91213[[#This Row],[Date]],'DB Details'!$A:$Q,8))</f>
        <v/>
      </c>
      <c r="I194" s="52">
        <f>IF(VLOOKUP(Table91213[[#This Row],[Date]],'DB Details'!$A:$Q,9)=0,"",VLOOKUP(Table91213[[#This Row],[Date]],'DB Details'!$A:$Q,9))</f>
        <v/>
      </c>
      <c r="J194" s="52">
        <f>IF(VLOOKUP(Table91213[[#This Row],[Date]],'DB Details'!$A:$Q,10)=0,"",VLOOKUP(Table91213[[#This Row],[Date]],'DB Details'!$A:$Q,10))</f>
        <v/>
      </c>
      <c r="K194" s="52">
        <f>IF(VLOOKUP(Table91213[[#This Row],[Date]],'DB Details'!$A:$Q,11)=0,"",VLOOKUP(Table91213[[#This Row],[Date]],'DB Details'!$A:$Q,11))</f>
        <v/>
      </c>
      <c r="L194" s="50">
        <f>IF(VLOOKUP(Table91213[[#This Row],[Date]],'DB Details'!$A:$Q,12)=0,"",VLOOKUP(Table91213[[#This Row],[Date]],'DB Details'!$A:$Q,12))</f>
        <v/>
      </c>
    </row>
    <row r="195">
      <c r="A195" s="53" t="n">
        <v>41365</v>
      </c>
      <c r="B195" s="50">
        <f>IF(VLOOKUP(Table91213[[#This Row],[Date]],'DB Details'!$A:$Q,2)=0,"",VLOOKUP(Table91213[[#This Row],[Date]],'DB Details'!$A:$Q,2))</f>
        <v/>
      </c>
      <c r="C195" s="51">
        <f>IF(VLOOKUP(Table91213[[#This Row],[Date]],'DB Details'!$A:$Q,3)=0,"",VLOOKUP(Table91213[[#This Row],[Date]],'DB Details'!$A:$Q,3))</f>
        <v/>
      </c>
      <c r="D195" s="51">
        <f>IF(VLOOKUP(Table91213[[#This Row],[Date]],'DB Details'!$A:$Q,4)=0,"",VLOOKUP(Table91213[[#This Row],[Date]],'DB Details'!$A:$Q,4))</f>
        <v/>
      </c>
      <c r="E195" s="52">
        <f>IF(VLOOKUP(Table91213[[#This Row],[Date]],'DB Details'!$A:$Q,5)=0,"",VLOOKUP(Table91213[[#This Row],[Date]],'DB Details'!$A:$Q,5))</f>
        <v/>
      </c>
      <c r="F195" s="51">
        <f>IF(VLOOKUP(Table91213[[#This Row],[Date]],'DB Details'!$A:$Q,6)=0,"",VLOOKUP(Table91213[[#This Row],[Date]],'DB Details'!$A:$Q,6))</f>
        <v/>
      </c>
      <c r="G195" s="52">
        <f>IF(VLOOKUP(Table91213[[#This Row],[Date]],'DB Details'!$A:$Q,7)=0,"",VLOOKUP(Table91213[[#This Row],[Date]],'DB Details'!$A:$Q,7))</f>
        <v/>
      </c>
      <c r="H195" s="52">
        <f>IF(VLOOKUP(Table91213[[#This Row],[Date]],'DB Details'!$A:$Q,8)=0,"",VLOOKUP(Table91213[[#This Row],[Date]],'DB Details'!$A:$Q,8))</f>
        <v/>
      </c>
      <c r="I195" s="52">
        <f>IF(VLOOKUP(Table91213[[#This Row],[Date]],'DB Details'!$A:$Q,9)=0,"",VLOOKUP(Table91213[[#This Row],[Date]],'DB Details'!$A:$Q,9))</f>
        <v/>
      </c>
      <c r="J195" s="52">
        <f>IF(VLOOKUP(Table91213[[#This Row],[Date]],'DB Details'!$A:$Q,10)=0,"",VLOOKUP(Table91213[[#This Row],[Date]],'DB Details'!$A:$Q,10))</f>
        <v/>
      </c>
      <c r="K195" s="52">
        <f>IF(VLOOKUP(Table91213[[#This Row],[Date]],'DB Details'!$A:$Q,11)=0,"",VLOOKUP(Table91213[[#This Row],[Date]],'DB Details'!$A:$Q,11))</f>
        <v/>
      </c>
      <c r="L195" s="50">
        <f>IF(VLOOKUP(Table91213[[#This Row],[Date]],'DB Details'!$A:$Q,12)=0,"",VLOOKUP(Table91213[[#This Row],[Date]],'DB Details'!$A:$Q,12))</f>
        <v/>
      </c>
    </row>
    <row r="196">
      <c r="A196" s="53" t="n">
        <v>41395</v>
      </c>
      <c r="B196" s="50">
        <f>IF(VLOOKUP(Table91213[[#This Row],[Date]],'DB Details'!$A:$Q,2)=0,"",VLOOKUP(Table91213[[#This Row],[Date]],'DB Details'!$A:$Q,2))</f>
        <v/>
      </c>
      <c r="C196" s="51">
        <f>IF(VLOOKUP(Table91213[[#This Row],[Date]],'DB Details'!$A:$Q,3)=0,"",VLOOKUP(Table91213[[#This Row],[Date]],'DB Details'!$A:$Q,3))</f>
        <v/>
      </c>
      <c r="D196" s="51">
        <f>IF(VLOOKUP(Table91213[[#This Row],[Date]],'DB Details'!$A:$Q,4)=0,"",VLOOKUP(Table91213[[#This Row],[Date]],'DB Details'!$A:$Q,4))</f>
        <v/>
      </c>
      <c r="E196" s="52">
        <f>IF(VLOOKUP(Table91213[[#This Row],[Date]],'DB Details'!$A:$Q,5)=0,"",VLOOKUP(Table91213[[#This Row],[Date]],'DB Details'!$A:$Q,5))</f>
        <v/>
      </c>
      <c r="F196" s="51">
        <f>IF(VLOOKUP(Table91213[[#This Row],[Date]],'DB Details'!$A:$Q,6)=0,"",VLOOKUP(Table91213[[#This Row],[Date]],'DB Details'!$A:$Q,6))</f>
        <v/>
      </c>
      <c r="G196" s="52">
        <f>IF(VLOOKUP(Table91213[[#This Row],[Date]],'DB Details'!$A:$Q,7)=0,"",VLOOKUP(Table91213[[#This Row],[Date]],'DB Details'!$A:$Q,7))</f>
        <v/>
      </c>
      <c r="H196" s="52">
        <f>IF(VLOOKUP(Table91213[[#This Row],[Date]],'DB Details'!$A:$Q,8)=0,"",VLOOKUP(Table91213[[#This Row],[Date]],'DB Details'!$A:$Q,8))</f>
        <v/>
      </c>
      <c r="I196" s="52">
        <f>IF(VLOOKUP(Table91213[[#This Row],[Date]],'DB Details'!$A:$Q,9)=0,"",VLOOKUP(Table91213[[#This Row],[Date]],'DB Details'!$A:$Q,9))</f>
        <v/>
      </c>
      <c r="J196" s="52">
        <f>IF(VLOOKUP(Table91213[[#This Row],[Date]],'DB Details'!$A:$Q,10)=0,"",VLOOKUP(Table91213[[#This Row],[Date]],'DB Details'!$A:$Q,10))</f>
        <v/>
      </c>
      <c r="K196" s="52">
        <f>IF(VLOOKUP(Table91213[[#This Row],[Date]],'DB Details'!$A:$Q,11)=0,"",VLOOKUP(Table91213[[#This Row],[Date]],'DB Details'!$A:$Q,11))</f>
        <v/>
      </c>
      <c r="L196" s="50">
        <f>IF(VLOOKUP(Table91213[[#This Row],[Date]],'DB Details'!$A:$Q,12)=0,"",VLOOKUP(Table91213[[#This Row],[Date]],'DB Details'!$A:$Q,12))</f>
        <v/>
      </c>
    </row>
    <row r="197">
      <c r="A197" s="53" t="n">
        <v>41426</v>
      </c>
      <c r="B197" s="50">
        <f>IF(VLOOKUP(Table91213[[#This Row],[Date]],'DB Details'!$A:$Q,2)=0,"",VLOOKUP(Table91213[[#This Row],[Date]],'DB Details'!$A:$Q,2))</f>
        <v/>
      </c>
      <c r="C197" s="51">
        <f>IF(VLOOKUP(Table91213[[#This Row],[Date]],'DB Details'!$A:$Q,3)=0,"",VLOOKUP(Table91213[[#This Row],[Date]],'DB Details'!$A:$Q,3))</f>
        <v/>
      </c>
      <c r="D197" s="51">
        <f>IF(VLOOKUP(Table91213[[#This Row],[Date]],'DB Details'!$A:$Q,4)=0,"",VLOOKUP(Table91213[[#This Row],[Date]],'DB Details'!$A:$Q,4))</f>
        <v/>
      </c>
      <c r="E197" s="52">
        <f>IF(VLOOKUP(Table91213[[#This Row],[Date]],'DB Details'!$A:$Q,5)=0,"",VLOOKUP(Table91213[[#This Row],[Date]],'DB Details'!$A:$Q,5))</f>
        <v/>
      </c>
      <c r="F197" s="51">
        <f>IF(VLOOKUP(Table91213[[#This Row],[Date]],'DB Details'!$A:$Q,6)=0,"",VLOOKUP(Table91213[[#This Row],[Date]],'DB Details'!$A:$Q,6))</f>
        <v/>
      </c>
      <c r="G197" s="52">
        <f>IF(VLOOKUP(Table91213[[#This Row],[Date]],'DB Details'!$A:$Q,7)=0,"",VLOOKUP(Table91213[[#This Row],[Date]],'DB Details'!$A:$Q,7))</f>
        <v/>
      </c>
      <c r="H197" s="52">
        <f>IF(VLOOKUP(Table91213[[#This Row],[Date]],'DB Details'!$A:$Q,8)=0,"",VLOOKUP(Table91213[[#This Row],[Date]],'DB Details'!$A:$Q,8))</f>
        <v/>
      </c>
      <c r="I197" s="52">
        <f>IF(VLOOKUP(Table91213[[#This Row],[Date]],'DB Details'!$A:$Q,9)=0,"",VLOOKUP(Table91213[[#This Row],[Date]],'DB Details'!$A:$Q,9))</f>
        <v/>
      </c>
      <c r="J197" s="52">
        <f>IF(VLOOKUP(Table91213[[#This Row],[Date]],'DB Details'!$A:$Q,10)=0,"",VLOOKUP(Table91213[[#This Row],[Date]],'DB Details'!$A:$Q,10))</f>
        <v/>
      </c>
      <c r="K197" s="52">
        <f>IF(VLOOKUP(Table91213[[#This Row],[Date]],'DB Details'!$A:$Q,11)=0,"",VLOOKUP(Table91213[[#This Row],[Date]],'DB Details'!$A:$Q,11))</f>
        <v/>
      </c>
      <c r="L197" s="50">
        <f>IF(VLOOKUP(Table91213[[#This Row],[Date]],'DB Details'!$A:$Q,12)=0,"",VLOOKUP(Table91213[[#This Row],[Date]],'DB Details'!$A:$Q,12))</f>
        <v/>
      </c>
    </row>
    <row r="198">
      <c r="A198" s="53" t="n">
        <v>41456</v>
      </c>
      <c r="B198" s="50">
        <f>IF(VLOOKUP(Table91213[[#This Row],[Date]],'DB Details'!$A:$Q,2)=0,"",VLOOKUP(Table91213[[#This Row],[Date]],'DB Details'!$A:$Q,2))</f>
        <v/>
      </c>
      <c r="C198" s="51">
        <f>IF(VLOOKUP(Table91213[[#This Row],[Date]],'DB Details'!$A:$Q,3)=0,"",VLOOKUP(Table91213[[#This Row],[Date]],'DB Details'!$A:$Q,3))</f>
        <v/>
      </c>
      <c r="D198" s="51">
        <f>IF(VLOOKUP(Table91213[[#This Row],[Date]],'DB Details'!$A:$Q,4)=0,"",VLOOKUP(Table91213[[#This Row],[Date]],'DB Details'!$A:$Q,4))</f>
        <v/>
      </c>
      <c r="E198" s="52">
        <f>IF(VLOOKUP(Table91213[[#This Row],[Date]],'DB Details'!$A:$Q,5)=0,"",VLOOKUP(Table91213[[#This Row],[Date]],'DB Details'!$A:$Q,5))</f>
        <v/>
      </c>
      <c r="F198" s="51">
        <f>IF(VLOOKUP(Table91213[[#This Row],[Date]],'DB Details'!$A:$Q,6)=0,"",VLOOKUP(Table91213[[#This Row],[Date]],'DB Details'!$A:$Q,6))</f>
        <v/>
      </c>
      <c r="G198" s="52">
        <f>IF(VLOOKUP(Table91213[[#This Row],[Date]],'DB Details'!$A:$Q,7)=0,"",VLOOKUP(Table91213[[#This Row],[Date]],'DB Details'!$A:$Q,7))</f>
        <v/>
      </c>
      <c r="H198" s="52">
        <f>IF(VLOOKUP(Table91213[[#This Row],[Date]],'DB Details'!$A:$Q,8)=0,"",VLOOKUP(Table91213[[#This Row],[Date]],'DB Details'!$A:$Q,8))</f>
        <v/>
      </c>
      <c r="I198" s="52">
        <f>IF(VLOOKUP(Table91213[[#This Row],[Date]],'DB Details'!$A:$Q,9)=0,"",VLOOKUP(Table91213[[#This Row],[Date]],'DB Details'!$A:$Q,9))</f>
        <v/>
      </c>
      <c r="J198" s="52">
        <f>IF(VLOOKUP(Table91213[[#This Row],[Date]],'DB Details'!$A:$Q,10)=0,"",VLOOKUP(Table91213[[#This Row],[Date]],'DB Details'!$A:$Q,10))</f>
        <v/>
      </c>
      <c r="K198" s="52">
        <f>IF(VLOOKUP(Table91213[[#This Row],[Date]],'DB Details'!$A:$Q,11)=0,"",VLOOKUP(Table91213[[#This Row],[Date]],'DB Details'!$A:$Q,11))</f>
        <v/>
      </c>
      <c r="L198" s="50">
        <f>IF(VLOOKUP(Table91213[[#This Row],[Date]],'DB Details'!$A:$Q,12)=0,"",VLOOKUP(Table91213[[#This Row],[Date]],'DB Details'!$A:$Q,12))</f>
        <v/>
      </c>
    </row>
    <row r="199">
      <c r="A199" s="53" t="n">
        <v>41487</v>
      </c>
      <c r="B199" s="50">
        <f>IF(VLOOKUP(Table91213[[#This Row],[Date]],'DB Details'!$A:$Q,2)=0,"",VLOOKUP(Table91213[[#This Row],[Date]],'DB Details'!$A:$Q,2))</f>
        <v/>
      </c>
      <c r="C199" s="51">
        <f>IF(VLOOKUP(Table91213[[#This Row],[Date]],'DB Details'!$A:$Q,3)=0,"",VLOOKUP(Table91213[[#This Row],[Date]],'DB Details'!$A:$Q,3))</f>
        <v/>
      </c>
      <c r="D199" s="51">
        <f>IF(VLOOKUP(Table91213[[#This Row],[Date]],'DB Details'!$A:$Q,4)=0,"",VLOOKUP(Table91213[[#This Row],[Date]],'DB Details'!$A:$Q,4))</f>
        <v/>
      </c>
      <c r="E199" s="52">
        <f>IF(VLOOKUP(Table91213[[#This Row],[Date]],'DB Details'!$A:$Q,5)=0,"",VLOOKUP(Table91213[[#This Row],[Date]],'DB Details'!$A:$Q,5))</f>
        <v/>
      </c>
      <c r="F199" s="51">
        <f>IF(VLOOKUP(Table91213[[#This Row],[Date]],'DB Details'!$A:$Q,6)=0,"",VLOOKUP(Table91213[[#This Row],[Date]],'DB Details'!$A:$Q,6))</f>
        <v/>
      </c>
      <c r="G199" s="52">
        <f>IF(VLOOKUP(Table91213[[#This Row],[Date]],'DB Details'!$A:$Q,7)=0,"",VLOOKUP(Table91213[[#This Row],[Date]],'DB Details'!$A:$Q,7))</f>
        <v/>
      </c>
      <c r="H199" s="52">
        <f>IF(VLOOKUP(Table91213[[#This Row],[Date]],'DB Details'!$A:$Q,8)=0,"",VLOOKUP(Table91213[[#This Row],[Date]],'DB Details'!$A:$Q,8))</f>
        <v/>
      </c>
      <c r="I199" s="52">
        <f>IF(VLOOKUP(Table91213[[#This Row],[Date]],'DB Details'!$A:$Q,9)=0,"",VLOOKUP(Table91213[[#This Row],[Date]],'DB Details'!$A:$Q,9))</f>
        <v/>
      </c>
      <c r="J199" s="52">
        <f>IF(VLOOKUP(Table91213[[#This Row],[Date]],'DB Details'!$A:$Q,10)=0,"",VLOOKUP(Table91213[[#This Row],[Date]],'DB Details'!$A:$Q,10))</f>
        <v/>
      </c>
      <c r="K199" s="52">
        <f>IF(VLOOKUP(Table91213[[#This Row],[Date]],'DB Details'!$A:$Q,11)=0,"",VLOOKUP(Table91213[[#This Row],[Date]],'DB Details'!$A:$Q,11))</f>
        <v/>
      </c>
      <c r="L199" s="50">
        <f>IF(VLOOKUP(Table91213[[#This Row],[Date]],'DB Details'!$A:$Q,12)=0,"",VLOOKUP(Table91213[[#This Row],[Date]],'DB Details'!$A:$Q,12))</f>
        <v/>
      </c>
    </row>
    <row r="200">
      <c r="A200" s="53" t="n">
        <v>41518</v>
      </c>
      <c r="B200" s="50">
        <f>IF(VLOOKUP(Table91213[[#This Row],[Date]],'DB Details'!$A:$Q,2)=0,"",VLOOKUP(Table91213[[#This Row],[Date]],'DB Details'!$A:$Q,2))</f>
        <v/>
      </c>
      <c r="C200" s="51">
        <f>IF(VLOOKUP(Table91213[[#This Row],[Date]],'DB Details'!$A:$Q,3)=0,"",VLOOKUP(Table91213[[#This Row],[Date]],'DB Details'!$A:$Q,3))</f>
        <v/>
      </c>
      <c r="D200" s="51">
        <f>IF(VLOOKUP(Table91213[[#This Row],[Date]],'DB Details'!$A:$Q,4)=0,"",VLOOKUP(Table91213[[#This Row],[Date]],'DB Details'!$A:$Q,4))</f>
        <v/>
      </c>
      <c r="E200" s="52">
        <f>IF(VLOOKUP(Table91213[[#This Row],[Date]],'DB Details'!$A:$Q,5)=0,"",VLOOKUP(Table91213[[#This Row],[Date]],'DB Details'!$A:$Q,5))</f>
        <v/>
      </c>
      <c r="F200" s="51">
        <f>IF(VLOOKUP(Table91213[[#This Row],[Date]],'DB Details'!$A:$Q,6)=0,"",VLOOKUP(Table91213[[#This Row],[Date]],'DB Details'!$A:$Q,6))</f>
        <v/>
      </c>
      <c r="G200" s="52">
        <f>IF(VLOOKUP(Table91213[[#This Row],[Date]],'DB Details'!$A:$Q,7)=0,"",VLOOKUP(Table91213[[#This Row],[Date]],'DB Details'!$A:$Q,7))</f>
        <v/>
      </c>
      <c r="H200" s="52">
        <f>IF(VLOOKUP(Table91213[[#This Row],[Date]],'DB Details'!$A:$Q,8)=0,"",VLOOKUP(Table91213[[#This Row],[Date]],'DB Details'!$A:$Q,8))</f>
        <v/>
      </c>
      <c r="I200" s="52">
        <f>IF(VLOOKUP(Table91213[[#This Row],[Date]],'DB Details'!$A:$Q,9)=0,"",VLOOKUP(Table91213[[#This Row],[Date]],'DB Details'!$A:$Q,9))</f>
        <v/>
      </c>
      <c r="J200" s="52">
        <f>IF(VLOOKUP(Table91213[[#This Row],[Date]],'DB Details'!$A:$Q,10)=0,"",VLOOKUP(Table91213[[#This Row],[Date]],'DB Details'!$A:$Q,10))</f>
        <v/>
      </c>
      <c r="K200" s="52">
        <f>IF(VLOOKUP(Table91213[[#This Row],[Date]],'DB Details'!$A:$Q,11)=0,"",VLOOKUP(Table91213[[#This Row],[Date]],'DB Details'!$A:$Q,11))</f>
        <v/>
      </c>
      <c r="L200" s="50">
        <f>IF(VLOOKUP(Table91213[[#This Row],[Date]],'DB Details'!$A:$Q,12)=0,"",VLOOKUP(Table91213[[#This Row],[Date]],'DB Details'!$A:$Q,12))</f>
        <v/>
      </c>
    </row>
    <row r="201">
      <c r="A201" s="53" t="n">
        <v>41548</v>
      </c>
      <c r="B201" s="50">
        <f>IF(VLOOKUP(Table91213[[#This Row],[Date]],'DB Details'!$A:$Q,2)=0,"",VLOOKUP(Table91213[[#This Row],[Date]],'DB Details'!$A:$Q,2))</f>
        <v/>
      </c>
      <c r="C201" s="51">
        <f>IF(VLOOKUP(Table91213[[#This Row],[Date]],'DB Details'!$A:$Q,3)=0,"",VLOOKUP(Table91213[[#This Row],[Date]],'DB Details'!$A:$Q,3))</f>
        <v/>
      </c>
      <c r="D201" s="51">
        <f>IF(VLOOKUP(Table91213[[#This Row],[Date]],'DB Details'!$A:$Q,4)=0,"",VLOOKUP(Table91213[[#This Row],[Date]],'DB Details'!$A:$Q,4))</f>
        <v/>
      </c>
      <c r="E201" s="52">
        <f>IF(VLOOKUP(Table91213[[#This Row],[Date]],'DB Details'!$A:$Q,5)=0,"",VLOOKUP(Table91213[[#This Row],[Date]],'DB Details'!$A:$Q,5))</f>
        <v/>
      </c>
      <c r="F201" s="51">
        <f>IF(VLOOKUP(Table91213[[#This Row],[Date]],'DB Details'!$A:$Q,6)=0,"",VLOOKUP(Table91213[[#This Row],[Date]],'DB Details'!$A:$Q,6))</f>
        <v/>
      </c>
      <c r="G201" s="52">
        <f>IF(VLOOKUP(Table91213[[#This Row],[Date]],'DB Details'!$A:$Q,7)=0,"",VLOOKUP(Table91213[[#This Row],[Date]],'DB Details'!$A:$Q,7))</f>
        <v/>
      </c>
      <c r="H201" s="52">
        <f>IF(VLOOKUP(Table91213[[#This Row],[Date]],'DB Details'!$A:$Q,8)=0,"",VLOOKUP(Table91213[[#This Row],[Date]],'DB Details'!$A:$Q,8))</f>
        <v/>
      </c>
      <c r="I201" s="52">
        <f>IF(VLOOKUP(Table91213[[#This Row],[Date]],'DB Details'!$A:$Q,9)=0,"",VLOOKUP(Table91213[[#This Row],[Date]],'DB Details'!$A:$Q,9))</f>
        <v/>
      </c>
      <c r="J201" s="52">
        <f>IF(VLOOKUP(Table91213[[#This Row],[Date]],'DB Details'!$A:$Q,10)=0,"",VLOOKUP(Table91213[[#This Row],[Date]],'DB Details'!$A:$Q,10))</f>
        <v/>
      </c>
      <c r="K201" s="52">
        <f>IF(VLOOKUP(Table91213[[#This Row],[Date]],'DB Details'!$A:$Q,11)=0,"",VLOOKUP(Table91213[[#This Row],[Date]],'DB Details'!$A:$Q,11))</f>
        <v/>
      </c>
      <c r="L201" s="50">
        <f>IF(VLOOKUP(Table91213[[#This Row],[Date]],'DB Details'!$A:$Q,12)=0,"",VLOOKUP(Table91213[[#This Row],[Date]],'DB Details'!$A:$Q,12))</f>
        <v/>
      </c>
    </row>
    <row r="202">
      <c r="A202" s="53" t="n">
        <v>41579</v>
      </c>
      <c r="B202" s="50">
        <f>IF(VLOOKUP(Table91213[[#This Row],[Date]],'DB Details'!$A:$Q,2)=0,"",VLOOKUP(Table91213[[#This Row],[Date]],'DB Details'!$A:$Q,2))</f>
        <v/>
      </c>
      <c r="C202" s="51">
        <f>IF(VLOOKUP(Table91213[[#This Row],[Date]],'DB Details'!$A:$Q,3)=0,"",VLOOKUP(Table91213[[#This Row],[Date]],'DB Details'!$A:$Q,3))</f>
        <v/>
      </c>
      <c r="D202" s="51">
        <f>IF(VLOOKUP(Table91213[[#This Row],[Date]],'DB Details'!$A:$Q,4)=0,"",VLOOKUP(Table91213[[#This Row],[Date]],'DB Details'!$A:$Q,4))</f>
        <v/>
      </c>
      <c r="E202" s="52">
        <f>IF(VLOOKUP(Table91213[[#This Row],[Date]],'DB Details'!$A:$Q,5)=0,"",VLOOKUP(Table91213[[#This Row],[Date]],'DB Details'!$A:$Q,5))</f>
        <v/>
      </c>
      <c r="F202" s="51">
        <f>IF(VLOOKUP(Table91213[[#This Row],[Date]],'DB Details'!$A:$Q,6)=0,"",VLOOKUP(Table91213[[#This Row],[Date]],'DB Details'!$A:$Q,6))</f>
        <v/>
      </c>
      <c r="G202" s="52">
        <f>IF(VLOOKUP(Table91213[[#This Row],[Date]],'DB Details'!$A:$Q,7)=0,"",VLOOKUP(Table91213[[#This Row],[Date]],'DB Details'!$A:$Q,7))</f>
        <v/>
      </c>
      <c r="H202" s="52">
        <f>IF(VLOOKUP(Table91213[[#This Row],[Date]],'DB Details'!$A:$Q,8)=0,"",VLOOKUP(Table91213[[#This Row],[Date]],'DB Details'!$A:$Q,8))</f>
        <v/>
      </c>
      <c r="I202" s="52">
        <f>IF(VLOOKUP(Table91213[[#This Row],[Date]],'DB Details'!$A:$Q,9)=0,"",VLOOKUP(Table91213[[#This Row],[Date]],'DB Details'!$A:$Q,9))</f>
        <v/>
      </c>
      <c r="J202" s="52">
        <f>IF(VLOOKUP(Table91213[[#This Row],[Date]],'DB Details'!$A:$Q,10)=0,"",VLOOKUP(Table91213[[#This Row],[Date]],'DB Details'!$A:$Q,10))</f>
        <v/>
      </c>
      <c r="K202" s="52">
        <f>IF(VLOOKUP(Table91213[[#This Row],[Date]],'DB Details'!$A:$Q,11)=0,"",VLOOKUP(Table91213[[#This Row],[Date]],'DB Details'!$A:$Q,11))</f>
        <v/>
      </c>
      <c r="L202" s="50">
        <f>IF(VLOOKUP(Table91213[[#This Row],[Date]],'DB Details'!$A:$Q,12)=0,"",VLOOKUP(Table91213[[#This Row],[Date]],'DB Details'!$A:$Q,12))</f>
        <v/>
      </c>
    </row>
    <row r="203">
      <c r="A203" s="53" t="n">
        <v>41609</v>
      </c>
      <c r="B203" s="50">
        <f>IF(VLOOKUP(Table91213[[#This Row],[Date]],'DB Details'!$A:$Q,2)=0,"",VLOOKUP(Table91213[[#This Row],[Date]],'DB Details'!$A:$Q,2))</f>
        <v/>
      </c>
      <c r="C203" s="51">
        <f>IF(VLOOKUP(Table91213[[#This Row],[Date]],'DB Details'!$A:$Q,3)=0,"",VLOOKUP(Table91213[[#This Row],[Date]],'DB Details'!$A:$Q,3))</f>
        <v/>
      </c>
      <c r="D203" s="51">
        <f>IF(VLOOKUP(Table91213[[#This Row],[Date]],'DB Details'!$A:$Q,4)=0,"",VLOOKUP(Table91213[[#This Row],[Date]],'DB Details'!$A:$Q,4))</f>
        <v/>
      </c>
      <c r="E203" s="52">
        <f>IF(VLOOKUP(Table91213[[#This Row],[Date]],'DB Details'!$A:$Q,5)=0,"",VLOOKUP(Table91213[[#This Row],[Date]],'DB Details'!$A:$Q,5))</f>
        <v/>
      </c>
      <c r="F203" s="51">
        <f>IF(VLOOKUP(Table91213[[#This Row],[Date]],'DB Details'!$A:$Q,6)=0,"",VLOOKUP(Table91213[[#This Row],[Date]],'DB Details'!$A:$Q,6))</f>
        <v/>
      </c>
      <c r="G203" s="52">
        <f>IF(VLOOKUP(Table91213[[#This Row],[Date]],'DB Details'!$A:$Q,7)=0,"",VLOOKUP(Table91213[[#This Row],[Date]],'DB Details'!$A:$Q,7))</f>
        <v/>
      </c>
      <c r="H203" s="52">
        <f>IF(VLOOKUP(Table91213[[#This Row],[Date]],'DB Details'!$A:$Q,8)=0,"",VLOOKUP(Table91213[[#This Row],[Date]],'DB Details'!$A:$Q,8))</f>
        <v/>
      </c>
      <c r="I203" s="52">
        <f>IF(VLOOKUP(Table91213[[#This Row],[Date]],'DB Details'!$A:$Q,9)=0,"",VLOOKUP(Table91213[[#This Row],[Date]],'DB Details'!$A:$Q,9))</f>
        <v/>
      </c>
      <c r="J203" s="52">
        <f>IF(VLOOKUP(Table91213[[#This Row],[Date]],'DB Details'!$A:$Q,10)=0,"",VLOOKUP(Table91213[[#This Row],[Date]],'DB Details'!$A:$Q,10))</f>
        <v/>
      </c>
      <c r="K203" s="52">
        <f>IF(VLOOKUP(Table91213[[#This Row],[Date]],'DB Details'!$A:$Q,11)=0,"",VLOOKUP(Table91213[[#This Row],[Date]],'DB Details'!$A:$Q,11))</f>
        <v/>
      </c>
      <c r="L203" s="50">
        <f>IF(VLOOKUP(Table91213[[#This Row],[Date]],'DB Details'!$A:$Q,12)=0,"",VLOOKUP(Table91213[[#This Row],[Date]],'DB Details'!$A:$Q,12))</f>
        <v/>
      </c>
    </row>
    <row r="204">
      <c r="A204" s="53" t="n">
        <v>41640</v>
      </c>
      <c r="B204" s="50">
        <f>IF(VLOOKUP(Table91213[[#This Row],[Date]],'DB Details'!$A:$Q,2)=0,"",VLOOKUP(Table91213[[#This Row],[Date]],'DB Details'!$A:$Q,2))</f>
        <v/>
      </c>
      <c r="C204" s="51">
        <f>IF(VLOOKUP(Table91213[[#This Row],[Date]],'DB Details'!$A:$Q,3)=0,"",VLOOKUP(Table91213[[#This Row],[Date]],'DB Details'!$A:$Q,3))</f>
        <v/>
      </c>
      <c r="D204" s="51">
        <f>IF(VLOOKUP(Table91213[[#This Row],[Date]],'DB Details'!$A:$Q,4)=0,"",VLOOKUP(Table91213[[#This Row],[Date]],'DB Details'!$A:$Q,4))</f>
        <v/>
      </c>
      <c r="E204" s="52">
        <f>IF(VLOOKUP(Table91213[[#This Row],[Date]],'DB Details'!$A:$Q,5)=0,"",VLOOKUP(Table91213[[#This Row],[Date]],'DB Details'!$A:$Q,5))</f>
        <v/>
      </c>
      <c r="F204" s="51">
        <f>IF(VLOOKUP(Table91213[[#This Row],[Date]],'DB Details'!$A:$Q,6)=0,"",VLOOKUP(Table91213[[#This Row],[Date]],'DB Details'!$A:$Q,6))</f>
        <v/>
      </c>
      <c r="G204" s="52">
        <f>IF(VLOOKUP(Table91213[[#This Row],[Date]],'DB Details'!$A:$Q,7)=0,"",VLOOKUP(Table91213[[#This Row],[Date]],'DB Details'!$A:$Q,7))</f>
        <v/>
      </c>
      <c r="H204" s="52">
        <f>IF(VLOOKUP(Table91213[[#This Row],[Date]],'DB Details'!$A:$Q,8)=0,"",VLOOKUP(Table91213[[#This Row],[Date]],'DB Details'!$A:$Q,8))</f>
        <v/>
      </c>
      <c r="I204" s="52">
        <f>IF(VLOOKUP(Table91213[[#This Row],[Date]],'DB Details'!$A:$Q,9)=0,"",VLOOKUP(Table91213[[#This Row],[Date]],'DB Details'!$A:$Q,9))</f>
        <v/>
      </c>
      <c r="J204" s="52">
        <f>IF(VLOOKUP(Table91213[[#This Row],[Date]],'DB Details'!$A:$Q,10)=0,"",VLOOKUP(Table91213[[#This Row],[Date]],'DB Details'!$A:$Q,10))</f>
        <v/>
      </c>
      <c r="K204" s="52">
        <f>IF(VLOOKUP(Table91213[[#This Row],[Date]],'DB Details'!$A:$Q,11)=0,"",VLOOKUP(Table91213[[#This Row],[Date]],'DB Details'!$A:$Q,11))</f>
        <v/>
      </c>
      <c r="L204" s="50">
        <f>IF(VLOOKUP(Table91213[[#This Row],[Date]],'DB Details'!$A:$Q,12)=0,"",VLOOKUP(Table91213[[#This Row],[Date]],'DB Details'!$A:$Q,12))</f>
        <v/>
      </c>
    </row>
    <row r="205">
      <c r="A205" s="53" t="n">
        <v>41671</v>
      </c>
      <c r="B205" s="50">
        <f>IF(VLOOKUP(Table91213[[#This Row],[Date]],'DB Details'!$A:$Q,2)=0,"",VLOOKUP(Table91213[[#This Row],[Date]],'DB Details'!$A:$Q,2))</f>
        <v/>
      </c>
      <c r="C205" s="51">
        <f>IF(VLOOKUP(Table91213[[#This Row],[Date]],'DB Details'!$A:$Q,3)=0,"",VLOOKUP(Table91213[[#This Row],[Date]],'DB Details'!$A:$Q,3))</f>
        <v/>
      </c>
      <c r="D205" s="51">
        <f>IF(VLOOKUP(Table91213[[#This Row],[Date]],'DB Details'!$A:$Q,4)=0,"",VLOOKUP(Table91213[[#This Row],[Date]],'DB Details'!$A:$Q,4))</f>
        <v/>
      </c>
      <c r="E205" s="52">
        <f>IF(VLOOKUP(Table91213[[#This Row],[Date]],'DB Details'!$A:$Q,5)=0,"",VLOOKUP(Table91213[[#This Row],[Date]],'DB Details'!$A:$Q,5))</f>
        <v/>
      </c>
      <c r="F205" s="51">
        <f>IF(VLOOKUP(Table91213[[#This Row],[Date]],'DB Details'!$A:$Q,6)=0,"",VLOOKUP(Table91213[[#This Row],[Date]],'DB Details'!$A:$Q,6))</f>
        <v/>
      </c>
      <c r="G205" s="52">
        <f>IF(VLOOKUP(Table91213[[#This Row],[Date]],'DB Details'!$A:$Q,7)=0,"",VLOOKUP(Table91213[[#This Row],[Date]],'DB Details'!$A:$Q,7))</f>
        <v/>
      </c>
      <c r="H205" s="52">
        <f>IF(VLOOKUP(Table91213[[#This Row],[Date]],'DB Details'!$A:$Q,8)=0,"",VLOOKUP(Table91213[[#This Row],[Date]],'DB Details'!$A:$Q,8))</f>
        <v/>
      </c>
      <c r="I205" s="52">
        <f>IF(VLOOKUP(Table91213[[#This Row],[Date]],'DB Details'!$A:$Q,9)=0,"",VLOOKUP(Table91213[[#This Row],[Date]],'DB Details'!$A:$Q,9))</f>
        <v/>
      </c>
      <c r="J205" s="52">
        <f>IF(VLOOKUP(Table91213[[#This Row],[Date]],'DB Details'!$A:$Q,10)=0,"",VLOOKUP(Table91213[[#This Row],[Date]],'DB Details'!$A:$Q,10))</f>
        <v/>
      </c>
      <c r="K205" s="52">
        <f>IF(VLOOKUP(Table91213[[#This Row],[Date]],'DB Details'!$A:$Q,11)=0,"",VLOOKUP(Table91213[[#This Row],[Date]],'DB Details'!$A:$Q,11))</f>
        <v/>
      </c>
      <c r="L205" s="50">
        <f>IF(VLOOKUP(Table91213[[#This Row],[Date]],'DB Details'!$A:$Q,12)=0,"",VLOOKUP(Table91213[[#This Row],[Date]],'DB Details'!$A:$Q,12))</f>
        <v/>
      </c>
    </row>
    <row r="206">
      <c r="A206" s="53" t="n">
        <v>41699</v>
      </c>
      <c r="B206" s="50">
        <f>IF(VLOOKUP(Table91213[[#This Row],[Date]],'DB Details'!$A:$Q,2)=0,"",VLOOKUP(Table91213[[#This Row],[Date]],'DB Details'!$A:$Q,2))</f>
        <v/>
      </c>
      <c r="C206" s="51">
        <f>IF(VLOOKUP(Table91213[[#This Row],[Date]],'DB Details'!$A:$Q,3)=0,"",VLOOKUP(Table91213[[#This Row],[Date]],'DB Details'!$A:$Q,3))</f>
        <v/>
      </c>
      <c r="D206" s="51">
        <f>IF(VLOOKUP(Table91213[[#This Row],[Date]],'DB Details'!$A:$Q,4)=0,"",VLOOKUP(Table91213[[#This Row],[Date]],'DB Details'!$A:$Q,4))</f>
        <v/>
      </c>
      <c r="E206" s="52">
        <f>IF(VLOOKUP(Table91213[[#This Row],[Date]],'DB Details'!$A:$Q,5)=0,"",VLOOKUP(Table91213[[#This Row],[Date]],'DB Details'!$A:$Q,5))</f>
        <v/>
      </c>
      <c r="F206" s="51">
        <f>IF(VLOOKUP(Table91213[[#This Row],[Date]],'DB Details'!$A:$Q,6)=0,"",VLOOKUP(Table91213[[#This Row],[Date]],'DB Details'!$A:$Q,6))</f>
        <v/>
      </c>
      <c r="G206" s="52">
        <f>IF(VLOOKUP(Table91213[[#This Row],[Date]],'DB Details'!$A:$Q,7)=0,"",VLOOKUP(Table91213[[#This Row],[Date]],'DB Details'!$A:$Q,7))</f>
        <v/>
      </c>
      <c r="H206" s="52">
        <f>IF(VLOOKUP(Table91213[[#This Row],[Date]],'DB Details'!$A:$Q,8)=0,"",VLOOKUP(Table91213[[#This Row],[Date]],'DB Details'!$A:$Q,8))</f>
        <v/>
      </c>
      <c r="I206" s="52">
        <f>IF(VLOOKUP(Table91213[[#This Row],[Date]],'DB Details'!$A:$Q,9)=0,"",VLOOKUP(Table91213[[#This Row],[Date]],'DB Details'!$A:$Q,9))</f>
        <v/>
      </c>
      <c r="J206" s="52">
        <f>IF(VLOOKUP(Table91213[[#This Row],[Date]],'DB Details'!$A:$Q,10)=0,"",VLOOKUP(Table91213[[#This Row],[Date]],'DB Details'!$A:$Q,10))</f>
        <v/>
      </c>
      <c r="K206" s="52">
        <f>IF(VLOOKUP(Table91213[[#This Row],[Date]],'DB Details'!$A:$Q,11)=0,"",VLOOKUP(Table91213[[#This Row],[Date]],'DB Details'!$A:$Q,11))</f>
        <v/>
      </c>
      <c r="L206" s="50">
        <f>IF(VLOOKUP(Table91213[[#This Row],[Date]],'DB Details'!$A:$Q,12)=0,"",VLOOKUP(Table91213[[#This Row],[Date]],'DB Details'!$A:$Q,12))</f>
        <v/>
      </c>
    </row>
    <row r="207">
      <c r="A207" s="53" t="n">
        <v>41730</v>
      </c>
      <c r="B207" s="50">
        <f>IF(VLOOKUP(Table91213[[#This Row],[Date]],'DB Details'!$A:$Q,2)=0,"",VLOOKUP(Table91213[[#This Row],[Date]],'DB Details'!$A:$Q,2))</f>
        <v/>
      </c>
      <c r="C207" s="51">
        <f>IF(VLOOKUP(Table91213[[#This Row],[Date]],'DB Details'!$A:$Q,3)=0,"",VLOOKUP(Table91213[[#This Row],[Date]],'DB Details'!$A:$Q,3))</f>
        <v/>
      </c>
      <c r="D207" s="51">
        <f>IF(VLOOKUP(Table91213[[#This Row],[Date]],'DB Details'!$A:$Q,4)=0,"",VLOOKUP(Table91213[[#This Row],[Date]],'DB Details'!$A:$Q,4))</f>
        <v/>
      </c>
      <c r="E207" s="52">
        <f>IF(VLOOKUP(Table91213[[#This Row],[Date]],'DB Details'!$A:$Q,5)=0,"",VLOOKUP(Table91213[[#This Row],[Date]],'DB Details'!$A:$Q,5))</f>
        <v/>
      </c>
      <c r="F207" s="51">
        <f>IF(VLOOKUP(Table91213[[#This Row],[Date]],'DB Details'!$A:$Q,6)=0,"",VLOOKUP(Table91213[[#This Row],[Date]],'DB Details'!$A:$Q,6))</f>
        <v/>
      </c>
      <c r="G207" s="52">
        <f>IF(VLOOKUP(Table91213[[#This Row],[Date]],'DB Details'!$A:$Q,7)=0,"",VLOOKUP(Table91213[[#This Row],[Date]],'DB Details'!$A:$Q,7))</f>
        <v/>
      </c>
      <c r="H207" s="52">
        <f>IF(VLOOKUP(Table91213[[#This Row],[Date]],'DB Details'!$A:$Q,8)=0,"",VLOOKUP(Table91213[[#This Row],[Date]],'DB Details'!$A:$Q,8))</f>
        <v/>
      </c>
      <c r="I207" s="52">
        <f>IF(VLOOKUP(Table91213[[#This Row],[Date]],'DB Details'!$A:$Q,9)=0,"",VLOOKUP(Table91213[[#This Row],[Date]],'DB Details'!$A:$Q,9))</f>
        <v/>
      </c>
      <c r="J207" s="52">
        <f>IF(VLOOKUP(Table91213[[#This Row],[Date]],'DB Details'!$A:$Q,10)=0,"",VLOOKUP(Table91213[[#This Row],[Date]],'DB Details'!$A:$Q,10))</f>
        <v/>
      </c>
      <c r="K207" s="52">
        <f>IF(VLOOKUP(Table91213[[#This Row],[Date]],'DB Details'!$A:$Q,11)=0,"",VLOOKUP(Table91213[[#This Row],[Date]],'DB Details'!$A:$Q,11))</f>
        <v/>
      </c>
      <c r="L207" s="50">
        <f>IF(VLOOKUP(Table91213[[#This Row],[Date]],'DB Details'!$A:$Q,12)=0,"",VLOOKUP(Table91213[[#This Row],[Date]],'DB Details'!$A:$Q,12))</f>
        <v/>
      </c>
    </row>
    <row r="208">
      <c r="A208" s="53" t="n">
        <v>41760</v>
      </c>
      <c r="B208" s="50">
        <f>IF(VLOOKUP(Table91213[[#This Row],[Date]],'DB Details'!$A:$Q,2)=0,"",VLOOKUP(Table91213[[#This Row],[Date]],'DB Details'!$A:$Q,2))</f>
        <v/>
      </c>
      <c r="C208" s="51">
        <f>IF(VLOOKUP(Table91213[[#This Row],[Date]],'DB Details'!$A:$Q,3)=0,"",VLOOKUP(Table91213[[#This Row],[Date]],'DB Details'!$A:$Q,3))</f>
        <v/>
      </c>
      <c r="D208" s="51">
        <f>IF(VLOOKUP(Table91213[[#This Row],[Date]],'DB Details'!$A:$Q,4)=0,"",VLOOKUP(Table91213[[#This Row],[Date]],'DB Details'!$A:$Q,4))</f>
        <v/>
      </c>
      <c r="E208" s="52">
        <f>IF(VLOOKUP(Table91213[[#This Row],[Date]],'DB Details'!$A:$Q,5)=0,"",VLOOKUP(Table91213[[#This Row],[Date]],'DB Details'!$A:$Q,5))</f>
        <v/>
      </c>
      <c r="F208" s="51">
        <f>IF(VLOOKUP(Table91213[[#This Row],[Date]],'DB Details'!$A:$Q,6)=0,"",VLOOKUP(Table91213[[#This Row],[Date]],'DB Details'!$A:$Q,6))</f>
        <v/>
      </c>
      <c r="G208" s="52">
        <f>IF(VLOOKUP(Table91213[[#This Row],[Date]],'DB Details'!$A:$Q,7)=0,"",VLOOKUP(Table91213[[#This Row],[Date]],'DB Details'!$A:$Q,7))</f>
        <v/>
      </c>
      <c r="H208" s="52">
        <f>IF(VLOOKUP(Table91213[[#This Row],[Date]],'DB Details'!$A:$Q,8)=0,"",VLOOKUP(Table91213[[#This Row],[Date]],'DB Details'!$A:$Q,8))</f>
        <v/>
      </c>
      <c r="I208" s="52">
        <f>IF(VLOOKUP(Table91213[[#This Row],[Date]],'DB Details'!$A:$Q,9)=0,"",VLOOKUP(Table91213[[#This Row],[Date]],'DB Details'!$A:$Q,9))</f>
        <v/>
      </c>
      <c r="J208" s="52">
        <f>IF(VLOOKUP(Table91213[[#This Row],[Date]],'DB Details'!$A:$Q,10)=0,"",VLOOKUP(Table91213[[#This Row],[Date]],'DB Details'!$A:$Q,10))</f>
        <v/>
      </c>
      <c r="K208" s="52">
        <f>IF(VLOOKUP(Table91213[[#This Row],[Date]],'DB Details'!$A:$Q,11)=0,"",VLOOKUP(Table91213[[#This Row],[Date]],'DB Details'!$A:$Q,11))</f>
        <v/>
      </c>
      <c r="L208" s="50">
        <f>IF(VLOOKUP(Table91213[[#This Row],[Date]],'DB Details'!$A:$Q,12)=0,"",VLOOKUP(Table91213[[#This Row],[Date]],'DB Details'!$A:$Q,12))</f>
        <v/>
      </c>
    </row>
    <row r="209">
      <c r="A209" s="53" t="n">
        <v>41791</v>
      </c>
      <c r="B209" s="50">
        <f>IF(VLOOKUP(Table91213[[#This Row],[Date]],'DB Details'!$A:$Q,2)=0,"",VLOOKUP(Table91213[[#This Row],[Date]],'DB Details'!$A:$Q,2))</f>
        <v/>
      </c>
      <c r="C209" s="51">
        <f>IF(VLOOKUP(Table91213[[#This Row],[Date]],'DB Details'!$A:$Q,3)=0,"",VLOOKUP(Table91213[[#This Row],[Date]],'DB Details'!$A:$Q,3))</f>
        <v/>
      </c>
      <c r="D209" s="51">
        <f>IF(VLOOKUP(Table91213[[#This Row],[Date]],'DB Details'!$A:$Q,4)=0,"",VLOOKUP(Table91213[[#This Row],[Date]],'DB Details'!$A:$Q,4))</f>
        <v/>
      </c>
      <c r="E209" s="52">
        <f>IF(VLOOKUP(Table91213[[#This Row],[Date]],'DB Details'!$A:$Q,5)=0,"",VLOOKUP(Table91213[[#This Row],[Date]],'DB Details'!$A:$Q,5))</f>
        <v/>
      </c>
      <c r="F209" s="51">
        <f>IF(VLOOKUP(Table91213[[#This Row],[Date]],'DB Details'!$A:$Q,6)=0,"",VLOOKUP(Table91213[[#This Row],[Date]],'DB Details'!$A:$Q,6))</f>
        <v/>
      </c>
      <c r="G209" s="52">
        <f>IF(VLOOKUP(Table91213[[#This Row],[Date]],'DB Details'!$A:$Q,7)=0,"",VLOOKUP(Table91213[[#This Row],[Date]],'DB Details'!$A:$Q,7))</f>
        <v/>
      </c>
      <c r="H209" s="52">
        <f>IF(VLOOKUP(Table91213[[#This Row],[Date]],'DB Details'!$A:$Q,8)=0,"",VLOOKUP(Table91213[[#This Row],[Date]],'DB Details'!$A:$Q,8))</f>
        <v/>
      </c>
      <c r="I209" s="52">
        <f>IF(VLOOKUP(Table91213[[#This Row],[Date]],'DB Details'!$A:$Q,9)=0,"",VLOOKUP(Table91213[[#This Row],[Date]],'DB Details'!$A:$Q,9))</f>
        <v/>
      </c>
      <c r="J209" s="52">
        <f>IF(VLOOKUP(Table91213[[#This Row],[Date]],'DB Details'!$A:$Q,10)=0,"",VLOOKUP(Table91213[[#This Row],[Date]],'DB Details'!$A:$Q,10))</f>
        <v/>
      </c>
      <c r="K209" s="52">
        <f>IF(VLOOKUP(Table91213[[#This Row],[Date]],'DB Details'!$A:$Q,11)=0,"",VLOOKUP(Table91213[[#This Row],[Date]],'DB Details'!$A:$Q,11))</f>
        <v/>
      </c>
      <c r="L209" s="50">
        <f>IF(VLOOKUP(Table91213[[#This Row],[Date]],'DB Details'!$A:$Q,12)=0,"",VLOOKUP(Table91213[[#This Row],[Date]],'DB Details'!$A:$Q,12))</f>
        <v/>
      </c>
    </row>
    <row r="210">
      <c r="A210" s="53" t="n">
        <v>41821</v>
      </c>
      <c r="B210" s="50">
        <f>IF(VLOOKUP(Table91213[[#This Row],[Date]],'DB Details'!$A:$Q,2)=0,"",VLOOKUP(Table91213[[#This Row],[Date]],'DB Details'!$A:$Q,2))</f>
        <v/>
      </c>
      <c r="C210" s="51">
        <f>IF(VLOOKUP(Table91213[[#This Row],[Date]],'DB Details'!$A:$Q,3)=0,"",VLOOKUP(Table91213[[#This Row],[Date]],'DB Details'!$A:$Q,3))</f>
        <v/>
      </c>
      <c r="D210" s="51">
        <f>IF(VLOOKUP(Table91213[[#This Row],[Date]],'DB Details'!$A:$Q,4)=0,"",VLOOKUP(Table91213[[#This Row],[Date]],'DB Details'!$A:$Q,4))</f>
        <v/>
      </c>
      <c r="E210" s="52">
        <f>IF(VLOOKUP(Table91213[[#This Row],[Date]],'DB Details'!$A:$Q,5)=0,"",VLOOKUP(Table91213[[#This Row],[Date]],'DB Details'!$A:$Q,5))</f>
        <v/>
      </c>
      <c r="F210" s="51">
        <f>IF(VLOOKUP(Table91213[[#This Row],[Date]],'DB Details'!$A:$Q,6)=0,"",VLOOKUP(Table91213[[#This Row],[Date]],'DB Details'!$A:$Q,6))</f>
        <v/>
      </c>
      <c r="G210" s="52">
        <f>IF(VLOOKUP(Table91213[[#This Row],[Date]],'DB Details'!$A:$Q,7)=0,"",VLOOKUP(Table91213[[#This Row],[Date]],'DB Details'!$A:$Q,7))</f>
        <v/>
      </c>
      <c r="H210" s="52">
        <f>IF(VLOOKUP(Table91213[[#This Row],[Date]],'DB Details'!$A:$Q,8)=0,"",VLOOKUP(Table91213[[#This Row],[Date]],'DB Details'!$A:$Q,8))</f>
        <v/>
      </c>
      <c r="I210" s="52">
        <f>IF(VLOOKUP(Table91213[[#This Row],[Date]],'DB Details'!$A:$Q,9)=0,"",VLOOKUP(Table91213[[#This Row],[Date]],'DB Details'!$A:$Q,9))</f>
        <v/>
      </c>
      <c r="J210" s="52">
        <f>IF(VLOOKUP(Table91213[[#This Row],[Date]],'DB Details'!$A:$Q,10)=0,"",VLOOKUP(Table91213[[#This Row],[Date]],'DB Details'!$A:$Q,10))</f>
        <v/>
      </c>
      <c r="K210" s="52">
        <f>IF(VLOOKUP(Table91213[[#This Row],[Date]],'DB Details'!$A:$Q,11)=0,"",VLOOKUP(Table91213[[#This Row],[Date]],'DB Details'!$A:$Q,11))</f>
        <v/>
      </c>
      <c r="L210" s="50">
        <f>IF(VLOOKUP(Table91213[[#This Row],[Date]],'DB Details'!$A:$Q,12)=0,"",VLOOKUP(Table91213[[#This Row],[Date]],'DB Details'!$A:$Q,12))</f>
        <v/>
      </c>
    </row>
    <row r="211">
      <c r="A211" s="53" t="n">
        <v>41852</v>
      </c>
      <c r="B211" s="50">
        <f>IF(VLOOKUP(Table91213[[#This Row],[Date]],'DB Details'!$A:$Q,2)=0,"",VLOOKUP(Table91213[[#This Row],[Date]],'DB Details'!$A:$Q,2))</f>
        <v/>
      </c>
      <c r="C211" s="51">
        <f>IF(VLOOKUP(Table91213[[#This Row],[Date]],'DB Details'!$A:$Q,3)=0,"",VLOOKUP(Table91213[[#This Row],[Date]],'DB Details'!$A:$Q,3))</f>
        <v/>
      </c>
      <c r="D211" s="51">
        <f>IF(VLOOKUP(Table91213[[#This Row],[Date]],'DB Details'!$A:$Q,4)=0,"",VLOOKUP(Table91213[[#This Row],[Date]],'DB Details'!$A:$Q,4))</f>
        <v/>
      </c>
      <c r="E211" s="52">
        <f>IF(VLOOKUP(Table91213[[#This Row],[Date]],'DB Details'!$A:$Q,5)=0,"",VLOOKUP(Table91213[[#This Row],[Date]],'DB Details'!$A:$Q,5))</f>
        <v/>
      </c>
      <c r="F211" s="51">
        <f>IF(VLOOKUP(Table91213[[#This Row],[Date]],'DB Details'!$A:$Q,6)=0,"",VLOOKUP(Table91213[[#This Row],[Date]],'DB Details'!$A:$Q,6))</f>
        <v/>
      </c>
      <c r="G211" s="52">
        <f>IF(VLOOKUP(Table91213[[#This Row],[Date]],'DB Details'!$A:$Q,7)=0,"",VLOOKUP(Table91213[[#This Row],[Date]],'DB Details'!$A:$Q,7))</f>
        <v/>
      </c>
      <c r="H211" s="52">
        <f>IF(VLOOKUP(Table91213[[#This Row],[Date]],'DB Details'!$A:$Q,8)=0,"",VLOOKUP(Table91213[[#This Row],[Date]],'DB Details'!$A:$Q,8))</f>
        <v/>
      </c>
      <c r="I211" s="52">
        <f>IF(VLOOKUP(Table91213[[#This Row],[Date]],'DB Details'!$A:$Q,9)=0,"",VLOOKUP(Table91213[[#This Row],[Date]],'DB Details'!$A:$Q,9))</f>
        <v/>
      </c>
      <c r="J211" s="52">
        <f>IF(VLOOKUP(Table91213[[#This Row],[Date]],'DB Details'!$A:$Q,10)=0,"",VLOOKUP(Table91213[[#This Row],[Date]],'DB Details'!$A:$Q,10))</f>
        <v/>
      </c>
      <c r="K211" s="52">
        <f>IF(VLOOKUP(Table91213[[#This Row],[Date]],'DB Details'!$A:$Q,11)=0,"",VLOOKUP(Table91213[[#This Row],[Date]],'DB Details'!$A:$Q,11))</f>
        <v/>
      </c>
      <c r="L211" s="50">
        <f>IF(VLOOKUP(Table91213[[#This Row],[Date]],'DB Details'!$A:$Q,12)=0,"",VLOOKUP(Table91213[[#This Row],[Date]],'DB Details'!$A:$Q,12))</f>
        <v/>
      </c>
    </row>
    <row r="212">
      <c r="A212" s="53" t="n">
        <v>41883</v>
      </c>
      <c r="B212" s="50">
        <f>IF(VLOOKUP(Table91213[[#This Row],[Date]],'DB Details'!$A:$Q,2)=0,"",VLOOKUP(Table91213[[#This Row],[Date]],'DB Details'!$A:$Q,2))</f>
        <v/>
      </c>
      <c r="C212" s="51">
        <f>IF(VLOOKUP(Table91213[[#This Row],[Date]],'DB Details'!$A:$Q,3)=0,"",VLOOKUP(Table91213[[#This Row],[Date]],'DB Details'!$A:$Q,3))</f>
        <v/>
      </c>
      <c r="D212" s="51">
        <f>IF(VLOOKUP(Table91213[[#This Row],[Date]],'DB Details'!$A:$Q,4)=0,"",VLOOKUP(Table91213[[#This Row],[Date]],'DB Details'!$A:$Q,4))</f>
        <v/>
      </c>
      <c r="E212" s="52">
        <f>IF(VLOOKUP(Table91213[[#This Row],[Date]],'DB Details'!$A:$Q,5)=0,"",VLOOKUP(Table91213[[#This Row],[Date]],'DB Details'!$A:$Q,5))</f>
        <v/>
      </c>
      <c r="F212" s="51">
        <f>IF(VLOOKUP(Table91213[[#This Row],[Date]],'DB Details'!$A:$Q,6)=0,"",VLOOKUP(Table91213[[#This Row],[Date]],'DB Details'!$A:$Q,6))</f>
        <v/>
      </c>
      <c r="G212" s="52">
        <f>IF(VLOOKUP(Table91213[[#This Row],[Date]],'DB Details'!$A:$Q,7)=0,"",VLOOKUP(Table91213[[#This Row],[Date]],'DB Details'!$A:$Q,7))</f>
        <v/>
      </c>
      <c r="H212" s="52">
        <f>IF(VLOOKUP(Table91213[[#This Row],[Date]],'DB Details'!$A:$Q,8)=0,"",VLOOKUP(Table91213[[#This Row],[Date]],'DB Details'!$A:$Q,8))</f>
        <v/>
      </c>
      <c r="I212" s="52">
        <f>IF(VLOOKUP(Table91213[[#This Row],[Date]],'DB Details'!$A:$Q,9)=0,"",VLOOKUP(Table91213[[#This Row],[Date]],'DB Details'!$A:$Q,9))</f>
        <v/>
      </c>
      <c r="J212" s="52">
        <f>IF(VLOOKUP(Table91213[[#This Row],[Date]],'DB Details'!$A:$Q,10)=0,"",VLOOKUP(Table91213[[#This Row],[Date]],'DB Details'!$A:$Q,10))</f>
        <v/>
      </c>
      <c r="K212" s="52">
        <f>IF(VLOOKUP(Table91213[[#This Row],[Date]],'DB Details'!$A:$Q,11)=0,"",VLOOKUP(Table91213[[#This Row],[Date]],'DB Details'!$A:$Q,11))</f>
        <v/>
      </c>
      <c r="L212" s="50">
        <f>IF(VLOOKUP(Table91213[[#This Row],[Date]],'DB Details'!$A:$Q,12)=0,"",VLOOKUP(Table91213[[#This Row],[Date]],'DB Details'!$A:$Q,12))</f>
        <v/>
      </c>
    </row>
    <row r="213">
      <c r="A213" s="53" t="n">
        <v>41913</v>
      </c>
      <c r="B213" s="50">
        <f>IF(VLOOKUP(Table91213[[#This Row],[Date]],'DB Details'!$A:$Q,2)=0,"",VLOOKUP(Table91213[[#This Row],[Date]],'DB Details'!$A:$Q,2))</f>
        <v/>
      </c>
      <c r="C213" s="51">
        <f>IF(VLOOKUP(Table91213[[#This Row],[Date]],'DB Details'!$A:$Q,3)=0,"",VLOOKUP(Table91213[[#This Row],[Date]],'DB Details'!$A:$Q,3))</f>
        <v/>
      </c>
      <c r="D213" s="51">
        <f>IF(VLOOKUP(Table91213[[#This Row],[Date]],'DB Details'!$A:$Q,4)=0,"",VLOOKUP(Table91213[[#This Row],[Date]],'DB Details'!$A:$Q,4))</f>
        <v/>
      </c>
      <c r="E213" s="52">
        <f>IF(VLOOKUP(Table91213[[#This Row],[Date]],'DB Details'!$A:$Q,5)=0,"",VLOOKUP(Table91213[[#This Row],[Date]],'DB Details'!$A:$Q,5))</f>
        <v/>
      </c>
      <c r="F213" s="51">
        <f>IF(VLOOKUP(Table91213[[#This Row],[Date]],'DB Details'!$A:$Q,6)=0,"",VLOOKUP(Table91213[[#This Row],[Date]],'DB Details'!$A:$Q,6))</f>
        <v/>
      </c>
      <c r="G213" s="52">
        <f>IF(VLOOKUP(Table91213[[#This Row],[Date]],'DB Details'!$A:$Q,7)=0,"",VLOOKUP(Table91213[[#This Row],[Date]],'DB Details'!$A:$Q,7))</f>
        <v/>
      </c>
      <c r="H213" s="52">
        <f>IF(VLOOKUP(Table91213[[#This Row],[Date]],'DB Details'!$A:$Q,8)=0,"",VLOOKUP(Table91213[[#This Row],[Date]],'DB Details'!$A:$Q,8))</f>
        <v/>
      </c>
      <c r="I213" s="52">
        <f>IF(VLOOKUP(Table91213[[#This Row],[Date]],'DB Details'!$A:$Q,9)=0,"",VLOOKUP(Table91213[[#This Row],[Date]],'DB Details'!$A:$Q,9))</f>
        <v/>
      </c>
      <c r="J213" s="52">
        <f>IF(VLOOKUP(Table91213[[#This Row],[Date]],'DB Details'!$A:$Q,10)=0,"",VLOOKUP(Table91213[[#This Row],[Date]],'DB Details'!$A:$Q,10))</f>
        <v/>
      </c>
      <c r="K213" s="52">
        <f>IF(VLOOKUP(Table91213[[#This Row],[Date]],'DB Details'!$A:$Q,11)=0,"",VLOOKUP(Table91213[[#This Row],[Date]],'DB Details'!$A:$Q,11))</f>
        <v/>
      </c>
      <c r="L213" s="50">
        <f>IF(VLOOKUP(Table91213[[#This Row],[Date]],'DB Details'!$A:$Q,12)=0,"",VLOOKUP(Table91213[[#This Row],[Date]],'DB Details'!$A:$Q,12))</f>
        <v/>
      </c>
    </row>
    <row r="214">
      <c r="A214" s="53" t="n">
        <v>41944</v>
      </c>
      <c r="B214" s="50">
        <f>IF(VLOOKUP(Table91213[[#This Row],[Date]],'DB Details'!$A:$Q,2)=0,"",VLOOKUP(Table91213[[#This Row],[Date]],'DB Details'!$A:$Q,2))</f>
        <v/>
      </c>
      <c r="C214" s="51">
        <f>IF(VLOOKUP(Table91213[[#This Row],[Date]],'DB Details'!$A:$Q,3)=0,"",VLOOKUP(Table91213[[#This Row],[Date]],'DB Details'!$A:$Q,3))</f>
        <v/>
      </c>
      <c r="D214" s="51">
        <f>IF(VLOOKUP(Table91213[[#This Row],[Date]],'DB Details'!$A:$Q,4)=0,"",VLOOKUP(Table91213[[#This Row],[Date]],'DB Details'!$A:$Q,4))</f>
        <v/>
      </c>
      <c r="E214" s="52">
        <f>IF(VLOOKUP(Table91213[[#This Row],[Date]],'DB Details'!$A:$Q,5)=0,"",VLOOKUP(Table91213[[#This Row],[Date]],'DB Details'!$A:$Q,5))</f>
        <v/>
      </c>
      <c r="F214" s="51">
        <f>IF(VLOOKUP(Table91213[[#This Row],[Date]],'DB Details'!$A:$Q,6)=0,"",VLOOKUP(Table91213[[#This Row],[Date]],'DB Details'!$A:$Q,6))</f>
        <v/>
      </c>
      <c r="G214" s="52">
        <f>IF(VLOOKUP(Table91213[[#This Row],[Date]],'DB Details'!$A:$Q,7)=0,"",VLOOKUP(Table91213[[#This Row],[Date]],'DB Details'!$A:$Q,7))</f>
        <v/>
      </c>
      <c r="H214" s="52">
        <f>IF(VLOOKUP(Table91213[[#This Row],[Date]],'DB Details'!$A:$Q,8)=0,"",VLOOKUP(Table91213[[#This Row],[Date]],'DB Details'!$A:$Q,8))</f>
        <v/>
      </c>
      <c r="I214" s="52">
        <f>IF(VLOOKUP(Table91213[[#This Row],[Date]],'DB Details'!$A:$Q,9)=0,"",VLOOKUP(Table91213[[#This Row],[Date]],'DB Details'!$A:$Q,9))</f>
        <v/>
      </c>
      <c r="J214" s="52">
        <f>IF(VLOOKUP(Table91213[[#This Row],[Date]],'DB Details'!$A:$Q,10)=0,"",VLOOKUP(Table91213[[#This Row],[Date]],'DB Details'!$A:$Q,10))</f>
        <v/>
      </c>
      <c r="K214" s="52">
        <f>IF(VLOOKUP(Table91213[[#This Row],[Date]],'DB Details'!$A:$Q,11)=0,"",VLOOKUP(Table91213[[#This Row],[Date]],'DB Details'!$A:$Q,11))</f>
        <v/>
      </c>
      <c r="L214" s="50">
        <f>IF(VLOOKUP(Table91213[[#This Row],[Date]],'DB Details'!$A:$Q,12)=0,"",VLOOKUP(Table91213[[#This Row],[Date]],'DB Details'!$A:$Q,12))</f>
        <v/>
      </c>
    </row>
    <row r="215">
      <c r="A215" s="53" t="n">
        <v>41974</v>
      </c>
      <c r="B215" s="50">
        <f>IF(VLOOKUP(Table91213[[#This Row],[Date]],'DB Details'!$A:$Q,2)=0,"",VLOOKUP(Table91213[[#This Row],[Date]],'DB Details'!$A:$Q,2))</f>
        <v/>
      </c>
      <c r="C215" s="51">
        <f>IF(VLOOKUP(Table91213[[#This Row],[Date]],'DB Details'!$A:$Q,3)=0,"",VLOOKUP(Table91213[[#This Row],[Date]],'DB Details'!$A:$Q,3))</f>
        <v/>
      </c>
      <c r="D215" s="51">
        <f>IF(VLOOKUP(Table91213[[#This Row],[Date]],'DB Details'!$A:$Q,4)=0,"",VLOOKUP(Table91213[[#This Row],[Date]],'DB Details'!$A:$Q,4))</f>
        <v/>
      </c>
      <c r="E215" s="52">
        <f>IF(VLOOKUP(Table91213[[#This Row],[Date]],'DB Details'!$A:$Q,5)=0,"",VLOOKUP(Table91213[[#This Row],[Date]],'DB Details'!$A:$Q,5))</f>
        <v/>
      </c>
      <c r="F215" s="51">
        <f>IF(VLOOKUP(Table91213[[#This Row],[Date]],'DB Details'!$A:$Q,6)=0,"",VLOOKUP(Table91213[[#This Row],[Date]],'DB Details'!$A:$Q,6))</f>
        <v/>
      </c>
      <c r="G215" s="52">
        <f>IF(VLOOKUP(Table91213[[#This Row],[Date]],'DB Details'!$A:$Q,7)=0,"",VLOOKUP(Table91213[[#This Row],[Date]],'DB Details'!$A:$Q,7))</f>
        <v/>
      </c>
      <c r="H215" s="52">
        <f>IF(VLOOKUP(Table91213[[#This Row],[Date]],'DB Details'!$A:$Q,8)=0,"",VLOOKUP(Table91213[[#This Row],[Date]],'DB Details'!$A:$Q,8))</f>
        <v/>
      </c>
      <c r="I215" s="52">
        <f>IF(VLOOKUP(Table91213[[#This Row],[Date]],'DB Details'!$A:$Q,9)=0,"",VLOOKUP(Table91213[[#This Row],[Date]],'DB Details'!$A:$Q,9))</f>
        <v/>
      </c>
      <c r="J215" s="52">
        <f>IF(VLOOKUP(Table91213[[#This Row],[Date]],'DB Details'!$A:$Q,10)=0,"",VLOOKUP(Table91213[[#This Row],[Date]],'DB Details'!$A:$Q,10))</f>
        <v/>
      </c>
      <c r="K215" s="52">
        <f>IF(VLOOKUP(Table91213[[#This Row],[Date]],'DB Details'!$A:$Q,11)=0,"",VLOOKUP(Table91213[[#This Row],[Date]],'DB Details'!$A:$Q,11))</f>
        <v/>
      </c>
      <c r="L215" s="50">
        <f>IF(VLOOKUP(Table91213[[#This Row],[Date]],'DB Details'!$A:$Q,12)=0,"",VLOOKUP(Table91213[[#This Row],[Date]],'DB Details'!$A:$Q,12))</f>
        <v/>
      </c>
    </row>
    <row r="216">
      <c r="A216" s="53" t="n">
        <v>42005</v>
      </c>
      <c r="B216" s="50">
        <f>IF(VLOOKUP(Table91213[[#This Row],[Date]],'DB Details'!$A:$Q,2)=0,"",VLOOKUP(Table91213[[#This Row],[Date]],'DB Details'!$A:$Q,2))</f>
        <v/>
      </c>
      <c r="C216" s="51">
        <f>IF(VLOOKUP(Table91213[[#This Row],[Date]],'DB Details'!$A:$Q,3)=0,"",VLOOKUP(Table91213[[#This Row],[Date]],'DB Details'!$A:$Q,3))</f>
        <v/>
      </c>
      <c r="D216" s="51">
        <f>IF(VLOOKUP(Table91213[[#This Row],[Date]],'DB Details'!$A:$Q,4)=0,"",VLOOKUP(Table91213[[#This Row],[Date]],'DB Details'!$A:$Q,4))</f>
        <v/>
      </c>
      <c r="E216" s="52">
        <f>IF(VLOOKUP(Table91213[[#This Row],[Date]],'DB Details'!$A:$Q,5)=0,"",VLOOKUP(Table91213[[#This Row],[Date]],'DB Details'!$A:$Q,5))</f>
        <v/>
      </c>
      <c r="F216" s="51">
        <f>IF(VLOOKUP(Table91213[[#This Row],[Date]],'DB Details'!$A:$Q,6)=0,"",VLOOKUP(Table91213[[#This Row],[Date]],'DB Details'!$A:$Q,6))</f>
        <v/>
      </c>
      <c r="G216" s="52">
        <f>IF(VLOOKUP(Table91213[[#This Row],[Date]],'DB Details'!$A:$Q,7)=0,"",VLOOKUP(Table91213[[#This Row],[Date]],'DB Details'!$A:$Q,7))</f>
        <v/>
      </c>
      <c r="H216" s="52">
        <f>IF(VLOOKUP(Table91213[[#This Row],[Date]],'DB Details'!$A:$Q,8)=0,"",VLOOKUP(Table91213[[#This Row],[Date]],'DB Details'!$A:$Q,8))</f>
        <v/>
      </c>
      <c r="I216" s="52">
        <f>IF(VLOOKUP(Table91213[[#This Row],[Date]],'DB Details'!$A:$Q,9)=0,"",VLOOKUP(Table91213[[#This Row],[Date]],'DB Details'!$A:$Q,9))</f>
        <v/>
      </c>
      <c r="J216" s="52">
        <f>IF(VLOOKUP(Table91213[[#This Row],[Date]],'DB Details'!$A:$Q,10)=0,"",VLOOKUP(Table91213[[#This Row],[Date]],'DB Details'!$A:$Q,10))</f>
        <v/>
      </c>
      <c r="K216" s="52">
        <f>IF(VLOOKUP(Table91213[[#This Row],[Date]],'DB Details'!$A:$Q,11)=0,"",VLOOKUP(Table91213[[#This Row],[Date]],'DB Details'!$A:$Q,11))</f>
        <v/>
      </c>
      <c r="L216" s="50">
        <f>IF(VLOOKUP(Table91213[[#This Row],[Date]],'DB Details'!$A:$Q,12)=0,"",VLOOKUP(Table91213[[#This Row],[Date]],'DB Details'!$A:$Q,12))</f>
        <v/>
      </c>
    </row>
    <row r="217">
      <c r="A217" s="53" t="n">
        <v>42036</v>
      </c>
      <c r="B217" s="50">
        <f>IF(VLOOKUP(Table91213[[#This Row],[Date]],'DB Details'!$A:$Q,2)=0,"",VLOOKUP(Table91213[[#This Row],[Date]],'DB Details'!$A:$Q,2))</f>
        <v/>
      </c>
      <c r="C217" s="51">
        <f>IF(VLOOKUP(Table91213[[#This Row],[Date]],'DB Details'!$A:$Q,3)=0,"",VLOOKUP(Table91213[[#This Row],[Date]],'DB Details'!$A:$Q,3))</f>
        <v/>
      </c>
      <c r="D217" s="51">
        <f>IF(VLOOKUP(Table91213[[#This Row],[Date]],'DB Details'!$A:$Q,4)=0,"",VLOOKUP(Table91213[[#This Row],[Date]],'DB Details'!$A:$Q,4))</f>
        <v/>
      </c>
      <c r="E217" s="52">
        <f>IF(VLOOKUP(Table91213[[#This Row],[Date]],'DB Details'!$A:$Q,5)=0,"",VLOOKUP(Table91213[[#This Row],[Date]],'DB Details'!$A:$Q,5))</f>
        <v/>
      </c>
      <c r="F217" s="51">
        <f>IF(VLOOKUP(Table91213[[#This Row],[Date]],'DB Details'!$A:$Q,6)=0,"",VLOOKUP(Table91213[[#This Row],[Date]],'DB Details'!$A:$Q,6))</f>
        <v/>
      </c>
      <c r="G217" s="52">
        <f>IF(VLOOKUP(Table91213[[#This Row],[Date]],'DB Details'!$A:$Q,7)=0,"",VLOOKUP(Table91213[[#This Row],[Date]],'DB Details'!$A:$Q,7))</f>
        <v/>
      </c>
      <c r="H217" s="52">
        <f>IF(VLOOKUP(Table91213[[#This Row],[Date]],'DB Details'!$A:$Q,8)=0,"",VLOOKUP(Table91213[[#This Row],[Date]],'DB Details'!$A:$Q,8))</f>
        <v/>
      </c>
      <c r="I217" s="52">
        <f>IF(VLOOKUP(Table91213[[#This Row],[Date]],'DB Details'!$A:$Q,9)=0,"",VLOOKUP(Table91213[[#This Row],[Date]],'DB Details'!$A:$Q,9))</f>
        <v/>
      </c>
      <c r="J217" s="52">
        <f>IF(VLOOKUP(Table91213[[#This Row],[Date]],'DB Details'!$A:$Q,10)=0,"",VLOOKUP(Table91213[[#This Row],[Date]],'DB Details'!$A:$Q,10))</f>
        <v/>
      </c>
      <c r="K217" s="52">
        <f>IF(VLOOKUP(Table91213[[#This Row],[Date]],'DB Details'!$A:$Q,11)=0,"",VLOOKUP(Table91213[[#This Row],[Date]],'DB Details'!$A:$Q,11))</f>
        <v/>
      </c>
      <c r="L217" s="50">
        <f>IF(VLOOKUP(Table91213[[#This Row],[Date]],'DB Details'!$A:$Q,12)=0,"",VLOOKUP(Table91213[[#This Row],[Date]],'DB Details'!$A:$Q,12))</f>
        <v/>
      </c>
    </row>
    <row r="218">
      <c r="A218" s="53" t="n">
        <v>42064</v>
      </c>
      <c r="B218" s="50">
        <f>IF(VLOOKUP(Table91213[[#This Row],[Date]],'DB Details'!$A:$Q,2)=0,"",VLOOKUP(Table91213[[#This Row],[Date]],'DB Details'!$A:$Q,2))</f>
        <v/>
      </c>
      <c r="C218" s="51">
        <f>IF(VLOOKUP(Table91213[[#This Row],[Date]],'DB Details'!$A:$Q,3)=0,"",VLOOKUP(Table91213[[#This Row],[Date]],'DB Details'!$A:$Q,3))</f>
        <v/>
      </c>
      <c r="D218" s="51">
        <f>IF(VLOOKUP(Table91213[[#This Row],[Date]],'DB Details'!$A:$Q,4)=0,"",VLOOKUP(Table91213[[#This Row],[Date]],'DB Details'!$A:$Q,4))</f>
        <v/>
      </c>
      <c r="E218" s="52">
        <f>IF(VLOOKUP(Table91213[[#This Row],[Date]],'DB Details'!$A:$Q,5)=0,"",VLOOKUP(Table91213[[#This Row],[Date]],'DB Details'!$A:$Q,5))</f>
        <v/>
      </c>
      <c r="F218" s="51">
        <f>IF(VLOOKUP(Table91213[[#This Row],[Date]],'DB Details'!$A:$Q,6)=0,"",VLOOKUP(Table91213[[#This Row],[Date]],'DB Details'!$A:$Q,6))</f>
        <v/>
      </c>
      <c r="G218" s="52">
        <f>IF(VLOOKUP(Table91213[[#This Row],[Date]],'DB Details'!$A:$Q,7)=0,"",VLOOKUP(Table91213[[#This Row],[Date]],'DB Details'!$A:$Q,7))</f>
        <v/>
      </c>
      <c r="H218" s="52">
        <f>IF(VLOOKUP(Table91213[[#This Row],[Date]],'DB Details'!$A:$Q,8)=0,"",VLOOKUP(Table91213[[#This Row],[Date]],'DB Details'!$A:$Q,8))</f>
        <v/>
      </c>
      <c r="I218" s="52">
        <f>IF(VLOOKUP(Table91213[[#This Row],[Date]],'DB Details'!$A:$Q,9)=0,"",VLOOKUP(Table91213[[#This Row],[Date]],'DB Details'!$A:$Q,9))</f>
        <v/>
      </c>
      <c r="J218" s="52">
        <f>IF(VLOOKUP(Table91213[[#This Row],[Date]],'DB Details'!$A:$Q,10)=0,"",VLOOKUP(Table91213[[#This Row],[Date]],'DB Details'!$A:$Q,10))</f>
        <v/>
      </c>
      <c r="K218" s="52">
        <f>IF(VLOOKUP(Table91213[[#This Row],[Date]],'DB Details'!$A:$Q,11)=0,"",VLOOKUP(Table91213[[#This Row],[Date]],'DB Details'!$A:$Q,11))</f>
        <v/>
      </c>
      <c r="L218" s="50">
        <f>IF(VLOOKUP(Table91213[[#This Row],[Date]],'DB Details'!$A:$Q,12)=0,"",VLOOKUP(Table91213[[#This Row],[Date]],'DB Details'!$A:$Q,12))</f>
        <v/>
      </c>
    </row>
    <row r="219">
      <c r="A219" s="53" t="n">
        <v>42095</v>
      </c>
      <c r="B219" s="50">
        <f>IF(VLOOKUP(Table91213[[#This Row],[Date]],'DB Details'!$A:$Q,2)=0,"",VLOOKUP(Table91213[[#This Row],[Date]],'DB Details'!$A:$Q,2))</f>
        <v/>
      </c>
      <c r="C219" s="51">
        <f>IF(VLOOKUP(Table91213[[#This Row],[Date]],'DB Details'!$A:$Q,3)=0,"",VLOOKUP(Table91213[[#This Row],[Date]],'DB Details'!$A:$Q,3))</f>
        <v/>
      </c>
      <c r="D219" s="51">
        <f>IF(VLOOKUP(Table91213[[#This Row],[Date]],'DB Details'!$A:$Q,4)=0,"",VLOOKUP(Table91213[[#This Row],[Date]],'DB Details'!$A:$Q,4))</f>
        <v/>
      </c>
      <c r="E219" s="52">
        <f>IF(VLOOKUP(Table91213[[#This Row],[Date]],'DB Details'!$A:$Q,5)=0,"",VLOOKUP(Table91213[[#This Row],[Date]],'DB Details'!$A:$Q,5))</f>
        <v/>
      </c>
      <c r="F219" s="51">
        <f>IF(VLOOKUP(Table91213[[#This Row],[Date]],'DB Details'!$A:$Q,6)=0,"",VLOOKUP(Table91213[[#This Row],[Date]],'DB Details'!$A:$Q,6))</f>
        <v/>
      </c>
      <c r="G219" s="52">
        <f>IF(VLOOKUP(Table91213[[#This Row],[Date]],'DB Details'!$A:$Q,7)=0,"",VLOOKUP(Table91213[[#This Row],[Date]],'DB Details'!$A:$Q,7))</f>
        <v/>
      </c>
      <c r="H219" s="52">
        <f>IF(VLOOKUP(Table91213[[#This Row],[Date]],'DB Details'!$A:$Q,8)=0,"",VLOOKUP(Table91213[[#This Row],[Date]],'DB Details'!$A:$Q,8))</f>
        <v/>
      </c>
      <c r="I219" s="52">
        <f>IF(VLOOKUP(Table91213[[#This Row],[Date]],'DB Details'!$A:$Q,9)=0,"",VLOOKUP(Table91213[[#This Row],[Date]],'DB Details'!$A:$Q,9))</f>
        <v/>
      </c>
      <c r="J219" s="52">
        <f>IF(VLOOKUP(Table91213[[#This Row],[Date]],'DB Details'!$A:$Q,10)=0,"",VLOOKUP(Table91213[[#This Row],[Date]],'DB Details'!$A:$Q,10))</f>
        <v/>
      </c>
      <c r="K219" s="52">
        <f>IF(VLOOKUP(Table91213[[#This Row],[Date]],'DB Details'!$A:$Q,11)=0,"",VLOOKUP(Table91213[[#This Row],[Date]],'DB Details'!$A:$Q,11))</f>
        <v/>
      </c>
      <c r="L219" s="50">
        <f>IF(VLOOKUP(Table91213[[#This Row],[Date]],'DB Details'!$A:$Q,12)=0,"",VLOOKUP(Table91213[[#This Row],[Date]],'DB Details'!$A:$Q,12))</f>
        <v/>
      </c>
    </row>
    <row r="220">
      <c r="A220" s="53" t="n">
        <v>42125</v>
      </c>
      <c r="B220" s="50">
        <f>IF(VLOOKUP(Table91213[[#This Row],[Date]],'DB Details'!$A:$Q,2)=0,"",VLOOKUP(Table91213[[#This Row],[Date]],'DB Details'!$A:$Q,2))</f>
        <v/>
      </c>
      <c r="C220" s="51">
        <f>IF(VLOOKUP(Table91213[[#This Row],[Date]],'DB Details'!$A:$Q,3)=0,"",VLOOKUP(Table91213[[#This Row],[Date]],'DB Details'!$A:$Q,3))</f>
        <v/>
      </c>
      <c r="D220" s="51">
        <f>IF(VLOOKUP(Table91213[[#This Row],[Date]],'DB Details'!$A:$Q,4)=0,"",VLOOKUP(Table91213[[#This Row],[Date]],'DB Details'!$A:$Q,4))</f>
        <v/>
      </c>
      <c r="E220" s="52">
        <f>IF(VLOOKUP(Table91213[[#This Row],[Date]],'DB Details'!$A:$Q,5)=0,"",VLOOKUP(Table91213[[#This Row],[Date]],'DB Details'!$A:$Q,5))</f>
        <v/>
      </c>
      <c r="F220" s="51">
        <f>IF(VLOOKUP(Table91213[[#This Row],[Date]],'DB Details'!$A:$Q,6)=0,"",VLOOKUP(Table91213[[#This Row],[Date]],'DB Details'!$A:$Q,6))</f>
        <v/>
      </c>
      <c r="G220" s="52">
        <f>IF(VLOOKUP(Table91213[[#This Row],[Date]],'DB Details'!$A:$Q,7)=0,"",VLOOKUP(Table91213[[#This Row],[Date]],'DB Details'!$A:$Q,7))</f>
        <v/>
      </c>
      <c r="H220" s="52">
        <f>IF(VLOOKUP(Table91213[[#This Row],[Date]],'DB Details'!$A:$Q,8)=0,"",VLOOKUP(Table91213[[#This Row],[Date]],'DB Details'!$A:$Q,8))</f>
        <v/>
      </c>
      <c r="I220" s="52">
        <f>IF(VLOOKUP(Table91213[[#This Row],[Date]],'DB Details'!$A:$Q,9)=0,"",VLOOKUP(Table91213[[#This Row],[Date]],'DB Details'!$A:$Q,9))</f>
        <v/>
      </c>
      <c r="J220" s="52">
        <f>IF(VLOOKUP(Table91213[[#This Row],[Date]],'DB Details'!$A:$Q,10)=0,"",VLOOKUP(Table91213[[#This Row],[Date]],'DB Details'!$A:$Q,10))</f>
        <v/>
      </c>
      <c r="K220" s="52">
        <f>IF(VLOOKUP(Table91213[[#This Row],[Date]],'DB Details'!$A:$Q,11)=0,"",VLOOKUP(Table91213[[#This Row],[Date]],'DB Details'!$A:$Q,11))</f>
        <v/>
      </c>
      <c r="L220" s="50">
        <f>IF(VLOOKUP(Table91213[[#This Row],[Date]],'DB Details'!$A:$Q,12)=0,"",VLOOKUP(Table91213[[#This Row],[Date]],'DB Details'!$A:$Q,12))</f>
        <v/>
      </c>
    </row>
    <row r="221">
      <c r="A221" s="53" t="n">
        <v>42156</v>
      </c>
      <c r="B221" s="50">
        <f>IF(VLOOKUP(Table91213[[#This Row],[Date]],'DB Details'!$A:$Q,2)=0,"",VLOOKUP(Table91213[[#This Row],[Date]],'DB Details'!$A:$Q,2))</f>
        <v/>
      </c>
      <c r="C221" s="51">
        <f>IF(VLOOKUP(Table91213[[#This Row],[Date]],'DB Details'!$A:$Q,3)=0,"",VLOOKUP(Table91213[[#This Row],[Date]],'DB Details'!$A:$Q,3))</f>
        <v/>
      </c>
      <c r="D221" s="51">
        <f>IF(VLOOKUP(Table91213[[#This Row],[Date]],'DB Details'!$A:$Q,4)=0,"",VLOOKUP(Table91213[[#This Row],[Date]],'DB Details'!$A:$Q,4))</f>
        <v/>
      </c>
      <c r="E221" s="52">
        <f>IF(VLOOKUP(Table91213[[#This Row],[Date]],'DB Details'!$A:$Q,5)=0,"",VLOOKUP(Table91213[[#This Row],[Date]],'DB Details'!$A:$Q,5))</f>
        <v/>
      </c>
      <c r="F221" s="51">
        <f>IF(VLOOKUP(Table91213[[#This Row],[Date]],'DB Details'!$A:$Q,6)=0,"",VLOOKUP(Table91213[[#This Row],[Date]],'DB Details'!$A:$Q,6))</f>
        <v/>
      </c>
      <c r="G221" s="52">
        <f>IF(VLOOKUP(Table91213[[#This Row],[Date]],'DB Details'!$A:$Q,7)=0,"",VLOOKUP(Table91213[[#This Row],[Date]],'DB Details'!$A:$Q,7))</f>
        <v/>
      </c>
      <c r="H221" s="52">
        <f>IF(VLOOKUP(Table91213[[#This Row],[Date]],'DB Details'!$A:$Q,8)=0,"",VLOOKUP(Table91213[[#This Row],[Date]],'DB Details'!$A:$Q,8))</f>
        <v/>
      </c>
      <c r="I221" s="52">
        <f>IF(VLOOKUP(Table91213[[#This Row],[Date]],'DB Details'!$A:$Q,9)=0,"",VLOOKUP(Table91213[[#This Row],[Date]],'DB Details'!$A:$Q,9))</f>
        <v/>
      </c>
      <c r="J221" s="52">
        <f>IF(VLOOKUP(Table91213[[#This Row],[Date]],'DB Details'!$A:$Q,10)=0,"",VLOOKUP(Table91213[[#This Row],[Date]],'DB Details'!$A:$Q,10))</f>
        <v/>
      </c>
      <c r="K221" s="52">
        <f>IF(VLOOKUP(Table91213[[#This Row],[Date]],'DB Details'!$A:$Q,11)=0,"",VLOOKUP(Table91213[[#This Row],[Date]],'DB Details'!$A:$Q,11))</f>
        <v/>
      </c>
      <c r="L221" s="50">
        <f>IF(VLOOKUP(Table91213[[#This Row],[Date]],'DB Details'!$A:$Q,12)=0,"",VLOOKUP(Table91213[[#This Row],[Date]],'DB Details'!$A:$Q,12))</f>
        <v/>
      </c>
    </row>
    <row r="222">
      <c r="A222" s="53" t="n">
        <v>42186</v>
      </c>
      <c r="B222" s="50">
        <f>IF(VLOOKUP(Table91213[[#This Row],[Date]],'DB Details'!$A:$Q,2)=0,"",VLOOKUP(Table91213[[#This Row],[Date]],'DB Details'!$A:$Q,2))</f>
        <v/>
      </c>
      <c r="C222" s="51">
        <f>IF(VLOOKUP(Table91213[[#This Row],[Date]],'DB Details'!$A:$Q,3)=0,"",VLOOKUP(Table91213[[#This Row],[Date]],'DB Details'!$A:$Q,3))</f>
        <v/>
      </c>
      <c r="D222" s="51">
        <f>IF(VLOOKUP(Table91213[[#This Row],[Date]],'DB Details'!$A:$Q,4)=0,"",VLOOKUP(Table91213[[#This Row],[Date]],'DB Details'!$A:$Q,4))</f>
        <v/>
      </c>
      <c r="E222" s="52">
        <f>IF(VLOOKUP(Table91213[[#This Row],[Date]],'DB Details'!$A:$Q,5)=0,"",VLOOKUP(Table91213[[#This Row],[Date]],'DB Details'!$A:$Q,5))</f>
        <v/>
      </c>
      <c r="F222" s="51">
        <f>IF(VLOOKUP(Table91213[[#This Row],[Date]],'DB Details'!$A:$Q,6)=0,"",VLOOKUP(Table91213[[#This Row],[Date]],'DB Details'!$A:$Q,6))</f>
        <v/>
      </c>
      <c r="G222" s="52">
        <f>IF(VLOOKUP(Table91213[[#This Row],[Date]],'DB Details'!$A:$Q,7)=0,"",VLOOKUP(Table91213[[#This Row],[Date]],'DB Details'!$A:$Q,7))</f>
        <v/>
      </c>
      <c r="H222" s="52">
        <f>IF(VLOOKUP(Table91213[[#This Row],[Date]],'DB Details'!$A:$Q,8)=0,"",VLOOKUP(Table91213[[#This Row],[Date]],'DB Details'!$A:$Q,8))</f>
        <v/>
      </c>
      <c r="I222" s="52">
        <f>IF(VLOOKUP(Table91213[[#This Row],[Date]],'DB Details'!$A:$Q,9)=0,"",VLOOKUP(Table91213[[#This Row],[Date]],'DB Details'!$A:$Q,9))</f>
        <v/>
      </c>
      <c r="J222" s="52">
        <f>IF(VLOOKUP(Table91213[[#This Row],[Date]],'DB Details'!$A:$Q,10)=0,"",VLOOKUP(Table91213[[#This Row],[Date]],'DB Details'!$A:$Q,10))</f>
        <v/>
      </c>
      <c r="K222" s="52">
        <f>IF(VLOOKUP(Table91213[[#This Row],[Date]],'DB Details'!$A:$Q,11)=0,"",VLOOKUP(Table91213[[#This Row],[Date]],'DB Details'!$A:$Q,11))</f>
        <v/>
      </c>
      <c r="L222" s="50">
        <f>IF(VLOOKUP(Table91213[[#This Row],[Date]],'DB Details'!$A:$Q,12)=0,"",VLOOKUP(Table91213[[#This Row],[Date]],'DB Details'!$A:$Q,12))</f>
        <v/>
      </c>
    </row>
    <row r="223">
      <c r="A223" s="53" t="n">
        <v>42217</v>
      </c>
      <c r="B223" s="50">
        <f>IF(VLOOKUP(Table91213[[#This Row],[Date]],'DB Details'!$A:$Q,2)=0,"",VLOOKUP(Table91213[[#This Row],[Date]],'DB Details'!$A:$Q,2))</f>
        <v/>
      </c>
      <c r="C223" s="51">
        <f>IF(VLOOKUP(Table91213[[#This Row],[Date]],'DB Details'!$A:$Q,3)=0,"",VLOOKUP(Table91213[[#This Row],[Date]],'DB Details'!$A:$Q,3))</f>
        <v/>
      </c>
      <c r="D223" s="51">
        <f>IF(VLOOKUP(Table91213[[#This Row],[Date]],'DB Details'!$A:$Q,4)=0,"",VLOOKUP(Table91213[[#This Row],[Date]],'DB Details'!$A:$Q,4))</f>
        <v/>
      </c>
      <c r="E223" s="52">
        <f>IF(VLOOKUP(Table91213[[#This Row],[Date]],'DB Details'!$A:$Q,5)=0,"",VLOOKUP(Table91213[[#This Row],[Date]],'DB Details'!$A:$Q,5))</f>
        <v/>
      </c>
      <c r="F223" s="51">
        <f>IF(VLOOKUP(Table91213[[#This Row],[Date]],'DB Details'!$A:$Q,6)=0,"",VLOOKUP(Table91213[[#This Row],[Date]],'DB Details'!$A:$Q,6))</f>
        <v/>
      </c>
      <c r="G223" s="52">
        <f>IF(VLOOKUP(Table91213[[#This Row],[Date]],'DB Details'!$A:$Q,7)=0,"",VLOOKUP(Table91213[[#This Row],[Date]],'DB Details'!$A:$Q,7))</f>
        <v/>
      </c>
      <c r="H223" s="52">
        <f>IF(VLOOKUP(Table91213[[#This Row],[Date]],'DB Details'!$A:$Q,8)=0,"",VLOOKUP(Table91213[[#This Row],[Date]],'DB Details'!$A:$Q,8))</f>
        <v/>
      </c>
      <c r="I223" s="52">
        <f>IF(VLOOKUP(Table91213[[#This Row],[Date]],'DB Details'!$A:$Q,9)=0,"",VLOOKUP(Table91213[[#This Row],[Date]],'DB Details'!$A:$Q,9))</f>
        <v/>
      </c>
      <c r="J223" s="52">
        <f>IF(VLOOKUP(Table91213[[#This Row],[Date]],'DB Details'!$A:$Q,10)=0,"",VLOOKUP(Table91213[[#This Row],[Date]],'DB Details'!$A:$Q,10))</f>
        <v/>
      </c>
      <c r="K223" s="52">
        <f>IF(VLOOKUP(Table91213[[#This Row],[Date]],'DB Details'!$A:$Q,11)=0,"",VLOOKUP(Table91213[[#This Row],[Date]],'DB Details'!$A:$Q,11))</f>
        <v/>
      </c>
      <c r="L223" s="50">
        <f>IF(VLOOKUP(Table91213[[#This Row],[Date]],'DB Details'!$A:$Q,12)=0,"",VLOOKUP(Table91213[[#This Row],[Date]],'DB Details'!$A:$Q,12))</f>
        <v/>
      </c>
    </row>
    <row r="224">
      <c r="A224" s="53" t="n">
        <v>42248</v>
      </c>
      <c r="B224" s="50">
        <f>IF(VLOOKUP(Table91213[[#This Row],[Date]],'DB Details'!$A:$Q,2)=0,"",VLOOKUP(Table91213[[#This Row],[Date]],'DB Details'!$A:$Q,2))</f>
        <v/>
      </c>
      <c r="C224" s="51">
        <f>IF(VLOOKUP(Table91213[[#This Row],[Date]],'DB Details'!$A:$Q,3)=0,"",VLOOKUP(Table91213[[#This Row],[Date]],'DB Details'!$A:$Q,3))</f>
        <v/>
      </c>
      <c r="D224" s="51">
        <f>IF(VLOOKUP(Table91213[[#This Row],[Date]],'DB Details'!$A:$Q,4)=0,"",VLOOKUP(Table91213[[#This Row],[Date]],'DB Details'!$A:$Q,4))</f>
        <v/>
      </c>
      <c r="E224" s="52">
        <f>IF(VLOOKUP(Table91213[[#This Row],[Date]],'DB Details'!$A:$Q,5)=0,"",VLOOKUP(Table91213[[#This Row],[Date]],'DB Details'!$A:$Q,5))</f>
        <v/>
      </c>
      <c r="F224" s="51">
        <f>IF(VLOOKUP(Table91213[[#This Row],[Date]],'DB Details'!$A:$Q,6)=0,"",VLOOKUP(Table91213[[#This Row],[Date]],'DB Details'!$A:$Q,6))</f>
        <v/>
      </c>
      <c r="G224" s="52">
        <f>IF(VLOOKUP(Table91213[[#This Row],[Date]],'DB Details'!$A:$Q,7)=0,"",VLOOKUP(Table91213[[#This Row],[Date]],'DB Details'!$A:$Q,7))</f>
        <v/>
      </c>
      <c r="H224" s="52">
        <f>IF(VLOOKUP(Table91213[[#This Row],[Date]],'DB Details'!$A:$Q,8)=0,"",VLOOKUP(Table91213[[#This Row],[Date]],'DB Details'!$A:$Q,8))</f>
        <v/>
      </c>
      <c r="I224" s="52">
        <f>IF(VLOOKUP(Table91213[[#This Row],[Date]],'DB Details'!$A:$Q,9)=0,"",VLOOKUP(Table91213[[#This Row],[Date]],'DB Details'!$A:$Q,9))</f>
        <v/>
      </c>
      <c r="J224" s="52">
        <f>IF(VLOOKUP(Table91213[[#This Row],[Date]],'DB Details'!$A:$Q,10)=0,"",VLOOKUP(Table91213[[#This Row],[Date]],'DB Details'!$A:$Q,10))</f>
        <v/>
      </c>
      <c r="K224" s="52">
        <f>IF(VLOOKUP(Table91213[[#This Row],[Date]],'DB Details'!$A:$Q,11)=0,"",VLOOKUP(Table91213[[#This Row],[Date]],'DB Details'!$A:$Q,11))</f>
        <v/>
      </c>
      <c r="L224" s="50">
        <f>IF(VLOOKUP(Table91213[[#This Row],[Date]],'DB Details'!$A:$Q,12)=0,"",VLOOKUP(Table91213[[#This Row],[Date]],'DB Details'!$A:$Q,12))</f>
        <v/>
      </c>
    </row>
    <row r="225">
      <c r="A225" s="53" t="n">
        <v>42278</v>
      </c>
      <c r="B225" s="50">
        <f>IF(VLOOKUP(Table91213[[#This Row],[Date]],'DB Details'!$A:$Q,2)=0,"",VLOOKUP(Table91213[[#This Row],[Date]],'DB Details'!$A:$Q,2))</f>
        <v/>
      </c>
      <c r="C225" s="51">
        <f>IF(VLOOKUP(Table91213[[#This Row],[Date]],'DB Details'!$A:$Q,3)=0,"",VLOOKUP(Table91213[[#This Row],[Date]],'DB Details'!$A:$Q,3))</f>
        <v/>
      </c>
      <c r="D225" s="51">
        <f>IF(VLOOKUP(Table91213[[#This Row],[Date]],'DB Details'!$A:$Q,4)=0,"",VLOOKUP(Table91213[[#This Row],[Date]],'DB Details'!$A:$Q,4))</f>
        <v/>
      </c>
      <c r="E225" s="52">
        <f>IF(VLOOKUP(Table91213[[#This Row],[Date]],'DB Details'!$A:$Q,5)=0,"",VLOOKUP(Table91213[[#This Row],[Date]],'DB Details'!$A:$Q,5))</f>
        <v/>
      </c>
      <c r="F225" s="51">
        <f>IF(VLOOKUP(Table91213[[#This Row],[Date]],'DB Details'!$A:$Q,6)=0,"",VLOOKUP(Table91213[[#This Row],[Date]],'DB Details'!$A:$Q,6))</f>
        <v/>
      </c>
      <c r="G225" s="52">
        <f>IF(VLOOKUP(Table91213[[#This Row],[Date]],'DB Details'!$A:$Q,7)=0,"",VLOOKUP(Table91213[[#This Row],[Date]],'DB Details'!$A:$Q,7))</f>
        <v/>
      </c>
      <c r="H225" s="52">
        <f>IF(VLOOKUP(Table91213[[#This Row],[Date]],'DB Details'!$A:$Q,8)=0,"",VLOOKUP(Table91213[[#This Row],[Date]],'DB Details'!$A:$Q,8))</f>
        <v/>
      </c>
      <c r="I225" s="52">
        <f>IF(VLOOKUP(Table91213[[#This Row],[Date]],'DB Details'!$A:$Q,9)=0,"",VLOOKUP(Table91213[[#This Row],[Date]],'DB Details'!$A:$Q,9))</f>
        <v/>
      </c>
      <c r="J225" s="52">
        <f>IF(VLOOKUP(Table91213[[#This Row],[Date]],'DB Details'!$A:$Q,10)=0,"",VLOOKUP(Table91213[[#This Row],[Date]],'DB Details'!$A:$Q,10))</f>
        <v/>
      </c>
      <c r="K225" s="52">
        <f>IF(VLOOKUP(Table91213[[#This Row],[Date]],'DB Details'!$A:$Q,11)=0,"",VLOOKUP(Table91213[[#This Row],[Date]],'DB Details'!$A:$Q,11))</f>
        <v/>
      </c>
      <c r="L225" s="50">
        <f>IF(VLOOKUP(Table91213[[#This Row],[Date]],'DB Details'!$A:$Q,12)=0,"",VLOOKUP(Table91213[[#This Row],[Date]],'DB Details'!$A:$Q,12))</f>
        <v/>
      </c>
    </row>
    <row r="226">
      <c r="A226" s="53" t="n">
        <v>42309</v>
      </c>
      <c r="B226" s="50">
        <f>IF(VLOOKUP(Table91213[[#This Row],[Date]],'DB Details'!$A:$Q,2)=0,"",VLOOKUP(Table91213[[#This Row],[Date]],'DB Details'!$A:$Q,2))</f>
        <v/>
      </c>
      <c r="C226" s="51">
        <f>IF(VLOOKUP(Table91213[[#This Row],[Date]],'DB Details'!$A:$Q,3)=0,"",VLOOKUP(Table91213[[#This Row],[Date]],'DB Details'!$A:$Q,3))</f>
        <v/>
      </c>
      <c r="D226" s="51">
        <f>IF(VLOOKUP(Table91213[[#This Row],[Date]],'DB Details'!$A:$Q,4)=0,"",VLOOKUP(Table91213[[#This Row],[Date]],'DB Details'!$A:$Q,4))</f>
        <v/>
      </c>
      <c r="E226" s="52">
        <f>IF(VLOOKUP(Table91213[[#This Row],[Date]],'DB Details'!$A:$Q,5)=0,"",VLOOKUP(Table91213[[#This Row],[Date]],'DB Details'!$A:$Q,5))</f>
        <v/>
      </c>
      <c r="F226" s="51">
        <f>IF(VLOOKUP(Table91213[[#This Row],[Date]],'DB Details'!$A:$Q,6)=0,"",VLOOKUP(Table91213[[#This Row],[Date]],'DB Details'!$A:$Q,6))</f>
        <v/>
      </c>
      <c r="G226" s="52">
        <f>IF(VLOOKUP(Table91213[[#This Row],[Date]],'DB Details'!$A:$Q,7)=0,"",VLOOKUP(Table91213[[#This Row],[Date]],'DB Details'!$A:$Q,7))</f>
        <v/>
      </c>
      <c r="H226" s="52">
        <f>IF(VLOOKUP(Table91213[[#This Row],[Date]],'DB Details'!$A:$Q,8)=0,"",VLOOKUP(Table91213[[#This Row],[Date]],'DB Details'!$A:$Q,8))</f>
        <v/>
      </c>
      <c r="I226" s="52">
        <f>IF(VLOOKUP(Table91213[[#This Row],[Date]],'DB Details'!$A:$Q,9)=0,"",VLOOKUP(Table91213[[#This Row],[Date]],'DB Details'!$A:$Q,9))</f>
        <v/>
      </c>
      <c r="J226" s="52">
        <f>IF(VLOOKUP(Table91213[[#This Row],[Date]],'DB Details'!$A:$Q,10)=0,"",VLOOKUP(Table91213[[#This Row],[Date]],'DB Details'!$A:$Q,10))</f>
        <v/>
      </c>
      <c r="K226" s="52">
        <f>IF(VLOOKUP(Table91213[[#This Row],[Date]],'DB Details'!$A:$Q,11)=0,"",VLOOKUP(Table91213[[#This Row],[Date]],'DB Details'!$A:$Q,11))</f>
        <v/>
      </c>
      <c r="L226" s="50">
        <f>IF(VLOOKUP(Table91213[[#This Row],[Date]],'DB Details'!$A:$Q,12)=0,"",VLOOKUP(Table91213[[#This Row],[Date]],'DB Details'!$A:$Q,12))</f>
        <v/>
      </c>
    </row>
    <row r="227">
      <c r="A227" s="53" t="n">
        <v>42339</v>
      </c>
      <c r="B227" s="50">
        <f>IF(VLOOKUP(Table91213[[#This Row],[Date]],'DB Details'!$A:$Q,2)=0,"",VLOOKUP(Table91213[[#This Row],[Date]],'DB Details'!$A:$Q,2))</f>
        <v/>
      </c>
      <c r="C227" s="51">
        <f>IF(VLOOKUP(Table91213[[#This Row],[Date]],'DB Details'!$A:$Q,3)=0,"",VLOOKUP(Table91213[[#This Row],[Date]],'DB Details'!$A:$Q,3))</f>
        <v/>
      </c>
      <c r="D227" s="51">
        <f>IF(VLOOKUP(Table91213[[#This Row],[Date]],'DB Details'!$A:$Q,4)=0,"",VLOOKUP(Table91213[[#This Row],[Date]],'DB Details'!$A:$Q,4))</f>
        <v/>
      </c>
      <c r="E227" s="52">
        <f>IF(VLOOKUP(Table91213[[#This Row],[Date]],'DB Details'!$A:$Q,5)=0,"",VLOOKUP(Table91213[[#This Row],[Date]],'DB Details'!$A:$Q,5))</f>
        <v/>
      </c>
      <c r="F227" s="51">
        <f>IF(VLOOKUP(Table91213[[#This Row],[Date]],'DB Details'!$A:$Q,6)=0,"",VLOOKUP(Table91213[[#This Row],[Date]],'DB Details'!$A:$Q,6))</f>
        <v/>
      </c>
      <c r="G227" s="52">
        <f>IF(VLOOKUP(Table91213[[#This Row],[Date]],'DB Details'!$A:$Q,7)=0,"",VLOOKUP(Table91213[[#This Row],[Date]],'DB Details'!$A:$Q,7))</f>
        <v/>
      </c>
      <c r="H227" s="52">
        <f>IF(VLOOKUP(Table91213[[#This Row],[Date]],'DB Details'!$A:$Q,8)=0,"",VLOOKUP(Table91213[[#This Row],[Date]],'DB Details'!$A:$Q,8))</f>
        <v/>
      </c>
      <c r="I227" s="52">
        <f>IF(VLOOKUP(Table91213[[#This Row],[Date]],'DB Details'!$A:$Q,9)=0,"",VLOOKUP(Table91213[[#This Row],[Date]],'DB Details'!$A:$Q,9))</f>
        <v/>
      </c>
      <c r="J227" s="52">
        <f>IF(VLOOKUP(Table91213[[#This Row],[Date]],'DB Details'!$A:$Q,10)=0,"",VLOOKUP(Table91213[[#This Row],[Date]],'DB Details'!$A:$Q,10))</f>
        <v/>
      </c>
      <c r="K227" s="52">
        <f>IF(VLOOKUP(Table91213[[#This Row],[Date]],'DB Details'!$A:$Q,11)=0,"",VLOOKUP(Table91213[[#This Row],[Date]],'DB Details'!$A:$Q,11))</f>
        <v/>
      </c>
      <c r="L227" s="50">
        <f>IF(VLOOKUP(Table91213[[#This Row],[Date]],'DB Details'!$A:$Q,12)=0,"",VLOOKUP(Table91213[[#This Row],[Date]],'DB Details'!$A:$Q,12))</f>
        <v/>
      </c>
    </row>
    <row r="228">
      <c r="A228" s="53" t="n">
        <v>42370</v>
      </c>
      <c r="B228" s="50">
        <f>IF(VLOOKUP(Table91213[[#This Row],[Date]],'DB Details'!$A:$Q,2)=0,"",VLOOKUP(Table91213[[#This Row],[Date]],'DB Details'!$A:$Q,2))</f>
        <v/>
      </c>
      <c r="C228" s="51">
        <f>IF(VLOOKUP(Table91213[[#This Row],[Date]],'DB Details'!$A:$Q,3)=0,"",VLOOKUP(Table91213[[#This Row],[Date]],'DB Details'!$A:$Q,3))</f>
        <v/>
      </c>
      <c r="D228" s="51">
        <f>IF(VLOOKUP(Table91213[[#This Row],[Date]],'DB Details'!$A:$Q,4)=0,"",VLOOKUP(Table91213[[#This Row],[Date]],'DB Details'!$A:$Q,4))</f>
        <v/>
      </c>
      <c r="E228" s="52">
        <f>IF(VLOOKUP(Table91213[[#This Row],[Date]],'DB Details'!$A:$Q,5)=0,"",VLOOKUP(Table91213[[#This Row],[Date]],'DB Details'!$A:$Q,5))</f>
        <v/>
      </c>
      <c r="F228" s="51">
        <f>IF(VLOOKUP(Table91213[[#This Row],[Date]],'DB Details'!$A:$Q,6)=0,"",VLOOKUP(Table91213[[#This Row],[Date]],'DB Details'!$A:$Q,6))</f>
        <v/>
      </c>
      <c r="G228" s="52">
        <f>IF(VLOOKUP(Table91213[[#This Row],[Date]],'DB Details'!$A:$Q,7)=0,"",VLOOKUP(Table91213[[#This Row],[Date]],'DB Details'!$A:$Q,7))</f>
        <v/>
      </c>
      <c r="H228" s="52">
        <f>IF(VLOOKUP(Table91213[[#This Row],[Date]],'DB Details'!$A:$Q,8)=0,"",VLOOKUP(Table91213[[#This Row],[Date]],'DB Details'!$A:$Q,8))</f>
        <v/>
      </c>
      <c r="I228" s="52">
        <f>IF(VLOOKUP(Table91213[[#This Row],[Date]],'DB Details'!$A:$Q,9)=0,"",VLOOKUP(Table91213[[#This Row],[Date]],'DB Details'!$A:$Q,9))</f>
        <v/>
      </c>
      <c r="J228" s="52">
        <f>IF(VLOOKUP(Table91213[[#This Row],[Date]],'DB Details'!$A:$Q,10)=0,"",VLOOKUP(Table91213[[#This Row],[Date]],'DB Details'!$A:$Q,10))</f>
        <v/>
      </c>
      <c r="K228" s="52">
        <f>IF(VLOOKUP(Table91213[[#This Row],[Date]],'DB Details'!$A:$Q,11)=0,"",VLOOKUP(Table91213[[#This Row],[Date]],'DB Details'!$A:$Q,11))</f>
        <v/>
      </c>
      <c r="L228" s="50">
        <f>IF(VLOOKUP(Table91213[[#This Row],[Date]],'DB Details'!$A:$Q,12)=0,"",VLOOKUP(Table91213[[#This Row],[Date]],'DB Details'!$A:$Q,12))</f>
        <v/>
      </c>
    </row>
    <row r="229">
      <c r="A229" s="53" t="n">
        <v>42401</v>
      </c>
      <c r="B229" s="50">
        <f>IF(VLOOKUP(Table91213[[#This Row],[Date]],'DB Details'!$A:$Q,2)=0,"",VLOOKUP(Table91213[[#This Row],[Date]],'DB Details'!$A:$Q,2))</f>
        <v/>
      </c>
      <c r="C229" s="51">
        <f>IF(VLOOKUP(Table91213[[#This Row],[Date]],'DB Details'!$A:$Q,3)=0,"",VLOOKUP(Table91213[[#This Row],[Date]],'DB Details'!$A:$Q,3))</f>
        <v/>
      </c>
      <c r="D229" s="51">
        <f>IF(VLOOKUP(Table91213[[#This Row],[Date]],'DB Details'!$A:$Q,4)=0,"",VLOOKUP(Table91213[[#This Row],[Date]],'DB Details'!$A:$Q,4))</f>
        <v/>
      </c>
      <c r="E229" s="52">
        <f>IF(VLOOKUP(Table91213[[#This Row],[Date]],'DB Details'!$A:$Q,5)=0,"",VLOOKUP(Table91213[[#This Row],[Date]],'DB Details'!$A:$Q,5))</f>
        <v/>
      </c>
      <c r="F229" s="51">
        <f>IF(VLOOKUP(Table91213[[#This Row],[Date]],'DB Details'!$A:$Q,6)=0,"",VLOOKUP(Table91213[[#This Row],[Date]],'DB Details'!$A:$Q,6))</f>
        <v/>
      </c>
      <c r="G229" s="52">
        <f>IF(VLOOKUP(Table91213[[#This Row],[Date]],'DB Details'!$A:$Q,7)=0,"",VLOOKUP(Table91213[[#This Row],[Date]],'DB Details'!$A:$Q,7))</f>
        <v/>
      </c>
      <c r="H229" s="52">
        <f>IF(VLOOKUP(Table91213[[#This Row],[Date]],'DB Details'!$A:$Q,8)=0,"",VLOOKUP(Table91213[[#This Row],[Date]],'DB Details'!$A:$Q,8))</f>
        <v/>
      </c>
      <c r="I229" s="52">
        <f>IF(VLOOKUP(Table91213[[#This Row],[Date]],'DB Details'!$A:$Q,9)=0,"",VLOOKUP(Table91213[[#This Row],[Date]],'DB Details'!$A:$Q,9))</f>
        <v/>
      </c>
      <c r="J229" s="52">
        <f>IF(VLOOKUP(Table91213[[#This Row],[Date]],'DB Details'!$A:$Q,10)=0,"",VLOOKUP(Table91213[[#This Row],[Date]],'DB Details'!$A:$Q,10))</f>
        <v/>
      </c>
      <c r="K229" s="52">
        <f>IF(VLOOKUP(Table91213[[#This Row],[Date]],'DB Details'!$A:$Q,11)=0,"",VLOOKUP(Table91213[[#This Row],[Date]],'DB Details'!$A:$Q,11))</f>
        <v/>
      </c>
      <c r="L229" s="50">
        <f>IF(VLOOKUP(Table91213[[#This Row],[Date]],'DB Details'!$A:$Q,12)=0,"",VLOOKUP(Table91213[[#This Row],[Date]],'DB Details'!$A:$Q,12))</f>
        <v/>
      </c>
    </row>
    <row r="230">
      <c r="A230" s="53" t="n">
        <v>42430</v>
      </c>
      <c r="B230" s="50">
        <f>IF(VLOOKUP(Table91213[[#This Row],[Date]],'DB Details'!$A:$Q,2)=0,"",VLOOKUP(Table91213[[#This Row],[Date]],'DB Details'!$A:$Q,2))</f>
        <v/>
      </c>
      <c r="C230" s="51">
        <f>IF(VLOOKUP(Table91213[[#This Row],[Date]],'DB Details'!$A:$Q,3)=0,"",VLOOKUP(Table91213[[#This Row],[Date]],'DB Details'!$A:$Q,3))</f>
        <v/>
      </c>
      <c r="D230" s="51">
        <f>IF(VLOOKUP(Table91213[[#This Row],[Date]],'DB Details'!$A:$Q,4)=0,"",VLOOKUP(Table91213[[#This Row],[Date]],'DB Details'!$A:$Q,4))</f>
        <v/>
      </c>
      <c r="E230" s="52">
        <f>IF(VLOOKUP(Table91213[[#This Row],[Date]],'DB Details'!$A:$Q,5)=0,"",VLOOKUP(Table91213[[#This Row],[Date]],'DB Details'!$A:$Q,5))</f>
        <v/>
      </c>
      <c r="F230" s="51">
        <f>IF(VLOOKUP(Table91213[[#This Row],[Date]],'DB Details'!$A:$Q,6)=0,"",VLOOKUP(Table91213[[#This Row],[Date]],'DB Details'!$A:$Q,6))</f>
        <v/>
      </c>
      <c r="G230" s="52">
        <f>IF(VLOOKUP(Table91213[[#This Row],[Date]],'DB Details'!$A:$Q,7)=0,"",VLOOKUP(Table91213[[#This Row],[Date]],'DB Details'!$A:$Q,7))</f>
        <v/>
      </c>
      <c r="H230" s="52">
        <f>IF(VLOOKUP(Table91213[[#This Row],[Date]],'DB Details'!$A:$Q,8)=0,"",VLOOKUP(Table91213[[#This Row],[Date]],'DB Details'!$A:$Q,8))</f>
        <v/>
      </c>
      <c r="I230" s="52">
        <f>IF(VLOOKUP(Table91213[[#This Row],[Date]],'DB Details'!$A:$Q,9)=0,"",VLOOKUP(Table91213[[#This Row],[Date]],'DB Details'!$A:$Q,9))</f>
        <v/>
      </c>
      <c r="J230" s="52">
        <f>IF(VLOOKUP(Table91213[[#This Row],[Date]],'DB Details'!$A:$Q,10)=0,"",VLOOKUP(Table91213[[#This Row],[Date]],'DB Details'!$A:$Q,10))</f>
        <v/>
      </c>
      <c r="K230" s="52">
        <f>IF(VLOOKUP(Table91213[[#This Row],[Date]],'DB Details'!$A:$Q,11)=0,"",VLOOKUP(Table91213[[#This Row],[Date]],'DB Details'!$A:$Q,11))</f>
        <v/>
      </c>
      <c r="L230" s="50">
        <f>IF(VLOOKUP(Table91213[[#This Row],[Date]],'DB Details'!$A:$Q,12)=0,"",VLOOKUP(Table91213[[#This Row],[Date]],'DB Details'!$A:$Q,12))</f>
        <v/>
      </c>
    </row>
    <row r="231">
      <c r="A231" s="53" t="n">
        <v>42461</v>
      </c>
      <c r="B231" s="50">
        <f>IF(VLOOKUP(Table91213[[#This Row],[Date]],'DB Details'!$A:$Q,2)=0,"",VLOOKUP(Table91213[[#This Row],[Date]],'DB Details'!$A:$Q,2))</f>
        <v/>
      </c>
      <c r="C231" s="51">
        <f>IF(VLOOKUP(Table91213[[#This Row],[Date]],'DB Details'!$A:$Q,3)=0,"",VLOOKUP(Table91213[[#This Row],[Date]],'DB Details'!$A:$Q,3))</f>
        <v/>
      </c>
      <c r="D231" s="51">
        <f>IF(VLOOKUP(Table91213[[#This Row],[Date]],'DB Details'!$A:$Q,4)=0,"",VLOOKUP(Table91213[[#This Row],[Date]],'DB Details'!$A:$Q,4))</f>
        <v/>
      </c>
      <c r="E231" s="52">
        <f>IF(VLOOKUP(Table91213[[#This Row],[Date]],'DB Details'!$A:$Q,5)=0,"",VLOOKUP(Table91213[[#This Row],[Date]],'DB Details'!$A:$Q,5))</f>
        <v/>
      </c>
      <c r="F231" s="51">
        <f>IF(VLOOKUP(Table91213[[#This Row],[Date]],'DB Details'!$A:$Q,6)=0,"",VLOOKUP(Table91213[[#This Row],[Date]],'DB Details'!$A:$Q,6))</f>
        <v/>
      </c>
      <c r="G231" s="52">
        <f>IF(VLOOKUP(Table91213[[#This Row],[Date]],'DB Details'!$A:$Q,7)=0,"",VLOOKUP(Table91213[[#This Row],[Date]],'DB Details'!$A:$Q,7))</f>
        <v/>
      </c>
      <c r="H231" s="52">
        <f>IF(VLOOKUP(Table91213[[#This Row],[Date]],'DB Details'!$A:$Q,8)=0,"",VLOOKUP(Table91213[[#This Row],[Date]],'DB Details'!$A:$Q,8))</f>
        <v/>
      </c>
      <c r="I231" s="52">
        <f>IF(VLOOKUP(Table91213[[#This Row],[Date]],'DB Details'!$A:$Q,9)=0,"",VLOOKUP(Table91213[[#This Row],[Date]],'DB Details'!$A:$Q,9))</f>
        <v/>
      </c>
      <c r="J231" s="52">
        <f>IF(VLOOKUP(Table91213[[#This Row],[Date]],'DB Details'!$A:$Q,10)=0,"",VLOOKUP(Table91213[[#This Row],[Date]],'DB Details'!$A:$Q,10))</f>
        <v/>
      </c>
      <c r="K231" s="52">
        <f>IF(VLOOKUP(Table91213[[#This Row],[Date]],'DB Details'!$A:$Q,11)=0,"",VLOOKUP(Table91213[[#This Row],[Date]],'DB Details'!$A:$Q,11))</f>
        <v/>
      </c>
      <c r="L231" s="50">
        <f>IF(VLOOKUP(Table91213[[#This Row],[Date]],'DB Details'!$A:$Q,12)=0,"",VLOOKUP(Table91213[[#This Row],[Date]],'DB Details'!$A:$Q,12))</f>
        <v/>
      </c>
    </row>
    <row r="232">
      <c r="A232" s="53" t="n">
        <v>42491</v>
      </c>
      <c r="B232" s="50">
        <f>IF(VLOOKUP(Table91213[[#This Row],[Date]],'DB Details'!$A:$Q,2)=0,"",VLOOKUP(Table91213[[#This Row],[Date]],'DB Details'!$A:$Q,2))</f>
        <v/>
      </c>
      <c r="C232" s="51">
        <f>IF(VLOOKUP(Table91213[[#This Row],[Date]],'DB Details'!$A:$Q,3)=0,"",VLOOKUP(Table91213[[#This Row],[Date]],'DB Details'!$A:$Q,3))</f>
        <v/>
      </c>
      <c r="D232" s="51">
        <f>IF(VLOOKUP(Table91213[[#This Row],[Date]],'DB Details'!$A:$Q,4)=0,"",VLOOKUP(Table91213[[#This Row],[Date]],'DB Details'!$A:$Q,4))</f>
        <v/>
      </c>
      <c r="E232" s="52">
        <f>IF(VLOOKUP(Table91213[[#This Row],[Date]],'DB Details'!$A:$Q,5)=0,"",VLOOKUP(Table91213[[#This Row],[Date]],'DB Details'!$A:$Q,5))</f>
        <v/>
      </c>
      <c r="F232" s="51">
        <f>IF(VLOOKUP(Table91213[[#This Row],[Date]],'DB Details'!$A:$Q,6)=0,"",VLOOKUP(Table91213[[#This Row],[Date]],'DB Details'!$A:$Q,6))</f>
        <v/>
      </c>
      <c r="G232" s="52">
        <f>IF(VLOOKUP(Table91213[[#This Row],[Date]],'DB Details'!$A:$Q,7)=0,"",VLOOKUP(Table91213[[#This Row],[Date]],'DB Details'!$A:$Q,7))</f>
        <v/>
      </c>
      <c r="H232" s="52">
        <f>IF(VLOOKUP(Table91213[[#This Row],[Date]],'DB Details'!$A:$Q,8)=0,"",VLOOKUP(Table91213[[#This Row],[Date]],'DB Details'!$A:$Q,8))</f>
        <v/>
      </c>
      <c r="I232" s="52">
        <f>IF(VLOOKUP(Table91213[[#This Row],[Date]],'DB Details'!$A:$Q,9)=0,"",VLOOKUP(Table91213[[#This Row],[Date]],'DB Details'!$A:$Q,9))</f>
        <v/>
      </c>
      <c r="J232" s="52">
        <f>IF(VLOOKUP(Table91213[[#This Row],[Date]],'DB Details'!$A:$Q,10)=0,"",VLOOKUP(Table91213[[#This Row],[Date]],'DB Details'!$A:$Q,10))</f>
        <v/>
      </c>
      <c r="K232" s="52">
        <f>IF(VLOOKUP(Table91213[[#This Row],[Date]],'DB Details'!$A:$Q,11)=0,"",VLOOKUP(Table91213[[#This Row],[Date]],'DB Details'!$A:$Q,11))</f>
        <v/>
      </c>
      <c r="L232" s="50">
        <f>IF(VLOOKUP(Table91213[[#This Row],[Date]],'DB Details'!$A:$Q,12)=0,"",VLOOKUP(Table91213[[#This Row],[Date]],'DB Details'!$A:$Q,12))</f>
        <v/>
      </c>
    </row>
    <row r="233">
      <c r="A233" s="53" t="n">
        <v>42522</v>
      </c>
      <c r="B233" s="50">
        <f>IF(VLOOKUP(Table91213[[#This Row],[Date]],'DB Details'!$A:$Q,2)=0,"",VLOOKUP(Table91213[[#This Row],[Date]],'DB Details'!$A:$Q,2))</f>
        <v/>
      </c>
      <c r="C233" s="51">
        <f>IF(VLOOKUP(Table91213[[#This Row],[Date]],'DB Details'!$A:$Q,3)=0,"",VLOOKUP(Table91213[[#This Row],[Date]],'DB Details'!$A:$Q,3))</f>
        <v/>
      </c>
      <c r="D233" s="51">
        <f>IF(VLOOKUP(Table91213[[#This Row],[Date]],'DB Details'!$A:$Q,4)=0,"",VLOOKUP(Table91213[[#This Row],[Date]],'DB Details'!$A:$Q,4))</f>
        <v/>
      </c>
      <c r="E233" s="52">
        <f>IF(VLOOKUP(Table91213[[#This Row],[Date]],'DB Details'!$A:$Q,5)=0,"",VLOOKUP(Table91213[[#This Row],[Date]],'DB Details'!$A:$Q,5))</f>
        <v/>
      </c>
      <c r="F233" s="51">
        <f>IF(VLOOKUP(Table91213[[#This Row],[Date]],'DB Details'!$A:$Q,6)=0,"",VLOOKUP(Table91213[[#This Row],[Date]],'DB Details'!$A:$Q,6))</f>
        <v/>
      </c>
      <c r="G233" s="52">
        <f>IF(VLOOKUP(Table91213[[#This Row],[Date]],'DB Details'!$A:$Q,7)=0,"",VLOOKUP(Table91213[[#This Row],[Date]],'DB Details'!$A:$Q,7))</f>
        <v/>
      </c>
      <c r="H233" s="52">
        <f>IF(VLOOKUP(Table91213[[#This Row],[Date]],'DB Details'!$A:$Q,8)=0,"",VLOOKUP(Table91213[[#This Row],[Date]],'DB Details'!$A:$Q,8))</f>
        <v/>
      </c>
      <c r="I233" s="52">
        <f>IF(VLOOKUP(Table91213[[#This Row],[Date]],'DB Details'!$A:$Q,9)=0,"",VLOOKUP(Table91213[[#This Row],[Date]],'DB Details'!$A:$Q,9))</f>
        <v/>
      </c>
      <c r="J233" s="52">
        <f>IF(VLOOKUP(Table91213[[#This Row],[Date]],'DB Details'!$A:$Q,10)=0,"",VLOOKUP(Table91213[[#This Row],[Date]],'DB Details'!$A:$Q,10))</f>
        <v/>
      </c>
      <c r="K233" s="52">
        <f>IF(VLOOKUP(Table91213[[#This Row],[Date]],'DB Details'!$A:$Q,11)=0,"",VLOOKUP(Table91213[[#This Row],[Date]],'DB Details'!$A:$Q,11))</f>
        <v/>
      </c>
      <c r="L233" s="50">
        <f>IF(VLOOKUP(Table91213[[#This Row],[Date]],'DB Details'!$A:$Q,12)=0,"",VLOOKUP(Table91213[[#This Row],[Date]],'DB Details'!$A:$Q,12))</f>
        <v/>
      </c>
    </row>
    <row r="234">
      <c r="A234" s="53" t="n">
        <v>42552</v>
      </c>
      <c r="B234" s="50">
        <f>IF(VLOOKUP(Table91213[[#This Row],[Date]],'DB Details'!$A:$Q,2)=0,"",VLOOKUP(Table91213[[#This Row],[Date]],'DB Details'!$A:$Q,2))</f>
        <v/>
      </c>
      <c r="C234" s="51">
        <f>IF(VLOOKUP(Table91213[[#This Row],[Date]],'DB Details'!$A:$Q,3)=0,"",VLOOKUP(Table91213[[#This Row],[Date]],'DB Details'!$A:$Q,3))</f>
        <v/>
      </c>
      <c r="D234" s="51">
        <f>IF(VLOOKUP(Table91213[[#This Row],[Date]],'DB Details'!$A:$Q,4)=0,"",VLOOKUP(Table91213[[#This Row],[Date]],'DB Details'!$A:$Q,4))</f>
        <v/>
      </c>
      <c r="E234" s="52">
        <f>IF(VLOOKUP(Table91213[[#This Row],[Date]],'DB Details'!$A:$Q,5)=0,"",VLOOKUP(Table91213[[#This Row],[Date]],'DB Details'!$A:$Q,5))</f>
        <v/>
      </c>
      <c r="F234" s="51">
        <f>IF(VLOOKUP(Table91213[[#This Row],[Date]],'DB Details'!$A:$Q,6)=0,"",VLOOKUP(Table91213[[#This Row],[Date]],'DB Details'!$A:$Q,6))</f>
        <v/>
      </c>
      <c r="G234" s="52">
        <f>IF(VLOOKUP(Table91213[[#This Row],[Date]],'DB Details'!$A:$Q,7)=0,"",VLOOKUP(Table91213[[#This Row],[Date]],'DB Details'!$A:$Q,7))</f>
        <v/>
      </c>
      <c r="H234" s="52">
        <f>IF(VLOOKUP(Table91213[[#This Row],[Date]],'DB Details'!$A:$Q,8)=0,"",VLOOKUP(Table91213[[#This Row],[Date]],'DB Details'!$A:$Q,8))</f>
        <v/>
      </c>
      <c r="I234" s="52">
        <f>IF(VLOOKUP(Table91213[[#This Row],[Date]],'DB Details'!$A:$Q,9)=0,"",VLOOKUP(Table91213[[#This Row],[Date]],'DB Details'!$A:$Q,9))</f>
        <v/>
      </c>
      <c r="J234" s="52">
        <f>IF(VLOOKUP(Table91213[[#This Row],[Date]],'DB Details'!$A:$Q,10)=0,"",VLOOKUP(Table91213[[#This Row],[Date]],'DB Details'!$A:$Q,10))</f>
        <v/>
      </c>
      <c r="K234" s="52">
        <f>IF(VLOOKUP(Table91213[[#This Row],[Date]],'DB Details'!$A:$Q,11)=0,"",VLOOKUP(Table91213[[#This Row],[Date]],'DB Details'!$A:$Q,11))</f>
        <v/>
      </c>
      <c r="L234" s="50">
        <f>IF(VLOOKUP(Table91213[[#This Row],[Date]],'DB Details'!$A:$Q,12)=0,"",VLOOKUP(Table91213[[#This Row],[Date]],'DB Details'!$A:$Q,12))</f>
        <v/>
      </c>
    </row>
    <row r="235">
      <c r="A235" s="53" t="n">
        <v>42583</v>
      </c>
      <c r="B235" s="50">
        <f>IF(VLOOKUP(Table91213[[#This Row],[Date]],'DB Details'!$A:$Q,2)=0,"",VLOOKUP(Table91213[[#This Row],[Date]],'DB Details'!$A:$Q,2))</f>
        <v/>
      </c>
      <c r="C235" s="51">
        <f>IF(VLOOKUP(Table91213[[#This Row],[Date]],'DB Details'!$A:$Q,3)=0,"",VLOOKUP(Table91213[[#This Row],[Date]],'DB Details'!$A:$Q,3))</f>
        <v/>
      </c>
      <c r="D235" s="51">
        <f>IF(VLOOKUP(Table91213[[#This Row],[Date]],'DB Details'!$A:$Q,4)=0,"",VLOOKUP(Table91213[[#This Row],[Date]],'DB Details'!$A:$Q,4))</f>
        <v/>
      </c>
      <c r="E235" s="52">
        <f>IF(VLOOKUP(Table91213[[#This Row],[Date]],'DB Details'!$A:$Q,5)=0,"",VLOOKUP(Table91213[[#This Row],[Date]],'DB Details'!$A:$Q,5))</f>
        <v/>
      </c>
      <c r="F235" s="51">
        <f>IF(VLOOKUP(Table91213[[#This Row],[Date]],'DB Details'!$A:$Q,6)=0,"",VLOOKUP(Table91213[[#This Row],[Date]],'DB Details'!$A:$Q,6))</f>
        <v/>
      </c>
      <c r="G235" s="52">
        <f>IF(VLOOKUP(Table91213[[#This Row],[Date]],'DB Details'!$A:$Q,7)=0,"",VLOOKUP(Table91213[[#This Row],[Date]],'DB Details'!$A:$Q,7))</f>
        <v/>
      </c>
      <c r="H235" s="52">
        <f>IF(VLOOKUP(Table91213[[#This Row],[Date]],'DB Details'!$A:$Q,8)=0,"",VLOOKUP(Table91213[[#This Row],[Date]],'DB Details'!$A:$Q,8))</f>
        <v/>
      </c>
      <c r="I235" s="52">
        <f>IF(VLOOKUP(Table91213[[#This Row],[Date]],'DB Details'!$A:$Q,9)=0,"",VLOOKUP(Table91213[[#This Row],[Date]],'DB Details'!$A:$Q,9))</f>
        <v/>
      </c>
      <c r="J235" s="52">
        <f>IF(VLOOKUP(Table91213[[#This Row],[Date]],'DB Details'!$A:$Q,10)=0,"",VLOOKUP(Table91213[[#This Row],[Date]],'DB Details'!$A:$Q,10))</f>
        <v/>
      </c>
      <c r="K235" s="52">
        <f>IF(VLOOKUP(Table91213[[#This Row],[Date]],'DB Details'!$A:$Q,11)=0,"",VLOOKUP(Table91213[[#This Row],[Date]],'DB Details'!$A:$Q,11))</f>
        <v/>
      </c>
      <c r="L235" s="50">
        <f>IF(VLOOKUP(Table91213[[#This Row],[Date]],'DB Details'!$A:$Q,12)=0,"",VLOOKUP(Table91213[[#This Row],[Date]],'DB Details'!$A:$Q,12))</f>
        <v/>
      </c>
    </row>
    <row r="236">
      <c r="A236" s="53" t="n">
        <v>42614</v>
      </c>
      <c r="B236" s="50">
        <f>IF(VLOOKUP(Table91213[[#This Row],[Date]],'DB Details'!$A:$Q,2)=0,"",VLOOKUP(Table91213[[#This Row],[Date]],'DB Details'!$A:$Q,2))</f>
        <v/>
      </c>
      <c r="C236" s="51">
        <f>IF(VLOOKUP(Table91213[[#This Row],[Date]],'DB Details'!$A:$Q,3)=0,"",VLOOKUP(Table91213[[#This Row],[Date]],'DB Details'!$A:$Q,3))</f>
        <v/>
      </c>
      <c r="D236" s="51">
        <f>IF(VLOOKUP(Table91213[[#This Row],[Date]],'DB Details'!$A:$Q,4)=0,"",VLOOKUP(Table91213[[#This Row],[Date]],'DB Details'!$A:$Q,4))</f>
        <v/>
      </c>
      <c r="E236" s="52">
        <f>IF(VLOOKUP(Table91213[[#This Row],[Date]],'DB Details'!$A:$Q,5)=0,"",VLOOKUP(Table91213[[#This Row],[Date]],'DB Details'!$A:$Q,5))</f>
        <v/>
      </c>
      <c r="F236" s="51">
        <f>IF(VLOOKUP(Table91213[[#This Row],[Date]],'DB Details'!$A:$Q,6)=0,"",VLOOKUP(Table91213[[#This Row],[Date]],'DB Details'!$A:$Q,6))</f>
        <v/>
      </c>
      <c r="G236" s="52">
        <f>IF(VLOOKUP(Table91213[[#This Row],[Date]],'DB Details'!$A:$Q,7)=0,"",VLOOKUP(Table91213[[#This Row],[Date]],'DB Details'!$A:$Q,7))</f>
        <v/>
      </c>
      <c r="H236" s="52">
        <f>IF(VLOOKUP(Table91213[[#This Row],[Date]],'DB Details'!$A:$Q,8)=0,"",VLOOKUP(Table91213[[#This Row],[Date]],'DB Details'!$A:$Q,8))</f>
        <v/>
      </c>
      <c r="I236" s="52">
        <f>IF(VLOOKUP(Table91213[[#This Row],[Date]],'DB Details'!$A:$Q,9)=0,"",VLOOKUP(Table91213[[#This Row],[Date]],'DB Details'!$A:$Q,9))</f>
        <v/>
      </c>
      <c r="J236" s="52">
        <f>IF(VLOOKUP(Table91213[[#This Row],[Date]],'DB Details'!$A:$Q,10)=0,"",VLOOKUP(Table91213[[#This Row],[Date]],'DB Details'!$A:$Q,10))</f>
        <v/>
      </c>
      <c r="K236" s="52">
        <f>IF(VLOOKUP(Table91213[[#This Row],[Date]],'DB Details'!$A:$Q,11)=0,"",VLOOKUP(Table91213[[#This Row],[Date]],'DB Details'!$A:$Q,11))</f>
        <v/>
      </c>
      <c r="L236" s="50">
        <f>IF(VLOOKUP(Table91213[[#This Row],[Date]],'DB Details'!$A:$Q,12)=0,"",VLOOKUP(Table91213[[#This Row],[Date]],'DB Details'!$A:$Q,12))</f>
        <v/>
      </c>
    </row>
    <row r="237">
      <c r="A237" s="53" t="n">
        <v>42644</v>
      </c>
      <c r="B237" s="50">
        <f>IF(VLOOKUP(Table91213[[#This Row],[Date]],'DB Details'!$A:$Q,2)=0,"",VLOOKUP(Table91213[[#This Row],[Date]],'DB Details'!$A:$Q,2))</f>
        <v/>
      </c>
      <c r="C237" s="51">
        <f>IF(VLOOKUP(Table91213[[#This Row],[Date]],'DB Details'!$A:$Q,3)=0,"",VLOOKUP(Table91213[[#This Row],[Date]],'DB Details'!$A:$Q,3))</f>
        <v/>
      </c>
      <c r="D237" s="51">
        <f>IF(VLOOKUP(Table91213[[#This Row],[Date]],'DB Details'!$A:$Q,4)=0,"",VLOOKUP(Table91213[[#This Row],[Date]],'DB Details'!$A:$Q,4))</f>
        <v/>
      </c>
      <c r="E237" s="52">
        <f>IF(VLOOKUP(Table91213[[#This Row],[Date]],'DB Details'!$A:$Q,5)=0,"",VLOOKUP(Table91213[[#This Row],[Date]],'DB Details'!$A:$Q,5))</f>
        <v/>
      </c>
      <c r="F237" s="51">
        <f>IF(VLOOKUP(Table91213[[#This Row],[Date]],'DB Details'!$A:$Q,6)=0,"",VLOOKUP(Table91213[[#This Row],[Date]],'DB Details'!$A:$Q,6))</f>
        <v/>
      </c>
      <c r="G237" s="52">
        <f>IF(VLOOKUP(Table91213[[#This Row],[Date]],'DB Details'!$A:$Q,7)=0,"",VLOOKUP(Table91213[[#This Row],[Date]],'DB Details'!$A:$Q,7))</f>
        <v/>
      </c>
      <c r="H237" s="52">
        <f>IF(VLOOKUP(Table91213[[#This Row],[Date]],'DB Details'!$A:$Q,8)=0,"",VLOOKUP(Table91213[[#This Row],[Date]],'DB Details'!$A:$Q,8))</f>
        <v/>
      </c>
      <c r="I237" s="52">
        <f>IF(VLOOKUP(Table91213[[#This Row],[Date]],'DB Details'!$A:$Q,9)=0,"",VLOOKUP(Table91213[[#This Row],[Date]],'DB Details'!$A:$Q,9))</f>
        <v/>
      </c>
      <c r="J237" s="52">
        <f>IF(VLOOKUP(Table91213[[#This Row],[Date]],'DB Details'!$A:$Q,10)=0,"",VLOOKUP(Table91213[[#This Row],[Date]],'DB Details'!$A:$Q,10))</f>
        <v/>
      </c>
      <c r="K237" s="52">
        <f>IF(VLOOKUP(Table91213[[#This Row],[Date]],'DB Details'!$A:$Q,11)=0,"",VLOOKUP(Table91213[[#This Row],[Date]],'DB Details'!$A:$Q,11))</f>
        <v/>
      </c>
      <c r="L237" s="50">
        <f>IF(VLOOKUP(Table91213[[#This Row],[Date]],'DB Details'!$A:$Q,12)=0,"",VLOOKUP(Table91213[[#This Row],[Date]],'DB Details'!$A:$Q,12))</f>
        <v/>
      </c>
    </row>
    <row r="238">
      <c r="A238" s="53" t="n">
        <v>42675</v>
      </c>
      <c r="B238" s="50">
        <f>IF(VLOOKUP(Table91213[[#This Row],[Date]],'DB Details'!$A:$Q,2)=0,"",VLOOKUP(Table91213[[#This Row],[Date]],'DB Details'!$A:$Q,2))</f>
        <v/>
      </c>
      <c r="C238" s="51">
        <f>IF(VLOOKUP(Table91213[[#This Row],[Date]],'DB Details'!$A:$Q,3)=0,"",VLOOKUP(Table91213[[#This Row],[Date]],'DB Details'!$A:$Q,3))</f>
        <v/>
      </c>
      <c r="D238" s="51">
        <f>IF(VLOOKUP(Table91213[[#This Row],[Date]],'DB Details'!$A:$Q,4)=0,"",VLOOKUP(Table91213[[#This Row],[Date]],'DB Details'!$A:$Q,4))</f>
        <v/>
      </c>
      <c r="E238" s="52">
        <f>IF(VLOOKUP(Table91213[[#This Row],[Date]],'DB Details'!$A:$Q,5)=0,"",VLOOKUP(Table91213[[#This Row],[Date]],'DB Details'!$A:$Q,5))</f>
        <v/>
      </c>
      <c r="F238" s="51">
        <f>IF(VLOOKUP(Table91213[[#This Row],[Date]],'DB Details'!$A:$Q,6)=0,"",VLOOKUP(Table91213[[#This Row],[Date]],'DB Details'!$A:$Q,6))</f>
        <v/>
      </c>
      <c r="G238" s="52">
        <f>IF(VLOOKUP(Table91213[[#This Row],[Date]],'DB Details'!$A:$Q,7)=0,"",VLOOKUP(Table91213[[#This Row],[Date]],'DB Details'!$A:$Q,7))</f>
        <v/>
      </c>
      <c r="H238" s="52">
        <f>IF(VLOOKUP(Table91213[[#This Row],[Date]],'DB Details'!$A:$Q,8)=0,"",VLOOKUP(Table91213[[#This Row],[Date]],'DB Details'!$A:$Q,8))</f>
        <v/>
      </c>
      <c r="I238" s="52">
        <f>IF(VLOOKUP(Table91213[[#This Row],[Date]],'DB Details'!$A:$Q,9)=0,"",VLOOKUP(Table91213[[#This Row],[Date]],'DB Details'!$A:$Q,9))</f>
        <v/>
      </c>
      <c r="J238" s="52">
        <f>IF(VLOOKUP(Table91213[[#This Row],[Date]],'DB Details'!$A:$Q,10)=0,"",VLOOKUP(Table91213[[#This Row],[Date]],'DB Details'!$A:$Q,10))</f>
        <v/>
      </c>
      <c r="K238" s="52">
        <f>IF(VLOOKUP(Table91213[[#This Row],[Date]],'DB Details'!$A:$Q,11)=0,"",VLOOKUP(Table91213[[#This Row],[Date]],'DB Details'!$A:$Q,11))</f>
        <v/>
      </c>
      <c r="L238" s="50">
        <f>IF(VLOOKUP(Table91213[[#This Row],[Date]],'DB Details'!$A:$Q,12)=0,"",VLOOKUP(Table91213[[#This Row],[Date]],'DB Details'!$A:$Q,12))</f>
        <v/>
      </c>
    </row>
    <row r="239">
      <c r="A239" s="53" t="n">
        <v>42705</v>
      </c>
      <c r="B239" s="50">
        <f>IF(VLOOKUP(Table91213[[#This Row],[Date]],'DB Details'!$A:$Q,2)=0,"",VLOOKUP(Table91213[[#This Row],[Date]],'DB Details'!$A:$Q,2))</f>
        <v/>
      </c>
      <c r="C239" s="51">
        <f>IF(VLOOKUP(Table91213[[#This Row],[Date]],'DB Details'!$A:$Q,3)=0,"",VLOOKUP(Table91213[[#This Row],[Date]],'DB Details'!$A:$Q,3))</f>
        <v/>
      </c>
      <c r="D239" s="51">
        <f>IF(VLOOKUP(Table91213[[#This Row],[Date]],'DB Details'!$A:$Q,4)=0,"",VLOOKUP(Table91213[[#This Row],[Date]],'DB Details'!$A:$Q,4))</f>
        <v/>
      </c>
      <c r="E239" s="52">
        <f>IF(VLOOKUP(Table91213[[#This Row],[Date]],'DB Details'!$A:$Q,5)=0,"",VLOOKUP(Table91213[[#This Row],[Date]],'DB Details'!$A:$Q,5))</f>
        <v/>
      </c>
      <c r="F239" s="51">
        <f>IF(VLOOKUP(Table91213[[#This Row],[Date]],'DB Details'!$A:$Q,6)=0,"",VLOOKUP(Table91213[[#This Row],[Date]],'DB Details'!$A:$Q,6))</f>
        <v/>
      </c>
      <c r="G239" s="52">
        <f>IF(VLOOKUP(Table91213[[#This Row],[Date]],'DB Details'!$A:$Q,7)=0,"",VLOOKUP(Table91213[[#This Row],[Date]],'DB Details'!$A:$Q,7))</f>
        <v/>
      </c>
      <c r="H239" s="52">
        <f>IF(VLOOKUP(Table91213[[#This Row],[Date]],'DB Details'!$A:$Q,8)=0,"",VLOOKUP(Table91213[[#This Row],[Date]],'DB Details'!$A:$Q,8))</f>
        <v/>
      </c>
      <c r="I239" s="52">
        <f>IF(VLOOKUP(Table91213[[#This Row],[Date]],'DB Details'!$A:$Q,9)=0,"",VLOOKUP(Table91213[[#This Row],[Date]],'DB Details'!$A:$Q,9))</f>
        <v/>
      </c>
      <c r="J239" s="52">
        <f>IF(VLOOKUP(Table91213[[#This Row],[Date]],'DB Details'!$A:$Q,10)=0,"",VLOOKUP(Table91213[[#This Row],[Date]],'DB Details'!$A:$Q,10))</f>
        <v/>
      </c>
      <c r="K239" s="52">
        <f>IF(VLOOKUP(Table91213[[#This Row],[Date]],'DB Details'!$A:$Q,11)=0,"",VLOOKUP(Table91213[[#This Row],[Date]],'DB Details'!$A:$Q,11))</f>
        <v/>
      </c>
      <c r="L239" s="50">
        <f>IF(VLOOKUP(Table91213[[#This Row],[Date]],'DB Details'!$A:$Q,12)=0,"",VLOOKUP(Table91213[[#This Row],[Date]],'DB Details'!$A:$Q,12))</f>
        <v/>
      </c>
    </row>
    <row r="240">
      <c r="A240" s="53" t="n">
        <v>42736</v>
      </c>
      <c r="B240" s="50">
        <f>IF(VLOOKUP(Table91213[[#This Row],[Date]],'DB Details'!$A:$Q,2)=0,"",VLOOKUP(Table91213[[#This Row],[Date]],'DB Details'!$A:$Q,2))</f>
        <v/>
      </c>
      <c r="C240" s="51">
        <f>IF(VLOOKUP(Table91213[[#This Row],[Date]],'DB Details'!$A:$Q,3)=0,"",VLOOKUP(Table91213[[#This Row],[Date]],'DB Details'!$A:$Q,3))</f>
        <v/>
      </c>
      <c r="D240" s="51">
        <f>IF(VLOOKUP(Table91213[[#This Row],[Date]],'DB Details'!$A:$Q,4)=0,"",VLOOKUP(Table91213[[#This Row],[Date]],'DB Details'!$A:$Q,4))</f>
        <v/>
      </c>
      <c r="E240" s="52">
        <f>IF(VLOOKUP(Table91213[[#This Row],[Date]],'DB Details'!$A:$Q,5)=0,"",VLOOKUP(Table91213[[#This Row],[Date]],'DB Details'!$A:$Q,5))</f>
        <v/>
      </c>
      <c r="F240" s="51">
        <f>IF(VLOOKUP(Table91213[[#This Row],[Date]],'DB Details'!$A:$Q,6)=0,"",VLOOKUP(Table91213[[#This Row],[Date]],'DB Details'!$A:$Q,6))</f>
        <v/>
      </c>
      <c r="G240" s="52">
        <f>IF(VLOOKUP(Table91213[[#This Row],[Date]],'DB Details'!$A:$Q,7)=0,"",VLOOKUP(Table91213[[#This Row],[Date]],'DB Details'!$A:$Q,7))</f>
        <v/>
      </c>
      <c r="H240" s="52">
        <f>IF(VLOOKUP(Table91213[[#This Row],[Date]],'DB Details'!$A:$Q,8)=0,"",VLOOKUP(Table91213[[#This Row],[Date]],'DB Details'!$A:$Q,8))</f>
        <v/>
      </c>
      <c r="I240" s="52">
        <f>IF(VLOOKUP(Table91213[[#This Row],[Date]],'DB Details'!$A:$Q,9)=0,"",VLOOKUP(Table91213[[#This Row],[Date]],'DB Details'!$A:$Q,9))</f>
        <v/>
      </c>
      <c r="J240" s="52">
        <f>IF(VLOOKUP(Table91213[[#This Row],[Date]],'DB Details'!$A:$Q,10)=0,"",VLOOKUP(Table91213[[#This Row],[Date]],'DB Details'!$A:$Q,10))</f>
        <v/>
      </c>
      <c r="K240" s="52">
        <f>IF(VLOOKUP(Table91213[[#This Row],[Date]],'DB Details'!$A:$Q,11)=0,"",VLOOKUP(Table91213[[#This Row],[Date]],'DB Details'!$A:$Q,11))</f>
        <v/>
      </c>
      <c r="L240" s="50">
        <f>IF(VLOOKUP(Table91213[[#This Row],[Date]],'DB Details'!$A:$Q,12)=0,"",VLOOKUP(Table91213[[#This Row],[Date]],'DB Details'!$A:$Q,12))</f>
        <v/>
      </c>
    </row>
    <row r="241">
      <c r="A241" s="53" t="n">
        <v>42767</v>
      </c>
      <c r="B241" s="50">
        <f>IF(VLOOKUP(Table91213[[#This Row],[Date]],'DB Details'!$A:$Q,2)=0,"",VLOOKUP(Table91213[[#This Row],[Date]],'DB Details'!$A:$Q,2))</f>
        <v/>
      </c>
      <c r="C241" s="51">
        <f>IF(VLOOKUP(Table91213[[#This Row],[Date]],'DB Details'!$A:$Q,3)=0,"",VLOOKUP(Table91213[[#This Row],[Date]],'DB Details'!$A:$Q,3))</f>
        <v/>
      </c>
      <c r="D241" s="51">
        <f>IF(VLOOKUP(Table91213[[#This Row],[Date]],'DB Details'!$A:$Q,4)=0,"",VLOOKUP(Table91213[[#This Row],[Date]],'DB Details'!$A:$Q,4))</f>
        <v/>
      </c>
      <c r="E241" s="52">
        <f>IF(VLOOKUP(Table91213[[#This Row],[Date]],'DB Details'!$A:$Q,5)=0,"",VLOOKUP(Table91213[[#This Row],[Date]],'DB Details'!$A:$Q,5))</f>
        <v/>
      </c>
      <c r="F241" s="51">
        <f>IF(VLOOKUP(Table91213[[#This Row],[Date]],'DB Details'!$A:$Q,6)=0,"",VLOOKUP(Table91213[[#This Row],[Date]],'DB Details'!$A:$Q,6))</f>
        <v/>
      </c>
      <c r="G241" s="52">
        <f>IF(VLOOKUP(Table91213[[#This Row],[Date]],'DB Details'!$A:$Q,7)=0,"",VLOOKUP(Table91213[[#This Row],[Date]],'DB Details'!$A:$Q,7))</f>
        <v/>
      </c>
      <c r="H241" s="52">
        <f>IF(VLOOKUP(Table91213[[#This Row],[Date]],'DB Details'!$A:$Q,8)=0,"",VLOOKUP(Table91213[[#This Row],[Date]],'DB Details'!$A:$Q,8))</f>
        <v/>
      </c>
      <c r="I241" s="52">
        <f>IF(VLOOKUP(Table91213[[#This Row],[Date]],'DB Details'!$A:$Q,9)=0,"",VLOOKUP(Table91213[[#This Row],[Date]],'DB Details'!$A:$Q,9))</f>
        <v/>
      </c>
      <c r="J241" s="52">
        <f>IF(VLOOKUP(Table91213[[#This Row],[Date]],'DB Details'!$A:$Q,10)=0,"",VLOOKUP(Table91213[[#This Row],[Date]],'DB Details'!$A:$Q,10))</f>
        <v/>
      </c>
      <c r="K241" s="52">
        <f>IF(VLOOKUP(Table91213[[#This Row],[Date]],'DB Details'!$A:$Q,11)=0,"",VLOOKUP(Table91213[[#This Row],[Date]],'DB Details'!$A:$Q,11))</f>
        <v/>
      </c>
      <c r="L241" s="50">
        <f>IF(VLOOKUP(Table91213[[#This Row],[Date]],'DB Details'!$A:$Q,12)=0,"",VLOOKUP(Table91213[[#This Row],[Date]],'DB Details'!$A:$Q,12))</f>
        <v/>
      </c>
    </row>
    <row r="242">
      <c r="A242" s="53" t="n">
        <v>42795</v>
      </c>
      <c r="B242" s="50">
        <f>IF(VLOOKUP(Table91213[[#This Row],[Date]],'DB Details'!$A:$Q,2)=0,"",VLOOKUP(Table91213[[#This Row],[Date]],'DB Details'!$A:$Q,2))</f>
        <v/>
      </c>
      <c r="C242" s="51">
        <f>IF(VLOOKUP(Table91213[[#This Row],[Date]],'DB Details'!$A:$Q,3)=0,"",VLOOKUP(Table91213[[#This Row],[Date]],'DB Details'!$A:$Q,3))</f>
        <v/>
      </c>
      <c r="D242" s="51">
        <f>IF(VLOOKUP(Table91213[[#This Row],[Date]],'DB Details'!$A:$Q,4)=0,"",VLOOKUP(Table91213[[#This Row],[Date]],'DB Details'!$A:$Q,4))</f>
        <v/>
      </c>
      <c r="E242" s="52">
        <f>IF(VLOOKUP(Table91213[[#This Row],[Date]],'DB Details'!$A:$Q,5)=0,"",VLOOKUP(Table91213[[#This Row],[Date]],'DB Details'!$A:$Q,5))</f>
        <v/>
      </c>
      <c r="F242" s="51">
        <f>IF(VLOOKUP(Table91213[[#This Row],[Date]],'DB Details'!$A:$Q,6)=0,"",VLOOKUP(Table91213[[#This Row],[Date]],'DB Details'!$A:$Q,6))</f>
        <v/>
      </c>
      <c r="G242" s="52">
        <f>IF(VLOOKUP(Table91213[[#This Row],[Date]],'DB Details'!$A:$Q,7)=0,"",VLOOKUP(Table91213[[#This Row],[Date]],'DB Details'!$A:$Q,7))</f>
        <v/>
      </c>
      <c r="H242" s="52">
        <f>IF(VLOOKUP(Table91213[[#This Row],[Date]],'DB Details'!$A:$Q,8)=0,"",VLOOKUP(Table91213[[#This Row],[Date]],'DB Details'!$A:$Q,8))</f>
        <v/>
      </c>
      <c r="I242" s="52">
        <f>IF(VLOOKUP(Table91213[[#This Row],[Date]],'DB Details'!$A:$Q,9)=0,"",VLOOKUP(Table91213[[#This Row],[Date]],'DB Details'!$A:$Q,9))</f>
        <v/>
      </c>
      <c r="J242" s="52">
        <f>IF(VLOOKUP(Table91213[[#This Row],[Date]],'DB Details'!$A:$Q,10)=0,"",VLOOKUP(Table91213[[#This Row],[Date]],'DB Details'!$A:$Q,10))</f>
        <v/>
      </c>
      <c r="K242" s="52">
        <f>IF(VLOOKUP(Table91213[[#This Row],[Date]],'DB Details'!$A:$Q,11)=0,"",VLOOKUP(Table91213[[#This Row],[Date]],'DB Details'!$A:$Q,11))</f>
        <v/>
      </c>
      <c r="L242" s="50">
        <f>IF(VLOOKUP(Table91213[[#This Row],[Date]],'DB Details'!$A:$Q,12)=0,"",VLOOKUP(Table91213[[#This Row],[Date]],'DB Details'!$A:$Q,12))</f>
        <v/>
      </c>
    </row>
    <row r="243">
      <c r="A243" s="53" t="n">
        <v>42826</v>
      </c>
      <c r="B243" s="50">
        <f>IF(VLOOKUP(Table91213[[#This Row],[Date]],'DB Details'!$A:$Q,2)=0,"",VLOOKUP(Table91213[[#This Row],[Date]],'DB Details'!$A:$Q,2))</f>
        <v/>
      </c>
      <c r="C243" s="51">
        <f>IF(VLOOKUP(Table91213[[#This Row],[Date]],'DB Details'!$A:$Q,3)=0,"",VLOOKUP(Table91213[[#This Row],[Date]],'DB Details'!$A:$Q,3))</f>
        <v/>
      </c>
      <c r="D243" s="51">
        <f>IF(VLOOKUP(Table91213[[#This Row],[Date]],'DB Details'!$A:$Q,4)=0,"",VLOOKUP(Table91213[[#This Row],[Date]],'DB Details'!$A:$Q,4))</f>
        <v/>
      </c>
      <c r="E243" s="52">
        <f>IF(VLOOKUP(Table91213[[#This Row],[Date]],'DB Details'!$A:$Q,5)=0,"",VLOOKUP(Table91213[[#This Row],[Date]],'DB Details'!$A:$Q,5))</f>
        <v/>
      </c>
      <c r="F243" s="51">
        <f>IF(VLOOKUP(Table91213[[#This Row],[Date]],'DB Details'!$A:$Q,6)=0,"",VLOOKUP(Table91213[[#This Row],[Date]],'DB Details'!$A:$Q,6))</f>
        <v/>
      </c>
      <c r="G243" s="52">
        <f>IF(VLOOKUP(Table91213[[#This Row],[Date]],'DB Details'!$A:$Q,7)=0,"",VLOOKUP(Table91213[[#This Row],[Date]],'DB Details'!$A:$Q,7))</f>
        <v/>
      </c>
      <c r="H243" s="52">
        <f>IF(VLOOKUP(Table91213[[#This Row],[Date]],'DB Details'!$A:$Q,8)=0,"",VLOOKUP(Table91213[[#This Row],[Date]],'DB Details'!$A:$Q,8))</f>
        <v/>
      </c>
      <c r="I243" s="52">
        <f>IF(VLOOKUP(Table91213[[#This Row],[Date]],'DB Details'!$A:$Q,9)=0,"",VLOOKUP(Table91213[[#This Row],[Date]],'DB Details'!$A:$Q,9))</f>
        <v/>
      </c>
      <c r="J243" s="52">
        <f>IF(VLOOKUP(Table91213[[#This Row],[Date]],'DB Details'!$A:$Q,10)=0,"",VLOOKUP(Table91213[[#This Row],[Date]],'DB Details'!$A:$Q,10))</f>
        <v/>
      </c>
      <c r="K243" s="52">
        <f>IF(VLOOKUP(Table91213[[#This Row],[Date]],'DB Details'!$A:$Q,11)=0,"",VLOOKUP(Table91213[[#This Row],[Date]],'DB Details'!$A:$Q,11))</f>
        <v/>
      </c>
      <c r="L243" s="50">
        <f>IF(VLOOKUP(Table91213[[#This Row],[Date]],'DB Details'!$A:$Q,12)=0,"",VLOOKUP(Table91213[[#This Row],[Date]],'DB Details'!$A:$Q,12))</f>
        <v/>
      </c>
    </row>
    <row r="244">
      <c r="A244" s="53" t="n">
        <v>42856</v>
      </c>
      <c r="B244" s="50">
        <f>IF(VLOOKUP(Table91213[[#This Row],[Date]],'DB Details'!$A:$Q,2)=0,"",VLOOKUP(Table91213[[#This Row],[Date]],'DB Details'!$A:$Q,2))</f>
        <v/>
      </c>
      <c r="C244" s="51">
        <f>IF(VLOOKUP(Table91213[[#This Row],[Date]],'DB Details'!$A:$Q,3)=0,"",VLOOKUP(Table91213[[#This Row],[Date]],'DB Details'!$A:$Q,3))</f>
        <v/>
      </c>
      <c r="D244" s="51">
        <f>IF(VLOOKUP(Table91213[[#This Row],[Date]],'DB Details'!$A:$Q,4)=0,"",VLOOKUP(Table91213[[#This Row],[Date]],'DB Details'!$A:$Q,4))</f>
        <v/>
      </c>
      <c r="E244" s="52">
        <f>IF(VLOOKUP(Table91213[[#This Row],[Date]],'DB Details'!$A:$Q,5)=0,"",VLOOKUP(Table91213[[#This Row],[Date]],'DB Details'!$A:$Q,5))</f>
        <v/>
      </c>
      <c r="F244" s="51">
        <f>IF(VLOOKUP(Table91213[[#This Row],[Date]],'DB Details'!$A:$Q,6)=0,"",VLOOKUP(Table91213[[#This Row],[Date]],'DB Details'!$A:$Q,6))</f>
        <v/>
      </c>
      <c r="G244" s="52">
        <f>IF(VLOOKUP(Table91213[[#This Row],[Date]],'DB Details'!$A:$Q,7)=0,"",VLOOKUP(Table91213[[#This Row],[Date]],'DB Details'!$A:$Q,7))</f>
        <v/>
      </c>
      <c r="H244" s="52">
        <f>IF(VLOOKUP(Table91213[[#This Row],[Date]],'DB Details'!$A:$Q,8)=0,"",VLOOKUP(Table91213[[#This Row],[Date]],'DB Details'!$A:$Q,8))</f>
        <v/>
      </c>
      <c r="I244" s="52">
        <f>IF(VLOOKUP(Table91213[[#This Row],[Date]],'DB Details'!$A:$Q,9)=0,"",VLOOKUP(Table91213[[#This Row],[Date]],'DB Details'!$A:$Q,9))</f>
        <v/>
      </c>
      <c r="J244" s="52">
        <f>IF(VLOOKUP(Table91213[[#This Row],[Date]],'DB Details'!$A:$Q,10)=0,"",VLOOKUP(Table91213[[#This Row],[Date]],'DB Details'!$A:$Q,10))</f>
        <v/>
      </c>
      <c r="K244" s="52">
        <f>IF(VLOOKUP(Table91213[[#This Row],[Date]],'DB Details'!$A:$Q,11)=0,"",VLOOKUP(Table91213[[#This Row],[Date]],'DB Details'!$A:$Q,11))</f>
        <v/>
      </c>
      <c r="L244" s="50">
        <f>IF(VLOOKUP(Table91213[[#This Row],[Date]],'DB Details'!$A:$Q,12)=0,"",VLOOKUP(Table91213[[#This Row],[Date]],'DB Details'!$A:$Q,12))</f>
        <v/>
      </c>
    </row>
    <row r="245">
      <c r="A245" s="53" t="n">
        <v>42887</v>
      </c>
      <c r="B245" s="50">
        <f>IF(VLOOKUP(Table91213[[#This Row],[Date]],'DB Details'!$A:$Q,2)=0,"",VLOOKUP(Table91213[[#This Row],[Date]],'DB Details'!$A:$Q,2))</f>
        <v/>
      </c>
      <c r="C245" s="51">
        <f>IF(VLOOKUP(Table91213[[#This Row],[Date]],'DB Details'!$A:$Q,3)=0,"",VLOOKUP(Table91213[[#This Row],[Date]],'DB Details'!$A:$Q,3))</f>
        <v/>
      </c>
      <c r="D245" s="51">
        <f>IF(VLOOKUP(Table91213[[#This Row],[Date]],'DB Details'!$A:$Q,4)=0,"",VLOOKUP(Table91213[[#This Row],[Date]],'DB Details'!$A:$Q,4))</f>
        <v/>
      </c>
      <c r="E245" s="52">
        <f>IF(VLOOKUP(Table91213[[#This Row],[Date]],'DB Details'!$A:$Q,5)=0,"",VLOOKUP(Table91213[[#This Row],[Date]],'DB Details'!$A:$Q,5))</f>
        <v/>
      </c>
      <c r="F245" s="51">
        <f>IF(VLOOKUP(Table91213[[#This Row],[Date]],'DB Details'!$A:$Q,6)=0,"",VLOOKUP(Table91213[[#This Row],[Date]],'DB Details'!$A:$Q,6))</f>
        <v/>
      </c>
      <c r="G245" s="52">
        <f>IF(VLOOKUP(Table91213[[#This Row],[Date]],'DB Details'!$A:$Q,7)=0,"",VLOOKUP(Table91213[[#This Row],[Date]],'DB Details'!$A:$Q,7))</f>
        <v/>
      </c>
      <c r="H245" s="52">
        <f>IF(VLOOKUP(Table91213[[#This Row],[Date]],'DB Details'!$A:$Q,8)=0,"",VLOOKUP(Table91213[[#This Row],[Date]],'DB Details'!$A:$Q,8))</f>
        <v/>
      </c>
      <c r="I245" s="52">
        <f>IF(VLOOKUP(Table91213[[#This Row],[Date]],'DB Details'!$A:$Q,9)=0,"",VLOOKUP(Table91213[[#This Row],[Date]],'DB Details'!$A:$Q,9))</f>
        <v/>
      </c>
      <c r="J245" s="52">
        <f>IF(VLOOKUP(Table91213[[#This Row],[Date]],'DB Details'!$A:$Q,10)=0,"",VLOOKUP(Table91213[[#This Row],[Date]],'DB Details'!$A:$Q,10))</f>
        <v/>
      </c>
      <c r="K245" s="52">
        <f>IF(VLOOKUP(Table91213[[#This Row],[Date]],'DB Details'!$A:$Q,11)=0,"",VLOOKUP(Table91213[[#This Row],[Date]],'DB Details'!$A:$Q,11))</f>
        <v/>
      </c>
      <c r="L245" s="50">
        <f>IF(VLOOKUP(Table91213[[#This Row],[Date]],'DB Details'!$A:$Q,12)=0,"",VLOOKUP(Table91213[[#This Row],[Date]],'DB Details'!$A:$Q,12))</f>
        <v/>
      </c>
    </row>
    <row r="246">
      <c r="A246" s="53" t="n">
        <v>42917</v>
      </c>
      <c r="B246" s="50">
        <f>IF(VLOOKUP(Table91213[[#This Row],[Date]],'DB Details'!$A:$Q,2)=0,"",VLOOKUP(Table91213[[#This Row],[Date]],'DB Details'!$A:$Q,2))</f>
        <v/>
      </c>
      <c r="C246" s="51">
        <f>IF(VLOOKUP(Table91213[[#This Row],[Date]],'DB Details'!$A:$Q,3)=0,"",VLOOKUP(Table91213[[#This Row],[Date]],'DB Details'!$A:$Q,3))</f>
        <v/>
      </c>
      <c r="D246" s="51">
        <f>IF(VLOOKUP(Table91213[[#This Row],[Date]],'DB Details'!$A:$Q,4)=0,"",VLOOKUP(Table91213[[#This Row],[Date]],'DB Details'!$A:$Q,4))</f>
        <v/>
      </c>
      <c r="E246" s="52">
        <f>IF(VLOOKUP(Table91213[[#This Row],[Date]],'DB Details'!$A:$Q,5)=0,"",VLOOKUP(Table91213[[#This Row],[Date]],'DB Details'!$A:$Q,5))</f>
        <v/>
      </c>
      <c r="F246" s="51">
        <f>IF(VLOOKUP(Table91213[[#This Row],[Date]],'DB Details'!$A:$Q,6)=0,"",VLOOKUP(Table91213[[#This Row],[Date]],'DB Details'!$A:$Q,6))</f>
        <v/>
      </c>
      <c r="G246" s="52">
        <f>IF(VLOOKUP(Table91213[[#This Row],[Date]],'DB Details'!$A:$Q,7)=0,"",VLOOKUP(Table91213[[#This Row],[Date]],'DB Details'!$A:$Q,7))</f>
        <v/>
      </c>
      <c r="H246" s="52">
        <f>IF(VLOOKUP(Table91213[[#This Row],[Date]],'DB Details'!$A:$Q,8)=0,"",VLOOKUP(Table91213[[#This Row],[Date]],'DB Details'!$A:$Q,8))</f>
        <v/>
      </c>
      <c r="I246" s="52">
        <f>IF(VLOOKUP(Table91213[[#This Row],[Date]],'DB Details'!$A:$Q,9)=0,"",VLOOKUP(Table91213[[#This Row],[Date]],'DB Details'!$A:$Q,9))</f>
        <v/>
      </c>
      <c r="J246" s="52">
        <f>IF(VLOOKUP(Table91213[[#This Row],[Date]],'DB Details'!$A:$Q,10)=0,"",VLOOKUP(Table91213[[#This Row],[Date]],'DB Details'!$A:$Q,10))</f>
        <v/>
      </c>
      <c r="K246" s="52">
        <f>IF(VLOOKUP(Table91213[[#This Row],[Date]],'DB Details'!$A:$Q,11)=0,"",VLOOKUP(Table91213[[#This Row],[Date]],'DB Details'!$A:$Q,11))</f>
        <v/>
      </c>
      <c r="L246" s="50">
        <f>IF(VLOOKUP(Table91213[[#This Row],[Date]],'DB Details'!$A:$Q,12)=0,"",VLOOKUP(Table91213[[#This Row],[Date]],'DB Details'!$A:$Q,12))</f>
        <v/>
      </c>
    </row>
    <row r="247">
      <c r="A247" s="53" t="n">
        <v>42948</v>
      </c>
      <c r="B247" s="50">
        <f>IF(VLOOKUP(Table91213[[#This Row],[Date]],'DB Details'!$A:$Q,2)=0,"",VLOOKUP(Table91213[[#This Row],[Date]],'DB Details'!$A:$Q,2))</f>
        <v/>
      </c>
      <c r="C247" s="51">
        <f>IF(VLOOKUP(Table91213[[#This Row],[Date]],'DB Details'!$A:$Q,3)=0,"",VLOOKUP(Table91213[[#This Row],[Date]],'DB Details'!$A:$Q,3))</f>
        <v/>
      </c>
      <c r="D247" s="51">
        <f>IF(VLOOKUP(Table91213[[#This Row],[Date]],'DB Details'!$A:$Q,4)=0,"",VLOOKUP(Table91213[[#This Row],[Date]],'DB Details'!$A:$Q,4))</f>
        <v/>
      </c>
      <c r="E247" s="52">
        <f>IF(VLOOKUP(Table91213[[#This Row],[Date]],'DB Details'!$A:$Q,5)=0,"",VLOOKUP(Table91213[[#This Row],[Date]],'DB Details'!$A:$Q,5))</f>
        <v/>
      </c>
      <c r="F247" s="51">
        <f>IF(VLOOKUP(Table91213[[#This Row],[Date]],'DB Details'!$A:$Q,6)=0,"",VLOOKUP(Table91213[[#This Row],[Date]],'DB Details'!$A:$Q,6))</f>
        <v/>
      </c>
      <c r="G247" s="52">
        <f>IF(VLOOKUP(Table91213[[#This Row],[Date]],'DB Details'!$A:$Q,7)=0,"",VLOOKUP(Table91213[[#This Row],[Date]],'DB Details'!$A:$Q,7))</f>
        <v/>
      </c>
      <c r="H247" s="52">
        <f>IF(VLOOKUP(Table91213[[#This Row],[Date]],'DB Details'!$A:$Q,8)=0,"",VLOOKUP(Table91213[[#This Row],[Date]],'DB Details'!$A:$Q,8))</f>
        <v/>
      </c>
      <c r="I247" s="52">
        <f>IF(VLOOKUP(Table91213[[#This Row],[Date]],'DB Details'!$A:$Q,9)=0,"",VLOOKUP(Table91213[[#This Row],[Date]],'DB Details'!$A:$Q,9))</f>
        <v/>
      </c>
      <c r="J247" s="52">
        <f>IF(VLOOKUP(Table91213[[#This Row],[Date]],'DB Details'!$A:$Q,10)=0,"",VLOOKUP(Table91213[[#This Row],[Date]],'DB Details'!$A:$Q,10))</f>
        <v/>
      </c>
      <c r="K247" s="52">
        <f>IF(VLOOKUP(Table91213[[#This Row],[Date]],'DB Details'!$A:$Q,11)=0,"",VLOOKUP(Table91213[[#This Row],[Date]],'DB Details'!$A:$Q,11))</f>
        <v/>
      </c>
      <c r="L247" s="50">
        <f>IF(VLOOKUP(Table91213[[#This Row],[Date]],'DB Details'!$A:$Q,12)=0,"",VLOOKUP(Table91213[[#This Row],[Date]],'DB Details'!$A:$Q,12))</f>
        <v/>
      </c>
    </row>
    <row r="248">
      <c r="A248" s="53" t="n">
        <v>42979</v>
      </c>
      <c r="B248" s="50">
        <f>IF(VLOOKUP(Table91213[[#This Row],[Date]],'DB Details'!$A:$Q,2)=0,"",VLOOKUP(Table91213[[#This Row],[Date]],'DB Details'!$A:$Q,2))</f>
        <v/>
      </c>
      <c r="C248" s="51">
        <f>IF(VLOOKUP(Table91213[[#This Row],[Date]],'DB Details'!$A:$Q,3)=0,"",VLOOKUP(Table91213[[#This Row],[Date]],'DB Details'!$A:$Q,3))</f>
        <v/>
      </c>
      <c r="D248" s="51">
        <f>IF(VLOOKUP(Table91213[[#This Row],[Date]],'DB Details'!$A:$Q,4)=0,"",VLOOKUP(Table91213[[#This Row],[Date]],'DB Details'!$A:$Q,4))</f>
        <v/>
      </c>
      <c r="E248" s="52">
        <f>IF(VLOOKUP(Table91213[[#This Row],[Date]],'DB Details'!$A:$Q,5)=0,"",VLOOKUP(Table91213[[#This Row],[Date]],'DB Details'!$A:$Q,5))</f>
        <v/>
      </c>
      <c r="F248" s="51">
        <f>IF(VLOOKUP(Table91213[[#This Row],[Date]],'DB Details'!$A:$Q,6)=0,"",VLOOKUP(Table91213[[#This Row],[Date]],'DB Details'!$A:$Q,6))</f>
        <v/>
      </c>
      <c r="G248" s="52">
        <f>IF(VLOOKUP(Table91213[[#This Row],[Date]],'DB Details'!$A:$Q,7)=0,"",VLOOKUP(Table91213[[#This Row],[Date]],'DB Details'!$A:$Q,7))</f>
        <v/>
      </c>
      <c r="H248" s="52">
        <f>IF(VLOOKUP(Table91213[[#This Row],[Date]],'DB Details'!$A:$Q,8)=0,"",VLOOKUP(Table91213[[#This Row],[Date]],'DB Details'!$A:$Q,8))</f>
        <v/>
      </c>
      <c r="I248" s="52">
        <f>IF(VLOOKUP(Table91213[[#This Row],[Date]],'DB Details'!$A:$Q,9)=0,"",VLOOKUP(Table91213[[#This Row],[Date]],'DB Details'!$A:$Q,9))</f>
        <v/>
      </c>
      <c r="J248" s="52">
        <f>IF(VLOOKUP(Table91213[[#This Row],[Date]],'DB Details'!$A:$Q,10)=0,"",VLOOKUP(Table91213[[#This Row],[Date]],'DB Details'!$A:$Q,10))</f>
        <v/>
      </c>
      <c r="K248" s="52">
        <f>IF(VLOOKUP(Table91213[[#This Row],[Date]],'DB Details'!$A:$Q,11)=0,"",VLOOKUP(Table91213[[#This Row],[Date]],'DB Details'!$A:$Q,11))</f>
        <v/>
      </c>
      <c r="L248" s="50">
        <f>IF(VLOOKUP(Table91213[[#This Row],[Date]],'DB Details'!$A:$Q,12)=0,"",VLOOKUP(Table91213[[#This Row],[Date]],'DB Details'!$A:$Q,12))</f>
        <v/>
      </c>
    </row>
    <row r="249">
      <c r="A249" s="53" t="n">
        <v>43009</v>
      </c>
      <c r="B249" s="50">
        <f>IF(VLOOKUP(Table91213[[#This Row],[Date]],'DB Details'!$A:$Q,2)=0,"",VLOOKUP(Table91213[[#This Row],[Date]],'DB Details'!$A:$Q,2))</f>
        <v/>
      </c>
      <c r="C249" s="51">
        <f>IF(VLOOKUP(Table91213[[#This Row],[Date]],'DB Details'!$A:$Q,3)=0,"",VLOOKUP(Table91213[[#This Row],[Date]],'DB Details'!$A:$Q,3))</f>
        <v/>
      </c>
      <c r="D249" s="51">
        <f>IF(VLOOKUP(Table91213[[#This Row],[Date]],'DB Details'!$A:$Q,4)=0,"",VLOOKUP(Table91213[[#This Row],[Date]],'DB Details'!$A:$Q,4))</f>
        <v/>
      </c>
      <c r="E249" s="52">
        <f>IF(VLOOKUP(Table91213[[#This Row],[Date]],'DB Details'!$A:$Q,5)=0,"",VLOOKUP(Table91213[[#This Row],[Date]],'DB Details'!$A:$Q,5))</f>
        <v/>
      </c>
      <c r="F249" s="51">
        <f>IF(VLOOKUP(Table91213[[#This Row],[Date]],'DB Details'!$A:$Q,6)=0,"",VLOOKUP(Table91213[[#This Row],[Date]],'DB Details'!$A:$Q,6))</f>
        <v/>
      </c>
      <c r="G249" s="52">
        <f>IF(VLOOKUP(Table91213[[#This Row],[Date]],'DB Details'!$A:$Q,7)=0,"",VLOOKUP(Table91213[[#This Row],[Date]],'DB Details'!$A:$Q,7))</f>
        <v/>
      </c>
      <c r="H249" s="52">
        <f>IF(VLOOKUP(Table91213[[#This Row],[Date]],'DB Details'!$A:$Q,8)=0,"",VLOOKUP(Table91213[[#This Row],[Date]],'DB Details'!$A:$Q,8))</f>
        <v/>
      </c>
      <c r="I249" s="52">
        <f>IF(VLOOKUP(Table91213[[#This Row],[Date]],'DB Details'!$A:$Q,9)=0,"",VLOOKUP(Table91213[[#This Row],[Date]],'DB Details'!$A:$Q,9))</f>
        <v/>
      </c>
      <c r="J249" s="52">
        <f>IF(VLOOKUP(Table91213[[#This Row],[Date]],'DB Details'!$A:$Q,10)=0,"",VLOOKUP(Table91213[[#This Row],[Date]],'DB Details'!$A:$Q,10))</f>
        <v/>
      </c>
      <c r="K249" s="52">
        <f>IF(VLOOKUP(Table91213[[#This Row],[Date]],'DB Details'!$A:$Q,11)=0,"",VLOOKUP(Table91213[[#This Row],[Date]],'DB Details'!$A:$Q,11))</f>
        <v/>
      </c>
      <c r="L249" s="50">
        <f>IF(VLOOKUP(Table91213[[#This Row],[Date]],'DB Details'!$A:$Q,12)=0,"",VLOOKUP(Table91213[[#This Row],[Date]],'DB Details'!$A:$Q,12))</f>
        <v/>
      </c>
    </row>
    <row r="250">
      <c r="A250" s="53" t="n">
        <v>43040</v>
      </c>
      <c r="B250" s="50">
        <f>IF(VLOOKUP(Table91213[[#This Row],[Date]],'DB Details'!$A:$Q,2)=0,"",VLOOKUP(Table91213[[#This Row],[Date]],'DB Details'!$A:$Q,2))</f>
        <v/>
      </c>
      <c r="C250" s="51">
        <f>IF(VLOOKUP(Table91213[[#This Row],[Date]],'DB Details'!$A:$Q,3)=0,"",VLOOKUP(Table91213[[#This Row],[Date]],'DB Details'!$A:$Q,3))</f>
        <v/>
      </c>
      <c r="D250" s="51">
        <f>IF(VLOOKUP(Table91213[[#This Row],[Date]],'DB Details'!$A:$Q,4)=0,"",VLOOKUP(Table91213[[#This Row],[Date]],'DB Details'!$A:$Q,4))</f>
        <v/>
      </c>
      <c r="E250" s="52">
        <f>IF(VLOOKUP(Table91213[[#This Row],[Date]],'DB Details'!$A:$Q,5)=0,"",VLOOKUP(Table91213[[#This Row],[Date]],'DB Details'!$A:$Q,5))</f>
        <v/>
      </c>
      <c r="F250" s="51">
        <f>IF(VLOOKUP(Table91213[[#This Row],[Date]],'DB Details'!$A:$Q,6)=0,"",VLOOKUP(Table91213[[#This Row],[Date]],'DB Details'!$A:$Q,6))</f>
        <v/>
      </c>
      <c r="G250" s="52">
        <f>IF(VLOOKUP(Table91213[[#This Row],[Date]],'DB Details'!$A:$Q,7)=0,"",VLOOKUP(Table91213[[#This Row],[Date]],'DB Details'!$A:$Q,7))</f>
        <v/>
      </c>
      <c r="H250" s="52">
        <f>IF(VLOOKUP(Table91213[[#This Row],[Date]],'DB Details'!$A:$Q,8)=0,"",VLOOKUP(Table91213[[#This Row],[Date]],'DB Details'!$A:$Q,8))</f>
        <v/>
      </c>
      <c r="I250" s="52">
        <f>IF(VLOOKUP(Table91213[[#This Row],[Date]],'DB Details'!$A:$Q,9)=0,"",VLOOKUP(Table91213[[#This Row],[Date]],'DB Details'!$A:$Q,9))</f>
        <v/>
      </c>
      <c r="J250" s="52">
        <f>IF(VLOOKUP(Table91213[[#This Row],[Date]],'DB Details'!$A:$Q,10)=0,"",VLOOKUP(Table91213[[#This Row],[Date]],'DB Details'!$A:$Q,10))</f>
        <v/>
      </c>
      <c r="K250" s="52">
        <f>IF(VLOOKUP(Table91213[[#This Row],[Date]],'DB Details'!$A:$Q,11)=0,"",VLOOKUP(Table91213[[#This Row],[Date]],'DB Details'!$A:$Q,11))</f>
        <v/>
      </c>
      <c r="L250" s="50">
        <f>IF(VLOOKUP(Table91213[[#This Row],[Date]],'DB Details'!$A:$Q,12)=0,"",VLOOKUP(Table91213[[#This Row],[Date]],'DB Details'!$A:$Q,12))</f>
        <v/>
      </c>
    </row>
    <row r="251">
      <c r="A251" s="53" t="n">
        <v>43070</v>
      </c>
      <c r="B251" s="50">
        <f>IF(VLOOKUP(Table91213[[#This Row],[Date]],'DB Details'!$A:$Q,2)=0,"",VLOOKUP(Table91213[[#This Row],[Date]],'DB Details'!$A:$Q,2))</f>
        <v/>
      </c>
      <c r="C251" s="51">
        <f>IF(VLOOKUP(Table91213[[#This Row],[Date]],'DB Details'!$A:$Q,3)=0,"",VLOOKUP(Table91213[[#This Row],[Date]],'DB Details'!$A:$Q,3))</f>
        <v/>
      </c>
      <c r="D251" s="51">
        <f>IF(VLOOKUP(Table91213[[#This Row],[Date]],'DB Details'!$A:$Q,4)=0,"",VLOOKUP(Table91213[[#This Row],[Date]],'DB Details'!$A:$Q,4))</f>
        <v/>
      </c>
      <c r="E251" s="52">
        <f>IF(VLOOKUP(Table91213[[#This Row],[Date]],'DB Details'!$A:$Q,5)=0,"",VLOOKUP(Table91213[[#This Row],[Date]],'DB Details'!$A:$Q,5))</f>
        <v/>
      </c>
      <c r="F251" s="51">
        <f>IF(VLOOKUP(Table91213[[#This Row],[Date]],'DB Details'!$A:$Q,6)=0,"",VLOOKUP(Table91213[[#This Row],[Date]],'DB Details'!$A:$Q,6))</f>
        <v/>
      </c>
      <c r="G251" s="52">
        <f>IF(VLOOKUP(Table91213[[#This Row],[Date]],'DB Details'!$A:$Q,7)=0,"",VLOOKUP(Table91213[[#This Row],[Date]],'DB Details'!$A:$Q,7))</f>
        <v/>
      </c>
      <c r="H251" s="52">
        <f>IF(VLOOKUP(Table91213[[#This Row],[Date]],'DB Details'!$A:$Q,8)=0,"",VLOOKUP(Table91213[[#This Row],[Date]],'DB Details'!$A:$Q,8))</f>
        <v/>
      </c>
      <c r="I251" s="52">
        <f>IF(VLOOKUP(Table91213[[#This Row],[Date]],'DB Details'!$A:$Q,9)=0,"",VLOOKUP(Table91213[[#This Row],[Date]],'DB Details'!$A:$Q,9))</f>
        <v/>
      </c>
      <c r="J251" s="52">
        <f>IF(VLOOKUP(Table91213[[#This Row],[Date]],'DB Details'!$A:$Q,10)=0,"",VLOOKUP(Table91213[[#This Row],[Date]],'DB Details'!$A:$Q,10))</f>
        <v/>
      </c>
      <c r="K251" s="52">
        <f>IF(VLOOKUP(Table91213[[#This Row],[Date]],'DB Details'!$A:$Q,11)=0,"",VLOOKUP(Table91213[[#This Row],[Date]],'DB Details'!$A:$Q,11))</f>
        <v/>
      </c>
      <c r="L251" s="50">
        <f>IF(VLOOKUP(Table91213[[#This Row],[Date]],'DB Details'!$A:$Q,12)=0,"",VLOOKUP(Table91213[[#This Row],[Date]],'DB Details'!$A:$Q,12))</f>
        <v/>
      </c>
    </row>
    <row r="252">
      <c r="A252" s="53" t="n">
        <v>43101</v>
      </c>
      <c r="B252" s="50">
        <f>IF(VLOOKUP(Table91213[[#This Row],[Date]],'DB Details'!$A:$Q,2)=0,"",VLOOKUP(Table91213[[#This Row],[Date]],'DB Details'!$A:$Q,2))</f>
        <v/>
      </c>
      <c r="C252" s="51">
        <f>IF(VLOOKUP(Table91213[[#This Row],[Date]],'DB Details'!$A:$Q,3)=0,"",VLOOKUP(Table91213[[#This Row],[Date]],'DB Details'!$A:$Q,3))</f>
        <v/>
      </c>
      <c r="D252" s="51">
        <f>IF(VLOOKUP(Table91213[[#This Row],[Date]],'DB Details'!$A:$Q,4)=0,"",VLOOKUP(Table91213[[#This Row],[Date]],'DB Details'!$A:$Q,4))</f>
        <v/>
      </c>
      <c r="E252" s="52">
        <f>IF(VLOOKUP(Table91213[[#This Row],[Date]],'DB Details'!$A:$Q,5)=0,"",VLOOKUP(Table91213[[#This Row],[Date]],'DB Details'!$A:$Q,5))</f>
        <v/>
      </c>
      <c r="F252" s="51">
        <f>IF(VLOOKUP(Table91213[[#This Row],[Date]],'DB Details'!$A:$Q,6)=0,"",VLOOKUP(Table91213[[#This Row],[Date]],'DB Details'!$A:$Q,6))</f>
        <v/>
      </c>
      <c r="G252" s="52">
        <f>IF(VLOOKUP(Table91213[[#This Row],[Date]],'DB Details'!$A:$Q,7)=0,"",VLOOKUP(Table91213[[#This Row],[Date]],'DB Details'!$A:$Q,7))</f>
        <v/>
      </c>
      <c r="H252" s="52">
        <f>IF(VLOOKUP(Table91213[[#This Row],[Date]],'DB Details'!$A:$Q,8)=0,"",VLOOKUP(Table91213[[#This Row],[Date]],'DB Details'!$A:$Q,8))</f>
        <v/>
      </c>
      <c r="I252" s="52">
        <f>IF(VLOOKUP(Table91213[[#This Row],[Date]],'DB Details'!$A:$Q,9)=0,"",VLOOKUP(Table91213[[#This Row],[Date]],'DB Details'!$A:$Q,9))</f>
        <v/>
      </c>
      <c r="J252" s="52">
        <f>IF(VLOOKUP(Table91213[[#This Row],[Date]],'DB Details'!$A:$Q,10)=0,"",VLOOKUP(Table91213[[#This Row],[Date]],'DB Details'!$A:$Q,10))</f>
        <v/>
      </c>
      <c r="K252" s="52">
        <f>IF(VLOOKUP(Table91213[[#This Row],[Date]],'DB Details'!$A:$Q,11)=0,"",VLOOKUP(Table91213[[#This Row],[Date]],'DB Details'!$A:$Q,11))</f>
        <v/>
      </c>
      <c r="L252" s="50">
        <f>IF(VLOOKUP(Table91213[[#This Row],[Date]],'DB Details'!$A:$Q,12)=0,"",VLOOKUP(Table91213[[#This Row],[Date]],'DB Details'!$A:$Q,12))</f>
        <v/>
      </c>
    </row>
    <row r="253">
      <c r="A253" s="53" t="n">
        <v>43132</v>
      </c>
      <c r="B253" s="50">
        <f>IF(VLOOKUP(Table91213[[#This Row],[Date]],'DB Details'!$A:$Q,2)=0,"",VLOOKUP(Table91213[[#This Row],[Date]],'DB Details'!$A:$Q,2))</f>
        <v/>
      </c>
      <c r="C253" s="51">
        <f>IF(VLOOKUP(Table91213[[#This Row],[Date]],'DB Details'!$A:$Q,3)=0,"",VLOOKUP(Table91213[[#This Row],[Date]],'DB Details'!$A:$Q,3))</f>
        <v/>
      </c>
      <c r="D253" s="51">
        <f>IF(VLOOKUP(Table91213[[#This Row],[Date]],'DB Details'!$A:$Q,4)=0,"",VLOOKUP(Table91213[[#This Row],[Date]],'DB Details'!$A:$Q,4))</f>
        <v/>
      </c>
      <c r="E253" s="52">
        <f>IF(VLOOKUP(Table91213[[#This Row],[Date]],'DB Details'!$A:$Q,5)=0,"",VLOOKUP(Table91213[[#This Row],[Date]],'DB Details'!$A:$Q,5))</f>
        <v/>
      </c>
      <c r="F253" s="51">
        <f>IF(VLOOKUP(Table91213[[#This Row],[Date]],'DB Details'!$A:$Q,6)=0,"",VLOOKUP(Table91213[[#This Row],[Date]],'DB Details'!$A:$Q,6))</f>
        <v/>
      </c>
      <c r="G253" s="52">
        <f>IF(VLOOKUP(Table91213[[#This Row],[Date]],'DB Details'!$A:$Q,7)=0,"",VLOOKUP(Table91213[[#This Row],[Date]],'DB Details'!$A:$Q,7))</f>
        <v/>
      </c>
      <c r="H253" s="52">
        <f>IF(VLOOKUP(Table91213[[#This Row],[Date]],'DB Details'!$A:$Q,8)=0,"",VLOOKUP(Table91213[[#This Row],[Date]],'DB Details'!$A:$Q,8))</f>
        <v/>
      </c>
      <c r="I253" s="52">
        <f>IF(VLOOKUP(Table91213[[#This Row],[Date]],'DB Details'!$A:$Q,9)=0,"",VLOOKUP(Table91213[[#This Row],[Date]],'DB Details'!$A:$Q,9))</f>
        <v/>
      </c>
      <c r="J253" s="52">
        <f>IF(VLOOKUP(Table91213[[#This Row],[Date]],'DB Details'!$A:$Q,10)=0,"",VLOOKUP(Table91213[[#This Row],[Date]],'DB Details'!$A:$Q,10))</f>
        <v/>
      </c>
      <c r="K253" s="52">
        <f>IF(VLOOKUP(Table91213[[#This Row],[Date]],'DB Details'!$A:$Q,11)=0,"",VLOOKUP(Table91213[[#This Row],[Date]],'DB Details'!$A:$Q,11))</f>
        <v/>
      </c>
      <c r="L253" s="50">
        <f>IF(VLOOKUP(Table91213[[#This Row],[Date]],'DB Details'!$A:$Q,12)=0,"",VLOOKUP(Table91213[[#This Row],[Date]],'DB Details'!$A:$Q,12))</f>
        <v/>
      </c>
    </row>
    <row r="254">
      <c r="A254" s="53" t="n">
        <v>43160</v>
      </c>
      <c r="B254" s="50">
        <f>IF(VLOOKUP(Table91213[[#This Row],[Date]],'DB Details'!$A:$Q,2)=0,"",VLOOKUP(Table91213[[#This Row],[Date]],'DB Details'!$A:$Q,2))</f>
        <v/>
      </c>
      <c r="C254" s="51">
        <f>IF(VLOOKUP(Table91213[[#This Row],[Date]],'DB Details'!$A:$Q,3)=0,"",VLOOKUP(Table91213[[#This Row],[Date]],'DB Details'!$A:$Q,3))</f>
        <v/>
      </c>
      <c r="D254" s="51">
        <f>IF(VLOOKUP(Table91213[[#This Row],[Date]],'DB Details'!$A:$Q,4)=0,"",VLOOKUP(Table91213[[#This Row],[Date]],'DB Details'!$A:$Q,4))</f>
        <v/>
      </c>
      <c r="E254" s="52">
        <f>IF(VLOOKUP(Table91213[[#This Row],[Date]],'DB Details'!$A:$Q,5)=0,"",VLOOKUP(Table91213[[#This Row],[Date]],'DB Details'!$A:$Q,5))</f>
        <v/>
      </c>
      <c r="F254" s="51">
        <f>IF(VLOOKUP(Table91213[[#This Row],[Date]],'DB Details'!$A:$Q,6)=0,"",VLOOKUP(Table91213[[#This Row],[Date]],'DB Details'!$A:$Q,6))</f>
        <v/>
      </c>
      <c r="G254" s="52">
        <f>IF(VLOOKUP(Table91213[[#This Row],[Date]],'DB Details'!$A:$Q,7)=0,"",VLOOKUP(Table91213[[#This Row],[Date]],'DB Details'!$A:$Q,7))</f>
        <v/>
      </c>
      <c r="H254" s="52">
        <f>IF(VLOOKUP(Table91213[[#This Row],[Date]],'DB Details'!$A:$Q,8)=0,"",VLOOKUP(Table91213[[#This Row],[Date]],'DB Details'!$A:$Q,8))</f>
        <v/>
      </c>
      <c r="I254" s="52">
        <f>IF(VLOOKUP(Table91213[[#This Row],[Date]],'DB Details'!$A:$Q,9)=0,"",VLOOKUP(Table91213[[#This Row],[Date]],'DB Details'!$A:$Q,9))</f>
        <v/>
      </c>
      <c r="J254" s="52">
        <f>IF(VLOOKUP(Table91213[[#This Row],[Date]],'DB Details'!$A:$Q,10)=0,"",VLOOKUP(Table91213[[#This Row],[Date]],'DB Details'!$A:$Q,10))</f>
        <v/>
      </c>
      <c r="K254" s="52">
        <f>IF(VLOOKUP(Table91213[[#This Row],[Date]],'DB Details'!$A:$Q,11)=0,"",VLOOKUP(Table91213[[#This Row],[Date]],'DB Details'!$A:$Q,11))</f>
        <v/>
      </c>
      <c r="L254" s="50">
        <f>IF(VLOOKUP(Table91213[[#This Row],[Date]],'DB Details'!$A:$Q,12)=0,"",VLOOKUP(Table91213[[#This Row],[Date]],'DB Details'!$A:$Q,12))</f>
        <v/>
      </c>
    </row>
    <row r="255">
      <c r="A255" s="53" t="n">
        <v>43191</v>
      </c>
      <c r="B255" s="50">
        <f>IF(VLOOKUP(Table91213[[#This Row],[Date]],'DB Details'!$A:$Q,2)=0,"",VLOOKUP(Table91213[[#This Row],[Date]],'DB Details'!$A:$Q,2))</f>
        <v/>
      </c>
      <c r="C255" s="51">
        <f>IF(VLOOKUP(Table91213[[#This Row],[Date]],'DB Details'!$A:$Q,3)=0,"",VLOOKUP(Table91213[[#This Row],[Date]],'DB Details'!$A:$Q,3))</f>
        <v/>
      </c>
      <c r="D255" s="51">
        <f>IF(VLOOKUP(Table91213[[#This Row],[Date]],'DB Details'!$A:$Q,4)=0,"",VLOOKUP(Table91213[[#This Row],[Date]],'DB Details'!$A:$Q,4))</f>
        <v/>
      </c>
      <c r="E255" s="52">
        <f>IF(VLOOKUP(Table91213[[#This Row],[Date]],'DB Details'!$A:$Q,5)=0,"",VLOOKUP(Table91213[[#This Row],[Date]],'DB Details'!$A:$Q,5))</f>
        <v/>
      </c>
      <c r="F255" s="51">
        <f>IF(VLOOKUP(Table91213[[#This Row],[Date]],'DB Details'!$A:$Q,6)=0,"",VLOOKUP(Table91213[[#This Row],[Date]],'DB Details'!$A:$Q,6))</f>
        <v/>
      </c>
      <c r="G255" s="52">
        <f>IF(VLOOKUP(Table91213[[#This Row],[Date]],'DB Details'!$A:$Q,7)=0,"",VLOOKUP(Table91213[[#This Row],[Date]],'DB Details'!$A:$Q,7))</f>
        <v/>
      </c>
      <c r="H255" s="52">
        <f>IF(VLOOKUP(Table91213[[#This Row],[Date]],'DB Details'!$A:$Q,8)=0,"",VLOOKUP(Table91213[[#This Row],[Date]],'DB Details'!$A:$Q,8))</f>
        <v/>
      </c>
      <c r="I255" s="52">
        <f>IF(VLOOKUP(Table91213[[#This Row],[Date]],'DB Details'!$A:$Q,9)=0,"",VLOOKUP(Table91213[[#This Row],[Date]],'DB Details'!$A:$Q,9))</f>
        <v/>
      </c>
      <c r="J255" s="52">
        <f>IF(VLOOKUP(Table91213[[#This Row],[Date]],'DB Details'!$A:$Q,10)=0,"",VLOOKUP(Table91213[[#This Row],[Date]],'DB Details'!$A:$Q,10))</f>
        <v/>
      </c>
      <c r="K255" s="52">
        <f>IF(VLOOKUP(Table91213[[#This Row],[Date]],'DB Details'!$A:$Q,11)=0,"",VLOOKUP(Table91213[[#This Row],[Date]],'DB Details'!$A:$Q,11))</f>
        <v/>
      </c>
      <c r="L255" s="50">
        <f>IF(VLOOKUP(Table91213[[#This Row],[Date]],'DB Details'!$A:$Q,12)=0,"",VLOOKUP(Table91213[[#This Row],[Date]],'DB Details'!$A:$Q,12))</f>
        <v/>
      </c>
    </row>
    <row r="256">
      <c r="A256" s="53" t="n">
        <v>43221</v>
      </c>
      <c r="B256" s="50">
        <f>IF(VLOOKUP(Table91213[[#This Row],[Date]],'DB Details'!$A:$Q,2)=0,"",VLOOKUP(Table91213[[#This Row],[Date]],'DB Details'!$A:$Q,2))</f>
        <v/>
      </c>
      <c r="C256" s="51">
        <f>IF(VLOOKUP(Table91213[[#This Row],[Date]],'DB Details'!$A:$Q,3)=0,"",VLOOKUP(Table91213[[#This Row],[Date]],'DB Details'!$A:$Q,3))</f>
        <v/>
      </c>
      <c r="D256" s="51">
        <f>IF(VLOOKUP(Table91213[[#This Row],[Date]],'DB Details'!$A:$Q,4)=0,"",VLOOKUP(Table91213[[#This Row],[Date]],'DB Details'!$A:$Q,4))</f>
        <v/>
      </c>
      <c r="E256" s="52">
        <f>IF(VLOOKUP(Table91213[[#This Row],[Date]],'DB Details'!$A:$Q,5)=0,"",VLOOKUP(Table91213[[#This Row],[Date]],'DB Details'!$A:$Q,5))</f>
        <v/>
      </c>
      <c r="F256" s="51">
        <f>IF(VLOOKUP(Table91213[[#This Row],[Date]],'DB Details'!$A:$Q,6)=0,"",VLOOKUP(Table91213[[#This Row],[Date]],'DB Details'!$A:$Q,6))</f>
        <v/>
      </c>
      <c r="G256" s="52">
        <f>IF(VLOOKUP(Table91213[[#This Row],[Date]],'DB Details'!$A:$Q,7)=0,"",VLOOKUP(Table91213[[#This Row],[Date]],'DB Details'!$A:$Q,7))</f>
        <v/>
      </c>
      <c r="H256" s="52">
        <f>IF(VLOOKUP(Table91213[[#This Row],[Date]],'DB Details'!$A:$Q,8)=0,"",VLOOKUP(Table91213[[#This Row],[Date]],'DB Details'!$A:$Q,8))</f>
        <v/>
      </c>
      <c r="I256" s="52">
        <f>IF(VLOOKUP(Table91213[[#This Row],[Date]],'DB Details'!$A:$Q,9)=0,"",VLOOKUP(Table91213[[#This Row],[Date]],'DB Details'!$A:$Q,9))</f>
        <v/>
      </c>
      <c r="J256" s="52">
        <f>IF(VLOOKUP(Table91213[[#This Row],[Date]],'DB Details'!$A:$Q,10)=0,"",VLOOKUP(Table91213[[#This Row],[Date]],'DB Details'!$A:$Q,10))</f>
        <v/>
      </c>
      <c r="K256" s="52">
        <f>IF(VLOOKUP(Table91213[[#This Row],[Date]],'DB Details'!$A:$Q,11)=0,"",VLOOKUP(Table91213[[#This Row],[Date]],'DB Details'!$A:$Q,11))</f>
        <v/>
      </c>
      <c r="L256" s="50">
        <f>IF(VLOOKUP(Table91213[[#This Row],[Date]],'DB Details'!$A:$Q,12)=0,"",VLOOKUP(Table91213[[#This Row],[Date]],'DB Details'!$A:$Q,12))</f>
        <v/>
      </c>
    </row>
    <row r="257">
      <c r="A257" s="53" t="n">
        <v>43252</v>
      </c>
      <c r="B257" s="50">
        <f>IF(VLOOKUP(Table91213[[#This Row],[Date]],'DB Details'!$A:$Q,2)=0,"",VLOOKUP(Table91213[[#This Row],[Date]],'DB Details'!$A:$Q,2))</f>
        <v/>
      </c>
      <c r="C257" s="51">
        <f>IF(VLOOKUP(Table91213[[#This Row],[Date]],'DB Details'!$A:$Q,3)=0,"",VLOOKUP(Table91213[[#This Row],[Date]],'DB Details'!$A:$Q,3))</f>
        <v/>
      </c>
      <c r="D257" s="51">
        <f>IF(VLOOKUP(Table91213[[#This Row],[Date]],'DB Details'!$A:$Q,4)=0,"",VLOOKUP(Table91213[[#This Row],[Date]],'DB Details'!$A:$Q,4))</f>
        <v/>
      </c>
      <c r="E257" s="52">
        <f>IF(VLOOKUP(Table91213[[#This Row],[Date]],'DB Details'!$A:$Q,5)=0,"",VLOOKUP(Table91213[[#This Row],[Date]],'DB Details'!$A:$Q,5))</f>
        <v/>
      </c>
      <c r="F257" s="51">
        <f>IF(VLOOKUP(Table91213[[#This Row],[Date]],'DB Details'!$A:$Q,6)=0,"",VLOOKUP(Table91213[[#This Row],[Date]],'DB Details'!$A:$Q,6))</f>
        <v/>
      </c>
      <c r="G257" s="52">
        <f>IF(VLOOKUP(Table91213[[#This Row],[Date]],'DB Details'!$A:$Q,7)=0,"",VLOOKUP(Table91213[[#This Row],[Date]],'DB Details'!$A:$Q,7))</f>
        <v/>
      </c>
      <c r="H257" s="52">
        <f>IF(VLOOKUP(Table91213[[#This Row],[Date]],'DB Details'!$A:$Q,8)=0,"",VLOOKUP(Table91213[[#This Row],[Date]],'DB Details'!$A:$Q,8))</f>
        <v/>
      </c>
      <c r="I257" s="52">
        <f>IF(VLOOKUP(Table91213[[#This Row],[Date]],'DB Details'!$A:$Q,9)=0,"",VLOOKUP(Table91213[[#This Row],[Date]],'DB Details'!$A:$Q,9))</f>
        <v/>
      </c>
      <c r="J257" s="52">
        <f>IF(VLOOKUP(Table91213[[#This Row],[Date]],'DB Details'!$A:$Q,10)=0,"",VLOOKUP(Table91213[[#This Row],[Date]],'DB Details'!$A:$Q,10))</f>
        <v/>
      </c>
      <c r="K257" s="52">
        <f>IF(VLOOKUP(Table91213[[#This Row],[Date]],'DB Details'!$A:$Q,11)=0,"",VLOOKUP(Table91213[[#This Row],[Date]],'DB Details'!$A:$Q,11))</f>
        <v/>
      </c>
      <c r="L257" s="50">
        <f>IF(VLOOKUP(Table91213[[#This Row],[Date]],'DB Details'!$A:$Q,12)=0,"",VLOOKUP(Table91213[[#This Row],[Date]],'DB Details'!$A:$Q,12))</f>
        <v/>
      </c>
    </row>
    <row r="258">
      <c r="A258" s="53" t="n">
        <v>43282</v>
      </c>
      <c r="B258" s="50">
        <f>IF(VLOOKUP(Table91213[[#This Row],[Date]],'DB Details'!$A:$Q,2)=0,"",VLOOKUP(Table91213[[#This Row],[Date]],'DB Details'!$A:$Q,2))</f>
        <v/>
      </c>
      <c r="C258" s="51">
        <f>IF(VLOOKUP(Table91213[[#This Row],[Date]],'DB Details'!$A:$Q,3)=0,"",VLOOKUP(Table91213[[#This Row],[Date]],'DB Details'!$A:$Q,3))</f>
        <v/>
      </c>
      <c r="D258" s="51">
        <f>IF(VLOOKUP(Table91213[[#This Row],[Date]],'DB Details'!$A:$Q,4)=0,"",VLOOKUP(Table91213[[#This Row],[Date]],'DB Details'!$A:$Q,4))</f>
        <v/>
      </c>
      <c r="E258" s="52">
        <f>IF(VLOOKUP(Table91213[[#This Row],[Date]],'DB Details'!$A:$Q,5)=0,"",VLOOKUP(Table91213[[#This Row],[Date]],'DB Details'!$A:$Q,5))</f>
        <v/>
      </c>
      <c r="F258" s="51">
        <f>IF(VLOOKUP(Table91213[[#This Row],[Date]],'DB Details'!$A:$Q,6)=0,"",VLOOKUP(Table91213[[#This Row],[Date]],'DB Details'!$A:$Q,6))</f>
        <v/>
      </c>
      <c r="G258" s="52">
        <f>IF(VLOOKUP(Table91213[[#This Row],[Date]],'DB Details'!$A:$Q,7)=0,"",VLOOKUP(Table91213[[#This Row],[Date]],'DB Details'!$A:$Q,7))</f>
        <v/>
      </c>
      <c r="H258" s="52">
        <f>IF(VLOOKUP(Table91213[[#This Row],[Date]],'DB Details'!$A:$Q,8)=0,"",VLOOKUP(Table91213[[#This Row],[Date]],'DB Details'!$A:$Q,8))</f>
        <v/>
      </c>
      <c r="I258" s="52">
        <f>IF(VLOOKUP(Table91213[[#This Row],[Date]],'DB Details'!$A:$Q,9)=0,"",VLOOKUP(Table91213[[#This Row],[Date]],'DB Details'!$A:$Q,9))</f>
        <v/>
      </c>
      <c r="J258" s="52">
        <f>IF(VLOOKUP(Table91213[[#This Row],[Date]],'DB Details'!$A:$Q,10)=0,"",VLOOKUP(Table91213[[#This Row],[Date]],'DB Details'!$A:$Q,10))</f>
        <v/>
      </c>
      <c r="K258" s="52">
        <f>IF(VLOOKUP(Table91213[[#This Row],[Date]],'DB Details'!$A:$Q,11)=0,"",VLOOKUP(Table91213[[#This Row],[Date]],'DB Details'!$A:$Q,11))</f>
        <v/>
      </c>
      <c r="L258" s="50">
        <f>IF(VLOOKUP(Table91213[[#This Row],[Date]],'DB Details'!$A:$Q,12)=0,"",VLOOKUP(Table91213[[#This Row],[Date]],'DB Details'!$A:$Q,12))</f>
        <v/>
      </c>
    </row>
    <row r="259">
      <c r="A259" s="53" t="n">
        <v>43313</v>
      </c>
      <c r="B259" s="50">
        <f>IF(VLOOKUP(Table91213[[#This Row],[Date]],'DB Details'!$A:$Q,2)=0,"",VLOOKUP(Table91213[[#This Row],[Date]],'DB Details'!$A:$Q,2))</f>
        <v/>
      </c>
      <c r="C259" s="51">
        <f>IF(VLOOKUP(Table91213[[#This Row],[Date]],'DB Details'!$A:$Q,3)=0,"",VLOOKUP(Table91213[[#This Row],[Date]],'DB Details'!$A:$Q,3))</f>
        <v/>
      </c>
      <c r="D259" s="51">
        <f>IF(VLOOKUP(Table91213[[#This Row],[Date]],'DB Details'!$A:$Q,4)=0,"",VLOOKUP(Table91213[[#This Row],[Date]],'DB Details'!$A:$Q,4))</f>
        <v/>
      </c>
      <c r="E259" s="52">
        <f>IF(VLOOKUP(Table91213[[#This Row],[Date]],'DB Details'!$A:$Q,5)=0,"",VLOOKUP(Table91213[[#This Row],[Date]],'DB Details'!$A:$Q,5))</f>
        <v/>
      </c>
      <c r="F259" s="51">
        <f>IF(VLOOKUP(Table91213[[#This Row],[Date]],'DB Details'!$A:$Q,6)=0,"",VLOOKUP(Table91213[[#This Row],[Date]],'DB Details'!$A:$Q,6))</f>
        <v/>
      </c>
      <c r="G259" s="52">
        <f>IF(VLOOKUP(Table91213[[#This Row],[Date]],'DB Details'!$A:$Q,7)=0,"",VLOOKUP(Table91213[[#This Row],[Date]],'DB Details'!$A:$Q,7))</f>
        <v/>
      </c>
      <c r="H259" s="52">
        <f>IF(VLOOKUP(Table91213[[#This Row],[Date]],'DB Details'!$A:$Q,8)=0,"",VLOOKUP(Table91213[[#This Row],[Date]],'DB Details'!$A:$Q,8))</f>
        <v/>
      </c>
      <c r="I259" s="52">
        <f>IF(VLOOKUP(Table91213[[#This Row],[Date]],'DB Details'!$A:$Q,9)=0,"",VLOOKUP(Table91213[[#This Row],[Date]],'DB Details'!$A:$Q,9))</f>
        <v/>
      </c>
      <c r="J259" s="52">
        <f>IF(VLOOKUP(Table91213[[#This Row],[Date]],'DB Details'!$A:$Q,10)=0,"",VLOOKUP(Table91213[[#This Row],[Date]],'DB Details'!$A:$Q,10))</f>
        <v/>
      </c>
      <c r="K259" s="52">
        <f>IF(VLOOKUP(Table91213[[#This Row],[Date]],'DB Details'!$A:$Q,11)=0,"",VLOOKUP(Table91213[[#This Row],[Date]],'DB Details'!$A:$Q,11))</f>
        <v/>
      </c>
      <c r="L259" s="50">
        <f>IF(VLOOKUP(Table91213[[#This Row],[Date]],'DB Details'!$A:$Q,12)=0,"",VLOOKUP(Table91213[[#This Row],[Date]],'DB Details'!$A:$Q,12))</f>
        <v/>
      </c>
    </row>
    <row r="260">
      <c r="A260" s="53" t="n">
        <v>43344</v>
      </c>
      <c r="B260" s="50">
        <f>IF(VLOOKUP(Table91213[[#This Row],[Date]],'DB Details'!$A:$Q,2)=0,"",VLOOKUP(Table91213[[#This Row],[Date]],'DB Details'!$A:$Q,2))</f>
        <v/>
      </c>
      <c r="C260" s="51">
        <f>IF(VLOOKUP(Table91213[[#This Row],[Date]],'DB Details'!$A:$Q,3)=0,"",VLOOKUP(Table91213[[#This Row],[Date]],'DB Details'!$A:$Q,3))</f>
        <v/>
      </c>
      <c r="D260" s="51">
        <f>IF(VLOOKUP(Table91213[[#This Row],[Date]],'DB Details'!$A:$Q,4)=0,"",VLOOKUP(Table91213[[#This Row],[Date]],'DB Details'!$A:$Q,4))</f>
        <v/>
      </c>
      <c r="E260" s="52">
        <f>IF(VLOOKUP(Table91213[[#This Row],[Date]],'DB Details'!$A:$Q,5)=0,"",VLOOKUP(Table91213[[#This Row],[Date]],'DB Details'!$A:$Q,5))</f>
        <v/>
      </c>
      <c r="F260" s="51">
        <f>IF(VLOOKUP(Table91213[[#This Row],[Date]],'DB Details'!$A:$Q,6)=0,"",VLOOKUP(Table91213[[#This Row],[Date]],'DB Details'!$A:$Q,6))</f>
        <v/>
      </c>
      <c r="G260" s="52">
        <f>IF(VLOOKUP(Table91213[[#This Row],[Date]],'DB Details'!$A:$Q,7)=0,"",VLOOKUP(Table91213[[#This Row],[Date]],'DB Details'!$A:$Q,7))</f>
        <v/>
      </c>
      <c r="H260" s="52">
        <f>IF(VLOOKUP(Table91213[[#This Row],[Date]],'DB Details'!$A:$Q,8)=0,"",VLOOKUP(Table91213[[#This Row],[Date]],'DB Details'!$A:$Q,8))</f>
        <v/>
      </c>
      <c r="I260" s="52">
        <f>IF(VLOOKUP(Table91213[[#This Row],[Date]],'DB Details'!$A:$Q,9)=0,"",VLOOKUP(Table91213[[#This Row],[Date]],'DB Details'!$A:$Q,9))</f>
        <v/>
      </c>
      <c r="J260" s="52">
        <f>IF(VLOOKUP(Table91213[[#This Row],[Date]],'DB Details'!$A:$Q,10)=0,"",VLOOKUP(Table91213[[#This Row],[Date]],'DB Details'!$A:$Q,10))</f>
        <v/>
      </c>
      <c r="K260" s="52">
        <f>IF(VLOOKUP(Table91213[[#This Row],[Date]],'DB Details'!$A:$Q,11)=0,"",VLOOKUP(Table91213[[#This Row],[Date]],'DB Details'!$A:$Q,11))</f>
        <v/>
      </c>
      <c r="L260" s="50">
        <f>IF(VLOOKUP(Table91213[[#This Row],[Date]],'DB Details'!$A:$Q,12)=0,"",VLOOKUP(Table91213[[#This Row],[Date]],'DB Details'!$A:$Q,12))</f>
        <v/>
      </c>
    </row>
    <row r="261">
      <c r="A261" s="53" t="n">
        <v>43374</v>
      </c>
      <c r="B261" s="50">
        <f>IF(VLOOKUP(Table91213[[#This Row],[Date]],'DB Details'!$A:$Q,2)=0,"",VLOOKUP(Table91213[[#This Row],[Date]],'DB Details'!$A:$Q,2))</f>
        <v/>
      </c>
      <c r="C261" s="51">
        <f>IF(VLOOKUP(Table91213[[#This Row],[Date]],'DB Details'!$A:$Q,3)=0,"",VLOOKUP(Table91213[[#This Row],[Date]],'DB Details'!$A:$Q,3))</f>
        <v/>
      </c>
      <c r="D261" s="51">
        <f>IF(VLOOKUP(Table91213[[#This Row],[Date]],'DB Details'!$A:$Q,4)=0,"",VLOOKUP(Table91213[[#This Row],[Date]],'DB Details'!$A:$Q,4))</f>
        <v/>
      </c>
      <c r="E261" s="52">
        <f>IF(VLOOKUP(Table91213[[#This Row],[Date]],'DB Details'!$A:$Q,5)=0,"",VLOOKUP(Table91213[[#This Row],[Date]],'DB Details'!$A:$Q,5))</f>
        <v/>
      </c>
      <c r="F261" s="51">
        <f>IF(VLOOKUP(Table91213[[#This Row],[Date]],'DB Details'!$A:$Q,6)=0,"",VLOOKUP(Table91213[[#This Row],[Date]],'DB Details'!$A:$Q,6))</f>
        <v/>
      </c>
      <c r="G261" s="52">
        <f>IF(VLOOKUP(Table91213[[#This Row],[Date]],'DB Details'!$A:$Q,7)=0,"",VLOOKUP(Table91213[[#This Row],[Date]],'DB Details'!$A:$Q,7))</f>
        <v/>
      </c>
      <c r="H261" s="52">
        <f>IF(VLOOKUP(Table91213[[#This Row],[Date]],'DB Details'!$A:$Q,8)=0,"",VLOOKUP(Table91213[[#This Row],[Date]],'DB Details'!$A:$Q,8))</f>
        <v/>
      </c>
      <c r="I261" s="52">
        <f>IF(VLOOKUP(Table91213[[#This Row],[Date]],'DB Details'!$A:$Q,9)=0,"",VLOOKUP(Table91213[[#This Row],[Date]],'DB Details'!$A:$Q,9))</f>
        <v/>
      </c>
      <c r="J261" s="52">
        <f>IF(VLOOKUP(Table91213[[#This Row],[Date]],'DB Details'!$A:$Q,10)=0,"",VLOOKUP(Table91213[[#This Row],[Date]],'DB Details'!$A:$Q,10))</f>
        <v/>
      </c>
      <c r="K261" s="52">
        <f>IF(VLOOKUP(Table91213[[#This Row],[Date]],'DB Details'!$A:$Q,11)=0,"",VLOOKUP(Table91213[[#This Row],[Date]],'DB Details'!$A:$Q,11))</f>
        <v/>
      </c>
      <c r="L261" s="50">
        <f>IF(VLOOKUP(Table91213[[#This Row],[Date]],'DB Details'!$A:$Q,12)=0,"",VLOOKUP(Table91213[[#This Row],[Date]],'DB Details'!$A:$Q,12))</f>
        <v/>
      </c>
    </row>
    <row r="262">
      <c r="A262" s="53" t="n">
        <v>43405</v>
      </c>
      <c r="B262" s="50">
        <f>IF(VLOOKUP(Table91213[[#This Row],[Date]],'DB Details'!$A:$Q,2)=0,"",VLOOKUP(Table91213[[#This Row],[Date]],'DB Details'!$A:$Q,2))</f>
        <v/>
      </c>
      <c r="C262" s="51">
        <f>IF(VLOOKUP(Table91213[[#This Row],[Date]],'DB Details'!$A:$Q,3)=0,"",VLOOKUP(Table91213[[#This Row],[Date]],'DB Details'!$A:$Q,3))</f>
        <v/>
      </c>
      <c r="D262" s="51">
        <f>IF(VLOOKUP(Table91213[[#This Row],[Date]],'DB Details'!$A:$Q,4)=0,"",VLOOKUP(Table91213[[#This Row],[Date]],'DB Details'!$A:$Q,4))</f>
        <v/>
      </c>
      <c r="E262" s="52">
        <f>IF(VLOOKUP(Table91213[[#This Row],[Date]],'DB Details'!$A:$Q,5)=0,"",VLOOKUP(Table91213[[#This Row],[Date]],'DB Details'!$A:$Q,5))</f>
        <v/>
      </c>
      <c r="F262" s="51">
        <f>IF(VLOOKUP(Table91213[[#This Row],[Date]],'DB Details'!$A:$Q,6)=0,"",VLOOKUP(Table91213[[#This Row],[Date]],'DB Details'!$A:$Q,6))</f>
        <v/>
      </c>
      <c r="G262" s="52">
        <f>IF(VLOOKUP(Table91213[[#This Row],[Date]],'DB Details'!$A:$Q,7)=0,"",VLOOKUP(Table91213[[#This Row],[Date]],'DB Details'!$A:$Q,7))</f>
        <v/>
      </c>
      <c r="H262" s="52">
        <f>IF(VLOOKUP(Table91213[[#This Row],[Date]],'DB Details'!$A:$Q,8)=0,"",VLOOKUP(Table91213[[#This Row],[Date]],'DB Details'!$A:$Q,8))</f>
        <v/>
      </c>
      <c r="I262" s="52">
        <f>IF(VLOOKUP(Table91213[[#This Row],[Date]],'DB Details'!$A:$Q,9)=0,"",VLOOKUP(Table91213[[#This Row],[Date]],'DB Details'!$A:$Q,9))</f>
        <v/>
      </c>
      <c r="J262" s="52">
        <f>IF(VLOOKUP(Table91213[[#This Row],[Date]],'DB Details'!$A:$Q,10)=0,"",VLOOKUP(Table91213[[#This Row],[Date]],'DB Details'!$A:$Q,10))</f>
        <v/>
      </c>
      <c r="K262" s="52">
        <f>IF(VLOOKUP(Table91213[[#This Row],[Date]],'DB Details'!$A:$Q,11)=0,"",VLOOKUP(Table91213[[#This Row],[Date]],'DB Details'!$A:$Q,11))</f>
        <v/>
      </c>
      <c r="L262" s="50">
        <f>IF(VLOOKUP(Table91213[[#This Row],[Date]],'DB Details'!$A:$Q,12)=0,"",VLOOKUP(Table91213[[#This Row],[Date]],'DB Details'!$A:$Q,12))</f>
        <v/>
      </c>
    </row>
    <row r="263">
      <c r="A263" s="53" t="n">
        <v>43435</v>
      </c>
      <c r="B263" s="50">
        <f>IF(VLOOKUP(Table91213[[#This Row],[Date]],'DB Details'!$A:$Q,2)=0,"",VLOOKUP(Table91213[[#This Row],[Date]],'DB Details'!$A:$Q,2))</f>
        <v/>
      </c>
      <c r="C263" s="51">
        <f>IF(VLOOKUP(Table91213[[#This Row],[Date]],'DB Details'!$A:$Q,3)=0,"",VLOOKUP(Table91213[[#This Row],[Date]],'DB Details'!$A:$Q,3))</f>
        <v/>
      </c>
      <c r="D263" s="51">
        <f>IF(VLOOKUP(Table91213[[#This Row],[Date]],'DB Details'!$A:$Q,4)=0,"",VLOOKUP(Table91213[[#This Row],[Date]],'DB Details'!$A:$Q,4))</f>
        <v/>
      </c>
      <c r="E263" s="52">
        <f>IF(VLOOKUP(Table91213[[#This Row],[Date]],'DB Details'!$A:$Q,5)=0,"",VLOOKUP(Table91213[[#This Row],[Date]],'DB Details'!$A:$Q,5))</f>
        <v/>
      </c>
      <c r="F263" s="51">
        <f>IF(VLOOKUP(Table91213[[#This Row],[Date]],'DB Details'!$A:$Q,6)=0,"",VLOOKUP(Table91213[[#This Row],[Date]],'DB Details'!$A:$Q,6))</f>
        <v/>
      </c>
      <c r="G263" s="52">
        <f>IF(VLOOKUP(Table91213[[#This Row],[Date]],'DB Details'!$A:$Q,7)=0,"",VLOOKUP(Table91213[[#This Row],[Date]],'DB Details'!$A:$Q,7))</f>
        <v/>
      </c>
      <c r="H263" s="52">
        <f>IF(VLOOKUP(Table91213[[#This Row],[Date]],'DB Details'!$A:$Q,8)=0,"",VLOOKUP(Table91213[[#This Row],[Date]],'DB Details'!$A:$Q,8))</f>
        <v/>
      </c>
      <c r="I263" s="52">
        <f>IF(VLOOKUP(Table91213[[#This Row],[Date]],'DB Details'!$A:$Q,9)=0,"",VLOOKUP(Table91213[[#This Row],[Date]],'DB Details'!$A:$Q,9))</f>
        <v/>
      </c>
      <c r="J263" s="52">
        <f>IF(VLOOKUP(Table91213[[#This Row],[Date]],'DB Details'!$A:$Q,10)=0,"",VLOOKUP(Table91213[[#This Row],[Date]],'DB Details'!$A:$Q,10))</f>
        <v/>
      </c>
      <c r="K263" s="52">
        <f>IF(VLOOKUP(Table91213[[#This Row],[Date]],'DB Details'!$A:$Q,11)=0,"",VLOOKUP(Table91213[[#This Row],[Date]],'DB Details'!$A:$Q,11))</f>
        <v/>
      </c>
      <c r="L263" s="50">
        <f>IF(VLOOKUP(Table91213[[#This Row],[Date]],'DB Details'!$A:$Q,12)=0,"",VLOOKUP(Table91213[[#This Row],[Date]],'DB Details'!$A:$Q,12))</f>
        <v/>
      </c>
    </row>
    <row r="264">
      <c r="A264" s="53" t="n">
        <v>43466</v>
      </c>
      <c r="B264" s="50">
        <f>IF(VLOOKUP(Table91213[[#This Row],[Date]],'DB Details'!$A:$Q,2)=0,"",VLOOKUP(Table91213[[#This Row],[Date]],'DB Details'!$A:$Q,2))</f>
        <v/>
      </c>
      <c r="C264" s="51">
        <f>IF(VLOOKUP(Table91213[[#This Row],[Date]],'DB Details'!$A:$Q,3)=0,"",VLOOKUP(Table91213[[#This Row],[Date]],'DB Details'!$A:$Q,3))</f>
        <v/>
      </c>
      <c r="D264" s="51">
        <f>IF(VLOOKUP(Table91213[[#This Row],[Date]],'DB Details'!$A:$Q,4)=0,"",VLOOKUP(Table91213[[#This Row],[Date]],'DB Details'!$A:$Q,4))</f>
        <v/>
      </c>
      <c r="E264" s="52">
        <f>IF(VLOOKUP(Table91213[[#This Row],[Date]],'DB Details'!$A:$Q,5)=0,"",VLOOKUP(Table91213[[#This Row],[Date]],'DB Details'!$A:$Q,5))</f>
        <v/>
      </c>
      <c r="F264" s="51">
        <f>IF(VLOOKUP(Table91213[[#This Row],[Date]],'DB Details'!$A:$Q,6)=0,"",VLOOKUP(Table91213[[#This Row],[Date]],'DB Details'!$A:$Q,6))</f>
        <v/>
      </c>
      <c r="G264" s="52">
        <f>IF(VLOOKUP(Table91213[[#This Row],[Date]],'DB Details'!$A:$Q,7)=0,"",VLOOKUP(Table91213[[#This Row],[Date]],'DB Details'!$A:$Q,7))</f>
        <v/>
      </c>
      <c r="H264" s="52">
        <f>IF(VLOOKUP(Table91213[[#This Row],[Date]],'DB Details'!$A:$Q,8)=0,"",VLOOKUP(Table91213[[#This Row],[Date]],'DB Details'!$A:$Q,8))</f>
        <v/>
      </c>
      <c r="I264" s="52">
        <f>IF(VLOOKUP(Table91213[[#This Row],[Date]],'DB Details'!$A:$Q,9)=0,"",VLOOKUP(Table91213[[#This Row],[Date]],'DB Details'!$A:$Q,9))</f>
        <v/>
      </c>
      <c r="J264" s="52">
        <f>IF(VLOOKUP(Table91213[[#This Row],[Date]],'DB Details'!$A:$Q,10)=0,"",VLOOKUP(Table91213[[#This Row],[Date]],'DB Details'!$A:$Q,10))</f>
        <v/>
      </c>
      <c r="K264" s="52">
        <f>IF(VLOOKUP(Table91213[[#This Row],[Date]],'DB Details'!$A:$Q,11)=0,"",VLOOKUP(Table91213[[#This Row],[Date]],'DB Details'!$A:$Q,11))</f>
        <v/>
      </c>
      <c r="L264" s="50">
        <f>IF(VLOOKUP(Table91213[[#This Row],[Date]],'DB Details'!$A:$Q,12)=0,"",VLOOKUP(Table91213[[#This Row],[Date]],'DB Details'!$A:$Q,12))</f>
        <v/>
      </c>
    </row>
    <row r="265">
      <c r="A265" s="53" t="n">
        <v>43497</v>
      </c>
      <c r="B265" s="50">
        <f>IF(VLOOKUP(Table91213[[#This Row],[Date]],'DB Details'!$A:$Q,2)=0,"",VLOOKUP(Table91213[[#This Row],[Date]],'DB Details'!$A:$Q,2))</f>
        <v/>
      </c>
      <c r="C265" s="51">
        <f>IF(VLOOKUP(Table91213[[#This Row],[Date]],'DB Details'!$A:$Q,3)=0,"",VLOOKUP(Table91213[[#This Row],[Date]],'DB Details'!$A:$Q,3))</f>
        <v/>
      </c>
      <c r="D265" s="51">
        <f>IF(VLOOKUP(Table91213[[#This Row],[Date]],'DB Details'!$A:$Q,4)=0,"",VLOOKUP(Table91213[[#This Row],[Date]],'DB Details'!$A:$Q,4))</f>
        <v/>
      </c>
      <c r="E265" s="52">
        <f>IF(VLOOKUP(Table91213[[#This Row],[Date]],'DB Details'!$A:$Q,5)=0,"",VLOOKUP(Table91213[[#This Row],[Date]],'DB Details'!$A:$Q,5))</f>
        <v/>
      </c>
      <c r="F265" s="51">
        <f>IF(VLOOKUP(Table91213[[#This Row],[Date]],'DB Details'!$A:$Q,6)=0,"",VLOOKUP(Table91213[[#This Row],[Date]],'DB Details'!$A:$Q,6))</f>
        <v/>
      </c>
      <c r="G265" s="52">
        <f>IF(VLOOKUP(Table91213[[#This Row],[Date]],'DB Details'!$A:$Q,7)=0,"",VLOOKUP(Table91213[[#This Row],[Date]],'DB Details'!$A:$Q,7))</f>
        <v/>
      </c>
      <c r="H265" s="52">
        <f>IF(VLOOKUP(Table91213[[#This Row],[Date]],'DB Details'!$A:$Q,8)=0,"",VLOOKUP(Table91213[[#This Row],[Date]],'DB Details'!$A:$Q,8))</f>
        <v/>
      </c>
      <c r="I265" s="52">
        <f>IF(VLOOKUP(Table91213[[#This Row],[Date]],'DB Details'!$A:$Q,9)=0,"",VLOOKUP(Table91213[[#This Row],[Date]],'DB Details'!$A:$Q,9))</f>
        <v/>
      </c>
      <c r="J265" s="52">
        <f>IF(VLOOKUP(Table91213[[#This Row],[Date]],'DB Details'!$A:$Q,10)=0,"",VLOOKUP(Table91213[[#This Row],[Date]],'DB Details'!$A:$Q,10))</f>
        <v/>
      </c>
      <c r="K265" s="52">
        <f>IF(VLOOKUP(Table91213[[#This Row],[Date]],'DB Details'!$A:$Q,11)=0,"",VLOOKUP(Table91213[[#This Row],[Date]],'DB Details'!$A:$Q,11))</f>
        <v/>
      </c>
      <c r="L265" s="50">
        <f>IF(VLOOKUP(Table91213[[#This Row],[Date]],'DB Details'!$A:$Q,12)=0,"",VLOOKUP(Table91213[[#This Row],[Date]],'DB Details'!$A:$Q,12))</f>
        <v/>
      </c>
    </row>
    <row r="266">
      <c r="A266" s="53" t="n">
        <v>43525</v>
      </c>
      <c r="B266" s="50">
        <f>IF(VLOOKUP(Table91213[[#This Row],[Date]],'DB Details'!$A:$Q,2)=0,"",VLOOKUP(Table91213[[#This Row],[Date]],'DB Details'!$A:$Q,2))</f>
        <v/>
      </c>
      <c r="C266" s="51">
        <f>IF(VLOOKUP(Table91213[[#This Row],[Date]],'DB Details'!$A:$Q,3)=0,"",VLOOKUP(Table91213[[#This Row],[Date]],'DB Details'!$A:$Q,3))</f>
        <v/>
      </c>
      <c r="D266" s="51">
        <f>IF(VLOOKUP(Table91213[[#This Row],[Date]],'DB Details'!$A:$Q,4)=0,"",VLOOKUP(Table91213[[#This Row],[Date]],'DB Details'!$A:$Q,4))</f>
        <v/>
      </c>
      <c r="E266" s="52">
        <f>IF(VLOOKUP(Table91213[[#This Row],[Date]],'DB Details'!$A:$Q,5)=0,"",VLOOKUP(Table91213[[#This Row],[Date]],'DB Details'!$A:$Q,5))</f>
        <v/>
      </c>
      <c r="F266" s="51">
        <f>IF(VLOOKUP(Table91213[[#This Row],[Date]],'DB Details'!$A:$Q,6)=0,"",VLOOKUP(Table91213[[#This Row],[Date]],'DB Details'!$A:$Q,6))</f>
        <v/>
      </c>
      <c r="G266" s="52">
        <f>IF(VLOOKUP(Table91213[[#This Row],[Date]],'DB Details'!$A:$Q,7)=0,"",VLOOKUP(Table91213[[#This Row],[Date]],'DB Details'!$A:$Q,7))</f>
        <v/>
      </c>
      <c r="H266" s="52">
        <f>IF(VLOOKUP(Table91213[[#This Row],[Date]],'DB Details'!$A:$Q,8)=0,"",VLOOKUP(Table91213[[#This Row],[Date]],'DB Details'!$A:$Q,8))</f>
        <v/>
      </c>
      <c r="I266" s="52">
        <f>IF(VLOOKUP(Table91213[[#This Row],[Date]],'DB Details'!$A:$Q,9)=0,"",VLOOKUP(Table91213[[#This Row],[Date]],'DB Details'!$A:$Q,9))</f>
        <v/>
      </c>
      <c r="J266" s="52">
        <f>IF(VLOOKUP(Table91213[[#This Row],[Date]],'DB Details'!$A:$Q,10)=0,"",VLOOKUP(Table91213[[#This Row],[Date]],'DB Details'!$A:$Q,10))</f>
        <v/>
      </c>
      <c r="K266" s="52">
        <f>IF(VLOOKUP(Table91213[[#This Row],[Date]],'DB Details'!$A:$Q,11)=0,"",VLOOKUP(Table91213[[#This Row],[Date]],'DB Details'!$A:$Q,11))</f>
        <v/>
      </c>
      <c r="L266" s="50">
        <f>IF(VLOOKUP(Table91213[[#This Row],[Date]],'DB Details'!$A:$Q,12)=0,"",VLOOKUP(Table91213[[#This Row],[Date]],'DB Details'!$A:$Q,12))</f>
        <v/>
      </c>
    </row>
    <row r="267">
      <c r="A267" s="53" t="n">
        <v>43556</v>
      </c>
      <c r="B267" s="50">
        <f>IF(VLOOKUP(Table91213[[#This Row],[Date]],'DB Details'!$A:$Q,2)=0,"",VLOOKUP(Table91213[[#This Row],[Date]],'DB Details'!$A:$Q,2))</f>
        <v/>
      </c>
      <c r="C267" s="51">
        <f>IF(VLOOKUP(Table91213[[#This Row],[Date]],'DB Details'!$A:$Q,3)=0,"",VLOOKUP(Table91213[[#This Row],[Date]],'DB Details'!$A:$Q,3))</f>
        <v/>
      </c>
      <c r="D267" s="51">
        <f>IF(VLOOKUP(Table91213[[#This Row],[Date]],'DB Details'!$A:$Q,4)=0,"",VLOOKUP(Table91213[[#This Row],[Date]],'DB Details'!$A:$Q,4))</f>
        <v/>
      </c>
      <c r="E267" s="52">
        <f>IF(VLOOKUP(Table91213[[#This Row],[Date]],'DB Details'!$A:$Q,5)=0,"",VLOOKUP(Table91213[[#This Row],[Date]],'DB Details'!$A:$Q,5))</f>
        <v/>
      </c>
      <c r="F267" s="51">
        <f>IF(VLOOKUP(Table91213[[#This Row],[Date]],'DB Details'!$A:$Q,6)=0,"",VLOOKUP(Table91213[[#This Row],[Date]],'DB Details'!$A:$Q,6))</f>
        <v/>
      </c>
      <c r="G267" s="52">
        <f>IF(VLOOKUP(Table91213[[#This Row],[Date]],'DB Details'!$A:$Q,7)=0,"",VLOOKUP(Table91213[[#This Row],[Date]],'DB Details'!$A:$Q,7))</f>
        <v/>
      </c>
      <c r="H267" s="52">
        <f>IF(VLOOKUP(Table91213[[#This Row],[Date]],'DB Details'!$A:$Q,8)=0,"",VLOOKUP(Table91213[[#This Row],[Date]],'DB Details'!$A:$Q,8))</f>
        <v/>
      </c>
      <c r="I267" s="52">
        <f>IF(VLOOKUP(Table91213[[#This Row],[Date]],'DB Details'!$A:$Q,9)=0,"",VLOOKUP(Table91213[[#This Row],[Date]],'DB Details'!$A:$Q,9))</f>
        <v/>
      </c>
      <c r="J267" s="52">
        <f>IF(VLOOKUP(Table91213[[#This Row],[Date]],'DB Details'!$A:$Q,10)=0,"",VLOOKUP(Table91213[[#This Row],[Date]],'DB Details'!$A:$Q,10))</f>
        <v/>
      </c>
      <c r="K267" s="52">
        <f>IF(VLOOKUP(Table91213[[#This Row],[Date]],'DB Details'!$A:$Q,11)=0,"",VLOOKUP(Table91213[[#This Row],[Date]],'DB Details'!$A:$Q,11))</f>
        <v/>
      </c>
      <c r="L267" s="50">
        <f>IF(VLOOKUP(Table91213[[#This Row],[Date]],'DB Details'!$A:$Q,12)=0,"",VLOOKUP(Table91213[[#This Row],[Date]],'DB Details'!$A:$Q,12))</f>
        <v/>
      </c>
    </row>
    <row r="268">
      <c r="A268" s="53" t="n">
        <v>43586</v>
      </c>
      <c r="B268" s="50">
        <f>IF(VLOOKUP(Table91213[[#This Row],[Date]],'DB Details'!$A:$Q,2)=0,"",VLOOKUP(Table91213[[#This Row],[Date]],'DB Details'!$A:$Q,2))</f>
        <v/>
      </c>
      <c r="C268" s="51">
        <f>IF(VLOOKUP(Table91213[[#This Row],[Date]],'DB Details'!$A:$Q,3)=0,"",VLOOKUP(Table91213[[#This Row],[Date]],'DB Details'!$A:$Q,3))</f>
        <v/>
      </c>
      <c r="D268" s="51">
        <f>IF(VLOOKUP(Table91213[[#This Row],[Date]],'DB Details'!$A:$Q,4)=0,"",VLOOKUP(Table91213[[#This Row],[Date]],'DB Details'!$A:$Q,4))</f>
        <v/>
      </c>
      <c r="E268" s="52">
        <f>IF(VLOOKUP(Table91213[[#This Row],[Date]],'DB Details'!$A:$Q,5)=0,"",VLOOKUP(Table91213[[#This Row],[Date]],'DB Details'!$A:$Q,5))</f>
        <v/>
      </c>
      <c r="F268" s="51">
        <f>IF(VLOOKUP(Table91213[[#This Row],[Date]],'DB Details'!$A:$Q,6)=0,"",VLOOKUP(Table91213[[#This Row],[Date]],'DB Details'!$A:$Q,6))</f>
        <v/>
      </c>
      <c r="G268" s="52">
        <f>IF(VLOOKUP(Table91213[[#This Row],[Date]],'DB Details'!$A:$Q,7)=0,"",VLOOKUP(Table91213[[#This Row],[Date]],'DB Details'!$A:$Q,7))</f>
        <v/>
      </c>
      <c r="H268" s="52">
        <f>IF(VLOOKUP(Table91213[[#This Row],[Date]],'DB Details'!$A:$Q,8)=0,"",VLOOKUP(Table91213[[#This Row],[Date]],'DB Details'!$A:$Q,8))</f>
        <v/>
      </c>
      <c r="I268" s="52">
        <f>IF(VLOOKUP(Table91213[[#This Row],[Date]],'DB Details'!$A:$Q,9)=0,"",VLOOKUP(Table91213[[#This Row],[Date]],'DB Details'!$A:$Q,9))</f>
        <v/>
      </c>
      <c r="J268" s="52">
        <f>IF(VLOOKUP(Table91213[[#This Row],[Date]],'DB Details'!$A:$Q,10)=0,"",VLOOKUP(Table91213[[#This Row],[Date]],'DB Details'!$A:$Q,10))</f>
        <v/>
      </c>
      <c r="K268" s="52">
        <f>IF(VLOOKUP(Table91213[[#This Row],[Date]],'DB Details'!$A:$Q,11)=0,"",VLOOKUP(Table91213[[#This Row],[Date]],'DB Details'!$A:$Q,11))</f>
        <v/>
      </c>
      <c r="L268" s="50">
        <f>IF(VLOOKUP(Table91213[[#This Row],[Date]],'DB Details'!$A:$Q,12)=0,"",VLOOKUP(Table91213[[#This Row],[Date]],'DB Details'!$A:$Q,12))</f>
        <v/>
      </c>
    </row>
    <row r="269">
      <c r="A269" s="53" t="n">
        <v>43617</v>
      </c>
      <c r="B269" s="50">
        <f>IF(VLOOKUP(Table91213[[#This Row],[Date]],'DB Details'!$A:$Q,2)=0,"",VLOOKUP(Table91213[[#This Row],[Date]],'DB Details'!$A:$Q,2))</f>
        <v/>
      </c>
      <c r="C269" s="51">
        <f>IF(VLOOKUP(Table91213[[#This Row],[Date]],'DB Details'!$A:$Q,3)=0,"",VLOOKUP(Table91213[[#This Row],[Date]],'DB Details'!$A:$Q,3))</f>
        <v/>
      </c>
      <c r="D269" s="51">
        <f>IF(VLOOKUP(Table91213[[#This Row],[Date]],'DB Details'!$A:$Q,4)=0,"",VLOOKUP(Table91213[[#This Row],[Date]],'DB Details'!$A:$Q,4))</f>
        <v/>
      </c>
      <c r="E269" s="52">
        <f>IF(VLOOKUP(Table91213[[#This Row],[Date]],'DB Details'!$A:$Q,5)=0,"",VLOOKUP(Table91213[[#This Row],[Date]],'DB Details'!$A:$Q,5))</f>
        <v/>
      </c>
      <c r="F269" s="51">
        <f>IF(VLOOKUP(Table91213[[#This Row],[Date]],'DB Details'!$A:$Q,6)=0,"",VLOOKUP(Table91213[[#This Row],[Date]],'DB Details'!$A:$Q,6))</f>
        <v/>
      </c>
      <c r="G269" s="52">
        <f>IF(VLOOKUP(Table91213[[#This Row],[Date]],'DB Details'!$A:$Q,7)=0,"",VLOOKUP(Table91213[[#This Row],[Date]],'DB Details'!$A:$Q,7))</f>
        <v/>
      </c>
      <c r="H269" s="52">
        <f>IF(VLOOKUP(Table91213[[#This Row],[Date]],'DB Details'!$A:$Q,8)=0,"",VLOOKUP(Table91213[[#This Row],[Date]],'DB Details'!$A:$Q,8))</f>
        <v/>
      </c>
      <c r="I269" s="52">
        <f>IF(VLOOKUP(Table91213[[#This Row],[Date]],'DB Details'!$A:$Q,9)=0,"",VLOOKUP(Table91213[[#This Row],[Date]],'DB Details'!$A:$Q,9))</f>
        <v/>
      </c>
      <c r="J269" s="52">
        <f>IF(VLOOKUP(Table91213[[#This Row],[Date]],'DB Details'!$A:$Q,10)=0,"",VLOOKUP(Table91213[[#This Row],[Date]],'DB Details'!$A:$Q,10))</f>
        <v/>
      </c>
      <c r="K269" s="52">
        <f>IF(VLOOKUP(Table91213[[#This Row],[Date]],'DB Details'!$A:$Q,11)=0,"",VLOOKUP(Table91213[[#This Row],[Date]],'DB Details'!$A:$Q,11))</f>
        <v/>
      </c>
      <c r="L269" s="50">
        <f>IF(VLOOKUP(Table91213[[#This Row],[Date]],'DB Details'!$A:$Q,12)=0,"",VLOOKUP(Table91213[[#This Row],[Date]],'DB Details'!$A:$Q,12))</f>
        <v/>
      </c>
    </row>
    <row r="270">
      <c r="A270" s="53" t="n">
        <v>43647</v>
      </c>
      <c r="B270" s="50">
        <f>IF(VLOOKUP(Table91213[[#This Row],[Date]],'DB Details'!$A:$Q,2)=0,"",VLOOKUP(Table91213[[#This Row],[Date]],'DB Details'!$A:$Q,2))</f>
        <v/>
      </c>
      <c r="C270" s="51">
        <f>IF(VLOOKUP(Table91213[[#This Row],[Date]],'DB Details'!$A:$Q,3)=0,"",VLOOKUP(Table91213[[#This Row],[Date]],'DB Details'!$A:$Q,3))</f>
        <v/>
      </c>
      <c r="D270" s="51">
        <f>IF(VLOOKUP(Table91213[[#This Row],[Date]],'DB Details'!$A:$Q,4)=0,"",VLOOKUP(Table91213[[#This Row],[Date]],'DB Details'!$A:$Q,4))</f>
        <v/>
      </c>
      <c r="E270" s="52">
        <f>IF(VLOOKUP(Table91213[[#This Row],[Date]],'DB Details'!$A:$Q,5)=0,"",VLOOKUP(Table91213[[#This Row],[Date]],'DB Details'!$A:$Q,5))</f>
        <v/>
      </c>
      <c r="F270" s="51">
        <f>IF(VLOOKUP(Table91213[[#This Row],[Date]],'DB Details'!$A:$Q,6)=0,"",VLOOKUP(Table91213[[#This Row],[Date]],'DB Details'!$A:$Q,6))</f>
        <v/>
      </c>
      <c r="G270" s="52">
        <f>IF(VLOOKUP(Table91213[[#This Row],[Date]],'DB Details'!$A:$Q,7)=0,"",VLOOKUP(Table91213[[#This Row],[Date]],'DB Details'!$A:$Q,7))</f>
        <v/>
      </c>
      <c r="H270" s="52">
        <f>IF(VLOOKUP(Table91213[[#This Row],[Date]],'DB Details'!$A:$Q,8)=0,"",VLOOKUP(Table91213[[#This Row],[Date]],'DB Details'!$A:$Q,8))</f>
        <v/>
      </c>
      <c r="I270" s="52">
        <f>IF(VLOOKUP(Table91213[[#This Row],[Date]],'DB Details'!$A:$Q,9)=0,"",VLOOKUP(Table91213[[#This Row],[Date]],'DB Details'!$A:$Q,9))</f>
        <v/>
      </c>
      <c r="J270" s="52">
        <f>IF(VLOOKUP(Table91213[[#This Row],[Date]],'DB Details'!$A:$Q,10)=0,"",VLOOKUP(Table91213[[#This Row],[Date]],'DB Details'!$A:$Q,10))</f>
        <v/>
      </c>
      <c r="K270" s="52">
        <f>IF(VLOOKUP(Table91213[[#This Row],[Date]],'DB Details'!$A:$Q,11)=0,"",VLOOKUP(Table91213[[#This Row],[Date]],'DB Details'!$A:$Q,11))</f>
        <v/>
      </c>
      <c r="L270" s="50">
        <f>IF(VLOOKUP(Table91213[[#This Row],[Date]],'DB Details'!$A:$Q,12)=0,"",VLOOKUP(Table91213[[#This Row],[Date]],'DB Details'!$A:$Q,12))</f>
        <v/>
      </c>
    </row>
    <row r="271">
      <c r="A271" s="53" t="n">
        <v>43678</v>
      </c>
      <c r="B271" s="50">
        <f>IF(VLOOKUP(Table91213[[#This Row],[Date]],'DB Details'!$A:$Q,2)=0,"",VLOOKUP(Table91213[[#This Row],[Date]],'DB Details'!$A:$Q,2))</f>
        <v/>
      </c>
      <c r="C271" s="51">
        <f>IF(VLOOKUP(Table91213[[#This Row],[Date]],'DB Details'!$A:$Q,3)=0,"",VLOOKUP(Table91213[[#This Row],[Date]],'DB Details'!$A:$Q,3))</f>
        <v/>
      </c>
      <c r="D271" s="51">
        <f>IF(VLOOKUP(Table91213[[#This Row],[Date]],'DB Details'!$A:$Q,4)=0,"",VLOOKUP(Table91213[[#This Row],[Date]],'DB Details'!$A:$Q,4))</f>
        <v/>
      </c>
      <c r="E271" s="52">
        <f>IF(VLOOKUP(Table91213[[#This Row],[Date]],'DB Details'!$A:$Q,5)=0,"",VLOOKUP(Table91213[[#This Row],[Date]],'DB Details'!$A:$Q,5))</f>
        <v/>
      </c>
      <c r="F271" s="51">
        <f>IF(VLOOKUP(Table91213[[#This Row],[Date]],'DB Details'!$A:$Q,6)=0,"",VLOOKUP(Table91213[[#This Row],[Date]],'DB Details'!$A:$Q,6))</f>
        <v/>
      </c>
      <c r="G271" s="52">
        <f>IF(VLOOKUP(Table91213[[#This Row],[Date]],'DB Details'!$A:$Q,7)=0,"",VLOOKUP(Table91213[[#This Row],[Date]],'DB Details'!$A:$Q,7))</f>
        <v/>
      </c>
      <c r="H271" s="52">
        <f>IF(VLOOKUP(Table91213[[#This Row],[Date]],'DB Details'!$A:$Q,8)=0,"",VLOOKUP(Table91213[[#This Row],[Date]],'DB Details'!$A:$Q,8))</f>
        <v/>
      </c>
      <c r="I271" s="52">
        <f>IF(VLOOKUP(Table91213[[#This Row],[Date]],'DB Details'!$A:$Q,9)=0,"",VLOOKUP(Table91213[[#This Row],[Date]],'DB Details'!$A:$Q,9))</f>
        <v/>
      </c>
      <c r="J271" s="52">
        <f>IF(VLOOKUP(Table91213[[#This Row],[Date]],'DB Details'!$A:$Q,10)=0,"",VLOOKUP(Table91213[[#This Row],[Date]],'DB Details'!$A:$Q,10))</f>
        <v/>
      </c>
      <c r="K271" s="52">
        <f>IF(VLOOKUP(Table91213[[#This Row],[Date]],'DB Details'!$A:$Q,11)=0,"",VLOOKUP(Table91213[[#This Row],[Date]],'DB Details'!$A:$Q,11))</f>
        <v/>
      </c>
      <c r="L271" s="50">
        <f>IF(VLOOKUP(Table91213[[#This Row],[Date]],'DB Details'!$A:$Q,12)=0,"",VLOOKUP(Table91213[[#This Row],[Date]],'DB Details'!$A:$Q,12))</f>
        <v/>
      </c>
    </row>
    <row r="272">
      <c r="A272" s="53" t="n">
        <v>43709</v>
      </c>
      <c r="B272" s="50">
        <f>IF(VLOOKUP(Table91213[[#This Row],[Date]],'DB Details'!$A:$Q,2)=0,"",VLOOKUP(Table91213[[#This Row],[Date]],'DB Details'!$A:$Q,2))</f>
        <v/>
      </c>
      <c r="C272" s="51">
        <f>IF(VLOOKUP(Table91213[[#This Row],[Date]],'DB Details'!$A:$Q,3)=0,"",VLOOKUP(Table91213[[#This Row],[Date]],'DB Details'!$A:$Q,3))</f>
        <v/>
      </c>
      <c r="D272" s="51">
        <f>IF(VLOOKUP(Table91213[[#This Row],[Date]],'DB Details'!$A:$Q,4)=0,"",VLOOKUP(Table91213[[#This Row],[Date]],'DB Details'!$A:$Q,4))</f>
        <v/>
      </c>
      <c r="E272" s="52">
        <f>IF(VLOOKUP(Table91213[[#This Row],[Date]],'DB Details'!$A:$Q,5)=0,"",VLOOKUP(Table91213[[#This Row],[Date]],'DB Details'!$A:$Q,5))</f>
        <v/>
      </c>
      <c r="F272" s="51">
        <f>IF(VLOOKUP(Table91213[[#This Row],[Date]],'DB Details'!$A:$Q,6)=0,"",VLOOKUP(Table91213[[#This Row],[Date]],'DB Details'!$A:$Q,6))</f>
        <v/>
      </c>
      <c r="G272" s="52">
        <f>IF(VLOOKUP(Table91213[[#This Row],[Date]],'DB Details'!$A:$Q,7)=0,"",VLOOKUP(Table91213[[#This Row],[Date]],'DB Details'!$A:$Q,7))</f>
        <v/>
      </c>
      <c r="H272" s="52">
        <f>IF(VLOOKUP(Table91213[[#This Row],[Date]],'DB Details'!$A:$Q,8)=0,"",VLOOKUP(Table91213[[#This Row],[Date]],'DB Details'!$A:$Q,8))</f>
        <v/>
      </c>
      <c r="I272" s="52">
        <f>IF(VLOOKUP(Table91213[[#This Row],[Date]],'DB Details'!$A:$Q,9)=0,"",VLOOKUP(Table91213[[#This Row],[Date]],'DB Details'!$A:$Q,9))</f>
        <v/>
      </c>
      <c r="J272" s="52">
        <f>IF(VLOOKUP(Table91213[[#This Row],[Date]],'DB Details'!$A:$Q,10)=0,"",VLOOKUP(Table91213[[#This Row],[Date]],'DB Details'!$A:$Q,10))</f>
        <v/>
      </c>
      <c r="K272" s="52">
        <f>IF(VLOOKUP(Table91213[[#This Row],[Date]],'DB Details'!$A:$Q,11)=0,"",VLOOKUP(Table91213[[#This Row],[Date]],'DB Details'!$A:$Q,11))</f>
        <v/>
      </c>
      <c r="L272" s="50">
        <f>IF(VLOOKUP(Table91213[[#This Row],[Date]],'DB Details'!$A:$Q,12)=0,"",VLOOKUP(Table91213[[#This Row],[Date]],'DB Details'!$A:$Q,12))</f>
        <v/>
      </c>
    </row>
    <row r="273">
      <c r="A273" s="53" t="n">
        <v>43739</v>
      </c>
      <c r="B273" s="50">
        <f>IF(VLOOKUP(Table91213[[#This Row],[Date]],'DB Details'!$A:$Q,2)=0,"",VLOOKUP(Table91213[[#This Row],[Date]],'DB Details'!$A:$Q,2))</f>
        <v/>
      </c>
      <c r="C273" s="51">
        <f>IF(VLOOKUP(Table91213[[#This Row],[Date]],'DB Details'!$A:$Q,3)=0,"",VLOOKUP(Table91213[[#This Row],[Date]],'DB Details'!$A:$Q,3))</f>
        <v/>
      </c>
      <c r="D273" s="51">
        <f>IF(VLOOKUP(Table91213[[#This Row],[Date]],'DB Details'!$A:$Q,4)=0,"",VLOOKUP(Table91213[[#This Row],[Date]],'DB Details'!$A:$Q,4))</f>
        <v/>
      </c>
      <c r="E273" s="52">
        <f>IF(VLOOKUP(Table91213[[#This Row],[Date]],'DB Details'!$A:$Q,5)=0,"",VLOOKUP(Table91213[[#This Row],[Date]],'DB Details'!$A:$Q,5))</f>
        <v/>
      </c>
      <c r="F273" s="51">
        <f>IF(VLOOKUP(Table91213[[#This Row],[Date]],'DB Details'!$A:$Q,6)=0,"",VLOOKUP(Table91213[[#This Row],[Date]],'DB Details'!$A:$Q,6))</f>
        <v/>
      </c>
      <c r="G273" s="52">
        <f>IF(VLOOKUP(Table91213[[#This Row],[Date]],'DB Details'!$A:$Q,7)=0,"",VLOOKUP(Table91213[[#This Row],[Date]],'DB Details'!$A:$Q,7))</f>
        <v/>
      </c>
      <c r="H273" s="52">
        <f>IF(VLOOKUP(Table91213[[#This Row],[Date]],'DB Details'!$A:$Q,8)=0,"",VLOOKUP(Table91213[[#This Row],[Date]],'DB Details'!$A:$Q,8))</f>
        <v/>
      </c>
      <c r="I273" s="52">
        <f>IF(VLOOKUP(Table91213[[#This Row],[Date]],'DB Details'!$A:$Q,9)=0,"",VLOOKUP(Table91213[[#This Row],[Date]],'DB Details'!$A:$Q,9))</f>
        <v/>
      </c>
      <c r="J273" s="52">
        <f>IF(VLOOKUP(Table91213[[#This Row],[Date]],'DB Details'!$A:$Q,10)=0,"",VLOOKUP(Table91213[[#This Row],[Date]],'DB Details'!$A:$Q,10))</f>
        <v/>
      </c>
      <c r="K273" s="52">
        <f>IF(VLOOKUP(Table91213[[#This Row],[Date]],'DB Details'!$A:$Q,11)=0,"",VLOOKUP(Table91213[[#This Row],[Date]],'DB Details'!$A:$Q,11))</f>
        <v/>
      </c>
      <c r="L273" s="50">
        <f>IF(VLOOKUP(Table91213[[#This Row],[Date]],'DB Details'!$A:$Q,12)=0,"",VLOOKUP(Table91213[[#This Row],[Date]],'DB Details'!$A:$Q,12))</f>
        <v/>
      </c>
    </row>
    <row r="274">
      <c r="A274" s="53" t="n">
        <v>43770</v>
      </c>
      <c r="B274" s="50">
        <f>IF(VLOOKUP(Table91213[[#This Row],[Date]],'DB Details'!$A:$Q,2)=0,"",VLOOKUP(Table91213[[#This Row],[Date]],'DB Details'!$A:$Q,2))</f>
        <v/>
      </c>
      <c r="C274" s="51">
        <f>IF(VLOOKUP(Table91213[[#This Row],[Date]],'DB Details'!$A:$Q,3)=0,"",VLOOKUP(Table91213[[#This Row],[Date]],'DB Details'!$A:$Q,3))</f>
        <v/>
      </c>
      <c r="D274" s="51">
        <f>IF(VLOOKUP(Table91213[[#This Row],[Date]],'DB Details'!$A:$Q,4)=0,"",VLOOKUP(Table91213[[#This Row],[Date]],'DB Details'!$A:$Q,4))</f>
        <v/>
      </c>
      <c r="E274" s="52">
        <f>IF(VLOOKUP(Table91213[[#This Row],[Date]],'DB Details'!$A:$Q,5)=0,"",VLOOKUP(Table91213[[#This Row],[Date]],'DB Details'!$A:$Q,5))</f>
        <v/>
      </c>
      <c r="F274" s="51">
        <f>IF(VLOOKUP(Table91213[[#This Row],[Date]],'DB Details'!$A:$Q,6)=0,"",VLOOKUP(Table91213[[#This Row],[Date]],'DB Details'!$A:$Q,6))</f>
        <v/>
      </c>
      <c r="G274" s="52">
        <f>IF(VLOOKUP(Table91213[[#This Row],[Date]],'DB Details'!$A:$Q,7)=0,"",VLOOKUP(Table91213[[#This Row],[Date]],'DB Details'!$A:$Q,7))</f>
        <v/>
      </c>
      <c r="H274" s="52">
        <f>IF(VLOOKUP(Table91213[[#This Row],[Date]],'DB Details'!$A:$Q,8)=0,"",VLOOKUP(Table91213[[#This Row],[Date]],'DB Details'!$A:$Q,8))</f>
        <v/>
      </c>
      <c r="I274" s="52">
        <f>IF(VLOOKUP(Table91213[[#This Row],[Date]],'DB Details'!$A:$Q,9)=0,"",VLOOKUP(Table91213[[#This Row],[Date]],'DB Details'!$A:$Q,9))</f>
        <v/>
      </c>
      <c r="J274" s="52">
        <f>IF(VLOOKUP(Table91213[[#This Row],[Date]],'DB Details'!$A:$Q,10)=0,"",VLOOKUP(Table91213[[#This Row],[Date]],'DB Details'!$A:$Q,10))</f>
        <v/>
      </c>
      <c r="K274" s="52">
        <f>IF(VLOOKUP(Table91213[[#This Row],[Date]],'DB Details'!$A:$Q,11)=0,"",VLOOKUP(Table91213[[#This Row],[Date]],'DB Details'!$A:$Q,11))</f>
        <v/>
      </c>
      <c r="L274" s="50">
        <f>IF(VLOOKUP(Table91213[[#This Row],[Date]],'DB Details'!$A:$Q,12)=0,"",VLOOKUP(Table91213[[#This Row],[Date]],'DB Details'!$A:$Q,12))</f>
        <v/>
      </c>
    </row>
    <row r="275">
      <c r="A275" s="53" t="n">
        <v>43800</v>
      </c>
      <c r="B275" s="50">
        <f>IF(VLOOKUP(Table91213[[#This Row],[Date]],'DB Details'!$A:$Q,2)=0,"",VLOOKUP(Table91213[[#This Row],[Date]],'DB Details'!$A:$Q,2))</f>
        <v/>
      </c>
      <c r="C275" s="51">
        <f>IF(VLOOKUP(Table91213[[#This Row],[Date]],'DB Details'!$A:$Q,3)=0,"",VLOOKUP(Table91213[[#This Row],[Date]],'DB Details'!$A:$Q,3))</f>
        <v/>
      </c>
      <c r="D275" s="51">
        <f>IF(VLOOKUP(Table91213[[#This Row],[Date]],'DB Details'!$A:$Q,4)=0,"",VLOOKUP(Table91213[[#This Row],[Date]],'DB Details'!$A:$Q,4))</f>
        <v/>
      </c>
      <c r="E275" s="52">
        <f>IF(VLOOKUP(Table91213[[#This Row],[Date]],'DB Details'!$A:$Q,5)=0,"",VLOOKUP(Table91213[[#This Row],[Date]],'DB Details'!$A:$Q,5))</f>
        <v/>
      </c>
      <c r="F275" s="51">
        <f>IF(VLOOKUP(Table91213[[#This Row],[Date]],'DB Details'!$A:$Q,6)=0,"",VLOOKUP(Table91213[[#This Row],[Date]],'DB Details'!$A:$Q,6))</f>
        <v/>
      </c>
      <c r="G275" s="52">
        <f>IF(VLOOKUP(Table91213[[#This Row],[Date]],'DB Details'!$A:$Q,7)=0,"",VLOOKUP(Table91213[[#This Row],[Date]],'DB Details'!$A:$Q,7))</f>
        <v/>
      </c>
      <c r="H275" s="52">
        <f>IF(VLOOKUP(Table91213[[#This Row],[Date]],'DB Details'!$A:$Q,8)=0,"",VLOOKUP(Table91213[[#This Row],[Date]],'DB Details'!$A:$Q,8))</f>
        <v/>
      </c>
      <c r="I275" s="52">
        <f>IF(VLOOKUP(Table91213[[#This Row],[Date]],'DB Details'!$A:$Q,9)=0,"",VLOOKUP(Table91213[[#This Row],[Date]],'DB Details'!$A:$Q,9))</f>
        <v/>
      </c>
      <c r="J275" s="52">
        <f>IF(VLOOKUP(Table91213[[#This Row],[Date]],'DB Details'!$A:$Q,10)=0,"",VLOOKUP(Table91213[[#This Row],[Date]],'DB Details'!$A:$Q,10))</f>
        <v/>
      </c>
      <c r="K275" s="52">
        <f>IF(VLOOKUP(Table91213[[#This Row],[Date]],'DB Details'!$A:$Q,11)=0,"",VLOOKUP(Table91213[[#This Row],[Date]],'DB Details'!$A:$Q,11))</f>
        <v/>
      </c>
      <c r="L275" s="50">
        <f>IF(VLOOKUP(Table91213[[#This Row],[Date]],'DB Details'!$A:$Q,12)=0,"",VLOOKUP(Table91213[[#This Row],[Date]],'DB Details'!$A:$Q,12))</f>
        <v/>
      </c>
    </row>
    <row r="276">
      <c r="A276" s="53" t="n">
        <v>43831</v>
      </c>
      <c r="B276" s="50">
        <f>IF(VLOOKUP(Table91213[[#This Row],[Date]],'DB Details'!$A:$Q,2)=0,"",VLOOKUP(Table91213[[#This Row],[Date]],'DB Details'!$A:$Q,2))</f>
        <v/>
      </c>
      <c r="C276" s="51">
        <f>IF(VLOOKUP(Table91213[[#This Row],[Date]],'DB Details'!$A:$Q,3)=0,"",VLOOKUP(Table91213[[#This Row],[Date]],'DB Details'!$A:$Q,3))</f>
        <v/>
      </c>
      <c r="D276" s="51">
        <f>IF(VLOOKUP(Table91213[[#This Row],[Date]],'DB Details'!$A:$Q,4)=0,"",VLOOKUP(Table91213[[#This Row],[Date]],'DB Details'!$A:$Q,4))</f>
        <v/>
      </c>
      <c r="E276" s="52">
        <f>IF(VLOOKUP(Table91213[[#This Row],[Date]],'DB Details'!$A:$Q,5)=0,"",VLOOKUP(Table91213[[#This Row],[Date]],'DB Details'!$A:$Q,5))</f>
        <v/>
      </c>
      <c r="F276" s="51">
        <f>IF(VLOOKUP(Table91213[[#This Row],[Date]],'DB Details'!$A:$Q,6)=0,"",VLOOKUP(Table91213[[#This Row],[Date]],'DB Details'!$A:$Q,6))</f>
        <v/>
      </c>
      <c r="G276" s="52">
        <f>IF(VLOOKUP(Table91213[[#This Row],[Date]],'DB Details'!$A:$Q,7)=0,"",VLOOKUP(Table91213[[#This Row],[Date]],'DB Details'!$A:$Q,7))</f>
        <v/>
      </c>
      <c r="H276" s="52">
        <f>IF(VLOOKUP(Table91213[[#This Row],[Date]],'DB Details'!$A:$Q,8)=0,"",VLOOKUP(Table91213[[#This Row],[Date]],'DB Details'!$A:$Q,8))</f>
        <v/>
      </c>
      <c r="I276" s="52">
        <f>IF(VLOOKUP(Table91213[[#This Row],[Date]],'DB Details'!$A:$Q,9)=0,"",VLOOKUP(Table91213[[#This Row],[Date]],'DB Details'!$A:$Q,9))</f>
        <v/>
      </c>
      <c r="J276" s="52">
        <f>IF(VLOOKUP(Table91213[[#This Row],[Date]],'DB Details'!$A:$Q,10)=0,"",VLOOKUP(Table91213[[#This Row],[Date]],'DB Details'!$A:$Q,10))</f>
        <v/>
      </c>
      <c r="K276" s="52">
        <f>IF(VLOOKUP(Table91213[[#This Row],[Date]],'DB Details'!$A:$Q,11)=0,"",VLOOKUP(Table91213[[#This Row],[Date]],'DB Details'!$A:$Q,11))</f>
        <v/>
      </c>
      <c r="L276" s="50">
        <f>IF(VLOOKUP(Table91213[[#This Row],[Date]],'DB Details'!$A:$Q,12)=0,"",VLOOKUP(Table91213[[#This Row],[Date]],'DB Details'!$A:$Q,12))</f>
        <v/>
      </c>
    </row>
    <row r="277">
      <c r="A277" s="53" t="n">
        <v>43862</v>
      </c>
      <c r="B277" s="50">
        <f>IF(VLOOKUP(Table91213[[#This Row],[Date]],'DB Details'!$A:$Q,2)=0,"",VLOOKUP(Table91213[[#This Row],[Date]],'DB Details'!$A:$Q,2))</f>
        <v/>
      </c>
      <c r="C277" s="51">
        <f>IF(VLOOKUP(Table91213[[#This Row],[Date]],'DB Details'!$A:$Q,3)=0,"",VLOOKUP(Table91213[[#This Row],[Date]],'DB Details'!$A:$Q,3))</f>
        <v/>
      </c>
      <c r="D277" s="51">
        <f>IF(VLOOKUP(Table91213[[#This Row],[Date]],'DB Details'!$A:$Q,4)=0,"",VLOOKUP(Table91213[[#This Row],[Date]],'DB Details'!$A:$Q,4))</f>
        <v/>
      </c>
      <c r="E277" s="52">
        <f>IF(VLOOKUP(Table91213[[#This Row],[Date]],'DB Details'!$A:$Q,5)=0,"",VLOOKUP(Table91213[[#This Row],[Date]],'DB Details'!$A:$Q,5))</f>
        <v/>
      </c>
      <c r="F277" s="51">
        <f>IF(VLOOKUP(Table91213[[#This Row],[Date]],'DB Details'!$A:$Q,6)=0,"",VLOOKUP(Table91213[[#This Row],[Date]],'DB Details'!$A:$Q,6))</f>
        <v/>
      </c>
      <c r="G277" s="52">
        <f>IF(VLOOKUP(Table91213[[#This Row],[Date]],'DB Details'!$A:$Q,7)=0,"",VLOOKUP(Table91213[[#This Row],[Date]],'DB Details'!$A:$Q,7))</f>
        <v/>
      </c>
      <c r="H277" s="52">
        <f>IF(VLOOKUP(Table91213[[#This Row],[Date]],'DB Details'!$A:$Q,8)=0,"",VLOOKUP(Table91213[[#This Row],[Date]],'DB Details'!$A:$Q,8))</f>
        <v/>
      </c>
      <c r="I277" s="52">
        <f>IF(VLOOKUP(Table91213[[#This Row],[Date]],'DB Details'!$A:$Q,9)=0,"",VLOOKUP(Table91213[[#This Row],[Date]],'DB Details'!$A:$Q,9))</f>
        <v/>
      </c>
      <c r="J277" s="52">
        <f>IF(VLOOKUP(Table91213[[#This Row],[Date]],'DB Details'!$A:$Q,10)=0,"",VLOOKUP(Table91213[[#This Row],[Date]],'DB Details'!$A:$Q,10))</f>
        <v/>
      </c>
      <c r="K277" s="52">
        <f>IF(VLOOKUP(Table91213[[#This Row],[Date]],'DB Details'!$A:$Q,11)=0,"",VLOOKUP(Table91213[[#This Row],[Date]],'DB Details'!$A:$Q,11))</f>
        <v/>
      </c>
      <c r="L277" s="50">
        <f>IF(VLOOKUP(Table91213[[#This Row],[Date]],'DB Details'!$A:$Q,12)=0,"",VLOOKUP(Table91213[[#This Row],[Date]],'DB Details'!$A:$Q,12))</f>
        <v/>
      </c>
    </row>
    <row r="278">
      <c r="A278" s="53" t="n">
        <v>43891</v>
      </c>
      <c r="B278" s="50">
        <f>IF(VLOOKUP(Table91213[[#This Row],[Date]],'DB Details'!$A:$Q,2)=0,"",VLOOKUP(Table91213[[#This Row],[Date]],'DB Details'!$A:$Q,2))</f>
        <v/>
      </c>
      <c r="C278" s="51">
        <f>IF(VLOOKUP(Table91213[[#This Row],[Date]],'DB Details'!$A:$Q,3)=0,"",VLOOKUP(Table91213[[#This Row],[Date]],'DB Details'!$A:$Q,3))</f>
        <v/>
      </c>
      <c r="D278" s="51">
        <f>IF(VLOOKUP(Table91213[[#This Row],[Date]],'DB Details'!$A:$Q,4)=0,"",VLOOKUP(Table91213[[#This Row],[Date]],'DB Details'!$A:$Q,4))</f>
        <v/>
      </c>
      <c r="E278" s="52">
        <f>IF(VLOOKUP(Table91213[[#This Row],[Date]],'DB Details'!$A:$Q,5)=0,"",VLOOKUP(Table91213[[#This Row],[Date]],'DB Details'!$A:$Q,5))</f>
        <v/>
      </c>
      <c r="F278" s="51">
        <f>IF(VLOOKUP(Table91213[[#This Row],[Date]],'DB Details'!$A:$Q,6)=0,"",VLOOKUP(Table91213[[#This Row],[Date]],'DB Details'!$A:$Q,6))</f>
        <v/>
      </c>
      <c r="G278" s="52">
        <f>IF(VLOOKUP(Table91213[[#This Row],[Date]],'DB Details'!$A:$Q,7)=0,"",VLOOKUP(Table91213[[#This Row],[Date]],'DB Details'!$A:$Q,7))</f>
        <v/>
      </c>
      <c r="H278" s="52">
        <f>IF(VLOOKUP(Table91213[[#This Row],[Date]],'DB Details'!$A:$Q,8)=0,"",VLOOKUP(Table91213[[#This Row],[Date]],'DB Details'!$A:$Q,8))</f>
        <v/>
      </c>
      <c r="I278" s="52">
        <f>IF(VLOOKUP(Table91213[[#This Row],[Date]],'DB Details'!$A:$Q,9)=0,"",VLOOKUP(Table91213[[#This Row],[Date]],'DB Details'!$A:$Q,9))</f>
        <v/>
      </c>
      <c r="J278" s="52">
        <f>IF(VLOOKUP(Table91213[[#This Row],[Date]],'DB Details'!$A:$Q,10)=0,"",VLOOKUP(Table91213[[#This Row],[Date]],'DB Details'!$A:$Q,10))</f>
        <v/>
      </c>
      <c r="K278" s="52">
        <f>IF(VLOOKUP(Table91213[[#This Row],[Date]],'DB Details'!$A:$Q,11)=0,"",VLOOKUP(Table91213[[#This Row],[Date]],'DB Details'!$A:$Q,11))</f>
        <v/>
      </c>
      <c r="L278" s="50">
        <f>IF(VLOOKUP(Table91213[[#This Row],[Date]],'DB Details'!$A:$Q,12)=0,"",VLOOKUP(Table91213[[#This Row],[Date]],'DB Details'!$A:$Q,12))</f>
        <v/>
      </c>
    </row>
    <row r="279">
      <c r="A279" s="53" t="n">
        <v>43922</v>
      </c>
      <c r="B279" s="50">
        <f>IF(VLOOKUP(Table91213[[#This Row],[Date]],'DB Details'!$A:$Q,2)=0,"",VLOOKUP(Table91213[[#This Row],[Date]],'DB Details'!$A:$Q,2))</f>
        <v/>
      </c>
      <c r="C279" s="51">
        <f>IF(VLOOKUP(Table91213[[#This Row],[Date]],'DB Details'!$A:$Q,3)=0,"",VLOOKUP(Table91213[[#This Row],[Date]],'DB Details'!$A:$Q,3))</f>
        <v/>
      </c>
      <c r="D279" s="51">
        <f>IF(VLOOKUP(Table91213[[#This Row],[Date]],'DB Details'!$A:$Q,4)=0,"",VLOOKUP(Table91213[[#This Row],[Date]],'DB Details'!$A:$Q,4))</f>
        <v/>
      </c>
      <c r="E279" s="52">
        <f>IF(VLOOKUP(Table91213[[#This Row],[Date]],'DB Details'!$A:$Q,5)=0,"",VLOOKUP(Table91213[[#This Row],[Date]],'DB Details'!$A:$Q,5))</f>
        <v/>
      </c>
      <c r="F279" s="51">
        <f>IF(VLOOKUP(Table91213[[#This Row],[Date]],'DB Details'!$A:$Q,6)=0,"",VLOOKUP(Table91213[[#This Row],[Date]],'DB Details'!$A:$Q,6))</f>
        <v/>
      </c>
      <c r="G279" s="52">
        <f>IF(VLOOKUP(Table91213[[#This Row],[Date]],'DB Details'!$A:$Q,7)=0,"",VLOOKUP(Table91213[[#This Row],[Date]],'DB Details'!$A:$Q,7))</f>
        <v/>
      </c>
      <c r="H279" s="52">
        <f>IF(VLOOKUP(Table91213[[#This Row],[Date]],'DB Details'!$A:$Q,8)=0,"",VLOOKUP(Table91213[[#This Row],[Date]],'DB Details'!$A:$Q,8))</f>
        <v/>
      </c>
      <c r="I279" s="52">
        <f>IF(VLOOKUP(Table91213[[#This Row],[Date]],'DB Details'!$A:$Q,9)=0,"",VLOOKUP(Table91213[[#This Row],[Date]],'DB Details'!$A:$Q,9))</f>
        <v/>
      </c>
      <c r="J279" s="52">
        <f>IF(VLOOKUP(Table91213[[#This Row],[Date]],'DB Details'!$A:$Q,10)=0,"",VLOOKUP(Table91213[[#This Row],[Date]],'DB Details'!$A:$Q,10))</f>
        <v/>
      </c>
      <c r="K279" s="52">
        <f>IF(VLOOKUP(Table91213[[#This Row],[Date]],'DB Details'!$A:$Q,11)=0,"",VLOOKUP(Table91213[[#This Row],[Date]],'DB Details'!$A:$Q,11))</f>
        <v/>
      </c>
      <c r="L279" s="50">
        <f>IF(VLOOKUP(Table91213[[#This Row],[Date]],'DB Details'!$A:$Q,12)=0,"",VLOOKUP(Table91213[[#This Row],[Date]],'DB Details'!$A:$Q,12))</f>
        <v/>
      </c>
    </row>
    <row r="280">
      <c r="A280" s="53" t="n">
        <v>43952</v>
      </c>
      <c r="B280" s="50">
        <f>IF(VLOOKUP(Table91213[[#This Row],[Date]],'DB Details'!$A:$Q,2)=0,"",VLOOKUP(Table91213[[#This Row],[Date]],'DB Details'!$A:$Q,2))</f>
        <v/>
      </c>
      <c r="C280" s="51">
        <f>IF(VLOOKUP(Table91213[[#This Row],[Date]],'DB Details'!$A:$Q,3)=0,"",VLOOKUP(Table91213[[#This Row],[Date]],'DB Details'!$A:$Q,3))</f>
        <v/>
      </c>
      <c r="D280" s="51">
        <f>IF(VLOOKUP(Table91213[[#This Row],[Date]],'DB Details'!$A:$Q,4)=0,"",VLOOKUP(Table91213[[#This Row],[Date]],'DB Details'!$A:$Q,4))</f>
        <v/>
      </c>
      <c r="E280" s="52">
        <f>IF(VLOOKUP(Table91213[[#This Row],[Date]],'DB Details'!$A:$Q,5)=0,"",VLOOKUP(Table91213[[#This Row],[Date]],'DB Details'!$A:$Q,5))</f>
        <v/>
      </c>
      <c r="F280" s="51">
        <f>IF(VLOOKUP(Table91213[[#This Row],[Date]],'DB Details'!$A:$Q,6)=0,"",VLOOKUP(Table91213[[#This Row],[Date]],'DB Details'!$A:$Q,6))</f>
        <v/>
      </c>
      <c r="G280" s="52">
        <f>IF(VLOOKUP(Table91213[[#This Row],[Date]],'DB Details'!$A:$Q,7)=0,"",VLOOKUP(Table91213[[#This Row],[Date]],'DB Details'!$A:$Q,7))</f>
        <v/>
      </c>
      <c r="H280" s="52">
        <f>IF(VLOOKUP(Table91213[[#This Row],[Date]],'DB Details'!$A:$Q,8)=0,"",VLOOKUP(Table91213[[#This Row],[Date]],'DB Details'!$A:$Q,8))</f>
        <v/>
      </c>
      <c r="I280" s="52">
        <f>IF(VLOOKUP(Table91213[[#This Row],[Date]],'DB Details'!$A:$Q,9)=0,"",VLOOKUP(Table91213[[#This Row],[Date]],'DB Details'!$A:$Q,9))</f>
        <v/>
      </c>
      <c r="J280" s="52">
        <f>IF(VLOOKUP(Table91213[[#This Row],[Date]],'DB Details'!$A:$Q,10)=0,"",VLOOKUP(Table91213[[#This Row],[Date]],'DB Details'!$A:$Q,10))</f>
        <v/>
      </c>
      <c r="K280" s="52">
        <f>IF(VLOOKUP(Table91213[[#This Row],[Date]],'DB Details'!$A:$Q,11)=0,"",VLOOKUP(Table91213[[#This Row],[Date]],'DB Details'!$A:$Q,11))</f>
        <v/>
      </c>
      <c r="L280" s="50">
        <f>IF(VLOOKUP(Table91213[[#This Row],[Date]],'DB Details'!$A:$Q,12)=0,"",VLOOKUP(Table91213[[#This Row],[Date]],'DB Details'!$A:$Q,12))</f>
        <v/>
      </c>
    </row>
    <row r="281">
      <c r="A281" s="53" t="n">
        <v>43983</v>
      </c>
      <c r="B281" s="50">
        <f>IF(VLOOKUP(Table91213[[#This Row],[Date]],'DB Details'!$A:$Q,2)=0,"",VLOOKUP(Table91213[[#This Row],[Date]],'DB Details'!$A:$Q,2))</f>
        <v/>
      </c>
      <c r="C281" s="51">
        <f>IF(VLOOKUP(Table91213[[#This Row],[Date]],'DB Details'!$A:$Q,3)=0,"",VLOOKUP(Table91213[[#This Row],[Date]],'DB Details'!$A:$Q,3))</f>
        <v/>
      </c>
      <c r="D281" s="51">
        <f>IF(VLOOKUP(Table91213[[#This Row],[Date]],'DB Details'!$A:$Q,4)=0,"",VLOOKUP(Table91213[[#This Row],[Date]],'DB Details'!$A:$Q,4))</f>
        <v/>
      </c>
      <c r="E281" s="52">
        <f>IF(VLOOKUP(Table91213[[#This Row],[Date]],'DB Details'!$A:$Q,5)=0,"",VLOOKUP(Table91213[[#This Row],[Date]],'DB Details'!$A:$Q,5))</f>
        <v/>
      </c>
      <c r="F281" s="51">
        <f>IF(VLOOKUP(Table91213[[#This Row],[Date]],'DB Details'!$A:$Q,6)=0,"",VLOOKUP(Table91213[[#This Row],[Date]],'DB Details'!$A:$Q,6))</f>
        <v/>
      </c>
      <c r="G281" s="52">
        <f>IF(VLOOKUP(Table91213[[#This Row],[Date]],'DB Details'!$A:$Q,7)=0,"",VLOOKUP(Table91213[[#This Row],[Date]],'DB Details'!$A:$Q,7))</f>
        <v/>
      </c>
      <c r="H281" s="52">
        <f>IF(VLOOKUP(Table91213[[#This Row],[Date]],'DB Details'!$A:$Q,8)=0,"",VLOOKUP(Table91213[[#This Row],[Date]],'DB Details'!$A:$Q,8))</f>
        <v/>
      </c>
      <c r="I281" s="52">
        <f>IF(VLOOKUP(Table91213[[#This Row],[Date]],'DB Details'!$A:$Q,9)=0,"",VLOOKUP(Table91213[[#This Row],[Date]],'DB Details'!$A:$Q,9))</f>
        <v/>
      </c>
      <c r="J281" s="52">
        <f>IF(VLOOKUP(Table91213[[#This Row],[Date]],'DB Details'!$A:$Q,10)=0,"",VLOOKUP(Table91213[[#This Row],[Date]],'DB Details'!$A:$Q,10))</f>
        <v/>
      </c>
      <c r="K281" s="52">
        <f>IF(VLOOKUP(Table91213[[#This Row],[Date]],'DB Details'!$A:$Q,11)=0,"",VLOOKUP(Table91213[[#This Row],[Date]],'DB Details'!$A:$Q,11))</f>
        <v/>
      </c>
      <c r="L281" s="50">
        <f>IF(VLOOKUP(Table91213[[#This Row],[Date]],'DB Details'!$A:$Q,12)=0,"",VLOOKUP(Table91213[[#This Row],[Date]],'DB Details'!$A:$Q,12))</f>
        <v/>
      </c>
    </row>
    <row r="282">
      <c r="A282" s="53" t="n">
        <v>44013</v>
      </c>
      <c r="B282" s="50">
        <f>IF(VLOOKUP(Table91213[[#This Row],[Date]],'DB Details'!$A:$Q,2)=0,"",VLOOKUP(Table91213[[#This Row],[Date]],'DB Details'!$A:$Q,2))</f>
        <v/>
      </c>
      <c r="C282" s="51">
        <f>IF(VLOOKUP(Table91213[[#This Row],[Date]],'DB Details'!$A:$Q,3)=0,"",VLOOKUP(Table91213[[#This Row],[Date]],'DB Details'!$A:$Q,3))</f>
        <v/>
      </c>
      <c r="D282" s="51">
        <f>IF(VLOOKUP(Table91213[[#This Row],[Date]],'DB Details'!$A:$Q,4)=0,"",VLOOKUP(Table91213[[#This Row],[Date]],'DB Details'!$A:$Q,4))</f>
        <v/>
      </c>
      <c r="E282" s="52">
        <f>IF(VLOOKUP(Table91213[[#This Row],[Date]],'DB Details'!$A:$Q,5)=0,"",VLOOKUP(Table91213[[#This Row],[Date]],'DB Details'!$A:$Q,5))</f>
        <v/>
      </c>
      <c r="F282" s="51">
        <f>IF(VLOOKUP(Table91213[[#This Row],[Date]],'DB Details'!$A:$Q,6)=0,"",VLOOKUP(Table91213[[#This Row],[Date]],'DB Details'!$A:$Q,6))</f>
        <v/>
      </c>
      <c r="G282" s="52">
        <f>IF(VLOOKUP(Table91213[[#This Row],[Date]],'DB Details'!$A:$Q,7)=0,"",VLOOKUP(Table91213[[#This Row],[Date]],'DB Details'!$A:$Q,7))</f>
        <v/>
      </c>
      <c r="H282" s="52">
        <f>IF(VLOOKUP(Table91213[[#This Row],[Date]],'DB Details'!$A:$Q,8)=0,"",VLOOKUP(Table91213[[#This Row],[Date]],'DB Details'!$A:$Q,8))</f>
        <v/>
      </c>
      <c r="I282" s="52">
        <f>IF(VLOOKUP(Table91213[[#This Row],[Date]],'DB Details'!$A:$Q,9)=0,"",VLOOKUP(Table91213[[#This Row],[Date]],'DB Details'!$A:$Q,9))</f>
        <v/>
      </c>
      <c r="J282" s="52">
        <f>IF(VLOOKUP(Table91213[[#This Row],[Date]],'DB Details'!$A:$Q,10)=0,"",VLOOKUP(Table91213[[#This Row],[Date]],'DB Details'!$A:$Q,10))</f>
        <v/>
      </c>
      <c r="K282" s="52">
        <f>IF(VLOOKUP(Table91213[[#This Row],[Date]],'DB Details'!$A:$Q,11)=0,"",VLOOKUP(Table91213[[#This Row],[Date]],'DB Details'!$A:$Q,11))</f>
        <v/>
      </c>
      <c r="L282" s="50">
        <f>IF(VLOOKUP(Table91213[[#This Row],[Date]],'DB Details'!$A:$Q,12)=0,"",VLOOKUP(Table91213[[#This Row],[Date]],'DB Details'!$A:$Q,12))</f>
        <v/>
      </c>
    </row>
    <row r="283">
      <c r="A283" s="53" t="n">
        <v>44044</v>
      </c>
      <c r="B283" s="50">
        <f>IF(VLOOKUP(Table91213[[#This Row],[Date]],'DB Details'!$A:$Q,2)=0,"",VLOOKUP(Table91213[[#This Row],[Date]],'DB Details'!$A:$Q,2))</f>
        <v/>
      </c>
      <c r="C283" s="51">
        <f>IF(VLOOKUP(Table91213[[#This Row],[Date]],'DB Details'!$A:$Q,3)=0,"",VLOOKUP(Table91213[[#This Row],[Date]],'DB Details'!$A:$Q,3))</f>
        <v/>
      </c>
      <c r="D283" s="51">
        <f>IF(VLOOKUP(Table91213[[#This Row],[Date]],'DB Details'!$A:$Q,4)=0,"",VLOOKUP(Table91213[[#This Row],[Date]],'DB Details'!$A:$Q,4))</f>
        <v/>
      </c>
      <c r="E283" s="52">
        <f>IF(VLOOKUP(Table91213[[#This Row],[Date]],'DB Details'!$A:$Q,5)=0,"",VLOOKUP(Table91213[[#This Row],[Date]],'DB Details'!$A:$Q,5))</f>
        <v/>
      </c>
      <c r="F283" s="51">
        <f>IF(VLOOKUP(Table91213[[#This Row],[Date]],'DB Details'!$A:$Q,6)=0,"",VLOOKUP(Table91213[[#This Row],[Date]],'DB Details'!$A:$Q,6))</f>
        <v/>
      </c>
      <c r="G283" s="52">
        <f>IF(VLOOKUP(Table91213[[#This Row],[Date]],'DB Details'!$A:$Q,7)=0,"",VLOOKUP(Table91213[[#This Row],[Date]],'DB Details'!$A:$Q,7))</f>
        <v/>
      </c>
      <c r="H283" s="52">
        <f>IF(VLOOKUP(Table91213[[#This Row],[Date]],'DB Details'!$A:$Q,8)=0,"",VLOOKUP(Table91213[[#This Row],[Date]],'DB Details'!$A:$Q,8))</f>
        <v/>
      </c>
      <c r="I283" s="52">
        <f>IF(VLOOKUP(Table91213[[#This Row],[Date]],'DB Details'!$A:$Q,9)=0,"",VLOOKUP(Table91213[[#This Row],[Date]],'DB Details'!$A:$Q,9))</f>
        <v/>
      </c>
      <c r="J283" s="52">
        <f>IF(VLOOKUP(Table91213[[#This Row],[Date]],'DB Details'!$A:$Q,10)=0,"",VLOOKUP(Table91213[[#This Row],[Date]],'DB Details'!$A:$Q,10))</f>
        <v/>
      </c>
      <c r="K283" s="52">
        <f>IF(VLOOKUP(Table91213[[#This Row],[Date]],'DB Details'!$A:$Q,11)=0,"",VLOOKUP(Table91213[[#This Row],[Date]],'DB Details'!$A:$Q,11))</f>
        <v/>
      </c>
      <c r="L283" s="50">
        <f>IF(VLOOKUP(Table91213[[#This Row],[Date]],'DB Details'!$A:$Q,12)=0,"",VLOOKUP(Table91213[[#This Row],[Date]],'DB Details'!$A:$Q,12))</f>
        <v/>
      </c>
    </row>
    <row r="284">
      <c r="A284" s="53" t="n">
        <v>44075</v>
      </c>
      <c r="B284" s="50">
        <f>IF(VLOOKUP(Table91213[[#This Row],[Date]],'DB Details'!$A:$Q,2)=0,"",VLOOKUP(Table91213[[#This Row],[Date]],'DB Details'!$A:$Q,2))</f>
        <v/>
      </c>
      <c r="C284" s="51">
        <f>IF(VLOOKUP(Table91213[[#This Row],[Date]],'DB Details'!$A:$Q,3)=0,"",VLOOKUP(Table91213[[#This Row],[Date]],'DB Details'!$A:$Q,3))</f>
        <v/>
      </c>
      <c r="D284" s="51">
        <f>IF(VLOOKUP(Table91213[[#This Row],[Date]],'DB Details'!$A:$Q,4)=0,"",VLOOKUP(Table91213[[#This Row],[Date]],'DB Details'!$A:$Q,4))</f>
        <v/>
      </c>
      <c r="E284" s="52">
        <f>IF(VLOOKUP(Table91213[[#This Row],[Date]],'DB Details'!$A:$Q,5)=0,"",VLOOKUP(Table91213[[#This Row],[Date]],'DB Details'!$A:$Q,5))</f>
        <v/>
      </c>
      <c r="F284" s="51">
        <f>IF(VLOOKUP(Table91213[[#This Row],[Date]],'DB Details'!$A:$Q,6)=0,"",VLOOKUP(Table91213[[#This Row],[Date]],'DB Details'!$A:$Q,6))</f>
        <v/>
      </c>
      <c r="G284" s="52">
        <f>IF(VLOOKUP(Table91213[[#This Row],[Date]],'DB Details'!$A:$Q,7)=0,"",VLOOKUP(Table91213[[#This Row],[Date]],'DB Details'!$A:$Q,7))</f>
        <v/>
      </c>
      <c r="H284" s="52">
        <f>IF(VLOOKUP(Table91213[[#This Row],[Date]],'DB Details'!$A:$Q,8)=0,"",VLOOKUP(Table91213[[#This Row],[Date]],'DB Details'!$A:$Q,8))</f>
        <v/>
      </c>
      <c r="I284" s="52">
        <f>IF(VLOOKUP(Table91213[[#This Row],[Date]],'DB Details'!$A:$Q,9)=0,"",VLOOKUP(Table91213[[#This Row],[Date]],'DB Details'!$A:$Q,9))</f>
        <v/>
      </c>
      <c r="J284" s="52">
        <f>IF(VLOOKUP(Table91213[[#This Row],[Date]],'DB Details'!$A:$Q,10)=0,"",VLOOKUP(Table91213[[#This Row],[Date]],'DB Details'!$A:$Q,10))</f>
        <v/>
      </c>
      <c r="K284" s="52">
        <f>IF(VLOOKUP(Table91213[[#This Row],[Date]],'DB Details'!$A:$Q,11)=0,"",VLOOKUP(Table91213[[#This Row],[Date]],'DB Details'!$A:$Q,11))</f>
        <v/>
      </c>
      <c r="L284" s="50">
        <f>IF(VLOOKUP(Table91213[[#This Row],[Date]],'DB Details'!$A:$Q,12)=0,"",VLOOKUP(Table91213[[#This Row],[Date]],'DB Details'!$A:$Q,12))</f>
        <v/>
      </c>
    </row>
    <row r="285">
      <c r="A285" s="53" t="n">
        <v>44105</v>
      </c>
      <c r="B285" s="50">
        <f>IF(VLOOKUP(Table91213[[#This Row],[Date]],'DB Details'!$A:$Q,2)=0,"",VLOOKUP(Table91213[[#This Row],[Date]],'DB Details'!$A:$Q,2))</f>
        <v/>
      </c>
      <c r="C285" s="51">
        <f>IF(VLOOKUP(Table91213[[#This Row],[Date]],'DB Details'!$A:$Q,3)=0,"",VLOOKUP(Table91213[[#This Row],[Date]],'DB Details'!$A:$Q,3))</f>
        <v/>
      </c>
      <c r="D285" s="51">
        <f>IF(VLOOKUP(Table91213[[#This Row],[Date]],'DB Details'!$A:$Q,4)=0,"",VLOOKUP(Table91213[[#This Row],[Date]],'DB Details'!$A:$Q,4))</f>
        <v/>
      </c>
      <c r="E285" s="52">
        <f>IF(VLOOKUP(Table91213[[#This Row],[Date]],'DB Details'!$A:$Q,5)=0,"",VLOOKUP(Table91213[[#This Row],[Date]],'DB Details'!$A:$Q,5))</f>
        <v/>
      </c>
      <c r="F285" s="51">
        <f>IF(VLOOKUP(Table91213[[#This Row],[Date]],'DB Details'!$A:$Q,6)=0,"",VLOOKUP(Table91213[[#This Row],[Date]],'DB Details'!$A:$Q,6))</f>
        <v/>
      </c>
      <c r="G285" s="52">
        <f>IF(VLOOKUP(Table91213[[#This Row],[Date]],'DB Details'!$A:$Q,7)=0,"",VLOOKUP(Table91213[[#This Row],[Date]],'DB Details'!$A:$Q,7))</f>
        <v/>
      </c>
      <c r="H285" s="52">
        <f>IF(VLOOKUP(Table91213[[#This Row],[Date]],'DB Details'!$A:$Q,8)=0,"",VLOOKUP(Table91213[[#This Row],[Date]],'DB Details'!$A:$Q,8))</f>
        <v/>
      </c>
      <c r="I285" s="52">
        <f>IF(VLOOKUP(Table91213[[#This Row],[Date]],'DB Details'!$A:$Q,9)=0,"",VLOOKUP(Table91213[[#This Row],[Date]],'DB Details'!$A:$Q,9))</f>
        <v/>
      </c>
      <c r="J285" s="52">
        <f>IF(VLOOKUP(Table91213[[#This Row],[Date]],'DB Details'!$A:$Q,10)=0,"",VLOOKUP(Table91213[[#This Row],[Date]],'DB Details'!$A:$Q,10))</f>
        <v/>
      </c>
      <c r="K285" s="52">
        <f>IF(VLOOKUP(Table91213[[#This Row],[Date]],'DB Details'!$A:$Q,11)=0,"",VLOOKUP(Table91213[[#This Row],[Date]],'DB Details'!$A:$Q,11))</f>
        <v/>
      </c>
      <c r="L285" s="50">
        <f>IF(VLOOKUP(Table91213[[#This Row],[Date]],'DB Details'!$A:$Q,12)=0,"",VLOOKUP(Table91213[[#This Row],[Date]],'DB Details'!$A:$Q,12))</f>
        <v/>
      </c>
    </row>
    <row r="286">
      <c r="A286" s="53" t="n">
        <v>44136</v>
      </c>
      <c r="B286" s="50">
        <f>IF(VLOOKUP(Table91213[[#This Row],[Date]],'DB Details'!$A:$Q,2)=0,"",VLOOKUP(Table91213[[#This Row],[Date]],'DB Details'!$A:$Q,2))</f>
        <v/>
      </c>
      <c r="C286" s="51">
        <f>IF(VLOOKUP(Table91213[[#This Row],[Date]],'DB Details'!$A:$Q,3)=0,"",VLOOKUP(Table91213[[#This Row],[Date]],'DB Details'!$A:$Q,3))</f>
        <v/>
      </c>
      <c r="D286" s="51">
        <f>IF(VLOOKUP(Table91213[[#This Row],[Date]],'DB Details'!$A:$Q,4)=0,"",VLOOKUP(Table91213[[#This Row],[Date]],'DB Details'!$A:$Q,4))</f>
        <v/>
      </c>
      <c r="E286" s="52">
        <f>IF(VLOOKUP(Table91213[[#This Row],[Date]],'DB Details'!$A:$Q,5)=0,"",VLOOKUP(Table91213[[#This Row],[Date]],'DB Details'!$A:$Q,5))</f>
        <v/>
      </c>
      <c r="F286" s="51">
        <f>IF(VLOOKUP(Table91213[[#This Row],[Date]],'DB Details'!$A:$Q,6)=0,"",VLOOKUP(Table91213[[#This Row],[Date]],'DB Details'!$A:$Q,6))</f>
        <v/>
      </c>
      <c r="G286" s="52">
        <f>IF(VLOOKUP(Table91213[[#This Row],[Date]],'DB Details'!$A:$Q,7)=0,"",VLOOKUP(Table91213[[#This Row],[Date]],'DB Details'!$A:$Q,7))</f>
        <v/>
      </c>
      <c r="H286" s="52">
        <f>IF(VLOOKUP(Table91213[[#This Row],[Date]],'DB Details'!$A:$Q,8)=0,"",VLOOKUP(Table91213[[#This Row],[Date]],'DB Details'!$A:$Q,8))</f>
        <v/>
      </c>
      <c r="I286" s="52">
        <f>IF(VLOOKUP(Table91213[[#This Row],[Date]],'DB Details'!$A:$Q,9)=0,"",VLOOKUP(Table91213[[#This Row],[Date]],'DB Details'!$A:$Q,9))</f>
        <v/>
      </c>
      <c r="J286" s="52">
        <f>IF(VLOOKUP(Table91213[[#This Row],[Date]],'DB Details'!$A:$Q,10)=0,"",VLOOKUP(Table91213[[#This Row],[Date]],'DB Details'!$A:$Q,10))</f>
        <v/>
      </c>
      <c r="K286" s="52">
        <f>IF(VLOOKUP(Table91213[[#This Row],[Date]],'DB Details'!$A:$Q,11)=0,"",VLOOKUP(Table91213[[#This Row],[Date]],'DB Details'!$A:$Q,11))</f>
        <v/>
      </c>
      <c r="L286" s="50">
        <f>IF(VLOOKUP(Table91213[[#This Row],[Date]],'DB Details'!$A:$Q,12)=0,"",VLOOKUP(Table91213[[#This Row],[Date]],'DB Details'!$A:$Q,12))</f>
        <v/>
      </c>
    </row>
    <row r="287">
      <c r="A287" s="53" t="n">
        <v>44166</v>
      </c>
      <c r="B287" s="50">
        <f>IF(VLOOKUP(Table91213[[#This Row],[Date]],'DB Details'!$A:$Q,2)=0,"",VLOOKUP(Table91213[[#This Row],[Date]],'DB Details'!$A:$Q,2))</f>
        <v/>
      </c>
      <c r="C287" s="51">
        <f>IF(VLOOKUP(Table91213[[#This Row],[Date]],'DB Details'!$A:$Q,3)=0,"",VLOOKUP(Table91213[[#This Row],[Date]],'DB Details'!$A:$Q,3))</f>
        <v/>
      </c>
      <c r="D287" s="51">
        <f>IF(VLOOKUP(Table91213[[#This Row],[Date]],'DB Details'!$A:$Q,4)=0,"",VLOOKUP(Table91213[[#This Row],[Date]],'DB Details'!$A:$Q,4))</f>
        <v/>
      </c>
      <c r="E287" s="52">
        <f>IF(VLOOKUP(Table91213[[#This Row],[Date]],'DB Details'!$A:$Q,5)=0,"",VLOOKUP(Table91213[[#This Row],[Date]],'DB Details'!$A:$Q,5))</f>
        <v/>
      </c>
      <c r="F287" s="51">
        <f>IF(VLOOKUP(Table91213[[#This Row],[Date]],'DB Details'!$A:$Q,6)=0,"",VLOOKUP(Table91213[[#This Row],[Date]],'DB Details'!$A:$Q,6))</f>
        <v/>
      </c>
      <c r="G287" s="52">
        <f>IF(VLOOKUP(Table91213[[#This Row],[Date]],'DB Details'!$A:$Q,7)=0,"",VLOOKUP(Table91213[[#This Row],[Date]],'DB Details'!$A:$Q,7))</f>
        <v/>
      </c>
      <c r="H287" s="52">
        <f>IF(VLOOKUP(Table91213[[#This Row],[Date]],'DB Details'!$A:$Q,8)=0,"",VLOOKUP(Table91213[[#This Row],[Date]],'DB Details'!$A:$Q,8))</f>
        <v/>
      </c>
      <c r="I287" s="52">
        <f>IF(VLOOKUP(Table91213[[#This Row],[Date]],'DB Details'!$A:$Q,9)=0,"",VLOOKUP(Table91213[[#This Row],[Date]],'DB Details'!$A:$Q,9))</f>
        <v/>
      </c>
      <c r="J287" s="52">
        <f>IF(VLOOKUP(Table91213[[#This Row],[Date]],'DB Details'!$A:$Q,10)=0,"",VLOOKUP(Table91213[[#This Row],[Date]],'DB Details'!$A:$Q,10))</f>
        <v/>
      </c>
      <c r="K287" s="52">
        <f>IF(VLOOKUP(Table91213[[#This Row],[Date]],'DB Details'!$A:$Q,11)=0,"",VLOOKUP(Table91213[[#This Row],[Date]],'DB Details'!$A:$Q,11))</f>
        <v/>
      </c>
      <c r="L287" s="50">
        <f>IF(VLOOKUP(Table91213[[#This Row],[Date]],'DB Details'!$A:$Q,12)=0,"",VLOOKUP(Table91213[[#This Row],[Date]],'DB Details'!$A:$Q,12))</f>
        <v/>
      </c>
    </row>
    <row r="288">
      <c r="A288" s="53" t="n">
        <v>44197</v>
      </c>
      <c r="B288" s="50">
        <f>IF(VLOOKUP(Table91213[[#This Row],[Date]],'DB Details'!$A:$Q,2)=0,"",VLOOKUP(Table91213[[#This Row],[Date]],'DB Details'!$A:$Q,2))</f>
        <v/>
      </c>
      <c r="C288" s="51">
        <f>IF(VLOOKUP(Table91213[[#This Row],[Date]],'DB Details'!$A:$Q,3)=0,"",VLOOKUP(Table91213[[#This Row],[Date]],'DB Details'!$A:$Q,3))</f>
        <v/>
      </c>
      <c r="D288" s="51">
        <f>IF(VLOOKUP(Table91213[[#This Row],[Date]],'DB Details'!$A:$Q,4)=0,"",VLOOKUP(Table91213[[#This Row],[Date]],'DB Details'!$A:$Q,4))</f>
        <v/>
      </c>
      <c r="E288" s="52">
        <f>IF(VLOOKUP(Table91213[[#This Row],[Date]],'DB Details'!$A:$Q,5)=0,"",VLOOKUP(Table91213[[#This Row],[Date]],'DB Details'!$A:$Q,5))</f>
        <v/>
      </c>
      <c r="F288" s="51">
        <f>IF(VLOOKUP(Table91213[[#This Row],[Date]],'DB Details'!$A:$Q,6)=0,"",VLOOKUP(Table91213[[#This Row],[Date]],'DB Details'!$A:$Q,6))</f>
        <v/>
      </c>
      <c r="G288" s="52">
        <f>IF(VLOOKUP(Table91213[[#This Row],[Date]],'DB Details'!$A:$Q,7)=0,"",VLOOKUP(Table91213[[#This Row],[Date]],'DB Details'!$A:$Q,7))</f>
        <v/>
      </c>
      <c r="H288" s="52">
        <f>IF(VLOOKUP(Table91213[[#This Row],[Date]],'DB Details'!$A:$Q,8)=0,"",VLOOKUP(Table91213[[#This Row],[Date]],'DB Details'!$A:$Q,8))</f>
        <v/>
      </c>
      <c r="I288" s="52">
        <f>IF(VLOOKUP(Table91213[[#This Row],[Date]],'DB Details'!$A:$Q,9)=0,"",VLOOKUP(Table91213[[#This Row],[Date]],'DB Details'!$A:$Q,9))</f>
        <v/>
      </c>
      <c r="J288" s="52">
        <f>IF(VLOOKUP(Table91213[[#This Row],[Date]],'DB Details'!$A:$Q,10)=0,"",VLOOKUP(Table91213[[#This Row],[Date]],'DB Details'!$A:$Q,10))</f>
        <v/>
      </c>
      <c r="K288" s="52">
        <f>IF(VLOOKUP(Table91213[[#This Row],[Date]],'DB Details'!$A:$Q,11)=0,"",VLOOKUP(Table91213[[#This Row],[Date]],'DB Details'!$A:$Q,11))</f>
        <v/>
      </c>
      <c r="L288" s="50">
        <f>IF(VLOOKUP(Table91213[[#This Row],[Date]],'DB Details'!$A:$Q,12)=0,"",VLOOKUP(Table91213[[#This Row],[Date]],'DB Details'!$A:$Q,12))</f>
        <v/>
      </c>
    </row>
    <row r="289">
      <c r="A289" s="53" t="n">
        <v>44228</v>
      </c>
      <c r="B289" s="50">
        <f>IF(VLOOKUP(Table91213[[#This Row],[Date]],'DB Details'!$A:$Q,2)=0,"",VLOOKUP(Table91213[[#This Row],[Date]],'DB Details'!$A:$Q,2))</f>
        <v/>
      </c>
      <c r="C289" s="51">
        <f>IF(VLOOKUP(Table91213[[#This Row],[Date]],'DB Details'!$A:$Q,3)=0,"",VLOOKUP(Table91213[[#This Row],[Date]],'DB Details'!$A:$Q,3))</f>
        <v/>
      </c>
      <c r="D289" s="51">
        <f>IF(VLOOKUP(Table91213[[#This Row],[Date]],'DB Details'!$A:$Q,4)=0,"",VLOOKUP(Table91213[[#This Row],[Date]],'DB Details'!$A:$Q,4))</f>
        <v/>
      </c>
      <c r="E289" s="52">
        <f>IF(VLOOKUP(Table91213[[#This Row],[Date]],'DB Details'!$A:$Q,5)=0,"",VLOOKUP(Table91213[[#This Row],[Date]],'DB Details'!$A:$Q,5))</f>
        <v/>
      </c>
      <c r="F289" s="51">
        <f>IF(VLOOKUP(Table91213[[#This Row],[Date]],'DB Details'!$A:$Q,6)=0,"",VLOOKUP(Table91213[[#This Row],[Date]],'DB Details'!$A:$Q,6))</f>
        <v/>
      </c>
      <c r="G289" s="52">
        <f>IF(VLOOKUP(Table91213[[#This Row],[Date]],'DB Details'!$A:$Q,7)=0,"",VLOOKUP(Table91213[[#This Row],[Date]],'DB Details'!$A:$Q,7))</f>
        <v/>
      </c>
      <c r="H289" s="52">
        <f>IF(VLOOKUP(Table91213[[#This Row],[Date]],'DB Details'!$A:$Q,8)=0,"",VLOOKUP(Table91213[[#This Row],[Date]],'DB Details'!$A:$Q,8))</f>
        <v/>
      </c>
      <c r="I289" s="52">
        <f>IF(VLOOKUP(Table91213[[#This Row],[Date]],'DB Details'!$A:$Q,9)=0,"",VLOOKUP(Table91213[[#This Row],[Date]],'DB Details'!$A:$Q,9))</f>
        <v/>
      </c>
      <c r="J289" s="52">
        <f>IF(VLOOKUP(Table91213[[#This Row],[Date]],'DB Details'!$A:$Q,10)=0,"",VLOOKUP(Table91213[[#This Row],[Date]],'DB Details'!$A:$Q,10))</f>
        <v/>
      </c>
      <c r="K289" s="52">
        <f>IF(VLOOKUP(Table91213[[#This Row],[Date]],'DB Details'!$A:$Q,11)=0,"",VLOOKUP(Table91213[[#This Row],[Date]],'DB Details'!$A:$Q,11))</f>
        <v/>
      </c>
      <c r="L289" s="50">
        <f>IF(VLOOKUP(Table91213[[#This Row],[Date]],'DB Details'!$A:$Q,12)=0,"",VLOOKUP(Table91213[[#This Row],[Date]],'DB Details'!$A:$Q,12))</f>
        <v/>
      </c>
    </row>
    <row r="290">
      <c r="A290" s="53" t="n">
        <v>44256</v>
      </c>
      <c r="B290" s="50">
        <f>IF(VLOOKUP(Table91213[[#This Row],[Date]],'DB Details'!$A:$Q,2)=0,"",VLOOKUP(Table91213[[#This Row],[Date]],'DB Details'!$A:$Q,2))</f>
        <v/>
      </c>
      <c r="C290" s="51">
        <f>IF(VLOOKUP(Table91213[[#This Row],[Date]],'DB Details'!$A:$Q,3)=0,"",VLOOKUP(Table91213[[#This Row],[Date]],'DB Details'!$A:$Q,3))</f>
        <v/>
      </c>
      <c r="D290" s="51">
        <f>IF(VLOOKUP(Table91213[[#This Row],[Date]],'DB Details'!$A:$Q,4)=0,"",VLOOKUP(Table91213[[#This Row],[Date]],'DB Details'!$A:$Q,4))</f>
        <v/>
      </c>
      <c r="E290" s="52">
        <f>IF(VLOOKUP(Table91213[[#This Row],[Date]],'DB Details'!$A:$Q,5)=0,"",VLOOKUP(Table91213[[#This Row],[Date]],'DB Details'!$A:$Q,5))</f>
        <v/>
      </c>
      <c r="F290" s="51">
        <f>IF(VLOOKUP(Table91213[[#This Row],[Date]],'DB Details'!$A:$Q,6)=0,"",VLOOKUP(Table91213[[#This Row],[Date]],'DB Details'!$A:$Q,6))</f>
        <v/>
      </c>
      <c r="G290" s="52">
        <f>IF(VLOOKUP(Table91213[[#This Row],[Date]],'DB Details'!$A:$Q,7)=0,"",VLOOKUP(Table91213[[#This Row],[Date]],'DB Details'!$A:$Q,7))</f>
        <v/>
      </c>
      <c r="H290" s="52">
        <f>IF(VLOOKUP(Table91213[[#This Row],[Date]],'DB Details'!$A:$Q,8)=0,"",VLOOKUP(Table91213[[#This Row],[Date]],'DB Details'!$A:$Q,8))</f>
        <v/>
      </c>
      <c r="I290" s="52">
        <f>IF(VLOOKUP(Table91213[[#This Row],[Date]],'DB Details'!$A:$Q,9)=0,"",VLOOKUP(Table91213[[#This Row],[Date]],'DB Details'!$A:$Q,9))</f>
        <v/>
      </c>
      <c r="J290" s="52">
        <f>IF(VLOOKUP(Table91213[[#This Row],[Date]],'DB Details'!$A:$Q,10)=0,"",VLOOKUP(Table91213[[#This Row],[Date]],'DB Details'!$A:$Q,10))</f>
        <v/>
      </c>
      <c r="K290" s="52">
        <f>IF(VLOOKUP(Table91213[[#This Row],[Date]],'DB Details'!$A:$Q,11)=0,"",VLOOKUP(Table91213[[#This Row],[Date]],'DB Details'!$A:$Q,11))</f>
        <v/>
      </c>
      <c r="L290" s="50">
        <f>IF(VLOOKUP(Table91213[[#This Row],[Date]],'DB Details'!$A:$Q,12)=0,"",VLOOKUP(Table91213[[#This Row],[Date]],'DB Details'!$A:$Q,12))</f>
        <v/>
      </c>
    </row>
    <row r="291">
      <c r="A291" s="53" t="n">
        <v>44287</v>
      </c>
      <c r="B291" s="50">
        <f>IF(VLOOKUP(Table91213[[#This Row],[Date]],'DB Details'!$A:$Q,2)=0,"",VLOOKUP(Table91213[[#This Row],[Date]],'DB Details'!$A:$Q,2))</f>
        <v/>
      </c>
      <c r="C291" s="51">
        <f>IF(VLOOKUP(Table91213[[#This Row],[Date]],'DB Details'!$A:$Q,3)=0,"",VLOOKUP(Table91213[[#This Row],[Date]],'DB Details'!$A:$Q,3))</f>
        <v/>
      </c>
      <c r="D291" s="51">
        <f>IF(VLOOKUP(Table91213[[#This Row],[Date]],'DB Details'!$A:$Q,4)=0,"",VLOOKUP(Table91213[[#This Row],[Date]],'DB Details'!$A:$Q,4))</f>
        <v/>
      </c>
      <c r="E291" s="52">
        <f>IF(VLOOKUP(Table91213[[#This Row],[Date]],'DB Details'!$A:$Q,5)=0,"",VLOOKUP(Table91213[[#This Row],[Date]],'DB Details'!$A:$Q,5))</f>
        <v/>
      </c>
      <c r="F291" s="51">
        <f>IF(VLOOKUP(Table91213[[#This Row],[Date]],'DB Details'!$A:$Q,6)=0,"",VLOOKUP(Table91213[[#This Row],[Date]],'DB Details'!$A:$Q,6))</f>
        <v/>
      </c>
      <c r="G291" s="52">
        <f>IF(VLOOKUP(Table91213[[#This Row],[Date]],'DB Details'!$A:$Q,7)=0,"",VLOOKUP(Table91213[[#This Row],[Date]],'DB Details'!$A:$Q,7))</f>
        <v/>
      </c>
      <c r="H291" s="52">
        <f>IF(VLOOKUP(Table91213[[#This Row],[Date]],'DB Details'!$A:$Q,8)=0,"",VLOOKUP(Table91213[[#This Row],[Date]],'DB Details'!$A:$Q,8))</f>
        <v/>
      </c>
      <c r="I291" s="52">
        <f>IF(VLOOKUP(Table91213[[#This Row],[Date]],'DB Details'!$A:$Q,9)=0,"",VLOOKUP(Table91213[[#This Row],[Date]],'DB Details'!$A:$Q,9))</f>
        <v/>
      </c>
      <c r="J291" s="52">
        <f>IF(VLOOKUP(Table91213[[#This Row],[Date]],'DB Details'!$A:$Q,10)=0,"",VLOOKUP(Table91213[[#This Row],[Date]],'DB Details'!$A:$Q,10))</f>
        <v/>
      </c>
      <c r="K291" s="52">
        <f>IF(VLOOKUP(Table91213[[#This Row],[Date]],'DB Details'!$A:$Q,11)=0,"",VLOOKUP(Table91213[[#This Row],[Date]],'DB Details'!$A:$Q,11))</f>
        <v/>
      </c>
      <c r="L291" s="50">
        <f>IF(VLOOKUP(Table91213[[#This Row],[Date]],'DB Details'!$A:$Q,12)=0,"",VLOOKUP(Table91213[[#This Row],[Date]],'DB Details'!$A:$Q,12))</f>
        <v/>
      </c>
    </row>
    <row r="292">
      <c r="A292" s="53" t="n">
        <v>44317</v>
      </c>
      <c r="B292" s="50">
        <f>IF(VLOOKUP(Table91213[[#This Row],[Date]],'DB Details'!$A:$Q,2)=0,"",VLOOKUP(Table91213[[#This Row],[Date]],'DB Details'!$A:$Q,2))</f>
        <v/>
      </c>
      <c r="C292" s="51">
        <f>IF(VLOOKUP(Table91213[[#This Row],[Date]],'DB Details'!$A:$Q,3)=0,"",VLOOKUP(Table91213[[#This Row],[Date]],'DB Details'!$A:$Q,3))</f>
        <v/>
      </c>
      <c r="D292" s="51">
        <f>IF(VLOOKUP(Table91213[[#This Row],[Date]],'DB Details'!$A:$Q,4)=0,"",VLOOKUP(Table91213[[#This Row],[Date]],'DB Details'!$A:$Q,4))</f>
        <v/>
      </c>
      <c r="E292" s="52">
        <f>IF(VLOOKUP(Table91213[[#This Row],[Date]],'DB Details'!$A:$Q,5)=0,"",VLOOKUP(Table91213[[#This Row],[Date]],'DB Details'!$A:$Q,5))</f>
        <v/>
      </c>
      <c r="F292" s="51">
        <f>IF(VLOOKUP(Table91213[[#This Row],[Date]],'DB Details'!$A:$Q,6)=0,"",VLOOKUP(Table91213[[#This Row],[Date]],'DB Details'!$A:$Q,6))</f>
        <v/>
      </c>
      <c r="G292" s="52">
        <f>IF(VLOOKUP(Table91213[[#This Row],[Date]],'DB Details'!$A:$Q,7)=0,"",VLOOKUP(Table91213[[#This Row],[Date]],'DB Details'!$A:$Q,7))</f>
        <v/>
      </c>
      <c r="H292" s="52">
        <f>IF(VLOOKUP(Table91213[[#This Row],[Date]],'DB Details'!$A:$Q,8)=0,"",VLOOKUP(Table91213[[#This Row],[Date]],'DB Details'!$A:$Q,8))</f>
        <v/>
      </c>
      <c r="I292" s="52">
        <f>IF(VLOOKUP(Table91213[[#This Row],[Date]],'DB Details'!$A:$Q,9)=0,"",VLOOKUP(Table91213[[#This Row],[Date]],'DB Details'!$A:$Q,9))</f>
        <v/>
      </c>
      <c r="J292" s="52">
        <f>IF(VLOOKUP(Table91213[[#This Row],[Date]],'DB Details'!$A:$Q,10)=0,"",VLOOKUP(Table91213[[#This Row],[Date]],'DB Details'!$A:$Q,10))</f>
        <v/>
      </c>
      <c r="K292" s="52">
        <f>IF(VLOOKUP(Table91213[[#This Row],[Date]],'DB Details'!$A:$Q,11)=0,"",VLOOKUP(Table91213[[#This Row],[Date]],'DB Details'!$A:$Q,11))</f>
        <v/>
      </c>
      <c r="L292" s="50">
        <f>IF(VLOOKUP(Table91213[[#This Row],[Date]],'DB Details'!$A:$Q,12)=0,"",VLOOKUP(Table91213[[#This Row],[Date]],'DB Details'!$A:$Q,12))</f>
        <v/>
      </c>
    </row>
    <row r="293">
      <c r="A293" s="53" t="n">
        <v>44348</v>
      </c>
      <c r="B293" s="50">
        <f>IF(VLOOKUP(Table91213[[#This Row],[Date]],'DB Details'!$A:$Q,2)=0,"",VLOOKUP(Table91213[[#This Row],[Date]],'DB Details'!$A:$Q,2))</f>
        <v/>
      </c>
      <c r="C293" s="51">
        <f>IF(VLOOKUP(Table91213[[#This Row],[Date]],'DB Details'!$A:$Q,3)=0,"",VLOOKUP(Table91213[[#This Row],[Date]],'DB Details'!$A:$Q,3))</f>
        <v/>
      </c>
      <c r="D293" s="51">
        <f>IF(VLOOKUP(Table91213[[#This Row],[Date]],'DB Details'!$A:$Q,4)=0,"",VLOOKUP(Table91213[[#This Row],[Date]],'DB Details'!$A:$Q,4))</f>
        <v/>
      </c>
      <c r="E293" s="52">
        <f>IF(VLOOKUP(Table91213[[#This Row],[Date]],'DB Details'!$A:$Q,5)=0,"",VLOOKUP(Table91213[[#This Row],[Date]],'DB Details'!$A:$Q,5))</f>
        <v/>
      </c>
      <c r="F293" s="51">
        <f>IF(VLOOKUP(Table91213[[#This Row],[Date]],'DB Details'!$A:$Q,6)=0,"",VLOOKUP(Table91213[[#This Row],[Date]],'DB Details'!$A:$Q,6))</f>
        <v/>
      </c>
      <c r="G293" s="52">
        <f>IF(VLOOKUP(Table91213[[#This Row],[Date]],'DB Details'!$A:$Q,7)=0,"",VLOOKUP(Table91213[[#This Row],[Date]],'DB Details'!$A:$Q,7))</f>
        <v/>
      </c>
      <c r="H293" s="52">
        <f>IF(VLOOKUP(Table91213[[#This Row],[Date]],'DB Details'!$A:$Q,8)=0,"",VLOOKUP(Table91213[[#This Row],[Date]],'DB Details'!$A:$Q,8))</f>
        <v/>
      </c>
      <c r="I293" s="52">
        <f>IF(VLOOKUP(Table91213[[#This Row],[Date]],'DB Details'!$A:$Q,9)=0,"",VLOOKUP(Table91213[[#This Row],[Date]],'DB Details'!$A:$Q,9))</f>
        <v/>
      </c>
      <c r="J293" s="52">
        <f>IF(VLOOKUP(Table91213[[#This Row],[Date]],'DB Details'!$A:$Q,10)=0,"",VLOOKUP(Table91213[[#This Row],[Date]],'DB Details'!$A:$Q,10))</f>
        <v/>
      </c>
      <c r="K293" s="52">
        <f>IF(VLOOKUP(Table91213[[#This Row],[Date]],'DB Details'!$A:$Q,11)=0,"",VLOOKUP(Table91213[[#This Row],[Date]],'DB Details'!$A:$Q,11))</f>
        <v/>
      </c>
      <c r="L293" s="50">
        <f>IF(VLOOKUP(Table91213[[#This Row],[Date]],'DB Details'!$A:$Q,12)=0,"",VLOOKUP(Table91213[[#This Row],[Date]],'DB Details'!$A:$Q,12))</f>
        <v/>
      </c>
    </row>
    <row r="294">
      <c r="A294" s="53" t="n">
        <v>44378</v>
      </c>
      <c r="B294" s="50">
        <f>IF(VLOOKUP(Table91213[[#This Row],[Date]],'DB Details'!$A:$Q,2)=0,"",VLOOKUP(Table91213[[#This Row],[Date]],'DB Details'!$A:$Q,2))</f>
        <v/>
      </c>
      <c r="C294" s="51">
        <f>IF(VLOOKUP(Table91213[[#This Row],[Date]],'DB Details'!$A:$Q,3)=0,"",VLOOKUP(Table91213[[#This Row],[Date]],'DB Details'!$A:$Q,3))</f>
        <v/>
      </c>
      <c r="D294" s="51">
        <f>IF(VLOOKUP(Table91213[[#This Row],[Date]],'DB Details'!$A:$Q,4)=0,"",VLOOKUP(Table91213[[#This Row],[Date]],'DB Details'!$A:$Q,4))</f>
        <v/>
      </c>
      <c r="E294" s="52">
        <f>IF(VLOOKUP(Table91213[[#This Row],[Date]],'DB Details'!$A:$Q,5)=0,"",VLOOKUP(Table91213[[#This Row],[Date]],'DB Details'!$A:$Q,5))</f>
        <v/>
      </c>
      <c r="F294" s="51">
        <f>IF(VLOOKUP(Table91213[[#This Row],[Date]],'DB Details'!$A:$Q,6)=0,"",VLOOKUP(Table91213[[#This Row],[Date]],'DB Details'!$A:$Q,6))</f>
        <v/>
      </c>
      <c r="G294" s="52">
        <f>IF(VLOOKUP(Table91213[[#This Row],[Date]],'DB Details'!$A:$Q,7)=0,"",VLOOKUP(Table91213[[#This Row],[Date]],'DB Details'!$A:$Q,7))</f>
        <v/>
      </c>
      <c r="H294" s="52">
        <f>IF(VLOOKUP(Table91213[[#This Row],[Date]],'DB Details'!$A:$Q,8)=0,"",VLOOKUP(Table91213[[#This Row],[Date]],'DB Details'!$A:$Q,8))</f>
        <v/>
      </c>
      <c r="I294" s="52">
        <f>IF(VLOOKUP(Table91213[[#This Row],[Date]],'DB Details'!$A:$Q,9)=0,"",VLOOKUP(Table91213[[#This Row],[Date]],'DB Details'!$A:$Q,9))</f>
        <v/>
      </c>
      <c r="J294" s="52">
        <f>IF(VLOOKUP(Table91213[[#This Row],[Date]],'DB Details'!$A:$Q,10)=0,"",VLOOKUP(Table91213[[#This Row],[Date]],'DB Details'!$A:$Q,10))</f>
        <v/>
      </c>
      <c r="K294" s="52">
        <f>IF(VLOOKUP(Table91213[[#This Row],[Date]],'DB Details'!$A:$Q,11)=0,"",VLOOKUP(Table91213[[#This Row],[Date]],'DB Details'!$A:$Q,11))</f>
        <v/>
      </c>
      <c r="L294" s="50">
        <f>IF(VLOOKUP(Table91213[[#This Row],[Date]],'DB Details'!$A:$Q,12)=0,"",VLOOKUP(Table91213[[#This Row],[Date]],'DB Details'!$A:$Q,12))</f>
        <v/>
      </c>
    </row>
    <row r="295">
      <c r="A295" s="53" t="n">
        <v>44409</v>
      </c>
      <c r="B295" s="50">
        <f>IF(VLOOKUP(Table91213[[#This Row],[Date]],'DB Details'!$A:$Q,2)=0,"",VLOOKUP(Table91213[[#This Row],[Date]],'DB Details'!$A:$Q,2))</f>
        <v/>
      </c>
      <c r="C295" s="51">
        <f>IF(VLOOKUP(Table91213[[#This Row],[Date]],'DB Details'!$A:$Q,3)=0,"",VLOOKUP(Table91213[[#This Row],[Date]],'DB Details'!$A:$Q,3))</f>
        <v/>
      </c>
      <c r="D295" s="51">
        <f>IF(VLOOKUP(Table91213[[#This Row],[Date]],'DB Details'!$A:$Q,4)=0,"",VLOOKUP(Table91213[[#This Row],[Date]],'DB Details'!$A:$Q,4))</f>
        <v/>
      </c>
      <c r="E295" s="52">
        <f>IF(VLOOKUP(Table91213[[#This Row],[Date]],'DB Details'!$A:$Q,5)=0,"",VLOOKUP(Table91213[[#This Row],[Date]],'DB Details'!$A:$Q,5))</f>
        <v/>
      </c>
      <c r="F295" s="51">
        <f>IF(VLOOKUP(Table91213[[#This Row],[Date]],'DB Details'!$A:$Q,6)=0,"",VLOOKUP(Table91213[[#This Row],[Date]],'DB Details'!$A:$Q,6))</f>
        <v/>
      </c>
      <c r="G295" s="52">
        <f>IF(VLOOKUP(Table91213[[#This Row],[Date]],'DB Details'!$A:$Q,7)=0,"",VLOOKUP(Table91213[[#This Row],[Date]],'DB Details'!$A:$Q,7))</f>
        <v/>
      </c>
      <c r="H295" s="52">
        <f>IF(VLOOKUP(Table91213[[#This Row],[Date]],'DB Details'!$A:$Q,8)=0,"",VLOOKUP(Table91213[[#This Row],[Date]],'DB Details'!$A:$Q,8))</f>
        <v/>
      </c>
      <c r="I295" s="52">
        <f>IF(VLOOKUP(Table91213[[#This Row],[Date]],'DB Details'!$A:$Q,9)=0,"",VLOOKUP(Table91213[[#This Row],[Date]],'DB Details'!$A:$Q,9))</f>
        <v/>
      </c>
      <c r="J295" s="52">
        <f>IF(VLOOKUP(Table91213[[#This Row],[Date]],'DB Details'!$A:$Q,10)=0,"",VLOOKUP(Table91213[[#This Row],[Date]],'DB Details'!$A:$Q,10))</f>
        <v/>
      </c>
      <c r="K295" s="52">
        <f>IF(VLOOKUP(Table91213[[#This Row],[Date]],'DB Details'!$A:$Q,11)=0,"",VLOOKUP(Table91213[[#This Row],[Date]],'DB Details'!$A:$Q,11))</f>
        <v/>
      </c>
      <c r="L295" s="50">
        <f>IF(VLOOKUP(Table91213[[#This Row],[Date]],'DB Details'!$A:$Q,12)=0,"",VLOOKUP(Table91213[[#This Row],[Date]],'DB Details'!$A:$Q,12))</f>
        <v/>
      </c>
    </row>
    <row r="296">
      <c r="A296" s="53" t="n">
        <v>44440</v>
      </c>
      <c r="B296" s="50">
        <f>IF(VLOOKUP(Table91213[[#This Row],[Date]],'DB Details'!$A:$Q,2)=0,"",VLOOKUP(Table91213[[#This Row],[Date]],'DB Details'!$A:$Q,2))</f>
        <v/>
      </c>
      <c r="C296" s="51">
        <f>IF(VLOOKUP(Table91213[[#This Row],[Date]],'DB Details'!$A:$Q,3)=0,"",VLOOKUP(Table91213[[#This Row],[Date]],'DB Details'!$A:$Q,3))</f>
        <v/>
      </c>
      <c r="D296" s="51">
        <f>IF(VLOOKUP(Table91213[[#This Row],[Date]],'DB Details'!$A:$Q,4)=0,"",VLOOKUP(Table91213[[#This Row],[Date]],'DB Details'!$A:$Q,4))</f>
        <v/>
      </c>
      <c r="E296" s="52">
        <f>IF(VLOOKUP(Table91213[[#This Row],[Date]],'DB Details'!$A:$Q,5)=0,"",VLOOKUP(Table91213[[#This Row],[Date]],'DB Details'!$A:$Q,5))</f>
        <v/>
      </c>
      <c r="F296" s="51">
        <f>IF(VLOOKUP(Table91213[[#This Row],[Date]],'DB Details'!$A:$Q,6)=0,"",VLOOKUP(Table91213[[#This Row],[Date]],'DB Details'!$A:$Q,6))</f>
        <v/>
      </c>
      <c r="G296" s="52">
        <f>IF(VLOOKUP(Table91213[[#This Row],[Date]],'DB Details'!$A:$Q,7)=0,"",VLOOKUP(Table91213[[#This Row],[Date]],'DB Details'!$A:$Q,7))</f>
        <v/>
      </c>
      <c r="H296" s="52">
        <f>IF(VLOOKUP(Table91213[[#This Row],[Date]],'DB Details'!$A:$Q,8)=0,"",VLOOKUP(Table91213[[#This Row],[Date]],'DB Details'!$A:$Q,8))</f>
        <v/>
      </c>
      <c r="I296" s="52">
        <f>IF(VLOOKUP(Table91213[[#This Row],[Date]],'DB Details'!$A:$Q,9)=0,"",VLOOKUP(Table91213[[#This Row],[Date]],'DB Details'!$A:$Q,9))</f>
        <v/>
      </c>
      <c r="J296" s="52">
        <f>IF(VLOOKUP(Table91213[[#This Row],[Date]],'DB Details'!$A:$Q,10)=0,"",VLOOKUP(Table91213[[#This Row],[Date]],'DB Details'!$A:$Q,10))</f>
        <v/>
      </c>
      <c r="K296" s="52">
        <f>IF(VLOOKUP(Table91213[[#This Row],[Date]],'DB Details'!$A:$Q,11)=0,"",VLOOKUP(Table91213[[#This Row],[Date]],'DB Details'!$A:$Q,11))</f>
        <v/>
      </c>
      <c r="L296" s="50">
        <f>IF(VLOOKUP(Table91213[[#This Row],[Date]],'DB Details'!$A:$Q,12)=0,"",VLOOKUP(Table91213[[#This Row],[Date]],'DB Details'!$A:$Q,12))</f>
        <v/>
      </c>
    </row>
    <row r="297">
      <c r="A297" s="53" t="n">
        <v>44470</v>
      </c>
      <c r="B297" s="50">
        <f>IF(VLOOKUP(Table91213[[#This Row],[Date]],'DB Details'!$A:$Q,2)=0,"",VLOOKUP(Table91213[[#This Row],[Date]],'DB Details'!$A:$Q,2))</f>
        <v/>
      </c>
      <c r="C297" s="51">
        <f>IF(VLOOKUP(Table91213[[#This Row],[Date]],'DB Details'!$A:$Q,3)=0,"",VLOOKUP(Table91213[[#This Row],[Date]],'DB Details'!$A:$Q,3))</f>
        <v/>
      </c>
      <c r="D297" s="51">
        <f>IF(VLOOKUP(Table91213[[#This Row],[Date]],'DB Details'!$A:$Q,4)=0,"",VLOOKUP(Table91213[[#This Row],[Date]],'DB Details'!$A:$Q,4))</f>
        <v/>
      </c>
      <c r="E297" s="52">
        <f>IF(VLOOKUP(Table91213[[#This Row],[Date]],'DB Details'!$A:$Q,5)=0,"",VLOOKUP(Table91213[[#This Row],[Date]],'DB Details'!$A:$Q,5))</f>
        <v/>
      </c>
      <c r="F297" s="51">
        <f>IF(VLOOKUP(Table91213[[#This Row],[Date]],'DB Details'!$A:$Q,6)=0,"",VLOOKUP(Table91213[[#This Row],[Date]],'DB Details'!$A:$Q,6))</f>
        <v/>
      </c>
      <c r="G297" s="52">
        <f>IF(VLOOKUP(Table91213[[#This Row],[Date]],'DB Details'!$A:$Q,7)=0,"",VLOOKUP(Table91213[[#This Row],[Date]],'DB Details'!$A:$Q,7))</f>
        <v/>
      </c>
      <c r="H297" s="52">
        <f>IF(VLOOKUP(Table91213[[#This Row],[Date]],'DB Details'!$A:$Q,8)=0,"",VLOOKUP(Table91213[[#This Row],[Date]],'DB Details'!$A:$Q,8))</f>
        <v/>
      </c>
      <c r="I297" s="52">
        <f>IF(VLOOKUP(Table91213[[#This Row],[Date]],'DB Details'!$A:$Q,9)=0,"",VLOOKUP(Table91213[[#This Row],[Date]],'DB Details'!$A:$Q,9))</f>
        <v/>
      </c>
      <c r="J297" s="52">
        <f>IF(VLOOKUP(Table91213[[#This Row],[Date]],'DB Details'!$A:$Q,10)=0,"",VLOOKUP(Table91213[[#This Row],[Date]],'DB Details'!$A:$Q,10))</f>
        <v/>
      </c>
      <c r="K297" s="52">
        <f>IF(VLOOKUP(Table91213[[#This Row],[Date]],'DB Details'!$A:$Q,11)=0,"",VLOOKUP(Table91213[[#This Row],[Date]],'DB Details'!$A:$Q,11))</f>
        <v/>
      </c>
      <c r="L297" s="50">
        <f>IF(VLOOKUP(Table91213[[#This Row],[Date]],'DB Details'!$A:$Q,12)=0,"",VLOOKUP(Table91213[[#This Row],[Date]],'DB Details'!$A:$Q,12))</f>
        <v/>
      </c>
    </row>
    <row r="298">
      <c r="A298" s="53" t="n">
        <v>44501</v>
      </c>
      <c r="B298" s="50">
        <f>IF(VLOOKUP(Table91213[[#This Row],[Date]],'DB Details'!$A:$Q,2)=0,"",VLOOKUP(Table91213[[#This Row],[Date]],'DB Details'!$A:$Q,2))</f>
        <v/>
      </c>
      <c r="C298" s="51">
        <f>IF(VLOOKUP(Table91213[[#This Row],[Date]],'DB Details'!$A:$Q,3)=0,"",VLOOKUP(Table91213[[#This Row],[Date]],'DB Details'!$A:$Q,3))</f>
        <v/>
      </c>
      <c r="D298" s="51">
        <f>IF(VLOOKUP(Table91213[[#This Row],[Date]],'DB Details'!$A:$Q,4)=0,"",VLOOKUP(Table91213[[#This Row],[Date]],'DB Details'!$A:$Q,4))</f>
        <v/>
      </c>
      <c r="E298" s="52">
        <f>IF(VLOOKUP(Table91213[[#This Row],[Date]],'DB Details'!$A:$Q,5)=0,"",VLOOKUP(Table91213[[#This Row],[Date]],'DB Details'!$A:$Q,5))</f>
        <v/>
      </c>
      <c r="F298" s="51">
        <f>IF(VLOOKUP(Table91213[[#This Row],[Date]],'DB Details'!$A:$Q,6)=0,"",VLOOKUP(Table91213[[#This Row],[Date]],'DB Details'!$A:$Q,6))</f>
        <v/>
      </c>
      <c r="G298" s="52">
        <f>IF(VLOOKUP(Table91213[[#This Row],[Date]],'DB Details'!$A:$Q,7)=0,"",VLOOKUP(Table91213[[#This Row],[Date]],'DB Details'!$A:$Q,7))</f>
        <v/>
      </c>
      <c r="H298" s="52">
        <f>IF(VLOOKUP(Table91213[[#This Row],[Date]],'DB Details'!$A:$Q,8)=0,"",VLOOKUP(Table91213[[#This Row],[Date]],'DB Details'!$A:$Q,8))</f>
        <v/>
      </c>
      <c r="I298" s="52">
        <f>IF(VLOOKUP(Table91213[[#This Row],[Date]],'DB Details'!$A:$Q,9)=0,"",VLOOKUP(Table91213[[#This Row],[Date]],'DB Details'!$A:$Q,9))</f>
        <v/>
      </c>
      <c r="J298" s="52">
        <f>IF(VLOOKUP(Table91213[[#This Row],[Date]],'DB Details'!$A:$Q,10)=0,"",VLOOKUP(Table91213[[#This Row],[Date]],'DB Details'!$A:$Q,10))</f>
        <v/>
      </c>
      <c r="K298" s="52">
        <f>IF(VLOOKUP(Table91213[[#This Row],[Date]],'DB Details'!$A:$Q,11)=0,"",VLOOKUP(Table91213[[#This Row],[Date]],'DB Details'!$A:$Q,11))</f>
        <v/>
      </c>
      <c r="L298" s="50">
        <f>IF(VLOOKUP(Table91213[[#This Row],[Date]],'DB Details'!$A:$Q,12)=0,"",VLOOKUP(Table91213[[#This Row],[Date]],'DB Details'!$A:$Q,12))</f>
        <v/>
      </c>
    </row>
    <row r="299">
      <c r="A299" s="53" t="n">
        <v>44531</v>
      </c>
      <c r="B299" s="50">
        <f>IF(VLOOKUP(Table91213[[#This Row],[Date]],'DB Details'!$A:$Q,2)=0,"",VLOOKUP(Table91213[[#This Row],[Date]],'DB Details'!$A:$Q,2))</f>
        <v/>
      </c>
      <c r="C299" s="51">
        <f>IF(VLOOKUP(Table91213[[#This Row],[Date]],'DB Details'!$A:$Q,3)=0,"",VLOOKUP(Table91213[[#This Row],[Date]],'DB Details'!$A:$Q,3))</f>
        <v/>
      </c>
      <c r="D299" s="51">
        <f>IF(VLOOKUP(Table91213[[#This Row],[Date]],'DB Details'!$A:$Q,4)=0,"",VLOOKUP(Table91213[[#This Row],[Date]],'DB Details'!$A:$Q,4))</f>
        <v/>
      </c>
      <c r="E299" s="52">
        <f>IF(VLOOKUP(Table91213[[#This Row],[Date]],'DB Details'!$A:$Q,5)=0,"",VLOOKUP(Table91213[[#This Row],[Date]],'DB Details'!$A:$Q,5))</f>
        <v/>
      </c>
      <c r="F299" s="51">
        <f>IF(VLOOKUP(Table91213[[#This Row],[Date]],'DB Details'!$A:$Q,6)=0,"",VLOOKUP(Table91213[[#This Row],[Date]],'DB Details'!$A:$Q,6))</f>
        <v/>
      </c>
      <c r="G299" s="52">
        <f>IF(VLOOKUP(Table91213[[#This Row],[Date]],'DB Details'!$A:$Q,7)=0,"",VLOOKUP(Table91213[[#This Row],[Date]],'DB Details'!$A:$Q,7))</f>
        <v/>
      </c>
      <c r="H299" s="52">
        <f>IF(VLOOKUP(Table91213[[#This Row],[Date]],'DB Details'!$A:$Q,8)=0,"",VLOOKUP(Table91213[[#This Row],[Date]],'DB Details'!$A:$Q,8))</f>
        <v/>
      </c>
      <c r="I299" s="52">
        <f>IF(VLOOKUP(Table91213[[#This Row],[Date]],'DB Details'!$A:$Q,9)=0,"",VLOOKUP(Table91213[[#This Row],[Date]],'DB Details'!$A:$Q,9))</f>
        <v/>
      </c>
      <c r="J299" s="52">
        <f>IF(VLOOKUP(Table91213[[#This Row],[Date]],'DB Details'!$A:$Q,10)=0,"",VLOOKUP(Table91213[[#This Row],[Date]],'DB Details'!$A:$Q,10))</f>
        <v/>
      </c>
      <c r="K299" s="52">
        <f>IF(VLOOKUP(Table91213[[#This Row],[Date]],'DB Details'!$A:$Q,11)=0,"",VLOOKUP(Table91213[[#This Row],[Date]],'DB Details'!$A:$Q,11))</f>
        <v/>
      </c>
      <c r="L299" s="50">
        <f>IF(VLOOKUP(Table91213[[#This Row],[Date]],'DB Details'!$A:$Q,12)=0,"",VLOOKUP(Table91213[[#This Row],[Date]],'DB Details'!$A:$Q,12))</f>
        <v/>
      </c>
    </row>
    <row r="300">
      <c r="A300" s="53" t="n">
        <v>44562</v>
      </c>
      <c r="B300" s="50">
        <f>IF(VLOOKUP(Table91213[[#This Row],[Date]],'DB Details'!$A:$Q,2)=0,"",VLOOKUP(Table91213[[#This Row],[Date]],'DB Details'!$A:$Q,2))</f>
        <v/>
      </c>
      <c r="C300" s="51">
        <f>IF(VLOOKUP(Table91213[[#This Row],[Date]],'DB Details'!$A:$Q,3)=0,"",VLOOKUP(Table91213[[#This Row],[Date]],'DB Details'!$A:$Q,3))</f>
        <v/>
      </c>
      <c r="D300" s="51">
        <f>IF(VLOOKUP(Table91213[[#This Row],[Date]],'DB Details'!$A:$Q,4)=0,"",VLOOKUP(Table91213[[#This Row],[Date]],'DB Details'!$A:$Q,4))</f>
        <v/>
      </c>
      <c r="E300" s="52">
        <f>IF(VLOOKUP(Table91213[[#This Row],[Date]],'DB Details'!$A:$Q,5)=0,"",VLOOKUP(Table91213[[#This Row],[Date]],'DB Details'!$A:$Q,5))</f>
        <v/>
      </c>
      <c r="F300" s="51">
        <f>IF(VLOOKUP(Table91213[[#This Row],[Date]],'DB Details'!$A:$Q,6)=0,"",VLOOKUP(Table91213[[#This Row],[Date]],'DB Details'!$A:$Q,6))</f>
        <v/>
      </c>
      <c r="G300" s="52">
        <f>IF(VLOOKUP(Table91213[[#This Row],[Date]],'DB Details'!$A:$Q,7)=0,"",VLOOKUP(Table91213[[#This Row],[Date]],'DB Details'!$A:$Q,7))</f>
        <v/>
      </c>
      <c r="H300" s="52">
        <f>IF(VLOOKUP(Table91213[[#This Row],[Date]],'DB Details'!$A:$Q,8)=0,"",VLOOKUP(Table91213[[#This Row],[Date]],'DB Details'!$A:$Q,8))</f>
        <v/>
      </c>
      <c r="I300" s="52">
        <f>IF(VLOOKUP(Table91213[[#This Row],[Date]],'DB Details'!$A:$Q,9)=0,"",VLOOKUP(Table91213[[#This Row],[Date]],'DB Details'!$A:$Q,9))</f>
        <v/>
      </c>
      <c r="J300" s="52">
        <f>IF(VLOOKUP(Table91213[[#This Row],[Date]],'DB Details'!$A:$Q,10)=0,"",VLOOKUP(Table91213[[#This Row],[Date]],'DB Details'!$A:$Q,10))</f>
        <v/>
      </c>
      <c r="K300" s="52">
        <f>IF(VLOOKUP(Table91213[[#This Row],[Date]],'DB Details'!$A:$Q,11)=0,"",VLOOKUP(Table91213[[#This Row],[Date]],'DB Details'!$A:$Q,11))</f>
        <v/>
      </c>
      <c r="L300" s="50">
        <f>IF(VLOOKUP(Table91213[[#This Row],[Date]],'DB Details'!$A:$Q,12)=0,"",VLOOKUP(Table91213[[#This Row],[Date]],'DB Details'!$A:$Q,12))</f>
        <v/>
      </c>
    </row>
    <row r="301">
      <c r="A301" s="53" t="n">
        <v>44593</v>
      </c>
      <c r="B301" s="50">
        <f>IF(VLOOKUP(Table91213[[#This Row],[Date]],'DB Details'!$A:$Q,2)=0,"",VLOOKUP(Table91213[[#This Row],[Date]],'DB Details'!$A:$Q,2))</f>
        <v/>
      </c>
      <c r="C301" s="51">
        <f>IF(VLOOKUP(Table91213[[#This Row],[Date]],'DB Details'!$A:$Q,3)=0,"",VLOOKUP(Table91213[[#This Row],[Date]],'DB Details'!$A:$Q,3))</f>
        <v/>
      </c>
      <c r="D301" s="51">
        <f>IF(VLOOKUP(Table91213[[#This Row],[Date]],'DB Details'!$A:$Q,4)=0,"",VLOOKUP(Table91213[[#This Row],[Date]],'DB Details'!$A:$Q,4))</f>
        <v/>
      </c>
      <c r="E301" s="52">
        <f>IF(VLOOKUP(Table91213[[#This Row],[Date]],'DB Details'!$A:$Q,5)=0,"",VLOOKUP(Table91213[[#This Row],[Date]],'DB Details'!$A:$Q,5))</f>
        <v/>
      </c>
      <c r="F301" s="51">
        <f>IF(VLOOKUP(Table91213[[#This Row],[Date]],'DB Details'!$A:$Q,6)=0,"",VLOOKUP(Table91213[[#This Row],[Date]],'DB Details'!$A:$Q,6))</f>
        <v/>
      </c>
      <c r="G301" s="52">
        <f>IF(VLOOKUP(Table91213[[#This Row],[Date]],'DB Details'!$A:$Q,7)=0,"",VLOOKUP(Table91213[[#This Row],[Date]],'DB Details'!$A:$Q,7))</f>
        <v/>
      </c>
      <c r="H301" s="52">
        <f>IF(VLOOKUP(Table91213[[#This Row],[Date]],'DB Details'!$A:$Q,8)=0,"",VLOOKUP(Table91213[[#This Row],[Date]],'DB Details'!$A:$Q,8))</f>
        <v/>
      </c>
      <c r="I301" s="52">
        <f>IF(VLOOKUP(Table91213[[#This Row],[Date]],'DB Details'!$A:$Q,9)=0,"",VLOOKUP(Table91213[[#This Row],[Date]],'DB Details'!$A:$Q,9))</f>
        <v/>
      </c>
      <c r="J301" s="52">
        <f>IF(VLOOKUP(Table91213[[#This Row],[Date]],'DB Details'!$A:$Q,10)=0,"",VLOOKUP(Table91213[[#This Row],[Date]],'DB Details'!$A:$Q,10))</f>
        <v/>
      </c>
      <c r="K301" s="52">
        <f>IF(VLOOKUP(Table91213[[#This Row],[Date]],'DB Details'!$A:$Q,11)=0,"",VLOOKUP(Table91213[[#This Row],[Date]],'DB Details'!$A:$Q,11))</f>
        <v/>
      </c>
      <c r="L301" s="50">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topLeftCell="A7" zoomScale="150" zoomScaleNormal="150" workbookViewId="0">
      <selection activeCell="U77" sqref="U77"/>
    </sheetView>
  </sheetViews>
  <sheetFormatPr baseColWidth="10" defaultColWidth="9.1640625" defaultRowHeight="15"/>
  <cols>
    <col width="9.1640625" customWidth="1" style="76" min="1" max="14"/>
    <col width="9.1640625" customWidth="1" style="76" min="15"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301"/>
  <sheetViews>
    <sheetView zoomScale="170" zoomScaleNormal="170" workbookViewId="0">
      <pane ySplit="5" topLeftCell="A286" activePane="bottomLeft" state="frozen"/>
      <selection activeCell="F274" sqref="F274"/>
      <selection pane="bottomLeft" activeCell="F302" sqref="F302"/>
    </sheetView>
  </sheetViews>
  <sheetFormatPr baseColWidth="10" defaultColWidth="9.1640625" defaultRowHeight="15"/>
  <cols>
    <col width="12.33203125" customWidth="1" style="76" min="1" max="1"/>
    <col width="14.6640625" customWidth="1" style="76" min="2" max="5"/>
    <col width="9.1640625" customWidth="1" style="76" min="6" max="19"/>
    <col width="9.1640625" customWidth="1" style="76" min="20" max="16384"/>
  </cols>
  <sheetData>
    <row r="1">
      <c r="A1" s="28" t="inlineStr">
        <is>
          <t>ISM Services vs GDP</t>
        </is>
      </c>
    </row>
    <row r="2" ht="3.75" customHeight="1" s="65"/>
    <row r="3" ht="3.75" customHeight="1" s="65"/>
    <row r="4" ht="16" customHeight="1" s="65" thickBot="1"/>
    <row r="5" ht="25" customHeight="1" s="65" thickBot="1">
      <c r="A5" s="55" t="inlineStr">
        <is>
          <t>Date</t>
        </is>
      </c>
      <c r="B5" s="56" t="inlineStr">
        <is>
          <t>ISM Services</t>
        </is>
      </c>
      <c r="C5" s="57" t="inlineStr">
        <is>
          <t>GDP growth yoy %</t>
        </is>
      </c>
      <c r="D5" s="58" t="inlineStr">
        <is>
          <t>GDP growth qoq %</t>
        </is>
      </c>
      <c r="E5" s="59" t="inlineStr">
        <is>
          <t>GDP growth q/q % (annualised)</t>
        </is>
      </c>
    </row>
    <row r="6">
      <c r="A6" s="60" t="n">
        <v>35612</v>
      </c>
      <c r="B6" s="50">
        <f>IF(VLOOKUP(Table311[[#This Row],[Date]],'DB Details'!$A:$Q,12)=0,"",VLOOKUP(Table311[[#This Row],[Date]],'DB Details'!$A:$Q,12))</f>
        <v/>
      </c>
      <c r="C6" s="61">
        <f>IF(VLOOKUP(Table311[[#This Row],[Date]],'DB Details'!$A:$Q,16)=0,"",VLOOKUP(Table311[[#This Row],[Date]],'DB Details'!$A:$Q,16))</f>
        <v/>
      </c>
      <c r="D6" s="61">
        <f>IF(VLOOKUP(Table311[[#This Row],[Date]],'DB Details'!$A:$Q,15)=0,"",VLOOKUP(Table311[[#This Row],[Date]],'DB Details'!$A:$Q,15))</f>
        <v/>
      </c>
      <c r="E6" s="61">
        <f>IF(VLOOKUP(Table311[[#This Row],[Date]],'DB Details'!$A:$Q,17)=0,"",VLOOKUP(Table311[[#This Row],[Date]],'DB Details'!$A:$Q,17))</f>
        <v/>
      </c>
    </row>
    <row r="7">
      <c r="A7" s="60" t="n">
        <v>35643</v>
      </c>
      <c r="B7" s="50">
        <f>IF(VLOOKUP(Table311[[#This Row],[Date]],'DB Details'!$A:$Q,12)=0,"",VLOOKUP(Table311[[#This Row],[Date]],'DB Details'!$A:$Q,12))</f>
        <v/>
      </c>
      <c r="C7" s="61">
        <f>IF(VLOOKUP(Table311[[#This Row],[Date]],'DB Details'!$A:$Q,16)=0,"",VLOOKUP(Table311[[#This Row],[Date]],'DB Details'!$A:$Q,16))</f>
        <v/>
      </c>
      <c r="D7" s="61">
        <f>IF(VLOOKUP(Table311[[#This Row],[Date]],'DB Details'!$A:$Q,15)=0,"",VLOOKUP(Table311[[#This Row],[Date]],'DB Details'!$A:$Q,15))</f>
        <v/>
      </c>
      <c r="E7" s="61">
        <f>IF(VLOOKUP(Table311[[#This Row],[Date]],'DB Details'!$A:$Q,17)=0,"",VLOOKUP(Table311[[#This Row],[Date]],'DB Details'!$A:$Q,17))</f>
        <v/>
      </c>
    </row>
    <row r="8">
      <c r="A8" s="60" t="n">
        <v>35674</v>
      </c>
      <c r="B8" s="50">
        <f>IF(VLOOKUP(Table311[[#This Row],[Date]],'DB Details'!$A:$Q,12)=0,"",VLOOKUP(Table311[[#This Row],[Date]],'DB Details'!$A:$Q,12))</f>
        <v/>
      </c>
      <c r="C8" s="61">
        <f>IF(VLOOKUP(Table311[[#This Row],[Date]],'DB Details'!$A:$Q,16)=0,"",VLOOKUP(Table311[[#This Row],[Date]],'DB Details'!$A:$Q,16))</f>
        <v/>
      </c>
      <c r="D8" s="61">
        <f>IF(VLOOKUP(Table311[[#This Row],[Date]],'DB Details'!$A:$Q,15)=0,"",VLOOKUP(Table311[[#This Row],[Date]],'DB Details'!$A:$Q,15))</f>
        <v/>
      </c>
      <c r="E8" s="61">
        <f>IF(VLOOKUP(Table311[[#This Row],[Date]],'DB Details'!$A:$Q,17)=0,"",VLOOKUP(Table311[[#This Row],[Date]],'DB Details'!$A:$Q,17))</f>
        <v/>
      </c>
    </row>
    <row r="9">
      <c r="A9" s="60" t="n">
        <v>35704</v>
      </c>
      <c r="B9" s="50">
        <f>IF(VLOOKUP(Table311[[#This Row],[Date]],'DB Details'!$A:$Q,12)=0,"",VLOOKUP(Table311[[#This Row],[Date]],'DB Details'!$A:$Q,12))</f>
        <v/>
      </c>
      <c r="C9" s="61">
        <f>IF(VLOOKUP(Table311[[#This Row],[Date]],'DB Details'!$A:$Q,16)=0,"",VLOOKUP(Table311[[#This Row],[Date]],'DB Details'!$A:$Q,16))</f>
        <v/>
      </c>
      <c r="D9" s="61">
        <f>IF(VLOOKUP(Table311[[#This Row],[Date]],'DB Details'!$A:$Q,15)=0,"",VLOOKUP(Table311[[#This Row],[Date]],'DB Details'!$A:$Q,15))</f>
        <v/>
      </c>
      <c r="E9" s="61">
        <f>IF(VLOOKUP(Table311[[#This Row],[Date]],'DB Details'!$A:$Q,17)=0,"",VLOOKUP(Table311[[#This Row],[Date]],'DB Details'!$A:$Q,17))</f>
        <v/>
      </c>
    </row>
    <row r="10">
      <c r="A10" s="60" t="n">
        <v>35735</v>
      </c>
      <c r="B10" s="50">
        <f>IF(VLOOKUP(Table311[[#This Row],[Date]],'DB Details'!$A:$Q,12)=0,"",VLOOKUP(Table311[[#This Row],[Date]],'DB Details'!$A:$Q,12))</f>
        <v/>
      </c>
      <c r="C10" s="61">
        <f>IF(VLOOKUP(Table311[[#This Row],[Date]],'DB Details'!$A:$Q,16)=0,"",VLOOKUP(Table311[[#This Row],[Date]],'DB Details'!$A:$Q,16))</f>
        <v/>
      </c>
      <c r="D10" s="61">
        <f>IF(VLOOKUP(Table311[[#This Row],[Date]],'DB Details'!$A:$Q,15)=0,"",VLOOKUP(Table311[[#This Row],[Date]],'DB Details'!$A:$Q,15))</f>
        <v/>
      </c>
      <c r="E10" s="61">
        <f>IF(VLOOKUP(Table311[[#This Row],[Date]],'DB Details'!$A:$Q,17)=0,"",VLOOKUP(Table311[[#This Row],[Date]],'DB Details'!$A:$Q,17))</f>
        <v/>
      </c>
    </row>
    <row r="11">
      <c r="A11" s="60" t="n">
        <v>35765</v>
      </c>
      <c r="B11" s="50">
        <f>IF(VLOOKUP(Table311[[#This Row],[Date]],'DB Details'!$A:$Q,12)=0,"",VLOOKUP(Table311[[#This Row],[Date]],'DB Details'!$A:$Q,12))</f>
        <v/>
      </c>
      <c r="C11" s="61">
        <f>IF(VLOOKUP(Table311[[#This Row],[Date]],'DB Details'!$A:$Q,16)=0,"",VLOOKUP(Table311[[#This Row],[Date]],'DB Details'!$A:$Q,16))</f>
        <v/>
      </c>
      <c r="D11" s="61">
        <f>IF(VLOOKUP(Table311[[#This Row],[Date]],'DB Details'!$A:$Q,15)=0,"",VLOOKUP(Table311[[#This Row],[Date]],'DB Details'!$A:$Q,15))</f>
        <v/>
      </c>
      <c r="E11" s="61">
        <f>IF(VLOOKUP(Table311[[#This Row],[Date]],'DB Details'!$A:$Q,17)=0,"",VLOOKUP(Table311[[#This Row],[Date]],'DB Details'!$A:$Q,17))</f>
        <v/>
      </c>
    </row>
    <row r="12">
      <c r="A12" s="60" t="n">
        <v>35796</v>
      </c>
      <c r="B12" s="50">
        <f>IF(VLOOKUP(Table311[[#This Row],[Date]],'DB Details'!$A:$Q,12)=0,"",VLOOKUP(Table311[[#This Row],[Date]],'DB Details'!$A:$Q,12))</f>
        <v/>
      </c>
      <c r="C12" s="61">
        <f>IF(VLOOKUP(Table311[[#This Row],[Date]],'DB Details'!$A:$Q,16)=0,"",VLOOKUP(Table311[[#This Row],[Date]],'DB Details'!$A:$Q,16))</f>
        <v/>
      </c>
      <c r="D12" s="61">
        <f>IF(VLOOKUP(Table311[[#This Row],[Date]],'DB Details'!$A:$Q,15)=0,"",VLOOKUP(Table311[[#This Row],[Date]],'DB Details'!$A:$Q,15))</f>
        <v/>
      </c>
      <c r="E12" s="61">
        <f>IF(VLOOKUP(Table311[[#This Row],[Date]],'DB Details'!$A:$Q,17)=0,"",VLOOKUP(Table311[[#This Row],[Date]],'DB Details'!$A:$Q,17))</f>
        <v/>
      </c>
    </row>
    <row r="13">
      <c r="A13" s="60" t="n">
        <v>35827</v>
      </c>
      <c r="B13" s="50">
        <f>IF(VLOOKUP(Table311[[#This Row],[Date]],'DB Details'!$A:$Q,12)=0,"",VLOOKUP(Table311[[#This Row],[Date]],'DB Details'!$A:$Q,12))</f>
        <v/>
      </c>
      <c r="C13" s="61">
        <f>IF(VLOOKUP(Table311[[#This Row],[Date]],'DB Details'!$A:$Q,16)=0,"",VLOOKUP(Table311[[#This Row],[Date]],'DB Details'!$A:$Q,16))</f>
        <v/>
      </c>
      <c r="D13" s="61">
        <f>IF(VLOOKUP(Table311[[#This Row],[Date]],'DB Details'!$A:$Q,15)=0,"",VLOOKUP(Table311[[#This Row],[Date]],'DB Details'!$A:$Q,15))</f>
        <v/>
      </c>
      <c r="E13" s="61">
        <f>IF(VLOOKUP(Table311[[#This Row],[Date]],'DB Details'!$A:$Q,17)=0,"",VLOOKUP(Table311[[#This Row],[Date]],'DB Details'!$A:$Q,17))</f>
        <v/>
      </c>
    </row>
    <row r="14">
      <c r="A14" s="60" t="n">
        <v>35855</v>
      </c>
      <c r="B14" s="50">
        <f>IF(VLOOKUP(Table311[[#This Row],[Date]],'DB Details'!$A:$Q,12)=0,"",VLOOKUP(Table311[[#This Row],[Date]],'DB Details'!$A:$Q,12))</f>
        <v/>
      </c>
      <c r="C14" s="61">
        <f>IF(VLOOKUP(Table311[[#This Row],[Date]],'DB Details'!$A:$Q,16)=0,"",VLOOKUP(Table311[[#This Row],[Date]],'DB Details'!$A:$Q,16))</f>
        <v/>
      </c>
      <c r="D14" s="61">
        <f>IF(VLOOKUP(Table311[[#This Row],[Date]],'DB Details'!$A:$Q,15)=0,"",VLOOKUP(Table311[[#This Row],[Date]],'DB Details'!$A:$Q,15))</f>
        <v/>
      </c>
      <c r="E14" s="61">
        <f>IF(VLOOKUP(Table311[[#This Row],[Date]],'DB Details'!$A:$Q,17)=0,"",VLOOKUP(Table311[[#This Row],[Date]],'DB Details'!$A:$Q,17))</f>
        <v/>
      </c>
    </row>
    <row r="15">
      <c r="A15" s="60" t="n">
        <v>35886</v>
      </c>
      <c r="B15" s="50">
        <f>IF(VLOOKUP(Table311[[#This Row],[Date]],'DB Details'!$A:$Q,12)=0,"",VLOOKUP(Table311[[#This Row],[Date]],'DB Details'!$A:$Q,12))</f>
        <v/>
      </c>
      <c r="C15" s="61">
        <f>IF(VLOOKUP(Table311[[#This Row],[Date]],'DB Details'!$A:$Q,16)=0,"",VLOOKUP(Table311[[#This Row],[Date]],'DB Details'!$A:$Q,16))</f>
        <v/>
      </c>
      <c r="D15" s="61">
        <f>IF(VLOOKUP(Table311[[#This Row],[Date]],'DB Details'!$A:$Q,15)=0,"",VLOOKUP(Table311[[#This Row],[Date]],'DB Details'!$A:$Q,15))</f>
        <v/>
      </c>
      <c r="E15" s="61">
        <f>IF(VLOOKUP(Table311[[#This Row],[Date]],'DB Details'!$A:$Q,17)=0,"",VLOOKUP(Table311[[#This Row],[Date]],'DB Details'!$A:$Q,17))</f>
        <v/>
      </c>
    </row>
    <row r="16">
      <c r="A16" s="60" t="n">
        <v>35916</v>
      </c>
      <c r="B16" s="50">
        <f>IF(VLOOKUP(Table311[[#This Row],[Date]],'DB Details'!$A:$Q,12)=0,"",VLOOKUP(Table311[[#This Row],[Date]],'DB Details'!$A:$Q,12))</f>
        <v/>
      </c>
      <c r="C16" s="61">
        <f>IF(VLOOKUP(Table311[[#This Row],[Date]],'DB Details'!$A:$Q,16)=0,"",VLOOKUP(Table311[[#This Row],[Date]],'DB Details'!$A:$Q,16))</f>
        <v/>
      </c>
      <c r="D16" s="61">
        <f>IF(VLOOKUP(Table311[[#This Row],[Date]],'DB Details'!$A:$Q,15)=0,"",VLOOKUP(Table311[[#This Row],[Date]],'DB Details'!$A:$Q,15))</f>
        <v/>
      </c>
      <c r="E16" s="61">
        <f>IF(VLOOKUP(Table311[[#This Row],[Date]],'DB Details'!$A:$Q,17)=0,"",VLOOKUP(Table311[[#This Row],[Date]],'DB Details'!$A:$Q,17))</f>
        <v/>
      </c>
    </row>
    <row r="17">
      <c r="A17" s="60" t="n">
        <v>35947</v>
      </c>
      <c r="B17" s="50">
        <f>IF(VLOOKUP(Table311[[#This Row],[Date]],'DB Details'!$A:$Q,12)=0,"",VLOOKUP(Table311[[#This Row],[Date]],'DB Details'!$A:$Q,12))</f>
        <v/>
      </c>
      <c r="C17" s="61">
        <f>IF(VLOOKUP(Table311[[#This Row],[Date]],'DB Details'!$A:$Q,16)=0,"",VLOOKUP(Table311[[#This Row],[Date]],'DB Details'!$A:$Q,16))</f>
        <v/>
      </c>
      <c r="D17" s="61">
        <f>IF(VLOOKUP(Table311[[#This Row],[Date]],'DB Details'!$A:$Q,15)=0,"",VLOOKUP(Table311[[#This Row],[Date]],'DB Details'!$A:$Q,15))</f>
        <v/>
      </c>
      <c r="E17" s="61">
        <f>IF(VLOOKUP(Table311[[#This Row],[Date]],'DB Details'!$A:$Q,17)=0,"",VLOOKUP(Table311[[#This Row],[Date]],'DB Details'!$A:$Q,17))</f>
        <v/>
      </c>
    </row>
    <row r="18">
      <c r="A18" s="60" t="n">
        <v>35977</v>
      </c>
      <c r="B18" s="50">
        <f>IF(VLOOKUP(Table311[[#This Row],[Date]],'DB Details'!$A:$Q,12)=0,"",VLOOKUP(Table311[[#This Row],[Date]],'DB Details'!$A:$Q,12))</f>
        <v/>
      </c>
      <c r="C18" s="61">
        <f>IF(VLOOKUP(Table311[[#This Row],[Date]],'DB Details'!$A:$Q,16)=0,"",VLOOKUP(Table311[[#This Row],[Date]],'DB Details'!$A:$Q,16))</f>
        <v/>
      </c>
      <c r="D18" s="61">
        <f>IF(VLOOKUP(Table311[[#This Row],[Date]],'DB Details'!$A:$Q,15)=0,"",VLOOKUP(Table311[[#This Row],[Date]],'DB Details'!$A:$Q,15))</f>
        <v/>
      </c>
      <c r="E18" s="61">
        <f>IF(VLOOKUP(Table311[[#This Row],[Date]],'DB Details'!$A:$Q,17)=0,"",VLOOKUP(Table311[[#This Row],[Date]],'DB Details'!$A:$Q,17))</f>
        <v/>
      </c>
    </row>
    <row r="19">
      <c r="A19" s="60" t="n">
        <v>36008</v>
      </c>
      <c r="B19" s="50">
        <f>IF(VLOOKUP(Table311[[#This Row],[Date]],'DB Details'!$A:$Q,12)=0,"",VLOOKUP(Table311[[#This Row],[Date]],'DB Details'!$A:$Q,12))</f>
        <v/>
      </c>
      <c r="C19" s="61">
        <f>IF(VLOOKUP(Table311[[#This Row],[Date]],'DB Details'!$A:$Q,16)=0,"",VLOOKUP(Table311[[#This Row],[Date]],'DB Details'!$A:$Q,16))</f>
        <v/>
      </c>
      <c r="D19" s="61">
        <f>IF(VLOOKUP(Table311[[#This Row],[Date]],'DB Details'!$A:$Q,15)=0,"",VLOOKUP(Table311[[#This Row],[Date]],'DB Details'!$A:$Q,15))</f>
        <v/>
      </c>
      <c r="E19" s="61">
        <f>IF(VLOOKUP(Table311[[#This Row],[Date]],'DB Details'!$A:$Q,17)=0,"",VLOOKUP(Table311[[#This Row],[Date]],'DB Details'!$A:$Q,17))</f>
        <v/>
      </c>
    </row>
    <row r="20">
      <c r="A20" s="60" t="n">
        <v>36039</v>
      </c>
      <c r="B20" s="50">
        <f>IF(VLOOKUP(Table311[[#This Row],[Date]],'DB Details'!$A:$Q,12)=0,"",VLOOKUP(Table311[[#This Row],[Date]],'DB Details'!$A:$Q,12))</f>
        <v/>
      </c>
      <c r="C20" s="61">
        <f>IF(VLOOKUP(Table311[[#This Row],[Date]],'DB Details'!$A:$Q,16)=0,"",VLOOKUP(Table311[[#This Row],[Date]],'DB Details'!$A:$Q,16))</f>
        <v/>
      </c>
      <c r="D20" s="61">
        <f>IF(VLOOKUP(Table311[[#This Row],[Date]],'DB Details'!$A:$Q,15)=0,"",VLOOKUP(Table311[[#This Row],[Date]],'DB Details'!$A:$Q,15))</f>
        <v/>
      </c>
      <c r="E20" s="61">
        <f>IF(VLOOKUP(Table311[[#This Row],[Date]],'DB Details'!$A:$Q,17)=0,"",VLOOKUP(Table311[[#This Row],[Date]],'DB Details'!$A:$Q,17))</f>
        <v/>
      </c>
    </row>
    <row r="21">
      <c r="A21" s="60" t="n">
        <v>36069</v>
      </c>
      <c r="B21" s="50">
        <f>IF(VLOOKUP(Table311[[#This Row],[Date]],'DB Details'!$A:$Q,12)=0,"",VLOOKUP(Table311[[#This Row],[Date]],'DB Details'!$A:$Q,12))</f>
        <v/>
      </c>
      <c r="C21" s="61">
        <f>IF(VLOOKUP(Table311[[#This Row],[Date]],'DB Details'!$A:$Q,16)=0,"",VLOOKUP(Table311[[#This Row],[Date]],'DB Details'!$A:$Q,16))</f>
        <v/>
      </c>
      <c r="D21" s="61">
        <f>IF(VLOOKUP(Table311[[#This Row],[Date]],'DB Details'!$A:$Q,15)=0,"",VLOOKUP(Table311[[#This Row],[Date]],'DB Details'!$A:$Q,15))</f>
        <v/>
      </c>
      <c r="E21" s="61">
        <f>IF(VLOOKUP(Table311[[#This Row],[Date]],'DB Details'!$A:$Q,17)=0,"",VLOOKUP(Table311[[#This Row],[Date]],'DB Details'!$A:$Q,17))</f>
        <v/>
      </c>
    </row>
    <row r="22">
      <c r="A22" s="60" t="n">
        <v>36100</v>
      </c>
      <c r="B22" s="50">
        <f>IF(VLOOKUP(Table311[[#This Row],[Date]],'DB Details'!$A:$Q,12)=0,"",VLOOKUP(Table311[[#This Row],[Date]],'DB Details'!$A:$Q,12))</f>
        <v/>
      </c>
      <c r="C22" s="61">
        <f>IF(VLOOKUP(Table311[[#This Row],[Date]],'DB Details'!$A:$Q,16)=0,"",VLOOKUP(Table311[[#This Row],[Date]],'DB Details'!$A:$Q,16))</f>
        <v/>
      </c>
      <c r="D22" s="61">
        <f>IF(VLOOKUP(Table311[[#This Row],[Date]],'DB Details'!$A:$Q,15)=0,"",VLOOKUP(Table311[[#This Row],[Date]],'DB Details'!$A:$Q,15))</f>
        <v/>
      </c>
      <c r="E22" s="61">
        <f>IF(VLOOKUP(Table311[[#This Row],[Date]],'DB Details'!$A:$Q,17)=0,"",VLOOKUP(Table311[[#This Row],[Date]],'DB Details'!$A:$Q,17))</f>
        <v/>
      </c>
    </row>
    <row r="23">
      <c r="A23" s="60" t="n">
        <v>36130</v>
      </c>
      <c r="B23" s="50">
        <f>IF(VLOOKUP(Table311[[#This Row],[Date]],'DB Details'!$A:$Q,12)=0,"",VLOOKUP(Table311[[#This Row],[Date]],'DB Details'!$A:$Q,12))</f>
        <v/>
      </c>
      <c r="C23" s="61">
        <f>IF(VLOOKUP(Table311[[#This Row],[Date]],'DB Details'!$A:$Q,16)=0,"",VLOOKUP(Table311[[#This Row],[Date]],'DB Details'!$A:$Q,16))</f>
        <v/>
      </c>
      <c r="D23" s="61">
        <f>IF(VLOOKUP(Table311[[#This Row],[Date]],'DB Details'!$A:$Q,15)=0,"",VLOOKUP(Table311[[#This Row],[Date]],'DB Details'!$A:$Q,15))</f>
        <v/>
      </c>
      <c r="E23" s="61">
        <f>IF(VLOOKUP(Table311[[#This Row],[Date]],'DB Details'!$A:$Q,17)=0,"",VLOOKUP(Table311[[#This Row],[Date]],'DB Details'!$A:$Q,17))</f>
        <v/>
      </c>
    </row>
    <row r="24">
      <c r="A24" s="60" t="n">
        <v>36161</v>
      </c>
      <c r="B24" s="50">
        <f>IF(VLOOKUP(Table311[[#This Row],[Date]],'DB Details'!$A:$Q,12)=0,"",VLOOKUP(Table311[[#This Row],[Date]],'DB Details'!$A:$Q,12))</f>
        <v/>
      </c>
      <c r="C24" s="61">
        <f>IF(VLOOKUP(Table311[[#This Row],[Date]],'DB Details'!$A:$Q,16)=0,"",VLOOKUP(Table311[[#This Row],[Date]],'DB Details'!$A:$Q,16))</f>
        <v/>
      </c>
      <c r="D24" s="61">
        <f>IF(VLOOKUP(Table311[[#This Row],[Date]],'DB Details'!$A:$Q,15)=0,"",VLOOKUP(Table311[[#This Row],[Date]],'DB Details'!$A:$Q,15))</f>
        <v/>
      </c>
      <c r="E24" s="61">
        <f>IF(VLOOKUP(Table311[[#This Row],[Date]],'DB Details'!$A:$Q,17)=0,"",VLOOKUP(Table311[[#This Row],[Date]],'DB Details'!$A:$Q,17))</f>
        <v/>
      </c>
    </row>
    <row r="25">
      <c r="A25" s="60" t="n">
        <v>36192</v>
      </c>
      <c r="B25" s="50">
        <f>IF(VLOOKUP(Table311[[#This Row],[Date]],'DB Details'!$A:$Q,12)=0,"",VLOOKUP(Table311[[#This Row],[Date]],'DB Details'!$A:$Q,12))</f>
        <v/>
      </c>
      <c r="C25" s="61">
        <f>IF(VLOOKUP(Table311[[#This Row],[Date]],'DB Details'!$A:$Q,16)=0,"",VLOOKUP(Table311[[#This Row],[Date]],'DB Details'!$A:$Q,16))</f>
        <v/>
      </c>
      <c r="D25" s="61">
        <f>IF(VLOOKUP(Table311[[#This Row],[Date]],'DB Details'!$A:$Q,15)=0,"",VLOOKUP(Table311[[#This Row],[Date]],'DB Details'!$A:$Q,15))</f>
        <v/>
      </c>
      <c r="E25" s="61">
        <f>IF(VLOOKUP(Table311[[#This Row],[Date]],'DB Details'!$A:$Q,17)=0,"",VLOOKUP(Table311[[#This Row],[Date]],'DB Details'!$A:$Q,17))</f>
        <v/>
      </c>
    </row>
    <row r="26">
      <c r="A26" s="60" t="n">
        <v>36220</v>
      </c>
      <c r="B26" s="50">
        <f>IF(VLOOKUP(Table311[[#This Row],[Date]],'DB Details'!$A:$Q,12)=0,"",VLOOKUP(Table311[[#This Row],[Date]],'DB Details'!$A:$Q,12))</f>
        <v/>
      </c>
      <c r="C26" s="61">
        <f>IF(VLOOKUP(Table311[[#This Row],[Date]],'DB Details'!$A:$Q,16)=0,"",VLOOKUP(Table311[[#This Row],[Date]],'DB Details'!$A:$Q,16))</f>
        <v/>
      </c>
      <c r="D26" s="61">
        <f>IF(VLOOKUP(Table311[[#This Row],[Date]],'DB Details'!$A:$Q,15)=0,"",VLOOKUP(Table311[[#This Row],[Date]],'DB Details'!$A:$Q,15))</f>
        <v/>
      </c>
      <c r="E26" s="61">
        <f>IF(VLOOKUP(Table311[[#This Row],[Date]],'DB Details'!$A:$Q,17)=0,"",VLOOKUP(Table311[[#This Row],[Date]],'DB Details'!$A:$Q,17))</f>
        <v/>
      </c>
    </row>
    <row r="27">
      <c r="A27" s="60" t="n">
        <v>36251</v>
      </c>
      <c r="B27" s="50">
        <f>IF(VLOOKUP(Table311[[#This Row],[Date]],'DB Details'!$A:$Q,12)=0,"",VLOOKUP(Table311[[#This Row],[Date]],'DB Details'!$A:$Q,12))</f>
        <v/>
      </c>
      <c r="C27" s="61">
        <f>IF(VLOOKUP(Table311[[#This Row],[Date]],'DB Details'!$A:$Q,16)=0,"",VLOOKUP(Table311[[#This Row],[Date]],'DB Details'!$A:$Q,16))</f>
        <v/>
      </c>
      <c r="D27" s="61">
        <f>IF(VLOOKUP(Table311[[#This Row],[Date]],'DB Details'!$A:$Q,15)=0,"",VLOOKUP(Table311[[#This Row],[Date]],'DB Details'!$A:$Q,15))</f>
        <v/>
      </c>
      <c r="E27" s="61">
        <f>IF(VLOOKUP(Table311[[#This Row],[Date]],'DB Details'!$A:$Q,17)=0,"",VLOOKUP(Table311[[#This Row],[Date]],'DB Details'!$A:$Q,17))</f>
        <v/>
      </c>
    </row>
    <row r="28">
      <c r="A28" s="60" t="n">
        <v>36281</v>
      </c>
      <c r="B28" s="50">
        <f>IF(VLOOKUP(Table311[[#This Row],[Date]],'DB Details'!$A:$Q,12)=0,"",VLOOKUP(Table311[[#This Row],[Date]],'DB Details'!$A:$Q,12))</f>
        <v/>
      </c>
      <c r="C28" s="61">
        <f>IF(VLOOKUP(Table311[[#This Row],[Date]],'DB Details'!$A:$Q,16)=0,"",VLOOKUP(Table311[[#This Row],[Date]],'DB Details'!$A:$Q,16))</f>
        <v/>
      </c>
      <c r="D28" s="61">
        <f>IF(VLOOKUP(Table311[[#This Row],[Date]],'DB Details'!$A:$Q,15)=0,"",VLOOKUP(Table311[[#This Row],[Date]],'DB Details'!$A:$Q,15))</f>
        <v/>
      </c>
      <c r="E28" s="61">
        <f>IF(VLOOKUP(Table311[[#This Row],[Date]],'DB Details'!$A:$Q,17)=0,"",VLOOKUP(Table311[[#This Row],[Date]],'DB Details'!$A:$Q,17))</f>
        <v/>
      </c>
    </row>
    <row r="29">
      <c r="A29" s="60" t="n">
        <v>36312</v>
      </c>
      <c r="B29" s="50">
        <f>IF(VLOOKUP(Table311[[#This Row],[Date]],'DB Details'!$A:$Q,12)=0,"",VLOOKUP(Table311[[#This Row],[Date]],'DB Details'!$A:$Q,12))</f>
        <v/>
      </c>
      <c r="C29" s="61">
        <f>IF(VLOOKUP(Table311[[#This Row],[Date]],'DB Details'!$A:$Q,16)=0,"",VLOOKUP(Table311[[#This Row],[Date]],'DB Details'!$A:$Q,16))</f>
        <v/>
      </c>
      <c r="D29" s="61">
        <f>IF(VLOOKUP(Table311[[#This Row],[Date]],'DB Details'!$A:$Q,15)=0,"",VLOOKUP(Table311[[#This Row],[Date]],'DB Details'!$A:$Q,15))</f>
        <v/>
      </c>
      <c r="E29" s="61">
        <f>IF(VLOOKUP(Table311[[#This Row],[Date]],'DB Details'!$A:$Q,17)=0,"",VLOOKUP(Table311[[#This Row],[Date]],'DB Details'!$A:$Q,17))</f>
        <v/>
      </c>
    </row>
    <row r="30">
      <c r="A30" s="60" t="n">
        <v>36342</v>
      </c>
      <c r="B30" s="50">
        <f>IF(VLOOKUP(Table311[[#This Row],[Date]],'DB Details'!$A:$Q,12)=0,"",VLOOKUP(Table311[[#This Row],[Date]],'DB Details'!$A:$Q,12))</f>
        <v/>
      </c>
      <c r="C30" s="61">
        <f>IF(VLOOKUP(Table311[[#This Row],[Date]],'DB Details'!$A:$Q,16)=0,"",VLOOKUP(Table311[[#This Row],[Date]],'DB Details'!$A:$Q,16))</f>
        <v/>
      </c>
      <c r="D30" s="61">
        <f>IF(VLOOKUP(Table311[[#This Row],[Date]],'DB Details'!$A:$Q,15)=0,"",VLOOKUP(Table311[[#This Row],[Date]],'DB Details'!$A:$Q,15))</f>
        <v/>
      </c>
      <c r="E30" s="61">
        <f>IF(VLOOKUP(Table311[[#This Row],[Date]],'DB Details'!$A:$Q,17)=0,"",VLOOKUP(Table311[[#This Row],[Date]],'DB Details'!$A:$Q,17))</f>
        <v/>
      </c>
    </row>
    <row r="31">
      <c r="A31" s="60" t="n">
        <v>36373</v>
      </c>
      <c r="B31" s="50">
        <f>IF(VLOOKUP(Table311[[#This Row],[Date]],'DB Details'!$A:$Q,12)=0,"",VLOOKUP(Table311[[#This Row],[Date]],'DB Details'!$A:$Q,12))</f>
        <v/>
      </c>
      <c r="C31" s="61">
        <f>IF(VLOOKUP(Table311[[#This Row],[Date]],'DB Details'!$A:$Q,16)=0,"",VLOOKUP(Table311[[#This Row],[Date]],'DB Details'!$A:$Q,16))</f>
        <v/>
      </c>
      <c r="D31" s="61">
        <f>IF(VLOOKUP(Table311[[#This Row],[Date]],'DB Details'!$A:$Q,15)=0,"",VLOOKUP(Table311[[#This Row],[Date]],'DB Details'!$A:$Q,15))</f>
        <v/>
      </c>
      <c r="E31" s="61">
        <f>IF(VLOOKUP(Table311[[#This Row],[Date]],'DB Details'!$A:$Q,17)=0,"",VLOOKUP(Table311[[#This Row],[Date]],'DB Details'!$A:$Q,17))</f>
        <v/>
      </c>
    </row>
    <row r="32">
      <c r="A32" s="60" t="n">
        <v>36404</v>
      </c>
      <c r="B32" s="50">
        <f>IF(VLOOKUP(Table311[[#This Row],[Date]],'DB Details'!$A:$Q,12)=0,"",VLOOKUP(Table311[[#This Row],[Date]],'DB Details'!$A:$Q,12))</f>
        <v/>
      </c>
      <c r="C32" s="61">
        <f>IF(VLOOKUP(Table311[[#This Row],[Date]],'DB Details'!$A:$Q,16)=0,"",VLOOKUP(Table311[[#This Row],[Date]],'DB Details'!$A:$Q,16))</f>
        <v/>
      </c>
      <c r="D32" s="61">
        <f>IF(VLOOKUP(Table311[[#This Row],[Date]],'DB Details'!$A:$Q,15)=0,"",VLOOKUP(Table311[[#This Row],[Date]],'DB Details'!$A:$Q,15))</f>
        <v/>
      </c>
      <c r="E32" s="61">
        <f>IF(VLOOKUP(Table311[[#This Row],[Date]],'DB Details'!$A:$Q,17)=0,"",VLOOKUP(Table311[[#This Row],[Date]],'DB Details'!$A:$Q,17))</f>
        <v/>
      </c>
    </row>
    <row r="33">
      <c r="A33" s="60" t="n">
        <v>36434</v>
      </c>
      <c r="B33" s="50">
        <f>IF(VLOOKUP(Table311[[#This Row],[Date]],'DB Details'!$A:$Q,12)=0,"",VLOOKUP(Table311[[#This Row],[Date]],'DB Details'!$A:$Q,12))</f>
        <v/>
      </c>
      <c r="C33" s="61">
        <f>IF(VLOOKUP(Table311[[#This Row],[Date]],'DB Details'!$A:$Q,16)=0,"",VLOOKUP(Table311[[#This Row],[Date]],'DB Details'!$A:$Q,16))</f>
        <v/>
      </c>
      <c r="D33" s="61">
        <f>IF(VLOOKUP(Table311[[#This Row],[Date]],'DB Details'!$A:$Q,15)=0,"",VLOOKUP(Table311[[#This Row],[Date]],'DB Details'!$A:$Q,15))</f>
        <v/>
      </c>
      <c r="E33" s="61">
        <f>IF(VLOOKUP(Table311[[#This Row],[Date]],'DB Details'!$A:$Q,17)=0,"",VLOOKUP(Table311[[#This Row],[Date]],'DB Details'!$A:$Q,17))</f>
        <v/>
      </c>
    </row>
    <row r="34">
      <c r="A34" s="60" t="n">
        <v>36465</v>
      </c>
      <c r="B34" s="50">
        <f>IF(VLOOKUP(Table311[[#This Row],[Date]],'DB Details'!$A:$Q,12)=0,"",VLOOKUP(Table311[[#This Row],[Date]],'DB Details'!$A:$Q,12))</f>
        <v/>
      </c>
      <c r="C34" s="61">
        <f>IF(VLOOKUP(Table311[[#This Row],[Date]],'DB Details'!$A:$Q,16)=0,"",VLOOKUP(Table311[[#This Row],[Date]],'DB Details'!$A:$Q,16))</f>
        <v/>
      </c>
      <c r="D34" s="61">
        <f>IF(VLOOKUP(Table311[[#This Row],[Date]],'DB Details'!$A:$Q,15)=0,"",VLOOKUP(Table311[[#This Row],[Date]],'DB Details'!$A:$Q,15))</f>
        <v/>
      </c>
      <c r="E34" s="61">
        <f>IF(VLOOKUP(Table311[[#This Row],[Date]],'DB Details'!$A:$Q,17)=0,"",VLOOKUP(Table311[[#This Row],[Date]],'DB Details'!$A:$Q,17))</f>
        <v/>
      </c>
    </row>
    <row r="35">
      <c r="A35" s="60" t="n">
        <v>36495</v>
      </c>
      <c r="B35" s="50">
        <f>IF(VLOOKUP(Table311[[#This Row],[Date]],'DB Details'!$A:$Q,12)=0,"",VLOOKUP(Table311[[#This Row],[Date]],'DB Details'!$A:$Q,12))</f>
        <v/>
      </c>
      <c r="C35" s="61">
        <f>IF(VLOOKUP(Table311[[#This Row],[Date]],'DB Details'!$A:$Q,16)=0,"",VLOOKUP(Table311[[#This Row],[Date]],'DB Details'!$A:$Q,16))</f>
        <v/>
      </c>
      <c r="D35" s="61">
        <f>IF(VLOOKUP(Table311[[#This Row],[Date]],'DB Details'!$A:$Q,15)=0,"",VLOOKUP(Table311[[#This Row],[Date]],'DB Details'!$A:$Q,15))</f>
        <v/>
      </c>
      <c r="E35" s="61">
        <f>IF(VLOOKUP(Table311[[#This Row],[Date]],'DB Details'!$A:$Q,17)=0,"",VLOOKUP(Table311[[#This Row],[Date]],'DB Details'!$A:$Q,17))</f>
        <v/>
      </c>
    </row>
    <row r="36">
      <c r="A36" s="60" t="n">
        <v>36526</v>
      </c>
      <c r="B36" s="50">
        <f>IF(VLOOKUP(Table311[[#This Row],[Date]],'DB Details'!$A:$Q,12)=0,"",VLOOKUP(Table311[[#This Row],[Date]],'DB Details'!$A:$Q,12))</f>
        <v/>
      </c>
      <c r="C36" s="61">
        <f>IF(VLOOKUP(Table311[[#This Row],[Date]],'DB Details'!$A:$Q,16)=0,"",VLOOKUP(Table311[[#This Row],[Date]],'DB Details'!$A:$Q,16))</f>
        <v/>
      </c>
      <c r="D36" s="61">
        <f>IF(VLOOKUP(Table311[[#This Row],[Date]],'DB Details'!$A:$Q,15)=0,"",VLOOKUP(Table311[[#This Row],[Date]],'DB Details'!$A:$Q,15))</f>
        <v/>
      </c>
      <c r="E36" s="61">
        <f>IF(VLOOKUP(Table311[[#This Row],[Date]],'DB Details'!$A:$Q,17)=0,"",VLOOKUP(Table311[[#This Row],[Date]],'DB Details'!$A:$Q,17))</f>
        <v/>
      </c>
    </row>
    <row r="37">
      <c r="A37" s="60" t="n">
        <v>36557</v>
      </c>
      <c r="B37" s="50">
        <f>IF(VLOOKUP(Table311[[#This Row],[Date]],'DB Details'!$A:$Q,12)=0,"",VLOOKUP(Table311[[#This Row],[Date]],'DB Details'!$A:$Q,12))</f>
        <v/>
      </c>
      <c r="C37" s="61">
        <f>IF(VLOOKUP(Table311[[#This Row],[Date]],'DB Details'!$A:$Q,16)=0,"",VLOOKUP(Table311[[#This Row],[Date]],'DB Details'!$A:$Q,16))</f>
        <v/>
      </c>
      <c r="D37" s="61">
        <f>IF(VLOOKUP(Table311[[#This Row],[Date]],'DB Details'!$A:$Q,15)=0,"",VLOOKUP(Table311[[#This Row],[Date]],'DB Details'!$A:$Q,15))</f>
        <v/>
      </c>
      <c r="E37" s="61">
        <f>IF(VLOOKUP(Table311[[#This Row],[Date]],'DB Details'!$A:$Q,17)=0,"",VLOOKUP(Table311[[#This Row],[Date]],'DB Details'!$A:$Q,17))</f>
        <v/>
      </c>
    </row>
    <row r="38">
      <c r="A38" s="60" t="n">
        <v>36586</v>
      </c>
      <c r="B38" s="50">
        <f>IF(VLOOKUP(Table311[[#This Row],[Date]],'DB Details'!$A:$Q,12)=0,"",VLOOKUP(Table311[[#This Row],[Date]],'DB Details'!$A:$Q,12))</f>
        <v/>
      </c>
      <c r="C38" s="61">
        <f>IF(VLOOKUP(Table311[[#This Row],[Date]],'DB Details'!$A:$Q,16)=0,"",VLOOKUP(Table311[[#This Row],[Date]],'DB Details'!$A:$Q,16))</f>
        <v/>
      </c>
      <c r="D38" s="61">
        <f>IF(VLOOKUP(Table311[[#This Row],[Date]],'DB Details'!$A:$Q,15)=0,"",VLOOKUP(Table311[[#This Row],[Date]],'DB Details'!$A:$Q,15))</f>
        <v/>
      </c>
      <c r="E38" s="61">
        <f>IF(VLOOKUP(Table311[[#This Row],[Date]],'DB Details'!$A:$Q,17)=0,"",VLOOKUP(Table311[[#This Row],[Date]],'DB Details'!$A:$Q,17))</f>
        <v/>
      </c>
    </row>
    <row r="39">
      <c r="A39" s="60" t="n">
        <v>36617</v>
      </c>
      <c r="B39" s="50">
        <f>IF(VLOOKUP(Table311[[#This Row],[Date]],'DB Details'!$A:$Q,12)=0,"",VLOOKUP(Table311[[#This Row],[Date]],'DB Details'!$A:$Q,12))</f>
        <v/>
      </c>
      <c r="C39" s="61">
        <f>IF(VLOOKUP(Table311[[#This Row],[Date]],'DB Details'!$A:$Q,16)=0,"",VLOOKUP(Table311[[#This Row],[Date]],'DB Details'!$A:$Q,16))</f>
        <v/>
      </c>
      <c r="D39" s="61">
        <f>IF(VLOOKUP(Table311[[#This Row],[Date]],'DB Details'!$A:$Q,15)=0,"",VLOOKUP(Table311[[#This Row],[Date]],'DB Details'!$A:$Q,15))</f>
        <v/>
      </c>
      <c r="E39" s="61">
        <f>IF(VLOOKUP(Table311[[#This Row],[Date]],'DB Details'!$A:$Q,17)=0,"",VLOOKUP(Table311[[#This Row],[Date]],'DB Details'!$A:$Q,17))</f>
        <v/>
      </c>
    </row>
    <row r="40">
      <c r="A40" s="60" t="n">
        <v>36647</v>
      </c>
      <c r="B40" s="50">
        <f>IF(VLOOKUP(Table311[[#This Row],[Date]],'DB Details'!$A:$Q,12)=0,"",VLOOKUP(Table311[[#This Row],[Date]],'DB Details'!$A:$Q,12))</f>
        <v/>
      </c>
      <c r="C40" s="61">
        <f>IF(VLOOKUP(Table311[[#This Row],[Date]],'DB Details'!$A:$Q,16)=0,"",VLOOKUP(Table311[[#This Row],[Date]],'DB Details'!$A:$Q,16))</f>
        <v/>
      </c>
      <c r="D40" s="61">
        <f>IF(VLOOKUP(Table311[[#This Row],[Date]],'DB Details'!$A:$Q,15)=0,"",VLOOKUP(Table311[[#This Row],[Date]],'DB Details'!$A:$Q,15))</f>
        <v/>
      </c>
      <c r="E40" s="61">
        <f>IF(VLOOKUP(Table311[[#This Row],[Date]],'DB Details'!$A:$Q,17)=0,"",VLOOKUP(Table311[[#This Row],[Date]],'DB Details'!$A:$Q,17))</f>
        <v/>
      </c>
    </row>
    <row r="41">
      <c r="A41" s="60" t="n">
        <v>36678</v>
      </c>
      <c r="B41" s="50">
        <f>IF(VLOOKUP(Table311[[#This Row],[Date]],'DB Details'!$A:$Q,12)=0,"",VLOOKUP(Table311[[#This Row],[Date]],'DB Details'!$A:$Q,12))</f>
        <v/>
      </c>
      <c r="C41" s="61">
        <f>IF(VLOOKUP(Table311[[#This Row],[Date]],'DB Details'!$A:$Q,16)=0,"",VLOOKUP(Table311[[#This Row],[Date]],'DB Details'!$A:$Q,16))</f>
        <v/>
      </c>
      <c r="D41" s="61">
        <f>IF(VLOOKUP(Table311[[#This Row],[Date]],'DB Details'!$A:$Q,15)=0,"",VLOOKUP(Table311[[#This Row],[Date]],'DB Details'!$A:$Q,15))</f>
        <v/>
      </c>
      <c r="E41" s="61">
        <f>IF(VLOOKUP(Table311[[#This Row],[Date]],'DB Details'!$A:$Q,17)=0,"",VLOOKUP(Table311[[#This Row],[Date]],'DB Details'!$A:$Q,17))</f>
        <v/>
      </c>
    </row>
    <row r="42">
      <c r="A42" s="60" t="n">
        <v>36708</v>
      </c>
      <c r="B42" s="50">
        <f>IF(VLOOKUP(Table311[[#This Row],[Date]],'DB Details'!$A:$Q,12)=0,"",VLOOKUP(Table311[[#This Row],[Date]],'DB Details'!$A:$Q,12))</f>
        <v/>
      </c>
      <c r="C42" s="61">
        <f>IF(VLOOKUP(Table311[[#This Row],[Date]],'DB Details'!$A:$Q,16)=0,"",VLOOKUP(Table311[[#This Row],[Date]],'DB Details'!$A:$Q,16))</f>
        <v/>
      </c>
      <c r="D42" s="61">
        <f>IF(VLOOKUP(Table311[[#This Row],[Date]],'DB Details'!$A:$Q,15)=0,"",VLOOKUP(Table311[[#This Row],[Date]],'DB Details'!$A:$Q,15))</f>
        <v/>
      </c>
      <c r="E42" s="61">
        <f>IF(VLOOKUP(Table311[[#This Row],[Date]],'DB Details'!$A:$Q,17)=0,"",VLOOKUP(Table311[[#This Row],[Date]],'DB Details'!$A:$Q,17))</f>
        <v/>
      </c>
    </row>
    <row r="43">
      <c r="A43" s="60" t="n">
        <v>36739</v>
      </c>
      <c r="B43" s="50">
        <f>IF(VLOOKUP(Table311[[#This Row],[Date]],'DB Details'!$A:$Q,12)=0,"",VLOOKUP(Table311[[#This Row],[Date]],'DB Details'!$A:$Q,12))</f>
        <v/>
      </c>
      <c r="C43" s="61">
        <f>IF(VLOOKUP(Table311[[#This Row],[Date]],'DB Details'!$A:$Q,16)=0,"",VLOOKUP(Table311[[#This Row],[Date]],'DB Details'!$A:$Q,16))</f>
        <v/>
      </c>
      <c r="D43" s="61">
        <f>IF(VLOOKUP(Table311[[#This Row],[Date]],'DB Details'!$A:$Q,15)=0,"",VLOOKUP(Table311[[#This Row],[Date]],'DB Details'!$A:$Q,15))</f>
        <v/>
      </c>
      <c r="E43" s="61">
        <f>IF(VLOOKUP(Table311[[#This Row],[Date]],'DB Details'!$A:$Q,17)=0,"",VLOOKUP(Table311[[#This Row],[Date]],'DB Details'!$A:$Q,17))</f>
        <v/>
      </c>
    </row>
    <row r="44">
      <c r="A44" s="60" t="n">
        <v>36770</v>
      </c>
      <c r="B44" s="50">
        <f>IF(VLOOKUP(Table311[[#This Row],[Date]],'DB Details'!$A:$Q,12)=0,"",VLOOKUP(Table311[[#This Row],[Date]],'DB Details'!$A:$Q,12))</f>
        <v/>
      </c>
      <c r="C44" s="61">
        <f>IF(VLOOKUP(Table311[[#This Row],[Date]],'DB Details'!$A:$Q,16)=0,"",VLOOKUP(Table311[[#This Row],[Date]],'DB Details'!$A:$Q,16))</f>
        <v/>
      </c>
      <c r="D44" s="61">
        <f>IF(VLOOKUP(Table311[[#This Row],[Date]],'DB Details'!$A:$Q,15)=0,"",VLOOKUP(Table311[[#This Row],[Date]],'DB Details'!$A:$Q,15))</f>
        <v/>
      </c>
      <c r="E44" s="61">
        <f>IF(VLOOKUP(Table311[[#This Row],[Date]],'DB Details'!$A:$Q,17)=0,"",VLOOKUP(Table311[[#This Row],[Date]],'DB Details'!$A:$Q,17))</f>
        <v/>
      </c>
    </row>
    <row r="45">
      <c r="A45" s="60" t="n">
        <v>36800</v>
      </c>
      <c r="B45" s="50">
        <f>IF(VLOOKUP(Table311[[#This Row],[Date]],'DB Details'!$A:$Q,12)=0,"",VLOOKUP(Table311[[#This Row],[Date]],'DB Details'!$A:$Q,12))</f>
        <v/>
      </c>
      <c r="C45" s="61">
        <f>IF(VLOOKUP(Table311[[#This Row],[Date]],'DB Details'!$A:$Q,16)=0,"",VLOOKUP(Table311[[#This Row],[Date]],'DB Details'!$A:$Q,16))</f>
        <v/>
      </c>
      <c r="D45" s="61">
        <f>IF(VLOOKUP(Table311[[#This Row],[Date]],'DB Details'!$A:$Q,15)=0,"",VLOOKUP(Table311[[#This Row],[Date]],'DB Details'!$A:$Q,15))</f>
        <v/>
      </c>
      <c r="E45" s="61">
        <f>IF(VLOOKUP(Table311[[#This Row],[Date]],'DB Details'!$A:$Q,17)=0,"",VLOOKUP(Table311[[#This Row],[Date]],'DB Details'!$A:$Q,17))</f>
        <v/>
      </c>
    </row>
    <row r="46">
      <c r="A46" s="60" t="n">
        <v>36831</v>
      </c>
      <c r="B46" s="50">
        <f>IF(VLOOKUP(Table311[[#This Row],[Date]],'DB Details'!$A:$Q,12)=0,"",VLOOKUP(Table311[[#This Row],[Date]],'DB Details'!$A:$Q,12))</f>
        <v/>
      </c>
      <c r="C46" s="61">
        <f>IF(VLOOKUP(Table311[[#This Row],[Date]],'DB Details'!$A:$Q,16)=0,"",VLOOKUP(Table311[[#This Row],[Date]],'DB Details'!$A:$Q,16))</f>
        <v/>
      </c>
      <c r="D46" s="61">
        <f>IF(VLOOKUP(Table311[[#This Row],[Date]],'DB Details'!$A:$Q,15)=0,"",VLOOKUP(Table311[[#This Row],[Date]],'DB Details'!$A:$Q,15))</f>
        <v/>
      </c>
      <c r="E46" s="61">
        <f>IF(VLOOKUP(Table311[[#This Row],[Date]],'DB Details'!$A:$Q,17)=0,"",VLOOKUP(Table311[[#This Row],[Date]],'DB Details'!$A:$Q,17))</f>
        <v/>
      </c>
    </row>
    <row r="47">
      <c r="A47" s="60" t="n">
        <v>36861</v>
      </c>
      <c r="B47" s="50">
        <f>IF(VLOOKUP(Table311[[#This Row],[Date]],'DB Details'!$A:$Q,12)=0,"",VLOOKUP(Table311[[#This Row],[Date]],'DB Details'!$A:$Q,12))</f>
        <v/>
      </c>
      <c r="C47" s="61">
        <f>IF(VLOOKUP(Table311[[#This Row],[Date]],'DB Details'!$A:$Q,16)=0,"",VLOOKUP(Table311[[#This Row],[Date]],'DB Details'!$A:$Q,16))</f>
        <v/>
      </c>
      <c r="D47" s="61">
        <f>IF(VLOOKUP(Table311[[#This Row],[Date]],'DB Details'!$A:$Q,15)=0,"",VLOOKUP(Table311[[#This Row],[Date]],'DB Details'!$A:$Q,15))</f>
        <v/>
      </c>
      <c r="E47" s="61">
        <f>IF(VLOOKUP(Table311[[#This Row],[Date]],'DB Details'!$A:$Q,17)=0,"",VLOOKUP(Table311[[#This Row],[Date]],'DB Details'!$A:$Q,17))</f>
        <v/>
      </c>
    </row>
    <row r="48">
      <c r="A48" s="60" t="n">
        <v>36892</v>
      </c>
      <c r="B48" s="50">
        <f>IF(VLOOKUP(Table311[[#This Row],[Date]],'DB Details'!$A:$Q,12)=0,"",VLOOKUP(Table311[[#This Row],[Date]],'DB Details'!$A:$Q,12))</f>
        <v/>
      </c>
      <c r="C48" s="61">
        <f>IF(VLOOKUP(Table311[[#This Row],[Date]],'DB Details'!$A:$Q,16)=0,"",VLOOKUP(Table311[[#This Row],[Date]],'DB Details'!$A:$Q,16))</f>
        <v/>
      </c>
      <c r="D48" s="61">
        <f>IF(VLOOKUP(Table311[[#This Row],[Date]],'DB Details'!$A:$Q,15)=0,"",VLOOKUP(Table311[[#This Row],[Date]],'DB Details'!$A:$Q,15))</f>
        <v/>
      </c>
      <c r="E48" s="61">
        <f>IF(VLOOKUP(Table311[[#This Row],[Date]],'DB Details'!$A:$Q,17)=0,"",VLOOKUP(Table311[[#This Row],[Date]],'DB Details'!$A:$Q,17))</f>
        <v/>
      </c>
    </row>
    <row r="49">
      <c r="A49" s="60" t="n">
        <v>36923</v>
      </c>
      <c r="B49" s="50">
        <f>IF(VLOOKUP(Table311[[#This Row],[Date]],'DB Details'!$A:$Q,12)=0,"",VLOOKUP(Table311[[#This Row],[Date]],'DB Details'!$A:$Q,12))</f>
        <v/>
      </c>
      <c r="C49" s="61">
        <f>IF(VLOOKUP(Table311[[#This Row],[Date]],'DB Details'!$A:$Q,16)=0,"",VLOOKUP(Table311[[#This Row],[Date]],'DB Details'!$A:$Q,16))</f>
        <v/>
      </c>
      <c r="D49" s="61">
        <f>IF(VLOOKUP(Table311[[#This Row],[Date]],'DB Details'!$A:$Q,15)=0,"",VLOOKUP(Table311[[#This Row],[Date]],'DB Details'!$A:$Q,15))</f>
        <v/>
      </c>
      <c r="E49" s="61">
        <f>IF(VLOOKUP(Table311[[#This Row],[Date]],'DB Details'!$A:$Q,17)=0,"",VLOOKUP(Table311[[#This Row],[Date]],'DB Details'!$A:$Q,17))</f>
        <v/>
      </c>
    </row>
    <row r="50">
      <c r="A50" s="60" t="n">
        <v>36951</v>
      </c>
      <c r="B50" s="50">
        <f>IF(VLOOKUP(Table311[[#This Row],[Date]],'DB Details'!$A:$Q,12)=0,"",VLOOKUP(Table311[[#This Row],[Date]],'DB Details'!$A:$Q,12))</f>
        <v/>
      </c>
      <c r="C50" s="61">
        <f>IF(VLOOKUP(Table311[[#This Row],[Date]],'DB Details'!$A:$Q,16)=0,"",VLOOKUP(Table311[[#This Row],[Date]],'DB Details'!$A:$Q,16))</f>
        <v/>
      </c>
      <c r="D50" s="61">
        <f>IF(VLOOKUP(Table311[[#This Row],[Date]],'DB Details'!$A:$Q,15)=0,"",VLOOKUP(Table311[[#This Row],[Date]],'DB Details'!$A:$Q,15))</f>
        <v/>
      </c>
      <c r="E50" s="61">
        <f>IF(VLOOKUP(Table311[[#This Row],[Date]],'DB Details'!$A:$Q,17)=0,"",VLOOKUP(Table311[[#This Row],[Date]],'DB Details'!$A:$Q,17))</f>
        <v/>
      </c>
    </row>
    <row r="51">
      <c r="A51" s="60" t="n">
        <v>36982</v>
      </c>
      <c r="B51" s="50">
        <f>IF(VLOOKUP(Table311[[#This Row],[Date]],'DB Details'!$A:$Q,12)=0,"",VLOOKUP(Table311[[#This Row],[Date]],'DB Details'!$A:$Q,12))</f>
        <v/>
      </c>
      <c r="C51" s="61">
        <f>IF(VLOOKUP(Table311[[#This Row],[Date]],'DB Details'!$A:$Q,16)=0,"",VLOOKUP(Table311[[#This Row],[Date]],'DB Details'!$A:$Q,16))</f>
        <v/>
      </c>
      <c r="D51" s="61">
        <f>IF(VLOOKUP(Table311[[#This Row],[Date]],'DB Details'!$A:$Q,15)=0,"",VLOOKUP(Table311[[#This Row],[Date]],'DB Details'!$A:$Q,15))</f>
        <v/>
      </c>
      <c r="E51" s="61">
        <f>IF(VLOOKUP(Table311[[#This Row],[Date]],'DB Details'!$A:$Q,17)=0,"",VLOOKUP(Table311[[#This Row],[Date]],'DB Details'!$A:$Q,17))</f>
        <v/>
      </c>
    </row>
    <row r="52">
      <c r="A52" s="60" t="n">
        <v>37012</v>
      </c>
      <c r="B52" s="50">
        <f>IF(VLOOKUP(Table311[[#This Row],[Date]],'DB Details'!$A:$Q,12)=0,"",VLOOKUP(Table311[[#This Row],[Date]],'DB Details'!$A:$Q,12))</f>
        <v/>
      </c>
      <c r="C52" s="61">
        <f>IF(VLOOKUP(Table311[[#This Row],[Date]],'DB Details'!$A:$Q,16)=0,"",VLOOKUP(Table311[[#This Row],[Date]],'DB Details'!$A:$Q,16))</f>
        <v/>
      </c>
      <c r="D52" s="61">
        <f>IF(VLOOKUP(Table311[[#This Row],[Date]],'DB Details'!$A:$Q,15)=0,"",VLOOKUP(Table311[[#This Row],[Date]],'DB Details'!$A:$Q,15))</f>
        <v/>
      </c>
      <c r="E52" s="61">
        <f>IF(VLOOKUP(Table311[[#This Row],[Date]],'DB Details'!$A:$Q,17)=0,"",VLOOKUP(Table311[[#This Row],[Date]],'DB Details'!$A:$Q,17))</f>
        <v/>
      </c>
    </row>
    <row r="53">
      <c r="A53" s="60" t="n">
        <v>37043</v>
      </c>
      <c r="B53" s="50">
        <f>IF(VLOOKUP(Table311[[#This Row],[Date]],'DB Details'!$A:$Q,12)=0,"",VLOOKUP(Table311[[#This Row],[Date]],'DB Details'!$A:$Q,12))</f>
        <v/>
      </c>
      <c r="C53" s="61">
        <f>IF(VLOOKUP(Table311[[#This Row],[Date]],'DB Details'!$A:$Q,16)=0,"",VLOOKUP(Table311[[#This Row],[Date]],'DB Details'!$A:$Q,16))</f>
        <v/>
      </c>
      <c r="D53" s="61">
        <f>IF(VLOOKUP(Table311[[#This Row],[Date]],'DB Details'!$A:$Q,15)=0,"",VLOOKUP(Table311[[#This Row],[Date]],'DB Details'!$A:$Q,15))</f>
        <v/>
      </c>
      <c r="E53" s="61">
        <f>IF(VLOOKUP(Table311[[#This Row],[Date]],'DB Details'!$A:$Q,17)=0,"",VLOOKUP(Table311[[#This Row],[Date]],'DB Details'!$A:$Q,17))</f>
        <v/>
      </c>
    </row>
    <row r="54">
      <c r="A54" s="60" t="n">
        <v>37073</v>
      </c>
      <c r="B54" s="50">
        <f>IF(VLOOKUP(Table311[[#This Row],[Date]],'DB Details'!$A:$Q,12)=0,"",VLOOKUP(Table311[[#This Row],[Date]],'DB Details'!$A:$Q,12))</f>
        <v/>
      </c>
      <c r="C54" s="61">
        <f>IF(VLOOKUP(Table311[[#This Row],[Date]],'DB Details'!$A:$Q,16)=0,"",VLOOKUP(Table311[[#This Row],[Date]],'DB Details'!$A:$Q,16))</f>
        <v/>
      </c>
      <c r="D54" s="61">
        <f>IF(VLOOKUP(Table311[[#This Row],[Date]],'DB Details'!$A:$Q,15)=0,"",VLOOKUP(Table311[[#This Row],[Date]],'DB Details'!$A:$Q,15))</f>
        <v/>
      </c>
      <c r="E54" s="61">
        <f>IF(VLOOKUP(Table311[[#This Row],[Date]],'DB Details'!$A:$Q,17)=0,"",VLOOKUP(Table311[[#This Row],[Date]],'DB Details'!$A:$Q,17))</f>
        <v/>
      </c>
    </row>
    <row r="55">
      <c r="A55" s="60" t="n">
        <v>37104</v>
      </c>
      <c r="B55" s="50">
        <f>IF(VLOOKUP(Table311[[#This Row],[Date]],'DB Details'!$A:$Q,12)=0,"",VLOOKUP(Table311[[#This Row],[Date]],'DB Details'!$A:$Q,12))</f>
        <v/>
      </c>
      <c r="C55" s="61">
        <f>IF(VLOOKUP(Table311[[#This Row],[Date]],'DB Details'!$A:$Q,16)=0,"",VLOOKUP(Table311[[#This Row],[Date]],'DB Details'!$A:$Q,16))</f>
        <v/>
      </c>
      <c r="D55" s="61">
        <f>IF(VLOOKUP(Table311[[#This Row],[Date]],'DB Details'!$A:$Q,15)=0,"",VLOOKUP(Table311[[#This Row],[Date]],'DB Details'!$A:$Q,15))</f>
        <v/>
      </c>
      <c r="E55" s="61">
        <f>IF(VLOOKUP(Table311[[#This Row],[Date]],'DB Details'!$A:$Q,17)=0,"",VLOOKUP(Table311[[#This Row],[Date]],'DB Details'!$A:$Q,17))</f>
        <v/>
      </c>
    </row>
    <row r="56">
      <c r="A56" s="60" t="n">
        <v>37135</v>
      </c>
      <c r="B56" s="50">
        <f>IF(VLOOKUP(Table311[[#This Row],[Date]],'DB Details'!$A:$Q,12)=0,"",VLOOKUP(Table311[[#This Row],[Date]],'DB Details'!$A:$Q,12))</f>
        <v/>
      </c>
      <c r="C56" s="61">
        <f>IF(VLOOKUP(Table311[[#This Row],[Date]],'DB Details'!$A:$Q,16)=0,"",VLOOKUP(Table311[[#This Row],[Date]],'DB Details'!$A:$Q,16))</f>
        <v/>
      </c>
      <c r="D56" s="61">
        <f>IF(VLOOKUP(Table311[[#This Row],[Date]],'DB Details'!$A:$Q,15)=0,"",VLOOKUP(Table311[[#This Row],[Date]],'DB Details'!$A:$Q,15))</f>
        <v/>
      </c>
      <c r="E56" s="61">
        <f>IF(VLOOKUP(Table311[[#This Row],[Date]],'DB Details'!$A:$Q,17)=0,"",VLOOKUP(Table311[[#This Row],[Date]],'DB Details'!$A:$Q,17))</f>
        <v/>
      </c>
    </row>
    <row r="57">
      <c r="A57" s="60" t="n">
        <v>37165</v>
      </c>
      <c r="B57" s="50">
        <f>IF(VLOOKUP(Table311[[#This Row],[Date]],'DB Details'!$A:$Q,12)=0,"",VLOOKUP(Table311[[#This Row],[Date]],'DB Details'!$A:$Q,12))</f>
        <v/>
      </c>
      <c r="C57" s="61">
        <f>IF(VLOOKUP(Table311[[#This Row],[Date]],'DB Details'!$A:$Q,16)=0,"",VLOOKUP(Table311[[#This Row],[Date]],'DB Details'!$A:$Q,16))</f>
        <v/>
      </c>
      <c r="D57" s="61">
        <f>IF(VLOOKUP(Table311[[#This Row],[Date]],'DB Details'!$A:$Q,15)=0,"",VLOOKUP(Table311[[#This Row],[Date]],'DB Details'!$A:$Q,15))</f>
        <v/>
      </c>
      <c r="E57" s="61">
        <f>IF(VLOOKUP(Table311[[#This Row],[Date]],'DB Details'!$A:$Q,17)=0,"",VLOOKUP(Table311[[#This Row],[Date]],'DB Details'!$A:$Q,17))</f>
        <v/>
      </c>
    </row>
    <row r="58">
      <c r="A58" s="60" t="n">
        <v>37196</v>
      </c>
      <c r="B58" s="50">
        <f>IF(VLOOKUP(Table311[[#This Row],[Date]],'DB Details'!$A:$Q,12)=0,"",VLOOKUP(Table311[[#This Row],[Date]],'DB Details'!$A:$Q,12))</f>
        <v/>
      </c>
      <c r="C58" s="61">
        <f>IF(VLOOKUP(Table311[[#This Row],[Date]],'DB Details'!$A:$Q,16)=0,"",VLOOKUP(Table311[[#This Row],[Date]],'DB Details'!$A:$Q,16))</f>
        <v/>
      </c>
      <c r="D58" s="61">
        <f>IF(VLOOKUP(Table311[[#This Row],[Date]],'DB Details'!$A:$Q,15)=0,"",VLOOKUP(Table311[[#This Row],[Date]],'DB Details'!$A:$Q,15))</f>
        <v/>
      </c>
      <c r="E58" s="61">
        <f>IF(VLOOKUP(Table311[[#This Row],[Date]],'DB Details'!$A:$Q,17)=0,"",VLOOKUP(Table311[[#This Row],[Date]],'DB Details'!$A:$Q,17))</f>
        <v/>
      </c>
    </row>
    <row r="59">
      <c r="A59" s="60" t="n">
        <v>37226</v>
      </c>
      <c r="B59" s="50">
        <f>IF(VLOOKUP(Table311[[#This Row],[Date]],'DB Details'!$A:$Q,12)=0,"",VLOOKUP(Table311[[#This Row],[Date]],'DB Details'!$A:$Q,12))</f>
        <v/>
      </c>
      <c r="C59" s="61">
        <f>IF(VLOOKUP(Table311[[#This Row],[Date]],'DB Details'!$A:$Q,16)=0,"",VLOOKUP(Table311[[#This Row],[Date]],'DB Details'!$A:$Q,16))</f>
        <v/>
      </c>
      <c r="D59" s="61">
        <f>IF(VLOOKUP(Table311[[#This Row],[Date]],'DB Details'!$A:$Q,15)=0,"",VLOOKUP(Table311[[#This Row],[Date]],'DB Details'!$A:$Q,15))</f>
        <v/>
      </c>
      <c r="E59" s="61">
        <f>IF(VLOOKUP(Table311[[#This Row],[Date]],'DB Details'!$A:$Q,17)=0,"",VLOOKUP(Table311[[#This Row],[Date]],'DB Details'!$A:$Q,17))</f>
        <v/>
      </c>
    </row>
    <row r="60">
      <c r="A60" s="60" t="n">
        <v>37257</v>
      </c>
      <c r="B60" s="50">
        <f>IF(VLOOKUP(Table311[[#This Row],[Date]],'DB Details'!$A:$Q,12)=0,"",VLOOKUP(Table311[[#This Row],[Date]],'DB Details'!$A:$Q,12))</f>
        <v/>
      </c>
      <c r="C60" s="61">
        <f>IF(VLOOKUP(Table311[[#This Row],[Date]],'DB Details'!$A:$Q,16)=0,"",VLOOKUP(Table311[[#This Row],[Date]],'DB Details'!$A:$Q,16))</f>
        <v/>
      </c>
      <c r="D60" s="61">
        <f>IF(VLOOKUP(Table311[[#This Row],[Date]],'DB Details'!$A:$Q,15)=0,"",VLOOKUP(Table311[[#This Row],[Date]],'DB Details'!$A:$Q,15))</f>
        <v/>
      </c>
      <c r="E60" s="61">
        <f>IF(VLOOKUP(Table311[[#This Row],[Date]],'DB Details'!$A:$Q,17)=0,"",VLOOKUP(Table311[[#This Row],[Date]],'DB Details'!$A:$Q,17))</f>
        <v/>
      </c>
    </row>
    <row r="61">
      <c r="A61" s="60" t="n">
        <v>37288</v>
      </c>
      <c r="B61" s="50">
        <f>IF(VLOOKUP(Table311[[#This Row],[Date]],'DB Details'!$A:$Q,12)=0,"",VLOOKUP(Table311[[#This Row],[Date]],'DB Details'!$A:$Q,12))</f>
        <v/>
      </c>
      <c r="C61" s="61">
        <f>IF(VLOOKUP(Table311[[#This Row],[Date]],'DB Details'!$A:$Q,16)=0,"",VLOOKUP(Table311[[#This Row],[Date]],'DB Details'!$A:$Q,16))</f>
        <v/>
      </c>
      <c r="D61" s="61">
        <f>IF(VLOOKUP(Table311[[#This Row],[Date]],'DB Details'!$A:$Q,15)=0,"",VLOOKUP(Table311[[#This Row],[Date]],'DB Details'!$A:$Q,15))</f>
        <v/>
      </c>
      <c r="E61" s="61">
        <f>IF(VLOOKUP(Table311[[#This Row],[Date]],'DB Details'!$A:$Q,17)=0,"",VLOOKUP(Table311[[#This Row],[Date]],'DB Details'!$A:$Q,17))</f>
        <v/>
      </c>
    </row>
    <row r="62">
      <c r="A62" s="60" t="n">
        <v>37316</v>
      </c>
      <c r="B62" s="50">
        <f>IF(VLOOKUP(Table311[[#This Row],[Date]],'DB Details'!$A:$Q,12)=0,"",VLOOKUP(Table311[[#This Row],[Date]],'DB Details'!$A:$Q,12))</f>
        <v/>
      </c>
      <c r="C62" s="61">
        <f>IF(VLOOKUP(Table311[[#This Row],[Date]],'DB Details'!$A:$Q,16)=0,"",VLOOKUP(Table311[[#This Row],[Date]],'DB Details'!$A:$Q,16))</f>
        <v/>
      </c>
      <c r="D62" s="61">
        <f>IF(VLOOKUP(Table311[[#This Row],[Date]],'DB Details'!$A:$Q,15)=0,"",VLOOKUP(Table311[[#This Row],[Date]],'DB Details'!$A:$Q,15))</f>
        <v/>
      </c>
      <c r="E62" s="61">
        <f>IF(VLOOKUP(Table311[[#This Row],[Date]],'DB Details'!$A:$Q,17)=0,"",VLOOKUP(Table311[[#This Row],[Date]],'DB Details'!$A:$Q,17))</f>
        <v/>
      </c>
    </row>
    <row r="63">
      <c r="A63" s="60" t="n">
        <v>37347</v>
      </c>
      <c r="B63" s="50">
        <f>IF(VLOOKUP(Table311[[#This Row],[Date]],'DB Details'!$A:$Q,12)=0,"",VLOOKUP(Table311[[#This Row],[Date]],'DB Details'!$A:$Q,12))</f>
        <v/>
      </c>
      <c r="C63" s="61">
        <f>IF(VLOOKUP(Table311[[#This Row],[Date]],'DB Details'!$A:$Q,16)=0,"",VLOOKUP(Table311[[#This Row],[Date]],'DB Details'!$A:$Q,16))</f>
        <v/>
      </c>
      <c r="D63" s="61">
        <f>IF(VLOOKUP(Table311[[#This Row],[Date]],'DB Details'!$A:$Q,15)=0,"",VLOOKUP(Table311[[#This Row],[Date]],'DB Details'!$A:$Q,15))</f>
        <v/>
      </c>
      <c r="E63" s="61">
        <f>IF(VLOOKUP(Table311[[#This Row],[Date]],'DB Details'!$A:$Q,17)=0,"",VLOOKUP(Table311[[#This Row],[Date]],'DB Details'!$A:$Q,17))</f>
        <v/>
      </c>
    </row>
    <row r="64">
      <c r="A64" s="60" t="n">
        <v>37377</v>
      </c>
      <c r="B64" s="50">
        <f>IF(VLOOKUP(Table311[[#This Row],[Date]],'DB Details'!$A:$Q,12)=0,"",VLOOKUP(Table311[[#This Row],[Date]],'DB Details'!$A:$Q,12))</f>
        <v/>
      </c>
      <c r="C64" s="61">
        <f>IF(VLOOKUP(Table311[[#This Row],[Date]],'DB Details'!$A:$Q,16)=0,"",VLOOKUP(Table311[[#This Row],[Date]],'DB Details'!$A:$Q,16))</f>
        <v/>
      </c>
      <c r="D64" s="61">
        <f>IF(VLOOKUP(Table311[[#This Row],[Date]],'DB Details'!$A:$Q,15)=0,"",VLOOKUP(Table311[[#This Row],[Date]],'DB Details'!$A:$Q,15))</f>
        <v/>
      </c>
      <c r="E64" s="61">
        <f>IF(VLOOKUP(Table311[[#This Row],[Date]],'DB Details'!$A:$Q,17)=0,"",VLOOKUP(Table311[[#This Row],[Date]],'DB Details'!$A:$Q,17))</f>
        <v/>
      </c>
    </row>
    <row r="65">
      <c r="A65" s="60" t="n">
        <v>37408</v>
      </c>
      <c r="B65" s="50">
        <f>IF(VLOOKUP(Table311[[#This Row],[Date]],'DB Details'!$A:$Q,12)=0,"",VLOOKUP(Table311[[#This Row],[Date]],'DB Details'!$A:$Q,12))</f>
        <v/>
      </c>
      <c r="C65" s="61">
        <f>IF(VLOOKUP(Table311[[#This Row],[Date]],'DB Details'!$A:$Q,16)=0,"",VLOOKUP(Table311[[#This Row],[Date]],'DB Details'!$A:$Q,16))</f>
        <v/>
      </c>
      <c r="D65" s="61">
        <f>IF(VLOOKUP(Table311[[#This Row],[Date]],'DB Details'!$A:$Q,15)=0,"",VLOOKUP(Table311[[#This Row],[Date]],'DB Details'!$A:$Q,15))</f>
        <v/>
      </c>
      <c r="E65" s="61">
        <f>IF(VLOOKUP(Table311[[#This Row],[Date]],'DB Details'!$A:$Q,17)=0,"",VLOOKUP(Table311[[#This Row],[Date]],'DB Details'!$A:$Q,17))</f>
        <v/>
      </c>
    </row>
    <row r="66">
      <c r="A66" s="60" t="n">
        <v>37438</v>
      </c>
      <c r="B66" s="50">
        <f>IF(VLOOKUP(Table311[[#This Row],[Date]],'DB Details'!$A:$Q,12)=0,"",VLOOKUP(Table311[[#This Row],[Date]],'DB Details'!$A:$Q,12))</f>
        <v/>
      </c>
      <c r="C66" s="61">
        <f>IF(VLOOKUP(Table311[[#This Row],[Date]],'DB Details'!$A:$Q,16)=0,"",VLOOKUP(Table311[[#This Row],[Date]],'DB Details'!$A:$Q,16))</f>
        <v/>
      </c>
      <c r="D66" s="61">
        <f>IF(VLOOKUP(Table311[[#This Row],[Date]],'DB Details'!$A:$Q,15)=0,"",VLOOKUP(Table311[[#This Row],[Date]],'DB Details'!$A:$Q,15))</f>
        <v/>
      </c>
      <c r="E66" s="61">
        <f>IF(VLOOKUP(Table311[[#This Row],[Date]],'DB Details'!$A:$Q,17)=0,"",VLOOKUP(Table311[[#This Row],[Date]],'DB Details'!$A:$Q,17))</f>
        <v/>
      </c>
    </row>
    <row r="67">
      <c r="A67" s="60" t="n">
        <v>37469</v>
      </c>
      <c r="B67" s="50">
        <f>IF(VLOOKUP(Table311[[#This Row],[Date]],'DB Details'!$A:$Q,12)=0,"",VLOOKUP(Table311[[#This Row],[Date]],'DB Details'!$A:$Q,12))</f>
        <v/>
      </c>
      <c r="C67" s="61">
        <f>IF(VLOOKUP(Table311[[#This Row],[Date]],'DB Details'!$A:$Q,16)=0,"",VLOOKUP(Table311[[#This Row],[Date]],'DB Details'!$A:$Q,16))</f>
        <v/>
      </c>
      <c r="D67" s="61">
        <f>IF(VLOOKUP(Table311[[#This Row],[Date]],'DB Details'!$A:$Q,15)=0,"",VLOOKUP(Table311[[#This Row],[Date]],'DB Details'!$A:$Q,15))</f>
        <v/>
      </c>
      <c r="E67" s="61">
        <f>IF(VLOOKUP(Table311[[#This Row],[Date]],'DB Details'!$A:$Q,17)=0,"",VLOOKUP(Table311[[#This Row],[Date]],'DB Details'!$A:$Q,17))</f>
        <v/>
      </c>
    </row>
    <row r="68">
      <c r="A68" s="60" t="n">
        <v>37500</v>
      </c>
      <c r="B68" s="50">
        <f>IF(VLOOKUP(Table311[[#This Row],[Date]],'DB Details'!$A:$Q,12)=0,"",VLOOKUP(Table311[[#This Row],[Date]],'DB Details'!$A:$Q,12))</f>
        <v/>
      </c>
      <c r="C68" s="61">
        <f>IF(VLOOKUP(Table311[[#This Row],[Date]],'DB Details'!$A:$Q,16)=0,"",VLOOKUP(Table311[[#This Row],[Date]],'DB Details'!$A:$Q,16))</f>
        <v/>
      </c>
      <c r="D68" s="61">
        <f>IF(VLOOKUP(Table311[[#This Row],[Date]],'DB Details'!$A:$Q,15)=0,"",VLOOKUP(Table311[[#This Row],[Date]],'DB Details'!$A:$Q,15))</f>
        <v/>
      </c>
      <c r="E68" s="61">
        <f>IF(VLOOKUP(Table311[[#This Row],[Date]],'DB Details'!$A:$Q,17)=0,"",VLOOKUP(Table311[[#This Row],[Date]],'DB Details'!$A:$Q,17))</f>
        <v/>
      </c>
    </row>
    <row r="69">
      <c r="A69" s="60" t="n">
        <v>37530</v>
      </c>
      <c r="B69" s="50">
        <f>IF(VLOOKUP(Table311[[#This Row],[Date]],'DB Details'!$A:$Q,12)=0,"",VLOOKUP(Table311[[#This Row],[Date]],'DB Details'!$A:$Q,12))</f>
        <v/>
      </c>
      <c r="C69" s="61">
        <f>IF(VLOOKUP(Table311[[#This Row],[Date]],'DB Details'!$A:$Q,16)=0,"",VLOOKUP(Table311[[#This Row],[Date]],'DB Details'!$A:$Q,16))</f>
        <v/>
      </c>
      <c r="D69" s="61">
        <f>IF(VLOOKUP(Table311[[#This Row],[Date]],'DB Details'!$A:$Q,15)=0,"",VLOOKUP(Table311[[#This Row],[Date]],'DB Details'!$A:$Q,15))</f>
        <v/>
      </c>
      <c r="E69" s="61">
        <f>IF(VLOOKUP(Table311[[#This Row],[Date]],'DB Details'!$A:$Q,17)=0,"",VLOOKUP(Table311[[#This Row],[Date]],'DB Details'!$A:$Q,17))</f>
        <v/>
      </c>
    </row>
    <row r="70">
      <c r="A70" s="60" t="n">
        <v>37561</v>
      </c>
      <c r="B70" s="50">
        <f>IF(VLOOKUP(Table311[[#This Row],[Date]],'DB Details'!$A:$Q,12)=0,"",VLOOKUP(Table311[[#This Row],[Date]],'DB Details'!$A:$Q,12))</f>
        <v/>
      </c>
      <c r="C70" s="61">
        <f>IF(VLOOKUP(Table311[[#This Row],[Date]],'DB Details'!$A:$Q,16)=0,"",VLOOKUP(Table311[[#This Row],[Date]],'DB Details'!$A:$Q,16))</f>
        <v/>
      </c>
      <c r="D70" s="61">
        <f>IF(VLOOKUP(Table311[[#This Row],[Date]],'DB Details'!$A:$Q,15)=0,"",VLOOKUP(Table311[[#This Row],[Date]],'DB Details'!$A:$Q,15))</f>
        <v/>
      </c>
      <c r="E70" s="61">
        <f>IF(VLOOKUP(Table311[[#This Row],[Date]],'DB Details'!$A:$Q,17)=0,"",VLOOKUP(Table311[[#This Row],[Date]],'DB Details'!$A:$Q,17))</f>
        <v/>
      </c>
    </row>
    <row r="71">
      <c r="A71" s="60" t="n">
        <v>37591</v>
      </c>
      <c r="B71" s="50">
        <f>IF(VLOOKUP(Table311[[#This Row],[Date]],'DB Details'!$A:$Q,12)=0,"",VLOOKUP(Table311[[#This Row],[Date]],'DB Details'!$A:$Q,12))</f>
        <v/>
      </c>
      <c r="C71" s="61">
        <f>IF(VLOOKUP(Table311[[#This Row],[Date]],'DB Details'!$A:$Q,16)=0,"",VLOOKUP(Table311[[#This Row],[Date]],'DB Details'!$A:$Q,16))</f>
        <v/>
      </c>
      <c r="D71" s="61">
        <f>IF(VLOOKUP(Table311[[#This Row],[Date]],'DB Details'!$A:$Q,15)=0,"",VLOOKUP(Table311[[#This Row],[Date]],'DB Details'!$A:$Q,15))</f>
        <v/>
      </c>
      <c r="E71" s="61">
        <f>IF(VLOOKUP(Table311[[#This Row],[Date]],'DB Details'!$A:$Q,17)=0,"",VLOOKUP(Table311[[#This Row],[Date]],'DB Details'!$A:$Q,17))</f>
        <v/>
      </c>
    </row>
    <row r="72">
      <c r="A72" s="60" t="n">
        <v>37622</v>
      </c>
      <c r="B72" s="50">
        <f>IF(VLOOKUP(Table311[[#This Row],[Date]],'DB Details'!$A:$Q,12)=0,"",VLOOKUP(Table311[[#This Row],[Date]],'DB Details'!$A:$Q,12))</f>
        <v/>
      </c>
      <c r="C72" s="61">
        <f>IF(VLOOKUP(Table311[[#This Row],[Date]],'DB Details'!$A:$Q,16)=0,"",VLOOKUP(Table311[[#This Row],[Date]],'DB Details'!$A:$Q,16))</f>
        <v/>
      </c>
      <c r="D72" s="61">
        <f>IF(VLOOKUP(Table311[[#This Row],[Date]],'DB Details'!$A:$Q,15)=0,"",VLOOKUP(Table311[[#This Row],[Date]],'DB Details'!$A:$Q,15))</f>
        <v/>
      </c>
      <c r="E72" s="61">
        <f>IF(VLOOKUP(Table311[[#This Row],[Date]],'DB Details'!$A:$Q,17)=0,"",VLOOKUP(Table311[[#This Row],[Date]],'DB Details'!$A:$Q,17))</f>
        <v/>
      </c>
    </row>
    <row r="73">
      <c r="A73" s="60" t="n">
        <v>37653</v>
      </c>
      <c r="B73" s="50">
        <f>IF(VLOOKUP(Table311[[#This Row],[Date]],'DB Details'!$A:$Q,12)=0,"",VLOOKUP(Table311[[#This Row],[Date]],'DB Details'!$A:$Q,12))</f>
        <v/>
      </c>
      <c r="C73" s="61">
        <f>IF(VLOOKUP(Table311[[#This Row],[Date]],'DB Details'!$A:$Q,16)=0,"",VLOOKUP(Table311[[#This Row],[Date]],'DB Details'!$A:$Q,16))</f>
        <v/>
      </c>
      <c r="D73" s="61">
        <f>IF(VLOOKUP(Table311[[#This Row],[Date]],'DB Details'!$A:$Q,15)=0,"",VLOOKUP(Table311[[#This Row],[Date]],'DB Details'!$A:$Q,15))</f>
        <v/>
      </c>
      <c r="E73" s="61">
        <f>IF(VLOOKUP(Table311[[#This Row],[Date]],'DB Details'!$A:$Q,17)=0,"",VLOOKUP(Table311[[#This Row],[Date]],'DB Details'!$A:$Q,17))</f>
        <v/>
      </c>
    </row>
    <row r="74">
      <c r="A74" s="60" t="n">
        <v>37681</v>
      </c>
      <c r="B74" s="50">
        <f>IF(VLOOKUP(Table311[[#This Row],[Date]],'DB Details'!$A:$Q,12)=0,"",VLOOKUP(Table311[[#This Row],[Date]],'DB Details'!$A:$Q,12))</f>
        <v/>
      </c>
      <c r="C74" s="61">
        <f>IF(VLOOKUP(Table311[[#This Row],[Date]],'DB Details'!$A:$Q,16)=0,"",VLOOKUP(Table311[[#This Row],[Date]],'DB Details'!$A:$Q,16))</f>
        <v/>
      </c>
      <c r="D74" s="61">
        <f>IF(VLOOKUP(Table311[[#This Row],[Date]],'DB Details'!$A:$Q,15)=0,"",VLOOKUP(Table311[[#This Row],[Date]],'DB Details'!$A:$Q,15))</f>
        <v/>
      </c>
      <c r="E74" s="61">
        <f>IF(VLOOKUP(Table311[[#This Row],[Date]],'DB Details'!$A:$Q,17)=0,"",VLOOKUP(Table311[[#This Row],[Date]],'DB Details'!$A:$Q,17))</f>
        <v/>
      </c>
    </row>
    <row r="75">
      <c r="A75" s="60" t="n">
        <v>37712</v>
      </c>
      <c r="B75" s="50">
        <f>IF(VLOOKUP(Table311[[#This Row],[Date]],'DB Details'!$A:$Q,12)=0,"",VLOOKUP(Table311[[#This Row],[Date]],'DB Details'!$A:$Q,12))</f>
        <v/>
      </c>
      <c r="C75" s="61">
        <f>IF(VLOOKUP(Table311[[#This Row],[Date]],'DB Details'!$A:$Q,16)=0,"",VLOOKUP(Table311[[#This Row],[Date]],'DB Details'!$A:$Q,16))</f>
        <v/>
      </c>
      <c r="D75" s="61">
        <f>IF(VLOOKUP(Table311[[#This Row],[Date]],'DB Details'!$A:$Q,15)=0,"",VLOOKUP(Table311[[#This Row],[Date]],'DB Details'!$A:$Q,15))</f>
        <v/>
      </c>
      <c r="E75" s="61">
        <f>IF(VLOOKUP(Table311[[#This Row],[Date]],'DB Details'!$A:$Q,17)=0,"",VLOOKUP(Table311[[#This Row],[Date]],'DB Details'!$A:$Q,17))</f>
        <v/>
      </c>
    </row>
    <row r="76">
      <c r="A76" s="60" t="n">
        <v>37742</v>
      </c>
      <c r="B76" s="50">
        <f>IF(VLOOKUP(Table311[[#This Row],[Date]],'DB Details'!$A:$Q,12)=0,"",VLOOKUP(Table311[[#This Row],[Date]],'DB Details'!$A:$Q,12))</f>
        <v/>
      </c>
      <c r="C76" s="61">
        <f>IF(VLOOKUP(Table311[[#This Row],[Date]],'DB Details'!$A:$Q,16)=0,"",VLOOKUP(Table311[[#This Row],[Date]],'DB Details'!$A:$Q,16))</f>
        <v/>
      </c>
      <c r="D76" s="61">
        <f>IF(VLOOKUP(Table311[[#This Row],[Date]],'DB Details'!$A:$Q,15)=0,"",VLOOKUP(Table311[[#This Row],[Date]],'DB Details'!$A:$Q,15))</f>
        <v/>
      </c>
      <c r="E76" s="61">
        <f>IF(VLOOKUP(Table311[[#This Row],[Date]],'DB Details'!$A:$Q,17)=0,"",VLOOKUP(Table311[[#This Row],[Date]],'DB Details'!$A:$Q,17))</f>
        <v/>
      </c>
    </row>
    <row r="77">
      <c r="A77" s="60" t="n">
        <v>37773</v>
      </c>
      <c r="B77" s="50">
        <f>IF(VLOOKUP(Table311[[#This Row],[Date]],'DB Details'!$A:$Q,12)=0,"",VLOOKUP(Table311[[#This Row],[Date]],'DB Details'!$A:$Q,12))</f>
        <v/>
      </c>
      <c r="C77" s="61">
        <f>IF(VLOOKUP(Table311[[#This Row],[Date]],'DB Details'!$A:$Q,16)=0,"",VLOOKUP(Table311[[#This Row],[Date]],'DB Details'!$A:$Q,16))</f>
        <v/>
      </c>
      <c r="D77" s="61">
        <f>IF(VLOOKUP(Table311[[#This Row],[Date]],'DB Details'!$A:$Q,15)=0,"",VLOOKUP(Table311[[#This Row],[Date]],'DB Details'!$A:$Q,15))</f>
        <v/>
      </c>
      <c r="E77" s="61">
        <f>IF(VLOOKUP(Table311[[#This Row],[Date]],'DB Details'!$A:$Q,17)=0,"",VLOOKUP(Table311[[#This Row],[Date]],'DB Details'!$A:$Q,17))</f>
        <v/>
      </c>
    </row>
    <row r="78">
      <c r="A78" s="60" t="n">
        <v>37803</v>
      </c>
      <c r="B78" s="50">
        <f>IF(VLOOKUP(Table311[[#This Row],[Date]],'DB Details'!$A:$Q,12)=0,"",VLOOKUP(Table311[[#This Row],[Date]],'DB Details'!$A:$Q,12))</f>
        <v/>
      </c>
      <c r="C78" s="61">
        <f>IF(VLOOKUP(Table311[[#This Row],[Date]],'DB Details'!$A:$Q,16)=0,"",VLOOKUP(Table311[[#This Row],[Date]],'DB Details'!$A:$Q,16))</f>
        <v/>
      </c>
      <c r="D78" s="61">
        <f>IF(VLOOKUP(Table311[[#This Row],[Date]],'DB Details'!$A:$Q,15)=0,"",VLOOKUP(Table311[[#This Row],[Date]],'DB Details'!$A:$Q,15))</f>
        <v/>
      </c>
      <c r="E78" s="61">
        <f>IF(VLOOKUP(Table311[[#This Row],[Date]],'DB Details'!$A:$Q,17)=0,"",VLOOKUP(Table311[[#This Row],[Date]],'DB Details'!$A:$Q,17))</f>
        <v/>
      </c>
    </row>
    <row r="79">
      <c r="A79" s="60" t="n">
        <v>37834</v>
      </c>
      <c r="B79" s="50">
        <f>IF(VLOOKUP(Table311[[#This Row],[Date]],'DB Details'!$A:$Q,12)=0,"",VLOOKUP(Table311[[#This Row],[Date]],'DB Details'!$A:$Q,12))</f>
        <v/>
      </c>
      <c r="C79" s="61">
        <f>IF(VLOOKUP(Table311[[#This Row],[Date]],'DB Details'!$A:$Q,16)=0,"",VLOOKUP(Table311[[#This Row],[Date]],'DB Details'!$A:$Q,16))</f>
        <v/>
      </c>
      <c r="D79" s="61">
        <f>IF(VLOOKUP(Table311[[#This Row],[Date]],'DB Details'!$A:$Q,15)=0,"",VLOOKUP(Table311[[#This Row],[Date]],'DB Details'!$A:$Q,15))</f>
        <v/>
      </c>
      <c r="E79" s="61">
        <f>IF(VLOOKUP(Table311[[#This Row],[Date]],'DB Details'!$A:$Q,17)=0,"",VLOOKUP(Table311[[#This Row],[Date]],'DB Details'!$A:$Q,17))</f>
        <v/>
      </c>
    </row>
    <row r="80">
      <c r="A80" s="60" t="n">
        <v>37865</v>
      </c>
      <c r="B80" s="50">
        <f>IF(VLOOKUP(Table311[[#This Row],[Date]],'DB Details'!$A:$Q,12)=0,"",VLOOKUP(Table311[[#This Row],[Date]],'DB Details'!$A:$Q,12))</f>
        <v/>
      </c>
      <c r="C80" s="61">
        <f>IF(VLOOKUP(Table311[[#This Row],[Date]],'DB Details'!$A:$Q,16)=0,"",VLOOKUP(Table311[[#This Row],[Date]],'DB Details'!$A:$Q,16))</f>
        <v/>
      </c>
      <c r="D80" s="61">
        <f>IF(VLOOKUP(Table311[[#This Row],[Date]],'DB Details'!$A:$Q,15)=0,"",VLOOKUP(Table311[[#This Row],[Date]],'DB Details'!$A:$Q,15))</f>
        <v/>
      </c>
      <c r="E80" s="61">
        <f>IF(VLOOKUP(Table311[[#This Row],[Date]],'DB Details'!$A:$Q,17)=0,"",VLOOKUP(Table311[[#This Row],[Date]],'DB Details'!$A:$Q,17))</f>
        <v/>
      </c>
    </row>
    <row r="81">
      <c r="A81" s="60" t="n">
        <v>37895</v>
      </c>
      <c r="B81" s="50">
        <f>IF(VLOOKUP(Table311[[#This Row],[Date]],'DB Details'!$A:$Q,12)=0,"",VLOOKUP(Table311[[#This Row],[Date]],'DB Details'!$A:$Q,12))</f>
        <v/>
      </c>
      <c r="C81" s="61">
        <f>IF(VLOOKUP(Table311[[#This Row],[Date]],'DB Details'!$A:$Q,16)=0,"",VLOOKUP(Table311[[#This Row],[Date]],'DB Details'!$A:$Q,16))</f>
        <v/>
      </c>
      <c r="D81" s="61">
        <f>IF(VLOOKUP(Table311[[#This Row],[Date]],'DB Details'!$A:$Q,15)=0,"",VLOOKUP(Table311[[#This Row],[Date]],'DB Details'!$A:$Q,15))</f>
        <v/>
      </c>
      <c r="E81" s="61">
        <f>IF(VLOOKUP(Table311[[#This Row],[Date]],'DB Details'!$A:$Q,17)=0,"",VLOOKUP(Table311[[#This Row],[Date]],'DB Details'!$A:$Q,17))</f>
        <v/>
      </c>
    </row>
    <row r="82">
      <c r="A82" s="60" t="n">
        <v>37926</v>
      </c>
      <c r="B82" s="50">
        <f>IF(VLOOKUP(Table311[[#This Row],[Date]],'DB Details'!$A:$Q,12)=0,"",VLOOKUP(Table311[[#This Row],[Date]],'DB Details'!$A:$Q,12))</f>
        <v/>
      </c>
      <c r="C82" s="61">
        <f>IF(VLOOKUP(Table311[[#This Row],[Date]],'DB Details'!$A:$Q,16)=0,"",VLOOKUP(Table311[[#This Row],[Date]],'DB Details'!$A:$Q,16))</f>
        <v/>
      </c>
      <c r="D82" s="61">
        <f>IF(VLOOKUP(Table311[[#This Row],[Date]],'DB Details'!$A:$Q,15)=0,"",VLOOKUP(Table311[[#This Row],[Date]],'DB Details'!$A:$Q,15))</f>
        <v/>
      </c>
      <c r="E82" s="61">
        <f>IF(VLOOKUP(Table311[[#This Row],[Date]],'DB Details'!$A:$Q,17)=0,"",VLOOKUP(Table311[[#This Row],[Date]],'DB Details'!$A:$Q,17))</f>
        <v/>
      </c>
    </row>
    <row r="83">
      <c r="A83" s="60" t="n">
        <v>37956</v>
      </c>
      <c r="B83" s="50">
        <f>IF(VLOOKUP(Table311[[#This Row],[Date]],'DB Details'!$A:$Q,12)=0,"",VLOOKUP(Table311[[#This Row],[Date]],'DB Details'!$A:$Q,12))</f>
        <v/>
      </c>
      <c r="C83" s="61">
        <f>IF(VLOOKUP(Table311[[#This Row],[Date]],'DB Details'!$A:$Q,16)=0,"",VLOOKUP(Table311[[#This Row],[Date]],'DB Details'!$A:$Q,16))</f>
        <v/>
      </c>
      <c r="D83" s="61">
        <f>IF(VLOOKUP(Table311[[#This Row],[Date]],'DB Details'!$A:$Q,15)=0,"",VLOOKUP(Table311[[#This Row],[Date]],'DB Details'!$A:$Q,15))</f>
        <v/>
      </c>
      <c r="E83" s="61">
        <f>IF(VLOOKUP(Table311[[#This Row],[Date]],'DB Details'!$A:$Q,17)=0,"",VLOOKUP(Table311[[#This Row],[Date]],'DB Details'!$A:$Q,17))</f>
        <v/>
      </c>
    </row>
    <row r="84">
      <c r="A84" s="60" t="n">
        <v>37987</v>
      </c>
      <c r="B84" s="50">
        <f>IF(VLOOKUP(Table311[[#This Row],[Date]],'DB Details'!$A:$Q,12)=0,"",VLOOKUP(Table311[[#This Row],[Date]],'DB Details'!$A:$Q,12))</f>
        <v/>
      </c>
      <c r="C84" s="61">
        <f>IF(VLOOKUP(Table311[[#This Row],[Date]],'DB Details'!$A:$Q,16)=0,"",VLOOKUP(Table311[[#This Row],[Date]],'DB Details'!$A:$Q,16))</f>
        <v/>
      </c>
      <c r="D84" s="61">
        <f>IF(VLOOKUP(Table311[[#This Row],[Date]],'DB Details'!$A:$Q,15)=0,"",VLOOKUP(Table311[[#This Row],[Date]],'DB Details'!$A:$Q,15))</f>
        <v/>
      </c>
      <c r="E84" s="61">
        <f>IF(VLOOKUP(Table311[[#This Row],[Date]],'DB Details'!$A:$Q,17)=0,"",VLOOKUP(Table311[[#This Row],[Date]],'DB Details'!$A:$Q,17))</f>
        <v/>
      </c>
    </row>
    <row r="85">
      <c r="A85" s="60" t="n">
        <v>38018</v>
      </c>
      <c r="B85" s="50">
        <f>IF(VLOOKUP(Table311[[#This Row],[Date]],'DB Details'!$A:$Q,12)=0,"",VLOOKUP(Table311[[#This Row],[Date]],'DB Details'!$A:$Q,12))</f>
        <v/>
      </c>
      <c r="C85" s="61">
        <f>IF(VLOOKUP(Table311[[#This Row],[Date]],'DB Details'!$A:$Q,16)=0,"",VLOOKUP(Table311[[#This Row],[Date]],'DB Details'!$A:$Q,16))</f>
        <v/>
      </c>
      <c r="D85" s="61">
        <f>IF(VLOOKUP(Table311[[#This Row],[Date]],'DB Details'!$A:$Q,15)=0,"",VLOOKUP(Table311[[#This Row],[Date]],'DB Details'!$A:$Q,15))</f>
        <v/>
      </c>
      <c r="E85" s="61">
        <f>IF(VLOOKUP(Table311[[#This Row],[Date]],'DB Details'!$A:$Q,17)=0,"",VLOOKUP(Table311[[#This Row],[Date]],'DB Details'!$A:$Q,17))</f>
        <v/>
      </c>
    </row>
    <row r="86">
      <c r="A86" s="60" t="n">
        <v>38047</v>
      </c>
      <c r="B86" s="50">
        <f>IF(VLOOKUP(Table311[[#This Row],[Date]],'DB Details'!$A:$Q,12)=0,"",VLOOKUP(Table311[[#This Row],[Date]],'DB Details'!$A:$Q,12))</f>
        <v/>
      </c>
      <c r="C86" s="61">
        <f>IF(VLOOKUP(Table311[[#This Row],[Date]],'DB Details'!$A:$Q,16)=0,"",VLOOKUP(Table311[[#This Row],[Date]],'DB Details'!$A:$Q,16))</f>
        <v/>
      </c>
      <c r="D86" s="61">
        <f>IF(VLOOKUP(Table311[[#This Row],[Date]],'DB Details'!$A:$Q,15)=0,"",VLOOKUP(Table311[[#This Row],[Date]],'DB Details'!$A:$Q,15))</f>
        <v/>
      </c>
      <c r="E86" s="61">
        <f>IF(VLOOKUP(Table311[[#This Row],[Date]],'DB Details'!$A:$Q,17)=0,"",VLOOKUP(Table311[[#This Row],[Date]],'DB Details'!$A:$Q,17))</f>
        <v/>
      </c>
    </row>
    <row r="87">
      <c r="A87" s="60" t="n">
        <v>38078</v>
      </c>
      <c r="B87" s="50">
        <f>IF(VLOOKUP(Table311[[#This Row],[Date]],'DB Details'!$A:$Q,12)=0,"",VLOOKUP(Table311[[#This Row],[Date]],'DB Details'!$A:$Q,12))</f>
        <v/>
      </c>
      <c r="C87" s="61">
        <f>IF(VLOOKUP(Table311[[#This Row],[Date]],'DB Details'!$A:$Q,16)=0,"",VLOOKUP(Table311[[#This Row],[Date]],'DB Details'!$A:$Q,16))</f>
        <v/>
      </c>
      <c r="D87" s="61">
        <f>IF(VLOOKUP(Table311[[#This Row],[Date]],'DB Details'!$A:$Q,15)=0,"",VLOOKUP(Table311[[#This Row],[Date]],'DB Details'!$A:$Q,15))</f>
        <v/>
      </c>
      <c r="E87" s="61">
        <f>IF(VLOOKUP(Table311[[#This Row],[Date]],'DB Details'!$A:$Q,17)=0,"",VLOOKUP(Table311[[#This Row],[Date]],'DB Details'!$A:$Q,17))</f>
        <v/>
      </c>
    </row>
    <row r="88">
      <c r="A88" s="60" t="n">
        <v>38108</v>
      </c>
      <c r="B88" s="50">
        <f>IF(VLOOKUP(Table311[[#This Row],[Date]],'DB Details'!$A:$Q,12)=0,"",VLOOKUP(Table311[[#This Row],[Date]],'DB Details'!$A:$Q,12))</f>
        <v/>
      </c>
      <c r="C88" s="61">
        <f>IF(VLOOKUP(Table311[[#This Row],[Date]],'DB Details'!$A:$Q,16)=0,"",VLOOKUP(Table311[[#This Row],[Date]],'DB Details'!$A:$Q,16))</f>
        <v/>
      </c>
      <c r="D88" s="61">
        <f>IF(VLOOKUP(Table311[[#This Row],[Date]],'DB Details'!$A:$Q,15)=0,"",VLOOKUP(Table311[[#This Row],[Date]],'DB Details'!$A:$Q,15))</f>
        <v/>
      </c>
      <c r="E88" s="61">
        <f>IF(VLOOKUP(Table311[[#This Row],[Date]],'DB Details'!$A:$Q,17)=0,"",VLOOKUP(Table311[[#This Row],[Date]],'DB Details'!$A:$Q,17))</f>
        <v/>
      </c>
    </row>
    <row r="89">
      <c r="A89" s="60" t="n">
        <v>38139</v>
      </c>
      <c r="B89" s="50">
        <f>IF(VLOOKUP(Table311[[#This Row],[Date]],'DB Details'!$A:$Q,12)=0,"",VLOOKUP(Table311[[#This Row],[Date]],'DB Details'!$A:$Q,12))</f>
        <v/>
      </c>
      <c r="C89" s="61">
        <f>IF(VLOOKUP(Table311[[#This Row],[Date]],'DB Details'!$A:$Q,16)=0,"",VLOOKUP(Table311[[#This Row],[Date]],'DB Details'!$A:$Q,16))</f>
        <v/>
      </c>
      <c r="D89" s="61">
        <f>IF(VLOOKUP(Table311[[#This Row],[Date]],'DB Details'!$A:$Q,15)=0,"",VLOOKUP(Table311[[#This Row],[Date]],'DB Details'!$A:$Q,15))</f>
        <v/>
      </c>
      <c r="E89" s="61">
        <f>IF(VLOOKUP(Table311[[#This Row],[Date]],'DB Details'!$A:$Q,17)=0,"",VLOOKUP(Table311[[#This Row],[Date]],'DB Details'!$A:$Q,17))</f>
        <v/>
      </c>
    </row>
    <row r="90">
      <c r="A90" s="60" t="n">
        <v>38169</v>
      </c>
      <c r="B90" s="50">
        <f>IF(VLOOKUP(Table311[[#This Row],[Date]],'DB Details'!$A:$Q,12)=0,"",VLOOKUP(Table311[[#This Row],[Date]],'DB Details'!$A:$Q,12))</f>
        <v/>
      </c>
      <c r="C90" s="61">
        <f>IF(VLOOKUP(Table311[[#This Row],[Date]],'DB Details'!$A:$Q,16)=0,"",VLOOKUP(Table311[[#This Row],[Date]],'DB Details'!$A:$Q,16))</f>
        <v/>
      </c>
      <c r="D90" s="61">
        <f>IF(VLOOKUP(Table311[[#This Row],[Date]],'DB Details'!$A:$Q,15)=0,"",VLOOKUP(Table311[[#This Row],[Date]],'DB Details'!$A:$Q,15))</f>
        <v/>
      </c>
      <c r="E90" s="61">
        <f>IF(VLOOKUP(Table311[[#This Row],[Date]],'DB Details'!$A:$Q,17)=0,"",VLOOKUP(Table311[[#This Row],[Date]],'DB Details'!$A:$Q,17))</f>
        <v/>
      </c>
    </row>
    <row r="91">
      <c r="A91" s="60" t="n">
        <v>38200</v>
      </c>
      <c r="B91" s="50">
        <f>IF(VLOOKUP(Table311[[#This Row],[Date]],'DB Details'!$A:$Q,12)=0,"",VLOOKUP(Table311[[#This Row],[Date]],'DB Details'!$A:$Q,12))</f>
        <v/>
      </c>
      <c r="C91" s="61">
        <f>IF(VLOOKUP(Table311[[#This Row],[Date]],'DB Details'!$A:$Q,16)=0,"",VLOOKUP(Table311[[#This Row],[Date]],'DB Details'!$A:$Q,16))</f>
        <v/>
      </c>
      <c r="D91" s="61">
        <f>IF(VLOOKUP(Table311[[#This Row],[Date]],'DB Details'!$A:$Q,15)=0,"",VLOOKUP(Table311[[#This Row],[Date]],'DB Details'!$A:$Q,15))</f>
        <v/>
      </c>
      <c r="E91" s="61">
        <f>IF(VLOOKUP(Table311[[#This Row],[Date]],'DB Details'!$A:$Q,17)=0,"",VLOOKUP(Table311[[#This Row],[Date]],'DB Details'!$A:$Q,17))</f>
        <v/>
      </c>
    </row>
    <row r="92">
      <c r="A92" s="60" t="n">
        <v>38231</v>
      </c>
      <c r="B92" s="50">
        <f>IF(VLOOKUP(Table311[[#This Row],[Date]],'DB Details'!$A:$Q,12)=0,"",VLOOKUP(Table311[[#This Row],[Date]],'DB Details'!$A:$Q,12))</f>
        <v/>
      </c>
      <c r="C92" s="61">
        <f>IF(VLOOKUP(Table311[[#This Row],[Date]],'DB Details'!$A:$Q,16)=0,"",VLOOKUP(Table311[[#This Row],[Date]],'DB Details'!$A:$Q,16))</f>
        <v/>
      </c>
      <c r="D92" s="61">
        <f>IF(VLOOKUP(Table311[[#This Row],[Date]],'DB Details'!$A:$Q,15)=0,"",VLOOKUP(Table311[[#This Row],[Date]],'DB Details'!$A:$Q,15))</f>
        <v/>
      </c>
      <c r="E92" s="61">
        <f>IF(VLOOKUP(Table311[[#This Row],[Date]],'DB Details'!$A:$Q,17)=0,"",VLOOKUP(Table311[[#This Row],[Date]],'DB Details'!$A:$Q,17))</f>
        <v/>
      </c>
    </row>
    <row r="93">
      <c r="A93" s="60" t="n">
        <v>38261</v>
      </c>
      <c r="B93" s="50">
        <f>IF(VLOOKUP(Table311[[#This Row],[Date]],'DB Details'!$A:$Q,12)=0,"",VLOOKUP(Table311[[#This Row],[Date]],'DB Details'!$A:$Q,12))</f>
        <v/>
      </c>
      <c r="C93" s="61">
        <f>IF(VLOOKUP(Table311[[#This Row],[Date]],'DB Details'!$A:$Q,16)=0,"",VLOOKUP(Table311[[#This Row],[Date]],'DB Details'!$A:$Q,16))</f>
        <v/>
      </c>
      <c r="D93" s="61">
        <f>IF(VLOOKUP(Table311[[#This Row],[Date]],'DB Details'!$A:$Q,15)=0,"",VLOOKUP(Table311[[#This Row],[Date]],'DB Details'!$A:$Q,15))</f>
        <v/>
      </c>
      <c r="E93" s="61">
        <f>IF(VLOOKUP(Table311[[#This Row],[Date]],'DB Details'!$A:$Q,17)=0,"",VLOOKUP(Table311[[#This Row],[Date]],'DB Details'!$A:$Q,17))</f>
        <v/>
      </c>
    </row>
    <row r="94">
      <c r="A94" s="60" t="n">
        <v>38292</v>
      </c>
      <c r="B94" s="50">
        <f>IF(VLOOKUP(Table311[[#This Row],[Date]],'DB Details'!$A:$Q,12)=0,"",VLOOKUP(Table311[[#This Row],[Date]],'DB Details'!$A:$Q,12))</f>
        <v/>
      </c>
      <c r="C94" s="61">
        <f>IF(VLOOKUP(Table311[[#This Row],[Date]],'DB Details'!$A:$Q,16)=0,"",VLOOKUP(Table311[[#This Row],[Date]],'DB Details'!$A:$Q,16))</f>
        <v/>
      </c>
      <c r="D94" s="61">
        <f>IF(VLOOKUP(Table311[[#This Row],[Date]],'DB Details'!$A:$Q,15)=0,"",VLOOKUP(Table311[[#This Row],[Date]],'DB Details'!$A:$Q,15))</f>
        <v/>
      </c>
      <c r="E94" s="61">
        <f>IF(VLOOKUP(Table311[[#This Row],[Date]],'DB Details'!$A:$Q,17)=0,"",VLOOKUP(Table311[[#This Row],[Date]],'DB Details'!$A:$Q,17))</f>
        <v/>
      </c>
    </row>
    <row r="95">
      <c r="A95" s="60" t="n">
        <v>38322</v>
      </c>
      <c r="B95" s="50">
        <f>IF(VLOOKUP(Table311[[#This Row],[Date]],'DB Details'!$A:$Q,12)=0,"",VLOOKUP(Table311[[#This Row],[Date]],'DB Details'!$A:$Q,12))</f>
        <v/>
      </c>
      <c r="C95" s="61">
        <f>IF(VLOOKUP(Table311[[#This Row],[Date]],'DB Details'!$A:$Q,16)=0,"",VLOOKUP(Table311[[#This Row],[Date]],'DB Details'!$A:$Q,16))</f>
        <v/>
      </c>
      <c r="D95" s="61">
        <f>IF(VLOOKUP(Table311[[#This Row],[Date]],'DB Details'!$A:$Q,15)=0,"",VLOOKUP(Table311[[#This Row],[Date]],'DB Details'!$A:$Q,15))</f>
        <v/>
      </c>
      <c r="E95" s="61">
        <f>IF(VLOOKUP(Table311[[#This Row],[Date]],'DB Details'!$A:$Q,17)=0,"",VLOOKUP(Table311[[#This Row],[Date]],'DB Details'!$A:$Q,17))</f>
        <v/>
      </c>
    </row>
    <row r="96">
      <c r="A96" s="60" t="n">
        <v>38353</v>
      </c>
      <c r="B96" s="50">
        <f>IF(VLOOKUP(Table311[[#This Row],[Date]],'DB Details'!$A:$Q,12)=0,"",VLOOKUP(Table311[[#This Row],[Date]],'DB Details'!$A:$Q,12))</f>
        <v/>
      </c>
      <c r="C96" s="61">
        <f>IF(VLOOKUP(Table311[[#This Row],[Date]],'DB Details'!$A:$Q,16)=0,"",VLOOKUP(Table311[[#This Row],[Date]],'DB Details'!$A:$Q,16))</f>
        <v/>
      </c>
      <c r="D96" s="61">
        <f>IF(VLOOKUP(Table311[[#This Row],[Date]],'DB Details'!$A:$Q,15)=0,"",VLOOKUP(Table311[[#This Row],[Date]],'DB Details'!$A:$Q,15))</f>
        <v/>
      </c>
      <c r="E96" s="61">
        <f>IF(VLOOKUP(Table311[[#This Row],[Date]],'DB Details'!$A:$Q,17)=0,"",VLOOKUP(Table311[[#This Row],[Date]],'DB Details'!$A:$Q,17))</f>
        <v/>
      </c>
    </row>
    <row r="97">
      <c r="A97" s="60" t="n">
        <v>38384</v>
      </c>
      <c r="B97" s="50">
        <f>IF(VLOOKUP(Table311[[#This Row],[Date]],'DB Details'!$A:$Q,12)=0,"",VLOOKUP(Table311[[#This Row],[Date]],'DB Details'!$A:$Q,12))</f>
        <v/>
      </c>
      <c r="C97" s="61">
        <f>IF(VLOOKUP(Table311[[#This Row],[Date]],'DB Details'!$A:$Q,16)=0,"",VLOOKUP(Table311[[#This Row],[Date]],'DB Details'!$A:$Q,16))</f>
        <v/>
      </c>
      <c r="D97" s="61">
        <f>IF(VLOOKUP(Table311[[#This Row],[Date]],'DB Details'!$A:$Q,15)=0,"",VLOOKUP(Table311[[#This Row],[Date]],'DB Details'!$A:$Q,15))</f>
        <v/>
      </c>
      <c r="E97" s="61">
        <f>IF(VLOOKUP(Table311[[#This Row],[Date]],'DB Details'!$A:$Q,17)=0,"",VLOOKUP(Table311[[#This Row],[Date]],'DB Details'!$A:$Q,17))</f>
        <v/>
      </c>
    </row>
    <row r="98">
      <c r="A98" s="60" t="n">
        <v>38412</v>
      </c>
      <c r="B98" s="50">
        <f>IF(VLOOKUP(Table311[[#This Row],[Date]],'DB Details'!$A:$Q,12)=0,"",VLOOKUP(Table311[[#This Row],[Date]],'DB Details'!$A:$Q,12))</f>
        <v/>
      </c>
      <c r="C98" s="61">
        <f>IF(VLOOKUP(Table311[[#This Row],[Date]],'DB Details'!$A:$Q,16)=0,"",VLOOKUP(Table311[[#This Row],[Date]],'DB Details'!$A:$Q,16))</f>
        <v/>
      </c>
      <c r="D98" s="61">
        <f>IF(VLOOKUP(Table311[[#This Row],[Date]],'DB Details'!$A:$Q,15)=0,"",VLOOKUP(Table311[[#This Row],[Date]],'DB Details'!$A:$Q,15))</f>
        <v/>
      </c>
      <c r="E98" s="61">
        <f>IF(VLOOKUP(Table311[[#This Row],[Date]],'DB Details'!$A:$Q,17)=0,"",VLOOKUP(Table311[[#This Row],[Date]],'DB Details'!$A:$Q,17))</f>
        <v/>
      </c>
    </row>
    <row r="99">
      <c r="A99" s="60" t="n">
        <v>38443</v>
      </c>
      <c r="B99" s="50">
        <f>IF(VLOOKUP(Table311[[#This Row],[Date]],'DB Details'!$A:$Q,12)=0,"",VLOOKUP(Table311[[#This Row],[Date]],'DB Details'!$A:$Q,12))</f>
        <v/>
      </c>
      <c r="C99" s="61">
        <f>IF(VLOOKUP(Table311[[#This Row],[Date]],'DB Details'!$A:$Q,16)=0,"",VLOOKUP(Table311[[#This Row],[Date]],'DB Details'!$A:$Q,16))</f>
        <v/>
      </c>
      <c r="D99" s="61">
        <f>IF(VLOOKUP(Table311[[#This Row],[Date]],'DB Details'!$A:$Q,15)=0,"",VLOOKUP(Table311[[#This Row],[Date]],'DB Details'!$A:$Q,15))</f>
        <v/>
      </c>
      <c r="E99" s="61">
        <f>IF(VLOOKUP(Table311[[#This Row],[Date]],'DB Details'!$A:$Q,17)=0,"",VLOOKUP(Table311[[#This Row],[Date]],'DB Details'!$A:$Q,17))</f>
        <v/>
      </c>
    </row>
    <row r="100">
      <c r="A100" s="60" t="n">
        <v>38473</v>
      </c>
      <c r="B100" s="50">
        <f>IF(VLOOKUP(Table311[[#This Row],[Date]],'DB Details'!$A:$Q,12)=0,"",VLOOKUP(Table311[[#This Row],[Date]],'DB Details'!$A:$Q,12))</f>
        <v/>
      </c>
      <c r="C100" s="61">
        <f>IF(VLOOKUP(Table311[[#This Row],[Date]],'DB Details'!$A:$Q,16)=0,"",VLOOKUP(Table311[[#This Row],[Date]],'DB Details'!$A:$Q,16))</f>
        <v/>
      </c>
      <c r="D100" s="61">
        <f>IF(VLOOKUP(Table311[[#This Row],[Date]],'DB Details'!$A:$Q,15)=0,"",VLOOKUP(Table311[[#This Row],[Date]],'DB Details'!$A:$Q,15))</f>
        <v/>
      </c>
      <c r="E100" s="61">
        <f>IF(VLOOKUP(Table311[[#This Row],[Date]],'DB Details'!$A:$Q,17)=0,"",VLOOKUP(Table311[[#This Row],[Date]],'DB Details'!$A:$Q,17))</f>
        <v/>
      </c>
    </row>
    <row r="101">
      <c r="A101" s="60" t="n">
        <v>38504</v>
      </c>
      <c r="B101" s="50">
        <f>IF(VLOOKUP(Table311[[#This Row],[Date]],'DB Details'!$A:$Q,12)=0,"",VLOOKUP(Table311[[#This Row],[Date]],'DB Details'!$A:$Q,12))</f>
        <v/>
      </c>
      <c r="C101" s="61">
        <f>IF(VLOOKUP(Table311[[#This Row],[Date]],'DB Details'!$A:$Q,16)=0,"",VLOOKUP(Table311[[#This Row],[Date]],'DB Details'!$A:$Q,16))</f>
        <v/>
      </c>
      <c r="D101" s="61">
        <f>IF(VLOOKUP(Table311[[#This Row],[Date]],'DB Details'!$A:$Q,15)=0,"",VLOOKUP(Table311[[#This Row],[Date]],'DB Details'!$A:$Q,15))</f>
        <v/>
      </c>
      <c r="E101" s="61">
        <f>IF(VLOOKUP(Table311[[#This Row],[Date]],'DB Details'!$A:$Q,17)=0,"",VLOOKUP(Table311[[#This Row],[Date]],'DB Details'!$A:$Q,17))</f>
        <v/>
      </c>
    </row>
    <row r="102">
      <c r="A102" s="60" t="n">
        <v>38534</v>
      </c>
      <c r="B102" s="50">
        <f>IF(VLOOKUP(Table311[[#This Row],[Date]],'DB Details'!$A:$Q,12)=0,"",VLOOKUP(Table311[[#This Row],[Date]],'DB Details'!$A:$Q,12))</f>
        <v/>
      </c>
      <c r="C102" s="61">
        <f>IF(VLOOKUP(Table311[[#This Row],[Date]],'DB Details'!$A:$Q,16)=0,"",VLOOKUP(Table311[[#This Row],[Date]],'DB Details'!$A:$Q,16))</f>
        <v/>
      </c>
      <c r="D102" s="61">
        <f>IF(VLOOKUP(Table311[[#This Row],[Date]],'DB Details'!$A:$Q,15)=0,"",VLOOKUP(Table311[[#This Row],[Date]],'DB Details'!$A:$Q,15))</f>
        <v/>
      </c>
      <c r="E102" s="61">
        <f>IF(VLOOKUP(Table311[[#This Row],[Date]],'DB Details'!$A:$Q,17)=0,"",VLOOKUP(Table311[[#This Row],[Date]],'DB Details'!$A:$Q,17))</f>
        <v/>
      </c>
    </row>
    <row r="103">
      <c r="A103" s="60" t="n">
        <v>38565</v>
      </c>
      <c r="B103" s="50">
        <f>IF(VLOOKUP(Table311[[#This Row],[Date]],'DB Details'!$A:$Q,12)=0,"",VLOOKUP(Table311[[#This Row],[Date]],'DB Details'!$A:$Q,12))</f>
        <v/>
      </c>
      <c r="C103" s="61">
        <f>IF(VLOOKUP(Table311[[#This Row],[Date]],'DB Details'!$A:$Q,16)=0,"",VLOOKUP(Table311[[#This Row],[Date]],'DB Details'!$A:$Q,16))</f>
        <v/>
      </c>
      <c r="D103" s="61">
        <f>IF(VLOOKUP(Table311[[#This Row],[Date]],'DB Details'!$A:$Q,15)=0,"",VLOOKUP(Table311[[#This Row],[Date]],'DB Details'!$A:$Q,15))</f>
        <v/>
      </c>
      <c r="E103" s="61">
        <f>IF(VLOOKUP(Table311[[#This Row],[Date]],'DB Details'!$A:$Q,17)=0,"",VLOOKUP(Table311[[#This Row],[Date]],'DB Details'!$A:$Q,17))</f>
        <v/>
      </c>
    </row>
    <row r="104">
      <c r="A104" s="60" t="n">
        <v>38596</v>
      </c>
      <c r="B104" s="50">
        <f>IF(VLOOKUP(Table311[[#This Row],[Date]],'DB Details'!$A:$Q,12)=0,"",VLOOKUP(Table311[[#This Row],[Date]],'DB Details'!$A:$Q,12))</f>
        <v/>
      </c>
      <c r="C104" s="61">
        <f>IF(VLOOKUP(Table311[[#This Row],[Date]],'DB Details'!$A:$Q,16)=0,"",VLOOKUP(Table311[[#This Row],[Date]],'DB Details'!$A:$Q,16))</f>
        <v/>
      </c>
      <c r="D104" s="61">
        <f>IF(VLOOKUP(Table311[[#This Row],[Date]],'DB Details'!$A:$Q,15)=0,"",VLOOKUP(Table311[[#This Row],[Date]],'DB Details'!$A:$Q,15))</f>
        <v/>
      </c>
      <c r="E104" s="61">
        <f>IF(VLOOKUP(Table311[[#This Row],[Date]],'DB Details'!$A:$Q,17)=0,"",VLOOKUP(Table311[[#This Row],[Date]],'DB Details'!$A:$Q,17))</f>
        <v/>
      </c>
    </row>
    <row r="105">
      <c r="A105" s="60" t="n">
        <v>38626</v>
      </c>
      <c r="B105" s="50">
        <f>IF(VLOOKUP(Table311[[#This Row],[Date]],'DB Details'!$A:$Q,12)=0,"",VLOOKUP(Table311[[#This Row],[Date]],'DB Details'!$A:$Q,12))</f>
        <v/>
      </c>
      <c r="C105" s="61">
        <f>IF(VLOOKUP(Table311[[#This Row],[Date]],'DB Details'!$A:$Q,16)=0,"",VLOOKUP(Table311[[#This Row],[Date]],'DB Details'!$A:$Q,16))</f>
        <v/>
      </c>
      <c r="D105" s="61">
        <f>IF(VLOOKUP(Table311[[#This Row],[Date]],'DB Details'!$A:$Q,15)=0,"",VLOOKUP(Table311[[#This Row],[Date]],'DB Details'!$A:$Q,15))</f>
        <v/>
      </c>
      <c r="E105" s="61">
        <f>IF(VLOOKUP(Table311[[#This Row],[Date]],'DB Details'!$A:$Q,17)=0,"",VLOOKUP(Table311[[#This Row],[Date]],'DB Details'!$A:$Q,17))</f>
        <v/>
      </c>
    </row>
    <row r="106">
      <c r="A106" s="60" t="n">
        <v>38657</v>
      </c>
      <c r="B106" s="50">
        <f>IF(VLOOKUP(Table311[[#This Row],[Date]],'DB Details'!$A:$Q,12)=0,"",VLOOKUP(Table311[[#This Row],[Date]],'DB Details'!$A:$Q,12))</f>
        <v/>
      </c>
      <c r="C106" s="61">
        <f>IF(VLOOKUP(Table311[[#This Row],[Date]],'DB Details'!$A:$Q,16)=0,"",VLOOKUP(Table311[[#This Row],[Date]],'DB Details'!$A:$Q,16))</f>
        <v/>
      </c>
      <c r="D106" s="61">
        <f>IF(VLOOKUP(Table311[[#This Row],[Date]],'DB Details'!$A:$Q,15)=0,"",VLOOKUP(Table311[[#This Row],[Date]],'DB Details'!$A:$Q,15))</f>
        <v/>
      </c>
      <c r="E106" s="61">
        <f>IF(VLOOKUP(Table311[[#This Row],[Date]],'DB Details'!$A:$Q,17)=0,"",VLOOKUP(Table311[[#This Row],[Date]],'DB Details'!$A:$Q,17))</f>
        <v/>
      </c>
    </row>
    <row r="107">
      <c r="A107" s="60" t="n">
        <v>38687</v>
      </c>
      <c r="B107" s="50">
        <f>IF(VLOOKUP(Table311[[#This Row],[Date]],'DB Details'!$A:$Q,12)=0,"",VLOOKUP(Table311[[#This Row],[Date]],'DB Details'!$A:$Q,12))</f>
        <v/>
      </c>
      <c r="C107" s="61">
        <f>IF(VLOOKUP(Table311[[#This Row],[Date]],'DB Details'!$A:$Q,16)=0,"",VLOOKUP(Table311[[#This Row],[Date]],'DB Details'!$A:$Q,16))</f>
        <v/>
      </c>
      <c r="D107" s="61">
        <f>IF(VLOOKUP(Table311[[#This Row],[Date]],'DB Details'!$A:$Q,15)=0,"",VLOOKUP(Table311[[#This Row],[Date]],'DB Details'!$A:$Q,15))</f>
        <v/>
      </c>
      <c r="E107" s="61">
        <f>IF(VLOOKUP(Table311[[#This Row],[Date]],'DB Details'!$A:$Q,17)=0,"",VLOOKUP(Table311[[#This Row],[Date]],'DB Details'!$A:$Q,17))</f>
        <v/>
      </c>
    </row>
    <row r="108">
      <c r="A108" s="60" t="n">
        <v>38718</v>
      </c>
      <c r="B108" s="50">
        <f>IF(VLOOKUP(Table311[[#This Row],[Date]],'DB Details'!$A:$Q,12)=0,"",VLOOKUP(Table311[[#This Row],[Date]],'DB Details'!$A:$Q,12))</f>
        <v/>
      </c>
      <c r="C108" s="61">
        <f>IF(VLOOKUP(Table311[[#This Row],[Date]],'DB Details'!$A:$Q,16)=0,"",VLOOKUP(Table311[[#This Row],[Date]],'DB Details'!$A:$Q,16))</f>
        <v/>
      </c>
      <c r="D108" s="61">
        <f>IF(VLOOKUP(Table311[[#This Row],[Date]],'DB Details'!$A:$Q,15)=0,"",VLOOKUP(Table311[[#This Row],[Date]],'DB Details'!$A:$Q,15))</f>
        <v/>
      </c>
      <c r="E108" s="61">
        <f>IF(VLOOKUP(Table311[[#This Row],[Date]],'DB Details'!$A:$Q,17)=0,"",VLOOKUP(Table311[[#This Row],[Date]],'DB Details'!$A:$Q,17))</f>
        <v/>
      </c>
    </row>
    <row r="109">
      <c r="A109" s="60" t="n">
        <v>38749</v>
      </c>
      <c r="B109" s="50">
        <f>IF(VLOOKUP(Table311[[#This Row],[Date]],'DB Details'!$A:$Q,12)=0,"",VLOOKUP(Table311[[#This Row],[Date]],'DB Details'!$A:$Q,12))</f>
        <v/>
      </c>
      <c r="C109" s="61">
        <f>IF(VLOOKUP(Table311[[#This Row],[Date]],'DB Details'!$A:$Q,16)=0,"",VLOOKUP(Table311[[#This Row],[Date]],'DB Details'!$A:$Q,16))</f>
        <v/>
      </c>
      <c r="D109" s="61">
        <f>IF(VLOOKUP(Table311[[#This Row],[Date]],'DB Details'!$A:$Q,15)=0,"",VLOOKUP(Table311[[#This Row],[Date]],'DB Details'!$A:$Q,15))</f>
        <v/>
      </c>
      <c r="E109" s="61">
        <f>IF(VLOOKUP(Table311[[#This Row],[Date]],'DB Details'!$A:$Q,17)=0,"",VLOOKUP(Table311[[#This Row],[Date]],'DB Details'!$A:$Q,17))</f>
        <v/>
      </c>
    </row>
    <row r="110">
      <c r="A110" s="60" t="n">
        <v>38777</v>
      </c>
      <c r="B110" s="50">
        <f>IF(VLOOKUP(Table311[[#This Row],[Date]],'DB Details'!$A:$Q,12)=0,"",VLOOKUP(Table311[[#This Row],[Date]],'DB Details'!$A:$Q,12))</f>
        <v/>
      </c>
      <c r="C110" s="61">
        <f>IF(VLOOKUP(Table311[[#This Row],[Date]],'DB Details'!$A:$Q,16)=0,"",VLOOKUP(Table311[[#This Row],[Date]],'DB Details'!$A:$Q,16))</f>
        <v/>
      </c>
      <c r="D110" s="61">
        <f>IF(VLOOKUP(Table311[[#This Row],[Date]],'DB Details'!$A:$Q,15)=0,"",VLOOKUP(Table311[[#This Row],[Date]],'DB Details'!$A:$Q,15))</f>
        <v/>
      </c>
      <c r="E110" s="61">
        <f>IF(VLOOKUP(Table311[[#This Row],[Date]],'DB Details'!$A:$Q,17)=0,"",VLOOKUP(Table311[[#This Row],[Date]],'DB Details'!$A:$Q,17))</f>
        <v/>
      </c>
    </row>
    <row r="111">
      <c r="A111" s="60" t="n">
        <v>38808</v>
      </c>
      <c r="B111" s="50">
        <f>IF(VLOOKUP(Table311[[#This Row],[Date]],'DB Details'!$A:$Q,12)=0,"",VLOOKUP(Table311[[#This Row],[Date]],'DB Details'!$A:$Q,12))</f>
        <v/>
      </c>
      <c r="C111" s="61">
        <f>IF(VLOOKUP(Table311[[#This Row],[Date]],'DB Details'!$A:$Q,16)=0,"",VLOOKUP(Table311[[#This Row],[Date]],'DB Details'!$A:$Q,16))</f>
        <v/>
      </c>
      <c r="D111" s="61">
        <f>IF(VLOOKUP(Table311[[#This Row],[Date]],'DB Details'!$A:$Q,15)=0,"",VLOOKUP(Table311[[#This Row],[Date]],'DB Details'!$A:$Q,15))</f>
        <v/>
      </c>
      <c r="E111" s="61">
        <f>IF(VLOOKUP(Table311[[#This Row],[Date]],'DB Details'!$A:$Q,17)=0,"",VLOOKUP(Table311[[#This Row],[Date]],'DB Details'!$A:$Q,17))</f>
        <v/>
      </c>
    </row>
    <row r="112">
      <c r="A112" s="60" t="n">
        <v>38838</v>
      </c>
      <c r="B112" s="50">
        <f>IF(VLOOKUP(Table311[[#This Row],[Date]],'DB Details'!$A:$Q,12)=0,"",VLOOKUP(Table311[[#This Row],[Date]],'DB Details'!$A:$Q,12))</f>
        <v/>
      </c>
      <c r="C112" s="61">
        <f>IF(VLOOKUP(Table311[[#This Row],[Date]],'DB Details'!$A:$Q,16)=0,"",VLOOKUP(Table311[[#This Row],[Date]],'DB Details'!$A:$Q,16))</f>
        <v/>
      </c>
      <c r="D112" s="61">
        <f>IF(VLOOKUP(Table311[[#This Row],[Date]],'DB Details'!$A:$Q,15)=0,"",VLOOKUP(Table311[[#This Row],[Date]],'DB Details'!$A:$Q,15))</f>
        <v/>
      </c>
      <c r="E112" s="61">
        <f>IF(VLOOKUP(Table311[[#This Row],[Date]],'DB Details'!$A:$Q,17)=0,"",VLOOKUP(Table311[[#This Row],[Date]],'DB Details'!$A:$Q,17))</f>
        <v/>
      </c>
    </row>
    <row r="113">
      <c r="A113" s="60" t="n">
        <v>38869</v>
      </c>
      <c r="B113" s="50">
        <f>IF(VLOOKUP(Table311[[#This Row],[Date]],'DB Details'!$A:$Q,12)=0,"",VLOOKUP(Table311[[#This Row],[Date]],'DB Details'!$A:$Q,12))</f>
        <v/>
      </c>
      <c r="C113" s="61">
        <f>IF(VLOOKUP(Table311[[#This Row],[Date]],'DB Details'!$A:$Q,16)=0,"",VLOOKUP(Table311[[#This Row],[Date]],'DB Details'!$A:$Q,16))</f>
        <v/>
      </c>
      <c r="D113" s="61">
        <f>IF(VLOOKUP(Table311[[#This Row],[Date]],'DB Details'!$A:$Q,15)=0,"",VLOOKUP(Table311[[#This Row],[Date]],'DB Details'!$A:$Q,15))</f>
        <v/>
      </c>
      <c r="E113" s="61">
        <f>IF(VLOOKUP(Table311[[#This Row],[Date]],'DB Details'!$A:$Q,17)=0,"",VLOOKUP(Table311[[#This Row],[Date]],'DB Details'!$A:$Q,17))</f>
        <v/>
      </c>
    </row>
    <row r="114">
      <c r="A114" s="60" t="n">
        <v>38899</v>
      </c>
      <c r="B114" s="50">
        <f>IF(VLOOKUP(Table311[[#This Row],[Date]],'DB Details'!$A:$Q,12)=0,"",VLOOKUP(Table311[[#This Row],[Date]],'DB Details'!$A:$Q,12))</f>
        <v/>
      </c>
      <c r="C114" s="61">
        <f>IF(VLOOKUP(Table311[[#This Row],[Date]],'DB Details'!$A:$Q,16)=0,"",VLOOKUP(Table311[[#This Row],[Date]],'DB Details'!$A:$Q,16))</f>
        <v/>
      </c>
      <c r="D114" s="61">
        <f>IF(VLOOKUP(Table311[[#This Row],[Date]],'DB Details'!$A:$Q,15)=0,"",VLOOKUP(Table311[[#This Row],[Date]],'DB Details'!$A:$Q,15))</f>
        <v/>
      </c>
      <c r="E114" s="61">
        <f>IF(VLOOKUP(Table311[[#This Row],[Date]],'DB Details'!$A:$Q,17)=0,"",VLOOKUP(Table311[[#This Row],[Date]],'DB Details'!$A:$Q,17))</f>
        <v/>
      </c>
    </row>
    <row r="115">
      <c r="A115" s="60" t="n">
        <v>38930</v>
      </c>
      <c r="B115" s="50">
        <f>IF(VLOOKUP(Table311[[#This Row],[Date]],'DB Details'!$A:$Q,12)=0,"",VLOOKUP(Table311[[#This Row],[Date]],'DB Details'!$A:$Q,12))</f>
        <v/>
      </c>
      <c r="C115" s="61">
        <f>IF(VLOOKUP(Table311[[#This Row],[Date]],'DB Details'!$A:$Q,16)=0,"",VLOOKUP(Table311[[#This Row],[Date]],'DB Details'!$A:$Q,16))</f>
        <v/>
      </c>
      <c r="D115" s="61">
        <f>IF(VLOOKUP(Table311[[#This Row],[Date]],'DB Details'!$A:$Q,15)=0,"",VLOOKUP(Table311[[#This Row],[Date]],'DB Details'!$A:$Q,15))</f>
        <v/>
      </c>
      <c r="E115" s="61">
        <f>IF(VLOOKUP(Table311[[#This Row],[Date]],'DB Details'!$A:$Q,17)=0,"",VLOOKUP(Table311[[#This Row],[Date]],'DB Details'!$A:$Q,17))</f>
        <v/>
      </c>
    </row>
    <row r="116">
      <c r="A116" s="60" t="n">
        <v>38961</v>
      </c>
      <c r="B116" s="50">
        <f>IF(VLOOKUP(Table311[[#This Row],[Date]],'DB Details'!$A:$Q,12)=0,"",VLOOKUP(Table311[[#This Row],[Date]],'DB Details'!$A:$Q,12))</f>
        <v/>
      </c>
      <c r="C116" s="61">
        <f>IF(VLOOKUP(Table311[[#This Row],[Date]],'DB Details'!$A:$Q,16)=0,"",VLOOKUP(Table311[[#This Row],[Date]],'DB Details'!$A:$Q,16))</f>
        <v/>
      </c>
      <c r="D116" s="61">
        <f>IF(VLOOKUP(Table311[[#This Row],[Date]],'DB Details'!$A:$Q,15)=0,"",VLOOKUP(Table311[[#This Row],[Date]],'DB Details'!$A:$Q,15))</f>
        <v/>
      </c>
      <c r="E116" s="61">
        <f>IF(VLOOKUP(Table311[[#This Row],[Date]],'DB Details'!$A:$Q,17)=0,"",VLOOKUP(Table311[[#This Row],[Date]],'DB Details'!$A:$Q,17))</f>
        <v/>
      </c>
    </row>
    <row r="117">
      <c r="A117" s="60" t="n">
        <v>38991</v>
      </c>
      <c r="B117" s="50">
        <f>IF(VLOOKUP(Table311[[#This Row],[Date]],'DB Details'!$A:$Q,12)=0,"",VLOOKUP(Table311[[#This Row],[Date]],'DB Details'!$A:$Q,12))</f>
        <v/>
      </c>
      <c r="C117" s="61">
        <f>IF(VLOOKUP(Table311[[#This Row],[Date]],'DB Details'!$A:$Q,16)=0,"",VLOOKUP(Table311[[#This Row],[Date]],'DB Details'!$A:$Q,16))</f>
        <v/>
      </c>
      <c r="D117" s="61">
        <f>IF(VLOOKUP(Table311[[#This Row],[Date]],'DB Details'!$A:$Q,15)=0,"",VLOOKUP(Table311[[#This Row],[Date]],'DB Details'!$A:$Q,15))</f>
        <v/>
      </c>
      <c r="E117" s="61">
        <f>IF(VLOOKUP(Table311[[#This Row],[Date]],'DB Details'!$A:$Q,17)=0,"",VLOOKUP(Table311[[#This Row],[Date]],'DB Details'!$A:$Q,17))</f>
        <v/>
      </c>
    </row>
    <row r="118">
      <c r="A118" s="60" t="n">
        <v>39022</v>
      </c>
      <c r="B118" s="50">
        <f>IF(VLOOKUP(Table311[[#This Row],[Date]],'DB Details'!$A:$Q,12)=0,"",VLOOKUP(Table311[[#This Row],[Date]],'DB Details'!$A:$Q,12))</f>
        <v/>
      </c>
      <c r="C118" s="61">
        <f>IF(VLOOKUP(Table311[[#This Row],[Date]],'DB Details'!$A:$Q,16)=0,"",VLOOKUP(Table311[[#This Row],[Date]],'DB Details'!$A:$Q,16))</f>
        <v/>
      </c>
      <c r="D118" s="61">
        <f>IF(VLOOKUP(Table311[[#This Row],[Date]],'DB Details'!$A:$Q,15)=0,"",VLOOKUP(Table311[[#This Row],[Date]],'DB Details'!$A:$Q,15))</f>
        <v/>
      </c>
      <c r="E118" s="61">
        <f>IF(VLOOKUP(Table311[[#This Row],[Date]],'DB Details'!$A:$Q,17)=0,"",VLOOKUP(Table311[[#This Row],[Date]],'DB Details'!$A:$Q,17))</f>
        <v/>
      </c>
    </row>
    <row r="119">
      <c r="A119" s="60" t="n">
        <v>39052</v>
      </c>
      <c r="B119" s="50">
        <f>IF(VLOOKUP(Table311[[#This Row],[Date]],'DB Details'!$A:$Q,12)=0,"",VLOOKUP(Table311[[#This Row],[Date]],'DB Details'!$A:$Q,12))</f>
        <v/>
      </c>
      <c r="C119" s="61">
        <f>IF(VLOOKUP(Table311[[#This Row],[Date]],'DB Details'!$A:$Q,16)=0,"",VLOOKUP(Table311[[#This Row],[Date]],'DB Details'!$A:$Q,16))</f>
        <v/>
      </c>
      <c r="D119" s="61">
        <f>IF(VLOOKUP(Table311[[#This Row],[Date]],'DB Details'!$A:$Q,15)=0,"",VLOOKUP(Table311[[#This Row],[Date]],'DB Details'!$A:$Q,15))</f>
        <v/>
      </c>
      <c r="E119" s="61">
        <f>IF(VLOOKUP(Table311[[#This Row],[Date]],'DB Details'!$A:$Q,17)=0,"",VLOOKUP(Table311[[#This Row],[Date]],'DB Details'!$A:$Q,17))</f>
        <v/>
      </c>
    </row>
    <row r="120">
      <c r="A120" s="60" t="n">
        <v>39083</v>
      </c>
      <c r="B120" s="50">
        <f>IF(VLOOKUP(Table311[[#This Row],[Date]],'DB Details'!$A:$Q,12)=0,"",VLOOKUP(Table311[[#This Row],[Date]],'DB Details'!$A:$Q,12))</f>
        <v/>
      </c>
      <c r="C120" s="61">
        <f>IF(VLOOKUP(Table311[[#This Row],[Date]],'DB Details'!$A:$Q,16)=0,"",VLOOKUP(Table311[[#This Row],[Date]],'DB Details'!$A:$Q,16))</f>
        <v/>
      </c>
      <c r="D120" s="61">
        <f>IF(VLOOKUP(Table311[[#This Row],[Date]],'DB Details'!$A:$Q,15)=0,"",VLOOKUP(Table311[[#This Row],[Date]],'DB Details'!$A:$Q,15))</f>
        <v/>
      </c>
      <c r="E120" s="61">
        <f>IF(VLOOKUP(Table311[[#This Row],[Date]],'DB Details'!$A:$Q,17)=0,"",VLOOKUP(Table311[[#This Row],[Date]],'DB Details'!$A:$Q,17))</f>
        <v/>
      </c>
    </row>
    <row r="121">
      <c r="A121" s="60" t="n">
        <v>39114</v>
      </c>
      <c r="B121" s="50">
        <f>IF(VLOOKUP(Table311[[#This Row],[Date]],'DB Details'!$A:$Q,12)=0,"",VLOOKUP(Table311[[#This Row],[Date]],'DB Details'!$A:$Q,12))</f>
        <v/>
      </c>
      <c r="C121" s="61">
        <f>IF(VLOOKUP(Table311[[#This Row],[Date]],'DB Details'!$A:$Q,16)=0,"",VLOOKUP(Table311[[#This Row],[Date]],'DB Details'!$A:$Q,16))</f>
        <v/>
      </c>
      <c r="D121" s="61">
        <f>IF(VLOOKUP(Table311[[#This Row],[Date]],'DB Details'!$A:$Q,15)=0,"",VLOOKUP(Table311[[#This Row],[Date]],'DB Details'!$A:$Q,15))</f>
        <v/>
      </c>
      <c r="E121" s="61">
        <f>IF(VLOOKUP(Table311[[#This Row],[Date]],'DB Details'!$A:$Q,17)=0,"",VLOOKUP(Table311[[#This Row],[Date]],'DB Details'!$A:$Q,17))</f>
        <v/>
      </c>
    </row>
    <row r="122">
      <c r="A122" s="60" t="n">
        <v>39142</v>
      </c>
      <c r="B122" s="50">
        <f>IF(VLOOKUP(Table311[[#This Row],[Date]],'DB Details'!$A:$Q,12)=0,"",VLOOKUP(Table311[[#This Row],[Date]],'DB Details'!$A:$Q,12))</f>
        <v/>
      </c>
      <c r="C122" s="61">
        <f>IF(VLOOKUP(Table311[[#This Row],[Date]],'DB Details'!$A:$Q,16)=0,"",VLOOKUP(Table311[[#This Row],[Date]],'DB Details'!$A:$Q,16))</f>
        <v/>
      </c>
      <c r="D122" s="61">
        <f>IF(VLOOKUP(Table311[[#This Row],[Date]],'DB Details'!$A:$Q,15)=0,"",VLOOKUP(Table311[[#This Row],[Date]],'DB Details'!$A:$Q,15))</f>
        <v/>
      </c>
      <c r="E122" s="61">
        <f>IF(VLOOKUP(Table311[[#This Row],[Date]],'DB Details'!$A:$Q,17)=0,"",VLOOKUP(Table311[[#This Row],[Date]],'DB Details'!$A:$Q,17))</f>
        <v/>
      </c>
    </row>
    <row r="123">
      <c r="A123" s="60" t="n">
        <v>39173</v>
      </c>
      <c r="B123" s="50">
        <f>IF(VLOOKUP(Table311[[#This Row],[Date]],'DB Details'!$A:$Q,12)=0,"",VLOOKUP(Table311[[#This Row],[Date]],'DB Details'!$A:$Q,12))</f>
        <v/>
      </c>
      <c r="C123" s="61">
        <f>IF(VLOOKUP(Table311[[#This Row],[Date]],'DB Details'!$A:$Q,16)=0,"",VLOOKUP(Table311[[#This Row],[Date]],'DB Details'!$A:$Q,16))</f>
        <v/>
      </c>
      <c r="D123" s="61">
        <f>IF(VLOOKUP(Table311[[#This Row],[Date]],'DB Details'!$A:$Q,15)=0,"",VLOOKUP(Table311[[#This Row],[Date]],'DB Details'!$A:$Q,15))</f>
        <v/>
      </c>
      <c r="E123" s="61">
        <f>IF(VLOOKUP(Table311[[#This Row],[Date]],'DB Details'!$A:$Q,17)=0,"",VLOOKUP(Table311[[#This Row],[Date]],'DB Details'!$A:$Q,17))</f>
        <v/>
      </c>
    </row>
    <row r="124">
      <c r="A124" s="60" t="n">
        <v>39203</v>
      </c>
      <c r="B124" s="50">
        <f>IF(VLOOKUP(Table311[[#This Row],[Date]],'DB Details'!$A:$Q,12)=0,"",VLOOKUP(Table311[[#This Row],[Date]],'DB Details'!$A:$Q,12))</f>
        <v/>
      </c>
      <c r="C124" s="61">
        <f>IF(VLOOKUP(Table311[[#This Row],[Date]],'DB Details'!$A:$Q,16)=0,"",VLOOKUP(Table311[[#This Row],[Date]],'DB Details'!$A:$Q,16))</f>
        <v/>
      </c>
      <c r="D124" s="61">
        <f>IF(VLOOKUP(Table311[[#This Row],[Date]],'DB Details'!$A:$Q,15)=0,"",VLOOKUP(Table311[[#This Row],[Date]],'DB Details'!$A:$Q,15))</f>
        <v/>
      </c>
      <c r="E124" s="61">
        <f>IF(VLOOKUP(Table311[[#This Row],[Date]],'DB Details'!$A:$Q,17)=0,"",VLOOKUP(Table311[[#This Row],[Date]],'DB Details'!$A:$Q,17))</f>
        <v/>
      </c>
    </row>
    <row r="125">
      <c r="A125" s="60" t="n">
        <v>39234</v>
      </c>
      <c r="B125" s="50">
        <f>IF(VLOOKUP(Table311[[#This Row],[Date]],'DB Details'!$A:$Q,12)=0,"",VLOOKUP(Table311[[#This Row],[Date]],'DB Details'!$A:$Q,12))</f>
        <v/>
      </c>
      <c r="C125" s="61">
        <f>IF(VLOOKUP(Table311[[#This Row],[Date]],'DB Details'!$A:$Q,16)=0,"",VLOOKUP(Table311[[#This Row],[Date]],'DB Details'!$A:$Q,16))</f>
        <v/>
      </c>
      <c r="D125" s="61">
        <f>IF(VLOOKUP(Table311[[#This Row],[Date]],'DB Details'!$A:$Q,15)=0,"",VLOOKUP(Table311[[#This Row],[Date]],'DB Details'!$A:$Q,15))</f>
        <v/>
      </c>
      <c r="E125" s="61">
        <f>IF(VLOOKUP(Table311[[#This Row],[Date]],'DB Details'!$A:$Q,17)=0,"",VLOOKUP(Table311[[#This Row],[Date]],'DB Details'!$A:$Q,17))</f>
        <v/>
      </c>
    </row>
    <row r="126">
      <c r="A126" s="60" t="n">
        <v>39264</v>
      </c>
      <c r="B126" s="50">
        <f>IF(VLOOKUP(Table311[[#This Row],[Date]],'DB Details'!$A:$Q,12)=0,"",VLOOKUP(Table311[[#This Row],[Date]],'DB Details'!$A:$Q,12))</f>
        <v/>
      </c>
      <c r="C126" s="61">
        <f>IF(VLOOKUP(Table311[[#This Row],[Date]],'DB Details'!$A:$Q,16)=0,"",VLOOKUP(Table311[[#This Row],[Date]],'DB Details'!$A:$Q,16))</f>
        <v/>
      </c>
      <c r="D126" s="61">
        <f>IF(VLOOKUP(Table311[[#This Row],[Date]],'DB Details'!$A:$Q,15)=0,"",VLOOKUP(Table311[[#This Row],[Date]],'DB Details'!$A:$Q,15))</f>
        <v/>
      </c>
      <c r="E126" s="61">
        <f>IF(VLOOKUP(Table311[[#This Row],[Date]],'DB Details'!$A:$Q,17)=0,"",VLOOKUP(Table311[[#This Row],[Date]],'DB Details'!$A:$Q,17))</f>
        <v/>
      </c>
    </row>
    <row r="127">
      <c r="A127" s="60" t="n">
        <v>39295</v>
      </c>
      <c r="B127" s="50">
        <f>IF(VLOOKUP(Table311[[#This Row],[Date]],'DB Details'!$A:$Q,12)=0,"",VLOOKUP(Table311[[#This Row],[Date]],'DB Details'!$A:$Q,12))</f>
        <v/>
      </c>
      <c r="C127" s="61">
        <f>IF(VLOOKUP(Table311[[#This Row],[Date]],'DB Details'!$A:$Q,16)=0,"",VLOOKUP(Table311[[#This Row],[Date]],'DB Details'!$A:$Q,16))</f>
        <v/>
      </c>
      <c r="D127" s="61">
        <f>IF(VLOOKUP(Table311[[#This Row],[Date]],'DB Details'!$A:$Q,15)=0,"",VLOOKUP(Table311[[#This Row],[Date]],'DB Details'!$A:$Q,15))</f>
        <v/>
      </c>
      <c r="E127" s="61">
        <f>IF(VLOOKUP(Table311[[#This Row],[Date]],'DB Details'!$A:$Q,17)=0,"",VLOOKUP(Table311[[#This Row],[Date]],'DB Details'!$A:$Q,17))</f>
        <v/>
      </c>
    </row>
    <row r="128">
      <c r="A128" s="60" t="n">
        <v>39326</v>
      </c>
      <c r="B128" s="50">
        <f>IF(VLOOKUP(Table311[[#This Row],[Date]],'DB Details'!$A:$Q,12)=0,"",VLOOKUP(Table311[[#This Row],[Date]],'DB Details'!$A:$Q,12))</f>
        <v/>
      </c>
      <c r="C128" s="61">
        <f>IF(VLOOKUP(Table311[[#This Row],[Date]],'DB Details'!$A:$Q,16)=0,"",VLOOKUP(Table311[[#This Row],[Date]],'DB Details'!$A:$Q,16))</f>
        <v/>
      </c>
      <c r="D128" s="61">
        <f>IF(VLOOKUP(Table311[[#This Row],[Date]],'DB Details'!$A:$Q,15)=0,"",VLOOKUP(Table311[[#This Row],[Date]],'DB Details'!$A:$Q,15))</f>
        <v/>
      </c>
      <c r="E128" s="61">
        <f>IF(VLOOKUP(Table311[[#This Row],[Date]],'DB Details'!$A:$Q,17)=0,"",VLOOKUP(Table311[[#This Row],[Date]],'DB Details'!$A:$Q,17))</f>
        <v/>
      </c>
    </row>
    <row r="129">
      <c r="A129" s="60" t="n">
        <v>39356</v>
      </c>
      <c r="B129" s="50">
        <f>IF(VLOOKUP(Table311[[#This Row],[Date]],'DB Details'!$A:$Q,12)=0,"",VLOOKUP(Table311[[#This Row],[Date]],'DB Details'!$A:$Q,12))</f>
        <v/>
      </c>
      <c r="C129" s="61">
        <f>IF(VLOOKUP(Table311[[#This Row],[Date]],'DB Details'!$A:$Q,16)=0,"",VLOOKUP(Table311[[#This Row],[Date]],'DB Details'!$A:$Q,16))</f>
        <v/>
      </c>
      <c r="D129" s="61">
        <f>IF(VLOOKUP(Table311[[#This Row],[Date]],'DB Details'!$A:$Q,15)=0,"",VLOOKUP(Table311[[#This Row],[Date]],'DB Details'!$A:$Q,15))</f>
        <v/>
      </c>
      <c r="E129" s="61">
        <f>IF(VLOOKUP(Table311[[#This Row],[Date]],'DB Details'!$A:$Q,17)=0,"",VLOOKUP(Table311[[#This Row],[Date]],'DB Details'!$A:$Q,17))</f>
        <v/>
      </c>
    </row>
    <row r="130">
      <c r="A130" s="60" t="n">
        <v>39387</v>
      </c>
      <c r="B130" s="50">
        <f>IF(VLOOKUP(Table311[[#This Row],[Date]],'DB Details'!$A:$Q,12)=0,"",VLOOKUP(Table311[[#This Row],[Date]],'DB Details'!$A:$Q,12))</f>
        <v/>
      </c>
      <c r="C130" s="61">
        <f>IF(VLOOKUP(Table311[[#This Row],[Date]],'DB Details'!$A:$Q,16)=0,"",VLOOKUP(Table311[[#This Row],[Date]],'DB Details'!$A:$Q,16))</f>
        <v/>
      </c>
      <c r="D130" s="61">
        <f>IF(VLOOKUP(Table311[[#This Row],[Date]],'DB Details'!$A:$Q,15)=0,"",VLOOKUP(Table311[[#This Row],[Date]],'DB Details'!$A:$Q,15))</f>
        <v/>
      </c>
      <c r="E130" s="61">
        <f>IF(VLOOKUP(Table311[[#This Row],[Date]],'DB Details'!$A:$Q,17)=0,"",VLOOKUP(Table311[[#This Row],[Date]],'DB Details'!$A:$Q,17))</f>
        <v/>
      </c>
    </row>
    <row r="131">
      <c r="A131" s="60" t="n">
        <v>39417</v>
      </c>
      <c r="B131" s="50">
        <f>IF(VLOOKUP(Table311[[#This Row],[Date]],'DB Details'!$A:$Q,12)=0,"",VLOOKUP(Table311[[#This Row],[Date]],'DB Details'!$A:$Q,12))</f>
        <v/>
      </c>
      <c r="C131" s="61">
        <f>IF(VLOOKUP(Table311[[#This Row],[Date]],'DB Details'!$A:$Q,16)=0,"",VLOOKUP(Table311[[#This Row],[Date]],'DB Details'!$A:$Q,16))</f>
        <v/>
      </c>
      <c r="D131" s="61">
        <f>IF(VLOOKUP(Table311[[#This Row],[Date]],'DB Details'!$A:$Q,15)=0,"",VLOOKUP(Table311[[#This Row],[Date]],'DB Details'!$A:$Q,15))</f>
        <v/>
      </c>
      <c r="E131" s="61">
        <f>IF(VLOOKUP(Table311[[#This Row],[Date]],'DB Details'!$A:$Q,17)=0,"",VLOOKUP(Table311[[#This Row],[Date]],'DB Details'!$A:$Q,17))</f>
        <v/>
      </c>
    </row>
    <row r="132">
      <c r="A132" s="60" t="n">
        <v>39448</v>
      </c>
      <c r="B132" s="50">
        <f>IF(VLOOKUP(Table311[[#This Row],[Date]],'DB Details'!$A:$Q,12)=0,"",VLOOKUP(Table311[[#This Row],[Date]],'DB Details'!$A:$Q,12))</f>
        <v/>
      </c>
      <c r="C132" s="61">
        <f>IF(VLOOKUP(Table311[[#This Row],[Date]],'DB Details'!$A:$Q,16)=0,"",VLOOKUP(Table311[[#This Row],[Date]],'DB Details'!$A:$Q,16))</f>
        <v/>
      </c>
      <c r="D132" s="61">
        <f>IF(VLOOKUP(Table311[[#This Row],[Date]],'DB Details'!$A:$Q,15)=0,"",VLOOKUP(Table311[[#This Row],[Date]],'DB Details'!$A:$Q,15))</f>
        <v/>
      </c>
      <c r="E132" s="61">
        <f>IF(VLOOKUP(Table311[[#This Row],[Date]],'DB Details'!$A:$Q,17)=0,"",VLOOKUP(Table311[[#This Row],[Date]],'DB Details'!$A:$Q,17))</f>
        <v/>
      </c>
    </row>
    <row r="133">
      <c r="A133" s="60" t="n">
        <v>39479</v>
      </c>
      <c r="B133" s="50">
        <f>IF(VLOOKUP(Table311[[#This Row],[Date]],'DB Details'!$A:$Q,12)=0,"",VLOOKUP(Table311[[#This Row],[Date]],'DB Details'!$A:$Q,12))</f>
        <v/>
      </c>
      <c r="C133" s="61">
        <f>IF(VLOOKUP(Table311[[#This Row],[Date]],'DB Details'!$A:$Q,16)=0,"",VLOOKUP(Table311[[#This Row],[Date]],'DB Details'!$A:$Q,16))</f>
        <v/>
      </c>
      <c r="D133" s="61">
        <f>IF(VLOOKUP(Table311[[#This Row],[Date]],'DB Details'!$A:$Q,15)=0,"",VLOOKUP(Table311[[#This Row],[Date]],'DB Details'!$A:$Q,15))</f>
        <v/>
      </c>
      <c r="E133" s="61">
        <f>IF(VLOOKUP(Table311[[#This Row],[Date]],'DB Details'!$A:$Q,17)=0,"",VLOOKUP(Table311[[#This Row],[Date]],'DB Details'!$A:$Q,17))</f>
        <v/>
      </c>
    </row>
    <row r="134">
      <c r="A134" s="60" t="n">
        <v>39508</v>
      </c>
      <c r="B134" s="50">
        <f>IF(VLOOKUP(Table311[[#This Row],[Date]],'DB Details'!$A:$Q,12)=0,"",VLOOKUP(Table311[[#This Row],[Date]],'DB Details'!$A:$Q,12))</f>
        <v/>
      </c>
      <c r="C134" s="61">
        <f>IF(VLOOKUP(Table311[[#This Row],[Date]],'DB Details'!$A:$Q,16)=0,"",VLOOKUP(Table311[[#This Row],[Date]],'DB Details'!$A:$Q,16))</f>
        <v/>
      </c>
      <c r="D134" s="61">
        <f>IF(VLOOKUP(Table311[[#This Row],[Date]],'DB Details'!$A:$Q,15)=0,"",VLOOKUP(Table311[[#This Row],[Date]],'DB Details'!$A:$Q,15))</f>
        <v/>
      </c>
      <c r="E134" s="61">
        <f>IF(VLOOKUP(Table311[[#This Row],[Date]],'DB Details'!$A:$Q,17)=0,"",VLOOKUP(Table311[[#This Row],[Date]],'DB Details'!$A:$Q,17))</f>
        <v/>
      </c>
    </row>
    <row r="135">
      <c r="A135" s="60" t="n">
        <v>39539</v>
      </c>
      <c r="B135" s="50">
        <f>IF(VLOOKUP(Table311[[#This Row],[Date]],'DB Details'!$A:$Q,12)=0,"",VLOOKUP(Table311[[#This Row],[Date]],'DB Details'!$A:$Q,12))</f>
        <v/>
      </c>
      <c r="C135" s="61">
        <f>IF(VLOOKUP(Table311[[#This Row],[Date]],'DB Details'!$A:$Q,16)=0,"",VLOOKUP(Table311[[#This Row],[Date]],'DB Details'!$A:$Q,16))</f>
        <v/>
      </c>
      <c r="D135" s="61">
        <f>IF(VLOOKUP(Table311[[#This Row],[Date]],'DB Details'!$A:$Q,15)=0,"",VLOOKUP(Table311[[#This Row],[Date]],'DB Details'!$A:$Q,15))</f>
        <v/>
      </c>
      <c r="E135" s="61">
        <f>IF(VLOOKUP(Table311[[#This Row],[Date]],'DB Details'!$A:$Q,17)=0,"",VLOOKUP(Table311[[#This Row],[Date]],'DB Details'!$A:$Q,17))</f>
        <v/>
      </c>
    </row>
    <row r="136">
      <c r="A136" s="60" t="n">
        <v>39569</v>
      </c>
      <c r="B136" s="50">
        <f>IF(VLOOKUP(Table311[[#This Row],[Date]],'DB Details'!$A:$Q,12)=0,"",VLOOKUP(Table311[[#This Row],[Date]],'DB Details'!$A:$Q,12))</f>
        <v/>
      </c>
      <c r="C136" s="61">
        <f>IF(VLOOKUP(Table311[[#This Row],[Date]],'DB Details'!$A:$Q,16)=0,"",VLOOKUP(Table311[[#This Row],[Date]],'DB Details'!$A:$Q,16))</f>
        <v/>
      </c>
      <c r="D136" s="61">
        <f>IF(VLOOKUP(Table311[[#This Row],[Date]],'DB Details'!$A:$Q,15)=0,"",VLOOKUP(Table311[[#This Row],[Date]],'DB Details'!$A:$Q,15))</f>
        <v/>
      </c>
      <c r="E136" s="61">
        <f>IF(VLOOKUP(Table311[[#This Row],[Date]],'DB Details'!$A:$Q,17)=0,"",VLOOKUP(Table311[[#This Row],[Date]],'DB Details'!$A:$Q,17))</f>
        <v/>
      </c>
    </row>
    <row r="137">
      <c r="A137" s="60" t="n">
        <v>39600</v>
      </c>
      <c r="B137" s="50">
        <f>IF(VLOOKUP(Table311[[#This Row],[Date]],'DB Details'!$A:$Q,12)=0,"",VLOOKUP(Table311[[#This Row],[Date]],'DB Details'!$A:$Q,12))</f>
        <v/>
      </c>
      <c r="C137" s="61">
        <f>IF(VLOOKUP(Table311[[#This Row],[Date]],'DB Details'!$A:$Q,16)=0,"",VLOOKUP(Table311[[#This Row],[Date]],'DB Details'!$A:$Q,16))</f>
        <v/>
      </c>
      <c r="D137" s="61">
        <f>IF(VLOOKUP(Table311[[#This Row],[Date]],'DB Details'!$A:$Q,15)=0,"",VLOOKUP(Table311[[#This Row],[Date]],'DB Details'!$A:$Q,15))</f>
        <v/>
      </c>
      <c r="E137" s="61">
        <f>IF(VLOOKUP(Table311[[#This Row],[Date]],'DB Details'!$A:$Q,17)=0,"",VLOOKUP(Table311[[#This Row],[Date]],'DB Details'!$A:$Q,17))</f>
        <v/>
      </c>
    </row>
    <row r="138">
      <c r="A138" s="60" t="n">
        <v>39630</v>
      </c>
      <c r="B138" s="50">
        <f>IF(VLOOKUP(Table311[[#This Row],[Date]],'DB Details'!$A:$Q,12)=0,"",VLOOKUP(Table311[[#This Row],[Date]],'DB Details'!$A:$Q,12))</f>
        <v/>
      </c>
      <c r="C138" s="61">
        <f>IF(VLOOKUP(Table311[[#This Row],[Date]],'DB Details'!$A:$Q,16)=0,"",VLOOKUP(Table311[[#This Row],[Date]],'DB Details'!$A:$Q,16))</f>
        <v/>
      </c>
      <c r="D138" s="61">
        <f>IF(VLOOKUP(Table311[[#This Row],[Date]],'DB Details'!$A:$Q,15)=0,"",VLOOKUP(Table311[[#This Row],[Date]],'DB Details'!$A:$Q,15))</f>
        <v/>
      </c>
      <c r="E138" s="61">
        <f>IF(VLOOKUP(Table311[[#This Row],[Date]],'DB Details'!$A:$Q,17)=0,"",VLOOKUP(Table311[[#This Row],[Date]],'DB Details'!$A:$Q,17))</f>
        <v/>
      </c>
    </row>
    <row r="139">
      <c r="A139" s="60" t="n">
        <v>39661</v>
      </c>
      <c r="B139" s="50">
        <f>IF(VLOOKUP(Table311[[#This Row],[Date]],'DB Details'!$A:$Q,12)=0,"",VLOOKUP(Table311[[#This Row],[Date]],'DB Details'!$A:$Q,12))</f>
        <v/>
      </c>
      <c r="C139" s="61">
        <f>IF(VLOOKUP(Table311[[#This Row],[Date]],'DB Details'!$A:$Q,16)=0,"",VLOOKUP(Table311[[#This Row],[Date]],'DB Details'!$A:$Q,16))</f>
        <v/>
      </c>
      <c r="D139" s="61">
        <f>IF(VLOOKUP(Table311[[#This Row],[Date]],'DB Details'!$A:$Q,15)=0,"",VLOOKUP(Table311[[#This Row],[Date]],'DB Details'!$A:$Q,15))</f>
        <v/>
      </c>
      <c r="E139" s="61">
        <f>IF(VLOOKUP(Table311[[#This Row],[Date]],'DB Details'!$A:$Q,17)=0,"",VLOOKUP(Table311[[#This Row],[Date]],'DB Details'!$A:$Q,17))</f>
        <v/>
      </c>
    </row>
    <row r="140">
      <c r="A140" s="60" t="n">
        <v>39692</v>
      </c>
      <c r="B140" s="50">
        <f>IF(VLOOKUP(Table311[[#This Row],[Date]],'DB Details'!$A:$Q,12)=0,"",VLOOKUP(Table311[[#This Row],[Date]],'DB Details'!$A:$Q,12))</f>
        <v/>
      </c>
      <c r="C140" s="61">
        <f>IF(VLOOKUP(Table311[[#This Row],[Date]],'DB Details'!$A:$Q,16)=0,"",VLOOKUP(Table311[[#This Row],[Date]],'DB Details'!$A:$Q,16))</f>
        <v/>
      </c>
      <c r="D140" s="61">
        <f>IF(VLOOKUP(Table311[[#This Row],[Date]],'DB Details'!$A:$Q,15)=0,"",VLOOKUP(Table311[[#This Row],[Date]],'DB Details'!$A:$Q,15))</f>
        <v/>
      </c>
      <c r="E140" s="61">
        <f>IF(VLOOKUP(Table311[[#This Row],[Date]],'DB Details'!$A:$Q,17)=0,"",VLOOKUP(Table311[[#This Row],[Date]],'DB Details'!$A:$Q,17))</f>
        <v/>
      </c>
    </row>
    <row r="141">
      <c r="A141" s="60" t="n">
        <v>39722</v>
      </c>
      <c r="B141" s="50">
        <f>IF(VLOOKUP(Table311[[#This Row],[Date]],'DB Details'!$A:$Q,12)=0,"",VLOOKUP(Table311[[#This Row],[Date]],'DB Details'!$A:$Q,12))</f>
        <v/>
      </c>
      <c r="C141" s="61">
        <f>IF(VLOOKUP(Table311[[#This Row],[Date]],'DB Details'!$A:$Q,16)=0,"",VLOOKUP(Table311[[#This Row],[Date]],'DB Details'!$A:$Q,16))</f>
        <v/>
      </c>
      <c r="D141" s="61">
        <f>IF(VLOOKUP(Table311[[#This Row],[Date]],'DB Details'!$A:$Q,15)=0,"",VLOOKUP(Table311[[#This Row],[Date]],'DB Details'!$A:$Q,15))</f>
        <v/>
      </c>
      <c r="E141" s="61">
        <f>IF(VLOOKUP(Table311[[#This Row],[Date]],'DB Details'!$A:$Q,17)=0,"",VLOOKUP(Table311[[#This Row],[Date]],'DB Details'!$A:$Q,17))</f>
        <v/>
      </c>
    </row>
    <row r="142">
      <c r="A142" s="60" t="n">
        <v>39753</v>
      </c>
      <c r="B142" s="50">
        <f>IF(VLOOKUP(Table311[[#This Row],[Date]],'DB Details'!$A:$Q,12)=0,"",VLOOKUP(Table311[[#This Row],[Date]],'DB Details'!$A:$Q,12))</f>
        <v/>
      </c>
      <c r="C142" s="61">
        <f>IF(VLOOKUP(Table311[[#This Row],[Date]],'DB Details'!$A:$Q,16)=0,"",VLOOKUP(Table311[[#This Row],[Date]],'DB Details'!$A:$Q,16))</f>
        <v/>
      </c>
      <c r="D142" s="61">
        <f>IF(VLOOKUP(Table311[[#This Row],[Date]],'DB Details'!$A:$Q,15)=0,"",VLOOKUP(Table311[[#This Row],[Date]],'DB Details'!$A:$Q,15))</f>
        <v/>
      </c>
      <c r="E142" s="61">
        <f>IF(VLOOKUP(Table311[[#This Row],[Date]],'DB Details'!$A:$Q,17)=0,"",VLOOKUP(Table311[[#This Row],[Date]],'DB Details'!$A:$Q,17))</f>
        <v/>
      </c>
    </row>
    <row r="143">
      <c r="A143" s="60" t="n">
        <v>39783</v>
      </c>
      <c r="B143" s="50">
        <f>IF(VLOOKUP(Table311[[#This Row],[Date]],'DB Details'!$A:$Q,12)=0,"",VLOOKUP(Table311[[#This Row],[Date]],'DB Details'!$A:$Q,12))</f>
        <v/>
      </c>
      <c r="C143" s="61">
        <f>IF(VLOOKUP(Table311[[#This Row],[Date]],'DB Details'!$A:$Q,16)=0,"",VLOOKUP(Table311[[#This Row],[Date]],'DB Details'!$A:$Q,16))</f>
        <v/>
      </c>
      <c r="D143" s="61">
        <f>IF(VLOOKUP(Table311[[#This Row],[Date]],'DB Details'!$A:$Q,15)=0,"",VLOOKUP(Table311[[#This Row],[Date]],'DB Details'!$A:$Q,15))</f>
        <v/>
      </c>
      <c r="E143" s="61">
        <f>IF(VLOOKUP(Table311[[#This Row],[Date]],'DB Details'!$A:$Q,17)=0,"",VLOOKUP(Table311[[#This Row],[Date]],'DB Details'!$A:$Q,17))</f>
        <v/>
      </c>
    </row>
    <row r="144">
      <c r="A144" s="60" t="n">
        <v>39814</v>
      </c>
      <c r="B144" s="50">
        <f>IF(VLOOKUP(Table311[[#This Row],[Date]],'DB Details'!$A:$Q,12)=0,"",VLOOKUP(Table311[[#This Row],[Date]],'DB Details'!$A:$Q,12))</f>
        <v/>
      </c>
      <c r="C144" s="61">
        <f>IF(VLOOKUP(Table311[[#This Row],[Date]],'DB Details'!$A:$Q,16)=0,"",VLOOKUP(Table311[[#This Row],[Date]],'DB Details'!$A:$Q,16))</f>
        <v/>
      </c>
      <c r="D144" s="61">
        <f>IF(VLOOKUP(Table311[[#This Row],[Date]],'DB Details'!$A:$Q,15)=0,"",VLOOKUP(Table311[[#This Row],[Date]],'DB Details'!$A:$Q,15))</f>
        <v/>
      </c>
      <c r="E144" s="61">
        <f>IF(VLOOKUP(Table311[[#This Row],[Date]],'DB Details'!$A:$Q,17)=0,"",VLOOKUP(Table311[[#This Row],[Date]],'DB Details'!$A:$Q,17))</f>
        <v/>
      </c>
    </row>
    <row r="145">
      <c r="A145" s="60" t="n">
        <v>39845</v>
      </c>
      <c r="B145" s="50">
        <f>IF(VLOOKUP(Table311[[#This Row],[Date]],'DB Details'!$A:$Q,12)=0,"",VLOOKUP(Table311[[#This Row],[Date]],'DB Details'!$A:$Q,12))</f>
        <v/>
      </c>
      <c r="C145" s="61">
        <f>IF(VLOOKUP(Table311[[#This Row],[Date]],'DB Details'!$A:$Q,16)=0,"",VLOOKUP(Table311[[#This Row],[Date]],'DB Details'!$A:$Q,16))</f>
        <v/>
      </c>
      <c r="D145" s="61">
        <f>IF(VLOOKUP(Table311[[#This Row],[Date]],'DB Details'!$A:$Q,15)=0,"",VLOOKUP(Table311[[#This Row],[Date]],'DB Details'!$A:$Q,15))</f>
        <v/>
      </c>
      <c r="E145" s="61">
        <f>IF(VLOOKUP(Table311[[#This Row],[Date]],'DB Details'!$A:$Q,17)=0,"",VLOOKUP(Table311[[#This Row],[Date]],'DB Details'!$A:$Q,17))</f>
        <v/>
      </c>
    </row>
    <row r="146">
      <c r="A146" s="60" t="n">
        <v>39873</v>
      </c>
      <c r="B146" s="50">
        <f>IF(VLOOKUP(Table311[[#This Row],[Date]],'DB Details'!$A:$Q,12)=0,"",VLOOKUP(Table311[[#This Row],[Date]],'DB Details'!$A:$Q,12))</f>
        <v/>
      </c>
      <c r="C146" s="61">
        <f>IF(VLOOKUP(Table311[[#This Row],[Date]],'DB Details'!$A:$Q,16)=0,"",VLOOKUP(Table311[[#This Row],[Date]],'DB Details'!$A:$Q,16))</f>
        <v/>
      </c>
      <c r="D146" s="61">
        <f>IF(VLOOKUP(Table311[[#This Row],[Date]],'DB Details'!$A:$Q,15)=0,"",VLOOKUP(Table311[[#This Row],[Date]],'DB Details'!$A:$Q,15))</f>
        <v/>
      </c>
      <c r="E146" s="61">
        <f>IF(VLOOKUP(Table311[[#This Row],[Date]],'DB Details'!$A:$Q,17)=0,"",VLOOKUP(Table311[[#This Row],[Date]],'DB Details'!$A:$Q,17))</f>
        <v/>
      </c>
    </row>
    <row r="147">
      <c r="A147" s="60" t="n">
        <v>39904</v>
      </c>
      <c r="B147" s="50">
        <f>IF(VLOOKUP(Table311[[#This Row],[Date]],'DB Details'!$A:$Q,12)=0,"",VLOOKUP(Table311[[#This Row],[Date]],'DB Details'!$A:$Q,12))</f>
        <v/>
      </c>
      <c r="C147" s="61">
        <f>IF(VLOOKUP(Table311[[#This Row],[Date]],'DB Details'!$A:$Q,16)=0,"",VLOOKUP(Table311[[#This Row],[Date]],'DB Details'!$A:$Q,16))</f>
        <v/>
      </c>
      <c r="D147" s="61">
        <f>IF(VLOOKUP(Table311[[#This Row],[Date]],'DB Details'!$A:$Q,15)=0,"",VLOOKUP(Table311[[#This Row],[Date]],'DB Details'!$A:$Q,15))</f>
        <v/>
      </c>
      <c r="E147" s="61">
        <f>IF(VLOOKUP(Table311[[#This Row],[Date]],'DB Details'!$A:$Q,17)=0,"",VLOOKUP(Table311[[#This Row],[Date]],'DB Details'!$A:$Q,17))</f>
        <v/>
      </c>
    </row>
    <row r="148">
      <c r="A148" s="60" t="n">
        <v>39934</v>
      </c>
      <c r="B148" s="50">
        <f>IF(VLOOKUP(Table311[[#This Row],[Date]],'DB Details'!$A:$Q,12)=0,"",VLOOKUP(Table311[[#This Row],[Date]],'DB Details'!$A:$Q,12))</f>
        <v/>
      </c>
      <c r="C148" s="61">
        <f>IF(VLOOKUP(Table311[[#This Row],[Date]],'DB Details'!$A:$Q,16)=0,"",VLOOKUP(Table311[[#This Row],[Date]],'DB Details'!$A:$Q,16))</f>
        <v/>
      </c>
      <c r="D148" s="61">
        <f>IF(VLOOKUP(Table311[[#This Row],[Date]],'DB Details'!$A:$Q,15)=0,"",VLOOKUP(Table311[[#This Row],[Date]],'DB Details'!$A:$Q,15))</f>
        <v/>
      </c>
      <c r="E148" s="61">
        <f>IF(VLOOKUP(Table311[[#This Row],[Date]],'DB Details'!$A:$Q,17)=0,"",VLOOKUP(Table311[[#This Row],[Date]],'DB Details'!$A:$Q,17))</f>
        <v/>
      </c>
    </row>
    <row r="149">
      <c r="A149" s="60" t="n">
        <v>39965</v>
      </c>
      <c r="B149" s="50">
        <f>IF(VLOOKUP(Table311[[#This Row],[Date]],'DB Details'!$A:$Q,12)=0,"",VLOOKUP(Table311[[#This Row],[Date]],'DB Details'!$A:$Q,12))</f>
        <v/>
      </c>
      <c r="C149" s="61">
        <f>IF(VLOOKUP(Table311[[#This Row],[Date]],'DB Details'!$A:$Q,16)=0,"",VLOOKUP(Table311[[#This Row],[Date]],'DB Details'!$A:$Q,16))</f>
        <v/>
      </c>
      <c r="D149" s="61">
        <f>IF(VLOOKUP(Table311[[#This Row],[Date]],'DB Details'!$A:$Q,15)=0,"",VLOOKUP(Table311[[#This Row],[Date]],'DB Details'!$A:$Q,15))</f>
        <v/>
      </c>
      <c r="E149" s="61">
        <f>IF(VLOOKUP(Table311[[#This Row],[Date]],'DB Details'!$A:$Q,17)=0,"",VLOOKUP(Table311[[#This Row],[Date]],'DB Details'!$A:$Q,17))</f>
        <v/>
      </c>
    </row>
    <row r="150">
      <c r="A150" s="60" t="n">
        <v>39995</v>
      </c>
      <c r="B150" s="50">
        <f>IF(VLOOKUP(Table311[[#This Row],[Date]],'DB Details'!$A:$Q,12)=0,"",VLOOKUP(Table311[[#This Row],[Date]],'DB Details'!$A:$Q,12))</f>
        <v/>
      </c>
      <c r="C150" s="61">
        <f>IF(VLOOKUP(Table311[[#This Row],[Date]],'DB Details'!$A:$Q,16)=0,"",VLOOKUP(Table311[[#This Row],[Date]],'DB Details'!$A:$Q,16))</f>
        <v/>
      </c>
      <c r="D150" s="61">
        <f>IF(VLOOKUP(Table311[[#This Row],[Date]],'DB Details'!$A:$Q,15)=0,"",VLOOKUP(Table311[[#This Row],[Date]],'DB Details'!$A:$Q,15))</f>
        <v/>
      </c>
      <c r="E150" s="61">
        <f>IF(VLOOKUP(Table311[[#This Row],[Date]],'DB Details'!$A:$Q,17)=0,"",VLOOKUP(Table311[[#This Row],[Date]],'DB Details'!$A:$Q,17))</f>
        <v/>
      </c>
    </row>
    <row r="151">
      <c r="A151" s="60" t="n">
        <v>40026</v>
      </c>
      <c r="B151" s="50">
        <f>IF(VLOOKUP(Table311[[#This Row],[Date]],'DB Details'!$A:$Q,12)=0,"",VLOOKUP(Table311[[#This Row],[Date]],'DB Details'!$A:$Q,12))</f>
        <v/>
      </c>
      <c r="C151" s="61">
        <f>IF(VLOOKUP(Table311[[#This Row],[Date]],'DB Details'!$A:$Q,16)=0,"",VLOOKUP(Table311[[#This Row],[Date]],'DB Details'!$A:$Q,16))</f>
        <v/>
      </c>
      <c r="D151" s="61">
        <f>IF(VLOOKUP(Table311[[#This Row],[Date]],'DB Details'!$A:$Q,15)=0,"",VLOOKUP(Table311[[#This Row],[Date]],'DB Details'!$A:$Q,15))</f>
        <v/>
      </c>
      <c r="E151" s="61">
        <f>IF(VLOOKUP(Table311[[#This Row],[Date]],'DB Details'!$A:$Q,17)=0,"",VLOOKUP(Table311[[#This Row],[Date]],'DB Details'!$A:$Q,17))</f>
        <v/>
      </c>
    </row>
    <row r="152">
      <c r="A152" s="60" t="n">
        <v>40057</v>
      </c>
      <c r="B152" s="50">
        <f>IF(VLOOKUP(Table311[[#This Row],[Date]],'DB Details'!$A:$Q,12)=0,"",VLOOKUP(Table311[[#This Row],[Date]],'DB Details'!$A:$Q,12))</f>
        <v/>
      </c>
      <c r="C152" s="61">
        <f>IF(VLOOKUP(Table311[[#This Row],[Date]],'DB Details'!$A:$Q,16)=0,"",VLOOKUP(Table311[[#This Row],[Date]],'DB Details'!$A:$Q,16))</f>
        <v/>
      </c>
      <c r="D152" s="61">
        <f>IF(VLOOKUP(Table311[[#This Row],[Date]],'DB Details'!$A:$Q,15)=0,"",VLOOKUP(Table311[[#This Row],[Date]],'DB Details'!$A:$Q,15))</f>
        <v/>
      </c>
      <c r="E152" s="61">
        <f>IF(VLOOKUP(Table311[[#This Row],[Date]],'DB Details'!$A:$Q,17)=0,"",VLOOKUP(Table311[[#This Row],[Date]],'DB Details'!$A:$Q,17))</f>
        <v/>
      </c>
    </row>
    <row r="153">
      <c r="A153" s="60" t="n">
        <v>40087</v>
      </c>
      <c r="B153" s="50">
        <f>IF(VLOOKUP(Table311[[#This Row],[Date]],'DB Details'!$A:$Q,12)=0,"",VLOOKUP(Table311[[#This Row],[Date]],'DB Details'!$A:$Q,12))</f>
        <v/>
      </c>
      <c r="C153" s="61">
        <f>IF(VLOOKUP(Table311[[#This Row],[Date]],'DB Details'!$A:$Q,16)=0,"",VLOOKUP(Table311[[#This Row],[Date]],'DB Details'!$A:$Q,16))</f>
        <v/>
      </c>
      <c r="D153" s="61">
        <f>IF(VLOOKUP(Table311[[#This Row],[Date]],'DB Details'!$A:$Q,15)=0,"",VLOOKUP(Table311[[#This Row],[Date]],'DB Details'!$A:$Q,15))</f>
        <v/>
      </c>
      <c r="E153" s="61">
        <f>IF(VLOOKUP(Table311[[#This Row],[Date]],'DB Details'!$A:$Q,17)=0,"",VLOOKUP(Table311[[#This Row],[Date]],'DB Details'!$A:$Q,17))</f>
        <v/>
      </c>
    </row>
    <row r="154">
      <c r="A154" s="60" t="n">
        <v>40118</v>
      </c>
      <c r="B154" s="50">
        <f>IF(VLOOKUP(Table311[[#This Row],[Date]],'DB Details'!$A:$Q,12)=0,"",VLOOKUP(Table311[[#This Row],[Date]],'DB Details'!$A:$Q,12))</f>
        <v/>
      </c>
      <c r="C154" s="61">
        <f>IF(VLOOKUP(Table311[[#This Row],[Date]],'DB Details'!$A:$Q,16)=0,"",VLOOKUP(Table311[[#This Row],[Date]],'DB Details'!$A:$Q,16))</f>
        <v/>
      </c>
      <c r="D154" s="61">
        <f>IF(VLOOKUP(Table311[[#This Row],[Date]],'DB Details'!$A:$Q,15)=0,"",VLOOKUP(Table311[[#This Row],[Date]],'DB Details'!$A:$Q,15))</f>
        <v/>
      </c>
      <c r="E154" s="61">
        <f>IF(VLOOKUP(Table311[[#This Row],[Date]],'DB Details'!$A:$Q,17)=0,"",VLOOKUP(Table311[[#This Row],[Date]],'DB Details'!$A:$Q,17))</f>
        <v/>
      </c>
    </row>
    <row r="155">
      <c r="A155" s="60" t="n">
        <v>40148</v>
      </c>
      <c r="B155" s="50">
        <f>IF(VLOOKUP(Table311[[#This Row],[Date]],'DB Details'!$A:$Q,12)=0,"",VLOOKUP(Table311[[#This Row],[Date]],'DB Details'!$A:$Q,12))</f>
        <v/>
      </c>
      <c r="C155" s="61">
        <f>IF(VLOOKUP(Table311[[#This Row],[Date]],'DB Details'!$A:$Q,16)=0,"",VLOOKUP(Table311[[#This Row],[Date]],'DB Details'!$A:$Q,16))</f>
        <v/>
      </c>
      <c r="D155" s="61">
        <f>IF(VLOOKUP(Table311[[#This Row],[Date]],'DB Details'!$A:$Q,15)=0,"",VLOOKUP(Table311[[#This Row],[Date]],'DB Details'!$A:$Q,15))</f>
        <v/>
      </c>
      <c r="E155" s="61">
        <f>IF(VLOOKUP(Table311[[#This Row],[Date]],'DB Details'!$A:$Q,17)=0,"",VLOOKUP(Table311[[#This Row],[Date]],'DB Details'!$A:$Q,17))</f>
        <v/>
      </c>
    </row>
    <row r="156">
      <c r="A156" s="60" t="n">
        <v>40179</v>
      </c>
      <c r="B156" s="50">
        <f>IF(VLOOKUP(Table311[[#This Row],[Date]],'DB Details'!$A:$Q,12)=0,"",VLOOKUP(Table311[[#This Row],[Date]],'DB Details'!$A:$Q,12))</f>
        <v/>
      </c>
      <c r="C156" s="61">
        <f>IF(VLOOKUP(Table311[[#This Row],[Date]],'DB Details'!$A:$Q,16)=0,"",VLOOKUP(Table311[[#This Row],[Date]],'DB Details'!$A:$Q,16))</f>
        <v/>
      </c>
      <c r="D156" s="61">
        <f>IF(VLOOKUP(Table311[[#This Row],[Date]],'DB Details'!$A:$Q,15)=0,"",VLOOKUP(Table311[[#This Row],[Date]],'DB Details'!$A:$Q,15))</f>
        <v/>
      </c>
      <c r="E156" s="61">
        <f>IF(VLOOKUP(Table311[[#This Row],[Date]],'DB Details'!$A:$Q,17)=0,"",VLOOKUP(Table311[[#This Row],[Date]],'DB Details'!$A:$Q,17))</f>
        <v/>
      </c>
    </row>
    <row r="157">
      <c r="A157" s="60" t="n">
        <v>40210</v>
      </c>
      <c r="B157" s="50">
        <f>IF(VLOOKUP(Table311[[#This Row],[Date]],'DB Details'!$A:$Q,12)=0,"",VLOOKUP(Table311[[#This Row],[Date]],'DB Details'!$A:$Q,12))</f>
        <v/>
      </c>
      <c r="C157" s="61">
        <f>IF(VLOOKUP(Table311[[#This Row],[Date]],'DB Details'!$A:$Q,16)=0,"",VLOOKUP(Table311[[#This Row],[Date]],'DB Details'!$A:$Q,16))</f>
        <v/>
      </c>
      <c r="D157" s="61">
        <f>IF(VLOOKUP(Table311[[#This Row],[Date]],'DB Details'!$A:$Q,15)=0,"",VLOOKUP(Table311[[#This Row],[Date]],'DB Details'!$A:$Q,15))</f>
        <v/>
      </c>
      <c r="E157" s="61">
        <f>IF(VLOOKUP(Table311[[#This Row],[Date]],'DB Details'!$A:$Q,17)=0,"",VLOOKUP(Table311[[#This Row],[Date]],'DB Details'!$A:$Q,17))</f>
        <v/>
      </c>
    </row>
    <row r="158">
      <c r="A158" s="60" t="n">
        <v>40238</v>
      </c>
      <c r="B158" s="50">
        <f>IF(VLOOKUP(Table311[[#This Row],[Date]],'DB Details'!$A:$Q,12)=0,"",VLOOKUP(Table311[[#This Row],[Date]],'DB Details'!$A:$Q,12))</f>
        <v/>
      </c>
      <c r="C158" s="61">
        <f>IF(VLOOKUP(Table311[[#This Row],[Date]],'DB Details'!$A:$Q,16)=0,"",VLOOKUP(Table311[[#This Row],[Date]],'DB Details'!$A:$Q,16))</f>
        <v/>
      </c>
      <c r="D158" s="61">
        <f>IF(VLOOKUP(Table311[[#This Row],[Date]],'DB Details'!$A:$Q,15)=0,"",VLOOKUP(Table311[[#This Row],[Date]],'DB Details'!$A:$Q,15))</f>
        <v/>
      </c>
      <c r="E158" s="61">
        <f>IF(VLOOKUP(Table311[[#This Row],[Date]],'DB Details'!$A:$Q,17)=0,"",VLOOKUP(Table311[[#This Row],[Date]],'DB Details'!$A:$Q,17))</f>
        <v/>
      </c>
    </row>
    <row r="159">
      <c r="A159" s="60" t="n">
        <v>40269</v>
      </c>
      <c r="B159" s="50">
        <f>IF(VLOOKUP(Table311[[#This Row],[Date]],'DB Details'!$A:$Q,12)=0,"",VLOOKUP(Table311[[#This Row],[Date]],'DB Details'!$A:$Q,12))</f>
        <v/>
      </c>
      <c r="C159" s="61">
        <f>IF(VLOOKUP(Table311[[#This Row],[Date]],'DB Details'!$A:$Q,16)=0,"",VLOOKUP(Table311[[#This Row],[Date]],'DB Details'!$A:$Q,16))</f>
        <v/>
      </c>
      <c r="D159" s="61">
        <f>IF(VLOOKUP(Table311[[#This Row],[Date]],'DB Details'!$A:$Q,15)=0,"",VLOOKUP(Table311[[#This Row],[Date]],'DB Details'!$A:$Q,15))</f>
        <v/>
      </c>
      <c r="E159" s="61">
        <f>IF(VLOOKUP(Table311[[#This Row],[Date]],'DB Details'!$A:$Q,17)=0,"",VLOOKUP(Table311[[#This Row],[Date]],'DB Details'!$A:$Q,17))</f>
        <v/>
      </c>
    </row>
    <row r="160">
      <c r="A160" s="60" t="n">
        <v>40299</v>
      </c>
      <c r="B160" s="50">
        <f>IF(VLOOKUP(Table311[[#This Row],[Date]],'DB Details'!$A:$Q,12)=0,"",VLOOKUP(Table311[[#This Row],[Date]],'DB Details'!$A:$Q,12))</f>
        <v/>
      </c>
      <c r="C160" s="61">
        <f>IF(VLOOKUP(Table311[[#This Row],[Date]],'DB Details'!$A:$Q,16)=0,"",VLOOKUP(Table311[[#This Row],[Date]],'DB Details'!$A:$Q,16))</f>
        <v/>
      </c>
      <c r="D160" s="61">
        <f>IF(VLOOKUP(Table311[[#This Row],[Date]],'DB Details'!$A:$Q,15)=0,"",VLOOKUP(Table311[[#This Row],[Date]],'DB Details'!$A:$Q,15))</f>
        <v/>
      </c>
      <c r="E160" s="61">
        <f>IF(VLOOKUP(Table311[[#This Row],[Date]],'DB Details'!$A:$Q,17)=0,"",VLOOKUP(Table311[[#This Row],[Date]],'DB Details'!$A:$Q,17))</f>
        <v/>
      </c>
    </row>
    <row r="161">
      <c r="A161" s="60" t="n">
        <v>40330</v>
      </c>
      <c r="B161" s="50">
        <f>IF(VLOOKUP(Table311[[#This Row],[Date]],'DB Details'!$A:$Q,12)=0,"",VLOOKUP(Table311[[#This Row],[Date]],'DB Details'!$A:$Q,12))</f>
        <v/>
      </c>
      <c r="C161" s="61">
        <f>IF(VLOOKUP(Table311[[#This Row],[Date]],'DB Details'!$A:$Q,16)=0,"",VLOOKUP(Table311[[#This Row],[Date]],'DB Details'!$A:$Q,16))</f>
        <v/>
      </c>
      <c r="D161" s="61">
        <f>IF(VLOOKUP(Table311[[#This Row],[Date]],'DB Details'!$A:$Q,15)=0,"",VLOOKUP(Table311[[#This Row],[Date]],'DB Details'!$A:$Q,15))</f>
        <v/>
      </c>
      <c r="E161" s="61">
        <f>IF(VLOOKUP(Table311[[#This Row],[Date]],'DB Details'!$A:$Q,17)=0,"",VLOOKUP(Table311[[#This Row],[Date]],'DB Details'!$A:$Q,17))</f>
        <v/>
      </c>
    </row>
    <row r="162">
      <c r="A162" s="60" t="n">
        <v>40360</v>
      </c>
      <c r="B162" s="50">
        <f>IF(VLOOKUP(Table311[[#This Row],[Date]],'DB Details'!$A:$Q,12)=0,"",VLOOKUP(Table311[[#This Row],[Date]],'DB Details'!$A:$Q,12))</f>
        <v/>
      </c>
      <c r="C162" s="61">
        <f>IF(VLOOKUP(Table311[[#This Row],[Date]],'DB Details'!$A:$Q,16)=0,"",VLOOKUP(Table311[[#This Row],[Date]],'DB Details'!$A:$Q,16))</f>
        <v/>
      </c>
      <c r="D162" s="61">
        <f>IF(VLOOKUP(Table311[[#This Row],[Date]],'DB Details'!$A:$Q,15)=0,"",VLOOKUP(Table311[[#This Row],[Date]],'DB Details'!$A:$Q,15))</f>
        <v/>
      </c>
      <c r="E162" s="61">
        <f>IF(VLOOKUP(Table311[[#This Row],[Date]],'DB Details'!$A:$Q,17)=0,"",VLOOKUP(Table311[[#This Row],[Date]],'DB Details'!$A:$Q,17))</f>
        <v/>
      </c>
    </row>
    <row r="163">
      <c r="A163" s="60" t="n">
        <v>40391</v>
      </c>
      <c r="B163" s="50">
        <f>IF(VLOOKUP(Table311[[#This Row],[Date]],'DB Details'!$A:$Q,12)=0,"",VLOOKUP(Table311[[#This Row],[Date]],'DB Details'!$A:$Q,12))</f>
        <v/>
      </c>
      <c r="C163" s="61">
        <f>IF(VLOOKUP(Table311[[#This Row],[Date]],'DB Details'!$A:$Q,16)=0,"",VLOOKUP(Table311[[#This Row],[Date]],'DB Details'!$A:$Q,16))</f>
        <v/>
      </c>
      <c r="D163" s="61">
        <f>IF(VLOOKUP(Table311[[#This Row],[Date]],'DB Details'!$A:$Q,15)=0,"",VLOOKUP(Table311[[#This Row],[Date]],'DB Details'!$A:$Q,15))</f>
        <v/>
      </c>
      <c r="E163" s="61">
        <f>IF(VLOOKUP(Table311[[#This Row],[Date]],'DB Details'!$A:$Q,17)=0,"",VLOOKUP(Table311[[#This Row],[Date]],'DB Details'!$A:$Q,17))</f>
        <v/>
      </c>
    </row>
    <row r="164">
      <c r="A164" s="60" t="n">
        <v>40422</v>
      </c>
      <c r="B164" s="50">
        <f>IF(VLOOKUP(Table311[[#This Row],[Date]],'DB Details'!$A:$Q,12)=0,"",VLOOKUP(Table311[[#This Row],[Date]],'DB Details'!$A:$Q,12))</f>
        <v/>
      </c>
      <c r="C164" s="61">
        <f>IF(VLOOKUP(Table311[[#This Row],[Date]],'DB Details'!$A:$Q,16)=0,"",VLOOKUP(Table311[[#This Row],[Date]],'DB Details'!$A:$Q,16))</f>
        <v/>
      </c>
      <c r="D164" s="61">
        <f>IF(VLOOKUP(Table311[[#This Row],[Date]],'DB Details'!$A:$Q,15)=0,"",VLOOKUP(Table311[[#This Row],[Date]],'DB Details'!$A:$Q,15))</f>
        <v/>
      </c>
      <c r="E164" s="61">
        <f>IF(VLOOKUP(Table311[[#This Row],[Date]],'DB Details'!$A:$Q,17)=0,"",VLOOKUP(Table311[[#This Row],[Date]],'DB Details'!$A:$Q,17))</f>
        <v/>
      </c>
    </row>
    <row r="165">
      <c r="A165" s="60" t="n">
        <v>40452</v>
      </c>
      <c r="B165" s="50">
        <f>IF(VLOOKUP(Table311[[#This Row],[Date]],'DB Details'!$A:$Q,12)=0,"",VLOOKUP(Table311[[#This Row],[Date]],'DB Details'!$A:$Q,12))</f>
        <v/>
      </c>
      <c r="C165" s="61">
        <f>IF(VLOOKUP(Table311[[#This Row],[Date]],'DB Details'!$A:$Q,16)=0,"",VLOOKUP(Table311[[#This Row],[Date]],'DB Details'!$A:$Q,16))</f>
        <v/>
      </c>
      <c r="D165" s="61">
        <f>IF(VLOOKUP(Table311[[#This Row],[Date]],'DB Details'!$A:$Q,15)=0,"",VLOOKUP(Table311[[#This Row],[Date]],'DB Details'!$A:$Q,15))</f>
        <v/>
      </c>
      <c r="E165" s="61">
        <f>IF(VLOOKUP(Table311[[#This Row],[Date]],'DB Details'!$A:$Q,17)=0,"",VLOOKUP(Table311[[#This Row],[Date]],'DB Details'!$A:$Q,17))</f>
        <v/>
      </c>
    </row>
    <row r="166">
      <c r="A166" s="60" t="n">
        <v>40483</v>
      </c>
      <c r="B166" s="50">
        <f>IF(VLOOKUP(Table311[[#This Row],[Date]],'DB Details'!$A:$Q,12)=0,"",VLOOKUP(Table311[[#This Row],[Date]],'DB Details'!$A:$Q,12))</f>
        <v/>
      </c>
      <c r="C166" s="61">
        <f>IF(VLOOKUP(Table311[[#This Row],[Date]],'DB Details'!$A:$Q,16)=0,"",VLOOKUP(Table311[[#This Row],[Date]],'DB Details'!$A:$Q,16))</f>
        <v/>
      </c>
      <c r="D166" s="61">
        <f>IF(VLOOKUP(Table311[[#This Row],[Date]],'DB Details'!$A:$Q,15)=0,"",VLOOKUP(Table311[[#This Row],[Date]],'DB Details'!$A:$Q,15))</f>
        <v/>
      </c>
      <c r="E166" s="61">
        <f>IF(VLOOKUP(Table311[[#This Row],[Date]],'DB Details'!$A:$Q,17)=0,"",VLOOKUP(Table311[[#This Row],[Date]],'DB Details'!$A:$Q,17))</f>
        <v/>
      </c>
    </row>
    <row r="167">
      <c r="A167" s="60" t="n">
        <v>40513</v>
      </c>
      <c r="B167" s="50">
        <f>IF(VLOOKUP(Table311[[#This Row],[Date]],'DB Details'!$A:$Q,12)=0,"",VLOOKUP(Table311[[#This Row],[Date]],'DB Details'!$A:$Q,12))</f>
        <v/>
      </c>
      <c r="C167" s="61">
        <f>IF(VLOOKUP(Table311[[#This Row],[Date]],'DB Details'!$A:$Q,16)=0,"",VLOOKUP(Table311[[#This Row],[Date]],'DB Details'!$A:$Q,16))</f>
        <v/>
      </c>
      <c r="D167" s="61">
        <f>IF(VLOOKUP(Table311[[#This Row],[Date]],'DB Details'!$A:$Q,15)=0,"",VLOOKUP(Table311[[#This Row],[Date]],'DB Details'!$A:$Q,15))</f>
        <v/>
      </c>
      <c r="E167" s="61">
        <f>IF(VLOOKUP(Table311[[#This Row],[Date]],'DB Details'!$A:$Q,17)=0,"",VLOOKUP(Table311[[#This Row],[Date]],'DB Details'!$A:$Q,17))</f>
        <v/>
      </c>
    </row>
    <row r="168">
      <c r="A168" s="60" t="n">
        <v>40544</v>
      </c>
      <c r="B168" s="50">
        <f>IF(VLOOKUP(Table311[[#This Row],[Date]],'DB Details'!$A:$Q,12)=0,"",VLOOKUP(Table311[[#This Row],[Date]],'DB Details'!$A:$Q,12))</f>
        <v/>
      </c>
      <c r="C168" s="61">
        <f>IF(VLOOKUP(Table311[[#This Row],[Date]],'DB Details'!$A:$Q,16)=0,"",VLOOKUP(Table311[[#This Row],[Date]],'DB Details'!$A:$Q,16))</f>
        <v/>
      </c>
      <c r="D168" s="61">
        <f>IF(VLOOKUP(Table311[[#This Row],[Date]],'DB Details'!$A:$Q,15)=0,"",VLOOKUP(Table311[[#This Row],[Date]],'DB Details'!$A:$Q,15))</f>
        <v/>
      </c>
      <c r="E168" s="61">
        <f>IF(VLOOKUP(Table311[[#This Row],[Date]],'DB Details'!$A:$Q,17)=0,"",VLOOKUP(Table311[[#This Row],[Date]],'DB Details'!$A:$Q,17))</f>
        <v/>
      </c>
    </row>
    <row r="169">
      <c r="A169" s="60" t="n">
        <v>40575</v>
      </c>
      <c r="B169" s="50">
        <f>IF(VLOOKUP(Table311[[#This Row],[Date]],'DB Details'!$A:$Q,12)=0,"",VLOOKUP(Table311[[#This Row],[Date]],'DB Details'!$A:$Q,12))</f>
        <v/>
      </c>
      <c r="C169" s="61">
        <f>IF(VLOOKUP(Table311[[#This Row],[Date]],'DB Details'!$A:$Q,16)=0,"",VLOOKUP(Table311[[#This Row],[Date]],'DB Details'!$A:$Q,16))</f>
        <v/>
      </c>
      <c r="D169" s="61">
        <f>IF(VLOOKUP(Table311[[#This Row],[Date]],'DB Details'!$A:$Q,15)=0,"",VLOOKUP(Table311[[#This Row],[Date]],'DB Details'!$A:$Q,15))</f>
        <v/>
      </c>
      <c r="E169" s="61">
        <f>IF(VLOOKUP(Table311[[#This Row],[Date]],'DB Details'!$A:$Q,17)=0,"",VLOOKUP(Table311[[#This Row],[Date]],'DB Details'!$A:$Q,17))</f>
        <v/>
      </c>
    </row>
    <row r="170">
      <c r="A170" s="60" t="n">
        <v>40603</v>
      </c>
      <c r="B170" s="50">
        <f>IF(VLOOKUP(Table311[[#This Row],[Date]],'DB Details'!$A:$Q,12)=0,"",VLOOKUP(Table311[[#This Row],[Date]],'DB Details'!$A:$Q,12))</f>
        <v/>
      </c>
      <c r="C170" s="61">
        <f>IF(VLOOKUP(Table311[[#This Row],[Date]],'DB Details'!$A:$Q,16)=0,"",VLOOKUP(Table311[[#This Row],[Date]],'DB Details'!$A:$Q,16))</f>
        <v/>
      </c>
      <c r="D170" s="61">
        <f>IF(VLOOKUP(Table311[[#This Row],[Date]],'DB Details'!$A:$Q,15)=0,"",VLOOKUP(Table311[[#This Row],[Date]],'DB Details'!$A:$Q,15))</f>
        <v/>
      </c>
      <c r="E170" s="61">
        <f>IF(VLOOKUP(Table311[[#This Row],[Date]],'DB Details'!$A:$Q,17)=0,"",VLOOKUP(Table311[[#This Row],[Date]],'DB Details'!$A:$Q,17))</f>
        <v/>
      </c>
    </row>
    <row r="171">
      <c r="A171" s="60" t="n">
        <v>40634</v>
      </c>
      <c r="B171" s="50">
        <f>IF(VLOOKUP(Table311[[#This Row],[Date]],'DB Details'!$A:$Q,12)=0,"",VLOOKUP(Table311[[#This Row],[Date]],'DB Details'!$A:$Q,12))</f>
        <v/>
      </c>
      <c r="C171" s="61">
        <f>IF(VLOOKUP(Table311[[#This Row],[Date]],'DB Details'!$A:$Q,16)=0,"",VLOOKUP(Table311[[#This Row],[Date]],'DB Details'!$A:$Q,16))</f>
        <v/>
      </c>
      <c r="D171" s="61">
        <f>IF(VLOOKUP(Table311[[#This Row],[Date]],'DB Details'!$A:$Q,15)=0,"",VLOOKUP(Table311[[#This Row],[Date]],'DB Details'!$A:$Q,15))</f>
        <v/>
      </c>
      <c r="E171" s="61">
        <f>IF(VLOOKUP(Table311[[#This Row],[Date]],'DB Details'!$A:$Q,17)=0,"",VLOOKUP(Table311[[#This Row],[Date]],'DB Details'!$A:$Q,17))</f>
        <v/>
      </c>
    </row>
    <row r="172">
      <c r="A172" s="60" t="n">
        <v>40664</v>
      </c>
      <c r="B172" s="50">
        <f>IF(VLOOKUP(Table311[[#This Row],[Date]],'DB Details'!$A:$Q,12)=0,"",VLOOKUP(Table311[[#This Row],[Date]],'DB Details'!$A:$Q,12))</f>
        <v/>
      </c>
      <c r="C172" s="61">
        <f>IF(VLOOKUP(Table311[[#This Row],[Date]],'DB Details'!$A:$Q,16)=0,"",VLOOKUP(Table311[[#This Row],[Date]],'DB Details'!$A:$Q,16))</f>
        <v/>
      </c>
      <c r="D172" s="61">
        <f>IF(VLOOKUP(Table311[[#This Row],[Date]],'DB Details'!$A:$Q,15)=0,"",VLOOKUP(Table311[[#This Row],[Date]],'DB Details'!$A:$Q,15))</f>
        <v/>
      </c>
      <c r="E172" s="61">
        <f>IF(VLOOKUP(Table311[[#This Row],[Date]],'DB Details'!$A:$Q,17)=0,"",VLOOKUP(Table311[[#This Row],[Date]],'DB Details'!$A:$Q,17))</f>
        <v/>
      </c>
    </row>
    <row r="173">
      <c r="A173" s="60" t="n">
        <v>40695</v>
      </c>
      <c r="B173" s="50">
        <f>IF(VLOOKUP(Table311[[#This Row],[Date]],'DB Details'!$A:$Q,12)=0,"",VLOOKUP(Table311[[#This Row],[Date]],'DB Details'!$A:$Q,12))</f>
        <v/>
      </c>
      <c r="C173" s="61">
        <f>IF(VLOOKUP(Table311[[#This Row],[Date]],'DB Details'!$A:$Q,16)=0,"",VLOOKUP(Table311[[#This Row],[Date]],'DB Details'!$A:$Q,16))</f>
        <v/>
      </c>
      <c r="D173" s="61">
        <f>IF(VLOOKUP(Table311[[#This Row],[Date]],'DB Details'!$A:$Q,15)=0,"",VLOOKUP(Table311[[#This Row],[Date]],'DB Details'!$A:$Q,15))</f>
        <v/>
      </c>
      <c r="E173" s="61">
        <f>IF(VLOOKUP(Table311[[#This Row],[Date]],'DB Details'!$A:$Q,17)=0,"",VLOOKUP(Table311[[#This Row],[Date]],'DB Details'!$A:$Q,17))</f>
        <v/>
      </c>
    </row>
    <row r="174">
      <c r="A174" s="60" t="n">
        <v>40725</v>
      </c>
      <c r="B174" s="50">
        <f>IF(VLOOKUP(Table311[[#This Row],[Date]],'DB Details'!$A:$Q,12)=0,"",VLOOKUP(Table311[[#This Row],[Date]],'DB Details'!$A:$Q,12))</f>
        <v/>
      </c>
      <c r="C174" s="61">
        <f>IF(VLOOKUP(Table311[[#This Row],[Date]],'DB Details'!$A:$Q,16)=0,"",VLOOKUP(Table311[[#This Row],[Date]],'DB Details'!$A:$Q,16))</f>
        <v/>
      </c>
      <c r="D174" s="61">
        <f>IF(VLOOKUP(Table311[[#This Row],[Date]],'DB Details'!$A:$Q,15)=0,"",VLOOKUP(Table311[[#This Row],[Date]],'DB Details'!$A:$Q,15))</f>
        <v/>
      </c>
      <c r="E174" s="61">
        <f>IF(VLOOKUP(Table311[[#This Row],[Date]],'DB Details'!$A:$Q,17)=0,"",VLOOKUP(Table311[[#This Row],[Date]],'DB Details'!$A:$Q,17))</f>
        <v/>
      </c>
    </row>
    <row r="175">
      <c r="A175" s="60" t="n">
        <v>40756</v>
      </c>
      <c r="B175" s="50">
        <f>IF(VLOOKUP(Table311[[#This Row],[Date]],'DB Details'!$A:$Q,12)=0,"",VLOOKUP(Table311[[#This Row],[Date]],'DB Details'!$A:$Q,12))</f>
        <v/>
      </c>
      <c r="C175" s="61">
        <f>IF(VLOOKUP(Table311[[#This Row],[Date]],'DB Details'!$A:$Q,16)=0,"",VLOOKUP(Table311[[#This Row],[Date]],'DB Details'!$A:$Q,16))</f>
        <v/>
      </c>
      <c r="D175" s="61">
        <f>IF(VLOOKUP(Table311[[#This Row],[Date]],'DB Details'!$A:$Q,15)=0,"",VLOOKUP(Table311[[#This Row],[Date]],'DB Details'!$A:$Q,15))</f>
        <v/>
      </c>
      <c r="E175" s="61">
        <f>IF(VLOOKUP(Table311[[#This Row],[Date]],'DB Details'!$A:$Q,17)=0,"",VLOOKUP(Table311[[#This Row],[Date]],'DB Details'!$A:$Q,17))</f>
        <v/>
      </c>
    </row>
    <row r="176">
      <c r="A176" s="60" t="n">
        <v>40787</v>
      </c>
      <c r="B176" s="50">
        <f>IF(VLOOKUP(Table311[[#This Row],[Date]],'DB Details'!$A:$Q,12)=0,"",VLOOKUP(Table311[[#This Row],[Date]],'DB Details'!$A:$Q,12))</f>
        <v/>
      </c>
      <c r="C176" s="61">
        <f>IF(VLOOKUP(Table311[[#This Row],[Date]],'DB Details'!$A:$Q,16)=0,"",VLOOKUP(Table311[[#This Row],[Date]],'DB Details'!$A:$Q,16))</f>
        <v/>
      </c>
      <c r="D176" s="61">
        <f>IF(VLOOKUP(Table311[[#This Row],[Date]],'DB Details'!$A:$Q,15)=0,"",VLOOKUP(Table311[[#This Row],[Date]],'DB Details'!$A:$Q,15))</f>
        <v/>
      </c>
      <c r="E176" s="61">
        <f>IF(VLOOKUP(Table311[[#This Row],[Date]],'DB Details'!$A:$Q,17)=0,"",VLOOKUP(Table311[[#This Row],[Date]],'DB Details'!$A:$Q,17))</f>
        <v/>
      </c>
    </row>
    <row r="177">
      <c r="A177" s="60" t="n">
        <v>40817</v>
      </c>
      <c r="B177" s="50">
        <f>IF(VLOOKUP(Table311[[#This Row],[Date]],'DB Details'!$A:$Q,12)=0,"",VLOOKUP(Table311[[#This Row],[Date]],'DB Details'!$A:$Q,12))</f>
        <v/>
      </c>
      <c r="C177" s="61">
        <f>IF(VLOOKUP(Table311[[#This Row],[Date]],'DB Details'!$A:$Q,16)=0,"",VLOOKUP(Table311[[#This Row],[Date]],'DB Details'!$A:$Q,16))</f>
        <v/>
      </c>
      <c r="D177" s="61">
        <f>IF(VLOOKUP(Table311[[#This Row],[Date]],'DB Details'!$A:$Q,15)=0,"",VLOOKUP(Table311[[#This Row],[Date]],'DB Details'!$A:$Q,15))</f>
        <v/>
      </c>
      <c r="E177" s="61">
        <f>IF(VLOOKUP(Table311[[#This Row],[Date]],'DB Details'!$A:$Q,17)=0,"",VLOOKUP(Table311[[#This Row],[Date]],'DB Details'!$A:$Q,17))</f>
        <v/>
      </c>
    </row>
    <row r="178">
      <c r="A178" s="60" t="n">
        <v>40848</v>
      </c>
      <c r="B178" s="50">
        <f>IF(VLOOKUP(Table311[[#This Row],[Date]],'DB Details'!$A:$Q,12)=0,"",VLOOKUP(Table311[[#This Row],[Date]],'DB Details'!$A:$Q,12))</f>
        <v/>
      </c>
      <c r="C178" s="61">
        <f>IF(VLOOKUP(Table311[[#This Row],[Date]],'DB Details'!$A:$Q,16)=0,"",VLOOKUP(Table311[[#This Row],[Date]],'DB Details'!$A:$Q,16))</f>
        <v/>
      </c>
      <c r="D178" s="61">
        <f>IF(VLOOKUP(Table311[[#This Row],[Date]],'DB Details'!$A:$Q,15)=0,"",VLOOKUP(Table311[[#This Row],[Date]],'DB Details'!$A:$Q,15))</f>
        <v/>
      </c>
      <c r="E178" s="61">
        <f>IF(VLOOKUP(Table311[[#This Row],[Date]],'DB Details'!$A:$Q,17)=0,"",VLOOKUP(Table311[[#This Row],[Date]],'DB Details'!$A:$Q,17))</f>
        <v/>
      </c>
    </row>
    <row r="179">
      <c r="A179" s="60" t="n">
        <v>40878</v>
      </c>
      <c r="B179" s="50">
        <f>IF(VLOOKUP(Table311[[#This Row],[Date]],'DB Details'!$A:$Q,12)=0,"",VLOOKUP(Table311[[#This Row],[Date]],'DB Details'!$A:$Q,12))</f>
        <v/>
      </c>
      <c r="C179" s="61">
        <f>IF(VLOOKUP(Table311[[#This Row],[Date]],'DB Details'!$A:$Q,16)=0,"",VLOOKUP(Table311[[#This Row],[Date]],'DB Details'!$A:$Q,16))</f>
        <v/>
      </c>
      <c r="D179" s="61">
        <f>IF(VLOOKUP(Table311[[#This Row],[Date]],'DB Details'!$A:$Q,15)=0,"",VLOOKUP(Table311[[#This Row],[Date]],'DB Details'!$A:$Q,15))</f>
        <v/>
      </c>
      <c r="E179" s="61">
        <f>IF(VLOOKUP(Table311[[#This Row],[Date]],'DB Details'!$A:$Q,17)=0,"",VLOOKUP(Table311[[#This Row],[Date]],'DB Details'!$A:$Q,17))</f>
        <v/>
      </c>
    </row>
    <row r="180">
      <c r="A180" s="60" t="n">
        <v>40909</v>
      </c>
      <c r="B180" s="50">
        <f>IF(VLOOKUP(Table311[[#This Row],[Date]],'DB Details'!$A:$Q,12)=0,"",VLOOKUP(Table311[[#This Row],[Date]],'DB Details'!$A:$Q,12))</f>
        <v/>
      </c>
      <c r="C180" s="61">
        <f>IF(VLOOKUP(Table311[[#This Row],[Date]],'DB Details'!$A:$Q,16)=0,"",VLOOKUP(Table311[[#This Row],[Date]],'DB Details'!$A:$Q,16))</f>
        <v/>
      </c>
      <c r="D180" s="61">
        <f>IF(VLOOKUP(Table311[[#This Row],[Date]],'DB Details'!$A:$Q,15)=0,"",VLOOKUP(Table311[[#This Row],[Date]],'DB Details'!$A:$Q,15))</f>
        <v/>
      </c>
      <c r="E180" s="61">
        <f>IF(VLOOKUP(Table311[[#This Row],[Date]],'DB Details'!$A:$Q,17)=0,"",VLOOKUP(Table311[[#This Row],[Date]],'DB Details'!$A:$Q,17))</f>
        <v/>
      </c>
    </row>
    <row r="181">
      <c r="A181" s="60" t="n">
        <v>40940</v>
      </c>
      <c r="B181" s="50">
        <f>IF(VLOOKUP(Table311[[#This Row],[Date]],'DB Details'!$A:$Q,12)=0,"",VLOOKUP(Table311[[#This Row],[Date]],'DB Details'!$A:$Q,12))</f>
        <v/>
      </c>
      <c r="C181" s="61">
        <f>IF(VLOOKUP(Table311[[#This Row],[Date]],'DB Details'!$A:$Q,16)=0,"",VLOOKUP(Table311[[#This Row],[Date]],'DB Details'!$A:$Q,16))</f>
        <v/>
      </c>
      <c r="D181" s="61">
        <f>IF(VLOOKUP(Table311[[#This Row],[Date]],'DB Details'!$A:$Q,15)=0,"",VLOOKUP(Table311[[#This Row],[Date]],'DB Details'!$A:$Q,15))</f>
        <v/>
      </c>
      <c r="E181" s="61">
        <f>IF(VLOOKUP(Table311[[#This Row],[Date]],'DB Details'!$A:$Q,17)=0,"",VLOOKUP(Table311[[#This Row],[Date]],'DB Details'!$A:$Q,17))</f>
        <v/>
      </c>
    </row>
    <row r="182">
      <c r="A182" s="60" t="n">
        <v>40969</v>
      </c>
      <c r="B182" s="50">
        <f>IF(VLOOKUP(Table311[[#This Row],[Date]],'DB Details'!$A:$Q,12)=0,"",VLOOKUP(Table311[[#This Row],[Date]],'DB Details'!$A:$Q,12))</f>
        <v/>
      </c>
      <c r="C182" s="61">
        <f>IF(VLOOKUP(Table311[[#This Row],[Date]],'DB Details'!$A:$Q,16)=0,"",VLOOKUP(Table311[[#This Row],[Date]],'DB Details'!$A:$Q,16))</f>
        <v/>
      </c>
      <c r="D182" s="61">
        <f>IF(VLOOKUP(Table311[[#This Row],[Date]],'DB Details'!$A:$Q,15)=0,"",VLOOKUP(Table311[[#This Row],[Date]],'DB Details'!$A:$Q,15))</f>
        <v/>
      </c>
      <c r="E182" s="61">
        <f>IF(VLOOKUP(Table311[[#This Row],[Date]],'DB Details'!$A:$Q,17)=0,"",VLOOKUP(Table311[[#This Row],[Date]],'DB Details'!$A:$Q,17))</f>
        <v/>
      </c>
    </row>
    <row r="183">
      <c r="A183" s="60" t="n">
        <v>41000</v>
      </c>
      <c r="B183" s="50">
        <f>IF(VLOOKUP(Table311[[#This Row],[Date]],'DB Details'!$A:$Q,12)=0,"",VLOOKUP(Table311[[#This Row],[Date]],'DB Details'!$A:$Q,12))</f>
        <v/>
      </c>
      <c r="C183" s="61">
        <f>IF(VLOOKUP(Table311[[#This Row],[Date]],'DB Details'!$A:$Q,16)=0,"",VLOOKUP(Table311[[#This Row],[Date]],'DB Details'!$A:$Q,16))</f>
        <v/>
      </c>
      <c r="D183" s="61">
        <f>IF(VLOOKUP(Table311[[#This Row],[Date]],'DB Details'!$A:$Q,15)=0,"",VLOOKUP(Table311[[#This Row],[Date]],'DB Details'!$A:$Q,15))</f>
        <v/>
      </c>
      <c r="E183" s="61">
        <f>IF(VLOOKUP(Table311[[#This Row],[Date]],'DB Details'!$A:$Q,17)=0,"",VLOOKUP(Table311[[#This Row],[Date]],'DB Details'!$A:$Q,17))</f>
        <v/>
      </c>
    </row>
    <row r="184">
      <c r="A184" s="60" t="n">
        <v>41030</v>
      </c>
      <c r="B184" s="50">
        <f>IF(VLOOKUP(Table311[[#This Row],[Date]],'DB Details'!$A:$Q,12)=0,"",VLOOKUP(Table311[[#This Row],[Date]],'DB Details'!$A:$Q,12))</f>
        <v/>
      </c>
      <c r="C184" s="61">
        <f>IF(VLOOKUP(Table311[[#This Row],[Date]],'DB Details'!$A:$Q,16)=0,"",VLOOKUP(Table311[[#This Row],[Date]],'DB Details'!$A:$Q,16))</f>
        <v/>
      </c>
      <c r="D184" s="61">
        <f>IF(VLOOKUP(Table311[[#This Row],[Date]],'DB Details'!$A:$Q,15)=0,"",VLOOKUP(Table311[[#This Row],[Date]],'DB Details'!$A:$Q,15))</f>
        <v/>
      </c>
      <c r="E184" s="61">
        <f>IF(VLOOKUP(Table311[[#This Row],[Date]],'DB Details'!$A:$Q,17)=0,"",VLOOKUP(Table311[[#This Row],[Date]],'DB Details'!$A:$Q,17))</f>
        <v/>
      </c>
    </row>
    <row r="185">
      <c r="A185" s="60" t="n">
        <v>41061</v>
      </c>
      <c r="B185" s="50">
        <f>IF(VLOOKUP(Table311[[#This Row],[Date]],'DB Details'!$A:$Q,12)=0,"",VLOOKUP(Table311[[#This Row],[Date]],'DB Details'!$A:$Q,12))</f>
        <v/>
      </c>
      <c r="C185" s="61">
        <f>IF(VLOOKUP(Table311[[#This Row],[Date]],'DB Details'!$A:$Q,16)=0,"",VLOOKUP(Table311[[#This Row],[Date]],'DB Details'!$A:$Q,16))</f>
        <v/>
      </c>
      <c r="D185" s="61">
        <f>IF(VLOOKUP(Table311[[#This Row],[Date]],'DB Details'!$A:$Q,15)=0,"",VLOOKUP(Table311[[#This Row],[Date]],'DB Details'!$A:$Q,15))</f>
        <v/>
      </c>
      <c r="E185" s="61">
        <f>IF(VLOOKUP(Table311[[#This Row],[Date]],'DB Details'!$A:$Q,17)=0,"",VLOOKUP(Table311[[#This Row],[Date]],'DB Details'!$A:$Q,17))</f>
        <v/>
      </c>
    </row>
    <row r="186">
      <c r="A186" s="60" t="n">
        <v>41091</v>
      </c>
      <c r="B186" s="50">
        <f>IF(VLOOKUP(Table311[[#This Row],[Date]],'DB Details'!$A:$Q,12)=0,"",VLOOKUP(Table311[[#This Row],[Date]],'DB Details'!$A:$Q,12))</f>
        <v/>
      </c>
      <c r="C186" s="61">
        <f>IF(VLOOKUP(Table311[[#This Row],[Date]],'DB Details'!$A:$Q,16)=0,"",VLOOKUP(Table311[[#This Row],[Date]],'DB Details'!$A:$Q,16))</f>
        <v/>
      </c>
      <c r="D186" s="61">
        <f>IF(VLOOKUP(Table311[[#This Row],[Date]],'DB Details'!$A:$Q,15)=0,"",VLOOKUP(Table311[[#This Row],[Date]],'DB Details'!$A:$Q,15))</f>
        <v/>
      </c>
      <c r="E186" s="61">
        <f>IF(VLOOKUP(Table311[[#This Row],[Date]],'DB Details'!$A:$Q,17)=0,"",VLOOKUP(Table311[[#This Row],[Date]],'DB Details'!$A:$Q,17))</f>
        <v/>
      </c>
    </row>
    <row r="187">
      <c r="A187" s="60" t="n">
        <v>41122</v>
      </c>
      <c r="B187" s="50">
        <f>IF(VLOOKUP(Table311[[#This Row],[Date]],'DB Details'!$A:$Q,12)=0,"",VLOOKUP(Table311[[#This Row],[Date]],'DB Details'!$A:$Q,12))</f>
        <v/>
      </c>
      <c r="C187" s="61">
        <f>IF(VLOOKUP(Table311[[#This Row],[Date]],'DB Details'!$A:$Q,16)=0,"",VLOOKUP(Table311[[#This Row],[Date]],'DB Details'!$A:$Q,16))</f>
        <v/>
      </c>
      <c r="D187" s="61">
        <f>IF(VLOOKUP(Table311[[#This Row],[Date]],'DB Details'!$A:$Q,15)=0,"",VLOOKUP(Table311[[#This Row],[Date]],'DB Details'!$A:$Q,15))</f>
        <v/>
      </c>
      <c r="E187" s="61">
        <f>IF(VLOOKUP(Table311[[#This Row],[Date]],'DB Details'!$A:$Q,17)=0,"",VLOOKUP(Table311[[#This Row],[Date]],'DB Details'!$A:$Q,17))</f>
        <v/>
      </c>
    </row>
    <row r="188">
      <c r="A188" s="60" t="n">
        <v>41153</v>
      </c>
      <c r="B188" s="50">
        <f>IF(VLOOKUP(Table311[[#This Row],[Date]],'DB Details'!$A:$Q,12)=0,"",VLOOKUP(Table311[[#This Row],[Date]],'DB Details'!$A:$Q,12))</f>
        <v/>
      </c>
      <c r="C188" s="61">
        <f>IF(VLOOKUP(Table311[[#This Row],[Date]],'DB Details'!$A:$Q,16)=0,"",VLOOKUP(Table311[[#This Row],[Date]],'DB Details'!$A:$Q,16))</f>
        <v/>
      </c>
      <c r="D188" s="61">
        <f>IF(VLOOKUP(Table311[[#This Row],[Date]],'DB Details'!$A:$Q,15)=0,"",VLOOKUP(Table311[[#This Row],[Date]],'DB Details'!$A:$Q,15))</f>
        <v/>
      </c>
      <c r="E188" s="61">
        <f>IF(VLOOKUP(Table311[[#This Row],[Date]],'DB Details'!$A:$Q,17)=0,"",VLOOKUP(Table311[[#This Row],[Date]],'DB Details'!$A:$Q,17))</f>
        <v/>
      </c>
    </row>
    <row r="189">
      <c r="A189" s="60" t="n">
        <v>41183</v>
      </c>
      <c r="B189" s="50">
        <f>IF(VLOOKUP(Table311[[#This Row],[Date]],'DB Details'!$A:$Q,12)=0,"",VLOOKUP(Table311[[#This Row],[Date]],'DB Details'!$A:$Q,12))</f>
        <v/>
      </c>
      <c r="C189" s="61">
        <f>IF(VLOOKUP(Table311[[#This Row],[Date]],'DB Details'!$A:$Q,16)=0,"",VLOOKUP(Table311[[#This Row],[Date]],'DB Details'!$A:$Q,16))</f>
        <v/>
      </c>
      <c r="D189" s="61">
        <f>IF(VLOOKUP(Table311[[#This Row],[Date]],'DB Details'!$A:$Q,15)=0,"",VLOOKUP(Table311[[#This Row],[Date]],'DB Details'!$A:$Q,15))</f>
        <v/>
      </c>
      <c r="E189" s="61">
        <f>IF(VLOOKUP(Table311[[#This Row],[Date]],'DB Details'!$A:$Q,17)=0,"",VLOOKUP(Table311[[#This Row],[Date]],'DB Details'!$A:$Q,17))</f>
        <v/>
      </c>
    </row>
    <row r="190">
      <c r="A190" s="60" t="n">
        <v>41214</v>
      </c>
      <c r="B190" s="50">
        <f>IF(VLOOKUP(Table311[[#This Row],[Date]],'DB Details'!$A:$Q,12)=0,"",VLOOKUP(Table311[[#This Row],[Date]],'DB Details'!$A:$Q,12))</f>
        <v/>
      </c>
      <c r="C190" s="61">
        <f>IF(VLOOKUP(Table311[[#This Row],[Date]],'DB Details'!$A:$Q,16)=0,"",VLOOKUP(Table311[[#This Row],[Date]],'DB Details'!$A:$Q,16))</f>
        <v/>
      </c>
      <c r="D190" s="61">
        <f>IF(VLOOKUP(Table311[[#This Row],[Date]],'DB Details'!$A:$Q,15)=0,"",VLOOKUP(Table311[[#This Row],[Date]],'DB Details'!$A:$Q,15))</f>
        <v/>
      </c>
      <c r="E190" s="61">
        <f>IF(VLOOKUP(Table311[[#This Row],[Date]],'DB Details'!$A:$Q,17)=0,"",VLOOKUP(Table311[[#This Row],[Date]],'DB Details'!$A:$Q,17))</f>
        <v/>
      </c>
    </row>
    <row r="191">
      <c r="A191" s="60" t="n">
        <v>41244</v>
      </c>
      <c r="B191" s="50">
        <f>IF(VLOOKUP(Table311[[#This Row],[Date]],'DB Details'!$A:$Q,12)=0,"",VLOOKUP(Table311[[#This Row],[Date]],'DB Details'!$A:$Q,12))</f>
        <v/>
      </c>
      <c r="C191" s="61">
        <f>IF(VLOOKUP(Table311[[#This Row],[Date]],'DB Details'!$A:$Q,16)=0,"",VLOOKUP(Table311[[#This Row],[Date]],'DB Details'!$A:$Q,16))</f>
        <v/>
      </c>
      <c r="D191" s="61">
        <f>IF(VLOOKUP(Table311[[#This Row],[Date]],'DB Details'!$A:$Q,15)=0,"",VLOOKUP(Table311[[#This Row],[Date]],'DB Details'!$A:$Q,15))</f>
        <v/>
      </c>
      <c r="E191" s="61">
        <f>IF(VLOOKUP(Table311[[#This Row],[Date]],'DB Details'!$A:$Q,17)=0,"",VLOOKUP(Table311[[#This Row],[Date]],'DB Details'!$A:$Q,17))</f>
        <v/>
      </c>
    </row>
    <row r="192">
      <c r="A192" s="60" t="n">
        <v>41275</v>
      </c>
      <c r="B192" s="50">
        <f>IF(VLOOKUP(Table311[[#This Row],[Date]],'DB Details'!$A:$Q,12)=0,"",VLOOKUP(Table311[[#This Row],[Date]],'DB Details'!$A:$Q,12))</f>
        <v/>
      </c>
      <c r="C192" s="61">
        <f>IF(VLOOKUP(Table311[[#This Row],[Date]],'DB Details'!$A:$Q,16)=0,"",VLOOKUP(Table311[[#This Row],[Date]],'DB Details'!$A:$Q,16))</f>
        <v/>
      </c>
      <c r="D192" s="61">
        <f>IF(VLOOKUP(Table311[[#This Row],[Date]],'DB Details'!$A:$Q,15)=0,"",VLOOKUP(Table311[[#This Row],[Date]],'DB Details'!$A:$Q,15))</f>
        <v/>
      </c>
      <c r="E192" s="61">
        <f>IF(VLOOKUP(Table311[[#This Row],[Date]],'DB Details'!$A:$Q,17)=0,"",VLOOKUP(Table311[[#This Row],[Date]],'DB Details'!$A:$Q,17))</f>
        <v/>
      </c>
    </row>
    <row r="193">
      <c r="A193" s="60" t="n">
        <v>41306</v>
      </c>
      <c r="B193" s="50">
        <f>IF(VLOOKUP(Table311[[#This Row],[Date]],'DB Details'!$A:$Q,12)=0,"",VLOOKUP(Table311[[#This Row],[Date]],'DB Details'!$A:$Q,12))</f>
        <v/>
      </c>
      <c r="C193" s="61">
        <f>IF(VLOOKUP(Table311[[#This Row],[Date]],'DB Details'!$A:$Q,16)=0,"",VLOOKUP(Table311[[#This Row],[Date]],'DB Details'!$A:$Q,16))</f>
        <v/>
      </c>
      <c r="D193" s="61">
        <f>IF(VLOOKUP(Table311[[#This Row],[Date]],'DB Details'!$A:$Q,15)=0,"",VLOOKUP(Table311[[#This Row],[Date]],'DB Details'!$A:$Q,15))</f>
        <v/>
      </c>
      <c r="E193" s="61">
        <f>IF(VLOOKUP(Table311[[#This Row],[Date]],'DB Details'!$A:$Q,17)=0,"",VLOOKUP(Table311[[#This Row],[Date]],'DB Details'!$A:$Q,17))</f>
        <v/>
      </c>
    </row>
    <row r="194">
      <c r="A194" s="60" t="n">
        <v>41334</v>
      </c>
      <c r="B194" s="50">
        <f>IF(VLOOKUP(Table311[[#This Row],[Date]],'DB Details'!$A:$Q,12)=0,"",VLOOKUP(Table311[[#This Row],[Date]],'DB Details'!$A:$Q,12))</f>
        <v/>
      </c>
      <c r="C194" s="61">
        <f>IF(VLOOKUP(Table311[[#This Row],[Date]],'DB Details'!$A:$Q,16)=0,"",VLOOKUP(Table311[[#This Row],[Date]],'DB Details'!$A:$Q,16))</f>
        <v/>
      </c>
      <c r="D194" s="61">
        <f>IF(VLOOKUP(Table311[[#This Row],[Date]],'DB Details'!$A:$Q,15)=0,"",VLOOKUP(Table311[[#This Row],[Date]],'DB Details'!$A:$Q,15))</f>
        <v/>
      </c>
      <c r="E194" s="61">
        <f>IF(VLOOKUP(Table311[[#This Row],[Date]],'DB Details'!$A:$Q,17)=0,"",VLOOKUP(Table311[[#This Row],[Date]],'DB Details'!$A:$Q,17))</f>
        <v/>
      </c>
    </row>
    <row r="195">
      <c r="A195" s="60" t="n">
        <v>41365</v>
      </c>
      <c r="B195" s="50">
        <f>IF(VLOOKUP(Table311[[#This Row],[Date]],'DB Details'!$A:$Q,12)=0,"",VLOOKUP(Table311[[#This Row],[Date]],'DB Details'!$A:$Q,12))</f>
        <v/>
      </c>
      <c r="C195" s="61">
        <f>IF(VLOOKUP(Table311[[#This Row],[Date]],'DB Details'!$A:$Q,16)=0,"",VLOOKUP(Table311[[#This Row],[Date]],'DB Details'!$A:$Q,16))</f>
        <v/>
      </c>
      <c r="D195" s="61">
        <f>IF(VLOOKUP(Table311[[#This Row],[Date]],'DB Details'!$A:$Q,15)=0,"",VLOOKUP(Table311[[#This Row],[Date]],'DB Details'!$A:$Q,15))</f>
        <v/>
      </c>
      <c r="E195" s="61">
        <f>IF(VLOOKUP(Table311[[#This Row],[Date]],'DB Details'!$A:$Q,17)=0,"",VLOOKUP(Table311[[#This Row],[Date]],'DB Details'!$A:$Q,17))</f>
        <v/>
      </c>
    </row>
    <row r="196">
      <c r="A196" s="60" t="n">
        <v>41395</v>
      </c>
      <c r="B196" s="50">
        <f>IF(VLOOKUP(Table311[[#This Row],[Date]],'DB Details'!$A:$Q,12)=0,"",VLOOKUP(Table311[[#This Row],[Date]],'DB Details'!$A:$Q,12))</f>
        <v/>
      </c>
      <c r="C196" s="61">
        <f>IF(VLOOKUP(Table311[[#This Row],[Date]],'DB Details'!$A:$Q,16)=0,"",VLOOKUP(Table311[[#This Row],[Date]],'DB Details'!$A:$Q,16))</f>
        <v/>
      </c>
      <c r="D196" s="61">
        <f>IF(VLOOKUP(Table311[[#This Row],[Date]],'DB Details'!$A:$Q,15)=0,"",VLOOKUP(Table311[[#This Row],[Date]],'DB Details'!$A:$Q,15))</f>
        <v/>
      </c>
      <c r="E196" s="61">
        <f>IF(VLOOKUP(Table311[[#This Row],[Date]],'DB Details'!$A:$Q,17)=0,"",VLOOKUP(Table311[[#This Row],[Date]],'DB Details'!$A:$Q,17))</f>
        <v/>
      </c>
    </row>
    <row r="197">
      <c r="A197" s="60" t="n">
        <v>41426</v>
      </c>
      <c r="B197" s="50">
        <f>IF(VLOOKUP(Table311[[#This Row],[Date]],'DB Details'!$A:$Q,12)=0,"",VLOOKUP(Table311[[#This Row],[Date]],'DB Details'!$A:$Q,12))</f>
        <v/>
      </c>
      <c r="C197" s="61">
        <f>IF(VLOOKUP(Table311[[#This Row],[Date]],'DB Details'!$A:$Q,16)=0,"",VLOOKUP(Table311[[#This Row],[Date]],'DB Details'!$A:$Q,16))</f>
        <v/>
      </c>
      <c r="D197" s="61">
        <f>IF(VLOOKUP(Table311[[#This Row],[Date]],'DB Details'!$A:$Q,15)=0,"",VLOOKUP(Table311[[#This Row],[Date]],'DB Details'!$A:$Q,15))</f>
        <v/>
      </c>
      <c r="E197" s="61">
        <f>IF(VLOOKUP(Table311[[#This Row],[Date]],'DB Details'!$A:$Q,17)=0,"",VLOOKUP(Table311[[#This Row],[Date]],'DB Details'!$A:$Q,17))</f>
        <v/>
      </c>
    </row>
    <row r="198">
      <c r="A198" s="60" t="n">
        <v>41456</v>
      </c>
      <c r="B198" s="50">
        <f>IF(VLOOKUP(Table311[[#This Row],[Date]],'DB Details'!$A:$Q,12)=0,"",VLOOKUP(Table311[[#This Row],[Date]],'DB Details'!$A:$Q,12))</f>
        <v/>
      </c>
      <c r="C198" s="61">
        <f>IF(VLOOKUP(Table311[[#This Row],[Date]],'DB Details'!$A:$Q,16)=0,"",VLOOKUP(Table311[[#This Row],[Date]],'DB Details'!$A:$Q,16))</f>
        <v/>
      </c>
      <c r="D198" s="61">
        <f>IF(VLOOKUP(Table311[[#This Row],[Date]],'DB Details'!$A:$Q,15)=0,"",VLOOKUP(Table311[[#This Row],[Date]],'DB Details'!$A:$Q,15))</f>
        <v/>
      </c>
      <c r="E198" s="61">
        <f>IF(VLOOKUP(Table311[[#This Row],[Date]],'DB Details'!$A:$Q,17)=0,"",VLOOKUP(Table311[[#This Row],[Date]],'DB Details'!$A:$Q,17))</f>
        <v/>
      </c>
    </row>
    <row r="199">
      <c r="A199" s="60" t="n">
        <v>41487</v>
      </c>
      <c r="B199" s="50">
        <f>IF(VLOOKUP(Table311[[#This Row],[Date]],'DB Details'!$A:$Q,12)=0,"",VLOOKUP(Table311[[#This Row],[Date]],'DB Details'!$A:$Q,12))</f>
        <v/>
      </c>
      <c r="C199" s="61">
        <f>IF(VLOOKUP(Table311[[#This Row],[Date]],'DB Details'!$A:$Q,16)=0,"",VLOOKUP(Table311[[#This Row],[Date]],'DB Details'!$A:$Q,16))</f>
        <v/>
      </c>
      <c r="D199" s="61">
        <f>IF(VLOOKUP(Table311[[#This Row],[Date]],'DB Details'!$A:$Q,15)=0,"",VLOOKUP(Table311[[#This Row],[Date]],'DB Details'!$A:$Q,15))</f>
        <v/>
      </c>
      <c r="E199" s="61">
        <f>IF(VLOOKUP(Table311[[#This Row],[Date]],'DB Details'!$A:$Q,17)=0,"",VLOOKUP(Table311[[#This Row],[Date]],'DB Details'!$A:$Q,17))</f>
        <v/>
      </c>
    </row>
    <row r="200">
      <c r="A200" s="60" t="n">
        <v>41518</v>
      </c>
      <c r="B200" s="50">
        <f>IF(VLOOKUP(Table311[[#This Row],[Date]],'DB Details'!$A:$Q,12)=0,"",VLOOKUP(Table311[[#This Row],[Date]],'DB Details'!$A:$Q,12))</f>
        <v/>
      </c>
      <c r="C200" s="61">
        <f>IF(VLOOKUP(Table311[[#This Row],[Date]],'DB Details'!$A:$Q,16)=0,"",VLOOKUP(Table311[[#This Row],[Date]],'DB Details'!$A:$Q,16))</f>
        <v/>
      </c>
      <c r="D200" s="61">
        <f>IF(VLOOKUP(Table311[[#This Row],[Date]],'DB Details'!$A:$Q,15)=0,"",VLOOKUP(Table311[[#This Row],[Date]],'DB Details'!$A:$Q,15))</f>
        <v/>
      </c>
      <c r="E200" s="61">
        <f>IF(VLOOKUP(Table311[[#This Row],[Date]],'DB Details'!$A:$Q,17)=0,"",VLOOKUP(Table311[[#This Row],[Date]],'DB Details'!$A:$Q,17))</f>
        <v/>
      </c>
    </row>
    <row r="201">
      <c r="A201" s="60" t="n">
        <v>41548</v>
      </c>
      <c r="B201" s="50">
        <f>IF(VLOOKUP(Table311[[#This Row],[Date]],'DB Details'!$A:$Q,12)=0,"",VLOOKUP(Table311[[#This Row],[Date]],'DB Details'!$A:$Q,12))</f>
        <v/>
      </c>
      <c r="C201" s="61">
        <f>IF(VLOOKUP(Table311[[#This Row],[Date]],'DB Details'!$A:$Q,16)=0,"",VLOOKUP(Table311[[#This Row],[Date]],'DB Details'!$A:$Q,16))</f>
        <v/>
      </c>
      <c r="D201" s="61">
        <f>IF(VLOOKUP(Table311[[#This Row],[Date]],'DB Details'!$A:$Q,15)=0,"",VLOOKUP(Table311[[#This Row],[Date]],'DB Details'!$A:$Q,15))</f>
        <v/>
      </c>
      <c r="E201" s="61">
        <f>IF(VLOOKUP(Table311[[#This Row],[Date]],'DB Details'!$A:$Q,17)=0,"",VLOOKUP(Table311[[#This Row],[Date]],'DB Details'!$A:$Q,17))</f>
        <v/>
      </c>
    </row>
    <row r="202">
      <c r="A202" s="60" t="n">
        <v>41579</v>
      </c>
      <c r="B202" s="50">
        <f>IF(VLOOKUP(Table311[[#This Row],[Date]],'DB Details'!$A:$Q,12)=0,"",VLOOKUP(Table311[[#This Row],[Date]],'DB Details'!$A:$Q,12))</f>
        <v/>
      </c>
      <c r="C202" s="61">
        <f>IF(VLOOKUP(Table311[[#This Row],[Date]],'DB Details'!$A:$Q,16)=0,"",VLOOKUP(Table311[[#This Row],[Date]],'DB Details'!$A:$Q,16))</f>
        <v/>
      </c>
      <c r="D202" s="61">
        <f>IF(VLOOKUP(Table311[[#This Row],[Date]],'DB Details'!$A:$Q,15)=0,"",VLOOKUP(Table311[[#This Row],[Date]],'DB Details'!$A:$Q,15))</f>
        <v/>
      </c>
      <c r="E202" s="61">
        <f>IF(VLOOKUP(Table311[[#This Row],[Date]],'DB Details'!$A:$Q,17)=0,"",VLOOKUP(Table311[[#This Row],[Date]],'DB Details'!$A:$Q,17))</f>
        <v/>
      </c>
    </row>
    <row r="203">
      <c r="A203" s="60" t="n">
        <v>41609</v>
      </c>
      <c r="B203" s="50">
        <f>IF(VLOOKUP(Table311[[#This Row],[Date]],'DB Details'!$A:$Q,12)=0,"",VLOOKUP(Table311[[#This Row],[Date]],'DB Details'!$A:$Q,12))</f>
        <v/>
      </c>
      <c r="C203" s="61">
        <f>IF(VLOOKUP(Table311[[#This Row],[Date]],'DB Details'!$A:$Q,16)=0,"",VLOOKUP(Table311[[#This Row],[Date]],'DB Details'!$A:$Q,16))</f>
        <v/>
      </c>
      <c r="D203" s="61">
        <f>IF(VLOOKUP(Table311[[#This Row],[Date]],'DB Details'!$A:$Q,15)=0,"",VLOOKUP(Table311[[#This Row],[Date]],'DB Details'!$A:$Q,15))</f>
        <v/>
      </c>
      <c r="E203" s="61">
        <f>IF(VLOOKUP(Table311[[#This Row],[Date]],'DB Details'!$A:$Q,17)=0,"",VLOOKUP(Table311[[#This Row],[Date]],'DB Details'!$A:$Q,17))</f>
        <v/>
      </c>
    </row>
    <row r="204">
      <c r="A204" s="60" t="n">
        <v>41640</v>
      </c>
      <c r="B204" s="50">
        <f>IF(VLOOKUP(Table311[[#This Row],[Date]],'DB Details'!$A:$Q,12)=0,"",VLOOKUP(Table311[[#This Row],[Date]],'DB Details'!$A:$Q,12))</f>
        <v/>
      </c>
      <c r="C204" s="61">
        <f>IF(VLOOKUP(Table311[[#This Row],[Date]],'DB Details'!$A:$Q,16)=0,"",VLOOKUP(Table311[[#This Row],[Date]],'DB Details'!$A:$Q,16))</f>
        <v/>
      </c>
      <c r="D204" s="61">
        <f>IF(VLOOKUP(Table311[[#This Row],[Date]],'DB Details'!$A:$Q,15)=0,"",VLOOKUP(Table311[[#This Row],[Date]],'DB Details'!$A:$Q,15))</f>
        <v/>
      </c>
      <c r="E204" s="61">
        <f>IF(VLOOKUP(Table311[[#This Row],[Date]],'DB Details'!$A:$Q,17)=0,"",VLOOKUP(Table311[[#This Row],[Date]],'DB Details'!$A:$Q,17))</f>
        <v/>
      </c>
    </row>
    <row r="205">
      <c r="A205" s="60" t="n">
        <v>41671</v>
      </c>
      <c r="B205" s="50">
        <f>IF(VLOOKUP(Table311[[#This Row],[Date]],'DB Details'!$A:$Q,12)=0,"",VLOOKUP(Table311[[#This Row],[Date]],'DB Details'!$A:$Q,12))</f>
        <v/>
      </c>
      <c r="C205" s="61">
        <f>IF(VLOOKUP(Table311[[#This Row],[Date]],'DB Details'!$A:$Q,16)=0,"",VLOOKUP(Table311[[#This Row],[Date]],'DB Details'!$A:$Q,16))</f>
        <v/>
      </c>
      <c r="D205" s="61">
        <f>IF(VLOOKUP(Table311[[#This Row],[Date]],'DB Details'!$A:$Q,15)=0,"",VLOOKUP(Table311[[#This Row],[Date]],'DB Details'!$A:$Q,15))</f>
        <v/>
      </c>
      <c r="E205" s="61">
        <f>IF(VLOOKUP(Table311[[#This Row],[Date]],'DB Details'!$A:$Q,17)=0,"",VLOOKUP(Table311[[#This Row],[Date]],'DB Details'!$A:$Q,17))</f>
        <v/>
      </c>
    </row>
    <row r="206">
      <c r="A206" s="60" t="n">
        <v>41699</v>
      </c>
      <c r="B206" s="50">
        <f>IF(VLOOKUP(Table311[[#This Row],[Date]],'DB Details'!$A:$Q,12)=0,"",VLOOKUP(Table311[[#This Row],[Date]],'DB Details'!$A:$Q,12))</f>
        <v/>
      </c>
      <c r="C206" s="61">
        <f>IF(VLOOKUP(Table311[[#This Row],[Date]],'DB Details'!$A:$Q,16)=0,"",VLOOKUP(Table311[[#This Row],[Date]],'DB Details'!$A:$Q,16))</f>
        <v/>
      </c>
      <c r="D206" s="61">
        <f>IF(VLOOKUP(Table311[[#This Row],[Date]],'DB Details'!$A:$Q,15)=0,"",VLOOKUP(Table311[[#This Row],[Date]],'DB Details'!$A:$Q,15))</f>
        <v/>
      </c>
      <c r="E206" s="61">
        <f>IF(VLOOKUP(Table311[[#This Row],[Date]],'DB Details'!$A:$Q,17)=0,"",VLOOKUP(Table311[[#This Row],[Date]],'DB Details'!$A:$Q,17))</f>
        <v/>
      </c>
    </row>
    <row r="207">
      <c r="A207" s="60" t="n">
        <v>41730</v>
      </c>
      <c r="B207" s="50">
        <f>IF(VLOOKUP(Table311[[#This Row],[Date]],'DB Details'!$A:$Q,12)=0,"",VLOOKUP(Table311[[#This Row],[Date]],'DB Details'!$A:$Q,12))</f>
        <v/>
      </c>
      <c r="C207" s="61">
        <f>IF(VLOOKUP(Table311[[#This Row],[Date]],'DB Details'!$A:$Q,16)=0,"",VLOOKUP(Table311[[#This Row],[Date]],'DB Details'!$A:$Q,16))</f>
        <v/>
      </c>
      <c r="D207" s="61">
        <f>IF(VLOOKUP(Table311[[#This Row],[Date]],'DB Details'!$A:$Q,15)=0,"",VLOOKUP(Table311[[#This Row],[Date]],'DB Details'!$A:$Q,15))</f>
        <v/>
      </c>
      <c r="E207" s="61">
        <f>IF(VLOOKUP(Table311[[#This Row],[Date]],'DB Details'!$A:$Q,17)=0,"",VLOOKUP(Table311[[#This Row],[Date]],'DB Details'!$A:$Q,17))</f>
        <v/>
      </c>
    </row>
    <row r="208">
      <c r="A208" s="60" t="n">
        <v>41760</v>
      </c>
      <c r="B208" s="50">
        <f>IF(VLOOKUP(Table311[[#This Row],[Date]],'DB Details'!$A:$Q,12)=0,"",VLOOKUP(Table311[[#This Row],[Date]],'DB Details'!$A:$Q,12))</f>
        <v/>
      </c>
      <c r="C208" s="61">
        <f>IF(VLOOKUP(Table311[[#This Row],[Date]],'DB Details'!$A:$Q,16)=0,"",VLOOKUP(Table311[[#This Row],[Date]],'DB Details'!$A:$Q,16))</f>
        <v/>
      </c>
      <c r="D208" s="61">
        <f>IF(VLOOKUP(Table311[[#This Row],[Date]],'DB Details'!$A:$Q,15)=0,"",VLOOKUP(Table311[[#This Row],[Date]],'DB Details'!$A:$Q,15))</f>
        <v/>
      </c>
      <c r="E208" s="61">
        <f>IF(VLOOKUP(Table311[[#This Row],[Date]],'DB Details'!$A:$Q,17)=0,"",VLOOKUP(Table311[[#This Row],[Date]],'DB Details'!$A:$Q,17))</f>
        <v/>
      </c>
    </row>
    <row r="209">
      <c r="A209" s="60" t="n">
        <v>41791</v>
      </c>
      <c r="B209" s="50">
        <f>IF(VLOOKUP(Table311[[#This Row],[Date]],'DB Details'!$A:$Q,12)=0,"",VLOOKUP(Table311[[#This Row],[Date]],'DB Details'!$A:$Q,12))</f>
        <v/>
      </c>
      <c r="C209" s="61">
        <f>IF(VLOOKUP(Table311[[#This Row],[Date]],'DB Details'!$A:$Q,16)=0,"",VLOOKUP(Table311[[#This Row],[Date]],'DB Details'!$A:$Q,16))</f>
        <v/>
      </c>
      <c r="D209" s="61">
        <f>IF(VLOOKUP(Table311[[#This Row],[Date]],'DB Details'!$A:$Q,15)=0,"",VLOOKUP(Table311[[#This Row],[Date]],'DB Details'!$A:$Q,15))</f>
        <v/>
      </c>
      <c r="E209" s="61">
        <f>IF(VLOOKUP(Table311[[#This Row],[Date]],'DB Details'!$A:$Q,17)=0,"",VLOOKUP(Table311[[#This Row],[Date]],'DB Details'!$A:$Q,17))</f>
        <v/>
      </c>
    </row>
    <row r="210">
      <c r="A210" s="60" t="n">
        <v>41821</v>
      </c>
      <c r="B210" s="50">
        <f>IF(VLOOKUP(Table311[[#This Row],[Date]],'DB Details'!$A:$Q,12)=0,"",VLOOKUP(Table311[[#This Row],[Date]],'DB Details'!$A:$Q,12))</f>
        <v/>
      </c>
      <c r="C210" s="61">
        <f>IF(VLOOKUP(Table311[[#This Row],[Date]],'DB Details'!$A:$Q,16)=0,"",VLOOKUP(Table311[[#This Row],[Date]],'DB Details'!$A:$Q,16))</f>
        <v/>
      </c>
      <c r="D210" s="61">
        <f>IF(VLOOKUP(Table311[[#This Row],[Date]],'DB Details'!$A:$Q,15)=0,"",VLOOKUP(Table311[[#This Row],[Date]],'DB Details'!$A:$Q,15))</f>
        <v/>
      </c>
      <c r="E210" s="61">
        <f>IF(VLOOKUP(Table311[[#This Row],[Date]],'DB Details'!$A:$Q,17)=0,"",VLOOKUP(Table311[[#This Row],[Date]],'DB Details'!$A:$Q,17))</f>
        <v/>
      </c>
    </row>
    <row r="211">
      <c r="A211" s="60" t="n">
        <v>41852</v>
      </c>
      <c r="B211" s="50">
        <f>IF(VLOOKUP(Table311[[#This Row],[Date]],'DB Details'!$A:$Q,12)=0,"",VLOOKUP(Table311[[#This Row],[Date]],'DB Details'!$A:$Q,12))</f>
        <v/>
      </c>
      <c r="C211" s="61">
        <f>IF(VLOOKUP(Table311[[#This Row],[Date]],'DB Details'!$A:$Q,16)=0,"",VLOOKUP(Table311[[#This Row],[Date]],'DB Details'!$A:$Q,16))</f>
        <v/>
      </c>
      <c r="D211" s="61">
        <f>IF(VLOOKUP(Table311[[#This Row],[Date]],'DB Details'!$A:$Q,15)=0,"",VLOOKUP(Table311[[#This Row],[Date]],'DB Details'!$A:$Q,15))</f>
        <v/>
      </c>
      <c r="E211" s="61">
        <f>IF(VLOOKUP(Table311[[#This Row],[Date]],'DB Details'!$A:$Q,17)=0,"",VLOOKUP(Table311[[#This Row],[Date]],'DB Details'!$A:$Q,17))</f>
        <v/>
      </c>
    </row>
    <row r="212">
      <c r="A212" s="60" t="n">
        <v>41883</v>
      </c>
      <c r="B212" s="50">
        <f>IF(VLOOKUP(Table311[[#This Row],[Date]],'DB Details'!$A:$Q,12)=0,"",VLOOKUP(Table311[[#This Row],[Date]],'DB Details'!$A:$Q,12))</f>
        <v/>
      </c>
      <c r="C212" s="61">
        <f>IF(VLOOKUP(Table311[[#This Row],[Date]],'DB Details'!$A:$Q,16)=0,"",VLOOKUP(Table311[[#This Row],[Date]],'DB Details'!$A:$Q,16))</f>
        <v/>
      </c>
      <c r="D212" s="61">
        <f>IF(VLOOKUP(Table311[[#This Row],[Date]],'DB Details'!$A:$Q,15)=0,"",VLOOKUP(Table311[[#This Row],[Date]],'DB Details'!$A:$Q,15))</f>
        <v/>
      </c>
      <c r="E212" s="61">
        <f>IF(VLOOKUP(Table311[[#This Row],[Date]],'DB Details'!$A:$Q,17)=0,"",VLOOKUP(Table311[[#This Row],[Date]],'DB Details'!$A:$Q,17))</f>
        <v/>
      </c>
    </row>
    <row r="213">
      <c r="A213" s="60" t="n">
        <v>41913</v>
      </c>
      <c r="B213" s="50">
        <f>IF(VLOOKUP(Table311[[#This Row],[Date]],'DB Details'!$A:$Q,12)=0,"",VLOOKUP(Table311[[#This Row],[Date]],'DB Details'!$A:$Q,12))</f>
        <v/>
      </c>
      <c r="C213" s="61">
        <f>IF(VLOOKUP(Table311[[#This Row],[Date]],'DB Details'!$A:$Q,16)=0,"",VLOOKUP(Table311[[#This Row],[Date]],'DB Details'!$A:$Q,16))</f>
        <v/>
      </c>
      <c r="D213" s="61">
        <f>IF(VLOOKUP(Table311[[#This Row],[Date]],'DB Details'!$A:$Q,15)=0,"",VLOOKUP(Table311[[#This Row],[Date]],'DB Details'!$A:$Q,15))</f>
        <v/>
      </c>
      <c r="E213" s="61">
        <f>IF(VLOOKUP(Table311[[#This Row],[Date]],'DB Details'!$A:$Q,17)=0,"",VLOOKUP(Table311[[#This Row],[Date]],'DB Details'!$A:$Q,17))</f>
        <v/>
      </c>
    </row>
    <row r="214">
      <c r="A214" s="60" t="n">
        <v>41944</v>
      </c>
      <c r="B214" s="50">
        <f>IF(VLOOKUP(Table311[[#This Row],[Date]],'DB Details'!$A:$Q,12)=0,"",VLOOKUP(Table311[[#This Row],[Date]],'DB Details'!$A:$Q,12))</f>
        <v/>
      </c>
      <c r="C214" s="61">
        <f>IF(VLOOKUP(Table311[[#This Row],[Date]],'DB Details'!$A:$Q,16)=0,"",VLOOKUP(Table311[[#This Row],[Date]],'DB Details'!$A:$Q,16))</f>
        <v/>
      </c>
      <c r="D214" s="61">
        <f>IF(VLOOKUP(Table311[[#This Row],[Date]],'DB Details'!$A:$Q,15)=0,"",VLOOKUP(Table311[[#This Row],[Date]],'DB Details'!$A:$Q,15))</f>
        <v/>
      </c>
      <c r="E214" s="61">
        <f>IF(VLOOKUP(Table311[[#This Row],[Date]],'DB Details'!$A:$Q,17)=0,"",VLOOKUP(Table311[[#This Row],[Date]],'DB Details'!$A:$Q,17))</f>
        <v/>
      </c>
    </row>
    <row r="215">
      <c r="A215" s="60" t="n">
        <v>41974</v>
      </c>
      <c r="B215" s="50">
        <f>IF(VLOOKUP(Table311[[#This Row],[Date]],'DB Details'!$A:$Q,12)=0,"",VLOOKUP(Table311[[#This Row],[Date]],'DB Details'!$A:$Q,12))</f>
        <v/>
      </c>
      <c r="C215" s="61">
        <f>IF(VLOOKUP(Table311[[#This Row],[Date]],'DB Details'!$A:$Q,16)=0,"",VLOOKUP(Table311[[#This Row],[Date]],'DB Details'!$A:$Q,16))</f>
        <v/>
      </c>
      <c r="D215" s="61">
        <f>IF(VLOOKUP(Table311[[#This Row],[Date]],'DB Details'!$A:$Q,15)=0,"",VLOOKUP(Table311[[#This Row],[Date]],'DB Details'!$A:$Q,15))</f>
        <v/>
      </c>
      <c r="E215" s="61">
        <f>IF(VLOOKUP(Table311[[#This Row],[Date]],'DB Details'!$A:$Q,17)=0,"",VLOOKUP(Table311[[#This Row],[Date]],'DB Details'!$A:$Q,17))</f>
        <v/>
      </c>
    </row>
    <row r="216">
      <c r="A216" s="60" t="n">
        <v>42005</v>
      </c>
      <c r="B216" s="50">
        <f>IF(VLOOKUP(Table311[[#This Row],[Date]],'DB Details'!$A:$Q,12)=0,"",VLOOKUP(Table311[[#This Row],[Date]],'DB Details'!$A:$Q,12))</f>
        <v/>
      </c>
      <c r="C216" s="61">
        <f>IF(VLOOKUP(Table311[[#This Row],[Date]],'DB Details'!$A:$Q,16)=0,"",VLOOKUP(Table311[[#This Row],[Date]],'DB Details'!$A:$Q,16))</f>
        <v/>
      </c>
      <c r="D216" s="61">
        <f>IF(VLOOKUP(Table311[[#This Row],[Date]],'DB Details'!$A:$Q,15)=0,"",VLOOKUP(Table311[[#This Row],[Date]],'DB Details'!$A:$Q,15))</f>
        <v/>
      </c>
      <c r="E216" s="61">
        <f>IF(VLOOKUP(Table311[[#This Row],[Date]],'DB Details'!$A:$Q,17)=0,"",VLOOKUP(Table311[[#This Row],[Date]],'DB Details'!$A:$Q,17))</f>
        <v/>
      </c>
    </row>
    <row r="217">
      <c r="A217" s="60" t="n">
        <v>42036</v>
      </c>
      <c r="B217" s="50">
        <f>IF(VLOOKUP(Table311[[#This Row],[Date]],'DB Details'!$A:$Q,12)=0,"",VLOOKUP(Table311[[#This Row],[Date]],'DB Details'!$A:$Q,12))</f>
        <v/>
      </c>
      <c r="C217" s="61">
        <f>IF(VLOOKUP(Table311[[#This Row],[Date]],'DB Details'!$A:$Q,16)=0,"",VLOOKUP(Table311[[#This Row],[Date]],'DB Details'!$A:$Q,16))</f>
        <v/>
      </c>
      <c r="D217" s="61">
        <f>IF(VLOOKUP(Table311[[#This Row],[Date]],'DB Details'!$A:$Q,15)=0,"",VLOOKUP(Table311[[#This Row],[Date]],'DB Details'!$A:$Q,15))</f>
        <v/>
      </c>
      <c r="E217" s="61">
        <f>IF(VLOOKUP(Table311[[#This Row],[Date]],'DB Details'!$A:$Q,17)=0,"",VLOOKUP(Table311[[#This Row],[Date]],'DB Details'!$A:$Q,17))</f>
        <v/>
      </c>
    </row>
    <row r="218">
      <c r="A218" s="60" t="n">
        <v>42064</v>
      </c>
      <c r="B218" s="50">
        <f>IF(VLOOKUP(Table311[[#This Row],[Date]],'DB Details'!$A:$Q,12)=0,"",VLOOKUP(Table311[[#This Row],[Date]],'DB Details'!$A:$Q,12))</f>
        <v/>
      </c>
      <c r="C218" s="61">
        <f>IF(VLOOKUP(Table311[[#This Row],[Date]],'DB Details'!$A:$Q,16)=0,"",VLOOKUP(Table311[[#This Row],[Date]],'DB Details'!$A:$Q,16))</f>
        <v/>
      </c>
      <c r="D218" s="61">
        <f>IF(VLOOKUP(Table311[[#This Row],[Date]],'DB Details'!$A:$Q,15)=0,"",VLOOKUP(Table311[[#This Row],[Date]],'DB Details'!$A:$Q,15))</f>
        <v/>
      </c>
      <c r="E218" s="61">
        <f>IF(VLOOKUP(Table311[[#This Row],[Date]],'DB Details'!$A:$Q,17)=0,"",VLOOKUP(Table311[[#This Row],[Date]],'DB Details'!$A:$Q,17))</f>
        <v/>
      </c>
    </row>
    <row r="219">
      <c r="A219" s="60" t="n">
        <v>42095</v>
      </c>
      <c r="B219" s="50">
        <f>IF(VLOOKUP(Table311[[#This Row],[Date]],'DB Details'!$A:$Q,12)=0,"",VLOOKUP(Table311[[#This Row],[Date]],'DB Details'!$A:$Q,12))</f>
        <v/>
      </c>
      <c r="C219" s="61">
        <f>IF(VLOOKUP(Table311[[#This Row],[Date]],'DB Details'!$A:$Q,16)=0,"",VLOOKUP(Table311[[#This Row],[Date]],'DB Details'!$A:$Q,16))</f>
        <v/>
      </c>
      <c r="D219" s="61">
        <f>IF(VLOOKUP(Table311[[#This Row],[Date]],'DB Details'!$A:$Q,15)=0,"",VLOOKUP(Table311[[#This Row],[Date]],'DB Details'!$A:$Q,15))</f>
        <v/>
      </c>
      <c r="E219" s="61">
        <f>IF(VLOOKUP(Table311[[#This Row],[Date]],'DB Details'!$A:$Q,17)=0,"",VLOOKUP(Table311[[#This Row],[Date]],'DB Details'!$A:$Q,17))</f>
        <v/>
      </c>
    </row>
    <row r="220">
      <c r="A220" s="60" t="n">
        <v>42125</v>
      </c>
      <c r="B220" s="50">
        <f>IF(VLOOKUP(Table311[[#This Row],[Date]],'DB Details'!$A:$Q,12)=0,"",VLOOKUP(Table311[[#This Row],[Date]],'DB Details'!$A:$Q,12))</f>
        <v/>
      </c>
      <c r="C220" s="61">
        <f>IF(VLOOKUP(Table311[[#This Row],[Date]],'DB Details'!$A:$Q,16)=0,"",VLOOKUP(Table311[[#This Row],[Date]],'DB Details'!$A:$Q,16))</f>
        <v/>
      </c>
      <c r="D220" s="61">
        <f>IF(VLOOKUP(Table311[[#This Row],[Date]],'DB Details'!$A:$Q,15)=0,"",VLOOKUP(Table311[[#This Row],[Date]],'DB Details'!$A:$Q,15))</f>
        <v/>
      </c>
      <c r="E220" s="61">
        <f>IF(VLOOKUP(Table311[[#This Row],[Date]],'DB Details'!$A:$Q,17)=0,"",VLOOKUP(Table311[[#This Row],[Date]],'DB Details'!$A:$Q,17))</f>
        <v/>
      </c>
    </row>
    <row r="221">
      <c r="A221" s="60" t="n">
        <v>42156</v>
      </c>
      <c r="B221" s="50">
        <f>IF(VLOOKUP(Table311[[#This Row],[Date]],'DB Details'!$A:$Q,12)=0,"",VLOOKUP(Table311[[#This Row],[Date]],'DB Details'!$A:$Q,12))</f>
        <v/>
      </c>
      <c r="C221" s="61">
        <f>IF(VLOOKUP(Table311[[#This Row],[Date]],'DB Details'!$A:$Q,16)=0,"",VLOOKUP(Table311[[#This Row],[Date]],'DB Details'!$A:$Q,16))</f>
        <v/>
      </c>
      <c r="D221" s="61">
        <f>IF(VLOOKUP(Table311[[#This Row],[Date]],'DB Details'!$A:$Q,15)=0,"",VLOOKUP(Table311[[#This Row],[Date]],'DB Details'!$A:$Q,15))</f>
        <v/>
      </c>
      <c r="E221" s="61">
        <f>IF(VLOOKUP(Table311[[#This Row],[Date]],'DB Details'!$A:$Q,17)=0,"",VLOOKUP(Table311[[#This Row],[Date]],'DB Details'!$A:$Q,17))</f>
        <v/>
      </c>
    </row>
    <row r="222">
      <c r="A222" s="60" t="n">
        <v>42186</v>
      </c>
      <c r="B222" s="50">
        <f>IF(VLOOKUP(Table311[[#This Row],[Date]],'DB Details'!$A:$Q,12)=0,"",VLOOKUP(Table311[[#This Row],[Date]],'DB Details'!$A:$Q,12))</f>
        <v/>
      </c>
      <c r="C222" s="61">
        <f>IF(VLOOKUP(Table311[[#This Row],[Date]],'DB Details'!$A:$Q,16)=0,"",VLOOKUP(Table311[[#This Row],[Date]],'DB Details'!$A:$Q,16))</f>
        <v/>
      </c>
      <c r="D222" s="61">
        <f>IF(VLOOKUP(Table311[[#This Row],[Date]],'DB Details'!$A:$Q,15)=0,"",VLOOKUP(Table311[[#This Row],[Date]],'DB Details'!$A:$Q,15))</f>
        <v/>
      </c>
      <c r="E222" s="61">
        <f>IF(VLOOKUP(Table311[[#This Row],[Date]],'DB Details'!$A:$Q,17)=0,"",VLOOKUP(Table311[[#This Row],[Date]],'DB Details'!$A:$Q,17))</f>
        <v/>
      </c>
    </row>
    <row r="223">
      <c r="A223" s="60" t="n">
        <v>42217</v>
      </c>
      <c r="B223" s="50">
        <f>IF(VLOOKUP(Table311[[#This Row],[Date]],'DB Details'!$A:$Q,12)=0,"",VLOOKUP(Table311[[#This Row],[Date]],'DB Details'!$A:$Q,12))</f>
        <v/>
      </c>
      <c r="C223" s="61">
        <f>IF(VLOOKUP(Table311[[#This Row],[Date]],'DB Details'!$A:$Q,16)=0,"",VLOOKUP(Table311[[#This Row],[Date]],'DB Details'!$A:$Q,16))</f>
        <v/>
      </c>
      <c r="D223" s="61">
        <f>IF(VLOOKUP(Table311[[#This Row],[Date]],'DB Details'!$A:$Q,15)=0,"",VLOOKUP(Table311[[#This Row],[Date]],'DB Details'!$A:$Q,15))</f>
        <v/>
      </c>
      <c r="E223" s="61">
        <f>IF(VLOOKUP(Table311[[#This Row],[Date]],'DB Details'!$A:$Q,17)=0,"",VLOOKUP(Table311[[#This Row],[Date]],'DB Details'!$A:$Q,17))</f>
        <v/>
      </c>
    </row>
    <row r="224">
      <c r="A224" s="60" t="n">
        <v>42248</v>
      </c>
      <c r="B224" s="50">
        <f>IF(VLOOKUP(Table311[[#This Row],[Date]],'DB Details'!$A:$Q,12)=0,"",VLOOKUP(Table311[[#This Row],[Date]],'DB Details'!$A:$Q,12))</f>
        <v/>
      </c>
      <c r="C224" s="61">
        <f>IF(VLOOKUP(Table311[[#This Row],[Date]],'DB Details'!$A:$Q,16)=0,"",VLOOKUP(Table311[[#This Row],[Date]],'DB Details'!$A:$Q,16))</f>
        <v/>
      </c>
      <c r="D224" s="61">
        <f>IF(VLOOKUP(Table311[[#This Row],[Date]],'DB Details'!$A:$Q,15)=0,"",VLOOKUP(Table311[[#This Row],[Date]],'DB Details'!$A:$Q,15))</f>
        <v/>
      </c>
      <c r="E224" s="61">
        <f>IF(VLOOKUP(Table311[[#This Row],[Date]],'DB Details'!$A:$Q,17)=0,"",VLOOKUP(Table311[[#This Row],[Date]],'DB Details'!$A:$Q,17))</f>
        <v/>
      </c>
    </row>
    <row r="225">
      <c r="A225" s="60" t="n">
        <v>42278</v>
      </c>
      <c r="B225" s="50">
        <f>IF(VLOOKUP(Table311[[#This Row],[Date]],'DB Details'!$A:$Q,12)=0,"",VLOOKUP(Table311[[#This Row],[Date]],'DB Details'!$A:$Q,12))</f>
        <v/>
      </c>
      <c r="C225" s="61">
        <f>IF(VLOOKUP(Table311[[#This Row],[Date]],'DB Details'!$A:$Q,16)=0,"",VLOOKUP(Table311[[#This Row],[Date]],'DB Details'!$A:$Q,16))</f>
        <v/>
      </c>
      <c r="D225" s="61">
        <f>IF(VLOOKUP(Table311[[#This Row],[Date]],'DB Details'!$A:$Q,15)=0,"",VLOOKUP(Table311[[#This Row],[Date]],'DB Details'!$A:$Q,15))</f>
        <v/>
      </c>
      <c r="E225" s="61">
        <f>IF(VLOOKUP(Table311[[#This Row],[Date]],'DB Details'!$A:$Q,17)=0,"",VLOOKUP(Table311[[#This Row],[Date]],'DB Details'!$A:$Q,17))</f>
        <v/>
      </c>
    </row>
    <row r="226">
      <c r="A226" s="60" t="n">
        <v>42309</v>
      </c>
      <c r="B226" s="50">
        <f>IF(VLOOKUP(Table311[[#This Row],[Date]],'DB Details'!$A:$Q,12)=0,"",VLOOKUP(Table311[[#This Row],[Date]],'DB Details'!$A:$Q,12))</f>
        <v/>
      </c>
      <c r="C226" s="61">
        <f>IF(VLOOKUP(Table311[[#This Row],[Date]],'DB Details'!$A:$Q,16)=0,"",VLOOKUP(Table311[[#This Row],[Date]],'DB Details'!$A:$Q,16))</f>
        <v/>
      </c>
      <c r="D226" s="61">
        <f>IF(VLOOKUP(Table311[[#This Row],[Date]],'DB Details'!$A:$Q,15)=0,"",VLOOKUP(Table311[[#This Row],[Date]],'DB Details'!$A:$Q,15))</f>
        <v/>
      </c>
      <c r="E226" s="61">
        <f>IF(VLOOKUP(Table311[[#This Row],[Date]],'DB Details'!$A:$Q,17)=0,"",VLOOKUP(Table311[[#This Row],[Date]],'DB Details'!$A:$Q,17))</f>
        <v/>
      </c>
    </row>
    <row r="227">
      <c r="A227" s="60" t="n">
        <v>42339</v>
      </c>
      <c r="B227" s="50">
        <f>IF(VLOOKUP(Table311[[#This Row],[Date]],'DB Details'!$A:$Q,12)=0,"",VLOOKUP(Table311[[#This Row],[Date]],'DB Details'!$A:$Q,12))</f>
        <v/>
      </c>
      <c r="C227" s="61">
        <f>IF(VLOOKUP(Table311[[#This Row],[Date]],'DB Details'!$A:$Q,16)=0,"",VLOOKUP(Table311[[#This Row],[Date]],'DB Details'!$A:$Q,16))</f>
        <v/>
      </c>
      <c r="D227" s="61">
        <f>IF(VLOOKUP(Table311[[#This Row],[Date]],'DB Details'!$A:$Q,15)=0,"",VLOOKUP(Table311[[#This Row],[Date]],'DB Details'!$A:$Q,15))</f>
        <v/>
      </c>
      <c r="E227" s="61">
        <f>IF(VLOOKUP(Table311[[#This Row],[Date]],'DB Details'!$A:$Q,17)=0,"",VLOOKUP(Table311[[#This Row],[Date]],'DB Details'!$A:$Q,17))</f>
        <v/>
      </c>
    </row>
    <row r="228">
      <c r="A228" s="60" t="n">
        <v>42370</v>
      </c>
      <c r="B228" s="50">
        <f>IF(VLOOKUP(Table311[[#This Row],[Date]],'DB Details'!$A:$Q,12)=0,"",VLOOKUP(Table311[[#This Row],[Date]],'DB Details'!$A:$Q,12))</f>
        <v/>
      </c>
      <c r="C228" s="61">
        <f>IF(VLOOKUP(Table311[[#This Row],[Date]],'DB Details'!$A:$Q,16)=0,"",VLOOKUP(Table311[[#This Row],[Date]],'DB Details'!$A:$Q,16))</f>
        <v/>
      </c>
      <c r="D228" s="61">
        <f>IF(VLOOKUP(Table311[[#This Row],[Date]],'DB Details'!$A:$Q,15)=0,"",VLOOKUP(Table311[[#This Row],[Date]],'DB Details'!$A:$Q,15))</f>
        <v/>
      </c>
      <c r="E228" s="61">
        <f>IF(VLOOKUP(Table311[[#This Row],[Date]],'DB Details'!$A:$Q,17)=0,"",VLOOKUP(Table311[[#This Row],[Date]],'DB Details'!$A:$Q,17))</f>
        <v/>
      </c>
    </row>
    <row r="229">
      <c r="A229" s="60" t="n">
        <v>42401</v>
      </c>
      <c r="B229" s="50">
        <f>IF(VLOOKUP(Table311[[#This Row],[Date]],'DB Details'!$A:$Q,12)=0,"",VLOOKUP(Table311[[#This Row],[Date]],'DB Details'!$A:$Q,12))</f>
        <v/>
      </c>
      <c r="C229" s="61">
        <f>IF(VLOOKUP(Table311[[#This Row],[Date]],'DB Details'!$A:$Q,16)=0,"",VLOOKUP(Table311[[#This Row],[Date]],'DB Details'!$A:$Q,16))</f>
        <v/>
      </c>
      <c r="D229" s="61">
        <f>IF(VLOOKUP(Table311[[#This Row],[Date]],'DB Details'!$A:$Q,15)=0,"",VLOOKUP(Table311[[#This Row],[Date]],'DB Details'!$A:$Q,15))</f>
        <v/>
      </c>
      <c r="E229" s="61">
        <f>IF(VLOOKUP(Table311[[#This Row],[Date]],'DB Details'!$A:$Q,17)=0,"",VLOOKUP(Table311[[#This Row],[Date]],'DB Details'!$A:$Q,17))</f>
        <v/>
      </c>
    </row>
    <row r="230">
      <c r="A230" s="60" t="n">
        <v>42430</v>
      </c>
      <c r="B230" s="50">
        <f>IF(VLOOKUP(Table311[[#This Row],[Date]],'DB Details'!$A:$Q,12)=0,"",VLOOKUP(Table311[[#This Row],[Date]],'DB Details'!$A:$Q,12))</f>
        <v/>
      </c>
      <c r="C230" s="61">
        <f>IF(VLOOKUP(Table311[[#This Row],[Date]],'DB Details'!$A:$Q,16)=0,"",VLOOKUP(Table311[[#This Row],[Date]],'DB Details'!$A:$Q,16))</f>
        <v/>
      </c>
      <c r="D230" s="61">
        <f>IF(VLOOKUP(Table311[[#This Row],[Date]],'DB Details'!$A:$Q,15)=0,"",VLOOKUP(Table311[[#This Row],[Date]],'DB Details'!$A:$Q,15))</f>
        <v/>
      </c>
      <c r="E230" s="61">
        <f>IF(VLOOKUP(Table311[[#This Row],[Date]],'DB Details'!$A:$Q,17)=0,"",VLOOKUP(Table311[[#This Row],[Date]],'DB Details'!$A:$Q,17))</f>
        <v/>
      </c>
    </row>
    <row r="231">
      <c r="A231" s="60" t="n">
        <v>42461</v>
      </c>
      <c r="B231" s="50">
        <f>IF(VLOOKUP(Table311[[#This Row],[Date]],'DB Details'!$A:$Q,12)=0,"",VLOOKUP(Table311[[#This Row],[Date]],'DB Details'!$A:$Q,12))</f>
        <v/>
      </c>
      <c r="C231" s="61">
        <f>IF(VLOOKUP(Table311[[#This Row],[Date]],'DB Details'!$A:$Q,16)=0,"",VLOOKUP(Table311[[#This Row],[Date]],'DB Details'!$A:$Q,16))</f>
        <v/>
      </c>
      <c r="D231" s="61">
        <f>IF(VLOOKUP(Table311[[#This Row],[Date]],'DB Details'!$A:$Q,15)=0,"",VLOOKUP(Table311[[#This Row],[Date]],'DB Details'!$A:$Q,15))</f>
        <v/>
      </c>
      <c r="E231" s="61">
        <f>IF(VLOOKUP(Table311[[#This Row],[Date]],'DB Details'!$A:$Q,17)=0,"",VLOOKUP(Table311[[#This Row],[Date]],'DB Details'!$A:$Q,17))</f>
        <v/>
      </c>
    </row>
    <row r="232">
      <c r="A232" s="60" t="n">
        <v>42491</v>
      </c>
      <c r="B232" s="50">
        <f>IF(VLOOKUP(Table311[[#This Row],[Date]],'DB Details'!$A:$Q,12)=0,"",VLOOKUP(Table311[[#This Row],[Date]],'DB Details'!$A:$Q,12))</f>
        <v/>
      </c>
      <c r="C232" s="61">
        <f>IF(VLOOKUP(Table311[[#This Row],[Date]],'DB Details'!$A:$Q,16)=0,"",VLOOKUP(Table311[[#This Row],[Date]],'DB Details'!$A:$Q,16))</f>
        <v/>
      </c>
      <c r="D232" s="61">
        <f>IF(VLOOKUP(Table311[[#This Row],[Date]],'DB Details'!$A:$Q,15)=0,"",VLOOKUP(Table311[[#This Row],[Date]],'DB Details'!$A:$Q,15))</f>
        <v/>
      </c>
      <c r="E232" s="61">
        <f>IF(VLOOKUP(Table311[[#This Row],[Date]],'DB Details'!$A:$Q,17)=0,"",VLOOKUP(Table311[[#This Row],[Date]],'DB Details'!$A:$Q,17))</f>
        <v/>
      </c>
    </row>
    <row r="233">
      <c r="A233" s="60" t="n">
        <v>42522</v>
      </c>
      <c r="B233" s="50">
        <f>IF(VLOOKUP(Table311[[#This Row],[Date]],'DB Details'!$A:$Q,12)=0,"",VLOOKUP(Table311[[#This Row],[Date]],'DB Details'!$A:$Q,12))</f>
        <v/>
      </c>
      <c r="C233" s="61">
        <f>IF(VLOOKUP(Table311[[#This Row],[Date]],'DB Details'!$A:$Q,16)=0,"",VLOOKUP(Table311[[#This Row],[Date]],'DB Details'!$A:$Q,16))</f>
        <v/>
      </c>
      <c r="D233" s="61">
        <f>IF(VLOOKUP(Table311[[#This Row],[Date]],'DB Details'!$A:$Q,15)=0,"",VLOOKUP(Table311[[#This Row],[Date]],'DB Details'!$A:$Q,15))</f>
        <v/>
      </c>
      <c r="E233" s="61">
        <f>IF(VLOOKUP(Table311[[#This Row],[Date]],'DB Details'!$A:$Q,17)=0,"",VLOOKUP(Table311[[#This Row],[Date]],'DB Details'!$A:$Q,17))</f>
        <v/>
      </c>
    </row>
    <row r="234">
      <c r="A234" s="60" t="n">
        <v>42552</v>
      </c>
      <c r="B234" s="50">
        <f>IF(VLOOKUP(Table311[[#This Row],[Date]],'DB Details'!$A:$Q,12)=0,"",VLOOKUP(Table311[[#This Row],[Date]],'DB Details'!$A:$Q,12))</f>
        <v/>
      </c>
      <c r="C234" s="61">
        <f>IF(VLOOKUP(Table311[[#This Row],[Date]],'DB Details'!$A:$Q,16)=0,"",VLOOKUP(Table311[[#This Row],[Date]],'DB Details'!$A:$Q,16))</f>
        <v/>
      </c>
      <c r="D234" s="61">
        <f>IF(VLOOKUP(Table311[[#This Row],[Date]],'DB Details'!$A:$Q,15)=0,"",VLOOKUP(Table311[[#This Row],[Date]],'DB Details'!$A:$Q,15))</f>
        <v/>
      </c>
      <c r="E234" s="61">
        <f>IF(VLOOKUP(Table311[[#This Row],[Date]],'DB Details'!$A:$Q,17)=0,"",VLOOKUP(Table311[[#This Row],[Date]],'DB Details'!$A:$Q,17))</f>
        <v/>
      </c>
    </row>
    <row r="235">
      <c r="A235" s="60" t="n">
        <v>42583</v>
      </c>
      <c r="B235" s="50">
        <f>IF(VLOOKUP(Table311[[#This Row],[Date]],'DB Details'!$A:$Q,12)=0,"",VLOOKUP(Table311[[#This Row],[Date]],'DB Details'!$A:$Q,12))</f>
        <v/>
      </c>
      <c r="C235" s="61">
        <f>IF(VLOOKUP(Table311[[#This Row],[Date]],'DB Details'!$A:$Q,16)=0,"",VLOOKUP(Table311[[#This Row],[Date]],'DB Details'!$A:$Q,16))</f>
        <v/>
      </c>
      <c r="D235" s="61">
        <f>IF(VLOOKUP(Table311[[#This Row],[Date]],'DB Details'!$A:$Q,15)=0,"",VLOOKUP(Table311[[#This Row],[Date]],'DB Details'!$A:$Q,15))</f>
        <v/>
      </c>
      <c r="E235" s="61">
        <f>IF(VLOOKUP(Table311[[#This Row],[Date]],'DB Details'!$A:$Q,17)=0,"",VLOOKUP(Table311[[#This Row],[Date]],'DB Details'!$A:$Q,17))</f>
        <v/>
      </c>
    </row>
    <row r="236">
      <c r="A236" s="60" t="n">
        <v>42614</v>
      </c>
      <c r="B236" s="50">
        <f>IF(VLOOKUP(Table311[[#This Row],[Date]],'DB Details'!$A:$Q,12)=0,"",VLOOKUP(Table311[[#This Row],[Date]],'DB Details'!$A:$Q,12))</f>
        <v/>
      </c>
      <c r="C236" s="61">
        <f>IF(VLOOKUP(Table311[[#This Row],[Date]],'DB Details'!$A:$Q,16)=0,"",VLOOKUP(Table311[[#This Row],[Date]],'DB Details'!$A:$Q,16))</f>
        <v/>
      </c>
      <c r="D236" s="61">
        <f>IF(VLOOKUP(Table311[[#This Row],[Date]],'DB Details'!$A:$Q,15)=0,"",VLOOKUP(Table311[[#This Row],[Date]],'DB Details'!$A:$Q,15))</f>
        <v/>
      </c>
      <c r="E236" s="61">
        <f>IF(VLOOKUP(Table311[[#This Row],[Date]],'DB Details'!$A:$Q,17)=0,"",VLOOKUP(Table311[[#This Row],[Date]],'DB Details'!$A:$Q,17))</f>
        <v/>
      </c>
    </row>
    <row r="237">
      <c r="A237" s="60" t="n">
        <v>42644</v>
      </c>
      <c r="B237" s="50">
        <f>IF(VLOOKUP(Table311[[#This Row],[Date]],'DB Details'!$A:$Q,12)=0,"",VLOOKUP(Table311[[#This Row],[Date]],'DB Details'!$A:$Q,12))</f>
        <v/>
      </c>
      <c r="C237" s="61">
        <f>IF(VLOOKUP(Table311[[#This Row],[Date]],'DB Details'!$A:$Q,16)=0,"",VLOOKUP(Table311[[#This Row],[Date]],'DB Details'!$A:$Q,16))</f>
        <v/>
      </c>
      <c r="D237" s="61">
        <f>IF(VLOOKUP(Table311[[#This Row],[Date]],'DB Details'!$A:$Q,15)=0,"",VLOOKUP(Table311[[#This Row],[Date]],'DB Details'!$A:$Q,15))</f>
        <v/>
      </c>
      <c r="E237" s="61">
        <f>IF(VLOOKUP(Table311[[#This Row],[Date]],'DB Details'!$A:$Q,17)=0,"",VLOOKUP(Table311[[#This Row],[Date]],'DB Details'!$A:$Q,17))</f>
        <v/>
      </c>
    </row>
    <row r="238">
      <c r="A238" s="60" t="n">
        <v>42675</v>
      </c>
      <c r="B238" s="50">
        <f>IF(VLOOKUP(Table311[[#This Row],[Date]],'DB Details'!$A:$Q,12)=0,"",VLOOKUP(Table311[[#This Row],[Date]],'DB Details'!$A:$Q,12))</f>
        <v/>
      </c>
      <c r="C238" s="61">
        <f>IF(VLOOKUP(Table311[[#This Row],[Date]],'DB Details'!$A:$Q,16)=0,"",VLOOKUP(Table311[[#This Row],[Date]],'DB Details'!$A:$Q,16))</f>
        <v/>
      </c>
      <c r="D238" s="61">
        <f>IF(VLOOKUP(Table311[[#This Row],[Date]],'DB Details'!$A:$Q,15)=0,"",VLOOKUP(Table311[[#This Row],[Date]],'DB Details'!$A:$Q,15))</f>
        <v/>
      </c>
      <c r="E238" s="61">
        <f>IF(VLOOKUP(Table311[[#This Row],[Date]],'DB Details'!$A:$Q,17)=0,"",VLOOKUP(Table311[[#This Row],[Date]],'DB Details'!$A:$Q,17))</f>
        <v/>
      </c>
    </row>
    <row r="239">
      <c r="A239" s="60" t="n">
        <v>42705</v>
      </c>
      <c r="B239" s="50">
        <f>IF(VLOOKUP(Table311[[#This Row],[Date]],'DB Details'!$A:$Q,12)=0,"",VLOOKUP(Table311[[#This Row],[Date]],'DB Details'!$A:$Q,12))</f>
        <v/>
      </c>
      <c r="C239" s="61">
        <f>IF(VLOOKUP(Table311[[#This Row],[Date]],'DB Details'!$A:$Q,16)=0,"",VLOOKUP(Table311[[#This Row],[Date]],'DB Details'!$A:$Q,16))</f>
        <v/>
      </c>
      <c r="D239" s="61">
        <f>IF(VLOOKUP(Table311[[#This Row],[Date]],'DB Details'!$A:$Q,15)=0,"",VLOOKUP(Table311[[#This Row],[Date]],'DB Details'!$A:$Q,15))</f>
        <v/>
      </c>
      <c r="E239" s="61">
        <f>IF(VLOOKUP(Table311[[#This Row],[Date]],'DB Details'!$A:$Q,17)=0,"",VLOOKUP(Table311[[#This Row],[Date]],'DB Details'!$A:$Q,17))</f>
        <v/>
      </c>
    </row>
    <row r="240">
      <c r="A240" s="60" t="n">
        <v>42736</v>
      </c>
      <c r="B240" s="50">
        <f>IF(VLOOKUP(Table311[[#This Row],[Date]],'DB Details'!$A:$Q,12)=0,"",VLOOKUP(Table311[[#This Row],[Date]],'DB Details'!$A:$Q,12))</f>
        <v/>
      </c>
      <c r="C240" s="61">
        <f>IF(VLOOKUP(Table311[[#This Row],[Date]],'DB Details'!$A:$Q,16)=0,"",VLOOKUP(Table311[[#This Row],[Date]],'DB Details'!$A:$Q,16))</f>
        <v/>
      </c>
      <c r="D240" s="61">
        <f>IF(VLOOKUP(Table311[[#This Row],[Date]],'DB Details'!$A:$Q,15)=0,"",VLOOKUP(Table311[[#This Row],[Date]],'DB Details'!$A:$Q,15))</f>
        <v/>
      </c>
      <c r="E240" s="61">
        <f>IF(VLOOKUP(Table311[[#This Row],[Date]],'DB Details'!$A:$Q,17)=0,"",VLOOKUP(Table311[[#This Row],[Date]],'DB Details'!$A:$Q,17))</f>
        <v/>
      </c>
    </row>
    <row r="241">
      <c r="A241" s="60" t="n">
        <v>42767</v>
      </c>
      <c r="B241" s="50">
        <f>IF(VLOOKUP(Table311[[#This Row],[Date]],'DB Details'!$A:$Q,12)=0,"",VLOOKUP(Table311[[#This Row],[Date]],'DB Details'!$A:$Q,12))</f>
        <v/>
      </c>
      <c r="C241" s="61">
        <f>IF(VLOOKUP(Table311[[#This Row],[Date]],'DB Details'!$A:$Q,16)=0,"",VLOOKUP(Table311[[#This Row],[Date]],'DB Details'!$A:$Q,16))</f>
        <v/>
      </c>
      <c r="D241" s="61">
        <f>IF(VLOOKUP(Table311[[#This Row],[Date]],'DB Details'!$A:$Q,15)=0,"",VLOOKUP(Table311[[#This Row],[Date]],'DB Details'!$A:$Q,15))</f>
        <v/>
      </c>
      <c r="E241" s="61">
        <f>IF(VLOOKUP(Table311[[#This Row],[Date]],'DB Details'!$A:$Q,17)=0,"",VLOOKUP(Table311[[#This Row],[Date]],'DB Details'!$A:$Q,17))</f>
        <v/>
      </c>
    </row>
    <row r="242">
      <c r="A242" s="60" t="n">
        <v>42795</v>
      </c>
      <c r="B242" s="50">
        <f>IF(VLOOKUP(Table311[[#This Row],[Date]],'DB Details'!$A:$Q,12)=0,"",VLOOKUP(Table311[[#This Row],[Date]],'DB Details'!$A:$Q,12))</f>
        <v/>
      </c>
      <c r="C242" s="61">
        <f>IF(VLOOKUP(Table311[[#This Row],[Date]],'DB Details'!$A:$Q,16)=0,"",VLOOKUP(Table311[[#This Row],[Date]],'DB Details'!$A:$Q,16))</f>
        <v/>
      </c>
      <c r="D242" s="61">
        <f>IF(VLOOKUP(Table311[[#This Row],[Date]],'DB Details'!$A:$Q,15)=0,"",VLOOKUP(Table311[[#This Row],[Date]],'DB Details'!$A:$Q,15))</f>
        <v/>
      </c>
      <c r="E242" s="61">
        <f>IF(VLOOKUP(Table311[[#This Row],[Date]],'DB Details'!$A:$Q,17)=0,"",VLOOKUP(Table311[[#This Row],[Date]],'DB Details'!$A:$Q,17))</f>
        <v/>
      </c>
    </row>
    <row r="243">
      <c r="A243" s="60" t="n">
        <v>42826</v>
      </c>
      <c r="B243" s="50">
        <f>IF(VLOOKUP(Table311[[#This Row],[Date]],'DB Details'!$A:$Q,12)=0,"",VLOOKUP(Table311[[#This Row],[Date]],'DB Details'!$A:$Q,12))</f>
        <v/>
      </c>
      <c r="C243" s="61">
        <f>IF(VLOOKUP(Table311[[#This Row],[Date]],'DB Details'!$A:$Q,16)=0,"",VLOOKUP(Table311[[#This Row],[Date]],'DB Details'!$A:$Q,16))</f>
        <v/>
      </c>
      <c r="D243" s="61">
        <f>IF(VLOOKUP(Table311[[#This Row],[Date]],'DB Details'!$A:$Q,15)=0,"",VLOOKUP(Table311[[#This Row],[Date]],'DB Details'!$A:$Q,15))</f>
        <v/>
      </c>
      <c r="E243" s="61">
        <f>IF(VLOOKUP(Table311[[#This Row],[Date]],'DB Details'!$A:$Q,17)=0,"",VLOOKUP(Table311[[#This Row],[Date]],'DB Details'!$A:$Q,17))</f>
        <v/>
      </c>
    </row>
    <row r="244">
      <c r="A244" s="60" t="n">
        <v>42856</v>
      </c>
      <c r="B244" s="50">
        <f>IF(VLOOKUP(Table311[[#This Row],[Date]],'DB Details'!$A:$Q,12)=0,"",VLOOKUP(Table311[[#This Row],[Date]],'DB Details'!$A:$Q,12))</f>
        <v/>
      </c>
      <c r="C244" s="61">
        <f>IF(VLOOKUP(Table311[[#This Row],[Date]],'DB Details'!$A:$Q,16)=0,"",VLOOKUP(Table311[[#This Row],[Date]],'DB Details'!$A:$Q,16))</f>
        <v/>
      </c>
      <c r="D244" s="61">
        <f>IF(VLOOKUP(Table311[[#This Row],[Date]],'DB Details'!$A:$Q,15)=0,"",VLOOKUP(Table311[[#This Row],[Date]],'DB Details'!$A:$Q,15))</f>
        <v/>
      </c>
      <c r="E244" s="61">
        <f>IF(VLOOKUP(Table311[[#This Row],[Date]],'DB Details'!$A:$Q,17)=0,"",VLOOKUP(Table311[[#This Row],[Date]],'DB Details'!$A:$Q,17))</f>
        <v/>
      </c>
    </row>
    <row r="245">
      <c r="A245" s="60" t="n">
        <v>42887</v>
      </c>
      <c r="B245" s="50">
        <f>IF(VLOOKUP(Table311[[#This Row],[Date]],'DB Details'!$A:$Q,12)=0,"",VLOOKUP(Table311[[#This Row],[Date]],'DB Details'!$A:$Q,12))</f>
        <v/>
      </c>
      <c r="C245" s="61">
        <f>IF(VLOOKUP(Table311[[#This Row],[Date]],'DB Details'!$A:$Q,16)=0,"",VLOOKUP(Table311[[#This Row],[Date]],'DB Details'!$A:$Q,16))</f>
        <v/>
      </c>
      <c r="D245" s="61">
        <f>IF(VLOOKUP(Table311[[#This Row],[Date]],'DB Details'!$A:$Q,15)=0,"",VLOOKUP(Table311[[#This Row],[Date]],'DB Details'!$A:$Q,15))</f>
        <v/>
      </c>
      <c r="E245" s="61">
        <f>IF(VLOOKUP(Table311[[#This Row],[Date]],'DB Details'!$A:$Q,17)=0,"",VLOOKUP(Table311[[#This Row],[Date]],'DB Details'!$A:$Q,17))</f>
        <v/>
      </c>
    </row>
    <row r="246">
      <c r="A246" s="60" t="n">
        <v>42917</v>
      </c>
      <c r="B246" s="50">
        <f>IF(VLOOKUP(Table311[[#This Row],[Date]],'DB Details'!$A:$Q,12)=0,"",VLOOKUP(Table311[[#This Row],[Date]],'DB Details'!$A:$Q,12))</f>
        <v/>
      </c>
      <c r="C246" s="61">
        <f>IF(VLOOKUP(Table311[[#This Row],[Date]],'DB Details'!$A:$Q,16)=0,"",VLOOKUP(Table311[[#This Row],[Date]],'DB Details'!$A:$Q,16))</f>
        <v/>
      </c>
      <c r="D246" s="61">
        <f>IF(VLOOKUP(Table311[[#This Row],[Date]],'DB Details'!$A:$Q,15)=0,"",VLOOKUP(Table311[[#This Row],[Date]],'DB Details'!$A:$Q,15))</f>
        <v/>
      </c>
      <c r="E246" s="61">
        <f>IF(VLOOKUP(Table311[[#This Row],[Date]],'DB Details'!$A:$Q,17)=0,"",VLOOKUP(Table311[[#This Row],[Date]],'DB Details'!$A:$Q,17))</f>
        <v/>
      </c>
    </row>
    <row r="247">
      <c r="A247" s="60" t="n">
        <v>42948</v>
      </c>
      <c r="B247" s="50">
        <f>IF(VLOOKUP(Table311[[#This Row],[Date]],'DB Details'!$A:$Q,12)=0,"",VLOOKUP(Table311[[#This Row],[Date]],'DB Details'!$A:$Q,12))</f>
        <v/>
      </c>
      <c r="C247" s="61">
        <f>IF(VLOOKUP(Table311[[#This Row],[Date]],'DB Details'!$A:$Q,16)=0,"",VLOOKUP(Table311[[#This Row],[Date]],'DB Details'!$A:$Q,16))</f>
        <v/>
      </c>
      <c r="D247" s="61">
        <f>IF(VLOOKUP(Table311[[#This Row],[Date]],'DB Details'!$A:$Q,15)=0,"",VLOOKUP(Table311[[#This Row],[Date]],'DB Details'!$A:$Q,15))</f>
        <v/>
      </c>
      <c r="E247" s="61">
        <f>IF(VLOOKUP(Table311[[#This Row],[Date]],'DB Details'!$A:$Q,17)=0,"",VLOOKUP(Table311[[#This Row],[Date]],'DB Details'!$A:$Q,17))</f>
        <v/>
      </c>
    </row>
    <row r="248">
      <c r="A248" s="60" t="n">
        <v>42979</v>
      </c>
      <c r="B248" s="50">
        <f>IF(VLOOKUP(Table311[[#This Row],[Date]],'DB Details'!$A:$Q,12)=0,"",VLOOKUP(Table311[[#This Row],[Date]],'DB Details'!$A:$Q,12))</f>
        <v/>
      </c>
      <c r="C248" s="61">
        <f>IF(VLOOKUP(Table311[[#This Row],[Date]],'DB Details'!$A:$Q,16)=0,"",VLOOKUP(Table311[[#This Row],[Date]],'DB Details'!$A:$Q,16))</f>
        <v/>
      </c>
      <c r="D248" s="61">
        <f>IF(VLOOKUP(Table311[[#This Row],[Date]],'DB Details'!$A:$Q,15)=0,"",VLOOKUP(Table311[[#This Row],[Date]],'DB Details'!$A:$Q,15))</f>
        <v/>
      </c>
      <c r="E248" s="61">
        <f>IF(VLOOKUP(Table311[[#This Row],[Date]],'DB Details'!$A:$Q,17)=0,"",VLOOKUP(Table311[[#This Row],[Date]],'DB Details'!$A:$Q,17))</f>
        <v/>
      </c>
    </row>
    <row r="249">
      <c r="A249" s="60" t="n">
        <v>43009</v>
      </c>
      <c r="B249" s="50">
        <f>IF(VLOOKUP(Table311[[#This Row],[Date]],'DB Details'!$A:$Q,12)=0,"",VLOOKUP(Table311[[#This Row],[Date]],'DB Details'!$A:$Q,12))</f>
        <v/>
      </c>
      <c r="C249" s="61">
        <f>IF(VLOOKUP(Table311[[#This Row],[Date]],'DB Details'!$A:$Q,16)=0,"",VLOOKUP(Table311[[#This Row],[Date]],'DB Details'!$A:$Q,16))</f>
        <v/>
      </c>
      <c r="D249" s="61">
        <f>IF(VLOOKUP(Table311[[#This Row],[Date]],'DB Details'!$A:$Q,15)=0,"",VLOOKUP(Table311[[#This Row],[Date]],'DB Details'!$A:$Q,15))</f>
        <v/>
      </c>
      <c r="E249" s="61">
        <f>IF(VLOOKUP(Table311[[#This Row],[Date]],'DB Details'!$A:$Q,17)=0,"",VLOOKUP(Table311[[#This Row],[Date]],'DB Details'!$A:$Q,17))</f>
        <v/>
      </c>
    </row>
    <row r="250">
      <c r="A250" s="60" t="n">
        <v>43040</v>
      </c>
      <c r="B250" s="50">
        <f>IF(VLOOKUP(Table311[[#This Row],[Date]],'DB Details'!$A:$Q,12)=0,"",VLOOKUP(Table311[[#This Row],[Date]],'DB Details'!$A:$Q,12))</f>
        <v/>
      </c>
      <c r="C250" s="61">
        <f>IF(VLOOKUP(Table311[[#This Row],[Date]],'DB Details'!$A:$Q,16)=0,"",VLOOKUP(Table311[[#This Row],[Date]],'DB Details'!$A:$Q,16))</f>
        <v/>
      </c>
      <c r="D250" s="61">
        <f>IF(VLOOKUP(Table311[[#This Row],[Date]],'DB Details'!$A:$Q,15)=0,"",VLOOKUP(Table311[[#This Row],[Date]],'DB Details'!$A:$Q,15))</f>
        <v/>
      </c>
      <c r="E250" s="61">
        <f>IF(VLOOKUP(Table311[[#This Row],[Date]],'DB Details'!$A:$Q,17)=0,"",VLOOKUP(Table311[[#This Row],[Date]],'DB Details'!$A:$Q,17))</f>
        <v/>
      </c>
    </row>
    <row r="251">
      <c r="A251" s="60" t="n">
        <v>43070</v>
      </c>
      <c r="B251" s="50">
        <f>IF(VLOOKUP(Table311[[#This Row],[Date]],'DB Details'!$A:$Q,12)=0,"",VLOOKUP(Table311[[#This Row],[Date]],'DB Details'!$A:$Q,12))</f>
        <v/>
      </c>
      <c r="C251" s="61">
        <f>IF(VLOOKUP(Table311[[#This Row],[Date]],'DB Details'!$A:$Q,16)=0,"",VLOOKUP(Table311[[#This Row],[Date]],'DB Details'!$A:$Q,16))</f>
        <v/>
      </c>
      <c r="D251" s="61">
        <f>IF(VLOOKUP(Table311[[#This Row],[Date]],'DB Details'!$A:$Q,15)=0,"",VLOOKUP(Table311[[#This Row],[Date]],'DB Details'!$A:$Q,15))</f>
        <v/>
      </c>
      <c r="E251" s="61">
        <f>IF(VLOOKUP(Table311[[#This Row],[Date]],'DB Details'!$A:$Q,17)=0,"",VLOOKUP(Table311[[#This Row],[Date]],'DB Details'!$A:$Q,17))</f>
        <v/>
      </c>
    </row>
    <row r="252">
      <c r="A252" s="60" t="n">
        <v>43101</v>
      </c>
      <c r="B252" s="50">
        <f>IF(VLOOKUP(Table311[[#This Row],[Date]],'DB Details'!$A:$Q,12)=0,"",VLOOKUP(Table311[[#This Row],[Date]],'DB Details'!$A:$Q,12))</f>
        <v/>
      </c>
      <c r="C252" s="61">
        <f>IF(VLOOKUP(Table311[[#This Row],[Date]],'DB Details'!$A:$Q,16)=0,"",VLOOKUP(Table311[[#This Row],[Date]],'DB Details'!$A:$Q,16))</f>
        <v/>
      </c>
      <c r="D252" s="61">
        <f>IF(VLOOKUP(Table311[[#This Row],[Date]],'DB Details'!$A:$Q,15)=0,"",VLOOKUP(Table311[[#This Row],[Date]],'DB Details'!$A:$Q,15))</f>
        <v/>
      </c>
      <c r="E252" s="61">
        <f>IF(VLOOKUP(Table311[[#This Row],[Date]],'DB Details'!$A:$Q,17)=0,"",VLOOKUP(Table311[[#This Row],[Date]],'DB Details'!$A:$Q,17))</f>
        <v/>
      </c>
    </row>
    <row r="253">
      <c r="A253" s="60" t="n">
        <v>43132</v>
      </c>
      <c r="B253" s="50">
        <f>IF(VLOOKUP(Table311[[#This Row],[Date]],'DB Details'!$A:$Q,12)=0,"",VLOOKUP(Table311[[#This Row],[Date]],'DB Details'!$A:$Q,12))</f>
        <v/>
      </c>
      <c r="C253" s="61">
        <f>IF(VLOOKUP(Table311[[#This Row],[Date]],'DB Details'!$A:$Q,16)=0,"",VLOOKUP(Table311[[#This Row],[Date]],'DB Details'!$A:$Q,16))</f>
        <v/>
      </c>
      <c r="D253" s="61">
        <f>IF(VLOOKUP(Table311[[#This Row],[Date]],'DB Details'!$A:$Q,15)=0,"",VLOOKUP(Table311[[#This Row],[Date]],'DB Details'!$A:$Q,15))</f>
        <v/>
      </c>
      <c r="E253" s="61">
        <f>IF(VLOOKUP(Table311[[#This Row],[Date]],'DB Details'!$A:$Q,17)=0,"",VLOOKUP(Table311[[#This Row],[Date]],'DB Details'!$A:$Q,17))</f>
        <v/>
      </c>
    </row>
    <row r="254">
      <c r="A254" s="60" t="n">
        <v>43160</v>
      </c>
      <c r="B254" s="50">
        <f>IF(VLOOKUP(Table311[[#This Row],[Date]],'DB Details'!$A:$Q,12)=0,"",VLOOKUP(Table311[[#This Row],[Date]],'DB Details'!$A:$Q,12))</f>
        <v/>
      </c>
      <c r="C254" s="61">
        <f>IF(VLOOKUP(Table311[[#This Row],[Date]],'DB Details'!$A:$Q,16)=0,"",VLOOKUP(Table311[[#This Row],[Date]],'DB Details'!$A:$Q,16))</f>
        <v/>
      </c>
      <c r="D254" s="61">
        <f>IF(VLOOKUP(Table311[[#This Row],[Date]],'DB Details'!$A:$Q,15)=0,"",VLOOKUP(Table311[[#This Row],[Date]],'DB Details'!$A:$Q,15))</f>
        <v/>
      </c>
      <c r="E254" s="61">
        <f>IF(VLOOKUP(Table311[[#This Row],[Date]],'DB Details'!$A:$Q,17)=0,"",VLOOKUP(Table311[[#This Row],[Date]],'DB Details'!$A:$Q,17))</f>
        <v/>
      </c>
    </row>
    <row r="255">
      <c r="A255" s="60" t="n">
        <v>43191</v>
      </c>
      <c r="B255" s="50">
        <f>IF(VLOOKUP(Table311[[#This Row],[Date]],'DB Details'!$A:$Q,12)=0,"",VLOOKUP(Table311[[#This Row],[Date]],'DB Details'!$A:$Q,12))</f>
        <v/>
      </c>
      <c r="C255" s="61">
        <f>IF(VLOOKUP(Table311[[#This Row],[Date]],'DB Details'!$A:$Q,16)=0,"",VLOOKUP(Table311[[#This Row],[Date]],'DB Details'!$A:$Q,16))</f>
        <v/>
      </c>
      <c r="D255" s="61">
        <f>IF(VLOOKUP(Table311[[#This Row],[Date]],'DB Details'!$A:$Q,15)=0,"",VLOOKUP(Table311[[#This Row],[Date]],'DB Details'!$A:$Q,15))</f>
        <v/>
      </c>
      <c r="E255" s="61">
        <f>IF(VLOOKUP(Table311[[#This Row],[Date]],'DB Details'!$A:$Q,17)=0,"",VLOOKUP(Table311[[#This Row],[Date]],'DB Details'!$A:$Q,17))</f>
        <v/>
      </c>
    </row>
    <row r="256">
      <c r="A256" s="60" t="n">
        <v>43221</v>
      </c>
      <c r="B256" s="50">
        <f>IF(VLOOKUP(Table311[[#This Row],[Date]],'DB Details'!$A:$Q,12)=0,"",VLOOKUP(Table311[[#This Row],[Date]],'DB Details'!$A:$Q,12))</f>
        <v/>
      </c>
      <c r="C256" s="61">
        <f>IF(VLOOKUP(Table311[[#This Row],[Date]],'DB Details'!$A:$Q,16)=0,"",VLOOKUP(Table311[[#This Row],[Date]],'DB Details'!$A:$Q,16))</f>
        <v/>
      </c>
      <c r="D256" s="61">
        <f>IF(VLOOKUP(Table311[[#This Row],[Date]],'DB Details'!$A:$Q,15)=0,"",VLOOKUP(Table311[[#This Row],[Date]],'DB Details'!$A:$Q,15))</f>
        <v/>
      </c>
      <c r="E256" s="61">
        <f>IF(VLOOKUP(Table311[[#This Row],[Date]],'DB Details'!$A:$Q,17)=0,"",VLOOKUP(Table311[[#This Row],[Date]],'DB Details'!$A:$Q,17))</f>
        <v/>
      </c>
    </row>
    <row r="257">
      <c r="A257" s="60" t="n">
        <v>43252</v>
      </c>
      <c r="B257" s="50">
        <f>IF(VLOOKUP(Table311[[#This Row],[Date]],'DB Details'!$A:$Q,12)=0,"",VLOOKUP(Table311[[#This Row],[Date]],'DB Details'!$A:$Q,12))</f>
        <v/>
      </c>
      <c r="C257" s="61">
        <f>IF(VLOOKUP(Table311[[#This Row],[Date]],'DB Details'!$A:$Q,16)=0,"",VLOOKUP(Table311[[#This Row],[Date]],'DB Details'!$A:$Q,16))</f>
        <v/>
      </c>
      <c r="D257" s="61">
        <f>IF(VLOOKUP(Table311[[#This Row],[Date]],'DB Details'!$A:$Q,15)=0,"",VLOOKUP(Table311[[#This Row],[Date]],'DB Details'!$A:$Q,15))</f>
        <v/>
      </c>
      <c r="E257" s="61">
        <f>IF(VLOOKUP(Table311[[#This Row],[Date]],'DB Details'!$A:$Q,17)=0,"",VLOOKUP(Table311[[#This Row],[Date]],'DB Details'!$A:$Q,17))</f>
        <v/>
      </c>
    </row>
    <row r="258">
      <c r="A258" s="60" t="n">
        <v>43282</v>
      </c>
      <c r="B258" s="50">
        <f>IF(VLOOKUP(Table311[[#This Row],[Date]],'DB Details'!$A:$Q,12)=0,"",VLOOKUP(Table311[[#This Row],[Date]],'DB Details'!$A:$Q,12))</f>
        <v/>
      </c>
      <c r="C258" s="61">
        <f>IF(VLOOKUP(Table311[[#This Row],[Date]],'DB Details'!$A:$Q,16)=0,"",VLOOKUP(Table311[[#This Row],[Date]],'DB Details'!$A:$Q,16))</f>
        <v/>
      </c>
      <c r="D258" s="61">
        <f>IF(VLOOKUP(Table311[[#This Row],[Date]],'DB Details'!$A:$Q,15)=0,"",VLOOKUP(Table311[[#This Row],[Date]],'DB Details'!$A:$Q,15))</f>
        <v/>
      </c>
      <c r="E258" s="61">
        <f>IF(VLOOKUP(Table311[[#This Row],[Date]],'DB Details'!$A:$Q,17)=0,"",VLOOKUP(Table311[[#This Row],[Date]],'DB Details'!$A:$Q,17))</f>
        <v/>
      </c>
    </row>
    <row r="259">
      <c r="A259" s="60" t="n">
        <v>43313</v>
      </c>
      <c r="B259" s="50">
        <f>IF(VLOOKUP(Table311[[#This Row],[Date]],'DB Details'!$A:$Q,12)=0,"",VLOOKUP(Table311[[#This Row],[Date]],'DB Details'!$A:$Q,12))</f>
        <v/>
      </c>
      <c r="C259" s="61">
        <f>IF(VLOOKUP(Table311[[#This Row],[Date]],'DB Details'!$A:$Q,16)=0,"",VLOOKUP(Table311[[#This Row],[Date]],'DB Details'!$A:$Q,16))</f>
        <v/>
      </c>
      <c r="D259" s="61">
        <f>IF(VLOOKUP(Table311[[#This Row],[Date]],'DB Details'!$A:$Q,15)=0,"",VLOOKUP(Table311[[#This Row],[Date]],'DB Details'!$A:$Q,15))</f>
        <v/>
      </c>
      <c r="E259" s="61">
        <f>IF(VLOOKUP(Table311[[#This Row],[Date]],'DB Details'!$A:$Q,17)=0,"",VLOOKUP(Table311[[#This Row],[Date]],'DB Details'!$A:$Q,17))</f>
        <v/>
      </c>
    </row>
    <row r="260">
      <c r="A260" s="60" t="n">
        <v>43344</v>
      </c>
      <c r="B260" s="50">
        <f>IF(VLOOKUP(Table311[[#This Row],[Date]],'DB Details'!$A:$Q,12)=0,"",VLOOKUP(Table311[[#This Row],[Date]],'DB Details'!$A:$Q,12))</f>
        <v/>
      </c>
      <c r="C260" s="61">
        <f>IF(VLOOKUP(Table311[[#This Row],[Date]],'DB Details'!$A:$Q,16)=0,"",VLOOKUP(Table311[[#This Row],[Date]],'DB Details'!$A:$Q,16))</f>
        <v/>
      </c>
      <c r="D260" s="61">
        <f>IF(VLOOKUP(Table311[[#This Row],[Date]],'DB Details'!$A:$Q,15)=0,"",VLOOKUP(Table311[[#This Row],[Date]],'DB Details'!$A:$Q,15))</f>
        <v/>
      </c>
      <c r="E260" s="61">
        <f>IF(VLOOKUP(Table311[[#This Row],[Date]],'DB Details'!$A:$Q,17)=0,"",VLOOKUP(Table311[[#This Row],[Date]],'DB Details'!$A:$Q,17))</f>
        <v/>
      </c>
    </row>
    <row r="261">
      <c r="A261" s="60" t="n">
        <v>43374</v>
      </c>
      <c r="B261" s="50">
        <f>IF(VLOOKUP(Table311[[#This Row],[Date]],'DB Details'!$A:$Q,12)=0,"",VLOOKUP(Table311[[#This Row],[Date]],'DB Details'!$A:$Q,12))</f>
        <v/>
      </c>
      <c r="C261" s="61">
        <f>IF(VLOOKUP(Table311[[#This Row],[Date]],'DB Details'!$A:$Q,16)=0,"",VLOOKUP(Table311[[#This Row],[Date]],'DB Details'!$A:$Q,16))</f>
        <v/>
      </c>
      <c r="D261" s="61">
        <f>IF(VLOOKUP(Table311[[#This Row],[Date]],'DB Details'!$A:$Q,15)=0,"",VLOOKUP(Table311[[#This Row],[Date]],'DB Details'!$A:$Q,15))</f>
        <v/>
      </c>
      <c r="E261" s="61">
        <f>IF(VLOOKUP(Table311[[#This Row],[Date]],'DB Details'!$A:$Q,17)=0,"",VLOOKUP(Table311[[#This Row],[Date]],'DB Details'!$A:$Q,17))</f>
        <v/>
      </c>
    </row>
    <row r="262">
      <c r="A262" s="60" t="n">
        <v>43405</v>
      </c>
      <c r="B262" s="50">
        <f>IF(VLOOKUP(Table311[[#This Row],[Date]],'DB Details'!$A:$Q,12)=0,"",VLOOKUP(Table311[[#This Row],[Date]],'DB Details'!$A:$Q,12))</f>
        <v/>
      </c>
      <c r="C262" s="61">
        <f>IF(VLOOKUP(Table311[[#This Row],[Date]],'DB Details'!$A:$Q,16)=0,"",VLOOKUP(Table311[[#This Row],[Date]],'DB Details'!$A:$Q,16))</f>
        <v/>
      </c>
      <c r="D262" s="61">
        <f>IF(VLOOKUP(Table311[[#This Row],[Date]],'DB Details'!$A:$Q,15)=0,"",VLOOKUP(Table311[[#This Row],[Date]],'DB Details'!$A:$Q,15))</f>
        <v/>
      </c>
      <c r="E262" s="61">
        <f>IF(VLOOKUP(Table311[[#This Row],[Date]],'DB Details'!$A:$Q,17)=0,"",VLOOKUP(Table311[[#This Row],[Date]],'DB Details'!$A:$Q,17))</f>
        <v/>
      </c>
    </row>
    <row r="263">
      <c r="A263" s="60" t="n">
        <v>43435</v>
      </c>
      <c r="B263" s="50">
        <f>IF(VLOOKUP(Table311[[#This Row],[Date]],'DB Details'!$A:$Q,12)=0,"",VLOOKUP(Table311[[#This Row],[Date]],'DB Details'!$A:$Q,12))</f>
        <v/>
      </c>
      <c r="C263" s="61">
        <f>IF(VLOOKUP(Table311[[#This Row],[Date]],'DB Details'!$A:$Q,16)=0,"",VLOOKUP(Table311[[#This Row],[Date]],'DB Details'!$A:$Q,16))</f>
        <v/>
      </c>
      <c r="D263" s="61">
        <f>IF(VLOOKUP(Table311[[#This Row],[Date]],'DB Details'!$A:$Q,15)=0,"",VLOOKUP(Table311[[#This Row],[Date]],'DB Details'!$A:$Q,15))</f>
        <v/>
      </c>
      <c r="E263" s="61">
        <f>IF(VLOOKUP(Table311[[#This Row],[Date]],'DB Details'!$A:$Q,17)=0,"",VLOOKUP(Table311[[#This Row],[Date]],'DB Details'!$A:$Q,17))</f>
        <v/>
      </c>
    </row>
    <row r="264">
      <c r="A264" s="60" t="n">
        <v>43466</v>
      </c>
      <c r="B264" s="50">
        <f>IF(VLOOKUP(Table311[[#This Row],[Date]],'DB Details'!$A:$Q,12)=0,"",VLOOKUP(Table311[[#This Row],[Date]],'DB Details'!$A:$Q,12))</f>
        <v/>
      </c>
      <c r="C264" s="61">
        <f>IF(VLOOKUP(Table311[[#This Row],[Date]],'DB Details'!$A:$Q,16)=0,"",VLOOKUP(Table311[[#This Row],[Date]],'DB Details'!$A:$Q,16))</f>
        <v/>
      </c>
      <c r="D264" s="61">
        <f>IF(VLOOKUP(Table311[[#This Row],[Date]],'DB Details'!$A:$Q,15)=0,"",VLOOKUP(Table311[[#This Row],[Date]],'DB Details'!$A:$Q,15))</f>
        <v/>
      </c>
      <c r="E264" s="61">
        <f>IF(VLOOKUP(Table311[[#This Row],[Date]],'DB Details'!$A:$Q,17)=0,"",VLOOKUP(Table311[[#This Row],[Date]],'DB Details'!$A:$Q,17))</f>
        <v/>
      </c>
    </row>
    <row r="265">
      <c r="A265" s="60" t="n">
        <v>43497</v>
      </c>
      <c r="B265" s="50">
        <f>IF(VLOOKUP(Table311[[#This Row],[Date]],'DB Details'!$A:$Q,12)=0,"",VLOOKUP(Table311[[#This Row],[Date]],'DB Details'!$A:$Q,12))</f>
        <v/>
      </c>
      <c r="C265" s="61">
        <f>IF(VLOOKUP(Table311[[#This Row],[Date]],'DB Details'!$A:$Q,16)=0,"",VLOOKUP(Table311[[#This Row],[Date]],'DB Details'!$A:$Q,16))</f>
        <v/>
      </c>
      <c r="D265" s="61">
        <f>IF(VLOOKUP(Table311[[#This Row],[Date]],'DB Details'!$A:$Q,15)=0,"",VLOOKUP(Table311[[#This Row],[Date]],'DB Details'!$A:$Q,15))</f>
        <v/>
      </c>
      <c r="E265" s="61">
        <f>IF(VLOOKUP(Table311[[#This Row],[Date]],'DB Details'!$A:$Q,17)=0,"",VLOOKUP(Table311[[#This Row],[Date]],'DB Details'!$A:$Q,17))</f>
        <v/>
      </c>
    </row>
    <row r="266">
      <c r="A266" s="60" t="n">
        <v>43525</v>
      </c>
      <c r="B266" s="50">
        <f>IF(VLOOKUP(Table311[[#This Row],[Date]],'DB Details'!$A:$Q,12)=0,"",VLOOKUP(Table311[[#This Row],[Date]],'DB Details'!$A:$Q,12))</f>
        <v/>
      </c>
      <c r="C266" s="61">
        <f>IF(VLOOKUP(Table311[[#This Row],[Date]],'DB Details'!$A:$Q,16)=0,"",VLOOKUP(Table311[[#This Row],[Date]],'DB Details'!$A:$Q,16))</f>
        <v/>
      </c>
      <c r="D266" s="61">
        <f>IF(VLOOKUP(Table311[[#This Row],[Date]],'DB Details'!$A:$Q,15)=0,"",VLOOKUP(Table311[[#This Row],[Date]],'DB Details'!$A:$Q,15))</f>
        <v/>
      </c>
      <c r="E266" s="61">
        <f>IF(VLOOKUP(Table311[[#This Row],[Date]],'DB Details'!$A:$Q,17)=0,"",VLOOKUP(Table311[[#This Row],[Date]],'DB Details'!$A:$Q,17))</f>
        <v/>
      </c>
    </row>
    <row r="267">
      <c r="A267" s="60" t="n">
        <v>43556</v>
      </c>
      <c r="B267" s="50">
        <f>IF(VLOOKUP(Table311[[#This Row],[Date]],'DB Details'!$A:$Q,12)=0,"",VLOOKUP(Table311[[#This Row],[Date]],'DB Details'!$A:$Q,12))</f>
        <v/>
      </c>
      <c r="C267" s="61">
        <f>IF(VLOOKUP(Table311[[#This Row],[Date]],'DB Details'!$A:$Q,16)=0,"",VLOOKUP(Table311[[#This Row],[Date]],'DB Details'!$A:$Q,16))</f>
        <v/>
      </c>
      <c r="D267" s="61">
        <f>IF(VLOOKUP(Table311[[#This Row],[Date]],'DB Details'!$A:$Q,15)=0,"",VLOOKUP(Table311[[#This Row],[Date]],'DB Details'!$A:$Q,15))</f>
        <v/>
      </c>
      <c r="E267" s="61">
        <f>IF(VLOOKUP(Table311[[#This Row],[Date]],'DB Details'!$A:$Q,17)=0,"",VLOOKUP(Table311[[#This Row],[Date]],'DB Details'!$A:$Q,17))</f>
        <v/>
      </c>
    </row>
    <row r="268">
      <c r="A268" s="60" t="n">
        <v>43586</v>
      </c>
      <c r="B268" s="50">
        <f>IF(VLOOKUP(Table311[[#This Row],[Date]],'DB Details'!$A:$Q,12)=0,"",VLOOKUP(Table311[[#This Row],[Date]],'DB Details'!$A:$Q,12))</f>
        <v/>
      </c>
      <c r="C268" s="61">
        <f>IF(VLOOKUP(Table311[[#This Row],[Date]],'DB Details'!$A:$Q,16)=0,"",VLOOKUP(Table311[[#This Row],[Date]],'DB Details'!$A:$Q,16))</f>
        <v/>
      </c>
      <c r="D268" s="61">
        <f>IF(VLOOKUP(Table311[[#This Row],[Date]],'DB Details'!$A:$Q,15)=0,"",VLOOKUP(Table311[[#This Row],[Date]],'DB Details'!$A:$Q,15))</f>
        <v/>
      </c>
      <c r="E268" s="61">
        <f>IF(VLOOKUP(Table311[[#This Row],[Date]],'DB Details'!$A:$Q,17)=0,"",VLOOKUP(Table311[[#This Row],[Date]],'DB Details'!$A:$Q,17))</f>
        <v/>
      </c>
    </row>
    <row r="269">
      <c r="A269" s="60" t="n">
        <v>43617</v>
      </c>
      <c r="B269" s="50">
        <f>IF(VLOOKUP(Table311[[#This Row],[Date]],'DB Details'!$A:$Q,12)=0,"",VLOOKUP(Table311[[#This Row],[Date]],'DB Details'!$A:$Q,12))</f>
        <v/>
      </c>
      <c r="C269" s="61">
        <f>IF(VLOOKUP(Table311[[#This Row],[Date]],'DB Details'!$A:$Q,16)=0,"",VLOOKUP(Table311[[#This Row],[Date]],'DB Details'!$A:$Q,16))</f>
        <v/>
      </c>
      <c r="D269" s="61">
        <f>IF(VLOOKUP(Table311[[#This Row],[Date]],'DB Details'!$A:$Q,15)=0,"",VLOOKUP(Table311[[#This Row],[Date]],'DB Details'!$A:$Q,15))</f>
        <v/>
      </c>
      <c r="E269" s="61">
        <f>IF(VLOOKUP(Table311[[#This Row],[Date]],'DB Details'!$A:$Q,17)=0,"",VLOOKUP(Table311[[#This Row],[Date]],'DB Details'!$A:$Q,17))</f>
        <v/>
      </c>
    </row>
    <row r="270">
      <c r="A270" s="60" t="n">
        <v>43647</v>
      </c>
      <c r="B270" s="50">
        <f>IF(VLOOKUP(Table311[[#This Row],[Date]],'DB Details'!$A:$Q,12)=0,"",VLOOKUP(Table311[[#This Row],[Date]],'DB Details'!$A:$Q,12))</f>
        <v/>
      </c>
      <c r="C270" s="61">
        <f>IF(VLOOKUP(Table311[[#This Row],[Date]],'DB Details'!$A:$Q,16)=0,"",VLOOKUP(Table311[[#This Row],[Date]],'DB Details'!$A:$Q,16))</f>
        <v/>
      </c>
      <c r="D270" s="61">
        <f>IF(VLOOKUP(Table311[[#This Row],[Date]],'DB Details'!$A:$Q,15)=0,"",VLOOKUP(Table311[[#This Row],[Date]],'DB Details'!$A:$Q,15))</f>
        <v/>
      </c>
      <c r="E270" s="61">
        <f>IF(VLOOKUP(Table311[[#This Row],[Date]],'DB Details'!$A:$Q,17)=0,"",VLOOKUP(Table311[[#This Row],[Date]],'DB Details'!$A:$Q,17))</f>
        <v/>
      </c>
    </row>
    <row r="271">
      <c r="A271" s="60" t="n">
        <v>43678</v>
      </c>
      <c r="B271" s="50">
        <f>IF(VLOOKUP(Table311[[#This Row],[Date]],'DB Details'!$A:$Q,12)=0,"",VLOOKUP(Table311[[#This Row],[Date]],'DB Details'!$A:$Q,12))</f>
        <v/>
      </c>
      <c r="C271" s="61">
        <f>IF(VLOOKUP(Table311[[#This Row],[Date]],'DB Details'!$A:$Q,16)=0,"",VLOOKUP(Table311[[#This Row],[Date]],'DB Details'!$A:$Q,16))</f>
        <v/>
      </c>
      <c r="D271" s="61">
        <f>IF(VLOOKUP(Table311[[#This Row],[Date]],'DB Details'!$A:$Q,15)=0,"",VLOOKUP(Table311[[#This Row],[Date]],'DB Details'!$A:$Q,15))</f>
        <v/>
      </c>
      <c r="E271" s="61">
        <f>IF(VLOOKUP(Table311[[#This Row],[Date]],'DB Details'!$A:$Q,17)=0,"",VLOOKUP(Table311[[#This Row],[Date]],'DB Details'!$A:$Q,17))</f>
        <v/>
      </c>
    </row>
    <row r="272">
      <c r="A272" s="60" t="n">
        <v>43709</v>
      </c>
      <c r="B272" s="50">
        <f>IF(VLOOKUP(Table311[[#This Row],[Date]],'DB Details'!$A:$Q,12)=0,"",VLOOKUP(Table311[[#This Row],[Date]],'DB Details'!$A:$Q,12))</f>
        <v/>
      </c>
      <c r="C272" s="61">
        <f>IF(VLOOKUP(Table311[[#This Row],[Date]],'DB Details'!$A:$Q,16)=0,"",VLOOKUP(Table311[[#This Row],[Date]],'DB Details'!$A:$Q,16))</f>
        <v/>
      </c>
      <c r="D272" s="61">
        <f>IF(VLOOKUP(Table311[[#This Row],[Date]],'DB Details'!$A:$Q,15)=0,"",VLOOKUP(Table311[[#This Row],[Date]],'DB Details'!$A:$Q,15))</f>
        <v/>
      </c>
      <c r="E272" s="61">
        <f>IF(VLOOKUP(Table311[[#This Row],[Date]],'DB Details'!$A:$Q,17)=0,"",VLOOKUP(Table311[[#This Row],[Date]],'DB Details'!$A:$Q,17))</f>
        <v/>
      </c>
    </row>
    <row r="273">
      <c r="A273" s="60" t="n">
        <v>43739</v>
      </c>
      <c r="B273" s="50">
        <f>IF(VLOOKUP(Table311[[#This Row],[Date]],'DB Details'!$A:$Q,12)=0,"",VLOOKUP(Table311[[#This Row],[Date]],'DB Details'!$A:$Q,12))</f>
        <v/>
      </c>
      <c r="C273" s="61">
        <f>IF(VLOOKUP(Table311[[#This Row],[Date]],'DB Details'!$A:$Q,16)=0,"",VLOOKUP(Table311[[#This Row],[Date]],'DB Details'!$A:$Q,16))</f>
        <v/>
      </c>
      <c r="D273" s="61">
        <f>IF(VLOOKUP(Table311[[#This Row],[Date]],'DB Details'!$A:$Q,15)=0,"",VLOOKUP(Table311[[#This Row],[Date]],'DB Details'!$A:$Q,15))</f>
        <v/>
      </c>
      <c r="E273" s="61">
        <f>IF(VLOOKUP(Table311[[#This Row],[Date]],'DB Details'!$A:$Q,17)=0,"",VLOOKUP(Table311[[#This Row],[Date]],'DB Details'!$A:$Q,17))</f>
        <v/>
      </c>
    </row>
    <row r="274">
      <c r="A274" s="60" t="n">
        <v>43770</v>
      </c>
      <c r="B274" s="50">
        <f>IF(VLOOKUP(Table311[[#This Row],[Date]],'DB Details'!$A:$Q,12)=0,"",VLOOKUP(Table311[[#This Row],[Date]],'DB Details'!$A:$Q,12))</f>
        <v/>
      </c>
      <c r="C274" s="61">
        <f>IF(VLOOKUP(Table311[[#This Row],[Date]],'DB Details'!$A:$Q,16)=0,"",VLOOKUP(Table311[[#This Row],[Date]],'DB Details'!$A:$Q,16))</f>
        <v/>
      </c>
      <c r="D274" s="61">
        <f>IF(VLOOKUP(Table311[[#This Row],[Date]],'DB Details'!$A:$Q,15)=0,"",VLOOKUP(Table311[[#This Row],[Date]],'DB Details'!$A:$Q,15))</f>
        <v/>
      </c>
      <c r="E274" s="61">
        <f>IF(VLOOKUP(Table311[[#This Row],[Date]],'DB Details'!$A:$Q,17)=0,"",VLOOKUP(Table311[[#This Row],[Date]],'DB Details'!$A:$Q,17))</f>
        <v/>
      </c>
    </row>
    <row r="275">
      <c r="A275" s="60" t="n">
        <v>43800</v>
      </c>
      <c r="B275" s="50">
        <f>IF(VLOOKUP(Table311[[#This Row],[Date]],'DB Details'!$A:$Q,12)=0,"",VLOOKUP(Table311[[#This Row],[Date]],'DB Details'!$A:$Q,12))</f>
        <v/>
      </c>
      <c r="C275" s="61">
        <f>IF(VLOOKUP(Table311[[#This Row],[Date]],'DB Details'!$A:$Q,16)=0,"",VLOOKUP(Table311[[#This Row],[Date]],'DB Details'!$A:$Q,16))</f>
        <v/>
      </c>
      <c r="D275" s="61">
        <f>IF(VLOOKUP(Table311[[#This Row],[Date]],'DB Details'!$A:$Q,15)=0,"",VLOOKUP(Table311[[#This Row],[Date]],'DB Details'!$A:$Q,15))</f>
        <v/>
      </c>
      <c r="E275" s="61">
        <f>IF(VLOOKUP(Table311[[#This Row],[Date]],'DB Details'!$A:$Q,17)=0,"",VLOOKUP(Table311[[#This Row],[Date]],'DB Details'!$A:$Q,17))</f>
        <v/>
      </c>
    </row>
    <row r="276">
      <c r="A276" s="60" t="n">
        <v>43831</v>
      </c>
      <c r="B276" s="50">
        <f>IF(VLOOKUP(Table311[[#This Row],[Date]],'DB Details'!$A:$Q,12)=0,"",VLOOKUP(Table311[[#This Row],[Date]],'DB Details'!$A:$Q,12))</f>
        <v/>
      </c>
      <c r="C276" s="61">
        <f>IF(VLOOKUP(Table311[[#This Row],[Date]],'DB Details'!$A:$Q,16)=0,"",VLOOKUP(Table311[[#This Row],[Date]],'DB Details'!$A:$Q,16))</f>
        <v/>
      </c>
      <c r="D276" s="61">
        <f>IF(VLOOKUP(Table311[[#This Row],[Date]],'DB Details'!$A:$Q,15)=0,"",VLOOKUP(Table311[[#This Row],[Date]],'DB Details'!$A:$Q,15))</f>
        <v/>
      </c>
      <c r="E276" s="61">
        <f>IF(VLOOKUP(Table311[[#This Row],[Date]],'DB Details'!$A:$Q,17)=0,"",VLOOKUP(Table311[[#This Row],[Date]],'DB Details'!$A:$Q,17))</f>
        <v/>
      </c>
    </row>
    <row r="277">
      <c r="A277" s="60" t="n">
        <v>43862</v>
      </c>
      <c r="B277" s="50">
        <f>IF(VLOOKUP(Table311[[#This Row],[Date]],'DB Details'!$A:$Q,12)=0,"",VLOOKUP(Table311[[#This Row],[Date]],'DB Details'!$A:$Q,12))</f>
        <v/>
      </c>
      <c r="C277" s="61">
        <f>IF(VLOOKUP(Table311[[#This Row],[Date]],'DB Details'!$A:$Q,16)=0,"",VLOOKUP(Table311[[#This Row],[Date]],'DB Details'!$A:$Q,16))</f>
        <v/>
      </c>
      <c r="D277" s="61">
        <f>IF(VLOOKUP(Table311[[#This Row],[Date]],'DB Details'!$A:$Q,15)=0,"",VLOOKUP(Table311[[#This Row],[Date]],'DB Details'!$A:$Q,15))</f>
        <v/>
      </c>
      <c r="E277" s="61">
        <f>IF(VLOOKUP(Table311[[#This Row],[Date]],'DB Details'!$A:$Q,17)=0,"",VLOOKUP(Table311[[#This Row],[Date]],'DB Details'!$A:$Q,17))</f>
        <v/>
      </c>
    </row>
    <row r="278">
      <c r="A278" s="60" t="n">
        <v>43891</v>
      </c>
      <c r="B278" s="50">
        <f>IF(VLOOKUP(Table311[[#This Row],[Date]],'DB Details'!$A:$Q,12)=0,"",VLOOKUP(Table311[[#This Row],[Date]],'DB Details'!$A:$Q,12))</f>
        <v/>
      </c>
      <c r="C278" s="61">
        <f>IF(VLOOKUP(Table311[[#This Row],[Date]],'DB Details'!$A:$Q,16)=0,"",VLOOKUP(Table311[[#This Row],[Date]],'DB Details'!$A:$Q,16))</f>
        <v/>
      </c>
      <c r="D278" s="61">
        <f>IF(VLOOKUP(Table311[[#This Row],[Date]],'DB Details'!$A:$Q,15)=0,"",VLOOKUP(Table311[[#This Row],[Date]],'DB Details'!$A:$Q,15))</f>
        <v/>
      </c>
      <c r="E278" s="61">
        <f>IF(VLOOKUP(Table311[[#This Row],[Date]],'DB Details'!$A:$Q,17)=0,"",VLOOKUP(Table311[[#This Row],[Date]],'DB Details'!$A:$Q,17))</f>
        <v/>
      </c>
    </row>
    <row r="279">
      <c r="A279" s="60" t="n">
        <v>43922</v>
      </c>
      <c r="B279" s="50">
        <f>IF(VLOOKUP(Table311[[#This Row],[Date]],'DB Details'!$A:$Q,12)=0,"",VLOOKUP(Table311[[#This Row],[Date]],'DB Details'!$A:$Q,12))</f>
        <v/>
      </c>
      <c r="C279" s="61">
        <f>IF(VLOOKUP(Table311[[#This Row],[Date]],'DB Details'!$A:$Q,16)=0,"",VLOOKUP(Table311[[#This Row],[Date]],'DB Details'!$A:$Q,16))</f>
        <v/>
      </c>
      <c r="D279" s="61">
        <f>IF(VLOOKUP(Table311[[#This Row],[Date]],'DB Details'!$A:$Q,15)=0,"",VLOOKUP(Table311[[#This Row],[Date]],'DB Details'!$A:$Q,15))</f>
        <v/>
      </c>
      <c r="E279" s="61">
        <f>IF(VLOOKUP(Table311[[#This Row],[Date]],'DB Details'!$A:$Q,17)=0,"",VLOOKUP(Table311[[#This Row],[Date]],'DB Details'!$A:$Q,17))</f>
        <v/>
      </c>
    </row>
    <row r="280">
      <c r="A280" s="60" t="n">
        <v>43952</v>
      </c>
      <c r="B280" s="50">
        <f>IF(VLOOKUP(Table311[[#This Row],[Date]],'DB Details'!$A:$Q,12)=0,"",VLOOKUP(Table311[[#This Row],[Date]],'DB Details'!$A:$Q,12))</f>
        <v/>
      </c>
      <c r="C280" s="61">
        <f>IF(VLOOKUP(Table311[[#This Row],[Date]],'DB Details'!$A:$Q,16)=0,"",VLOOKUP(Table311[[#This Row],[Date]],'DB Details'!$A:$Q,16))</f>
        <v/>
      </c>
      <c r="D280" s="61">
        <f>IF(VLOOKUP(Table311[[#This Row],[Date]],'DB Details'!$A:$Q,15)=0,"",VLOOKUP(Table311[[#This Row],[Date]],'DB Details'!$A:$Q,15))</f>
        <v/>
      </c>
      <c r="E280" s="61">
        <f>IF(VLOOKUP(Table311[[#This Row],[Date]],'DB Details'!$A:$Q,17)=0,"",VLOOKUP(Table311[[#This Row],[Date]],'DB Details'!$A:$Q,17))</f>
        <v/>
      </c>
    </row>
    <row r="281">
      <c r="A281" s="60" t="n">
        <v>43983</v>
      </c>
      <c r="B281" s="50">
        <f>IF(VLOOKUP(Table311[[#This Row],[Date]],'DB Details'!$A:$Q,12)=0,"",VLOOKUP(Table311[[#This Row],[Date]],'DB Details'!$A:$Q,12))</f>
        <v/>
      </c>
      <c r="C281" s="61">
        <f>IF(VLOOKUP(Table311[[#This Row],[Date]],'DB Details'!$A:$Q,16)=0,"",VLOOKUP(Table311[[#This Row],[Date]],'DB Details'!$A:$Q,16))</f>
        <v/>
      </c>
      <c r="D281" s="61">
        <f>IF(VLOOKUP(Table311[[#This Row],[Date]],'DB Details'!$A:$Q,15)=0,"",VLOOKUP(Table311[[#This Row],[Date]],'DB Details'!$A:$Q,15))</f>
        <v/>
      </c>
      <c r="E281" s="61">
        <f>IF(VLOOKUP(Table311[[#This Row],[Date]],'DB Details'!$A:$Q,17)=0,"",VLOOKUP(Table311[[#This Row],[Date]],'DB Details'!$A:$Q,17))</f>
        <v/>
      </c>
    </row>
    <row r="282">
      <c r="A282" s="60" t="n">
        <v>44013</v>
      </c>
      <c r="B282" s="50">
        <f>IF(VLOOKUP(Table311[[#This Row],[Date]],'DB Details'!$A:$Q,12)=0,"",VLOOKUP(Table311[[#This Row],[Date]],'DB Details'!$A:$Q,12))</f>
        <v/>
      </c>
      <c r="C282" s="61">
        <f>IF(VLOOKUP(Table311[[#This Row],[Date]],'DB Details'!$A:$Q,16)=0,"",VLOOKUP(Table311[[#This Row],[Date]],'DB Details'!$A:$Q,16))</f>
        <v/>
      </c>
      <c r="D282" s="61">
        <f>IF(VLOOKUP(Table311[[#This Row],[Date]],'DB Details'!$A:$Q,15)=0,"",VLOOKUP(Table311[[#This Row],[Date]],'DB Details'!$A:$Q,15))</f>
        <v/>
      </c>
      <c r="E282" s="61">
        <f>IF(VLOOKUP(Table311[[#This Row],[Date]],'DB Details'!$A:$Q,17)=0,"",VLOOKUP(Table311[[#This Row],[Date]],'DB Details'!$A:$Q,17))</f>
        <v/>
      </c>
    </row>
    <row r="283">
      <c r="A283" s="60" t="n">
        <v>44044</v>
      </c>
      <c r="B283" s="50">
        <f>IF(VLOOKUP(Table311[[#This Row],[Date]],'DB Details'!$A:$Q,12)=0,"",VLOOKUP(Table311[[#This Row],[Date]],'DB Details'!$A:$Q,12))</f>
        <v/>
      </c>
      <c r="C283" s="61">
        <f>IF(VLOOKUP(Table311[[#This Row],[Date]],'DB Details'!$A:$Q,16)=0,"",VLOOKUP(Table311[[#This Row],[Date]],'DB Details'!$A:$Q,16))</f>
        <v/>
      </c>
      <c r="D283" s="61">
        <f>IF(VLOOKUP(Table311[[#This Row],[Date]],'DB Details'!$A:$Q,15)=0,"",VLOOKUP(Table311[[#This Row],[Date]],'DB Details'!$A:$Q,15))</f>
        <v/>
      </c>
      <c r="E283" s="61">
        <f>IF(VLOOKUP(Table311[[#This Row],[Date]],'DB Details'!$A:$Q,17)=0,"",VLOOKUP(Table311[[#This Row],[Date]],'DB Details'!$A:$Q,17))</f>
        <v/>
      </c>
    </row>
    <row r="284">
      <c r="A284" s="60" t="n">
        <v>44075</v>
      </c>
      <c r="B284" s="50">
        <f>IF(VLOOKUP(Table311[[#This Row],[Date]],'DB Details'!$A:$Q,12)=0,"",VLOOKUP(Table311[[#This Row],[Date]],'DB Details'!$A:$Q,12))</f>
        <v/>
      </c>
      <c r="C284" s="61">
        <f>IF(VLOOKUP(Table311[[#This Row],[Date]],'DB Details'!$A:$Q,16)=0,"",VLOOKUP(Table311[[#This Row],[Date]],'DB Details'!$A:$Q,16))</f>
        <v/>
      </c>
      <c r="D284" s="61">
        <f>IF(VLOOKUP(Table311[[#This Row],[Date]],'DB Details'!$A:$Q,15)=0,"",VLOOKUP(Table311[[#This Row],[Date]],'DB Details'!$A:$Q,15))</f>
        <v/>
      </c>
      <c r="E284" s="61">
        <f>IF(VLOOKUP(Table311[[#This Row],[Date]],'DB Details'!$A:$Q,17)=0,"",VLOOKUP(Table311[[#This Row],[Date]],'DB Details'!$A:$Q,17))</f>
        <v/>
      </c>
    </row>
    <row r="285">
      <c r="A285" s="60" t="n">
        <v>44105</v>
      </c>
      <c r="B285" s="50">
        <f>IF(VLOOKUP(Table311[[#This Row],[Date]],'DB Details'!$A:$Q,12)=0,"",VLOOKUP(Table311[[#This Row],[Date]],'DB Details'!$A:$Q,12))</f>
        <v/>
      </c>
      <c r="C285" s="61">
        <f>IF(VLOOKUP(Table311[[#This Row],[Date]],'DB Details'!$A:$Q,16)=0,"",VLOOKUP(Table311[[#This Row],[Date]],'DB Details'!$A:$Q,16))</f>
        <v/>
      </c>
      <c r="D285" s="61">
        <f>IF(VLOOKUP(Table311[[#This Row],[Date]],'DB Details'!$A:$Q,15)=0,"",VLOOKUP(Table311[[#This Row],[Date]],'DB Details'!$A:$Q,15))</f>
        <v/>
      </c>
      <c r="E285" s="61">
        <f>IF(VLOOKUP(Table311[[#This Row],[Date]],'DB Details'!$A:$Q,17)=0,"",VLOOKUP(Table311[[#This Row],[Date]],'DB Details'!$A:$Q,17))</f>
        <v/>
      </c>
    </row>
    <row r="286">
      <c r="A286" s="60" t="n">
        <v>44136</v>
      </c>
      <c r="B286" s="50">
        <f>IF(VLOOKUP(Table311[[#This Row],[Date]],'DB Details'!$A:$Q,12)=0,"",VLOOKUP(Table311[[#This Row],[Date]],'DB Details'!$A:$Q,12))</f>
        <v/>
      </c>
      <c r="C286" s="61">
        <f>IF(VLOOKUP(Table311[[#This Row],[Date]],'DB Details'!$A:$Q,16)=0,"",VLOOKUP(Table311[[#This Row],[Date]],'DB Details'!$A:$Q,16))</f>
        <v/>
      </c>
      <c r="D286" s="61">
        <f>IF(VLOOKUP(Table311[[#This Row],[Date]],'DB Details'!$A:$Q,15)=0,"",VLOOKUP(Table311[[#This Row],[Date]],'DB Details'!$A:$Q,15))</f>
        <v/>
      </c>
      <c r="E286" s="61">
        <f>IF(VLOOKUP(Table311[[#This Row],[Date]],'DB Details'!$A:$Q,17)=0,"",VLOOKUP(Table311[[#This Row],[Date]],'DB Details'!$A:$Q,17))</f>
        <v/>
      </c>
    </row>
    <row r="287">
      <c r="A287" s="60" t="n">
        <v>44166</v>
      </c>
      <c r="B287" s="50">
        <f>IF(VLOOKUP(Table311[[#This Row],[Date]],'DB Details'!$A:$Q,12)=0,"",VLOOKUP(Table311[[#This Row],[Date]],'DB Details'!$A:$Q,12))</f>
        <v/>
      </c>
      <c r="C287" s="61">
        <f>IF(VLOOKUP(Table311[[#This Row],[Date]],'DB Details'!$A:$Q,16)=0,"",VLOOKUP(Table311[[#This Row],[Date]],'DB Details'!$A:$Q,16))</f>
        <v/>
      </c>
      <c r="D287" s="61">
        <f>IF(VLOOKUP(Table311[[#This Row],[Date]],'DB Details'!$A:$Q,15)=0,"",VLOOKUP(Table311[[#This Row],[Date]],'DB Details'!$A:$Q,15))</f>
        <v/>
      </c>
      <c r="E287" s="61">
        <f>IF(VLOOKUP(Table311[[#This Row],[Date]],'DB Details'!$A:$Q,17)=0,"",VLOOKUP(Table311[[#This Row],[Date]],'DB Details'!$A:$Q,17))</f>
        <v/>
      </c>
    </row>
    <row r="288">
      <c r="A288" s="60" t="n">
        <v>44197</v>
      </c>
      <c r="B288" s="50">
        <f>IF(VLOOKUP(Table311[[#This Row],[Date]],'DB Details'!$A:$Q,12)=0,"",VLOOKUP(Table311[[#This Row],[Date]],'DB Details'!$A:$Q,12))</f>
        <v/>
      </c>
      <c r="C288" s="61">
        <f>IF(VLOOKUP(Table311[[#This Row],[Date]],'DB Details'!$A:$Q,16)=0,"",VLOOKUP(Table311[[#This Row],[Date]],'DB Details'!$A:$Q,16))</f>
        <v/>
      </c>
      <c r="D288" s="61">
        <f>IF(VLOOKUP(Table311[[#This Row],[Date]],'DB Details'!$A:$Q,15)=0,"",VLOOKUP(Table311[[#This Row],[Date]],'DB Details'!$A:$Q,15))</f>
        <v/>
      </c>
      <c r="E288" s="61">
        <f>IF(VLOOKUP(Table311[[#This Row],[Date]],'DB Details'!$A:$Q,17)=0,"",VLOOKUP(Table311[[#This Row],[Date]],'DB Details'!$A:$Q,17))</f>
        <v/>
      </c>
    </row>
    <row r="289">
      <c r="A289" s="60" t="n">
        <v>44228</v>
      </c>
      <c r="B289" s="50">
        <f>IF(VLOOKUP(Table311[[#This Row],[Date]],'DB Details'!$A:$Q,12)=0,"",VLOOKUP(Table311[[#This Row],[Date]],'DB Details'!$A:$Q,12))</f>
        <v/>
      </c>
      <c r="C289" s="61">
        <f>IF(VLOOKUP(Table311[[#This Row],[Date]],'DB Details'!$A:$Q,16)=0,"",VLOOKUP(Table311[[#This Row],[Date]],'DB Details'!$A:$Q,16))</f>
        <v/>
      </c>
      <c r="D289" s="61">
        <f>IF(VLOOKUP(Table311[[#This Row],[Date]],'DB Details'!$A:$Q,15)=0,"",VLOOKUP(Table311[[#This Row],[Date]],'DB Details'!$A:$Q,15))</f>
        <v/>
      </c>
      <c r="E289" s="61">
        <f>IF(VLOOKUP(Table311[[#This Row],[Date]],'DB Details'!$A:$Q,17)=0,"",VLOOKUP(Table311[[#This Row],[Date]],'DB Details'!$A:$Q,17))</f>
        <v/>
      </c>
    </row>
    <row r="290">
      <c r="A290" s="60" t="n">
        <v>44256</v>
      </c>
      <c r="B290" s="50">
        <f>IF(VLOOKUP(Table311[[#This Row],[Date]],'DB Details'!$A:$Q,12)=0,"",VLOOKUP(Table311[[#This Row],[Date]],'DB Details'!$A:$Q,12))</f>
        <v/>
      </c>
      <c r="C290" s="61">
        <f>IF(VLOOKUP(Table311[[#This Row],[Date]],'DB Details'!$A:$Q,16)=0,"",VLOOKUP(Table311[[#This Row],[Date]],'DB Details'!$A:$Q,16))</f>
        <v/>
      </c>
      <c r="D290" s="61">
        <f>IF(VLOOKUP(Table311[[#This Row],[Date]],'DB Details'!$A:$Q,15)=0,"",VLOOKUP(Table311[[#This Row],[Date]],'DB Details'!$A:$Q,15))</f>
        <v/>
      </c>
      <c r="E290" s="61">
        <f>IF(VLOOKUP(Table311[[#This Row],[Date]],'DB Details'!$A:$Q,17)=0,"",VLOOKUP(Table311[[#This Row],[Date]],'DB Details'!$A:$Q,17))</f>
        <v/>
      </c>
    </row>
    <row r="291">
      <c r="A291" s="60" t="n">
        <v>44287</v>
      </c>
      <c r="B291" s="50">
        <f>IF(VLOOKUP(Table311[[#This Row],[Date]],'DB Details'!$A:$Q,12)=0,"",VLOOKUP(Table311[[#This Row],[Date]],'DB Details'!$A:$Q,12))</f>
        <v/>
      </c>
      <c r="C291" s="61">
        <f>IF(VLOOKUP(Table311[[#This Row],[Date]],'DB Details'!$A:$Q,16)=0,"",VLOOKUP(Table311[[#This Row],[Date]],'DB Details'!$A:$Q,16))</f>
        <v/>
      </c>
      <c r="D291" s="61">
        <f>IF(VLOOKUP(Table311[[#This Row],[Date]],'DB Details'!$A:$Q,15)=0,"",VLOOKUP(Table311[[#This Row],[Date]],'DB Details'!$A:$Q,15))</f>
        <v/>
      </c>
      <c r="E291" s="61">
        <f>IF(VLOOKUP(Table311[[#This Row],[Date]],'DB Details'!$A:$Q,17)=0,"",VLOOKUP(Table311[[#This Row],[Date]],'DB Details'!$A:$Q,17))</f>
        <v/>
      </c>
    </row>
    <row r="292">
      <c r="A292" s="60" t="n">
        <v>44317</v>
      </c>
      <c r="B292" s="50">
        <f>IF(VLOOKUP(Table311[[#This Row],[Date]],'DB Details'!$A:$Q,12)=0,"",VLOOKUP(Table311[[#This Row],[Date]],'DB Details'!$A:$Q,12))</f>
        <v/>
      </c>
      <c r="C292" s="61">
        <f>IF(VLOOKUP(Table311[[#This Row],[Date]],'DB Details'!$A:$Q,16)=0,"",VLOOKUP(Table311[[#This Row],[Date]],'DB Details'!$A:$Q,16))</f>
        <v/>
      </c>
      <c r="D292" s="61">
        <f>IF(VLOOKUP(Table311[[#This Row],[Date]],'DB Details'!$A:$Q,15)=0,"",VLOOKUP(Table311[[#This Row],[Date]],'DB Details'!$A:$Q,15))</f>
        <v/>
      </c>
      <c r="E292" s="61">
        <f>IF(VLOOKUP(Table311[[#This Row],[Date]],'DB Details'!$A:$Q,17)=0,"",VLOOKUP(Table311[[#This Row],[Date]],'DB Details'!$A:$Q,17))</f>
        <v/>
      </c>
    </row>
    <row r="293">
      <c r="A293" s="60" t="n">
        <v>44348</v>
      </c>
      <c r="B293" s="50">
        <f>IF(VLOOKUP(Table311[[#This Row],[Date]],'DB Details'!$A:$Q,12)=0,"",VLOOKUP(Table311[[#This Row],[Date]],'DB Details'!$A:$Q,12))</f>
        <v/>
      </c>
      <c r="C293" s="61">
        <f>IF(VLOOKUP(Table311[[#This Row],[Date]],'DB Details'!$A:$Q,16)=0,"",VLOOKUP(Table311[[#This Row],[Date]],'DB Details'!$A:$Q,16))</f>
        <v/>
      </c>
      <c r="D293" s="61">
        <f>IF(VLOOKUP(Table311[[#This Row],[Date]],'DB Details'!$A:$Q,15)=0,"",VLOOKUP(Table311[[#This Row],[Date]],'DB Details'!$A:$Q,15))</f>
        <v/>
      </c>
      <c r="E293" s="61">
        <f>IF(VLOOKUP(Table311[[#This Row],[Date]],'DB Details'!$A:$Q,17)=0,"",VLOOKUP(Table311[[#This Row],[Date]],'DB Details'!$A:$Q,17))</f>
        <v/>
      </c>
    </row>
    <row r="294">
      <c r="A294" s="60" t="n">
        <v>44378</v>
      </c>
      <c r="B294" s="50">
        <f>IF(VLOOKUP(Table311[[#This Row],[Date]],'DB Details'!$A:$Q,12)=0,"",VLOOKUP(Table311[[#This Row],[Date]],'DB Details'!$A:$Q,12))</f>
        <v/>
      </c>
      <c r="C294" s="61">
        <f>IF(VLOOKUP(Table311[[#This Row],[Date]],'DB Details'!$A:$Q,16)=0,"",VLOOKUP(Table311[[#This Row],[Date]],'DB Details'!$A:$Q,16))</f>
        <v/>
      </c>
      <c r="D294" s="61">
        <f>IF(VLOOKUP(Table311[[#This Row],[Date]],'DB Details'!$A:$Q,15)=0,"",VLOOKUP(Table311[[#This Row],[Date]],'DB Details'!$A:$Q,15))</f>
        <v/>
      </c>
      <c r="E294" s="61">
        <f>IF(VLOOKUP(Table311[[#This Row],[Date]],'DB Details'!$A:$Q,17)=0,"",VLOOKUP(Table311[[#This Row],[Date]],'DB Details'!$A:$Q,17))</f>
        <v/>
      </c>
    </row>
    <row r="295">
      <c r="A295" s="60" t="n">
        <v>44409</v>
      </c>
      <c r="B295" s="50">
        <f>IF(VLOOKUP(Table311[[#This Row],[Date]],'DB Details'!$A:$Q,12)=0,"",VLOOKUP(Table311[[#This Row],[Date]],'DB Details'!$A:$Q,12))</f>
        <v/>
      </c>
      <c r="C295" s="61">
        <f>IF(VLOOKUP(Table311[[#This Row],[Date]],'DB Details'!$A:$Q,16)=0,"",VLOOKUP(Table311[[#This Row],[Date]],'DB Details'!$A:$Q,16))</f>
        <v/>
      </c>
      <c r="D295" s="61">
        <f>IF(VLOOKUP(Table311[[#This Row],[Date]],'DB Details'!$A:$Q,15)=0,"",VLOOKUP(Table311[[#This Row],[Date]],'DB Details'!$A:$Q,15))</f>
        <v/>
      </c>
      <c r="E295" s="61">
        <f>IF(VLOOKUP(Table311[[#This Row],[Date]],'DB Details'!$A:$Q,17)=0,"",VLOOKUP(Table311[[#This Row],[Date]],'DB Details'!$A:$Q,17))</f>
        <v/>
      </c>
    </row>
    <row r="296">
      <c r="A296" s="60" t="n">
        <v>44440</v>
      </c>
      <c r="B296" s="50">
        <f>IF(VLOOKUP(Table311[[#This Row],[Date]],'DB Details'!$A:$Q,12)=0,"",VLOOKUP(Table311[[#This Row],[Date]],'DB Details'!$A:$Q,12))</f>
        <v/>
      </c>
      <c r="C296" s="61">
        <f>IF(VLOOKUP(Table311[[#This Row],[Date]],'DB Details'!$A:$Q,16)=0,"",VLOOKUP(Table311[[#This Row],[Date]],'DB Details'!$A:$Q,16))</f>
        <v/>
      </c>
      <c r="D296" s="61">
        <f>IF(VLOOKUP(Table311[[#This Row],[Date]],'DB Details'!$A:$Q,15)=0,"",VLOOKUP(Table311[[#This Row],[Date]],'DB Details'!$A:$Q,15))</f>
        <v/>
      </c>
      <c r="E296" s="61">
        <f>IF(VLOOKUP(Table311[[#This Row],[Date]],'DB Details'!$A:$Q,17)=0,"",VLOOKUP(Table311[[#This Row],[Date]],'DB Details'!$A:$Q,17))</f>
        <v/>
      </c>
    </row>
    <row r="297">
      <c r="A297" s="60" t="n">
        <v>44470</v>
      </c>
      <c r="B297" s="50">
        <f>IF(VLOOKUP(Table311[[#This Row],[Date]],'DB Details'!$A:$Q,12)=0,"",VLOOKUP(Table311[[#This Row],[Date]],'DB Details'!$A:$Q,12))</f>
        <v/>
      </c>
      <c r="C297" s="61">
        <f>IF(VLOOKUP(Table311[[#This Row],[Date]],'DB Details'!$A:$Q,16)=0,"",VLOOKUP(Table311[[#This Row],[Date]],'DB Details'!$A:$Q,16))</f>
        <v/>
      </c>
      <c r="D297" s="61">
        <f>IF(VLOOKUP(Table311[[#This Row],[Date]],'DB Details'!$A:$Q,15)=0,"",VLOOKUP(Table311[[#This Row],[Date]],'DB Details'!$A:$Q,15))</f>
        <v/>
      </c>
      <c r="E297" s="61">
        <f>IF(VLOOKUP(Table311[[#This Row],[Date]],'DB Details'!$A:$Q,17)=0,"",VLOOKUP(Table311[[#This Row],[Date]],'DB Details'!$A:$Q,17))</f>
        <v/>
      </c>
    </row>
    <row r="298">
      <c r="A298" s="60" t="n">
        <v>44501</v>
      </c>
      <c r="B298" s="50">
        <f>IF(VLOOKUP(Table311[[#This Row],[Date]],'DB Details'!$A:$Q,12)=0,"",VLOOKUP(Table311[[#This Row],[Date]],'DB Details'!$A:$Q,12))</f>
        <v/>
      </c>
      <c r="C298" s="61">
        <f>IF(VLOOKUP(Table311[[#This Row],[Date]],'DB Details'!$A:$Q,16)=0,"",VLOOKUP(Table311[[#This Row],[Date]],'DB Details'!$A:$Q,16))</f>
        <v/>
      </c>
      <c r="D298" s="61">
        <f>IF(VLOOKUP(Table311[[#This Row],[Date]],'DB Details'!$A:$Q,15)=0,"",VLOOKUP(Table311[[#This Row],[Date]],'DB Details'!$A:$Q,15))</f>
        <v/>
      </c>
      <c r="E298" s="61">
        <f>IF(VLOOKUP(Table311[[#This Row],[Date]],'DB Details'!$A:$Q,17)=0,"",VLOOKUP(Table311[[#This Row],[Date]],'DB Details'!$A:$Q,17))</f>
        <v/>
      </c>
    </row>
    <row r="299">
      <c r="A299" s="60" t="n">
        <v>44531</v>
      </c>
      <c r="B299" s="50">
        <f>IF(VLOOKUP(Table311[[#This Row],[Date]],'DB Details'!$A:$Q,12)=0,"",VLOOKUP(Table311[[#This Row],[Date]],'DB Details'!$A:$Q,12))</f>
        <v/>
      </c>
      <c r="C299" s="61">
        <f>IF(VLOOKUP(Table311[[#This Row],[Date]],'DB Details'!$A:$Q,16)=0,"",VLOOKUP(Table311[[#This Row],[Date]],'DB Details'!$A:$Q,16))</f>
        <v/>
      </c>
      <c r="D299" s="61">
        <f>IF(VLOOKUP(Table311[[#This Row],[Date]],'DB Details'!$A:$Q,15)=0,"",VLOOKUP(Table311[[#This Row],[Date]],'DB Details'!$A:$Q,15))</f>
        <v/>
      </c>
      <c r="E299" s="61">
        <f>IF(VLOOKUP(Table311[[#This Row],[Date]],'DB Details'!$A:$Q,17)=0,"",VLOOKUP(Table311[[#This Row],[Date]],'DB Details'!$A:$Q,17))</f>
        <v/>
      </c>
    </row>
    <row r="300">
      <c r="A300" s="60" t="n">
        <v>44562</v>
      </c>
      <c r="B300" s="50">
        <f>IF(VLOOKUP(Table311[[#This Row],[Date]],'DB Details'!$A:$Q,12)=0,"",VLOOKUP(Table311[[#This Row],[Date]],'DB Details'!$A:$Q,12))</f>
        <v/>
      </c>
      <c r="C300" s="61">
        <f>IF(VLOOKUP(Table311[[#This Row],[Date]],'DB Details'!$A:$Q,16)=0,"",VLOOKUP(Table311[[#This Row],[Date]],'DB Details'!$A:$Q,16))</f>
        <v/>
      </c>
      <c r="D300" s="61">
        <f>IF(VLOOKUP(Table311[[#This Row],[Date]],'DB Details'!$A:$Q,15)=0,"",VLOOKUP(Table311[[#This Row],[Date]],'DB Details'!$A:$Q,15))</f>
        <v/>
      </c>
      <c r="E300" s="61">
        <f>IF(VLOOKUP(Table311[[#This Row],[Date]],'DB Details'!$A:$Q,17)=0,"",VLOOKUP(Table311[[#This Row],[Date]],'DB Details'!$A:$Q,17))</f>
        <v/>
      </c>
    </row>
    <row r="301">
      <c r="A301" s="60" t="n">
        <v>44593</v>
      </c>
      <c r="B301" s="50">
        <f>IF(VLOOKUP(Table311[[#This Row],[Date]],'DB Details'!$A:$Q,12)=0,"",VLOOKUP(Table311[[#This Row],[Date]],'DB Details'!$A:$Q,12))</f>
        <v/>
      </c>
      <c r="C301" s="61">
        <f>IF(VLOOKUP(Table311[[#This Row],[Date]],'DB Details'!$A:$Q,16)=0,"",VLOOKUP(Table311[[#This Row],[Date]],'DB Details'!$A:$Q,16))</f>
        <v/>
      </c>
      <c r="D301" s="61">
        <f>IF(VLOOKUP(Table311[[#This Row],[Date]],'DB Details'!$A:$Q,15)=0,"",VLOOKUP(Table311[[#This Row],[Date]],'DB Details'!$A:$Q,15))</f>
        <v/>
      </c>
      <c r="E301" s="61">
        <f>IF(VLOOKUP(Table311[[#This Row],[Date]],'DB Details'!$A:$Q,17)=0,"",VLOOKUP(Table311[[#This Row],[Date]],'DB Details'!$A:$Q,17))</f>
        <v/>
      </c>
    </row>
  </sheetData>
  <conditionalFormatting sqref="B156:B301">
    <cfRule type="colorScale" priority="2">
      <colorScale>
        <cfvo type="min"/>
        <cfvo type="percentile" val="50"/>
        <cfvo type="max"/>
        <color rgb="FFF8696B"/>
        <color rgb="FFFFEB84"/>
        <color rgb="FF63BE7B"/>
      </colorScale>
    </cfRule>
  </conditionalFormatting>
  <conditionalFormatting sqref="E156:E30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301"/>
  <sheetViews>
    <sheetView zoomScale="190" zoomScaleNormal="190" workbookViewId="0">
      <pane ySplit="5" topLeftCell="A287" activePane="bottomLeft" state="frozen"/>
      <selection activeCell="P256" sqref="P256"/>
      <selection pane="bottomLeft" activeCell="D301" sqref="D301"/>
    </sheetView>
  </sheetViews>
  <sheetFormatPr baseColWidth="10" defaultColWidth="9.1640625" defaultRowHeight="15"/>
  <cols>
    <col width="18.33203125" customWidth="1" style="76" min="1" max="1"/>
    <col width="11" customWidth="1" style="76" min="2" max="3"/>
    <col width="9.1640625" customWidth="1" style="76" min="4" max="6"/>
    <col width="12.83203125" customWidth="1" style="76" min="7" max="7"/>
    <col width="14.5" customWidth="1" style="76" min="8" max="8"/>
    <col width="9.1640625" customWidth="1" style="76" min="9" max="9"/>
    <col width="14.83203125" customWidth="1" style="76" min="10" max="10"/>
    <col width="9.1640625" customWidth="1" style="76" min="11" max="24"/>
    <col width="9.1640625" customWidth="1" style="76" min="25" max="16384"/>
  </cols>
  <sheetData>
    <row r="1">
      <c r="A1" s="28" t="inlineStr">
        <is>
          <t>ISM Services</t>
        </is>
      </c>
      <c r="I1" s="45" t="n"/>
    </row>
    <row r="2">
      <c r="B2" s="45" t="n"/>
      <c r="C2" s="45" t="n"/>
    </row>
    <row r="3">
      <c r="B3" s="45" t="n"/>
      <c r="C3" s="45" t="n"/>
    </row>
    <row r="4" ht="16" customHeight="1" s="65" thickBot="1">
      <c r="B4" s="45" t="n"/>
      <c r="C4" s="45" t="n"/>
    </row>
    <row r="5">
      <c r="A5" s="62" t="inlineStr">
        <is>
          <t>Date</t>
        </is>
      </c>
      <c r="B5" s="63" t="inlineStr">
        <is>
          <t>ISM Services</t>
        </is>
      </c>
      <c r="C5" s="64" t="inlineStr">
        <is>
          <t>Change</t>
        </is>
      </c>
    </row>
    <row r="6">
      <c r="A6" s="49" t="n">
        <v>35612</v>
      </c>
      <c r="B6" s="54">
        <f>IF(VLOOKUP(Table9[[#This Row],[Date]],'DB Details'!$A:$Q,12)=0,"",VLOOKUP(Table9[[#This Row],[Date]],'DB Details'!$A:$Q,12))</f>
        <v/>
      </c>
      <c r="C6" s="54" t="n"/>
    </row>
    <row r="7">
      <c r="A7" s="53" t="n">
        <v>35643</v>
      </c>
      <c r="B7" s="54">
        <f>IF(VLOOKUP(Table9[[#This Row],[Date]],'DB Details'!$A:$Q,12)=0,"",VLOOKUP(Table9[[#This Row],[Date]],'DB Details'!$A:$Q,12))</f>
        <v/>
      </c>
      <c r="C7" s="54">
        <f>Table9[[#This Row],[ISM Services]]-B6</f>
        <v/>
      </c>
    </row>
    <row r="8">
      <c r="A8" s="49" t="n">
        <v>35674</v>
      </c>
      <c r="B8" s="54">
        <f>IF(VLOOKUP(Table9[[#This Row],[Date]],'DB Details'!$A:$Q,12)=0,"",VLOOKUP(Table9[[#This Row],[Date]],'DB Details'!$A:$Q,12))</f>
        <v/>
      </c>
      <c r="C8" s="54">
        <f>Table9[[#This Row],[ISM Services]]-B7</f>
        <v/>
      </c>
    </row>
    <row r="9">
      <c r="A9" s="53" t="n">
        <v>35704</v>
      </c>
      <c r="B9" s="54">
        <f>IF(VLOOKUP(Table9[[#This Row],[Date]],'DB Details'!$A:$Q,12)=0,"",VLOOKUP(Table9[[#This Row],[Date]],'DB Details'!$A:$Q,12))</f>
        <v/>
      </c>
      <c r="C9" s="54">
        <f>Table9[[#This Row],[ISM Services]]-B8</f>
        <v/>
      </c>
    </row>
    <row r="10">
      <c r="A10" s="49" t="n">
        <v>35735</v>
      </c>
      <c r="B10" s="54">
        <f>IF(VLOOKUP(Table9[[#This Row],[Date]],'DB Details'!$A:$Q,12)=0,"",VLOOKUP(Table9[[#This Row],[Date]],'DB Details'!$A:$Q,12))</f>
        <v/>
      </c>
      <c r="C10" s="54">
        <f>Table9[[#This Row],[ISM Services]]-B9</f>
        <v/>
      </c>
    </row>
    <row r="11">
      <c r="A11" s="53" t="n">
        <v>35765</v>
      </c>
      <c r="B11" s="54">
        <f>IF(VLOOKUP(Table9[[#This Row],[Date]],'DB Details'!$A:$Q,12)=0,"",VLOOKUP(Table9[[#This Row],[Date]],'DB Details'!$A:$Q,12))</f>
        <v/>
      </c>
      <c r="C11" s="54">
        <f>Table9[[#This Row],[ISM Services]]-B10</f>
        <v/>
      </c>
    </row>
    <row r="12">
      <c r="A12" s="49" t="n">
        <v>35796</v>
      </c>
      <c r="B12" s="54">
        <f>IF(VLOOKUP(Table9[[#This Row],[Date]],'DB Details'!$A:$Q,12)=0,"",VLOOKUP(Table9[[#This Row],[Date]],'DB Details'!$A:$Q,12))</f>
        <v/>
      </c>
      <c r="C12" s="54">
        <f>Table9[[#This Row],[ISM Services]]-B11</f>
        <v/>
      </c>
    </row>
    <row r="13">
      <c r="A13" s="53" t="n">
        <v>35827</v>
      </c>
      <c r="B13" s="54">
        <f>IF(VLOOKUP(Table9[[#This Row],[Date]],'DB Details'!$A:$Q,12)=0,"",VLOOKUP(Table9[[#This Row],[Date]],'DB Details'!$A:$Q,12))</f>
        <v/>
      </c>
      <c r="C13" s="54">
        <f>Table9[[#This Row],[ISM Services]]-B12</f>
        <v/>
      </c>
    </row>
    <row r="14">
      <c r="A14" s="49" t="n">
        <v>35855</v>
      </c>
      <c r="B14" s="54">
        <f>IF(VLOOKUP(Table9[[#This Row],[Date]],'DB Details'!$A:$Q,12)=0,"",VLOOKUP(Table9[[#This Row],[Date]],'DB Details'!$A:$Q,12))</f>
        <v/>
      </c>
      <c r="C14" s="54">
        <f>Table9[[#This Row],[ISM Services]]-B13</f>
        <v/>
      </c>
    </row>
    <row r="15">
      <c r="A15" s="53" t="n">
        <v>35886</v>
      </c>
      <c r="B15" s="54">
        <f>IF(VLOOKUP(Table9[[#This Row],[Date]],'DB Details'!$A:$Q,12)=0,"",VLOOKUP(Table9[[#This Row],[Date]],'DB Details'!$A:$Q,12))</f>
        <v/>
      </c>
      <c r="C15" s="54">
        <f>Table9[[#This Row],[ISM Services]]-B14</f>
        <v/>
      </c>
    </row>
    <row r="16">
      <c r="A16" s="53" t="n">
        <v>35916</v>
      </c>
      <c r="B16" s="54">
        <f>IF(VLOOKUP(Table9[[#This Row],[Date]],'DB Details'!$A:$Q,12)=0,"",VLOOKUP(Table9[[#This Row],[Date]],'DB Details'!$A:$Q,12))</f>
        <v/>
      </c>
      <c r="C16" s="54">
        <f>Table9[[#This Row],[ISM Services]]-B15</f>
        <v/>
      </c>
    </row>
    <row r="17">
      <c r="A17" s="53" t="n">
        <v>35947</v>
      </c>
      <c r="B17" s="54">
        <f>IF(VLOOKUP(Table9[[#This Row],[Date]],'DB Details'!$A:$Q,12)=0,"",VLOOKUP(Table9[[#This Row],[Date]],'DB Details'!$A:$Q,12))</f>
        <v/>
      </c>
      <c r="C17" s="54">
        <f>Table9[[#This Row],[ISM Services]]-B16</f>
        <v/>
      </c>
    </row>
    <row r="18">
      <c r="A18" s="53" t="n">
        <v>35977</v>
      </c>
      <c r="B18" s="54">
        <f>IF(VLOOKUP(Table9[[#This Row],[Date]],'DB Details'!$A:$Q,12)=0,"",VLOOKUP(Table9[[#This Row],[Date]],'DB Details'!$A:$Q,12))</f>
        <v/>
      </c>
      <c r="C18" s="54">
        <f>Table9[[#This Row],[ISM Services]]-B17</f>
        <v/>
      </c>
    </row>
    <row r="19">
      <c r="A19" s="53" t="n">
        <v>36008</v>
      </c>
      <c r="B19" s="54">
        <f>IF(VLOOKUP(Table9[[#This Row],[Date]],'DB Details'!$A:$Q,12)=0,"",VLOOKUP(Table9[[#This Row],[Date]],'DB Details'!$A:$Q,12))</f>
        <v/>
      </c>
      <c r="C19" s="54">
        <f>Table9[[#This Row],[ISM Services]]-B18</f>
        <v/>
      </c>
    </row>
    <row r="20">
      <c r="A20" s="53" t="n">
        <v>36039</v>
      </c>
      <c r="B20" s="54">
        <f>IF(VLOOKUP(Table9[[#This Row],[Date]],'DB Details'!$A:$Q,12)=0,"",VLOOKUP(Table9[[#This Row],[Date]],'DB Details'!$A:$Q,12))</f>
        <v/>
      </c>
      <c r="C20" s="54">
        <f>Table9[[#This Row],[ISM Services]]-B19</f>
        <v/>
      </c>
    </row>
    <row r="21">
      <c r="A21" s="53" t="n">
        <v>36069</v>
      </c>
      <c r="B21" s="54">
        <f>IF(VLOOKUP(Table9[[#This Row],[Date]],'DB Details'!$A:$Q,12)=0,"",VLOOKUP(Table9[[#This Row],[Date]],'DB Details'!$A:$Q,12))</f>
        <v/>
      </c>
      <c r="C21" s="54">
        <f>Table9[[#This Row],[ISM Services]]-B20</f>
        <v/>
      </c>
    </row>
    <row r="22">
      <c r="A22" s="53" t="n">
        <v>36100</v>
      </c>
      <c r="B22" s="54">
        <f>IF(VLOOKUP(Table9[[#This Row],[Date]],'DB Details'!$A:$Q,12)=0,"",VLOOKUP(Table9[[#This Row],[Date]],'DB Details'!$A:$Q,12))</f>
        <v/>
      </c>
      <c r="C22" s="54">
        <f>Table9[[#This Row],[ISM Services]]-B21</f>
        <v/>
      </c>
    </row>
    <row r="23">
      <c r="A23" s="53" t="n">
        <v>36130</v>
      </c>
      <c r="B23" s="54">
        <f>IF(VLOOKUP(Table9[[#This Row],[Date]],'DB Details'!$A:$Q,12)=0,"",VLOOKUP(Table9[[#This Row],[Date]],'DB Details'!$A:$Q,12))</f>
        <v/>
      </c>
      <c r="C23" s="54">
        <f>Table9[[#This Row],[ISM Services]]-B22</f>
        <v/>
      </c>
    </row>
    <row r="24">
      <c r="A24" s="53" t="n">
        <v>36161</v>
      </c>
      <c r="B24" s="54">
        <f>IF(VLOOKUP(Table9[[#This Row],[Date]],'DB Details'!$A:$Q,12)=0,"",VLOOKUP(Table9[[#This Row],[Date]],'DB Details'!$A:$Q,12))</f>
        <v/>
      </c>
      <c r="C24" s="54">
        <f>Table9[[#This Row],[ISM Services]]-B23</f>
        <v/>
      </c>
    </row>
    <row r="25">
      <c r="A25" s="53" t="n">
        <v>36192</v>
      </c>
      <c r="B25" s="54">
        <f>IF(VLOOKUP(Table9[[#This Row],[Date]],'DB Details'!$A:$Q,12)=0,"",VLOOKUP(Table9[[#This Row],[Date]],'DB Details'!$A:$Q,12))</f>
        <v/>
      </c>
      <c r="C25" s="54">
        <f>Table9[[#This Row],[ISM Services]]-B24</f>
        <v/>
      </c>
    </row>
    <row r="26">
      <c r="A26" s="53" t="n">
        <v>36220</v>
      </c>
      <c r="B26" s="54">
        <f>IF(VLOOKUP(Table9[[#This Row],[Date]],'DB Details'!$A:$Q,12)=0,"",VLOOKUP(Table9[[#This Row],[Date]],'DB Details'!$A:$Q,12))</f>
        <v/>
      </c>
      <c r="C26" s="54">
        <f>Table9[[#This Row],[ISM Services]]-B25</f>
        <v/>
      </c>
    </row>
    <row r="27">
      <c r="A27" s="53" t="n">
        <v>36251</v>
      </c>
      <c r="B27" s="54">
        <f>IF(VLOOKUP(Table9[[#This Row],[Date]],'DB Details'!$A:$Q,12)=0,"",VLOOKUP(Table9[[#This Row],[Date]],'DB Details'!$A:$Q,12))</f>
        <v/>
      </c>
      <c r="C27" s="54">
        <f>Table9[[#This Row],[ISM Services]]-B26</f>
        <v/>
      </c>
    </row>
    <row r="28">
      <c r="A28" s="53" t="n">
        <v>36281</v>
      </c>
      <c r="B28" s="54">
        <f>IF(VLOOKUP(Table9[[#This Row],[Date]],'DB Details'!$A:$Q,12)=0,"",VLOOKUP(Table9[[#This Row],[Date]],'DB Details'!$A:$Q,12))</f>
        <v/>
      </c>
      <c r="C28" s="54">
        <f>Table9[[#This Row],[ISM Services]]-B27</f>
        <v/>
      </c>
    </row>
    <row r="29">
      <c r="A29" s="53" t="n">
        <v>36312</v>
      </c>
      <c r="B29" s="54">
        <f>IF(VLOOKUP(Table9[[#This Row],[Date]],'DB Details'!$A:$Q,12)=0,"",VLOOKUP(Table9[[#This Row],[Date]],'DB Details'!$A:$Q,12))</f>
        <v/>
      </c>
      <c r="C29" s="54">
        <f>Table9[[#This Row],[ISM Services]]-B28</f>
        <v/>
      </c>
    </row>
    <row r="30">
      <c r="A30" s="53" t="n">
        <v>36342</v>
      </c>
      <c r="B30" s="54">
        <f>IF(VLOOKUP(Table9[[#This Row],[Date]],'DB Details'!$A:$Q,12)=0,"",VLOOKUP(Table9[[#This Row],[Date]],'DB Details'!$A:$Q,12))</f>
        <v/>
      </c>
      <c r="C30" s="54">
        <f>Table9[[#This Row],[ISM Services]]-B29</f>
        <v/>
      </c>
    </row>
    <row r="31">
      <c r="A31" s="53" t="n">
        <v>36373</v>
      </c>
      <c r="B31" s="54">
        <f>IF(VLOOKUP(Table9[[#This Row],[Date]],'DB Details'!$A:$Q,12)=0,"",VLOOKUP(Table9[[#This Row],[Date]],'DB Details'!$A:$Q,12))</f>
        <v/>
      </c>
      <c r="C31" s="54">
        <f>Table9[[#This Row],[ISM Services]]-B30</f>
        <v/>
      </c>
    </row>
    <row r="32">
      <c r="A32" s="53" t="n">
        <v>36404</v>
      </c>
      <c r="B32" s="54">
        <f>IF(VLOOKUP(Table9[[#This Row],[Date]],'DB Details'!$A:$Q,12)=0,"",VLOOKUP(Table9[[#This Row],[Date]],'DB Details'!$A:$Q,12))</f>
        <v/>
      </c>
      <c r="C32" s="54">
        <f>Table9[[#This Row],[ISM Services]]-B31</f>
        <v/>
      </c>
    </row>
    <row r="33">
      <c r="A33" s="53" t="n">
        <v>36434</v>
      </c>
      <c r="B33" s="54">
        <f>IF(VLOOKUP(Table9[[#This Row],[Date]],'DB Details'!$A:$Q,12)=0,"",VLOOKUP(Table9[[#This Row],[Date]],'DB Details'!$A:$Q,12))</f>
        <v/>
      </c>
      <c r="C33" s="54">
        <f>Table9[[#This Row],[ISM Services]]-B32</f>
        <v/>
      </c>
    </row>
    <row r="34">
      <c r="A34" s="53" t="n">
        <v>36465</v>
      </c>
      <c r="B34" s="54">
        <f>IF(VLOOKUP(Table9[[#This Row],[Date]],'DB Details'!$A:$Q,12)=0,"",VLOOKUP(Table9[[#This Row],[Date]],'DB Details'!$A:$Q,12))</f>
        <v/>
      </c>
      <c r="C34" s="54">
        <f>Table9[[#This Row],[ISM Services]]-B33</f>
        <v/>
      </c>
    </row>
    <row r="35">
      <c r="A35" s="53" t="n">
        <v>36495</v>
      </c>
      <c r="B35" s="54">
        <f>IF(VLOOKUP(Table9[[#This Row],[Date]],'DB Details'!$A:$Q,12)=0,"",VLOOKUP(Table9[[#This Row],[Date]],'DB Details'!$A:$Q,12))</f>
        <v/>
      </c>
      <c r="C35" s="54">
        <f>Table9[[#This Row],[ISM Services]]-B34</f>
        <v/>
      </c>
    </row>
    <row r="36">
      <c r="A36" s="53" t="n">
        <v>36526</v>
      </c>
      <c r="B36" s="54">
        <f>IF(VLOOKUP(Table9[[#This Row],[Date]],'DB Details'!$A:$Q,12)=0,"",VLOOKUP(Table9[[#This Row],[Date]],'DB Details'!$A:$Q,12))</f>
        <v/>
      </c>
      <c r="C36" s="54">
        <f>Table9[[#This Row],[ISM Services]]-B35</f>
        <v/>
      </c>
    </row>
    <row r="37">
      <c r="A37" s="53" t="n">
        <v>36557</v>
      </c>
      <c r="B37" s="54">
        <f>IF(VLOOKUP(Table9[[#This Row],[Date]],'DB Details'!$A:$Q,12)=0,"",VLOOKUP(Table9[[#This Row],[Date]],'DB Details'!$A:$Q,12))</f>
        <v/>
      </c>
      <c r="C37" s="54">
        <f>Table9[[#This Row],[ISM Services]]-B36</f>
        <v/>
      </c>
    </row>
    <row r="38">
      <c r="A38" s="53" t="n">
        <v>36586</v>
      </c>
      <c r="B38" s="54">
        <f>IF(VLOOKUP(Table9[[#This Row],[Date]],'DB Details'!$A:$Q,12)=0,"",VLOOKUP(Table9[[#This Row],[Date]],'DB Details'!$A:$Q,12))</f>
        <v/>
      </c>
      <c r="C38" s="54">
        <f>Table9[[#This Row],[ISM Services]]-B37</f>
        <v/>
      </c>
    </row>
    <row r="39">
      <c r="A39" s="53" t="n">
        <v>36617</v>
      </c>
      <c r="B39" s="54">
        <f>IF(VLOOKUP(Table9[[#This Row],[Date]],'DB Details'!$A:$Q,12)=0,"",VLOOKUP(Table9[[#This Row],[Date]],'DB Details'!$A:$Q,12))</f>
        <v/>
      </c>
      <c r="C39" s="54">
        <f>Table9[[#This Row],[ISM Services]]-B38</f>
        <v/>
      </c>
    </row>
    <row r="40">
      <c r="A40" s="53" t="n">
        <v>36647</v>
      </c>
      <c r="B40" s="54">
        <f>IF(VLOOKUP(Table9[[#This Row],[Date]],'DB Details'!$A:$Q,12)=0,"",VLOOKUP(Table9[[#This Row],[Date]],'DB Details'!$A:$Q,12))</f>
        <v/>
      </c>
      <c r="C40" s="54">
        <f>Table9[[#This Row],[ISM Services]]-B39</f>
        <v/>
      </c>
    </row>
    <row r="41">
      <c r="A41" s="53" t="n">
        <v>36678</v>
      </c>
      <c r="B41" s="54">
        <f>IF(VLOOKUP(Table9[[#This Row],[Date]],'DB Details'!$A:$Q,12)=0,"",VLOOKUP(Table9[[#This Row],[Date]],'DB Details'!$A:$Q,12))</f>
        <v/>
      </c>
      <c r="C41" s="54">
        <f>Table9[[#This Row],[ISM Services]]-B40</f>
        <v/>
      </c>
    </row>
    <row r="42">
      <c r="A42" s="53" t="n">
        <v>36708</v>
      </c>
      <c r="B42" s="54">
        <f>IF(VLOOKUP(Table9[[#This Row],[Date]],'DB Details'!$A:$Q,12)=0,"",VLOOKUP(Table9[[#This Row],[Date]],'DB Details'!$A:$Q,12))</f>
        <v/>
      </c>
      <c r="C42" s="54">
        <f>Table9[[#This Row],[ISM Services]]-B41</f>
        <v/>
      </c>
    </row>
    <row r="43">
      <c r="A43" s="53" t="n">
        <v>36739</v>
      </c>
      <c r="B43" s="54">
        <f>IF(VLOOKUP(Table9[[#This Row],[Date]],'DB Details'!$A:$Q,12)=0,"",VLOOKUP(Table9[[#This Row],[Date]],'DB Details'!$A:$Q,12))</f>
        <v/>
      </c>
      <c r="C43" s="54">
        <f>Table9[[#This Row],[ISM Services]]-B42</f>
        <v/>
      </c>
    </row>
    <row r="44">
      <c r="A44" s="53" t="n">
        <v>36770</v>
      </c>
      <c r="B44" s="54">
        <f>IF(VLOOKUP(Table9[[#This Row],[Date]],'DB Details'!$A:$Q,12)=0,"",VLOOKUP(Table9[[#This Row],[Date]],'DB Details'!$A:$Q,12))</f>
        <v/>
      </c>
      <c r="C44" s="54">
        <f>Table9[[#This Row],[ISM Services]]-B43</f>
        <v/>
      </c>
    </row>
    <row r="45">
      <c r="A45" s="53" t="n">
        <v>36800</v>
      </c>
      <c r="B45" s="54">
        <f>IF(VLOOKUP(Table9[[#This Row],[Date]],'DB Details'!$A:$Q,12)=0,"",VLOOKUP(Table9[[#This Row],[Date]],'DB Details'!$A:$Q,12))</f>
        <v/>
      </c>
      <c r="C45" s="54">
        <f>Table9[[#This Row],[ISM Services]]-B44</f>
        <v/>
      </c>
    </row>
    <row r="46">
      <c r="A46" s="53" t="n">
        <v>36831</v>
      </c>
      <c r="B46" s="54">
        <f>IF(VLOOKUP(Table9[[#This Row],[Date]],'DB Details'!$A:$Q,12)=0,"",VLOOKUP(Table9[[#This Row],[Date]],'DB Details'!$A:$Q,12))</f>
        <v/>
      </c>
      <c r="C46" s="54">
        <f>Table9[[#This Row],[ISM Services]]-B45</f>
        <v/>
      </c>
    </row>
    <row r="47">
      <c r="A47" s="53" t="n">
        <v>36861</v>
      </c>
      <c r="B47" s="54">
        <f>IF(VLOOKUP(Table9[[#This Row],[Date]],'DB Details'!$A:$Q,12)=0,"",VLOOKUP(Table9[[#This Row],[Date]],'DB Details'!$A:$Q,12))</f>
        <v/>
      </c>
      <c r="C47" s="54">
        <f>Table9[[#This Row],[ISM Services]]-B46</f>
        <v/>
      </c>
    </row>
    <row r="48">
      <c r="A48" s="53" t="n">
        <v>36892</v>
      </c>
      <c r="B48" s="54">
        <f>IF(VLOOKUP(Table9[[#This Row],[Date]],'DB Details'!$A:$Q,12)=0,"",VLOOKUP(Table9[[#This Row],[Date]],'DB Details'!$A:$Q,12))</f>
        <v/>
      </c>
      <c r="C48" s="54">
        <f>Table9[[#This Row],[ISM Services]]-B47</f>
        <v/>
      </c>
    </row>
    <row r="49">
      <c r="A49" s="53" t="n">
        <v>36923</v>
      </c>
      <c r="B49" s="54">
        <f>IF(VLOOKUP(Table9[[#This Row],[Date]],'DB Details'!$A:$Q,12)=0,"",VLOOKUP(Table9[[#This Row],[Date]],'DB Details'!$A:$Q,12))</f>
        <v/>
      </c>
      <c r="C49" s="54">
        <f>Table9[[#This Row],[ISM Services]]-B48</f>
        <v/>
      </c>
    </row>
    <row r="50">
      <c r="A50" s="53" t="n">
        <v>36951</v>
      </c>
      <c r="B50" s="54">
        <f>IF(VLOOKUP(Table9[[#This Row],[Date]],'DB Details'!$A:$Q,12)=0,"",VLOOKUP(Table9[[#This Row],[Date]],'DB Details'!$A:$Q,12))</f>
        <v/>
      </c>
      <c r="C50" s="54">
        <f>Table9[[#This Row],[ISM Services]]-B49</f>
        <v/>
      </c>
    </row>
    <row r="51">
      <c r="A51" s="53" t="n">
        <v>36982</v>
      </c>
      <c r="B51" s="54">
        <f>IF(VLOOKUP(Table9[[#This Row],[Date]],'DB Details'!$A:$Q,12)=0,"",VLOOKUP(Table9[[#This Row],[Date]],'DB Details'!$A:$Q,12))</f>
        <v/>
      </c>
      <c r="C51" s="54">
        <f>Table9[[#This Row],[ISM Services]]-B50</f>
        <v/>
      </c>
    </row>
    <row r="52">
      <c r="A52" s="53" t="n">
        <v>37012</v>
      </c>
      <c r="B52" s="54">
        <f>IF(VLOOKUP(Table9[[#This Row],[Date]],'DB Details'!$A:$Q,12)=0,"",VLOOKUP(Table9[[#This Row],[Date]],'DB Details'!$A:$Q,12))</f>
        <v/>
      </c>
      <c r="C52" s="54">
        <f>Table9[[#This Row],[ISM Services]]-B51</f>
        <v/>
      </c>
    </row>
    <row r="53">
      <c r="A53" s="53" t="n">
        <v>37043</v>
      </c>
      <c r="B53" s="54">
        <f>IF(VLOOKUP(Table9[[#This Row],[Date]],'DB Details'!$A:$Q,12)=0,"",VLOOKUP(Table9[[#This Row],[Date]],'DB Details'!$A:$Q,12))</f>
        <v/>
      </c>
      <c r="C53" s="54">
        <f>Table9[[#This Row],[ISM Services]]-B52</f>
        <v/>
      </c>
    </row>
    <row r="54">
      <c r="A54" s="53" t="n">
        <v>37073</v>
      </c>
      <c r="B54" s="54">
        <f>IF(VLOOKUP(Table9[[#This Row],[Date]],'DB Details'!$A:$Q,12)=0,"",VLOOKUP(Table9[[#This Row],[Date]],'DB Details'!$A:$Q,12))</f>
        <v/>
      </c>
      <c r="C54" s="54">
        <f>Table9[[#This Row],[ISM Services]]-B53</f>
        <v/>
      </c>
    </row>
    <row r="55">
      <c r="A55" s="53" t="n">
        <v>37104</v>
      </c>
      <c r="B55" s="54">
        <f>IF(VLOOKUP(Table9[[#This Row],[Date]],'DB Details'!$A:$Q,12)=0,"",VLOOKUP(Table9[[#This Row],[Date]],'DB Details'!$A:$Q,12))</f>
        <v/>
      </c>
      <c r="C55" s="54">
        <f>Table9[[#This Row],[ISM Services]]-B54</f>
        <v/>
      </c>
    </row>
    <row r="56">
      <c r="A56" s="53" t="n">
        <v>37135</v>
      </c>
      <c r="B56" s="54">
        <f>IF(VLOOKUP(Table9[[#This Row],[Date]],'DB Details'!$A:$Q,12)=0,"",VLOOKUP(Table9[[#This Row],[Date]],'DB Details'!$A:$Q,12))</f>
        <v/>
      </c>
      <c r="C56" s="54">
        <f>Table9[[#This Row],[ISM Services]]-B55</f>
        <v/>
      </c>
    </row>
    <row r="57">
      <c r="A57" s="53" t="n">
        <v>37165</v>
      </c>
      <c r="B57" s="54">
        <f>IF(VLOOKUP(Table9[[#This Row],[Date]],'DB Details'!$A:$Q,12)=0,"",VLOOKUP(Table9[[#This Row],[Date]],'DB Details'!$A:$Q,12))</f>
        <v/>
      </c>
      <c r="C57" s="54">
        <f>Table9[[#This Row],[ISM Services]]-B56</f>
        <v/>
      </c>
    </row>
    <row r="58">
      <c r="A58" s="53" t="n">
        <v>37196</v>
      </c>
      <c r="B58" s="54">
        <f>IF(VLOOKUP(Table9[[#This Row],[Date]],'DB Details'!$A:$Q,12)=0,"",VLOOKUP(Table9[[#This Row],[Date]],'DB Details'!$A:$Q,12))</f>
        <v/>
      </c>
      <c r="C58" s="54">
        <f>Table9[[#This Row],[ISM Services]]-B57</f>
        <v/>
      </c>
    </row>
    <row r="59">
      <c r="A59" s="53" t="n">
        <v>37226</v>
      </c>
      <c r="B59" s="54">
        <f>IF(VLOOKUP(Table9[[#This Row],[Date]],'DB Details'!$A:$Q,12)=0,"",VLOOKUP(Table9[[#This Row],[Date]],'DB Details'!$A:$Q,12))</f>
        <v/>
      </c>
      <c r="C59" s="54">
        <f>Table9[[#This Row],[ISM Services]]-B58</f>
        <v/>
      </c>
    </row>
    <row r="60">
      <c r="A60" s="53" t="n">
        <v>37257</v>
      </c>
      <c r="B60" s="54">
        <f>IF(VLOOKUP(Table9[[#This Row],[Date]],'DB Details'!$A:$Q,12)=0,"",VLOOKUP(Table9[[#This Row],[Date]],'DB Details'!$A:$Q,12))</f>
        <v/>
      </c>
      <c r="C60" s="54">
        <f>Table9[[#This Row],[ISM Services]]-B59</f>
        <v/>
      </c>
    </row>
    <row r="61">
      <c r="A61" s="53" t="n">
        <v>37288</v>
      </c>
      <c r="B61" s="54">
        <f>IF(VLOOKUP(Table9[[#This Row],[Date]],'DB Details'!$A:$Q,12)=0,"",VLOOKUP(Table9[[#This Row],[Date]],'DB Details'!$A:$Q,12))</f>
        <v/>
      </c>
      <c r="C61" s="54">
        <f>Table9[[#This Row],[ISM Services]]-B60</f>
        <v/>
      </c>
    </row>
    <row r="62">
      <c r="A62" s="53" t="n">
        <v>37316</v>
      </c>
      <c r="B62" s="54">
        <f>IF(VLOOKUP(Table9[[#This Row],[Date]],'DB Details'!$A:$Q,12)=0,"",VLOOKUP(Table9[[#This Row],[Date]],'DB Details'!$A:$Q,12))</f>
        <v/>
      </c>
      <c r="C62" s="54">
        <f>Table9[[#This Row],[ISM Services]]-B61</f>
        <v/>
      </c>
    </row>
    <row r="63">
      <c r="A63" s="53" t="n">
        <v>37347</v>
      </c>
      <c r="B63" s="54">
        <f>IF(VLOOKUP(Table9[[#This Row],[Date]],'DB Details'!$A:$Q,12)=0,"",VLOOKUP(Table9[[#This Row],[Date]],'DB Details'!$A:$Q,12))</f>
        <v/>
      </c>
      <c r="C63" s="54">
        <f>Table9[[#This Row],[ISM Services]]-B62</f>
        <v/>
      </c>
    </row>
    <row r="64">
      <c r="A64" s="53" t="n">
        <v>37377</v>
      </c>
      <c r="B64" s="54">
        <f>IF(VLOOKUP(Table9[[#This Row],[Date]],'DB Details'!$A:$Q,12)=0,"",VLOOKUP(Table9[[#This Row],[Date]],'DB Details'!$A:$Q,12))</f>
        <v/>
      </c>
      <c r="C64" s="54">
        <f>Table9[[#This Row],[ISM Services]]-B63</f>
        <v/>
      </c>
    </row>
    <row r="65">
      <c r="A65" s="53" t="n">
        <v>37408</v>
      </c>
      <c r="B65" s="54">
        <f>IF(VLOOKUP(Table9[[#This Row],[Date]],'DB Details'!$A:$Q,12)=0,"",VLOOKUP(Table9[[#This Row],[Date]],'DB Details'!$A:$Q,12))</f>
        <v/>
      </c>
      <c r="C65" s="54">
        <f>Table9[[#This Row],[ISM Services]]-B64</f>
        <v/>
      </c>
    </row>
    <row r="66">
      <c r="A66" s="53" t="n">
        <v>37438</v>
      </c>
      <c r="B66" s="54">
        <f>IF(VLOOKUP(Table9[[#This Row],[Date]],'DB Details'!$A:$Q,12)=0,"",VLOOKUP(Table9[[#This Row],[Date]],'DB Details'!$A:$Q,12))</f>
        <v/>
      </c>
      <c r="C66" s="54">
        <f>Table9[[#This Row],[ISM Services]]-B65</f>
        <v/>
      </c>
    </row>
    <row r="67">
      <c r="A67" s="53" t="n">
        <v>37469</v>
      </c>
      <c r="B67" s="54">
        <f>IF(VLOOKUP(Table9[[#This Row],[Date]],'DB Details'!$A:$Q,12)=0,"",VLOOKUP(Table9[[#This Row],[Date]],'DB Details'!$A:$Q,12))</f>
        <v/>
      </c>
      <c r="C67" s="54">
        <f>Table9[[#This Row],[ISM Services]]-B66</f>
        <v/>
      </c>
    </row>
    <row r="68">
      <c r="A68" s="53" t="n">
        <v>37500</v>
      </c>
      <c r="B68" s="54">
        <f>IF(VLOOKUP(Table9[[#This Row],[Date]],'DB Details'!$A:$Q,12)=0,"",VLOOKUP(Table9[[#This Row],[Date]],'DB Details'!$A:$Q,12))</f>
        <v/>
      </c>
      <c r="C68" s="54">
        <f>Table9[[#This Row],[ISM Services]]-B67</f>
        <v/>
      </c>
    </row>
    <row r="69">
      <c r="A69" s="53" t="n">
        <v>37530</v>
      </c>
      <c r="B69" s="54">
        <f>IF(VLOOKUP(Table9[[#This Row],[Date]],'DB Details'!$A:$Q,12)=0,"",VLOOKUP(Table9[[#This Row],[Date]],'DB Details'!$A:$Q,12))</f>
        <v/>
      </c>
      <c r="C69" s="54">
        <f>Table9[[#This Row],[ISM Services]]-B68</f>
        <v/>
      </c>
    </row>
    <row r="70">
      <c r="A70" s="53" t="n">
        <v>37561</v>
      </c>
      <c r="B70" s="54">
        <f>IF(VLOOKUP(Table9[[#This Row],[Date]],'DB Details'!$A:$Q,12)=0,"",VLOOKUP(Table9[[#This Row],[Date]],'DB Details'!$A:$Q,12))</f>
        <v/>
      </c>
      <c r="C70" s="54">
        <f>Table9[[#This Row],[ISM Services]]-B69</f>
        <v/>
      </c>
    </row>
    <row r="71">
      <c r="A71" s="53" t="n">
        <v>37591</v>
      </c>
      <c r="B71" s="54">
        <f>IF(VLOOKUP(Table9[[#This Row],[Date]],'DB Details'!$A:$Q,12)=0,"",VLOOKUP(Table9[[#This Row],[Date]],'DB Details'!$A:$Q,12))</f>
        <v/>
      </c>
      <c r="C71" s="54">
        <f>Table9[[#This Row],[ISM Services]]-B70</f>
        <v/>
      </c>
    </row>
    <row r="72">
      <c r="A72" s="53" t="n">
        <v>37622</v>
      </c>
      <c r="B72" s="54">
        <f>IF(VLOOKUP(Table9[[#This Row],[Date]],'DB Details'!$A:$Q,12)=0,"",VLOOKUP(Table9[[#This Row],[Date]],'DB Details'!$A:$Q,12))</f>
        <v/>
      </c>
      <c r="C72" s="54">
        <f>Table9[[#This Row],[ISM Services]]-B71</f>
        <v/>
      </c>
    </row>
    <row r="73">
      <c r="A73" s="53" t="n">
        <v>37653</v>
      </c>
      <c r="B73" s="54">
        <f>IF(VLOOKUP(Table9[[#This Row],[Date]],'DB Details'!$A:$Q,12)=0,"",VLOOKUP(Table9[[#This Row],[Date]],'DB Details'!$A:$Q,12))</f>
        <v/>
      </c>
      <c r="C73" s="54">
        <f>Table9[[#This Row],[ISM Services]]-B72</f>
        <v/>
      </c>
    </row>
    <row r="74">
      <c r="A74" s="53" t="n">
        <v>37681</v>
      </c>
      <c r="B74" s="54">
        <f>IF(VLOOKUP(Table9[[#This Row],[Date]],'DB Details'!$A:$Q,12)=0,"",VLOOKUP(Table9[[#This Row],[Date]],'DB Details'!$A:$Q,12))</f>
        <v/>
      </c>
      <c r="C74" s="54">
        <f>Table9[[#This Row],[ISM Services]]-B73</f>
        <v/>
      </c>
    </row>
    <row r="75">
      <c r="A75" s="53" t="n">
        <v>37712</v>
      </c>
      <c r="B75" s="54">
        <f>IF(VLOOKUP(Table9[[#This Row],[Date]],'DB Details'!$A:$Q,12)=0,"",VLOOKUP(Table9[[#This Row],[Date]],'DB Details'!$A:$Q,12))</f>
        <v/>
      </c>
      <c r="C75" s="54">
        <f>Table9[[#This Row],[ISM Services]]-B74</f>
        <v/>
      </c>
    </row>
    <row r="76">
      <c r="A76" s="53" t="n">
        <v>37742</v>
      </c>
      <c r="B76" s="54">
        <f>IF(VLOOKUP(Table9[[#This Row],[Date]],'DB Details'!$A:$Q,12)=0,"",VLOOKUP(Table9[[#This Row],[Date]],'DB Details'!$A:$Q,12))</f>
        <v/>
      </c>
      <c r="C76" s="54">
        <f>Table9[[#This Row],[ISM Services]]-B75</f>
        <v/>
      </c>
    </row>
    <row r="77">
      <c r="A77" s="53" t="n">
        <v>37773</v>
      </c>
      <c r="B77" s="54">
        <f>IF(VLOOKUP(Table9[[#This Row],[Date]],'DB Details'!$A:$Q,12)=0,"",VLOOKUP(Table9[[#This Row],[Date]],'DB Details'!$A:$Q,12))</f>
        <v/>
      </c>
      <c r="C77" s="54">
        <f>Table9[[#This Row],[ISM Services]]-B76</f>
        <v/>
      </c>
    </row>
    <row r="78">
      <c r="A78" s="53" t="n">
        <v>37803</v>
      </c>
      <c r="B78" s="54">
        <f>IF(VLOOKUP(Table9[[#This Row],[Date]],'DB Details'!$A:$Q,12)=0,"",VLOOKUP(Table9[[#This Row],[Date]],'DB Details'!$A:$Q,12))</f>
        <v/>
      </c>
      <c r="C78" s="54">
        <f>Table9[[#This Row],[ISM Services]]-B77</f>
        <v/>
      </c>
    </row>
    <row r="79">
      <c r="A79" s="53" t="n">
        <v>37834</v>
      </c>
      <c r="B79" s="54">
        <f>IF(VLOOKUP(Table9[[#This Row],[Date]],'DB Details'!$A:$Q,12)=0,"",VLOOKUP(Table9[[#This Row],[Date]],'DB Details'!$A:$Q,12))</f>
        <v/>
      </c>
      <c r="C79" s="54">
        <f>Table9[[#This Row],[ISM Services]]-B78</f>
        <v/>
      </c>
    </row>
    <row r="80">
      <c r="A80" s="53" t="n">
        <v>37865</v>
      </c>
      <c r="B80" s="54">
        <f>IF(VLOOKUP(Table9[[#This Row],[Date]],'DB Details'!$A:$Q,12)=0,"",VLOOKUP(Table9[[#This Row],[Date]],'DB Details'!$A:$Q,12))</f>
        <v/>
      </c>
      <c r="C80" s="54">
        <f>Table9[[#This Row],[ISM Services]]-B79</f>
        <v/>
      </c>
    </row>
    <row r="81">
      <c r="A81" s="53" t="n">
        <v>37895</v>
      </c>
      <c r="B81" s="54">
        <f>IF(VLOOKUP(Table9[[#This Row],[Date]],'DB Details'!$A:$Q,12)=0,"",VLOOKUP(Table9[[#This Row],[Date]],'DB Details'!$A:$Q,12))</f>
        <v/>
      </c>
      <c r="C81" s="54">
        <f>Table9[[#This Row],[ISM Services]]-B80</f>
        <v/>
      </c>
    </row>
    <row r="82">
      <c r="A82" s="53" t="n">
        <v>37926</v>
      </c>
      <c r="B82" s="54">
        <f>IF(VLOOKUP(Table9[[#This Row],[Date]],'DB Details'!$A:$Q,12)=0,"",VLOOKUP(Table9[[#This Row],[Date]],'DB Details'!$A:$Q,12))</f>
        <v/>
      </c>
      <c r="C82" s="54">
        <f>Table9[[#This Row],[ISM Services]]-B81</f>
        <v/>
      </c>
    </row>
    <row r="83">
      <c r="A83" s="53" t="n">
        <v>37956</v>
      </c>
      <c r="B83" s="54">
        <f>IF(VLOOKUP(Table9[[#This Row],[Date]],'DB Details'!$A:$Q,12)=0,"",VLOOKUP(Table9[[#This Row],[Date]],'DB Details'!$A:$Q,12))</f>
        <v/>
      </c>
      <c r="C83" s="54">
        <f>Table9[[#This Row],[ISM Services]]-B82</f>
        <v/>
      </c>
    </row>
    <row r="84">
      <c r="A84" s="53" t="n">
        <v>37987</v>
      </c>
      <c r="B84" s="54">
        <f>IF(VLOOKUP(Table9[[#This Row],[Date]],'DB Details'!$A:$Q,12)=0,"",VLOOKUP(Table9[[#This Row],[Date]],'DB Details'!$A:$Q,12))</f>
        <v/>
      </c>
      <c r="C84" s="54">
        <f>Table9[[#This Row],[ISM Services]]-B83</f>
        <v/>
      </c>
    </row>
    <row r="85">
      <c r="A85" s="53" t="n">
        <v>38018</v>
      </c>
      <c r="B85" s="54">
        <f>IF(VLOOKUP(Table9[[#This Row],[Date]],'DB Details'!$A:$Q,12)=0,"",VLOOKUP(Table9[[#This Row],[Date]],'DB Details'!$A:$Q,12))</f>
        <v/>
      </c>
      <c r="C85" s="54">
        <f>Table9[[#This Row],[ISM Services]]-B84</f>
        <v/>
      </c>
    </row>
    <row r="86">
      <c r="A86" s="53" t="n">
        <v>38047</v>
      </c>
      <c r="B86" s="54">
        <f>IF(VLOOKUP(Table9[[#This Row],[Date]],'DB Details'!$A:$Q,12)=0,"",VLOOKUP(Table9[[#This Row],[Date]],'DB Details'!$A:$Q,12))</f>
        <v/>
      </c>
      <c r="C86" s="54">
        <f>Table9[[#This Row],[ISM Services]]-B85</f>
        <v/>
      </c>
    </row>
    <row r="87">
      <c r="A87" s="53" t="n">
        <v>38078</v>
      </c>
      <c r="B87" s="54">
        <f>IF(VLOOKUP(Table9[[#This Row],[Date]],'DB Details'!$A:$Q,12)=0,"",VLOOKUP(Table9[[#This Row],[Date]],'DB Details'!$A:$Q,12))</f>
        <v/>
      </c>
      <c r="C87" s="54">
        <f>Table9[[#This Row],[ISM Services]]-B86</f>
        <v/>
      </c>
    </row>
    <row r="88">
      <c r="A88" s="53" t="n">
        <v>38108</v>
      </c>
      <c r="B88" s="54">
        <f>IF(VLOOKUP(Table9[[#This Row],[Date]],'DB Details'!$A:$Q,12)=0,"",VLOOKUP(Table9[[#This Row],[Date]],'DB Details'!$A:$Q,12))</f>
        <v/>
      </c>
      <c r="C88" s="54">
        <f>Table9[[#This Row],[ISM Services]]-B87</f>
        <v/>
      </c>
    </row>
    <row r="89">
      <c r="A89" s="53" t="n">
        <v>38139</v>
      </c>
      <c r="B89" s="54">
        <f>IF(VLOOKUP(Table9[[#This Row],[Date]],'DB Details'!$A:$Q,12)=0,"",VLOOKUP(Table9[[#This Row],[Date]],'DB Details'!$A:$Q,12))</f>
        <v/>
      </c>
      <c r="C89" s="54">
        <f>Table9[[#This Row],[ISM Services]]-B88</f>
        <v/>
      </c>
    </row>
    <row r="90">
      <c r="A90" s="53" t="n">
        <v>38169</v>
      </c>
      <c r="B90" s="54">
        <f>IF(VLOOKUP(Table9[[#This Row],[Date]],'DB Details'!$A:$Q,12)=0,"",VLOOKUP(Table9[[#This Row],[Date]],'DB Details'!$A:$Q,12))</f>
        <v/>
      </c>
      <c r="C90" s="54">
        <f>Table9[[#This Row],[ISM Services]]-B89</f>
        <v/>
      </c>
    </row>
    <row r="91">
      <c r="A91" s="53" t="n">
        <v>38200</v>
      </c>
      <c r="B91" s="54">
        <f>IF(VLOOKUP(Table9[[#This Row],[Date]],'DB Details'!$A:$Q,12)=0,"",VLOOKUP(Table9[[#This Row],[Date]],'DB Details'!$A:$Q,12))</f>
        <v/>
      </c>
      <c r="C91" s="54">
        <f>Table9[[#This Row],[ISM Services]]-B90</f>
        <v/>
      </c>
    </row>
    <row r="92">
      <c r="A92" s="53" t="n">
        <v>38231</v>
      </c>
      <c r="B92" s="54">
        <f>IF(VLOOKUP(Table9[[#This Row],[Date]],'DB Details'!$A:$Q,12)=0,"",VLOOKUP(Table9[[#This Row],[Date]],'DB Details'!$A:$Q,12))</f>
        <v/>
      </c>
      <c r="C92" s="54">
        <f>Table9[[#This Row],[ISM Services]]-B91</f>
        <v/>
      </c>
    </row>
    <row r="93">
      <c r="A93" s="53" t="n">
        <v>38261</v>
      </c>
      <c r="B93" s="54">
        <f>IF(VLOOKUP(Table9[[#This Row],[Date]],'DB Details'!$A:$Q,12)=0,"",VLOOKUP(Table9[[#This Row],[Date]],'DB Details'!$A:$Q,12))</f>
        <v/>
      </c>
      <c r="C93" s="54">
        <f>Table9[[#This Row],[ISM Services]]-B92</f>
        <v/>
      </c>
    </row>
    <row r="94">
      <c r="A94" s="53" t="n">
        <v>38292</v>
      </c>
      <c r="B94" s="54">
        <f>IF(VLOOKUP(Table9[[#This Row],[Date]],'DB Details'!$A:$Q,12)=0,"",VLOOKUP(Table9[[#This Row],[Date]],'DB Details'!$A:$Q,12))</f>
        <v/>
      </c>
      <c r="C94" s="54">
        <f>Table9[[#This Row],[ISM Services]]-B93</f>
        <v/>
      </c>
    </row>
    <row r="95">
      <c r="A95" s="53" t="n">
        <v>38322</v>
      </c>
      <c r="B95" s="54">
        <f>IF(VLOOKUP(Table9[[#This Row],[Date]],'DB Details'!$A:$Q,12)=0,"",VLOOKUP(Table9[[#This Row],[Date]],'DB Details'!$A:$Q,12))</f>
        <v/>
      </c>
      <c r="C95" s="54">
        <f>Table9[[#This Row],[ISM Services]]-B94</f>
        <v/>
      </c>
    </row>
    <row r="96">
      <c r="A96" s="53" t="n">
        <v>38353</v>
      </c>
      <c r="B96" s="54">
        <f>IF(VLOOKUP(Table9[[#This Row],[Date]],'DB Details'!$A:$Q,12)=0,"",VLOOKUP(Table9[[#This Row],[Date]],'DB Details'!$A:$Q,12))</f>
        <v/>
      </c>
      <c r="C96" s="54">
        <f>Table9[[#This Row],[ISM Services]]-B95</f>
        <v/>
      </c>
    </row>
    <row r="97">
      <c r="A97" s="53" t="n">
        <v>38384</v>
      </c>
      <c r="B97" s="54">
        <f>IF(VLOOKUP(Table9[[#This Row],[Date]],'DB Details'!$A:$Q,12)=0,"",VLOOKUP(Table9[[#This Row],[Date]],'DB Details'!$A:$Q,12))</f>
        <v/>
      </c>
      <c r="C97" s="54">
        <f>Table9[[#This Row],[ISM Services]]-B96</f>
        <v/>
      </c>
    </row>
    <row r="98">
      <c r="A98" s="53" t="n">
        <v>38412</v>
      </c>
      <c r="B98" s="54">
        <f>IF(VLOOKUP(Table9[[#This Row],[Date]],'DB Details'!$A:$Q,12)=0,"",VLOOKUP(Table9[[#This Row],[Date]],'DB Details'!$A:$Q,12))</f>
        <v/>
      </c>
      <c r="C98" s="54">
        <f>Table9[[#This Row],[ISM Services]]-B97</f>
        <v/>
      </c>
    </row>
    <row r="99">
      <c r="A99" s="53" t="n">
        <v>38443</v>
      </c>
      <c r="B99" s="54">
        <f>IF(VLOOKUP(Table9[[#This Row],[Date]],'DB Details'!$A:$Q,12)=0,"",VLOOKUP(Table9[[#This Row],[Date]],'DB Details'!$A:$Q,12))</f>
        <v/>
      </c>
      <c r="C99" s="54">
        <f>Table9[[#This Row],[ISM Services]]-B98</f>
        <v/>
      </c>
    </row>
    <row r="100">
      <c r="A100" s="53" t="n">
        <v>38473</v>
      </c>
      <c r="B100" s="54">
        <f>IF(VLOOKUP(Table9[[#This Row],[Date]],'DB Details'!$A:$Q,12)=0,"",VLOOKUP(Table9[[#This Row],[Date]],'DB Details'!$A:$Q,12))</f>
        <v/>
      </c>
      <c r="C100" s="54">
        <f>Table9[[#This Row],[ISM Services]]-B99</f>
        <v/>
      </c>
    </row>
    <row r="101">
      <c r="A101" s="53" t="n">
        <v>38504</v>
      </c>
      <c r="B101" s="54">
        <f>IF(VLOOKUP(Table9[[#This Row],[Date]],'DB Details'!$A:$Q,12)=0,"",VLOOKUP(Table9[[#This Row],[Date]],'DB Details'!$A:$Q,12))</f>
        <v/>
      </c>
      <c r="C101" s="54">
        <f>Table9[[#This Row],[ISM Services]]-B100</f>
        <v/>
      </c>
    </row>
    <row r="102">
      <c r="A102" s="53" t="n">
        <v>38534</v>
      </c>
      <c r="B102" s="54">
        <f>IF(VLOOKUP(Table9[[#This Row],[Date]],'DB Details'!$A:$Q,12)=0,"",VLOOKUP(Table9[[#This Row],[Date]],'DB Details'!$A:$Q,12))</f>
        <v/>
      </c>
      <c r="C102" s="54">
        <f>Table9[[#This Row],[ISM Services]]-B101</f>
        <v/>
      </c>
    </row>
    <row r="103">
      <c r="A103" s="53" t="n">
        <v>38565</v>
      </c>
      <c r="B103" s="54">
        <f>IF(VLOOKUP(Table9[[#This Row],[Date]],'DB Details'!$A:$Q,12)=0,"",VLOOKUP(Table9[[#This Row],[Date]],'DB Details'!$A:$Q,12))</f>
        <v/>
      </c>
      <c r="C103" s="54">
        <f>Table9[[#This Row],[ISM Services]]-B102</f>
        <v/>
      </c>
    </row>
    <row r="104">
      <c r="A104" s="53" t="n">
        <v>38596</v>
      </c>
      <c r="B104" s="54">
        <f>IF(VLOOKUP(Table9[[#This Row],[Date]],'DB Details'!$A:$Q,12)=0,"",VLOOKUP(Table9[[#This Row],[Date]],'DB Details'!$A:$Q,12))</f>
        <v/>
      </c>
      <c r="C104" s="54">
        <f>Table9[[#This Row],[ISM Services]]-B103</f>
        <v/>
      </c>
    </row>
    <row r="105">
      <c r="A105" s="53" t="n">
        <v>38626</v>
      </c>
      <c r="B105" s="54">
        <f>IF(VLOOKUP(Table9[[#This Row],[Date]],'DB Details'!$A:$Q,12)=0,"",VLOOKUP(Table9[[#This Row],[Date]],'DB Details'!$A:$Q,12))</f>
        <v/>
      </c>
      <c r="C105" s="54">
        <f>Table9[[#This Row],[ISM Services]]-B104</f>
        <v/>
      </c>
    </row>
    <row r="106">
      <c r="A106" s="53" t="n">
        <v>38657</v>
      </c>
      <c r="B106" s="54">
        <f>IF(VLOOKUP(Table9[[#This Row],[Date]],'DB Details'!$A:$Q,12)=0,"",VLOOKUP(Table9[[#This Row],[Date]],'DB Details'!$A:$Q,12))</f>
        <v/>
      </c>
      <c r="C106" s="54">
        <f>Table9[[#This Row],[ISM Services]]-B105</f>
        <v/>
      </c>
    </row>
    <row r="107">
      <c r="A107" s="53" t="n">
        <v>38687</v>
      </c>
      <c r="B107" s="54">
        <f>IF(VLOOKUP(Table9[[#This Row],[Date]],'DB Details'!$A:$Q,12)=0,"",VLOOKUP(Table9[[#This Row],[Date]],'DB Details'!$A:$Q,12))</f>
        <v/>
      </c>
      <c r="C107" s="54">
        <f>Table9[[#This Row],[ISM Services]]-B106</f>
        <v/>
      </c>
    </row>
    <row r="108">
      <c r="A108" s="53" t="n">
        <v>38718</v>
      </c>
      <c r="B108" s="54">
        <f>IF(VLOOKUP(Table9[[#This Row],[Date]],'DB Details'!$A:$Q,12)=0,"",VLOOKUP(Table9[[#This Row],[Date]],'DB Details'!$A:$Q,12))</f>
        <v/>
      </c>
      <c r="C108" s="54">
        <f>Table9[[#This Row],[ISM Services]]-B107</f>
        <v/>
      </c>
    </row>
    <row r="109">
      <c r="A109" s="53" t="n">
        <v>38749</v>
      </c>
      <c r="B109" s="54">
        <f>IF(VLOOKUP(Table9[[#This Row],[Date]],'DB Details'!$A:$Q,12)=0,"",VLOOKUP(Table9[[#This Row],[Date]],'DB Details'!$A:$Q,12))</f>
        <v/>
      </c>
      <c r="C109" s="54">
        <f>Table9[[#This Row],[ISM Services]]-B108</f>
        <v/>
      </c>
    </row>
    <row r="110">
      <c r="A110" s="53" t="n">
        <v>38777</v>
      </c>
      <c r="B110" s="54">
        <f>IF(VLOOKUP(Table9[[#This Row],[Date]],'DB Details'!$A:$Q,12)=0,"",VLOOKUP(Table9[[#This Row],[Date]],'DB Details'!$A:$Q,12))</f>
        <v/>
      </c>
      <c r="C110" s="54">
        <f>Table9[[#This Row],[ISM Services]]-B109</f>
        <v/>
      </c>
    </row>
    <row r="111">
      <c r="A111" s="53" t="n">
        <v>38808</v>
      </c>
      <c r="B111" s="54">
        <f>IF(VLOOKUP(Table9[[#This Row],[Date]],'DB Details'!$A:$Q,12)=0,"",VLOOKUP(Table9[[#This Row],[Date]],'DB Details'!$A:$Q,12))</f>
        <v/>
      </c>
      <c r="C111" s="54">
        <f>Table9[[#This Row],[ISM Services]]-B110</f>
        <v/>
      </c>
    </row>
    <row r="112">
      <c r="A112" s="53" t="n">
        <v>38838</v>
      </c>
      <c r="B112" s="54">
        <f>IF(VLOOKUP(Table9[[#This Row],[Date]],'DB Details'!$A:$Q,12)=0,"",VLOOKUP(Table9[[#This Row],[Date]],'DB Details'!$A:$Q,12))</f>
        <v/>
      </c>
      <c r="C112" s="54">
        <f>Table9[[#This Row],[ISM Services]]-B111</f>
        <v/>
      </c>
    </row>
    <row r="113">
      <c r="A113" s="53" t="n">
        <v>38869</v>
      </c>
      <c r="B113" s="54">
        <f>IF(VLOOKUP(Table9[[#This Row],[Date]],'DB Details'!$A:$Q,12)=0,"",VLOOKUP(Table9[[#This Row],[Date]],'DB Details'!$A:$Q,12))</f>
        <v/>
      </c>
      <c r="C113" s="54">
        <f>Table9[[#This Row],[ISM Services]]-B112</f>
        <v/>
      </c>
    </row>
    <row r="114">
      <c r="A114" s="53" t="n">
        <v>38899</v>
      </c>
      <c r="B114" s="54">
        <f>IF(VLOOKUP(Table9[[#This Row],[Date]],'DB Details'!$A:$Q,12)=0,"",VLOOKUP(Table9[[#This Row],[Date]],'DB Details'!$A:$Q,12))</f>
        <v/>
      </c>
      <c r="C114" s="54">
        <f>Table9[[#This Row],[ISM Services]]-B113</f>
        <v/>
      </c>
    </row>
    <row r="115">
      <c r="A115" s="53" t="n">
        <v>38930</v>
      </c>
      <c r="B115" s="54">
        <f>IF(VLOOKUP(Table9[[#This Row],[Date]],'DB Details'!$A:$Q,12)=0,"",VLOOKUP(Table9[[#This Row],[Date]],'DB Details'!$A:$Q,12))</f>
        <v/>
      </c>
      <c r="C115" s="54">
        <f>Table9[[#This Row],[ISM Services]]-B114</f>
        <v/>
      </c>
    </row>
    <row r="116">
      <c r="A116" s="53" t="n">
        <v>38961</v>
      </c>
      <c r="B116" s="54">
        <f>IF(VLOOKUP(Table9[[#This Row],[Date]],'DB Details'!$A:$Q,12)=0,"",VLOOKUP(Table9[[#This Row],[Date]],'DB Details'!$A:$Q,12))</f>
        <v/>
      </c>
      <c r="C116" s="54">
        <f>Table9[[#This Row],[ISM Services]]-B115</f>
        <v/>
      </c>
    </row>
    <row r="117">
      <c r="A117" s="53" t="n">
        <v>38991</v>
      </c>
      <c r="B117" s="54">
        <f>IF(VLOOKUP(Table9[[#This Row],[Date]],'DB Details'!$A:$Q,12)=0,"",VLOOKUP(Table9[[#This Row],[Date]],'DB Details'!$A:$Q,12))</f>
        <v/>
      </c>
      <c r="C117" s="54">
        <f>Table9[[#This Row],[ISM Services]]-B116</f>
        <v/>
      </c>
    </row>
    <row r="118">
      <c r="A118" s="53" t="n">
        <v>39022</v>
      </c>
      <c r="B118" s="54">
        <f>IF(VLOOKUP(Table9[[#This Row],[Date]],'DB Details'!$A:$Q,12)=0,"",VLOOKUP(Table9[[#This Row],[Date]],'DB Details'!$A:$Q,12))</f>
        <v/>
      </c>
      <c r="C118" s="54">
        <f>Table9[[#This Row],[ISM Services]]-B117</f>
        <v/>
      </c>
    </row>
    <row r="119">
      <c r="A119" s="53" t="n">
        <v>39052</v>
      </c>
      <c r="B119" s="54">
        <f>IF(VLOOKUP(Table9[[#This Row],[Date]],'DB Details'!$A:$Q,12)=0,"",VLOOKUP(Table9[[#This Row],[Date]],'DB Details'!$A:$Q,12))</f>
        <v/>
      </c>
      <c r="C119" s="54">
        <f>Table9[[#This Row],[ISM Services]]-B118</f>
        <v/>
      </c>
    </row>
    <row r="120">
      <c r="A120" s="53" t="n">
        <v>39083</v>
      </c>
      <c r="B120" s="54">
        <f>IF(VLOOKUP(Table9[[#This Row],[Date]],'DB Details'!$A:$Q,12)=0,"",VLOOKUP(Table9[[#This Row],[Date]],'DB Details'!$A:$Q,12))</f>
        <v/>
      </c>
      <c r="C120" s="54">
        <f>Table9[[#This Row],[ISM Services]]-B119</f>
        <v/>
      </c>
    </row>
    <row r="121">
      <c r="A121" s="53" t="n">
        <v>39114</v>
      </c>
      <c r="B121" s="54">
        <f>IF(VLOOKUP(Table9[[#This Row],[Date]],'DB Details'!$A:$Q,12)=0,"",VLOOKUP(Table9[[#This Row],[Date]],'DB Details'!$A:$Q,12))</f>
        <v/>
      </c>
      <c r="C121" s="54">
        <f>Table9[[#This Row],[ISM Services]]-B120</f>
        <v/>
      </c>
    </row>
    <row r="122">
      <c r="A122" s="53" t="n">
        <v>39142</v>
      </c>
      <c r="B122" s="54">
        <f>IF(VLOOKUP(Table9[[#This Row],[Date]],'DB Details'!$A:$Q,12)=0,"",VLOOKUP(Table9[[#This Row],[Date]],'DB Details'!$A:$Q,12))</f>
        <v/>
      </c>
      <c r="C122" s="54">
        <f>Table9[[#This Row],[ISM Services]]-B121</f>
        <v/>
      </c>
    </row>
    <row r="123">
      <c r="A123" s="53" t="n">
        <v>39173</v>
      </c>
      <c r="B123" s="54">
        <f>IF(VLOOKUP(Table9[[#This Row],[Date]],'DB Details'!$A:$Q,12)=0,"",VLOOKUP(Table9[[#This Row],[Date]],'DB Details'!$A:$Q,12))</f>
        <v/>
      </c>
      <c r="C123" s="54">
        <f>Table9[[#This Row],[ISM Services]]-B122</f>
        <v/>
      </c>
    </row>
    <row r="124">
      <c r="A124" s="53" t="n">
        <v>39203</v>
      </c>
      <c r="B124" s="54">
        <f>IF(VLOOKUP(Table9[[#This Row],[Date]],'DB Details'!$A:$Q,12)=0,"",VLOOKUP(Table9[[#This Row],[Date]],'DB Details'!$A:$Q,12))</f>
        <v/>
      </c>
      <c r="C124" s="54">
        <f>Table9[[#This Row],[ISM Services]]-B123</f>
        <v/>
      </c>
    </row>
    <row r="125">
      <c r="A125" s="53" t="n">
        <v>39234</v>
      </c>
      <c r="B125" s="54">
        <f>IF(VLOOKUP(Table9[[#This Row],[Date]],'DB Details'!$A:$Q,12)=0,"",VLOOKUP(Table9[[#This Row],[Date]],'DB Details'!$A:$Q,12))</f>
        <v/>
      </c>
      <c r="C125" s="54">
        <f>Table9[[#This Row],[ISM Services]]-B124</f>
        <v/>
      </c>
    </row>
    <row r="126">
      <c r="A126" s="53" t="n">
        <v>39264</v>
      </c>
      <c r="B126" s="54">
        <f>IF(VLOOKUP(Table9[[#This Row],[Date]],'DB Details'!$A:$Q,12)=0,"",VLOOKUP(Table9[[#This Row],[Date]],'DB Details'!$A:$Q,12))</f>
        <v/>
      </c>
      <c r="C126" s="54">
        <f>Table9[[#This Row],[ISM Services]]-B125</f>
        <v/>
      </c>
    </row>
    <row r="127">
      <c r="A127" s="53" t="n">
        <v>39295</v>
      </c>
      <c r="B127" s="54">
        <f>IF(VLOOKUP(Table9[[#This Row],[Date]],'DB Details'!$A:$Q,12)=0,"",VLOOKUP(Table9[[#This Row],[Date]],'DB Details'!$A:$Q,12))</f>
        <v/>
      </c>
      <c r="C127" s="54">
        <f>Table9[[#This Row],[ISM Services]]-B126</f>
        <v/>
      </c>
    </row>
    <row r="128">
      <c r="A128" s="53" t="n">
        <v>39326</v>
      </c>
      <c r="B128" s="54">
        <f>IF(VLOOKUP(Table9[[#This Row],[Date]],'DB Details'!$A:$Q,12)=0,"",VLOOKUP(Table9[[#This Row],[Date]],'DB Details'!$A:$Q,12))</f>
        <v/>
      </c>
      <c r="C128" s="54">
        <f>Table9[[#This Row],[ISM Services]]-B127</f>
        <v/>
      </c>
    </row>
    <row r="129">
      <c r="A129" s="53" t="n">
        <v>39356</v>
      </c>
      <c r="B129" s="54">
        <f>IF(VLOOKUP(Table9[[#This Row],[Date]],'DB Details'!$A:$Q,12)=0,"",VLOOKUP(Table9[[#This Row],[Date]],'DB Details'!$A:$Q,12))</f>
        <v/>
      </c>
      <c r="C129" s="54">
        <f>Table9[[#This Row],[ISM Services]]-B128</f>
        <v/>
      </c>
    </row>
    <row r="130">
      <c r="A130" s="53" t="n">
        <v>39387</v>
      </c>
      <c r="B130" s="54">
        <f>IF(VLOOKUP(Table9[[#This Row],[Date]],'DB Details'!$A:$Q,12)=0,"",VLOOKUP(Table9[[#This Row],[Date]],'DB Details'!$A:$Q,12))</f>
        <v/>
      </c>
      <c r="C130" s="54">
        <f>Table9[[#This Row],[ISM Services]]-B129</f>
        <v/>
      </c>
    </row>
    <row r="131">
      <c r="A131" s="53" t="n">
        <v>39417</v>
      </c>
      <c r="B131" s="54">
        <f>IF(VLOOKUP(Table9[[#This Row],[Date]],'DB Details'!$A:$Q,12)=0,"",VLOOKUP(Table9[[#This Row],[Date]],'DB Details'!$A:$Q,12))</f>
        <v/>
      </c>
      <c r="C131" s="54">
        <f>Table9[[#This Row],[ISM Services]]-B130</f>
        <v/>
      </c>
    </row>
    <row r="132">
      <c r="A132" s="53" t="n">
        <v>39448</v>
      </c>
      <c r="B132" s="54">
        <f>IF(VLOOKUP(Table9[[#This Row],[Date]],'DB Details'!$A:$Q,12)=0,"",VLOOKUP(Table9[[#This Row],[Date]],'DB Details'!$A:$Q,12))</f>
        <v/>
      </c>
      <c r="C132" s="54">
        <f>Table9[[#This Row],[ISM Services]]-B131</f>
        <v/>
      </c>
    </row>
    <row r="133">
      <c r="A133" s="53" t="n">
        <v>39479</v>
      </c>
      <c r="B133" s="54">
        <f>IF(VLOOKUP(Table9[[#This Row],[Date]],'DB Details'!$A:$Q,12)=0,"",VLOOKUP(Table9[[#This Row],[Date]],'DB Details'!$A:$Q,12))</f>
        <v/>
      </c>
      <c r="C133" s="54">
        <f>Table9[[#This Row],[ISM Services]]-B132</f>
        <v/>
      </c>
    </row>
    <row r="134">
      <c r="A134" s="53" t="n">
        <v>39508</v>
      </c>
      <c r="B134" s="54">
        <f>IF(VLOOKUP(Table9[[#This Row],[Date]],'DB Details'!$A:$Q,12)=0,"",VLOOKUP(Table9[[#This Row],[Date]],'DB Details'!$A:$Q,12))</f>
        <v/>
      </c>
      <c r="C134" s="54">
        <f>Table9[[#This Row],[ISM Services]]-B133</f>
        <v/>
      </c>
    </row>
    <row r="135">
      <c r="A135" s="53" t="n">
        <v>39539</v>
      </c>
      <c r="B135" s="54">
        <f>IF(VLOOKUP(Table9[[#This Row],[Date]],'DB Details'!$A:$Q,12)=0,"",VLOOKUP(Table9[[#This Row],[Date]],'DB Details'!$A:$Q,12))</f>
        <v/>
      </c>
      <c r="C135" s="54">
        <f>Table9[[#This Row],[ISM Services]]-B134</f>
        <v/>
      </c>
    </row>
    <row r="136">
      <c r="A136" s="53" t="n">
        <v>39569</v>
      </c>
      <c r="B136" s="54">
        <f>IF(VLOOKUP(Table9[[#This Row],[Date]],'DB Details'!$A:$Q,12)=0,"",VLOOKUP(Table9[[#This Row],[Date]],'DB Details'!$A:$Q,12))</f>
        <v/>
      </c>
      <c r="C136" s="54">
        <f>Table9[[#This Row],[ISM Services]]-B135</f>
        <v/>
      </c>
    </row>
    <row r="137">
      <c r="A137" s="53" t="n">
        <v>39600</v>
      </c>
      <c r="B137" s="54">
        <f>IF(VLOOKUP(Table9[[#This Row],[Date]],'DB Details'!$A:$Q,12)=0,"",VLOOKUP(Table9[[#This Row],[Date]],'DB Details'!$A:$Q,12))</f>
        <v/>
      </c>
      <c r="C137" s="54">
        <f>Table9[[#This Row],[ISM Services]]-B136</f>
        <v/>
      </c>
    </row>
    <row r="138">
      <c r="A138" s="53" t="n">
        <v>39630</v>
      </c>
      <c r="B138" s="54">
        <f>IF(VLOOKUP(Table9[[#This Row],[Date]],'DB Details'!$A:$Q,12)=0,"",VLOOKUP(Table9[[#This Row],[Date]],'DB Details'!$A:$Q,12))</f>
        <v/>
      </c>
      <c r="C138" s="54">
        <f>Table9[[#This Row],[ISM Services]]-B137</f>
        <v/>
      </c>
    </row>
    <row r="139">
      <c r="A139" s="53" t="n">
        <v>39661</v>
      </c>
      <c r="B139" s="54">
        <f>IF(VLOOKUP(Table9[[#This Row],[Date]],'DB Details'!$A:$Q,12)=0,"",VLOOKUP(Table9[[#This Row],[Date]],'DB Details'!$A:$Q,12))</f>
        <v/>
      </c>
      <c r="C139" s="54">
        <f>Table9[[#This Row],[ISM Services]]-B138</f>
        <v/>
      </c>
    </row>
    <row r="140">
      <c r="A140" s="53" t="n">
        <v>39692</v>
      </c>
      <c r="B140" s="54">
        <f>IF(VLOOKUP(Table9[[#This Row],[Date]],'DB Details'!$A:$Q,12)=0,"",VLOOKUP(Table9[[#This Row],[Date]],'DB Details'!$A:$Q,12))</f>
        <v/>
      </c>
      <c r="C140" s="54">
        <f>Table9[[#This Row],[ISM Services]]-B139</f>
        <v/>
      </c>
    </row>
    <row r="141">
      <c r="A141" s="53" t="n">
        <v>39722</v>
      </c>
      <c r="B141" s="54">
        <f>IF(VLOOKUP(Table9[[#This Row],[Date]],'DB Details'!$A:$Q,12)=0,"",VLOOKUP(Table9[[#This Row],[Date]],'DB Details'!$A:$Q,12))</f>
        <v/>
      </c>
      <c r="C141" s="54">
        <f>Table9[[#This Row],[ISM Services]]-B140</f>
        <v/>
      </c>
    </row>
    <row r="142">
      <c r="A142" s="53" t="n">
        <v>39753</v>
      </c>
      <c r="B142" s="54">
        <f>IF(VLOOKUP(Table9[[#This Row],[Date]],'DB Details'!$A:$Q,12)=0,"",VLOOKUP(Table9[[#This Row],[Date]],'DB Details'!$A:$Q,12))</f>
        <v/>
      </c>
      <c r="C142" s="54">
        <f>Table9[[#This Row],[ISM Services]]-B141</f>
        <v/>
      </c>
    </row>
    <row r="143">
      <c r="A143" s="53" t="n">
        <v>39783</v>
      </c>
      <c r="B143" s="54">
        <f>IF(VLOOKUP(Table9[[#This Row],[Date]],'DB Details'!$A:$Q,12)=0,"",VLOOKUP(Table9[[#This Row],[Date]],'DB Details'!$A:$Q,12))</f>
        <v/>
      </c>
      <c r="C143" s="54">
        <f>Table9[[#This Row],[ISM Services]]-B142</f>
        <v/>
      </c>
    </row>
    <row r="144">
      <c r="A144" s="53" t="n">
        <v>39814</v>
      </c>
      <c r="B144" s="54">
        <f>IF(VLOOKUP(Table9[[#This Row],[Date]],'DB Details'!$A:$Q,12)=0,"",VLOOKUP(Table9[[#This Row],[Date]],'DB Details'!$A:$Q,12))</f>
        <v/>
      </c>
      <c r="C144" s="54">
        <f>Table9[[#This Row],[ISM Services]]-B143</f>
        <v/>
      </c>
    </row>
    <row r="145">
      <c r="A145" s="53" t="n">
        <v>39845</v>
      </c>
      <c r="B145" s="54">
        <f>IF(VLOOKUP(Table9[[#This Row],[Date]],'DB Details'!$A:$Q,12)=0,"",VLOOKUP(Table9[[#This Row],[Date]],'DB Details'!$A:$Q,12))</f>
        <v/>
      </c>
      <c r="C145" s="54">
        <f>Table9[[#This Row],[ISM Services]]-B144</f>
        <v/>
      </c>
    </row>
    <row r="146">
      <c r="A146" s="53" t="n">
        <v>39873</v>
      </c>
      <c r="B146" s="54">
        <f>IF(VLOOKUP(Table9[[#This Row],[Date]],'DB Details'!$A:$Q,12)=0,"",VLOOKUP(Table9[[#This Row],[Date]],'DB Details'!$A:$Q,12))</f>
        <v/>
      </c>
      <c r="C146" s="54">
        <f>Table9[[#This Row],[ISM Services]]-B145</f>
        <v/>
      </c>
    </row>
    <row r="147">
      <c r="A147" s="53" t="n">
        <v>39904</v>
      </c>
      <c r="B147" s="54">
        <f>IF(VLOOKUP(Table9[[#This Row],[Date]],'DB Details'!$A:$Q,12)=0,"",VLOOKUP(Table9[[#This Row],[Date]],'DB Details'!$A:$Q,12))</f>
        <v/>
      </c>
      <c r="C147" s="54">
        <f>Table9[[#This Row],[ISM Services]]-B146</f>
        <v/>
      </c>
    </row>
    <row r="148">
      <c r="A148" s="53" t="n">
        <v>39934</v>
      </c>
      <c r="B148" s="54">
        <f>IF(VLOOKUP(Table9[[#This Row],[Date]],'DB Details'!$A:$Q,12)=0,"",VLOOKUP(Table9[[#This Row],[Date]],'DB Details'!$A:$Q,12))</f>
        <v/>
      </c>
      <c r="C148" s="54">
        <f>Table9[[#This Row],[ISM Services]]-B147</f>
        <v/>
      </c>
    </row>
    <row r="149">
      <c r="A149" s="53" t="n">
        <v>39965</v>
      </c>
      <c r="B149" s="54">
        <f>IF(VLOOKUP(Table9[[#This Row],[Date]],'DB Details'!$A:$Q,12)=0,"",VLOOKUP(Table9[[#This Row],[Date]],'DB Details'!$A:$Q,12))</f>
        <v/>
      </c>
      <c r="C149" s="54">
        <f>Table9[[#This Row],[ISM Services]]-B148</f>
        <v/>
      </c>
    </row>
    <row r="150">
      <c r="A150" s="53" t="n">
        <v>39995</v>
      </c>
      <c r="B150" s="54">
        <f>IF(VLOOKUP(Table9[[#This Row],[Date]],'DB Details'!$A:$Q,12)=0,"",VLOOKUP(Table9[[#This Row],[Date]],'DB Details'!$A:$Q,12))</f>
        <v/>
      </c>
      <c r="C150" s="54">
        <f>Table9[[#This Row],[ISM Services]]-B149</f>
        <v/>
      </c>
    </row>
    <row r="151">
      <c r="A151" s="53" t="n">
        <v>40026</v>
      </c>
      <c r="B151" s="54">
        <f>IF(VLOOKUP(Table9[[#This Row],[Date]],'DB Details'!$A:$Q,12)=0,"",VLOOKUP(Table9[[#This Row],[Date]],'DB Details'!$A:$Q,12))</f>
        <v/>
      </c>
      <c r="C151" s="54">
        <f>Table9[[#This Row],[ISM Services]]-B150</f>
        <v/>
      </c>
    </row>
    <row r="152">
      <c r="A152" s="53" t="n">
        <v>40057</v>
      </c>
      <c r="B152" s="54">
        <f>IF(VLOOKUP(Table9[[#This Row],[Date]],'DB Details'!$A:$Q,12)=0,"",VLOOKUP(Table9[[#This Row],[Date]],'DB Details'!$A:$Q,12))</f>
        <v/>
      </c>
      <c r="C152" s="54">
        <f>Table9[[#This Row],[ISM Services]]-B151</f>
        <v/>
      </c>
    </row>
    <row r="153">
      <c r="A153" s="53" t="n">
        <v>40087</v>
      </c>
      <c r="B153" s="54">
        <f>IF(VLOOKUP(Table9[[#This Row],[Date]],'DB Details'!$A:$Q,12)=0,"",VLOOKUP(Table9[[#This Row],[Date]],'DB Details'!$A:$Q,12))</f>
        <v/>
      </c>
      <c r="C153" s="54">
        <f>Table9[[#This Row],[ISM Services]]-B152</f>
        <v/>
      </c>
    </row>
    <row r="154">
      <c r="A154" s="53" t="n">
        <v>40118</v>
      </c>
      <c r="B154" s="54">
        <f>IF(VLOOKUP(Table9[[#This Row],[Date]],'DB Details'!$A:$Q,12)=0,"",VLOOKUP(Table9[[#This Row],[Date]],'DB Details'!$A:$Q,12))</f>
        <v/>
      </c>
      <c r="C154" s="54">
        <f>Table9[[#This Row],[ISM Services]]-B153</f>
        <v/>
      </c>
    </row>
    <row r="155">
      <c r="A155" s="53" t="n">
        <v>40148</v>
      </c>
      <c r="B155" s="54">
        <f>IF(VLOOKUP(Table9[[#This Row],[Date]],'DB Details'!$A:$Q,12)=0,"",VLOOKUP(Table9[[#This Row],[Date]],'DB Details'!$A:$Q,12))</f>
        <v/>
      </c>
      <c r="C155" s="54">
        <f>Table9[[#This Row],[ISM Services]]-B154</f>
        <v/>
      </c>
    </row>
    <row r="156">
      <c r="A156" s="53" t="n">
        <v>40179</v>
      </c>
      <c r="B156" s="54">
        <f>IF(VLOOKUP(Table9[[#This Row],[Date]],'DB Details'!$A:$Q,12)=0,"",VLOOKUP(Table9[[#This Row],[Date]],'DB Details'!$A:$Q,12))</f>
        <v/>
      </c>
      <c r="C156" s="54">
        <f>Table9[[#This Row],[ISM Services]]-B155</f>
        <v/>
      </c>
    </row>
    <row r="157">
      <c r="A157" s="53" t="n">
        <v>40210</v>
      </c>
      <c r="B157" s="54">
        <f>IF(VLOOKUP(Table9[[#This Row],[Date]],'DB Details'!$A:$Q,12)=0,"",VLOOKUP(Table9[[#This Row],[Date]],'DB Details'!$A:$Q,12))</f>
        <v/>
      </c>
      <c r="C157" s="54">
        <f>Table9[[#This Row],[ISM Services]]-B156</f>
        <v/>
      </c>
    </row>
    <row r="158">
      <c r="A158" s="53" t="n">
        <v>40238</v>
      </c>
      <c r="B158" s="54">
        <f>IF(VLOOKUP(Table9[[#This Row],[Date]],'DB Details'!$A:$Q,12)=0,"",VLOOKUP(Table9[[#This Row],[Date]],'DB Details'!$A:$Q,12))</f>
        <v/>
      </c>
      <c r="C158" s="54">
        <f>Table9[[#This Row],[ISM Services]]-B157</f>
        <v/>
      </c>
    </row>
    <row r="159">
      <c r="A159" s="53" t="n">
        <v>40269</v>
      </c>
      <c r="B159" s="54">
        <f>IF(VLOOKUP(Table9[[#This Row],[Date]],'DB Details'!$A:$Q,12)=0,"",VLOOKUP(Table9[[#This Row],[Date]],'DB Details'!$A:$Q,12))</f>
        <v/>
      </c>
      <c r="C159" s="54">
        <f>Table9[[#This Row],[ISM Services]]-B158</f>
        <v/>
      </c>
    </row>
    <row r="160">
      <c r="A160" s="53" t="n">
        <v>40299</v>
      </c>
      <c r="B160" s="54">
        <f>IF(VLOOKUP(Table9[[#This Row],[Date]],'DB Details'!$A:$Q,12)=0,"",VLOOKUP(Table9[[#This Row],[Date]],'DB Details'!$A:$Q,12))</f>
        <v/>
      </c>
      <c r="C160" s="54">
        <f>Table9[[#This Row],[ISM Services]]-B159</f>
        <v/>
      </c>
    </row>
    <row r="161">
      <c r="A161" s="53" t="n">
        <v>40330</v>
      </c>
      <c r="B161" s="54">
        <f>IF(VLOOKUP(Table9[[#This Row],[Date]],'DB Details'!$A:$Q,12)=0,"",VLOOKUP(Table9[[#This Row],[Date]],'DB Details'!$A:$Q,12))</f>
        <v/>
      </c>
      <c r="C161" s="54">
        <f>Table9[[#This Row],[ISM Services]]-B160</f>
        <v/>
      </c>
    </row>
    <row r="162">
      <c r="A162" s="53" t="n">
        <v>40360</v>
      </c>
      <c r="B162" s="54">
        <f>IF(VLOOKUP(Table9[[#This Row],[Date]],'DB Details'!$A:$Q,12)=0,"",VLOOKUP(Table9[[#This Row],[Date]],'DB Details'!$A:$Q,12))</f>
        <v/>
      </c>
      <c r="C162" s="54">
        <f>Table9[[#This Row],[ISM Services]]-B161</f>
        <v/>
      </c>
    </row>
    <row r="163">
      <c r="A163" s="53" t="n">
        <v>40391</v>
      </c>
      <c r="B163" s="54">
        <f>IF(VLOOKUP(Table9[[#This Row],[Date]],'DB Details'!$A:$Q,12)=0,"",VLOOKUP(Table9[[#This Row],[Date]],'DB Details'!$A:$Q,12))</f>
        <v/>
      </c>
      <c r="C163" s="54">
        <f>Table9[[#This Row],[ISM Services]]-B162</f>
        <v/>
      </c>
    </row>
    <row r="164">
      <c r="A164" s="53" t="n">
        <v>40422</v>
      </c>
      <c r="B164" s="54">
        <f>IF(VLOOKUP(Table9[[#This Row],[Date]],'DB Details'!$A:$Q,12)=0,"",VLOOKUP(Table9[[#This Row],[Date]],'DB Details'!$A:$Q,12))</f>
        <v/>
      </c>
      <c r="C164" s="54">
        <f>Table9[[#This Row],[ISM Services]]-B163</f>
        <v/>
      </c>
    </row>
    <row r="165">
      <c r="A165" s="53" t="n">
        <v>40452</v>
      </c>
      <c r="B165" s="54">
        <f>IF(VLOOKUP(Table9[[#This Row],[Date]],'DB Details'!$A:$Q,12)=0,"",VLOOKUP(Table9[[#This Row],[Date]],'DB Details'!$A:$Q,12))</f>
        <v/>
      </c>
      <c r="C165" s="54">
        <f>Table9[[#This Row],[ISM Services]]-B164</f>
        <v/>
      </c>
    </row>
    <row r="166">
      <c r="A166" s="53" t="n">
        <v>40483</v>
      </c>
      <c r="B166" s="54">
        <f>IF(VLOOKUP(Table9[[#This Row],[Date]],'DB Details'!$A:$Q,12)=0,"",VLOOKUP(Table9[[#This Row],[Date]],'DB Details'!$A:$Q,12))</f>
        <v/>
      </c>
      <c r="C166" s="54">
        <f>Table9[[#This Row],[ISM Services]]-B165</f>
        <v/>
      </c>
    </row>
    <row r="167">
      <c r="A167" s="53" t="n">
        <v>40513</v>
      </c>
      <c r="B167" s="54">
        <f>IF(VLOOKUP(Table9[[#This Row],[Date]],'DB Details'!$A:$Q,12)=0,"",VLOOKUP(Table9[[#This Row],[Date]],'DB Details'!$A:$Q,12))</f>
        <v/>
      </c>
      <c r="C167" s="54">
        <f>Table9[[#This Row],[ISM Services]]-B166</f>
        <v/>
      </c>
    </row>
    <row r="168">
      <c r="A168" s="53" t="n">
        <v>40544</v>
      </c>
      <c r="B168" s="54">
        <f>IF(VLOOKUP(Table9[[#This Row],[Date]],'DB Details'!$A:$Q,12)=0,"",VLOOKUP(Table9[[#This Row],[Date]],'DB Details'!$A:$Q,12))</f>
        <v/>
      </c>
      <c r="C168" s="54">
        <f>Table9[[#This Row],[ISM Services]]-B167</f>
        <v/>
      </c>
    </row>
    <row r="169">
      <c r="A169" s="53" t="n">
        <v>40575</v>
      </c>
      <c r="B169" s="54">
        <f>IF(VLOOKUP(Table9[[#This Row],[Date]],'DB Details'!$A:$Q,12)=0,"",VLOOKUP(Table9[[#This Row],[Date]],'DB Details'!$A:$Q,12))</f>
        <v/>
      </c>
      <c r="C169" s="54">
        <f>Table9[[#This Row],[ISM Services]]-B168</f>
        <v/>
      </c>
    </row>
    <row r="170">
      <c r="A170" s="53" t="n">
        <v>40603</v>
      </c>
      <c r="B170" s="54">
        <f>IF(VLOOKUP(Table9[[#This Row],[Date]],'DB Details'!$A:$Q,12)=0,"",VLOOKUP(Table9[[#This Row],[Date]],'DB Details'!$A:$Q,12))</f>
        <v/>
      </c>
      <c r="C170" s="54">
        <f>Table9[[#This Row],[ISM Services]]-B169</f>
        <v/>
      </c>
    </row>
    <row r="171">
      <c r="A171" s="53" t="n">
        <v>40634</v>
      </c>
      <c r="B171" s="54">
        <f>IF(VLOOKUP(Table9[[#This Row],[Date]],'DB Details'!$A:$Q,12)=0,"",VLOOKUP(Table9[[#This Row],[Date]],'DB Details'!$A:$Q,12))</f>
        <v/>
      </c>
      <c r="C171" s="54">
        <f>Table9[[#This Row],[ISM Services]]-B170</f>
        <v/>
      </c>
    </row>
    <row r="172">
      <c r="A172" s="53" t="n">
        <v>40664</v>
      </c>
      <c r="B172" s="54">
        <f>IF(VLOOKUP(Table9[[#This Row],[Date]],'DB Details'!$A:$Q,12)=0,"",VLOOKUP(Table9[[#This Row],[Date]],'DB Details'!$A:$Q,12))</f>
        <v/>
      </c>
      <c r="C172" s="54">
        <f>Table9[[#This Row],[ISM Services]]-B171</f>
        <v/>
      </c>
    </row>
    <row r="173">
      <c r="A173" s="53" t="n">
        <v>40695</v>
      </c>
      <c r="B173" s="54">
        <f>IF(VLOOKUP(Table9[[#This Row],[Date]],'DB Details'!$A:$Q,12)=0,"",VLOOKUP(Table9[[#This Row],[Date]],'DB Details'!$A:$Q,12))</f>
        <v/>
      </c>
      <c r="C173" s="54">
        <f>Table9[[#This Row],[ISM Services]]-B172</f>
        <v/>
      </c>
    </row>
    <row r="174">
      <c r="A174" s="53" t="n">
        <v>40725</v>
      </c>
      <c r="B174" s="54">
        <f>IF(VLOOKUP(Table9[[#This Row],[Date]],'DB Details'!$A:$Q,12)=0,"",VLOOKUP(Table9[[#This Row],[Date]],'DB Details'!$A:$Q,12))</f>
        <v/>
      </c>
      <c r="C174" s="54">
        <f>Table9[[#This Row],[ISM Services]]-B173</f>
        <v/>
      </c>
    </row>
    <row r="175">
      <c r="A175" s="53" t="n">
        <v>40756</v>
      </c>
      <c r="B175" s="54">
        <f>IF(VLOOKUP(Table9[[#This Row],[Date]],'DB Details'!$A:$Q,12)=0,"",VLOOKUP(Table9[[#This Row],[Date]],'DB Details'!$A:$Q,12))</f>
        <v/>
      </c>
      <c r="C175" s="54">
        <f>Table9[[#This Row],[ISM Services]]-B174</f>
        <v/>
      </c>
    </row>
    <row r="176">
      <c r="A176" s="53" t="n">
        <v>40787</v>
      </c>
      <c r="B176" s="54">
        <f>IF(VLOOKUP(Table9[[#This Row],[Date]],'DB Details'!$A:$Q,12)=0,"",VLOOKUP(Table9[[#This Row],[Date]],'DB Details'!$A:$Q,12))</f>
        <v/>
      </c>
      <c r="C176" s="54">
        <f>Table9[[#This Row],[ISM Services]]-B175</f>
        <v/>
      </c>
    </row>
    <row r="177">
      <c r="A177" s="53" t="n">
        <v>40817</v>
      </c>
      <c r="B177" s="54">
        <f>IF(VLOOKUP(Table9[[#This Row],[Date]],'DB Details'!$A:$Q,12)=0,"",VLOOKUP(Table9[[#This Row],[Date]],'DB Details'!$A:$Q,12))</f>
        <v/>
      </c>
      <c r="C177" s="54">
        <f>Table9[[#This Row],[ISM Services]]-B176</f>
        <v/>
      </c>
    </row>
    <row r="178">
      <c r="A178" s="53" t="n">
        <v>40848</v>
      </c>
      <c r="B178" s="54">
        <f>IF(VLOOKUP(Table9[[#This Row],[Date]],'DB Details'!$A:$Q,12)=0,"",VLOOKUP(Table9[[#This Row],[Date]],'DB Details'!$A:$Q,12))</f>
        <v/>
      </c>
      <c r="C178" s="54">
        <f>Table9[[#This Row],[ISM Services]]-B177</f>
        <v/>
      </c>
    </row>
    <row r="179">
      <c r="A179" s="53" t="n">
        <v>40878</v>
      </c>
      <c r="B179" s="54">
        <f>IF(VLOOKUP(Table9[[#This Row],[Date]],'DB Details'!$A:$Q,12)=0,"",VLOOKUP(Table9[[#This Row],[Date]],'DB Details'!$A:$Q,12))</f>
        <v/>
      </c>
      <c r="C179" s="54">
        <f>Table9[[#This Row],[ISM Services]]-B178</f>
        <v/>
      </c>
    </row>
    <row r="180">
      <c r="A180" s="53" t="n">
        <v>40909</v>
      </c>
      <c r="B180" s="54">
        <f>IF(VLOOKUP(Table9[[#This Row],[Date]],'DB Details'!$A:$Q,12)=0,"",VLOOKUP(Table9[[#This Row],[Date]],'DB Details'!$A:$Q,12))</f>
        <v/>
      </c>
      <c r="C180" s="54">
        <f>Table9[[#This Row],[ISM Services]]-B179</f>
        <v/>
      </c>
    </row>
    <row r="181">
      <c r="A181" s="53" t="n">
        <v>40940</v>
      </c>
      <c r="B181" s="54">
        <f>IF(VLOOKUP(Table9[[#This Row],[Date]],'DB Details'!$A:$Q,12)=0,"",VLOOKUP(Table9[[#This Row],[Date]],'DB Details'!$A:$Q,12))</f>
        <v/>
      </c>
      <c r="C181" s="54">
        <f>Table9[[#This Row],[ISM Services]]-B180</f>
        <v/>
      </c>
    </row>
    <row r="182">
      <c r="A182" s="53" t="n">
        <v>40969</v>
      </c>
      <c r="B182" s="54">
        <f>IF(VLOOKUP(Table9[[#This Row],[Date]],'DB Details'!$A:$Q,12)=0,"",VLOOKUP(Table9[[#This Row],[Date]],'DB Details'!$A:$Q,12))</f>
        <v/>
      </c>
      <c r="C182" s="54">
        <f>Table9[[#This Row],[ISM Services]]-B181</f>
        <v/>
      </c>
    </row>
    <row r="183">
      <c r="A183" s="53" t="n">
        <v>41000</v>
      </c>
      <c r="B183" s="54">
        <f>IF(VLOOKUP(Table9[[#This Row],[Date]],'DB Details'!$A:$Q,12)=0,"",VLOOKUP(Table9[[#This Row],[Date]],'DB Details'!$A:$Q,12))</f>
        <v/>
      </c>
      <c r="C183" s="54">
        <f>Table9[[#This Row],[ISM Services]]-B182</f>
        <v/>
      </c>
    </row>
    <row r="184">
      <c r="A184" s="53" t="n">
        <v>41030</v>
      </c>
      <c r="B184" s="54">
        <f>IF(VLOOKUP(Table9[[#This Row],[Date]],'DB Details'!$A:$Q,12)=0,"",VLOOKUP(Table9[[#This Row],[Date]],'DB Details'!$A:$Q,12))</f>
        <v/>
      </c>
      <c r="C184" s="54">
        <f>Table9[[#This Row],[ISM Services]]-B183</f>
        <v/>
      </c>
    </row>
    <row r="185">
      <c r="A185" s="53" t="n">
        <v>41061</v>
      </c>
      <c r="B185" s="54">
        <f>IF(VLOOKUP(Table9[[#This Row],[Date]],'DB Details'!$A:$Q,12)=0,"",VLOOKUP(Table9[[#This Row],[Date]],'DB Details'!$A:$Q,12))</f>
        <v/>
      </c>
      <c r="C185" s="54">
        <f>Table9[[#This Row],[ISM Services]]-B184</f>
        <v/>
      </c>
    </row>
    <row r="186">
      <c r="A186" s="53" t="n">
        <v>41091</v>
      </c>
      <c r="B186" s="54">
        <f>IF(VLOOKUP(Table9[[#This Row],[Date]],'DB Details'!$A:$Q,12)=0,"",VLOOKUP(Table9[[#This Row],[Date]],'DB Details'!$A:$Q,12))</f>
        <v/>
      </c>
      <c r="C186" s="54">
        <f>Table9[[#This Row],[ISM Services]]-B185</f>
        <v/>
      </c>
    </row>
    <row r="187">
      <c r="A187" s="53" t="n">
        <v>41122</v>
      </c>
      <c r="B187" s="54">
        <f>IF(VLOOKUP(Table9[[#This Row],[Date]],'DB Details'!$A:$Q,12)=0,"",VLOOKUP(Table9[[#This Row],[Date]],'DB Details'!$A:$Q,12))</f>
        <v/>
      </c>
      <c r="C187" s="54">
        <f>Table9[[#This Row],[ISM Services]]-B186</f>
        <v/>
      </c>
    </row>
    <row r="188">
      <c r="A188" s="53" t="n">
        <v>41153</v>
      </c>
      <c r="B188" s="54">
        <f>IF(VLOOKUP(Table9[[#This Row],[Date]],'DB Details'!$A:$Q,12)=0,"",VLOOKUP(Table9[[#This Row],[Date]],'DB Details'!$A:$Q,12))</f>
        <v/>
      </c>
      <c r="C188" s="54">
        <f>Table9[[#This Row],[ISM Services]]-B187</f>
        <v/>
      </c>
    </row>
    <row r="189">
      <c r="A189" s="53" t="n">
        <v>41183</v>
      </c>
      <c r="B189" s="54">
        <f>IF(VLOOKUP(Table9[[#This Row],[Date]],'DB Details'!$A:$Q,12)=0,"",VLOOKUP(Table9[[#This Row],[Date]],'DB Details'!$A:$Q,12))</f>
        <v/>
      </c>
      <c r="C189" s="54">
        <f>Table9[[#This Row],[ISM Services]]-B188</f>
        <v/>
      </c>
    </row>
    <row r="190">
      <c r="A190" s="53" t="n">
        <v>41214</v>
      </c>
      <c r="B190" s="54">
        <f>IF(VLOOKUP(Table9[[#This Row],[Date]],'DB Details'!$A:$Q,12)=0,"",VLOOKUP(Table9[[#This Row],[Date]],'DB Details'!$A:$Q,12))</f>
        <v/>
      </c>
      <c r="C190" s="54">
        <f>Table9[[#This Row],[ISM Services]]-B189</f>
        <v/>
      </c>
    </row>
    <row r="191">
      <c r="A191" s="53" t="n">
        <v>41244</v>
      </c>
      <c r="B191" s="54">
        <f>IF(VLOOKUP(Table9[[#This Row],[Date]],'DB Details'!$A:$Q,12)=0,"",VLOOKUP(Table9[[#This Row],[Date]],'DB Details'!$A:$Q,12))</f>
        <v/>
      </c>
      <c r="C191" s="54">
        <f>Table9[[#This Row],[ISM Services]]-B190</f>
        <v/>
      </c>
    </row>
    <row r="192">
      <c r="A192" s="53" t="n">
        <v>41275</v>
      </c>
      <c r="B192" s="54">
        <f>IF(VLOOKUP(Table9[[#This Row],[Date]],'DB Details'!$A:$Q,12)=0,"",VLOOKUP(Table9[[#This Row],[Date]],'DB Details'!$A:$Q,12))</f>
        <v/>
      </c>
      <c r="C192" s="54">
        <f>Table9[[#This Row],[ISM Services]]-B191</f>
        <v/>
      </c>
    </row>
    <row r="193">
      <c r="A193" s="53" t="n">
        <v>41306</v>
      </c>
      <c r="B193" s="54">
        <f>IF(VLOOKUP(Table9[[#This Row],[Date]],'DB Details'!$A:$Q,12)=0,"",VLOOKUP(Table9[[#This Row],[Date]],'DB Details'!$A:$Q,12))</f>
        <v/>
      </c>
      <c r="C193" s="54">
        <f>Table9[[#This Row],[ISM Services]]-B192</f>
        <v/>
      </c>
    </row>
    <row r="194">
      <c r="A194" s="53" t="n">
        <v>41334</v>
      </c>
      <c r="B194" s="54">
        <f>IF(VLOOKUP(Table9[[#This Row],[Date]],'DB Details'!$A:$Q,12)=0,"",VLOOKUP(Table9[[#This Row],[Date]],'DB Details'!$A:$Q,12))</f>
        <v/>
      </c>
      <c r="C194" s="54">
        <f>Table9[[#This Row],[ISM Services]]-B193</f>
        <v/>
      </c>
    </row>
    <row r="195">
      <c r="A195" s="53" t="n">
        <v>41365</v>
      </c>
      <c r="B195" s="54">
        <f>IF(VLOOKUP(Table9[[#This Row],[Date]],'DB Details'!$A:$Q,12)=0,"",VLOOKUP(Table9[[#This Row],[Date]],'DB Details'!$A:$Q,12))</f>
        <v/>
      </c>
      <c r="C195" s="54">
        <f>Table9[[#This Row],[ISM Services]]-B194</f>
        <v/>
      </c>
    </row>
    <row r="196">
      <c r="A196" s="53" t="n">
        <v>41395</v>
      </c>
      <c r="B196" s="54">
        <f>IF(VLOOKUP(Table9[[#This Row],[Date]],'DB Details'!$A:$Q,12)=0,"",VLOOKUP(Table9[[#This Row],[Date]],'DB Details'!$A:$Q,12))</f>
        <v/>
      </c>
      <c r="C196" s="54">
        <f>Table9[[#This Row],[ISM Services]]-B195</f>
        <v/>
      </c>
    </row>
    <row r="197">
      <c r="A197" s="53" t="n">
        <v>41426</v>
      </c>
      <c r="B197" s="54">
        <f>IF(VLOOKUP(Table9[[#This Row],[Date]],'DB Details'!$A:$Q,12)=0,"",VLOOKUP(Table9[[#This Row],[Date]],'DB Details'!$A:$Q,12))</f>
        <v/>
      </c>
      <c r="C197" s="54">
        <f>Table9[[#This Row],[ISM Services]]-B196</f>
        <v/>
      </c>
    </row>
    <row r="198">
      <c r="A198" s="53" t="n">
        <v>41456</v>
      </c>
      <c r="B198" s="54">
        <f>IF(VLOOKUP(Table9[[#This Row],[Date]],'DB Details'!$A:$Q,12)=0,"",VLOOKUP(Table9[[#This Row],[Date]],'DB Details'!$A:$Q,12))</f>
        <v/>
      </c>
      <c r="C198" s="54">
        <f>Table9[[#This Row],[ISM Services]]-B197</f>
        <v/>
      </c>
    </row>
    <row r="199">
      <c r="A199" s="53" t="n">
        <v>41487</v>
      </c>
      <c r="B199" s="54">
        <f>IF(VLOOKUP(Table9[[#This Row],[Date]],'DB Details'!$A:$Q,12)=0,"",VLOOKUP(Table9[[#This Row],[Date]],'DB Details'!$A:$Q,12))</f>
        <v/>
      </c>
      <c r="C199" s="54">
        <f>Table9[[#This Row],[ISM Services]]-B198</f>
        <v/>
      </c>
    </row>
    <row r="200">
      <c r="A200" s="53" t="n">
        <v>41518</v>
      </c>
      <c r="B200" s="54">
        <f>IF(VLOOKUP(Table9[[#This Row],[Date]],'DB Details'!$A:$Q,12)=0,"",VLOOKUP(Table9[[#This Row],[Date]],'DB Details'!$A:$Q,12))</f>
        <v/>
      </c>
      <c r="C200" s="54">
        <f>Table9[[#This Row],[ISM Services]]-B199</f>
        <v/>
      </c>
    </row>
    <row r="201">
      <c r="A201" s="53" t="n">
        <v>41548</v>
      </c>
      <c r="B201" s="54">
        <f>IF(VLOOKUP(Table9[[#This Row],[Date]],'DB Details'!$A:$Q,12)=0,"",VLOOKUP(Table9[[#This Row],[Date]],'DB Details'!$A:$Q,12))</f>
        <v/>
      </c>
      <c r="C201" s="54">
        <f>Table9[[#This Row],[ISM Services]]-B200</f>
        <v/>
      </c>
    </row>
    <row r="202">
      <c r="A202" s="53" t="n">
        <v>41579</v>
      </c>
      <c r="B202" s="54">
        <f>IF(VLOOKUP(Table9[[#This Row],[Date]],'DB Details'!$A:$Q,12)=0,"",VLOOKUP(Table9[[#This Row],[Date]],'DB Details'!$A:$Q,12))</f>
        <v/>
      </c>
      <c r="C202" s="54">
        <f>Table9[[#This Row],[ISM Services]]-B201</f>
        <v/>
      </c>
    </row>
    <row r="203">
      <c r="A203" s="53" t="n">
        <v>41609</v>
      </c>
      <c r="B203" s="54">
        <f>IF(VLOOKUP(Table9[[#This Row],[Date]],'DB Details'!$A:$Q,12)=0,"",VLOOKUP(Table9[[#This Row],[Date]],'DB Details'!$A:$Q,12))</f>
        <v/>
      </c>
      <c r="C203" s="54">
        <f>Table9[[#This Row],[ISM Services]]-B202</f>
        <v/>
      </c>
    </row>
    <row r="204">
      <c r="A204" s="53" t="n">
        <v>41640</v>
      </c>
      <c r="B204" s="54">
        <f>IF(VLOOKUP(Table9[[#This Row],[Date]],'DB Details'!$A:$Q,12)=0,"",VLOOKUP(Table9[[#This Row],[Date]],'DB Details'!$A:$Q,12))</f>
        <v/>
      </c>
      <c r="C204" s="54">
        <f>Table9[[#This Row],[ISM Services]]-B203</f>
        <v/>
      </c>
    </row>
    <row r="205">
      <c r="A205" s="53" t="n">
        <v>41671</v>
      </c>
      <c r="B205" s="54">
        <f>IF(VLOOKUP(Table9[[#This Row],[Date]],'DB Details'!$A:$Q,12)=0,"",VLOOKUP(Table9[[#This Row],[Date]],'DB Details'!$A:$Q,12))</f>
        <v/>
      </c>
      <c r="C205" s="54">
        <f>Table9[[#This Row],[ISM Services]]-B204</f>
        <v/>
      </c>
    </row>
    <row r="206">
      <c r="A206" s="53" t="n">
        <v>41699</v>
      </c>
      <c r="B206" s="54">
        <f>IF(VLOOKUP(Table9[[#This Row],[Date]],'DB Details'!$A:$Q,12)=0,"",VLOOKUP(Table9[[#This Row],[Date]],'DB Details'!$A:$Q,12))</f>
        <v/>
      </c>
      <c r="C206" s="54">
        <f>Table9[[#This Row],[ISM Services]]-B205</f>
        <v/>
      </c>
    </row>
    <row r="207">
      <c r="A207" s="53" t="n">
        <v>41730</v>
      </c>
      <c r="B207" s="54">
        <f>IF(VLOOKUP(Table9[[#This Row],[Date]],'DB Details'!$A:$Q,12)=0,"",VLOOKUP(Table9[[#This Row],[Date]],'DB Details'!$A:$Q,12))</f>
        <v/>
      </c>
      <c r="C207" s="54">
        <f>Table9[[#This Row],[ISM Services]]-B206</f>
        <v/>
      </c>
    </row>
    <row r="208">
      <c r="A208" s="53" t="n">
        <v>41760</v>
      </c>
      <c r="B208" s="54">
        <f>IF(VLOOKUP(Table9[[#This Row],[Date]],'DB Details'!$A:$Q,12)=0,"",VLOOKUP(Table9[[#This Row],[Date]],'DB Details'!$A:$Q,12))</f>
        <v/>
      </c>
      <c r="C208" s="54">
        <f>Table9[[#This Row],[ISM Services]]-B207</f>
        <v/>
      </c>
    </row>
    <row r="209">
      <c r="A209" s="53" t="n">
        <v>41791</v>
      </c>
      <c r="B209" s="54">
        <f>IF(VLOOKUP(Table9[[#This Row],[Date]],'DB Details'!$A:$Q,12)=0,"",VLOOKUP(Table9[[#This Row],[Date]],'DB Details'!$A:$Q,12))</f>
        <v/>
      </c>
      <c r="C209" s="54">
        <f>Table9[[#This Row],[ISM Services]]-B208</f>
        <v/>
      </c>
    </row>
    <row r="210">
      <c r="A210" s="53" t="n">
        <v>41821</v>
      </c>
      <c r="B210" s="54">
        <f>IF(VLOOKUP(Table9[[#This Row],[Date]],'DB Details'!$A:$Q,12)=0,"",VLOOKUP(Table9[[#This Row],[Date]],'DB Details'!$A:$Q,12))</f>
        <v/>
      </c>
      <c r="C210" s="54">
        <f>Table9[[#This Row],[ISM Services]]-B209</f>
        <v/>
      </c>
    </row>
    <row r="211">
      <c r="A211" s="53" t="n">
        <v>41852</v>
      </c>
      <c r="B211" s="54">
        <f>IF(VLOOKUP(Table9[[#This Row],[Date]],'DB Details'!$A:$Q,12)=0,"",VLOOKUP(Table9[[#This Row],[Date]],'DB Details'!$A:$Q,12))</f>
        <v/>
      </c>
      <c r="C211" s="54">
        <f>Table9[[#This Row],[ISM Services]]-B210</f>
        <v/>
      </c>
    </row>
    <row r="212">
      <c r="A212" s="53" t="n">
        <v>41883</v>
      </c>
      <c r="B212" s="54">
        <f>IF(VLOOKUP(Table9[[#This Row],[Date]],'DB Details'!$A:$Q,12)=0,"",VLOOKUP(Table9[[#This Row],[Date]],'DB Details'!$A:$Q,12))</f>
        <v/>
      </c>
      <c r="C212" s="54">
        <f>Table9[[#This Row],[ISM Services]]-B211</f>
        <v/>
      </c>
    </row>
    <row r="213">
      <c r="A213" s="53" t="n">
        <v>41913</v>
      </c>
      <c r="B213" s="54">
        <f>IF(VLOOKUP(Table9[[#This Row],[Date]],'DB Details'!$A:$Q,12)=0,"",VLOOKUP(Table9[[#This Row],[Date]],'DB Details'!$A:$Q,12))</f>
        <v/>
      </c>
      <c r="C213" s="54">
        <f>Table9[[#This Row],[ISM Services]]-B212</f>
        <v/>
      </c>
    </row>
    <row r="214">
      <c r="A214" s="53" t="n">
        <v>41944</v>
      </c>
      <c r="B214" s="54">
        <f>IF(VLOOKUP(Table9[[#This Row],[Date]],'DB Details'!$A:$Q,12)=0,"",VLOOKUP(Table9[[#This Row],[Date]],'DB Details'!$A:$Q,12))</f>
        <v/>
      </c>
      <c r="C214" s="54">
        <f>Table9[[#This Row],[ISM Services]]-B213</f>
        <v/>
      </c>
    </row>
    <row r="215">
      <c r="A215" s="53" t="n">
        <v>41974</v>
      </c>
      <c r="B215" s="54">
        <f>IF(VLOOKUP(Table9[[#This Row],[Date]],'DB Details'!$A:$Q,12)=0,"",VLOOKUP(Table9[[#This Row],[Date]],'DB Details'!$A:$Q,12))</f>
        <v/>
      </c>
      <c r="C215" s="54">
        <f>Table9[[#This Row],[ISM Services]]-B214</f>
        <v/>
      </c>
    </row>
    <row r="216">
      <c r="A216" s="53" t="n">
        <v>42005</v>
      </c>
      <c r="B216" s="54">
        <f>IF(VLOOKUP(Table9[[#This Row],[Date]],'DB Details'!$A:$Q,12)=0,"",VLOOKUP(Table9[[#This Row],[Date]],'DB Details'!$A:$Q,12))</f>
        <v/>
      </c>
      <c r="C216" s="54">
        <f>Table9[[#This Row],[ISM Services]]-B215</f>
        <v/>
      </c>
    </row>
    <row r="217">
      <c r="A217" s="53" t="n">
        <v>42036</v>
      </c>
      <c r="B217" s="54">
        <f>IF(VLOOKUP(Table9[[#This Row],[Date]],'DB Details'!$A:$Q,12)=0,"",VLOOKUP(Table9[[#This Row],[Date]],'DB Details'!$A:$Q,12))</f>
        <v/>
      </c>
      <c r="C217" s="54">
        <f>Table9[[#This Row],[ISM Services]]-B216</f>
        <v/>
      </c>
    </row>
    <row r="218">
      <c r="A218" s="53" t="n">
        <v>42064</v>
      </c>
      <c r="B218" s="54">
        <f>IF(VLOOKUP(Table9[[#This Row],[Date]],'DB Details'!$A:$Q,12)=0,"",VLOOKUP(Table9[[#This Row],[Date]],'DB Details'!$A:$Q,12))</f>
        <v/>
      </c>
      <c r="C218" s="54">
        <f>Table9[[#This Row],[ISM Services]]-B217</f>
        <v/>
      </c>
    </row>
    <row r="219">
      <c r="A219" s="53" t="n">
        <v>42095</v>
      </c>
      <c r="B219" s="54">
        <f>IF(VLOOKUP(Table9[[#This Row],[Date]],'DB Details'!$A:$Q,12)=0,"",VLOOKUP(Table9[[#This Row],[Date]],'DB Details'!$A:$Q,12))</f>
        <v/>
      </c>
      <c r="C219" s="54">
        <f>Table9[[#This Row],[ISM Services]]-B218</f>
        <v/>
      </c>
    </row>
    <row r="220">
      <c r="A220" s="53" t="n">
        <v>42125</v>
      </c>
      <c r="B220" s="54">
        <f>IF(VLOOKUP(Table9[[#This Row],[Date]],'DB Details'!$A:$Q,12)=0,"",VLOOKUP(Table9[[#This Row],[Date]],'DB Details'!$A:$Q,12))</f>
        <v/>
      </c>
      <c r="C220" s="54">
        <f>Table9[[#This Row],[ISM Services]]-B219</f>
        <v/>
      </c>
    </row>
    <row r="221">
      <c r="A221" s="53" t="n">
        <v>42156</v>
      </c>
      <c r="B221" s="54">
        <f>IF(VLOOKUP(Table9[[#This Row],[Date]],'DB Details'!$A:$Q,12)=0,"",VLOOKUP(Table9[[#This Row],[Date]],'DB Details'!$A:$Q,12))</f>
        <v/>
      </c>
      <c r="C221" s="54">
        <f>Table9[[#This Row],[ISM Services]]-B220</f>
        <v/>
      </c>
    </row>
    <row r="222">
      <c r="A222" s="53" t="n">
        <v>42186</v>
      </c>
      <c r="B222" s="54">
        <f>IF(VLOOKUP(Table9[[#This Row],[Date]],'DB Details'!$A:$Q,12)=0,"",VLOOKUP(Table9[[#This Row],[Date]],'DB Details'!$A:$Q,12))</f>
        <v/>
      </c>
      <c r="C222" s="54">
        <f>Table9[[#This Row],[ISM Services]]-B221</f>
        <v/>
      </c>
    </row>
    <row r="223">
      <c r="A223" s="53" t="n">
        <v>42217</v>
      </c>
      <c r="B223" s="54">
        <f>IF(VLOOKUP(Table9[[#This Row],[Date]],'DB Details'!$A:$Q,12)=0,"",VLOOKUP(Table9[[#This Row],[Date]],'DB Details'!$A:$Q,12))</f>
        <v/>
      </c>
      <c r="C223" s="54">
        <f>Table9[[#This Row],[ISM Services]]-B222</f>
        <v/>
      </c>
    </row>
    <row r="224">
      <c r="A224" s="53" t="n">
        <v>42248</v>
      </c>
      <c r="B224" s="54">
        <f>IF(VLOOKUP(Table9[[#This Row],[Date]],'DB Details'!$A:$Q,12)=0,"",VLOOKUP(Table9[[#This Row],[Date]],'DB Details'!$A:$Q,12))</f>
        <v/>
      </c>
      <c r="C224" s="54">
        <f>Table9[[#This Row],[ISM Services]]-B223</f>
        <v/>
      </c>
    </row>
    <row r="225">
      <c r="A225" s="53" t="n">
        <v>42278</v>
      </c>
      <c r="B225" s="54">
        <f>IF(VLOOKUP(Table9[[#This Row],[Date]],'DB Details'!$A:$Q,12)=0,"",VLOOKUP(Table9[[#This Row],[Date]],'DB Details'!$A:$Q,12))</f>
        <v/>
      </c>
      <c r="C225" s="54">
        <f>Table9[[#This Row],[ISM Services]]-B224</f>
        <v/>
      </c>
    </row>
    <row r="226">
      <c r="A226" s="53" t="n">
        <v>42309</v>
      </c>
      <c r="B226" s="54">
        <f>IF(VLOOKUP(Table9[[#This Row],[Date]],'DB Details'!$A:$Q,12)=0,"",VLOOKUP(Table9[[#This Row],[Date]],'DB Details'!$A:$Q,12))</f>
        <v/>
      </c>
      <c r="C226" s="54">
        <f>Table9[[#This Row],[ISM Services]]-B225</f>
        <v/>
      </c>
    </row>
    <row r="227">
      <c r="A227" s="53" t="n">
        <v>42339</v>
      </c>
      <c r="B227" s="54">
        <f>IF(VLOOKUP(Table9[[#This Row],[Date]],'DB Details'!$A:$Q,12)=0,"",VLOOKUP(Table9[[#This Row],[Date]],'DB Details'!$A:$Q,12))</f>
        <v/>
      </c>
      <c r="C227" s="54">
        <f>Table9[[#This Row],[ISM Services]]-B226</f>
        <v/>
      </c>
    </row>
    <row r="228">
      <c r="A228" s="53" t="n">
        <v>42370</v>
      </c>
      <c r="B228" s="54">
        <f>IF(VLOOKUP(Table9[[#This Row],[Date]],'DB Details'!$A:$Q,12)=0,"",VLOOKUP(Table9[[#This Row],[Date]],'DB Details'!$A:$Q,12))</f>
        <v/>
      </c>
      <c r="C228" s="54">
        <f>Table9[[#This Row],[ISM Services]]-B227</f>
        <v/>
      </c>
    </row>
    <row r="229">
      <c r="A229" s="53" t="n">
        <v>42401</v>
      </c>
      <c r="B229" s="54">
        <f>IF(VLOOKUP(Table9[[#This Row],[Date]],'DB Details'!$A:$Q,12)=0,"",VLOOKUP(Table9[[#This Row],[Date]],'DB Details'!$A:$Q,12))</f>
        <v/>
      </c>
      <c r="C229" s="54">
        <f>Table9[[#This Row],[ISM Services]]-B228</f>
        <v/>
      </c>
    </row>
    <row r="230">
      <c r="A230" s="53" t="n">
        <v>42430</v>
      </c>
      <c r="B230" s="54">
        <f>IF(VLOOKUP(Table9[[#This Row],[Date]],'DB Details'!$A:$Q,12)=0,"",VLOOKUP(Table9[[#This Row],[Date]],'DB Details'!$A:$Q,12))</f>
        <v/>
      </c>
      <c r="C230" s="54">
        <f>Table9[[#This Row],[ISM Services]]-B229</f>
        <v/>
      </c>
    </row>
    <row r="231">
      <c r="A231" s="53" t="n">
        <v>42461</v>
      </c>
      <c r="B231" s="54">
        <f>IF(VLOOKUP(Table9[[#This Row],[Date]],'DB Details'!$A:$Q,12)=0,"",VLOOKUP(Table9[[#This Row],[Date]],'DB Details'!$A:$Q,12))</f>
        <v/>
      </c>
      <c r="C231" s="54">
        <f>Table9[[#This Row],[ISM Services]]-B230</f>
        <v/>
      </c>
    </row>
    <row r="232">
      <c r="A232" s="53" t="n">
        <v>42491</v>
      </c>
      <c r="B232" s="54">
        <f>IF(VLOOKUP(Table9[[#This Row],[Date]],'DB Details'!$A:$Q,12)=0,"",VLOOKUP(Table9[[#This Row],[Date]],'DB Details'!$A:$Q,12))</f>
        <v/>
      </c>
      <c r="C232" s="54">
        <f>Table9[[#This Row],[ISM Services]]-B231</f>
        <v/>
      </c>
    </row>
    <row r="233">
      <c r="A233" s="53" t="n">
        <v>42522</v>
      </c>
      <c r="B233" s="54">
        <f>IF(VLOOKUP(Table9[[#This Row],[Date]],'DB Details'!$A:$Q,12)=0,"",VLOOKUP(Table9[[#This Row],[Date]],'DB Details'!$A:$Q,12))</f>
        <v/>
      </c>
      <c r="C233" s="54">
        <f>Table9[[#This Row],[ISM Services]]-B232</f>
        <v/>
      </c>
    </row>
    <row r="234">
      <c r="A234" s="53" t="n">
        <v>42552</v>
      </c>
      <c r="B234" s="54">
        <f>IF(VLOOKUP(Table9[[#This Row],[Date]],'DB Details'!$A:$Q,12)=0,"",VLOOKUP(Table9[[#This Row],[Date]],'DB Details'!$A:$Q,12))</f>
        <v/>
      </c>
      <c r="C234" s="54">
        <f>Table9[[#This Row],[ISM Services]]-B233</f>
        <v/>
      </c>
    </row>
    <row r="235">
      <c r="A235" s="53" t="n">
        <v>42583</v>
      </c>
      <c r="B235" s="54">
        <f>IF(VLOOKUP(Table9[[#This Row],[Date]],'DB Details'!$A:$Q,12)=0,"",VLOOKUP(Table9[[#This Row],[Date]],'DB Details'!$A:$Q,12))</f>
        <v/>
      </c>
      <c r="C235" s="54">
        <f>Table9[[#This Row],[ISM Services]]-B234</f>
        <v/>
      </c>
    </row>
    <row r="236">
      <c r="A236" s="53" t="n">
        <v>42614</v>
      </c>
      <c r="B236" s="54">
        <f>IF(VLOOKUP(Table9[[#This Row],[Date]],'DB Details'!$A:$Q,12)=0,"",VLOOKUP(Table9[[#This Row],[Date]],'DB Details'!$A:$Q,12))</f>
        <v/>
      </c>
      <c r="C236" s="54">
        <f>Table9[[#This Row],[ISM Services]]-B235</f>
        <v/>
      </c>
    </row>
    <row r="237">
      <c r="A237" s="53" t="n">
        <v>42644</v>
      </c>
      <c r="B237" s="54">
        <f>IF(VLOOKUP(Table9[[#This Row],[Date]],'DB Details'!$A:$Q,12)=0,"",VLOOKUP(Table9[[#This Row],[Date]],'DB Details'!$A:$Q,12))</f>
        <v/>
      </c>
      <c r="C237" s="54">
        <f>Table9[[#This Row],[ISM Services]]-B236</f>
        <v/>
      </c>
    </row>
    <row r="238">
      <c r="A238" s="53" t="n">
        <v>42675</v>
      </c>
      <c r="B238" s="54">
        <f>IF(VLOOKUP(Table9[[#This Row],[Date]],'DB Details'!$A:$Q,12)=0,"",VLOOKUP(Table9[[#This Row],[Date]],'DB Details'!$A:$Q,12))</f>
        <v/>
      </c>
      <c r="C238" s="54">
        <f>Table9[[#This Row],[ISM Services]]-B237</f>
        <v/>
      </c>
    </row>
    <row r="239">
      <c r="A239" s="53" t="n">
        <v>42705</v>
      </c>
      <c r="B239" s="54">
        <f>IF(VLOOKUP(Table9[[#This Row],[Date]],'DB Details'!$A:$Q,12)=0,"",VLOOKUP(Table9[[#This Row],[Date]],'DB Details'!$A:$Q,12))</f>
        <v/>
      </c>
      <c r="C239" s="54">
        <f>Table9[[#This Row],[ISM Services]]-B238</f>
        <v/>
      </c>
    </row>
    <row r="240">
      <c r="A240" s="53" t="n">
        <v>42736</v>
      </c>
      <c r="B240" s="54">
        <f>IF(VLOOKUP(Table9[[#This Row],[Date]],'DB Details'!$A:$Q,12)=0,"",VLOOKUP(Table9[[#This Row],[Date]],'DB Details'!$A:$Q,12))</f>
        <v/>
      </c>
      <c r="C240" s="54">
        <f>Table9[[#This Row],[ISM Services]]-B239</f>
        <v/>
      </c>
    </row>
    <row r="241">
      <c r="A241" s="53" t="n">
        <v>42767</v>
      </c>
      <c r="B241" s="54">
        <f>IF(VLOOKUP(Table9[[#This Row],[Date]],'DB Details'!$A:$Q,12)=0,"",VLOOKUP(Table9[[#This Row],[Date]],'DB Details'!$A:$Q,12))</f>
        <v/>
      </c>
      <c r="C241" s="54">
        <f>Table9[[#This Row],[ISM Services]]-B240</f>
        <v/>
      </c>
    </row>
    <row r="242">
      <c r="A242" s="53" t="n">
        <v>42795</v>
      </c>
      <c r="B242" s="54">
        <f>IF(VLOOKUP(Table9[[#This Row],[Date]],'DB Details'!$A:$Q,12)=0,"",VLOOKUP(Table9[[#This Row],[Date]],'DB Details'!$A:$Q,12))</f>
        <v/>
      </c>
      <c r="C242" s="54">
        <f>Table9[[#This Row],[ISM Services]]-B241</f>
        <v/>
      </c>
    </row>
    <row r="243">
      <c r="A243" s="53" t="n">
        <v>42826</v>
      </c>
      <c r="B243" s="54">
        <f>IF(VLOOKUP(Table9[[#This Row],[Date]],'DB Details'!$A:$Q,12)=0,"",VLOOKUP(Table9[[#This Row],[Date]],'DB Details'!$A:$Q,12))</f>
        <v/>
      </c>
      <c r="C243" s="54">
        <f>Table9[[#This Row],[ISM Services]]-B242</f>
        <v/>
      </c>
    </row>
    <row r="244">
      <c r="A244" s="53" t="n">
        <v>42856</v>
      </c>
      <c r="B244" s="54">
        <f>IF(VLOOKUP(Table9[[#This Row],[Date]],'DB Details'!$A:$Q,12)=0,"",VLOOKUP(Table9[[#This Row],[Date]],'DB Details'!$A:$Q,12))</f>
        <v/>
      </c>
      <c r="C244" s="54">
        <f>Table9[[#This Row],[ISM Services]]-B243</f>
        <v/>
      </c>
    </row>
    <row r="245">
      <c r="A245" s="53" t="n">
        <v>42887</v>
      </c>
      <c r="B245" s="54">
        <f>IF(VLOOKUP(Table9[[#This Row],[Date]],'DB Details'!$A:$Q,12)=0,"",VLOOKUP(Table9[[#This Row],[Date]],'DB Details'!$A:$Q,12))</f>
        <v/>
      </c>
      <c r="C245" s="54">
        <f>Table9[[#This Row],[ISM Services]]-B244</f>
        <v/>
      </c>
    </row>
    <row r="246">
      <c r="A246" s="53" t="n">
        <v>42917</v>
      </c>
      <c r="B246" s="54">
        <f>IF(VLOOKUP(Table9[[#This Row],[Date]],'DB Details'!$A:$Q,12)=0,"",VLOOKUP(Table9[[#This Row],[Date]],'DB Details'!$A:$Q,12))</f>
        <v/>
      </c>
      <c r="C246" s="54">
        <f>Table9[[#This Row],[ISM Services]]-B245</f>
        <v/>
      </c>
      <c r="J246" s="35" t="n"/>
    </row>
    <row r="247">
      <c r="A247" s="53" t="n">
        <v>42948</v>
      </c>
      <c r="B247" s="54">
        <f>IF(VLOOKUP(Table9[[#This Row],[Date]],'DB Details'!$A:$Q,12)=0,"",VLOOKUP(Table9[[#This Row],[Date]],'DB Details'!$A:$Q,12))</f>
        <v/>
      </c>
      <c r="C247" s="54">
        <f>Table9[[#This Row],[ISM Services]]-B246</f>
        <v/>
      </c>
      <c r="J247" s="35" t="n"/>
    </row>
    <row r="248">
      <c r="A248" s="53" t="n">
        <v>42979</v>
      </c>
      <c r="B248" s="54">
        <f>IF(VLOOKUP(Table9[[#This Row],[Date]],'DB Details'!$A:$Q,12)=0,"",VLOOKUP(Table9[[#This Row],[Date]],'DB Details'!$A:$Q,12))</f>
        <v/>
      </c>
      <c r="C248" s="54">
        <f>Table9[[#This Row],[ISM Services]]-B247</f>
        <v/>
      </c>
      <c r="J248" s="35" t="n"/>
    </row>
    <row r="249">
      <c r="A249" s="53" t="n">
        <v>43009</v>
      </c>
      <c r="B249" s="54">
        <f>IF(VLOOKUP(Table9[[#This Row],[Date]],'DB Details'!$A:$Q,12)=0,"",VLOOKUP(Table9[[#This Row],[Date]],'DB Details'!$A:$Q,12))</f>
        <v/>
      </c>
      <c r="C249" s="54">
        <f>Table9[[#This Row],[ISM Services]]-B248</f>
        <v/>
      </c>
      <c r="J249" s="35" t="n"/>
    </row>
    <row r="250">
      <c r="A250" s="53" t="n">
        <v>43040</v>
      </c>
      <c r="B250" s="54">
        <f>IF(VLOOKUP(Table9[[#This Row],[Date]],'DB Details'!$A:$Q,12)=0,"",VLOOKUP(Table9[[#This Row],[Date]],'DB Details'!$A:$Q,12))</f>
        <v/>
      </c>
      <c r="C250" s="54">
        <f>Table9[[#This Row],[ISM Services]]-B249</f>
        <v/>
      </c>
      <c r="J250" s="35" t="n"/>
    </row>
    <row r="251">
      <c r="A251" s="53" t="n">
        <v>43070</v>
      </c>
      <c r="B251" s="54">
        <f>IF(VLOOKUP(Table9[[#This Row],[Date]],'DB Details'!$A:$Q,12)=0,"",VLOOKUP(Table9[[#This Row],[Date]],'DB Details'!$A:$Q,12))</f>
        <v/>
      </c>
      <c r="C251" s="54">
        <f>Table9[[#This Row],[ISM Services]]-B250</f>
        <v/>
      </c>
      <c r="J251" s="35" t="n"/>
    </row>
    <row r="252">
      <c r="A252" s="53" t="n">
        <v>43101</v>
      </c>
      <c r="B252" s="54">
        <f>IF(VLOOKUP(Table9[[#This Row],[Date]],'DB Details'!$A:$Q,12)=0,"",VLOOKUP(Table9[[#This Row],[Date]],'DB Details'!$A:$Q,12))</f>
        <v/>
      </c>
      <c r="C252" s="54">
        <f>Table9[[#This Row],[ISM Services]]-B251</f>
        <v/>
      </c>
      <c r="J252" s="35" t="n"/>
    </row>
    <row r="253">
      <c r="A253" s="53" t="n">
        <v>43132</v>
      </c>
      <c r="B253" s="54">
        <f>IF(VLOOKUP(Table9[[#This Row],[Date]],'DB Details'!$A:$Q,12)=0,"",VLOOKUP(Table9[[#This Row],[Date]],'DB Details'!$A:$Q,12))</f>
        <v/>
      </c>
      <c r="C253" s="54">
        <f>Table9[[#This Row],[ISM Services]]-B252</f>
        <v/>
      </c>
      <c r="J253" s="35" t="n"/>
    </row>
    <row r="254">
      <c r="A254" s="53" t="n">
        <v>43160</v>
      </c>
      <c r="B254" s="54">
        <f>IF(VLOOKUP(Table9[[#This Row],[Date]],'DB Details'!$A:$Q,12)=0,"",VLOOKUP(Table9[[#This Row],[Date]],'DB Details'!$A:$Q,12))</f>
        <v/>
      </c>
      <c r="C254" s="54">
        <f>Table9[[#This Row],[ISM Services]]-B253</f>
        <v/>
      </c>
      <c r="J254" s="35" t="n"/>
    </row>
    <row r="255">
      <c r="A255" s="53" t="n">
        <v>43191</v>
      </c>
      <c r="B255" s="54">
        <f>IF(VLOOKUP(Table9[[#This Row],[Date]],'DB Details'!$A:$Q,12)=0,"",VLOOKUP(Table9[[#This Row],[Date]],'DB Details'!$A:$Q,12))</f>
        <v/>
      </c>
      <c r="C255" s="54">
        <f>Table9[[#This Row],[ISM Services]]-B254</f>
        <v/>
      </c>
      <c r="J255" s="35" t="n"/>
    </row>
    <row r="256">
      <c r="A256" s="53" t="n">
        <v>43221</v>
      </c>
      <c r="B256" s="54">
        <f>IF(VLOOKUP(Table9[[#This Row],[Date]],'DB Details'!$A:$Q,12)=0,"",VLOOKUP(Table9[[#This Row],[Date]],'DB Details'!$A:$Q,12))</f>
        <v/>
      </c>
      <c r="C256" s="54">
        <f>Table9[[#This Row],[ISM Services]]-B255</f>
        <v/>
      </c>
      <c r="J256" s="35" t="n"/>
    </row>
    <row r="257">
      <c r="A257" s="53" t="n">
        <v>43252</v>
      </c>
      <c r="B257" s="54">
        <f>IF(VLOOKUP(Table9[[#This Row],[Date]],'DB Details'!$A:$Q,12)=0,"",VLOOKUP(Table9[[#This Row],[Date]],'DB Details'!$A:$Q,12))</f>
        <v/>
      </c>
      <c r="C257" s="54">
        <f>Table9[[#This Row],[ISM Services]]-B256</f>
        <v/>
      </c>
      <c r="J257" s="35" t="n"/>
    </row>
    <row r="258">
      <c r="A258" s="53" t="n">
        <v>43282</v>
      </c>
      <c r="B258" s="54">
        <f>IF(VLOOKUP(Table9[[#This Row],[Date]],'DB Details'!$A:$Q,12)=0,"",VLOOKUP(Table9[[#This Row],[Date]],'DB Details'!$A:$Q,12))</f>
        <v/>
      </c>
      <c r="C258" s="54">
        <f>Table9[[#This Row],[ISM Services]]-B257</f>
        <v/>
      </c>
      <c r="J258" s="35" t="n"/>
    </row>
    <row r="259">
      <c r="A259" s="53" t="n">
        <v>43313</v>
      </c>
      <c r="B259" s="54">
        <f>IF(VLOOKUP(Table9[[#This Row],[Date]],'DB Details'!$A:$Q,12)=0,"",VLOOKUP(Table9[[#This Row],[Date]],'DB Details'!$A:$Q,12))</f>
        <v/>
      </c>
      <c r="C259" s="54">
        <f>Table9[[#This Row],[ISM Services]]-B258</f>
        <v/>
      </c>
      <c r="J259" s="35" t="n"/>
    </row>
    <row r="260">
      <c r="A260" s="53" t="n">
        <v>43344</v>
      </c>
      <c r="B260" s="54">
        <f>IF(VLOOKUP(Table9[[#This Row],[Date]],'DB Details'!$A:$Q,12)=0,"",VLOOKUP(Table9[[#This Row],[Date]],'DB Details'!$A:$Q,12))</f>
        <v/>
      </c>
      <c r="C260" s="54">
        <f>Table9[[#This Row],[ISM Services]]-B259</f>
        <v/>
      </c>
      <c r="J260" s="35" t="n"/>
    </row>
    <row r="261">
      <c r="A261" s="53" t="n">
        <v>43374</v>
      </c>
      <c r="B261" s="54">
        <f>IF(VLOOKUP(Table9[[#This Row],[Date]],'DB Details'!$A:$Q,12)=0,"",VLOOKUP(Table9[[#This Row],[Date]],'DB Details'!$A:$Q,12))</f>
        <v/>
      </c>
      <c r="C261" s="54">
        <f>Table9[[#This Row],[ISM Services]]-B260</f>
        <v/>
      </c>
      <c r="J261" s="35" t="n"/>
    </row>
    <row r="262">
      <c r="A262" s="53" t="n">
        <v>43405</v>
      </c>
      <c r="B262" s="54">
        <f>IF(VLOOKUP(Table9[[#This Row],[Date]],'DB Details'!$A:$Q,12)=0,"",VLOOKUP(Table9[[#This Row],[Date]],'DB Details'!$A:$Q,12))</f>
        <v/>
      </c>
      <c r="C262" s="54">
        <f>Table9[[#This Row],[ISM Services]]-B261</f>
        <v/>
      </c>
      <c r="J262" s="35" t="n"/>
    </row>
    <row r="263">
      <c r="A263" s="53" t="n">
        <v>43435</v>
      </c>
      <c r="B263" s="54">
        <f>IF(VLOOKUP(Table9[[#This Row],[Date]],'DB Details'!$A:$Q,12)=0,"",VLOOKUP(Table9[[#This Row],[Date]],'DB Details'!$A:$Q,12))</f>
        <v/>
      </c>
      <c r="C263" s="54">
        <f>Table9[[#This Row],[ISM Services]]-B262</f>
        <v/>
      </c>
      <c r="J263" s="35" t="n"/>
    </row>
    <row r="264">
      <c r="A264" s="53" t="n">
        <v>43466</v>
      </c>
      <c r="B264" s="54">
        <f>IF(VLOOKUP(Table9[[#This Row],[Date]],'DB Details'!$A:$Q,12)=0,"",VLOOKUP(Table9[[#This Row],[Date]],'DB Details'!$A:$Q,12))</f>
        <v/>
      </c>
      <c r="C264" s="54">
        <f>Table9[[#This Row],[ISM Services]]-B263</f>
        <v/>
      </c>
      <c r="J264" s="35" t="n"/>
    </row>
    <row r="265">
      <c r="A265" s="53" t="n">
        <v>43497</v>
      </c>
      <c r="B265" s="54">
        <f>IF(VLOOKUP(Table9[[#This Row],[Date]],'DB Details'!$A:$Q,12)=0,"",VLOOKUP(Table9[[#This Row],[Date]],'DB Details'!$A:$Q,12))</f>
        <v/>
      </c>
      <c r="C265" s="54">
        <f>Table9[[#This Row],[ISM Services]]-B264</f>
        <v/>
      </c>
      <c r="J265" s="35" t="n"/>
    </row>
    <row r="266">
      <c r="A266" s="53" t="n">
        <v>43525</v>
      </c>
      <c r="B266" s="54">
        <f>IF(VLOOKUP(Table9[[#This Row],[Date]],'DB Details'!$A:$Q,12)=0,"",VLOOKUP(Table9[[#This Row],[Date]],'DB Details'!$A:$Q,12))</f>
        <v/>
      </c>
      <c r="C266" s="54">
        <f>Table9[[#This Row],[ISM Services]]-B265</f>
        <v/>
      </c>
      <c r="J266" s="35" t="n"/>
    </row>
    <row r="267">
      <c r="A267" s="53" t="n">
        <v>43556</v>
      </c>
      <c r="B267" s="54">
        <f>IF(VLOOKUP(Table9[[#This Row],[Date]],'DB Details'!$A:$Q,12)=0,"",VLOOKUP(Table9[[#This Row],[Date]],'DB Details'!$A:$Q,12))</f>
        <v/>
      </c>
      <c r="C267" s="54">
        <f>Table9[[#This Row],[ISM Services]]-B266</f>
        <v/>
      </c>
      <c r="J267" s="35" t="n"/>
    </row>
    <row r="268">
      <c r="A268" s="53" t="n">
        <v>43586</v>
      </c>
      <c r="B268" s="54">
        <f>IF(VLOOKUP(Table9[[#This Row],[Date]],'DB Details'!$A:$Q,12)=0,"",VLOOKUP(Table9[[#This Row],[Date]],'DB Details'!$A:$Q,12))</f>
        <v/>
      </c>
      <c r="C268" s="54">
        <f>Table9[[#This Row],[ISM Services]]-B267</f>
        <v/>
      </c>
      <c r="J268" s="35" t="n"/>
    </row>
    <row r="269">
      <c r="A269" s="53" t="n">
        <v>43617</v>
      </c>
      <c r="B269" s="54">
        <f>IF(VLOOKUP(Table9[[#This Row],[Date]],'DB Details'!$A:$Q,12)=0,"",VLOOKUP(Table9[[#This Row],[Date]],'DB Details'!$A:$Q,12))</f>
        <v/>
      </c>
      <c r="C269" s="54">
        <f>Table9[[#This Row],[ISM Services]]-B268</f>
        <v/>
      </c>
      <c r="J269" s="35" t="n"/>
    </row>
    <row r="270">
      <c r="A270" s="53" t="n">
        <v>43647</v>
      </c>
      <c r="B270" s="54">
        <f>IF(VLOOKUP(Table9[[#This Row],[Date]],'DB Details'!$A:$Q,12)=0,"",VLOOKUP(Table9[[#This Row],[Date]],'DB Details'!$A:$Q,12))</f>
        <v/>
      </c>
      <c r="C270" s="54">
        <f>Table9[[#This Row],[ISM Services]]-B269</f>
        <v/>
      </c>
      <c r="J270" s="35" t="n"/>
    </row>
    <row r="271">
      <c r="A271" s="53" t="n">
        <v>43678</v>
      </c>
      <c r="B271" s="54">
        <f>IF(VLOOKUP(Table9[[#This Row],[Date]],'DB Details'!$A:$Q,12)=0,"",VLOOKUP(Table9[[#This Row],[Date]],'DB Details'!$A:$Q,12))</f>
        <v/>
      </c>
      <c r="C271" s="54">
        <f>Table9[[#This Row],[ISM Services]]-B270</f>
        <v/>
      </c>
      <c r="J271" s="35" t="n"/>
    </row>
    <row r="272">
      <c r="A272" s="53" t="n">
        <v>43709</v>
      </c>
      <c r="B272" s="54">
        <f>IF(VLOOKUP(Table9[[#This Row],[Date]],'DB Details'!$A:$Q,12)=0,"",VLOOKUP(Table9[[#This Row],[Date]],'DB Details'!$A:$Q,12))</f>
        <v/>
      </c>
      <c r="C272" s="54">
        <f>Table9[[#This Row],[ISM Services]]-B271</f>
        <v/>
      </c>
    </row>
    <row r="273">
      <c r="A273" s="53" t="n">
        <v>43739</v>
      </c>
      <c r="B273" s="54">
        <f>IF(VLOOKUP(Table9[[#This Row],[Date]],'DB Details'!$A:$Q,12)=0,"",VLOOKUP(Table9[[#This Row],[Date]],'DB Details'!$A:$Q,12))</f>
        <v/>
      </c>
      <c r="C273" s="54">
        <f>Table9[[#This Row],[ISM Services]]-B272</f>
        <v/>
      </c>
    </row>
    <row r="274">
      <c r="A274" s="53" t="n">
        <v>43770</v>
      </c>
      <c r="B274" s="54">
        <f>IF(VLOOKUP(Table9[[#This Row],[Date]],'DB Details'!$A:$Q,12)=0,"",VLOOKUP(Table9[[#This Row],[Date]],'DB Details'!$A:$Q,12))</f>
        <v/>
      </c>
      <c r="C274" s="54">
        <f>Table9[[#This Row],[ISM Services]]-B273</f>
        <v/>
      </c>
    </row>
    <row r="275">
      <c r="A275" s="53" t="n">
        <v>43800</v>
      </c>
      <c r="B275" s="54">
        <f>IF(VLOOKUP(Table9[[#This Row],[Date]],'DB Details'!$A:$Q,12)=0,"",VLOOKUP(Table9[[#This Row],[Date]],'DB Details'!$A:$Q,12))</f>
        <v/>
      </c>
      <c r="C275" s="54">
        <f>Table9[[#This Row],[ISM Services]]-B274</f>
        <v/>
      </c>
    </row>
    <row r="276">
      <c r="A276" s="53" t="n">
        <v>43831</v>
      </c>
      <c r="B276" s="54">
        <f>IF(VLOOKUP(Table9[[#This Row],[Date]],'DB Details'!$A:$Q,12)=0,"",VLOOKUP(Table9[[#This Row],[Date]],'DB Details'!$A:$Q,12))</f>
        <v/>
      </c>
      <c r="C276" s="54">
        <f>Table9[[#This Row],[ISM Services]]-B275</f>
        <v/>
      </c>
    </row>
    <row r="277">
      <c r="A277" s="53" t="n">
        <v>43862</v>
      </c>
      <c r="B277" s="54">
        <f>IF(VLOOKUP(Table9[[#This Row],[Date]],'DB Details'!$A:$Q,12)=0,"",VLOOKUP(Table9[[#This Row],[Date]],'DB Details'!$A:$Q,12))</f>
        <v/>
      </c>
      <c r="C277" s="54">
        <f>Table9[[#This Row],[ISM Services]]-B276</f>
        <v/>
      </c>
    </row>
    <row r="278">
      <c r="A278" s="53" t="n">
        <v>43891</v>
      </c>
      <c r="B278" s="54">
        <f>IF(VLOOKUP(Table9[[#This Row],[Date]],'DB Details'!$A:$Q,12)=0,"",VLOOKUP(Table9[[#This Row],[Date]],'DB Details'!$A:$Q,12))</f>
        <v/>
      </c>
      <c r="C278" s="54">
        <f>Table9[[#This Row],[ISM Services]]-B277</f>
        <v/>
      </c>
    </row>
    <row r="279">
      <c r="A279" s="53" t="n">
        <v>43922</v>
      </c>
      <c r="B279" s="54">
        <f>IF(VLOOKUP(Table9[[#This Row],[Date]],'DB Details'!$A:$Q,12)=0,"",VLOOKUP(Table9[[#This Row],[Date]],'DB Details'!$A:$Q,12))</f>
        <v/>
      </c>
      <c r="C279" s="54">
        <f>Table9[[#This Row],[ISM Services]]-B278</f>
        <v/>
      </c>
    </row>
    <row r="280">
      <c r="A280" s="53" t="n">
        <v>43952</v>
      </c>
      <c r="B280" s="54">
        <f>IF(VLOOKUP(Table9[[#This Row],[Date]],'DB Details'!$A:$Q,12)=0,"",VLOOKUP(Table9[[#This Row],[Date]],'DB Details'!$A:$Q,12))</f>
        <v/>
      </c>
      <c r="C280" s="54">
        <f>Table9[[#This Row],[ISM Services]]-B279</f>
        <v/>
      </c>
    </row>
    <row r="281">
      <c r="A281" s="53" t="n">
        <v>43983</v>
      </c>
      <c r="B281" s="54">
        <f>IF(VLOOKUP(Table9[[#This Row],[Date]],'DB Details'!$A:$Q,12)=0,"",VLOOKUP(Table9[[#This Row],[Date]],'DB Details'!$A:$Q,12))</f>
        <v/>
      </c>
      <c r="C281" s="54">
        <f>Table9[[#This Row],[ISM Services]]-B280</f>
        <v/>
      </c>
    </row>
    <row r="282">
      <c r="A282" s="53" t="n">
        <v>44013</v>
      </c>
      <c r="B282" s="54">
        <f>IF(VLOOKUP(Table9[[#This Row],[Date]],'DB Details'!$A:$Q,12)=0,"",VLOOKUP(Table9[[#This Row],[Date]],'DB Details'!$A:$Q,12))</f>
        <v/>
      </c>
      <c r="C282" s="54">
        <f>Table9[[#This Row],[ISM Services]]-B281</f>
        <v/>
      </c>
    </row>
    <row r="283">
      <c r="A283" s="53" t="n">
        <v>44044</v>
      </c>
      <c r="B283" s="54">
        <f>IF(VLOOKUP(Table9[[#This Row],[Date]],'DB Details'!$A:$Q,12)=0,"",VLOOKUP(Table9[[#This Row],[Date]],'DB Details'!$A:$Q,12))</f>
        <v/>
      </c>
      <c r="C283" s="54">
        <f>Table9[[#This Row],[ISM Services]]-B282</f>
        <v/>
      </c>
    </row>
    <row r="284">
      <c r="A284" s="53" t="n">
        <v>44075</v>
      </c>
      <c r="B284" s="54">
        <f>IF(VLOOKUP(Table9[[#This Row],[Date]],'DB Details'!$A:$Q,12)=0,"",VLOOKUP(Table9[[#This Row],[Date]],'DB Details'!$A:$Q,12))</f>
        <v/>
      </c>
      <c r="C284" s="54">
        <f>Table9[[#This Row],[ISM Services]]-B283</f>
        <v/>
      </c>
    </row>
    <row r="285">
      <c r="A285" s="53" t="n">
        <v>44105</v>
      </c>
      <c r="B285" s="54">
        <f>IF(VLOOKUP(Table9[[#This Row],[Date]],'DB Details'!$A:$Q,12)=0,"",VLOOKUP(Table9[[#This Row],[Date]],'DB Details'!$A:$Q,12))</f>
        <v/>
      </c>
      <c r="C285" s="54">
        <f>Table9[[#This Row],[ISM Services]]-B284</f>
        <v/>
      </c>
    </row>
    <row r="286">
      <c r="A286" s="53" t="n">
        <v>44136</v>
      </c>
      <c r="B286" s="54">
        <f>IF(VLOOKUP(Table9[[#This Row],[Date]],'DB Details'!$A:$Q,12)=0,"",VLOOKUP(Table9[[#This Row],[Date]],'DB Details'!$A:$Q,12))</f>
        <v/>
      </c>
      <c r="C286" s="54">
        <f>Table9[[#This Row],[ISM Services]]-B285</f>
        <v/>
      </c>
    </row>
    <row r="287">
      <c r="A287" s="53" t="n">
        <v>44166</v>
      </c>
      <c r="B287" s="54">
        <f>IF(VLOOKUP(Table9[[#This Row],[Date]],'DB Details'!$A:$Q,12)=0,"",VLOOKUP(Table9[[#This Row],[Date]],'DB Details'!$A:$Q,12))</f>
        <v/>
      </c>
      <c r="C287" s="54">
        <f>Table9[[#This Row],[ISM Services]]-B286</f>
        <v/>
      </c>
    </row>
    <row r="288">
      <c r="A288" s="53" t="n">
        <v>44197</v>
      </c>
      <c r="B288" s="54">
        <f>IF(VLOOKUP(Table9[[#This Row],[Date]],'DB Details'!$A:$Q,12)=0,"",VLOOKUP(Table9[[#This Row],[Date]],'DB Details'!$A:$Q,12))</f>
        <v/>
      </c>
      <c r="C288" s="54">
        <f>Table9[[#This Row],[ISM Services]]-B287</f>
        <v/>
      </c>
    </row>
    <row r="289">
      <c r="A289" s="53" t="n">
        <v>44228</v>
      </c>
      <c r="B289" s="54">
        <f>IF(VLOOKUP(Table9[[#This Row],[Date]],'DB Details'!$A:$Q,12)=0,"",VLOOKUP(Table9[[#This Row],[Date]],'DB Details'!$A:$Q,12))</f>
        <v/>
      </c>
      <c r="C289" s="54">
        <f>Table9[[#This Row],[ISM Services]]-B288</f>
        <v/>
      </c>
    </row>
    <row r="290">
      <c r="A290" s="53" t="n">
        <v>44256</v>
      </c>
      <c r="B290" s="54">
        <f>IF(VLOOKUP(Table9[[#This Row],[Date]],'DB Details'!$A:$Q,12)=0,"",VLOOKUP(Table9[[#This Row],[Date]],'DB Details'!$A:$Q,12))</f>
        <v/>
      </c>
      <c r="C290" s="54">
        <f>Table9[[#This Row],[ISM Services]]-B289</f>
        <v/>
      </c>
    </row>
    <row r="291">
      <c r="A291" s="53" t="n">
        <v>44287</v>
      </c>
      <c r="B291" s="54">
        <f>IF(VLOOKUP(Table9[[#This Row],[Date]],'DB Details'!$A:$Q,12)=0,"",VLOOKUP(Table9[[#This Row],[Date]],'DB Details'!$A:$Q,12))</f>
        <v/>
      </c>
      <c r="C291" s="54">
        <f>Table9[[#This Row],[ISM Services]]-B290</f>
        <v/>
      </c>
    </row>
    <row r="292">
      <c r="A292" s="53" t="n">
        <v>44317</v>
      </c>
      <c r="B292" s="54">
        <f>IF(VLOOKUP(Table9[[#This Row],[Date]],'DB Details'!$A:$Q,12)=0,"",VLOOKUP(Table9[[#This Row],[Date]],'DB Details'!$A:$Q,12))</f>
        <v/>
      </c>
      <c r="C292" s="54">
        <f>Table9[[#This Row],[ISM Services]]-B291</f>
        <v/>
      </c>
    </row>
    <row r="293">
      <c r="A293" s="53" t="n">
        <v>44348</v>
      </c>
      <c r="B293" s="54">
        <f>IF(VLOOKUP(Table9[[#This Row],[Date]],'DB Details'!$A:$Q,12)=0,"",VLOOKUP(Table9[[#This Row],[Date]],'DB Details'!$A:$Q,12))</f>
        <v/>
      </c>
      <c r="C293" s="54">
        <f>Table9[[#This Row],[ISM Services]]-B292</f>
        <v/>
      </c>
    </row>
    <row r="294">
      <c r="A294" s="53" t="n">
        <v>44378</v>
      </c>
      <c r="B294" s="54">
        <f>IF(VLOOKUP(Table9[[#This Row],[Date]],'DB Details'!$A:$Q,12)=0,"",VLOOKUP(Table9[[#This Row],[Date]],'DB Details'!$A:$Q,12))</f>
        <v/>
      </c>
      <c r="C294" s="54">
        <f>Table9[[#This Row],[ISM Services]]-B293</f>
        <v/>
      </c>
    </row>
    <row r="295">
      <c r="A295" s="53" t="n">
        <v>44409</v>
      </c>
      <c r="B295" s="54">
        <f>IF(VLOOKUP(Table9[[#This Row],[Date]],'DB Details'!$A:$Q,12)=0,"",VLOOKUP(Table9[[#This Row],[Date]],'DB Details'!$A:$Q,12))</f>
        <v/>
      </c>
      <c r="C295" s="54">
        <f>Table9[[#This Row],[ISM Services]]-B294</f>
        <v/>
      </c>
    </row>
    <row r="296">
      <c r="A296" s="53" t="n">
        <v>44440</v>
      </c>
      <c r="B296" s="54">
        <f>IF(VLOOKUP(Table9[[#This Row],[Date]],'DB Details'!$A:$Q,12)=0,"",VLOOKUP(Table9[[#This Row],[Date]],'DB Details'!$A:$Q,12))</f>
        <v/>
      </c>
      <c r="C296" s="54">
        <f>Table9[[#This Row],[ISM Services]]-B295</f>
        <v/>
      </c>
    </row>
    <row r="297">
      <c r="A297" s="53" t="n">
        <v>44470</v>
      </c>
      <c r="B297" s="54">
        <f>IF(VLOOKUP(Table9[[#This Row],[Date]],'DB Details'!$A:$Q,12)=0,"",VLOOKUP(Table9[[#This Row],[Date]],'DB Details'!$A:$Q,12))</f>
        <v/>
      </c>
      <c r="C297" s="54">
        <f>Table9[[#This Row],[ISM Services]]-B296</f>
        <v/>
      </c>
    </row>
    <row r="298">
      <c r="A298" s="53" t="n">
        <v>44501</v>
      </c>
      <c r="B298" s="54">
        <f>IF(VLOOKUP(Table9[[#This Row],[Date]],'DB Details'!$A:$Q,12)=0,"",VLOOKUP(Table9[[#This Row],[Date]],'DB Details'!$A:$Q,12))</f>
        <v/>
      </c>
      <c r="C298" s="54">
        <f>Table9[[#This Row],[ISM Services]]-B297</f>
        <v/>
      </c>
    </row>
    <row r="299">
      <c r="A299" s="53" t="n">
        <v>44531</v>
      </c>
      <c r="B299" s="54">
        <f>IF(VLOOKUP(Table9[[#This Row],[Date]],'DB Details'!$A:$Q,12)=0,"",VLOOKUP(Table9[[#This Row],[Date]],'DB Details'!$A:$Q,12))</f>
        <v/>
      </c>
      <c r="C299" s="54">
        <f>Table9[[#This Row],[ISM Services]]-B298</f>
        <v/>
      </c>
    </row>
    <row r="300">
      <c r="A300" s="53" t="n">
        <v>44562</v>
      </c>
      <c r="B300" s="54">
        <f>IF(VLOOKUP(Table9[[#This Row],[Date]],'DB Details'!$A:$Q,12)=0,"",VLOOKUP(Table9[[#This Row],[Date]],'DB Details'!$A:$Q,12))</f>
        <v/>
      </c>
      <c r="C300" s="54">
        <f>Table9[[#This Row],[ISM Services]]-B299</f>
        <v/>
      </c>
    </row>
    <row r="301">
      <c r="A301" s="53" t="n">
        <v>44593</v>
      </c>
      <c r="B301" s="54">
        <f>IF(VLOOKUP(Table9[[#This Row],[Date]],'DB Details'!$A:$Q,12)=0,"",VLOOKUP(Table9[[#This Row],[Date]],'DB Details'!$A:$Q,12))</f>
        <v/>
      </c>
      <c r="C301" s="54">
        <f>Table9[[#This Row],[ISM Services]]-B300</f>
        <v/>
      </c>
    </row>
  </sheetData>
  <conditionalFormatting sqref="B156:B30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384"/>
  <sheetViews>
    <sheetView zoomScale="170" zoomScaleNormal="170" workbookViewId="0">
      <pane ySplit="1" topLeftCell="A2" activePane="bottomLeft" state="frozen"/>
      <selection activeCell="C362" sqref="C362"/>
      <selection pane="bottomLeft" activeCell="C362" sqref="C362"/>
    </sheetView>
  </sheetViews>
  <sheetFormatPr baseColWidth="10" defaultRowHeight="15"/>
  <cols>
    <col width="15.6640625" customWidth="1" style="65" min="1" max="1"/>
    <col width="149.5" customWidth="1" style="65" min="3" max="3"/>
  </cols>
  <sheetData>
    <row r="1">
      <c r="A1" t="inlineStr">
        <is>
          <t>Sector</t>
        </is>
      </c>
      <c r="B1" t="inlineStr">
        <is>
          <t>Date</t>
        </is>
      </c>
      <c r="C1" t="inlineStr">
        <is>
          <t>Comments</t>
        </is>
      </c>
    </row>
    <row r="2">
      <c r="A2" t="inlineStr">
        <is>
          <t>Accommodation &amp; Food Services</t>
        </is>
      </c>
      <c r="B2" s="93" t="n">
        <v>44621</v>
      </c>
      <c r="C2" t="inlineStr">
        <is>
          <t>“Supply chain challenges continue at about the same levels as last month. Employment has improved as COVID-19 cases are declining. Restaurant sales have improved since Valentine’s Day, with mask and vaccine verification mandates being dropped.”</t>
        </is>
      </c>
    </row>
    <row r="3">
      <c r="A3" t="inlineStr">
        <is>
          <t>Accommodation &amp; Food Services</t>
        </is>
      </c>
      <c r="B3" s="93" t="n">
        <v>44593</v>
      </c>
      <c r="C3" t="inlineStr">
        <is>
          <t>“Raw material increases, labor shortages, wage increases and transportation issues are still the primary issues affecting our operations and pricing.”</t>
        </is>
      </c>
    </row>
    <row r="4">
      <c r="A4" t="inlineStr">
        <is>
          <t>Accommodation &amp; Food Services</t>
        </is>
      </c>
      <c r="B4" s="93" t="n">
        <v>44562</v>
      </c>
      <c r="C4" t="inlineStr">
        <is>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is>
      </c>
    </row>
    <row r="5">
      <c r="A5" t="inlineStr">
        <is>
          <t>Accommodation &amp; Food Services</t>
        </is>
      </c>
      <c r="B5" s="93" t="n">
        <v>44531</v>
      </c>
      <c r="C5" t="inlineStr">
        <is>
          <t>“Supply chain challenges to procure supplies for our restaurants remains our greatest obstacle at present, along with staffing needs. We are considering another price increase after just one in 2021, in August.”</t>
        </is>
      </c>
    </row>
    <row r="6">
      <c r="A6" t="inlineStr">
        <is>
          <t>Accommodation &amp; Food Services</t>
        </is>
      </c>
      <c r="B6" s="93" t="n">
        <v>44501</v>
      </c>
      <c r="C6" t="inlineStr">
        <is>
          <t>“Labor shortages, transportation delays and supply constraints/allocations.” [Accommodation &amp; Food Services]</t>
        </is>
      </c>
    </row>
    <row r="7">
      <c r="A7" t="inlineStr">
        <is>
          <t>Accommodation &amp; Food Services</t>
        </is>
      </c>
      <c r="B7" s="93" t="n">
        <v>44470</v>
      </c>
      <c r="C7" t="inlineStr">
        <is>
          <t>“Manufacturers are failing to keep up with orders, and backlogs continue to grow. We’ve seen proposed pricing increases of more than 20 percent in areas of equipment manufacturing. This is extremely concerning.” [Accommodation &amp; Food Services]</t>
        </is>
      </c>
    </row>
    <row r="8">
      <c r="A8" t="inlineStr">
        <is>
          <t>Accommodation &amp; Food Services</t>
        </is>
      </c>
      <c r="B8" s="93" t="n">
        <v>44440</v>
      </c>
      <c r="C8" t="inlineStr">
        <is>
          <t>“Transportation bottlenecks are increasing, resulting in longer lead times and missed appointments.” [Accommodation &amp; Food Services]</t>
        </is>
      </c>
    </row>
    <row r="9">
      <c r="A9" t="inlineStr">
        <is>
          <t>Accommodation &amp; Food Services</t>
        </is>
      </c>
      <c r="B9" s="93" t="n">
        <v>44409</v>
      </c>
      <c r="C9" t="inlineStr">
        <is>
          <t>Supply chain disruptions — including manufacturing-labor shortages, logistics delays and lack of material to make products — are significantly disrupting our business. [Accommodation &amp; Food Services]</t>
        </is>
      </c>
    </row>
    <row r="10">
      <c r="A10" t="inlineStr">
        <is>
          <t>Accommodation &amp; Food Services</t>
        </is>
      </c>
      <c r="B10" s="93" t="n">
        <v>44378</v>
      </c>
      <c r="C10" t="inlineStr">
        <is>
          <t>“Peak demand while still facing challenges filling open positions.” [Accommodation &amp; Food Services]</t>
        </is>
      </c>
    </row>
    <row r="11">
      <c r="A11" t="inlineStr">
        <is>
          <t>Accommodation &amp; Food Services</t>
        </is>
      </c>
      <c r="B11" s="93" t="n">
        <v>44348</v>
      </c>
      <c r="C11"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12">
      <c r="A12" t="inlineStr">
        <is>
          <t>Accommodation &amp; Food Services</t>
        </is>
      </c>
      <c r="B12" s="93" t="n">
        <v>44317</v>
      </c>
      <c r="C12"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13">
      <c r="A13" t="inlineStr">
        <is>
          <t>Accommodation &amp; Food Services</t>
        </is>
      </c>
      <c r="B13" s="93" t="n">
        <v>44287</v>
      </c>
      <c r="C13"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14">
      <c r="A14" t="inlineStr">
        <is>
          <t>Accommodation &amp; Food Services</t>
        </is>
      </c>
      <c r="B14" s="93" t="n">
        <v>44228</v>
      </c>
      <c r="C14"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15">
      <c r="A15" t="inlineStr">
        <is>
          <t>Accommodation &amp; Food Services</t>
        </is>
      </c>
      <c r="B15" s="93" t="n">
        <v>44197</v>
      </c>
      <c r="C15" t="inlineStr">
        <is>
          <t>“Many of our restaurant locations remain completely shut down to on-site dining. We remain optimistic about business trends beyond April/May 2021. [We] have a very challenging few months to go.” (Accommodation &amp; Food Services)</t>
        </is>
      </c>
    </row>
    <row r="16">
      <c r="A16" t="inlineStr">
        <is>
          <t>Accommodation &amp; Food Services</t>
        </is>
      </c>
      <c r="B16" s="93" t="n">
        <v>44166</v>
      </c>
      <c r="C16" t="inlineStr">
        <is>
          <t>Starting to see demand weakening as states go back to shut down. Will look to see business resume in late first quarter, as vaccine distribution takes place. (Accommodation &amp; Food Services)</t>
        </is>
      </c>
    </row>
    <row r="17">
      <c r="A17" t="inlineStr">
        <is>
          <t>Accommodation &amp; Food Services</t>
        </is>
      </c>
      <c r="B17" s="93" t="n">
        <v>44136</v>
      </c>
      <c r="C17" t="inlineStr">
        <is>
          <t xml:space="preserve">	Conflicting national, regional, and local guidelines/requirements for COVID-19 issues are becoming increasingly difficult to navigate, leading to a lot of just in time (JIT)-type purchases." (Accommodation &amp; Food Services)</t>
        </is>
      </c>
    </row>
    <row r="18">
      <c r="A18" t="inlineStr">
        <is>
          <t>Accommodation &amp; Food Services</t>
        </is>
      </c>
      <c r="B18" s="93" t="n">
        <v>44105</v>
      </c>
      <c r="C18"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19">
      <c r="A19" t="inlineStr">
        <is>
          <t>Accommodation &amp; Food Services</t>
        </is>
      </c>
      <c r="B19" s="93" t="n">
        <v>44044</v>
      </c>
      <c r="C19"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20">
      <c r="A20" t="inlineStr">
        <is>
          <t>Accommodation &amp; Food Services</t>
        </is>
      </c>
      <c r="B20" s="93" t="n">
        <v>43983</v>
      </c>
      <c r="C20"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21">
      <c r="A21" t="inlineStr">
        <is>
          <t>Accommodation &amp; Food Services</t>
        </is>
      </c>
      <c r="B21" s="93" t="n">
        <v>43952</v>
      </c>
      <c r="C21"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22">
      <c r="A22" t="inlineStr">
        <is>
          <t>Accommodation &amp; Food Services</t>
        </is>
      </c>
      <c r="B22" s="93" t="n">
        <v>43922</v>
      </c>
      <c r="C22" t="inlineStr">
        <is>
          <t>“General uncertainty over ramp-up timeline post COVID-19.” (Accommodation &amp; Food Services)</t>
        </is>
      </c>
    </row>
    <row r="23">
      <c r="A23" t="inlineStr">
        <is>
          <t>Accommodation &amp; Food Services</t>
        </is>
      </c>
      <c r="B23" s="93" t="n">
        <v>43891</v>
      </c>
      <c r="C23" t="inlineStr">
        <is>
          <t>“Significant demand disruption caused by the coronavirus.” (Accommodation &amp; Food Services)</t>
        </is>
      </c>
    </row>
    <row r="24">
      <c r="A24" t="inlineStr">
        <is>
          <t>Accommodation &amp; Food Services</t>
        </is>
      </c>
      <c r="B24" s="93" t="n">
        <v>43831</v>
      </c>
      <c r="C24"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25">
      <c r="A25" t="inlineStr">
        <is>
          <t>Accommodation &amp; Food Services</t>
        </is>
      </c>
      <c r="B25" s="93" t="n">
        <v>43800</v>
      </c>
      <c r="C25" t="inlineStr">
        <is>
          <t>"Growth remains steady. While late-year pricing-increase proposals were either flat or in the low single digits, most have been mitigated." (Accommodation &amp; Food Services)</t>
        </is>
      </c>
    </row>
    <row r="26">
      <c r="A26" t="inlineStr">
        <is>
          <t>Accommodation &amp; Food Services</t>
        </is>
      </c>
      <c r="B26" s="93" t="n">
        <v>43739</v>
      </c>
      <c r="C26" t="inlineStr">
        <is>
          <t>“Labor shortage remains a major factor in the increased cost of logistics.” (Accommodation &amp; Food Services)</t>
        </is>
      </c>
    </row>
    <row r="27">
      <c r="A27" t="inlineStr">
        <is>
          <t>Accommodation &amp; Food Services</t>
        </is>
      </c>
      <c r="B27" s="93" t="n">
        <v>43709</v>
      </c>
      <c r="C27"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28">
      <c r="A28" t="inlineStr">
        <is>
          <t>Accommodation &amp; Food Services</t>
        </is>
      </c>
      <c r="B28" s="93" t="n">
        <v>43678</v>
      </c>
      <c r="C28" t="inlineStr">
        <is>
          <t>“Tariffs are affecting the cost of goods on all items imported from China. We’ve experienced a 10-percent increase on Chinese ingredients which kicked in on August 1.” (Accommodation &amp; Food Services)</t>
        </is>
      </c>
    </row>
    <row r="29">
      <c r="A29" t="inlineStr">
        <is>
          <t>Accommodation &amp; Food Services</t>
        </is>
      </c>
      <c r="B29" s="93" t="n">
        <v>43647</v>
      </c>
      <c r="C29" t="inlineStr">
        <is>
          <t>“Business is still strong, considering the seasonality.” (Accommodation &amp; Food Services)</t>
        </is>
      </c>
    </row>
    <row r="30">
      <c r="A30" t="inlineStr">
        <is>
          <t>Accommodation &amp; Food Services</t>
        </is>
      </c>
      <c r="B30" s="93" t="n">
        <v>43586</v>
      </c>
      <c r="C30" t="inlineStr">
        <is>
          <t>“Economy is good and it's showing in our weekly sales, tariffs are affecting some, but doesn't seem to matter. Our prices are up as well as costs, but sales are good.” (Accommodation &amp; Food Services)</t>
        </is>
      </c>
    </row>
    <row r="31">
      <c r="A31" t="inlineStr">
        <is>
          <t>Accommodation &amp; Food Services</t>
        </is>
      </c>
      <c r="B31" s="93" t="n">
        <v>43556</v>
      </c>
      <c r="C31"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32">
      <c r="A32" t="inlineStr">
        <is>
          <t>Accommodation &amp; Food Services</t>
        </is>
      </c>
      <c r="B32" s="93" t="n">
        <v>43525</v>
      </c>
      <c r="C32" t="inlineStr">
        <is>
          <t>“Labor is tight and in short supply.” (Accommodation &amp; Food Services)</t>
        </is>
      </c>
    </row>
    <row r="33">
      <c r="A33" t="inlineStr">
        <is>
          <t>Accommodation &amp; Food Services</t>
        </is>
      </c>
      <c r="B33" s="93" t="n">
        <v>43497</v>
      </c>
      <c r="C33" t="inlineStr">
        <is>
          <t>“We are anxiously awaiting decisions in the next couple of weeks on the fate of the proposed tariffs on China. High Chinese commitments to agriculture output will put cost pressure on food and restaurant margins.” (Accommodation &amp; Food Services)</t>
        </is>
      </c>
    </row>
    <row r="34">
      <c r="A34" t="inlineStr">
        <is>
          <t>Agriculture, Forestry, Fishing &amp; Hunting</t>
        </is>
      </c>
      <c r="B34" s="93" t="n">
        <v>44621</v>
      </c>
      <c r="C34" t="inlineStr">
        <is>
          <t>“Grain and fertilizer prices are near all-time highs, resulting in decreased purchasing.”</t>
        </is>
      </c>
    </row>
    <row r="35">
      <c r="A35" t="inlineStr">
        <is>
          <t>Agriculture, Forestry, Fishing &amp; Hunting</t>
        </is>
      </c>
      <c r="B35" s="93" t="n">
        <v>44593</v>
      </c>
      <c r="C35" t="inlineStr">
        <is>
          <t>“Supply chain challenges continue to result in lower inventories of products and higher costs. The challenges are at the highest point since COVID-19 began.”</t>
        </is>
      </c>
    </row>
    <row r="36">
      <c r="A36" t="inlineStr">
        <is>
          <t>Agriculture, Forestry, Fishing &amp; Hunting</t>
        </is>
      </c>
      <c r="B36" s="93" t="n">
        <v>44562</v>
      </c>
      <c r="C36" t="inlineStr">
        <is>
          <t>“Challenging operating conditions remain the same to start the new year. Our biggest service providers seem to be rebounding from labor shortages or are managing their way through them. We will be forced to upgrade some equipment that is less reliant on labor.”</t>
        </is>
      </c>
    </row>
    <row r="37">
      <c r="A37" t="inlineStr">
        <is>
          <t>Agriculture, Forestry, Fishing &amp; Hunting</t>
        </is>
      </c>
      <c r="B37" s="93" t="n">
        <v>44531</v>
      </c>
      <c r="C37" t="inlineStr">
        <is>
          <t>“Supply chain issues continue, but our business is adapting.”</t>
        </is>
      </c>
    </row>
    <row r="38">
      <c r="A38" t="inlineStr">
        <is>
          <t>Agriculture, Forestry, Fishing &amp; Hunting</t>
        </is>
      </c>
      <c r="B38" s="93" t="n">
        <v>44501</v>
      </c>
      <c r="C38" t="inlineStr">
        <is>
          <t>“Business is greater than in the past. Supply chain issues persist, but we’re evolving to overcome or manage them better than in the past.” [Agriculture, Forestry, Fishing &amp; Hunting]</t>
        </is>
      </c>
    </row>
    <row r="39">
      <c r="A39" t="inlineStr">
        <is>
          <t>Agriculture, Forestry, Fishing &amp; Hunting</t>
        </is>
      </c>
      <c r="B39" s="93" t="n">
        <v>44470</v>
      </c>
      <c r="C39" t="inlineStr">
        <is>
          <t>“Container delays are causing serious implications for our supply chain.” [Agriculture, Forestry, Fishing &amp; Hunting]</t>
        </is>
      </c>
    </row>
    <row r="40">
      <c r="A40" t="inlineStr">
        <is>
          <t>Agriculture, Forestry, Fishing &amp; Hunting</t>
        </is>
      </c>
      <c r="B40" s="93" t="n">
        <v>44409</v>
      </c>
      <c r="C40" t="inlineStr">
        <is>
          <t>There is a shortage of available workers which is challenging our business operations. [Agriculture, Forestry, Fishing &amp; Hunting]</t>
        </is>
      </c>
    </row>
    <row r="41">
      <c r="A41" t="inlineStr">
        <is>
          <t>Agriculture, Forestry, Fishing &amp; Hunting</t>
        </is>
      </c>
      <c r="B41" s="93" t="n">
        <v>44378</v>
      </c>
      <c r="C41" t="inlineStr">
        <is>
          <t>“The slow movement of container traffic has definitely impacted our business in the first half of the year. We expect the situation will take another year to correct itself.” [Agriculture, Forestry, Fishing &amp; Hunting]</t>
        </is>
      </c>
    </row>
    <row r="42">
      <c r="A42" t="inlineStr">
        <is>
          <t>Agriculture, Forestry, Fishing &amp; Hunting</t>
        </is>
      </c>
      <c r="B42" s="93" t="n">
        <v>44317</v>
      </c>
      <c r="C42"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43">
      <c r="A43" t="inlineStr">
        <is>
          <t>Agriculture, Forestry, Fishing &amp; Hunting</t>
        </is>
      </c>
      <c r="B43" s="93" t="n">
        <v>44287</v>
      </c>
      <c r="C43" t="inlineStr">
        <is>
          <t>Delays in container deliveries are now impacting our business. (Agriculture, Forestry, Fishing &amp; Hunting)</t>
        </is>
      </c>
    </row>
    <row r="44">
      <c r="A44" t="inlineStr">
        <is>
          <t>Agriculture, Forestry, Fishing &amp; Hunting</t>
        </is>
      </c>
      <c r="B44" s="93" t="n">
        <v>44075</v>
      </c>
      <c r="C44" t="inlineStr">
        <is>
          <t>“Business has been fairly stable over the summer; however, there is still a great deal of uncertainty as we move into fall and winter [and] how our sales volume will be.” (Agriculture, Forestry, Fishing &amp; Hunting)</t>
        </is>
      </c>
    </row>
    <row r="45">
      <c r="A45" t="inlineStr">
        <is>
          <t>Agriculture, Forestry, Fishing &amp; Hunting</t>
        </is>
      </c>
      <c r="B45" s="93" t="n">
        <v>43983</v>
      </c>
      <c r="C45" t="inlineStr">
        <is>
          <t>“Surprising recovery to sales volume over the past four weeks.” (Agriculture, Forestry, Fishing &amp; Hunting)</t>
        </is>
      </c>
    </row>
    <row r="46">
      <c r="A46" t="inlineStr">
        <is>
          <t>Agriculture, Forestry, Fishing &amp; Hunting</t>
        </is>
      </c>
      <c r="B46" s="93" t="n">
        <v>43952</v>
      </c>
      <c r="C46" t="inlineStr">
        <is>
          <t>“Demand seems to have bottomed out, and we are seeing signs of increasing interest. Inventories of finished goods are extensive, so production will slowly rebound in the coming months.” (Agriculture, Forestry, Fishing &amp; Hunting)</t>
        </is>
      </c>
    </row>
    <row r="47">
      <c r="A47" t="inlineStr">
        <is>
          <t>Agriculture, Forestry, Fishing &amp; Hunting</t>
        </is>
      </c>
      <c r="B47" s="93" t="n">
        <v>43922</v>
      </c>
      <c r="C47" t="inlineStr">
        <is>
          <t>“COVID-19 pandemic has forced our business to close as of March 17, 2020. We do not have a re-opening date yet; our purchasing activity has been greatly reduced due to the current business environment.” (Arts, Entertainment &amp; Recreation)</t>
        </is>
      </c>
    </row>
    <row r="48">
      <c r="A48" t="inlineStr">
        <is>
          <t>Agriculture, Forestry, Fishing &amp; Hunting</t>
        </is>
      </c>
      <c r="B48" s="93" t="n">
        <v>43770</v>
      </c>
      <c r="C48" t="inlineStr">
        <is>
          <t>“Generally sluggish demand in the past month; back to summertime levels.” (Agriculture, Forestry, Fishing &amp; Hunting)</t>
        </is>
      </c>
    </row>
    <row r="49">
      <c r="A49" t="inlineStr">
        <is>
          <t>Agriculture, Forestry, Fishing &amp; Hunting</t>
        </is>
      </c>
      <c r="B49" s="93" t="n">
        <v>43709</v>
      </c>
      <c r="C49" t="inlineStr">
        <is>
          <t>“Demand has been variable — up one month, down the next. I think customers are watching our input costs and buying ahead on the dips, to the extent that contracts allow.” (Agriculture, Forestry, Fishing &amp; Hunting)</t>
        </is>
      </c>
    </row>
    <row r="50">
      <c r="A50" t="inlineStr">
        <is>
          <t>Agriculture, Forestry, Fishing &amp; Hunting</t>
        </is>
      </c>
      <c r="B50" s="93" t="n">
        <v>43678</v>
      </c>
      <c r="C50" t="inlineStr">
        <is>
          <t>“Generally good. Volumes are near expectations; however, commodity volatility is creating some challenges.” (Agriculture, Forestry, Fishing &amp; Hunting)</t>
        </is>
      </c>
    </row>
    <row r="51">
      <c r="A51" t="inlineStr">
        <is>
          <t>Agriculture, Forestry, Fishing &amp; Hunting</t>
        </is>
      </c>
      <c r="B51" s="93" t="n">
        <v>43617</v>
      </c>
      <c r="C51" t="inlineStr">
        <is>
          <t>“Low milk prices and a weakened dairy economy resulted in reduced feed sales.” (Agriculture, Forestry, Fishing &amp; Hunting)</t>
        </is>
      </c>
    </row>
    <row r="52">
      <c r="A52" t="inlineStr">
        <is>
          <t>Agriculture, Forestry, Fishing &amp; Hunting</t>
        </is>
      </c>
      <c r="B52" s="93" t="n">
        <v>43556</v>
      </c>
      <c r="C52" t="inlineStr">
        <is>
          <t xml:space="preserve"> “We have increased wages to comply with increases in government-mandated minimum-wage levels. In order to retain production employees, we are going to a weekly payroll system.” (Agriculture, Forestry, Fishing &amp; Hunting)</t>
        </is>
      </c>
    </row>
    <row r="53">
      <c r="A53" t="inlineStr">
        <is>
          <t>Arts, Entertainment &amp; Recreation</t>
        </is>
      </c>
      <c r="B53" s="93" t="n">
        <v>44593</v>
      </c>
      <c r="C53" t="inlineStr">
        <is>
          <t>“We are projecting 2022 to be busier than 2021. Our business volume should begin to increase significantly in March.”</t>
        </is>
      </c>
    </row>
    <row r="54">
      <c r="A54" t="inlineStr">
        <is>
          <t>Arts, Entertainment &amp; Recreation</t>
        </is>
      </c>
      <c r="B54" s="93" t="n">
        <v>44501</v>
      </c>
      <c r="C54" t="inlineStr">
        <is>
          <t>“Some food products that we have contracts on have been unavailable. Substitutes are always higher in cost.” [Arts, Entertainment &amp; Recreation]</t>
        </is>
      </c>
    </row>
    <row r="55">
      <c r="A55" t="inlineStr">
        <is>
          <t>Arts, Entertainment &amp; Recreation</t>
        </is>
      </c>
      <c r="B55" s="93" t="n">
        <v>44348</v>
      </c>
      <c r="C55" t="inlineStr">
        <is>
          <t>Severe supply chain disruptions and inflation are continuing in the marketplace, in all sectors. [Arts, Entertainment &amp; Recreation]</t>
        </is>
      </c>
    </row>
    <row r="56">
      <c r="A56" t="inlineStr">
        <is>
          <t>Arts, Entertainment &amp; Recreation</t>
        </is>
      </c>
      <c r="B56" s="93" t="n">
        <v>44317</v>
      </c>
      <c r="C56" t="inlineStr">
        <is>
          <t>Business continues to improve, and we have worked through many of the supply chain disruptions at this time. We have begun to return to work at our corporate office on a limited basis. [Arts, Entertainment &amp; Recreation]</t>
        </is>
      </c>
    </row>
    <row r="57">
      <c r="A57" t="inlineStr">
        <is>
          <t>Arts, Entertainment &amp; Recreation</t>
        </is>
      </c>
      <c r="B57" s="93" t="n">
        <v>44256</v>
      </c>
      <c r="C57"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58">
      <c r="A58" t="inlineStr">
        <is>
          <t>Arts, Entertainment &amp; Recreation</t>
        </is>
      </c>
      <c r="B58" s="93" t="n">
        <v>44228</v>
      </c>
      <c r="C58" t="inlineStr">
        <is>
          <t>“The declining COVID-19 cases in the four states we operate in, combined with the increased vaccination rates, should bode well for our increased business activity moving into the second quarter of 2021.” (Arts, Entertainment &amp; Recreation)</t>
        </is>
      </c>
    </row>
    <row r="59">
      <c r="A59" t="inlineStr">
        <is>
          <t>Arts, Entertainment &amp; Recreation</t>
        </is>
      </c>
      <c r="B59" s="93" t="n">
        <v>43709</v>
      </c>
      <c r="C59"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60">
      <c r="A60" t="inlineStr">
        <is>
          <t>Arts, Entertainment &amp; Recreation</t>
        </is>
      </c>
      <c r="B60" s="93" t="n">
        <v>43586</v>
      </c>
      <c r="C60" t="inlineStr">
        <is>
          <t>“Low unemployment is good since our business is entertainment and relies on discretionary spend.” (Arts, Entertainment &amp; Recreation</t>
        </is>
      </c>
    </row>
    <row r="61">
      <c r="A61" t="inlineStr">
        <is>
          <t>Construction</t>
        </is>
      </c>
      <c r="B61" s="93" t="n">
        <v>44593</v>
      </c>
      <c r="C61" t="inlineStr">
        <is>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is>
      </c>
    </row>
    <row r="62">
      <c r="A62" t="inlineStr">
        <is>
          <t>Construction</t>
        </is>
      </c>
      <c r="B62" s="93" t="n">
        <v>44562</v>
      </c>
      <c r="C62" t="inlineStr">
        <is>
          <t>“Costs have escalated to what we believe are unsustainable levels. Available labor is nonexistent, so we have cut staffing and are taking on fewer projects temporarily in an attempt to reduce cost. Outsourcing where possible. We are not optimistic at this time.”</t>
        </is>
      </c>
    </row>
    <row r="63">
      <c r="A63" t="inlineStr">
        <is>
          <t>Construction</t>
        </is>
      </c>
      <c r="B63" s="93" t="n">
        <v>44531</v>
      </c>
      <c r="C63" t="inlineStr">
        <is>
          <t>“The escalation in costs for materials, fuel, labor, lodging and the like continues to negatively impact margins in an unsustainable direction.”</t>
        </is>
      </c>
    </row>
    <row r="64">
      <c r="A64" t="inlineStr">
        <is>
          <t>Construction</t>
        </is>
      </c>
      <c r="B64" s="93" t="n">
        <v>44501</v>
      </c>
      <c r="C64" t="inlineStr">
        <is>
          <t>“Construction material shortages and longer lead times continue to hamper operations. Significant cost increases from labor and freight are forecast for the start of next year.” [Construction]</t>
        </is>
      </c>
    </row>
    <row r="65">
      <c r="A65" t="inlineStr">
        <is>
          <t>Construction</t>
        </is>
      </c>
      <c r="B65" s="93" t="n">
        <v>44470</v>
      </c>
      <c r="C65" t="inlineStr">
        <is>
          <t>“Supply chain disruptions continue to roil new residential construction. Material and skilled labor shortages are lengthening cycle times and forcing substitutions.” [Construction]</t>
        </is>
      </c>
    </row>
    <row r="66">
      <c r="A66" t="inlineStr">
        <is>
          <t>Construction</t>
        </is>
      </c>
      <c r="B66" s="93" t="n">
        <v>44440</v>
      </c>
      <c r="C66" t="inlineStr">
        <is>
          <t>“Constraints on logistics from a cost and availability standpoint continue to be an issue.” [Construction]</t>
        </is>
      </c>
    </row>
    <row r="67">
      <c r="A67" t="inlineStr">
        <is>
          <t>Construction</t>
        </is>
      </c>
      <c r="B67" s="93" t="n">
        <v>44409</v>
      </c>
      <c r="C67" t="inlineStr">
        <is>
          <t>Material and labor shortages continue to hinder productivity. Price increases are ever-present and repetitive. Large, multinational manufacturers have had multiple price increases in the last three months. [Construction]</t>
        </is>
      </c>
    </row>
    <row r="68">
      <c r="A68" t="inlineStr">
        <is>
          <t>Construction</t>
        </is>
      </c>
      <c r="B68" s="93" t="n">
        <v>44378</v>
      </c>
      <c r="C68" t="inlineStr">
        <is>
          <t>“Costs have risen dramatically in the last 45 days. Lodging, fuel, travel and supplies are all rising sharply. Costs for available labor are also rising, as demand increases in a diminished labor pool.” [Construction]</t>
        </is>
      </c>
    </row>
    <row r="69">
      <c r="A69" t="inlineStr">
        <is>
          <t>Construction</t>
        </is>
      </c>
      <c r="B69" s="93" t="n">
        <v>44348</v>
      </c>
      <c r="C69" t="inlineStr">
        <is>
          <t>COVID-19 continues to cause troubles for all of our deliveries, as well as short supply a lot of materials. (Shortages of) lumber, copper, and steel continue, which is driving up pricing and lead times. [Construction]</t>
        </is>
      </c>
    </row>
    <row r="70">
      <c r="A70" t="inlineStr">
        <is>
          <t>Construction</t>
        </is>
      </c>
      <c r="B70" s="93" t="n">
        <v>44317</v>
      </c>
      <c r="C70"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71">
      <c r="A71" t="inlineStr">
        <is>
          <t>Construction</t>
        </is>
      </c>
      <c r="B71" s="93" t="n">
        <v>44287</v>
      </c>
      <c r="C71"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72">
      <c r="A72" t="inlineStr">
        <is>
          <t>Construction</t>
        </is>
      </c>
      <c r="B72" s="93" t="n">
        <v>44256</v>
      </c>
      <c r="C72"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73">
      <c r="A73" t="inlineStr">
        <is>
          <t>Construction</t>
        </is>
      </c>
      <c r="B73" s="93" t="n">
        <v>44228</v>
      </c>
      <c r="C73"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74">
      <c r="A74" t="inlineStr">
        <is>
          <t>Construction</t>
        </is>
      </c>
      <c r="B74" s="93" t="n">
        <v>44197</v>
      </c>
      <c r="C74" t="inlineStr">
        <is>
          <t>“Orders for new business have picked up. Labor is still the major impediment to the business.” (Construction)</t>
        </is>
      </c>
    </row>
    <row r="75">
      <c r="A75" t="inlineStr">
        <is>
          <t>Construction</t>
        </is>
      </c>
      <c r="B75" s="93" t="n">
        <v>44166</v>
      </c>
      <c r="C75" t="inlineStr">
        <is>
          <t>Lack of labor continues to be a significant drag on the business. We have plenty of work but are now considering rejecting some orders due to shrinking capacity. (Construction)</t>
        </is>
      </c>
    </row>
    <row r="76">
      <c r="A76" t="inlineStr">
        <is>
          <t>Construction</t>
        </is>
      </c>
      <c r="B76" s="93" t="n">
        <v>44136</v>
      </c>
      <c r="C76" t="inlineStr">
        <is>
          <t xml:space="preserve">	Business is pushing to complete projects due to seasonality in most of our markets. Volume is strong at this point but will gradually slow as temperatures drop in most of the country." (Construction)</t>
        </is>
      </c>
    </row>
    <row r="77">
      <c r="A77" t="inlineStr">
        <is>
          <t>Construction</t>
        </is>
      </c>
      <c r="B77" s="93" t="n">
        <v>44105</v>
      </c>
      <c r="C77" t="inlineStr">
        <is>
          <t>“Interesting business cycle: Labor is still in short supply, and work orders are picking up.” (Construction)</t>
        </is>
      </c>
    </row>
    <row r="78">
      <c r="A78" t="inlineStr">
        <is>
          <t>Construction</t>
        </is>
      </c>
      <c r="B78" s="93" t="n">
        <v>44075</v>
      </c>
      <c r="C78" t="inlineStr">
        <is>
          <t>“Work orders are improving rapidly. Lack of available labor is having a significant impact on our ability to fulfill orders.” (Construction)</t>
        </is>
      </c>
    </row>
    <row r="79">
      <c r="A79" t="inlineStr">
        <is>
          <t>Construction</t>
        </is>
      </c>
      <c r="B79" s="93" t="n">
        <v>44044</v>
      </c>
      <c r="C79" t="inlineStr">
        <is>
          <t>“Overall, we are seeing improvement in the level of activity in the short term. Backlog of orders is inconsistent.” (Construction)</t>
        </is>
      </c>
    </row>
    <row r="80">
      <c r="A80" t="inlineStr">
        <is>
          <t>Construction</t>
        </is>
      </c>
      <c r="B80" s="93" t="n">
        <v>43983</v>
      </c>
      <c r="C80" t="inlineStr">
        <is>
          <t>“Sales have picked up tremendously. Sporadic supply issues. Biggest concern for us is lumber shortages.” (Construction)</t>
        </is>
      </c>
    </row>
    <row r="81">
      <c r="A81" t="inlineStr">
        <is>
          <t>Construction</t>
        </is>
      </c>
      <c r="B81" s="93" t="n">
        <v>43952</v>
      </c>
      <c r="C81"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82">
      <c r="A82" t="inlineStr">
        <is>
          <t>Construction</t>
        </is>
      </c>
      <c r="B82" s="93" t="n">
        <v>43922</v>
      </c>
      <c r="C82"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83">
      <c r="A83" t="inlineStr">
        <is>
          <t>Construction</t>
        </is>
      </c>
      <c r="B83" s="93" t="n">
        <v>43891</v>
      </c>
      <c r="C83" t="inlineStr">
        <is>
          <t>“The coronavirus is having an impact, but not as much as we thought it would at this point. All sectors are staying busy. Although there are many customer concerns, we are finding work-arounds and adapting to the ever-changing situation.” (Construction)</t>
        </is>
      </c>
    </row>
    <row r="84">
      <c r="A84" t="inlineStr">
        <is>
          <t>Construction</t>
        </is>
      </c>
      <c r="B84" s="93" t="n">
        <v>43862</v>
      </c>
      <c r="C84" t="inlineStr">
        <is>
          <t>“[The] coronavirus has increased lead times for the critical items.” (Construction)</t>
        </is>
      </c>
    </row>
    <row r="85">
      <c r="A85" t="inlineStr">
        <is>
          <t>Construction</t>
        </is>
      </c>
      <c r="B85" s="93" t="n">
        <v>43831</v>
      </c>
      <c r="C85" t="inlineStr">
        <is>
          <t>“Q1 sales are improving, which makes us more optimistic.” (Construction)</t>
        </is>
      </c>
    </row>
    <row r="86">
      <c r="A86" t="inlineStr">
        <is>
          <t>Construction</t>
        </is>
      </c>
      <c r="B86" s="93" t="n">
        <v>43800</v>
      </c>
      <c r="C86"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87">
      <c r="A87" t="inlineStr">
        <is>
          <t>Construction</t>
        </is>
      </c>
      <c r="B87" s="93" t="n">
        <v>43770</v>
      </c>
      <c r="C87" t="inlineStr">
        <is>
          <t>“Activity is still up in all areas, but primarily in commercial construction.”</t>
        </is>
      </c>
    </row>
    <row r="88">
      <c r="A88" t="inlineStr">
        <is>
          <t>Construction</t>
        </is>
      </c>
      <c r="B88" s="93" t="n">
        <v>43739</v>
      </c>
      <c r="C88" t="inlineStr">
        <is>
          <t>“Current outlooks for commodities, equipment, and materials indicate purchasing now has leverage. Investment is still hampered by uncertainties in trade, global economic environment, manufacturing and the like.” (Construction)</t>
        </is>
      </c>
    </row>
    <row r="89">
      <c r="A89" t="inlineStr">
        <is>
          <t>Construction</t>
        </is>
      </c>
      <c r="B89" s="93" t="n">
        <v>43709</v>
      </c>
      <c r="C89" t="inlineStr">
        <is>
          <t>“We are very busy right now [and] expect to be so for the next 12 months. We are still very shorthanded with qualified labor.” (Construction)</t>
        </is>
      </c>
    </row>
    <row r="90">
      <c r="A90" t="inlineStr">
        <is>
          <t>Construction</t>
        </is>
      </c>
      <c r="B90" s="93" t="n">
        <v>43678</v>
      </c>
      <c r="C90" t="inlineStr">
        <is>
          <t>“Lower mortgage rates have not had a great effect on new residential construction sales. Tariffs continue to apply upward cost pressures to current supply chains.” (Construction)</t>
        </is>
      </c>
    </row>
    <row r="91">
      <c r="A91" t="inlineStr">
        <is>
          <t>Construction</t>
        </is>
      </c>
      <c r="B91" s="93" t="n">
        <v>43647</v>
      </c>
      <c r="C91" t="inlineStr">
        <is>
          <t>“Tariffs continue to push costs higher, and customers are looking for more discounts due to mortgage-rate fluctuations.” (Construction)</t>
        </is>
      </c>
    </row>
    <row r="92">
      <c r="A92" t="inlineStr">
        <is>
          <t>Construction</t>
        </is>
      </c>
      <c r="B92" s="93" t="n">
        <v>43617</v>
      </c>
      <c r="C92"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93">
      <c r="A93" t="inlineStr">
        <is>
          <t>Construction</t>
        </is>
      </c>
      <c r="B93" s="93" t="n">
        <v>43586</v>
      </c>
      <c r="C93" t="inlineStr">
        <is>
          <t>“Ability to source and retain employees continues to strain the business.” (Construction)</t>
        </is>
      </c>
    </row>
    <row r="94">
      <c r="A94" t="inlineStr">
        <is>
          <t>Construction</t>
        </is>
      </c>
      <c r="B94" s="93" t="n">
        <v>43556</v>
      </c>
      <c r="C94" t="inlineStr">
        <is>
          <t>“Spring selling season is here for residential construction. Sales are coming, but negotiations are now the norm. Traffic is higher than the last three months, mostly due to lower mortgage rates.” (Construction)</t>
        </is>
      </c>
    </row>
    <row r="95">
      <c r="A95" t="inlineStr">
        <is>
          <t>Construction</t>
        </is>
      </c>
      <c r="B95" s="93" t="n">
        <v>43525</v>
      </c>
      <c r="C95" t="inlineStr">
        <is>
          <t>“While we have a slowed down in residential service and install [area], we are still experiencing strength in the new commercial construction area.” (Construction)</t>
        </is>
      </c>
    </row>
    <row r="96">
      <c r="A96" t="inlineStr">
        <is>
          <t>Construction</t>
        </is>
      </c>
      <c r="B96" s="93" t="n">
        <v>43497</v>
      </c>
      <c r="C96" t="inlineStr">
        <is>
          <t>“Still strong in all areas, due mostly to commercial construction activity.” (Construction)</t>
        </is>
      </c>
    </row>
    <row r="97">
      <c r="A97" t="inlineStr">
        <is>
          <t>Construction</t>
        </is>
      </c>
      <c r="B97" s="93" t="n">
        <v>43466</v>
      </c>
      <c r="C97" t="inlineStr">
        <is>
          <t>“Business has slowed well below expectations as our customers deal with the effects of economic situations exacerbated by the government shutdown.” (Construction)</t>
        </is>
      </c>
    </row>
    <row r="98">
      <c r="A98" t="inlineStr">
        <is>
          <t>Educational Services</t>
        </is>
      </c>
      <c r="B98" s="93" t="n">
        <v>44621</v>
      </c>
      <c r="C98" t="inlineStr">
        <is>
          <t>“Labor and inflation continue to push costs higher across the board for food and food-service supplies.”</t>
        </is>
      </c>
    </row>
    <row r="99">
      <c r="A99" t="inlineStr">
        <is>
          <t>Educational Services</t>
        </is>
      </c>
      <c r="B99" s="93" t="n">
        <v>44593</v>
      </c>
      <c r="C99" t="inlineStr">
        <is>
          <t>“Inflation is contributing to budget constraints, supply chain restraints and labor shortages.”</t>
        </is>
      </c>
    </row>
    <row r="100">
      <c r="A100" t="inlineStr">
        <is>
          <t>Educational Services</t>
        </is>
      </c>
      <c r="B100" s="93" t="n">
        <v>44501</v>
      </c>
      <c r="C100"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101">
      <c r="A101" t="inlineStr">
        <is>
          <t>Educational Services</t>
        </is>
      </c>
      <c r="B101" s="93" t="n">
        <v>44470</v>
      </c>
      <c r="C101"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102">
      <c r="A102" t="inlineStr">
        <is>
          <t>Educational Services</t>
        </is>
      </c>
      <c r="B102" s="93" t="n">
        <v>44440</v>
      </c>
      <c r="C102" t="inlineStr">
        <is>
          <t>“Lead times on electronics and computer chips have greatly increased. Outlook for higher education remains flat for most colleges, not including elite and Ivy League institutions.” [Educational Services]</t>
        </is>
      </c>
    </row>
    <row r="103">
      <c r="A103" t="inlineStr">
        <is>
          <t>Educational Services</t>
        </is>
      </c>
      <c r="B103" s="93" t="n">
        <v>44409</v>
      </c>
      <c r="C103" t="inlineStr">
        <is>
          <t>Budget constraints due to student enrollment (impacted by) COVID-19 restrictions. Outlook to remain flat or little increase. Supply chain constraints with regard to limited supply of computer hardware to fulfill orders. [Educational Services]</t>
        </is>
      </c>
    </row>
    <row r="104">
      <c r="A104" t="inlineStr">
        <is>
          <t>Educational Services</t>
        </is>
      </c>
      <c r="B104" s="93" t="n">
        <v>44348</v>
      </c>
      <c r="C104"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105">
      <c r="A105" t="inlineStr">
        <is>
          <t>Educational Services</t>
        </is>
      </c>
      <c r="B105" s="93" t="n">
        <v>44287</v>
      </c>
      <c r="C105" t="inlineStr">
        <is>
          <t>Higher volume of activity in anticipation of a reopening of the campus in the fall of 2021. (Educational Services)</t>
        </is>
      </c>
    </row>
    <row r="106">
      <c r="A106" t="inlineStr">
        <is>
          <t>Educational Services</t>
        </is>
      </c>
      <c r="B106" s="93" t="n">
        <v>44256</v>
      </c>
      <c r="C106" t="inlineStr">
        <is>
          <t>“There is optimism in higher education that Fall 2021 will be near normal with vaccinated students, employees and staff returning to their roles on campus.” (Educational Services)</t>
        </is>
      </c>
    </row>
    <row r="107">
      <c r="A107" t="inlineStr">
        <is>
          <t>Educational Services</t>
        </is>
      </c>
      <c r="B107" s="93" t="n">
        <v>44228</v>
      </c>
      <c r="C107" t="inlineStr">
        <is>
          <t>“COVID-19 restrictions continue to affect the number of students either applying to college, living on campus or finding alternative means of a valuable education. As such, revenues have decreased while expenses increased.” (Educational Services)</t>
        </is>
      </c>
    </row>
    <row r="108">
      <c r="A108" t="inlineStr">
        <is>
          <t>Educational Services</t>
        </is>
      </c>
      <c r="B108" s="93" t="n">
        <v>44197</v>
      </c>
      <c r="C108" t="inlineStr">
        <is>
          <t>“Seasonal reduction of activity due to winter break from campus activity.” (Educational Services)</t>
        </is>
      </c>
    </row>
    <row r="109">
      <c r="A109" t="inlineStr">
        <is>
          <t>Educational Services</t>
        </is>
      </c>
      <c r="B109" s="93" t="n">
        <v>44166</v>
      </c>
      <c r="C109"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10">
      <c r="A110" t="inlineStr">
        <is>
          <t>Educational Services</t>
        </is>
      </c>
      <c r="B110" s="93" t="n">
        <v>44136</v>
      </c>
      <c r="C110"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11">
      <c r="A111" t="inlineStr">
        <is>
          <t>Educational Services</t>
        </is>
      </c>
      <c r="B111" s="93" t="n">
        <v>44105</v>
      </c>
      <c r="C111"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12">
      <c r="A112" t="inlineStr">
        <is>
          <t>Educational Services</t>
        </is>
      </c>
      <c r="B112" s="93" t="n">
        <v>44075</v>
      </c>
      <c r="C112"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13">
      <c r="A113" t="inlineStr">
        <is>
          <t>Educational Services</t>
        </is>
      </c>
      <c r="B113" s="93" t="n">
        <v>44044</v>
      </c>
      <c r="C113"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14">
      <c r="A114" t="inlineStr">
        <is>
          <t>Educational Services</t>
        </is>
      </c>
      <c r="B114" s="93" t="n">
        <v>44013</v>
      </c>
      <c r="C114"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15">
      <c r="A115" t="inlineStr">
        <is>
          <t>Educational Services</t>
        </is>
      </c>
      <c r="B115" s="93" t="n">
        <v>43983</v>
      </c>
      <c r="C115"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16">
      <c r="A116" t="inlineStr">
        <is>
          <t>Educational Services</t>
        </is>
      </c>
      <c r="B116" s="93" t="n">
        <v>43952</v>
      </c>
      <c r="C116"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17">
      <c r="A117" t="inlineStr">
        <is>
          <t>Educational Services</t>
        </is>
      </c>
      <c r="B117" s="93" t="n">
        <v>43922</v>
      </c>
      <c r="C117"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18">
      <c r="A118" t="inlineStr">
        <is>
          <t>Educational Services</t>
        </is>
      </c>
      <c r="B118" s="93" t="n">
        <v>43891</v>
      </c>
      <c r="C118" t="inlineStr">
        <is>
          <t>“COVID-19 shelter-in-place order in effect. Offices closed except for essential personnel.” (Educational Services)</t>
        </is>
      </c>
    </row>
    <row r="119">
      <c r="A119" t="inlineStr">
        <is>
          <t>Finance &amp; Insurance</t>
        </is>
      </c>
      <c r="B119" s="93" t="n">
        <v>44593</v>
      </c>
      <c r="C119" t="inlineStr">
        <is>
          <t>“Employee turnover within our company and with our suppliers is causing delays in decisions and orders.”</t>
        </is>
      </c>
    </row>
    <row r="120">
      <c r="A120" t="inlineStr">
        <is>
          <t>Finance &amp; Insurance</t>
        </is>
      </c>
      <c r="B120" s="93" t="n">
        <v>44562</v>
      </c>
      <c r="C120" t="inlineStr">
        <is>
          <t>“Business activity is increasing, but professional labor continues to be in short supply. Virtual work is preferred by clients.”</t>
        </is>
      </c>
    </row>
    <row r="121">
      <c r="A121" t="inlineStr">
        <is>
          <t>Finance &amp; Insurance</t>
        </is>
      </c>
      <c r="B121" s="93" t="n">
        <v>44531</v>
      </c>
      <c r="C121" t="inlineStr">
        <is>
          <t>“Higher than normal employee attrition within our own company and at our suppliers, which is causing disruptions and delays.”</t>
        </is>
      </c>
    </row>
    <row r="122">
      <c r="A122" t="inlineStr">
        <is>
          <t>Finance &amp; Insurance</t>
        </is>
      </c>
      <c r="B122" s="93" t="n">
        <v>44501</v>
      </c>
      <c r="C122" t="inlineStr">
        <is>
          <t>“Seeing inflationary forces in the marketplace, which is resulting in suppliers raising their prices moving into 2022.” [Finance &amp; Insurance]</t>
        </is>
      </c>
    </row>
    <row r="123">
      <c r="A123" t="inlineStr">
        <is>
          <t>Finance &amp; Insurance</t>
        </is>
      </c>
      <c r="B123" s="93" t="n">
        <v>44440</v>
      </c>
      <c r="C123" t="inlineStr">
        <is>
          <t>“International and domestic demand remains very strong.” [Finance &amp; Insurance]</t>
        </is>
      </c>
    </row>
    <row r="124">
      <c r="A124" t="inlineStr">
        <is>
          <t>Finance &amp; Insurance</t>
        </is>
      </c>
      <c r="B124" s="93" t="n">
        <v>44348</v>
      </c>
      <c r="C124" t="inlineStr">
        <is>
          <t>New business is actively trending up locally, nationally and internationally. [Finance &amp; Insurance]</t>
        </is>
      </c>
    </row>
    <row r="125">
      <c r="A125" t="inlineStr">
        <is>
          <t>Finance &amp; Insurance</t>
        </is>
      </c>
      <c r="B125" s="93" t="n">
        <v>44317</v>
      </c>
      <c r="C125" t="inlineStr">
        <is>
          <t>We anticipated the reopening reasonably well but were caught off guard with respect to some materials. Steel and copper went higher than anticipated, and shortages are having an impact. [Finance &amp; Insurance]</t>
        </is>
      </c>
    </row>
    <row r="126">
      <c r="A126" t="inlineStr">
        <is>
          <t>Finance &amp; Insurance</t>
        </is>
      </c>
      <c r="B126" s="93" t="n">
        <v>44287</v>
      </c>
      <c r="C126" t="inlineStr">
        <is>
          <t>Conditions are good for the market/industry. Continuing to trend under budget for operating expenses. Outlook is positive for the second quarter of 2021. (Finance &amp; Insurance)</t>
        </is>
      </c>
    </row>
    <row r="127">
      <c r="A127" t="inlineStr">
        <is>
          <t>Finance &amp; Insurance</t>
        </is>
      </c>
      <c r="B127" s="93" t="n">
        <v>44256</v>
      </c>
      <c r="C127" t="inlineStr">
        <is>
          <t>“Local and national outlook remains positive, despite return-to-work concerns [and] work-from-home-related issues/purchases.” (Finance &amp; Insurance)</t>
        </is>
      </c>
    </row>
    <row r="128">
      <c r="A128" t="inlineStr">
        <is>
          <t>Finance &amp; Insurance</t>
        </is>
      </c>
      <c r="B128" s="93" t="n">
        <v>44228</v>
      </c>
      <c r="C128" t="inlineStr">
        <is>
          <t>“Business is steady during Q1 2021.” (Finance &amp; Insurance)</t>
        </is>
      </c>
    </row>
    <row r="129">
      <c r="A129" t="inlineStr">
        <is>
          <t>Finance &amp; Insurance</t>
        </is>
      </c>
      <c r="B129" s="93" t="n">
        <v>44197</v>
      </c>
      <c r="C129" t="inlineStr">
        <is>
          <t>“Start of 2021 on track with a positive outlook.” (Finance &amp; Insurance)</t>
        </is>
      </c>
    </row>
    <row r="130">
      <c r="A130" t="inlineStr">
        <is>
          <t>Finance &amp; Insurance</t>
        </is>
      </c>
      <c r="B130" s="93" t="n">
        <v>44136</v>
      </c>
      <c r="C130" t="inlineStr">
        <is>
          <t xml:space="preserve">	"Uncertainty related to the U.S. election is resulting in additional cybersecurity needs." (Finance &amp; Insurance)</t>
        </is>
      </c>
    </row>
    <row r="131">
      <c r="A131" t="inlineStr">
        <is>
          <t>Finance &amp; Insurance</t>
        </is>
      </c>
      <c r="B131" s="93" t="n">
        <v>44105</v>
      </c>
      <c r="C131"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32">
      <c r="A132" t="inlineStr">
        <is>
          <t>Finance &amp; Insurance</t>
        </is>
      </c>
      <c r="B132" s="93" t="n">
        <v>44075</v>
      </c>
      <c r="C132" t="inlineStr">
        <is>
          <t>“Insurance industry will experience some impact from weather- and protest-related property damage and business interruption.” (Finance &amp; Insurance)</t>
        </is>
      </c>
    </row>
    <row r="133">
      <c r="A133" t="inlineStr">
        <is>
          <t>Finance &amp; Insurance</t>
        </is>
      </c>
      <c r="B133" s="93" t="n">
        <v>44044</v>
      </c>
      <c r="C133" t="inlineStr">
        <is>
          <t>“Revenue challenges for our customers still remain a primary challenge.” (Finance &amp; Insurance)</t>
        </is>
      </c>
    </row>
    <row r="134">
      <c r="A134" t="inlineStr">
        <is>
          <t>Finance &amp; Insurance</t>
        </is>
      </c>
      <c r="B134" s="93" t="n">
        <v>44013</v>
      </c>
      <c r="C134" t="inlineStr">
        <is>
          <t>"COVID-19 posture continues, with some 95 percent of the company workforce working remotely." (Finance &amp; Insurance)</t>
        </is>
      </c>
    </row>
    <row r="135">
      <c r="A135" t="inlineStr">
        <is>
          <t>Finance &amp; Insurance</t>
        </is>
      </c>
      <c r="B135" s="93" t="n">
        <v>43983</v>
      </c>
      <c r="C135" t="inlineStr">
        <is>
          <t>“We continue to all work from home globally. Strict restriction on travel and external events. Senior management focusing on a plan for returning to the office.” (Finance &amp; Insurance)</t>
        </is>
      </c>
    </row>
    <row r="136">
      <c r="A136" t="inlineStr">
        <is>
          <t>Finance &amp; Insurance</t>
        </is>
      </c>
      <c r="B136" s="93" t="n">
        <v>43952</v>
      </c>
      <c r="C136" t="inlineStr">
        <is>
          <t>"Extremely busy with Small Business Administration Paycheck Protection Program work.” (Finance &amp; Insurance)</t>
        </is>
      </c>
    </row>
    <row r="137">
      <c r="A137" t="inlineStr">
        <is>
          <t>Finance &amp; Insurance</t>
        </is>
      </c>
      <c r="B137" s="93" t="n">
        <v>43922</v>
      </c>
      <c r="C137" t="inlineStr">
        <is>
          <t>“Due to increased loans from [the federal] stimulus package, [we are] seeing an increase in new business.” (Finance &amp; Insurance)</t>
        </is>
      </c>
    </row>
    <row r="138">
      <c r="A138" t="inlineStr">
        <is>
          <t>Finance &amp; Insurance</t>
        </is>
      </c>
      <c r="B138" s="93" t="n">
        <v>43862</v>
      </c>
      <c r="C138" t="inlineStr">
        <is>
          <t>“[First-quarter numbers] are slightly behind projections, but still positive.” (Finance &amp; Insurance)</t>
        </is>
      </c>
    </row>
    <row r="139">
      <c r="A139" t="inlineStr">
        <is>
          <t>Finance &amp; Insurance</t>
        </is>
      </c>
      <c r="B139" s="93" t="n">
        <v>43831</v>
      </c>
      <c r="C139" t="inlineStr">
        <is>
          <t>“Cautious start to 2020. Looking forward with optimism and encouragement. Conditions are favorable.” (Finance &amp; Insurance)</t>
        </is>
      </c>
    </row>
    <row r="140">
      <c r="A140" t="inlineStr">
        <is>
          <t>Finance &amp; Insurance</t>
        </is>
      </c>
      <c r="B140" s="93" t="n">
        <v>43770</v>
      </c>
      <c r="C140" t="inlineStr">
        <is>
          <t>“No significant changes in business conditions. Closing out current projects and initiatives. Preparing for year-end and the beginning of 2020.” (Finance &amp; Insurance)</t>
        </is>
      </c>
    </row>
    <row r="141">
      <c r="A141" t="inlineStr">
        <is>
          <t>Finance &amp; Insurance</t>
        </is>
      </c>
      <c r="B141" s="93" t="n">
        <v>43739</v>
      </c>
      <c r="C141" t="inlineStr">
        <is>
          <t>“Wrapping up fiscal year budgets — overall outlook is positive.” (Finance &amp; Insurance)</t>
        </is>
      </c>
    </row>
    <row r="142">
      <c r="A142" t="inlineStr">
        <is>
          <t>Finance &amp; Insurance</t>
        </is>
      </c>
      <c r="B142" s="93" t="n">
        <v>43709</v>
      </c>
      <c r="C142" t="inlineStr">
        <is>
          <t>“Gearing up for the fourth quarter of 2019. On track to end the year generally as anticipated, considering interest-rate changes, trade and tariff issues and other economic indicators and trends.” (Finance &amp; Insurance)</t>
        </is>
      </c>
    </row>
    <row r="143">
      <c r="A143" t="inlineStr">
        <is>
          <t>Finance &amp; Insurance</t>
        </is>
      </c>
      <c r="B143" s="93" t="n">
        <v>43678</v>
      </c>
      <c r="C143"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44">
      <c r="A144" t="inlineStr">
        <is>
          <t>Finance &amp; Insurance</t>
        </is>
      </c>
      <c r="B144" s="93" t="n">
        <v>43586</v>
      </c>
      <c r="C144" t="inlineStr">
        <is>
          <t>“Our local economy is doing very well except for a large number of suburban office vacancies.” (Finance &amp; Insurance)</t>
        </is>
      </c>
    </row>
    <row r="145">
      <c r="A145" t="inlineStr">
        <is>
          <t>Finance &amp; Insurance</t>
        </is>
      </c>
      <c r="B145" s="93" t="n">
        <v>43497</v>
      </c>
      <c r="C145" t="inlineStr">
        <is>
          <t>“The local economy is doing well. Business lending remains competitive. The rise in interest rates have helped boost our net interest margin.” (Finance &amp; Insurance)</t>
        </is>
      </c>
    </row>
    <row r="146">
      <c r="A146" t="inlineStr">
        <is>
          <t>Health Care &amp; Social Assistance</t>
        </is>
      </c>
      <c r="B146" s="93" t="n">
        <v>44621</v>
      </c>
      <c r="C146" t="inlineStr">
        <is>
          <t>“Supply chain disruptions are still a problem due to reduced allocations and manufacturer back orders. Demand continues to outpace manufacturing capacity.”</t>
        </is>
      </c>
    </row>
    <row r="147">
      <c r="A147" t="inlineStr">
        <is>
          <t>Health Care &amp; Social Assistance</t>
        </is>
      </c>
      <c r="B147" s="93" t="n">
        <v>44593</v>
      </c>
      <c r="C147" t="inlineStr">
        <is>
          <t>“As the COVID-19 surge starts to loosen its grip, we are planning to resume elective surgeries soon. Demand is still high, as these procedures were delayed while the surge was occurring.”</t>
        </is>
      </c>
    </row>
    <row r="148">
      <c r="A148" t="inlineStr">
        <is>
          <t>Health Care &amp; Social Assistance</t>
        </is>
      </c>
      <c r="B148" s="93" t="n">
        <v>44531</v>
      </c>
      <c r="C148"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49">
      <c r="A149" t="inlineStr">
        <is>
          <t>Health Care &amp; Social Assistance</t>
        </is>
      </c>
      <c r="B149" s="93" t="n">
        <v>44501</v>
      </c>
      <c r="C149" t="inlineStr">
        <is>
          <t>“COVID-19 patients continue to impact census and procedures. Supplies continue to be difficult to obtain at times.” [Health Care &amp; Social Assistance]</t>
        </is>
      </c>
    </row>
    <row r="150">
      <c r="A150" t="inlineStr">
        <is>
          <t>Health Care &amp; Social Assistance</t>
        </is>
      </c>
      <c r="B150" s="93" t="n">
        <v>44470</v>
      </c>
      <c r="C150"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51">
      <c r="A151" t="inlineStr">
        <is>
          <t>Health Care &amp; Social Assistance</t>
        </is>
      </c>
      <c r="B151" s="93" t="n">
        <v>44440</v>
      </c>
      <c r="C151"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52">
      <c r="A152" t="inlineStr">
        <is>
          <t>Health Care &amp; Social Assistance</t>
        </is>
      </c>
      <c r="B152" s="93" t="n">
        <v>44409</v>
      </c>
      <c r="C152"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53">
      <c r="A153" t="inlineStr">
        <is>
          <t>Health Care &amp; Social Assistance</t>
        </is>
      </c>
      <c r="B153" s="93" t="n">
        <v>44378</v>
      </c>
      <c r="C153"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54">
      <c r="A154" t="inlineStr">
        <is>
          <t>Health Care &amp; Social Assistance</t>
        </is>
      </c>
      <c r="B154" s="93" t="n">
        <v>44348</v>
      </c>
      <c r="C154"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55">
      <c r="A155" t="inlineStr">
        <is>
          <t>Health Care &amp; Social Assistance</t>
        </is>
      </c>
      <c r="B155" s="93" t="n">
        <v>44317</v>
      </c>
      <c r="C155"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56">
      <c r="A156" t="inlineStr">
        <is>
          <t>Health Care &amp; Social Assistance</t>
        </is>
      </c>
      <c r="B156" s="93" t="n">
        <v>44287</v>
      </c>
      <c r="C156" t="inlineStr">
        <is>
          <t>Elective surgeries coming back to pre-COVID-19 rates. Patient census continues to drop, as it does this time of year. (Health Care &amp; Social Assistance)</t>
        </is>
      </c>
    </row>
    <row r="157">
      <c r="A157" t="inlineStr">
        <is>
          <t>Health Care &amp; Social Assistance</t>
        </is>
      </c>
      <c r="B157" s="93" t="n">
        <v>44256</v>
      </c>
      <c r="C157"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158">
      <c r="A158" t="inlineStr">
        <is>
          <t>Health Care &amp; Social Assistance</t>
        </is>
      </c>
      <c r="B158" s="93" t="n">
        <v>44228</v>
      </c>
      <c r="C158" t="inlineStr">
        <is>
          <t>“Exponential demand for critical supplies due to [the] pandemic is driving distributer allocations and forcing alternative sourcing.” (Health Care &amp; Social Assistance)</t>
        </is>
      </c>
    </row>
    <row r="159">
      <c r="A159" t="inlineStr">
        <is>
          <t>Health Care &amp; Social Assistance</t>
        </is>
      </c>
      <c r="B159" s="93" t="n">
        <v>44197</v>
      </c>
      <c r="C159" t="inlineStr">
        <is>
          <t>“Increased number of COVID-19 patients has forced the cancellation of elective surgeries. Bed capacity limited.” (Health Care &amp; Social Assistance)</t>
        </is>
      </c>
    </row>
    <row r="160">
      <c r="A160" t="inlineStr">
        <is>
          <t>Health Care &amp; Social Assistance</t>
        </is>
      </c>
      <c r="B160" s="93" t="n">
        <v>44166</v>
      </c>
      <c r="C160"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161">
      <c r="A161" t="inlineStr">
        <is>
          <t>Health Care &amp; Social Assistance</t>
        </is>
      </c>
      <c r="B161" s="93" t="n">
        <v>44105</v>
      </c>
      <c r="C161" t="inlineStr">
        <is>
          <t>"Continue to experience difficulty in procuring PPE due to rising COVID-19 numbers." (Health Care &amp; Social Assistance)</t>
        </is>
      </c>
    </row>
    <row r="162">
      <c r="A162" t="inlineStr">
        <is>
          <t>Health Care &amp; Social Assistance</t>
        </is>
      </c>
      <c r="B162" s="93" t="n">
        <v>44075</v>
      </c>
      <c r="C162"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163">
      <c r="A163" t="inlineStr">
        <is>
          <t>Health Care &amp; Social Assistance</t>
        </is>
      </c>
      <c r="B163" s="93" t="n">
        <v>44044</v>
      </c>
      <c r="C163" t="inlineStr">
        <is>
          <t>“Continuing to build our ancillary clinic volume as well as elective surgical cases since ceasing these services from mid-March through May 1.” (Health Care &amp; Social Assistance)</t>
        </is>
      </c>
    </row>
    <row r="164">
      <c r="A164" t="inlineStr">
        <is>
          <t>Health Care &amp; Social Assistance</t>
        </is>
      </c>
      <c r="B164" s="93" t="n">
        <v>44013</v>
      </c>
      <c r="C164" t="inlineStr">
        <is>
          <t>"Surgical services still only scheduling at 50 percent capacity. Raw material shortages worldwide affecting ability to get finished PPE (iso gowns, bouffant caps, shoe covers)." (Health Care &amp; Social Assistance)</t>
        </is>
      </c>
    </row>
    <row r="165">
      <c r="A165" t="inlineStr">
        <is>
          <t>Health Care &amp; Social Assistance</t>
        </is>
      </c>
      <c r="B165" s="93" t="n">
        <v>43983</v>
      </c>
      <c r="C165"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166">
      <c r="A166" t="inlineStr">
        <is>
          <t>Health Care &amp; Social Assistance</t>
        </is>
      </c>
      <c r="B166" s="93" t="n">
        <v>43952</v>
      </c>
      <c r="C166" t="inlineStr">
        <is>
          <t>“Low volumes due to COVID-19. No elective surgeries.” (Health Care &amp; Social Assistance)</t>
        </is>
      </c>
    </row>
    <row r="167">
      <c r="A167" t="inlineStr">
        <is>
          <t>Health Care &amp; Social Assistance</t>
        </is>
      </c>
      <c r="B167" s="93" t="n">
        <v>43922</v>
      </c>
      <c r="C167"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168">
      <c r="A168" t="inlineStr">
        <is>
          <t>Health Care &amp; Social Assistance</t>
        </is>
      </c>
      <c r="B168" s="93" t="n">
        <v>43891</v>
      </c>
      <c r="C168"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169">
      <c r="A169" t="inlineStr">
        <is>
          <t>Health Care &amp; Social Assistance</t>
        </is>
      </c>
      <c r="B169" s="93" t="n">
        <v>43862</v>
      </c>
      <c r="C169"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170">
      <c r="A170" t="inlineStr">
        <is>
          <t>Health Care &amp; Social Assistance</t>
        </is>
      </c>
      <c r="B170" s="93" t="n">
        <v>43831</v>
      </c>
      <c r="C170" t="inlineStr">
        <is>
          <t>“Closely monitoring China’s coronavirus and its potential impact on medical supplies like surgical masks and protective goggles.” (Health Care &amp; Social Assistance)</t>
        </is>
      </c>
    </row>
    <row r="171">
      <c r="A171" t="inlineStr">
        <is>
          <t>Health Care &amp; Social Assistance</t>
        </is>
      </c>
      <c r="B171" s="93" t="n">
        <v>43770</v>
      </c>
      <c r="C171" t="inlineStr">
        <is>
          <t>“Lower reimbursement rates will continue to affect funding levels.” (Health Care &amp; Social Assistance)</t>
        </is>
      </c>
    </row>
    <row r="172">
      <c r="A172" t="inlineStr">
        <is>
          <t>Health Care &amp; Social Assistance</t>
        </is>
      </c>
      <c r="B172" s="93" t="n">
        <v>43709</v>
      </c>
      <c r="C172" t="inlineStr">
        <is>
          <t>“We continue with low patient census, which affects our orders and revenue.” (Health Care &amp; Social Assistance)</t>
        </is>
      </c>
    </row>
    <row r="173">
      <c r="A173" t="inlineStr">
        <is>
          <t>Health Care &amp; Social Assistance</t>
        </is>
      </c>
      <c r="B173" s="93" t="n">
        <v>43647</v>
      </c>
      <c r="C173" t="inlineStr">
        <is>
          <t>“Business volumes were flat compared to the previous month.” (Health Care &amp; Social Assistance)</t>
        </is>
      </c>
    </row>
    <row r="174">
      <c r="A174" t="inlineStr">
        <is>
          <t>Health Care &amp; Social Assistance</t>
        </is>
      </c>
      <c r="B174" s="93" t="n">
        <v>43617</v>
      </c>
      <c r="C174" t="inlineStr">
        <is>
          <t>“Closely watching the Trump tariffs on China, which could significantly impact medical supplies.” (Health Care &amp; Social Assistance)</t>
        </is>
      </c>
    </row>
    <row r="175">
      <c r="A175" t="inlineStr">
        <is>
          <t>Health Care &amp; Social Assistance</t>
        </is>
      </c>
      <c r="B175" s="93" t="n">
        <v>43586</v>
      </c>
      <c r="C175" t="inlineStr">
        <is>
          <t>“There is added pressure to find operational savings so we can reduce the cost of healthcare, be a model to others, and pass the savings along to our patients and members of our health insurance business.” (Health Care &amp; Social Assistance)</t>
        </is>
      </c>
    </row>
    <row r="176">
      <c r="A176" t="inlineStr">
        <is>
          <t>Health Care &amp; Social Assistance</t>
        </is>
      </c>
      <c r="B176" s="93" t="n">
        <v>43556</v>
      </c>
      <c r="C176" t="inlineStr">
        <is>
          <t>·         “Extremely difficult to fill direct care personnel positions.” (Health Care &amp; Social Assistance)</t>
        </is>
      </c>
    </row>
    <row r="177">
      <c r="A177" t="inlineStr">
        <is>
          <t>Health Care &amp; Social Assistance</t>
        </is>
      </c>
      <c r="B177" s="93" t="n">
        <v>43525</v>
      </c>
      <c r="C177" t="inlineStr">
        <is>
          <t>“Supply expenses are up commensurately with business conditions as business activity has outpaced the budget on average four to six percent for our fiscal cycle that [began] 7/1/18.” (Health Care &amp; Social Assistance)</t>
        </is>
      </c>
    </row>
    <row r="178">
      <c r="A178" t="inlineStr">
        <is>
          <t>Health Care &amp; Social Assistance</t>
        </is>
      </c>
      <c r="B178" s="93" t="n">
        <v>43497</v>
      </c>
      <c r="C178" t="inlineStr">
        <is>
          <t>“The beginning of the year is generally our slowest time of year in the health-care industry. [Activity] will gradually pick up until April, then be steady until the fourth quarter, when there will be a large increase.” (Health Care &amp; Social Assistance)</t>
        </is>
      </c>
    </row>
    <row r="179">
      <c r="A179" t="inlineStr">
        <is>
          <t>Information</t>
        </is>
      </c>
      <c r="B179" s="93" t="n">
        <v>44621</v>
      </c>
      <c r="C179" t="inlineStr">
        <is>
          <t>“Energy costs are putting a pinch on all suppliers. We have received many surcharge notices.”</t>
        </is>
      </c>
    </row>
    <row r="180">
      <c r="A180" t="inlineStr">
        <is>
          <t>Information</t>
        </is>
      </c>
      <c r="B180" s="93" t="n">
        <v>44593</v>
      </c>
      <c r="C180" t="inlineStr">
        <is>
          <t>“Business has flattened but holding steady.”</t>
        </is>
      </c>
    </row>
    <row r="181">
      <c r="A181" t="inlineStr">
        <is>
          <t>Information</t>
        </is>
      </c>
      <c r="B181" s="93" t="n">
        <v>44562</v>
      </c>
      <c r="C181" t="inlineStr">
        <is>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is>
      </c>
    </row>
    <row r="182">
      <c r="A182" t="inlineStr">
        <is>
          <t>Information</t>
        </is>
      </c>
      <c r="B182" s="93" t="n">
        <v>44531</v>
      </c>
      <c r="C182"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183">
      <c r="A183" t="inlineStr">
        <is>
          <t>Information</t>
        </is>
      </c>
      <c r="B183" s="93" t="n">
        <v>44470</v>
      </c>
      <c r="C183"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184">
      <c r="A184" t="inlineStr">
        <is>
          <t>Information</t>
        </is>
      </c>
      <c r="B184" s="93" t="n">
        <v>44440</v>
      </c>
      <c r="C184" t="inlineStr">
        <is>
          <t>“The semiconductor (shortage is) impacting server delivery. Alternate parts and engineering efforts are being used to create workaround solutions.” [Information]</t>
        </is>
      </c>
    </row>
    <row r="185">
      <c r="A185" t="inlineStr">
        <is>
          <t>Information</t>
        </is>
      </c>
      <c r="B185" s="93" t="n">
        <v>44409</v>
      </c>
      <c r="C185" t="inlineStr">
        <is>
          <t>Supplies are tight in technology hardware. [Information]</t>
        </is>
      </c>
    </row>
    <row r="186">
      <c r="A186" t="inlineStr">
        <is>
          <t>Information</t>
        </is>
      </c>
      <c r="B186" s="93" t="n">
        <v>44348</v>
      </c>
      <c r="C186" t="inlineStr">
        <is>
          <t>Employees globally are returning to the office where possible. We expect to have most employees in the office starting in September. [Information]</t>
        </is>
      </c>
    </row>
    <row r="187">
      <c r="A187" t="inlineStr">
        <is>
          <t>Information</t>
        </is>
      </c>
      <c r="B187" s="93" t="n">
        <v>44287</v>
      </c>
      <c r="C187" t="inlineStr">
        <is>
          <t>Overall, there is pricing pressure for goods and services in the market. (Information)</t>
        </is>
      </c>
    </row>
    <row r="188">
      <c r="A188" t="inlineStr">
        <is>
          <t>Information</t>
        </is>
      </c>
      <c r="B188" s="93" t="n">
        <v>44256</v>
      </c>
      <c r="C188" t="inlineStr">
        <is>
          <t>“Resin/oil price increases are beginning to filter down to products that we procure. In addition to price increases, we are also seeing longer lead times as supply chains pivot to find cheaper supply options.” (Information)</t>
        </is>
      </c>
    </row>
    <row r="189">
      <c r="A189" t="inlineStr">
        <is>
          <t>Information</t>
        </is>
      </c>
      <c r="B189" s="93" t="n">
        <v>44228</v>
      </c>
      <c r="C189" t="inlineStr">
        <is>
          <t>“The business continues to reduce real-estate/brick-and-mortar [operations] and transition to a work-from-home model. Innovation is the watchword in all things; as such, the need to right-size all consumption as patterns have changed.” (Information)</t>
        </is>
      </c>
    </row>
    <row r="190">
      <c r="A190" t="inlineStr">
        <is>
          <t>Information</t>
        </is>
      </c>
      <c r="B190" s="93" t="n">
        <v>44197</v>
      </c>
      <c r="C190" t="inlineStr">
        <is>
          <t>“The copper shortage is slowing deliveries of key network equipment.” (Information)</t>
        </is>
      </c>
    </row>
    <row r="191">
      <c r="A191" t="inlineStr">
        <is>
          <t>Information</t>
        </is>
      </c>
      <c r="B191" s="93" t="n">
        <v>44136</v>
      </c>
      <c r="C191" t="inlineStr">
        <is>
          <t>"Tough economic conditions. Lost revenues from the COVID-19 crisis are coming back, but not completely." (Information)</t>
        </is>
      </c>
    </row>
    <row r="192">
      <c r="A192" t="inlineStr">
        <is>
          <t>Information</t>
        </is>
      </c>
      <c r="B192" s="93" t="n">
        <v>44105</v>
      </c>
      <c r="C192" t="inlineStr">
        <is>
          <t>“We are remaining cautiously positive and resuming normal business operations.” (Management of Companies &amp; Support Services)</t>
        </is>
      </c>
    </row>
    <row r="193">
      <c r="A193" t="inlineStr">
        <is>
          <t>Information</t>
        </is>
      </c>
      <c r="B193" s="93" t="n">
        <v>44044</v>
      </c>
      <c r="C193"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194">
      <c r="A194" t="inlineStr">
        <is>
          <t>Information</t>
        </is>
      </c>
      <c r="B194" s="93" t="n">
        <v>43983</v>
      </c>
      <c r="C194"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195">
      <c r="A195" t="inlineStr">
        <is>
          <t>Information</t>
        </is>
      </c>
      <c r="B195" s="93" t="n">
        <v>43952</v>
      </c>
      <c r="C195"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196">
      <c r="A196" t="inlineStr">
        <is>
          <t>Information</t>
        </is>
      </c>
      <c r="B196" s="93" t="n">
        <v>43891</v>
      </c>
      <c r="C196"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197">
      <c r="A197" t="inlineStr">
        <is>
          <t>Information</t>
        </is>
      </c>
      <c r="B197" s="93" t="n">
        <v>43800</v>
      </c>
      <c r="C197" t="inlineStr">
        <is>
          <t>"Supply [is] good. Holiday sales below plan." (Information)</t>
        </is>
      </c>
    </row>
    <row r="198">
      <c r="A198" t="inlineStr">
        <is>
          <t>Information</t>
        </is>
      </c>
      <c r="B198" s="93" t="n">
        <v>43709</v>
      </c>
      <c r="C198" t="inlineStr">
        <is>
          <t>“As employee cost [wages] are increasing in this better economy, it is getting harder to fight price increases on goods and services.” (Information)</t>
        </is>
      </c>
    </row>
    <row r="199">
      <c r="A199" t="inlineStr">
        <is>
          <t>Information</t>
        </is>
      </c>
      <c r="B199" s="93" t="n">
        <v>43647</v>
      </c>
      <c r="C199" t="inlineStr">
        <is>
          <t>“Some uncertainty hinges on tariffs, but there have been no changes in market conditions.” (Information)</t>
        </is>
      </c>
    </row>
    <row r="200">
      <c r="A200" t="inlineStr">
        <is>
          <t>Information</t>
        </is>
      </c>
      <c r="B200" s="93" t="n">
        <v>43586</v>
      </c>
      <c r="C200" t="inlineStr">
        <is>
          <t>“General conditions are steady, not increasing or going down.” (Information)</t>
        </is>
      </c>
    </row>
    <row r="201">
      <c r="A201" t="inlineStr">
        <is>
          <t>Management of Companies &amp; Support Services</t>
        </is>
      </c>
      <c r="B201" s="93" t="n">
        <v>44621</v>
      </c>
      <c r="C201" t="inlineStr">
        <is>
          <t>“Concerns over inflation and rising energy prices are causing our company to take a cautious approach, especially related to planned capital expenditures.”</t>
        </is>
      </c>
    </row>
    <row r="202">
      <c r="A202" t="inlineStr">
        <is>
          <t>Management of Companies &amp; Support Services</t>
        </is>
      </c>
      <c r="B202" s="93" t="n">
        <v>44501</v>
      </c>
      <c r="C202"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203">
      <c r="A203" t="inlineStr">
        <is>
          <t>Management of Companies &amp; Support Services</t>
        </is>
      </c>
      <c r="B203" s="93" t="n">
        <v>44470</v>
      </c>
      <c r="C203" t="inlineStr">
        <is>
          <t>“While new opportunities continue to present themselves, we are turning work away due to delayed shipments from suppliers and the general lack of new workers.” [Management of Companies &amp; Support Services]</t>
        </is>
      </c>
    </row>
    <row r="204">
      <c r="A204" t="inlineStr">
        <is>
          <t>Management of Companies &amp; Support Services</t>
        </is>
      </c>
      <c r="B204" s="93" t="n">
        <v>44440</v>
      </c>
      <c r="C204" t="inlineStr">
        <is>
          <t>“Both domestic and international logistics are increasing lead times about six weeks for ocean freight and two weeks for domestic freight.” [Management of Companies &amp; Support Services]</t>
        </is>
      </c>
    </row>
    <row r="205">
      <c r="A205" t="inlineStr">
        <is>
          <t>Management of Companies &amp; Support Services</t>
        </is>
      </c>
      <c r="B205" s="93" t="n">
        <v>44409</v>
      </c>
      <c r="C205" t="inlineStr">
        <is>
          <t>Temporary labor continues to be in short supply. Transportation costs are inflating prices on all products. [Management of Companies &amp; Support Services]</t>
        </is>
      </c>
    </row>
    <row r="206">
      <c r="A206" t="inlineStr">
        <is>
          <t>Management of Companies &amp; Support Services</t>
        </is>
      </c>
      <c r="B206" s="93" t="n">
        <v>44378</v>
      </c>
      <c r="C206" t="inlineStr">
        <is>
          <t>“Fuel prices are coming back down a bit. Labor shortage continues for drivers and general labor work. We have increased pay for many positions, but the shortage continues.” [Management of Companies &amp; Support Services]</t>
        </is>
      </c>
    </row>
    <row r="207">
      <c r="A207" t="inlineStr">
        <is>
          <t>Management of Companies &amp; Support Services</t>
        </is>
      </c>
      <c r="B207" s="93" t="n">
        <v>44317</v>
      </c>
      <c r="C207" t="inlineStr">
        <is>
          <t>(We are) seeing cost increases and long lead times with steel and steel containers. Worker shortages, temp labor and the like. [Management of Companies &amp; Support Services]</t>
        </is>
      </c>
    </row>
    <row r="208">
      <c r="A208" t="inlineStr">
        <is>
          <t>Management of Companies &amp; Support Services</t>
        </is>
      </c>
      <c r="B208" s="93" t="n">
        <v>44136</v>
      </c>
      <c r="C208"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209">
      <c r="A209" t="inlineStr">
        <is>
          <t>Management of Companies &amp; Support Services</t>
        </is>
      </c>
      <c r="B209" s="93" t="n">
        <v>44013</v>
      </c>
      <c r="C209"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210">
      <c r="A210" t="inlineStr">
        <is>
          <t>Management of Companies &amp; Support Services</t>
        </is>
      </c>
      <c r="B210" s="93" t="n">
        <v>43922</v>
      </c>
      <c r="C210" t="inlineStr">
        <is>
          <t>“The oil exploration sector is very weak, with the record low price of oil and the country’s shutdown due to the COVID-19 threat. We are hopeful for a bump in activity once the country starts to reopen.” (Management of Companies &amp; Support Services)</t>
        </is>
      </c>
    </row>
    <row r="211">
      <c r="A211" t="inlineStr">
        <is>
          <t>Management of Companies &amp; Support Services</t>
        </is>
      </c>
      <c r="B211" s="93" t="n">
        <v>43891</v>
      </c>
      <c r="C211" t="inlineStr">
        <is>
          <t>“COVID-19 has greatly impacted daily operations. All staff personnel are telecommuting, and customer concerns have shifted from normal activities to preventative measures.” (Management of Companies &amp; Support Services)</t>
        </is>
      </c>
    </row>
    <row r="212">
      <c r="A212" t="inlineStr">
        <is>
          <t>Management of Companies &amp; Support Services</t>
        </is>
      </c>
      <c r="B212" s="93" t="n">
        <v>43862</v>
      </c>
      <c r="C212" t="inlineStr">
        <is>
          <t>“Business is rapidly improving.” (Management of Companies &amp; Support Services)</t>
        </is>
      </c>
    </row>
    <row r="213">
      <c r="A213" t="inlineStr">
        <is>
          <t>Management of Companies &amp; Support Services</t>
        </is>
      </c>
      <c r="B213" s="93" t="n">
        <v>43831</v>
      </c>
      <c r="C213" t="inlineStr">
        <is>
          <t>“The labor market continues to be a challenge, impacting capacity and pushing up costs. Despite this, overall business volume remains positive, with growth in key sectors for our business.” (Management of Companies &amp; Support Services)</t>
        </is>
      </c>
    </row>
    <row r="214">
      <c r="A214" t="inlineStr">
        <is>
          <t>Management of Companies &amp; Support Services</t>
        </is>
      </c>
      <c r="B214" s="93" t="n">
        <v>43800</v>
      </c>
      <c r="C214" t="inlineStr">
        <is>
          <t>"Business activity and growth in our business continues to expand." (Management of Companies &amp; Support Services)</t>
        </is>
      </c>
    </row>
    <row r="215">
      <c r="A215" t="inlineStr">
        <is>
          <t>Management of Companies &amp; Support Services</t>
        </is>
      </c>
      <c r="B215" s="93" t="n">
        <v>43770</v>
      </c>
      <c r="C215"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16">
      <c r="A216" t="inlineStr">
        <is>
          <t>Management of Companies &amp; Support Services</t>
        </is>
      </c>
      <c r="B216" s="93" t="n">
        <v>43709</v>
      </c>
      <c r="C216" t="inlineStr">
        <is>
          <t>“Costs are going up, from labor to chemicals to metals.” (Management of Companies &amp; Support Services)</t>
        </is>
      </c>
    </row>
    <row r="217">
      <c r="A217" t="inlineStr">
        <is>
          <t>Management of Companies &amp; Support Services</t>
        </is>
      </c>
      <c r="B217" s="93" t="n">
        <v>43678</v>
      </c>
      <c r="C217"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18">
      <c r="A218" t="inlineStr">
        <is>
          <t>Management of Companies &amp; Support Services</t>
        </is>
      </c>
      <c r="B218" s="93" t="n">
        <v>43647</v>
      </c>
      <c r="C218"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19">
      <c r="A219" t="inlineStr">
        <is>
          <t>Management of Companies &amp; Support Services</t>
        </is>
      </c>
      <c r="B219" s="93" t="n">
        <v>43617</v>
      </c>
      <c r="C219"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20">
      <c r="A220" t="inlineStr">
        <is>
          <t>Management of Companies &amp; Support Services</t>
        </is>
      </c>
      <c r="B220" s="93" t="n">
        <v>43556</v>
      </c>
      <c r="C220"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21">
      <c r="A221" t="inlineStr">
        <is>
          <t>Management of Companies &amp; Support Services</t>
        </is>
      </c>
      <c r="B221" s="93" t="n">
        <v>43525</v>
      </c>
      <c r="C221" t="inlineStr">
        <is>
          <t>“There is a sense of relief in our industry with the temporary reprieve of the additional tariffs. As of now, we feel this will help us maintain competitive prices and steady margins over the next quarter.” (Management of Companies &amp; Support Services)</t>
        </is>
      </c>
    </row>
    <row r="222">
      <c r="A222" t="inlineStr">
        <is>
          <t>Management of Companies &amp; Support Services</t>
        </is>
      </c>
      <c r="B222" s="93" t="n">
        <v>43497</v>
      </c>
      <c r="C222"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23">
      <c r="A223" t="inlineStr">
        <is>
          <t>Management of Companies &amp; Support Services</t>
        </is>
      </c>
      <c r="B223" s="93" t="n">
        <v>43466</v>
      </c>
      <c r="C223" t="inlineStr">
        <is>
          <t>·         “Prices are volatile due to tariff restrictions.” (Management of Companies &amp; Support Services)</t>
        </is>
      </c>
    </row>
    <row r="224">
      <c r="A224" t="inlineStr">
        <is>
          <t>Mining</t>
        </is>
      </c>
      <c r="B224" s="93" t="n">
        <v>44409</v>
      </c>
      <c r="C224" t="inlineStr">
        <is>
          <t>Activity level continues to increase. [Mining]</t>
        </is>
      </c>
    </row>
    <row r="225">
      <c r="A225" t="inlineStr">
        <is>
          <t>Mining</t>
        </is>
      </c>
      <c r="B225" s="93" t="n">
        <v>44348</v>
      </c>
      <c r="C225" t="inlineStr">
        <is>
          <t>Starting to see a lot of commodity-price increases for chemicals, acidizing and cementing. This is driven by product cost increases stemming from low production from plants. [Mining]</t>
        </is>
      </c>
    </row>
    <row r="226">
      <c r="A226" t="inlineStr">
        <is>
          <t>Mining</t>
        </is>
      </c>
      <c r="B226" s="93" t="n">
        <v>44317</v>
      </c>
      <c r="C226" t="inlineStr">
        <is>
          <t>Transportation, labor, steel and general commodities are all increasing (in price) based upon general inflation and the rising price of oil. [Mining]</t>
        </is>
      </c>
    </row>
    <row r="227">
      <c r="A227" t="inlineStr">
        <is>
          <t>Mining</t>
        </is>
      </c>
      <c r="B227" s="93" t="n">
        <v>44256</v>
      </c>
      <c r="C227" t="inlineStr">
        <is>
          <t>“Lack of chemicals and the recent freeze in Texas has delayed some orders and is creating a micro [price] increases for certain products. Suppliers are using the short-term shortage to their advantage to raise rates.” (Mining)</t>
        </is>
      </c>
    </row>
    <row r="228">
      <c r="A228" t="inlineStr">
        <is>
          <t>Mining</t>
        </is>
      </c>
      <c r="B228" s="93" t="n">
        <v>44197</v>
      </c>
      <c r="C228" t="inlineStr">
        <is>
          <t>“Still working under COVID-19 restrictions and uncertain political climate.” (Mining)</t>
        </is>
      </c>
    </row>
    <row r="229">
      <c r="A229" t="inlineStr">
        <is>
          <t>Mining</t>
        </is>
      </c>
      <c r="B229" s="93" t="n">
        <v>44136</v>
      </c>
      <c r="C229" t="inlineStr">
        <is>
          <t>"COVID-19 has brought some changes to operations, but for the most part, things are progressing as usual." (Mining)</t>
        </is>
      </c>
    </row>
    <row r="230">
      <c r="A230" t="inlineStr">
        <is>
          <t>Mining</t>
        </is>
      </c>
      <c r="B230" s="93" t="n">
        <v>44075</v>
      </c>
      <c r="C230" t="inlineStr">
        <is>
          <t>“Activity level is holding steady, with optimistic outlook.” (Mining)</t>
        </is>
      </c>
    </row>
    <row r="231">
      <c r="A231" t="inlineStr">
        <is>
          <t>Mining</t>
        </is>
      </c>
      <c r="B231" s="93" t="n">
        <v>43983</v>
      </c>
      <c r="C231" t="inlineStr">
        <is>
          <t>“Activity level is holding steady, with the potential of a rebound in the near future.” (Mining)</t>
        </is>
      </c>
    </row>
    <row r="232">
      <c r="A232" t="inlineStr">
        <is>
          <t>Mining</t>
        </is>
      </c>
      <c r="B232" s="93" t="n">
        <v>43891</v>
      </c>
      <c r="C232" t="inlineStr">
        <is>
          <t>“We are experiencing no real issues from a business perspective, although COVID-19 has forced us to reconsider elements of how our workforce gets things done.” (Mining)</t>
        </is>
      </c>
    </row>
    <row r="233">
      <c r="A233" t="inlineStr">
        <is>
          <t>Mining</t>
        </is>
      </c>
      <c r="B233" s="93" t="n">
        <v>43862</v>
      </c>
      <c r="C233"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34">
      <c r="A234" t="inlineStr">
        <is>
          <t>Mining</t>
        </is>
      </c>
      <c r="B234" s="93" t="n">
        <v>43800</v>
      </c>
      <c r="C234" t="inlineStr">
        <is>
          <t>"Our company's production, sales and purchasing [activities] are back to normal. Maintenance, planned and otherwise, is driving the usual necessity for spare parts." (Mining)</t>
        </is>
      </c>
    </row>
    <row r="235">
      <c r="A235" t="inlineStr">
        <is>
          <t>Mining</t>
        </is>
      </c>
      <c r="B235" s="93" t="n">
        <v>43739</v>
      </c>
      <c r="C235" t="inlineStr">
        <is>
          <t>“Our business remains at the same level. There is no expectation for new orders, since clients normally do not make capital-expenditure decisions in the last quarter. Our only expectation is with regards to the U.S.-China trade deal outcome.” (Mining)</t>
        </is>
      </c>
    </row>
    <row r="236">
      <c r="A236" t="inlineStr">
        <is>
          <t>Mining</t>
        </is>
      </c>
      <c r="B236" s="93" t="n">
        <v>43647</v>
      </c>
      <c r="C236" t="inlineStr">
        <is>
          <t>“It appears that the mining capital-expense environment is improving, with a good prospectus for the coming months. Our dependence on Chinese and Asian supply chains remains strong. NAFTA countries do not have the same capacity and speed.” (Mining)</t>
        </is>
      </c>
    </row>
    <row r="237">
      <c r="A237" t="inlineStr">
        <is>
          <t>Mining</t>
        </is>
      </c>
      <c r="B237" s="93" t="n">
        <v>43586</v>
      </c>
      <c r="C237" t="inlineStr">
        <is>
          <t>“Our business level is connected to metal commodity future outlook, but current trade war does not let investors have a clear sight. In this sense, [it] has been very difficult to plan in a long term ahead.” (Mining)</t>
        </is>
      </c>
    </row>
    <row r="238">
      <c r="A238" t="inlineStr">
        <is>
          <t>Mining</t>
        </is>
      </c>
      <c r="B238" s="93" t="n">
        <v>43556</v>
      </c>
      <c r="C238" t="inlineStr">
        <is>
          <t>·         “The outlook for mining capital expenditures looks like it will not change for a while. [We don’t] expect much growth, so we keep working with same team and shrinking capex investments.” (Mining)</t>
        </is>
      </c>
    </row>
    <row r="239">
      <c r="A239" t="inlineStr">
        <is>
          <t>Mining</t>
        </is>
      </c>
      <c r="B239" s="93" t="n">
        <v>43525</v>
      </c>
      <c r="C239" t="inlineStr">
        <is>
          <t>“Activity level held flat.” (Mining)</t>
        </is>
      </c>
    </row>
    <row r="240">
      <c r="A240" t="inlineStr">
        <is>
          <t>Mining</t>
        </is>
      </c>
      <c r="B240" s="93" t="n">
        <v>43497</v>
      </c>
      <c r="C240" t="inlineStr">
        <is>
          <t>“Increased activity level over the end of 2018.” (Mining)</t>
        </is>
      </c>
    </row>
    <row r="241">
      <c r="A241" t="inlineStr">
        <is>
          <t>Other Services</t>
        </is>
      </c>
      <c r="B241" s="93" t="n">
        <v>44562</v>
      </c>
      <c r="C241" t="inlineStr">
        <is>
          <t>“Downturn in business in the last month due to outbreak in COVID-19 cases.”</t>
        </is>
      </c>
    </row>
    <row r="242">
      <c r="A242" t="inlineStr">
        <is>
          <t>Other Services</t>
        </is>
      </c>
      <c r="B242" s="93" t="n">
        <v>44531</v>
      </c>
      <c r="C242"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243">
      <c r="A243" t="inlineStr">
        <is>
          <t>Other Services</t>
        </is>
      </c>
      <c r="B243" s="93" t="n">
        <v>44197</v>
      </c>
      <c r="C243" t="inlineStr">
        <is>
          <t>“Overall, everything continues to be more optimistic; however, we are still seeing impacts from suppliers that are being affected by limiting staff due to COVID-19 restrictions.” (Other Services)</t>
        </is>
      </c>
    </row>
    <row r="244">
      <c r="A244" t="inlineStr">
        <is>
          <t>Other Services</t>
        </is>
      </c>
      <c r="B244" s="93" t="n">
        <v>43983</v>
      </c>
      <c r="C244"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245">
      <c r="A245" t="inlineStr">
        <is>
          <t>Other Services</t>
        </is>
      </c>
      <c r="B245" s="93" t="n">
        <v>43770</v>
      </c>
      <c r="C245" t="inlineStr">
        <is>
          <t>“Tariffs on steel and aluminum are still having a negative impact on costs. Oil and gas business is increasing, which is favorably impacting our orders.” (Other Services)</t>
        </is>
      </c>
    </row>
    <row r="246">
      <c r="A246" t="inlineStr">
        <is>
          <t>Professional, Scientific &amp; Technical Services</t>
        </is>
      </c>
      <c r="B246" s="93" t="n">
        <v>44562</v>
      </c>
      <c r="C246" t="inlineStr">
        <is>
          <t>“Blood shortages are causing issues in the emergency rooms.”</t>
        </is>
      </c>
    </row>
    <row r="247">
      <c r="A247" t="inlineStr">
        <is>
          <t>Professional, Scientific &amp; Technical Services</t>
        </is>
      </c>
      <c r="B247" s="93" t="n">
        <v>44531</v>
      </c>
      <c r="C247" t="inlineStr">
        <is>
          <t>“Electronic chip (shortage) is severely affecting deliveries from our supply base, thus impacting our ability to deliver to customers.”</t>
        </is>
      </c>
    </row>
    <row r="248">
      <c r="A248" t="inlineStr">
        <is>
          <t>Professional, Scientific &amp; Technical Services</t>
        </is>
      </c>
      <c r="B248" s="93" t="n">
        <v>44470</v>
      </c>
      <c r="C248" t="inlineStr">
        <is>
          <t>“Positive indications that have been building in the last couple of months are continuing into the beginning of this quarter.” [Professional, Scientific &amp; Technical Services]</t>
        </is>
      </c>
    </row>
    <row r="249">
      <c r="A249" t="inlineStr">
        <is>
          <t>Professional, Scientific &amp; Technical Services</t>
        </is>
      </c>
      <c r="B249" s="93" t="n">
        <v>44440</v>
      </c>
      <c r="C249" t="inlineStr">
        <is>
          <t>“Inventories shrinking due to global shipping logistics being a seller’s/provider’s market, with primary focus on yield versus market expansion.” [Professional, Scientific &amp; Technical Services]</t>
        </is>
      </c>
    </row>
    <row r="250">
      <c r="A250" t="inlineStr">
        <is>
          <t>Professional, Scientific &amp; Technical Services</t>
        </is>
      </c>
      <c r="B250" s="93" t="n">
        <v>44409</v>
      </c>
      <c r="C250" t="inlineStr">
        <is>
          <t>Continuing supply chain disruptions and supply cost increases. [Professional, Scientific &amp; Technical Services]</t>
        </is>
      </c>
    </row>
    <row r="251">
      <c r="A251" t="inlineStr">
        <is>
          <t>Professional, Scientific &amp; Technical Services</t>
        </is>
      </c>
      <c r="B251" s="93" t="n">
        <v>44378</v>
      </c>
      <c r="C251" t="inlineStr">
        <is>
          <t>“Supply chain disruptions continue to impact sales.” [Professional, Scientific &amp; Technical Services]</t>
        </is>
      </c>
    </row>
    <row r="252">
      <c r="A252" t="inlineStr">
        <is>
          <t>Professional, Scientific &amp; Technical Services</t>
        </is>
      </c>
      <c r="B252" s="93" t="n">
        <v>44317</v>
      </c>
      <c r="C252"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253">
      <c r="A253" t="inlineStr">
        <is>
          <t>Professional, Scientific &amp; Technical Services</t>
        </is>
      </c>
      <c r="B253" s="93" t="n">
        <v>44287</v>
      </c>
      <c r="C253"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254">
      <c r="A254" t="inlineStr">
        <is>
          <t>Professional, Scientific &amp; Technical Services</t>
        </is>
      </c>
      <c r="B254" s="93" t="n">
        <v>44256</v>
      </c>
      <c r="C254" t="inlineStr">
        <is>
          <t>“Higher levels of demand related to additional business reopening, and increased activity related to vaccination distribution.” (Professional, Scientific &amp; Technical Services)</t>
        </is>
      </c>
    </row>
    <row r="255">
      <c r="A255" t="inlineStr">
        <is>
          <t>Professional, Scientific &amp; Technical Services</t>
        </is>
      </c>
      <c r="B255" s="93" t="n">
        <v>44228</v>
      </c>
      <c r="C255" t="inlineStr">
        <is>
          <t>“We were excited [in January], when orders and activity were increasing. Now, they are not receding, but they’re flat month over month. That’s not the rebound we were hoping for.” (Professional, Scientific &amp; Technical Services)</t>
        </is>
      </c>
    </row>
    <row r="256">
      <c r="A256" t="inlineStr">
        <is>
          <t>Professional, Scientific &amp; Technical Services</t>
        </is>
      </c>
      <c r="B256" s="93" t="n">
        <v>44166</v>
      </c>
      <c r="C256"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257">
      <c r="A257" t="inlineStr">
        <is>
          <t>Professional, Scientific &amp; Technical Services</t>
        </is>
      </c>
      <c r="B257" s="93" t="n">
        <v>44136</v>
      </c>
      <c r="C257" t="inlineStr">
        <is>
          <t>"Availability on PPE and other supplies is getting worse again; [the situation] is especially dire with nitrile gloves." (Professional, Scientific &amp; Technical Services)</t>
        </is>
      </c>
    </row>
    <row r="258">
      <c r="A258" t="inlineStr">
        <is>
          <t>Professional, Scientific &amp; Technical Services</t>
        </is>
      </c>
      <c r="B258" s="93" t="n">
        <v>44105</v>
      </c>
      <c r="C258" t="inlineStr">
        <is>
          <t>“Encouraging signs continue for an improved fourth quarter.” (Professional, Scientific &amp; Technical Services)</t>
        </is>
      </c>
    </row>
    <row r="259">
      <c r="A259" t="inlineStr">
        <is>
          <t>Professional, Scientific &amp; Technical Services</t>
        </is>
      </c>
      <c r="B259" s="93" t="n">
        <v>44075</v>
      </c>
      <c r="C259"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260">
      <c r="A260" t="inlineStr">
        <is>
          <t>Professional, Scientific &amp; Technical Services</t>
        </is>
      </c>
      <c r="B260" s="93" t="n">
        <v>44044</v>
      </c>
      <c r="C260" t="inlineStr">
        <is>
          <t>“Increase in service- and work-order requests are signs of economic improvement as companies reopen and begin to ramp up employment activity.” (Professional, Scientific &amp; Technical Services)</t>
        </is>
      </c>
    </row>
    <row r="261">
      <c r="A261" t="inlineStr">
        <is>
          <t>Professional, Scientific &amp; Technical Services</t>
        </is>
      </c>
      <c r="B261" s="93" t="n">
        <v>44013</v>
      </c>
      <c r="C261"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262">
      <c r="A262" t="inlineStr">
        <is>
          <t>Professional, Scientific &amp; Technical Services</t>
        </is>
      </c>
      <c r="B262" s="93" t="n">
        <v>43862</v>
      </c>
      <c r="C262" t="inlineStr">
        <is>
          <t>“The outlook appears positive, as our order book is nearing full capacity for the first half of 2020.” (Professional, Scientific &amp; Technical Services)</t>
        </is>
      </c>
    </row>
    <row r="263">
      <c r="A263" t="inlineStr">
        <is>
          <t>Professional, Scientific &amp; Technical Services</t>
        </is>
      </c>
      <c r="B263" s="93" t="n">
        <v>43800</v>
      </c>
      <c r="C263" t="inlineStr">
        <is>
          <t>"New prospects have improved this month, although continuing uncertainty is causing clients to delay confirmation." (Professional, Scientific &amp; Technical Services)</t>
        </is>
      </c>
    </row>
    <row r="264">
      <c r="A264" t="inlineStr">
        <is>
          <t>Professional, Scientific &amp; Technical Services</t>
        </is>
      </c>
      <c r="B264" s="93" t="n">
        <v>43770</v>
      </c>
      <c r="C264"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265">
      <c r="A265" t="inlineStr">
        <is>
          <t>Professional, Scientific &amp; Technical Services</t>
        </is>
      </c>
      <c r="B265" s="93" t="n">
        <v>43739</v>
      </c>
      <c r="C265" t="inlineStr">
        <is>
          <t>“Positive-but-cautious outlook, with oil prices hovering above [US]$50 a barrel.” (Professional, Scientific &amp; Technical Services)</t>
        </is>
      </c>
    </row>
    <row r="266">
      <c r="A266" t="inlineStr">
        <is>
          <t>Professional, Scientific &amp; Technical Services</t>
        </is>
      </c>
      <c r="B266" s="93" t="n">
        <v>43678</v>
      </c>
      <c r="C266" t="inlineStr">
        <is>
          <t>“Summer doldrums appear to be over, and the fourth quarter will be solid, with higher-than-expected revenues.” (Professional, Scientific &amp; Technical Services)</t>
        </is>
      </c>
    </row>
    <row r="267">
      <c r="A267" t="inlineStr">
        <is>
          <t>Professional, Scientific &amp; Technical Services</t>
        </is>
      </c>
      <c r="B267" s="93" t="n">
        <v>43647</v>
      </c>
      <c r="C267"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268">
      <c r="A268" t="inlineStr">
        <is>
          <t>Professional, Scientific &amp; Technical Services</t>
        </is>
      </c>
      <c r="B268" s="93" t="n">
        <v>43617</v>
      </c>
      <c r="C268" t="inlineStr">
        <is>
          <t>“Waiting to see what new tariffs on Mexican steel will do to the market.” (Professional, Scientific &amp; Technical Services)</t>
        </is>
      </c>
    </row>
    <row r="269">
      <c r="A269" t="inlineStr">
        <is>
          <t>Professional, Scientific &amp; Technical Services</t>
        </is>
      </c>
      <c r="B269" s="93" t="n">
        <v>43556</v>
      </c>
      <c r="C269"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270">
      <c r="A270" t="inlineStr">
        <is>
          <t>Professional, Scientific &amp; Technical Services</t>
        </is>
      </c>
      <c r="B270" s="93" t="n">
        <v>43525</v>
      </c>
      <c r="C270" t="inlineStr">
        <is>
          <t>“Initial surge in business at the beginning of the year has peaked and settled to a more stable level.” (Professional, Scientific &amp; Technical Services)</t>
        </is>
      </c>
    </row>
    <row r="271">
      <c r="A271" t="inlineStr">
        <is>
          <t>Professional, Scientific &amp; Technical Services</t>
        </is>
      </c>
      <c r="B271" s="93" t="n">
        <v>43466</v>
      </c>
      <c r="C271"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272">
      <c r="A272" t="inlineStr">
        <is>
          <t>Public Administration</t>
        </is>
      </c>
      <c r="B272" s="93" t="n">
        <v>44621</v>
      </c>
      <c r="C272" t="inlineStr">
        <is>
          <t>“Long lead times for electronic components are becoming normal and expected. Chemical deliveries are often delayed due to a lack of qualified hazardous materials drivers.”</t>
        </is>
      </c>
    </row>
    <row r="273">
      <c r="A273" t="inlineStr">
        <is>
          <t>Public Administration</t>
        </is>
      </c>
      <c r="B273" s="93" t="n">
        <v>44501</v>
      </c>
      <c r="C273" t="inlineStr">
        <is>
          <t>“Late deliveries and shortages continue. Disruptions seem to be declining somewhat, as suppliers and customers are finding innovative ways to keep supplies moving.” [Public Administration]</t>
        </is>
      </c>
    </row>
    <row r="274">
      <c r="A274" t="inlineStr">
        <is>
          <t>Public Administration</t>
        </is>
      </c>
      <c r="B274" s="93" t="n">
        <v>44470</v>
      </c>
      <c r="C274" t="inlineStr">
        <is>
          <t>“Deliveries are significantly delayed. Metals continue to be volatile.” [Public Administration]</t>
        </is>
      </c>
    </row>
    <row r="275">
      <c r="A275" t="inlineStr">
        <is>
          <t>Public Administration</t>
        </is>
      </c>
      <c r="B275" s="93" t="n">
        <v>44440</v>
      </c>
      <c r="C275"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276">
      <c r="A276" t="inlineStr">
        <is>
          <t>Public Administration</t>
        </is>
      </c>
      <c r="B276" s="93" t="n">
        <v>44409</v>
      </c>
      <c r="C276" t="inlineStr">
        <is>
          <t>Chemicals and transportation services are in short supply. Also, chip shortages are affecting several large-project time lines. [Public Administration]</t>
        </is>
      </c>
    </row>
    <row r="277">
      <c r="A277" t="inlineStr">
        <is>
          <t>Public Administration</t>
        </is>
      </c>
      <c r="B277" s="93" t="n">
        <v>44378</v>
      </c>
      <c r="C277" t="inlineStr">
        <is>
          <t>“Appliances, laptops and certain chemicals are still in short supply.” [Public Administration]</t>
        </is>
      </c>
    </row>
    <row r="278">
      <c r="A278" t="inlineStr">
        <is>
          <t>Public Administration</t>
        </is>
      </c>
      <c r="B278" s="93" t="n">
        <v>44287</v>
      </c>
      <c r="C278"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279">
      <c r="A279" t="inlineStr">
        <is>
          <t>Public Administration</t>
        </is>
      </c>
      <c r="B279" s="93" t="n">
        <v>44197</v>
      </c>
      <c r="C279" t="inlineStr">
        <is>
          <t>“Post-holidays spending is up. Many capital projects and expenditures are coming to fruition.” (Public Administration)</t>
        </is>
      </c>
    </row>
    <row r="280">
      <c r="A280" t="inlineStr">
        <is>
          <t>Public Administration</t>
        </is>
      </c>
      <c r="B280" s="93" t="n">
        <v>44013</v>
      </c>
      <c r="C280"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281">
      <c r="A281" t="inlineStr">
        <is>
          <t>Public Administration</t>
        </is>
      </c>
      <c r="B281" s="93" t="n">
        <v>43952</v>
      </c>
      <c r="C281" t="inlineStr">
        <is>
          <t>“COVID-19 is still impacting our revenue significantly and the prices we are paying for goods and services.” (Public Administration)</t>
        </is>
      </c>
    </row>
    <row r="282">
      <c r="A282" t="inlineStr">
        <is>
          <t>Public Administration</t>
        </is>
      </c>
      <c r="B282" s="93" t="n">
        <v>43891</v>
      </c>
      <c r="C282"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283">
      <c r="A283" t="inlineStr">
        <is>
          <t>Public Administration</t>
        </is>
      </c>
      <c r="B283" s="93" t="n">
        <v>43800</v>
      </c>
      <c r="C283" t="inlineStr">
        <is>
          <t>"Budgets and business accelerating." (Public Administration)</t>
        </is>
      </c>
    </row>
    <row r="284">
      <c r="A284" t="inlineStr">
        <is>
          <t>Public Administration</t>
        </is>
      </c>
      <c r="B284" s="93" t="n">
        <v>43739</v>
      </c>
      <c r="C284" t="inlineStr">
        <is>
          <t>“Beginning of a new fiscal year brings a tremendous amount of spending.” (Public Administration)</t>
        </is>
      </c>
    </row>
    <row r="285">
      <c r="A285" t="inlineStr">
        <is>
          <t>Public Administration</t>
        </is>
      </c>
      <c r="B285" s="93" t="n">
        <v>43617</v>
      </c>
      <c r="C285" t="inlineStr">
        <is>
          <t>“Demand seems strong. There are still pressures for skilled labor. It is difficult to find fully qualified candidates. Suppliers are having trouble with demand.” (Public Administration)</t>
        </is>
      </c>
    </row>
    <row r="286">
      <c r="A286" t="inlineStr">
        <is>
          <t>Public Administration</t>
        </is>
      </c>
      <c r="B286" s="93" t="n">
        <v>43586</v>
      </c>
      <c r="C286" t="inlineStr">
        <is>
          <t>“Gearing up for summer busy construction season.” (Public Administration)</t>
        </is>
      </c>
    </row>
    <row r="287">
      <c r="A287" t="inlineStr">
        <is>
          <t>Public Administration</t>
        </is>
      </c>
      <c r="B287" s="93" t="n">
        <v>43556</v>
      </c>
      <c r="C287" t="inlineStr">
        <is>
          <t>·         “Business is steady. Recruiting qualified employees has been difficult.” (Public Administration)</t>
        </is>
      </c>
    </row>
    <row r="288">
      <c r="A288" t="inlineStr">
        <is>
          <t>Public Administration</t>
        </is>
      </c>
      <c r="B288" s="93" t="n">
        <v>43525</v>
      </c>
      <c r="C288" t="inlineStr">
        <is>
          <t>“Locally as construction grows, a shortage of available workers for the industry is occurring for future projects.” (Public Administration)</t>
        </is>
      </c>
    </row>
    <row r="289">
      <c r="A289" t="inlineStr">
        <is>
          <t>Public Administration</t>
        </is>
      </c>
      <c r="B289" s="93" t="n">
        <v>43466</v>
      </c>
      <c r="C289"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290">
      <c r="A290" t="inlineStr">
        <is>
          <t>Real Estate, Rental &amp; Leasing</t>
        </is>
      </c>
      <c r="B290" s="93" t="n">
        <v>44470</v>
      </c>
      <c r="C290" t="inlineStr">
        <is>
          <t>“Construction remains quite strong, although material supply issues persist.” [Real Estate, Rental &amp; Leasing]</t>
        </is>
      </c>
    </row>
    <row r="291">
      <c r="A291" t="inlineStr">
        <is>
          <t>Real Estate, Rental &amp; Leasing</t>
        </is>
      </c>
      <c r="B291" s="93" t="n">
        <v>44440</v>
      </c>
      <c r="C291" t="inlineStr">
        <is>
          <t>“Business volumes remain remarkably high, although material shortages persist.” [Real Estate, Rental &amp; Leasing]</t>
        </is>
      </c>
    </row>
    <row r="292">
      <c r="A292" t="inlineStr">
        <is>
          <t>Real Estate, Rental &amp; Leasing</t>
        </is>
      </c>
      <c r="B292" s="93" t="n">
        <v>44409</v>
      </c>
      <c r="C292" t="inlineStr">
        <is>
          <t>Business in all segments continues to gain, both month over month and year-to-date versus 2020. Projections and forecasts remain quite robust. [Real Estate, Rental &amp; Leasing]</t>
        </is>
      </c>
    </row>
    <row r="293">
      <c r="A293" t="inlineStr">
        <is>
          <t>Real Estate, Rental &amp; Leasing</t>
        </is>
      </c>
      <c r="B293" s="93" t="n">
        <v>44378</v>
      </c>
      <c r="C293" t="inlineStr">
        <is>
          <t>“Business continues to gain speed as the economy recovers and assuming there won’t be additional government-mandated lockdowns.” [Real Estate, Rental &amp; Leasing]</t>
        </is>
      </c>
    </row>
    <row r="294">
      <c r="A294" t="inlineStr">
        <is>
          <t>Real Estate, Rental &amp; Leasing</t>
        </is>
      </c>
      <c r="B294" s="93" t="n">
        <v>44317</v>
      </c>
      <c r="C294" t="inlineStr">
        <is>
          <t>Business is very strong, and customer orders continue to increase at a rapid pace. Material shortages, increased prices and qualified personnel shortages are becoming a much larger concern. [Real Estate, Rental &amp; Leasing]</t>
        </is>
      </c>
    </row>
    <row r="295">
      <c r="A295" t="inlineStr">
        <is>
          <t>Real Estate, Rental &amp; Leasing</t>
        </is>
      </c>
      <c r="B295" s="93" t="n">
        <v>44287</v>
      </c>
      <c r="C295" t="inlineStr">
        <is>
          <t>Business levels are quite strong as we head into the spring construction season. (Real Estate, Rental &amp; Leasing)</t>
        </is>
      </c>
    </row>
    <row r="296">
      <c r="A296" t="inlineStr">
        <is>
          <t>Real Estate, Rental &amp; Leasing</t>
        </is>
      </c>
      <c r="B296" s="93" t="n">
        <v>44256</v>
      </c>
      <c r="C296" t="inlineStr">
        <is>
          <t>“Business is picking up as mandated restrictions seem to be easing and spring is right around the corner.” (Real Estate, Rental &amp; Leasing)</t>
        </is>
      </c>
    </row>
    <row r="297">
      <c r="A297" t="inlineStr">
        <is>
          <t>Real Estate, Rental &amp; Leasing</t>
        </is>
      </c>
      <c r="B297" s="93" t="n">
        <v>44166</v>
      </c>
      <c r="C297" t="inlineStr">
        <is>
          <t>Business quite good, all things considered, although below the original 2020 planned forecast. (Real Estate, Rental &amp; Leasing)</t>
        </is>
      </c>
    </row>
    <row r="298">
      <c r="A298" t="inlineStr">
        <is>
          <t>Real Estate, Rental &amp; Leasing</t>
        </is>
      </c>
      <c r="B298" s="93" t="n">
        <v>44013</v>
      </c>
      <c r="C298" t="inlineStr">
        <is>
          <t>"COVID-19 interruptions are changing the way business is done." (Real Estate, Rental &amp; Leasing)</t>
        </is>
      </c>
    </row>
    <row r="299">
      <c r="A299" t="inlineStr">
        <is>
          <t>Real Estate, Rental &amp; Leasing</t>
        </is>
      </c>
      <c r="B299" s="93" t="n">
        <v>43983</v>
      </c>
      <c r="C299" t="inlineStr">
        <is>
          <t>“COVID-19 and the riots have disrupted the normal flow of business. There is no new normal yet.” (Real Estate, Rental &amp; Leasing)</t>
        </is>
      </c>
    </row>
    <row r="300">
      <c r="A300" t="inlineStr">
        <is>
          <t>Real Estate, Rental &amp; Leasing</t>
        </is>
      </c>
      <c r="B300" s="93" t="n">
        <v>43862</v>
      </c>
      <c r="C300" t="inlineStr">
        <is>
          <t>“Construction activity appears to be getting off to a good start for 2020.” (Real Estate, Rental &amp; Leasing)</t>
        </is>
      </c>
    </row>
    <row r="301">
      <c r="A301" t="inlineStr">
        <is>
          <t>Real Estate, Rental &amp; Leasing</t>
        </is>
      </c>
      <c r="B301" s="93" t="n">
        <v>43831</v>
      </c>
      <c r="C301" t="inlineStr">
        <is>
          <t>“Customer inquiries are strong to start the new year.” (Real Estate, Rental &amp; Leasing)</t>
        </is>
      </c>
    </row>
    <row r="302">
      <c r="A302" t="inlineStr">
        <is>
          <t>Real Estate, Rental &amp; Leasing</t>
        </is>
      </c>
      <c r="B302" s="93" t="n">
        <v>43739</v>
      </c>
      <c r="C302" t="inlineStr">
        <is>
          <t>“Business remains brisk and well ahead of last year to date, as we near the peak of our busiest season. Looking ahead, our customers remain upbeat about their business well into next year.” (Real Estate, Rental &amp; Leasing)</t>
        </is>
      </c>
    </row>
    <row r="303">
      <c r="A303" t="inlineStr">
        <is>
          <t>Real Estate, Rental &amp; Leasing</t>
        </is>
      </c>
      <c r="B303" s="93" t="n">
        <v>43678</v>
      </c>
      <c r="C303" t="inlineStr">
        <is>
          <t>“Construction markets remain busy. Projects that were delayed are trying to get back on track.” (Real Estate, Rental &amp; Leasing)</t>
        </is>
      </c>
    </row>
    <row r="304">
      <c r="A304" t="inlineStr">
        <is>
          <t>Real Estate, Rental &amp; Leasing</t>
        </is>
      </c>
      <c r="B304" s="93" t="n">
        <v>43525</v>
      </c>
      <c r="C304" t="inlineStr">
        <is>
          <t>“April is when our real busy season begins and it has arrived early this year, demand is quite strong.” (Real Estate, Rental &amp; Leasing)</t>
        </is>
      </c>
    </row>
    <row r="305">
      <c r="A305" t="inlineStr">
        <is>
          <t>Real Estate, Rental &amp; Leasing</t>
        </is>
      </c>
      <c r="B305" s="93" t="n">
        <v>43466</v>
      </c>
      <c r="C305" t="inlineStr">
        <is>
          <t>·         “Order input stable, and supplier deliveries growing. The industry is struggling with capacity constraints.” (Real Estate, Rental &amp; Leasing)</t>
        </is>
      </c>
    </row>
    <row r="306">
      <c r="A306" t="inlineStr">
        <is>
          <t>Retail Trade</t>
        </is>
      </c>
      <c r="B306" s="93" t="n">
        <v>44621</v>
      </c>
      <c r="C306" t="inlineStr">
        <is>
          <t>“Global supply chain issues continue to disrupt chip supply, which is suppressing production of new vehicles.”</t>
        </is>
      </c>
    </row>
    <row r="307">
      <c r="A307" t="inlineStr">
        <is>
          <t>Retail Trade</t>
        </is>
      </c>
      <c r="B307" s="93" t="n">
        <v>44562</v>
      </c>
      <c r="C307" t="inlineStr">
        <is>
          <t>“Business outlook remains cautiously optimistic, although uncertainty remains concerning the impact of omicron, inflation and the lack of major improvements to supply chain issues.”</t>
        </is>
      </c>
    </row>
    <row r="308">
      <c r="A308" t="inlineStr">
        <is>
          <t>Retail Trade</t>
        </is>
      </c>
      <c r="B308" s="93" t="n">
        <v>44531</v>
      </c>
      <c r="C308" t="inlineStr">
        <is>
          <t>“Long lead times, transportation bottlenecks, delivery inconsistency and price increases continue to affect a range of products.”</t>
        </is>
      </c>
    </row>
    <row r="309">
      <c r="A309" t="inlineStr">
        <is>
          <t>Retail Trade</t>
        </is>
      </c>
      <c r="B309" s="93" t="n">
        <v>44501</v>
      </c>
      <c r="C309" t="inlineStr">
        <is>
          <t>“Continuing struggle with transportation capacity.” [Retail Trade]</t>
        </is>
      </c>
    </row>
    <row r="310">
      <c r="A310" t="inlineStr">
        <is>
          <t>Retail Trade</t>
        </is>
      </c>
      <c r="B310" s="93" t="n">
        <v>44440</v>
      </c>
      <c r="C310" t="inlineStr">
        <is>
          <t>“Still experiencing very strong demand. Supply chain is still a challenge.” [Retail Trade]</t>
        </is>
      </c>
    </row>
    <row r="311">
      <c r="A311" t="inlineStr">
        <is>
          <t>Retail Trade</t>
        </is>
      </c>
      <c r="B311" s="93" t="n">
        <v>44409</v>
      </c>
      <c r="C311"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312">
      <c r="A312" t="inlineStr">
        <is>
          <t>Retail Trade</t>
        </is>
      </c>
      <c r="B312" s="93" t="n">
        <v>44378</v>
      </c>
      <c r="C312"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313">
      <c r="A313" t="inlineStr">
        <is>
          <t>Retail Trade</t>
        </is>
      </c>
      <c r="B313" s="93" t="n">
        <v>44348</v>
      </c>
      <c r="C313"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314">
      <c r="A314" t="inlineStr">
        <is>
          <t>Retail Trade</t>
        </is>
      </c>
      <c r="B314" s="93" t="n">
        <v>44317</v>
      </c>
      <c r="C314" t="inlineStr">
        <is>
          <t>Very concerned about the rapid and continuing price escalations for any products with copper, steel, and polyvinyl chloride (PVC). Production issues and lead-time extensions are not improving. [Retail Trade]</t>
        </is>
      </c>
    </row>
    <row r="315">
      <c r="A315" t="inlineStr">
        <is>
          <t>Retail Trade</t>
        </is>
      </c>
      <c r="B315" s="93" t="n">
        <v>44256</v>
      </c>
      <c r="C315" t="inlineStr">
        <is>
          <t>“Outlook remains cautiously optimistic for the second half of the year as businesses continue to open up and projects come online.” (Retail Trade)</t>
        </is>
      </c>
    </row>
    <row r="316">
      <c r="A316" t="inlineStr">
        <is>
          <t>Retail Trade</t>
        </is>
      </c>
      <c r="B316" s="93" t="n">
        <v>44228</v>
      </c>
      <c r="C316" t="inlineStr">
        <is>
          <t>“Supplier deliveries continue to be an issue as well as lead-times. Additionally, price increases are occurring with more frequency for products containing raw materials such as copper and steel.” (Retail Trade)</t>
        </is>
      </c>
    </row>
    <row r="317">
      <c r="A317" t="inlineStr">
        <is>
          <t>Retail Trade</t>
        </is>
      </c>
      <c r="B317" s="93" t="n">
        <v>44197</v>
      </c>
      <c r="C317" t="inlineStr">
        <is>
          <t>“Business outlook for 2021 looks better. Companies are optimistic that conditions will start improving by the end of the second quarter.” (Retail Trade)</t>
        </is>
      </c>
    </row>
    <row r="318">
      <c r="A318" t="inlineStr">
        <is>
          <t>Retail Trade</t>
        </is>
      </c>
      <c r="B318" s="93" t="n">
        <v>44136</v>
      </c>
      <c r="C318"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319">
      <c r="A319" t="inlineStr">
        <is>
          <t>Retail Trade</t>
        </is>
      </c>
      <c r="B319" s="93" t="n">
        <v>44105</v>
      </c>
      <c r="C319" t="inlineStr">
        <is>
          <t>“We continue to be cautiously optimistic that the rebound in business that began in July continues to sustain.” (Retail Trade)</t>
        </is>
      </c>
    </row>
    <row r="320">
      <c r="A320" t="inlineStr">
        <is>
          <t>Retail Trade</t>
        </is>
      </c>
      <c r="B320" s="93" t="n">
        <v>44075</v>
      </c>
      <c r="C320"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321">
      <c r="A321" t="inlineStr">
        <is>
          <t>Retail Trade</t>
        </is>
      </c>
      <c r="B321" s="93" t="n">
        <v>44044</v>
      </c>
      <c r="C321"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322">
      <c r="A322" t="inlineStr">
        <is>
          <t>Retail Trade</t>
        </is>
      </c>
      <c r="B322" s="93" t="n">
        <v>44013</v>
      </c>
      <c r="C322"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323">
      <c r="A323" t="inlineStr">
        <is>
          <t>Retail Trade</t>
        </is>
      </c>
      <c r="B323" s="93" t="n">
        <v>43952</v>
      </c>
      <c r="C323"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324">
      <c r="A324" t="inlineStr">
        <is>
          <t>Retail Trade</t>
        </is>
      </c>
      <c r="B324" s="93" t="n">
        <v>43922</v>
      </c>
      <c r="C324" t="inlineStr">
        <is>
          <t>“New challenges working from home and getting inventory to the retail locations.” (Retail Trade)</t>
        </is>
      </c>
    </row>
    <row r="325">
      <c r="A325" t="inlineStr">
        <is>
          <t>Retail Trade</t>
        </is>
      </c>
      <c r="B325" s="93" t="n">
        <v>43891</v>
      </c>
      <c r="C325" t="inlineStr">
        <is>
          <t>“As expected for many industries (whether manufacturing or non-manufacturing), purchasing has slowed as we evaluate the economic climate and prepare for long-term effects.” (Retail Trade)</t>
        </is>
      </c>
    </row>
    <row r="326">
      <c r="A326" t="inlineStr">
        <is>
          <t>Retail Trade</t>
        </is>
      </c>
      <c r="B326" s="93" t="n">
        <v>43862</v>
      </c>
      <c r="C326" t="inlineStr">
        <is>
          <t>“A post-holiday slow period for retail. Business is strong overall; however, volume and inventories are lower due to the season. Pricing is still in check, with specialty labor the primary price risk.” (Retail Trade)</t>
        </is>
      </c>
    </row>
    <row r="327">
      <c r="A327" t="inlineStr">
        <is>
          <t>Retail Trade</t>
        </is>
      </c>
      <c r="B327" s="93" t="n">
        <v>43800</v>
      </c>
      <c r="C327" t="inlineStr">
        <is>
          <t>"The shorter-than-normal holiday season tightens sales opportunities; however, initial trends have been favorable." (Retail Trade)</t>
        </is>
      </c>
    </row>
    <row r="328">
      <c r="A328" t="inlineStr">
        <is>
          <t>Retail Trade</t>
        </is>
      </c>
      <c r="B328" s="93" t="n">
        <v>43709</v>
      </c>
      <c r="C328" t="inlineStr">
        <is>
          <t>“Business continues to pick up as we quickly approach Q4. Week by week, we inch closer to a much-anticipated holiday retail season, which requires not only last-minute buys, but a push to fill open positions.” (Retail Trade)</t>
        </is>
      </c>
    </row>
    <row r="329">
      <c r="A329" t="inlineStr">
        <is>
          <t>Retail Trade</t>
        </is>
      </c>
      <c r="B329" s="93" t="n">
        <v>43678</v>
      </c>
      <c r="C329" t="inlineStr">
        <is>
          <t>“As Q2 wraps up for many retailers, we begin focusing on holiday readiness. In turn, head count and requests for additional products and services will gradually increase.” (Retail Trade)</t>
        </is>
      </c>
    </row>
    <row r="330">
      <c r="A330" t="inlineStr">
        <is>
          <t>Retail Trade</t>
        </is>
      </c>
      <c r="B330" s="93" t="n">
        <v>43647</v>
      </c>
      <c r="C330"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331">
      <c r="A331" t="inlineStr">
        <is>
          <t>Retail Trade</t>
        </is>
      </c>
      <c r="B331" s="93" t="n">
        <v>43617</v>
      </c>
      <c r="C331" t="inlineStr">
        <is>
          <t>“The largest business condition impacting general purchasing operations is the increased cost of goods due to the tariffs placed on China.” (Retail Trade)</t>
        </is>
      </c>
    </row>
    <row r="332">
      <c r="A332" t="inlineStr">
        <is>
          <t>Retail Trade</t>
        </is>
      </c>
      <c r="B332" s="93" t="n">
        <v>43586</v>
      </c>
      <c r="C332" t="inlineStr">
        <is>
          <t>“We reported very strong Q1 results and raised our FY guidance. However, our stock has traded down due to the continued uncertainty in healthcare/Rx. There is a concern that tariffs on pharmaceuticals could be on the horizon.” (Retail Trade)</t>
        </is>
      </c>
    </row>
    <row r="333">
      <c r="A333" t="inlineStr">
        <is>
          <t>Retail Trade</t>
        </is>
      </c>
      <c r="B333" s="93" t="n">
        <v>43556</v>
      </c>
      <c r="C333" t="inlineStr">
        <is>
          <t>·         “Continuing momentum in most areas. We continue to have pressure finding talent to support open positions. Starting to see increases in building costs due to increases in labor [costs]. Inventory moving well, with deliveries on time.” (Retail Trade)</t>
        </is>
      </c>
    </row>
    <row r="334">
      <c r="A334" t="inlineStr">
        <is>
          <t>Retail Trade</t>
        </is>
      </c>
      <c r="B334" s="93" t="n">
        <v>43497</v>
      </c>
      <c r="C334" t="inlineStr">
        <is>
          <t>“Confidence is returning in the marketplace, but tariff surcharges are still in place.” (Retail Trade)</t>
        </is>
      </c>
    </row>
    <row r="335">
      <c r="A335" t="inlineStr">
        <is>
          <t>Retail Trade</t>
        </is>
      </c>
      <c r="B335" s="93" t="n">
        <v>43466</v>
      </c>
      <c r="C335" t="inlineStr">
        <is>
          <t>·         “Things are steady. We’re trying to mitigate any impact of the tariffs.” (Retail Trade)</t>
        </is>
      </c>
    </row>
    <row r="336">
      <c r="A336" t="inlineStr">
        <is>
          <t>Transportation &amp; Warehousing</t>
        </is>
      </c>
      <c r="B336" s="93" t="n">
        <v>44501</v>
      </c>
      <c r="C336"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337">
      <c r="A337" t="inlineStr">
        <is>
          <t>Transportation &amp; Warehousing</t>
        </is>
      </c>
      <c r="B337" s="93" t="n">
        <v>44348</v>
      </c>
      <c r="C337" t="inlineStr">
        <is>
          <t>“Demand far outweighs supply for goods and services.” [Transportation &amp; Warehousing]</t>
        </is>
      </c>
    </row>
    <row r="338">
      <c r="A338" t="inlineStr">
        <is>
          <t>Transportation &amp; Warehousing</t>
        </is>
      </c>
      <c r="B338" s="93" t="n">
        <v>44166</v>
      </c>
      <c r="C338" t="inlineStr">
        <is>
          <t>Business conditions are improving with increased volume, but [growth has] slowed slightly due to COVID-19 shutdowns in some states. (Transportation &amp; Warehousing)</t>
        </is>
      </c>
    </row>
    <row r="339">
      <c r="A339" t="inlineStr">
        <is>
          <t>Transportation &amp; Warehousing</t>
        </is>
      </c>
      <c r="B339" s="93" t="n">
        <v>43862</v>
      </c>
      <c r="C339" t="inlineStr">
        <is>
          <t>“A shortage of workers at several levels is impacting the quality of employees we are looking to hire for capital projects we need to start.” (Transportation &amp; Warehousing</t>
        </is>
      </c>
    </row>
    <row r="340">
      <c r="A340" t="inlineStr">
        <is>
          <t>Transportation &amp; Warehousing</t>
        </is>
      </c>
      <c r="B340" s="93" t="n">
        <v>43770</v>
      </c>
      <c r="C340" t="inlineStr">
        <is>
          <t>“Fourth-quarter seasonal retail volume increase is affecting labor hours, temporary labor demand and availability of short-term rental trailers to compensate for overflow.” (Transportation &amp; Warehousing)</t>
        </is>
      </c>
    </row>
    <row r="341">
      <c r="A341" t="inlineStr">
        <is>
          <t>Transportation &amp; Warehousing</t>
        </is>
      </c>
      <c r="B341" s="93" t="n">
        <v>43739</v>
      </c>
      <c r="C341" t="inlineStr">
        <is>
          <t>“Preparing for an increase in holiday revenues.” (Transportation &amp; Warehousing)</t>
        </is>
      </c>
    </row>
    <row r="342">
      <c r="A342" t="inlineStr">
        <is>
          <t>Transportation &amp; Warehousing</t>
        </is>
      </c>
      <c r="B342" s="93" t="n">
        <v>43678</v>
      </c>
      <c r="C342" t="inlineStr">
        <is>
          <t>“Our summer load factor was high, and as we transition to the holiday season, we are forecasting a high load as well.” (Transportation &amp; Warehousing)</t>
        </is>
      </c>
    </row>
    <row r="343">
      <c r="A343" t="inlineStr">
        <is>
          <t>Transportation &amp; Warehousing</t>
        </is>
      </c>
      <c r="B343" s="93" t="n">
        <v>43617</v>
      </c>
      <c r="C343" t="inlineStr">
        <is>
          <t>“Business continues to run well, [with] indications of slowing customer demand and improvement in supplier delivery performance.” (Transportation &amp; Warehousing)</t>
        </is>
      </c>
    </row>
    <row r="344">
      <c r="A344" t="inlineStr">
        <is>
          <t>Transportation &amp; Warehousing</t>
        </is>
      </c>
      <c r="B344" s="93" t="n">
        <v>43525</v>
      </c>
      <c r="C344" t="inlineStr">
        <is>
          <t>“Labor, weather and regulatory issues have impacted operations.” (Transportation &amp; Warehousing)</t>
        </is>
      </c>
    </row>
    <row r="345">
      <c r="A345" t="inlineStr">
        <is>
          <t>Transportation &amp; Warehousing</t>
        </is>
      </c>
      <c r="B345" s="93" t="n">
        <v>43466</v>
      </c>
      <c r="C345" t="inlineStr">
        <is>
          <t>·         “Central processing unit (CPU) shortages continue to impact fulfillment of orders.” (Transportation &amp; Warehousing)</t>
        </is>
      </c>
    </row>
    <row r="346">
      <c r="A346" t="inlineStr">
        <is>
          <t>Utilities</t>
        </is>
      </c>
      <c r="B346" s="93" t="n">
        <v>44621</v>
      </c>
      <c r="C346" t="inlineStr">
        <is>
          <t>“We are still seeing raw material subcomponent shortages, transportation delays and price increases.”</t>
        </is>
      </c>
    </row>
    <row r="347">
      <c r="A347" t="inlineStr">
        <is>
          <t>Utilities</t>
        </is>
      </c>
      <c r="B347" s="93" t="n">
        <v>44593</v>
      </c>
      <c r="C347" t="inlineStr">
        <is>
          <t>“Appear to be on the upswing from COVID-19 from an absenteeism standpoint. Still dealing with long lead times for wire, polyvinyl chloride (PVC), steel, transformers and meters. Winter weather has not had an impact on productivity levels.”</t>
        </is>
      </c>
    </row>
    <row r="348">
      <c r="A348" t="inlineStr">
        <is>
          <t>Utilities</t>
        </is>
      </c>
      <c r="B348" s="93" t="n">
        <v>44562</v>
      </c>
      <c r="C348" t="inlineStr">
        <is>
          <t>“Business activity is very high, and we have maintained a consistent amount of back orders. Labor constraints are presenting problems throughout all areas of the business.”</t>
        </is>
      </c>
    </row>
    <row r="349">
      <c r="A349" t="inlineStr">
        <is>
          <t>Utilities</t>
        </is>
      </c>
      <c r="B349" s="93" t="n">
        <v>44531</v>
      </c>
      <c r="C349"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350">
      <c r="A350" t="inlineStr">
        <is>
          <t>Utilities</t>
        </is>
      </c>
      <c r="B350" s="93" t="n">
        <v>44287</v>
      </c>
      <c r="C350"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351">
      <c r="A351" t="inlineStr">
        <is>
          <t>Utilities</t>
        </is>
      </c>
      <c r="B351" s="93" t="n">
        <v>44228</v>
      </c>
      <c r="C351" t="inlineStr">
        <is>
          <t>“Construction and customer activity remains robust. Many materials have inconsistent lead times or are facing delivery delays.” (Utilities)</t>
        </is>
      </c>
    </row>
    <row r="352">
      <c r="A352" t="inlineStr">
        <is>
          <t>Utilities</t>
        </is>
      </c>
      <c r="B352" s="93" t="n">
        <v>44197</v>
      </c>
      <c r="C352" t="inlineStr">
        <is>
          <t>“Business outlook for 2021 is positive with projects and capital investments moving forward. Target financial objectives have been obtained.” (Utilities)</t>
        </is>
      </c>
    </row>
    <row r="353">
      <c r="A353" t="inlineStr">
        <is>
          <t>Utilities</t>
        </is>
      </c>
      <c r="B353" s="93" t="n">
        <v>44166</v>
      </c>
      <c r="C353" t="inlineStr">
        <is>
          <t>The general business conditions are steady/stable. Expecting a very slight slowdown to end the year, with a rebound in mid-January. (Utilities)</t>
        </is>
      </c>
    </row>
    <row r="354">
      <c r="A354" t="inlineStr">
        <is>
          <t>Utilities</t>
        </is>
      </c>
      <c r="B354" s="93" t="n">
        <v>44013</v>
      </c>
      <c r="C354" t="inlineStr">
        <is>
          <t>"Orders and business activity are back to pre-pandemic levels. Previously stalled projects are starting back up." (Utilities)</t>
        </is>
      </c>
    </row>
    <row r="355">
      <c r="A355" t="inlineStr">
        <is>
          <t>Utilities</t>
        </is>
      </c>
      <c r="B355" s="93" t="n">
        <v>43800</v>
      </c>
      <c r="C355" t="inlineStr">
        <is>
          <t>"We are seeing extended lead times for already purchased materials across the board. Suppliers, as well, are warning that they are seeing longer lead times for engineered and manufactured goods." (Utilities)</t>
        </is>
      </c>
    </row>
    <row r="356">
      <c r="A356" t="inlineStr">
        <is>
          <t>Utilities</t>
        </is>
      </c>
      <c r="B356" s="93" t="n">
        <v>43586</v>
      </c>
      <c r="C356" t="inlineStr">
        <is>
          <t>“Waiting to see [the] impact of Chinese import tariff affect.” (Utilities)</t>
        </is>
      </c>
    </row>
    <row r="357">
      <c r="A357" t="inlineStr">
        <is>
          <t>Utilities</t>
        </is>
      </c>
      <c r="B357" s="93" t="n">
        <v>43497</v>
      </c>
      <c r="C357" t="inlineStr">
        <is>
          <t>“Tariffs continue to have an impact on our business. The contractor labor shortage continues to be the biggest supply challenge for our company and others in our region and industry.” (Utilities)</t>
        </is>
      </c>
    </row>
    <row r="358">
      <c r="A358" t="inlineStr">
        <is>
          <t>Wholesale Trade</t>
        </is>
      </c>
      <c r="B358" s="93" t="n">
        <v>44621</v>
      </c>
      <c r="C358" t="inlineStr">
        <is>
          <t>“Constrained supply of many key product groups continues. Inflation worsening. Overall sales and profitability continue to be strong.”</t>
        </is>
      </c>
    </row>
    <row r="359">
      <c r="A359" t="inlineStr">
        <is>
          <t>Wholesale Trade</t>
        </is>
      </c>
      <c r="B359" s="93" t="n">
        <v>44562</v>
      </c>
      <c r="C359" t="inlineStr">
        <is>
          <t>“Constrained supplies of many key product groups continue. Inflation worsening; however, sales and profitability continue to be strong.”</t>
        </is>
      </c>
    </row>
    <row r="360">
      <c r="A360" t="inlineStr">
        <is>
          <t>Wholesale Trade</t>
        </is>
      </c>
      <c r="B360" s="93" t="n">
        <v>44531</v>
      </c>
      <c r="C360" t="inlineStr">
        <is>
          <t>“Demand is good, but supply chain issues continue to get worse. Trucking availability is worsening. Labor shortages are causing issues. We could do much more business if we had more people and access to more products.”</t>
        </is>
      </c>
    </row>
    <row r="361">
      <c r="A361" t="inlineStr">
        <is>
          <t>Wholesale Trade</t>
        </is>
      </c>
      <c r="B361" s="93" t="n">
        <v>44501</v>
      </c>
      <c r="C361" t="inlineStr">
        <is>
          <t>“Inflation and supply chain issues have caused cost increases and stockouts, but sales continue to be strong, with a positive outlook for the next quarter and beyond.” [Wholesale Trade]</t>
        </is>
      </c>
    </row>
    <row r="362">
      <c r="A362" t="inlineStr">
        <is>
          <t>Wholesale Trade</t>
        </is>
      </c>
      <c r="B362" s="93" t="n">
        <v>44470</v>
      </c>
      <c r="C362"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363">
      <c r="A363" t="inlineStr">
        <is>
          <t>Wholesale Trade</t>
        </is>
      </c>
      <c r="B363" s="93" t="n">
        <v>44440</v>
      </c>
      <c r="C363"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364">
      <c r="A364" t="inlineStr">
        <is>
          <t>Wholesale Trade</t>
        </is>
      </c>
      <c r="B364" s="93" t="n">
        <v>44409</v>
      </c>
      <c r="C364" t="inlineStr">
        <is>
          <t>Steel shortages continue. Labor constraints at suppliers continue to push delivery dates out. Logistics issues (are also ongoing), as container space, truck drivers and the like remain difficult to obtain. [Wholesale Trade]</t>
        </is>
      </c>
    </row>
    <row r="365">
      <c r="A365" t="inlineStr">
        <is>
          <t>Wholesale Trade</t>
        </is>
      </c>
      <c r="B365" s="93" t="n">
        <v>44378</v>
      </c>
      <c r="C365"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366">
      <c r="A366" t="inlineStr">
        <is>
          <t>Wholesale Trade</t>
        </is>
      </c>
      <c r="B366" s="93" t="n">
        <v>44348</v>
      </c>
      <c r="C366"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367">
      <c r="A367" t="inlineStr">
        <is>
          <t>Wholesale Trade</t>
        </is>
      </c>
      <c r="B367" s="93" t="n">
        <v>44317</v>
      </c>
      <c r="C367"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368">
      <c r="A368" t="inlineStr">
        <is>
          <t>Wholesale Trade</t>
        </is>
      </c>
      <c r="B368" s="93" t="n">
        <v>44287</v>
      </c>
      <c r="C368" t="inlineStr">
        <is>
          <t>Business is very robust, but logistics and supply cannot keep up. (Wholesale Trade)</t>
        </is>
      </c>
    </row>
    <row r="369">
      <c r="A369" t="inlineStr">
        <is>
          <t>Wholesale Trade</t>
        </is>
      </c>
      <c r="B369" s="93" t="n">
        <v>44256</v>
      </c>
      <c r="C369"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370">
      <c r="A370" t="inlineStr">
        <is>
          <t>Wholesale Trade</t>
        </is>
      </c>
      <c r="B370" s="93" t="n">
        <v>44228</v>
      </c>
      <c r="C370" t="inlineStr">
        <is>
          <t>“We are seeing an ongoing influx of price increases due to raw-material shortages, labor shortages, and transportation delays.” (Wholesale Trade)</t>
        </is>
      </c>
    </row>
    <row r="371">
      <c r="A371" t="inlineStr">
        <is>
          <t>Wholesale Trade</t>
        </is>
      </c>
      <c r="B371" s="93" t="n">
        <v>44197</v>
      </c>
      <c r="C371"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372">
      <c r="A372" t="inlineStr">
        <is>
          <t>Wholesale Trade</t>
        </is>
      </c>
      <c r="B372" s="93" t="n">
        <v>44166</v>
      </c>
      <c r="C372" t="inlineStr">
        <is>
          <t>"We have seen a growing number of product shortages and increased lead times during the last quarter. (Wholesale Trade)</t>
        </is>
      </c>
    </row>
    <row r="373">
      <c r="A373" t="inlineStr">
        <is>
          <t>Wholesale Trade</t>
        </is>
      </c>
      <c r="B373" s="93" t="n">
        <v>44105</v>
      </c>
      <c r="C373" t="inlineStr">
        <is>
          <t>“Business continues to gain as people are travelling and businesses are opening up to consumers.” (Wholesale Trade)</t>
        </is>
      </c>
    </row>
    <row r="374">
      <c r="A374" t="inlineStr">
        <is>
          <t>Wholesale Trade</t>
        </is>
      </c>
      <c r="B374" s="93" t="n">
        <v>44044</v>
      </c>
      <c r="C374" t="inlineStr">
        <is>
          <t>“Very good sales trend in home-improvement product sales, but challenges on market conditions exist like limited ocean capacity from Asia to U.S., delays in port and rails as a result of COVID-19 pandemic impact.” (Wholesale Trade)</t>
        </is>
      </c>
    </row>
    <row r="375">
      <c r="A375" t="inlineStr">
        <is>
          <t>Wholesale Trade</t>
        </is>
      </c>
      <c r="B375" s="93" t="n">
        <v>43952</v>
      </c>
      <c r="C375" t="inlineStr">
        <is>
          <t>“Business is slightly picking up but is still drastically down due to COVID-19 and hospitality businesses being closed or limited in service.” (Wholesale Trade)</t>
        </is>
      </c>
    </row>
    <row r="376">
      <c r="A376" t="inlineStr">
        <is>
          <t>Wholesale Trade</t>
        </is>
      </c>
      <c r="B376" s="93" t="n">
        <v>43922</v>
      </c>
      <c r="C376"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377">
      <c r="A377" t="inlineStr">
        <is>
          <t>Wholesale Trade</t>
        </is>
      </c>
      <c r="B377" s="93" t="n">
        <v>43831</v>
      </c>
      <c r="C377"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378">
      <c r="A378" t="inlineStr">
        <is>
          <t>Wholesale Trade</t>
        </is>
      </c>
      <c r="B378" s="93" t="n">
        <v>43800</v>
      </c>
      <c r="C378" t="inlineStr">
        <is>
          <t>"Overall business is down from this time last year, but sales have increased over the last month, causing more buys with our suppliers." (Wholesale Trade)</t>
        </is>
      </c>
    </row>
    <row r="379">
      <c r="A379" t="inlineStr">
        <is>
          <t>Wholesale Trade</t>
        </is>
      </c>
      <c r="B379" s="93" t="n">
        <v>43739</v>
      </c>
      <c r="C379" t="inlineStr">
        <is>
          <t>"Business is still lower than this time last year due to tariff issues and a soft market.” (Wholesale Trade)</t>
        </is>
      </c>
    </row>
    <row r="380">
      <c r="A380" t="inlineStr">
        <is>
          <t>Wholesale Trade</t>
        </is>
      </c>
      <c r="B380" s="93" t="n">
        <v>43647</v>
      </c>
      <c r="C380" t="inlineStr">
        <is>
          <t>“Business is somewhat slow for the first half of 2019, but it is expected to pick up for the second half.” (Wholesale Trade)</t>
        </is>
      </c>
    </row>
    <row r="381">
      <c r="A381" t="inlineStr">
        <is>
          <t>Wholesale Trade</t>
        </is>
      </c>
      <c r="B381" s="93" t="n">
        <v>43617</v>
      </c>
      <c r="C381" t="inlineStr">
        <is>
          <t>“The continued restructuring of ocean-carrier routing is still causing havoc in the supply chain. We are experiencing minimal impact due to an increase in inventory levels.” (Wholesale Trade)</t>
        </is>
      </c>
    </row>
    <row r="382">
      <c r="A382" t="inlineStr">
        <is>
          <t>Wholesale Trade</t>
        </is>
      </c>
      <c r="B382" s="93" t="n">
        <v>43556</v>
      </c>
      <c r="C382" t="inlineStr">
        <is>
          <t>·         “We had a general slowing of business activity beginning in February. We initially believed that February’s slowness was primarily weather related, but the slowness continued into March and now April.” (Wholesale Trade)</t>
        </is>
      </c>
    </row>
    <row r="383">
      <c r="A383" t="inlineStr">
        <is>
          <t>Wholesale Trade</t>
        </is>
      </c>
      <c r="B383" s="93" t="n">
        <v>43497</v>
      </c>
      <c r="C383" t="inlineStr">
        <is>
          <t>“Seeing increases in business activity. Projecting strong sales for the month, stable prices and generally good fill rates from suppliers. Some spot outages, mostly due to capacity and planning limitations or shortfalls.” (Wholesale Trade)</t>
        </is>
      </c>
    </row>
    <row r="384">
      <c r="A384" t="inlineStr">
        <is>
          <t>Wholesale Trade</t>
        </is>
      </c>
      <c r="B384" s="93" t="n">
        <v>43466</v>
      </c>
      <c r="C384"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2022-04-02T13:40:23Z</dcterms:modified>
  <cp:lastModifiedBy>Mark Mukherjee</cp:lastModifiedBy>
</cp:coreProperties>
</file>