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57D50662-4C0A-094B-853B-D2E6F1DC43DA}" xr6:coauthVersionLast="47" xr6:coauthVersionMax="47" xr10:uidLastSave="{00000000-0000-0000-0000-000000000000}"/>
  <bookViews>
    <workbookView xWindow="-68280" yWindow="-480" windowWidth="41860" windowHeight="27300" xr2:uid="{00000000-000D-0000-FFFF-FFFF00000000}"/>
  </bookViews>
  <sheets>
    <sheet name="Note" sheetId="1" r:id="rId1"/>
    <sheet name="DB Services ISM" sheetId="2" r:id="rId2"/>
    <sheet name="DB Business" sheetId="3" r:id="rId3"/>
    <sheet name="DB New Orders" sheetId="4" r:id="rId4"/>
    <sheet name="DB Details" sheetId="5" r:id="rId5"/>
    <sheet name="Sectors" sheetId="6" r:id="rId6"/>
    <sheet name="SectorsBusinessActivity" sheetId="7" r:id="rId7"/>
    <sheet name="SectorsNewOrders" sheetId="8" r:id="rId8"/>
    <sheet name="Sectors Trend" sheetId="9" r:id="rId9"/>
    <sheet name="Details" sheetId="10" r:id="rId10"/>
    <sheet name="Graphs" sheetId="11" r:id="rId11"/>
    <sheet name="ISM Services vs GDP" sheetId="12" r:id="rId12"/>
    <sheet name="ISM Services" sheetId="13" r:id="rId13"/>
    <sheet name="Industry Comments" sheetId="14"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99" i="13" l="1"/>
  <c r="B298" i="13"/>
  <c r="C299" i="13" s="1"/>
  <c r="B297" i="13"/>
  <c r="C298" i="13" s="1"/>
  <c r="C296" i="13"/>
  <c r="B296" i="13"/>
  <c r="C297" i="13" s="1"/>
  <c r="B295" i="13"/>
  <c r="B294" i="13"/>
  <c r="C295" i="13" s="1"/>
  <c r="B293" i="13"/>
  <c r="C294" i="13" s="1"/>
  <c r="C292" i="13"/>
  <c r="B292" i="13"/>
  <c r="C293" i="13" s="1"/>
  <c r="B291" i="13"/>
  <c r="B290" i="13"/>
  <c r="C291" i="13" s="1"/>
  <c r="B289" i="13"/>
  <c r="C290" i="13" s="1"/>
  <c r="C288" i="13"/>
  <c r="B288" i="13"/>
  <c r="C289" i="13" s="1"/>
  <c r="B287" i="13"/>
  <c r="B286" i="13"/>
  <c r="C287" i="13" s="1"/>
  <c r="B285" i="13"/>
  <c r="C286" i="13" s="1"/>
  <c r="C284" i="13"/>
  <c r="B284" i="13"/>
  <c r="C285" i="13" s="1"/>
  <c r="B283" i="13"/>
  <c r="B282" i="13"/>
  <c r="C283" i="13" s="1"/>
  <c r="B281" i="13"/>
  <c r="C282" i="13" s="1"/>
  <c r="C280" i="13"/>
  <c r="B280" i="13"/>
  <c r="C281" i="13" s="1"/>
  <c r="B279" i="13"/>
  <c r="B278" i="13"/>
  <c r="C279" i="13" s="1"/>
  <c r="B277" i="13"/>
  <c r="C278" i="13" s="1"/>
  <c r="C276" i="13"/>
  <c r="B276" i="13"/>
  <c r="C277" i="13" s="1"/>
  <c r="B275" i="13"/>
  <c r="B274" i="13"/>
  <c r="C275" i="13" s="1"/>
  <c r="B273" i="13"/>
  <c r="C274" i="13" s="1"/>
  <c r="C272" i="13"/>
  <c r="B272" i="13"/>
  <c r="C273" i="13" s="1"/>
  <c r="B271" i="13"/>
  <c r="B270" i="13"/>
  <c r="C271" i="13" s="1"/>
  <c r="B269" i="13"/>
  <c r="C270" i="13" s="1"/>
  <c r="C268" i="13"/>
  <c r="B268" i="13"/>
  <c r="C269" i="13" s="1"/>
  <c r="B267" i="13"/>
  <c r="B266" i="13"/>
  <c r="C267" i="13" s="1"/>
  <c r="B265" i="13"/>
  <c r="C266" i="13" s="1"/>
  <c r="C264" i="13"/>
  <c r="B264" i="13"/>
  <c r="C265" i="13" s="1"/>
  <c r="B263" i="13"/>
  <c r="B262" i="13"/>
  <c r="C263" i="13" s="1"/>
  <c r="B261" i="13"/>
  <c r="C262" i="13" s="1"/>
  <c r="C260" i="13"/>
  <c r="B260" i="13"/>
  <c r="C261" i="13" s="1"/>
  <c r="B259" i="13"/>
  <c r="B258" i="13"/>
  <c r="C259" i="13" s="1"/>
  <c r="B257" i="13"/>
  <c r="C258" i="13" s="1"/>
  <c r="C256" i="13"/>
  <c r="B256" i="13"/>
  <c r="C257" i="13" s="1"/>
  <c r="B255" i="13"/>
  <c r="B254" i="13"/>
  <c r="C255" i="13" s="1"/>
  <c r="B253" i="13"/>
  <c r="C254" i="13" s="1"/>
  <c r="C252" i="13"/>
  <c r="B252" i="13"/>
  <c r="C253" i="13" s="1"/>
  <c r="B251" i="13"/>
  <c r="B250" i="13"/>
  <c r="C251" i="13" s="1"/>
  <c r="B249" i="13"/>
  <c r="C250" i="13" s="1"/>
  <c r="C248" i="13"/>
  <c r="B248" i="13"/>
  <c r="C249" i="13" s="1"/>
  <c r="B247" i="13"/>
  <c r="B246" i="13"/>
  <c r="C247" i="13" s="1"/>
  <c r="B245" i="13"/>
  <c r="C246" i="13" s="1"/>
  <c r="C244" i="13"/>
  <c r="B244" i="13"/>
  <c r="C245" i="13" s="1"/>
  <c r="B243" i="13"/>
  <c r="B242" i="13"/>
  <c r="C243" i="13" s="1"/>
  <c r="B241" i="13"/>
  <c r="C242" i="13" s="1"/>
  <c r="C240" i="13"/>
  <c r="B240" i="13"/>
  <c r="C241" i="13" s="1"/>
  <c r="B239" i="13"/>
  <c r="B238" i="13"/>
  <c r="C239" i="13" s="1"/>
  <c r="B237" i="13"/>
  <c r="C238" i="13" s="1"/>
  <c r="C236" i="13"/>
  <c r="B236" i="13"/>
  <c r="C237" i="13" s="1"/>
  <c r="B235" i="13"/>
  <c r="B234" i="13"/>
  <c r="C235" i="13" s="1"/>
  <c r="B233" i="13"/>
  <c r="C234" i="13" s="1"/>
  <c r="C232" i="13"/>
  <c r="B232" i="13"/>
  <c r="C233" i="13" s="1"/>
  <c r="B231" i="13"/>
  <c r="B230" i="13"/>
  <c r="C231" i="13" s="1"/>
  <c r="B229" i="13"/>
  <c r="C230" i="13" s="1"/>
  <c r="C228" i="13"/>
  <c r="B228" i="13"/>
  <c r="C229" i="13" s="1"/>
  <c r="B227" i="13"/>
  <c r="B226" i="13"/>
  <c r="C227" i="13" s="1"/>
  <c r="B225" i="13"/>
  <c r="C226" i="13" s="1"/>
  <c r="C224" i="13"/>
  <c r="B224" i="13"/>
  <c r="C225" i="13" s="1"/>
  <c r="B223" i="13"/>
  <c r="B222" i="13"/>
  <c r="C223" i="13" s="1"/>
  <c r="B221" i="13"/>
  <c r="C222" i="13" s="1"/>
  <c r="C220" i="13"/>
  <c r="B220" i="13"/>
  <c r="C221" i="13" s="1"/>
  <c r="B219" i="13"/>
  <c r="B218" i="13"/>
  <c r="C219" i="13" s="1"/>
  <c r="B217" i="13"/>
  <c r="C218" i="13" s="1"/>
  <c r="C216" i="13"/>
  <c r="B216" i="13"/>
  <c r="C217" i="13" s="1"/>
  <c r="B215" i="13"/>
  <c r="B214" i="13"/>
  <c r="C215" i="13" s="1"/>
  <c r="B213" i="13"/>
  <c r="C214" i="13" s="1"/>
  <c r="C212" i="13"/>
  <c r="B212" i="13"/>
  <c r="C213" i="13" s="1"/>
  <c r="B211" i="13"/>
  <c r="B210" i="13"/>
  <c r="C211" i="13" s="1"/>
  <c r="B209" i="13"/>
  <c r="C210" i="13" s="1"/>
  <c r="C208" i="13"/>
  <c r="B208" i="13"/>
  <c r="C209" i="13" s="1"/>
  <c r="B207" i="13"/>
  <c r="B206" i="13"/>
  <c r="C207" i="13" s="1"/>
  <c r="B205" i="13"/>
  <c r="C206" i="13" s="1"/>
  <c r="C204" i="13"/>
  <c r="B204" i="13"/>
  <c r="C205" i="13" s="1"/>
  <c r="B203" i="13"/>
  <c r="B202" i="13"/>
  <c r="C203" i="13" s="1"/>
  <c r="B201" i="13"/>
  <c r="C202" i="13" s="1"/>
  <c r="C200" i="13"/>
  <c r="B200" i="13"/>
  <c r="C201" i="13" s="1"/>
  <c r="B199" i="13"/>
  <c r="B198" i="13"/>
  <c r="C199" i="13" s="1"/>
  <c r="B197" i="13"/>
  <c r="C198" i="13" s="1"/>
  <c r="C196" i="13"/>
  <c r="B196" i="13"/>
  <c r="C197" i="13" s="1"/>
  <c r="B195" i="13"/>
  <c r="B194" i="13"/>
  <c r="C195" i="13" s="1"/>
  <c r="B193" i="13"/>
  <c r="C194" i="13" s="1"/>
  <c r="C192" i="13"/>
  <c r="B192" i="13"/>
  <c r="C193" i="13" s="1"/>
  <c r="B191" i="13"/>
  <c r="B190" i="13"/>
  <c r="C191" i="13" s="1"/>
  <c r="B189" i="13"/>
  <c r="C190" i="13" s="1"/>
  <c r="C188" i="13"/>
  <c r="B188" i="13"/>
  <c r="C189" i="13" s="1"/>
  <c r="B187" i="13"/>
  <c r="B186" i="13"/>
  <c r="C187" i="13" s="1"/>
  <c r="B185" i="13"/>
  <c r="C186" i="13" s="1"/>
  <c r="C184" i="13"/>
  <c r="B184" i="13"/>
  <c r="C185" i="13" s="1"/>
  <c r="B183" i="13"/>
  <c r="B182" i="13"/>
  <c r="C183" i="13" s="1"/>
  <c r="B181" i="13"/>
  <c r="C182" i="13" s="1"/>
  <c r="C180" i="13"/>
  <c r="B180" i="13"/>
  <c r="C181" i="13" s="1"/>
  <c r="B179" i="13"/>
  <c r="B178" i="13"/>
  <c r="C179" i="13" s="1"/>
  <c r="B177" i="13"/>
  <c r="C178" i="13" s="1"/>
  <c r="C176" i="13"/>
  <c r="B176" i="13"/>
  <c r="C177" i="13" s="1"/>
  <c r="B175" i="13"/>
  <c r="B174" i="13"/>
  <c r="C175" i="13" s="1"/>
  <c r="B173" i="13"/>
  <c r="C174" i="13" s="1"/>
  <c r="C172" i="13"/>
  <c r="B172" i="13"/>
  <c r="C173" i="13" s="1"/>
  <c r="B171" i="13"/>
  <c r="B170" i="13"/>
  <c r="C171" i="13" s="1"/>
  <c r="B169" i="13"/>
  <c r="C170" i="13" s="1"/>
  <c r="C168" i="13"/>
  <c r="B168" i="13"/>
  <c r="C169" i="13" s="1"/>
  <c r="B167" i="13"/>
  <c r="B166" i="13"/>
  <c r="C167" i="13" s="1"/>
  <c r="B165" i="13"/>
  <c r="C166" i="13" s="1"/>
  <c r="C164" i="13"/>
  <c r="B164" i="13"/>
  <c r="C165" i="13" s="1"/>
  <c r="B163" i="13"/>
  <c r="B162" i="13"/>
  <c r="C163" i="13" s="1"/>
  <c r="B161" i="13"/>
  <c r="C162" i="13" s="1"/>
  <c r="C160" i="13"/>
  <c r="B160" i="13"/>
  <c r="C161" i="13" s="1"/>
  <c r="B159" i="13"/>
  <c r="B158" i="13"/>
  <c r="C159" i="13" s="1"/>
  <c r="B157" i="13"/>
  <c r="C158" i="13" s="1"/>
  <c r="C156" i="13"/>
  <c r="B156" i="13"/>
  <c r="C157" i="13" s="1"/>
  <c r="B155" i="13"/>
  <c r="B154" i="13"/>
  <c r="C155" i="13" s="1"/>
  <c r="B153" i="13"/>
  <c r="C154" i="13" s="1"/>
  <c r="C152" i="13"/>
  <c r="B152" i="13"/>
  <c r="C153" i="13" s="1"/>
  <c r="B151" i="13"/>
  <c r="B150" i="13"/>
  <c r="C151" i="13" s="1"/>
  <c r="B149" i="13"/>
  <c r="C150" i="13" s="1"/>
  <c r="C148" i="13"/>
  <c r="B148" i="13"/>
  <c r="C149" i="13" s="1"/>
  <c r="B147" i="13"/>
  <c r="B146" i="13"/>
  <c r="C147" i="13" s="1"/>
  <c r="B145" i="13"/>
  <c r="C146" i="13" s="1"/>
  <c r="C144" i="13"/>
  <c r="B144" i="13"/>
  <c r="C145" i="13" s="1"/>
  <c r="B143" i="13"/>
  <c r="B142" i="13"/>
  <c r="C143" i="13" s="1"/>
  <c r="B141" i="13"/>
  <c r="C142" i="13" s="1"/>
  <c r="C140" i="13"/>
  <c r="B140" i="13"/>
  <c r="C141" i="13" s="1"/>
  <c r="B139" i="13"/>
  <c r="B138" i="13"/>
  <c r="C139" i="13" s="1"/>
  <c r="B137" i="13"/>
  <c r="C138" i="13" s="1"/>
  <c r="C136" i="13"/>
  <c r="B136" i="13"/>
  <c r="C137" i="13" s="1"/>
  <c r="B135" i="13"/>
  <c r="B134" i="13"/>
  <c r="C135" i="13" s="1"/>
  <c r="B133" i="13"/>
  <c r="C134" i="13" s="1"/>
  <c r="C132" i="13"/>
  <c r="B132" i="13"/>
  <c r="C133" i="13" s="1"/>
  <c r="B131" i="13"/>
  <c r="B130" i="13"/>
  <c r="C131" i="13" s="1"/>
  <c r="B129" i="13"/>
  <c r="C130" i="13" s="1"/>
  <c r="C128" i="13"/>
  <c r="B128" i="13"/>
  <c r="C129" i="13" s="1"/>
  <c r="B127" i="13"/>
  <c r="B126" i="13"/>
  <c r="C127" i="13" s="1"/>
  <c r="B125" i="13"/>
  <c r="C126" i="13" s="1"/>
  <c r="C124" i="13"/>
  <c r="B124" i="13"/>
  <c r="C125" i="13" s="1"/>
  <c r="B123" i="13"/>
  <c r="B122" i="13"/>
  <c r="C123" i="13" s="1"/>
  <c r="B121" i="13"/>
  <c r="C122" i="13" s="1"/>
  <c r="C120" i="13"/>
  <c r="B120" i="13"/>
  <c r="C121" i="13" s="1"/>
  <c r="B119" i="13"/>
  <c r="B118" i="13"/>
  <c r="C119" i="13" s="1"/>
  <c r="B117" i="13"/>
  <c r="C118" i="13" s="1"/>
  <c r="C116" i="13"/>
  <c r="B116" i="13"/>
  <c r="C117" i="13" s="1"/>
  <c r="B115" i="13"/>
  <c r="B114" i="13"/>
  <c r="C115" i="13" s="1"/>
  <c r="B113" i="13"/>
  <c r="C114" i="13" s="1"/>
  <c r="C112" i="13"/>
  <c r="B112" i="13"/>
  <c r="C113" i="13" s="1"/>
  <c r="B111" i="13"/>
  <c r="B110" i="13"/>
  <c r="C111" i="13" s="1"/>
  <c r="B109" i="13"/>
  <c r="C110" i="13" s="1"/>
  <c r="C108" i="13"/>
  <c r="B108" i="13"/>
  <c r="C109" i="13" s="1"/>
  <c r="B107" i="13"/>
  <c r="B106" i="13"/>
  <c r="C107" i="13" s="1"/>
  <c r="B105" i="13"/>
  <c r="C106" i="13" s="1"/>
  <c r="C104" i="13"/>
  <c r="B104" i="13"/>
  <c r="C105" i="13" s="1"/>
  <c r="B103" i="13"/>
  <c r="B102" i="13"/>
  <c r="C103" i="13" s="1"/>
  <c r="B101" i="13"/>
  <c r="C102" i="13" s="1"/>
  <c r="C100" i="13"/>
  <c r="B100" i="13"/>
  <c r="C101" i="13" s="1"/>
  <c r="B99" i="13"/>
  <c r="B98" i="13"/>
  <c r="C99" i="13" s="1"/>
  <c r="B97" i="13"/>
  <c r="C98" i="13" s="1"/>
  <c r="C96" i="13"/>
  <c r="B96" i="13"/>
  <c r="C97" i="13" s="1"/>
  <c r="B95" i="13"/>
  <c r="B94" i="13"/>
  <c r="C95" i="13" s="1"/>
  <c r="B93" i="13"/>
  <c r="C94" i="13" s="1"/>
  <c r="C92" i="13"/>
  <c r="B92" i="13"/>
  <c r="C93" i="13" s="1"/>
  <c r="B91" i="13"/>
  <c r="B90" i="13"/>
  <c r="C91" i="13" s="1"/>
  <c r="B89" i="13"/>
  <c r="C90" i="13" s="1"/>
  <c r="C88" i="13"/>
  <c r="B88" i="13"/>
  <c r="C89" i="13" s="1"/>
  <c r="B87" i="13"/>
  <c r="B86" i="13"/>
  <c r="C87" i="13" s="1"/>
  <c r="B85" i="13"/>
  <c r="C86" i="13" s="1"/>
  <c r="C84" i="13"/>
  <c r="B84" i="13"/>
  <c r="C85" i="13" s="1"/>
  <c r="B83" i="13"/>
  <c r="B82" i="13"/>
  <c r="C83" i="13" s="1"/>
  <c r="B81" i="13"/>
  <c r="C82" i="13" s="1"/>
  <c r="C80" i="13"/>
  <c r="B80" i="13"/>
  <c r="C81" i="13" s="1"/>
  <c r="B79" i="13"/>
  <c r="B78" i="13"/>
  <c r="C79" i="13" s="1"/>
  <c r="B77" i="13"/>
  <c r="C78" i="13" s="1"/>
  <c r="C76" i="13"/>
  <c r="B76" i="13"/>
  <c r="C77" i="13" s="1"/>
  <c r="B75" i="13"/>
  <c r="B74" i="13"/>
  <c r="C75" i="13" s="1"/>
  <c r="B73" i="13"/>
  <c r="C74" i="13" s="1"/>
  <c r="C72" i="13"/>
  <c r="B72" i="13"/>
  <c r="C73" i="13" s="1"/>
  <c r="B71" i="13"/>
  <c r="B70" i="13"/>
  <c r="C71" i="13" s="1"/>
  <c r="B69" i="13"/>
  <c r="C70" i="13" s="1"/>
  <c r="C68" i="13"/>
  <c r="B68" i="13"/>
  <c r="C69" i="13" s="1"/>
  <c r="B67" i="13"/>
  <c r="B66" i="13"/>
  <c r="C67" i="13" s="1"/>
  <c r="B65" i="13"/>
  <c r="C66" i="13" s="1"/>
  <c r="C64" i="13"/>
  <c r="B64" i="13"/>
  <c r="C65" i="13" s="1"/>
  <c r="B63" i="13"/>
  <c r="B62" i="13"/>
  <c r="C63" i="13" s="1"/>
  <c r="B61" i="13"/>
  <c r="C62" i="13" s="1"/>
  <c r="C60" i="13"/>
  <c r="B60" i="13"/>
  <c r="C61" i="13" s="1"/>
  <c r="B59" i="13"/>
  <c r="B58" i="13"/>
  <c r="C59" i="13" s="1"/>
  <c r="B57" i="13"/>
  <c r="C58" i="13" s="1"/>
  <c r="C56" i="13"/>
  <c r="B56" i="13"/>
  <c r="C57" i="13" s="1"/>
  <c r="B55" i="13"/>
  <c r="B54" i="13"/>
  <c r="C55" i="13" s="1"/>
  <c r="B53" i="13"/>
  <c r="C54" i="13" s="1"/>
  <c r="C52" i="13"/>
  <c r="B52" i="13"/>
  <c r="C53" i="13" s="1"/>
  <c r="B51" i="13"/>
  <c r="B50" i="13"/>
  <c r="C51" i="13" s="1"/>
  <c r="B49" i="13"/>
  <c r="C50" i="13" s="1"/>
  <c r="C48" i="13"/>
  <c r="B48" i="13"/>
  <c r="C49" i="13" s="1"/>
  <c r="B47" i="13"/>
  <c r="B46" i="13"/>
  <c r="C47" i="13" s="1"/>
  <c r="B45" i="13"/>
  <c r="C46" i="13" s="1"/>
  <c r="C44" i="13"/>
  <c r="B44" i="13"/>
  <c r="C45" i="13" s="1"/>
  <c r="B43" i="13"/>
  <c r="B42" i="13"/>
  <c r="C43" i="13" s="1"/>
  <c r="B41" i="13"/>
  <c r="C42" i="13" s="1"/>
  <c r="C40" i="13"/>
  <c r="B40" i="13"/>
  <c r="C41" i="13" s="1"/>
  <c r="B39" i="13"/>
  <c r="B38" i="13"/>
  <c r="C39" i="13" s="1"/>
  <c r="B37" i="13"/>
  <c r="C38" i="13" s="1"/>
  <c r="C36" i="13"/>
  <c r="B36" i="13"/>
  <c r="C37" i="13" s="1"/>
  <c r="B35" i="13"/>
  <c r="B34" i="13"/>
  <c r="C35" i="13" s="1"/>
  <c r="B33" i="13"/>
  <c r="C34" i="13" s="1"/>
  <c r="C32" i="13"/>
  <c r="B32" i="13"/>
  <c r="C33" i="13" s="1"/>
  <c r="B31" i="13"/>
  <c r="B30" i="13"/>
  <c r="C31" i="13" s="1"/>
  <c r="B29" i="13"/>
  <c r="C30" i="13" s="1"/>
  <c r="C28" i="13"/>
  <c r="B28" i="13"/>
  <c r="C29" i="13" s="1"/>
  <c r="B27" i="13"/>
  <c r="B26" i="13"/>
  <c r="C27" i="13" s="1"/>
  <c r="B25" i="13"/>
  <c r="C26" i="13" s="1"/>
  <c r="C24" i="13"/>
  <c r="B24" i="13"/>
  <c r="C25" i="13" s="1"/>
  <c r="B23" i="13"/>
  <c r="B22" i="13"/>
  <c r="C23" i="13" s="1"/>
  <c r="B21" i="13"/>
  <c r="C22" i="13" s="1"/>
  <c r="C20" i="13"/>
  <c r="B20" i="13"/>
  <c r="C21" i="13" s="1"/>
  <c r="B19" i="13"/>
  <c r="B18" i="13"/>
  <c r="C19" i="13" s="1"/>
  <c r="B17" i="13"/>
  <c r="C18" i="13" s="1"/>
  <c r="C16" i="13"/>
  <c r="B16" i="13"/>
  <c r="C17" i="13" s="1"/>
  <c r="B15" i="13"/>
  <c r="B14" i="13"/>
  <c r="C15" i="13" s="1"/>
  <c r="B13" i="13"/>
  <c r="C14" i="13" s="1"/>
  <c r="C12" i="13"/>
  <c r="B12" i="13"/>
  <c r="C13" i="13" s="1"/>
  <c r="B11" i="13"/>
  <c r="B10" i="13"/>
  <c r="C11" i="13" s="1"/>
  <c r="B9" i="13"/>
  <c r="C10" i="13" s="1"/>
  <c r="C8" i="13"/>
  <c r="B8" i="13"/>
  <c r="C9" i="13" s="1"/>
  <c r="B7" i="13"/>
  <c r="B6" i="13"/>
  <c r="C7" i="13" s="1"/>
  <c r="E299" i="12"/>
  <c r="D299" i="12"/>
  <c r="C299" i="12"/>
  <c r="B299" i="12"/>
  <c r="E298" i="12"/>
  <c r="D298" i="12"/>
  <c r="C298" i="12"/>
  <c r="B298" i="12"/>
  <c r="E297" i="12"/>
  <c r="D297" i="12"/>
  <c r="C297" i="12"/>
  <c r="B297" i="12"/>
  <c r="E296" i="12"/>
  <c r="D296" i="12"/>
  <c r="C296" i="12"/>
  <c r="B296" i="12"/>
  <c r="E295" i="12"/>
  <c r="D295" i="12"/>
  <c r="C295" i="12"/>
  <c r="B295" i="12"/>
  <c r="E294" i="12"/>
  <c r="D294" i="12"/>
  <c r="C294" i="12"/>
  <c r="B294" i="12"/>
  <c r="E293" i="12"/>
  <c r="D293" i="12"/>
  <c r="C293" i="12"/>
  <c r="B293" i="12"/>
  <c r="E292" i="12"/>
  <c r="D292" i="12"/>
  <c r="C292" i="12"/>
  <c r="B292" i="12"/>
  <c r="E291" i="12"/>
  <c r="D291" i="12"/>
  <c r="C291" i="12"/>
  <c r="B291" i="12"/>
  <c r="E290" i="12"/>
  <c r="D290" i="12"/>
  <c r="C290" i="12"/>
  <c r="B290" i="12"/>
  <c r="E289" i="12"/>
  <c r="D289" i="12"/>
  <c r="C289" i="12"/>
  <c r="B289" i="12"/>
  <c r="E288" i="12"/>
  <c r="D288" i="12"/>
  <c r="C288" i="12"/>
  <c r="B288" i="12"/>
  <c r="E287" i="12"/>
  <c r="D287" i="12"/>
  <c r="C287" i="12"/>
  <c r="B287" i="12"/>
  <c r="E286" i="12"/>
  <c r="D286" i="12"/>
  <c r="C286" i="12"/>
  <c r="B286" i="12"/>
  <c r="E285" i="12"/>
  <c r="D285" i="12"/>
  <c r="C285" i="12"/>
  <c r="B285" i="12"/>
  <c r="E284" i="12"/>
  <c r="D284" i="12"/>
  <c r="C284" i="12"/>
  <c r="B284" i="12"/>
  <c r="E283" i="12"/>
  <c r="D283" i="12"/>
  <c r="C283" i="12"/>
  <c r="B283" i="12"/>
  <c r="E282" i="12"/>
  <c r="D282" i="12"/>
  <c r="C282" i="12"/>
  <c r="B282" i="12"/>
  <c r="E281" i="12"/>
  <c r="D281" i="12"/>
  <c r="C281" i="12"/>
  <c r="B281" i="12"/>
  <c r="E280" i="12"/>
  <c r="D280" i="12"/>
  <c r="C280" i="12"/>
  <c r="B280" i="12"/>
  <c r="E279" i="12"/>
  <c r="D279" i="12"/>
  <c r="C279" i="12"/>
  <c r="B279" i="12"/>
  <c r="E278" i="12"/>
  <c r="D278" i="12"/>
  <c r="C278" i="12"/>
  <c r="B278" i="12"/>
  <c r="E277" i="12"/>
  <c r="D277" i="12"/>
  <c r="C277" i="12"/>
  <c r="B277" i="12"/>
  <c r="E276" i="12"/>
  <c r="D276" i="12"/>
  <c r="C276" i="12"/>
  <c r="B276" i="12"/>
  <c r="E275" i="12"/>
  <c r="D275" i="12"/>
  <c r="C275" i="12"/>
  <c r="B275" i="12"/>
  <c r="E274" i="12"/>
  <c r="D274" i="12"/>
  <c r="C274" i="12"/>
  <c r="B274" i="12"/>
  <c r="E273" i="12"/>
  <c r="D273" i="12"/>
  <c r="C273" i="12"/>
  <c r="B273" i="12"/>
  <c r="E272" i="12"/>
  <c r="D272" i="12"/>
  <c r="C272" i="12"/>
  <c r="B272" i="12"/>
  <c r="E271" i="12"/>
  <c r="D271" i="12"/>
  <c r="C271" i="12"/>
  <c r="B271" i="12"/>
  <c r="E270" i="12"/>
  <c r="D270" i="12"/>
  <c r="C270" i="12"/>
  <c r="B270" i="12"/>
  <c r="E269" i="12"/>
  <c r="D269" i="12"/>
  <c r="C269" i="12"/>
  <c r="B269" i="12"/>
  <c r="E268" i="12"/>
  <c r="D268" i="12"/>
  <c r="C268" i="12"/>
  <c r="B268" i="12"/>
  <c r="E267" i="12"/>
  <c r="D267" i="12"/>
  <c r="C267" i="12"/>
  <c r="B267" i="12"/>
  <c r="E266" i="12"/>
  <c r="D266" i="12"/>
  <c r="C266" i="12"/>
  <c r="B266" i="12"/>
  <c r="E265" i="12"/>
  <c r="D265" i="12"/>
  <c r="C265" i="12"/>
  <c r="B265" i="12"/>
  <c r="E264" i="12"/>
  <c r="D264" i="12"/>
  <c r="C264" i="12"/>
  <c r="B264" i="12"/>
  <c r="E263" i="12"/>
  <c r="D263" i="12"/>
  <c r="C263" i="12"/>
  <c r="B263" i="12"/>
  <c r="E262" i="12"/>
  <c r="D262" i="12"/>
  <c r="C262" i="12"/>
  <c r="B262" i="12"/>
  <c r="E261" i="12"/>
  <c r="D261" i="12"/>
  <c r="C261" i="12"/>
  <c r="B261" i="12"/>
  <c r="E260" i="12"/>
  <c r="D260" i="12"/>
  <c r="C260" i="12"/>
  <c r="B260" i="12"/>
  <c r="E259" i="12"/>
  <c r="D259" i="12"/>
  <c r="C259" i="12"/>
  <c r="B259" i="12"/>
  <c r="E258" i="12"/>
  <c r="D258" i="12"/>
  <c r="C258" i="12"/>
  <c r="B258" i="12"/>
  <c r="E257" i="12"/>
  <c r="D257" i="12"/>
  <c r="C257" i="12"/>
  <c r="B257" i="12"/>
  <c r="E256" i="12"/>
  <c r="D256" i="12"/>
  <c r="C256" i="12"/>
  <c r="B256" i="12"/>
  <c r="E255" i="12"/>
  <c r="D255" i="12"/>
  <c r="C255" i="12"/>
  <c r="B255" i="12"/>
  <c r="E254" i="12"/>
  <c r="D254" i="12"/>
  <c r="C254" i="12"/>
  <c r="B254" i="12"/>
  <c r="E253" i="12"/>
  <c r="D253" i="12"/>
  <c r="C253" i="12"/>
  <c r="B253" i="12"/>
  <c r="E252" i="12"/>
  <c r="D252" i="12"/>
  <c r="C252" i="12"/>
  <c r="B252" i="12"/>
  <c r="E251" i="12"/>
  <c r="D251" i="12"/>
  <c r="C251" i="12"/>
  <c r="B251" i="12"/>
  <c r="E250" i="12"/>
  <c r="D250" i="12"/>
  <c r="C250" i="12"/>
  <c r="B250" i="12"/>
  <c r="E249" i="12"/>
  <c r="D249" i="12"/>
  <c r="C249" i="12"/>
  <c r="B249" i="12"/>
  <c r="E248" i="12"/>
  <c r="D248" i="12"/>
  <c r="C248" i="12"/>
  <c r="B248" i="12"/>
  <c r="E247" i="12"/>
  <c r="D247" i="12"/>
  <c r="C247" i="12"/>
  <c r="B247" i="12"/>
  <c r="E246" i="12"/>
  <c r="D246" i="12"/>
  <c r="C246" i="12"/>
  <c r="B246" i="12"/>
  <c r="E245" i="12"/>
  <c r="D245" i="12"/>
  <c r="C245" i="12"/>
  <c r="B245" i="12"/>
  <c r="E244" i="12"/>
  <c r="D244" i="12"/>
  <c r="C244" i="12"/>
  <c r="B244" i="12"/>
  <c r="E243" i="12"/>
  <c r="D243" i="12"/>
  <c r="C243" i="12"/>
  <c r="B243" i="12"/>
  <c r="E242" i="12"/>
  <c r="D242" i="12"/>
  <c r="C242" i="12"/>
  <c r="B242" i="12"/>
  <c r="E241" i="12"/>
  <c r="D241" i="12"/>
  <c r="C241" i="12"/>
  <c r="B241" i="12"/>
  <c r="E240" i="12"/>
  <c r="D240" i="12"/>
  <c r="C240" i="12"/>
  <c r="B240" i="12"/>
  <c r="E239" i="12"/>
  <c r="D239" i="12"/>
  <c r="C239" i="12"/>
  <c r="B239" i="12"/>
  <c r="E238" i="12"/>
  <c r="D238" i="12"/>
  <c r="C238" i="12"/>
  <c r="B238" i="12"/>
  <c r="E237" i="12"/>
  <c r="D237" i="12"/>
  <c r="C237" i="12"/>
  <c r="B237" i="12"/>
  <c r="E236" i="12"/>
  <c r="D236" i="12"/>
  <c r="C236" i="12"/>
  <c r="B236" i="12"/>
  <c r="E235" i="12"/>
  <c r="D235" i="12"/>
  <c r="C235" i="12"/>
  <c r="B235" i="12"/>
  <c r="E234" i="12"/>
  <c r="D234" i="12"/>
  <c r="C234" i="12"/>
  <c r="B234" i="12"/>
  <c r="E233" i="12"/>
  <c r="D233" i="12"/>
  <c r="C233" i="12"/>
  <c r="B233" i="12"/>
  <c r="E232" i="12"/>
  <c r="D232" i="12"/>
  <c r="C232" i="12"/>
  <c r="B232" i="12"/>
  <c r="E231" i="12"/>
  <c r="D231" i="12"/>
  <c r="C231" i="12"/>
  <c r="B231" i="12"/>
  <c r="E230" i="12"/>
  <c r="D230" i="12"/>
  <c r="C230" i="12"/>
  <c r="B230" i="12"/>
  <c r="E229" i="12"/>
  <c r="D229" i="12"/>
  <c r="C229" i="12"/>
  <c r="B229" i="12"/>
  <c r="E228" i="12"/>
  <c r="D228" i="12"/>
  <c r="C228" i="12"/>
  <c r="B228" i="12"/>
  <c r="E227" i="12"/>
  <c r="D227" i="12"/>
  <c r="C227" i="12"/>
  <c r="B227" i="12"/>
  <c r="E226" i="12"/>
  <c r="D226" i="12"/>
  <c r="C226" i="12"/>
  <c r="B226" i="12"/>
  <c r="E225" i="12"/>
  <c r="D225" i="12"/>
  <c r="C225" i="12"/>
  <c r="B225" i="12"/>
  <c r="E224" i="12"/>
  <c r="D224" i="12"/>
  <c r="C224" i="12"/>
  <c r="B224" i="12"/>
  <c r="E223" i="12"/>
  <c r="D223" i="12"/>
  <c r="C223" i="12"/>
  <c r="B223" i="12"/>
  <c r="E222" i="12"/>
  <c r="D222" i="12"/>
  <c r="C222" i="12"/>
  <c r="B222" i="12"/>
  <c r="E221" i="12"/>
  <c r="D221" i="12"/>
  <c r="C221" i="12"/>
  <c r="B221" i="12"/>
  <c r="E220" i="12"/>
  <c r="D220" i="12"/>
  <c r="C220" i="12"/>
  <c r="B220" i="12"/>
  <c r="E219" i="12"/>
  <c r="D219" i="12"/>
  <c r="C219" i="12"/>
  <c r="B219" i="12"/>
  <c r="E218" i="12"/>
  <c r="D218" i="12"/>
  <c r="C218" i="12"/>
  <c r="B218" i="12"/>
  <c r="E217" i="12"/>
  <c r="D217" i="12"/>
  <c r="C217" i="12"/>
  <c r="B217" i="12"/>
  <c r="E216" i="12"/>
  <c r="D216" i="12"/>
  <c r="C216" i="12"/>
  <c r="B216" i="12"/>
  <c r="E215" i="12"/>
  <c r="D215" i="12"/>
  <c r="C215" i="12"/>
  <c r="B215" i="12"/>
  <c r="E214" i="12"/>
  <c r="D214" i="12"/>
  <c r="C214" i="12"/>
  <c r="B214" i="12"/>
  <c r="E213" i="12"/>
  <c r="D213" i="12"/>
  <c r="C213" i="12"/>
  <c r="B213" i="12"/>
  <c r="E212" i="12"/>
  <c r="D212" i="12"/>
  <c r="C212" i="12"/>
  <c r="B212" i="12"/>
  <c r="E211" i="12"/>
  <c r="D211" i="12"/>
  <c r="C211" i="12"/>
  <c r="B211" i="12"/>
  <c r="E210" i="12"/>
  <c r="D210" i="12"/>
  <c r="C210" i="12"/>
  <c r="B210" i="12"/>
  <c r="E209" i="12"/>
  <c r="D209" i="12"/>
  <c r="C209" i="12"/>
  <c r="B209" i="12"/>
  <c r="E208" i="12"/>
  <c r="D208" i="12"/>
  <c r="C208" i="12"/>
  <c r="B208" i="12"/>
  <c r="E207" i="12"/>
  <c r="D207" i="12"/>
  <c r="C207" i="12"/>
  <c r="B207" i="12"/>
  <c r="E206" i="12"/>
  <c r="D206" i="12"/>
  <c r="C206" i="12"/>
  <c r="B206" i="12"/>
  <c r="E205" i="12"/>
  <c r="D205" i="12"/>
  <c r="C205" i="12"/>
  <c r="B205" i="12"/>
  <c r="E204" i="12"/>
  <c r="D204" i="12"/>
  <c r="C204" i="12"/>
  <c r="B204" i="12"/>
  <c r="E203" i="12"/>
  <c r="D203" i="12"/>
  <c r="C203" i="12"/>
  <c r="B203" i="12"/>
  <c r="E202" i="12"/>
  <c r="D202" i="12"/>
  <c r="C202" i="12"/>
  <c r="B202" i="12"/>
  <c r="E201" i="12"/>
  <c r="D201" i="12"/>
  <c r="C201" i="12"/>
  <c r="B201" i="12"/>
  <c r="E200" i="12"/>
  <c r="D200" i="12"/>
  <c r="C200" i="12"/>
  <c r="B200" i="12"/>
  <c r="E199" i="12"/>
  <c r="D199" i="12"/>
  <c r="C199" i="12"/>
  <c r="B199" i="12"/>
  <c r="E198" i="12"/>
  <c r="D198" i="12"/>
  <c r="C198" i="12"/>
  <c r="B198" i="12"/>
  <c r="E197" i="12"/>
  <c r="D197" i="12"/>
  <c r="C197" i="12"/>
  <c r="B197" i="12"/>
  <c r="E196" i="12"/>
  <c r="D196" i="12"/>
  <c r="C196" i="12"/>
  <c r="B196" i="12"/>
  <c r="E195" i="12"/>
  <c r="D195" i="12"/>
  <c r="C195" i="12"/>
  <c r="B195" i="12"/>
  <c r="E194" i="12"/>
  <c r="D194" i="12"/>
  <c r="C194" i="12"/>
  <c r="B194" i="12"/>
  <c r="E193" i="12"/>
  <c r="D193" i="12"/>
  <c r="C193" i="12"/>
  <c r="B193" i="12"/>
  <c r="E192" i="12"/>
  <c r="D192" i="12"/>
  <c r="C192" i="12"/>
  <c r="B192" i="12"/>
  <c r="E191" i="12"/>
  <c r="D191" i="12"/>
  <c r="C191" i="12"/>
  <c r="B191" i="12"/>
  <c r="E190" i="12"/>
  <c r="D190" i="12"/>
  <c r="C190" i="12"/>
  <c r="B190" i="12"/>
  <c r="E189" i="12"/>
  <c r="D189" i="12"/>
  <c r="C189" i="12"/>
  <c r="B189" i="12"/>
  <c r="E188" i="12"/>
  <c r="D188" i="12"/>
  <c r="C188" i="12"/>
  <c r="B188" i="12"/>
  <c r="E187" i="12"/>
  <c r="D187" i="12"/>
  <c r="C187" i="12"/>
  <c r="B187" i="12"/>
  <c r="E186" i="12"/>
  <c r="D186" i="12"/>
  <c r="C186" i="12"/>
  <c r="B186" i="12"/>
  <c r="E185" i="12"/>
  <c r="D185" i="12"/>
  <c r="C185" i="12"/>
  <c r="B185" i="12"/>
  <c r="E184" i="12"/>
  <c r="D184" i="12"/>
  <c r="C184" i="12"/>
  <c r="B184" i="12"/>
  <c r="E183" i="12"/>
  <c r="D183" i="12"/>
  <c r="C183" i="12"/>
  <c r="B183" i="12"/>
  <c r="E182" i="12"/>
  <c r="D182" i="12"/>
  <c r="C182" i="12"/>
  <c r="B182" i="12"/>
  <c r="E181" i="12"/>
  <c r="D181" i="12"/>
  <c r="C181" i="12"/>
  <c r="B181" i="12"/>
  <c r="E180" i="12"/>
  <c r="D180" i="12"/>
  <c r="C180" i="12"/>
  <c r="B180" i="12"/>
  <c r="E179" i="12"/>
  <c r="D179" i="12"/>
  <c r="C179" i="12"/>
  <c r="B179" i="12"/>
  <c r="E178" i="12"/>
  <c r="D178" i="12"/>
  <c r="C178" i="12"/>
  <c r="B178" i="12"/>
  <c r="E177" i="12"/>
  <c r="D177" i="12"/>
  <c r="C177" i="12"/>
  <c r="B177" i="12"/>
  <c r="E176" i="12"/>
  <c r="D176" i="12"/>
  <c r="C176" i="12"/>
  <c r="B176" i="12"/>
  <c r="E175" i="12"/>
  <c r="D175" i="12"/>
  <c r="C175" i="12"/>
  <c r="B175" i="12"/>
  <c r="E174" i="12"/>
  <c r="D174" i="12"/>
  <c r="C174" i="12"/>
  <c r="B174" i="12"/>
  <c r="E173" i="12"/>
  <c r="D173" i="12"/>
  <c r="C173" i="12"/>
  <c r="B173" i="12"/>
  <c r="E172" i="12"/>
  <c r="D172" i="12"/>
  <c r="C172" i="12"/>
  <c r="B172" i="12"/>
  <c r="E171" i="12"/>
  <c r="D171" i="12"/>
  <c r="C171" i="12"/>
  <c r="B171" i="12"/>
  <c r="E170" i="12"/>
  <c r="D170" i="12"/>
  <c r="C170" i="12"/>
  <c r="B170" i="12"/>
  <c r="E169" i="12"/>
  <c r="D169" i="12"/>
  <c r="C169" i="12"/>
  <c r="B169" i="12"/>
  <c r="E168" i="12"/>
  <c r="D168" i="12"/>
  <c r="C168" i="12"/>
  <c r="B168" i="12"/>
  <c r="E167" i="12"/>
  <c r="D167" i="12"/>
  <c r="C167" i="12"/>
  <c r="B167" i="12"/>
  <c r="E166" i="12"/>
  <c r="D166" i="12"/>
  <c r="C166" i="12"/>
  <c r="B166" i="12"/>
  <c r="E165" i="12"/>
  <c r="D165" i="12"/>
  <c r="C165" i="12"/>
  <c r="B165" i="12"/>
  <c r="E164" i="12"/>
  <c r="D164" i="12"/>
  <c r="C164" i="12"/>
  <c r="B164" i="12"/>
  <c r="E163" i="12"/>
  <c r="D163" i="12"/>
  <c r="C163" i="12"/>
  <c r="B163" i="12"/>
  <c r="E162" i="12"/>
  <c r="D162" i="12"/>
  <c r="C162" i="12"/>
  <c r="B162" i="12"/>
  <c r="E161" i="12"/>
  <c r="D161" i="12"/>
  <c r="C161" i="12"/>
  <c r="B161" i="12"/>
  <c r="E160" i="12"/>
  <c r="D160" i="12"/>
  <c r="C160" i="12"/>
  <c r="B160" i="12"/>
  <c r="E159" i="12"/>
  <c r="D159" i="12"/>
  <c r="C159" i="12"/>
  <c r="B159" i="12"/>
  <c r="E158" i="12"/>
  <c r="D158" i="12"/>
  <c r="C158" i="12"/>
  <c r="B158" i="12"/>
  <c r="E157" i="12"/>
  <c r="D157" i="12"/>
  <c r="C157" i="12"/>
  <c r="B157" i="12"/>
  <c r="E156" i="12"/>
  <c r="D156" i="12"/>
  <c r="C156" i="12"/>
  <c r="B156" i="12"/>
  <c r="E155" i="12"/>
  <c r="D155" i="12"/>
  <c r="C155" i="12"/>
  <c r="B155" i="12"/>
  <c r="E154" i="12"/>
  <c r="D154" i="12"/>
  <c r="C154" i="12"/>
  <c r="B154" i="12"/>
  <c r="E153" i="12"/>
  <c r="D153" i="12"/>
  <c r="C153" i="12"/>
  <c r="B153" i="12"/>
  <c r="E152" i="12"/>
  <c r="D152" i="12"/>
  <c r="C152" i="12"/>
  <c r="B152" i="12"/>
  <c r="E151" i="12"/>
  <c r="D151" i="12"/>
  <c r="C151" i="12"/>
  <c r="B151" i="12"/>
  <c r="E150" i="12"/>
  <c r="D150" i="12"/>
  <c r="C150" i="12"/>
  <c r="B150" i="12"/>
  <c r="E149" i="12"/>
  <c r="D149" i="12"/>
  <c r="C149" i="12"/>
  <c r="B149" i="12"/>
  <c r="E148" i="12"/>
  <c r="D148" i="12"/>
  <c r="C148" i="12"/>
  <c r="B148" i="12"/>
  <c r="E147" i="12"/>
  <c r="D147" i="12"/>
  <c r="C147" i="12"/>
  <c r="B147" i="12"/>
  <c r="E146" i="12"/>
  <c r="D146" i="12"/>
  <c r="C146" i="12"/>
  <c r="B146" i="12"/>
  <c r="E145" i="12"/>
  <c r="D145" i="12"/>
  <c r="C145" i="12"/>
  <c r="B145" i="12"/>
  <c r="E144" i="12"/>
  <c r="D144" i="12"/>
  <c r="C144" i="12"/>
  <c r="B144" i="12"/>
  <c r="E143" i="12"/>
  <c r="D143" i="12"/>
  <c r="C143" i="12"/>
  <c r="B143" i="12"/>
  <c r="E142" i="12"/>
  <c r="D142" i="12"/>
  <c r="C142" i="12"/>
  <c r="B142" i="12"/>
  <c r="E141" i="12"/>
  <c r="D141" i="12"/>
  <c r="C141" i="12"/>
  <c r="B141" i="12"/>
  <c r="E140" i="12"/>
  <c r="D140" i="12"/>
  <c r="C140" i="12"/>
  <c r="B140" i="12"/>
  <c r="E139" i="12"/>
  <c r="D139" i="12"/>
  <c r="C139" i="12"/>
  <c r="B139" i="12"/>
  <c r="E138" i="12"/>
  <c r="D138" i="12"/>
  <c r="C138" i="12"/>
  <c r="B138" i="12"/>
  <c r="E137" i="12"/>
  <c r="D137" i="12"/>
  <c r="C137" i="12"/>
  <c r="B137" i="12"/>
  <c r="E136" i="12"/>
  <c r="D136" i="12"/>
  <c r="C136" i="12"/>
  <c r="B136" i="12"/>
  <c r="E135" i="12"/>
  <c r="D135" i="12"/>
  <c r="C135" i="12"/>
  <c r="B135" i="12"/>
  <c r="E134" i="12"/>
  <c r="D134" i="12"/>
  <c r="C134" i="12"/>
  <c r="B134" i="12"/>
  <c r="E133" i="12"/>
  <c r="D133" i="12"/>
  <c r="C133" i="12"/>
  <c r="B133" i="12"/>
  <c r="E132" i="12"/>
  <c r="D132" i="12"/>
  <c r="C132" i="12"/>
  <c r="B132" i="12"/>
  <c r="E131" i="12"/>
  <c r="D131" i="12"/>
  <c r="C131" i="12"/>
  <c r="B131" i="12"/>
  <c r="E130" i="12"/>
  <c r="D130" i="12"/>
  <c r="C130" i="12"/>
  <c r="B130" i="12"/>
  <c r="E129" i="12"/>
  <c r="D129" i="12"/>
  <c r="C129" i="12"/>
  <c r="B129" i="12"/>
  <c r="E128" i="12"/>
  <c r="D128" i="12"/>
  <c r="C128" i="12"/>
  <c r="B128" i="12"/>
  <c r="E127" i="12"/>
  <c r="D127" i="12"/>
  <c r="C127" i="12"/>
  <c r="B127" i="12"/>
  <c r="E126" i="12"/>
  <c r="D126" i="12"/>
  <c r="C126" i="12"/>
  <c r="B126" i="12"/>
  <c r="E125" i="12"/>
  <c r="D125" i="12"/>
  <c r="C125" i="12"/>
  <c r="B125" i="12"/>
  <c r="E124" i="12"/>
  <c r="D124" i="12"/>
  <c r="C124" i="12"/>
  <c r="B124" i="12"/>
  <c r="E123" i="12"/>
  <c r="D123" i="12"/>
  <c r="C123" i="12"/>
  <c r="B123" i="12"/>
  <c r="E122" i="12"/>
  <c r="D122" i="12"/>
  <c r="C122" i="12"/>
  <c r="B122" i="12"/>
  <c r="E121" i="12"/>
  <c r="D121" i="12"/>
  <c r="C121" i="12"/>
  <c r="B121" i="12"/>
  <c r="E120" i="12"/>
  <c r="D120" i="12"/>
  <c r="C120" i="12"/>
  <c r="B120" i="12"/>
  <c r="E119" i="12"/>
  <c r="D119" i="12"/>
  <c r="C119" i="12"/>
  <c r="B119" i="12"/>
  <c r="E118" i="12"/>
  <c r="D118" i="12"/>
  <c r="C118" i="12"/>
  <c r="B118" i="12"/>
  <c r="E117" i="12"/>
  <c r="D117" i="12"/>
  <c r="C117" i="12"/>
  <c r="B117" i="12"/>
  <c r="E116" i="12"/>
  <c r="D116" i="12"/>
  <c r="C116" i="12"/>
  <c r="B116" i="12"/>
  <c r="E115" i="12"/>
  <c r="D115" i="12"/>
  <c r="C115" i="12"/>
  <c r="B115" i="12"/>
  <c r="E114" i="12"/>
  <c r="D114" i="12"/>
  <c r="C114" i="12"/>
  <c r="B114" i="12"/>
  <c r="E113" i="12"/>
  <c r="D113" i="12"/>
  <c r="C113" i="12"/>
  <c r="B113" i="12"/>
  <c r="E112" i="12"/>
  <c r="D112" i="12"/>
  <c r="C112" i="12"/>
  <c r="B112" i="12"/>
  <c r="E111" i="12"/>
  <c r="D111" i="12"/>
  <c r="C111" i="12"/>
  <c r="B111" i="12"/>
  <c r="E110" i="12"/>
  <c r="D110" i="12"/>
  <c r="C110" i="12"/>
  <c r="B110" i="12"/>
  <c r="E109" i="12"/>
  <c r="D109" i="12"/>
  <c r="C109" i="12"/>
  <c r="B109" i="12"/>
  <c r="E108" i="12"/>
  <c r="D108" i="12"/>
  <c r="C108" i="12"/>
  <c r="B108" i="12"/>
  <c r="E107" i="12"/>
  <c r="D107" i="12"/>
  <c r="C107" i="12"/>
  <c r="B107" i="12"/>
  <c r="E106" i="12"/>
  <c r="D106" i="12"/>
  <c r="C106" i="12"/>
  <c r="B106" i="12"/>
  <c r="E105" i="12"/>
  <c r="D105" i="12"/>
  <c r="C105" i="12"/>
  <c r="B105" i="12"/>
  <c r="E104" i="12"/>
  <c r="D104" i="12"/>
  <c r="C104" i="12"/>
  <c r="B104" i="12"/>
  <c r="E103" i="12"/>
  <c r="D103" i="12"/>
  <c r="C103" i="12"/>
  <c r="B103" i="12"/>
  <c r="E102" i="12"/>
  <c r="D102" i="12"/>
  <c r="C102" i="12"/>
  <c r="B102" i="12"/>
  <c r="E101" i="12"/>
  <c r="D101" i="12"/>
  <c r="C101" i="12"/>
  <c r="B101" i="12"/>
  <c r="E100" i="12"/>
  <c r="D100" i="12"/>
  <c r="C100" i="12"/>
  <c r="B100" i="12"/>
  <c r="E99" i="12"/>
  <c r="D99" i="12"/>
  <c r="C99" i="12"/>
  <c r="B99" i="12"/>
  <c r="E98" i="12"/>
  <c r="D98" i="12"/>
  <c r="C98" i="12"/>
  <c r="B98" i="12"/>
  <c r="E97" i="12"/>
  <c r="D97" i="12"/>
  <c r="C97" i="12"/>
  <c r="B97" i="12"/>
  <c r="E96" i="12"/>
  <c r="D96" i="12"/>
  <c r="C96" i="12"/>
  <c r="B96" i="12"/>
  <c r="E95" i="12"/>
  <c r="D95" i="12"/>
  <c r="C95" i="12"/>
  <c r="B95" i="12"/>
  <c r="E94" i="12"/>
  <c r="D94" i="12"/>
  <c r="C94" i="12"/>
  <c r="B94" i="12"/>
  <c r="E93" i="12"/>
  <c r="D93" i="12"/>
  <c r="C93" i="12"/>
  <c r="B93" i="12"/>
  <c r="E92" i="12"/>
  <c r="D92" i="12"/>
  <c r="C92" i="12"/>
  <c r="B92" i="12"/>
  <c r="E91" i="12"/>
  <c r="D91" i="12"/>
  <c r="C91" i="12"/>
  <c r="B91" i="12"/>
  <c r="E90" i="12"/>
  <c r="D90" i="12"/>
  <c r="C90" i="12"/>
  <c r="B90" i="12"/>
  <c r="E89" i="12"/>
  <c r="D89" i="12"/>
  <c r="C89" i="12"/>
  <c r="B89" i="12"/>
  <c r="E88" i="12"/>
  <c r="D88" i="12"/>
  <c r="C88" i="12"/>
  <c r="B88" i="12"/>
  <c r="E87" i="12"/>
  <c r="D87" i="12"/>
  <c r="C87" i="12"/>
  <c r="B87" i="12"/>
  <c r="E86" i="12"/>
  <c r="D86" i="12"/>
  <c r="C86" i="12"/>
  <c r="B86" i="12"/>
  <c r="E85" i="12"/>
  <c r="D85" i="12"/>
  <c r="C85" i="12"/>
  <c r="B85" i="12"/>
  <c r="E84" i="12"/>
  <c r="D84" i="12"/>
  <c r="C84" i="12"/>
  <c r="B84" i="12"/>
  <c r="E83" i="12"/>
  <c r="D83" i="12"/>
  <c r="C83" i="12"/>
  <c r="B83" i="12"/>
  <c r="E82" i="12"/>
  <c r="D82" i="12"/>
  <c r="C82" i="12"/>
  <c r="B82" i="12"/>
  <c r="E81" i="12"/>
  <c r="D81" i="12"/>
  <c r="C81" i="12"/>
  <c r="B81" i="12"/>
  <c r="E80" i="12"/>
  <c r="D80" i="12"/>
  <c r="C80" i="12"/>
  <c r="B80" i="12"/>
  <c r="E79" i="12"/>
  <c r="D79" i="12"/>
  <c r="C79" i="12"/>
  <c r="B79" i="12"/>
  <c r="E78" i="12"/>
  <c r="D78" i="12"/>
  <c r="C78" i="12"/>
  <c r="B78" i="12"/>
  <c r="E77" i="12"/>
  <c r="D77" i="12"/>
  <c r="C77" i="12"/>
  <c r="B77" i="12"/>
  <c r="E76" i="12"/>
  <c r="D76" i="12"/>
  <c r="C76" i="12"/>
  <c r="B76" i="12"/>
  <c r="E75" i="12"/>
  <c r="D75" i="12"/>
  <c r="C75" i="12"/>
  <c r="B75" i="12"/>
  <c r="E74" i="12"/>
  <c r="D74" i="12"/>
  <c r="C74" i="12"/>
  <c r="B74" i="12"/>
  <c r="E73" i="12"/>
  <c r="D73" i="12"/>
  <c r="C73" i="12"/>
  <c r="B73" i="12"/>
  <c r="E72" i="12"/>
  <c r="D72" i="12"/>
  <c r="C72" i="12"/>
  <c r="B72" i="12"/>
  <c r="E71" i="12"/>
  <c r="D71" i="12"/>
  <c r="C71" i="12"/>
  <c r="B71" i="12"/>
  <c r="E70" i="12"/>
  <c r="D70" i="12"/>
  <c r="C70" i="12"/>
  <c r="B70" i="12"/>
  <c r="E69" i="12"/>
  <c r="D69" i="12"/>
  <c r="C69" i="12"/>
  <c r="B69" i="12"/>
  <c r="E68" i="12"/>
  <c r="D68" i="12"/>
  <c r="C68" i="12"/>
  <c r="B68" i="12"/>
  <c r="E67" i="12"/>
  <c r="D67" i="12"/>
  <c r="C67" i="12"/>
  <c r="B67" i="12"/>
  <c r="E66" i="12"/>
  <c r="D66" i="12"/>
  <c r="C66" i="12"/>
  <c r="B66" i="12"/>
  <c r="E65" i="12"/>
  <c r="D65" i="12"/>
  <c r="C65" i="12"/>
  <c r="B65" i="12"/>
  <c r="E64" i="12"/>
  <c r="D64" i="12"/>
  <c r="C64" i="12"/>
  <c r="B64" i="12"/>
  <c r="E63" i="12"/>
  <c r="D63" i="12"/>
  <c r="C63" i="12"/>
  <c r="B63" i="12"/>
  <c r="E62" i="12"/>
  <c r="D62" i="12"/>
  <c r="C62" i="12"/>
  <c r="B62" i="12"/>
  <c r="E61" i="12"/>
  <c r="D61" i="12"/>
  <c r="C61" i="12"/>
  <c r="B61" i="12"/>
  <c r="E60" i="12"/>
  <c r="D60" i="12"/>
  <c r="C60" i="12"/>
  <c r="B60" i="12"/>
  <c r="E59" i="12"/>
  <c r="D59" i="12"/>
  <c r="C59" i="12"/>
  <c r="B59" i="12"/>
  <c r="E58" i="12"/>
  <c r="D58" i="12"/>
  <c r="C58" i="12"/>
  <c r="B58" i="12"/>
  <c r="E57" i="12"/>
  <c r="D57" i="12"/>
  <c r="C57" i="12"/>
  <c r="B57" i="12"/>
  <c r="E56" i="12"/>
  <c r="D56" i="12"/>
  <c r="C56" i="12"/>
  <c r="B56" i="12"/>
  <c r="E55" i="12"/>
  <c r="D55" i="12"/>
  <c r="C55" i="12"/>
  <c r="B55" i="12"/>
  <c r="E54" i="12"/>
  <c r="D54" i="12"/>
  <c r="C54" i="12"/>
  <c r="B54" i="12"/>
  <c r="E53" i="12"/>
  <c r="D53" i="12"/>
  <c r="C53" i="12"/>
  <c r="B53" i="12"/>
  <c r="E52" i="12"/>
  <c r="D52" i="12"/>
  <c r="C52" i="12"/>
  <c r="B52" i="12"/>
  <c r="E51" i="12"/>
  <c r="D51" i="12"/>
  <c r="C51" i="12"/>
  <c r="B51" i="12"/>
  <c r="E50" i="12"/>
  <c r="D50" i="12"/>
  <c r="C50" i="12"/>
  <c r="B50" i="12"/>
  <c r="E49" i="12"/>
  <c r="D49" i="12"/>
  <c r="C49" i="12"/>
  <c r="B49" i="12"/>
  <c r="E48" i="12"/>
  <c r="D48" i="12"/>
  <c r="C48" i="12"/>
  <c r="B48" i="12"/>
  <c r="E47" i="12"/>
  <c r="D47" i="12"/>
  <c r="C47" i="12"/>
  <c r="B47" i="12"/>
  <c r="E46" i="12"/>
  <c r="D46" i="12"/>
  <c r="C46" i="12"/>
  <c r="B46" i="12"/>
  <c r="E45" i="12"/>
  <c r="D45" i="12"/>
  <c r="C45" i="12"/>
  <c r="B45" i="12"/>
  <c r="E44" i="12"/>
  <c r="D44" i="12"/>
  <c r="C44" i="12"/>
  <c r="B44" i="12"/>
  <c r="E43" i="12"/>
  <c r="D43" i="12"/>
  <c r="C43" i="12"/>
  <c r="B43" i="12"/>
  <c r="E42" i="12"/>
  <c r="D42" i="12"/>
  <c r="C42" i="12"/>
  <c r="B42" i="12"/>
  <c r="E41" i="12"/>
  <c r="D41" i="12"/>
  <c r="C41" i="12"/>
  <c r="B41" i="12"/>
  <c r="E40" i="12"/>
  <c r="D40" i="12"/>
  <c r="C40" i="12"/>
  <c r="B40" i="12"/>
  <c r="E39" i="12"/>
  <c r="D39" i="12"/>
  <c r="C39" i="12"/>
  <c r="B39" i="12"/>
  <c r="E38" i="12"/>
  <c r="D38" i="12"/>
  <c r="C38" i="12"/>
  <c r="B38" i="12"/>
  <c r="E37" i="12"/>
  <c r="D37" i="12"/>
  <c r="C37" i="12"/>
  <c r="B37" i="12"/>
  <c r="E36" i="12"/>
  <c r="D36" i="12"/>
  <c r="C36" i="12"/>
  <c r="B36" i="12"/>
  <c r="E35" i="12"/>
  <c r="D35" i="12"/>
  <c r="C35" i="12"/>
  <c r="B35" i="12"/>
  <c r="E34" i="12"/>
  <c r="D34" i="12"/>
  <c r="C34" i="12"/>
  <c r="B34" i="12"/>
  <c r="E33" i="12"/>
  <c r="D33" i="12"/>
  <c r="C33" i="12"/>
  <c r="B33" i="12"/>
  <c r="E32" i="12"/>
  <c r="D32" i="12"/>
  <c r="C32" i="12"/>
  <c r="B32" i="12"/>
  <c r="E31" i="12"/>
  <c r="D31" i="12"/>
  <c r="C31" i="12"/>
  <c r="B31" i="12"/>
  <c r="E30" i="12"/>
  <c r="D30" i="12"/>
  <c r="C30" i="12"/>
  <c r="B30" i="12"/>
  <c r="E29" i="12"/>
  <c r="D29" i="12"/>
  <c r="C29" i="12"/>
  <c r="B29" i="12"/>
  <c r="E28" i="12"/>
  <c r="D28" i="12"/>
  <c r="C28" i="12"/>
  <c r="B28" i="12"/>
  <c r="E27" i="12"/>
  <c r="D27" i="12"/>
  <c r="C27" i="12"/>
  <c r="B27" i="12"/>
  <c r="E26" i="12"/>
  <c r="D26" i="12"/>
  <c r="C26" i="12"/>
  <c r="B26" i="12"/>
  <c r="E25" i="12"/>
  <c r="D25" i="12"/>
  <c r="C25" i="12"/>
  <c r="B25" i="12"/>
  <c r="E24" i="12"/>
  <c r="D24" i="12"/>
  <c r="C24" i="12"/>
  <c r="B24" i="12"/>
  <c r="E23" i="12"/>
  <c r="D23" i="12"/>
  <c r="C23" i="12"/>
  <c r="B23" i="12"/>
  <c r="E22" i="12"/>
  <c r="D22" i="12"/>
  <c r="C22" i="12"/>
  <c r="B22" i="12"/>
  <c r="E21" i="12"/>
  <c r="D21" i="12"/>
  <c r="C21" i="12"/>
  <c r="B21" i="12"/>
  <c r="E20" i="12"/>
  <c r="D20" i="12"/>
  <c r="C20" i="12"/>
  <c r="B20" i="12"/>
  <c r="E19" i="12"/>
  <c r="D19" i="12"/>
  <c r="C19" i="12"/>
  <c r="B19" i="12"/>
  <c r="E18" i="12"/>
  <c r="D18" i="12"/>
  <c r="C18" i="12"/>
  <c r="B18" i="12"/>
  <c r="E17" i="12"/>
  <c r="D17" i="12"/>
  <c r="C17" i="12"/>
  <c r="B17" i="12"/>
  <c r="E16" i="12"/>
  <c r="D16" i="12"/>
  <c r="C16" i="12"/>
  <c r="B16" i="12"/>
  <c r="E15" i="12"/>
  <c r="D15" i="12"/>
  <c r="C15" i="12"/>
  <c r="B15" i="12"/>
  <c r="E14" i="12"/>
  <c r="D14" i="12"/>
  <c r="C14" i="12"/>
  <c r="B14" i="12"/>
  <c r="E13" i="12"/>
  <c r="D13" i="12"/>
  <c r="C13" i="12"/>
  <c r="B13" i="12"/>
  <c r="E12" i="12"/>
  <c r="D12" i="12"/>
  <c r="C12" i="12"/>
  <c r="B12" i="12"/>
  <c r="E11" i="12"/>
  <c r="D11" i="12"/>
  <c r="C11" i="12"/>
  <c r="B11" i="12"/>
  <c r="E10" i="12"/>
  <c r="D10" i="12"/>
  <c r="C10" i="12"/>
  <c r="B10" i="12"/>
  <c r="E9" i="12"/>
  <c r="D9" i="12"/>
  <c r="C9" i="12"/>
  <c r="B9" i="12"/>
  <c r="E8" i="12"/>
  <c r="D8" i="12"/>
  <c r="C8" i="12"/>
  <c r="B8" i="12"/>
  <c r="E7" i="12"/>
  <c r="D7" i="12"/>
  <c r="C7" i="12"/>
  <c r="B7" i="12"/>
  <c r="E6" i="12"/>
  <c r="D6" i="12"/>
  <c r="C6" i="12"/>
  <c r="B6" i="12"/>
  <c r="L299" i="10"/>
  <c r="K299" i="10"/>
  <c r="J299" i="10"/>
  <c r="I299" i="10"/>
  <c r="H299" i="10"/>
  <c r="G299" i="10"/>
  <c r="F299" i="10"/>
  <c r="E299" i="10"/>
  <c r="D299" i="10"/>
  <c r="C299" i="10"/>
  <c r="B299" i="10"/>
  <c r="L298" i="10"/>
  <c r="K298" i="10"/>
  <c r="J298" i="10"/>
  <c r="I298" i="10"/>
  <c r="H298" i="10"/>
  <c r="G298" i="10"/>
  <c r="F298" i="10"/>
  <c r="E298" i="10"/>
  <c r="D298" i="10"/>
  <c r="C298" i="10"/>
  <c r="B298" i="10"/>
  <c r="L297" i="10"/>
  <c r="K297" i="10"/>
  <c r="J297" i="10"/>
  <c r="I297" i="10"/>
  <c r="H297" i="10"/>
  <c r="G297" i="10"/>
  <c r="F297" i="10"/>
  <c r="E297" i="10"/>
  <c r="D297" i="10"/>
  <c r="C297" i="10"/>
  <c r="B297" i="10"/>
  <c r="L296" i="10"/>
  <c r="K296" i="10"/>
  <c r="J296" i="10"/>
  <c r="I296" i="10"/>
  <c r="H296" i="10"/>
  <c r="G296" i="10"/>
  <c r="F296" i="10"/>
  <c r="E296" i="10"/>
  <c r="D296" i="10"/>
  <c r="C296" i="10"/>
  <c r="B296" i="10"/>
  <c r="L295" i="10"/>
  <c r="K295" i="10"/>
  <c r="J295" i="10"/>
  <c r="I295" i="10"/>
  <c r="H295" i="10"/>
  <c r="G295" i="10"/>
  <c r="F295" i="10"/>
  <c r="E295" i="10"/>
  <c r="D295" i="10"/>
  <c r="C295" i="10"/>
  <c r="B295" i="10"/>
  <c r="L294" i="10"/>
  <c r="K294" i="10"/>
  <c r="J294" i="10"/>
  <c r="I294" i="10"/>
  <c r="H294" i="10"/>
  <c r="G294" i="10"/>
  <c r="F294" i="10"/>
  <c r="E294" i="10"/>
  <c r="D294" i="10"/>
  <c r="C294" i="10"/>
  <c r="B294" i="10"/>
  <c r="L293" i="10"/>
  <c r="K293" i="10"/>
  <c r="J293" i="10"/>
  <c r="I293" i="10"/>
  <c r="H293" i="10"/>
  <c r="G293" i="10"/>
  <c r="F293" i="10"/>
  <c r="E293" i="10"/>
  <c r="D293" i="10"/>
  <c r="C293" i="10"/>
  <c r="B293" i="10"/>
  <c r="L292" i="10"/>
  <c r="K292" i="10"/>
  <c r="J292" i="10"/>
  <c r="I292" i="10"/>
  <c r="H292" i="10"/>
  <c r="G292" i="10"/>
  <c r="F292" i="10"/>
  <c r="E292" i="10"/>
  <c r="D292" i="10"/>
  <c r="C292" i="10"/>
  <c r="B292" i="10"/>
  <c r="L291" i="10"/>
  <c r="K291" i="10"/>
  <c r="J291" i="10"/>
  <c r="I291" i="10"/>
  <c r="H291" i="10"/>
  <c r="G291" i="10"/>
  <c r="F291" i="10"/>
  <c r="E291" i="10"/>
  <c r="D291" i="10"/>
  <c r="C291" i="10"/>
  <c r="B291" i="10"/>
  <c r="L290" i="10"/>
  <c r="K290" i="10"/>
  <c r="J290" i="10"/>
  <c r="I290" i="10"/>
  <c r="H290" i="10"/>
  <c r="G290" i="10"/>
  <c r="F290" i="10"/>
  <c r="E290" i="10"/>
  <c r="D290" i="10"/>
  <c r="C290" i="10"/>
  <c r="B290" i="10"/>
  <c r="L289" i="10"/>
  <c r="K289" i="10"/>
  <c r="J289" i="10"/>
  <c r="I289" i="10"/>
  <c r="H289" i="10"/>
  <c r="G289" i="10"/>
  <c r="F289" i="10"/>
  <c r="E289" i="10"/>
  <c r="D289" i="10"/>
  <c r="C289" i="10"/>
  <c r="B289" i="10"/>
  <c r="L288" i="10"/>
  <c r="K288" i="10"/>
  <c r="J288" i="10"/>
  <c r="I288" i="10"/>
  <c r="H288" i="10"/>
  <c r="G288" i="10"/>
  <c r="F288" i="10"/>
  <c r="E288" i="10"/>
  <c r="D288" i="10"/>
  <c r="C288" i="10"/>
  <c r="B288" i="10"/>
  <c r="L287" i="10"/>
  <c r="K287" i="10"/>
  <c r="J287" i="10"/>
  <c r="I287" i="10"/>
  <c r="H287" i="10"/>
  <c r="G287" i="10"/>
  <c r="F287" i="10"/>
  <c r="E287" i="10"/>
  <c r="D287" i="10"/>
  <c r="C287" i="10"/>
  <c r="B287" i="10"/>
  <c r="L286" i="10"/>
  <c r="K286" i="10"/>
  <c r="J286" i="10"/>
  <c r="I286" i="10"/>
  <c r="H286" i="10"/>
  <c r="G286" i="10"/>
  <c r="F286" i="10"/>
  <c r="E286" i="10"/>
  <c r="D286" i="10"/>
  <c r="C286" i="10"/>
  <c r="B286" i="10"/>
  <c r="L285" i="10"/>
  <c r="K285" i="10"/>
  <c r="J285" i="10"/>
  <c r="I285" i="10"/>
  <c r="H285" i="10"/>
  <c r="G285" i="10"/>
  <c r="F285" i="10"/>
  <c r="E285" i="10"/>
  <c r="D285" i="10"/>
  <c r="C285" i="10"/>
  <c r="B285" i="10"/>
  <c r="L284" i="10"/>
  <c r="K284" i="10"/>
  <c r="J284" i="10"/>
  <c r="I284" i="10"/>
  <c r="H284" i="10"/>
  <c r="G284" i="10"/>
  <c r="F284" i="10"/>
  <c r="E284" i="10"/>
  <c r="D284" i="10"/>
  <c r="C284" i="10"/>
  <c r="B284" i="10"/>
  <c r="L283" i="10"/>
  <c r="K283" i="10"/>
  <c r="J283" i="10"/>
  <c r="I283" i="10"/>
  <c r="H283" i="10"/>
  <c r="G283" i="10"/>
  <c r="F283" i="10"/>
  <c r="E283" i="10"/>
  <c r="D283" i="10"/>
  <c r="C283" i="10"/>
  <c r="B283" i="10"/>
  <c r="L282" i="10"/>
  <c r="K282" i="10"/>
  <c r="J282" i="10"/>
  <c r="I282" i="10"/>
  <c r="H282" i="10"/>
  <c r="G282" i="10"/>
  <c r="F282" i="10"/>
  <c r="E282" i="10"/>
  <c r="D282" i="10"/>
  <c r="C282" i="10"/>
  <c r="B282" i="10"/>
  <c r="L281" i="10"/>
  <c r="K281" i="10"/>
  <c r="J281" i="10"/>
  <c r="I281" i="10"/>
  <c r="H281" i="10"/>
  <c r="G281" i="10"/>
  <c r="F281" i="10"/>
  <c r="E281" i="10"/>
  <c r="D281" i="10"/>
  <c r="C281" i="10"/>
  <c r="B281" i="10"/>
  <c r="L280" i="10"/>
  <c r="K280" i="10"/>
  <c r="J280" i="10"/>
  <c r="I280" i="10"/>
  <c r="H280" i="10"/>
  <c r="G280" i="10"/>
  <c r="F280" i="10"/>
  <c r="E280" i="10"/>
  <c r="D280" i="10"/>
  <c r="C280" i="10"/>
  <c r="B280" i="10"/>
  <c r="L279" i="10"/>
  <c r="K279" i="10"/>
  <c r="J279" i="10"/>
  <c r="I279" i="10"/>
  <c r="H279" i="10"/>
  <c r="G279" i="10"/>
  <c r="F279" i="10"/>
  <c r="E279" i="10"/>
  <c r="D279" i="10"/>
  <c r="C279" i="10"/>
  <c r="B279" i="10"/>
  <c r="L278" i="10"/>
  <c r="K278" i="10"/>
  <c r="J278" i="10"/>
  <c r="I278" i="10"/>
  <c r="H278" i="10"/>
  <c r="G278" i="10"/>
  <c r="F278" i="10"/>
  <c r="E278" i="10"/>
  <c r="D278" i="10"/>
  <c r="C278" i="10"/>
  <c r="B278" i="10"/>
  <c r="L277" i="10"/>
  <c r="K277" i="10"/>
  <c r="J277" i="10"/>
  <c r="I277" i="10"/>
  <c r="H277" i="10"/>
  <c r="G277" i="10"/>
  <c r="F277" i="10"/>
  <c r="E277" i="10"/>
  <c r="D277" i="10"/>
  <c r="C277" i="10"/>
  <c r="B277" i="10"/>
  <c r="L276" i="10"/>
  <c r="K276" i="10"/>
  <c r="J276" i="10"/>
  <c r="I276" i="10"/>
  <c r="H276" i="10"/>
  <c r="G276" i="10"/>
  <c r="F276" i="10"/>
  <c r="E276" i="10"/>
  <c r="D276" i="10"/>
  <c r="C276" i="10"/>
  <c r="B276" i="10"/>
  <c r="L275" i="10"/>
  <c r="K275" i="10"/>
  <c r="J275" i="10"/>
  <c r="I275" i="10"/>
  <c r="H275" i="10"/>
  <c r="G275" i="10"/>
  <c r="F275" i="10"/>
  <c r="E275" i="10"/>
  <c r="D275" i="10"/>
  <c r="C275" i="10"/>
  <c r="B275" i="10"/>
  <c r="L274" i="10"/>
  <c r="K274" i="10"/>
  <c r="J274" i="10"/>
  <c r="I274" i="10"/>
  <c r="H274" i="10"/>
  <c r="G274" i="10"/>
  <c r="F274" i="10"/>
  <c r="E274" i="10"/>
  <c r="D274" i="10"/>
  <c r="C274" i="10"/>
  <c r="B274" i="10"/>
  <c r="L273" i="10"/>
  <c r="K273" i="10"/>
  <c r="J273" i="10"/>
  <c r="I273" i="10"/>
  <c r="H273" i="10"/>
  <c r="G273" i="10"/>
  <c r="F273" i="10"/>
  <c r="E273" i="10"/>
  <c r="D273" i="10"/>
  <c r="C273" i="10"/>
  <c r="B273" i="10"/>
  <c r="L272" i="10"/>
  <c r="K272" i="10"/>
  <c r="J272" i="10"/>
  <c r="I272" i="10"/>
  <c r="H272" i="10"/>
  <c r="G272" i="10"/>
  <c r="F272" i="10"/>
  <c r="E272" i="10"/>
  <c r="D272" i="10"/>
  <c r="C272" i="10"/>
  <c r="B272" i="10"/>
  <c r="L271" i="10"/>
  <c r="K271" i="10"/>
  <c r="J271" i="10"/>
  <c r="I271" i="10"/>
  <c r="H271" i="10"/>
  <c r="G271" i="10"/>
  <c r="F271" i="10"/>
  <c r="E271" i="10"/>
  <c r="D271" i="10"/>
  <c r="C271" i="10"/>
  <c r="B271" i="10"/>
  <c r="L270" i="10"/>
  <c r="K270" i="10"/>
  <c r="J270" i="10"/>
  <c r="I270" i="10"/>
  <c r="H270" i="10"/>
  <c r="G270" i="10"/>
  <c r="F270" i="10"/>
  <c r="E270" i="10"/>
  <c r="D270" i="10"/>
  <c r="C270" i="10"/>
  <c r="B270" i="10"/>
  <c r="L269" i="10"/>
  <c r="K269" i="10"/>
  <c r="J269" i="10"/>
  <c r="I269" i="10"/>
  <c r="H269" i="10"/>
  <c r="G269" i="10"/>
  <c r="F269" i="10"/>
  <c r="E269" i="10"/>
  <c r="D269" i="10"/>
  <c r="C269" i="10"/>
  <c r="B269" i="10"/>
  <c r="L268" i="10"/>
  <c r="K268" i="10"/>
  <c r="J268" i="10"/>
  <c r="I268" i="10"/>
  <c r="H268" i="10"/>
  <c r="G268" i="10"/>
  <c r="F268" i="10"/>
  <c r="E268" i="10"/>
  <c r="D268" i="10"/>
  <c r="C268" i="10"/>
  <c r="B268" i="10"/>
  <c r="L267" i="10"/>
  <c r="K267" i="10"/>
  <c r="J267" i="10"/>
  <c r="I267" i="10"/>
  <c r="H267" i="10"/>
  <c r="G267" i="10"/>
  <c r="F267" i="10"/>
  <c r="E267" i="10"/>
  <c r="D267" i="10"/>
  <c r="C267" i="10"/>
  <c r="B267" i="10"/>
  <c r="L266" i="10"/>
  <c r="K266" i="10"/>
  <c r="J266" i="10"/>
  <c r="I266" i="10"/>
  <c r="H266" i="10"/>
  <c r="G266" i="10"/>
  <c r="F266" i="10"/>
  <c r="E266" i="10"/>
  <c r="D266" i="10"/>
  <c r="C266" i="10"/>
  <c r="B266" i="10"/>
  <c r="L265" i="10"/>
  <c r="K265" i="10"/>
  <c r="J265" i="10"/>
  <c r="I265" i="10"/>
  <c r="H265" i="10"/>
  <c r="G265" i="10"/>
  <c r="F265" i="10"/>
  <c r="E265" i="10"/>
  <c r="D265" i="10"/>
  <c r="C265" i="10"/>
  <c r="B265" i="10"/>
  <c r="L264" i="10"/>
  <c r="K264" i="10"/>
  <c r="J264" i="10"/>
  <c r="I264" i="10"/>
  <c r="H264" i="10"/>
  <c r="G264" i="10"/>
  <c r="F264" i="10"/>
  <c r="E264" i="10"/>
  <c r="D264" i="10"/>
  <c r="C264" i="10"/>
  <c r="B264" i="10"/>
  <c r="L263" i="10"/>
  <c r="K263" i="10"/>
  <c r="J263" i="10"/>
  <c r="I263" i="10"/>
  <c r="H263" i="10"/>
  <c r="G263" i="10"/>
  <c r="F263" i="10"/>
  <c r="E263" i="10"/>
  <c r="D263" i="10"/>
  <c r="C263" i="10"/>
  <c r="B263" i="10"/>
  <c r="L262" i="10"/>
  <c r="K262" i="10"/>
  <c r="J262" i="10"/>
  <c r="I262" i="10"/>
  <c r="H262" i="10"/>
  <c r="G262" i="10"/>
  <c r="F262" i="10"/>
  <c r="E262" i="10"/>
  <c r="D262" i="10"/>
  <c r="C262" i="10"/>
  <c r="B262" i="10"/>
  <c r="L261" i="10"/>
  <c r="K261" i="10"/>
  <c r="J261" i="10"/>
  <c r="I261" i="10"/>
  <c r="H261" i="10"/>
  <c r="G261" i="10"/>
  <c r="F261" i="10"/>
  <c r="E261" i="10"/>
  <c r="D261" i="10"/>
  <c r="C261" i="10"/>
  <c r="B261" i="10"/>
  <c r="L260" i="10"/>
  <c r="K260" i="10"/>
  <c r="J260" i="10"/>
  <c r="I260" i="10"/>
  <c r="H260" i="10"/>
  <c r="G260" i="10"/>
  <c r="F260" i="10"/>
  <c r="E260" i="10"/>
  <c r="D260" i="10"/>
  <c r="C260" i="10"/>
  <c r="B260" i="10"/>
  <c r="L259" i="10"/>
  <c r="K259" i="10"/>
  <c r="J259" i="10"/>
  <c r="I259" i="10"/>
  <c r="H259" i="10"/>
  <c r="G259" i="10"/>
  <c r="F259" i="10"/>
  <c r="E259" i="10"/>
  <c r="D259" i="10"/>
  <c r="C259" i="10"/>
  <c r="B259" i="10"/>
  <c r="L258" i="10"/>
  <c r="K258" i="10"/>
  <c r="J258" i="10"/>
  <c r="I258" i="10"/>
  <c r="H258" i="10"/>
  <c r="G258" i="10"/>
  <c r="F258" i="10"/>
  <c r="E258" i="10"/>
  <c r="D258" i="10"/>
  <c r="C258" i="10"/>
  <c r="B258" i="10"/>
  <c r="L257" i="10"/>
  <c r="K257" i="10"/>
  <c r="J257" i="10"/>
  <c r="I257" i="10"/>
  <c r="H257" i="10"/>
  <c r="G257" i="10"/>
  <c r="F257" i="10"/>
  <c r="E257" i="10"/>
  <c r="D257" i="10"/>
  <c r="C257" i="10"/>
  <c r="B257" i="10"/>
  <c r="L256" i="10"/>
  <c r="K256" i="10"/>
  <c r="J256" i="10"/>
  <c r="I256" i="10"/>
  <c r="H256" i="10"/>
  <c r="G256" i="10"/>
  <c r="F256" i="10"/>
  <c r="E256" i="10"/>
  <c r="D256" i="10"/>
  <c r="C256" i="10"/>
  <c r="B256" i="10"/>
  <c r="L255" i="10"/>
  <c r="K255" i="10"/>
  <c r="J255" i="10"/>
  <c r="I255" i="10"/>
  <c r="H255" i="10"/>
  <c r="G255" i="10"/>
  <c r="F255" i="10"/>
  <c r="E255" i="10"/>
  <c r="D255" i="10"/>
  <c r="C255" i="10"/>
  <c r="B255" i="10"/>
  <c r="L254" i="10"/>
  <c r="K254" i="10"/>
  <c r="J254" i="10"/>
  <c r="I254" i="10"/>
  <c r="H254" i="10"/>
  <c r="G254" i="10"/>
  <c r="F254" i="10"/>
  <c r="E254" i="10"/>
  <c r="D254" i="10"/>
  <c r="C254" i="10"/>
  <c r="B254" i="10"/>
  <c r="L253" i="10"/>
  <c r="K253" i="10"/>
  <c r="J253" i="10"/>
  <c r="I253" i="10"/>
  <c r="H253" i="10"/>
  <c r="G253" i="10"/>
  <c r="F253" i="10"/>
  <c r="E253" i="10"/>
  <c r="D253" i="10"/>
  <c r="C253" i="10"/>
  <c r="B253" i="10"/>
  <c r="L252" i="10"/>
  <c r="K252" i="10"/>
  <c r="J252" i="10"/>
  <c r="I252" i="10"/>
  <c r="H252" i="10"/>
  <c r="G252" i="10"/>
  <c r="F252" i="10"/>
  <c r="E252" i="10"/>
  <c r="D252" i="10"/>
  <c r="C252" i="10"/>
  <c r="B252" i="10"/>
  <c r="L251" i="10"/>
  <c r="K251" i="10"/>
  <c r="J251" i="10"/>
  <c r="I251" i="10"/>
  <c r="H251" i="10"/>
  <c r="G251" i="10"/>
  <c r="F251" i="10"/>
  <c r="E251" i="10"/>
  <c r="D251" i="10"/>
  <c r="C251" i="10"/>
  <c r="B251" i="10"/>
  <c r="L250" i="10"/>
  <c r="K250" i="10"/>
  <c r="J250" i="10"/>
  <c r="I250" i="10"/>
  <c r="H250" i="10"/>
  <c r="G250" i="10"/>
  <c r="F250" i="10"/>
  <c r="E250" i="10"/>
  <c r="D250" i="10"/>
  <c r="C250" i="10"/>
  <c r="B250" i="10"/>
  <c r="L249" i="10"/>
  <c r="K249" i="10"/>
  <c r="J249" i="10"/>
  <c r="I249" i="10"/>
  <c r="H249" i="10"/>
  <c r="G249" i="10"/>
  <c r="F249" i="10"/>
  <c r="E249" i="10"/>
  <c r="D249" i="10"/>
  <c r="C249" i="10"/>
  <c r="B249" i="10"/>
  <c r="L248" i="10"/>
  <c r="K248" i="10"/>
  <c r="J248" i="10"/>
  <c r="I248" i="10"/>
  <c r="H248" i="10"/>
  <c r="G248" i="10"/>
  <c r="F248" i="10"/>
  <c r="E248" i="10"/>
  <c r="D248" i="10"/>
  <c r="C248" i="10"/>
  <c r="B248" i="10"/>
  <c r="L247" i="10"/>
  <c r="K247" i="10"/>
  <c r="J247" i="10"/>
  <c r="I247" i="10"/>
  <c r="H247" i="10"/>
  <c r="G247" i="10"/>
  <c r="F247" i="10"/>
  <c r="E247" i="10"/>
  <c r="D247" i="10"/>
  <c r="C247" i="10"/>
  <c r="B247" i="10"/>
  <c r="L246" i="10"/>
  <c r="K246" i="10"/>
  <c r="J246" i="10"/>
  <c r="I246" i="10"/>
  <c r="H246" i="10"/>
  <c r="G246" i="10"/>
  <c r="F246" i="10"/>
  <c r="E246" i="10"/>
  <c r="D246" i="10"/>
  <c r="C246" i="10"/>
  <c r="B246" i="10"/>
  <c r="L245" i="10"/>
  <c r="K245" i="10"/>
  <c r="J245" i="10"/>
  <c r="I245" i="10"/>
  <c r="H245" i="10"/>
  <c r="G245" i="10"/>
  <c r="F245" i="10"/>
  <c r="E245" i="10"/>
  <c r="D245" i="10"/>
  <c r="C245" i="10"/>
  <c r="B245" i="10"/>
  <c r="L244" i="10"/>
  <c r="K244" i="10"/>
  <c r="J244" i="10"/>
  <c r="I244" i="10"/>
  <c r="H244" i="10"/>
  <c r="G244" i="10"/>
  <c r="F244" i="10"/>
  <c r="E244" i="10"/>
  <c r="D244" i="10"/>
  <c r="C244" i="10"/>
  <c r="B244" i="10"/>
  <c r="L243" i="10"/>
  <c r="K243" i="10"/>
  <c r="J243" i="10"/>
  <c r="I243" i="10"/>
  <c r="H243" i="10"/>
  <c r="G243" i="10"/>
  <c r="F243" i="10"/>
  <c r="E243" i="10"/>
  <c r="D243" i="10"/>
  <c r="C243" i="10"/>
  <c r="B243" i="10"/>
  <c r="L242" i="10"/>
  <c r="K242" i="10"/>
  <c r="J242" i="10"/>
  <c r="I242" i="10"/>
  <c r="H242" i="10"/>
  <c r="G242" i="10"/>
  <c r="F242" i="10"/>
  <c r="E242" i="10"/>
  <c r="D242" i="10"/>
  <c r="C242" i="10"/>
  <c r="B242" i="10"/>
  <c r="L241" i="10"/>
  <c r="K241" i="10"/>
  <c r="J241" i="10"/>
  <c r="I241" i="10"/>
  <c r="H241" i="10"/>
  <c r="G241" i="10"/>
  <c r="F241" i="10"/>
  <c r="E241" i="10"/>
  <c r="D241" i="10"/>
  <c r="C241" i="10"/>
  <c r="B241" i="10"/>
  <c r="L240" i="10"/>
  <c r="K240" i="10"/>
  <c r="J240" i="10"/>
  <c r="I240" i="10"/>
  <c r="H240" i="10"/>
  <c r="G240" i="10"/>
  <c r="F240" i="10"/>
  <c r="E240" i="10"/>
  <c r="D240" i="10"/>
  <c r="C240" i="10"/>
  <c r="B240" i="10"/>
  <c r="L239" i="10"/>
  <c r="K239" i="10"/>
  <c r="J239" i="10"/>
  <c r="I239" i="10"/>
  <c r="H239" i="10"/>
  <c r="G239" i="10"/>
  <c r="F239" i="10"/>
  <c r="E239" i="10"/>
  <c r="D239" i="10"/>
  <c r="C239" i="10"/>
  <c r="B239" i="10"/>
  <c r="L238" i="10"/>
  <c r="K238" i="10"/>
  <c r="J238" i="10"/>
  <c r="I238" i="10"/>
  <c r="H238" i="10"/>
  <c r="G238" i="10"/>
  <c r="F238" i="10"/>
  <c r="E238" i="10"/>
  <c r="D238" i="10"/>
  <c r="C238" i="10"/>
  <c r="B238" i="10"/>
  <c r="L237" i="10"/>
  <c r="K237" i="10"/>
  <c r="J237" i="10"/>
  <c r="I237" i="10"/>
  <c r="H237" i="10"/>
  <c r="G237" i="10"/>
  <c r="F237" i="10"/>
  <c r="E237" i="10"/>
  <c r="D237" i="10"/>
  <c r="C237" i="10"/>
  <c r="B237" i="10"/>
  <c r="L236" i="10"/>
  <c r="K236" i="10"/>
  <c r="J236" i="10"/>
  <c r="I236" i="10"/>
  <c r="H236" i="10"/>
  <c r="G236" i="10"/>
  <c r="F236" i="10"/>
  <c r="E236" i="10"/>
  <c r="D236" i="10"/>
  <c r="C236" i="10"/>
  <c r="B236" i="10"/>
  <c r="L235" i="10"/>
  <c r="K235" i="10"/>
  <c r="J235" i="10"/>
  <c r="I235" i="10"/>
  <c r="H235" i="10"/>
  <c r="G235" i="10"/>
  <c r="F235" i="10"/>
  <c r="E235" i="10"/>
  <c r="D235" i="10"/>
  <c r="C235" i="10"/>
  <c r="B235" i="10"/>
  <c r="L234" i="10"/>
  <c r="K234" i="10"/>
  <c r="J234" i="10"/>
  <c r="I234" i="10"/>
  <c r="H234" i="10"/>
  <c r="G234" i="10"/>
  <c r="F234" i="10"/>
  <c r="E234" i="10"/>
  <c r="D234" i="10"/>
  <c r="C234" i="10"/>
  <c r="B234" i="10"/>
  <c r="L233" i="10"/>
  <c r="K233" i="10"/>
  <c r="J233" i="10"/>
  <c r="I233" i="10"/>
  <c r="H233" i="10"/>
  <c r="G233" i="10"/>
  <c r="F233" i="10"/>
  <c r="E233" i="10"/>
  <c r="D233" i="10"/>
  <c r="C233" i="10"/>
  <c r="B233" i="10"/>
  <c r="L232" i="10"/>
  <c r="K232" i="10"/>
  <c r="J232" i="10"/>
  <c r="I232" i="10"/>
  <c r="H232" i="10"/>
  <c r="G232" i="10"/>
  <c r="F232" i="10"/>
  <c r="E232" i="10"/>
  <c r="D232" i="10"/>
  <c r="C232" i="10"/>
  <c r="B232" i="10"/>
  <c r="L231" i="10"/>
  <c r="K231" i="10"/>
  <c r="J231" i="10"/>
  <c r="I231" i="10"/>
  <c r="H231" i="10"/>
  <c r="G231" i="10"/>
  <c r="F231" i="10"/>
  <c r="E231" i="10"/>
  <c r="D231" i="10"/>
  <c r="C231" i="10"/>
  <c r="B231" i="10"/>
  <c r="L230" i="10"/>
  <c r="K230" i="10"/>
  <c r="J230" i="10"/>
  <c r="I230" i="10"/>
  <c r="H230" i="10"/>
  <c r="G230" i="10"/>
  <c r="F230" i="10"/>
  <c r="E230" i="10"/>
  <c r="D230" i="10"/>
  <c r="C230" i="10"/>
  <c r="B230" i="10"/>
  <c r="L229" i="10"/>
  <c r="K229" i="10"/>
  <c r="J229" i="10"/>
  <c r="I229" i="10"/>
  <c r="H229" i="10"/>
  <c r="G229" i="10"/>
  <c r="F229" i="10"/>
  <c r="E229" i="10"/>
  <c r="D229" i="10"/>
  <c r="C229" i="10"/>
  <c r="B229" i="10"/>
  <c r="L228" i="10"/>
  <c r="K228" i="10"/>
  <c r="J228" i="10"/>
  <c r="I228" i="10"/>
  <c r="H228" i="10"/>
  <c r="G228" i="10"/>
  <c r="F228" i="10"/>
  <c r="E228" i="10"/>
  <c r="D228" i="10"/>
  <c r="C228" i="10"/>
  <c r="B228" i="10"/>
  <c r="L227" i="10"/>
  <c r="K227" i="10"/>
  <c r="J227" i="10"/>
  <c r="I227" i="10"/>
  <c r="H227" i="10"/>
  <c r="G227" i="10"/>
  <c r="F227" i="10"/>
  <c r="E227" i="10"/>
  <c r="D227" i="10"/>
  <c r="C227" i="10"/>
  <c r="B227" i="10"/>
  <c r="L226" i="10"/>
  <c r="K226" i="10"/>
  <c r="J226" i="10"/>
  <c r="I226" i="10"/>
  <c r="H226" i="10"/>
  <c r="G226" i="10"/>
  <c r="F226" i="10"/>
  <c r="E226" i="10"/>
  <c r="D226" i="10"/>
  <c r="C226" i="10"/>
  <c r="B226" i="10"/>
  <c r="L225" i="10"/>
  <c r="K225" i="10"/>
  <c r="J225" i="10"/>
  <c r="I225" i="10"/>
  <c r="H225" i="10"/>
  <c r="G225" i="10"/>
  <c r="F225" i="10"/>
  <c r="E225" i="10"/>
  <c r="D225" i="10"/>
  <c r="C225" i="10"/>
  <c r="B225" i="10"/>
  <c r="L224" i="10"/>
  <c r="K224" i="10"/>
  <c r="J224" i="10"/>
  <c r="I224" i="10"/>
  <c r="H224" i="10"/>
  <c r="G224" i="10"/>
  <c r="F224" i="10"/>
  <c r="E224" i="10"/>
  <c r="D224" i="10"/>
  <c r="C224" i="10"/>
  <c r="B224" i="10"/>
  <c r="L223" i="10"/>
  <c r="K223" i="10"/>
  <c r="J223" i="10"/>
  <c r="I223" i="10"/>
  <c r="H223" i="10"/>
  <c r="G223" i="10"/>
  <c r="F223" i="10"/>
  <c r="E223" i="10"/>
  <c r="D223" i="10"/>
  <c r="C223" i="10"/>
  <c r="B223" i="10"/>
  <c r="L222" i="10"/>
  <c r="K222" i="10"/>
  <c r="J222" i="10"/>
  <c r="I222" i="10"/>
  <c r="H222" i="10"/>
  <c r="G222" i="10"/>
  <c r="F222" i="10"/>
  <c r="E222" i="10"/>
  <c r="D222" i="10"/>
  <c r="C222" i="10"/>
  <c r="B222" i="10"/>
  <c r="L221" i="10"/>
  <c r="K221" i="10"/>
  <c r="J221" i="10"/>
  <c r="I221" i="10"/>
  <c r="H221" i="10"/>
  <c r="G221" i="10"/>
  <c r="F221" i="10"/>
  <c r="E221" i="10"/>
  <c r="D221" i="10"/>
  <c r="C221" i="10"/>
  <c r="B221" i="10"/>
  <c r="L220" i="10"/>
  <c r="K220" i="10"/>
  <c r="J220" i="10"/>
  <c r="I220" i="10"/>
  <c r="H220" i="10"/>
  <c r="G220" i="10"/>
  <c r="F220" i="10"/>
  <c r="E220" i="10"/>
  <c r="D220" i="10"/>
  <c r="C220" i="10"/>
  <c r="B220" i="10"/>
  <c r="L219" i="10"/>
  <c r="K219" i="10"/>
  <c r="J219" i="10"/>
  <c r="I219" i="10"/>
  <c r="H219" i="10"/>
  <c r="G219" i="10"/>
  <c r="F219" i="10"/>
  <c r="E219" i="10"/>
  <c r="D219" i="10"/>
  <c r="C219" i="10"/>
  <c r="B219" i="10"/>
  <c r="L218" i="10"/>
  <c r="K218" i="10"/>
  <c r="J218" i="10"/>
  <c r="I218" i="10"/>
  <c r="H218" i="10"/>
  <c r="G218" i="10"/>
  <c r="F218" i="10"/>
  <c r="E218" i="10"/>
  <c r="D218" i="10"/>
  <c r="C218" i="10"/>
  <c r="B218" i="10"/>
  <c r="L217" i="10"/>
  <c r="K217" i="10"/>
  <c r="J217" i="10"/>
  <c r="I217" i="10"/>
  <c r="H217" i="10"/>
  <c r="G217" i="10"/>
  <c r="F217" i="10"/>
  <c r="E217" i="10"/>
  <c r="D217" i="10"/>
  <c r="C217" i="10"/>
  <c r="B217" i="10"/>
  <c r="L216" i="10"/>
  <c r="K216" i="10"/>
  <c r="J216" i="10"/>
  <c r="I216" i="10"/>
  <c r="H216" i="10"/>
  <c r="G216" i="10"/>
  <c r="F216" i="10"/>
  <c r="E216" i="10"/>
  <c r="D216" i="10"/>
  <c r="C216" i="10"/>
  <c r="B216" i="10"/>
  <c r="L215" i="10"/>
  <c r="K215" i="10"/>
  <c r="J215" i="10"/>
  <c r="I215" i="10"/>
  <c r="H215" i="10"/>
  <c r="G215" i="10"/>
  <c r="F215" i="10"/>
  <c r="E215" i="10"/>
  <c r="D215" i="10"/>
  <c r="C215" i="10"/>
  <c r="B215" i="10"/>
  <c r="L214" i="10"/>
  <c r="K214" i="10"/>
  <c r="J214" i="10"/>
  <c r="I214" i="10"/>
  <c r="H214" i="10"/>
  <c r="G214" i="10"/>
  <c r="F214" i="10"/>
  <c r="E214" i="10"/>
  <c r="D214" i="10"/>
  <c r="C214" i="10"/>
  <c r="B214" i="10"/>
  <c r="L213" i="10"/>
  <c r="K213" i="10"/>
  <c r="J213" i="10"/>
  <c r="I213" i="10"/>
  <c r="H213" i="10"/>
  <c r="G213" i="10"/>
  <c r="F213" i="10"/>
  <c r="E213" i="10"/>
  <c r="D213" i="10"/>
  <c r="C213" i="10"/>
  <c r="B213" i="10"/>
  <c r="L212" i="10"/>
  <c r="K212" i="10"/>
  <c r="J212" i="10"/>
  <c r="I212" i="10"/>
  <c r="H212" i="10"/>
  <c r="G212" i="10"/>
  <c r="F212" i="10"/>
  <c r="E212" i="10"/>
  <c r="D212" i="10"/>
  <c r="C212" i="10"/>
  <c r="B212" i="10"/>
  <c r="L211" i="10"/>
  <c r="K211" i="10"/>
  <c r="J211" i="10"/>
  <c r="I211" i="10"/>
  <c r="H211" i="10"/>
  <c r="G211" i="10"/>
  <c r="F211" i="10"/>
  <c r="E211" i="10"/>
  <c r="D211" i="10"/>
  <c r="C211" i="10"/>
  <c r="B211" i="10"/>
  <c r="L210" i="10"/>
  <c r="K210" i="10"/>
  <c r="J210" i="10"/>
  <c r="I210" i="10"/>
  <c r="H210" i="10"/>
  <c r="G210" i="10"/>
  <c r="F210" i="10"/>
  <c r="E210" i="10"/>
  <c r="D210" i="10"/>
  <c r="C210" i="10"/>
  <c r="B210" i="10"/>
  <c r="L209" i="10"/>
  <c r="K209" i="10"/>
  <c r="J209" i="10"/>
  <c r="I209" i="10"/>
  <c r="H209" i="10"/>
  <c r="G209" i="10"/>
  <c r="F209" i="10"/>
  <c r="E209" i="10"/>
  <c r="D209" i="10"/>
  <c r="C209" i="10"/>
  <c r="B209" i="10"/>
  <c r="L208" i="10"/>
  <c r="K208" i="10"/>
  <c r="J208" i="10"/>
  <c r="I208" i="10"/>
  <c r="H208" i="10"/>
  <c r="G208" i="10"/>
  <c r="F208" i="10"/>
  <c r="E208" i="10"/>
  <c r="D208" i="10"/>
  <c r="C208" i="10"/>
  <c r="B208" i="10"/>
  <c r="L207" i="10"/>
  <c r="K207" i="10"/>
  <c r="J207" i="10"/>
  <c r="I207" i="10"/>
  <c r="H207" i="10"/>
  <c r="G207" i="10"/>
  <c r="F207" i="10"/>
  <c r="E207" i="10"/>
  <c r="D207" i="10"/>
  <c r="C207" i="10"/>
  <c r="B207" i="10"/>
  <c r="L206" i="10"/>
  <c r="K206" i="10"/>
  <c r="J206" i="10"/>
  <c r="I206" i="10"/>
  <c r="H206" i="10"/>
  <c r="G206" i="10"/>
  <c r="F206" i="10"/>
  <c r="E206" i="10"/>
  <c r="D206" i="10"/>
  <c r="C206" i="10"/>
  <c r="B206" i="10"/>
  <c r="L205" i="10"/>
  <c r="K205" i="10"/>
  <c r="J205" i="10"/>
  <c r="I205" i="10"/>
  <c r="H205" i="10"/>
  <c r="G205" i="10"/>
  <c r="F205" i="10"/>
  <c r="E205" i="10"/>
  <c r="D205" i="10"/>
  <c r="C205" i="10"/>
  <c r="B205" i="10"/>
  <c r="L204" i="10"/>
  <c r="K204" i="10"/>
  <c r="J204" i="10"/>
  <c r="I204" i="10"/>
  <c r="H204" i="10"/>
  <c r="G204" i="10"/>
  <c r="F204" i="10"/>
  <c r="E204" i="10"/>
  <c r="D204" i="10"/>
  <c r="C204" i="10"/>
  <c r="B204" i="10"/>
  <c r="L203" i="10"/>
  <c r="K203" i="10"/>
  <c r="J203" i="10"/>
  <c r="I203" i="10"/>
  <c r="H203" i="10"/>
  <c r="G203" i="10"/>
  <c r="F203" i="10"/>
  <c r="E203" i="10"/>
  <c r="D203" i="10"/>
  <c r="C203" i="10"/>
  <c r="B203" i="10"/>
  <c r="L202" i="10"/>
  <c r="K202" i="10"/>
  <c r="J202" i="10"/>
  <c r="I202" i="10"/>
  <c r="H202" i="10"/>
  <c r="G202" i="10"/>
  <c r="F202" i="10"/>
  <c r="E202" i="10"/>
  <c r="D202" i="10"/>
  <c r="C202" i="10"/>
  <c r="B202" i="10"/>
  <c r="L201" i="10"/>
  <c r="K201" i="10"/>
  <c r="J201" i="10"/>
  <c r="I201" i="10"/>
  <c r="H201" i="10"/>
  <c r="G201" i="10"/>
  <c r="F201" i="10"/>
  <c r="E201" i="10"/>
  <c r="D201" i="10"/>
  <c r="C201" i="10"/>
  <c r="B201" i="10"/>
  <c r="L200" i="10"/>
  <c r="K200" i="10"/>
  <c r="J200" i="10"/>
  <c r="I200" i="10"/>
  <c r="H200" i="10"/>
  <c r="G200" i="10"/>
  <c r="F200" i="10"/>
  <c r="E200" i="10"/>
  <c r="D200" i="10"/>
  <c r="C200" i="10"/>
  <c r="B200" i="10"/>
  <c r="L199" i="10"/>
  <c r="K199" i="10"/>
  <c r="J199" i="10"/>
  <c r="I199" i="10"/>
  <c r="H199" i="10"/>
  <c r="G199" i="10"/>
  <c r="F199" i="10"/>
  <c r="E199" i="10"/>
  <c r="D199" i="10"/>
  <c r="C199" i="10"/>
  <c r="B199" i="10"/>
  <c r="L198" i="10"/>
  <c r="K198" i="10"/>
  <c r="J198" i="10"/>
  <c r="I198" i="10"/>
  <c r="H198" i="10"/>
  <c r="G198" i="10"/>
  <c r="F198" i="10"/>
  <c r="E198" i="10"/>
  <c r="D198" i="10"/>
  <c r="C198" i="10"/>
  <c r="B198" i="10"/>
  <c r="L197" i="10"/>
  <c r="K197" i="10"/>
  <c r="J197" i="10"/>
  <c r="I197" i="10"/>
  <c r="H197" i="10"/>
  <c r="G197" i="10"/>
  <c r="F197" i="10"/>
  <c r="E197" i="10"/>
  <c r="D197" i="10"/>
  <c r="C197" i="10"/>
  <c r="B197" i="10"/>
  <c r="L196" i="10"/>
  <c r="K196" i="10"/>
  <c r="J196" i="10"/>
  <c r="I196" i="10"/>
  <c r="H196" i="10"/>
  <c r="G196" i="10"/>
  <c r="F196" i="10"/>
  <c r="E196" i="10"/>
  <c r="D196" i="10"/>
  <c r="C196" i="10"/>
  <c r="B196" i="10"/>
  <c r="L195" i="10"/>
  <c r="K195" i="10"/>
  <c r="J195" i="10"/>
  <c r="I195" i="10"/>
  <c r="H195" i="10"/>
  <c r="G195" i="10"/>
  <c r="F195" i="10"/>
  <c r="E195" i="10"/>
  <c r="D195" i="10"/>
  <c r="C195" i="10"/>
  <c r="B195" i="10"/>
  <c r="L194" i="10"/>
  <c r="K194" i="10"/>
  <c r="J194" i="10"/>
  <c r="I194" i="10"/>
  <c r="H194" i="10"/>
  <c r="G194" i="10"/>
  <c r="F194" i="10"/>
  <c r="E194" i="10"/>
  <c r="D194" i="10"/>
  <c r="C194" i="10"/>
  <c r="B194" i="10"/>
  <c r="L193" i="10"/>
  <c r="K193" i="10"/>
  <c r="J193" i="10"/>
  <c r="I193" i="10"/>
  <c r="H193" i="10"/>
  <c r="G193" i="10"/>
  <c r="F193" i="10"/>
  <c r="E193" i="10"/>
  <c r="D193" i="10"/>
  <c r="C193" i="10"/>
  <c r="B193" i="10"/>
  <c r="L192" i="10"/>
  <c r="K192" i="10"/>
  <c r="J192" i="10"/>
  <c r="I192" i="10"/>
  <c r="H192" i="10"/>
  <c r="G192" i="10"/>
  <c r="F192" i="10"/>
  <c r="E192" i="10"/>
  <c r="D192" i="10"/>
  <c r="C192" i="10"/>
  <c r="B192" i="10"/>
  <c r="L191" i="10"/>
  <c r="K191" i="10"/>
  <c r="J191" i="10"/>
  <c r="I191" i="10"/>
  <c r="H191" i="10"/>
  <c r="G191" i="10"/>
  <c r="F191" i="10"/>
  <c r="E191" i="10"/>
  <c r="D191" i="10"/>
  <c r="C191" i="10"/>
  <c r="B191" i="10"/>
  <c r="L190" i="10"/>
  <c r="K190" i="10"/>
  <c r="J190" i="10"/>
  <c r="I190" i="10"/>
  <c r="H190" i="10"/>
  <c r="G190" i="10"/>
  <c r="F190" i="10"/>
  <c r="E190" i="10"/>
  <c r="D190" i="10"/>
  <c r="C190" i="10"/>
  <c r="B190" i="10"/>
  <c r="L189" i="10"/>
  <c r="K189" i="10"/>
  <c r="J189" i="10"/>
  <c r="I189" i="10"/>
  <c r="H189" i="10"/>
  <c r="G189" i="10"/>
  <c r="F189" i="10"/>
  <c r="E189" i="10"/>
  <c r="D189" i="10"/>
  <c r="C189" i="10"/>
  <c r="B189" i="10"/>
  <c r="L188" i="10"/>
  <c r="K188" i="10"/>
  <c r="J188" i="10"/>
  <c r="I188" i="10"/>
  <c r="H188" i="10"/>
  <c r="G188" i="10"/>
  <c r="F188" i="10"/>
  <c r="E188" i="10"/>
  <c r="D188" i="10"/>
  <c r="C188" i="10"/>
  <c r="B188" i="10"/>
  <c r="L187" i="10"/>
  <c r="K187" i="10"/>
  <c r="J187" i="10"/>
  <c r="I187" i="10"/>
  <c r="H187" i="10"/>
  <c r="G187" i="10"/>
  <c r="F187" i="10"/>
  <c r="E187" i="10"/>
  <c r="D187" i="10"/>
  <c r="C187" i="10"/>
  <c r="B187" i="10"/>
  <c r="L186" i="10"/>
  <c r="K186" i="10"/>
  <c r="J186" i="10"/>
  <c r="I186" i="10"/>
  <c r="H186" i="10"/>
  <c r="G186" i="10"/>
  <c r="F186" i="10"/>
  <c r="E186" i="10"/>
  <c r="D186" i="10"/>
  <c r="C186" i="10"/>
  <c r="B186" i="10"/>
  <c r="L185" i="10"/>
  <c r="K185" i="10"/>
  <c r="J185" i="10"/>
  <c r="I185" i="10"/>
  <c r="H185" i="10"/>
  <c r="G185" i="10"/>
  <c r="F185" i="10"/>
  <c r="E185" i="10"/>
  <c r="D185" i="10"/>
  <c r="C185" i="10"/>
  <c r="B185" i="10"/>
  <c r="L184" i="10"/>
  <c r="K184" i="10"/>
  <c r="J184" i="10"/>
  <c r="I184" i="10"/>
  <c r="H184" i="10"/>
  <c r="G184" i="10"/>
  <c r="F184" i="10"/>
  <c r="E184" i="10"/>
  <c r="D184" i="10"/>
  <c r="C184" i="10"/>
  <c r="B184" i="10"/>
  <c r="L183" i="10"/>
  <c r="K183" i="10"/>
  <c r="J183" i="10"/>
  <c r="I183" i="10"/>
  <c r="H183" i="10"/>
  <c r="G183" i="10"/>
  <c r="F183" i="10"/>
  <c r="E183" i="10"/>
  <c r="D183" i="10"/>
  <c r="C183" i="10"/>
  <c r="B183" i="10"/>
  <c r="L182" i="10"/>
  <c r="K182" i="10"/>
  <c r="J182" i="10"/>
  <c r="I182" i="10"/>
  <c r="H182" i="10"/>
  <c r="G182" i="10"/>
  <c r="F182" i="10"/>
  <c r="E182" i="10"/>
  <c r="D182" i="10"/>
  <c r="C182" i="10"/>
  <c r="B182" i="10"/>
  <c r="L181" i="10"/>
  <c r="K181" i="10"/>
  <c r="J181" i="10"/>
  <c r="I181" i="10"/>
  <c r="H181" i="10"/>
  <c r="G181" i="10"/>
  <c r="F181" i="10"/>
  <c r="E181" i="10"/>
  <c r="D181" i="10"/>
  <c r="C181" i="10"/>
  <c r="B181" i="10"/>
  <c r="L180" i="10"/>
  <c r="K180" i="10"/>
  <c r="J180" i="10"/>
  <c r="I180" i="10"/>
  <c r="H180" i="10"/>
  <c r="G180" i="10"/>
  <c r="F180" i="10"/>
  <c r="E180" i="10"/>
  <c r="D180" i="10"/>
  <c r="C180" i="10"/>
  <c r="B180" i="10"/>
  <c r="L179" i="10"/>
  <c r="K179" i="10"/>
  <c r="J179" i="10"/>
  <c r="I179" i="10"/>
  <c r="H179" i="10"/>
  <c r="G179" i="10"/>
  <c r="F179" i="10"/>
  <c r="E179" i="10"/>
  <c r="D179" i="10"/>
  <c r="C179" i="10"/>
  <c r="B179" i="10"/>
  <c r="L178" i="10"/>
  <c r="K178" i="10"/>
  <c r="J178" i="10"/>
  <c r="I178" i="10"/>
  <c r="H178" i="10"/>
  <c r="G178" i="10"/>
  <c r="F178" i="10"/>
  <c r="E178" i="10"/>
  <c r="D178" i="10"/>
  <c r="C178" i="10"/>
  <c r="B178" i="10"/>
  <c r="L177" i="10"/>
  <c r="K177" i="10"/>
  <c r="J177" i="10"/>
  <c r="I177" i="10"/>
  <c r="H177" i="10"/>
  <c r="G177" i="10"/>
  <c r="F177" i="10"/>
  <c r="E177" i="10"/>
  <c r="D177" i="10"/>
  <c r="C177" i="10"/>
  <c r="B177" i="10"/>
  <c r="L176" i="10"/>
  <c r="K176" i="10"/>
  <c r="J176" i="10"/>
  <c r="I176" i="10"/>
  <c r="H176" i="10"/>
  <c r="G176" i="10"/>
  <c r="F176" i="10"/>
  <c r="E176" i="10"/>
  <c r="D176" i="10"/>
  <c r="C176" i="10"/>
  <c r="B176" i="10"/>
  <c r="L175" i="10"/>
  <c r="K175" i="10"/>
  <c r="J175" i="10"/>
  <c r="I175" i="10"/>
  <c r="H175" i="10"/>
  <c r="G175" i="10"/>
  <c r="F175" i="10"/>
  <c r="E175" i="10"/>
  <c r="D175" i="10"/>
  <c r="C175" i="10"/>
  <c r="B175" i="10"/>
  <c r="L174" i="10"/>
  <c r="K174" i="10"/>
  <c r="J174" i="10"/>
  <c r="I174" i="10"/>
  <c r="H174" i="10"/>
  <c r="G174" i="10"/>
  <c r="F174" i="10"/>
  <c r="E174" i="10"/>
  <c r="D174" i="10"/>
  <c r="C174" i="10"/>
  <c r="B174" i="10"/>
  <c r="L173" i="10"/>
  <c r="K173" i="10"/>
  <c r="J173" i="10"/>
  <c r="I173" i="10"/>
  <c r="H173" i="10"/>
  <c r="G173" i="10"/>
  <c r="F173" i="10"/>
  <c r="E173" i="10"/>
  <c r="D173" i="10"/>
  <c r="C173" i="10"/>
  <c r="B173" i="10"/>
  <c r="L172" i="10"/>
  <c r="K172" i="10"/>
  <c r="J172" i="10"/>
  <c r="I172" i="10"/>
  <c r="H172" i="10"/>
  <c r="G172" i="10"/>
  <c r="F172" i="10"/>
  <c r="E172" i="10"/>
  <c r="D172" i="10"/>
  <c r="C172" i="10"/>
  <c r="B172" i="10"/>
  <c r="L171" i="10"/>
  <c r="K171" i="10"/>
  <c r="J171" i="10"/>
  <c r="I171" i="10"/>
  <c r="H171" i="10"/>
  <c r="G171" i="10"/>
  <c r="F171" i="10"/>
  <c r="E171" i="10"/>
  <c r="D171" i="10"/>
  <c r="C171" i="10"/>
  <c r="B171" i="10"/>
  <c r="L170" i="10"/>
  <c r="K170" i="10"/>
  <c r="J170" i="10"/>
  <c r="I170" i="10"/>
  <c r="H170" i="10"/>
  <c r="G170" i="10"/>
  <c r="F170" i="10"/>
  <c r="E170" i="10"/>
  <c r="D170" i="10"/>
  <c r="C170" i="10"/>
  <c r="B170" i="10"/>
  <c r="L169" i="10"/>
  <c r="K169" i="10"/>
  <c r="J169" i="10"/>
  <c r="I169" i="10"/>
  <c r="H169" i="10"/>
  <c r="G169" i="10"/>
  <c r="F169" i="10"/>
  <c r="E169" i="10"/>
  <c r="D169" i="10"/>
  <c r="C169" i="10"/>
  <c r="B169" i="10"/>
  <c r="L168" i="10"/>
  <c r="K168" i="10"/>
  <c r="J168" i="10"/>
  <c r="I168" i="10"/>
  <c r="H168" i="10"/>
  <c r="G168" i="10"/>
  <c r="F168" i="10"/>
  <c r="E168" i="10"/>
  <c r="D168" i="10"/>
  <c r="C168" i="10"/>
  <c r="B168" i="10"/>
  <c r="L167" i="10"/>
  <c r="K167" i="10"/>
  <c r="J167" i="10"/>
  <c r="I167" i="10"/>
  <c r="H167" i="10"/>
  <c r="G167" i="10"/>
  <c r="F167" i="10"/>
  <c r="E167" i="10"/>
  <c r="D167" i="10"/>
  <c r="C167" i="10"/>
  <c r="B167" i="10"/>
  <c r="L166" i="10"/>
  <c r="K166" i="10"/>
  <c r="J166" i="10"/>
  <c r="I166" i="10"/>
  <c r="H166" i="10"/>
  <c r="G166" i="10"/>
  <c r="F166" i="10"/>
  <c r="E166" i="10"/>
  <c r="D166" i="10"/>
  <c r="C166" i="10"/>
  <c r="B166" i="10"/>
  <c r="L165" i="10"/>
  <c r="K165" i="10"/>
  <c r="J165" i="10"/>
  <c r="I165" i="10"/>
  <c r="H165" i="10"/>
  <c r="G165" i="10"/>
  <c r="F165" i="10"/>
  <c r="E165" i="10"/>
  <c r="D165" i="10"/>
  <c r="C165" i="10"/>
  <c r="B165" i="10"/>
  <c r="L164" i="10"/>
  <c r="K164" i="10"/>
  <c r="J164" i="10"/>
  <c r="I164" i="10"/>
  <c r="H164" i="10"/>
  <c r="G164" i="10"/>
  <c r="F164" i="10"/>
  <c r="E164" i="10"/>
  <c r="D164" i="10"/>
  <c r="C164" i="10"/>
  <c r="B164" i="10"/>
  <c r="L163" i="10"/>
  <c r="K163" i="10"/>
  <c r="J163" i="10"/>
  <c r="I163" i="10"/>
  <c r="H163" i="10"/>
  <c r="G163" i="10"/>
  <c r="F163" i="10"/>
  <c r="E163" i="10"/>
  <c r="D163" i="10"/>
  <c r="C163" i="10"/>
  <c r="B163" i="10"/>
  <c r="L162" i="10"/>
  <c r="K162" i="10"/>
  <c r="J162" i="10"/>
  <c r="I162" i="10"/>
  <c r="H162" i="10"/>
  <c r="G162" i="10"/>
  <c r="F162" i="10"/>
  <c r="E162" i="10"/>
  <c r="D162" i="10"/>
  <c r="C162" i="10"/>
  <c r="B162" i="10"/>
  <c r="L161" i="10"/>
  <c r="K161" i="10"/>
  <c r="J161" i="10"/>
  <c r="I161" i="10"/>
  <c r="H161" i="10"/>
  <c r="G161" i="10"/>
  <c r="F161" i="10"/>
  <c r="E161" i="10"/>
  <c r="D161" i="10"/>
  <c r="C161" i="10"/>
  <c r="B161" i="10"/>
  <c r="L160" i="10"/>
  <c r="K160" i="10"/>
  <c r="J160" i="10"/>
  <c r="I160" i="10"/>
  <c r="H160" i="10"/>
  <c r="G160" i="10"/>
  <c r="F160" i="10"/>
  <c r="E160" i="10"/>
  <c r="D160" i="10"/>
  <c r="C160" i="10"/>
  <c r="B160" i="10"/>
  <c r="L159" i="10"/>
  <c r="K159" i="10"/>
  <c r="J159" i="10"/>
  <c r="I159" i="10"/>
  <c r="H159" i="10"/>
  <c r="G159" i="10"/>
  <c r="F159" i="10"/>
  <c r="E159" i="10"/>
  <c r="D159" i="10"/>
  <c r="C159" i="10"/>
  <c r="B159" i="10"/>
  <c r="L158" i="10"/>
  <c r="K158" i="10"/>
  <c r="J158" i="10"/>
  <c r="I158" i="10"/>
  <c r="H158" i="10"/>
  <c r="G158" i="10"/>
  <c r="F158" i="10"/>
  <c r="E158" i="10"/>
  <c r="D158" i="10"/>
  <c r="C158" i="10"/>
  <c r="B158" i="10"/>
  <c r="L157" i="10"/>
  <c r="K157" i="10"/>
  <c r="J157" i="10"/>
  <c r="I157" i="10"/>
  <c r="H157" i="10"/>
  <c r="G157" i="10"/>
  <c r="F157" i="10"/>
  <c r="E157" i="10"/>
  <c r="D157" i="10"/>
  <c r="C157" i="10"/>
  <c r="B157" i="10"/>
  <c r="L156" i="10"/>
  <c r="K156" i="10"/>
  <c r="J156" i="10"/>
  <c r="I156" i="10"/>
  <c r="H156" i="10"/>
  <c r="G156" i="10"/>
  <c r="F156" i="10"/>
  <c r="E156" i="10"/>
  <c r="D156" i="10"/>
  <c r="C156" i="10"/>
  <c r="B156" i="10"/>
  <c r="L155" i="10"/>
  <c r="K155" i="10"/>
  <c r="J155" i="10"/>
  <c r="I155" i="10"/>
  <c r="H155" i="10"/>
  <c r="G155" i="10"/>
  <c r="F155" i="10"/>
  <c r="E155" i="10"/>
  <c r="D155" i="10"/>
  <c r="C155" i="10"/>
  <c r="B155" i="10"/>
  <c r="L154" i="10"/>
  <c r="K154" i="10"/>
  <c r="J154" i="10"/>
  <c r="I154" i="10"/>
  <c r="H154" i="10"/>
  <c r="G154" i="10"/>
  <c r="F154" i="10"/>
  <c r="E154" i="10"/>
  <c r="D154" i="10"/>
  <c r="C154" i="10"/>
  <c r="B154" i="10"/>
  <c r="L153" i="10"/>
  <c r="K153" i="10"/>
  <c r="J153" i="10"/>
  <c r="I153" i="10"/>
  <c r="H153" i="10"/>
  <c r="G153" i="10"/>
  <c r="F153" i="10"/>
  <c r="E153" i="10"/>
  <c r="D153" i="10"/>
  <c r="C153" i="10"/>
  <c r="B153" i="10"/>
  <c r="L152" i="10"/>
  <c r="K152" i="10"/>
  <c r="J152" i="10"/>
  <c r="I152" i="10"/>
  <c r="H152" i="10"/>
  <c r="G152" i="10"/>
  <c r="F152" i="10"/>
  <c r="E152" i="10"/>
  <c r="D152" i="10"/>
  <c r="C152" i="10"/>
  <c r="B152" i="10"/>
  <c r="L151" i="10"/>
  <c r="K151" i="10"/>
  <c r="J151" i="10"/>
  <c r="I151" i="10"/>
  <c r="H151" i="10"/>
  <c r="G151" i="10"/>
  <c r="F151" i="10"/>
  <c r="E151" i="10"/>
  <c r="D151" i="10"/>
  <c r="C151" i="10"/>
  <c r="B151" i="10"/>
  <c r="L150" i="10"/>
  <c r="K150" i="10"/>
  <c r="J150" i="10"/>
  <c r="I150" i="10"/>
  <c r="H150" i="10"/>
  <c r="G150" i="10"/>
  <c r="F150" i="10"/>
  <c r="E150" i="10"/>
  <c r="D150" i="10"/>
  <c r="C150" i="10"/>
  <c r="B150" i="10"/>
  <c r="L149" i="10"/>
  <c r="K149" i="10"/>
  <c r="J149" i="10"/>
  <c r="I149" i="10"/>
  <c r="H149" i="10"/>
  <c r="G149" i="10"/>
  <c r="F149" i="10"/>
  <c r="E149" i="10"/>
  <c r="D149" i="10"/>
  <c r="C149" i="10"/>
  <c r="B149" i="10"/>
  <c r="L148" i="10"/>
  <c r="K148" i="10"/>
  <c r="J148" i="10"/>
  <c r="I148" i="10"/>
  <c r="H148" i="10"/>
  <c r="G148" i="10"/>
  <c r="F148" i="10"/>
  <c r="E148" i="10"/>
  <c r="D148" i="10"/>
  <c r="C148" i="10"/>
  <c r="B148" i="10"/>
  <c r="L147" i="10"/>
  <c r="K147" i="10"/>
  <c r="J147" i="10"/>
  <c r="I147" i="10"/>
  <c r="H147" i="10"/>
  <c r="G147" i="10"/>
  <c r="F147" i="10"/>
  <c r="E147" i="10"/>
  <c r="D147" i="10"/>
  <c r="C147" i="10"/>
  <c r="B147" i="10"/>
  <c r="L146" i="10"/>
  <c r="K146" i="10"/>
  <c r="J146" i="10"/>
  <c r="I146" i="10"/>
  <c r="H146" i="10"/>
  <c r="G146" i="10"/>
  <c r="F146" i="10"/>
  <c r="E146" i="10"/>
  <c r="D146" i="10"/>
  <c r="C146" i="10"/>
  <c r="B146" i="10"/>
  <c r="L145" i="10"/>
  <c r="K145" i="10"/>
  <c r="J145" i="10"/>
  <c r="I145" i="10"/>
  <c r="H145" i="10"/>
  <c r="G145" i="10"/>
  <c r="F145" i="10"/>
  <c r="E145" i="10"/>
  <c r="D145" i="10"/>
  <c r="C145" i="10"/>
  <c r="B145" i="10"/>
  <c r="L144" i="10"/>
  <c r="K144" i="10"/>
  <c r="J144" i="10"/>
  <c r="I144" i="10"/>
  <c r="H144" i="10"/>
  <c r="G144" i="10"/>
  <c r="F144" i="10"/>
  <c r="E144" i="10"/>
  <c r="D144" i="10"/>
  <c r="C144" i="10"/>
  <c r="B144" i="10"/>
  <c r="L143" i="10"/>
  <c r="K143" i="10"/>
  <c r="J143" i="10"/>
  <c r="I143" i="10"/>
  <c r="H143" i="10"/>
  <c r="G143" i="10"/>
  <c r="F143" i="10"/>
  <c r="E143" i="10"/>
  <c r="D143" i="10"/>
  <c r="C143" i="10"/>
  <c r="B143" i="10"/>
  <c r="L142" i="10"/>
  <c r="K142" i="10"/>
  <c r="J142" i="10"/>
  <c r="I142" i="10"/>
  <c r="H142" i="10"/>
  <c r="G142" i="10"/>
  <c r="F142" i="10"/>
  <c r="E142" i="10"/>
  <c r="D142" i="10"/>
  <c r="C142" i="10"/>
  <c r="B142" i="10"/>
  <c r="L141" i="10"/>
  <c r="K141" i="10"/>
  <c r="J141" i="10"/>
  <c r="I141" i="10"/>
  <c r="H141" i="10"/>
  <c r="G141" i="10"/>
  <c r="F141" i="10"/>
  <c r="E141" i="10"/>
  <c r="D141" i="10"/>
  <c r="C141" i="10"/>
  <c r="B141" i="10"/>
  <c r="L140" i="10"/>
  <c r="K140" i="10"/>
  <c r="J140" i="10"/>
  <c r="I140" i="10"/>
  <c r="H140" i="10"/>
  <c r="G140" i="10"/>
  <c r="F140" i="10"/>
  <c r="E140" i="10"/>
  <c r="D140" i="10"/>
  <c r="C140" i="10"/>
  <c r="B140" i="10"/>
  <c r="L139" i="10"/>
  <c r="K139" i="10"/>
  <c r="J139" i="10"/>
  <c r="I139" i="10"/>
  <c r="H139" i="10"/>
  <c r="G139" i="10"/>
  <c r="F139" i="10"/>
  <c r="E139" i="10"/>
  <c r="D139" i="10"/>
  <c r="C139" i="10"/>
  <c r="B139" i="10"/>
  <c r="L138" i="10"/>
  <c r="K138" i="10"/>
  <c r="J138" i="10"/>
  <c r="I138" i="10"/>
  <c r="H138" i="10"/>
  <c r="G138" i="10"/>
  <c r="F138" i="10"/>
  <c r="E138" i="10"/>
  <c r="D138" i="10"/>
  <c r="C138" i="10"/>
  <c r="B138" i="10"/>
  <c r="L137" i="10"/>
  <c r="K137" i="10"/>
  <c r="J137" i="10"/>
  <c r="I137" i="10"/>
  <c r="H137" i="10"/>
  <c r="G137" i="10"/>
  <c r="F137" i="10"/>
  <c r="E137" i="10"/>
  <c r="D137" i="10"/>
  <c r="C137" i="10"/>
  <c r="B137" i="10"/>
  <c r="L136" i="10"/>
  <c r="K136" i="10"/>
  <c r="J136" i="10"/>
  <c r="I136" i="10"/>
  <c r="H136" i="10"/>
  <c r="G136" i="10"/>
  <c r="F136" i="10"/>
  <c r="E136" i="10"/>
  <c r="D136" i="10"/>
  <c r="C136" i="10"/>
  <c r="B136" i="10"/>
  <c r="L135" i="10"/>
  <c r="K135" i="10"/>
  <c r="J135" i="10"/>
  <c r="I135" i="10"/>
  <c r="H135" i="10"/>
  <c r="G135" i="10"/>
  <c r="F135" i="10"/>
  <c r="E135" i="10"/>
  <c r="D135" i="10"/>
  <c r="C135" i="10"/>
  <c r="B135" i="10"/>
  <c r="L134" i="10"/>
  <c r="K134" i="10"/>
  <c r="J134" i="10"/>
  <c r="I134" i="10"/>
  <c r="H134" i="10"/>
  <c r="G134" i="10"/>
  <c r="F134" i="10"/>
  <c r="E134" i="10"/>
  <c r="D134" i="10"/>
  <c r="C134" i="10"/>
  <c r="B134" i="10"/>
  <c r="L133" i="10"/>
  <c r="K133" i="10"/>
  <c r="J133" i="10"/>
  <c r="I133" i="10"/>
  <c r="H133" i="10"/>
  <c r="G133" i="10"/>
  <c r="F133" i="10"/>
  <c r="E133" i="10"/>
  <c r="D133" i="10"/>
  <c r="C133" i="10"/>
  <c r="B133" i="10"/>
  <c r="L132" i="10"/>
  <c r="K132" i="10"/>
  <c r="J132" i="10"/>
  <c r="I132" i="10"/>
  <c r="H132" i="10"/>
  <c r="G132" i="10"/>
  <c r="F132" i="10"/>
  <c r="E132" i="10"/>
  <c r="D132" i="10"/>
  <c r="C132" i="10"/>
  <c r="B132" i="10"/>
  <c r="L131" i="10"/>
  <c r="K131" i="10"/>
  <c r="J131" i="10"/>
  <c r="I131" i="10"/>
  <c r="H131" i="10"/>
  <c r="G131" i="10"/>
  <c r="F131" i="10"/>
  <c r="E131" i="10"/>
  <c r="D131" i="10"/>
  <c r="C131" i="10"/>
  <c r="B131" i="10"/>
  <c r="L130" i="10"/>
  <c r="K130" i="10"/>
  <c r="J130" i="10"/>
  <c r="I130" i="10"/>
  <c r="H130" i="10"/>
  <c r="G130" i="10"/>
  <c r="F130" i="10"/>
  <c r="E130" i="10"/>
  <c r="D130" i="10"/>
  <c r="C130" i="10"/>
  <c r="B130" i="10"/>
  <c r="L129" i="10"/>
  <c r="K129" i="10"/>
  <c r="J129" i="10"/>
  <c r="I129" i="10"/>
  <c r="H129" i="10"/>
  <c r="G129" i="10"/>
  <c r="F129" i="10"/>
  <c r="E129" i="10"/>
  <c r="D129" i="10"/>
  <c r="C129" i="10"/>
  <c r="B129" i="10"/>
  <c r="L128" i="10"/>
  <c r="K128" i="10"/>
  <c r="J128" i="10"/>
  <c r="I128" i="10"/>
  <c r="H128" i="10"/>
  <c r="G128" i="10"/>
  <c r="F128" i="10"/>
  <c r="E128" i="10"/>
  <c r="D128" i="10"/>
  <c r="C128" i="10"/>
  <c r="B128" i="10"/>
  <c r="L127" i="10"/>
  <c r="K127" i="10"/>
  <c r="J127" i="10"/>
  <c r="I127" i="10"/>
  <c r="H127" i="10"/>
  <c r="G127" i="10"/>
  <c r="F127" i="10"/>
  <c r="E127" i="10"/>
  <c r="D127" i="10"/>
  <c r="C127" i="10"/>
  <c r="B127" i="10"/>
  <c r="L126" i="10"/>
  <c r="K126" i="10"/>
  <c r="J126" i="10"/>
  <c r="I126" i="10"/>
  <c r="H126" i="10"/>
  <c r="G126" i="10"/>
  <c r="F126" i="10"/>
  <c r="E126" i="10"/>
  <c r="D126" i="10"/>
  <c r="C126" i="10"/>
  <c r="B126" i="10"/>
  <c r="L125" i="10"/>
  <c r="K125" i="10"/>
  <c r="J125" i="10"/>
  <c r="I125" i="10"/>
  <c r="H125" i="10"/>
  <c r="G125" i="10"/>
  <c r="F125" i="10"/>
  <c r="E125" i="10"/>
  <c r="D125" i="10"/>
  <c r="C125" i="10"/>
  <c r="B125" i="10"/>
  <c r="L124" i="10"/>
  <c r="K124" i="10"/>
  <c r="J124" i="10"/>
  <c r="I124" i="10"/>
  <c r="H124" i="10"/>
  <c r="G124" i="10"/>
  <c r="F124" i="10"/>
  <c r="E124" i="10"/>
  <c r="D124" i="10"/>
  <c r="C124" i="10"/>
  <c r="B124" i="10"/>
  <c r="L123" i="10"/>
  <c r="K123" i="10"/>
  <c r="J123" i="10"/>
  <c r="I123" i="10"/>
  <c r="H123" i="10"/>
  <c r="G123" i="10"/>
  <c r="F123" i="10"/>
  <c r="E123" i="10"/>
  <c r="D123" i="10"/>
  <c r="C123" i="10"/>
  <c r="B123" i="10"/>
  <c r="L122" i="10"/>
  <c r="K122" i="10"/>
  <c r="J122" i="10"/>
  <c r="I122" i="10"/>
  <c r="H122" i="10"/>
  <c r="G122" i="10"/>
  <c r="F122" i="10"/>
  <c r="E122" i="10"/>
  <c r="D122" i="10"/>
  <c r="C122" i="10"/>
  <c r="B122" i="10"/>
  <c r="L121" i="10"/>
  <c r="K121" i="10"/>
  <c r="J121" i="10"/>
  <c r="I121" i="10"/>
  <c r="H121" i="10"/>
  <c r="G121" i="10"/>
  <c r="F121" i="10"/>
  <c r="E121" i="10"/>
  <c r="D121" i="10"/>
  <c r="C121" i="10"/>
  <c r="B121" i="10"/>
  <c r="L120" i="10"/>
  <c r="K120" i="10"/>
  <c r="J120" i="10"/>
  <c r="I120" i="10"/>
  <c r="H120" i="10"/>
  <c r="G120" i="10"/>
  <c r="F120" i="10"/>
  <c r="E120" i="10"/>
  <c r="D120" i="10"/>
  <c r="C120" i="10"/>
  <c r="B120" i="10"/>
  <c r="L119" i="10"/>
  <c r="K119" i="10"/>
  <c r="J119" i="10"/>
  <c r="I119" i="10"/>
  <c r="H119" i="10"/>
  <c r="G119" i="10"/>
  <c r="F119" i="10"/>
  <c r="E119" i="10"/>
  <c r="D119" i="10"/>
  <c r="C119" i="10"/>
  <c r="B119" i="10"/>
  <c r="L118" i="10"/>
  <c r="K118" i="10"/>
  <c r="J118" i="10"/>
  <c r="I118" i="10"/>
  <c r="H118" i="10"/>
  <c r="G118" i="10"/>
  <c r="F118" i="10"/>
  <c r="E118" i="10"/>
  <c r="D118" i="10"/>
  <c r="C118" i="10"/>
  <c r="B118" i="10"/>
  <c r="L117" i="10"/>
  <c r="K117" i="10"/>
  <c r="J117" i="10"/>
  <c r="I117" i="10"/>
  <c r="H117" i="10"/>
  <c r="G117" i="10"/>
  <c r="F117" i="10"/>
  <c r="E117" i="10"/>
  <c r="D117" i="10"/>
  <c r="C117" i="10"/>
  <c r="B117" i="10"/>
  <c r="L116" i="10"/>
  <c r="K116" i="10"/>
  <c r="J116" i="10"/>
  <c r="I116" i="10"/>
  <c r="H116" i="10"/>
  <c r="G116" i="10"/>
  <c r="F116" i="10"/>
  <c r="E116" i="10"/>
  <c r="D116" i="10"/>
  <c r="C116" i="10"/>
  <c r="B116" i="10"/>
  <c r="L115" i="10"/>
  <c r="K115" i="10"/>
  <c r="J115" i="10"/>
  <c r="I115" i="10"/>
  <c r="H115" i="10"/>
  <c r="G115" i="10"/>
  <c r="F115" i="10"/>
  <c r="E115" i="10"/>
  <c r="D115" i="10"/>
  <c r="C115" i="10"/>
  <c r="B115" i="10"/>
  <c r="L114" i="10"/>
  <c r="K114" i="10"/>
  <c r="J114" i="10"/>
  <c r="I114" i="10"/>
  <c r="H114" i="10"/>
  <c r="G114" i="10"/>
  <c r="F114" i="10"/>
  <c r="E114" i="10"/>
  <c r="D114" i="10"/>
  <c r="C114" i="10"/>
  <c r="B114" i="10"/>
  <c r="L113" i="10"/>
  <c r="K113" i="10"/>
  <c r="J113" i="10"/>
  <c r="I113" i="10"/>
  <c r="H113" i="10"/>
  <c r="G113" i="10"/>
  <c r="F113" i="10"/>
  <c r="E113" i="10"/>
  <c r="D113" i="10"/>
  <c r="C113" i="10"/>
  <c r="B113" i="10"/>
  <c r="L112" i="10"/>
  <c r="K112" i="10"/>
  <c r="J112" i="10"/>
  <c r="I112" i="10"/>
  <c r="H112" i="10"/>
  <c r="G112" i="10"/>
  <c r="F112" i="10"/>
  <c r="E112" i="10"/>
  <c r="D112" i="10"/>
  <c r="C112" i="10"/>
  <c r="B112" i="10"/>
  <c r="L111" i="10"/>
  <c r="K111" i="10"/>
  <c r="J111" i="10"/>
  <c r="I111" i="10"/>
  <c r="H111" i="10"/>
  <c r="G111" i="10"/>
  <c r="F111" i="10"/>
  <c r="E111" i="10"/>
  <c r="D111" i="10"/>
  <c r="C111" i="10"/>
  <c r="B111" i="10"/>
  <c r="L110" i="10"/>
  <c r="K110" i="10"/>
  <c r="J110" i="10"/>
  <c r="I110" i="10"/>
  <c r="H110" i="10"/>
  <c r="G110" i="10"/>
  <c r="F110" i="10"/>
  <c r="E110" i="10"/>
  <c r="D110" i="10"/>
  <c r="C110" i="10"/>
  <c r="B110" i="10"/>
  <c r="L109" i="10"/>
  <c r="K109" i="10"/>
  <c r="J109" i="10"/>
  <c r="I109" i="10"/>
  <c r="H109" i="10"/>
  <c r="G109" i="10"/>
  <c r="F109" i="10"/>
  <c r="E109" i="10"/>
  <c r="D109" i="10"/>
  <c r="C109" i="10"/>
  <c r="B109" i="10"/>
  <c r="L108" i="10"/>
  <c r="K108" i="10"/>
  <c r="J108" i="10"/>
  <c r="I108" i="10"/>
  <c r="H108" i="10"/>
  <c r="G108" i="10"/>
  <c r="F108" i="10"/>
  <c r="E108" i="10"/>
  <c r="D108" i="10"/>
  <c r="C108" i="10"/>
  <c r="B108" i="10"/>
  <c r="L107" i="10"/>
  <c r="K107" i="10"/>
  <c r="J107" i="10"/>
  <c r="I107" i="10"/>
  <c r="H107" i="10"/>
  <c r="G107" i="10"/>
  <c r="F107" i="10"/>
  <c r="E107" i="10"/>
  <c r="D107" i="10"/>
  <c r="C107" i="10"/>
  <c r="B107" i="10"/>
  <c r="L106" i="10"/>
  <c r="K106" i="10"/>
  <c r="J106" i="10"/>
  <c r="I106" i="10"/>
  <c r="H106" i="10"/>
  <c r="G106" i="10"/>
  <c r="F106" i="10"/>
  <c r="E106" i="10"/>
  <c r="D106" i="10"/>
  <c r="C106" i="10"/>
  <c r="B106" i="10"/>
  <c r="L105" i="10"/>
  <c r="K105" i="10"/>
  <c r="J105" i="10"/>
  <c r="I105" i="10"/>
  <c r="H105" i="10"/>
  <c r="G105" i="10"/>
  <c r="F105" i="10"/>
  <c r="E105" i="10"/>
  <c r="D105" i="10"/>
  <c r="C105" i="10"/>
  <c r="B105" i="10"/>
  <c r="L104" i="10"/>
  <c r="K104" i="10"/>
  <c r="J104" i="10"/>
  <c r="I104" i="10"/>
  <c r="H104" i="10"/>
  <c r="G104" i="10"/>
  <c r="F104" i="10"/>
  <c r="E104" i="10"/>
  <c r="D104" i="10"/>
  <c r="C104" i="10"/>
  <c r="B104" i="10"/>
  <c r="L103" i="10"/>
  <c r="K103" i="10"/>
  <c r="J103" i="10"/>
  <c r="I103" i="10"/>
  <c r="H103" i="10"/>
  <c r="G103" i="10"/>
  <c r="F103" i="10"/>
  <c r="E103" i="10"/>
  <c r="D103" i="10"/>
  <c r="C103" i="10"/>
  <c r="B103" i="10"/>
  <c r="L102" i="10"/>
  <c r="K102" i="10"/>
  <c r="J102" i="10"/>
  <c r="I102" i="10"/>
  <c r="H102" i="10"/>
  <c r="G102" i="10"/>
  <c r="F102" i="10"/>
  <c r="E102" i="10"/>
  <c r="D102" i="10"/>
  <c r="C102" i="10"/>
  <c r="B102" i="10"/>
  <c r="L101" i="10"/>
  <c r="K101" i="10"/>
  <c r="J101" i="10"/>
  <c r="I101" i="10"/>
  <c r="H101" i="10"/>
  <c r="G101" i="10"/>
  <c r="F101" i="10"/>
  <c r="E101" i="10"/>
  <c r="D101" i="10"/>
  <c r="C101" i="10"/>
  <c r="B101" i="10"/>
  <c r="L100" i="10"/>
  <c r="K100" i="10"/>
  <c r="J100" i="10"/>
  <c r="I100" i="10"/>
  <c r="H100" i="10"/>
  <c r="G100" i="10"/>
  <c r="F100" i="10"/>
  <c r="E100" i="10"/>
  <c r="D100" i="10"/>
  <c r="C100" i="10"/>
  <c r="B100" i="10"/>
  <c r="L99" i="10"/>
  <c r="K99" i="10"/>
  <c r="J99" i="10"/>
  <c r="I99" i="10"/>
  <c r="H99" i="10"/>
  <c r="G99" i="10"/>
  <c r="F99" i="10"/>
  <c r="E99" i="10"/>
  <c r="D99" i="10"/>
  <c r="C99" i="10"/>
  <c r="B99" i="10"/>
  <c r="L98" i="10"/>
  <c r="K98" i="10"/>
  <c r="J98" i="10"/>
  <c r="I98" i="10"/>
  <c r="H98" i="10"/>
  <c r="G98" i="10"/>
  <c r="F98" i="10"/>
  <c r="E98" i="10"/>
  <c r="D98" i="10"/>
  <c r="C98" i="10"/>
  <c r="B98" i="10"/>
  <c r="L97" i="10"/>
  <c r="K97" i="10"/>
  <c r="J97" i="10"/>
  <c r="I97" i="10"/>
  <c r="H97" i="10"/>
  <c r="G97" i="10"/>
  <c r="F97" i="10"/>
  <c r="E97" i="10"/>
  <c r="D97" i="10"/>
  <c r="C97" i="10"/>
  <c r="B97" i="10"/>
  <c r="L96" i="10"/>
  <c r="K96" i="10"/>
  <c r="J96" i="10"/>
  <c r="I96" i="10"/>
  <c r="H96" i="10"/>
  <c r="G96" i="10"/>
  <c r="F96" i="10"/>
  <c r="E96" i="10"/>
  <c r="D96" i="10"/>
  <c r="C96" i="10"/>
  <c r="B96" i="10"/>
  <c r="L95" i="10"/>
  <c r="K95" i="10"/>
  <c r="J95" i="10"/>
  <c r="I95" i="10"/>
  <c r="H95" i="10"/>
  <c r="G95" i="10"/>
  <c r="F95" i="10"/>
  <c r="E95" i="10"/>
  <c r="D95" i="10"/>
  <c r="C95" i="10"/>
  <c r="B95" i="10"/>
  <c r="L94" i="10"/>
  <c r="K94" i="10"/>
  <c r="J94" i="10"/>
  <c r="I94" i="10"/>
  <c r="H94" i="10"/>
  <c r="G94" i="10"/>
  <c r="F94" i="10"/>
  <c r="E94" i="10"/>
  <c r="D94" i="10"/>
  <c r="C94" i="10"/>
  <c r="B94" i="10"/>
  <c r="L93" i="10"/>
  <c r="K93" i="10"/>
  <c r="J93" i="10"/>
  <c r="I93" i="10"/>
  <c r="H93" i="10"/>
  <c r="G93" i="10"/>
  <c r="F93" i="10"/>
  <c r="E93" i="10"/>
  <c r="D93" i="10"/>
  <c r="C93" i="10"/>
  <c r="B93" i="10"/>
  <c r="L92" i="10"/>
  <c r="K92" i="10"/>
  <c r="J92" i="10"/>
  <c r="I92" i="10"/>
  <c r="H92" i="10"/>
  <c r="G92" i="10"/>
  <c r="F92" i="10"/>
  <c r="E92" i="10"/>
  <c r="D92" i="10"/>
  <c r="C92" i="10"/>
  <c r="B92" i="10"/>
  <c r="L91" i="10"/>
  <c r="K91" i="10"/>
  <c r="J91" i="10"/>
  <c r="I91" i="10"/>
  <c r="H91" i="10"/>
  <c r="G91" i="10"/>
  <c r="F91" i="10"/>
  <c r="E91" i="10"/>
  <c r="D91" i="10"/>
  <c r="C91" i="10"/>
  <c r="B91" i="10"/>
  <c r="L90" i="10"/>
  <c r="K90" i="10"/>
  <c r="J90" i="10"/>
  <c r="I90" i="10"/>
  <c r="H90" i="10"/>
  <c r="G90" i="10"/>
  <c r="F90" i="10"/>
  <c r="E90" i="10"/>
  <c r="D90" i="10"/>
  <c r="C90" i="10"/>
  <c r="B90" i="10"/>
  <c r="L89" i="10"/>
  <c r="K89" i="10"/>
  <c r="J89" i="10"/>
  <c r="I89" i="10"/>
  <c r="H89" i="10"/>
  <c r="G89" i="10"/>
  <c r="F89" i="10"/>
  <c r="E89" i="10"/>
  <c r="D89" i="10"/>
  <c r="C89" i="10"/>
  <c r="B89" i="10"/>
  <c r="L88" i="10"/>
  <c r="K88" i="10"/>
  <c r="J88" i="10"/>
  <c r="I88" i="10"/>
  <c r="H88" i="10"/>
  <c r="G88" i="10"/>
  <c r="F88" i="10"/>
  <c r="E88" i="10"/>
  <c r="D88" i="10"/>
  <c r="C88" i="10"/>
  <c r="B88" i="10"/>
  <c r="L87" i="10"/>
  <c r="K87" i="10"/>
  <c r="J87" i="10"/>
  <c r="I87" i="10"/>
  <c r="H87" i="10"/>
  <c r="G87" i="10"/>
  <c r="F87" i="10"/>
  <c r="E87" i="10"/>
  <c r="D87" i="10"/>
  <c r="C87" i="10"/>
  <c r="B87" i="10"/>
  <c r="L86" i="10"/>
  <c r="K86" i="10"/>
  <c r="J86" i="10"/>
  <c r="I86" i="10"/>
  <c r="H86" i="10"/>
  <c r="G86" i="10"/>
  <c r="F86" i="10"/>
  <c r="E86" i="10"/>
  <c r="D86" i="10"/>
  <c r="C86" i="10"/>
  <c r="B86" i="10"/>
  <c r="L85" i="10"/>
  <c r="K85" i="10"/>
  <c r="J85" i="10"/>
  <c r="I85" i="10"/>
  <c r="H85" i="10"/>
  <c r="G85" i="10"/>
  <c r="F85" i="10"/>
  <c r="E85" i="10"/>
  <c r="D85" i="10"/>
  <c r="C85" i="10"/>
  <c r="B85" i="10"/>
  <c r="L84" i="10"/>
  <c r="K84" i="10"/>
  <c r="J84" i="10"/>
  <c r="I84" i="10"/>
  <c r="H84" i="10"/>
  <c r="G84" i="10"/>
  <c r="F84" i="10"/>
  <c r="E84" i="10"/>
  <c r="D84" i="10"/>
  <c r="C84" i="10"/>
  <c r="B84" i="10"/>
  <c r="L83" i="10"/>
  <c r="K83" i="10"/>
  <c r="J83" i="10"/>
  <c r="I83" i="10"/>
  <c r="H83" i="10"/>
  <c r="G83" i="10"/>
  <c r="F83" i="10"/>
  <c r="E83" i="10"/>
  <c r="D83" i="10"/>
  <c r="C83" i="10"/>
  <c r="B83" i="10"/>
  <c r="L82" i="10"/>
  <c r="K82" i="10"/>
  <c r="J82" i="10"/>
  <c r="I82" i="10"/>
  <c r="H82" i="10"/>
  <c r="G82" i="10"/>
  <c r="F82" i="10"/>
  <c r="E82" i="10"/>
  <c r="D82" i="10"/>
  <c r="C82" i="10"/>
  <c r="B82" i="10"/>
  <c r="L81" i="10"/>
  <c r="K81" i="10"/>
  <c r="J81" i="10"/>
  <c r="I81" i="10"/>
  <c r="H81" i="10"/>
  <c r="G81" i="10"/>
  <c r="F81" i="10"/>
  <c r="E81" i="10"/>
  <c r="D81" i="10"/>
  <c r="C81" i="10"/>
  <c r="B81" i="10"/>
  <c r="L80" i="10"/>
  <c r="K80" i="10"/>
  <c r="J80" i="10"/>
  <c r="I80" i="10"/>
  <c r="H80" i="10"/>
  <c r="G80" i="10"/>
  <c r="F80" i="10"/>
  <c r="E80" i="10"/>
  <c r="D80" i="10"/>
  <c r="C80" i="10"/>
  <c r="B80" i="10"/>
  <c r="L79" i="10"/>
  <c r="K79" i="10"/>
  <c r="J79" i="10"/>
  <c r="I79" i="10"/>
  <c r="H79" i="10"/>
  <c r="G79" i="10"/>
  <c r="F79" i="10"/>
  <c r="E79" i="10"/>
  <c r="D79" i="10"/>
  <c r="C79" i="10"/>
  <c r="B79" i="10"/>
  <c r="L78" i="10"/>
  <c r="K78" i="10"/>
  <c r="J78" i="10"/>
  <c r="I78" i="10"/>
  <c r="H78" i="10"/>
  <c r="G78" i="10"/>
  <c r="F78" i="10"/>
  <c r="E78" i="10"/>
  <c r="D78" i="10"/>
  <c r="C78" i="10"/>
  <c r="B78" i="10"/>
  <c r="L77" i="10"/>
  <c r="K77" i="10"/>
  <c r="J77" i="10"/>
  <c r="I77" i="10"/>
  <c r="H77" i="10"/>
  <c r="G77" i="10"/>
  <c r="F77" i="10"/>
  <c r="E77" i="10"/>
  <c r="D77" i="10"/>
  <c r="C77" i="10"/>
  <c r="B77" i="10"/>
  <c r="L76" i="10"/>
  <c r="K76" i="10"/>
  <c r="J76" i="10"/>
  <c r="I76" i="10"/>
  <c r="H76" i="10"/>
  <c r="G76" i="10"/>
  <c r="F76" i="10"/>
  <c r="E76" i="10"/>
  <c r="D76" i="10"/>
  <c r="C76" i="10"/>
  <c r="B76" i="10"/>
  <c r="L75" i="10"/>
  <c r="K75" i="10"/>
  <c r="J75" i="10"/>
  <c r="I75" i="10"/>
  <c r="H75" i="10"/>
  <c r="G75" i="10"/>
  <c r="F75" i="10"/>
  <c r="E75" i="10"/>
  <c r="D75" i="10"/>
  <c r="C75" i="10"/>
  <c r="B75" i="10"/>
  <c r="L74" i="10"/>
  <c r="K74" i="10"/>
  <c r="J74" i="10"/>
  <c r="I74" i="10"/>
  <c r="H74" i="10"/>
  <c r="G74" i="10"/>
  <c r="F74" i="10"/>
  <c r="E74" i="10"/>
  <c r="D74" i="10"/>
  <c r="C74" i="10"/>
  <c r="B74" i="10"/>
  <c r="L73" i="10"/>
  <c r="K73" i="10"/>
  <c r="J73" i="10"/>
  <c r="I73" i="10"/>
  <c r="H73" i="10"/>
  <c r="G73" i="10"/>
  <c r="F73" i="10"/>
  <c r="E73" i="10"/>
  <c r="D73" i="10"/>
  <c r="C73" i="10"/>
  <c r="B73" i="10"/>
  <c r="L72" i="10"/>
  <c r="K72" i="10"/>
  <c r="J72" i="10"/>
  <c r="I72" i="10"/>
  <c r="H72" i="10"/>
  <c r="G72" i="10"/>
  <c r="F72" i="10"/>
  <c r="E72" i="10"/>
  <c r="D72" i="10"/>
  <c r="C72" i="10"/>
  <c r="B72" i="10"/>
  <c r="L71" i="10"/>
  <c r="K71" i="10"/>
  <c r="J71" i="10"/>
  <c r="I71" i="10"/>
  <c r="H71" i="10"/>
  <c r="G71" i="10"/>
  <c r="F71" i="10"/>
  <c r="E71" i="10"/>
  <c r="D71" i="10"/>
  <c r="C71" i="10"/>
  <c r="B71" i="10"/>
  <c r="L70" i="10"/>
  <c r="K70" i="10"/>
  <c r="J70" i="10"/>
  <c r="I70" i="10"/>
  <c r="H70" i="10"/>
  <c r="G70" i="10"/>
  <c r="F70" i="10"/>
  <c r="E70" i="10"/>
  <c r="D70" i="10"/>
  <c r="C70" i="10"/>
  <c r="B70" i="10"/>
  <c r="L69" i="10"/>
  <c r="K69" i="10"/>
  <c r="J69" i="10"/>
  <c r="I69" i="10"/>
  <c r="H69" i="10"/>
  <c r="G69" i="10"/>
  <c r="F69" i="10"/>
  <c r="E69" i="10"/>
  <c r="D69" i="10"/>
  <c r="C69" i="10"/>
  <c r="B69" i="10"/>
  <c r="L68" i="10"/>
  <c r="K68" i="10"/>
  <c r="J68" i="10"/>
  <c r="I68" i="10"/>
  <c r="H68" i="10"/>
  <c r="G68" i="10"/>
  <c r="F68" i="10"/>
  <c r="E68" i="10"/>
  <c r="D68" i="10"/>
  <c r="C68" i="10"/>
  <c r="B68" i="10"/>
  <c r="L67" i="10"/>
  <c r="K67" i="10"/>
  <c r="J67" i="10"/>
  <c r="I67" i="10"/>
  <c r="H67" i="10"/>
  <c r="G67" i="10"/>
  <c r="F67" i="10"/>
  <c r="E67" i="10"/>
  <c r="D67" i="10"/>
  <c r="C67" i="10"/>
  <c r="B67" i="10"/>
  <c r="L66" i="10"/>
  <c r="K66" i="10"/>
  <c r="J66" i="10"/>
  <c r="I66" i="10"/>
  <c r="H66" i="10"/>
  <c r="G66" i="10"/>
  <c r="F66" i="10"/>
  <c r="E66" i="10"/>
  <c r="D66" i="10"/>
  <c r="C66" i="10"/>
  <c r="B66" i="10"/>
  <c r="L65" i="10"/>
  <c r="K65" i="10"/>
  <c r="J65" i="10"/>
  <c r="I65" i="10"/>
  <c r="H65" i="10"/>
  <c r="G65" i="10"/>
  <c r="F65" i="10"/>
  <c r="E65" i="10"/>
  <c r="D65" i="10"/>
  <c r="C65" i="10"/>
  <c r="B65" i="10"/>
  <c r="L64" i="10"/>
  <c r="K64" i="10"/>
  <c r="J64" i="10"/>
  <c r="I64" i="10"/>
  <c r="H64" i="10"/>
  <c r="G64" i="10"/>
  <c r="F64" i="10"/>
  <c r="E64" i="10"/>
  <c r="D64" i="10"/>
  <c r="C64" i="10"/>
  <c r="B64" i="10"/>
  <c r="L63" i="10"/>
  <c r="K63" i="10"/>
  <c r="J63" i="10"/>
  <c r="I63" i="10"/>
  <c r="H63" i="10"/>
  <c r="G63" i="10"/>
  <c r="F63" i="10"/>
  <c r="E63" i="10"/>
  <c r="D63" i="10"/>
  <c r="C63" i="10"/>
  <c r="B63" i="10"/>
  <c r="L62" i="10"/>
  <c r="K62" i="10"/>
  <c r="J62" i="10"/>
  <c r="I62" i="10"/>
  <c r="H62" i="10"/>
  <c r="G62" i="10"/>
  <c r="F62" i="10"/>
  <c r="E62" i="10"/>
  <c r="D62" i="10"/>
  <c r="C62" i="10"/>
  <c r="B62" i="10"/>
  <c r="L61" i="10"/>
  <c r="K61" i="10"/>
  <c r="J61" i="10"/>
  <c r="I61" i="10"/>
  <c r="H61" i="10"/>
  <c r="G61" i="10"/>
  <c r="F61" i="10"/>
  <c r="E61" i="10"/>
  <c r="D61" i="10"/>
  <c r="C61" i="10"/>
  <c r="B61" i="10"/>
  <c r="L60" i="10"/>
  <c r="K60" i="10"/>
  <c r="J60" i="10"/>
  <c r="I60" i="10"/>
  <c r="H60" i="10"/>
  <c r="G60" i="10"/>
  <c r="F60" i="10"/>
  <c r="E60" i="10"/>
  <c r="D60" i="10"/>
  <c r="C60" i="10"/>
  <c r="B60" i="10"/>
  <c r="L59" i="10"/>
  <c r="K59" i="10"/>
  <c r="J59" i="10"/>
  <c r="I59" i="10"/>
  <c r="H59" i="10"/>
  <c r="G59" i="10"/>
  <c r="F59" i="10"/>
  <c r="E59" i="10"/>
  <c r="D59" i="10"/>
  <c r="C59" i="10"/>
  <c r="B59" i="10"/>
  <c r="L58" i="10"/>
  <c r="K58" i="10"/>
  <c r="J58" i="10"/>
  <c r="I58" i="10"/>
  <c r="H58" i="10"/>
  <c r="G58" i="10"/>
  <c r="F58" i="10"/>
  <c r="E58" i="10"/>
  <c r="D58" i="10"/>
  <c r="C58" i="10"/>
  <c r="B58" i="10"/>
  <c r="L57" i="10"/>
  <c r="K57" i="10"/>
  <c r="J57" i="10"/>
  <c r="I57" i="10"/>
  <c r="H57" i="10"/>
  <c r="G57" i="10"/>
  <c r="F57" i="10"/>
  <c r="E57" i="10"/>
  <c r="D57" i="10"/>
  <c r="C57" i="10"/>
  <c r="B57" i="10"/>
  <c r="L56" i="10"/>
  <c r="K56" i="10"/>
  <c r="J56" i="10"/>
  <c r="I56" i="10"/>
  <c r="H56" i="10"/>
  <c r="G56" i="10"/>
  <c r="F56" i="10"/>
  <c r="E56" i="10"/>
  <c r="D56" i="10"/>
  <c r="C56" i="10"/>
  <c r="B56" i="10"/>
  <c r="L55" i="10"/>
  <c r="K55" i="10"/>
  <c r="J55" i="10"/>
  <c r="I55" i="10"/>
  <c r="H55" i="10"/>
  <c r="G55" i="10"/>
  <c r="F55" i="10"/>
  <c r="E55" i="10"/>
  <c r="D55" i="10"/>
  <c r="C55" i="10"/>
  <c r="B55" i="10"/>
  <c r="L54" i="10"/>
  <c r="K54" i="10"/>
  <c r="J54" i="10"/>
  <c r="I54" i="10"/>
  <c r="H54" i="10"/>
  <c r="G54" i="10"/>
  <c r="F54" i="10"/>
  <c r="E54" i="10"/>
  <c r="D54" i="10"/>
  <c r="C54" i="10"/>
  <c r="B54" i="10"/>
  <c r="L53" i="10"/>
  <c r="K53" i="10"/>
  <c r="J53" i="10"/>
  <c r="I53" i="10"/>
  <c r="H53" i="10"/>
  <c r="G53" i="10"/>
  <c r="F53" i="10"/>
  <c r="E53" i="10"/>
  <c r="D53" i="10"/>
  <c r="C53" i="10"/>
  <c r="B53" i="10"/>
  <c r="L52" i="10"/>
  <c r="K52" i="10"/>
  <c r="J52" i="10"/>
  <c r="I52" i="10"/>
  <c r="H52" i="10"/>
  <c r="G52" i="10"/>
  <c r="F52" i="10"/>
  <c r="E52" i="10"/>
  <c r="D52" i="10"/>
  <c r="C52" i="10"/>
  <c r="B52" i="10"/>
  <c r="L51" i="10"/>
  <c r="K51" i="10"/>
  <c r="J51" i="10"/>
  <c r="I51" i="10"/>
  <c r="H51" i="10"/>
  <c r="G51" i="10"/>
  <c r="F51" i="10"/>
  <c r="E51" i="10"/>
  <c r="D51" i="10"/>
  <c r="C51" i="10"/>
  <c r="B51" i="10"/>
  <c r="L50" i="10"/>
  <c r="K50" i="10"/>
  <c r="J50" i="10"/>
  <c r="I50" i="10"/>
  <c r="H50" i="10"/>
  <c r="G50" i="10"/>
  <c r="F50" i="10"/>
  <c r="E50" i="10"/>
  <c r="D50" i="10"/>
  <c r="C50" i="10"/>
  <c r="B50" i="10"/>
  <c r="L49" i="10"/>
  <c r="K49" i="10"/>
  <c r="J49" i="10"/>
  <c r="I49" i="10"/>
  <c r="H49" i="10"/>
  <c r="G49" i="10"/>
  <c r="F49" i="10"/>
  <c r="E49" i="10"/>
  <c r="D49" i="10"/>
  <c r="C49" i="10"/>
  <c r="B49" i="10"/>
  <c r="L48" i="10"/>
  <c r="K48" i="10"/>
  <c r="J48" i="10"/>
  <c r="I48" i="10"/>
  <c r="H48" i="10"/>
  <c r="G48" i="10"/>
  <c r="F48" i="10"/>
  <c r="E48" i="10"/>
  <c r="D48" i="10"/>
  <c r="C48" i="10"/>
  <c r="B48" i="10"/>
  <c r="L47" i="10"/>
  <c r="K47" i="10"/>
  <c r="J47" i="10"/>
  <c r="I47" i="10"/>
  <c r="H47" i="10"/>
  <c r="G47" i="10"/>
  <c r="F47" i="10"/>
  <c r="E47" i="10"/>
  <c r="D47" i="10"/>
  <c r="C47" i="10"/>
  <c r="B47" i="10"/>
  <c r="L46" i="10"/>
  <c r="K46" i="10"/>
  <c r="J46" i="10"/>
  <c r="I46" i="10"/>
  <c r="H46" i="10"/>
  <c r="G46" i="10"/>
  <c r="F46" i="10"/>
  <c r="E46" i="10"/>
  <c r="D46" i="10"/>
  <c r="C46" i="10"/>
  <c r="B46" i="10"/>
  <c r="L45" i="10"/>
  <c r="K45" i="10"/>
  <c r="J45" i="10"/>
  <c r="I45" i="10"/>
  <c r="H45" i="10"/>
  <c r="G45" i="10"/>
  <c r="F45" i="10"/>
  <c r="E45" i="10"/>
  <c r="D45" i="10"/>
  <c r="C45" i="10"/>
  <c r="B45" i="10"/>
  <c r="L44" i="10"/>
  <c r="K44" i="10"/>
  <c r="J44" i="10"/>
  <c r="I44" i="10"/>
  <c r="H44" i="10"/>
  <c r="G44" i="10"/>
  <c r="F44" i="10"/>
  <c r="E44" i="10"/>
  <c r="D44" i="10"/>
  <c r="C44" i="10"/>
  <c r="B44" i="10"/>
  <c r="L43" i="10"/>
  <c r="K43" i="10"/>
  <c r="J43" i="10"/>
  <c r="I43" i="10"/>
  <c r="H43" i="10"/>
  <c r="G43" i="10"/>
  <c r="F43" i="10"/>
  <c r="E43" i="10"/>
  <c r="D43" i="10"/>
  <c r="C43" i="10"/>
  <c r="B43" i="10"/>
  <c r="L42" i="10"/>
  <c r="K42" i="10"/>
  <c r="J42" i="10"/>
  <c r="I42" i="10"/>
  <c r="H42" i="10"/>
  <c r="G42" i="10"/>
  <c r="F42" i="10"/>
  <c r="E42" i="10"/>
  <c r="D42" i="10"/>
  <c r="C42" i="10"/>
  <c r="B42" i="10"/>
  <c r="L41" i="10"/>
  <c r="K41" i="10"/>
  <c r="J41" i="10"/>
  <c r="I41" i="10"/>
  <c r="H41" i="10"/>
  <c r="G41" i="10"/>
  <c r="F41" i="10"/>
  <c r="E41" i="10"/>
  <c r="D41" i="10"/>
  <c r="C41" i="10"/>
  <c r="B41" i="10"/>
  <c r="L40" i="10"/>
  <c r="K40" i="10"/>
  <c r="J40" i="10"/>
  <c r="I40" i="10"/>
  <c r="H40" i="10"/>
  <c r="G40" i="10"/>
  <c r="F40" i="10"/>
  <c r="E40" i="10"/>
  <c r="D40" i="10"/>
  <c r="C40" i="10"/>
  <c r="B40" i="10"/>
  <c r="L39" i="10"/>
  <c r="K39" i="10"/>
  <c r="J39" i="10"/>
  <c r="I39" i="10"/>
  <c r="H39" i="10"/>
  <c r="G39" i="10"/>
  <c r="F39" i="10"/>
  <c r="E39" i="10"/>
  <c r="D39" i="10"/>
  <c r="C39" i="10"/>
  <c r="B39" i="10"/>
  <c r="L38" i="10"/>
  <c r="K38" i="10"/>
  <c r="J38" i="10"/>
  <c r="I38" i="10"/>
  <c r="H38" i="10"/>
  <c r="G38" i="10"/>
  <c r="F38" i="10"/>
  <c r="E38" i="10"/>
  <c r="D38" i="10"/>
  <c r="C38" i="10"/>
  <c r="B38" i="10"/>
  <c r="L37" i="10"/>
  <c r="K37" i="10"/>
  <c r="J37" i="10"/>
  <c r="I37" i="10"/>
  <c r="H37" i="10"/>
  <c r="G37" i="10"/>
  <c r="F37" i="10"/>
  <c r="E37" i="10"/>
  <c r="D37" i="10"/>
  <c r="C37" i="10"/>
  <c r="B37" i="10"/>
  <c r="L36" i="10"/>
  <c r="K36" i="10"/>
  <c r="J36" i="10"/>
  <c r="I36" i="10"/>
  <c r="H36" i="10"/>
  <c r="G36" i="10"/>
  <c r="F36" i="10"/>
  <c r="E36" i="10"/>
  <c r="D36" i="10"/>
  <c r="C36" i="10"/>
  <c r="B36" i="10"/>
  <c r="L35" i="10"/>
  <c r="K35" i="10"/>
  <c r="J35" i="10"/>
  <c r="I35" i="10"/>
  <c r="H35" i="10"/>
  <c r="G35" i="10"/>
  <c r="F35" i="10"/>
  <c r="E35" i="10"/>
  <c r="D35" i="10"/>
  <c r="C35" i="10"/>
  <c r="B35" i="10"/>
  <c r="L34" i="10"/>
  <c r="K34" i="10"/>
  <c r="J34" i="10"/>
  <c r="I34" i="10"/>
  <c r="H34" i="10"/>
  <c r="G34" i="10"/>
  <c r="F34" i="10"/>
  <c r="E34" i="10"/>
  <c r="D34" i="10"/>
  <c r="C34" i="10"/>
  <c r="B34" i="10"/>
  <c r="L33" i="10"/>
  <c r="K33" i="10"/>
  <c r="J33" i="10"/>
  <c r="I33" i="10"/>
  <c r="H33" i="10"/>
  <c r="G33" i="10"/>
  <c r="F33" i="10"/>
  <c r="E33" i="10"/>
  <c r="D33" i="10"/>
  <c r="C33" i="10"/>
  <c r="B33" i="10"/>
  <c r="L32" i="10"/>
  <c r="K32" i="10"/>
  <c r="J32" i="10"/>
  <c r="I32" i="10"/>
  <c r="H32" i="10"/>
  <c r="G32" i="10"/>
  <c r="F32" i="10"/>
  <c r="E32" i="10"/>
  <c r="D32" i="10"/>
  <c r="C32" i="10"/>
  <c r="B32" i="10"/>
  <c r="L31" i="10"/>
  <c r="K31" i="10"/>
  <c r="J31" i="10"/>
  <c r="I31" i="10"/>
  <c r="H31" i="10"/>
  <c r="G31" i="10"/>
  <c r="F31" i="10"/>
  <c r="E31" i="10"/>
  <c r="D31" i="10"/>
  <c r="C31" i="10"/>
  <c r="B31" i="10"/>
  <c r="L30" i="10"/>
  <c r="K30" i="10"/>
  <c r="J30" i="10"/>
  <c r="I30" i="10"/>
  <c r="H30" i="10"/>
  <c r="G30" i="10"/>
  <c r="F30" i="10"/>
  <c r="E30" i="10"/>
  <c r="D30" i="10"/>
  <c r="C30" i="10"/>
  <c r="B30" i="10"/>
  <c r="L29" i="10"/>
  <c r="K29" i="10"/>
  <c r="J29" i="10"/>
  <c r="I29" i="10"/>
  <c r="H29" i="10"/>
  <c r="G29" i="10"/>
  <c r="F29" i="10"/>
  <c r="E29" i="10"/>
  <c r="D29" i="10"/>
  <c r="C29" i="10"/>
  <c r="B29" i="10"/>
  <c r="L28" i="10"/>
  <c r="K28" i="10"/>
  <c r="J28" i="10"/>
  <c r="I28" i="10"/>
  <c r="H28" i="10"/>
  <c r="G28" i="10"/>
  <c r="F28" i="10"/>
  <c r="E28" i="10"/>
  <c r="D28" i="10"/>
  <c r="C28" i="10"/>
  <c r="B28" i="10"/>
  <c r="L27" i="10"/>
  <c r="K27" i="10"/>
  <c r="J27" i="10"/>
  <c r="I27" i="10"/>
  <c r="H27" i="10"/>
  <c r="G27" i="10"/>
  <c r="F27" i="10"/>
  <c r="E27" i="10"/>
  <c r="D27" i="10"/>
  <c r="C27" i="10"/>
  <c r="B27" i="10"/>
  <c r="L26" i="10"/>
  <c r="K26" i="10"/>
  <c r="J26" i="10"/>
  <c r="I26" i="10"/>
  <c r="H26" i="10"/>
  <c r="G26" i="10"/>
  <c r="F26" i="10"/>
  <c r="E26" i="10"/>
  <c r="D26" i="10"/>
  <c r="C26" i="10"/>
  <c r="B26" i="10"/>
  <c r="L25" i="10"/>
  <c r="K25" i="10"/>
  <c r="J25" i="10"/>
  <c r="I25" i="10"/>
  <c r="H25" i="10"/>
  <c r="G25" i="10"/>
  <c r="F25" i="10"/>
  <c r="E25" i="10"/>
  <c r="D25" i="10"/>
  <c r="C25" i="10"/>
  <c r="B25" i="10"/>
  <c r="L24" i="10"/>
  <c r="K24" i="10"/>
  <c r="J24" i="10"/>
  <c r="I24" i="10"/>
  <c r="H24" i="10"/>
  <c r="G24" i="10"/>
  <c r="F24" i="10"/>
  <c r="E24" i="10"/>
  <c r="D24" i="10"/>
  <c r="C24" i="10"/>
  <c r="B24" i="10"/>
  <c r="L23" i="10"/>
  <c r="K23" i="10"/>
  <c r="J23" i="10"/>
  <c r="I23" i="10"/>
  <c r="H23" i="10"/>
  <c r="G23" i="10"/>
  <c r="F23" i="10"/>
  <c r="E23" i="10"/>
  <c r="D23" i="10"/>
  <c r="C23" i="10"/>
  <c r="B23" i="10"/>
  <c r="L22" i="10"/>
  <c r="K22" i="10"/>
  <c r="J22" i="10"/>
  <c r="I22" i="10"/>
  <c r="H22" i="10"/>
  <c r="G22" i="10"/>
  <c r="F22" i="10"/>
  <c r="E22" i="10"/>
  <c r="D22" i="10"/>
  <c r="C22" i="10"/>
  <c r="B22" i="10"/>
  <c r="L21" i="10"/>
  <c r="K21" i="10"/>
  <c r="J21" i="10"/>
  <c r="I21" i="10"/>
  <c r="H21" i="10"/>
  <c r="G21" i="10"/>
  <c r="F21" i="10"/>
  <c r="E21" i="10"/>
  <c r="D21" i="10"/>
  <c r="C21" i="10"/>
  <c r="B21" i="10"/>
  <c r="L20" i="10"/>
  <c r="K20" i="10"/>
  <c r="J20" i="10"/>
  <c r="I20" i="10"/>
  <c r="H20" i="10"/>
  <c r="G20" i="10"/>
  <c r="F20" i="10"/>
  <c r="E20" i="10"/>
  <c r="D20" i="10"/>
  <c r="C20" i="10"/>
  <c r="B20" i="10"/>
  <c r="L19" i="10"/>
  <c r="K19" i="10"/>
  <c r="J19" i="10"/>
  <c r="I19" i="10"/>
  <c r="H19" i="10"/>
  <c r="G19" i="10"/>
  <c r="F19" i="10"/>
  <c r="E19" i="10"/>
  <c r="D19" i="10"/>
  <c r="C19" i="10"/>
  <c r="B19" i="10"/>
  <c r="L18" i="10"/>
  <c r="K18" i="10"/>
  <c r="J18" i="10"/>
  <c r="I18" i="10"/>
  <c r="H18" i="10"/>
  <c r="G18" i="10"/>
  <c r="F18" i="10"/>
  <c r="E18" i="10"/>
  <c r="D18" i="10"/>
  <c r="C18" i="10"/>
  <c r="B18" i="10"/>
  <c r="L17" i="10"/>
  <c r="K17" i="10"/>
  <c r="J17" i="10"/>
  <c r="I17" i="10"/>
  <c r="H17" i="10"/>
  <c r="G17" i="10"/>
  <c r="F17" i="10"/>
  <c r="E17" i="10"/>
  <c r="D17" i="10"/>
  <c r="C17" i="10"/>
  <c r="B17" i="10"/>
  <c r="L16" i="10"/>
  <c r="K16" i="10"/>
  <c r="J16" i="10"/>
  <c r="I16" i="10"/>
  <c r="H16" i="10"/>
  <c r="G16" i="10"/>
  <c r="F16" i="10"/>
  <c r="E16" i="10"/>
  <c r="D16" i="10"/>
  <c r="C16" i="10"/>
  <c r="B16" i="10"/>
  <c r="L15" i="10"/>
  <c r="K15" i="10"/>
  <c r="J15" i="10"/>
  <c r="I15" i="10"/>
  <c r="H15" i="10"/>
  <c r="G15" i="10"/>
  <c r="F15" i="10"/>
  <c r="E15" i="10"/>
  <c r="D15" i="10"/>
  <c r="C15" i="10"/>
  <c r="B15" i="10"/>
  <c r="L14" i="10"/>
  <c r="K14" i="10"/>
  <c r="J14" i="10"/>
  <c r="I14" i="10"/>
  <c r="H14" i="10"/>
  <c r="G14" i="10"/>
  <c r="F14" i="10"/>
  <c r="E14" i="10"/>
  <c r="D14" i="10"/>
  <c r="C14" i="10"/>
  <c r="B14" i="10"/>
  <c r="L13" i="10"/>
  <c r="K13" i="10"/>
  <c r="J13" i="10"/>
  <c r="I13" i="10"/>
  <c r="H13" i="10"/>
  <c r="G13" i="10"/>
  <c r="F13" i="10"/>
  <c r="E13" i="10"/>
  <c r="D13" i="10"/>
  <c r="C13" i="10"/>
  <c r="B13" i="10"/>
  <c r="L12" i="10"/>
  <c r="K12" i="10"/>
  <c r="J12" i="10"/>
  <c r="I12" i="10"/>
  <c r="H12" i="10"/>
  <c r="G12" i="10"/>
  <c r="F12" i="10"/>
  <c r="E12" i="10"/>
  <c r="D12" i="10"/>
  <c r="C12" i="10"/>
  <c r="B12" i="10"/>
  <c r="L11" i="10"/>
  <c r="K11" i="10"/>
  <c r="J11" i="10"/>
  <c r="I11" i="10"/>
  <c r="H11" i="10"/>
  <c r="G11" i="10"/>
  <c r="F11" i="10"/>
  <c r="E11" i="10"/>
  <c r="D11" i="10"/>
  <c r="C11" i="10"/>
  <c r="B11" i="10"/>
  <c r="L10" i="10"/>
  <c r="K10" i="10"/>
  <c r="J10" i="10"/>
  <c r="I10" i="10"/>
  <c r="H10" i="10"/>
  <c r="G10" i="10"/>
  <c r="F10" i="10"/>
  <c r="E10" i="10"/>
  <c r="D10" i="10"/>
  <c r="C10" i="10"/>
  <c r="B10" i="10"/>
  <c r="L9" i="10"/>
  <c r="K9" i="10"/>
  <c r="J9" i="10"/>
  <c r="I9" i="10"/>
  <c r="H9" i="10"/>
  <c r="G9" i="10"/>
  <c r="F9" i="10"/>
  <c r="E9" i="10"/>
  <c r="D9" i="10"/>
  <c r="C9" i="10"/>
  <c r="B9" i="10"/>
  <c r="L8" i="10"/>
  <c r="K8" i="10"/>
  <c r="J8" i="10"/>
  <c r="I8" i="10"/>
  <c r="H8" i="10"/>
  <c r="G8" i="10"/>
  <c r="F8" i="10"/>
  <c r="E8" i="10"/>
  <c r="D8" i="10"/>
  <c r="C8" i="10"/>
  <c r="B8" i="10"/>
  <c r="L7" i="10"/>
  <c r="K7" i="10"/>
  <c r="J7" i="10"/>
  <c r="I7" i="10"/>
  <c r="H7" i="10"/>
  <c r="G7" i="10"/>
  <c r="F7" i="10"/>
  <c r="E7" i="10"/>
  <c r="D7" i="10"/>
  <c r="C7" i="10"/>
  <c r="B7" i="10"/>
  <c r="L6" i="10"/>
  <c r="K6" i="10"/>
  <c r="J6" i="10"/>
  <c r="I6" i="10"/>
  <c r="H6" i="10"/>
  <c r="G6" i="10"/>
  <c r="F6" i="10"/>
  <c r="E6" i="10"/>
  <c r="D6" i="10"/>
  <c r="C6" i="10"/>
  <c r="B6" i="10"/>
  <c r="AB67" i="9"/>
  <c r="Z67" i="9"/>
  <c r="Y67" i="9"/>
  <c r="X67" i="9"/>
  <c r="AC67" i="9" s="1"/>
  <c r="W67" i="9"/>
  <c r="V67" i="9"/>
  <c r="U67" i="9"/>
  <c r="AD67" i="9" s="1"/>
  <c r="T67" i="9"/>
  <c r="S67" i="9"/>
  <c r="R67" i="9"/>
  <c r="Q67" i="9"/>
  <c r="P67" i="9"/>
  <c r="O67" i="9"/>
  <c r="N67" i="9"/>
  <c r="M67" i="9"/>
  <c r="L67" i="9"/>
  <c r="K67" i="9"/>
  <c r="J67" i="9"/>
  <c r="I67" i="9"/>
  <c r="H67" i="9"/>
  <c r="G67" i="9"/>
  <c r="F67" i="9"/>
  <c r="E67" i="9"/>
  <c r="D67" i="9"/>
  <c r="C67" i="9"/>
  <c r="Z66" i="9"/>
  <c r="AB66" i="9" s="1"/>
  <c r="Y66" i="9"/>
  <c r="X66" i="9"/>
  <c r="AC66" i="9" s="1"/>
  <c r="W66" i="9"/>
  <c r="V66" i="9"/>
  <c r="U66" i="9"/>
  <c r="T66" i="9"/>
  <c r="S66" i="9"/>
  <c r="R66" i="9"/>
  <c r="Q66" i="9"/>
  <c r="P66" i="9"/>
  <c r="O66" i="9"/>
  <c r="N66" i="9"/>
  <c r="M66" i="9"/>
  <c r="L66" i="9"/>
  <c r="K66" i="9"/>
  <c r="J66" i="9"/>
  <c r="I66" i="9"/>
  <c r="H66" i="9"/>
  <c r="G66" i="9"/>
  <c r="F66" i="9"/>
  <c r="E66" i="9"/>
  <c r="D66" i="9"/>
  <c r="C66" i="9"/>
  <c r="AB65" i="9"/>
  <c r="Z65" i="9"/>
  <c r="Y65" i="9"/>
  <c r="X65" i="9"/>
  <c r="W65" i="9"/>
  <c r="V65" i="9"/>
  <c r="U65" i="9"/>
  <c r="AD65" i="9" s="1"/>
  <c r="T65" i="9"/>
  <c r="S65" i="9"/>
  <c r="R65" i="9"/>
  <c r="Q65" i="9"/>
  <c r="P65" i="9"/>
  <c r="O65" i="9"/>
  <c r="N65" i="9"/>
  <c r="M65" i="9"/>
  <c r="L65" i="9"/>
  <c r="K65" i="9"/>
  <c r="J65" i="9"/>
  <c r="I65" i="9"/>
  <c r="H65" i="9"/>
  <c r="G65" i="9"/>
  <c r="F65" i="9"/>
  <c r="E65" i="9"/>
  <c r="D65" i="9"/>
  <c r="C65" i="9"/>
  <c r="Z64" i="9"/>
  <c r="Y64" i="9"/>
  <c r="X64" i="9"/>
  <c r="AC64" i="9" s="1"/>
  <c r="W64" i="9"/>
  <c r="V64" i="9"/>
  <c r="U64" i="9"/>
  <c r="AD64" i="9" s="1"/>
  <c r="T64" i="9"/>
  <c r="S64" i="9"/>
  <c r="R64" i="9"/>
  <c r="Q64" i="9"/>
  <c r="P64" i="9"/>
  <c r="O64" i="9"/>
  <c r="N64" i="9"/>
  <c r="M64" i="9"/>
  <c r="L64" i="9"/>
  <c r="K64" i="9"/>
  <c r="J64" i="9"/>
  <c r="I64" i="9"/>
  <c r="H64" i="9"/>
  <c r="G64" i="9"/>
  <c r="F64" i="9"/>
  <c r="E64" i="9"/>
  <c r="D64" i="9"/>
  <c r="C64" i="9"/>
  <c r="AB63" i="9"/>
  <c r="Z63" i="9"/>
  <c r="Y63" i="9"/>
  <c r="X63" i="9"/>
  <c r="AC63" i="9" s="1"/>
  <c r="W63" i="9"/>
  <c r="V63" i="9"/>
  <c r="U63" i="9"/>
  <c r="AD63" i="9" s="1"/>
  <c r="T63" i="9"/>
  <c r="S63" i="9"/>
  <c r="R63" i="9"/>
  <c r="Q63" i="9"/>
  <c r="P63" i="9"/>
  <c r="O63" i="9"/>
  <c r="N63" i="9"/>
  <c r="M63" i="9"/>
  <c r="L63" i="9"/>
  <c r="K63" i="9"/>
  <c r="J63" i="9"/>
  <c r="I63" i="9"/>
  <c r="H63" i="9"/>
  <c r="G63" i="9"/>
  <c r="F63" i="9"/>
  <c r="E63" i="9"/>
  <c r="D63" i="9"/>
  <c r="C63" i="9"/>
  <c r="Z62" i="9"/>
  <c r="AC62" i="9" s="1"/>
  <c r="Y62" i="9"/>
  <c r="X62" i="9"/>
  <c r="W62" i="9"/>
  <c r="V62" i="9"/>
  <c r="U62" i="9"/>
  <c r="T62" i="9"/>
  <c r="S62" i="9"/>
  <c r="R62" i="9"/>
  <c r="Q62" i="9"/>
  <c r="P62" i="9"/>
  <c r="O62" i="9"/>
  <c r="N62" i="9"/>
  <c r="M62" i="9"/>
  <c r="L62" i="9"/>
  <c r="K62" i="9"/>
  <c r="J62" i="9"/>
  <c r="I62" i="9"/>
  <c r="H62" i="9"/>
  <c r="G62" i="9"/>
  <c r="F62" i="9"/>
  <c r="E62" i="9"/>
  <c r="D62" i="9"/>
  <c r="C62" i="9"/>
  <c r="AD61" i="9"/>
  <c r="AB61" i="9"/>
  <c r="Z61" i="9"/>
  <c r="Y61" i="9"/>
  <c r="X61" i="9"/>
  <c r="AC61" i="9" s="1"/>
  <c r="W61" i="9"/>
  <c r="V61" i="9"/>
  <c r="U61" i="9"/>
  <c r="T61" i="9"/>
  <c r="S61" i="9"/>
  <c r="R61" i="9"/>
  <c r="Q61" i="9"/>
  <c r="P61" i="9"/>
  <c r="O61" i="9"/>
  <c r="N61" i="9"/>
  <c r="M61" i="9"/>
  <c r="L61" i="9"/>
  <c r="K61" i="9"/>
  <c r="J61" i="9"/>
  <c r="I61" i="9"/>
  <c r="H61" i="9"/>
  <c r="G61" i="9"/>
  <c r="F61" i="9"/>
  <c r="E61" i="9"/>
  <c r="D61" i="9"/>
  <c r="C61" i="9"/>
  <c r="AC60" i="9"/>
  <c r="AB60" i="9"/>
  <c r="Z60" i="9"/>
  <c r="Y60" i="9"/>
  <c r="X60" i="9"/>
  <c r="W60" i="9"/>
  <c r="V60" i="9"/>
  <c r="U60" i="9"/>
  <c r="AD60" i="9" s="1"/>
  <c r="T60" i="9"/>
  <c r="S60" i="9"/>
  <c r="R60" i="9"/>
  <c r="Q60" i="9"/>
  <c r="P60" i="9"/>
  <c r="O60" i="9"/>
  <c r="N60" i="9"/>
  <c r="M60" i="9"/>
  <c r="L60" i="9"/>
  <c r="K60" i="9"/>
  <c r="J60" i="9"/>
  <c r="I60" i="9"/>
  <c r="H60" i="9"/>
  <c r="G60" i="9"/>
  <c r="F60" i="9"/>
  <c r="E60" i="9"/>
  <c r="D60" i="9"/>
  <c r="C60" i="9"/>
  <c r="Z59" i="9"/>
  <c r="Y59" i="9"/>
  <c r="AC59" i="9" s="1"/>
  <c r="X59" i="9"/>
  <c r="W59" i="9"/>
  <c r="V59" i="9"/>
  <c r="U59" i="9"/>
  <c r="AD59" i="9" s="1"/>
  <c r="T59" i="9"/>
  <c r="S59" i="9"/>
  <c r="R59" i="9"/>
  <c r="Q59" i="9"/>
  <c r="P59" i="9"/>
  <c r="O59" i="9"/>
  <c r="N59" i="9"/>
  <c r="M59" i="9"/>
  <c r="L59" i="9"/>
  <c r="K59" i="9"/>
  <c r="J59" i="9"/>
  <c r="I59" i="9"/>
  <c r="H59" i="9"/>
  <c r="G59" i="9"/>
  <c r="F59" i="9"/>
  <c r="E59" i="9"/>
  <c r="D59" i="9"/>
  <c r="C59" i="9"/>
  <c r="AC58" i="9"/>
  <c r="AB58" i="9"/>
  <c r="Z58" i="9"/>
  <c r="Y58" i="9"/>
  <c r="X58" i="9"/>
  <c r="W58" i="9"/>
  <c r="V58" i="9"/>
  <c r="U58" i="9"/>
  <c r="T58" i="9"/>
  <c r="S58" i="9"/>
  <c r="R58" i="9"/>
  <c r="Q58" i="9"/>
  <c r="P58" i="9"/>
  <c r="O58" i="9"/>
  <c r="N58" i="9"/>
  <c r="M58" i="9"/>
  <c r="L58" i="9"/>
  <c r="K58" i="9"/>
  <c r="J58" i="9"/>
  <c r="I58" i="9"/>
  <c r="H58" i="9"/>
  <c r="G58" i="9"/>
  <c r="F58" i="9"/>
  <c r="E58" i="9"/>
  <c r="D58" i="9"/>
  <c r="C58" i="9"/>
  <c r="AB57" i="9"/>
  <c r="Z57" i="9"/>
  <c r="AC57" i="9" s="1"/>
  <c r="Y57" i="9"/>
  <c r="X57" i="9"/>
  <c r="W57" i="9"/>
  <c r="V57" i="9"/>
  <c r="U57" i="9"/>
  <c r="AD57" i="9" s="1"/>
  <c r="T57" i="9"/>
  <c r="S57" i="9"/>
  <c r="R57" i="9"/>
  <c r="Q57" i="9"/>
  <c r="P57" i="9"/>
  <c r="O57" i="9"/>
  <c r="N57" i="9"/>
  <c r="M57" i="9"/>
  <c r="L57" i="9"/>
  <c r="K57" i="9"/>
  <c r="J57" i="9"/>
  <c r="I57" i="9"/>
  <c r="H57" i="9"/>
  <c r="G57" i="9"/>
  <c r="F57" i="9"/>
  <c r="E57" i="9"/>
  <c r="D57" i="9"/>
  <c r="C57" i="9"/>
  <c r="Z56" i="9"/>
  <c r="Y56" i="9"/>
  <c r="X56" i="9"/>
  <c r="AC56" i="9" s="1"/>
  <c r="W56" i="9"/>
  <c r="V56" i="9"/>
  <c r="U56" i="9"/>
  <c r="AD56" i="9" s="1"/>
  <c r="T56" i="9"/>
  <c r="S56" i="9"/>
  <c r="R56" i="9"/>
  <c r="Q56" i="9"/>
  <c r="P56" i="9"/>
  <c r="O56" i="9"/>
  <c r="N56" i="9"/>
  <c r="M56" i="9"/>
  <c r="L56" i="9"/>
  <c r="K56" i="9"/>
  <c r="J56" i="9"/>
  <c r="I56" i="9"/>
  <c r="H56" i="9"/>
  <c r="G56" i="9"/>
  <c r="F56" i="9"/>
  <c r="E56" i="9"/>
  <c r="D56" i="9"/>
  <c r="C56" i="9"/>
  <c r="AC55" i="9"/>
  <c r="AB55" i="9"/>
  <c r="Z55" i="9"/>
  <c r="Y55" i="9"/>
  <c r="X55" i="9"/>
  <c r="W55" i="9"/>
  <c r="V55" i="9"/>
  <c r="U55" i="9"/>
  <c r="AD55" i="9" s="1"/>
  <c r="T55" i="9"/>
  <c r="S55" i="9"/>
  <c r="R55" i="9"/>
  <c r="Q55" i="9"/>
  <c r="P55" i="9"/>
  <c r="O55" i="9"/>
  <c r="N55" i="9"/>
  <c r="M55" i="9"/>
  <c r="L55" i="9"/>
  <c r="K55" i="9"/>
  <c r="J55" i="9"/>
  <c r="I55" i="9"/>
  <c r="H55" i="9"/>
  <c r="G55" i="9"/>
  <c r="F55" i="9"/>
  <c r="E55" i="9"/>
  <c r="D55" i="9"/>
  <c r="C55" i="9"/>
  <c r="AB54" i="9"/>
  <c r="Z54" i="9"/>
  <c r="AC54" i="9" s="1"/>
  <c r="Y54" i="9"/>
  <c r="X54" i="9"/>
  <c r="W54" i="9"/>
  <c r="V54" i="9"/>
  <c r="U54" i="9"/>
  <c r="AD54" i="9" s="1"/>
  <c r="T54" i="9"/>
  <c r="S54" i="9"/>
  <c r="R54" i="9"/>
  <c r="Q54" i="9"/>
  <c r="P54" i="9"/>
  <c r="O54" i="9"/>
  <c r="N54" i="9"/>
  <c r="M54" i="9"/>
  <c r="L54" i="9"/>
  <c r="K54" i="9"/>
  <c r="J54" i="9"/>
  <c r="I54" i="9"/>
  <c r="H54" i="9"/>
  <c r="G54" i="9"/>
  <c r="F54" i="9"/>
  <c r="E54" i="9"/>
  <c r="D54" i="9"/>
  <c r="C54" i="9"/>
  <c r="Z53" i="9"/>
  <c r="AB53" i="9" s="1"/>
  <c r="Y53" i="9"/>
  <c r="X53" i="9"/>
  <c r="W53" i="9"/>
  <c r="V53" i="9"/>
  <c r="U53" i="9"/>
  <c r="AD53" i="9" s="1"/>
  <c r="T53" i="9"/>
  <c r="S53" i="9"/>
  <c r="R53" i="9"/>
  <c r="Q53" i="9"/>
  <c r="P53" i="9"/>
  <c r="O53" i="9"/>
  <c r="N53" i="9"/>
  <c r="M53" i="9"/>
  <c r="L53" i="9"/>
  <c r="K53" i="9"/>
  <c r="J53" i="9"/>
  <c r="I53" i="9"/>
  <c r="H53" i="9"/>
  <c r="G53" i="9"/>
  <c r="F53" i="9"/>
  <c r="E53" i="9"/>
  <c r="D53" i="9"/>
  <c r="C53" i="9"/>
  <c r="AC52" i="9"/>
  <c r="AB52" i="9"/>
  <c r="Z52" i="9"/>
  <c r="Y52" i="9"/>
  <c r="X52" i="9"/>
  <c r="W52" i="9"/>
  <c r="V52" i="9"/>
  <c r="U52" i="9"/>
  <c r="AD52" i="9" s="1"/>
  <c r="T52" i="9"/>
  <c r="S52" i="9"/>
  <c r="R52" i="9"/>
  <c r="Q52" i="9"/>
  <c r="P52" i="9"/>
  <c r="O52" i="9"/>
  <c r="N52" i="9"/>
  <c r="M52" i="9"/>
  <c r="L52" i="9"/>
  <c r="K52" i="9"/>
  <c r="J52" i="9"/>
  <c r="I52" i="9"/>
  <c r="H52" i="9"/>
  <c r="G52" i="9"/>
  <c r="F52" i="9"/>
  <c r="E52" i="9"/>
  <c r="D52" i="9"/>
  <c r="C52" i="9"/>
  <c r="AC51" i="9"/>
  <c r="AB51" i="9"/>
  <c r="Z51" i="9"/>
  <c r="Y51" i="9"/>
  <c r="X51" i="9"/>
  <c r="W51" i="9"/>
  <c r="V51" i="9"/>
  <c r="U51" i="9"/>
  <c r="AD51" i="9" s="1"/>
  <c r="T51" i="9"/>
  <c r="S51" i="9"/>
  <c r="R51" i="9"/>
  <c r="Q51" i="9"/>
  <c r="P51" i="9"/>
  <c r="O51" i="9"/>
  <c r="N51" i="9"/>
  <c r="M51" i="9"/>
  <c r="L51" i="9"/>
  <c r="K51" i="9"/>
  <c r="J51" i="9"/>
  <c r="I51" i="9"/>
  <c r="H51" i="9"/>
  <c r="G51" i="9"/>
  <c r="F51" i="9"/>
  <c r="E51" i="9"/>
  <c r="D51" i="9"/>
  <c r="C51" i="9"/>
  <c r="Z50" i="9"/>
  <c r="AB50" i="9" s="1"/>
  <c r="Y50" i="9"/>
  <c r="X50" i="9"/>
  <c r="AC50" i="9" s="1"/>
  <c r="W50" i="9"/>
  <c r="V50" i="9"/>
  <c r="U50" i="9"/>
  <c r="T50" i="9"/>
  <c r="S50" i="9"/>
  <c r="R50" i="9"/>
  <c r="Q50" i="9"/>
  <c r="P50" i="9"/>
  <c r="O50" i="9"/>
  <c r="N50" i="9"/>
  <c r="M50" i="9"/>
  <c r="L50" i="9"/>
  <c r="K50" i="9"/>
  <c r="J50" i="9"/>
  <c r="I50" i="9"/>
  <c r="H50" i="9"/>
  <c r="G50" i="9"/>
  <c r="F50" i="9"/>
  <c r="E50" i="9"/>
  <c r="D50" i="9"/>
  <c r="C50" i="9"/>
  <c r="AC45" i="9"/>
  <c r="AB45" i="9"/>
  <c r="Z45" i="9"/>
  <c r="Y45" i="9"/>
  <c r="X45" i="9"/>
  <c r="W45" i="9"/>
  <c r="V45" i="9"/>
  <c r="U45" i="9"/>
  <c r="AD45" i="9" s="1"/>
  <c r="T45" i="9"/>
  <c r="S45" i="9"/>
  <c r="R45" i="9"/>
  <c r="Q45" i="9"/>
  <c r="P45" i="9"/>
  <c r="O45" i="9"/>
  <c r="N45" i="9"/>
  <c r="M45" i="9"/>
  <c r="L45" i="9"/>
  <c r="K45" i="9"/>
  <c r="J45" i="9"/>
  <c r="I45" i="9"/>
  <c r="H45" i="9"/>
  <c r="G45" i="9"/>
  <c r="F45" i="9"/>
  <c r="E45" i="9"/>
  <c r="D45" i="9"/>
  <c r="C45" i="9"/>
  <c r="Z44" i="9"/>
  <c r="AB44" i="9" s="1"/>
  <c r="Y44" i="9"/>
  <c r="AC44" i="9" s="1"/>
  <c r="X44" i="9"/>
  <c r="W44" i="9"/>
  <c r="V44" i="9"/>
  <c r="U44" i="9"/>
  <c r="AD44" i="9" s="1"/>
  <c r="T44" i="9"/>
  <c r="S44" i="9"/>
  <c r="R44" i="9"/>
  <c r="Q44" i="9"/>
  <c r="P44" i="9"/>
  <c r="O44" i="9"/>
  <c r="N44" i="9"/>
  <c r="M44" i="9"/>
  <c r="L44" i="9"/>
  <c r="K44" i="9"/>
  <c r="J44" i="9"/>
  <c r="I44" i="9"/>
  <c r="H44" i="9"/>
  <c r="G44" i="9"/>
  <c r="F44" i="9"/>
  <c r="E44" i="9"/>
  <c r="D44" i="9"/>
  <c r="C44" i="9"/>
  <c r="Z43" i="9"/>
  <c r="AB43" i="9" s="1"/>
  <c r="Y43" i="9"/>
  <c r="X43" i="9"/>
  <c r="AC43" i="9" s="1"/>
  <c r="W43" i="9"/>
  <c r="V43" i="9"/>
  <c r="U43" i="9"/>
  <c r="AD43" i="9" s="1"/>
  <c r="T43" i="9"/>
  <c r="S43" i="9"/>
  <c r="R43" i="9"/>
  <c r="Q43" i="9"/>
  <c r="P43" i="9"/>
  <c r="O43" i="9"/>
  <c r="N43" i="9"/>
  <c r="M43" i="9"/>
  <c r="L43" i="9"/>
  <c r="K43" i="9"/>
  <c r="J43" i="9"/>
  <c r="I43" i="9"/>
  <c r="H43" i="9"/>
  <c r="G43" i="9"/>
  <c r="F43" i="9"/>
  <c r="E43" i="9"/>
  <c r="D43" i="9"/>
  <c r="C43" i="9"/>
  <c r="AC42" i="9"/>
  <c r="AB42" i="9"/>
  <c r="Z42" i="9"/>
  <c r="Y42" i="9"/>
  <c r="X42" i="9"/>
  <c r="W42" i="9"/>
  <c r="V42" i="9"/>
  <c r="U42" i="9"/>
  <c r="AD42" i="9" s="1"/>
  <c r="T42" i="9"/>
  <c r="S42" i="9"/>
  <c r="R42" i="9"/>
  <c r="Q42" i="9"/>
  <c r="P42" i="9"/>
  <c r="O42" i="9"/>
  <c r="N42" i="9"/>
  <c r="M42" i="9"/>
  <c r="L42" i="9"/>
  <c r="K42" i="9"/>
  <c r="J42" i="9"/>
  <c r="I42" i="9"/>
  <c r="H42" i="9"/>
  <c r="G42" i="9"/>
  <c r="F42" i="9"/>
  <c r="E42" i="9"/>
  <c r="D42" i="9"/>
  <c r="C42" i="9"/>
  <c r="Z41" i="9"/>
  <c r="AB41" i="9" s="1"/>
  <c r="Y41" i="9"/>
  <c r="X41" i="9"/>
  <c r="W41" i="9"/>
  <c r="V41" i="9"/>
  <c r="U41" i="9"/>
  <c r="AD41" i="9" s="1"/>
  <c r="T41" i="9"/>
  <c r="S41" i="9"/>
  <c r="R41" i="9"/>
  <c r="Q41" i="9"/>
  <c r="P41" i="9"/>
  <c r="O41" i="9"/>
  <c r="N41" i="9"/>
  <c r="M41" i="9"/>
  <c r="L41" i="9"/>
  <c r="K41" i="9"/>
  <c r="J41" i="9"/>
  <c r="I41" i="9"/>
  <c r="H41" i="9"/>
  <c r="G41" i="9"/>
  <c r="F41" i="9"/>
  <c r="E41" i="9"/>
  <c r="D41" i="9"/>
  <c r="C41" i="9"/>
  <c r="Z40" i="9"/>
  <c r="AB40" i="9" s="1"/>
  <c r="Y40" i="9"/>
  <c r="X40" i="9"/>
  <c r="AC40" i="9" s="1"/>
  <c r="W40" i="9"/>
  <c r="V40" i="9"/>
  <c r="U40" i="9"/>
  <c r="AD40" i="9" s="1"/>
  <c r="T40" i="9"/>
  <c r="S40" i="9"/>
  <c r="R40" i="9"/>
  <c r="Q40" i="9"/>
  <c r="P40" i="9"/>
  <c r="O40" i="9"/>
  <c r="N40" i="9"/>
  <c r="M40" i="9"/>
  <c r="L40" i="9"/>
  <c r="K40" i="9"/>
  <c r="J40" i="9"/>
  <c r="I40" i="9"/>
  <c r="H40" i="9"/>
  <c r="G40" i="9"/>
  <c r="F40" i="9"/>
  <c r="E40" i="9"/>
  <c r="D40" i="9"/>
  <c r="C40" i="9"/>
  <c r="AC39" i="9"/>
  <c r="AB39" i="9"/>
  <c r="Z39" i="9"/>
  <c r="Y39" i="9"/>
  <c r="X39" i="9"/>
  <c r="W39" i="9"/>
  <c r="V39" i="9"/>
  <c r="U39" i="9"/>
  <c r="AD39" i="9" s="1"/>
  <c r="T39" i="9"/>
  <c r="S39" i="9"/>
  <c r="R39" i="9"/>
  <c r="Q39" i="9"/>
  <c r="P39" i="9"/>
  <c r="O39" i="9"/>
  <c r="N39" i="9"/>
  <c r="M39" i="9"/>
  <c r="L39" i="9"/>
  <c r="K39" i="9"/>
  <c r="J39" i="9"/>
  <c r="I39" i="9"/>
  <c r="H39" i="9"/>
  <c r="G39" i="9"/>
  <c r="F39" i="9"/>
  <c r="E39" i="9"/>
  <c r="D39" i="9"/>
  <c r="C39" i="9"/>
  <c r="Z38" i="9"/>
  <c r="AB38" i="9" s="1"/>
  <c r="Y38" i="9"/>
  <c r="X38" i="9"/>
  <c r="AC38" i="9" s="1"/>
  <c r="W38" i="9"/>
  <c r="V38" i="9"/>
  <c r="U38" i="9"/>
  <c r="T38" i="9"/>
  <c r="S38" i="9"/>
  <c r="R38" i="9"/>
  <c r="Q38" i="9"/>
  <c r="P38" i="9"/>
  <c r="O38" i="9"/>
  <c r="N38" i="9"/>
  <c r="M38" i="9"/>
  <c r="L38" i="9"/>
  <c r="K38" i="9"/>
  <c r="J38" i="9"/>
  <c r="I38" i="9"/>
  <c r="H38" i="9"/>
  <c r="G38" i="9"/>
  <c r="F38" i="9"/>
  <c r="E38" i="9"/>
  <c r="D38" i="9"/>
  <c r="C38" i="9"/>
  <c r="Z37" i="9"/>
  <c r="AB37" i="9" s="1"/>
  <c r="Y37" i="9"/>
  <c r="AC37" i="9" s="1"/>
  <c r="X37" i="9"/>
  <c r="W37" i="9"/>
  <c r="V37" i="9"/>
  <c r="U37" i="9"/>
  <c r="AD37" i="9" s="1"/>
  <c r="T37" i="9"/>
  <c r="S37" i="9"/>
  <c r="R37" i="9"/>
  <c r="Q37" i="9"/>
  <c r="P37" i="9"/>
  <c r="O37" i="9"/>
  <c r="N37" i="9"/>
  <c r="M37" i="9"/>
  <c r="L37" i="9"/>
  <c r="K37" i="9"/>
  <c r="J37" i="9"/>
  <c r="I37" i="9"/>
  <c r="H37" i="9"/>
  <c r="G37" i="9"/>
  <c r="F37" i="9"/>
  <c r="E37" i="9"/>
  <c r="D37" i="9"/>
  <c r="C37" i="9"/>
  <c r="AC36" i="9"/>
  <c r="Z36" i="9"/>
  <c r="AB36" i="9" s="1"/>
  <c r="Y36" i="9"/>
  <c r="X36" i="9"/>
  <c r="W36" i="9"/>
  <c r="V36" i="9"/>
  <c r="AD36" i="9" s="1"/>
  <c r="U36" i="9"/>
  <c r="T36" i="9"/>
  <c r="S36" i="9"/>
  <c r="R36" i="9"/>
  <c r="Q36" i="9"/>
  <c r="P36" i="9"/>
  <c r="O36" i="9"/>
  <c r="N36" i="9"/>
  <c r="M36" i="9"/>
  <c r="L36" i="9"/>
  <c r="K36" i="9"/>
  <c r="J36" i="9"/>
  <c r="I36" i="9"/>
  <c r="H36" i="9"/>
  <c r="G36" i="9"/>
  <c r="F36" i="9"/>
  <c r="E36" i="9"/>
  <c r="D36" i="9"/>
  <c r="C36" i="9"/>
  <c r="Z35" i="9"/>
  <c r="AB35" i="9" s="1"/>
  <c r="Y35" i="9"/>
  <c r="X35" i="9"/>
  <c r="AC35" i="9" s="1"/>
  <c r="W35" i="9"/>
  <c r="V35" i="9"/>
  <c r="U35" i="9"/>
  <c r="AD35" i="9" s="1"/>
  <c r="T35" i="9"/>
  <c r="S35" i="9"/>
  <c r="R35" i="9"/>
  <c r="Q35" i="9"/>
  <c r="P35" i="9"/>
  <c r="O35" i="9"/>
  <c r="N35" i="9"/>
  <c r="M35" i="9"/>
  <c r="L35" i="9"/>
  <c r="K35" i="9"/>
  <c r="J35" i="9"/>
  <c r="I35" i="9"/>
  <c r="H35" i="9"/>
  <c r="G35" i="9"/>
  <c r="F35" i="9"/>
  <c r="E35" i="9"/>
  <c r="D35" i="9"/>
  <c r="C35" i="9"/>
  <c r="Z34" i="9"/>
  <c r="AB34" i="9" s="1"/>
  <c r="Y34" i="9"/>
  <c r="X34" i="9"/>
  <c r="AC34" i="9" s="1"/>
  <c r="W34" i="9"/>
  <c r="V34" i="9"/>
  <c r="U34" i="9"/>
  <c r="AD34" i="9" s="1"/>
  <c r="T34" i="9"/>
  <c r="S34" i="9"/>
  <c r="R34" i="9"/>
  <c r="Q34" i="9"/>
  <c r="P34" i="9"/>
  <c r="O34" i="9"/>
  <c r="N34" i="9"/>
  <c r="M34" i="9"/>
  <c r="L34" i="9"/>
  <c r="K34" i="9"/>
  <c r="J34" i="9"/>
  <c r="I34" i="9"/>
  <c r="H34" i="9"/>
  <c r="G34" i="9"/>
  <c r="F34" i="9"/>
  <c r="E34" i="9"/>
  <c r="D34" i="9"/>
  <c r="C34" i="9"/>
  <c r="AC33" i="9"/>
  <c r="AB33" i="9"/>
  <c r="Z33" i="9"/>
  <c r="Y33" i="9"/>
  <c r="X33" i="9"/>
  <c r="W33" i="9"/>
  <c r="V33" i="9"/>
  <c r="U33" i="9"/>
  <c r="AD33" i="9" s="1"/>
  <c r="T33" i="9"/>
  <c r="S33" i="9"/>
  <c r="R33" i="9"/>
  <c r="Q33" i="9"/>
  <c r="P33" i="9"/>
  <c r="O33" i="9"/>
  <c r="N33" i="9"/>
  <c r="M33" i="9"/>
  <c r="L33" i="9"/>
  <c r="K33" i="9"/>
  <c r="J33" i="9"/>
  <c r="I33" i="9"/>
  <c r="H33" i="9"/>
  <c r="G33" i="9"/>
  <c r="F33" i="9"/>
  <c r="E33" i="9"/>
  <c r="D33" i="9"/>
  <c r="C33" i="9"/>
  <c r="Z32" i="9"/>
  <c r="AC32" i="9" s="1"/>
  <c r="Y32" i="9"/>
  <c r="X32" i="9"/>
  <c r="W32" i="9"/>
  <c r="V32" i="9"/>
  <c r="U32" i="9"/>
  <c r="AD32" i="9" s="1"/>
  <c r="T32" i="9"/>
  <c r="S32" i="9"/>
  <c r="R32" i="9"/>
  <c r="Q32" i="9"/>
  <c r="P32" i="9"/>
  <c r="O32" i="9"/>
  <c r="N32" i="9"/>
  <c r="M32" i="9"/>
  <c r="L32" i="9"/>
  <c r="K32" i="9"/>
  <c r="J32" i="9"/>
  <c r="I32" i="9"/>
  <c r="H32" i="9"/>
  <c r="G32" i="9"/>
  <c r="F32" i="9"/>
  <c r="E32" i="9"/>
  <c r="D32" i="9"/>
  <c r="C32" i="9"/>
  <c r="Z31" i="9"/>
  <c r="AB31" i="9" s="1"/>
  <c r="Y31" i="9"/>
  <c r="AC31" i="9" s="1"/>
  <c r="X31" i="9"/>
  <c r="W31" i="9"/>
  <c r="V31" i="9"/>
  <c r="U31" i="9"/>
  <c r="AD31" i="9" s="1"/>
  <c r="T31" i="9"/>
  <c r="S31" i="9"/>
  <c r="R31" i="9"/>
  <c r="Q31" i="9"/>
  <c r="P31" i="9"/>
  <c r="O31" i="9"/>
  <c r="N31" i="9"/>
  <c r="M31" i="9"/>
  <c r="L31" i="9"/>
  <c r="K31" i="9"/>
  <c r="J31" i="9"/>
  <c r="I31" i="9"/>
  <c r="H31" i="9"/>
  <c r="G31" i="9"/>
  <c r="F31" i="9"/>
  <c r="E31" i="9"/>
  <c r="D31" i="9"/>
  <c r="C31" i="9"/>
  <c r="AD30" i="9"/>
  <c r="AC30" i="9"/>
  <c r="Z30" i="9"/>
  <c r="AB30" i="9" s="1"/>
  <c r="Y30" i="9"/>
  <c r="X30" i="9"/>
  <c r="W30" i="9"/>
  <c r="V30" i="9"/>
  <c r="U30" i="9"/>
  <c r="T30" i="9"/>
  <c r="S30" i="9"/>
  <c r="R30" i="9"/>
  <c r="Q30" i="9"/>
  <c r="P30" i="9"/>
  <c r="O30" i="9"/>
  <c r="N30" i="9"/>
  <c r="M30" i="9"/>
  <c r="L30" i="9"/>
  <c r="K30" i="9"/>
  <c r="J30" i="9"/>
  <c r="I30" i="9"/>
  <c r="H30" i="9"/>
  <c r="G30" i="9"/>
  <c r="F30" i="9"/>
  <c r="E30" i="9"/>
  <c r="D30" i="9"/>
  <c r="C30" i="9"/>
  <c r="AB29" i="9"/>
  <c r="Z29" i="9"/>
  <c r="Y29" i="9"/>
  <c r="X29" i="9"/>
  <c r="AC29" i="9" s="1"/>
  <c r="W29" i="9"/>
  <c r="V29" i="9"/>
  <c r="U29" i="9"/>
  <c r="AD29" i="9" s="1"/>
  <c r="T29" i="9"/>
  <c r="S29" i="9"/>
  <c r="R29" i="9"/>
  <c r="Q29" i="9"/>
  <c r="P29" i="9"/>
  <c r="O29" i="9"/>
  <c r="N29" i="9"/>
  <c r="M29" i="9"/>
  <c r="L29" i="9"/>
  <c r="K29" i="9"/>
  <c r="J29" i="9"/>
  <c r="I29" i="9"/>
  <c r="H29" i="9"/>
  <c r="G29" i="9"/>
  <c r="F29" i="9"/>
  <c r="E29" i="9"/>
  <c r="D29" i="9"/>
  <c r="C29" i="9"/>
  <c r="AB28" i="9"/>
  <c r="Z28" i="9"/>
  <c r="Y28" i="9"/>
  <c r="X28" i="9"/>
  <c r="AC28" i="9" s="1"/>
  <c r="W28" i="9"/>
  <c r="V28" i="9"/>
  <c r="U28" i="9"/>
  <c r="AD28" i="9" s="1"/>
  <c r="T28" i="9"/>
  <c r="S28" i="9"/>
  <c r="R28" i="9"/>
  <c r="Q28" i="9"/>
  <c r="P28" i="9"/>
  <c r="O28" i="9"/>
  <c r="N28" i="9"/>
  <c r="M28" i="9"/>
  <c r="L28" i="9"/>
  <c r="K28" i="9"/>
  <c r="J28" i="9"/>
  <c r="I28" i="9"/>
  <c r="H28" i="9"/>
  <c r="G28" i="9"/>
  <c r="F28" i="9"/>
  <c r="E28" i="9"/>
  <c r="D28" i="9"/>
  <c r="C28" i="9"/>
  <c r="Z23" i="9"/>
  <c r="AB23" i="9" s="1"/>
  <c r="Y23" i="9"/>
  <c r="X23" i="9"/>
  <c r="AC23" i="9" s="1"/>
  <c r="W23" i="9"/>
  <c r="V23" i="9"/>
  <c r="U23" i="9"/>
  <c r="AD23" i="9" s="1"/>
  <c r="T23" i="9"/>
  <c r="S23" i="9"/>
  <c r="R23" i="9"/>
  <c r="Q23" i="9"/>
  <c r="P23" i="9"/>
  <c r="O23" i="9"/>
  <c r="N23" i="9"/>
  <c r="M23" i="9"/>
  <c r="L23" i="9"/>
  <c r="K23" i="9"/>
  <c r="J23" i="9"/>
  <c r="I23" i="9"/>
  <c r="H23" i="9"/>
  <c r="G23" i="9"/>
  <c r="F23" i="9"/>
  <c r="E23" i="9"/>
  <c r="D23" i="9"/>
  <c r="C23" i="9"/>
  <c r="Z22" i="9"/>
  <c r="AB22" i="9" s="1"/>
  <c r="Y22" i="9"/>
  <c r="X22" i="9"/>
  <c r="AC22" i="9" s="1"/>
  <c r="W22" i="9"/>
  <c r="V22" i="9"/>
  <c r="U22" i="9"/>
  <c r="AD22" i="9" s="1"/>
  <c r="T22" i="9"/>
  <c r="S22" i="9"/>
  <c r="R22" i="9"/>
  <c r="Q22" i="9"/>
  <c r="P22" i="9"/>
  <c r="O22" i="9"/>
  <c r="N22" i="9"/>
  <c r="M22" i="9"/>
  <c r="L22" i="9"/>
  <c r="K22" i="9"/>
  <c r="J22" i="9"/>
  <c r="I22" i="9"/>
  <c r="H22" i="9"/>
  <c r="G22" i="9"/>
  <c r="F22" i="9"/>
  <c r="E22" i="9"/>
  <c r="D22" i="9"/>
  <c r="C22" i="9"/>
  <c r="AC21" i="9"/>
  <c r="AB21" i="9"/>
  <c r="Z21" i="9"/>
  <c r="Y21" i="9"/>
  <c r="X21" i="9"/>
  <c r="W21" i="9"/>
  <c r="V21" i="9"/>
  <c r="U21" i="9"/>
  <c r="AD21" i="9" s="1"/>
  <c r="T21" i="9"/>
  <c r="S21" i="9"/>
  <c r="R21" i="9"/>
  <c r="Q21" i="9"/>
  <c r="P21" i="9"/>
  <c r="O21" i="9"/>
  <c r="N21" i="9"/>
  <c r="M21" i="9"/>
  <c r="L21" i="9"/>
  <c r="K21" i="9"/>
  <c r="J21" i="9"/>
  <c r="I21" i="9"/>
  <c r="H21" i="9"/>
  <c r="G21" i="9"/>
  <c r="F21" i="9"/>
  <c r="E21" i="9"/>
  <c r="D21" i="9"/>
  <c r="C21" i="9"/>
  <c r="Z20" i="9"/>
  <c r="AB20" i="9" s="1"/>
  <c r="Y20" i="9"/>
  <c r="X20" i="9"/>
  <c r="AC20" i="9" s="1"/>
  <c r="W20" i="9"/>
  <c r="V20" i="9"/>
  <c r="U20" i="9"/>
  <c r="AD20" i="9" s="1"/>
  <c r="T20" i="9"/>
  <c r="S20" i="9"/>
  <c r="R20" i="9"/>
  <c r="Q20" i="9"/>
  <c r="P20" i="9"/>
  <c r="O20" i="9"/>
  <c r="N20" i="9"/>
  <c r="M20" i="9"/>
  <c r="L20" i="9"/>
  <c r="K20" i="9"/>
  <c r="J20" i="9"/>
  <c r="I20" i="9"/>
  <c r="H20" i="9"/>
  <c r="G20" i="9"/>
  <c r="F20" i="9"/>
  <c r="E20" i="9"/>
  <c r="D20" i="9"/>
  <c r="C20" i="9"/>
  <c r="Z19" i="9"/>
  <c r="AB19" i="9" s="1"/>
  <c r="Y19" i="9"/>
  <c r="AC19" i="9" s="1"/>
  <c r="X19" i="9"/>
  <c r="W19" i="9"/>
  <c r="V19" i="9"/>
  <c r="U19" i="9"/>
  <c r="AD19" i="9" s="1"/>
  <c r="T19" i="9"/>
  <c r="S19" i="9"/>
  <c r="R19" i="9"/>
  <c r="Q19" i="9"/>
  <c r="P19" i="9"/>
  <c r="O19" i="9"/>
  <c r="N19" i="9"/>
  <c r="M19" i="9"/>
  <c r="L19" i="9"/>
  <c r="K19" i="9"/>
  <c r="J19" i="9"/>
  <c r="I19" i="9"/>
  <c r="H19" i="9"/>
  <c r="G19" i="9"/>
  <c r="F19" i="9"/>
  <c r="E19" i="9"/>
  <c r="D19" i="9"/>
  <c r="C19" i="9"/>
  <c r="AC18" i="9"/>
  <c r="Z18" i="9"/>
  <c r="AB18" i="9" s="1"/>
  <c r="Y18" i="9"/>
  <c r="X18" i="9"/>
  <c r="W18" i="9"/>
  <c r="V18" i="9"/>
  <c r="U18" i="9"/>
  <c r="AD18" i="9" s="1"/>
  <c r="T18" i="9"/>
  <c r="S18" i="9"/>
  <c r="R18" i="9"/>
  <c r="Q18" i="9"/>
  <c r="P18" i="9"/>
  <c r="O18" i="9"/>
  <c r="N18" i="9"/>
  <c r="M18" i="9"/>
  <c r="L18" i="9"/>
  <c r="K18" i="9"/>
  <c r="J18" i="9"/>
  <c r="I18" i="9"/>
  <c r="H18" i="9"/>
  <c r="G18" i="9"/>
  <c r="F18" i="9"/>
  <c r="E18" i="9"/>
  <c r="D18" i="9"/>
  <c r="C18" i="9"/>
  <c r="AB17" i="9"/>
  <c r="Z17" i="9"/>
  <c r="Y17" i="9"/>
  <c r="X17" i="9"/>
  <c r="AC17" i="9" s="1"/>
  <c r="W17" i="9"/>
  <c r="V17" i="9"/>
  <c r="U17" i="9"/>
  <c r="AD17" i="9" s="1"/>
  <c r="T17" i="9"/>
  <c r="S17" i="9"/>
  <c r="R17" i="9"/>
  <c r="Q17" i="9"/>
  <c r="P17" i="9"/>
  <c r="O17" i="9"/>
  <c r="N17" i="9"/>
  <c r="M17" i="9"/>
  <c r="L17" i="9"/>
  <c r="K17" i="9"/>
  <c r="J17" i="9"/>
  <c r="I17" i="9"/>
  <c r="H17" i="9"/>
  <c r="G17" i="9"/>
  <c r="F17" i="9"/>
  <c r="E17" i="9"/>
  <c r="D17" i="9"/>
  <c r="C17" i="9"/>
  <c r="AB16" i="9"/>
  <c r="Z16" i="9"/>
  <c r="AC16" i="9" s="1"/>
  <c r="Y16" i="9"/>
  <c r="X16" i="9"/>
  <c r="W16" i="9"/>
  <c r="V16" i="9"/>
  <c r="U16" i="9"/>
  <c r="AD16" i="9" s="1"/>
  <c r="T16" i="9"/>
  <c r="S16" i="9"/>
  <c r="R16" i="9"/>
  <c r="Q16" i="9"/>
  <c r="P16" i="9"/>
  <c r="O16" i="9"/>
  <c r="N16" i="9"/>
  <c r="M16" i="9"/>
  <c r="L16" i="9"/>
  <c r="K16" i="9"/>
  <c r="J16" i="9"/>
  <c r="I16" i="9"/>
  <c r="H16" i="9"/>
  <c r="G16" i="9"/>
  <c r="F16" i="9"/>
  <c r="E16" i="9"/>
  <c r="D16" i="9"/>
  <c r="C16" i="9"/>
  <c r="Z15" i="9"/>
  <c r="AB15" i="9" s="1"/>
  <c r="Y15" i="9"/>
  <c r="X15" i="9"/>
  <c r="AC15" i="9" s="1"/>
  <c r="W15" i="9"/>
  <c r="V15" i="9"/>
  <c r="U15" i="9"/>
  <c r="AD15" i="9" s="1"/>
  <c r="T15" i="9"/>
  <c r="S15" i="9"/>
  <c r="R15" i="9"/>
  <c r="Q15" i="9"/>
  <c r="P15" i="9"/>
  <c r="O15" i="9"/>
  <c r="N15" i="9"/>
  <c r="M15" i="9"/>
  <c r="L15" i="9"/>
  <c r="K15" i="9"/>
  <c r="J15" i="9"/>
  <c r="I15" i="9"/>
  <c r="H15" i="9"/>
  <c r="G15" i="9"/>
  <c r="F15" i="9"/>
  <c r="E15" i="9"/>
  <c r="D15" i="9"/>
  <c r="C15" i="9"/>
  <c r="Z14" i="9"/>
  <c r="AB14" i="9" s="1"/>
  <c r="Y14" i="9"/>
  <c r="X14" i="9"/>
  <c r="AC14" i="9" s="1"/>
  <c r="W14" i="9"/>
  <c r="V14" i="9"/>
  <c r="U14" i="9"/>
  <c r="AD14" i="9" s="1"/>
  <c r="T14" i="9"/>
  <c r="S14" i="9"/>
  <c r="R14" i="9"/>
  <c r="Q14" i="9"/>
  <c r="P14" i="9"/>
  <c r="O14" i="9"/>
  <c r="N14" i="9"/>
  <c r="M14" i="9"/>
  <c r="L14" i="9"/>
  <c r="K14" i="9"/>
  <c r="J14" i="9"/>
  <c r="I14" i="9"/>
  <c r="H14" i="9"/>
  <c r="G14" i="9"/>
  <c r="F14" i="9"/>
  <c r="E14" i="9"/>
  <c r="D14" i="9"/>
  <c r="C14" i="9"/>
  <c r="AC13" i="9"/>
  <c r="AB13" i="9"/>
  <c r="Z13" i="9"/>
  <c r="Y13" i="9"/>
  <c r="X13" i="9"/>
  <c r="W13" i="9"/>
  <c r="V13" i="9"/>
  <c r="U13" i="9"/>
  <c r="AD13" i="9" s="1"/>
  <c r="T13" i="9"/>
  <c r="S13" i="9"/>
  <c r="R13" i="9"/>
  <c r="Q13" i="9"/>
  <c r="P13" i="9"/>
  <c r="O13" i="9"/>
  <c r="N13" i="9"/>
  <c r="M13" i="9"/>
  <c r="L13" i="9"/>
  <c r="K13" i="9"/>
  <c r="J13" i="9"/>
  <c r="I13" i="9"/>
  <c r="H13" i="9"/>
  <c r="G13" i="9"/>
  <c r="F13" i="9"/>
  <c r="E13" i="9"/>
  <c r="D13" i="9"/>
  <c r="C13" i="9"/>
  <c r="Z12" i="9"/>
  <c r="AB12" i="9" s="1"/>
  <c r="Y12" i="9"/>
  <c r="X12" i="9"/>
  <c r="AC12" i="9" s="1"/>
  <c r="W12" i="9"/>
  <c r="V12" i="9"/>
  <c r="U12" i="9"/>
  <c r="AD12" i="9" s="1"/>
  <c r="T12" i="9"/>
  <c r="S12" i="9"/>
  <c r="R12" i="9"/>
  <c r="Q12" i="9"/>
  <c r="P12" i="9"/>
  <c r="O12" i="9"/>
  <c r="N12" i="9"/>
  <c r="M12" i="9"/>
  <c r="L12" i="9"/>
  <c r="K12" i="9"/>
  <c r="J12" i="9"/>
  <c r="I12" i="9"/>
  <c r="H12" i="9"/>
  <c r="G12" i="9"/>
  <c r="F12" i="9"/>
  <c r="E12" i="9"/>
  <c r="D12" i="9"/>
  <c r="C12" i="9"/>
  <c r="Z11" i="9"/>
  <c r="AB11" i="9" s="1"/>
  <c r="Y11" i="9"/>
  <c r="AC11" i="9" s="1"/>
  <c r="X11" i="9"/>
  <c r="W11" i="9"/>
  <c r="V11" i="9"/>
  <c r="U11" i="9"/>
  <c r="AD11" i="9" s="1"/>
  <c r="T11" i="9"/>
  <c r="S11" i="9"/>
  <c r="R11" i="9"/>
  <c r="Q11" i="9"/>
  <c r="P11" i="9"/>
  <c r="O11" i="9"/>
  <c r="N11" i="9"/>
  <c r="M11" i="9"/>
  <c r="L11" i="9"/>
  <c r="K11" i="9"/>
  <c r="J11" i="9"/>
  <c r="I11" i="9"/>
  <c r="H11" i="9"/>
  <c r="G11" i="9"/>
  <c r="F11" i="9"/>
  <c r="E11" i="9"/>
  <c r="D11" i="9"/>
  <c r="C11" i="9"/>
  <c r="AC10" i="9"/>
  <c r="Z10" i="9"/>
  <c r="AB10" i="9" s="1"/>
  <c r="Y10" i="9"/>
  <c r="X10" i="9"/>
  <c r="W10" i="9"/>
  <c r="V10" i="9"/>
  <c r="U10" i="9"/>
  <c r="AD10" i="9" s="1"/>
  <c r="T10" i="9"/>
  <c r="S10" i="9"/>
  <c r="R10" i="9"/>
  <c r="Q10" i="9"/>
  <c r="P10" i="9"/>
  <c r="O10" i="9"/>
  <c r="N10" i="9"/>
  <c r="M10" i="9"/>
  <c r="L10" i="9"/>
  <c r="K10" i="9"/>
  <c r="J10" i="9"/>
  <c r="I10" i="9"/>
  <c r="H10" i="9"/>
  <c r="G10" i="9"/>
  <c r="F10" i="9"/>
  <c r="E10" i="9"/>
  <c r="D10" i="9"/>
  <c r="C10" i="9"/>
  <c r="AB9" i="9"/>
  <c r="Z9" i="9"/>
  <c r="Y9" i="9"/>
  <c r="X9" i="9"/>
  <c r="AC9" i="9" s="1"/>
  <c r="W9" i="9"/>
  <c r="V9" i="9"/>
  <c r="U9" i="9"/>
  <c r="AD9" i="9" s="1"/>
  <c r="T9" i="9"/>
  <c r="S9" i="9"/>
  <c r="R9" i="9"/>
  <c r="Q9" i="9"/>
  <c r="P9" i="9"/>
  <c r="O9" i="9"/>
  <c r="N9" i="9"/>
  <c r="M9" i="9"/>
  <c r="L9" i="9"/>
  <c r="K9" i="9"/>
  <c r="J9" i="9"/>
  <c r="I9" i="9"/>
  <c r="H9" i="9"/>
  <c r="G9" i="9"/>
  <c r="F9" i="9"/>
  <c r="E9" i="9"/>
  <c r="D9" i="9"/>
  <c r="C9" i="9"/>
  <c r="AB8" i="9"/>
  <c r="Z8" i="9"/>
  <c r="AC8" i="9" s="1"/>
  <c r="Y8" i="9"/>
  <c r="X8" i="9"/>
  <c r="W8" i="9"/>
  <c r="V8" i="9"/>
  <c r="U8" i="9"/>
  <c r="AD8" i="9" s="1"/>
  <c r="T8" i="9"/>
  <c r="S8" i="9"/>
  <c r="R8" i="9"/>
  <c r="Q8" i="9"/>
  <c r="P8" i="9"/>
  <c r="O8" i="9"/>
  <c r="N8" i="9"/>
  <c r="M8" i="9"/>
  <c r="L8" i="9"/>
  <c r="K8" i="9"/>
  <c r="J8" i="9"/>
  <c r="I8" i="9"/>
  <c r="H8" i="9"/>
  <c r="G8" i="9"/>
  <c r="F8" i="9"/>
  <c r="E8" i="9"/>
  <c r="D8" i="9"/>
  <c r="C8" i="9"/>
  <c r="Z7" i="9"/>
  <c r="AB7" i="9" s="1"/>
  <c r="Y7" i="9"/>
  <c r="X7" i="9"/>
  <c r="AC7" i="9" s="1"/>
  <c r="W7" i="9"/>
  <c r="V7" i="9"/>
  <c r="U7" i="9"/>
  <c r="AD7" i="9" s="1"/>
  <c r="T7" i="9"/>
  <c r="S7" i="9"/>
  <c r="R7" i="9"/>
  <c r="Q7" i="9"/>
  <c r="P7" i="9"/>
  <c r="O7" i="9"/>
  <c r="N7" i="9"/>
  <c r="M7" i="9"/>
  <c r="L7" i="9"/>
  <c r="K7" i="9"/>
  <c r="J7" i="9"/>
  <c r="I7" i="9"/>
  <c r="H7" i="9"/>
  <c r="G7" i="9"/>
  <c r="F7" i="9"/>
  <c r="E7" i="9"/>
  <c r="D7" i="9"/>
  <c r="C7" i="9"/>
  <c r="Z6" i="9"/>
  <c r="AB6" i="9" s="1"/>
  <c r="Y6" i="9"/>
  <c r="X6" i="9"/>
  <c r="AC6" i="9" s="1"/>
  <c r="W6" i="9"/>
  <c r="V6" i="9"/>
  <c r="U6" i="9"/>
  <c r="AD6" i="9" s="1"/>
  <c r="T6" i="9"/>
  <c r="S6" i="9"/>
  <c r="R6" i="9"/>
  <c r="Q6" i="9"/>
  <c r="P6" i="9"/>
  <c r="O6" i="9"/>
  <c r="N6" i="9"/>
  <c r="M6" i="9"/>
  <c r="L6" i="9"/>
  <c r="K6" i="9"/>
  <c r="J6" i="9"/>
  <c r="I6" i="9"/>
  <c r="H6" i="9"/>
  <c r="G6" i="9"/>
  <c r="F6" i="9"/>
  <c r="E6" i="9"/>
  <c r="D6" i="9"/>
  <c r="C6" i="9"/>
  <c r="V11" i="8"/>
  <c r="A11" i="8"/>
  <c r="V10" i="8"/>
  <c r="V9" i="8" s="1"/>
  <c r="V8" i="8" s="1"/>
  <c r="V7" i="8" s="1"/>
  <c r="V6" i="8" s="1"/>
  <c r="V5" i="8" s="1"/>
  <c r="V4" i="8" s="1"/>
  <c r="L2" i="8"/>
  <c r="L1" i="8"/>
  <c r="U11" i="8" s="1"/>
  <c r="U10" i="8" s="1"/>
  <c r="U9" i="8" s="1"/>
  <c r="U8" i="8" s="1"/>
  <c r="U7" i="8" s="1"/>
  <c r="U6" i="8" s="1"/>
  <c r="U5" i="8" s="1"/>
  <c r="U4" i="8" s="1"/>
  <c r="V11" i="7"/>
  <c r="A11" i="7"/>
  <c r="V10" i="7"/>
  <c r="V9" i="7" s="1"/>
  <c r="V8" i="7" s="1"/>
  <c r="V7" i="7" s="1"/>
  <c r="V6" i="7" s="1"/>
  <c r="V5" i="7" s="1"/>
  <c r="V4" i="7" s="1"/>
  <c r="L2" i="7"/>
  <c r="L1" i="7"/>
  <c r="U11" i="7" s="1"/>
  <c r="U10" i="7" s="1"/>
  <c r="U9" i="7" s="1"/>
  <c r="U8" i="7" s="1"/>
  <c r="U7" i="7" s="1"/>
  <c r="U6" i="7" s="1"/>
  <c r="U5" i="7" s="1"/>
  <c r="U4" i="7" s="1"/>
  <c r="V11" i="6"/>
  <c r="U11" i="6"/>
  <c r="N11" i="6"/>
  <c r="A11" i="6"/>
  <c r="V10" i="6"/>
  <c r="V9" i="6" s="1"/>
  <c r="V8" i="6" s="1"/>
  <c r="V7" i="6" s="1"/>
  <c r="V6" i="6" s="1"/>
  <c r="V5" i="6" s="1"/>
  <c r="V4" i="6" s="1"/>
  <c r="U10" i="6"/>
  <c r="U9" i="6"/>
  <c r="U8" i="6" s="1"/>
  <c r="U7" i="6" s="1"/>
  <c r="U6" i="6" s="1"/>
  <c r="U5" i="6" s="1"/>
  <c r="U4" i="6" s="1"/>
  <c r="F11" i="6" s="1"/>
  <c r="P26" i="1"/>
  <c r="Q25" i="1"/>
  <c r="P25" i="1"/>
  <c r="R25" i="1" s="1"/>
  <c r="P24" i="1"/>
  <c r="P23" i="1"/>
  <c r="P22" i="1"/>
  <c r="P21" i="1"/>
  <c r="P20" i="1"/>
  <c r="P19" i="1"/>
  <c r="P18" i="1"/>
  <c r="P17" i="1"/>
  <c r="P16" i="1"/>
  <c r="Q14" i="1"/>
  <c r="Q22" i="1" s="1"/>
  <c r="R22" i="1" s="1"/>
  <c r="Q20" i="1" l="1"/>
  <c r="R20" i="1" s="1"/>
  <c r="Q21" i="1"/>
  <c r="R21" i="1" s="1"/>
  <c r="Q17" i="1"/>
  <c r="R17" i="1" s="1"/>
  <c r="L11" i="7"/>
  <c r="N11" i="8"/>
  <c r="F11" i="8"/>
  <c r="M11" i="8"/>
  <c r="E11" i="8"/>
  <c r="M11" i="6"/>
  <c r="E11" i="6"/>
  <c r="F11" i="7"/>
  <c r="M11" i="7"/>
  <c r="E11" i="7"/>
  <c r="N11" i="7"/>
  <c r="L11" i="8"/>
  <c r="L11" i="6"/>
  <c r="AD38" i="9"/>
  <c r="AC53" i="9"/>
  <c r="Q23" i="1"/>
  <c r="R23" i="1" s="1"/>
  <c r="G11" i="6"/>
  <c r="O11" i="6"/>
  <c r="G11" i="7"/>
  <c r="O11" i="7"/>
  <c r="G11" i="8"/>
  <c r="O11" i="8"/>
  <c r="AB56" i="9"/>
  <c r="AD58" i="9"/>
  <c r="AB59" i="9"/>
  <c r="AB62" i="9"/>
  <c r="Q18" i="1"/>
  <c r="R18" i="1" s="1"/>
  <c r="Q26" i="1"/>
  <c r="R26" i="1" s="1"/>
  <c r="H11" i="6"/>
  <c r="P11" i="6"/>
  <c r="H11" i="7"/>
  <c r="P11" i="7"/>
  <c r="H11" i="8"/>
  <c r="P11" i="8"/>
  <c r="AC41" i="9"/>
  <c r="Q11" i="8"/>
  <c r="AD62" i="9"/>
  <c r="I11" i="6"/>
  <c r="Q16" i="1"/>
  <c r="R16" i="1" s="1"/>
  <c r="Q24" i="1"/>
  <c r="R24" i="1" s="1"/>
  <c r="J11" i="6"/>
  <c r="R11" i="7"/>
  <c r="A10" i="8"/>
  <c r="B11" i="8"/>
  <c r="Q11" i="6"/>
  <c r="I11" i="7"/>
  <c r="R11" i="6"/>
  <c r="A10" i="7"/>
  <c r="B11" i="7"/>
  <c r="J11" i="8"/>
  <c r="AB32" i="9"/>
  <c r="AD50" i="9"/>
  <c r="K11" i="6"/>
  <c r="C11" i="7"/>
  <c r="S11" i="7"/>
  <c r="K11" i="8"/>
  <c r="Q11" i="7"/>
  <c r="I11" i="8"/>
  <c r="A10" i="6"/>
  <c r="B11" i="6"/>
  <c r="J11" i="7"/>
  <c r="R11" i="8"/>
  <c r="AD66" i="9"/>
  <c r="Q19" i="1"/>
  <c r="R19" i="1" s="1"/>
  <c r="C11" i="6"/>
  <c r="S11" i="6"/>
  <c r="K11" i="7"/>
  <c r="C11" i="8"/>
  <c r="S11" i="8"/>
  <c r="AB64" i="9"/>
  <c r="D11" i="6"/>
  <c r="D11" i="7"/>
  <c r="D11" i="8"/>
  <c r="AC65" i="9"/>
  <c r="Z11" i="7" l="1"/>
  <c r="Y11" i="7"/>
  <c r="S10" i="7"/>
  <c r="K10" i="7"/>
  <c r="C10" i="7"/>
  <c r="R10" i="7"/>
  <c r="B10" i="7"/>
  <c r="Q10" i="7"/>
  <c r="E10" i="7"/>
  <c r="J10" i="7"/>
  <c r="A9" i="7"/>
  <c r="H10" i="7"/>
  <c r="I10" i="7"/>
  <c r="P10" i="7"/>
  <c r="O10" i="7"/>
  <c r="G10" i="7"/>
  <c r="N10" i="7"/>
  <c r="F10" i="7"/>
  <c r="M10" i="7"/>
  <c r="L10" i="7"/>
  <c r="D10" i="7"/>
  <c r="Y11" i="6"/>
  <c r="Z11" i="6"/>
  <c r="Z11" i="8"/>
  <c r="Y11" i="8"/>
  <c r="S10" i="6"/>
  <c r="K10" i="6"/>
  <c r="C10" i="6"/>
  <c r="R10" i="6"/>
  <c r="B10" i="6"/>
  <c r="E10" i="6"/>
  <c r="J10" i="6"/>
  <c r="A9" i="6"/>
  <c r="I10" i="6"/>
  <c r="P10" i="6"/>
  <c r="Q10" i="6"/>
  <c r="H10" i="6"/>
  <c r="O10" i="6"/>
  <c r="G10" i="6"/>
  <c r="N10" i="6"/>
  <c r="F10" i="6"/>
  <c r="L10" i="6"/>
  <c r="D10" i="6"/>
  <c r="M10" i="6"/>
  <c r="S10" i="8"/>
  <c r="K10" i="8"/>
  <c r="C10" i="8"/>
  <c r="R10" i="8"/>
  <c r="J10" i="8"/>
  <c r="A9" i="8"/>
  <c r="Q10" i="8"/>
  <c r="B10" i="8"/>
  <c r="I10" i="8"/>
  <c r="P10" i="8"/>
  <c r="H10" i="8"/>
  <c r="O10" i="8"/>
  <c r="G10" i="8"/>
  <c r="N10" i="8"/>
  <c r="F10" i="8"/>
  <c r="M10" i="8"/>
  <c r="L10" i="8"/>
  <c r="D10" i="8"/>
  <c r="E10" i="8"/>
  <c r="Z10" i="7" l="1"/>
  <c r="Y10" i="7"/>
  <c r="Z10" i="6"/>
  <c r="Y10" i="6"/>
  <c r="Z10" i="8"/>
  <c r="Y10" i="8"/>
  <c r="R9" i="7"/>
  <c r="J9" i="7"/>
  <c r="B9" i="7"/>
  <c r="A8" i="7"/>
  <c r="I9" i="7"/>
  <c r="P9" i="7"/>
  <c r="H9" i="7"/>
  <c r="O9" i="7"/>
  <c r="Q9" i="7"/>
  <c r="G9" i="7"/>
  <c r="L9" i="7"/>
  <c r="N9" i="7"/>
  <c r="F9" i="7"/>
  <c r="M9" i="7"/>
  <c r="E9" i="7"/>
  <c r="S9" i="7"/>
  <c r="K9" i="7"/>
  <c r="C9" i="7"/>
  <c r="D9" i="7"/>
  <c r="R9" i="8"/>
  <c r="J9" i="8"/>
  <c r="B9" i="8"/>
  <c r="A8" i="8"/>
  <c r="Q9" i="8"/>
  <c r="I9" i="8"/>
  <c r="P9" i="8"/>
  <c r="L9" i="8"/>
  <c r="H9" i="8"/>
  <c r="O9" i="8"/>
  <c r="G9" i="8"/>
  <c r="N9" i="8"/>
  <c r="F9" i="8"/>
  <c r="M9" i="8"/>
  <c r="E9" i="8"/>
  <c r="S9" i="8"/>
  <c r="K9" i="8"/>
  <c r="C9" i="8"/>
  <c r="D9" i="8"/>
  <c r="R9" i="6"/>
  <c r="J9" i="6"/>
  <c r="B9" i="6"/>
  <c r="A8" i="6"/>
  <c r="I9" i="6"/>
  <c r="O9" i="6"/>
  <c r="D9" i="6"/>
  <c r="Q9" i="6"/>
  <c r="H9" i="6"/>
  <c r="L9" i="6"/>
  <c r="P9" i="6"/>
  <c r="G9" i="6"/>
  <c r="N9" i="6"/>
  <c r="F9" i="6"/>
  <c r="M9" i="6"/>
  <c r="E9" i="6"/>
  <c r="S9" i="6"/>
  <c r="K9" i="6"/>
  <c r="C9" i="6"/>
  <c r="Q8" i="6" l="1"/>
  <c r="I8" i="6"/>
  <c r="H8" i="6"/>
  <c r="F8" i="6"/>
  <c r="P8" i="6"/>
  <c r="G8" i="6"/>
  <c r="N8" i="6"/>
  <c r="O8" i="6"/>
  <c r="M8" i="6"/>
  <c r="E8" i="6"/>
  <c r="L8" i="6"/>
  <c r="D8" i="6"/>
  <c r="R8" i="6"/>
  <c r="J8" i="6"/>
  <c r="B8" i="6"/>
  <c r="A7" i="6"/>
  <c r="S8" i="6"/>
  <c r="C8" i="6"/>
  <c r="K8" i="6"/>
  <c r="Z9" i="8"/>
  <c r="Y9" i="8"/>
  <c r="Z9" i="6"/>
  <c r="Y9" i="6"/>
  <c r="Q8" i="8"/>
  <c r="I8" i="8"/>
  <c r="H8" i="8"/>
  <c r="O8" i="8"/>
  <c r="P8" i="8"/>
  <c r="G8" i="8"/>
  <c r="N8" i="8"/>
  <c r="S8" i="8"/>
  <c r="F8" i="8"/>
  <c r="M8" i="8"/>
  <c r="E8" i="8"/>
  <c r="L8" i="8"/>
  <c r="D8" i="8"/>
  <c r="R8" i="8"/>
  <c r="J8" i="8"/>
  <c r="B8" i="8"/>
  <c r="A7" i="8"/>
  <c r="K8" i="8"/>
  <c r="C8" i="8"/>
  <c r="Q8" i="7"/>
  <c r="I8" i="7"/>
  <c r="P8" i="7"/>
  <c r="H8" i="7"/>
  <c r="K8" i="7"/>
  <c r="G8" i="7"/>
  <c r="F8" i="7"/>
  <c r="O8" i="7"/>
  <c r="N8" i="7"/>
  <c r="S8" i="7"/>
  <c r="M8" i="7"/>
  <c r="E8" i="7"/>
  <c r="L8" i="7"/>
  <c r="D8" i="7"/>
  <c r="R8" i="7"/>
  <c r="J8" i="7"/>
  <c r="B8" i="7"/>
  <c r="A7" i="7"/>
  <c r="C8" i="7"/>
  <c r="Z9" i="7"/>
  <c r="Y9" i="7"/>
  <c r="P7" i="8" l="1"/>
  <c r="H7" i="8"/>
  <c r="G7" i="8"/>
  <c r="A6" i="8"/>
  <c r="O7" i="8"/>
  <c r="F7" i="8"/>
  <c r="M7" i="8"/>
  <c r="N7" i="8"/>
  <c r="B7" i="8"/>
  <c r="E7" i="8"/>
  <c r="L7" i="8"/>
  <c r="D7" i="8"/>
  <c r="S7" i="8"/>
  <c r="K7" i="8"/>
  <c r="C7" i="8"/>
  <c r="Q7" i="8"/>
  <c r="I7" i="8"/>
  <c r="R7" i="8"/>
  <c r="J7" i="8"/>
  <c r="Y8" i="8"/>
  <c r="Z8" i="8"/>
  <c r="Z8" i="6"/>
  <c r="Y8" i="6"/>
  <c r="P7" i="7"/>
  <c r="H7" i="7"/>
  <c r="O7" i="7"/>
  <c r="G7" i="7"/>
  <c r="N7" i="7"/>
  <c r="M7" i="7"/>
  <c r="E7" i="7"/>
  <c r="R7" i="7"/>
  <c r="F7" i="7"/>
  <c r="L7" i="7"/>
  <c r="D7" i="7"/>
  <c r="S7" i="7"/>
  <c r="K7" i="7"/>
  <c r="C7" i="7"/>
  <c r="Q7" i="7"/>
  <c r="I7" i="7"/>
  <c r="J7" i="7"/>
  <c r="A6" i="7"/>
  <c r="B7" i="7"/>
  <c r="P7" i="6"/>
  <c r="H7" i="6"/>
  <c r="F7" i="6"/>
  <c r="M7" i="6"/>
  <c r="O7" i="6"/>
  <c r="G7" i="6"/>
  <c r="E7" i="6"/>
  <c r="N7" i="6"/>
  <c r="L7" i="6"/>
  <c r="D7" i="6"/>
  <c r="S7" i="6"/>
  <c r="K7" i="6"/>
  <c r="C7" i="6"/>
  <c r="Q7" i="6"/>
  <c r="I7" i="6"/>
  <c r="R7" i="6"/>
  <c r="J7" i="6"/>
  <c r="B7" i="6"/>
  <c r="A6" i="6"/>
  <c r="Z8" i="7"/>
  <c r="Y8" i="7"/>
  <c r="O6" i="6" l="1"/>
  <c r="G6" i="6"/>
  <c r="E6" i="6"/>
  <c r="N6" i="6"/>
  <c r="F6" i="6"/>
  <c r="D6" i="6"/>
  <c r="M6" i="6"/>
  <c r="L6" i="6"/>
  <c r="S6" i="6"/>
  <c r="K6" i="6"/>
  <c r="C6" i="6"/>
  <c r="R6" i="6"/>
  <c r="J6" i="6"/>
  <c r="B6" i="6"/>
  <c r="P6" i="6"/>
  <c r="H6" i="6"/>
  <c r="Q6" i="6"/>
  <c r="I6" i="6"/>
  <c r="O6" i="8"/>
  <c r="G6" i="8"/>
  <c r="N6" i="8"/>
  <c r="L6" i="8"/>
  <c r="F6" i="8"/>
  <c r="E6" i="8"/>
  <c r="D6" i="8"/>
  <c r="I6" i="8"/>
  <c r="M6" i="8"/>
  <c r="S6" i="8"/>
  <c r="K6" i="8"/>
  <c r="C6" i="8"/>
  <c r="R6" i="8"/>
  <c r="J6" i="8"/>
  <c r="B6" i="8"/>
  <c r="P6" i="8"/>
  <c r="H6" i="8"/>
  <c r="Q6" i="8"/>
  <c r="Y7" i="7"/>
  <c r="Z7" i="7"/>
  <c r="Y7" i="6"/>
  <c r="Z7" i="6"/>
  <c r="O6" i="7"/>
  <c r="G6" i="7"/>
  <c r="F6" i="7"/>
  <c r="M6" i="7"/>
  <c r="D6" i="7"/>
  <c r="I6" i="7"/>
  <c r="N6" i="7"/>
  <c r="L6" i="7"/>
  <c r="E6" i="7"/>
  <c r="Q6" i="7"/>
  <c r="S6" i="7"/>
  <c r="K6" i="7"/>
  <c r="C6" i="7"/>
  <c r="R6" i="7"/>
  <c r="J6" i="7"/>
  <c r="B6" i="7"/>
  <c r="P6" i="7"/>
  <c r="H6" i="7"/>
  <c r="Z7" i="8"/>
  <c r="Y7" i="8"/>
  <c r="Z6" i="7" l="1"/>
  <c r="Y6" i="7"/>
  <c r="Z6" i="8"/>
  <c r="Y6" i="8"/>
  <c r="Z6" i="6"/>
  <c r="Y6" i="6"/>
</calcChain>
</file>

<file path=xl/sharedStrings.xml><?xml version="1.0" encoding="utf-8"?>
<sst xmlns="http://schemas.openxmlformats.org/spreadsheetml/2006/main" count="1059" uniqueCount="453">
  <si>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</si>
  <si>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</si>
  <si>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</si>
  <si>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</si>
  <si>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</si>
  <si>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</si>
  <si>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</si>
  <si>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</si>
  <si>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</si>
  <si>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</si>
  <si>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</si>
  <si>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</si>
  <si>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</si>
  <si>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</si>
  <si>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</si>
  <si>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</si>
  <si>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</si>
  <si>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</si>
  <si>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</si>
  <si>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</si>
  <si>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</si>
  <si>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</si>
  <si>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</si>
  <si>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</si>
  <si>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</si>
  <si>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</si>
  <si>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</si>
  <si>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</si>
  <si>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</si>
  <si>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</si>
  <si>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</si>
  <si>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</si>
  <si>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</si>
  <si>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</si>
  <si>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</si>
  <si>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</si>
  <si>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</si>
  <si>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</si>
  <si>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</si>
  <si>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</si>
  <si>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</si>
  <si>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</si>
  <si>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</si>
  <si>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</si>
  <si>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</si>
  <si>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</si>
  <si>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</si>
  <si>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</si>
  <si>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</si>
  <si>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</si>
  <si>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NEW_ORDERS</t>
  </si>
  <si>
    <t>IMPORTS</t>
  </si>
  <si>
    <t>BACKLOG_OF_ORDERS</t>
  </si>
  <si>
    <t>PRICES</t>
  </si>
  <si>
    <t>BUSINESS_ACTIVITY</t>
  </si>
  <si>
    <t>INVENTORY_SENTIMENT</t>
  </si>
  <si>
    <t>INVENTORIES</t>
  </si>
  <si>
    <t>DELIVERIES</t>
  </si>
  <si>
    <t>EMPLOYMENT</t>
  </si>
  <si>
    <t>EXPORTS</t>
  </si>
  <si>
    <t>ISM_SERVICES</t>
  </si>
  <si>
    <t>SP500</t>
  </si>
  <si>
    <t>GDPC1</t>
  </si>
  <si>
    <t>GDPQoQ</t>
  </si>
  <si>
    <t>GDPYoY</t>
  </si>
  <si>
    <t>GDPQoQ_ANNUALIZED</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</si>
  <si>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</si>
  <si>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</si>
  <si>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</si>
  <si>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</si>
  <si>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</si>
  <si>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</si>
  <si>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</si>
  <si>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</si>
  <si>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</si>
  <si>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</si>
  <si>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</si>
  <si>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</si>
  <si>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</si>
  <si>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</si>
  <si>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</si>
  <si>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</si>
  <si>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“Supply chain challenges to procure supplies for our restaurants remains our greatest obstacle at present, along with staffing needs. We are considering another price increase after just one in 2021, in August.” [Accommodation &amp; Food Services]</t>
  </si>
  <si>
    <t>“Supply chain challenges to procure supplies for our restaurants remains our greatest obstacle at present, along with staffing needs. We are considering another price increase after just one in 2021, in August.”</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</si>
  <si>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</si>
  <si>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</si>
  <si>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</si>
  <si>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</si>
  <si>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</si>
  <si>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</si>
  <si>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</si>
  <si>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</si>
  <si>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</si>
  <si>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</si>
  <si>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</si>
  <si>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</si>
  <si>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</si>
  <si>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</si>
  <si>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</si>
  <si>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</si>
  <si>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</si>
  <si>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</si>
  <si>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</si>
  <si>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</si>
  <si>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</si>
  <si>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</si>
  <si>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</si>
  <si>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</si>
  <si>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</si>
  <si>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</si>
  <si>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</si>
  <si>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</si>
  <si>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</si>
  <si>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“Supply chain issues continue, but our business is adapting.”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</si>
  <si>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</si>
  <si>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</si>
  <si>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</si>
  <si>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</si>
  <si>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</si>
  <si>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</si>
  <si>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</si>
  <si>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</si>
  <si>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</si>
  <si>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</si>
  <si>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</si>
  <si>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</si>
  <si>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</si>
  <si>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</si>
  <si>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</si>
  <si>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</si>
  <si>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</si>
  <si>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</si>
  <si>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</si>
  <si>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</si>
  <si>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</si>
  <si>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</si>
  <si>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</si>
  <si>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“The escalation in costs for materials, fuel, labor, lodging and the like continues to negatively impact margins in an unsustainable direction.”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</si>
  <si>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</si>
  <si>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</si>
  <si>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</si>
  <si>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</si>
  <si>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</si>
  <si>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</si>
  <si>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</si>
  <si>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</si>
  <si>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</si>
  <si>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</si>
  <si>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</si>
  <si>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</si>
  <si>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</si>
  <si>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</si>
  <si>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</si>
  <si>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</si>
  <si>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</si>
  <si>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</si>
  <si>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</si>
  <si>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</si>
  <si>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</si>
  <si>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</si>
  <si>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</si>
  <si>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</si>
  <si>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</si>
  <si>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</si>
  <si>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</si>
  <si>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</si>
  <si>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</si>
  <si>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</si>
  <si>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</si>
  <si>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</si>
  <si>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</si>
  <si>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</si>
  <si>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</si>
  <si>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</si>
  <si>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</si>
  <si>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</si>
  <si>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</si>
  <si>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</si>
  <si>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</si>
  <si>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</si>
  <si>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</si>
  <si>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</si>
  <si>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</si>
  <si>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</si>
  <si>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</si>
  <si>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</si>
  <si>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</si>
  <si>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</si>
  <si>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</si>
  <si>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</si>
  <si>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</si>
  <si>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</si>
  <si>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“Higher than normal employee attrition within our own company and at our suppliers, which is causing disruptions and delays.”</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</si>
  <si>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</si>
  <si>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</si>
  <si>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</si>
  <si>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</si>
  <si>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</si>
  <si>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</si>
  <si>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</si>
  <si>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</si>
  <si>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</si>
  <si>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</si>
  <si>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</si>
  <si>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</si>
  <si>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</si>
  <si>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</si>
  <si>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</si>
  <si>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</si>
  <si>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</si>
  <si>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</si>
  <si>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</si>
  <si>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</si>
  <si>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</si>
  <si>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</si>
  <si>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</si>
  <si>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</si>
  <si>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</si>
  <si>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</si>
  <si>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</si>
  <si>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</si>
  <si>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</si>
  <si>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</si>
  <si>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</si>
  <si>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</si>
  <si>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</si>
  <si>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</si>
  <si>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</si>
  <si>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</si>
  <si>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</si>
  <si>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</si>
  <si>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</si>
  <si>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</si>
  <si>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</si>
  <si>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</si>
  <si>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</si>
  <si>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</si>
  <si>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</si>
  <si>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</si>
  <si>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</si>
  <si>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</si>
  <si>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</si>
  <si>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</si>
  <si>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</si>
  <si>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</si>
  <si>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</si>
  <si>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</si>
  <si>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</si>
  <si>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</si>
  <si>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</si>
  <si>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</si>
  <si>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</si>
  <si>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</si>
  <si>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</si>
  <si>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</si>
  <si>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</si>
  <si>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</si>
  <si>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</si>
  <si>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</si>
  <si>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</si>
  <si>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</si>
  <si>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</si>
  <si>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</si>
  <si>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</si>
  <si>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</si>
  <si>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</si>
  <si>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</si>
  <si>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</si>
  <si>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</si>
  <si>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</si>
  <si>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</si>
  <si>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</si>
  <si>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</si>
  <si>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</si>
  <si>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</si>
  <si>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</si>
  <si>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</si>
  <si>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</si>
  <si>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</si>
  <si>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</si>
  <si>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</si>
  <si>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</si>
  <si>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</si>
  <si>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</si>
  <si>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</si>
  <si>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</si>
  <si>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</si>
  <si>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</si>
  <si>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</si>
  <si>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</si>
  <si>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</si>
  <si>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</si>
  <si>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</si>
  <si>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</si>
  <si>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</si>
  <si>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</si>
  <si>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</si>
  <si>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</si>
  <si>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</si>
  <si>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</si>
  <si>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</si>
  <si>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</si>
  <si>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</si>
  <si>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</si>
  <si>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</si>
  <si>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</si>
  <si>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</si>
  <si>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</si>
  <si>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</si>
  <si>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</si>
  <si>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</si>
  <si>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</si>
  <si>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</si>
  <si>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</si>
  <si>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</si>
  <si>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“Electronic chip (shortage) is severely affecting deliveries from our supply base, thus impacting our ability to deliver to customers.”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</si>
  <si>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</si>
  <si>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</si>
  <si>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</si>
  <si>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</si>
  <si>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</si>
  <si>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</si>
  <si>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</si>
  <si>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</si>
  <si>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</si>
  <si>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</si>
  <si>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</si>
  <si>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</si>
  <si>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</si>
  <si>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</si>
  <si>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</si>
  <si>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</si>
  <si>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</si>
  <si>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</si>
  <si>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</si>
  <si>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</si>
  <si>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</si>
  <si>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</si>
  <si>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</si>
  <si>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</si>
  <si>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</si>
  <si>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</si>
  <si>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</si>
  <si>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</si>
  <si>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</si>
  <si>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</si>
  <si>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</si>
  <si>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</si>
  <si>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</si>
  <si>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</si>
  <si>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</si>
  <si>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</si>
  <si>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</si>
  <si>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</si>
  <si>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</si>
  <si>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</si>
  <si>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</si>
  <si>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</si>
  <si>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</si>
  <si>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</si>
  <si>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</si>
  <si>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</si>
  <si>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</si>
  <si>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</si>
  <si>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</si>
  <si>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</si>
  <si>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</si>
  <si>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</si>
  <si>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</si>
  <si>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</si>
  <si>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</si>
  <si>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</si>
  <si>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</si>
  <si>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</si>
  <si>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</si>
  <si>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“Long lead times, transportation bottlenecks, delivery inconsistency and price increases continue to affect a range of products.”</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</si>
  <si>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</si>
  <si>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</si>
  <si>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</si>
  <si>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</si>
  <si>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</si>
  <si>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</si>
  <si>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</si>
  <si>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</si>
  <si>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</si>
  <si>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</si>
  <si>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</si>
  <si>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</si>
  <si>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</si>
  <si>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</si>
  <si>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</si>
  <si>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</si>
  <si>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</si>
  <si>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</si>
  <si>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</si>
  <si>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</si>
  <si>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</si>
  <si>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</si>
  <si>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</si>
  <si>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</si>
  <si>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</si>
  <si>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</si>
  <si>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</si>
  <si>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</si>
  <si>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</si>
  <si>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</si>
  <si>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</si>
  <si>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</si>
  <si>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</si>
  <si>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</si>
  <si>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</si>
  <si>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</si>
  <si>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</si>
  <si>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</si>
  <si>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</si>
  <si>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</si>
  <si>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</si>
  <si>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</si>
  <si>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</si>
  <si>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</si>
  <si>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</si>
  <si>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</si>
  <si>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</si>
  <si>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</si>
  <si>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</si>
  <si>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</si>
  <si>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“Demand is good, but supply chain issues continue to get worse. Trucking availability is worsening. Labor shortages are causing issues. We could do much more business if we had more people and access to more products.”</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</si>
  <si>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</si>
  <si>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</si>
  <si>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</si>
  <si>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</si>
  <si>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</si>
  <si>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</si>
  <si>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</si>
  <si>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</si>
  <si>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</si>
  <si>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</si>
  <si>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</si>
  <si>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</si>
  <si>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</si>
  <si>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</si>
  <si>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</si>
  <si>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</si>
  <si>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</si>
  <si>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</si>
  <si>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</si>
  <si>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</si>
  <si>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</si>
  <si>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</si>
  <si>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</si>
  <si>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</si>
  <si>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</si>
  <si>
    <t>Arts, Entertainment &amp; Reaction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</si>
</sst>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2"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0" fillId="0" borderId="0"/>
  </cellStyleXfs>
  <cellXfs count="93">
    <xf numFmtId="0" fontId="0" fillId="0" borderId="0" xfId="0"/>
    <xf numFmtId="0" fontId="6" fillId="0" borderId="0" xfId="1" applyFont="1"/>
    <xf numFmtId="0" fontId="3" fillId="4" borderId="1" xfId="1" applyFont="1" applyFill="1" applyBorder="1"/>
    <xf numFmtId="0" fontId="3" fillId="3" borderId="5" xfId="0" applyFont="1" applyFill="1" applyBorder="1"/>
    <xf numFmtId="0" fontId="3" fillId="3" borderId="7"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9" fillId="0" borderId="0" xfId="2"/>
    <xf numFmtId="0" fontId="5" fillId="2" borderId="0" xfId="0" applyFont="1" applyFill="1"/>
    <xf numFmtId="0" fontId="0" fillId="2" borderId="0" xfId="0" applyFill="1" applyAlignment="1">
      <alignment horizontal="center"/>
    </xf>
    <xf numFmtId="0" fontId="14" fillId="0" borderId="0" xfId="0" applyFont="1"/>
    <xf numFmtId="0" fontId="0" fillId="2" borderId="0" xfId="0" applyFill="1" applyAlignment="1">
      <alignment vertical="center"/>
    </xf>
    <xf numFmtId="0" fontId="15" fillId="2" borderId="0" xfId="0" applyFont="1" applyFill="1"/>
    <xf numFmtId="14" fontId="16" fillId="2" borderId="17" xfId="0" applyNumberFormat="1" applyFont="1" applyFill="1" applyBorder="1" applyAlignment="1">
      <alignment horizontal="center"/>
    </xf>
    <xf numFmtId="14" fontId="12" fillId="2" borderId="17" xfId="0" applyNumberFormat="1" applyFont="1" applyFill="1" applyBorder="1" applyAlignment="1">
      <alignment horizontal="center"/>
    </xf>
    <xf numFmtId="0" fontId="12" fillId="2" borderId="13" xfId="0" applyFont="1" applyFill="1" applyBorder="1" applyAlignment="1">
      <alignment horizontal="center"/>
    </xf>
    <xf numFmtId="0" fontId="12" fillId="5" borderId="1" xfId="0" applyFont="1" applyFill="1" applyBorder="1"/>
    <xf numFmtId="0" fontId="12" fillId="2" borderId="3" xfId="0" applyFont="1" applyFill="1" applyBorder="1" applyAlignment="1">
      <alignment horizontal="center"/>
    </xf>
    <xf numFmtId="0" fontId="12" fillId="2" borderId="14"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19" xfId="0" applyFill="1" applyBorder="1" applyAlignment="1">
      <alignment horizontal="center"/>
    </xf>
    <xf numFmtId="164" fontId="0" fillId="2" borderId="20" xfId="3" applyNumberFormat="1" applyFont="1" applyFill="1" applyBorder="1" applyAlignment="1">
      <alignment horizontal="center"/>
    </xf>
    <xf numFmtId="164" fontId="0" fillId="2" borderId="22" xfId="3" applyNumberFormat="1" applyFont="1" applyFill="1" applyBorder="1" applyAlignment="1">
      <alignment horizontal="center"/>
    </xf>
    <xf numFmtId="0" fontId="0" fillId="2" borderId="24" xfId="0" applyFill="1" applyBorder="1" applyAlignment="1">
      <alignment horizontal="center"/>
    </xf>
    <xf numFmtId="164" fontId="0" fillId="2" borderId="25" xfId="3" applyNumberFormat="1" applyFont="1" applyFill="1" applyBorder="1" applyAlignment="1">
      <alignment horizontal="center"/>
    </xf>
    <xf numFmtId="0" fontId="12" fillId="2" borderId="0" xfId="0" applyFont="1" applyFill="1"/>
    <xf numFmtId="0" fontId="3" fillId="2" borderId="0" xfId="0" applyFont="1" applyFill="1" applyAlignment="1">
      <alignment horizontal="center"/>
    </xf>
    <xf numFmtId="0" fontId="4" fillId="2" borderId="0" xfId="0" applyFont="1" applyFill="1"/>
    <xf numFmtId="17" fontId="18" fillId="2" borderId="4" xfId="0" applyNumberFormat="1" applyFont="1" applyFill="1" applyBorder="1" applyAlignment="1">
      <alignment horizontal="center" vertical="center"/>
    </xf>
    <xf numFmtId="17" fontId="18" fillId="2" borderId="6"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19" xfId="0" applyFill="1" applyBorder="1"/>
    <xf numFmtId="0" fontId="0" fillId="2" borderId="20" xfId="0" applyFill="1" applyBorder="1"/>
    <xf numFmtId="0" fontId="0" fillId="2" borderId="22" xfId="0" applyFill="1" applyBorder="1"/>
    <xf numFmtId="0" fontId="0" fillId="2" borderId="24" xfId="0" applyFill="1" applyBorder="1"/>
    <xf numFmtId="0" fontId="0" fillId="2" borderId="25" xfId="0" applyFill="1" applyBorder="1"/>
    <xf numFmtId="17" fontId="15" fillId="2" borderId="0" xfId="0" applyNumberFormat="1" applyFont="1" applyFill="1"/>
    <xf numFmtId="0" fontId="20" fillId="6" borderId="1" xfId="0" applyFont="1" applyFill="1" applyBorder="1" applyAlignment="1">
      <alignment wrapText="1"/>
    </xf>
    <xf numFmtId="0" fontId="9" fillId="2" borderId="0" xfId="2" applyFill="1"/>
    <xf numFmtId="0" fontId="12" fillId="6" borderId="2" xfId="0" applyFont="1" applyFill="1" applyBorder="1" applyAlignment="1">
      <alignment horizontal="center" wrapText="1"/>
    </xf>
    <xf numFmtId="0" fontId="12" fillId="6" borderId="15" xfId="0" applyFont="1" applyFill="1" applyBorder="1" applyAlignment="1">
      <alignment horizontal="center" wrapText="1"/>
    </xf>
    <xf numFmtId="0" fontId="12" fillId="6" borderId="16" xfId="0" applyFont="1" applyFill="1" applyBorder="1" applyAlignment="1">
      <alignment horizontal="center" wrapText="1"/>
    </xf>
    <xf numFmtId="14" fontId="1" fillId="2" borderId="7" xfId="0" applyNumberFormat="1" applyFont="1" applyFill="1" applyBorder="1" applyAlignment="1">
      <alignment horizontal="center"/>
    </xf>
    <xf numFmtId="2" fontId="1" fillId="2" borderId="7" xfId="0" applyNumberFormat="1" applyFont="1" applyFill="1" applyBorder="1" applyAlignment="1">
      <alignment horizontal="center"/>
    </xf>
    <xf numFmtId="0" fontId="1" fillId="2" borderId="7" xfId="0" applyFont="1" applyFill="1" applyBorder="1" applyAlignment="1">
      <alignment horizontal="center"/>
    </xf>
    <xf numFmtId="0" fontId="0" fillId="2" borderId="7" xfId="0" applyFill="1" applyBorder="1" applyAlignment="1">
      <alignment horizontal="center"/>
    </xf>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0" fontId="19" fillId="6" borderId="27" xfId="0" applyFont="1" applyFill="1" applyBorder="1" applyAlignment="1">
      <alignment horizontal="center" vertical="center"/>
    </xf>
    <xf numFmtId="164" fontId="21" fillId="6" borderId="28" xfId="0" applyNumberFormat="1" applyFont="1" applyFill="1" applyBorder="1" applyAlignment="1">
      <alignment horizontal="center" vertical="center" wrapText="1"/>
    </xf>
    <xf numFmtId="10" fontId="21" fillId="6" borderId="29" xfId="0" applyNumberFormat="1" applyFont="1" applyFill="1" applyBorder="1" applyAlignment="1">
      <alignment horizontal="center" vertical="center" wrapText="1"/>
    </xf>
    <xf numFmtId="164" fontId="21" fillId="6" borderId="29" xfId="0" applyNumberFormat="1" applyFont="1" applyFill="1" applyBorder="1" applyAlignment="1">
      <alignment horizontal="center" vertical="center" wrapText="1"/>
    </xf>
    <xf numFmtId="2" fontId="21" fillId="6" borderId="30"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12" fillId="6" borderId="11" xfId="0" applyFont="1" applyFill="1" applyBorder="1" applyAlignment="1">
      <alignment horizontal="center"/>
    </xf>
    <xf numFmtId="0" fontId="12" fillId="6" borderId="12" xfId="0" applyFont="1" applyFill="1" applyBorder="1" applyAlignment="1">
      <alignment horizontal="center"/>
    </xf>
    <xf numFmtId="0" fontId="12" fillId="6" borderId="13" xfId="0" applyFont="1" applyFill="1" applyBorder="1" applyAlignment="1">
      <alignment horizontal="center"/>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2" fillId="5" borderId="31" xfId="0" applyFont="1" applyFill="1" applyBorder="1" applyAlignment="1">
      <alignment horizontal="center"/>
    </xf>
    <xf numFmtId="0" fontId="0" fillId="0" borderId="15" xfId="0" applyBorder="1"/>
    <xf numFmtId="0" fontId="0" fillId="0" borderId="16" xfId="0" applyBorder="1"/>
    <xf numFmtId="0" fontId="12" fillId="2" borderId="10" xfId="0" applyFont="1" applyFill="1" applyBorder="1" applyAlignment="1">
      <alignment horizontal="center" vertical="center"/>
    </xf>
    <xf numFmtId="0" fontId="0" fillId="2" borderId="0" xfId="0" applyFill="1"/>
    <xf numFmtId="0" fontId="0" fillId="0" borderId="10" xfId="0" applyBorder="1"/>
    <xf numFmtId="0" fontId="11" fillId="6" borderId="31" xfId="0" applyFont="1" applyFill="1" applyBorder="1" applyAlignment="1">
      <alignment horizontal="center"/>
    </xf>
    <xf numFmtId="0" fontId="12" fillId="5" borderId="1" xfId="0" applyFont="1" applyFill="1" applyBorder="1" applyAlignment="1">
      <alignment horizontal="center"/>
    </xf>
    <xf numFmtId="0" fontId="0" fillId="0" borderId="8" xfId="0" applyBorder="1"/>
    <xf numFmtId="0" fontId="0" fillId="0" borderId="9" xfId="0" applyBorder="1"/>
    <xf numFmtId="0" fontId="13" fillId="2" borderId="0" xfId="0" applyFont="1" applyFill="1" applyAlignment="1">
      <alignment wrapText="1"/>
    </xf>
    <xf numFmtId="0" fontId="12" fillId="5" borderId="21" xfId="0" applyFont="1" applyFill="1" applyBorder="1" applyAlignment="1">
      <alignment horizontal="center" wrapText="1"/>
    </xf>
    <xf numFmtId="0" fontId="0" fillId="2" borderId="0" xfId="0" applyFill="1" applyAlignment="1">
      <alignment wrapText="1"/>
    </xf>
    <xf numFmtId="0" fontId="12" fillId="5" borderId="18" xfId="0" applyFont="1" applyFill="1" applyBorder="1" applyAlignment="1">
      <alignment horizontal="center" wrapText="1"/>
    </xf>
    <xf numFmtId="0" fontId="0" fillId="0" borderId="32" xfId="0" applyBorder="1"/>
    <xf numFmtId="0" fontId="12" fillId="5" borderId="23" xfId="0" applyFont="1" applyFill="1" applyBorder="1" applyAlignment="1">
      <alignment horizontal="center" wrapText="1"/>
    </xf>
    <xf numFmtId="0" fontId="0" fillId="0" borderId="33" xfId="0" applyBorder="1"/>
    <xf numFmtId="0" fontId="17" fillId="6" borderId="31" xfId="0" applyFont="1" applyFill="1" applyBorder="1" applyAlignment="1">
      <alignment horizontal="center" vertical="center"/>
    </xf>
    <xf numFmtId="0" fontId="0" fillId="0" borderId="26" xfId="0" applyBorder="1"/>
    <xf numFmtId="0" fontId="18" fillId="2" borderId="4" xfId="0" applyFont="1" applyFill="1" applyBorder="1" applyAlignment="1">
      <alignment horizontal="center" vertical="center"/>
    </xf>
    <xf numFmtId="0" fontId="0" fillId="0" borderId="5" xfId="0" applyBorder="1"/>
    <xf numFmtId="0" fontId="15"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F72B-C04B-A4CC-5E44C6374984}"/>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3CA-B64E-A43F-FAAEC280CD82}"/>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8D66-574E-A6EA-C20CC83BD8FE}"/>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1839-724F-9922-9FA57A7B8BA3}"/>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8303-7947-B7B8-0FFB51483B4A}"/>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C929-394F-89C4-D1A9F1D7B805}"/>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3EDC-1046-852E-90C6B49963D2}"/>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4168-1D4B-B19B-1284D25B9E7C}"/>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2977-0E43-956B-049FA9177522}"/>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756D-CB4E-8A54-D4317942B4E0}"/>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34CC-9745-BE2D-4BBCCC192FAC}"/>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7DBB-604B-BA74-7681A8C0A5DB}"/>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1041-E14F-93BC-7B7681C7BE0F}"/>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4C25-0D49-A552-AB3C539DC635}"/>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7777-6244-8F2C-A593AA961BAE}"/>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4075-AE4A-9B9E-035A58EB58B8}"/>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BDA3-3D47-AD19-1484044235E1}"/>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C201-694C-A6E4-BE20D06EBACB}"/>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E917-E242-95FD-6BC67F3A36E2}"/>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7750-7141-8BB3-91C9FD53B377}"/>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84EA-6D46-AE10-66109E823B42}"/>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E6B0-104F-9C40-1986FB6AAF02}"/>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0D55-AB41-A38F-532D8E13CC74}"/>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F010-8742-A4ED-8E03143DD7DD}"/>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009A-9040-AC02-5A4639DBDAC4}"/>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C981-524B-9E89-10F9933D3FF5}"/>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72CD-F44B-8ED3-64FCD7424674}"/>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532A-B54E-A4B3-16F78951AD84}"/>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C96F-9348-8C9C-AC0D83CC97C8}"/>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F16D-F949-8B3C-93F0DD2906B2}"/>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4E6A-F247-924E-8E1DDD765615}"/>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1882-9D46-BE7D-DCC20CE3C5C6}"/>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5DFA-DC4D-A0E0-D00DE79449A1}"/>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5DE1-C04F-BFC0-F7C4C563EEC2}"/>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54E6-DE4B-B2D7-9E4593E500BA}"/>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8B28-BC4A-8579-C878F38801A5}"/>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D271-7F43-863E-22F88839A031}"/>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4563-084D-86FD-6F2B2C08A8DD}"/>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5C78-0642-AA0D-83EC3077EC19}"/>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1A4B-564A-8F72-E2D1F77DC54A}"/>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7550-E34C-8680-C653B57CC49E}"/>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28A3-A641-A0F2-9CA0BB62C1CD}"/>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8DEF-ED4F-BB57-1CDDF3735EB2}"/>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3AA5-DA48-ADEC-BBCB2E3DE287}"/>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35F0-DE4F-9FBE-0462E43AA68A}"/>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9E86-1244-A3D6-66DE281DE049}"/>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5E76-D54F-A10D-8E628F1CE4E6}"/>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6613-8B41-8E99-BD9961130F0B}"/>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A275-A842-AAF0-22E45A5B35E0}"/>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3E7E-D147-A5D3-87AAE9FF70BF}"/>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1BC4-5C48-AD3D-CA1E338F3DCB}"/>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EC00-0C4A-85DD-D55F610D22E9}"/>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FC42-D848-85A0-884FA0847211}"/>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C3B6-414B-A18C-86F6A3170EE8}"/>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2F09-0F4E-8D2C-5A07B7FD4501}"/>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A657-4243-A8AD-A7FA59A3F01C}"/>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9F4-C445-86E9-013F06054BC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0">
                  <c:v>0</c:v>
                </c:pt>
                <c:pt idx="1">
                  <c:v>0</c:v>
                </c:pt>
                <c:pt idx="2">
                  <c:v>0</c:v>
                </c:pt>
                <c:pt idx="3">
                  <c:v>0</c:v>
                </c:pt>
                <c:pt idx="4">
                  <c:v>0</c:v>
                </c:pt>
                <c:pt idx="5">
                  <c:v>0</c:v>
                </c:pt>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3953-3146-AF68-8EF02DF122ED}"/>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2FC3-FD40-A2D3-F99F40E4D99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4336-5E42-BE27-11D807C42C6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F546-B84B-9F6C-F312A542092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2274-D044-8FA1-61D030BFA88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FC31-1B4E-A3F0-05CCA4A9908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DA4E-6D49-B2BF-8ACF10C81F6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 Activity</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F49D-4849-9460-8C484B9F608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Business</a:t>
            </a:r>
            <a:r>
              <a:rPr lang="en-SG" baseline="0"/>
              <a:t> Activity</a:t>
            </a:r>
            <a:endParaRPr lang="en-SG"/>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02AB-B647-B825-ECE5128D8A0C}"/>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E78A-2E41-9CEE-F768071E588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Inventory Sentiment</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0">
                  <c:v>0</c:v>
                </c:pt>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C44F-604F-B8B6-0FC168FA2DB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73E6-A34B-B7C0-AE07E749826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DED7-5F44-800D-4CF9F1C9F61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DA7C-9842-83D5-45048EF4606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0">
                  <c:v>0</c:v>
                </c:pt>
                <c:pt idx="1">
                  <c:v>0</c:v>
                </c:pt>
                <c:pt idx="2">
                  <c:v>0</c:v>
                </c:pt>
                <c:pt idx="3">
                  <c:v>0</c:v>
                </c:pt>
                <c:pt idx="4">
                  <c:v>0</c:v>
                </c:pt>
                <c:pt idx="5">
                  <c:v>0</c:v>
                </c:pt>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8AE8-4D4B-851B-05400FC4474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8C22-564B-AEFD-32191CA8656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1EAA-504A-9B5D-49F0CD3D4CE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493E-D443-9DD3-CC3947AC6BC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564B-934C-81E1-8AC8213FBEC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0.12226677108077</c:v>
                </c:pt>
                <c:pt idx="286">
                  <c:v>0.12226677108077</c:v>
                </c:pt>
                <c:pt idx="287">
                  <c:v>0.12226677108077</c:v>
                </c:pt>
                <c:pt idx="288">
                  <c:v>4.9465555692882128E-2</c:v>
                </c:pt>
                <c:pt idx="289">
                  <c:v>4.9465555692882128E-2</c:v>
                </c:pt>
                <c:pt idx="290">
                  <c:v>4.9465555692882128E-2</c:v>
                </c:pt>
                <c:pt idx="291">
                  <c:v>5.5317363621841711E-2</c:v>
                </c:pt>
                <c:pt idx="292">
                  <c:v>5.5317363621841711E-2</c:v>
                </c:pt>
                <c:pt idx="293">
                  <c:v>5.5317363621841711E-2</c:v>
                </c:pt>
              </c:numCache>
            </c:numRef>
          </c:val>
          <c:extLst>
            <c:ext xmlns:c16="http://schemas.microsoft.com/office/drawing/2014/chart" uri="{C3380CC4-5D6E-409C-BE32-E72D297353CC}">
              <c16:uniqueId val="{00000000-32C1-AF4F-8A15-A5A46CBEE144}"/>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32C1-AF4F-8A15-A5A46CBEE144}"/>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3.4794745335392292E-2</c:v>
                </c:pt>
                <c:pt idx="4">
                  <c:v>3.4794745335392292E-2</c:v>
                </c:pt>
                <c:pt idx="5">
                  <c:v>3.4794745335392292E-2</c:v>
                </c:pt>
                <c:pt idx="6">
                  <c:v>4.0578269241347893E-2</c:v>
                </c:pt>
                <c:pt idx="7">
                  <c:v>4.0578269241347893E-2</c:v>
                </c:pt>
                <c:pt idx="8">
                  <c:v>4.0578269241347893E-2</c:v>
                </c:pt>
                <c:pt idx="9">
                  <c:v>3.7550288034241763E-2</c:v>
                </c:pt>
                <c:pt idx="10">
                  <c:v>3.7550288034241763E-2</c:v>
                </c:pt>
                <c:pt idx="11">
                  <c:v>3.7550288034241763E-2</c:v>
                </c:pt>
                <c:pt idx="12">
                  <c:v>5.1060122602257341E-2</c:v>
                </c:pt>
                <c:pt idx="13">
                  <c:v>5.1060122602257341E-2</c:v>
                </c:pt>
                <c:pt idx="14">
                  <c:v>5.1060122602257341E-2</c:v>
                </c:pt>
                <c:pt idx="15">
                  <c:v>6.6231826182913345E-2</c:v>
                </c:pt>
                <c:pt idx="16">
                  <c:v>6.6231826182913345E-2</c:v>
                </c:pt>
                <c:pt idx="17">
                  <c:v>6.6231826182913345E-2</c:v>
                </c:pt>
                <c:pt idx="18">
                  <c:v>3.8290920801855137E-2</c:v>
                </c:pt>
                <c:pt idx="19">
                  <c:v>3.8290920801855137E-2</c:v>
                </c:pt>
                <c:pt idx="20">
                  <c:v>3.8290920801855137E-2</c:v>
                </c:pt>
                <c:pt idx="21">
                  <c:v>3.3820669815360922E-2</c:v>
                </c:pt>
                <c:pt idx="22">
                  <c:v>3.3820669815360922E-2</c:v>
                </c:pt>
                <c:pt idx="23">
                  <c:v>3.3820669815360922E-2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3.9969420303305192E-3</c:v>
                </c:pt>
                <c:pt idx="37">
                  <c:v>3.9969420303305192E-3</c:v>
                </c:pt>
                <c:pt idx="38">
                  <c:v>3.9969420303305192E-3</c:v>
                </c:pt>
                <c:pt idx="39">
                  <c:v>2.3987270862187989E-2</c:v>
                </c:pt>
                <c:pt idx="40">
                  <c:v>2.3987270862187989E-2</c:v>
                </c:pt>
                <c:pt idx="41">
                  <c:v>2.3987270862187989E-2</c:v>
                </c:pt>
                <c:pt idx="42">
                  <c:v>-1.2905904790564421E-2</c:v>
                </c:pt>
                <c:pt idx="43">
                  <c:v>-1.2905904790564421E-2</c:v>
                </c:pt>
                <c:pt idx="44">
                  <c:v>-1.2905904790564421E-2</c:v>
                </c:pt>
                <c:pt idx="45">
                  <c:v>2.508820455389205E-2</c:v>
                </c:pt>
                <c:pt idx="46">
                  <c:v>2.508820455389205E-2</c:v>
                </c:pt>
                <c:pt idx="47">
                  <c:v>2.508820455389205E-2</c:v>
                </c:pt>
                <c:pt idx="48">
                  <c:v>-1.5918049455029729E-2</c:v>
                </c:pt>
                <c:pt idx="49">
                  <c:v>-1.5918049455029729E-2</c:v>
                </c:pt>
                <c:pt idx="50">
                  <c:v>-1.5918049455029729E-2</c:v>
                </c:pt>
                <c:pt idx="51">
                  <c:v>1.113880165656167E-2</c:v>
                </c:pt>
                <c:pt idx="52">
                  <c:v>1.113880165656167E-2</c:v>
                </c:pt>
                <c:pt idx="53">
                  <c:v>1.113880165656167E-2</c:v>
                </c:pt>
                <c:pt idx="54">
                  <c:v>3.354294204519781E-2</c:v>
                </c:pt>
                <c:pt idx="55">
                  <c:v>3.354294204519781E-2</c:v>
                </c:pt>
                <c:pt idx="56">
                  <c:v>3.354294204519781E-2</c:v>
                </c:pt>
                <c:pt idx="57">
                  <c:v>2.484833834627009E-2</c:v>
                </c:pt>
                <c:pt idx="58">
                  <c:v>2.484833834627009E-2</c:v>
                </c:pt>
                <c:pt idx="59">
                  <c:v>2.484833834627009E-2</c:v>
                </c:pt>
                <c:pt idx="60">
                  <c:v>1.6239112509100821E-2</c:v>
                </c:pt>
                <c:pt idx="61">
                  <c:v>1.6239112509100821E-2</c:v>
                </c:pt>
                <c:pt idx="62">
                  <c:v>1.6239112509100821E-2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6.8361580068855954E-2</c:v>
                </c:pt>
                <c:pt idx="73">
                  <c:v>6.8361580068855954E-2</c:v>
                </c:pt>
                <c:pt idx="74">
                  <c:v>6.8361580068855954E-2</c:v>
                </c:pt>
                <c:pt idx="75">
                  <c:v>4.6967087698897902E-2</c:v>
                </c:pt>
                <c:pt idx="76">
                  <c:v>4.6967087698897902E-2</c:v>
                </c:pt>
                <c:pt idx="77">
                  <c:v>4.6967087698897902E-2</c:v>
                </c:pt>
                <c:pt idx="78">
                  <c:v>2.3114352701243179E-2</c:v>
                </c:pt>
                <c:pt idx="79">
                  <c:v>2.3114352701243179E-2</c:v>
                </c:pt>
                <c:pt idx="80">
                  <c:v>2.3114352701243179E-2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4.5181235086873883E-2</c:v>
                </c:pt>
                <c:pt idx="91">
                  <c:v>4.5181235086873883E-2</c:v>
                </c:pt>
                <c:pt idx="92">
                  <c:v>4.5181235086873883E-2</c:v>
                </c:pt>
                <c:pt idx="93">
                  <c:v>1.9606710928381729E-2</c:v>
                </c:pt>
                <c:pt idx="94">
                  <c:v>1.9606710928381729E-2</c:v>
                </c:pt>
                <c:pt idx="95">
                  <c:v>1.9606710928381729E-2</c:v>
                </c:pt>
                <c:pt idx="96">
                  <c:v>3.1797143707306803E-2</c:v>
                </c:pt>
                <c:pt idx="97">
                  <c:v>3.1797143707306803E-2</c:v>
                </c:pt>
                <c:pt idx="98">
                  <c:v>3.1797143707306803E-2</c:v>
                </c:pt>
                <c:pt idx="99">
                  <c:v>2.2911388788951159E-2</c:v>
                </c:pt>
                <c:pt idx="100">
                  <c:v>2.2911388788951159E-2</c:v>
                </c:pt>
                <c:pt idx="101">
                  <c:v>2.2911388788951159E-2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3.4177984960281238E-2</c:v>
                </c:pt>
                <c:pt idx="112">
                  <c:v>3.4177984960281238E-2</c:v>
                </c:pt>
                <c:pt idx="113">
                  <c:v>3.4177984960281238E-2</c:v>
                </c:pt>
                <c:pt idx="114">
                  <c:v>1.1795775906866529E-2</c:v>
                </c:pt>
                <c:pt idx="115">
                  <c:v>1.1795775906866529E-2</c:v>
                </c:pt>
                <c:pt idx="116">
                  <c:v>1.1795775906866529E-2</c:v>
                </c:pt>
                <c:pt idx="117">
                  <c:v>2.578298295432346E-2</c:v>
                </c:pt>
                <c:pt idx="118">
                  <c:v>2.578298295432346E-2</c:v>
                </c:pt>
                <c:pt idx="119">
                  <c:v>2.578298295432346E-2</c:v>
                </c:pt>
                <c:pt idx="120">
                  <c:v>2.4310805602967941E-2</c:v>
                </c:pt>
                <c:pt idx="121">
                  <c:v>2.4310805602967941E-2</c:v>
                </c:pt>
                <c:pt idx="122">
                  <c:v>2.4310805602967941E-2</c:v>
                </c:pt>
                <c:pt idx="123">
                  <c:v>2.46096673082743E-2</c:v>
                </c:pt>
                <c:pt idx="124">
                  <c:v>2.46096673082743E-2</c:v>
                </c:pt>
                <c:pt idx="125">
                  <c:v>2.46096673082743E-2</c:v>
                </c:pt>
                <c:pt idx="126">
                  <c:v>-1.619784994668938E-2</c:v>
                </c:pt>
                <c:pt idx="127">
                  <c:v>-1.619784994668938E-2</c:v>
                </c:pt>
                <c:pt idx="128">
                  <c:v>-1.619784994668938E-2</c:v>
                </c:pt>
                <c:pt idx="129">
                  <c:v>2.3089077789477889E-2</c:v>
                </c:pt>
                <c:pt idx="130">
                  <c:v>2.3089077789477889E-2</c:v>
                </c:pt>
                <c:pt idx="131">
                  <c:v>2.3089077789477889E-2</c:v>
                </c:pt>
                <c:pt idx="132">
                  <c:v>-2.0909730735542809E-2</c:v>
                </c:pt>
                <c:pt idx="133">
                  <c:v>-2.0909730735542809E-2</c:v>
                </c:pt>
                <c:pt idx="134">
                  <c:v>-2.0909730735542809E-2</c:v>
                </c:pt>
                <c:pt idx="135">
                  <c:v>-8.4505728695347337E-2</c:v>
                </c:pt>
                <c:pt idx="136">
                  <c:v>-8.4505728695347337E-2</c:v>
                </c:pt>
                <c:pt idx="137">
                  <c:v>-8.4505728695347337E-2</c:v>
                </c:pt>
                <c:pt idx="138">
                  <c:v>-4.5819873793169208E-2</c:v>
                </c:pt>
                <c:pt idx="139">
                  <c:v>-4.5819873793169208E-2</c:v>
                </c:pt>
                <c:pt idx="140">
                  <c:v>-4.5819873793169208E-2</c:v>
                </c:pt>
                <c:pt idx="141">
                  <c:v>-6.7523599987623362E-3</c:v>
                </c:pt>
                <c:pt idx="142">
                  <c:v>-6.7523599987623362E-3</c:v>
                </c:pt>
                <c:pt idx="143">
                  <c:v>-6.7523599987623362E-3</c:v>
                </c:pt>
                <c:pt idx="144">
                  <c:v>1.4555985434920871E-2</c:v>
                </c:pt>
                <c:pt idx="145">
                  <c:v>1.4555985434920871E-2</c:v>
                </c:pt>
                <c:pt idx="146">
                  <c:v>1.4555985434920871E-2</c:v>
                </c:pt>
                <c:pt idx="147">
                  <c:v>4.34076888622974E-2</c:v>
                </c:pt>
                <c:pt idx="148">
                  <c:v>4.34076888622974E-2</c:v>
                </c:pt>
                <c:pt idx="149">
                  <c:v>4.34076888622974E-2</c:v>
                </c:pt>
                <c:pt idx="150">
                  <c:v>2.0152672135610231E-2</c:v>
                </c:pt>
                <c:pt idx="151">
                  <c:v>2.0152672135610231E-2</c:v>
                </c:pt>
                <c:pt idx="152">
                  <c:v>2.0152672135610231E-2</c:v>
                </c:pt>
                <c:pt idx="153">
                  <c:v>3.9273690540683408E-2</c:v>
                </c:pt>
                <c:pt idx="154">
                  <c:v>3.9273690540683408E-2</c:v>
                </c:pt>
                <c:pt idx="155">
                  <c:v>3.9273690540683408E-2</c:v>
                </c:pt>
                <c:pt idx="156">
                  <c:v>3.128626930493783E-2</c:v>
                </c:pt>
                <c:pt idx="157">
                  <c:v>3.128626930493783E-2</c:v>
                </c:pt>
                <c:pt idx="158">
                  <c:v>3.128626930493783E-2</c:v>
                </c:pt>
                <c:pt idx="159">
                  <c:v>2.094635569547498E-2</c:v>
                </c:pt>
                <c:pt idx="160">
                  <c:v>2.094635569547498E-2</c:v>
                </c:pt>
                <c:pt idx="161">
                  <c:v>2.094635569547498E-2</c:v>
                </c:pt>
                <c:pt idx="162">
                  <c:v>-9.6018742909373955E-3</c:v>
                </c:pt>
                <c:pt idx="163">
                  <c:v>-9.6018742909373955E-3</c:v>
                </c:pt>
                <c:pt idx="164">
                  <c:v>-9.6018742909373955E-3</c:v>
                </c:pt>
                <c:pt idx="165">
                  <c:v>2.739913079767153E-2</c:v>
                </c:pt>
                <c:pt idx="166">
                  <c:v>2.739913079767153E-2</c:v>
                </c:pt>
                <c:pt idx="167">
                  <c:v>2.739913079767153E-2</c:v>
                </c:pt>
                <c:pt idx="168">
                  <c:v>-1.5497850035888221E-3</c:v>
                </c:pt>
                <c:pt idx="169">
                  <c:v>-1.5497850035888221E-3</c:v>
                </c:pt>
                <c:pt idx="170">
                  <c:v>-1.5497850035888221E-3</c:v>
                </c:pt>
                <c:pt idx="171">
                  <c:v>4.5627685349290507E-2</c:v>
                </c:pt>
                <c:pt idx="172">
                  <c:v>4.5627685349290507E-2</c:v>
                </c:pt>
                <c:pt idx="173">
                  <c:v>4.5627685349290507E-2</c:v>
                </c:pt>
                <c:pt idx="174">
                  <c:v>3.3120505702169067E-2</c:v>
                </c:pt>
                <c:pt idx="175">
                  <c:v>3.3120505702169067E-2</c:v>
                </c:pt>
                <c:pt idx="176">
                  <c:v>3.3120505702169067E-2</c:v>
                </c:pt>
                <c:pt idx="177">
                  <c:v>1.8359463829133341E-2</c:v>
                </c:pt>
                <c:pt idx="178">
                  <c:v>1.8359463829133341E-2</c:v>
                </c:pt>
                <c:pt idx="179">
                  <c:v>1.8359463829133341E-2</c:v>
                </c:pt>
                <c:pt idx="180">
                  <c:v>7.0136909414519888E-3</c:v>
                </c:pt>
                <c:pt idx="181">
                  <c:v>7.0136909414519888E-3</c:v>
                </c:pt>
                <c:pt idx="182">
                  <c:v>7.0136909414519888E-3</c:v>
                </c:pt>
                <c:pt idx="183">
                  <c:v>4.4007666411833854E-3</c:v>
                </c:pt>
                <c:pt idx="184">
                  <c:v>4.4007666411833854E-3</c:v>
                </c:pt>
                <c:pt idx="185">
                  <c:v>4.4007666411833854E-3</c:v>
                </c:pt>
                <c:pt idx="186">
                  <c:v>3.5166036783941028E-2</c:v>
                </c:pt>
                <c:pt idx="187">
                  <c:v>3.5166036783941028E-2</c:v>
                </c:pt>
                <c:pt idx="188">
                  <c:v>3.5166036783941028E-2</c:v>
                </c:pt>
                <c:pt idx="189">
                  <c:v>5.5870765701340197E-3</c:v>
                </c:pt>
                <c:pt idx="190">
                  <c:v>5.5870765701340197E-3</c:v>
                </c:pt>
                <c:pt idx="191">
                  <c:v>5.5870765701340197E-3</c:v>
                </c:pt>
                <c:pt idx="192">
                  <c:v>3.2044153997870417E-2</c:v>
                </c:pt>
                <c:pt idx="193">
                  <c:v>3.2044153997870417E-2</c:v>
                </c:pt>
                <c:pt idx="194">
                  <c:v>3.2044153997870417E-2</c:v>
                </c:pt>
                <c:pt idx="195">
                  <c:v>2.875173987590807E-2</c:v>
                </c:pt>
                <c:pt idx="196">
                  <c:v>2.875173987590807E-2</c:v>
                </c:pt>
                <c:pt idx="197">
                  <c:v>2.875173987590807E-2</c:v>
                </c:pt>
                <c:pt idx="198">
                  <c:v>-1.393101487505966E-2</c:v>
                </c:pt>
                <c:pt idx="199">
                  <c:v>-1.393101487505966E-2</c:v>
                </c:pt>
                <c:pt idx="200">
                  <c:v>-1.393101487505966E-2</c:v>
                </c:pt>
                <c:pt idx="201">
                  <c:v>5.2363045756652182E-2</c:v>
                </c:pt>
                <c:pt idx="202">
                  <c:v>5.2363045756652182E-2</c:v>
                </c:pt>
                <c:pt idx="203">
                  <c:v>5.2363045756652182E-2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1.299778420271624E-2</c:v>
                </c:pt>
                <c:pt idx="217">
                  <c:v>1.299778420271624E-2</c:v>
                </c:pt>
                <c:pt idx="218">
                  <c:v>1.299778420271624E-2</c:v>
                </c:pt>
                <c:pt idx="219">
                  <c:v>5.8622170666831064E-3</c:v>
                </c:pt>
                <c:pt idx="220">
                  <c:v>5.8622170666831064E-3</c:v>
                </c:pt>
                <c:pt idx="221">
                  <c:v>5.8622170666831064E-3</c:v>
                </c:pt>
                <c:pt idx="222">
                  <c:v>2.377629379297197E-2</c:v>
                </c:pt>
                <c:pt idx="223">
                  <c:v>2.377629379297197E-2</c:v>
                </c:pt>
                <c:pt idx="224">
                  <c:v>2.377629379297197E-2</c:v>
                </c:pt>
                <c:pt idx="225">
                  <c:v>1.21505263452657E-2</c:v>
                </c:pt>
                <c:pt idx="226">
                  <c:v>1.21505263452657E-2</c:v>
                </c:pt>
                <c:pt idx="227">
                  <c:v>1.21505263452657E-2</c:v>
                </c:pt>
                <c:pt idx="228">
                  <c:v>2.426228912334993E-2</c:v>
                </c:pt>
                <c:pt idx="229">
                  <c:v>2.426228912334993E-2</c:v>
                </c:pt>
                <c:pt idx="230">
                  <c:v>2.426228912334993E-2</c:v>
                </c:pt>
                <c:pt idx="231">
                  <c:v>2.002418226174996E-2</c:v>
                </c:pt>
                <c:pt idx="232">
                  <c:v>2.002418226174996E-2</c:v>
                </c:pt>
                <c:pt idx="233">
                  <c:v>2.002418226174996E-2</c:v>
                </c:pt>
                <c:pt idx="234">
                  <c:v>1.9011293949556581E-2</c:v>
                </c:pt>
                <c:pt idx="235">
                  <c:v>1.9011293949556581E-2</c:v>
                </c:pt>
                <c:pt idx="236">
                  <c:v>1.9011293949556581E-2</c:v>
                </c:pt>
                <c:pt idx="237">
                  <c:v>2.2579297461999829E-2</c:v>
                </c:pt>
                <c:pt idx="238">
                  <c:v>2.2579297461999829E-2</c:v>
                </c:pt>
                <c:pt idx="239">
                  <c:v>2.2579297461999829E-2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3.3776005263053577E-2</c:v>
                </c:pt>
                <c:pt idx="250">
                  <c:v>3.3776005263053577E-2</c:v>
                </c:pt>
                <c:pt idx="251">
                  <c:v>3.3776005263053577E-2</c:v>
                </c:pt>
                <c:pt idx="252">
                  <c:v>1.9417917650261129E-2</c:v>
                </c:pt>
                <c:pt idx="253">
                  <c:v>1.9417917650261129E-2</c:v>
                </c:pt>
                <c:pt idx="254">
                  <c:v>1.9417917650261129E-2</c:v>
                </c:pt>
                <c:pt idx="255">
                  <c:v>8.9555932393461379E-3</c:v>
                </c:pt>
                <c:pt idx="256">
                  <c:v>8.9555932393461379E-3</c:v>
                </c:pt>
                <c:pt idx="257">
                  <c:v>8.9555932393461379E-3</c:v>
                </c:pt>
                <c:pt idx="258">
                  <c:v>2.4126879308669521E-2</c:v>
                </c:pt>
                <c:pt idx="259">
                  <c:v>2.4126879308669521E-2</c:v>
                </c:pt>
                <c:pt idx="260">
                  <c:v>2.4126879308669521E-2</c:v>
                </c:pt>
                <c:pt idx="261">
                  <c:v>3.2096211890165323E-2</c:v>
                </c:pt>
                <c:pt idx="262">
                  <c:v>3.2096211890165323E-2</c:v>
                </c:pt>
                <c:pt idx="263">
                  <c:v>3.2096211890165323E-2</c:v>
                </c:pt>
                <c:pt idx="264">
                  <c:v>2.770318750334555E-2</c:v>
                </c:pt>
                <c:pt idx="265">
                  <c:v>2.770318750334555E-2</c:v>
                </c:pt>
                <c:pt idx="266">
                  <c:v>2.770318750334555E-2</c:v>
                </c:pt>
                <c:pt idx="267">
                  <c:v>1.8896349662488991E-2</c:v>
                </c:pt>
                <c:pt idx="268">
                  <c:v>1.8896349662488991E-2</c:v>
                </c:pt>
                <c:pt idx="269">
                  <c:v>1.8896349662488991E-2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6.278176672776592E-2</c:v>
                </c:pt>
                <c:pt idx="283">
                  <c:v>6.278176672776592E-2</c:v>
                </c:pt>
                <c:pt idx="284">
                  <c:v>6.278176672776592E-2</c:v>
                </c:pt>
                <c:pt idx="285">
                  <c:v>6.7262831458960726E-2</c:v>
                </c:pt>
                <c:pt idx="286">
                  <c:v>6.7262831458960726E-2</c:v>
                </c:pt>
                <c:pt idx="287">
                  <c:v>6.7262831458960726E-2</c:v>
                </c:pt>
                <c:pt idx="288">
                  <c:v>2.303425900825307E-2</c:v>
                </c:pt>
                <c:pt idx="289">
                  <c:v>2.303425900825307E-2</c:v>
                </c:pt>
                <c:pt idx="290">
                  <c:v>2.303425900825307E-2</c:v>
                </c:pt>
                <c:pt idx="291">
                  <c:v>6.8874405829691066E-2</c:v>
                </c:pt>
                <c:pt idx="292">
                  <c:v>6.8874405829691066E-2</c:v>
                </c:pt>
                <c:pt idx="293">
                  <c:v>6.8874405829691066E-2</c:v>
                </c:pt>
              </c:numCache>
            </c:numRef>
          </c:val>
          <c:extLst>
            <c:ext xmlns:c16="http://schemas.microsoft.com/office/drawing/2014/chart" uri="{C3380CC4-5D6E-409C-BE32-E72D297353CC}">
              <c16:uniqueId val="{00000000-E5F0-CC4A-9DFB-B8C3AF5AD1C8}"/>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E5F0-CC4A-9DFB-B8C3AF5AD1C8}"/>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Table9[[#Headers],[ISM Services]]</c:f>
          <c:strCache>
            <c:ptCount val="1"/>
            <c:pt idx="0">
              <c:v>ISM Services</c:v>
            </c:pt>
          </c:strCache>
        </c:strRef>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F9C8-ED48-AE9D-97BBDBE7753B}"/>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134" dataDxfId="132" headerRowBorderDxfId="133">
  <autoFilter ref="A5:L299" xr:uid="{00000000-0009-0000-0100-000001000000}"/>
  <tableColumns count="12">
    <tableColumn id="1" xr3:uid="{00000000-0010-0000-0000-000001000000}" name="Date" dataDxfId="131"/>
    <tableColumn id="5" xr3:uid="{00000000-0010-0000-0000-000005000000}" name="New Orders" dataDxfId="130">
      <calculatedColumnFormula>IF(VLOOKUP(Table91213[[#This Row],[Date]],'DB Details'!$A:$Q,2)=0,"",VLOOKUP(Table91213[[#This Row],[Date]],'DB Details'!$A:$Q,2))</calculatedColumnFormula>
    </tableColumn>
    <tableColumn id="3" xr3:uid="{00000000-0010-0000-0000-000003000000}" name="Imports" dataDxfId="129">
      <calculatedColumnFormula>IF(VLOOKUP(Table91213[[#This Row],[Date]],'DB Details'!$A:$Q,3)=0,"",VLOOKUP(Table91213[[#This Row],[Date]],'DB Details'!$A:$Q,3))</calculatedColumnFormula>
    </tableColumn>
    <tableColumn id="2" xr3:uid="{00000000-0010-0000-0000-000002000000}" name="Backlog Of Orders" dataDxfId="128">
      <calculatedColumnFormula>IF(VLOOKUP(Table91213[[#This Row],[Date]],'DB Details'!$A:$Q,4)=0,"",VLOOKUP(Table91213[[#This Row],[Date]],'DB Details'!$A:$Q,4))</calculatedColumnFormula>
    </tableColumn>
    <tableColumn id="4" xr3:uid="{00000000-0010-0000-0000-000004000000}" name="Prices" dataDxfId="127">
      <calculatedColumnFormula>IF(VLOOKUP(Table91213[[#This Row],[Date]],'DB Details'!$A:$Q,5)=0,"",VLOOKUP(Table91213[[#This Row],[Date]],'DB Details'!$A:$Q,5))</calculatedColumnFormula>
    </tableColumn>
    <tableColumn id="6" xr3:uid="{00000000-0010-0000-0000-000006000000}" name="Business Activity" dataDxfId="126">
      <calculatedColumnFormula>IF(VLOOKUP(Table91213[[#This Row],[Date]],'DB Details'!$A:$Q,6)=0,"",VLOOKUP(Table91213[[#This Row],[Date]],'DB Details'!$A:$Q,6))</calculatedColumnFormula>
    </tableColumn>
    <tableColumn id="7" xr3:uid="{00000000-0010-0000-0000-000007000000}" name="Inventory Sentiment" dataDxfId="125">
      <calculatedColumnFormula>IF(VLOOKUP(Table91213[[#This Row],[Date]],'DB Details'!$A:$Q,7)=0,"",VLOOKUP(Table91213[[#This Row],[Date]],'DB Details'!$A:$Q,7))</calculatedColumnFormula>
    </tableColumn>
    <tableColumn id="8" xr3:uid="{00000000-0010-0000-0000-000008000000}" name="Inventories" dataDxfId="124">
      <calculatedColumnFormula>IF(VLOOKUP(Table91213[[#This Row],[Date]],'DB Details'!$A:$Q,8)=0,"",VLOOKUP(Table91213[[#This Row],[Date]],'DB Details'!$A:$Q,8))</calculatedColumnFormula>
    </tableColumn>
    <tableColumn id="9" xr3:uid="{00000000-0010-0000-0000-000009000000}" name="Deliveries" dataDxfId="123">
      <calculatedColumnFormula>IF(VLOOKUP(Table91213[[#This Row],[Date]],'DB Details'!$A:$Q,9)=0,"",VLOOKUP(Table91213[[#This Row],[Date]],'DB Details'!$A:$Q,9))</calculatedColumnFormula>
    </tableColumn>
    <tableColumn id="10" xr3:uid="{00000000-0010-0000-0000-00000A000000}" name="Employment" dataDxfId="122">
      <calculatedColumnFormula>IF(VLOOKUP(Table91213[[#This Row],[Date]],'DB Details'!$A:$Q,10)=0,"",VLOOKUP(Table91213[[#This Row],[Date]],'DB Details'!$A:$Q,10))</calculatedColumnFormula>
    </tableColumn>
    <tableColumn id="11" xr3:uid="{00000000-0010-0000-0000-00000B000000}" name="Exports" dataDxfId="121">
      <calculatedColumnFormula>IF(VLOOKUP(Table91213[[#This Row],[Date]],'DB Details'!$A:$Q,11)=0,"",VLOOKUP(Table91213[[#This Row],[Date]],'DB Details'!$A:$Q,11))</calculatedColumnFormula>
    </tableColumn>
    <tableColumn id="13" xr3:uid="{00000000-0010-0000-0000-00000D000000}"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19" dataDxfId="117" headerRowBorderDxfId="118" tableBorderDxfId="116" totalsRowBorderDxfId="115">
  <autoFilter ref="A5:E299" xr:uid="{00000000-0009-0000-0100-000002000000}"/>
  <tableColumns count="5">
    <tableColumn id="1" xr3:uid="{00000000-0010-0000-0100-000001000000}" name="Date" dataDxfId="114"/>
    <tableColumn id="2" xr3:uid="{00000000-0010-0000-0100-000002000000}" name="ISM Services" dataDxfId="113">
      <calculatedColumnFormula>IF(VLOOKUP(Table311[[#This Row],[Date]],'DB Details'!$A:$Q,12)=0,"",VLOOKUP(Table311[[#This Row],[Date]],'DB Details'!$A:$Q,12))</calculatedColumnFormula>
    </tableColumn>
    <tableColumn id="6" xr3:uid="{00000000-0010-0000-0100-000006000000}" name="GDP growth yoy %" dataDxfId="112">
      <calculatedColumnFormula>IF(VLOOKUP(Table311[[#This Row],[Date]],'DB Details'!$A:$Q,16)=0,"",VLOOKUP(Table311[[#This Row],[Date]],'DB Details'!$A:$Q,16))</calculatedColumnFormula>
    </tableColumn>
    <tableColumn id="5" xr3:uid="{00000000-0010-0000-0100-000005000000}" name="GDP growth qoq %" dataDxfId="111">
      <calculatedColumnFormula>IF(VLOOKUP(Table311[[#This Row],[Date]],'DB Details'!$A:$Q,15)=0,"",VLOOKUP(Table311[[#This Row],[Date]],'DB Details'!$A:$Q,15))</calculatedColumnFormula>
    </tableColumn>
    <tableColumn id="4" xr3:uid="{00000000-0010-0000-0100-000004000000}"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109" dataDxfId="107" headerRowBorderDxfId="108">
  <autoFilter ref="A5:C299" xr:uid="{00000000-0009-0000-0100-000003000000}"/>
  <tableColumns count="3">
    <tableColumn id="1" xr3:uid="{00000000-0010-0000-0200-000001000000}" name="Date" dataDxfId="106"/>
    <tableColumn id="3" xr3:uid="{00000000-0010-0000-0200-000003000000}" name="ISM Services" dataDxfId="105">
      <calculatedColumnFormula>IF(VLOOKUP(Table9[[#This Row],[Date]],'DB Details'!$A:$Q,12)=0,"",VLOOKUP(Table9[[#This Row],[Date]],'DB Details'!$A:$Q,12))</calculatedColumnFormula>
    </tableColumn>
    <tableColumn id="2" xr3:uid="{00000000-0010-0000-0200-000002000000}"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tabSelected="1" topLeftCell="A6" zoomScale="150" zoomScaleNormal="150" workbookViewId="0">
      <selection activeCell="T15" sqref="T15"/>
    </sheetView>
  </sheetViews>
  <sheetFormatPr baseColWidth="10" defaultColWidth="9.1640625" defaultRowHeight="15" x14ac:dyDescent="0.2"/>
  <cols>
    <col min="1" max="1" width="4" style="66" customWidth="1"/>
    <col min="2" max="5" width="12.83203125" style="66" customWidth="1"/>
    <col min="6" max="6" width="13.6640625" style="66" customWidth="1"/>
    <col min="7" max="10" width="12.83203125" style="66" customWidth="1"/>
    <col min="11" max="13" width="2" style="66" customWidth="1"/>
    <col min="14" max="14" width="9.1640625" style="66" customWidth="1"/>
    <col min="15" max="15" width="15.5" style="66" customWidth="1"/>
    <col min="16" max="18" width="12.6640625" style="66" customWidth="1"/>
    <col min="19" max="19" width="5.5" style="66" customWidth="1"/>
    <col min="20" max="20" width="16.6640625" style="66" customWidth="1"/>
    <col min="21" max="30" width="9.1640625" style="66" customWidth="1"/>
    <col min="31" max="16384" width="9.1640625" style="66"/>
  </cols>
  <sheetData>
    <row r="1" spans="2:21" x14ac:dyDescent="0.2">
      <c r="B1" s="73"/>
      <c r="C1" s="74"/>
      <c r="D1" s="74"/>
      <c r="E1" s="74"/>
      <c r="F1" s="74"/>
      <c r="G1" s="74"/>
      <c r="H1" s="74"/>
      <c r="I1" s="74"/>
      <c r="J1" s="74"/>
    </row>
    <row r="2" spans="2:21" ht="16" customHeight="1" thickBot="1" x14ac:dyDescent="0.25">
      <c r="B2" s="75"/>
      <c r="C2" s="75"/>
      <c r="D2" s="75"/>
      <c r="E2" s="75"/>
      <c r="F2" s="75"/>
      <c r="G2" s="75"/>
      <c r="H2" s="75"/>
      <c r="I2" s="75"/>
      <c r="J2" s="75"/>
    </row>
    <row r="3" spans="2:21" ht="16" customHeight="1" thickBot="1" x14ac:dyDescent="0.25">
      <c r="B3" s="76" t="s">
        <v>0</v>
      </c>
      <c r="C3" s="71"/>
      <c r="D3" s="71"/>
      <c r="E3" s="71"/>
      <c r="F3" s="71"/>
      <c r="G3" s="71"/>
      <c r="H3" s="71"/>
      <c r="I3" s="71"/>
      <c r="J3" s="72"/>
    </row>
    <row r="5" spans="2:21" x14ac:dyDescent="0.2">
      <c r="B5" s="77" t="s">
        <v>1</v>
      </c>
      <c r="C5" s="78"/>
      <c r="D5" s="78"/>
      <c r="E5" s="78"/>
      <c r="F5" s="78"/>
      <c r="G5" s="78"/>
      <c r="H5" s="78"/>
      <c r="I5" s="78"/>
      <c r="J5" s="79"/>
    </row>
    <row r="7" spans="2:21" ht="227.25" customHeight="1" x14ac:dyDescent="0.2">
      <c r="B7" s="80" t="s">
        <v>2</v>
      </c>
      <c r="C7" s="74"/>
      <c r="D7" s="74"/>
      <c r="E7" s="74"/>
      <c r="F7" s="74"/>
      <c r="G7" s="74"/>
      <c r="H7" s="74"/>
      <c r="I7" s="74"/>
      <c r="J7" s="74"/>
    </row>
    <row r="8" spans="2:21" ht="24" customHeight="1" x14ac:dyDescent="0.2">
      <c r="B8" s="9" t="s">
        <v>3</v>
      </c>
      <c r="C8" s="67"/>
      <c r="D8" s="67"/>
      <c r="E8" s="67"/>
      <c r="F8" s="67"/>
      <c r="G8" s="67"/>
      <c r="H8" s="67"/>
      <c r="I8" s="67"/>
      <c r="J8" s="67"/>
    </row>
    <row r="9" spans="2:21" ht="24" customHeight="1" x14ac:dyDescent="0.2">
      <c r="B9" s="9" t="s">
        <v>4</v>
      </c>
      <c r="C9" s="67"/>
      <c r="D9" s="67"/>
      <c r="E9" s="67"/>
      <c r="F9" s="67"/>
      <c r="G9" s="67"/>
      <c r="H9" s="67"/>
      <c r="I9" s="67"/>
      <c r="J9" s="67"/>
    </row>
    <row r="10" spans="2:21" ht="16" customHeight="1" thickBot="1" x14ac:dyDescent="0.25">
      <c r="B10" s="12"/>
      <c r="C10" s="13"/>
      <c r="D10" s="13"/>
      <c r="E10" s="13"/>
    </row>
    <row r="11" spans="2:21" ht="16" customHeight="1" thickBot="1" x14ac:dyDescent="0.25">
      <c r="B11" s="77" t="s">
        <v>5</v>
      </c>
      <c r="C11" s="78"/>
      <c r="D11" s="78"/>
      <c r="E11" s="78"/>
      <c r="F11" s="78"/>
      <c r="G11" s="78"/>
      <c r="H11" s="78"/>
      <c r="I11" s="78"/>
      <c r="J11" s="79"/>
      <c r="N11" s="70" t="s">
        <v>6</v>
      </c>
      <c r="O11" s="71"/>
      <c r="P11" s="71"/>
      <c r="Q11" s="71"/>
      <c r="R11" s="71"/>
      <c r="S11" s="71"/>
      <c r="T11" s="71"/>
      <c r="U11" s="72"/>
    </row>
    <row r="12" spans="2:21" x14ac:dyDescent="0.2">
      <c r="N12" s="14" t="s">
        <v>7</v>
      </c>
      <c r="T12" s="14" t="s">
        <v>8</v>
      </c>
    </row>
    <row r="13" spans="2:21" ht="16" customHeight="1" thickBot="1" x14ac:dyDescent="0.25">
      <c r="B13" s="77" t="s">
        <v>9</v>
      </c>
      <c r="C13" s="78"/>
      <c r="D13" s="78"/>
      <c r="E13" s="78"/>
      <c r="F13" s="79"/>
      <c r="G13" s="77" t="s">
        <v>10</v>
      </c>
      <c r="H13" s="78"/>
      <c r="I13" s="78"/>
      <c r="J13" s="79"/>
    </row>
    <row r="14" spans="2:21" x14ac:dyDescent="0.2">
      <c r="P14" s="15">
        <v>44531</v>
      </c>
      <c r="Q14" s="16">
        <f>DATE(YEAR(P14),MONTH(P14)-1,DAY(P14))</f>
        <v>44501</v>
      </c>
      <c r="R14" s="17"/>
      <c r="T14" s="18" t="s">
        <v>11</v>
      </c>
      <c r="U14" s="18" t="s">
        <v>12</v>
      </c>
    </row>
    <row r="15" spans="2:21" ht="16" customHeight="1" thickBot="1" x14ac:dyDescent="0.25">
      <c r="B15" s="74" t="s">
        <v>13</v>
      </c>
      <c r="C15" s="74"/>
      <c r="D15" s="74"/>
      <c r="E15" s="74"/>
      <c r="F15" s="74"/>
      <c r="G15" s="74" t="s">
        <v>14</v>
      </c>
      <c r="H15" s="74"/>
      <c r="I15" s="74"/>
      <c r="J15" s="74"/>
      <c r="P15" s="19" t="s">
        <v>15</v>
      </c>
      <c r="Q15" s="19" t="s">
        <v>15</v>
      </c>
      <c r="R15" s="20" t="s">
        <v>16</v>
      </c>
      <c r="T15" s="21" t="s">
        <v>17</v>
      </c>
      <c r="U15" s="22">
        <v>18</v>
      </c>
    </row>
    <row r="16" spans="2:21" ht="30.75" customHeight="1" x14ac:dyDescent="0.2">
      <c r="G16" s="82" t="s">
        <v>18</v>
      </c>
      <c r="H16" s="74"/>
      <c r="I16" s="74"/>
      <c r="J16" s="74"/>
      <c r="N16" s="83" t="s">
        <v>0</v>
      </c>
      <c r="O16" s="84"/>
      <c r="P16" s="23">
        <f>VLOOKUP($P$14,Details!$A:$L,MATCH(Note!N16,Table91213[#Headers],),)</f>
        <v>62</v>
      </c>
      <c r="Q16" s="23">
        <f>VLOOKUP($Q$14,Details!$A:$L,MATCH(Note!N16,Table91213[#Headers],),)</f>
        <v>69.099999999999994</v>
      </c>
      <c r="R16" s="24">
        <f t="shared" ref="R16:R26" si="0">P16-Q16</f>
        <v>-7.0999999999999943</v>
      </c>
      <c r="T16" s="21" t="s">
        <v>48</v>
      </c>
      <c r="U16" s="22">
        <v>17</v>
      </c>
    </row>
    <row r="17" spans="2:21" ht="15" customHeight="1" x14ac:dyDescent="0.2">
      <c r="B17" s="82" t="s">
        <v>20</v>
      </c>
      <c r="C17" s="74"/>
      <c r="D17" s="74"/>
      <c r="E17" s="74"/>
      <c r="F17" s="74"/>
      <c r="G17" s="74"/>
      <c r="H17" s="74"/>
      <c r="I17" s="74"/>
      <c r="J17" s="74"/>
      <c r="N17" s="81" t="s">
        <v>21</v>
      </c>
      <c r="O17" s="79"/>
      <c r="P17" s="68">
        <f>VLOOKUP($P$14,Details!$A:$L,MATCH(Note!N17,Table91213[#Headers],),)</f>
        <v>61.5</v>
      </c>
      <c r="Q17" s="68">
        <f>VLOOKUP($Q$14,Details!$A:$L,MATCH(Note!N17,Table91213[#Headers],),)</f>
        <v>69.7</v>
      </c>
      <c r="R17" s="25">
        <f t="shared" si="0"/>
        <v>-8.2000000000000028</v>
      </c>
      <c r="T17" s="21" t="s">
        <v>28</v>
      </c>
      <c r="U17" s="22">
        <v>16</v>
      </c>
    </row>
    <row r="18" spans="2:21" x14ac:dyDescent="0.2">
      <c r="B18" s="74" t="s">
        <v>23</v>
      </c>
      <c r="C18" s="74"/>
      <c r="D18" s="74"/>
      <c r="E18" s="74"/>
      <c r="F18" s="74"/>
      <c r="N18" s="81" t="s">
        <v>24</v>
      </c>
      <c r="O18" s="79"/>
      <c r="P18" s="68">
        <f>VLOOKUP($P$14,Details!$A:$L,MATCH(Note!N18,Table91213[#Headers],),)</f>
        <v>55.5</v>
      </c>
      <c r="Q18" s="68">
        <f>VLOOKUP($Q$14,Details!$A:$L,MATCH(Note!N18,Table91213[#Headers],),)</f>
        <v>50.5</v>
      </c>
      <c r="R18" s="25">
        <f t="shared" si="0"/>
        <v>5</v>
      </c>
      <c r="T18" s="21" t="s">
        <v>32</v>
      </c>
      <c r="U18" s="22">
        <v>15</v>
      </c>
    </row>
    <row r="19" spans="2:21" x14ac:dyDescent="0.2">
      <c r="B19" s="74" t="s">
        <v>26</v>
      </c>
      <c r="C19" s="74"/>
      <c r="D19" s="74"/>
      <c r="E19" s="74"/>
      <c r="F19" s="74"/>
      <c r="N19" s="81" t="s">
        <v>27</v>
      </c>
      <c r="O19" s="79"/>
      <c r="P19" s="68">
        <f>VLOOKUP($P$14,Details!$A:$L,MATCH(Note!N19,Table91213[#Headers],),)</f>
        <v>62.3</v>
      </c>
      <c r="Q19" s="68">
        <f>VLOOKUP($Q$14,Details!$A:$L,MATCH(Note!N19,Table91213[#Headers],),)</f>
        <v>65.900000000000006</v>
      </c>
      <c r="R19" s="25">
        <f t="shared" si="0"/>
        <v>-3.6000000000000085</v>
      </c>
      <c r="T19" s="21" t="s">
        <v>19</v>
      </c>
      <c r="U19" s="22">
        <v>14</v>
      </c>
    </row>
    <row r="20" spans="2:21" x14ac:dyDescent="0.2">
      <c r="N20" s="81" t="s">
        <v>29</v>
      </c>
      <c r="O20" s="79"/>
      <c r="P20" s="68">
        <f>VLOOKUP($P$14,Details!$A:$L,MATCH(Note!N20,Table91213[#Headers],),)</f>
        <v>82.5</v>
      </c>
      <c r="Q20" s="68">
        <f>VLOOKUP($Q$14,Details!$A:$L,MATCH(Note!N20,Table91213[#Headers],),)</f>
        <v>82.3</v>
      </c>
      <c r="R20" s="25">
        <f t="shared" si="0"/>
        <v>0.20000000000000284</v>
      </c>
      <c r="T20" s="21" t="s">
        <v>38</v>
      </c>
      <c r="U20" s="22">
        <v>13</v>
      </c>
    </row>
    <row r="21" spans="2:21" x14ac:dyDescent="0.2">
      <c r="B21" s="74"/>
      <c r="C21" s="74"/>
      <c r="D21" s="74"/>
      <c r="E21" s="74"/>
      <c r="F21" s="74"/>
      <c r="G21" s="74"/>
      <c r="H21" s="74"/>
      <c r="I21" s="74"/>
      <c r="J21" s="74"/>
      <c r="N21" s="81" t="s">
        <v>31</v>
      </c>
      <c r="O21" s="79"/>
      <c r="P21" s="68">
        <f>VLOOKUP($P$14,Details!$A:$L,MATCH(Note!N21,Table91213[#Headers],),)</f>
        <v>67.599999999999994</v>
      </c>
      <c r="Q21" s="68">
        <f>VLOOKUP($Q$14,Details!$A:$L,MATCH(Note!N21,Table91213[#Headers],),)</f>
        <v>74.599999999999994</v>
      </c>
      <c r="R21" s="25">
        <f t="shared" si="0"/>
        <v>-7</v>
      </c>
      <c r="T21" s="21" t="s">
        <v>452</v>
      </c>
      <c r="U21" s="22">
        <v>12</v>
      </c>
    </row>
    <row r="22" spans="2:21" x14ac:dyDescent="0.2">
      <c r="B22" s="74"/>
      <c r="C22" s="74"/>
      <c r="D22" s="74"/>
      <c r="E22" s="74"/>
      <c r="F22" s="74"/>
      <c r="G22" s="74"/>
      <c r="H22" s="74"/>
      <c r="I22" s="74"/>
      <c r="J22" s="74"/>
      <c r="N22" s="81" t="s">
        <v>33</v>
      </c>
      <c r="O22" s="79"/>
      <c r="P22" s="68">
        <f>VLOOKUP($P$14,Details!$A:$L,MATCH(Note!N22,Table91213[#Headers],),)</f>
        <v>38.299999999999997</v>
      </c>
      <c r="Q22" s="68">
        <f>VLOOKUP($Q$14,Details!$A:$L,MATCH(Note!N22,Table91213[#Headers],),)</f>
        <v>36.4</v>
      </c>
      <c r="R22" s="25">
        <f t="shared" si="0"/>
        <v>1.8999999999999986</v>
      </c>
      <c r="T22" s="21" t="s">
        <v>22</v>
      </c>
      <c r="U22" s="22">
        <v>11</v>
      </c>
    </row>
    <row r="23" spans="2:21" x14ac:dyDescent="0.2">
      <c r="B23" s="74"/>
      <c r="C23" s="74"/>
      <c r="D23" s="74"/>
      <c r="E23" s="74"/>
      <c r="F23" s="74"/>
      <c r="G23" s="74"/>
      <c r="H23" s="74"/>
      <c r="I23" s="74"/>
      <c r="J23" s="74"/>
      <c r="N23" s="81" t="s">
        <v>35</v>
      </c>
      <c r="O23" s="79"/>
      <c r="P23" s="68">
        <f>VLOOKUP($P$14,Details!$A:$L,MATCH(Note!N23,Table91213[#Headers],),)</f>
        <v>46.7</v>
      </c>
      <c r="Q23" s="68">
        <f>VLOOKUP($Q$14,Details!$A:$L,MATCH(Note!N23,Table91213[#Headers],),)</f>
        <v>48.2</v>
      </c>
      <c r="R23" s="25">
        <f t="shared" si="0"/>
        <v>-1.5</v>
      </c>
      <c r="T23" s="21" t="s">
        <v>46</v>
      </c>
      <c r="U23" s="22">
        <v>10</v>
      </c>
    </row>
    <row r="24" spans="2:21" x14ac:dyDescent="0.2">
      <c r="B24" s="74"/>
      <c r="C24" s="74"/>
      <c r="D24" s="74"/>
      <c r="E24" s="74"/>
      <c r="F24" s="74"/>
      <c r="N24" s="81" t="s">
        <v>37</v>
      </c>
      <c r="O24" s="79"/>
      <c r="P24" s="68">
        <f>VLOOKUP($P$14,Details!$A:$L,MATCH(Note!N24,Table91213[#Headers],),)</f>
        <v>63.9</v>
      </c>
      <c r="Q24" s="68">
        <f>VLOOKUP($Q$14,Details!$A:$L,MATCH(Note!N24,Table91213[#Headers],),)</f>
        <v>75.7</v>
      </c>
      <c r="R24" s="25">
        <f t="shared" si="0"/>
        <v>-11.800000000000004</v>
      </c>
      <c r="T24" s="21" t="s">
        <v>44</v>
      </c>
      <c r="U24" s="22">
        <v>9</v>
      </c>
    </row>
    <row r="25" spans="2:21" x14ac:dyDescent="0.2">
      <c r="B25" s="74"/>
      <c r="C25" s="74"/>
      <c r="D25" s="74"/>
      <c r="E25" s="74"/>
      <c r="F25" s="74"/>
      <c r="N25" s="81" t="s">
        <v>39</v>
      </c>
      <c r="O25" s="79"/>
      <c r="P25" s="68">
        <f>VLOOKUP($P$14,Details!$A:$L,MATCH(Note!N25,Table91213[#Headers],),)</f>
        <v>54.9</v>
      </c>
      <c r="Q25" s="68">
        <f>VLOOKUP($Q$14,Details!$A:$L,MATCH(Note!N25,Table91213[#Headers],),)</f>
        <v>56.5</v>
      </c>
      <c r="R25" s="25">
        <f t="shared" si="0"/>
        <v>-1.6000000000000014</v>
      </c>
      <c r="T25" s="21" t="s">
        <v>25</v>
      </c>
      <c r="U25" s="22">
        <v>8</v>
      </c>
    </row>
    <row r="26" spans="2:21" ht="16" customHeight="1" thickBot="1" x14ac:dyDescent="0.25">
      <c r="N26" s="85" t="s">
        <v>41</v>
      </c>
      <c r="O26" s="86"/>
      <c r="P26" s="26">
        <f>VLOOKUP($P$14,Details!$A:$L,MATCH(Note!N26,Table91213[#Headers],),)</f>
        <v>61.5</v>
      </c>
      <c r="Q26" s="26">
        <f>VLOOKUP($Q$14,Details!$A:$L,MATCH(Note!N26,Table91213[#Headers],),)</f>
        <v>57.9</v>
      </c>
      <c r="R26" s="27">
        <f t="shared" si="0"/>
        <v>3.6000000000000014</v>
      </c>
      <c r="T26" s="21" t="s">
        <v>42</v>
      </c>
      <c r="U26" s="22">
        <v>7</v>
      </c>
    </row>
    <row r="27" spans="2:21" x14ac:dyDescent="0.2">
      <c r="T27" s="21" t="s">
        <v>45</v>
      </c>
      <c r="U27" s="22">
        <v>6</v>
      </c>
    </row>
    <row r="28" spans="2:21" x14ac:dyDescent="0.2">
      <c r="T28" s="21" t="s">
        <v>30</v>
      </c>
      <c r="U28" s="22">
        <v>5</v>
      </c>
    </row>
    <row r="29" spans="2:21" x14ac:dyDescent="0.2">
      <c r="T29" s="21" t="s">
        <v>43</v>
      </c>
      <c r="U29" s="22">
        <v>4</v>
      </c>
    </row>
    <row r="30" spans="2:21" x14ac:dyDescent="0.2">
      <c r="T30" s="21" t="s">
        <v>34</v>
      </c>
      <c r="U30" s="22">
        <v>3</v>
      </c>
    </row>
    <row r="31" spans="2:21" x14ac:dyDescent="0.2">
      <c r="T31" s="21" t="s">
        <v>40</v>
      </c>
      <c r="U31" s="22">
        <v>2</v>
      </c>
    </row>
    <row r="32" spans="2:21" ht="30" customHeight="1" x14ac:dyDescent="0.2">
      <c r="T32" s="21" t="s">
        <v>47</v>
      </c>
      <c r="U32" s="22">
        <v>1</v>
      </c>
    </row>
  </sheetData>
  <mergeCells count="34">
    <mergeCell ref="N26:O26"/>
    <mergeCell ref="B23:F23"/>
    <mergeCell ref="G23:J23"/>
    <mergeCell ref="N23:O23"/>
    <mergeCell ref="B24:F24"/>
    <mergeCell ref="N24:O24"/>
    <mergeCell ref="B25:F25"/>
    <mergeCell ref="N25:O25"/>
    <mergeCell ref="N20:O20"/>
    <mergeCell ref="B21:F21"/>
    <mergeCell ref="G21:J21"/>
    <mergeCell ref="N21:O21"/>
    <mergeCell ref="B22:F22"/>
    <mergeCell ref="G22:J22"/>
    <mergeCell ref="N22:O22"/>
    <mergeCell ref="B19:F19"/>
    <mergeCell ref="N19:O19"/>
    <mergeCell ref="B13:F13"/>
    <mergeCell ref="G13:J13"/>
    <mergeCell ref="B15:F15"/>
    <mergeCell ref="G15:J15"/>
    <mergeCell ref="G16:J16"/>
    <mergeCell ref="N16:O16"/>
    <mergeCell ref="B17:F17"/>
    <mergeCell ref="G17:J17"/>
    <mergeCell ref="N17:O17"/>
    <mergeCell ref="B18:F18"/>
    <mergeCell ref="N18:O18"/>
    <mergeCell ref="N11:U11"/>
    <mergeCell ref="B1:J2"/>
    <mergeCell ref="B3:J3"/>
    <mergeCell ref="B5:J5"/>
    <mergeCell ref="B7:J7"/>
    <mergeCell ref="B11:J11"/>
  </mergeCells>
  <conditionalFormatting sqref="R16:R26">
    <cfRule type="cellIs" dxfId="103" priority="6" operator="lessThan">
      <formula>0</formula>
    </cfRule>
    <cfRule type="cellIs" dxfId="102" priority="7" operator="greaterThan">
      <formula>0</formula>
    </cfRule>
  </conditionalFormatting>
  <conditionalFormatting sqref="U15:U32">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S25"/>
  <sheetViews>
    <sheetView zoomScale="150" zoomScaleNormal="150" workbookViewId="0">
      <selection activeCell="K38" sqref="K38"/>
    </sheetView>
  </sheetViews>
  <sheetFormatPr baseColWidth="10" defaultRowHeight="15" x14ac:dyDescent="0.2"/>
  <cols>
    <col min="1" max="1" width="25.1640625" style="65"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9">
        <v>43831</v>
      </c>
      <c r="B2">
        <v>-3</v>
      </c>
      <c r="C2">
        <v>-4</v>
      </c>
      <c r="D2">
        <v>10</v>
      </c>
      <c r="E2">
        <v>7</v>
      </c>
      <c r="F2">
        <v>6</v>
      </c>
      <c r="G2">
        <v>-1</v>
      </c>
      <c r="H2">
        <v>-6</v>
      </c>
      <c r="I2">
        <v>-2</v>
      </c>
      <c r="J2">
        <v>4</v>
      </c>
      <c r="K2">
        <v>-5</v>
      </c>
      <c r="L2">
        <v>3</v>
      </c>
      <c r="M2">
        <v>1</v>
      </c>
      <c r="N2">
        <v>12</v>
      </c>
      <c r="O2">
        <v>2</v>
      </c>
      <c r="P2">
        <v>9</v>
      </c>
      <c r="Q2">
        <v>11</v>
      </c>
      <c r="R2">
        <v>5</v>
      </c>
      <c r="S2">
        <v>8</v>
      </c>
    </row>
    <row r="3" spans="1:19" x14ac:dyDescent="0.2">
      <c r="A3" s="69">
        <v>43862</v>
      </c>
      <c r="B3">
        <v>-2</v>
      </c>
      <c r="C3">
        <v>11</v>
      </c>
      <c r="D3">
        <v>9</v>
      </c>
      <c r="E3">
        <v>16</v>
      </c>
      <c r="F3">
        <v>13</v>
      </c>
      <c r="G3">
        <v>12</v>
      </c>
      <c r="H3">
        <v>6</v>
      </c>
      <c r="I3">
        <v>14</v>
      </c>
      <c r="J3">
        <v>10</v>
      </c>
      <c r="K3">
        <v>7</v>
      </c>
      <c r="L3">
        <v>8</v>
      </c>
      <c r="M3">
        <v>4</v>
      </c>
      <c r="N3">
        <v>-1</v>
      </c>
      <c r="O3">
        <v>2</v>
      </c>
      <c r="P3">
        <v>5</v>
      </c>
      <c r="Q3">
        <v>15</v>
      </c>
      <c r="R3">
        <v>1</v>
      </c>
      <c r="S3">
        <v>3</v>
      </c>
    </row>
    <row r="4" spans="1:19" x14ac:dyDescent="0.2">
      <c r="A4" s="69">
        <v>43891</v>
      </c>
      <c r="B4">
        <v>-7</v>
      </c>
      <c r="C4">
        <v>-3</v>
      </c>
      <c r="D4">
        <v>9</v>
      </c>
      <c r="E4">
        <v>0</v>
      </c>
      <c r="F4">
        <v>5</v>
      </c>
      <c r="G4">
        <v>8</v>
      </c>
      <c r="H4">
        <v>-6</v>
      </c>
      <c r="I4">
        <v>-4</v>
      </c>
      <c r="J4">
        <v>4</v>
      </c>
      <c r="K4">
        <v>2</v>
      </c>
      <c r="L4">
        <v>7</v>
      </c>
      <c r="M4">
        <v>-5</v>
      </c>
      <c r="N4">
        <v>0</v>
      </c>
      <c r="O4">
        <v>1</v>
      </c>
      <c r="P4">
        <v>-1</v>
      </c>
      <c r="Q4">
        <v>3</v>
      </c>
      <c r="R4">
        <v>-2</v>
      </c>
      <c r="S4">
        <v>6</v>
      </c>
    </row>
    <row r="5" spans="1:19" x14ac:dyDescent="0.2">
      <c r="A5" s="69">
        <v>43922</v>
      </c>
      <c r="B5">
        <v>-16</v>
      </c>
      <c r="C5">
        <v>-13</v>
      </c>
      <c r="D5">
        <v>-1</v>
      </c>
      <c r="E5">
        <v>-6</v>
      </c>
      <c r="F5">
        <v>0</v>
      </c>
      <c r="G5">
        <v>-3</v>
      </c>
      <c r="H5">
        <v>-10</v>
      </c>
      <c r="I5">
        <v>-9</v>
      </c>
      <c r="J5">
        <v>-11</v>
      </c>
      <c r="K5">
        <v>-12</v>
      </c>
      <c r="L5">
        <v>2</v>
      </c>
      <c r="M5">
        <v>-8</v>
      </c>
      <c r="N5">
        <v>-15</v>
      </c>
      <c r="O5">
        <v>-7</v>
      </c>
      <c r="P5">
        <v>-4</v>
      </c>
      <c r="Q5">
        <v>-5</v>
      </c>
      <c r="R5">
        <v>-14</v>
      </c>
      <c r="S5">
        <v>-2</v>
      </c>
    </row>
    <row r="6" spans="1:19" x14ac:dyDescent="0.2">
      <c r="A6" s="69">
        <v>43952</v>
      </c>
      <c r="B6">
        <v>-13</v>
      </c>
      <c r="C6">
        <v>-12</v>
      </c>
      <c r="D6">
        <v>-2</v>
      </c>
      <c r="E6">
        <v>-6</v>
      </c>
      <c r="F6">
        <v>3</v>
      </c>
      <c r="G6">
        <v>-4</v>
      </c>
      <c r="H6">
        <v>-3</v>
      </c>
      <c r="I6">
        <v>-14</v>
      </c>
      <c r="J6">
        <v>-11</v>
      </c>
      <c r="K6">
        <v>-7</v>
      </c>
      <c r="L6">
        <v>2</v>
      </c>
      <c r="M6">
        <v>-9</v>
      </c>
      <c r="N6">
        <v>4</v>
      </c>
      <c r="O6">
        <v>1</v>
      </c>
      <c r="P6">
        <v>-10</v>
      </c>
      <c r="Q6">
        <v>-5</v>
      </c>
      <c r="R6">
        <v>-1</v>
      </c>
      <c r="S6">
        <v>-8</v>
      </c>
    </row>
    <row r="7" spans="1:19" x14ac:dyDescent="0.2">
      <c r="A7" s="69">
        <v>43983</v>
      </c>
      <c r="B7">
        <v>5</v>
      </c>
      <c r="C7">
        <v>-2</v>
      </c>
      <c r="D7">
        <v>10</v>
      </c>
      <c r="E7">
        <v>0</v>
      </c>
      <c r="F7">
        <v>3</v>
      </c>
      <c r="G7">
        <v>11</v>
      </c>
      <c r="H7">
        <v>6</v>
      </c>
      <c r="I7">
        <v>-3</v>
      </c>
      <c r="J7">
        <v>9</v>
      </c>
      <c r="K7">
        <v>12</v>
      </c>
      <c r="L7">
        <v>2</v>
      </c>
      <c r="M7">
        <v>1</v>
      </c>
      <c r="N7">
        <v>14</v>
      </c>
      <c r="O7">
        <v>4</v>
      </c>
      <c r="P7">
        <v>0</v>
      </c>
      <c r="Q7">
        <v>-1</v>
      </c>
      <c r="R7">
        <v>8</v>
      </c>
      <c r="S7">
        <v>7</v>
      </c>
    </row>
    <row r="8" spans="1:19" x14ac:dyDescent="0.2">
      <c r="A8" s="69">
        <v>44013</v>
      </c>
      <c r="B8">
        <v>15</v>
      </c>
      <c r="C8">
        <v>-3</v>
      </c>
      <c r="D8">
        <v>14</v>
      </c>
      <c r="E8">
        <v>2</v>
      </c>
      <c r="F8">
        <v>6</v>
      </c>
      <c r="G8">
        <v>4</v>
      </c>
      <c r="H8">
        <v>12</v>
      </c>
      <c r="I8">
        <v>-2</v>
      </c>
      <c r="J8">
        <v>9</v>
      </c>
      <c r="K8">
        <v>11</v>
      </c>
      <c r="L8">
        <v>7</v>
      </c>
      <c r="M8">
        <v>-1</v>
      </c>
      <c r="N8">
        <v>3</v>
      </c>
      <c r="O8">
        <v>1</v>
      </c>
      <c r="P8">
        <v>10</v>
      </c>
      <c r="Q8">
        <v>5</v>
      </c>
      <c r="R8">
        <v>13</v>
      </c>
      <c r="S8">
        <v>8</v>
      </c>
    </row>
    <row r="9" spans="1:19" x14ac:dyDescent="0.2">
      <c r="A9" s="69">
        <v>44044</v>
      </c>
      <c r="B9">
        <v>15</v>
      </c>
      <c r="C9">
        <v>-1</v>
      </c>
      <c r="D9">
        <v>14</v>
      </c>
      <c r="E9">
        <v>12</v>
      </c>
      <c r="F9">
        <v>5</v>
      </c>
      <c r="G9">
        <v>2</v>
      </c>
      <c r="H9">
        <v>11</v>
      </c>
      <c r="I9">
        <v>-3</v>
      </c>
      <c r="J9">
        <v>9</v>
      </c>
      <c r="K9">
        <v>10</v>
      </c>
      <c r="L9">
        <v>6</v>
      </c>
      <c r="M9">
        <v>1</v>
      </c>
      <c r="N9">
        <v>3</v>
      </c>
      <c r="O9">
        <v>-2</v>
      </c>
      <c r="P9">
        <v>4</v>
      </c>
      <c r="Q9">
        <v>7</v>
      </c>
      <c r="R9">
        <v>8</v>
      </c>
      <c r="S9">
        <v>13</v>
      </c>
    </row>
    <row r="10" spans="1:19" x14ac:dyDescent="0.2">
      <c r="A10" s="69">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69">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69">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69">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69">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69">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69">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69">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69">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69">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69">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69">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69">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69">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69">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69">
        <v>44531</v>
      </c>
      <c r="B25">
        <v>12</v>
      </c>
      <c r="C25">
        <v>15</v>
      </c>
      <c r="D25">
        <v>3</v>
      </c>
      <c r="E25">
        <v>18</v>
      </c>
      <c r="F25">
        <v>4</v>
      </c>
      <c r="G25">
        <v>6</v>
      </c>
      <c r="H25">
        <v>8</v>
      </c>
      <c r="I25">
        <v>17</v>
      </c>
      <c r="J25">
        <v>11</v>
      </c>
      <c r="K25">
        <v>14</v>
      </c>
      <c r="L25">
        <v>7</v>
      </c>
      <c r="M25">
        <v>2</v>
      </c>
      <c r="N25">
        <v>1</v>
      </c>
      <c r="O25">
        <v>9</v>
      </c>
      <c r="P25">
        <v>10</v>
      </c>
      <c r="Q25">
        <v>16</v>
      </c>
      <c r="R25">
        <v>5</v>
      </c>
      <c r="S25">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25"/>
  <sheetViews>
    <sheetView zoomScale="150" zoomScaleNormal="150" workbookViewId="0">
      <selection activeCell="J58" sqref="J5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9">
        <v>43831</v>
      </c>
      <c r="B2">
        <v>-3</v>
      </c>
      <c r="C2">
        <v>-1</v>
      </c>
      <c r="D2">
        <v>10</v>
      </c>
      <c r="E2">
        <v>5</v>
      </c>
      <c r="F2">
        <v>7</v>
      </c>
      <c r="G2">
        <v>0</v>
      </c>
      <c r="H2">
        <v>9</v>
      </c>
      <c r="I2">
        <v>-4</v>
      </c>
      <c r="J2">
        <v>6</v>
      </c>
      <c r="K2">
        <v>-2</v>
      </c>
      <c r="L2">
        <v>8</v>
      </c>
      <c r="M2">
        <v>1</v>
      </c>
      <c r="N2">
        <v>12</v>
      </c>
      <c r="O2">
        <v>3</v>
      </c>
      <c r="P2">
        <v>2</v>
      </c>
      <c r="Q2">
        <v>11</v>
      </c>
      <c r="R2">
        <v>0</v>
      </c>
      <c r="S2">
        <v>4</v>
      </c>
    </row>
    <row r="3" spans="1:19" x14ac:dyDescent="0.2">
      <c r="A3" s="69">
        <v>43862</v>
      </c>
      <c r="B3">
        <v>-3</v>
      </c>
      <c r="C3">
        <v>1</v>
      </c>
      <c r="D3">
        <v>6</v>
      </c>
      <c r="E3">
        <v>13</v>
      </c>
      <c r="F3">
        <v>9</v>
      </c>
      <c r="G3">
        <v>10</v>
      </c>
      <c r="H3">
        <v>7</v>
      </c>
      <c r="I3">
        <v>11</v>
      </c>
      <c r="J3">
        <v>4</v>
      </c>
      <c r="K3">
        <v>3</v>
      </c>
      <c r="L3">
        <v>8</v>
      </c>
      <c r="M3">
        <v>2</v>
      </c>
      <c r="N3">
        <v>0</v>
      </c>
      <c r="O3">
        <v>-2</v>
      </c>
      <c r="P3">
        <v>5</v>
      </c>
      <c r="Q3">
        <v>12</v>
      </c>
      <c r="R3">
        <v>0</v>
      </c>
      <c r="S3">
        <v>-1</v>
      </c>
    </row>
    <row r="4" spans="1:19" x14ac:dyDescent="0.2">
      <c r="A4" s="69">
        <v>43891</v>
      </c>
      <c r="B4">
        <v>-9</v>
      </c>
      <c r="C4">
        <v>-7</v>
      </c>
      <c r="D4">
        <v>5</v>
      </c>
      <c r="E4">
        <v>4</v>
      </c>
      <c r="F4">
        <v>1</v>
      </c>
      <c r="G4">
        <v>0</v>
      </c>
      <c r="H4">
        <v>-3</v>
      </c>
      <c r="I4">
        <v>-8</v>
      </c>
      <c r="J4">
        <v>3</v>
      </c>
      <c r="K4">
        <v>-2</v>
      </c>
      <c r="L4">
        <v>2</v>
      </c>
      <c r="M4">
        <v>-4</v>
      </c>
      <c r="N4">
        <v>0</v>
      </c>
      <c r="O4">
        <v>-1</v>
      </c>
      <c r="P4">
        <v>-6</v>
      </c>
      <c r="Q4">
        <v>0</v>
      </c>
      <c r="R4">
        <v>-5</v>
      </c>
      <c r="S4">
        <v>0</v>
      </c>
    </row>
    <row r="5" spans="1:19" x14ac:dyDescent="0.2">
      <c r="A5" s="69">
        <v>43922</v>
      </c>
      <c r="B5">
        <v>-17</v>
      </c>
      <c r="C5">
        <v>-13</v>
      </c>
      <c r="D5">
        <v>-4</v>
      </c>
      <c r="E5">
        <v>-2</v>
      </c>
      <c r="F5">
        <v>0</v>
      </c>
      <c r="G5">
        <v>-12</v>
      </c>
      <c r="H5">
        <v>-15</v>
      </c>
      <c r="I5">
        <v>-5</v>
      </c>
      <c r="J5">
        <v>-7</v>
      </c>
      <c r="K5">
        <v>-8</v>
      </c>
      <c r="L5">
        <v>-1</v>
      </c>
      <c r="M5">
        <v>-11</v>
      </c>
      <c r="N5">
        <v>-16</v>
      </c>
      <c r="O5">
        <v>-3</v>
      </c>
      <c r="P5">
        <v>-10</v>
      </c>
      <c r="Q5">
        <v>-9</v>
      </c>
      <c r="R5">
        <v>-14</v>
      </c>
      <c r="S5">
        <v>-6</v>
      </c>
    </row>
    <row r="6" spans="1:19" x14ac:dyDescent="0.2">
      <c r="A6" s="69">
        <v>43952</v>
      </c>
      <c r="B6">
        <v>-8</v>
      </c>
      <c r="C6">
        <v>-10</v>
      </c>
      <c r="D6">
        <v>-6</v>
      </c>
      <c r="E6">
        <v>-5</v>
      </c>
      <c r="F6">
        <v>2</v>
      </c>
      <c r="G6">
        <v>0</v>
      </c>
      <c r="H6">
        <v>-2</v>
      </c>
      <c r="I6">
        <v>-13</v>
      </c>
      <c r="J6">
        <v>-11</v>
      </c>
      <c r="K6">
        <v>-4</v>
      </c>
      <c r="L6">
        <v>0</v>
      </c>
      <c r="M6">
        <v>-7</v>
      </c>
      <c r="N6">
        <v>3</v>
      </c>
      <c r="O6">
        <v>-1</v>
      </c>
      <c r="P6">
        <v>-12</v>
      </c>
      <c r="Q6">
        <v>-3</v>
      </c>
      <c r="R6">
        <v>1</v>
      </c>
      <c r="S6">
        <v>-9</v>
      </c>
    </row>
    <row r="7" spans="1:19" x14ac:dyDescent="0.2">
      <c r="A7" s="69">
        <v>43983</v>
      </c>
      <c r="B7">
        <v>0</v>
      </c>
      <c r="C7">
        <v>-1</v>
      </c>
      <c r="D7">
        <v>11</v>
      </c>
      <c r="E7">
        <v>14</v>
      </c>
      <c r="F7">
        <v>13</v>
      </c>
      <c r="G7">
        <v>7</v>
      </c>
      <c r="H7">
        <v>5</v>
      </c>
      <c r="I7">
        <v>2</v>
      </c>
      <c r="J7">
        <v>12</v>
      </c>
      <c r="K7">
        <v>4</v>
      </c>
      <c r="L7">
        <v>0</v>
      </c>
      <c r="M7">
        <v>1</v>
      </c>
      <c r="N7">
        <v>8</v>
      </c>
      <c r="O7">
        <v>3</v>
      </c>
      <c r="P7">
        <v>6</v>
      </c>
      <c r="Q7">
        <v>15</v>
      </c>
      <c r="R7">
        <v>9</v>
      </c>
      <c r="S7">
        <v>10</v>
      </c>
    </row>
    <row r="8" spans="1:19" x14ac:dyDescent="0.2">
      <c r="A8" s="69">
        <v>44013</v>
      </c>
      <c r="B8">
        <v>11</v>
      </c>
      <c r="C8">
        <v>-2</v>
      </c>
      <c r="D8">
        <v>9</v>
      </c>
      <c r="E8">
        <v>5</v>
      </c>
      <c r="F8">
        <v>2</v>
      </c>
      <c r="G8">
        <v>8</v>
      </c>
      <c r="H8">
        <v>14</v>
      </c>
      <c r="I8">
        <v>-3</v>
      </c>
      <c r="J8">
        <v>4</v>
      </c>
      <c r="K8">
        <v>10</v>
      </c>
      <c r="L8">
        <v>7</v>
      </c>
      <c r="M8">
        <v>0</v>
      </c>
      <c r="N8">
        <v>6</v>
      </c>
      <c r="O8">
        <v>-1</v>
      </c>
      <c r="P8">
        <v>12</v>
      </c>
      <c r="Q8">
        <v>3</v>
      </c>
      <c r="R8">
        <v>13</v>
      </c>
      <c r="S8">
        <v>1</v>
      </c>
    </row>
    <row r="9" spans="1:19" x14ac:dyDescent="0.2">
      <c r="A9" s="69">
        <v>44044</v>
      </c>
      <c r="B9">
        <v>13</v>
      </c>
      <c r="C9">
        <v>0</v>
      </c>
      <c r="D9">
        <v>9</v>
      </c>
      <c r="E9">
        <v>2</v>
      </c>
      <c r="F9">
        <v>4</v>
      </c>
      <c r="G9">
        <v>10</v>
      </c>
      <c r="H9">
        <v>5</v>
      </c>
      <c r="I9">
        <v>-1</v>
      </c>
      <c r="J9">
        <v>6</v>
      </c>
      <c r="K9">
        <v>8</v>
      </c>
      <c r="L9">
        <v>7</v>
      </c>
      <c r="M9">
        <v>0</v>
      </c>
      <c r="N9">
        <v>-3</v>
      </c>
      <c r="O9">
        <v>-2</v>
      </c>
      <c r="P9">
        <v>3</v>
      </c>
      <c r="Q9">
        <v>11</v>
      </c>
      <c r="R9">
        <v>1</v>
      </c>
      <c r="S9">
        <v>12</v>
      </c>
    </row>
    <row r="10" spans="1:19" x14ac:dyDescent="0.2">
      <c r="A10" s="69">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69">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69">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69">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69">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69">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69">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69">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69">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69">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69">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69">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69">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69">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69">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69">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25"/>
  <sheetViews>
    <sheetView zoomScale="150" zoomScaleNormal="150" workbookViewId="0">
      <selection activeCell="K38" sqref="K3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69">
        <v>43831</v>
      </c>
      <c r="B2">
        <v>0</v>
      </c>
      <c r="C2">
        <v>-2</v>
      </c>
      <c r="D2">
        <v>5</v>
      </c>
      <c r="E2">
        <v>8</v>
      </c>
      <c r="F2">
        <v>6</v>
      </c>
      <c r="G2">
        <v>-4</v>
      </c>
      <c r="H2">
        <v>0</v>
      </c>
      <c r="I2">
        <v>0</v>
      </c>
      <c r="J2">
        <v>2</v>
      </c>
      <c r="K2">
        <v>1</v>
      </c>
      <c r="L2">
        <v>7</v>
      </c>
      <c r="M2">
        <v>-1</v>
      </c>
      <c r="N2">
        <v>10</v>
      </c>
      <c r="O2">
        <v>0</v>
      </c>
      <c r="P2">
        <v>3</v>
      </c>
      <c r="Q2">
        <v>9</v>
      </c>
      <c r="R2">
        <v>-3</v>
      </c>
      <c r="S2">
        <v>4</v>
      </c>
    </row>
    <row r="3" spans="1:19" x14ac:dyDescent="0.2">
      <c r="A3" s="69">
        <v>43862</v>
      </c>
      <c r="B3">
        <v>-1</v>
      </c>
      <c r="C3">
        <v>6</v>
      </c>
      <c r="D3">
        <v>5</v>
      </c>
      <c r="E3">
        <v>16</v>
      </c>
      <c r="F3">
        <v>10</v>
      </c>
      <c r="G3">
        <v>0</v>
      </c>
      <c r="H3">
        <v>11</v>
      </c>
      <c r="I3">
        <v>13</v>
      </c>
      <c r="J3">
        <v>12</v>
      </c>
      <c r="K3">
        <v>7</v>
      </c>
      <c r="L3">
        <v>8</v>
      </c>
      <c r="M3">
        <v>3</v>
      </c>
      <c r="N3">
        <v>9</v>
      </c>
      <c r="O3">
        <v>2</v>
      </c>
      <c r="P3">
        <v>4</v>
      </c>
      <c r="Q3">
        <v>14</v>
      </c>
      <c r="R3">
        <v>0</v>
      </c>
      <c r="S3">
        <v>1</v>
      </c>
    </row>
    <row r="4" spans="1:19" x14ac:dyDescent="0.2">
      <c r="A4" s="69">
        <v>43891</v>
      </c>
      <c r="B4">
        <v>-8</v>
      </c>
      <c r="C4">
        <v>-9</v>
      </c>
      <c r="D4">
        <v>4</v>
      </c>
      <c r="E4">
        <v>3</v>
      </c>
      <c r="F4">
        <v>0</v>
      </c>
      <c r="G4">
        <v>5</v>
      </c>
      <c r="H4">
        <v>0</v>
      </c>
      <c r="I4">
        <v>-3</v>
      </c>
      <c r="J4">
        <v>1</v>
      </c>
      <c r="K4">
        <v>-4</v>
      </c>
      <c r="L4">
        <v>2</v>
      </c>
      <c r="M4">
        <v>-5</v>
      </c>
      <c r="N4">
        <v>0</v>
      </c>
      <c r="O4">
        <v>-1</v>
      </c>
      <c r="P4">
        <v>-6</v>
      </c>
      <c r="Q4">
        <v>-2</v>
      </c>
      <c r="R4">
        <v>-7</v>
      </c>
      <c r="S4">
        <v>0</v>
      </c>
    </row>
    <row r="5" spans="1:19" x14ac:dyDescent="0.2">
      <c r="A5" s="69">
        <v>43922</v>
      </c>
      <c r="B5">
        <v>-16</v>
      </c>
      <c r="C5">
        <v>-8</v>
      </c>
      <c r="D5">
        <v>-1</v>
      </c>
      <c r="E5">
        <v>-2</v>
      </c>
      <c r="F5">
        <v>1</v>
      </c>
      <c r="G5">
        <v>-6</v>
      </c>
      <c r="H5">
        <v>-4</v>
      </c>
      <c r="I5">
        <v>-13</v>
      </c>
      <c r="J5">
        <v>-7</v>
      </c>
      <c r="K5">
        <v>-11</v>
      </c>
      <c r="L5">
        <v>2</v>
      </c>
      <c r="M5">
        <v>-10</v>
      </c>
      <c r="N5">
        <v>-15</v>
      </c>
      <c r="O5">
        <v>-5</v>
      </c>
      <c r="P5">
        <v>-9</v>
      </c>
      <c r="Q5">
        <v>-3</v>
      </c>
      <c r="R5">
        <v>-14</v>
      </c>
      <c r="S5">
        <v>-12</v>
      </c>
    </row>
    <row r="6" spans="1:19" x14ac:dyDescent="0.2">
      <c r="A6" s="69">
        <v>43952</v>
      </c>
      <c r="B6">
        <v>-9</v>
      </c>
      <c r="C6">
        <v>-13</v>
      </c>
      <c r="D6">
        <v>-3</v>
      </c>
      <c r="E6">
        <v>-5</v>
      </c>
      <c r="F6">
        <v>0</v>
      </c>
      <c r="G6">
        <v>0</v>
      </c>
      <c r="H6">
        <v>-4</v>
      </c>
      <c r="I6">
        <v>-14</v>
      </c>
      <c r="J6">
        <v>-8</v>
      </c>
      <c r="K6">
        <v>-6</v>
      </c>
      <c r="L6">
        <v>-1</v>
      </c>
      <c r="M6">
        <v>-7</v>
      </c>
      <c r="N6">
        <v>0</v>
      </c>
      <c r="O6">
        <v>0</v>
      </c>
      <c r="P6">
        <v>-12</v>
      </c>
      <c r="Q6">
        <v>-11</v>
      </c>
      <c r="R6">
        <v>-2</v>
      </c>
      <c r="S6">
        <v>-10</v>
      </c>
    </row>
    <row r="7" spans="1:19" x14ac:dyDescent="0.2">
      <c r="A7" s="69">
        <v>43983</v>
      </c>
      <c r="B7">
        <v>7</v>
      </c>
      <c r="C7">
        <v>10</v>
      </c>
      <c r="D7">
        <v>11</v>
      </c>
      <c r="E7">
        <v>13</v>
      </c>
      <c r="F7">
        <v>8</v>
      </c>
      <c r="G7">
        <v>14</v>
      </c>
      <c r="H7">
        <v>2</v>
      </c>
      <c r="I7">
        <v>12</v>
      </c>
      <c r="J7">
        <v>6</v>
      </c>
      <c r="K7">
        <v>5</v>
      </c>
      <c r="L7">
        <v>0</v>
      </c>
      <c r="M7">
        <v>1</v>
      </c>
      <c r="N7">
        <v>0</v>
      </c>
      <c r="O7">
        <v>4</v>
      </c>
      <c r="P7">
        <v>3</v>
      </c>
      <c r="Q7">
        <v>0</v>
      </c>
      <c r="R7">
        <v>9</v>
      </c>
      <c r="S7">
        <v>-1</v>
      </c>
    </row>
    <row r="8" spans="1:19" x14ac:dyDescent="0.2">
      <c r="A8" s="69">
        <v>44013</v>
      </c>
      <c r="B8">
        <v>9</v>
      </c>
      <c r="C8">
        <v>0</v>
      </c>
      <c r="D8">
        <v>11</v>
      </c>
      <c r="E8">
        <v>0</v>
      </c>
      <c r="F8">
        <v>2</v>
      </c>
      <c r="G8">
        <v>7</v>
      </c>
      <c r="H8">
        <v>3</v>
      </c>
      <c r="I8">
        <v>-2</v>
      </c>
      <c r="J8">
        <v>5</v>
      </c>
      <c r="K8">
        <v>10</v>
      </c>
      <c r="L8">
        <v>6</v>
      </c>
      <c r="M8">
        <v>-1</v>
      </c>
      <c r="N8">
        <v>0</v>
      </c>
      <c r="O8">
        <v>0</v>
      </c>
      <c r="P8">
        <v>8</v>
      </c>
      <c r="Q8">
        <v>4</v>
      </c>
      <c r="R8">
        <v>12</v>
      </c>
      <c r="S8">
        <v>1</v>
      </c>
    </row>
    <row r="9" spans="1:19" x14ac:dyDescent="0.2">
      <c r="A9" s="69">
        <v>44044</v>
      </c>
      <c r="B9">
        <v>12</v>
      </c>
      <c r="C9">
        <v>0</v>
      </c>
      <c r="D9">
        <v>8</v>
      </c>
      <c r="E9">
        <v>9</v>
      </c>
      <c r="F9">
        <v>4</v>
      </c>
      <c r="G9">
        <v>-3</v>
      </c>
      <c r="H9">
        <v>2</v>
      </c>
      <c r="I9">
        <v>-5</v>
      </c>
      <c r="J9">
        <v>1</v>
      </c>
      <c r="K9">
        <v>5</v>
      </c>
      <c r="L9">
        <v>10</v>
      </c>
      <c r="M9">
        <v>-1</v>
      </c>
      <c r="N9">
        <v>-4</v>
      </c>
      <c r="O9">
        <v>-2</v>
      </c>
      <c r="P9">
        <v>7</v>
      </c>
      <c r="Q9">
        <v>6</v>
      </c>
      <c r="R9">
        <v>3</v>
      </c>
      <c r="S9">
        <v>11</v>
      </c>
    </row>
    <row r="10" spans="1:19" x14ac:dyDescent="0.2">
      <c r="A10" s="69">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69">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69">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69">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69">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69">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69">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69">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69">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69">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69">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69">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69">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69">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69">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69">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Q597"/>
  <sheetViews>
    <sheetView zoomScale="150" zoomScaleNormal="150" workbookViewId="0">
      <pane ySplit="1" topLeftCell="A422" activePane="bottomLeft" state="frozen"/>
      <selection pane="bottomLeft" activeCell="U396" sqref="U396"/>
    </sheetView>
  </sheetViews>
  <sheetFormatPr baseColWidth="10" defaultRowHeight="15" x14ac:dyDescent="0.2"/>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69">
        <v>17168</v>
      </c>
      <c r="N2">
        <v>2034.45</v>
      </c>
    </row>
    <row r="3" spans="1:17" x14ac:dyDescent="0.2">
      <c r="A3" s="69">
        <v>17258</v>
      </c>
      <c r="N3">
        <v>2029.0239999999999</v>
      </c>
      <c r="O3">
        <v>-2.6670598933373432E-3</v>
      </c>
      <c r="Q3">
        <v>-1.0625636157316039E-2</v>
      </c>
    </row>
    <row r="4" spans="1:17" x14ac:dyDescent="0.2">
      <c r="A4" s="69">
        <v>17349</v>
      </c>
      <c r="N4">
        <v>2024.8340000000001</v>
      </c>
      <c r="O4">
        <v>-2.0650322519594781E-3</v>
      </c>
      <c r="Q4">
        <v>-8.2345780645924904E-3</v>
      </c>
    </row>
    <row r="5" spans="1:17" x14ac:dyDescent="0.2">
      <c r="A5" s="69">
        <v>17441</v>
      </c>
      <c r="N5">
        <v>2056.5079999999998</v>
      </c>
      <c r="O5">
        <v>1.5642763801872031E-2</v>
      </c>
      <c r="Q5">
        <v>6.4054602330456234E-2</v>
      </c>
    </row>
    <row r="6" spans="1:17" x14ac:dyDescent="0.2">
      <c r="A6" s="69">
        <v>17533</v>
      </c>
      <c r="N6">
        <v>2087.442</v>
      </c>
      <c r="O6">
        <v>1.5042003240444579E-2</v>
      </c>
      <c r="P6">
        <v>2.6047334660473331E-2</v>
      </c>
      <c r="Q6">
        <v>6.1539249051736133E-2</v>
      </c>
    </row>
    <row r="7" spans="1:17" x14ac:dyDescent="0.2">
      <c r="A7" s="69">
        <v>17624</v>
      </c>
      <c r="N7">
        <v>2121.8989999999999</v>
      </c>
      <c r="O7">
        <v>1.6506805937602041E-2</v>
      </c>
      <c r="P7">
        <v>4.5773238759127553E-2</v>
      </c>
      <c r="Q7">
        <v>6.768013659057992E-2</v>
      </c>
    </row>
    <row r="8" spans="1:17" x14ac:dyDescent="0.2">
      <c r="A8" s="69">
        <v>17715</v>
      </c>
      <c r="N8">
        <v>2134.056</v>
      </c>
      <c r="O8">
        <v>5.7293019130506004E-3</v>
      </c>
      <c r="P8">
        <v>5.3941211970956623E-2</v>
      </c>
      <c r="Q8">
        <v>2.3114910387200819E-2</v>
      </c>
    </row>
    <row r="9" spans="1:17" x14ac:dyDescent="0.2">
      <c r="A9" s="69">
        <v>17807</v>
      </c>
      <c r="N9">
        <v>2136.44</v>
      </c>
      <c r="O9">
        <v>1.117121575066453E-3</v>
      </c>
      <c r="P9">
        <v>3.8867828377035368E-2</v>
      </c>
      <c r="Q9">
        <v>4.4759796419990838E-3</v>
      </c>
    </row>
    <row r="10" spans="1:17" x14ac:dyDescent="0.2">
      <c r="A10" s="69">
        <v>17899</v>
      </c>
      <c r="N10">
        <v>2107.0010000000002</v>
      </c>
      <c r="O10">
        <v>-1.377946490423314E-2</v>
      </c>
      <c r="P10">
        <v>9.3698411740303182E-3</v>
      </c>
      <c r="Q10">
        <v>-5.3989047075999941E-2</v>
      </c>
    </row>
    <row r="11" spans="1:17" x14ac:dyDescent="0.2">
      <c r="A11" s="69">
        <v>17989</v>
      </c>
      <c r="N11">
        <v>2099.8139999999999</v>
      </c>
      <c r="O11">
        <v>-3.4110092971006431E-3</v>
      </c>
      <c r="P11">
        <v>-1.0408129698915939E-2</v>
      </c>
      <c r="Q11">
        <v>-1.357438589464066E-2</v>
      </c>
    </row>
    <row r="12" spans="1:17" x14ac:dyDescent="0.2">
      <c r="A12" s="69">
        <v>18080</v>
      </c>
      <c r="N12">
        <v>2121.4929999999999</v>
      </c>
      <c r="O12">
        <v>1.0324247766707E-2</v>
      </c>
      <c r="P12">
        <v>-5.8869120585402172E-3</v>
      </c>
      <c r="Q12">
        <v>4.1940944830040523E-2</v>
      </c>
    </row>
    <row r="13" spans="1:17" x14ac:dyDescent="0.2">
      <c r="A13" s="69">
        <v>18172</v>
      </c>
      <c r="N13">
        <v>2103.6880000000001</v>
      </c>
      <c r="O13">
        <v>-8.3926744042991594E-3</v>
      </c>
      <c r="P13">
        <v>-1.5330175432027089E-2</v>
      </c>
      <c r="Q13">
        <v>-3.3150435372567788E-2</v>
      </c>
    </row>
    <row r="14" spans="1:17" x14ac:dyDescent="0.2">
      <c r="A14" s="69">
        <v>18264</v>
      </c>
      <c r="N14">
        <v>2186.3649999999998</v>
      </c>
      <c r="O14">
        <v>3.9300979993230782E-2</v>
      </c>
      <c r="P14">
        <v>3.7666806992497658E-2</v>
      </c>
      <c r="Q14">
        <v>0.16671651982232771</v>
      </c>
    </row>
    <row r="15" spans="1:17" x14ac:dyDescent="0.2">
      <c r="A15" s="69">
        <v>18354</v>
      </c>
      <c r="N15">
        <v>2253.0450000000001</v>
      </c>
      <c r="O15">
        <v>3.0498109876438879E-2</v>
      </c>
      <c r="P15">
        <v>7.2973606233695101E-2</v>
      </c>
      <c r="Q15">
        <v>0.1276875822943975</v>
      </c>
    </row>
    <row r="16" spans="1:17" x14ac:dyDescent="0.2">
      <c r="A16" s="69">
        <v>18445</v>
      </c>
      <c r="N16">
        <v>2340.1120000000001</v>
      </c>
      <c r="O16">
        <v>3.864414603347914E-2</v>
      </c>
      <c r="P16">
        <v>0.1030495976182812</v>
      </c>
      <c r="Q16">
        <v>0.16376987446083291</v>
      </c>
    </row>
    <row r="17" spans="1:17" x14ac:dyDescent="0.2">
      <c r="A17" s="69">
        <v>18537</v>
      </c>
      <c r="N17">
        <v>2384.92</v>
      </c>
      <c r="O17">
        <v>1.9147801472750019E-2</v>
      </c>
      <c r="P17">
        <v>0.1336852232840611</v>
      </c>
      <c r="Q17">
        <v>7.8819251391700762E-2</v>
      </c>
    </row>
    <row r="18" spans="1:17" x14ac:dyDescent="0.2">
      <c r="A18" s="69">
        <v>18629</v>
      </c>
      <c r="N18">
        <v>2417.3110000000001</v>
      </c>
      <c r="O18">
        <v>1.3581587642352811E-2</v>
      </c>
      <c r="P18">
        <v>0.1056301212286148</v>
      </c>
      <c r="Q18">
        <v>5.5443162744754693E-2</v>
      </c>
    </row>
    <row r="19" spans="1:17" x14ac:dyDescent="0.2">
      <c r="A19" s="69">
        <v>18719</v>
      </c>
      <c r="N19">
        <v>2459.1959999999999</v>
      </c>
      <c r="O19">
        <v>1.7327104373413171E-2</v>
      </c>
      <c r="P19">
        <v>9.1498838238916594E-2</v>
      </c>
      <c r="Q19">
        <v>7.1130687272042525E-2</v>
      </c>
    </row>
    <row r="20" spans="1:17" x14ac:dyDescent="0.2">
      <c r="A20" s="69">
        <v>18810</v>
      </c>
      <c r="N20">
        <v>2509.88</v>
      </c>
      <c r="O20">
        <v>2.0609987979811371E-2</v>
      </c>
      <c r="P20">
        <v>7.2546955017537634E-2</v>
      </c>
      <c r="Q20">
        <v>8.5023780127983395E-2</v>
      </c>
    </row>
    <row r="21" spans="1:17" x14ac:dyDescent="0.2">
      <c r="A21" s="69">
        <v>18902</v>
      </c>
      <c r="N21">
        <v>2515.4079999999999</v>
      </c>
      <c r="O21">
        <v>2.202495736847894E-3</v>
      </c>
      <c r="P21">
        <v>5.4713784948761307E-2</v>
      </c>
      <c r="Q21">
        <v>8.8391316328653158E-3</v>
      </c>
    </row>
    <row r="22" spans="1:17" x14ac:dyDescent="0.2">
      <c r="A22" s="69">
        <v>18994</v>
      </c>
      <c r="N22">
        <v>2542.2860000000001</v>
      </c>
      <c r="O22">
        <v>1.0685344087321091E-2</v>
      </c>
      <c r="P22">
        <v>5.1700008811443751E-2</v>
      </c>
      <c r="Q22">
        <v>4.3431328919264052E-2</v>
      </c>
    </row>
    <row r="23" spans="1:17" x14ac:dyDescent="0.2">
      <c r="A23" s="69">
        <v>19085</v>
      </c>
      <c r="N23">
        <v>2547.7620000000002</v>
      </c>
      <c r="O23">
        <v>2.153966941563661E-3</v>
      </c>
      <c r="P23">
        <v>3.601420952213661E-2</v>
      </c>
      <c r="Q23">
        <v>8.6437452032444018E-3</v>
      </c>
    </row>
    <row r="24" spans="1:17" x14ac:dyDescent="0.2">
      <c r="A24" s="69">
        <v>19176</v>
      </c>
      <c r="N24">
        <v>2566.1529999999998</v>
      </c>
      <c r="O24">
        <v>7.2184921511505469E-3</v>
      </c>
      <c r="P24">
        <v>2.2420593813249911E-2</v>
      </c>
      <c r="Q24">
        <v>2.918811561848789E-2</v>
      </c>
    </row>
    <row r="25" spans="1:17" x14ac:dyDescent="0.2">
      <c r="A25" s="69">
        <v>19268</v>
      </c>
      <c r="N25">
        <v>2650.431</v>
      </c>
      <c r="O25">
        <v>3.2842157112222173E-2</v>
      </c>
      <c r="P25">
        <v>5.3678369473262447E-2</v>
      </c>
      <c r="Q25">
        <v>0.13798313070477031</v>
      </c>
    </row>
    <row r="26" spans="1:17" x14ac:dyDescent="0.2">
      <c r="A26" s="69">
        <v>19360</v>
      </c>
      <c r="N26">
        <v>2699.6990000000001</v>
      </c>
      <c r="O26">
        <v>1.8588674823075951E-2</v>
      </c>
      <c r="P26">
        <v>6.1917895940897291E-2</v>
      </c>
      <c r="Q26">
        <v>7.6453744115379418E-2</v>
      </c>
    </row>
    <row r="27" spans="1:17" x14ac:dyDescent="0.2">
      <c r="A27" s="69">
        <v>19450</v>
      </c>
      <c r="N27">
        <v>2720.5659999999998</v>
      </c>
      <c r="O27">
        <v>7.7293802012741919E-3</v>
      </c>
      <c r="P27">
        <v>6.7825801625112397E-2</v>
      </c>
      <c r="Q27">
        <v>3.1277831399421967E-2</v>
      </c>
    </row>
    <row r="28" spans="1:17" x14ac:dyDescent="0.2">
      <c r="A28" s="69">
        <v>19541</v>
      </c>
      <c r="N28">
        <v>2705.2579999999998</v>
      </c>
      <c r="O28">
        <v>-5.6267703117660051E-3</v>
      </c>
      <c r="P28">
        <v>5.4207601807062959E-2</v>
      </c>
      <c r="Q28">
        <v>-2.2317829566265272E-2</v>
      </c>
    </row>
    <row r="29" spans="1:17" x14ac:dyDescent="0.2">
      <c r="A29" s="69">
        <v>19633</v>
      </c>
      <c r="N29">
        <v>2664.3020000000001</v>
      </c>
      <c r="O29">
        <v>-1.5139406296922391E-2</v>
      </c>
      <c r="P29">
        <v>5.2334884401820294E-3</v>
      </c>
      <c r="Q29">
        <v>-5.9196242822145077E-2</v>
      </c>
    </row>
    <row r="30" spans="1:17" x14ac:dyDescent="0.2">
      <c r="A30" s="69">
        <v>19725</v>
      </c>
      <c r="N30">
        <v>2651.5659999999998</v>
      </c>
      <c r="O30">
        <v>-4.780238876824148E-3</v>
      </c>
      <c r="P30">
        <v>-1.7829024643117721E-2</v>
      </c>
      <c r="Q30">
        <v>-1.8984287809732381E-2</v>
      </c>
    </row>
    <row r="31" spans="1:17" x14ac:dyDescent="0.2">
      <c r="A31" s="69">
        <v>19815</v>
      </c>
      <c r="N31">
        <v>2654.4560000000001</v>
      </c>
      <c r="O31">
        <v>1.0899219555539361E-3</v>
      </c>
      <c r="P31">
        <v>-2.430009049587464E-2</v>
      </c>
      <c r="Q31">
        <v>4.3668205818458983E-3</v>
      </c>
    </row>
    <row r="32" spans="1:17" x14ac:dyDescent="0.2">
      <c r="A32" s="69">
        <v>19906</v>
      </c>
      <c r="N32">
        <v>2684.4340000000002</v>
      </c>
      <c r="O32">
        <v>1.129346276600556E-2</v>
      </c>
      <c r="P32">
        <v>-7.697602225000209E-3</v>
      </c>
      <c r="Q32">
        <v>4.5944882715464493E-2</v>
      </c>
    </row>
    <row r="33" spans="1:17" x14ac:dyDescent="0.2">
      <c r="A33" s="69">
        <v>19998</v>
      </c>
      <c r="N33">
        <v>2736.96</v>
      </c>
      <c r="O33">
        <v>1.9566880765181729E-2</v>
      </c>
      <c r="P33">
        <v>2.7270932499393798E-2</v>
      </c>
      <c r="Q33">
        <v>8.0594812306759467E-2</v>
      </c>
    </row>
    <row r="34" spans="1:17" x14ac:dyDescent="0.2">
      <c r="A34" s="69">
        <v>20090</v>
      </c>
      <c r="N34">
        <v>2815.134</v>
      </c>
      <c r="O34">
        <v>2.85623465450719E-2</v>
      </c>
      <c r="P34">
        <v>6.1687319870597307E-2</v>
      </c>
      <c r="Q34">
        <v>0.11923810308548791</v>
      </c>
    </row>
    <row r="35" spans="1:17" x14ac:dyDescent="0.2">
      <c r="A35" s="69">
        <v>20180</v>
      </c>
      <c r="N35">
        <v>2860.942</v>
      </c>
      <c r="O35">
        <v>1.6272049572063001E-2</v>
      </c>
      <c r="P35">
        <v>7.7788443281787259E-2</v>
      </c>
      <c r="Q35">
        <v>6.669418000707128E-2</v>
      </c>
    </row>
    <row r="36" spans="1:17" x14ac:dyDescent="0.2">
      <c r="A36" s="69">
        <v>20271</v>
      </c>
      <c r="N36">
        <v>2899.578</v>
      </c>
      <c r="O36">
        <v>1.350464287636728E-2</v>
      </c>
      <c r="P36">
        <v>8.0145013809242382E-2</v>
      </c>
      <c r="Q36">
        <v>5.5122708699020251E-2</v>
      </c>
    </row>
    <row r="37" spans="1:17" x14ac:dyDescent="0.2">
      <c r="A37" s="69">
        <v>20363</v>
      </c>
      <c r="N37">
        <v>2916.9850000000001</v>
      </c>
      <c r="O37">
        <v>6.0032873749215074E-3</v>
      </c>
      <c r="P37">
        <v>6.5775531977084092E-2</v>
      </c>
      <c r="Q37">
        <v>2.4230252975287799E-2</v>
      </c>
    </row>
    <row r="38" spans="1:17" x14ac:dyDescent="0.2">
      <c r="A38" s="69">
        <v>20455</v>
      </c>
      <c r="N38">
        <v>2905.6559999999999</v>
      </c>
      <c r="O38">
        <v>-3.8838046818890659E-3</v>
      </c>
      <c r="P38">
        <v>3.2155485316151887E-2</v>
      </c>
      <c r="Q38">
        <v>-1.5444949199477359E-2</v>
      </c>
    </row>
    <row r="39" spans="1:17" x14ac:dyDescent="0.2">
      <c r="A39" s="69">
        <v>20546</v>
      </c>
      <c r="N39">
        <v>2929.6660000000002</v>
      </c>
      <c r="O39">
        <v>8.2631942666303998E-3</v>
      </c>
      <c r="P39">
        <v>2.4021458666411331E-2</v>
      </c>
      <c r="Q39">
        <v>3.3464720861821728E-2</v>
      </c>
    </row>
    <row r="40" spans="1:17" x14ac:dyDescent="0.2">
      <c r="A40" s="69">
        <v>20637</v>
      </c>
      <c r="N40">
        <v>2927.0340000000001</v>
      </c>
      <c r="O40">
        <v>-8.9839592636159265E-4</v>
      </c>
      <c r="P40">
        <v>9.4689641044317929E-3</v>
      </c>
      <c r="Q40">
        <v>-3.588743913787829E-3</v>
      </c>
    </row>
    <row r="41" spans="1:17" x14ac:dyDescent="0.2">
      <c r="A41" s="69">
        <v>20729</v>
      </c>
      <c r="N41">
        <v>2975.2089999999998</v>
      </c>
      <c r="O41">
        <v>1.6458640384771659E-2</v>
      </c>
      <c r="P41">
        <v>1.9960335757640061E-2</v>
      </c>
      <c r="Q41">
        <v>6.7477789695216561E-2</v>
      </c>
    </row>
    <row r="42" spans="1:17" x14ac:dyDescent="0.2">
      <c r="A42" s="69">
        <v>20821</v>
      </c>
      <c r="N42">
        <v>2994.259</v>
      </c>
      <c r="O42">
        <v>6.4029115265516424E-3</v>
      </c>
      <c r="P42">
        <v>3.0493286197677931E-2</v>
      </c>
      <c r="Q42">
        <v>2.5858681450808829E-2</v>
      </c>
    </row>
    <row r="43" spans="1:17" x14ac:dyDescent="0.2">
      <c r="A43" s="69">
        <v>20911</v>
      </c>
      <c r="N43">
        <v>2987.6990000000001</v>
      </c>
      <c r="O43">
        <v>-2.1908592409674459E-3</v>
      </c>
      <c r="P43">
        <v>1.9808742703093081E-2</v>
      </c>
      <c r="Q43">
        <v>-8.734679818856006E-3</v>
      </c>
    </row>
    <row r="44" spans="1:17" x14ac:dyDescent="0.2">
      <c r="A44" s="69">
        <v>21002</v>
      </c>
      <c r="N44">
        <v>3016.9789999999998</v>
      </c>
      <c r="O44">
        <v>9.8001840212149031E-3</v>
      </c>
      <c r="P44">
        <v>3.0729058835667681E-2</v>
      </c>
      <c r="Q44">
        <v>3.9780771930417069E-2</v>
      </c>
    </row>
    <row r="45" spans="1:17" x14ac:dyDescent="0.2">
      <c r="A45" s="69">
        <v>21094</v>
      </c>
      <c r="N45">
        <v>2985.7750000000001</v>
      </c>
      <c r="O45">
        <v>-1.0342796552445251E-2</v>
      </c>
      <c r="P45">
        <v>3.551347149057514E-3</v>
      </c>
      <c r="Q45">
        <v>-4.0733759741440001E-2</v>
      </c>
    </row>
    <row r="46" spans="1:17" x14ac:dyDescent="0.2">
      <c r="A46" s="69">
        <v>21186</v>
      </c>
      <c r="N46">
        <v>2908.2809999999999</v>
      </c>
      <c r="O46">
        <v>-2.595440044879475E-2</v>
      </c>
      <c r="P46">
        <v>-2.8714282899375131E-2</v>
      </c>
      <c r="Q46">
        <v>-9.984529734545633E-2</v>
      </c>
    </row>
    <row r="47" spans="1:17" x14ac:dyDescent="0.2">
      <c r="A47" s="69">
        <v>21276</v>
      </c>
      <c r="N47">
        <v>2927.395</v>
      </c>
      <c r="O47">
        <v>6.5722672602819441E-3</v>
      </c>
      <c r="P47">
        <v>-2.0184094850251012E-2</v>
      </c>
      <c r="Q47">
        <v>2.654937463692297E-2</v>
      </c>
    </row>
    <row r="48" spans="1:17" x14ac:dyDescent="0.2">
      <c r="A48" s="69">
        <v>21367</v>
      </c>
      <c r="N48">
        <v>2995.1120000000001</v>
      </c>
      <c r="O48">
        <v>2.3132170410894361E-2</v>
      </c>
      <c r="P48">
        <v>-7.2479788556697733E-3</v>
      </c>
      <c r="Q48">
        <v>9.5789063668671348E-2</v>
      </c>
    </row>
    <row r="49" spans="1:17" x14ac:dyDescent="0.2">
      <c r="A49" s="69">
        <v>21459</v>
      </c>
      <c r="N49">
        <v>3065.1410000000001</v>
      </c>
      <c r="O49">
        <v>2.338109559842837E-2</v>
      </c>
      <c r="P49">
        <v>2.6581373345278859E-2</v>
      </c>
      <c r="Q49">
        <v>9.6855862537051252E-2</v>
      </c>
    </row>
    <row r="50" spans="1:17" x14ac:dyDescent="0.2">
      <c r="A50" s="69">
        <v>21551</v>
      </c>
      <c r="N50">
        <v>3123.9780000000001</v>
      </c>
      <c r="O50">
        <v>1.91955280360675E-2</v>
      </c>
      <c r="P50">
        <v>7.4166492164959338E-2</v>
      </c>
      <c r="Q50">
        <v>7.9021349466726676E-2</v>
      </c>
    </row>
    <row r="51" spans="1:17" x14ac:dyDescent="0.2">
      <c r="A51" s="69">
        <v>21641</v>
      </c>
      <c r="N51">
        <v>3194.4290000000001</v>
      </c>
      <c r="O51">
        <v>2.2551695306433021E-2</v>
      </c>
      <c r="P51">
        <v>9.121898479706364E-2</v>
      </c>
      <c r="Q51">
        <v>9.3304390916545632E-2</v>
      </c>
    </row>
    <row r="52" spans="1:17" x14ac:dyDescent="0.2">
      <c r="A52" s="69">
        <v>21732</v>
      </c>
      <c r="N52">
        <v>3196.683</v>
      </c>
      <c r="O52">
        <v>7.0560341143907266E-4</v>
      </c>
      <c r="P52">
        <v>6.7299987446212337E-2</v>
      </c>
      <c r="Q52">
        <v>2.8254023082616708E-3</v>
      </c>
    </row>
    <row r="53" spans="1:17" x14ac:dyDescent="0.2">
      <c r="A53" s="69">
        <v>21824</v>
      </c>
      <c r="N53">
        <v>3205.79</v>
      </c>
      <c r="O53">
        <v>2.8488905531139528E-3</v>
      </c>
      <c r="P53">
        <v>4.588663294771754E-2</v>
      </c>
      <c r="Q53">
        <v>1.144435183103387E-2</v>
      </c>
    </row>
    <row r="54" spans="1:17" x14ac:dyDescent="0.2">
      <c r="A54" s="69">
        <v>21916</v>
      </c>
      <c r="N54">
        <v>3277.8470000000002</v>
      </c>
      <c r="O54">
        <v>2.2477142919530051E-2</v>
      </c>
      <c r="P54">
        <v>4.9254188089672891E-2</v>
      </c>
      <c r="Q54">
        <v>9.298558243454158E-2</v>
      </c>
    </row>
    <row r="55" spans="1:17" x14ac:dyDescent="0.2">
      <c r="A55" s="69">
        <v>22007</v>
      </c>
      <c r="N55">
        <v>3260.1770000000001</v>
      </c>
      <c r="O55">
        <v>-5.3907336126427109E-3</v>
      </c>
      <c r="P55">
        <v>2.0582082118588349E-2</v>
      </c>
      <c r="Q55">
        <v>-2.138920017185875E-2</v>
      </c>
    </row>
    <row r="56" spans="1:17" x14ac:dyDescent="0.2">
      <c r="A56" s="69">
        <v>22098</v>
      </c>
      <c r="N56">
        <v>3276.1329999999998</v>
      </c>
      <c r="O56">
        <v>4.8942127988755441E-3</v>
      </c>
      <c r="P56">
        <v>2.4853887607873479E-2</v>
      </c>
      <c r="Q56">
        <v>1.9721040613348121E-2</v>
      </c>
    </row>
    <row r="57" spans="1:17" x14ac:dyDescent="0.2">
      <c r="A57" s="69">
        <v>22190</v>
      </c>
      <c r="N57">
        <v>3234.087</v>
      </c>
      <c r="O57">
        <v>-1.283403329474103E-2</v>
      </c>
      <c r="P57">
        <v>8.8268414337807615E-3</v>
      </c>
      <c r="Q57">
        <v>-5.0356287283370382E-2</v>
      </c>
    </row>
    <row r="58" spans="1:17" x14ac:dyDescent="0.2">
      <c r="A58" s="69">
        <v>22282</v>
      </c>
      <c r="N58">
        <v>3255.9140000000002</v>
      </c>
      <c r="O58">
        <v>6.7490454029221309E-3</v>
      </c>
      <c r="P58">
        <v>-6.6912824180018144E-3</v>
      </c>
      <c r="Q58">
        <v>2.7270711035208169E-2</v>
      </c>
    </row>
    <row r="59" spans="1:17" x14ac:dyDescent="0.2">
      <c r="A59" s="69">
        <v>22372</v>
      </c>
      <c r="N59">
        <v>3311.181</v>
      </c>
      <c r="O59">
        <v>1.697434268841248E-2</v>
      </c>
      <c r="P59">
        <v>1.564454936035679E-2</v>
      </c>
      <c r="Q59">
        <v>6.9645786784463759E-2</v>
      </c>
    </row>
    <row r="60" spans="1:17" x14ac:dyDescent="0.2">
      <c r="A60" s="69">
        <v>22463</v>
      </c>
      <c r="N60">
        <v>3374.7420000000002</v>
      </c>
      <c r="O60">
        <v>1.9195869993213949E-2</v>
      </c>
      <c r="P60">
        <v>3.009920537414091E-2</v>
      </c>
      <c r="Q60">
        <v>7.9022797586295823E-2</v>
      </c>
    </row>
    <row r="61" spans="1:17" x14ac:dyDescent="0.2">
      <c r="A61" s="69">
        <v>22555</v>
      </c>
      <c r="N61">
        <v>3440.924</v>
      </c>
      <c r="O61">
        <v>1.9610980632000841E-2</v>
      </c>
      <c r="P61">
        <v>6.3955298666980812E-2</v>
      </c>
      <c r="Q61">
        <v>8.0781782598194907E-2</v>
      </c>
    </row>
    <row r="62" spans="1:17" x14ac:dyDescent="0.2">
      <c r="A62" s="69">
        <v>22647</v>
      </c>
      <c r="N62">
        <v>3502.2979999999998</v>
      </c>
      <c r="O62">
        <v>1.783648810610167E-2</v>
      </c>
      <c r="P62">
        <v>7.5672760398462477E-2</v>
      </c>
      <c r="Q62">
        <v>7.3277593508693117E-2</v>
      </c>
    </row>
    <row r="63" spans="1:17" x14ac:dyDescent="0.2">
      <c r="A63" s="69">
        <v>22737</v>
      </c>
      <c r="N63">
        <v>3533.9470000000001</v>
      </c>
      <c r="O63">
        <v>9.0366382300993073E-3</v>
      </c>
      <c r="P63">
        <v>6.7276902108341433E-2</v>
      </c>
      <c r="Q63">
        <v>3.6639476329429772E-2</v>
      </c>
    </row>
    <row r="64" spans="1:17" x14ac:dyDescent="0.2">
      <c r="A64" s="69">
        <v>22828</v>
      </c>
      <c r="N64">
        <v>3577.3620000000001</v>
      </c>
      <c r="O64">
        <v>1.228513047875363E-2</v>
      </c>
      <c r="P64">
        <v>6.0040145291106663E-2</v>
      </c>
      <c r="Q64">
        <v>5.0053507783781807E-2</v>
      </c>
    </row>
    <row r="65" spans="1:17" x14ac:dyDescent="0.2">
      <c r="A65" s="69">
        <v>22920</v>
      </c>
      <c r="N65">
        <v>3589.1280000000002</v>
      </c>
      <c r="O65">
        <v>3.2890157607756991E-3</v>
      </c>
      <c r="P65">
        <v>4.3070989071540139E-2</v>
      </c>
      <c r="Q65">
        <v>1.3221111225523609E-2</v>
      </c>
    </row>
    <row r="66" spans="1:17" x14ac:dyDescent="0.2">
      <c r="A66" s="69">
        <v>23012</v>
      </c>
      <c r="N66">
        <v>3628.306</v>
      </c>
      <c r="O66">
        <v>1.0915743322612029E-2</v>
      </c>
      <c r="P66">
        <v>3.5978663152021979E-2</v>
      </c>
      <c r="Q66">
        <v>4.4383110795709342E-2</v>
      </c>
    </row>
    <row r="67" spans="1:17" x14ac:dyDescent="0.2">
      <c r="A67" s="69">
        <v>23102</v>
      </c>
      <c r="N67">
        <v>3669.02</v>
      </c>
      <c r="O67">
        <v>1.122121452821232E-2</v>
      </c>
      <c r="P67">
        <v>3.8221569253868229E-2</v>
      </c>
      <c r="Q67">
        <v>4.5646019606860877E-2</v>
      </c>
    </row>
    <row r="68" spans="1:17" x14ac:dyDescent="0.2">
      <c r="A68" s="69">
        <v>23193</v>
      </c>
      <c r="N68">
        <v>3749.681</v>
      </c>
      <c r="O68">
        <v>2.1984344593379179E-2</v>
      </c>
      <c r="P68">
        <v>4.8169293462612943E-2</v>
      </c>
      <c r="Q68">
        <v>9.0879981544722765E-2</v>
      </c>
    </row>
    <row r="69" spans="1:17" x14ac:dyDescent="0.2">
      <c r="A69" s="69">
        <v>23285</v>
      </c>
      <c r="N69">
        <v>3774.2640000000001</v>
      </c>
      <c r="O69">
        <v>6.5560243658060744E-3</v>
      </c>
      <c r="P69">
        <v>5.158244565253732E-2</v>
      </c>
      <c r="Q69">
        <v>2.6483115193417731E-2</v>
      </c>
    </row>
    <row r="70" spans="1:17" x14ac:dyDescent="0.2">
      <c r="A70" s="69">
        <v>23377</v>
      </c>
      <c r="N70">
        <v>3853.835</v>
      </c>
      <c r="O70">
        <v>2.10825209895227E-2</v>
      </c>
      <c r="P70">
        <v>6.215820826578574E-2</v>
      </c>
      <c r="Q70">
        <v>8.7034600081078217E-2</v>
      </c>
    </row>
    <row r="71" spans="1:17" x14ac:dyDescent="0.2">
      <c r="A71" s="69">
        <v>23468</v>
      </c>
      <c r="N71">
        <v>3895.7930000000001</v>
      </c>
      <c r="O71">
        <v>1.0887336899478069E-2</v>
      </c>
      <c r="P71">
        <v>6.1807512632801168E-2</v>
      </c>
      <c r="Q71">
        <v>4.426572835975362E-2</v>
      </c>
    </row>
    <row r="72" spans="1:17" x14ac:dyDescent="0.2">
      <c r="A72" s="69">
        <v>23559</v>
      </c>
      <c r="N72">
        <v>3956.6570000000002</v>
      </c>
      <c r="O72">
        <v>1.5623006663855091E-2</v>
      </c>
      <c r="P72">
        <v>5.5198295535006867E-2</v>
      </c>
      <c r="Q72">
        <v>6.3971809202924224E-2</v>
      </c>
    </row>
    <row r="73" spans="1:17" x14ac:dyDescent="0.2">
      <c r="A73" s="69">
        <v>23651</v>
      </c>
      <c r="N73">
        <v>3968.8780000000002</v>
      </c>
      <c r="O73">
        <v>3.0887185823790142E-3</v>
      </c>
      <c r="P73">
        <v>5.1563430645021127E-2</v>
      </c>
      <c r="Q73">
        <v>1.2412233383173101E-2</v>
      </c>
    </row>
    <row r="74" spans="1:17" x14ac:dyDescent="0.2">
      <c r="A74" s="69">
        <v>23743</v>
      </c>
      <c r="N74">
        <v>4064.915</v>
      </c>
      <c r="O74">
        <v>2.419751879498433E-2</v>
      </c>
      <c r="P74">
        <v>5.4771416005096198E-2</v>
      </c>
      <c r="Q74">
        <v>0.10036021002518369</v>
      </c>
    </row>
    <row r="75" spans="1:17" x14ac:dyDescent="0.2">
      <c r="A75" s="69">
        <v>23833</v>
      </c>
      <c r="N75">
        <v>4116.2669999999998</v>
      </c>
      <c r="O75">
        <v>1.2632982485488589E-2</v>
      </c>
      <c r="P75">
        <v>5.6592842586862209E-2</v>
      </c>
      <c r="Q75">
        <v>5.1497573394729379E-2</v>
      </c>
    </row>
    <row r="76" spans="1:17" x14ac:dyDescent="0.2">
      <c r="A76" s="69">
        <v>23924</v>
      </c>
      <c r="N76">
        <v>4207.7820000000002</v>
      </c>
      <c r="O76">
        <v>2.2232522817397491E-2</v>
      </c>
      <c r="P76">
        <v>6.3468984043853177E-2</v>
      </c>
      <c r="Q76">
        <v>9.1940002828739154E-2</v>
      </c>
    </row>
    <row r="77" spans="1:17" x14ac:dyDescent="0.2">
      <c r="A77" s="69">
        <v>24016</v>
      </c>
      <c r="N77">
        <v>4304.7309999999998</v>
      </c>
      <c r="O77">
        <v>2.3040404659747011E-2</v>
      </c>
      <c r="P77">
        <v>8.4621648738005956E-2</v>
      </c>
      <c r="Q77">
        <v>9.5395986872523153E-2</v>
      </c>
    </row>
    <row r="78" spans="1:17" x14ac:dyDescent="0.2">
      <c r="A78" s="69">
        <v>24108</v>
      </c>
      <c r="N78">
        <v>4409.518</v>
      </c>
      <c r="O78">
        <v>2.4342287590095699E-2</v>
      </c>
      <c r="P78">
        <v>8.477495839396397E-2</v>
      </c>
      <c r="Q78">
        <v>0.100982479057544</v>
      </c>
    </row>
    <row r="79" spans="1:17" x14ac:dyDescent="0.2">
      <c r="A79" s="69">
        <v>24198</v>
      </c>
      <c r="N79">
        <v>4424.5810000000001</v>
      </c>
      <c r="O79">
        <v>3.4160196193779228E-3</v>
      </c>
      <c r="P79">
        <v>7.490136086896218E-2</v>
      </c>
      <c r="Q79">
        <v>1.373425320265032E-2</v>
      </c>
    </row>
    <row r="80" spans="1:17" x14ac:dyDescent="0.2">
      <c r="A80" s="69">
        <v>24289</v>
      </c>
      <c r="N80">
        <v>4462.0529999999999</v>
      </c>
      <c r="O80">
        <v>8.4690505157436948E-3</v>
      </c>
      <c r="P80">
        <v>6.0428748447519318E-2</v>
      </c>
      <c r="Q80">
        <v>3.4308985871634563E-2</v>
      </c>
    </row>
    <row r="81" spans="1:17" x14ac:dyDescent="0.2">
      <c r="A81" s="69">
        <v>24381</v>
      </c>
      <c r="N81">
        <v>4498.66</v>
      </c>
      <c r="O81">
        <v>8.2040710856639242E-3</v>
      </c>
      <c r="P81">
        <v>4.505020174315192E-2</v>
      </c>
      <c r="Q81">
        <v>3.3222338325639138E-2</v>
      </c>
    </row>
    <row r="82" spans="1:17" x14ac:dyDescent="0.2">
      <c r="A82" s="69">
        <v>24473</v>
      </c>
      <c r="N82">
        <v>4538.4979999999996</v>
      </c>
      <c r="O82">
        <v>8.8555258677027685E-3</v>
      </c>
      <c r="P82">
        <v>2.9250362511276641E-2</v>
      </c>
      <c r="Q82">
        <v>3.5895409464262729E-2</v>
      </c>
    </row>
    <row r="83" spans="1:17" x14ac:dyDescent="0.2">
      <c r="A83" s="69">
        <v>24563</v>
      </c>
      <c r="N83">
        <v>4541.28</v>
      </c>
      <c r="O83">
        <v>6.1297812624356185E-4</v>
      </c>
      <c r="P83">
        <v>2.637515281107965E-2</v>
      </c>
      <c r="Q83">
        <v>2.4541678795020339E-3</v>
      </c>
    </row>
    <row r="84" spans="1:17" x14ac:dyDescent="0.2">
      <c r="A84" s="69">
        <v>24654</v>
      </c>
      <c r="N84">
        <v>4584.2460000000001</v>
      </c>
      <c r="O84">
        <v>9.4612091745059444E-3</v>
      </c>
      <c r="P84">
        <v>2.738492796925546E-2</v>
      </c>
      <c r="Q84">
        <v>3.8385319245969551E-2</v>
      </c>
    </row>
    <row r="85" spans="1:17" x14ac:dyDescent="0.2">
      <c r="A85" s="69">
        <v>24746</v>
      </c>
      <c r="N85">
        <v>4618.8119999999999</v>
      </c>
      <c r="O85">
        <v>7.5401712735310893E-3</v>
      </c>
      <c r="P85">
        <v>2.670839761173328E-2</v>
      </c>
      <c r="Q85">
        <v>3.0503528184631978E-2</v>
      </c>
    </row>
    <row r="86" spans="1:17" x14ac:dyDescent="0.2">
      <c r="A86" s="69">
        <v>24838</v>
      </c>
      <c r="N86">
        <v>4713.0129999999999</v>
      </c>
      <c r="O86">
        <v>2.0395071286729152E-2</v>
      </c>
      <c r="P86">
        <v>3.8452148706466398E-2</v>
      </c>
      <c r="Q86">
        <v>8.4110145813841353E-2</v>
      </c>
    </row>
    <row r="87" spans="1:17" x14ac:dyDescent="0.2">
      <c r="A87" s="69">
        <v>24929</v>
      </c>
      <c r="N87">
        <v>4791.7579999999998</v>
      </c>
      <c r="O87">
        <v>1.6707995500967191E-2</v>
      </c>
      <c r="P87">
        <v>5.5155815100588403E-2</v>
      </c>
      <c r="Q87">
        <v>6.852565923772147E-2</v>
      </c>
    </row>
    <row r="88" spans="1:17" x14ac:dyDescent="0.2">
      <c r="A88" s="69">
        <v>25020</v>
      </c>
      <c r="N88">
        <v>4828.8919999999998</v>
      </c>
      <c r="O88">
        <v>7.7495566345378913E-3</v>
      </c>
      <c r="P88">
        <v>5.3366682329002352E-2</v>
      </c>
      <c r="Q88">
        <v>3.1360425530983838E-2</v>
      </c>
    </row>
    <row r="89" spans="1:17" x14ac:dyDescent="0.2">
      <c r="A89" s="69">
        <v>25112</v>
      </c>
      <c r="N89">
        <v>4847.8850000000002</v>
      </c>
      <c r="O89">
        <v>3.9332004111917174E-3</v>
      </c>
      <c r="P89">
        <v>4.9595653600969333E-2</v>
      </c>
      <c r="Q89">
        <v>1.5825865664408582E-2</v>
      </c>
    </row>
    <row r="90" spans="1:17" x14ac:dyDescent="0.2">
      <c r="A90" s="69">
        <v>25204</v>
      </c>
      <c r="N90">
        <v>4923.76</v>
      </c>
      <c r="O90">
        <v>1.565115509134396E-2</v>
      </c>
      <c r="P90">
        <v>4.4715981050763132E-2</v>
      </c>
      <c r="Q90">
        <v>6.4089767847923085E-2</v>
      </c>
    </row>
    <row r="91" spans="1:17" x14ac:dyDescent="0.2">
      <c r="A91" s="69">
        <v>25294</v>
      </c>
      <c r="N91">
        <v>4938.7280000000001</v>
      </c>
      <c r="O91">
        <v>3.039953206492568E-3</v>
      </c>
      <c r="P91">
        <v>3.067141537615219E-2</v>
      </c>
      <c r="Q91">
        <v>1.221537317702515E-2</v>
      </c>
    </row>
    <row r="92" spans="1:17" x14ac:dyDescent="0.2">
      <c r="A92" s="69">
        <v>25385</v>
      </c>
      <c r="N92">
        <v>4971.3490000000002</v>
      </c>
      <c r="O92">
        <v>6.6051420527715021E-3</v>
      </c>
      <c r="P92">
        <v>2.9500970408946881E-2</v>
      </c>
      <c r="Q92">
        <v>2.6683490197652041E-2</v>
      </c>
    </row>
    <row r="93" spans="1:17" x14ac:dyDescent="0.2">
      <c r="A93" s="69">
        <v>25477</v>
      </c>
      <c r="N93">
        <v>4947.1040000000003</v>
      </c>
      <c r="O93">
        <v>-4.8769458752543609E-3</v>
      </c>
      <c r="P93">
        <v>2.0466450833714091E-2</v>
      </c>
      <c r="Q93">
        <v>-1.9365539313737409E-2</v>
      </c>
    </row>
    <row r="94" spans="1:17" x14ac:dyDescent="0.2">
      <c r="A94" s="69">
        <v>25569</v>
      </c>
      <c r="N94">
        <v>4939.759</v>
      </c>
      <c r="O94">
        <v>-1.4847070124259069E-3</v>
      </c>
      <c r="P94">
        <v>3.249346028238541E-3</v>
      </c>
      <c r="Q94">
        <v>-5.9256150066525626E-3</v>
      </c>
    </row>
    <row r="95" spans="1:17" x14ac:dyDescent="0.2">
      <c r="A95" s="69">
        <v>25659</v>
      </c>
      <c r="N95">
        <v>4946.7700000000004</v>
      </c>
      <c r="O95">
        <v>1.419300010385208E-3</v>
      </c>
      <c r="P95">
        <v>1.628354507476494E-3</v>
      </c>
      <c r="Q95">
        <v>5.6892979569385096E-3</v>
      </c>
    </row>
    <row r="96" spans="1:17" x14ac:dyDescent="0.2">
      <c r="A96" s="69">
        <v>25750</v>
      </c>
      <c r="N96">
        <v>4992.357</v>
      </c>
      <c r="O96">
        <v>9.2155083013763586E-3</v>
      </c>
      <c r="P96">
        <v>4.2258147637592551E-3</v>
      </c>
      <c r="Q96">
        <v>3.7374724507416517E-2</v>
      </c>
    </row>
    <row r="97" spans="1:17" x14ac:dyDescent="0.2">
      <c r="A97" s="69">
        <v>25842</v>
      </c>
      <c r="N97">
        <v>4938.857</v>
      </c>
      <c r="O97">
        <v>-1.071638106008845E-2</v>
      </c>
      <c r="P97">
        <v>-1.667035906259561E-3</v>
      </c>
      <c r="Q97">
        <v>-4.2181388825872079E-2</v>
      </c>
    </row>
    <row r="98" spans="1:17" x14ac:dyDescent="0.2">
      <c r="A98" s="69">
        <v>25934</v>
      </c>
      <c r="N98">
        <v>5072.9960000000001</v>
      </c>
      <c r="O98">
        <v>2.7159927894247621E-2</v>
      </c>
      <c r="P98">
        <v>2.697236849004174E-2</v>
      </c>
      <c r="Q98">
        <v>0.1131463651735802</v>
      </c>
    </row>
    <row r="99" spans="1:17" x14ac:dyDescent="0.2">
      <c r="A99" s="69">
        <v>26024</v>
      </c>
      <c r="N99">
        <v>5100.4470000000001</v>
      </c>
      <c r="O99">
        <v>5.4112007973197733E-3</v>
      </c>
      <c r="P99">
        <v>3.106613002019493E-2</v>
      </c>
      <c r="Q99">
        <v>2.1821124394593161E-2</v>
      </c>
    </row>
    <row r="100" spans="1:17" x14ac:dyDescent="0.2">
      <c r="A100" s="69">
        <v>26115</v>
      </c>
      <c r="N100">
        <v>5142.4219999999996</v>
      </c>
      <c r="O100">
        <v>8.2296708504175139E-3</v>
      </c>
      <c r="P100">
        <v>3.0058948108077931E-2</v>
      </c>
      <c r="Q100">
        <v>3.3327282382066732E-2</v>
      </c>
    </row>
    <row r="101" spans="1:17" x14ac:dyDescent="0.2">
      <c r="A101" s="69">
        <v>26207</v>
      </c>
      <c r="N101">
        <v>5154.5469999999996</v>
      </c>
      <c r="O101">
        <v>2.357838388214737E-3</v>
      </c>
      <c r="P101">
        <v>4.3672048006249138E-2</v>
      </c>
      <c r="Q101">
        <v>9.464762427640272E-3</v>
      </c>
    </row>
    <row r="102" spans="1:17" x14ac:dyDescent="0.2">
      <c r="A102" s="69">
        <v>26299</v>
      </c>
      <c r="N102">
        <v>5249.3370000000004</v>
      </c>
      <c r="O102">
        <v>1.8389588842627851E-2</v>
      </c>
      <c r="P102">
        <v>3.4760721277919467E-2</v>
      </c>
      <c r="Q102">
        <v>7.5612407343295995E-2</v>
      </c>
    </row>
    <row r="103" spans="1:17" x14ac:dyDescent="0.2">
      <c r="A103" s="69">
        <v>26390</v>
      </c>
      <c r="N103">
        <v>5368.4849999999997</v>
      </c>
      <c r="O103">
        <v>2.2697723541087039E-2</v>
      </c>
      <c r="P103">
        <v>5.2551864571869791E-2</v>
      </c>
      <c r="Q103">
        <v>9.3929053762295656E-2</v>
      </c>
    </row>
    <row r="104" spans="1:17" x14ac:dyDescent="0.2">
      <c r="A104" s="69">
        <v>26481</v>
      </c>
      <c r="N104">
        <v>5419.1840000000002</v>
      </c>
      <c r="O104">
        <v>9.4438188800006935E-3</v>
      </c>
      <c r="P104">
        <v>5.3819387051471212E-2</v>
      </c>
      <c r="Q104">
        <v>3.8313766779282547E-2</v>
      </c>
    </row>
    <row r="105" spans="1:17" x14ac:dyDescent="0.2">
      <c r="A105" s="69">
        <v>26573</v>
      </c>
      <c r="N105">
        <v>5509.9260000000004</v>
      </c>
      <c r="O105">
        <v>1.6744587376992581E-2</v>
      </c>
      <c r="P105">
        <v>6.8944758870178285E-2</v>
      </c>
      <c r="Q105">
        <v>6.8679494830585552E-2</v>
      </c>
    </row>
    <row r="106" spans="1:17" x14ac:dyDescent="0.2">
      <c r="A106" s="69">
        <v>26665</v>
      </c>
      <c r="N106">
        <v>5646.2860000000001</v>
      </c>
      <c r="O106">
        <v>2.474806376709953E-2</v>
      </c>
      <c r="P106">
        <v>7.5618882917976041E-2</v>
      </c>
      <c r="Q106">
        <v>0.1027280596009803</v>
      </c>
    </row>
    <row r="107" spans="1:17" x14ac:dyDescent="0.2">
      <c r="A107" s="69">
        <v>26755</v>
      </c>
      <c r="N107">
        <v>5707.7550000000001</v>
      </c>
      <c r="O107">
        <v>1.0886625296699469E-2</v>
      </c>
      <c r="P107">
        <v>6.3196600158145266E-2</v>
      </c>
      <c r="Q107">
        <v>4.4262787966369732E-2</v>
      </c>
    </row>
    <row r="108" spans="1:17" x14ac:dyDescent="0.2">
      <c r="A108" s="69">
        <v>26846</v>
      </c>
      <c r="N108">
        <v>5677.7380000000003</v>
      </c>
      <c r="O108">
        <v>-5.2589853628965894E-3</v>
      </c>
      <c r="P108">
        <v>4.7710873076094118E-2</v>
      </c>
      <c r="Q108">
        <v>-2.0870580913895931E-2</v>
      </c>
    </row>
    <row r="109" spans="1:17" x14ac:dyDescent="0.2">
      <c r="A109" s="69">
        <v>26938</v>
      </c>
      <c r="N109">
        <v>5731.6319999999996</v>
      </c>
      <c r="O109">
        <v>9.4921604343136869E-3</v>
      </c>
      <c r="P109">
        <v>4.0237563989062503E-2</v>
      </c>
      <c r="Q109">
        <v>3.8512677530483819E-2</v>
      </c>
    </row>
    <row r="110" spans="1:17" x14ac:dyDescent="0.2">
      <c r="A110" s="69">
        <v>27030</v>
      </c>
      <c r="N110">
        <v>5682.3530000000001</v>
      </c>
      <c r="O110">
        <v>-8.5977257437322464E-3</v>
      </c>
      <c r="P110">
        <v>6.3877387719998612E-3</v>
      </c>
      <c r="Q110">
        <v>-3.3949914388930691E-2</v>
      </c>
    </row>
    <row r="111" spans="1:17" x14ac:dyDescent="0.2">
      <c r="A111" s="69">
        <v>27120</v>
      </c>
      <c r="N111">
        <v>5695.8590000000004</v>
      </c>
      <c r="O111">
        <v>2.3768322735318119E-3</v>
      </c>
      <c r="P111">
        <v>-2.0841819594568669E-3</v>
      </c>
      <c r="Q111">
        <v>9.5412788260365033E-3</v>
      </c>
    </row>
    <row r="112" spans="1:17" x14ac:dyDescent="0.2">
      <c r="A112" s="69">
        <v>27211</v>
      </c>
      <c r="N112">
        <v>5642.0249999999996</v>
      </c>
      <c r="O112">
        <v>-9.4514277828859072E-3</v>
      </c>
      <c r="P112">
        <v>-6.2900049280189829E-3</v>
      </c>
      <c r="Q112">
        <v>-3.7273103393761782E-2</v>
      </c>
    </row>
    <row r="113" spans="1:17" x14ac:dyDescent="0.2">
      <c r="A113" s="69">
        <v>27303</v>
      </c>
      <c r="N113">
        <v>5620.1260000000002</v>
      </c>
      <c r="O113">
        <v>-3.881407827863123E-3</v>
      </c>
      <c r="P113">
        <v>-1.945449393820109E-2</v>
      </c>
      <c r="Q113">
        <v>-1.5435473022839759E-2</v>
      </c>
    </row>
    <row r="114" spans="1:17" x14ac:dyDescent="0.2">
      <c r="A114" s="69">
        <v>27395</v>
      </c>
      <c r="N114">
        <v>5551.7129999999997</v>
      </c>
      <c r="O114">
        <v>-1.217285875797099E-2</v>
      </c>
      <c r="P114">
        <v>-2.2990475952479598E-2</v>
      </c>
      <c r="Q114">
        <v>-4.7809557156305638E-2</v>
      </c>
    </row>
    <row r="115" spans="1:17" x14ac:dyDescent="0.2">
      <c r="A115" s="69">
        <v>27485</v>
      </c>
      <c r="N115">
        <v>5591.3819999999996</v>
      </c>
      <c r="O115">
        <v>7.1453621611923873E-3</v>
      </c>
      <c r="P115">
        <v>-1.834262400105072E-2</v>
      </c>
      <c r="Q115">
        <v>2.888924771416268E-2</v>
      </c>
    </row>
    <row r="116" spans="1:17" x14ac:dyDescent="0.2">
      <c r="A116" s="69">
        <v>27576</v>
      </c>
      <c r="N116">
        <v>5687.0870000000004</v>
      </c>
      <c r="O116">
        <v>1.7116519672596298E-2</v>
      </c>
      <c r="P116">
        <v>7.9868486935100094E-3</v>
      </c>
      <c r="Q116">
        <v>7.0244074865320139E-2</v>
      </c>
    </row>
    <row r="117" spans="1:17" x14ac:dyDescent="0.2">
      <c r="A117" s="69">
        <v>27668</v>
      </c>
      <c r="N117">
        <v>5763.665</v>
      </c>
      <c r="O117">
        <v>1.3465241519955561E-2</v>
      </c>
      <c r="P117">
        <v>2.5540174722061351E-2</v>
      </c>
      <c r="Q117">
        <v>5.4958641008029607E-2</v>
      </c>
    </row>
    <row r="118" spans="1:17" x14ac:dyDescent="0.2">
      <c r="A118" s="69">
        <v>27760</v>
      </c>
      <c r="N118">
        <v>5893.2759999999998</v>
      </c>
      <c r="O118">
        <v>2.2487601205135949E-2</v>
      </c>
      <c r="P118">
        <v>6.1523893616258638E-2</v>
      </c>
      <c r="Q118">
        <v>9.3030301011741479E-2</v>
      </c>
    </row>
    <row r="119" spans="1:17" x14ac:dyDescent="0.2">
      <c r="A119" s="69">
        <v>27851</v>
      </c>
      <c r="N119">
        <v>5936.5150000000003</v>
      </c>
      <c r="O119">
        <v>7.3370057672507601E-3</v>
      </c>
      <c r="P119">
        <v>6.1725884584526818E-2</v>
      </c>
      <c r="Q119">
        <v>2.9672595741234709E-2</v>
      </c>
    </row>
    <row r="120" spans="1:17" x14ac:dyDescent="0.2">
      <c r="A120" s="69">
        <v>27942</v>
      </c>
      <c r="N120">
        <v>5969.0889999999999</v>
      </c>
      <c r="O120">
        <v>5.4870576424046113E-3</v>
      </c>
      <c r="P120">
        <v>4.958636996409576E-2</v>
      </c>
      <c r="Q120">
        <v>2.2129539098495469E-2</v>
      </c>
    </row>
    <row r="121" spans="1:17" x14ac:dyDescent="0.2">
      <c r="A121" s="69">
        <v>28034</v>
      </c>
      <c r="N121">
        <v>6012.3559999999998</v>
      </c>
      <c r="O121">
        <v>7.2485097809732481E-3</v>
      </c>
      <c r="P121">
        <v>4.314806637790361E-2</v>
      </c>
      <c r="Q121">
        <v>2.931081062144569E-2</v>
      </c>
    </row>
    <row r="122" spans="1:17" x14ac:dyDescent="0.2">
      <c r="A122" s="69">
        <v>28126</v>
      </c>
      <c r="N122">
        <v>6083.3909999999996</v>
      </c>
      <c r="O122">
        <v>1.1814835981102891E-2</v>
      </c>
      <c r="P122">
        <v>3.225964641737461E-2</v>
      </c>
      <c r="Q122">
        <v>4.8103502453763942E-2</v>
      </c>
    </row>
    <row r="123" spans="1:17" x14ac:dyDescent="0.2">
      <c r="A123" s="69">
        <v>28216</v>
      </c>
      <c r="N123">
        <v>6201.6589999999997</v>
      </c>
      <c r="O123">
        <v>1.9441130777226059E-2</v>
      </c>
      <c r="P123">
        <v>4.4663240975555407E-2</v>
      </c>
      <c r="Q123">
        <v>8.0061803046076241E-2</v>
      </c>
    </row>
    <row r="124" spans="1:17" x14ac:dyDescent="0.2">
      <c r="A124" s="69">
        <v>28307</v>
      </c>
      <c r="N124">
        <v>6313.5590000000002</v>
      </c>
      <c r="O124">
        <v>1.8043558989618839E-2</v>
      </c>
      <c r="P124">
        <v>5.7708973680908472E-2</v>
      </c>
      <c r="Q124">
        <v>7.4151259847902606E-2</v>
      </c>
    </row>
    <row r="125" spans="1:17" x14ac:dyDescent="0.2">
      <c r="A125" s="69">
        <v>28399</v>
      </c>
      <c r="N125">
        <v>6313.6970000000001</v>
      </c>
      <c r="O125">
        <v>2.185771923568307E-5</v>
      </c>
      <c r="P125">
        <v>5.0120285625136027E-2</v>
      </c>
      <c r="Q125">
        <v>8.7433743543918752E-5</v>
      </c>
    </row>
    <row r="126" spans="1:17" x14ac:dyDescent="0.2">
      <c r="A126" s="69">
        <v>28491</v>
      </c>
      <c r="N126">
        <v>6333.848</v>
      </c>
      <c r="O126">
        <v>3.191632414415807E-3</v>
      </c>
      <c r="P126">
        <v>4.1170623423679387E-2</v>
      </c>
      <c r="Q126">
        <v>1.282777891271847E-2</v>
      </c>
    </row>
    <row r="127" spans="1:17" x14ac:dyDescent="0.2">
      <c r="A127" s="69">
        <v>28581</v>
      </c>
      <c r="N127">
        <v>6578.6049999999996</v>
      </c>
      <c r="O127">
        <v>3.8642701877278973E-2</v>
      </c>
      <c r="P127">
        <v>6.078147798838987E-2</v>
      </c>
      <c r="Q127">
        <v>0.16376340193805031</v>
      </c>
    </row>
    <row r="128" spans="1:17" x14ac:dyDescent="0.2">
      <c r="A128" s="69">
        <v>28672</v>
      </c>
      <c r="N128">
        <v>6644.7539999999999</v>
      </c>
      <c r="O128">
        <v>1.0055171271113E-2</v>
      </c>
      <c r="P128">
        <v>5.2457734219320623E-2</v>
      </c>
      <c r="Q128">
        <v>4.0831400694179898E-2</v>
      </c>
    </row>
    <row r="129" spans="1:17" x14ac:dyDescent="0.2">
      <c r="A129" s="69">
        <v>28764</v>
      </c>
      <c r="N129">
        <v>6734.0690000000004</v>
      </c>
      <c r="O129">
        <v>1.344143063836532E-2</v>
      </c>
      <c r="P129">
        <v>6.6580958826500586E-2</v>
      </c>
      <c r="Q129">
        <v>5.4859501505211572E-2</v>
      </c>
    </row>
    <row r="130" spans="1:17" x14ac:dyDescent="0.2">
      <c r="A130" s="69">
        <v>28856</v>
      </c>
      <c r="N130">
        <v>6746.1760000000004</v>
      </c>
      <c r="O130">
        <v>1.797872875968448E-3</v>
      </c>
      <c r="P130">
        <v>6.509913089167918E-2</v>
      </c>
      <c r="Q130">
        <v>7.2109088409857414E-3</v>
      </c>
    </row>
    <row r="131" spans="1:17" x14ac:dyDescent="0.2">
      <c r="A131" s="69">
        <v>28946</v>
      </c>
      <c r="N131">
        <v>6753.3890000000001</v>
      </c>
      <c r="O131">
        <v>1.069198313236971E-3</v>
      </c>
      <c r="P131">
        <v>2.6568550627374739E-2</v>
      </c>
      <c r="Q131">
        <v>4.2836572536188999E-3</v>
      </c>
    </row>
    <row r="132" spans="1:17" x14ac:dyDescent="0.2">
      <c r="A132" s="69">
        <v>29037</v>
      </c>
      <c r="N132">
        <v>6803.558</v>
      </c>
      <c r="O132">
        <v>7.4287146794002048E-3</v>
      </c>
      <c r="P132">
        <v>2.3899154129708951E-2</v>
      </c>
      <c r="Q132">
        <v>3.0047616412103961E-2</v>
      </c>
    </row>
    <row r="133" spans="1:17" x14ac:dyDescent="0.2">
      <c r="A133" s="69">
        <v>29129</v>
      </c>
      <c r="N133">
        <v>6820.5720000000001</v>
      </c>
      <c r="O133">
        <v>2.500750342688359E-3</v>
      </c>
      <c r="P133">
        <v>1.2845576723374779E-2</v>
      </c>
      <c r="Q133">
        <v>1.0040586479814319E-2</v>
      </c>
    </row>
    <row r="134" spans="1:17" x14ac:dyDescent="0.2">
      <c r="A134" s="69">
        <v>29221</v>
      </c>
      <c r="N134">
        <v>6842.0240000000003</v>
      </c>
      <c r="O134">
        <v>3.1451907552622021E-3</v>
      </c>
      <c r="P134">
        <v>1.420775265869138E-2</v>
      </c>
      <c r="Q134">
        <v>1.264024091996396E-2</v>
      </c>
    </row>
    <row r="135" spans="1:17" x14ac:dyDescent="0.2">
      <c r="A135" s="69">
        <v>29312</v>
      </c>
      <c r="N135">
        <v>6701.0460000000003</v>
      </c>
      <c r="O135">
        <v>-2.0604721643770911E-2</v>
      </c>
      <c r="P135">
        <v>-7.7506271295789192E-3</v>
      </c>
      <c r="Q135">
        <v>-7.9906370318043152E-2</v>
      </c>
    </row>
    <row r="136" spans="1:17" x14ac:dyDescent="0.2">
      <c r="A136" s="69">
        <v>29403</v>
      </c>
      <c r="N136">
        <v>6693.0820000000003</v>
      </c>
      <c r="O136">
        <v>-1.188471173007907E-3</v>
      </c>
      <c r="P136">
        <v>-1.6237974306972859E-2</v>
      </c>
      <c r="Q136">
        <v>-4.745416622351839E-3</v>
      </c>
    </row>
    <row r="137" spans="1:17" x14ac:dyDescent="0.2">
      <c r="A137" s="69">
        <v>29495</v>
      </c>
      <c r="N137">
        <v>6817.9030000000002</v>
      </c>
      <c r="O137">
        <v>1.8649256052742209E-2</v>
      </c>
      <c r="P137">
        <v>-3.9131615354252831E-4</v>
      </c>
      <c r="Q137">
        <v>7.6709858133567232E-2</v>
      </c>
    </row>
    <row r="138" spans="1:17" x14ac:dyDescent="0.2">
      <c r="A138" s="69">
        <v>29587</v>
      </c>
      <c r="N138">
        <v>6951.4949999999999</v>
      </c>
      <c r="O138">
        <v>1.959429460935417E-2</v>
      </c>
      <c r="P138">
        <v>1.5999797720674402E-2</v>
      </c>
      <c r="Q138">
        <v>8.0711035982251378E-2</v>
      </c>
    </row>
    <row r="139" spans="1:17" x14ac:dyDescent="0.2">
      <c r="A139" s="69">
        <v>29677</v>
      </c>
      <c r="N139">
        <v>6899.98</v>
      </c>
      <c r="O139">
        <v>-7.4106361293506404E-3</v>
      </c>
      <c r="P139">
        <v>2.968700707322398E-2</v>
      </c>
      <c r="Q139">
        <v>-2.931466422968176E-2</v>
      </c>
    </row>
    <row r="140" spans="1:17" x14ac:dyDescent="0.2">
      <c r="A140" s="69">
        <v>29768</v>
      </c>
      <c r="N140">
        <v>6982.6090000000004</v>
      </c>
      <c r="O140">
        <v>1.1975252102180129E-2</v>
      </c>
      <c r="P140">
        <v>4.3257650212562768E-2</v>
      </c>
      <c r="Q140">
        <v>4.8768338275421819E-2</v>
      </c>
    </row>
    <row r="141" spans="1:17" x14ac:dyDescent="0.2">
      <c r="A141" s="69">
        <v>29860</v>
      </c>
      <c r="N141">
        <v>6906.5290000000005</v>
      </c>
      <c r="O141">
        <v>-1.0895640870053E-2</v>
      </c>
      <c r="P141">
        <v>1.2999011572913281E-2</v>
      </c>
      <c r="Q141">
        <v>-4.2875433350734633E-2</v>
      </c>
    </row>
    <row r="142" spans="1:17" x14ac:dyDescent="0.2">
      <c r="A142" s="69">
        <v>29952</v>
      </c>
      <c r="N142">
        <v>6799.2330000000002</v>
      </c>
      <c r="O142">
        <v>-1.5535444794338851E-2</v>
      </c>
      <c r="P142">
        <v>-2.1903489824850589E-2</v>
      </c>
      <c r="Q142">
        <v>-6.0708618578961808E-2</v>
      </c>
    </row>
    <row r="143" spans="1:17" x14ac:dyDescent="0.2">
      <c r="A143" s="69">
        <v>30042</v>
      </c>
      <c r="N143">
        <v>6830.2510000000002</v>
      </c>
      <c r="O143">
        <v>4.5619851533253864E-3</v>
      </c>
      <c r="P143">
        <v>-1.0105681465743289E-2</v>
      </c>
      <c r="Q143">
        <v>1.8373191068485228E-2</v>
      </c>
    </row>
    <row r="144" spans="1:17" x14ac:dyDescent="0.2">
      <c r="A144" s="69">
        <v>30133</v>
      </c>
      <c r="N144">
        <v>6804.1390000000001</v>
      </c>
      <c r="O144">
        <v>-3.82299274214082E-3</v>
      </c>
      <c r="P144">
        <v>-2.5559214328054209E-2</v>
      </c>
      <c r="Q144">
        <v>-1.520450261025641E-2</v>
      </c>
    </row>
    <row r="145" spans="1:17" x14ac:dyDescent="0.2">
      <c r="A145" s="69">
        <v>30225</v>
      </c>
      <c r="N145">
        <v>6806.857</v>
      </c>
      <c r="O145">
        <v>3.9946273878294482E-4</v>
      </c>
      <c r="P145">
        <v>-1.443156178740442E-2</v>
      </c>
      <c r="Q145">
        <v>1.5988086330049891E-3</v>
      </c>
    </row>
    <row r="146" spans="1:17" x14ac:dyDescent="0.2">
      <c r="A146" s="69">
        <v>30317</v>
      </c>
      <c r="N146">
        <v>6896.5609999999997</v>
      </c>
      <c r="O146">
        <v>1.317847576348375E-2</v>
      </c>
      <c r="P146">
        <v>1.431455577415857E-2</v>
      </c>
      <c r="Q146">
        <v>5.3765121497419077E-2</v>
      </c>
    </row>
    <row r="147" spans="1:17" x14ac:dyDescent="0.2">
      <c r="A147" s="69">
        <v>30407</v>
      </c>
      <c r="N147">
        <v>7053.5</v>
      </c>
      <c r="O147">
        <v>2.275612439301274E-2</v>
      </c>
      <c r="P147">
        <v>3.2685328840770238E-2</v>
      </c>
      <c r="Q147">
        <v>9.4178949150713009E-2</v>
      </c>
    </row>
    <row r="148" spans="1:17" x14ac:dyDescent="0.2">
      <c r="A148" s="69">
        <v>30498</v>
      </c>
      <c r="N148">
        <v>7194.5039999999999</v>
      </c>
      <c r="O148">
        <v>1.9990642943219668E-2</v>
      </c>
      <c r="P148">
        <v>5.7371696845111453E-2</v>
      </c>
      <c r="Q148">
        <v>8.2392441412500128E-2</v>
      </c>
    </row>
    <row r="149" spans="1:17" x14ac:dyDescent="0.2">
      <c r="A149" s="69">
        <v>30590</v>
      </c>
      <c r="N149">
        <v>7344.5969999999998</v>
      </c>
      <c r="O149">
        <v>2.0862174793425631E-2</v>
      </c>
      <c r="P149">
        <v>7.8999749811109563E-2</v>
      </c>
      <c r="Q149">
        <v>8.6096590027290532E-2</v>
      </c>
    </row>
    <row r="150" spans="1:17" x14ac:dyDescent="0.2">
      <c r="A150" s="69">
        <v>30682</v>
      </c>
      <c r="N150">
        <v>7488.1670000000004</v>
      </c>
      <c r="O150">
        <v>1.9547702889620849E-2</v>
      </c>
      <c r="P150">
        <v>8.5782754622195131E-2</v>
      </c>
      <c r="Q150">
        <v>8.0513511399357585E-2</v>
      </c>
    </row>
    <row r="151" spans="1:17" x14ac:dyDescent="0.2">
      <c r="A151" s="69">
        <v>30773</v>
      </c>
      <c r="N151">
        <v>7617.5469999999996</v>
      </c>
      <c r="O151">
        <v>1.7277926627437559E-2</v>
      </c>
      <c r="P151">
        <v>7.9966966754093649E-2</v>
      </c>
      <c r="Q151">
        <v>7.0923587812259603E-2</v>
      </c>
    </row>
    <row r="152" spans="1:17" x14ac:dyDescent="0.2">
      <c r="A152" s="69">
        <v>30864</v>
      </c>
      <c r="N152">
        <v>7690.9849999999997</v>
      </c>
      <c r="O152">
        <v>9.64063628357004E-3</v>
      </c>
      <c r="P152">
        <v>6.9008370834181168E-2</v>
      </c>
      <c r="Q152">
        <v>3.9123789055161673E-2</v>
      </c>
    </row>
    <row r="153" spans="1:17" x14ac:dyDescent="0.2">
      <c r="A153" s="69">
        <v>30956</v>
      </c>
      <c r="N153">
        <v>7754.1170000000002</v>
      </c>
      <c r="O153">
        <v>8.208571463863279E-3</v>
      </c>
      <c r="P153">
        <v>5.5757994618356933E-2</v>
      </c>
      <c r="Q153">
        <v>3.3240786663843558E-2</v>
      </c>
    </row>
    <row r="154" spans="1:17" x14ac:dyDescent="0.2">
      <c r="A154" s="69">
        <v>31048</v>
      </c>
      <c r="M154">
        <v>179.6300048828125</v>
      </c>
      <c r="N154">
        <v>7829.26</v>
      </c>
      <c r="O154">
        <v>9.6907230055981904E-3</v>
      </c>
      <c r="P154">
        <v>4.5550933893434779E-2</v>
      </c>
      <c r="Q154">
        <v>3.9330001743275167E-2</v>
      </c>
    </row>
    <row r="155" spans="1:17" x14ac:dyDescent="0.2">
      <c r="A155" s="69">
        <v>31079</v>
      </c>
      <c r="M155">
        <v>181.17999267578119</v>
      </c>
      <c r="O155">
        <v>9.6907230055981904E-3</v>
      </c>
      <c r="P155">
        <v>4.5550933893434779E-2</v>
      </c>
      <c r="Q155">
        <v>3.9330001743275167E-2</v>
      </c>
    </row>
    <row r="156" spans="1:17" x14ac:dyDescent="0.2">
      <c r="A156" s="69">
        <v>31107</v>
      </c>
      <c r="M156">
        <v>180.6600036621094</v>
      </c>
      <c r="O156">
        <v>9.6907230055981904E-3</v>
      </c>
      <c r="P156">
        <v>4.5550933893434779E-2</v>
      </c>
      <c r="Q156">
        <v>3.9330001743275167E-2</v>
      </c>
    </row>
    <row r="157" spans="1:17" x14ac:dyDescent="0.2">
      <c r="A157" s="69">
        <v>31138</v>
      </c>
      <c r="M157">
        <v>179.83000183105469</v>
      </c>
      <c r="N157">
        <v>7898.1940000000004</v>
      </c>
      <c r="O157">
        <v>8.8046635314193416E-3</v>
      </c>
      <c r="P157">
        <v>3.6842175046639142E-2</v>
      </c>
      <c r="Q157">
        <v>3.568652295878616E-2</v>
      </c>
    </row>
    <row r="158" spans="1:17" x14ac:dyDescent="0.2">
      <c r="A158" s="69">
        <v>31168</v>
      </c>
      <c r="M158">
        <v>189.55000305175781</v>
      </c>
      <c r="O158">
        <v>8.8046635314193416E-3</v>
      </c>
      <c r="P158">
        <v>3.6842175046639142E-2</v>
      </c>
      <c r="Q158">
        <v>3.568652295878616E-2</v>
      </c>
    </row>
    <row r="159" spans="1:17" x14ac:dyDescent="0.2">
      <c r="A159" s="69">
        <v>31199</v>
      </c>
      <c r="M159">
        <v>191.8500061035156</v>
      </c>
      <c r="O159">
        <v>8.8046635314193416E-3</v>
      </c>
      <c r="P159">
        <v>3.6842175046639142E-2</v>
      </c>
      <c r="Q159">
        <v>3.568652295878616E-2</v>
      </c>
    </row>
    <row r="160" spans="1:17" x14ac:dyDescent="0.2">
      <c r="A160" s="69">
        <v>31229</v>
      </c>
      <c r="M160">
        <v>190.91999816894531</v>
      </c>
      <c r="N160">
        <v>8018.8090000000002</v>
      </c>
      <c r="O160">
        <v>1.527121263417938E-2</v>
      </c>
      <c r="P160">
        <v>4.2624449274052741E-2</v>
      </c>
      <c r="Q160">
        <v>6.2498410129544053E-2</v>
      </c>
    </row>
    <row r="161" spans="1:17" x14ac:dyDescent="0.2">
      <c r="A161" s="69">
        <v>31260</v>
      </c>
      <c r="M161">
        <v>188.6300048828125</v>
      </c>
      <c r="O161">
        <v>1.527121263417938E-2</v>
      </c>
      <c r="P161">
        <v>4.2624449274052741E-2</v>
      </c>
      <c r="Q161">
        <v>6.2498410129544053E-2</v>
      </c>
    </row>
    <row r="162" spans="1:17" x14ac:dyDescent="0.2">
      <c r="A162" s="69">
        <v>31291</v>
      </c>
      <c r="M162">
        <v>182.08000183105469</v>
      </c>
      <c r="O162">
        <v>1.527121263417938E-2</v>
      </c>
      <c r="P162">
        <v>4.2624449274052741E-2</v>
      </c>
      <c r="Q162">
        <v>6.2498410129544053E-2</v>
      </c>
    </row>
    <row r="163" spans="1:17" x14ac:dyDescent="0.2">
      <c r="A163" s="69">
        <v>31321</v>
      </c>
      <c r="M163">
        <v>189.82000732421881</v>
      </c>
      <c r="N163">
        <v>8078.415</v>
      </c>
      <c r="O163">
        <v>7.4332734449716617E-3</v>
      </c>
      <c r="P163">
        <v>4.1822685935742232E-2</v>
      </c>
      <c r="Q163">
        <v>3.006626101659382E-2</v>
      </c>
    </row>
    <row r="164" spans="1:17" x14ac:dyDescent="0.2">
      <c r="A164" s="69">
        <v>31352</v>
      </c>
      <c r="M164">
        <v>202.16999816894531</v>
      </c>
      <c r="O164">
        <v>7.4332734449716617E-3</v>
      </c>
      <c r="P164">
        <v>4.1822685935742232E-2</v>
      </c>
      <c r="Q164">
        <v>3.006626101659382E-2</v>
      </c>
    </row>
    <row r="165" spans="1:17" x14ac:dyDescent="0.2">
      <c r="A165" s="69">
        <v>31382</v>
      </c>
      <c r="M165">
        <v>211.2799987792969</v>
      </c>
      <c r="O165">
        <v>7.4332734449716617E-3</v>
      </c>
      <c r="P165">
        <v>4.1822685935742232E-2</v>
      </c>
      <c r="Q165">
        <v>3.006626101659382E-2</v>
      </c>
    </row>
    <row r="166" spans="1:17" x14ac:dyDescent="0.2">
      <c r="A166" s="69">
        <v>31413</v>
      </c>
      <c r="M166">
        <v>211.7799987792969</v>
      </c>
      <c r="N166">
        <v>8153.8289999999997</v>
      </c>
      <c r="O166">
        <v>9.3352470750759607E-3</v>
      </c>
      <c r="P166">
        <v>4.1455897492227813E-2</v>
      </c>
      <c r="Q166">
        <v>3.7867131071648297E-2</v>
      </c>
    </row>
    <row r="167" spans="1:17" x14ac:dyDescent="0.2">
      <c r="A167" s="69">
        <v>31444</v>
      </c>
      <c r="M167">
        <v>226.91999816894531</v>
      </c>
      <c r="O167">
        <v>9.3352470750759607E-3</v>
      </c>
      <c r="P167">
        <v>4.1455897492227813E-2</v>
      </c>
      <c r="Q167">
        <v>3.7867131071648297E-2</v>
      </c>
    </row>
    <row r="168" spans="1:17" x14ac:dyDescent="0.2">
      <c r="A168" s="69">
        <v>31472</v>
      </c>
      <c r="M168">
        <v>238.8999938964844</v>
      </c>
      <c r="O168">
        <v>9.3352470750759607E-3</v>
      </c>
      <c r="P168">
        <v>4.1455897492227813E-2</v>
      </c>
      <c r="Q168">
        <v>3.7867131071648297E-2</v>
      </c>
    </row>
    <row r="169" spans="1:17" x14ac:dyDescent="0.2">
      <c r="A169" s="69">
        <v>31503</v>
      </c>
      <c r="M169">
        <v>235.52000427246091</v>
      </c>
      <c r="N169">
        <v>8190.5519999999997</v>
      </c>
      <c r="O169">
        <v>4.5037736258633776E-3</v>
      </c>
      <c r="P169">
        <v>3.7015803866048268E-2</v>
      </c>
      <c r="Q169">
        <v>1.813716419389122E-2</v>
      </c>
    </row>
    <row r="170" spans="1:17" x14ac:dyDescent="0.2">
      <c r="A170" s="69">
        <v>31533</v>
      </c>
      <c r="M170">
        <v>247.3500061035156</v>
      </c>
      <c r="O170">
        <v>4.5037736258633776E-3</v>
      </c>
      <c r="P170">
        <v>3.7015803866048268E-2</v>
      </c>
      <c r="Q170">
        <v>1.813716419389122E-2</v>
      </c>
    </row>
    <row r="171" spans="1:17" x14ac:dyDescent="0.2">
      <c r="A171" s="69">
        <v>31564</v>
      </c>
      <c r="M171">
        <v>250.8399963378906</v>
      </c>
      <c r="O171">
        <v>4.5037736258633776E-3</v>
      </c>
      <c r="P171">
        <v>3.7015803866048268E-2</v>
      </c>
      <c r="Q171">
        <v>1.813716419389122E-2</v>
      </c>
    </row>
    <row r="172" spans="1:17" x14ac:dyDescent="0.2">
      <c r="A172" s="69">
        <v>31594</v>
      </c>
      <c r="M172">
        <v>236.1199951171875</v>
      </c>
      <c r="N172">
        <v>8268.9349999999995</v>
      </c>
      <c r="O172">
        <v>9.5699288643793252E-3</v>
      </c>
      <c r="P172">
        <v>3.1192412738599871E-2</v>
      </c>
      <c r="Q172">
        <v>3.8832730867670813E-2</v>
      </c>
    </row>
    <row r="173" spans="1:17" x14ac:dyDescent="0.2">
      <c r="A173" s="69">
        <v>31625</v>
      </c>
      <c r="M173">
        <v>252.92999267578119</v>
      </c>
      <c r="O173">
        <v>9.5699288643793252E-3</v>
      </c>
      <c r="P173">
        <v>3.1192412738599871E-2</v>
      </c>
      <c r="Q173">
        <v>3.8832730867670813E-2</v>
      </c>
    </row>
    <row r="174" spans="1:17" x14ac:dyDescent="0.2">
      <c r="A174" s="69">
        <v>31656</v>
      </c>
      <c r="M174">
        <v>231.32000732421881</v>
      </c>
      <c r="O174">
        <v>9.5699288643793252E-3</v>
      </c>
      <c r="P174">
        <v>3.1192412738599871E-2</v>
      </c>
      <c r="Q174">
        <v>3.8832730867670813E-2</v>
      </c>
    </row>
    <row r="175" spans="1:17" x14ac:dyDescent="0.2">
      <c r="A175" s="69">
        <v>31686</v>
      </c>
      <c r="M175">
        <v>243.97999572753909</v>
      </c>
      <c r="N175">
        <v>8313.3379999999997</v>
      </c>
      <c r="O175">
        <v>5.3698571823336677E-3</v>
      </c>
      <c r="P175">
        <v>2.9080333208927719E-2</v>
      </c>
      <c r="Q175">
        <v>2.1653061124957459E-2</v>
      </c>
    </row>
    <row r="176" spans="1:17" x14ac:dyDescent="0.2">
      <c r="A176" s="69">
        <v>31717</v>
      </c>
      <c r="M176">
        <v>249.2200012207031</v>
      </c>
      <c r="O176">
        <v>5.3698571823336677E-3</v>
      </c>
      <c r="P176">
        <v>2.9080333208927719E-2</v>
      </c>
      <c r="Q176">
        <v>2.1653061124957459E-2</v>
      </c>
    </row>
    <row r="177" spans="1:17" x14ac:dyDescent="0.2">
      <c r="A177" s="69">
        <v>31747</v>
      </c>
      <c r="M177">
        <v>242.16999816894531</v>
      </c>
      <c r="O177">
        <v>5.3698571823336677E-3</v>
      </c>
      <c r="P177">
        <v>2.9080333208927719E-2</v>
      </c>
      <c r="Q177">
        <v>2.1653061124957459E-2</v>
      </c>
    </row>
    <row r="178" spans="1:17" x14ac:dyDescent="0.2">
      <c r="A178" s="69">
        <v>31778</v>
      </c>
      <c r="M178">
        <v>274.07998657226562</v>
      </c>
      <c r="N178">
        <v>8375.2739999999994</v>
      </c>
      <c r="O178">
        <v>7.4501962990076546E-3</v>
      </c>
      <c r="P178">
        <v>2.7158406191741289E-2</v>
      </c>
      <c r="Q178">
        <v>3.013547493148994E-2</v>
      </c>
    </row>
    <row r="179" spans="1:17" x14ac:dyDescent="0.2">
      <c r="A179" s="69">
        <v>31809</v>
      </c>
      <c r="M179">
        <v>284.20001220703119</v>
      </c>
      <c r="O179">
        <v>7.4501962990076546E-3</v>
      </c>
      <c r="P179">
        <v>2.7158406191741289E-2</v>
      </c>
      <c r="Q179">
        <v>3.013547493148994E-2</v>
      </c>
    </row>
    <row r="180" spans="1:17" x14ac:dyDescent="0.2">
      <c r="A180" s="69">
        <v>31837</v>
      </c>
      <c r="M180">
        <v>291.70001220703119</v>
      </c>
      <c r="O180">
        <v>7.4501962990076546E-3</v>
      </c>
      <c r="P180">
        <v>2.7158406191741289E-2</v>
      </c>
      <c r="Q180">
        <v>3.013547493148994E-2</v>
      </c>
    </row>
    <row r="181" spans="1:17" x14ac:dyDescent="0.2">
      <c r="A181" s="69">
        <v>31868</v>
      </c>
      <c r="M181">
        <v>288.3599853515625</v>
      </c>
      <c r="N181">
        <v>8465.6299999999992</v>
      </c>
      <c r="O181">
        <v>1.078842316084223E-2</v>
      </c>
      <c r="P181">
        <v>3.3584793796559688E-2</v>
      </c>
      <c r="Q181">
        <v>4.3857069297295492E-2</v>
      </c>
    </row>
    <row r="182" spans="1:17" x14ac:dyDescent="0.2">
      <c r="A182" s="69">
        <v>31898</v>
      </c>
      <c r="M182">
        <v>290.10000610351562</v>
      </c>
      <c r="O182">
        <v>1.078842316084223E-2</v>
      </c>
      <c r="P182">
        <v>3.3584793796559688E-2</v>
      </c>
      <c r="Q182">
        <v>4.3857069297295492E-2</v>
      </c>
    </row>
    <row r="183" spans="1:17" x14ac:dyDescent="0.2">
      <c r="A183" s="69">
        <v>31929</v>
      </c>
      <c r="M183">
        <v>304</v>
      </c>
      <c r="O183">
        <v>1.078842316084223E-2</v>
      </c>
      <c r="P183">
        <v>3.3584793796559688E-2</v>
      </c>
      <c r="Q183">
        <v>4.3857069297295492E-2</v>
      </c>
    </row>
    <row r="184" spans="1:17" x14ac:dyDescent="0.2">
      <c r="A184" s="69">
        <v>31959</v>
      </c>
      <c r="M184">
        <v>318.66000366210938</v>
      </c>
      <c r="N184">
        <v>8539.0750000000007</v>
      </c>
      <c r="O184">
        <v>8.6756685562682911E-3</v>
      </c>
      <c r="P184">
        <v>3.2669261519167977E-2</v>
      </c>
      <c r="Q184">
        <v>3.5156895213603212E-2</v>
      </c>
    </row>
    <row r="185" spans="1:17" x14ac:dyDescent="0.2">
      <c r="A185" s="69">
        <v>31990</v>
      </c>
      <c r="M185">
        <v>329.79998779296881</v>
      </c>
      <c r="O185">
        <v>8.6756685562682911E-3</v>
      </c>
      <c r="P185">
        <v>3.2669261519167977E-2</v>
      </c>
      <c r="Q185">
        <v>3.5156895213603212E-2</v>
      </c>
    </row>
    <row r="186" spans="1:17" x14ac:dyDescent="0.2">
      <c r="A186" s="69">
        <v>32021</v>
      </c>
      <c r="M186">
        <v>321.82998657226562</v>
      </c>
      <c r="O186">
        <v>8.6756685562682911E-3</v>
      </c>
      <c r="P186">
        <v>3.2669261519167977E-2</v>
      </c>
      <c r="Q186">
        <v>3.5156895213603212E-2</v>
      </c>
    </row>
    <row r="187" spans="1:17" x14ac:dyDescent="0.2">
      <c r="A187" s="69">
        <v>32051</v>
      </c>
      <c r="M187">
        <v>251.78999328613281</v>
      </c>
      <c r="N187">
        <v>8685.6939999999995</v>
      </c>
      <c r="O187">
        <v>1.7170360958300369E-2</v>
      </c>
      <c r="P187">
        <v>4.4790191376797107E-2</v>
      </c>
      <c r="Q187">
        <v>7.0470707277670686E-2</v>
      </c>
    </row>
    <row r="188" spans="1:17" x14ac:dyDescent="0.2">
      <c r="A188" s="69">
        <v>32082</v>
      </c>
      <c r="M188">
        <v>230.30000305175781</v>
      </c>
      <c r="O188">
        <v>1.7170360958300369E-2</v>
      </c>
      <c r="P188">
        <v>4.4790191376797107E-2</v>
      </c>
      <c r="Q188">
        <v>7.0470707277670686E-2</v>
      </c>
    </row>
    <row r="189" spans="1:17" x14ac:dyDescent="0.2">
      <c r="A189" s="69">
        <v>32112</v>
      </c>
      <c r="M189">
        <v>247.08000183105469</v>
      </c>
      <c r="O189">
        <v>1.7170360958300369E-2</v>
      </c>
      <c r="P189">
        <v>4.4790191376797107E-2</v>
      </c>
      <c r="Q189">
        <v>7.0470707277670686E-2</v>
      </c>
    </row>
    <row r="190" spans="1:17" x14ac:dyDescent="0.2">
      <c r="A190" s="69">
        <v>32143</v>
      </c>
      <c r="M190">
        <v>257.07000732421881</v>
      </c>
      <c r="N190">
        <v>8730.5689999999995</v>
      </c>
      <c r="O190">
        <v>5.1665416718571942E-3</v>
      </c>
      <c r="P190">
        <v>4.2421895689621632E-2</v>
      </c>
      <c r="Q190">
        <v>2.0826877962181412E-2</v>
      </c>
    </row>
    <row r="191" spans="1:17" x14ac:dyDescent="0.2">
      <c r="A191" s="69">
        <v>32174</v>
      </c>
      <c r="M191">
        <v>267.82000732421881</v>
      </c>
      <c r="O191">
        <v>5.1665416718571942E-3</v>
      </c>
      <c r="P191">
        <v>4.2421895689621632E-2</v>
      </c>
      <c r="Q191">
        <v>2.0826877962181412E-2</v>
      </c>
    </row>
    <row r="192" spans="1:17" x14ac:dyDescent="0.2">
      <c r="A192" s="69">
        <v>32203</v>
      </c>
      <c r="M192">
        <v>258.8900146484375</v>
      </c>
      <c r="O192">
        <v>5.1665416718571942E-3</v>
      </c>
      <c r="P192">
        <v>4.2421895689621632E-2</v>
      </c>
      <c r="Q192">
        <v>2.0826877962181412E-2</v>
      </c>
    </row>
    <row r="193" spans="1:17" x14ac:dyDescent="0.2">
      <c r="A193" s="69">
        <v>32234</v>
      </c>
      <c r="M193">
        <v>261.32998657226562</v>
      </c>
      <c r="N193">
        <v>8845.2800000000007</v>
      </c>
      <c r="O193">
        <v>1.3139006174740861E-2</v>
      </c>
      <c r="P193">
        <v>4.48460421728804E-2</v>
      </c>
      <c r="Q193">
        <v>5.3600928330452602E-2</v>
      </c>
    </row>
    <row r="194" spans="1:17" x14ac:dyDescent="0.2">
      <c r="A194" s="69">
        <v>32264</v>
      </c>
      <c r="M194">
        <v>262.16000366210938</v>
      </c>
      <c r="O194">
        <v>1.3139006174740861E-2</v>
      </c>
      <c r="P194">
        <v>4.48460421728804E-2</v>
      </c>
      <c r="Q194">
        <v>5.3600928330452602E-2</v>
      </c>
    </row>
    <row r="195" spans="1:17" x14ac:dyDescent="0.2">
      <c r="A195" s="69">
        <v>32295</v>
      </c>
      <c r="M195">
        <v>273.5</v>
      </c>
      <c r="O195">
        <v>1.3139006174740861E-2</v>
      </c>
      <c r="P195">
        <v>4.48460421728804E-2</v>
      </c>
      <c r="Q195">
        <v>5.3600928330452602E-2</v>
      </c>
    </row>
    <row r="196" spans="1:17" x14ac:dyDescent="0.2">
      <c r="A196" s="69">
        <v>32325</v>
      </c>
      <c r="M196">
        <v>272.01998901367188</v>
      </c>
      <c r="N196">
        <v>8897.107</v>
      </c>
      <c r="O196">
        <v>5.859283143099971E-3</v>
      </c>
      <c r="P196">
        <v>4.192866323342976E-2</v>
      </c>
      <c r="Q196">
        <v>2.364392556959816E-2</v>
      </c>
    </row>
    <row r="197" spans="1:17" x14ac:dyDescent="0.2">
      <c r="A197" s="69">
        <v>32356</v>
      </c>
      <c r="M197">
        <v>261.51998901367188</v>
      </c>
      <c r="O197">
        <v>5.859283143099971E-3</v>
      </c>
      <c r="P197">
        <v>4.192866323342976E-2</v>
      </c>
      <c r="Q197">
        <v>2.364392556959816E-2</v>
      </c>
    </row>
    <row r="198" spans="1:17" x14ac:dyDescent="0.2">
      <c r="A198" s="69">
        <v>32387</v>
      </c>
      <c r="M198">
        <v>271.91000366210938</v>
      </c>
      <c r="O198">
        <v>5.859283143099971E-3</v>
      </c>
      <c r="P198">
        <v>4.192866323342976E-2</v>
      </c>
      <c r="Q198">
        <v>2.364392556959816E-2</v>
      </c>
    </row>
    <row r="199" spans="1:17" x14ac:dyDescent="0.2">
      <c r="A199" s="69">
        <v>32417</v>
      </c>
      <c r="M199">
        <v>278.97000122070312</v>
      </c>
      <c r="N199">
        <v>9015.6610000000001</v>
      </c>
      <c r="O199">
        <v>1.3325005532697319E-2</v>
      </c>
      <c r="P199">
        <v>3.7989710436494843E-2</v>
      </c>
      <c r="Q199">
        <v>5.4374852018120423E-2</v>
      </c>
    </row>
    <row r="200" spans="1:17" x14ac:dyDescent="0.2">
      <c r="A200" s="69">
        <v>32448</v>
      </c>
      <c r="M200">
        <v>273.70001220703119</v>
      </c>
      <c r="O200">
        <v>1.3325005532697319E-2</v>
      </c>
      <c r="P200">
        <v>3.7989710436494843E-2</v>
      </c>
      <c r="Q200">
        <v>5.4374852018120423E-2</v>
      </c>
    </row>
    <row r="201" spans="1:17" x14ac:dyDescent="0.2">
      <c r="A201" s="69">
        <v>32478</v>
      </c>
      <c r="M201">
        <v>277.72000122070312</v>
      </c>
      <c r="O201">
        <v>1.3325005532697319E-2</v>
      </c>
      <c r="P201">
        <v>3.7989710436494843E-2</v>
      </c>
      <c r="Q201">
        <v>5.4374852018120423E-2</v>
      </c>
    </row>
    <row r="202" spans="1:17" x14ac:dyDescent="0.2">
      <c r="A202" s="69">
        <v>32509</v>
      </c>
      <c r="M202">
        <v>297.47000122070312</v>
      </c>
      <c r="N202">
        <v>9107.3140000000003</v>
      </c>
      <c r="O202">
        <v>1.0165976737590321E-2</v>
      </c>
      <c r="P202">
        <v>4.3152399345334859E-2</v>
      </c>
      <c r="Q202">
        <v>4.1288202625324288E-2</v>
      </c>
    </row>
    <row r="203" spans="1:17" x14ac:dyDescent="0.2">
      <c r="A203" s="69">
        <v>32540</v>
      </c>
      <c r="M203">
        <v>288.8599853515625</v>
      </c>
      <c r="O203">
        <v>1.0165976737590321E-2</v>
      </c>
      <c r="P203">
        <v>4.3152399345334859E-2</v>
      </c>
      <c r="Q203">
        <v>4.1288202625324288E-2</v>
      </c>
    </row>
    <row r="204" spans="1:17" x14ac:dyDescent="0.2">
      <c r="A204" s="69">
        <v>32568</v>
      </c>
      <c r="M204">
        <v>294.8699951171875</v>
      </c>
      <c r="O204">
        <v>1.0165976737590321E-2</v>
      </c>
      <c r="P204">
        <v>4.3152399345334859E-2</v>
      </c>
      <c r="Q204">
        <v>4.1288202625324288E-2</v>
      </c>
    </row>
    <row r="205" spans="1:17" x14ac:dyDescent="0.2">
      <c r="A205" s="69">
        <v>32599</v>
      </c>
      <c r="M205">
        <v>309.6400146484375</v>
      </c>
      <c r="N205">
        <v>9176.8269999999993</v>
      </c>
      <c r="O205">
        <v>7.6326565659204249E-3</v>
      </c>
      <c r="P205">
        <v>3.7482928748439691E-2</v>
      </c>
      <c r="Q205">
        <v>3.0881952971449911E-2</v>
      </c>
    </row>
    <row r="206" spans="1:17" x14ac:dyDescent="0.2">
      <c r="A206" s="69">
        <v>32629</v>
      </c>
      <c r="M206">
        <v>320.51998901367188</v>
      </c>
      <c r="O206">
        <v>7.6326565659204249E-3</v>
      </c>
      <c r="P206">
        <v>3.7482928748439691E-2</v>
      </c>
      <c r="Q206">
        <v>3.0881952971449911E-2</v>
      </c>
    </row>
    <row r="207" spans="1:17" x14ac:dyDescent="0.2">
      <c r="A207" s="69">
        <v>32660</v>
      </c>
      <c r="M207">
        <v>317.98001098632812</v>
      </c>
      <c r="O207">
        <v>7.6326565659204249E-3</v>
      </c>
      <c r="P207">
        <v>3.7482928748439691E-2</v>
      </c>
      <c r="Q207">
        <v>3.0881952971449911E-2</v>
      </c>
    </row>
    <row r="208" spans="1:17" x14ac:dyDescent="0.2">
      <c r="A208" s="69">
        <v>32690</v>
      </c>
      <c r="M208">
        <v>346.07998657226562</v>
      </c>
      <c r="N208">
        <v>9244.8160000000007</v>
      </c>
      <c r="O208">
        <v>7.4087699375831543E-3</v>
      </c>
      <c r="P208">
        <v>3.9081130529283373E-2</v>
      </c>
      <c r="Q208">
        <v>2.9966048660892589E-2</v>
      </c>
    </row>
    <row r="209" spans="1:17" x14ac:dyDescent="0.2">
      <c r="A209" s="69">
        <v>32721</v>
      </c>
      <c r="M209">
        <v>351.45001220703119</v>
      </c>
      <c r="O209">
        <v>7.4087699375831543E-3</v>
      </c>
      <c r="P209">
        <v>3.9081130529283373E-2</v>
      </c>
      <c r="Q209">
        <v>2.9966048660892589E-2</v>
      </c>
    </row>
    <row r="210" spans="1:17" x14ac:dyDescent="0.2">
      <c r="A210" s="69">
        <v>32752</v>
      </c>
      <c r="M210">
        <v>349.14999389648438</v>
      </c>
      <c r="O210">
        <v>7.4087699375831543E-3</v>
      </c>
      <c r="P210">
        <v>3.9081130529283373E-2</v>
      </c>
      <c r="Q210">
        <v>2.9966048660892589E-2</v>
      </c>
    </row>
    <row r="211" spans="1:17" x14ac:dyDescent="0.2">
      <c r="A211" s="69">
        <v>32782</v>
      </c>
      <c r="M211">
        <v>340.3599853515625</v>
      </c>
      <c r="N211">
        <v>9263.0329999999994</v>
      </c>
      <c r="O211">
        <v>1.9705097429736549E-3</v>
      </c>
      <c r="P211">
        <v>2.743803255246614E-2</v>
      </c>
      <c r="Q211">
        <v>7.9053670440918378E-3</v>
      </c>
    </row>
    <row r="212" spans="1:17" x14ac:dyDescent="0.2">
      <c r="A212" s="69">
        <v>32813</v>
      </c>
      <c r="M212">
        <v>345.989990234375</v>
      </c>
      <c r="O212">
        <v>1.9705097429736549E-3</v>
      </c>
      <c r="P212">
        <v>2.743803255246614E-2</v>
      </c>
      <c r="Q212">
        <v>7.9053670440918378E-3</v>
      </c>
    </row>
    <row r="213" spans="1:17" x14ac:dyDescent="0.2">
      <c r="A213" s="69">
        <v>32843</v>
      </c>
      <c r="M213">
        <v>353.39999389648438</v>
      </c>
      <c r="O213">
        <v>1.9705097429736549E-3</v>
      </c>
      <c r="P213">
        <v>2.743803255246614E-2</v>
      </c>
      <c r="Q213">
        <v>7.9053670440918378E-3</v>
      </c>
    </row>
    <row r="214" spans="1:17" x14ac:dyDescent="0.2">
      <c r="A214" s="69">
        <v>32874</v>
      </c>
      <c r="M214">
        <v>329.07998657226562</v>
      </c>
      <c r="N214">
        <v>9364.259</v>
      </c>
      <c r="O214">
        <v>1.092795415929108E-2</v>
      </c>
      <c r="P214">
        <v>2.8213038443606939E-2</v>
      </c>
      <c r="Q214">
        <v>4.4433572064092493E-2</v>
      </c>
    </row>
    <row r="215" spans="1:17" x14ac:dyDescent="0.2">
      <c r="A215" s="69">
        <v>32905</v>
      </c>
      <c r="M215">
        <v>331.8900146484375</v>
      </c>
      <c r="O215">
        <v>1.092795415929108E-2</v>
      </c>
      <c r="P215">
        <v>2.8213038443606939E-2</v>
      </c>
      <c r="Q215">
        <v>4.4433572064092493E-2</v>
      </c>
    </row>
    <row r="216" spans="1:17" x14ac:dyDescent="0.2">
      <c r="A216" s="69">
        <v>32933</v>
      </c>
      <c r="M216">
        <v>339.94000244140619</v>
      </c>
      <c r="O216">
        <v>1.092795415929108E-2</v>
      </c>
      <c r="P216">
        <v>2.8213038443606939E-2</v>
      </c>
      <c r="Q216">
        <v>4.4433572064092493E-2</v>
      </c>
    </row>
    <row r="217" spans="1:17" x14ac:dyDescent="0.2">
      <c r="A217" s="69">
        <v>32964</v>
      </c>
      <c r="M217">
        <v>330.79998779296881</v>
      </c>
      <c r="N217">
        <v>9398.2430000000004</v>
      </c>
      <c r="O217">
        <v>3.6291179045774341E-3</v>
      </c>
      <c r="P217">
        <v>2.412772955183759E-2</v>
      </c>
      <c r="Q217">
        <v>1.459568596150662E-2</v>
      </c>
    </row>
    <row r="218" spans="1:17" x14ac:dyDescent="0.2">
      <c r="A218" s="69">
        <v>32994</v>
      </c>
      <c r="M218">
        <v>361.23001098632812</v>
      </c>
      <c r="O218">
        <v>3.6291179045774341E-3</v>
      </c>
      <c r="P218">
        <v>2.412772955183759E-2</v>
      </c>
      <c r="Q218">
        <v>1.459568596150662E-2</v>
      </c>
    </row>
    <row r="219" spans="1:17" x14ac:dyDescent="0.2">
      <c r="A219" s="69">
        <v>33025</v>
      </c>
      <c r="M219">
        <v>358.01998901367188</v>
      </c>
      <c r="O219">
        <v>3.6291179045774341E-3</v>
      </c>
      <c r="P219">
        <v>2.412772955183759E-2</v>
      </c>
      <c r="Q219">
        <v>1.459568596150662E-2</v>
      </c>
    </row>
    <row r="220" spans="1:17" x14ac:dyDescent="0.2">
      <c r="A220" s="69">
        <v>33055</v>
      </c>
      <c r="M220">
        <v>356.14999389648438</v>
      </c>
      <c r="N220">
        <v>9404.4940000000006</v>
      </c>
      <c r="O220">
        <v>6.6512432164184338E-4</v>
      </c>
      <c r="P220">
        <v>1.7272166368697859E-2</v>
      </c>
      <c r="Q220">
        <v>2.6631528059206659E-3</v>
      </c>
    </row>
    <row r="221" spans="1:17" x14ac:dyDescent="0.2">
      <c r="A221" s="69">
        <v>33086</v>
      </c>
      <c r="M221">
        <v>322.55999755859381</v>
      </c>
      <c r="O221">
        <v>6.6512432164184338E-4</v>
      </c>
      <c r="P221">
        <v>1.7272166368697859E-2</v>
      </c>
      <c r="Q221">
        <v>2.6631528059206659E-3</v>
      </c>
    </row>
    <row r="222" spans="1:17" x14ac:dyDescent="0.2">
      <c r="A222" s="69">
        <v>33117</v>
      </c>
      <c r="M222">
        <v>306.04998779296881</v>
      </c>
      <c r="O222">
        <v>6.6512432164184338E-4</v>
      </c>
      <c r="P222">
        <v>1.7272166368697859E-2</v>
      </c>
      <c r="Q222">
        <v>2.6631528059206659E-3</v>
      </c>
    </row>
    <row r="223" spans="1:17" x14ac:dyDescent="0.2">
      <c r="A223" s="69">
        <v>33147</v>
      </c>
      <c r="M223">
        <v>304</v>
      </c>
      <c r="N223">
        <v>9318.8760000000002</v>
      </c>
      <c r="O223">
        <v>-9.1039454116298435E-3</v>
      </c>
      <c r="P223">
        <v>6.0285869649822858E-3</v>
      </c>
      <c r="Q223">
        <v>-3.5921502051109888E-2</v>
      </c>
    </row>
    <row r="224" spans="1:17" x14ac:dyDescent="0.2">
      <c r="A224" s="69">
        <v>33178</v>
      </c>
      <c r="M224">
        <v>322.22000122070312</v>
      </c>
      <c r="O224">
        <v>-9.1039454116298435E-3</v>
      </c>
      <c r="P224">
        <v>6.0285869649822858E-3</v>
      </c>
      <c r="Q224">
        <v>-3.5921502051109888E-2</v>
      </c>
    </row>
    <row r="225" spans="1:17" x14ac:dyDescent="0.2">
      <c r="A225" s="69">
        <v>33208</v>
      </c>
      <c r="M225">
        <v>330.22000122070312</v>
      </c>
      <c r="O225">
        <v>-9.1039454116298435E-3</v>
      </c>
      <c r="P225">
        <v>6.0285869649822858E-3</v>
      </c>
      <c r="Q225">
        <v>-3.5921502051109888E-2</v>
      </c>
    </row>
    <row r="226" spans="1:17" x14ac:dyDescent="0.2">
      <c r="A226" s="69">
        <v>33239</v>
      </c>
      <c r="M226">
        <v>343.92999267578119</v>
      </c>
      <c r="N226">
        <v>9275.2759999999998</v>
      </c>
      <c r="O226">
        <v>-4.6786758403052431E-3</v>
      </c>
      <c r="P226">
        <v>-9.5024069710160919E-3</v>
      </c>
      <c r="Q226">
        <v>-1.858377250133569E-2</v>
      </c>
    </row>
    <row r="227" spans="1:17" x14ac:dyDescent="0.2">
      <c r="A227" s="69">
        <v>33270</v>
      </c>
      <c r="M227">
        <v>367.07000732421881</v>
      </c>
      <c r="O227">
        <v>-4.6786758403052431E-3</v>
      </c>
      <c r="P227">
        <v>-9.5024069710160919E-3</v>
      </c>
      <c r="Q227">
        <v>-1.858377250133569E-2</v>
      </c>
    </row>
    <row r="228" spans="1:17" x14ac:dyDescent="0.2">
      <c r="A228" s="69">
        <v>33298</v>
      </c>
      <c r="M228">
        <v>375.22000122070312</v>
      </c>
      <c r="O228">
        <v>-4.6786758403052431E-3</v>
      </c>
      <c r="P228">
        <v>-9.5024069710160919E-3</v>
      </c>
      <c r="Q228">
        <v>-1.858377250133569E-2</v>
      </c>
    </row>
    <row r="229" spans="1:17" x14ac:dyDescent="0.2">
      <c r="A229" s="69">
        <v>33329</v>
      </c>
      <c r="M229">
        <v>375.33999633789062</v>
      </c>
      <c r="N229">
        <v>9347.5969999999998</v>
      </c>
      <c r="O229">
        <v>7.7971803750098564E-3</v>
      </c>
      <c r="P229">
        <v>-5.3888796022831757E-3</v>
      </c>
      <c r="Q229">
        <v>3.1555397477190723E-2</v>
      </c>
    </row>
    <row r="230" spans="1:17" x14ac:dyDescent="0.2">
      <c r="A230" s="69">
        <v>33359</v>
      </c>
      <c r="M230">
        <v>389.82998657226562</v>
      </c>
      <c r="O230">
        <v>7.7971803750098564E-3</v>
      </c>
      <c r="P230">
        <v>-5.3888796022831757E-3</v>
      </c>
      <c r="Q230">
        <v>3.1555397477190723E-2</v>
      </c>
    </row>
    <row r="231" spans="1:17" x14ac:dyDescent="0.2">
      <c r="A231" s="69">
        <v>33390</v>
      </c>
      <c r="M231">
        <v>371.16000366210938</v>
      </c>
      <c r="O231">
        <v>7.7971803750098564E-3</v>
      </c>
      <c r="P231">
        <v>-5.3888796022831757E-3</v>
      </c>
      <c r="Q231">
        <v>3.1555397477190723E-2</v>
      </c>
    </row>
    <row r="232" spans="1:17" x14ac:dyDescent="0.2">
      <c r="A232" s="69">
        <v>33420</v>
      </c>
      <c r="M232">
        <v>387.80999755859381</v>
      </c>
      <c r="N232">
        <v>9394.8340000000007</v>
      </c>
      <c r="O232">
        <v>5.0533843082881079E-3</v>
      </c>
      <c r="P232">
        <v>-1.0271685005062319E-3</v>
      </c>
      <c r="Q232">
        <v>2.0367274229972528E-2</v>
      </c>
    </row>
    <row r="233" spans="1:17" x14ac:dyDescent="0.2">
      <c r="A233" s="69">
        <v>33451</v>
      </c>
      <c r="M233">
        <v>395.42999267578119</v>
      </c>
      <c r="O233">
        <v>5.0533843082881079E-3</v>
      </c>
      <c r="P233">
        <v>-1.0271685005062319E-3</v>
      </c>
      <c r="Q233">
        <v>2.0367274229972528E-2</v>
      </c>
    </row>
    <row r="234" spans="1:17" x14ac:dyDescent="0.2">
      <c r="A234" s="69">
        <v>33482</v>
      </c>
      <c r="M234">
        <v>387.8599853515625</v>
      </c>
      <c r="O234">
        <v>5.0533843082881079E-3</v>
      </c>
      <c r="P234">
        <v>-1.0271685005062319E-3</v>
      </c>
      <c r="Q234">
        <v>2.0367274229972528E-2</v>
      </c>
    </row>
    <row r="235" spans="1:17" x14ac:dyDescent="0.2">
      <c r="A235" s="69">
        <v>33512</v>
      </c>
      <c r="M235">
        <v>392.45001220703119</v>
      </c>
      <c r="N235">
        <v>9427.5810000000001</v>
      </c>
      <c r="O235">
        <v>3.4856390224669632E-3</v>
      </c>
      <c r="P235">
        <v>1.166503342248571E-2</v>
      </c>
      <c r="Q235">
        <v>1.401562371143839E-2</v>
      </c>
    </row>
    <row r="236" spans="1:17" x14ac:dyDescent="0.2">
      <c r="A236" s="69">
        <v>33543</v>
      </c>
      <c r="M236">
        <v>375.22000122070312</v>
      </c>
      <c r="O236">
        <v>3.4856390224669632E-3</v>
      </c>
      <c r="P236">
        <v>1.166503342248571E-2</v>
      </c>
      <c r="Q236">
        <v>1.401562371143839E-2</v>
      </c>
    </row>
    <row r="237" spans="1:17" x14ac:dyDescent="0.2">
      <c r="A237" s="69">
        <v>33573</v>
      </c>
      <c r="M237">
        <v>417.08999633789062</v>
      </c>
      <c r="O237">
        <v>3.4856390224669632E-3</v>
      </c>
      <c r="P237">
        <v>1.166503342248571E-2</v>
      </c>
      <c r="Q237">
        <v>1.401562371143839E-2</v>
      </c>
    </row>
    <row r="238" spans="1:17" x14ac:dyDescent="0.2">
      <c r="A238" s="69">
        <v>33604</v>
      </c>
      <c r="M238">
        <v>408.77999877929688</v>
      </c>
      <c r="N238">
        <v>9540.4439999999995</v>
      </c>
      <c r="O238">
        <v>1.19715757414335E-2</v>
      </c>
      <c r="P238">
        <v>2.8588691053506081E-2</v>
      </c>
      <c r="Q238">
        <v>4.8753098259492589E-2</v>
      </c>
    </row>
    <row r="239" spans="1:17" x14ac:dyDescent="0.2">
      <c r="A239" s="69">
        <v>33635</v>
      </c>
      <c r="M239">
        <v>412.70001220703119</v>
      </c>
      <c r="O239">
        <v>1.19715757414335E-2</v>
      </c>
      <c r="P239">
        <v>2.8588691053506081E-2</v>
      </c>
      <c r="Q239">
        <v>4.8753098259492589E-2</v>
      </c>
    </row>
    <row r="240" spans="1:17" x14ac:dyDescent="0.2">
      <c r="A240" s="69">
        <v>33664</v>
      </c>
      <c r="M240">
        <v>403.69000244140619</v>
      </c>
      <c r="O240">
        <v>1.19715757414335E-2</v>
      </c>
      <c r="P240">
        <v>2.8588691053506081E-2</v>
      </c>
      <c r="Q240">
        <v>4.8753098259492589E-2</v>
      </c>
    </row>
    <row r="241" spans="1:17" x14ac:dyDescent="0.2">
      <c r="A241" s="69">
        <v>33695</v>
      </c>
      <c r="M241">
        <v>414.95001220703119</v>
      </c>
      <c r="N241">
        <v>9643.893</v>
      </c>
      <c r="O241">
        <v>1.0843206039467399E-2</v>
      </c>
      <c r="P241">
        <v>3.1697558206670688E-2</v>
      </c>
      <c r="Q241">
        <v>4.4083388249948292E-2</v>
      </c>
    </row>
    <row r="242" spans="1:17" x14ac:dyDescent="0.2">
      <c r="A242" s="69">
        <v>33725</v>
      </c>
      <c r="M242">
        <v>415.35000610351562</v>
      </c>
      <c r="O242">
        <v>1.0843206039467399E-2</v>
      </c>
      <c r="P242">
        <v>3.1697558206670688E-2</v>
      </c>
      <c r="Q242">
        <v>4.4083388249948292E-2</v>
      </c>
    </row>
    <row r="243" spans="1:17" x14ac:dyDescent="0.2">
      <c r="A243" s="69">
        <v>33756</v>
      </c>
      <c r="M243">
        <v>408.1400146484375</v>
      </c>
      <c r="O243">
        <v>1.0843206039467399E-2</v>
      </c>
      <c r="P243">
        <v>3.1697558206670688E-2</v>
      </c>
      <c r="Q243">
        <v>4.4083388249948292E-2</v>
      </c>
    </row>
    <row r="244" spans="1:17" x14ac:dyDescent="0.2">
      <c r="A244" s="69">
        <v>33786</v>
      </c>
      <c r="M244">
        <v>424.20999145507812</v>
      </c>
      <c r="N244">
        <v>9739.1849999999995</v>
      </c>
      <c r="O244">
        <v>9.8810718866332772E-3</v>
      </c>
      <c r="P244">
        <v>3.6653228785096012E-2</v>
      </c>
      <c r="Q244">
        <v>4.0113969545816142E-2</v>
      </c>
    </row>
    <row r="245" spans="1:17" x14ac:dyDescent="0.2">
      <c r="A245" s="69">
        <v>33817</v>
      </c>
      <c r="M245">
        <v>414.02999877929688</v>
      </c>
      <c r="O245">
        <v>9.8810718866332772E-3</v>
      </c>
      <c r="P245">
        <v>3.6653228785096012E-2</v>
      </c>
      <c r="Q245">
        <v>4.0113969545816142E-2</v>
      </c>
    </row>
    <row r="246" spans="1:17" x14ac:dyDescent="0.2">
      <c r="A246" s="69">
        <v>33848</v>
      </c>
      <c r="M246">
        <v>417.79998779296881</v>
      </c>
      <c r="O246">
        <v>9.8810718866332772E-3</v>
      </c>
      <c r="P246">
        <v>3.6653228785096012E-2</v>
      </c>
      <c r="Q246">
        <v>4.0113969545816142E-2</v>
      </c>
    </row>
    <row r="247" spans="1:17" x14ac:dyDescent="0.2">
      <c r="A247" s="69">
        <v>33878</v>
      </c>
      <c r="M247">
        <v>418.67999267578119</v>
      </c>
      <c r="N247">
        <v>9840.7530000000006</v>
      </c>
      <c r="O247">
        <v>1.042879871365018E-2</v>
      </c>
      <c r="P247">
        <v>4.3825876436383887E-2</v>
      </c>
      <c r="Q247">
        <v>4.2372302676989992E-2</v>
      </c>
    </row>
    <row r="248" spans="1:17" x14ac:dyDescent="0.2">
      <c r="A248" s="69">
        <v>33909</v>
      </c>
      <c r="M248">
        <v>431.35000610351562</v>
      </c>
      <c r="O248">
        <v>1.042879871365018E-2</v>
      </c>
      <c r="P248">
        <v>4.3825876436383887E-2</v>
      </c>
      <c r="Q248">
        <v>4.2372302676989992E-2</v>
      </c>
    </row>
    <row r="249" spans="1:17" x14ac:dyDescent="0.2">
      <c r="A249" s="69">
        <v>33939</v>
      </c>
      <c r="M249">
        <v>435.70999145507812</v>
      </c>
      <c r="O249">
        <v>1.042879871365018E-2</v>
      </c>
      <c r="P249">
        <v>4.3825876436383887E-2</v>
      </c>
      <c r="Q249">
        <v>4.2372302676989992E-2</v>
      </c>
    </row>
    <row r="250" spans="1:17" x14ac:dyDescent="0.2">
      <c r="A250" s="69">
        <v>33970</v>
      </c>
      <c r="M250">
        <v>438.77999877929688</v>
      </c>
      <c r="N250">
        <v>9857.1849999999995</v>
      </c>
      <c r="O250">
        <v>1.6697909194549321E-3</v>
      </c>
      <c r="P250">
        <v>3.319981753469755E-2</v>
      </c>
      <c r="Q250">
        <v>6.6959115187377183E-3</v>
      </c>
    </row>
    <row r="251" spans="1:17" x14ac:dyDescent="0.2">
      <c r="A251" s="69">
        <v>34001</v>
      </c>
      <c r="M251">
        <v>443.3800048828125</v>
      </c>
      <c r="O251">
        <v>1.6697909194549321E-3</v>
      </c>
      <c r="P251">
        <v>3.319981753469755E-2</v>
      </c>
      <c r="Q251">
        <v>6.6959115187377183E-3</v>
      </c>
    </row>
    <row r="252" spans="1:17" x14ac:dyDescent="0.2">
      <c r="A252" s="69">
        <v>34029</v>
      </c>
      <c r="M252">
        <v>451.67001342773438</v>
      </c>
      <c r="O252">
        <v>1.6697909194549321E-3</v>
      </c>
      <c r="P252">
        <v>3.319981753469755E-2</v>
      </c>
      <c r="Q252">
        <v>6.6959115187377183E-3</v>
      </c>
    </row>
    <row r="253" spans="1:17" x14ac:dyDescent="0.2">
      <c r="A253" s="69">
        <v>34060</v>
      </c>
      <c r="M253">
        <v>440.19000244140619</v>
      </c>
      <c r="N253">
        <v>9914.5650000000005</v>
      </c>
      <c r="O253">
        <v>5.8211345328307244E-3</v>
      </c>
      <c r="P253">
        <v>2.806667390440774E-2</v>
      </c>
      <c r="Q253">
        <v>2.348864193376721E-2</v>
      </c>
    </row>
    <row r="254" spans="1:17" x14ac:dyDescent="0.2">
      <c r="A254" s="69">
        <v>34090</v>
      </c>
      <c r="M254">
        <v>450.19000244140619</v>
      </c>
      <c r="O254">
        <v>5.8211345328307244E-3</v>
      </c>
      <c r="P254">
        <v>2.806667390440774E-2</v>
      </c>
      <c r="Q254">
        <v>2.348864193376721E-2</v>
      </c>
    </row>
    <row r="255" spans="1:17" x14ac:dyDescent="0.2">
      <c r="A255" s="69">
        <v>34121</v>
      </c>
      <c r="M255">
        <v>450.52999877929688</v>
      </c>
      <c r="O255">
        <v>5.8211345328307244E-3</v>
      </c>
      <c r="P255">
        <v>2.806667390440774E-2</v>
      </c>
      <c r="Q255">
        <v>2.348864193376721E-2</v>
      </c>
    </row>
    <row r="256" spans="1:17" x14ac:dyDescent="0.2">
      <c r="A256" s="69">
        <v>34151</v>
      </c>
      <c r="M256">
        <v>448.1300048828125</v>
      </c>
      <c r="N256">
        <v>9961.8729999999996</v>
      </c>
      <c r="O256">
        <v>4.771565873036193E-3</v>
      </c>
      <c r="P256">
        <v>2.2865157608157161E-2</v>
      </c>
      <c r="Q256">
        <v>1.9223305608814249E-2</v>
      </c>
    </row>
    <row r="257" spans="1:17" x14ac:dyDescent="0.2">
      <c r="A257" s="69">
        <v>34182</v>
      </c>
      <c r="M257">
        <v>463.55999755859381</v>
      </c>
      <c r="O257">
        <v>4.771565873036193E-3</v>
      </c>
      <c r="P257">
        <v>2.2865157608157161E-2</v>
      </c>
      <c r="Q257">
        <v>1.9223305608814249E-2</v>
      </c>
    </row>
    <row r="258" spans="1:17" x14ac:dyDescent="0.2">
      <c r="A258" s="69">
        <v>34213</v>
      </c>
      <c r="M258">
        <v>458.92999267578119</v>
      </c>
      <c r="O258">
        <v>4.771565873036193E-3</v>
      </c>
      <c r="P258">
        <v>2.2865157608157161E-2</v>
      </c>
      <c r="Q258">
        <v>1.9223305608814249E-2</v>
      </c>
    </row>
    <row r="259" spans="1:17" x14ac:dyDescent="0.2">
      <c r="A259" s="69">
        <v>34243</v>
      </c>
      <c r="M259">
        <v>467.82998657226562</v>
      </c>
      <c r="N259">
        <v>10097.361999999999</v>
      </c>
      <c r="O259">
        <v>1.360075560087943E-2</v>
      </c>
      <c r="P259">
        <v>2.6076154944646868E-2</v>
      </c>
      <c r="Q259">
        <v>5.5523003439976508E-2</v>
      </c>
    </row>
    <row r="260" spans="1:17" x14ac:dyDescent="0.2">
      <c r="A260" s="69">
        <v>34274</v>
      </c>
      <c r="M260">
        <v>461.79000854492188</v>
      </c>
      <c r="O260">
        <v>1.360075560087943E-2</v>
      </c>
      <c r="P260">
        <v>2.6076154944646868E-2</v>
      </c>
      <c r="Q260">
        <v>5.5523003439976508E-2</v>
      </c>
    </row>
    <row r="261" spans="1:17" x14ac:dyDescent="0.2">
      <c r="A261" s="69">
        <v>34304</v>
      </c>
      <c r="M261">
        <v>466.45001220703119</v>
      </c>
      <c r="O261">
        <v>1.360075560087943E-2</v>
      </c>
      <c r="P261">
        <v>2.6076154944646868E-2</v>
      </c>
      <c r="Q261">
        <v>5.5523003439976508E-2</v>
      </c>
    </row>
    <row r="262" spans="1:17" x14ac:dyDescent="0.2">
      <c r="A262" s="69">
        <v>34335</v>
      </c>
      <c r="M262">
        <v>481.6099853515625</v>
      </c>
      <c r="N262">
        <v>10195.338</v>
      </c>
      <c r="O262">
        <v>9.7031284012597131E-3</v>
      </c>
      <c r="P262">
        <v>3.4305230144305927E-2</v>
      </c>
      <c r="Q262">
        <v>3.9381080899375531E-2</v>
      </c>
    </row>
    <row r="263" spans="1:17" x14ac:dyDescent="0.2">
      <c r="A263" s="69">
        <v>34366</v>
      </c>
      <c r="M263">
        <v>467.1400146484375</v>
      </c>
      <c r="O263">
        <v>9.7031284012597131E-3</v>
      </c>
      <c r="P263">
        <v>3.4305230144305927E-2</v>
      </c>
      <c r="Q263">
        <v>3.9381080899375531E-2</v>
      </c>
    </row>
    <row r="264" spans="1:17" x14ac:dyDescent="0.2">
      <c r="A264" s="69">
        <v>34394</v>
      </c>
      <c r="M264">
        <v>445.76998901367188</v>
      </c>
      <c r="O264">
        <v>9.7031284012597131E-3</v>
      </c>
      <c r="P264">
        <v>3.4305230144305927E-2</v>
      </c>
      <c r="Q264">
        <v>3.9381080899375531E-2</v>
      </c>
    </row>
    <row r="265" spans="1:17" x14ac:dyDescent="0.2">
      <c r="A265" s="69">
        <v>34425</v>
      </c>
      <c r="M265">
        <v>450.91000366210938</v>
      </c>
      <c r="N265">
        <v>10333.495000000001</v>
      </c>
      <c r="O265">
        <v>1.3550997524554961E-2</v>
      </c>
      <c r="P265">
        <v>4.2253997023570897E-2</v>
      </c>
      <c r="Q265">
        <v>5.5315754474926093E-2</v>
      </c>
    </row>
    <row r="266" spans="1:17" x14ac:dyDescent="0.2">
      <c r="A266" s="69">
        <v>34455</v>
      </c>
      <c r="M266">
        <v>456.5</v>
      </c>
      <c r="O266">
        <v>1.3550997524554961E-2</v>
      </c>
      <c r="P266">
        <v>4.2253997023570897E-2</v>
      </c>
      <c r="Q266">
        <v>5.5315754474926093E-2</v>
      </c>
    </row>
    <row r="267" spans="1:17" x14ac:dyDescent="0.2">
      <c r="A267" s="69">
        <v>34486</v>
      </c>
      <c r="M267">
        <v>444.26998901367188</v>
      </c>
      <c r="O267">
        <v>1.3550997524554961E-2</v>
      </c>
      <c r="P267">
        <v>4.2253997023570897E-2</v>
      </c>
      <c r="Q267">
        <v>5.5315754474926093E-2</v>
      </c>
    </row>
    <row r="268" spans="1:17" x14ac:dyDescent="0.2">
      <c r="A268" s="69">
        <v>34516</v>
      </c>
      <c r="M268">
        <v>458.260009765625</v>
      </c>
      <c r="N268">
        <v>10393.897999999999</v>
      </c>
      <c r="O268">
        <v>5.8453601613005493E-3</v>
      </c>
      <c r="P268">
        <v>4.3367848596343253E-2</v>
      </c>
      <c r="Q268">
        <v>2.358725012773033E-2</v>
      </c>
    </row>
    <row r="269" spans="1:17" x14ac:dyDescent="0.2">
      <c r="A269" s="69">
        <v>34547</v>
      </c>
      <c r="M269">
        <v>475.489990234375</v>
      </c>
      <c r="O269">
        <v>5.8453601613005493E-3</v>
      </c>
      <c r="P269">
        <v>4.3367848596343253E-2</v>
      </c>
      <c r="Q269">
        <v>2.358725012773033E-2</v>
      </c>
    </row>
    <row r="270" spans="1:17" x14ac:dyDescent="0.2">
      <c r="A270" s="69">
        <v>34578</v>
      </c>
      <c r="M270">
        <v>462.70999145507812</v>
      </c>
      <c r="O270">
        <v>5.8453601613005493E-3</v>
      </c>
      <c r="P270">
        <v>4.3367848596343253E-2</v>
      </c>
      <c r="Q270">
        <v>2.358725012773033E-2</v>
      </c>
    </row>
    <row r="271" spans="1:17" x14ac:dyDescent="0.2">
      <c r="A271" s="69">
        <v>34608</v>
      </c>
      <c r="M271">
        <v>472.35000610351562</v>
      </c>
      <c r="N271">
        <v>10512.962</v>
      </c>
      <c r="O271">
        <v>1.1455182646587479E-2</v>
      </c>
      <c r="P271">
        <v>4.1159265162524668E-2</v>
      </c>
      <c r="Q271">
        <v>4.6614087713841679E-2</v>
      </c>
    </row>
    <row r="272" spans="1:17" x14ac:dyDescent="0.2">
      <c r="A272" s="69">
        <v>34639</v>
      </c>
      <c r="M272">
        <v>453.69000244140619</v>
      </c>
      <c r="O272">
        <v>1.1455182646587479E-2</v>
      </c>
      <c r="P272">
        <v>4.1159265162524668E-2</v>
      </c>
      <c r="Q272">
        <v>4.6614087713841679E-2</v>
      </c>
    </row>
    <row r="273" spans="1:17" x14ac:dyDescent="0.2">
      <c r="A273" s="69">
        <v>34669</v>
      </c>
      <c r="M273">
        <v>459.26998901367188</v>
      </c>
      <c r="O273">
        <v>1.1455182646587479E-2</v>
      </c>
      <c r="P273">
        <v>4.1159265162524668E-2</v>
      </c>
      <c r="Q273">
        <v>4.6614087713841679E-2</v>
      </c>
    </row>
    <row r="274" spans="1:17" x14ac:dyDescent="0.2">
      <c r="A274" s="69">
        <v>34700</v>
      </c>
      <c r="M274">
        <v>470.42001342773438</v>
      </c>
      <c r="N274">
        <v>10550.251</v>
      </c>
      <c r="O274">
        <v>3.5469547022048279E-3</v>
      </c>
      <c r="P274">
        <v>3.4811302970043798E-2</v>
      </c>
      <c r="Q274">
        <v>1.426348278840983E-2</v>
      </c>
    </row>
    <row r="275" spans="1:17" x14ac:dyDescent="0.2">
      <c r="A275" s="69">
        <v>34731</v>
      </c>
      <c r="M275">
        <v>487.3900146484375</v>
      </c>
      <c r="O275">
        <v>3.5469547022048279E-3</v>
      </c>
      <c r="P275">
        <v>3.4811302970043798E-2</v>
      </c>
      <c r="Q275">
        <v>1.426348278840983E-2</v>
      </c>
    </row>
    <row r="276" spans="1:17" x14ac:dyDescent="0.2">
      <c r="A276" s="69">
        <v>34759</v>
      </c>
      <c r="M276">
        <v>500.70999145507812</v>
      </c>
      <c r="O276">
        <v>3.5469547022048279E-3</v>
      </c>
      <c r="P276">
        <v>3.4811302970043798E-2</v>
      </c>
      <c r="Q276">
        <v>1.426348278840983E-2</v>
      </c>
    </row>
    <row r="277" spans="1:17" x14ac:dyDescent="0.2">
      <c r="A277" s="69">
        <v>34790</v>
      </c>
      <c r="M277">
        <v>514.71002197265625</v>
      </c>
      <c r="N277">
        <v>10581.723</v>
      </c>
      <c r="O277">
        <v>2.983056990776784E-3</v>
      </c>
      <c r="P277">
        <v>2.4021688692934879E-2</v>
      </c>
      <c r="Q277">
        <v>1.198572599682368E-2</v>
      </c>
    </row>
    <row r="278" spans="1:17" x14ac:dyDescent="0.2">
      <c r="A278" s="69">
        <v>34820</v>
      </c>
      <c r="M278">
        <v>533.4000244140625</v>
      </c>
      <c r="O278">
        <v>2.983056990776784E-3</v>
      </c>
      <c r="P278">
        <v>2.4021688692934879E-2</v>
      </c>
      <c r="Q278">
        <v>1.198572599682368E-2</v>
      </c>
    </row>
    <row r="279" spans="1:17" x14ac:dyDescent="0.2">
      <c r="A279" s="69">
        <v>34851</v>
      </c>
      <c r="M279">
        <v>544.75</v>
      </c>
      <c r="O279">
        <v>2.983056990776784E-3</v>
      </c>
      <c r="P279">
        <v>2.4021688692934879E-2</v>
      </c>
      <c r="Q279">
        <v>1.198572599682368E-2</v>
      </c>
    </row>
    <row r="280" spans="1:17" x14ac:dyDescent="0.2">
      <c r="A280" s="69">
        <v>34881</v>
      </c>
      <c r="M280">
        <v>562.05999755859375</v>
      </c>
      <c r="N280">
        <v>10671.737999999999</v>
      </c>
      <c r="O280">
        <v>8.5066486809378221E-3</v>
      </c>
      <c r="P280">
        <v>2.6731068555800739E-2</v>
      </c>
      <c r="Q280">
        <v>3.4463240659767143E-2</v>
      </c>
    </row>
    <row r="281" spans="1:17" x14ac:dyDescent="0.2">
      <c r="A281" s="69">
        <v>34912</v>
      </c>
      <c r="M281">
        <v>561.8800048828125</v>
      </c>
      <c r="O281">
        <v>8.5066486809378221E-3</v>
      </c>
      <c r="P281">
        <v>2.6731068555800739E-2</v>
      </c>
      <c r="Q281">
        <v>3.4463240659767143E-2</v>
      </c>
    </row>
    <row r="282" spans="1:17" x14ac:dyDescent="0.2">
      <c r="A282" s="69">
        <v>34943</v>
      </c>
      <c r="M282">
        <v>584.40997314453125</v>
      </c>
      <c r="O282">
        <v>8.5066486809378221E-3</v>
      </c>
      <c r="P282">
        <v>2.6731068555800739E-2</v>
      </c>
      <c r="Q282">
        <v>3.4463240659767143E-2</v>
      </c>
    </row>
    <row r="283" spans="1:17" x14ac:dyDescent="0.2">
      <c r="A283" s="69">
        <v>34973</v>
      </c>
      <c r="M283">
        <v>581.5</v>
      </c>
      <c r="N283">
        <v>10744.203</v>
      </c>
      <c r="O283">
        <v>6.7903653556712273E-3</v>
      </c>
      <c r="P283">
        <v>2.1995799090684429E-2</v>
      </c>
      <c r="Q283">
        <v>2.743937030821075E-2</v>
      </c>
    </row>
    <row r="284" spans="1:17" x14ac:dyDescent="0.2">
      <c r="A284" s="69">
        <v>35004</v>
      </c>
      <c r="M284">
        <v>605.3699951171875</v>
      </c>
      <c r="O284">
        <v>6.7903653556712273E-3</v>
      </c>
      <c r="P284">
        <v>2.1995799090684429E-2</v>
      </c>
      <c r="Q284">
        <v>2.743937030821075E-2</v>
      </c>
    </row>
    <row r="285" spans="1:17" x14ac:dyDescent="0.2">
      <c r="A285" s="69">
        <v>35034</v>
      </c>
      <c r="M285">
        <v>615.92999267578125</v>
      </c>
      <c r="O285">
        <v>6.7903653556712273E-3</v>
      </c>
      <c r="P285">
        <v>2.1995799090684429E-2</v>
      </c>
      <c r="Q285">
        <v>2.743937030821075E-2</v>
      </c>
    </row>
    <row r="286" spans="1:17" x14ac:dyDescent="0.2">
      <c r="A286" s="69">
        <v>35065</v>
      </c>
      <c r="M286">
        <v>636.02001953125</v>
      </c>
      <c r="N286">
        <v>10824.674000000001</v>
      </c>
      <c r="O286">
        <v>7.4897132900412786E-3</v>
      </c>
      <c r="P286">
        <v>2.6011039926917438E-2</v>
      </c>
      <c r="Q286">
        <v>3.0297111703896821E-2</v>
      </c>
    </row>
    <row r="287" spans="1:17" x14ac:dyDescent="0.2">
      <c r="A287" s="69">
        <v>35096</v>
      </c>
      <c r="M287">
        <v>640.42999267578125</v>
      </c>
      <c r="O287">
        <v>7.4897132900412786E-3</v>
      </c>
      <c r="P287">
        <v>2.6011039926917438E-2</v>
      </c>
      <c r="Q287">
        <v>3.0297111703896821E-2</v>
      </c>
    </row>
    <row r="288" spans="1:17" x14ac:dyDescent="0.2">
      <c r="A288" s="69">
        <v>35125</v>
      </c>
      <c r="M288">
        <v>645.5</v>
      </c>
      <c r="O288">
        <v>7.4897132900412786E-3</v>
      </c>
      <c r="P288">
        <v>2.6011039926917438E-2</v>
      </c>
      <c r="Q288">
        <v>3.0297111703896821E-2</v>
      </c>
    </row>
    <row r="289" spans="1:17" x14ac:dyDescent="0.2">
      <c r="A289" s="69">
        <v>35156</v>
      </c>
      <c r="M289">
        <v>654.16998291015625</v>
      </c>
      <c r="N289">
        <v>11005.217000000001</v>
      </c>
      <c r="O289">
        <v>1.6678839473595199E-2</v>
      </c>
      <c r="P289">
        <v>4.0021270638061553E-2</v>
      </c>
      <c r="Q289">
        <v>6.8403096521844287E-2</v>
      </c>
    </row>
    <row r="290" spans="1:17" x14ac:dyDescent="0.2">
      <c r="A290" s="69">
        <v>35186</v>
      </c>
      <c r="M290">
        <v>669.1199951171875</v>
      </c>
      <c r="O290">
        <v>1.6678839473595199E-2</v>
      </c>
      <c r="P290">
        <v>4.0021270638061553E-2</v>
      </c>
      <c r="Q290">
        <v>6.8403096521844287E-2</v>
      </c>
    </row>
    <row r="291" spans="1:17" x14ac:dyDescent="0.2">
      <c r="A291" s="69">
        <v>35217</v>
      </c>
      <c r="M291">
        <v>670.6300048828125</v>
      </c>
      <c r="O291">
        <v>1.6678839473595199E-2</v>
      </c>
      <c r="P291">
        <v>4.0021270638061553E-2</v>
      </c>
      <c r="Q291">
        <v>6.8403096521844287E-2</v>
      </c>
    </row>
    <row r="292" spans="1:17" x14ac:dyDescent="0.2">
      <c r="A292" s="69">
        <v>35247</v>
      </c>
      <c r="M292">
        <v>639.95001220703125</v>
      </c>
      <c r="N292">
        <v>11103.934999999999</v>
      </c>
      <c r="O292">
        <v>8.970109358134323E-3</v>
      </c>
      <c r="P292">
        <v>4.0499213904989062E-2</v>
      </c>
      <c r="Q292">
        <v>3.6366108120872383E-2</v>
      </c>
    </row>
    <row r="293" spans="1:17" x14ac:dyDescent="0.2">
      <c r="A293" s="69">
        <v>35278</v>
      </c>
      <c r="M293">
        <v>651.989990234375</v>
      </c>
      <c r="O293">
        <v>8.970109358134323E-3</v>
      </c>
      <c r="P293">
        <v>4.0499213904989062E-2</v>
      </c>
      <c r="Q293">
        <v>3.6366108120872383E-2</v>
      </c>
    </row>
    <row r="294" spans="1:17" x14ac:dyDescent="0.2">
      <c r="A294" s="69">
        <v>35309</v>
      </c>
      <c r="M294">
        <v>687.33001708984375</v>
      </c>
      <c r="O294">
        <v>8.970109358134323E-3</v>
      </c>
      <c r="P294">
        <v>4.0499213904989062E-2</v>
      </c>
      <c r="Q294">
        <v>3.6366108120872383E-2</v>
      </c>
    </row>
    <row r="295" spans="1:17" x14ac:dyDescent="0.2">
      <c r="A295" s="69">
        <v>35339</v>
      </c>
      <c r="M295">
        <v>705.27001953125</v>
      </c>
      <c r="N295">
        <v>11219.237999999999</v>
      </c>
      <c r="O295">
        <v>1.0383976491216839E-2</v>
      </c>
      <c r="P295">
        <v>4.4213144520817399E-2</v>
      </c>
      <c r="Q295">
        <v>4.2187358088936922E-2</v>
      </c>
    </row>
    <row r="296" spans="1:17" x14ac:dyDescent="0.2">
      <c r="A296" s="69">
        <v>35370</v>
      </c>
      <c r="M296">
        <v>757.02001953125</v>
      </c>
      <c r="O296">
        <v>1.0383976491216839E-2</v>
      </c>
      <c r="P296">
        <v>4.4213144520817399E-2</v>
      </c>
      <c r="Q296">
        <v>4.2187358088936922E-2</v>
      </c>
    </row>
    <row r="297" spans="1:17" x14ac:dyDescent="0.2">
      <c r="A297" s="69">
        <v>35400</v>
      </c>
      <c r="M297">
        <v>740.739990234375</v>
      </c>
      <c r="O297">
        <v>1.0383976491216839E-2</v>
      </c>
      <c r="P297">
        <v>4.4213144520817399E-2</v>
      </c>
      <c r="Q297">
        <v>4.2187358088936922E-2</v>
      </c>
    </row>
    <row r="298" spans="1:17" x14ac:dyDescent="0.2">
      <c r="A298" s="69">
        <v>35431</v>
      </c>
      <c r="M298">
        <v>786.15997314453125</v>
      </c>
      <c r="N298">
        <v>11291.665000000001</v>
      </c>
      <c r="O298">
        <v>6.4556077694404466E-3</v>
      </c>
      <c r="P298">
        <v>4.314134541141839E-2</v>
      </c>
      <c r="Q298">
        <v>2.6073558191095358E-2</v>
      </c>
    </row>
    <row r="299" spans="1:17" x14ac:dyDescent="0.2">
      <c r="A299" s="69">
        <v>35462</v>
      </c>
      <c r="M299">
        <v>790.82000732421875</v>
      </c>
      <c r="O299">
        <v>6.4556077694404466E-3</v>
      </c>
      <c r="P299">
        <v>4.314134541141839E-2</v>
      </c>
      <c r="Q299">
        <v>2.6073558191095358E-2</v>
      </c>
    </row>
    <row r="300" spans="1:17" x14ac:dyDescent="0.2">
      <c r="A300" s="69">
        <v>35490</v>
      </c>
      <c r="M300">
        <v>757.1199951171875</v>
      </c>
      <c r="O300">
        <v>6.4556077694404466E-3</v>
      </c>
      <c r="P300">
        <v>4.314134541141839E-2</v>
      </c>
      <c r="Q300">
        <v>2.6073558191095358E-2</v>
      </c>
    </row>
    <row r="301" spans="1:17" x14ac:dyDescent="0.2">
      <c r="A301" s="69">
        <v>35521</v>
      </c>
      <c r="M301">
        <v>801.34002685546875</v>
      </c>
      <c r="N301">
        <v>11479.33</v>
      </c>
      <c r="O301">
        <v>1.6619781050890112E-2</v>
      </c>
      <c r="P301">
        <v>4.3080749793484252E-2</v>
      </c>
      <c r="Q301">
        <v>6.8154865904908712E-2</v>
      </c>
    </row>
    <row r="302" spans="1:17" x14ac:dyDescent="0.2">
      <c r="A302" s="69">
        <v>35551</v>
      </c>
      <c r="M302">
        <v>848.280029296875</v>
      </c>
      <c r="O302">
        <v>1.6619781050890112E-2</v>
      </c>
      <c r="P302">
        <v>4.3080749793484252E-2</v>
      </c>
      <c r="Q302">
        <v>6.8154865904908712E-2</v>
      </c>
    </row>
    <row r="303" spans="1:17" x14ac:dyDescent="0.2">
      <c r="A303" s="69">
        <v>35582</v>
      </c>
      <c r="M303">
        <v>885.1400146484375</v>
      </c>
      <c r="O303">
        <v>1.6619781050890112E-2</v>
      </c>
      <c r="P303">
        <v>4.3080749793484252E-2</v>
      </c>
      <c r="Q303">
        <v>6.8154865904908712E-2</v>
      </c>
    </row>
    <row r="304" spans="1:17" x14ac:dyDescent="0.2">
      <c r="A304" s="69">
        <v>35612</v>
      </c>
      <c r="C304">
        <v>55.6</v>
      </c>
      <c r="D304">
        <v>49</v>
      </c>
      <c r="E304">
        <v>50.9</v>
      </c>
      <c r="F304">
        <v>58.6</v>
      </c>
      <c r="H304">
        <v>51</v>
      </c>
      <c r="J304">
        <v>53.8</v>
      </c>
      <c r="K304">
        <v>62</v>
      </c>
      <c r="L304">
        <v>56.7</v>
      </c>
      <c r="M304">
        <v>954.30999755859375</v>
      </c>
      <c r="N304">
        <v>11622.911</v>
      </c>
      <c r="O304">
        <v>1.2507785733139491E-2</v>
      </c>
      <c r="P304">
        <v>4.6738025753933231E-2</v>
      </c>
      <c r="Q304">
        <v>5.0977662738524332E-2</v>
      </c>
    </row>
    <row r="305" spans="1:17" x14ac:dyDescent="0.2">
      <c r="A305" s="69">
        <v>35643</v>
      </c>
      <c r="C305">
        <v>48.4</v>
      </c>
      <c r="D305">
        <v>56.5</v>
      </c>
      <c r="E305">
        <v>53.3</v>
      </c>
      <c r="F305">
        <v>62.6</v>
      </c>
      <c r="G305">
        <v>62</v>
      </c>
      <c r="H305">
        <v>48.5</v>
      </c>
      <c r="J305">
        <v>53.8</v>
      </c>
      <c r="K305">
        <v>57.5</v>
      </c>
      <c r="L305">
        <v>62</v>
      </c>
      <c r="M305">
        <v>899.469970703125</v>
      </c>
      <c r="O305">
        <v>1.2507785733139491E-2</v>
      </c>
      <c r="P305">
        <v>4.6738025753933231E-2</v>
      </c>
      <c r="Q305">
        <v>5.0977662738524332E-2</v>
      </c>
    </row>
    <row r="306" spans="1:17" x14ac:dyDescent="0.2">
      <c r="A306" s="69">
        <v>35674</v>
      </c>
      <c r="C306">
        <v>47.5</v>
      </c>
      <c r="D306">
        <v>49.5</v>
      </c>
      <c r="E306">
        <v>53.1</v>
      </c>
      <c r="F306">
        <v>59.1</v>
      </c>
      <c r="G306">
        <v>63</v>
      </c>
      <c r="H306">
        <v>54</v>
      </c>
      <c r="J306">
        <v>53.2</v>
      </c>
      <c r="K306">
        <v>49.5</v>
      </c>
      <c r="L306">
        <v>56.2</v>
      </c>
      <c r="M306">
        <v>947.280029296875</v>
      </c>
      <c r="O306">
        <v>1.2507785733139491E-2</v>
      </c>
      <c r="P306">
        <v>4.6738025753933231E-2</v>
      </c>
      <c r="Q306">
        <v>5.0977662738524332E-2</v>
      </c>
    </row>
    <row r="307" spans="1:17" x14ac:dyDescent="0.2">
      <c r="A307" s="69">
        <v>35704</v>
      </c>
      <c r="C307">
        <v>50.7</v>
      </c>
      <c r="D307">
        <v>52</v>
      </c>
      <c r="E307">
        <v>53.1</v>
      </c>
      <c r="F307">
        <v>62.6</v>
      </c>
      <c r="G307">
        <v>66</v>
      </c>
      <c r="H307">
        <v>46.5</v>
      </c>
      <c r="J307">
        <v>51</v>
      </c>
      <c r="K307">
        <v>51.5</v>
      </c>
      <c r="L307">
        <v>56.6</v>
      </c>
      <c r="M307">
        <v>914.6199951171875</v>
      </c>
      <c r="N307">
        <v>11722.722</v>
      </c>
      <c r="O307">
        <v>8.5874356260664548E-3</v>
      </c>
      <c r="P307">
        <v>4.4876844577145122E-2</v>
      </c>
      <c r="Q307">
        <v>3.4794745335392292E-2</v>
      </c>
    </row>
    <row r="308" spans="1:17" x14ac:dyDescent="0.2">
      <c r="A308" s="69">
        <v>35735</v>
      </c>
      <c r="C308">
        <v>50.3</v>
      </c>
      <c r="D308">
        <v>56</v>
      </c>
      <c r="E308">
        <v>54.3</v>
      </c>
      <c r="F308">
        <v>61.9</v>
      </c>
      <c r="G308">
        <v>64.5</v>
      </c>
      <c r="H308">
        <v>51</v>
      </c>
      <c r="J308">
        <v>56.7</v>
      </c>
      <c r="K308">
        <v>53.5</v>
      </c>
      <c r="L308">
        <v>58.5</v>
      </c>
      <c r="M308">
        <v>955.4000244140625</v>
      </c>
      <c r="O308">
        <v>8.5874356260664548E-3</v>
      </c>
      <c r="P308">
        <v>4.4876844577145122E-2</v>
      </c>
      <c r="Q308">
        <v>3.4794745335392292E-2</v>
      </c>
    </row>
    <row r="309" spans="1:17" x14ac:dyDescent="0.2">
      <c r="A309" s="69">
        <v>35765</v>
      </c>
      <c r="C309">
        <v>52.2</v>
      </c>
      <c r="D309">
        <v>49</v>
      </c>
      <c r="E309">
        <v>54.9</v>
      </c>
      <c r="F309">
        <v>56.5</v>
      </c>
      <c r="G309">
        <v>67</v>
      </c>
      <c r="H309">
        <v>49</v>
      </c>
      <c r="J309">
        <v>55</v>
      </c>
      <c r="K309">
        <v>48.5</v>
      </c>
      <c r="L309">
        <v>55.5</v>
      </c>
      <c r="M309">
        <v>970.42999267578125</v>
      </c>
      <c r="O309">
        <v>8.5874356260664548E-3</v>
      </c>
      <c r="P309">
        <v>4.4876844577145122E-2</v>
      </c>
      <c r="Q309">
        <v>3.4794745335392292E-2</v>
      </c>
    </row>
    <row r="310" spans="1:17" x14ac:dyDescent="0.2">
      <c r="A310" s="69">
        <v>35796</v>
      </c>
      <c r="B310">
        <v>57.4</v>
      </c>
      <c r="C310">
        <v>51.5</v>
      </c>
      <c r="D310">
        <v>49</v>
      </c>
      <c r="E310">
        <v>52.7</v>
      </c>
      <c r="F310">
        <v>61.4</v>
      </c>
      <c r="G310">
        <v>61.5</v>
      </c>
      <c r="H310">
        <v>48.5</v>
      </c>
      <c r="I310">
        <v>54</v>
      </c>
      <c r="J310">
        <v>55</v>
      </c>
      <c r="K310">
        <v>52</v>
      </c>
      <c r="L310">
        <v>57</v>
      </c>
      <c r="M310">
        <v>980.280029296875</v>
      </c>
      <c r="N310">
        <v>11839.876</v>
      </c>
      <c r="O310">
        <v>9.9937540103740806E-3</v>
      </c>
      <c r="P310">
        <v>4.8550058826576883E-2</v>
      </c>
      <c r="Q310">
        <v>4.0578269241347893E-2</v>
      </c>
    </row>
    <row r="311" spans="1:17" x14ac:dyDescent="0.2">
      <c r="A311" s="69">
        <v>35827</v>
      </c>
      <c r="B311">
        <v>59.1</v>
      </c>
      <c r="C311">
        <v>52.6</v>
      </c>
      <c r="D311">
        <v>51.5</v>
      </c>
      <c r="E311">
        <v>51.6</v>
      </c>
      <c r="F311">
        <v>58.9</v>
      </c>
      <c r="G311">
        <v>59.5</v>
      </c>
      <c r="H311">
        <v>50.5</v>
      </c>
      <c r="I311">
        <v>52</v>
      </c>
      <c r="J311">
        <v>54.8</v>
      </c>
      <c r="K311">
        <v>51.5</v>
      </c>
      <c r="L311">
        <v>56.2</v>
      </c>
      <c r="M311">
        <v>1049.339965820312</v>
      </c>
      <c r="O311">
        <v>9.9937540103740806E-3</v>
      </c>
      <c r="P311">
        <v>4.8550058826576883E-2</v>
      </c>
      <c r="Q311">
        <v>4.0578269241347893E-2</v>
      </c>
    </row>
    <row r="312" spans="1:17" x14ac:dyDescent="0.2">
      <c r="A312" s="69">
        <v>35855</v>
      </c>
      <c r="B312">
        <v>55.1</v>
      </c>
      <c r="C312">
        <v>50</v>
      </c>
      <c r="D312">
        <v>51.5</v>
      </c>
      <c r="E312">
        <v>47.9</v>
      </c>
      <c r="F312">
        <v>57</v>
      </c>
      <c r="G312">
        <v>64</v>
      </c>
      <c r="H312">
        <v>52.5</v>
      </c>
      <c r="I312">
        <v>52.5</v>
      </c>
      <c r="J312">
        <v>54.1</v>
      </c>
      <c r="K312">
        <v>58.5</v>
      </c>
      <c r="L312">
        <v>54.7</v>
      </c>
      <c r="M312">
        <v>1101.75</v>
      </c>
      <c r="O312">
        <v>9.9937540103740806E-3</v>
      </c>
      <c r="P312">
        <v>4.8550058826576883E-2</v>
      </c>
      <c r="Q312">
        <v>4.0578269241347893E-2</v>
      </c>
    </row>
    <row r="313" spans="1:17" x14ac:dyDescent="0.2">
      <c r="A313" s="69">
        <v>35886</v>
      </c>
      <c r="B313">
        <v>57.5</v>
      </c>
      <c r="C313">
        <v>52.1</v>
      </c>
      <c r="D313">
        <v>51</v>
      </c>
      <c r="E313">
        <v>46.8</v>
      </c>
      <c r="F313">
        <v>58.6</v>
      </c>
      <c r="G313">
        <v>66.5</v>
      </c>
      <c r="H313">
        <v>52.5</v>
      </c>
      <c r="I313">
        <v>52</v>
      </c>
      <c r="J313">
        <v>51.6</v>
      </c>
      <c r="K313">
        <v>56.5</v>
      </c>
      <c r="L313">
        <v>54.9</v>
      </c>
      <c r="M313">
        <v>1111.75</v>
      </c>
      <c r="N313">
        <v>11949.492</v>
      </c>
      <c r="O313">
        <v>9.2582050690395729E-3</v>
      </c>
      <c r="P313">
        <v>4.0957268412006649E-2</v>
      </c>
      <c r="Q313">
        <v>3.7550288034241763E-2</v>
      </c>
    </row>
    <row r="314" spans="1:17" x14ac:dyDescent="0.2">
      <c r="A314" s="69">
        <v>35916</v>
      </c>
      <c r="B314">
        <v>60.2</v>
      </c>
      <c r="C314">
        <v>52.8</v>
      </c>
      <c r="D314">
        <v>53</v>
      </c>
      <c r="E314">
        <v>47.2</v>
      </c>
      <c r="F314">
        <v>61.2</v>
      </c>
      <c r="G314">
        <v>63.5</v>
      </c>
      <c r="H314">
        <v>50</v>
      </c>
      <c r="I314">
        <v>50.5</v>
      </c>
      <c r="J314">
        <v>52.8</v>
      </c>
      <c r="K314">
        <v>48.5</v>
      </c>
      <c r="L314">
        <v>56.2</v>
      </c>
      <c r="M314">
        <v>1090.819946289062</v>
      </c>
      <c r="O314">
        <v>9.2582050690395729E-3</v>
      </c>
      <c r="P314">
        <v>4.0957268412006649E-2</v>
      </c>
      <c r="Q314">
        <v>3.7550288034241763E-2</v>
      </c>
    </row>
    <row r="315" spans="1:17" x14ac:dyDescent="0.2">
      <c r="A315" s="69">
        <v>35947</v>
      </c>
      <c r="B315">
        <v>55.8</v>
      </c>
      <c r="C315">
        <v>54.5</v>
      </c>
      <c r="D315">
        <v>50</v>
      </c>
      <c r="E315">
        <v>45.5</v>
      </c>
      <c r="F315">
        <v>58.7</v>
      </c>
      <c r="G315">
        <v>69</v>
      </c>
      <c r="H315">
        <v>49.5</v>
      </c>
      <c r="I315">
        <v>53.5</v>
      </c>
      <c r="J315">
        <v>52.5</v>
      </c>
      <c r="K315">
        <v>55</v>
      </c>
      <c r="L315">
        <v>55.1</v>
      </c>
      <c r="M315">
        <v>1133.839965820312</v>
      </c>
      <c r="O315">
        <v>9.2582050690395729E-3</v>
      </c>
      <c r="P315">
        <v>4.0957268412006649E-2</v>
      </c>
      <c r="Q315">
        <v>3.7550288034241763E-2</v>
      </c>
    </row>
    <row r="316" spans="1:17" x14ac:dyDescent="0.2">
      <c r="A316" s="69">
        <v>35977</v>
      </c>
      <c r="B316">
        <v>58.2</v>
      </c>
      <c r="C316">
        <v>50.9</v>
      </c>
      <c r="D316">
        <v>52</v>
      </c>
      <c r="E316">
        <v>47</v>
      </c>
      <c r="F316">
        <v>58.6</v>
      </c>
      <c r="G316">
        <v>60.5</v>
      </c>
      <c r="H316">
        <v>48</v>
      </c>
      <c r="I316">
        <v>54.5</v>
      </c>
      <c r="J316">
        <v>51.9</v>
      </c>
      <c r="K316">
        <v>51.5</v>
      </c>
      <c r="L316">
        <v>55.8</v>
      </c>
      <c r="M316">
        <v>1120.670043945312</v>
      </c>
      <c r="N316">
        <v>12099.191000000001</v>
      </c>
      <c r="O316">
        <v>1.252764552668854E-2</v>
      </c>
      <c r="P316">
        <v>4.0977686226798142E-2</v>
      </c>
      <c r="Q316">
        <v>5.1060122602257341E-2</v>
      </c>
    </row>
    <row r="317" spans="1:17" x14ac:dyDescent="0.2">
      <c r="A317" s="69">
        <v>36008</v>
      </c>
      <c r="B317">
        <v>55.3</v>
      </c>
      <c r="C317">
        <v>55.2</v>
      </c>
      <c r="D317">
        <v>56.5</v>
      </c>
      <c r="E317">
        <v>47.9</v>
      </c>
      <c r="F317">
        <v>52.2</v>
      </c>
      <c r="G317">
        <v>62.5</v>
      </c>
      <c r="H317">
        <v>48</v>
      </c>
      <c r="I317">
        <v>54</v>
      </c>
      <c r="J317">
        <v>52.3</v>
      </c>
      <c r="K317">
        <v>54</v>
      </c>
      <c r="L317">
        <v>53.5</v>
      </c>
      <c r="M317">
        <v>957.280029296875</v>
      </c>
      <c r="O317">
        <v>1.252764552668854E-2</v>
      </c>
      <c r="P317">
        <v>4.0977686226798142E-2</v>
      </c>
      <c r="Q317">
        <v>5.1060122602257341E-2</v>
      </c>
    </row>
    <row r="318" spans="1:17" x14ac:dyDescent="0.2">
      <c r="A318" s="69">
        <v>36039</v>
      </c>
      <c r="B318">
        <v>55.9</v>
      </c>
      <c r="C318">
        <v>52</v>
      </c>
      <c r="D318">
        <v>54</v>
      </c>
      <c r="E318">
        <v>46.2</v>
      </c>
      <c r="F318">
        <v>57.4</v>
      </c>
      <c r="G318">
        <v>65</v>
      </c>
      <c r="H318">
        <v>50.5</v>
      </c>
      <c r="I318">
        <v>53</v>
      </c>
      <c r="J318">
        <v>53.7</v>
      </c>
      <c r="K318">
        <v>54</v>
      </c>
      <c r="L318">
        <v>55</v>
      </c>
      <c r="M318">
        <v>1017.010009765625</v>
      </c>
      <c r="O318">
        <v>1.252764552668854E-2</v>
      </c>
      <c r="P318">
        <v>4.0977686226798142E-2</v>
      </c>
      <c r="Q318">
        <v>5.1060122602257341E-2</v>
      </c>
    </row>
    <row r="319" spans="1:17" x14ac:dyDescent="0.2">
      <c r="A319" s="69">
        <v>36069</v>
      </c>
      <c r="B319">
        <v>54.7</v>
      </c>
      <c r="C319">
        <v>48.8</v>
      </c>
      <c r="D319">
        <v>49</v>
      </c>
      <c r="E319">
        <v>49.3</v>
      </c>
      <c r="F319">
        <v>54</v>
      </c>
      <c r="G319">
        <v>65.5</v>
      </c>
      <c r="H319">
        <v>48.5</v>
      </c>
      <c r="I319">
        <v>53.5</v>
      </c>
      <c r="J319">
        <v>53.1</v>
      </c>
      <c r="K319">
        <v>48.5</v>
      </c>
      <c r="L319">
        <v>53.8</v>
      </c>
      <c r="M319">
        <v>1098.670043945312</v>
      </c>
      <c r="N319">
        <v>12294.736999999999</v>
      </c>
      <c r="O319">
        <v>1.6161907023370281E-2</v>
      </c>
      <c r="P319">
        <v>4.8795407755980173E-2</v>
      </c>
      <c r="Q319">
        <v>6.6231826182913345E-2</v>
      </c>
    </row>
    <row r="320" spans="1:17" x14ac:dyDescent="0.2">
      <c r="A320" s="69">
        <v>36100</v>
      </c>
      <c r="B320">
        <v>52.7</v>
      </c>
      <c r="C320">
        <v>50.7</v>
      </c>
      <c r="D320">
        <v>46.5</v>
      </c>
      <c r="E320">
        <v>47.3</v>
      </c>
      <c r="F320">
        <v>54.9</v>
      </c>
      <c r="G320">
        <v>63</v>
      </c>
      <c r="H320">
        <v>50</v>
      </c>
      <c r="I320">
        <v>50</v>
      </c>
      <c r="J320">
        <v>52.6</v>
      </c>
      <c r="K320">
        <v>45</v>
      </c>
      <c r="L320">
        <v>52.6</v>
      </c>
      <c r="M320">
        <v>1163.630004882812</v>
      </c>
      <c r="O320">
        <v>1.6161907023370281E-2</v>
      </c>
      <c r="P320">
        <v>4.8795407755980173E-2</v>
      </c>
      <c r="Q320">
        <v>6.6231826182913345E-2</v>
      </c>
    </row>
    <row r="321" spans="1:17" x14ac:dyDescent="0.2">
      <c r="A321" s="69">
        <v>36130</v>
      </c>
      <c r="B321">
        <v>53.5</v>
      </c>
      <c r="C321">
        <v>50.3</v>
      </c>
      <c r="D321">
        <v>47</v>
      </c>
      <c r="E321">
        <v>48.5</v>
      </c>
      <c r="F321">
        <v>54.2</v>
      </c>
      <c r="G321">
        <v>64.5</v>
      </c>
      <c r="H321">
        <v>50.5</v>
      </c>
      <c r="I321">
        <v>53</v>
      </c>
      <c r="J321">
        <v>50.9</v>
      </c>
      <c r="K321">
        <v>49</v>
      </c>
      <c r="L321">
        <v>52.9</v>
      </c>
      <c r="M321">
        <v>1229.22998046875</v>
      </c>
      <c r="O321">
        <v>1.6161907023370281E-2</v>
      </c>
      <c r="P321">
        <v>4.8795407755980173E-2</v>
      </c>
      <c r="Q321">
        <v>6.6231826182913345E-2</v>
      </c>
    </row>
    <row r="322" spans="1:17" x14ac:dyDescent="0.2">
      <c r="A322" s="69">
        <v>36161</v>
      </c>
      <c r="B322">
        <v>57.5</v>
      </c>
      <c r="C322">
        <v>53.1</v>
      </c>
      <c r="D322">
        <v>49</v>
      </c>
      <c r="E322">
        <v>47</v>
      </c>
      <c r="F322">
        <v>58.8</v>
      </c>
      <c r="G322">
        <v>61</v>
      </c>
      <c r="H322">
        <v>47</v>
      </c>
      <c r="I322">
        <v>54.5</v>
      </c>
      <c r="J322">
        <v>51.4</v>
      </c>
      <c r="K322">
        <v>46.5</v>
      </c>
      <c r="L322">
        <v>55.6</v>
      </c>
      <c r="M322">
        <v>1279.640014648438</v>
      </c>
      <c r="N322">
        <v>12410.778</v>
      </c>
      <c r="O322">
        <v>9.438266145912767E-3</v>
      </c>
      <c r="P322">
        <v>4.8218579316202298E-2</v>
      </c>
      <c r="Q322">
        <v>3.8290920801855137E-2</v>
      </c>
    </row>
    <row r="323" spans="1:17" x14ac:dyDescent="0.2">
      <c r="A323" s="69">
        <v>36192</v>
      </c>
      <c r="B323">
        <v>56.6</v>
      </c>
      <c r="C323">
        <v>52.7</v>
      </c>
      <c r="D323">
        <v>51.5</v>
      </c>
      <c r="E323">
        <v>45.5</v>
      </c>
      <c r="F323">
        <v>57.3</v>
      </c>
      <c r="G323">
        <v>60.5</v>
      </c>
      <c r="H323">
        <v>49.5</v>
      </c>
      <c r="I323">
        <v>51.5</v>
      </c>
      <c r="J323">
        <v>52.2</v>
      </c>
      <c r="K323">
        <v>47.5</v>
      </c>
      <c r="L323">
        <v>54.4</v>
      </c>
      <c r="M323">
        <v>1238.329956054688</v>
      </c>
      <c r="O323">
        <v>9.438266145912767E-3</v>
      </c>
      <c r="P323">
        <v>4.8218579316202298E-2</v>
      </c>
      <c r="Q323">
        <v>3.8290920801855137E-2</v>
      </c>
    </row>
    <row r="324" spans="1:17" x14ac:dyDescent="0.2">
      <c r="A324" s="69">
        <v>36220</v>
      </c>
      <c r="B324">
        <v>58.1</v>
      </c>
      <c r="C324">
        <v>55.3</v>
      </c>
      <c r="D324">
        <v>55.5</v>
      </c>
      <c r="E324">
        <v>48.9</v>
      </c>
      <c r="F324">
        <v>59.5</v>
      </c>
      <c r="G324">
        <v>61.5</v>
      </c>
      <c r="H324">
        <v>47.5</v>
      </c>
      <c r="I324">
        <v>52.5</v>
      </c>
      <c r="J324">
        <v>51.1</v>
      </c>
      <c r="K324">
        <v>58.5</v>
      </c>
      <c r="L324">
        <v>55.3</v>
      </c>
      <c r="M324">
        <v>1286.369995117188</v>
      </c>
      <c r="O324">
        <v>9.438266145912767E-3</v>
      </c>
      <c r="P324">
        <v>4.8218579316202298E-2</v>
      </c>
      <c r="Q324">
        <v>3.8290920801855137E-2</v>
      </c>
    </row>
    <row r="325" spans="1:17" x14ac:dyDescent="0.2">
      <c r="A325" s="69">
        <v>36251</v>
      </c>
      <c r="B325">
        <v>58.6</v>
      </c>
      <c r="C325">
        <v>52.6</v>
      </c>
      <c r="D325">
        <v>51</v>
      </c>
      <c r="E325">
        <v>51.4</v>
      </c>
      <c r="F325">
        <v>59.8</v>
      </c>
      <c r="G325">
        <v>63</v>
      </c>
      <c r="H325">
        <v>48.5</v>
      </c>
      <c r="I325">
        <v>51.5</v>
      </c>
      <c r="J325">
        <v>52</v>
      </c>
      <c r="K325">
        <v>56.5</v>
      </c>
      <c r="L325">
        <v>55.5</v>
      </c>
      <c r="M325">
        <v>1335.180053710938</v>
      </c>
      <c r="N325">
        <v>12514.407999999999</v>
      </c>
      <c r="O325">
        <v>8.3500002981279006E-3</v>
      </c>
      <c r="P325">
        <v>4.7275315134735367E-2</v>
      </c>
      <c r="Q325">
        <v>3.3820669815360922E-2</v>
      </c>
    </row>
    <row r="326" spans="1:17" x14ac:dyDescent="0.2">
      <c r="A326" s="69">
        <v>36281</v>
      </c>
      <c r="B326">
        <v>56.4</v>
      </c>
      <c r="C326">
        <v>54.4</v>
      </c>
      <c r="D326">
        <v>50.5</v>
      </c>
      <c r="E326">
        <v>52.9</v>
      </c>
      <c r="F326">
        <v>57.7</v>
      </c>
      <c r="G326">
        <v>61</v>
      </c>
      <c r="H326">
        <v>51.5</v>
      </c>
      <c r="I326">
        <v>54</v>
      </c>
      <c r="J326">
        <v>52.9</v>
      </c>
      <c r="K326">
        <v>58.5</v>
      </c>
      <c r="L326">
        <v>55.3</v>
      </c>
      <c r="M326">
        <v>1301.839965820312</v>
      </c>
      <c r="O326">
        <v>8.3500002981279006E-3</v>
      </c>
      <c r="P326">
        <v>4.7275315134735367E-2</v>
      </c>
      <c r="Q326">
        <v>3.3820669815360922E-2</v>
      </c>
    </row>
    <row r="327" spans="1:17" x14ac:dyDescent="0.2">
      <c r="A327" s="69">
        <v>36312</v>
      </c>
      <c r="B327">
        <v>59.7</v>
      </c>
      <c r="C327">
        <v>51.9</v>
      </c>
      <c r="D327">
        <v>52</v>
      </c>
      <c r="E327">
        <v>53.2</v>
      </c>
      <c r="F327">
        <v>57.9</v>
      </c>
      <c r="G327">
        <v>61</v>
      </c>
      <c r="H327">
        <v>49.5</v>
      </c>
      <c r="I327">
        <v>54</v>
      </c>
      <c r="J327">
        <v>55.3</v>
      </c>
      <c r="K327">
        <v>53.5</v>
      </c>
      <c r="L327">
        <v>56.7</v>
      </c>
      <c r="M327">
        <v>1372.7099609375</v>
      </c>
      <c r="O327">
        <v>8.3500002981279006E-3</v>
      </c>
      <c r="P327">
        <v>4.7275315134735367E-2</v>
      </c>
      <c r="Q327">
        <v>3.3820669815360922E-2</v>
      </c>
    </row>
    <row r="328" spans="1:17" x14ac:dyDescent="0.2">
      <c r="A328" s="69">
        <v>36342</v>
      </c>
      <c r="B328">
        <v>58.1</v>
      </c>
      <c r="C328">
        <v>55.9</v>
      </c>
      <c r="D328">
        <v>50</v>
      </c>
      <c r="E328">
        <v>57.7</v>
      </c>
      <c r="F328">
        <v>60.7</v>
      </c>
      <c r="G328">
        <v>61</v>
      </c>
      <c r="H328">
        <v>49.5</v>
      </c>
      <c r="I328">
        <v>52.5</v>
      </c>
      <c r="J328">
        <v>53.4</v>
      </c>
      <c r="K328">
        <v>57.5</v>
      </c>
      <c r="L328">
        <v>56.2</v>
      </c>
      <c r="M328">
        <v>1328.719970703125</v>
      </c>
      <c r="N328">
        <v>12679.977000000001</v>
      </c>
      <c r="O328">
        <v>1.3230270261286141E-2</v>
      </c>
      <c r="P328">
        <v>4.8002052368625307E-2</v>
      </c>
      <c r="Q328">
        <v>5.3980615300018853E-2</v>
      </c>
    </row>
    <row r="329" spans="1:17" x14ac:dyDescent="0.2">
      <c r="A329" s="69">
        <v>36373</v>
      </c>
      <c r="B329">
        <v>59.6</v>
      </c>
      <c r="C329">
        <v>52.3</v>
      </c>
      <c r="D329">
        <v>51.5</v>
      </c>
      <c r="E329">
        <v>58.9</v>
      </c>
      <c r="F329">
        <v>60.3</v>
      </c>
      <c r="G329">
        <v>63</v>
      </c>
      <c r="H329">
        <v>52</v>
      </c>
      <c r="I329">
        <v>53.5</v>
      </c>
      <c r="J329">
        <v>52.3</v>
      </c>
      <c r="K329">
        <v>58</v>
      </c>
      <c r="L329">
        <v>56.4</v>
      </c>
      <c r="M329">
        <v>1320.410034179688</v>
      </c>
      <c r="O329">
        <v>1.3230270261286141E-2</v>
      </c>
      <c r="P329">
        <v>4.8002052368625307E-2</v>
      </c>
      <c r="Q329">
        <v>5.3980615300018853E-2</v>
      </c>
    </row>
    <row r="330" spans="1:17" x14ac:dyDescent="0.2">
      <c r="A330" s="69">
        <v>36404</v>
      </c>
      <c r="B330">
        <v>60.1</v>
      </c>
      <c r="C330">
        <v>55.5</v>
      </c>
      <c r="D330">
        <v>52.5</v>
      </c>
      <c r="E330">
        <v>64.2</v>
      </c>
      <c r="F330">
        <v>59.1</v>
      </c>
      <c r="G330">
        <v>61.5</v>
      </c>
      <c r="H330">
        <v>52</v>
      </c>
      <c r="I330">
        <v>54</v>
      </c>
      <c r="J330">
        <v>51.4</v>
      </c>
      <c r="K330">
        <v>62.5</v>
      </c>
      <c r="L330">
        <v>56.2</v>
      </c>
      <c r="M330">
        <v>1282.7099609375</v>
      </c>
      <c r="O330">
        <v>1.3230270261286141E-2</v>
      </c>
      <c r="P330">
        <v>4.8002052368625307E-2</v>
      </c>
      <c r="Q330">
        <v>5.3980615300018853E-2</v>
      </c>
    </row>
    <row r="331" spans="1:17" x14ac:dyDescent="0.2">
      <c r="A331" s="69">
        <v>36434</v>
      </c>
      <c r="B331">
        <v>62</v>
      </c>
      <c r="C331">
        <v>55.7</v>
      </c>
      <c r="D331">
        <v>52</v>
      </c>
      <c r="E331">
        <v>58.9</v>
      </c>
      <c r="F331">
        <v>60.7</v>
      </c>
      <c r="G331">
        <v>58</v>
      </c>
      <c r="H331">
        <v>47.5</v>
      </c>
      <c r="I331">
        <v>56</v>
      </c>
      <c r="J331">
        <v>51.7</v>
      </c>
      <c r="K331">
        <v>54</v>
      </c>
      <c r="L331">
        <v>57.6</v>
      </c>
      <c r="M331">
        <v>1362.930053710938</v>
      </c>
      <c r="N331">
        <v>12888.281000000001</v>
      </c>
      <c r="O331">
        <v>1.6427790050407821E-2</v>
      </c>
      <c r="P331">
        <v>4.827626650330151E-2</v>
      </c>
      <c r="Q331">
        <v>6.734820036933864E-2</v>
      </c>
    </row>
    <row r="332" spans="1:17" x14ac:dyDescent="0.2">
      <c r="A332" s="69">
        <v>36465</v>
      </c>
      <c r="B332">
        <v>55.5</v>
      </c>
      <c r="C332">
        <v>53.8</v>
      </c>
      <c r="D332">
        <v>49</v>
      </c>
      <c r="E332">
        <v>61</v>
      </c>
      <c r="F332">
        <v>57</v>
      </c>
      <c r="G332">
        <v>62.5</v>
      </c>
      <c r="H332">
        <v>52.5</v>
      </c>
      <c r="I332">
        <v>56.5</v>
      </c>
      <c r="J332">
        <v>50.6</v>
      </c>
      <c r="K332">
        <v>56</v>
      </c>
      <c r="L332">
        <v>54.9</v>
      </c>
      <c r="M332">
        <v>1388.910034179688</v>
      </c>
      <c r="O332">
        <v>1.6427790050407821E-2</v>
      </c>
      <c r="P332">
        <v>4.827626650330151E-2</v>
      </c>
      <c r="Q332">
        <v>6.734820036933864E-2</v>
      </c>
    </row>
    <row r="333" spans="1:17" x14ac:dyDescent="0.2">
      <c r="A333" s="69">
        <v>36495</v>
      </c>
      <c r="B333">
        <v>61.1</v>
      </c>
      <c r="C333">
        <v>50.8</v>
      </c>
      <c r="D333">
        <v>49</v>
      </c>
      <c r="E333">
        <v>60.5</v>
      </c>
      <c r="F333">
        <v>60.4</v>
      </c>
      <c r="G333">
        <v>61.5</v>
      </c>
      <c r="H333">
        <v>50</v>
      </c>
      <c r="I333">
        <v>53</v>
      </c>
      <c r="J333">
        <v>53</v>
      </c>
      <c r="K333">
        <v>58</v>
      </c>
      <c r="L333">
        <v>56.9</v>
      </c>
      <c r="M333">
        <v>1469.25</v>
      </c>
      <c r="O333">
        <v>1.6427790050407821E-2</v>
      </c>
      <c r="P333">
        <v>4.827626650330151E-2</v>
      </c>
      <c r="Q333">
        <v>6.734820036933864E-2</v>
      </c>
    </row>
    <row r="334" spans="1:17" x14ac:dyDescent="0.2">
      <c r="A334" s="69">
        <v>36526</v>
      </c>
      <c r="B334">
        <v>60.8</v>
      </c>
      <c r="C334">
        <v>54.9</v>
      </c>
      <c r="D334">
        <v>48.5</v>
      </c>
      <c r="E334">
        <v>61.4</v>
      </c>
      <c r="F334">
        <v>57.7</v>
      </c>
      <c r="G334">
        <v>67</v>
      </c>
      <c r="H334">
        <v>49.5</v>
      </c>
      <c r="I334">
        <v>55.5</v>
      </c>
      <c r="J334">
        <v>52.3</v>
      </c>
      <c r="K334">
        <v>57.5</v>
      </c>
      <c r="L334">
        <v>56.6</v>
      </c>
      <c r="M334">
        <v>1394.4599609375</v>
      </c>
      <c r="N334">
        <v>12935.252</v>
      </c>
      <c r="O334">
        <v>3.6444736113372721E-3</v>
      </c>
      <c r="P334">
        <v>4.225955858689924E-2</v>
      </c>
      <c r="Q334">
        <v>1.46577813755211E-2</v>
      </c>
    </row>
    <row r="335" spans="1:17" x14ac:dyDescent="0.2">
      <c r="A335" s="69">
        <v>36557</v>
      </c>
      <c r="B335">
        <v>58.9</v>
      </c>
      <c r="C335">
        <v>51.9</v>
      </c>
      <c r="D335">
        <v>52</v>
      </c>
      <c r="E335">
        <v>66.5</v>
      </c>
      <c r="F335">
        <v>58.2</v>
      </c>
      <c r="G335">
        <v>66.5</v>
      </c>
      <c r="H335">
        <v>49.5</v>
      </c>
      <c r="I335">
        <v>55</v>
      </c>
      <c r="J335">
        <v>52.8</v>
      </c>
      <c r="K335">
        <v>47.5</v>
      </c>
      <c r="L335">
        <v>56.2</v>
      </c>
      <c r="M335">
        <v>1366.420043945312</v>
      </c>
      <c r="O335">
        <v>3.6444736113372721E-3</v>
      </c>
      <c r="P335">
        <v>4.225955858689924E-2</v>
      </c>
      <c r="Q335">
        <v>1.46577813755211E-2</v>
      </c>
    </row>
    <row r="336" spans="1:17" x14ac:dyDescent="0.2">
      <c r="A336" s="69">
        <v>36586</v>
      </c>
      <c r="B336">
        <v>61.7</v>
      </c>
      <c r="C336">
        <v>54.7</v>
      </c>
      <c r="D336">
        <v>53</v>
      </c>
      <c r="E336">
        <v>68.599999999999994</v>
      </c>
      <c r="F336">
        <v>60.5</v>
      </c>
      <c r="G336">
        <v>60.5</v>
      </c>
      <c r="H336">
        <v>51.5</v>
      </c>
      <c r="I336">
        <v>52.5</v>
      </c>
      <c r="J336">
        <v>55</v>
      </c>
      <c r="K336">
        <v>55.5</v>
      </c>
      <c r="L336">
        <v>57.4</v>
      </c>
      <c r="M336">
        <v>1498.579956054688</v>
      </c>
      <c r="O336">
        <v>3.6444736113372721E-3</v>
      </c>
      <c r="P336">
        <v>4.225955858689924E-2</v>
      </c>
      <c r="Q336">
        <v>1.46577813755211E-2</v>
      </c>
    </row>
    <row r="337" spans="1:17" x14ac:dyDescent="0.2">
      <c r="A337" s="69">
        <v>36617</v>
      </c>
      <c r="B337">
        <v>61.5</v>
      </c>
      <c r="C337">
        <v>54.6</v>
      </c>
      <c r="D337">
        <v>55.5</v>
      </c>
      <c r="E337">
        <v>65</v>
      </c>
      <c r="F337">
        <v>61.1</v>
      </c>
      <c r="G337">
        <v>64</v>
      </c>
      <c r="H337">
        <v>53.5</v>
      </c>
      <c r="I337">
        <v>55</v>
      </c>
      <c r="J337">
        <v>54.4</v>
      </c>
      <c r="K337">
        <v>59</v>
      </c>
      <c r="L337">
        <v>58</v>
      </c>
      <c r="M337">
        <v>1452.430053710938</v>
      </c>
      <c r="N337">
        <v>13170.749</v>
      </c>
      <c r="O337">
        <v>1.820583008355766E-2</v>
      </c>
      <c r="P337">
        <v>5.2446827688533121E-2</v>
      </c>
      <c r="Q337">
        <v>7.4836281142319105E-2</v>
      </c>
    </row>
    <row r="338" spans="1:17" x14ac:dyDescent="0.2">
      <c r="A338" s="69">
        <v>36647</v>
      </c>
      <c r="B338">
        <v>60.5</v>
      </c>
      <c r="C338">
        <v>54.7</v>
      </c>
      <c r="D338">
        <v>53.5</v>
      </c>
      <c r="E338">
        <v>64.2</v>
      </c>
      <c r="F338">
        <v>59.8</v>
      </c>
      <c r="G338">
        <v>63</v>
      </c>
      <c r="H338">
        <v>49.5</v>
      </c>
      <c r="I338">
        <v>57</v>
      </c>
      <c r="J338">
        <v>53.5</v>
      </c>
      <c r="K338">
        <v>62</v>
      </c>
      <c r="L338">
        <v>57.7</v>
      </c>
      <c r="M338">
        <v>1420.599975585938</v>
      </c>
      <c r="O338">
        <v>1.820583008355766E-2</v>
      </c>
      <c r="P338">
        <v>5.2446827688533121E-2</v>
      </c>
      <c r="Q338">
        <v>7.4836281142319105E-2</v>
      </c>
    </row>
    <row r="339" spans="1:17" x14ac:dyDescent="0.2">
      <c r="A339" s="69">
        <v>36678</v>
      </c>
      <c r="B339">
        <v>59.4</v>
      </c>
      <c r="C339">
        <v>52.6</v>
      </c>
      <c r="D339">
        <v>56.5</v>
      </c>
      <c r="E339">
        <v>65</v>
      </c>
      <c r="F339">
        <v>60.3</v>
      </c>
      <c r="G339">
        <v>66.5</v>
      </c>
      <c r="H339">
        <v>54</v>
      </c>
      <c r="I339">
        <v>53.5</v>
      </c>
      <c r="J339">
        <v>54.4</v>
      </c>
      <c r="K339">
        <v>57</v>
      </c>
      <c r="L339">
        <v>56.9</v>
      </c>
      <c r="M339">
        <v>1454.599975585938</v>
      </c>
      <c r="O339">
        <v>1.820583008355766E-2</v>
      </c>
      <c r="P339">
        <v>5.2446827688533121E-2</v>
      </c>
      <c r="Q339">
        <v>7.4836281142319105E-2</v>
      </c>
    </row>
    <row r="340" spans="1:17" x14ac:dyDescent="0.2">
      <c r="A340" s="69">
        <v>36708</v>
      </c>
      <c r="B340">
        <v>59.7</v>
      </c>
      <c r="C340">
        <v>53.1</v>
      </c>
      <c r="D340">
        <v>50.5</v>
      </c>
      <c r="E340">
        <v>62.1</v>
      </c>
      <c r="F340">
        <v>56.5</v>
      </c>
      <c r="G340">
        <v>68</v>
      </c>
      <c r="H340">
        <v>51</v>
      </c>
      <c r="I340">
        <v>54.5</v>
      </c>
      <c r="J340">
        <v>50.5</v>
      </c>
      <c r="K340">
        <v>53</v>
      </c>
      <c r="L340">
        <v>55.3</v>
      </c>
      <c r="M340">
        <v>1430.829956054688</v>
      </c>
      <c r="N340">
        <v>13183.89</v>
      </c>
      <c r="O340">
        <v>9.9774128259521319E-4</v>
      </c>
      <c r="P340">
        <v>3.9740844955791207E-2</v>
      </c>
      <c r="Q340">
        <v>3.9969420303305192E-3</v>
      </c>
    </row>
    <row r="341" spans="1:17" x14ac:dyDescent="0.2">
      <c r="A341" s="69">
        <v>36739</v>
      </c>
      <c r="B341">
        <v>59.8</v>
      </c>
      <c r="C341">
        <v>53.9</v>
      </c>
      <c r="D341">
        <v>52</v>
      </c>
      <c r="E341">
        <v>59.2</v>
      </c>
      <c r="F341">
        <v>61.3</v>
      </c>
      <c r="G341">
        <v>61.5</v>
      </c>
      <c r="H341">
        <v>51</v>
      </c>
      <c r="I341">
        <v>55</v>
      </c>
      <c r="J341">
        <v>54.2</v>
      </c>
      <c r="K341">
        <v>56</v>
      </c>
      <c r="L341">
        <v>57.6</v>
      </c>
      <c r="M341">
        <v>1517.680053710938</v>
      </c>
      <c r="O341">
        <v>9.9774128259521319E-4</v>
      </c>
      <c r="P341">
        <v>3.9740844955791207E-2</v>
      </c>
      <c r="Q341">
        <v>3.9969420303305192E-3</v>
      </c>
    </row>
    <row r="342" spans="1:17" x14ac:dyDescent="0.2">
      <c r="A342" s="69">
        <v>36770</v>
      </c>
      <c r="B342">
        <v>60.4</v>
      </c>
      <c r="C342">
        <v>46</v>
      </c>
      <c r="D342">
        <v>56.5</v>
      </c>
      <c r="E342">
        <v>62.1</v>
      </c>
      <c r="F342">
        <v>59.8</v>
      </c>
      <c r="G342">
        <v>65</v>
      </c>
      <c r="H342">
        <v>53.5</v>
      </c>
      <c r="I342">
        <v>53</v>
      </c>
      <c r="J342">
        <v>53.5</v>
      </c>
      <c r="K342">
        <v>51.5</v>
      </c>
      <c r="L342">
        <v>56.7</v>
      </c>
      <c r="M342">
        <v>1436.510009765625</v>
      </c>
      <c r="O342">
        <v>9.9774128259521319E-4</v>
      </c>
      <c r="P342">
        <v>3.9740844955791207E-2</v>
      </c>
      <c r="Q342">
        <v>3.9969420303305192E-3</v>
      </c>
    </row>
    <row r="343" spans="1:17" x14ac:dyDescent="0.2">
      <c r="A343" s="69">
        <v>36800</v>
      </c>
      <c r="B343">
        <v>59.2</v>
      </c>
      <c r="C343">
        <v>58.9</v>
      </c>
      <c r="D343">
        <v>53.5</v>
      </c>
      <c r="E343">
        <v>63.7</v>
      </c>
      <c r="F343">
        <v>58.6</v>
      </c>
      <c r="G343">
        <v>67.5</v>
      </c>
      <c r="H343">
        <v>55</v>
      </c>
      <c r="I343">
        <v>54.5</v>
      </c>
      <c r="J343">
        <v>54.5</v>
      </c>
      <c r="K343">
        <v>55</v>
      </c>
      <c r="L343">
        <v>56.7</v>
      </c>
      <c r="M343">
        <v>1429.400024414062</v>
      </c>
      <c r="N343">
        <v>13262.25</v>
      </c>
      <c r="O343">
        <v>5.9436175514207554E-3</v>
      </c>
      <c r="P343">
        <v>2.9016204721172601E-2</v>
      </c>
      <c r="Q343">
        <v>2.3987270862187989E-2</v>
      </c>
    </row>
    <row r="344" spans="1:17" x14ac:dyDescent="0.2">
      <c r="A344" s="69">
        <v>36831</v>
      </c>
      <c r="B344">
        <v>56.4</v>
      </c>
      <c r="C344">
        <v>54.7</v>
      </c>
      <c r="D344">
        <v>49.5</v>
      </c>
      <c r="E344">
        <v>60.9</v>
      </c>
      <c r="F344">
        <v>59.7</v>
      </c>
      <c r="G344">
        <v>66</v>
      </c>
      <c r="H344">
        <v>49.5</v>
      </c>
      <c r="I344">
        <v>54</v>
      </c>
      <c r="J344">
        <v>54.6</v>
      </c>
      <c r="K344">
        <v>55</v>
      </c>
      <c r="L344">
        <v>56.2</v>
      </c>
      <c r="M344">
        <v>1314.949951171875</v>
      </c>
      <c r="O344">
        <v>5.9436175514207554E-3</v>
      </c>
      <c r="P344">
        <v>2.9016204721172601E-2</v>
      </c>
      <c r="Q344">
        <v>2.3987270862187989E-2</v>
      </c>
    </row>
    <row r="345" spans="1:17" x14ac:dyDescent="0.2">
      <c r="A345" s="69">
        <v>36861</v>
      </c>
      <c r="B345">
        <v>54.9</v>
      </c>
      <c r="C345">
        <v>53.4</v>
      </c>
      <c r="D345">
        <v>50.5</v>
      </c>
      <c r="E345">
        <v>63.5</v>
      </c>
      <c r="F345">
        <v>57.5</v>
      </c>
      <c r="G345">
        <v>65</v>
      </c>
      <c r="H345">
        <v>48.5</v>
      </c>
      <c r="I345">
        <v>51</v>
      </c>
      <c r="J345">
        <v>52.4</v>
      </c>
      <c r="K345">
        <v>56.5</v>
      </c>
      <c r="L345">
        <v>54</v>
      </c>
      <c r="M345">
        <v>1320.280029296875</v>
      </c>
      <c r="O345">
        <v>5.9436175514207554E-3</v>
      </c>
      <c r="P345">
        <v>2.9016204721172601E-2</v>
      </c>
      <c r="Q345">
        <v>2.3987270862187989E-2</v>
      </c>
    </row>
    <row r="346" spans="1:17" x14ac:dyDescent="0.2">
      <c r="A346" s="69">
        <v>36892</v>
      </c>
      <c r="B346">
        <v>50.8</v>
      </c>
      <c r="C346">
        <v>49.8</v>
      </c>
      <c r="D346">
        <v>42.5</v>
      </c>
      <c r="E346">
        <v>61.8</v>
      </c>
      <c r="F346">
        <v>52.5</v>
      </c>
      <c r="G346">
        <v>67.5</v>
      </c>
      <c r="H346">
        <v>45.5</v>
      </c>
      <c r="I346">
        <v>51.5</v>
      </c>
      <c r="J346">
        <v>51.7</v>
      </c>
      <c r="K346">
        <v>55</v>
      </c>
      <c r="L346">
        <v>51.6</v>
      </c>
      <c r="M346">
        <v>1366.010009765625</v>
      </c>
      <c r="N346">
        <v>13219.251</v>
      </c>
      <c r="O346">
        <v>-3.2422100322343338E-3</v>
      </c>
      <c r="P346">
        <v>2.1955428467879849E-2</v>
      </c>
      <c r="Q346">
        <v>-1.2905904790564421E-2</v>
      </c>
    </row>
    <row r="347" spans="1:17" x14ac:dyDescent="0.2">
      <c r="A347" s="69">
        <v>36923</v>
      </c>
      <c r="B347">
        <v>51.4</v>
      </c>
      <c r="C347">
        <v>48.7</v>
      </c>
      <c r="D347">
        <v>45.5</v>
      </c>
      <c r="E347">
        <v>58.1</v>
      </c>
      <c r="F347">
        <v>51.5</v>
      </c>
      <c r="G347">
        <v>65</v>
      </c>
      <c r="H347">
        <v>47</v>
      </c>
      <c r="I347">
        <v>51.5</v>
      </c>
      <c r="J347">
        <v>50.7</v>
      </c>
      <c r="K347">
        <v>53.5</v>
      </c>
      <c r="L347">
        <v>51.3</v>
      </c>
      <c r="M347">
        <v>1239.93994140625</v>
      </c>
      <c r="O347">
        <v>-3.2422100322343338E-3</v>
      </c>
      <c r="P347">
        <v>2.1955428467879849E-2</v>
      </c>
      <c r="Q347">
        <v>-1.2905904790564421E-2</v>
      </c>
    </row>
    <row r="348" spans="1:17" x14ac:dyDescent="0.2">
      <c r="A348" s="69">
        <v>36951</v>
      </c>
      <c r="B348">
        <v>52.6</v>
      </c>
      <c r="C348">
        <v>48.4</v>
      </c>
      <c r="D348">
        <v>47.5</v>
      </c>
      <c r="E348">
        <v>55.8</v>
      </c>
      <c r="F348">
        <v>50</v>
      </c>
      <c r="G348">
        <v>69</v>
      </c>
      <c r="H348">
        <v>49</v>
      </c>
      <c r="I348">
        <v>50.5</v>
      </c>
      <c r="J348">
        <v>49.6</v>
      </c>
      <c r="K348">
        <v>49.5</v>
      </c>
      <c r="L348">
        <v>50.7</v>
      </c>
      <c r="M348">
        <v>1160.329956054688</v>
      </c>
      <c r="O348">
        <v>-3.2422100322343338E-3</v>
      </c>
      <c r="P348">
        <v>2.1955428467879849E-2</v>
      </c>
      <c r="Q348">
        <v>-1.2905904790564421E-2</v>
      </c>
    </row>
    <row r="349" spans="1:17" x14ac:dyDescent="0.2">
      <c r="A349" s="69">
        <v>36982</v>
      </c>
      <c r="B349">
        <v>47.2</v>
      </c>
      <c r="C349">
        <v>49.8</v>
      </c>
      <c r="D349">
        <v>44</v>
      </c>
      <c r="E349">
        <v>53.8</v>
      </c>
      <c r="F349">
        <v>48.3</v>
      </c>
      <c r="G349">
        <v>64</v>
      </c>
      <c r="H349">
        <v>45.5</v>
      </c>
      <c r="I349">
        <v>51</v>
      </c>
      <c r="J349">
        <v>46.5</v>
      </c>
      <c r="K349">
        <v>55.5</v>
      </c>
      <c r="L349">
        <v>48.3</v>
      </c>
      <c r="M349">
        <v>1249.4599609375</v>
      </c>
      <c r="N349">
        <v>13301.394</v>
      </c>
      <c r="O349">
        <v>6.2138921486550201E-3</v>
      </c>
      <c r="P349">
        <v>9.9193295688802842E-3</v>
      </c>
      <c r="Q349">
        <v>2.508820455389205E-2</v>
      </c>
    </row>
    <row r="350" spans="1:17" x14ac:dyDescent="0.2">
      <c r="A350" s="69">
        <v>37012</v>
      </c>
      <c r="B350">
        <v>49.3</v>
      </c>
      <c r="C350">
        <v>48.7</v>
      </c>
      <c r="D350">
        <v>46.5</v>
      </c>
      <c r="E350">
        <v>58.5</v>
      </c>
      <c r="F350">
        <v>47.9</v>
      </c>
      <c r="G350">
        <v>63.5</v>
      </c>
      <c r="H350">
        <v>47.5</v>
      </c>
      <c r="I350">
        <v>52</v>
      </c>
      <c r="J350">
        <v>46.7</v>
      </c>
      <c r="K350">
        <v>48.5</v>
      </c>
      <c r="L350">
        <v>49</v>
      </c>
      <c r="M350">
        <v>1255.819946289062</v>
      </c>
      <c r="O350">
        <v>6.2138921486550201E-3</v>
      </c>
      <c r="P350">
        <v>9.9193295688802842E-3</v>
      </c>
      <c r="Q350">
        <v>2.508820455389205E-2</v>
      </c>
    </row>
    <row r="351" spans="1:17" x14ac:dyDescent="0.2">
      <c r="A351" s="69">
        <v>37043</v>
      </c>
      <c r="B351">
        <v>52.2</v>
      </c>
      <c r="C351">
        <v>50</v>
      </c>
      <c r="D351">
        <v>49</v>
      </c>
      <c r="E351">
        <v>54.5</v>
      </c>
      <c r="F351">
        <v>51.6</v>
      </c>
      <c r="G351">
        <v>65</v>
      </c>
      <c r="H351">
        <v>48.5</v>
      </c>
      <c r="I351">
        <v>51</v>
      </c>
      <c r="J351">
        <v>45.6</v>
      </c>
      <c r="K351">
        <v>49.5</v>
      </c>
      <c r="L351">
        <v>50.1</v>
      </c>
      <c r="M351">
        <v>1224.380004882812</v>
      </c>
      <c r="O351">
        <v>6.2138921486550201E-3</v>
      </c>
      <c r="P351">
        <v>9.9193295688802842E-3</v>
      </c>
      <c r="Q351">
        <v>2.508820455389205E-2</v>
      </c>
    </row>
    <row r="352" spans="1:17" x14ac:dyDescent="0.2">
      <c r="A352" s="69">
        <v>37073</v>
      </c>
      <c r="B352">
        <v>47.5</v>
      </c>
      <c r="C352">
        <v>50.1</v>
      </c>
      <c r="D352">
        <v>42.5</v>
      </c>
      <c r="E352">
        <v>49.9</v>
      </c>
      <c r="F352">
        <v>48.1</v>
      </c>
      <c r="G352">
        <v>61.5</v>
      </c>
      <c r="H352">
        <v>46</v>
      </c>
      <c r="I352">
        <v>50.5</v>
      </c>
      <c r="J352">
        <v>46.4</v>
      </c>
      <c r="K352">
        <v>53</v>
      </c>
      <c r="L352">
        <v>48.1</v>
      </c>
      <c r="M352">
        <v>1211.22998046875</v>
      </c>
      <c r="N352">
        <v>13248.142</v>
      </c>
      <c r="O352">
        <v>-4.0034901605050122E-3</v>
      </c>
      <c r="P352">
        <v>4.8735236716932872E-3</v>
      </c>
      <c r="Q352">
        <v>-1.5918049455029729E-2</v>
      </c>
    </row>
    <row r="353" spans="1:17" x14ac:dyDescent="0.2">
      <c r="A353" s="69">
        <v>37104</v>
      </c>
      <c r="B353">
        <v>46.5</v>
      </c>
      <c r="C353">
        <v>52.8</v>
      </c>
      <c r="D353">
        <v>41.5</v>
      </c>
      <c r="E353">
        <v>48.9</v>
      </c>
      <c r="F353">
        <v>47.4</v>
      </c>
      <c r="G353">
        <v>65.5</v>
      </c>
      <c r="H353">
        <v>43.5</v>
      </c>
      <c r="I353">
        <v>48</v>
      </c>
      <c r="J353">
        <v>45.7</v>
      </c>
      <c r="K353">
        <v>47.5</v>
      </c>
      <c r="L353">
        <v>46.9</v>
      </c>
      <c r="M353">
        <v>1133.579956054688</v>
      </c>
      <c r="O353">
        <v>-4.0034901605050122E-3</v>
      </c>
      <c r="P353">
        <v>4.8735236716932872E-3</v>
      </c>
      <c r="Q353">
        <v>-1.5918049455029729E-2</v>
      </c>
    </row>
    <row r="354" spans="1:17" x14ac:dyDescent="0.2">
      <c r="A354" s="69">
        <v>37135</v>
      </c>
      <c r="B354">
        <v>50.8</v>
      </c>
      <c r="C354">
        <v>52.7</v>
      </c>
      <c r="D354">
        <v>48.5</v>
      </c>
      <c r="E354">
        <v>50.2</v>
      </c>
      <c r="F354">
        <v>49.7</v>
      </c>
      <c r="G354">
        <v>64</v>
      </c>
      <c r="H354">
        <v>44.5</v>
      </c>
      <c r="I354">
        <v>51</v>
      </c>
      <c r="J354">
        <v>46.4</v>
      </c>
      <c r="K354">
        <v>53.5</v>
      </c>
      <c r="L354">
        <v>49.5</v>
      </c>
      <c r="M354">
        <v>1040.93994140625</v>
      </c>
      <c r="O354">
        <v>-4.0034901605050122E-3</v>
      </c>
      <c r="P354">
        <v>4.8735236716932872E-3</v>
      </c>
      <c r="Q354">
        <v>-1.5918049455029729E-2</v>
      </c>
    </row>
    <row r="355" spans="1:17" x14ac:dyDescent="0.2">
      <c r="A355" s="69">
        <v>37165</v>
      </c>
      <c r="B355">
        <v>41.3</v>
      </c>
      <c r="C355">
        <v>50.7</v>
      </c>
      <c r="D355">
        <v>40.5</v>
      </c>
      <c r="E355">
        <v>43.4</v>
      </c>
      <c r="F355">
        <v>40.5</v>
      </c>
      <c r="G355">
        <v>68.5</v>
      </c>
      <c r="H355">
        <v>48</v>
      </c>
      <c r="I355">
        <v>53.5</v>
      </c>
      <c r="J355">
        <v>43.9</v>
      </c>
      <c r="K355">
        <v>44.5</v>
      </c>
      <c r="L355">
        <v>44.8</v>
      </c>
      <c r="M355">
        <v>1059.780029296875</v>
      </c>
      <c r="N355">
        <v>13284.880999999999</v>
      </c>
      <c r="O355">
        <v>2.7731435849645621E-3</v>
      </c>
      <c r="P355">
        <v>1.706422364229252E-3</v>
      </c>
      <c r="Q355">
        <v>1.113880165656167E-2</v>
      </c>
    </row>
    <row r="356" spans="1:17" x14ac:dyDescent="0.2">
      <c r="A356" s="69">
        <v>37196</v>
      </c>
      <c r="B356">
        <v>46.4</v>
      </c>
      <c r="C356">
        <v>51.6</v>
      </c>
      <c r="D356">
        <v>42</v>
      </c>
      <c r="E356">
        <v>41.3</v>
      </c>
      <c r="F356">
        <v>49.4</v>
      </c>
      <c r="G356">
        <v>67</v>
      </c>
      <c r="H356">
        <v>49.5</v>
      </c>
      <c r="I356">
        <v>52.5</v>
      </c>
      <c r="J356">
        <v>44.5</v>
      </c>
      <c r="K356">
        <v>48.5</v>
      </c>
      <c r="L356">
        <v>48.2</v>
      </c>
      <c r="M356">
        <v>1139.449951171875</v>
      </c>
      <c r="O356">
        <v>2.7731435849645621E-3</v>
      </c>
      <c r="P356">
        <v>1.706422364229252E-3</v>
      </c>
      <c r="Q356">
        <v>1.113880165656167E-2</v>
      </c>
    </row>
    <row r="357" spans="1:17" x14ac:dyDescent="0.2">
      <c r="A357" s="69">
        <v>37226</v>
      </c>
      <c r="B357">
        <v>49.9</v>
      </c>
      <c r="C357">
        <v>55.9</v>
      </c>
      <c r="D357">
        <v>46.5</v>
      </c>
      <c r="E357">
        <v>42.3</v>
      </c>
      <c r="F357">
        <v>50.7</v>
      </c>
      <c r="G357">
        <v>66.5</v>
      </c>
      <c r="H357">
        <v>48.5</v>
      </c>
      <c r="I357">
        <v>53.5</v>
      </c>
      <c r="J357">
        <v>44.6</v>
      </c>
      <c r="K357">
        <v>55</v>
      </c>
      <c r="L357">
        <v>49.7</v>
      </c>
      <c r="M357">
        <v>1148.079956054688</v>
      </c>
      <c r="O357">
        <v>2.7731435849645621E-3</v>
      </c>
      <c r="P357">
        <v>1.706422364229252E-3</v>
      </c>
      <c r="Q357">
        <v>1.113880165656167E-2</v>
      </c>
    </row>
    <row r="358" spans="1:17" x14ac:dyDescent="0.2">
      <c r="A358" s="69">
        <v>37257</v>
      </c>
      <c r="B358">
        <v>48.3</v>
      </c>
      <c r="C358">
        <v>55.3</v>
      </c>
      <c r="D358">
        <v>45.5</v>
      </c>
      <c r="E358">
        <v>48.8</v>
      </c>
      <c r="F358">
        <v>49.8</v>
      </c>
      <c r="G358">
        <v>64.5</v>
      </c>
      <c r="H358">
        <v>47.5</v>
      </c>
      <c r="I358">
        <v>53</v>
      </c>
      <c r="J358">
        <v>44.3</v>
      </c>
      <c r="K358">
        <v>56.5</v>
      </c>
      <c r="L358">
        <v>48.9</v>
      </c>
      <c r="M358">
        <v>1130.199951171875</v>
      </c>
      <c r="N358">
        <v>13394.91</v>
      </c>
      <c r="O358">
        <v>8.2822721558439595E-3</v>
      </c>
      <c r="P358">
        <v>1.3288120484284601E-2</v>
      </c>
      <c r="Q358">
        <v>3.354294204519781E-2</v>
      </c>
    </row>
    <row r="359" spans="1:17" x14ac:dyDescent="0.2">
      <c r="A359" s="69">
        <v>37288</v>
      </c>
      <c r="B359">
        <v>56.3</v>
      </c>
      <c r="C359">
        <v>54.3</v>
      </c>
      <c r="D359">
        <v>47.5</v>
      </c>
      <c r="E359">
        <v>47.6</v>
      </c>
      <c r="F359">
        <v>57.5</v>
      </c>
      <c r="G359">
        <v>66.5</v>
      </c>
      <c r="H359">
        <v>51.5</v>
      </c>
      <c r="I359">
        <v>53</v>
      </c>
      <c r="J359">
        <v>43.9</v>
      </c>
      <c r="K359">
        <v>52.5</v>
      </c>
      <c r="L359">
        <v>52.7</v>
      </c>
      <c r="M359">
        <v>1106.72998046875</v>
      </c>
      <c r="O359">
        <v>8.2822721558439595E-3</v>
      </c>
      <c r="P359">
        <v>1.3288120484284601E-2</v>
      </c>
      <c r="Q359">
        <v>3.354294204519781E-2</v>
      </c>
    </row>
    <row r="360" spans="1:17" x14ac:dyDescent="0.2">
      <c r="A360" s="69">
        <v>37316</v>
      </c>
      <c r="B360">
        <v>56.4</v>
      </c>
      <c r="C360">
        <v>48.9</v>
      </c>
      <c r="D360">
        <v>49.5</v>
      </c>
      <c r="E360">
        <v>49.2</v>
      </c>
      <c r="F360">
        <v>57.1</v>
      </c>
      <c r="G360">
        <v>65.5</v>
      </c>
      <c r="H360">
        <v>50</v>
      </c>
      <c r="I360">
        <v>52</v>
      </c>
      <c r="J360">
        <v>45.8</v>
      </c>
      <c r="K360">
        <v>49.5</v>
      </c>
      <c r="L360">
        <v>52.8</v>
      </c>
      <c r="M360">
        <v>1147.390014648438</v>
      </c>
      <c r="O360">
        <v>8.2822721558439595E-3</v>
      </c>
      <c r="P360">
        <v>1.3288120484284601E-2</v>
      </c>
      <c r="Q360">
        <v>3.354294204519781E-2</v>
      </c>
    </row>
    <row r="361" spans="1:17" x14ac:dyDescent="0.2">
      <c r="A361" s="69">
        <v>37347</v>
      </c>
      <c r="B361">
        <v>58.4</v>
      </c>
      <c r="C361">
        <v>56.2</v>
      </c>
      <c r="D361">
        <v>48.5</v>
      </c>
      <c r="E361">
        <v>53.7</v>
      </c>
      <c r="F361">
        <v>56.3</v>
      </c>
      <c r="G361">
        <v>63</v>
      </c>
      <c r="H361">
        <v>52.5</v>
      </c>
      <c r="I361">
        <v>51.5</v>
      </c>
      <c r="J361">
        <v>47.8</v>
      </c>
      <c r="K361">
        <v>52.5</v>
      </c>
      <c r="L361">
        <v>53.5</v>
      </c>
      <c r="M361">
        <v>1076.920043945312</v>
      </c>
      <c r="N361">
        <v>13477.356</v>
      </c>
      <c r="O361">
        <v>6.1550245578357683E-3</v>
      </c>
      <c r="P361">
        <v>1.322883902243626E-2</v>
      </c>
      <c r="Q361">
        <v>2.484833834627009E-2</v>
      </c>
    </row>
    <row r="362" spans="1:17" x14ac:dyDescent="0.2">
      <c r="A362" s="69">
        <v>37377</v>
      </c>
      <c r="B362">
        <v>57.3</v>
      </c>
      <c r="C362">
        <v>54</v>
      </c>
      <c r="D362">
        <v>53.5</v>
      </c>
      <c r="E362">
        <v>55.2</v>
      </c>
      <c r="F362">
        <v>60.5</v>
      </c>
      <c r="G362">
        <v>65</v>
      </c>
      <c r="H362">
        <v>48.5</v>
      </c>
      <c r="I362">
        <v>52</v>
      </c>
      <c r="J362">
        <v>49.2</v>
      </c>
      <c r="K362">
        <v>61.5</v>
      </c>
      <c r="L362">
        <v>54.8</v>
      </c>
      <c r="M362">
        <v>1067.140014648438</v>
      </c>
      <c r="O362">
        <v>6.1550245578357683E-3</v>
      </c>
      <c r="P362">
        <v>1.322883902243626E-2</v>
      </c>
      <c r="Q362">
        <v>2.484833834627009E-2</v>
      </c>
    </row>
    <row r="363" spans="1:17" x14ac:dyDescent="0.2">
      <c r="A363" s="69">
        <v>37408</v>
      </c>
      <c r="B363">
        <v>56.4</v>
      </c>
      <c r="C363">
        <v>55.2</v>
      </c>
      <c r="D363">
        <v>49</v>
      </c>
      <c r="E363">
        <v>53.1</v>
      </c>
      <c r="F363">
        <v>56.1</v>
      </c>
      <c r="G363">
        <v>66</v>
      </c>
      <c r="H363">
        <v>47.5</v>
      </c>
      <c r="I363">
        <v>53.5</v>
      </c>
      <c r="J363">
        <v>44</v>
      </c>
      <c r="K363">
        <v>57.5</v>
      </c>
      <c r="L363">
        <v>52.5</v>
      </c>
      <c r="M363">
        <v>989.82000732421875</v>
      </c>
      <c r="O363">
        <v>6.1550245578357683E-3</v>
      </c>
      <c r="P363">
        <v>1.322883902243626E-2</v>
      </c>
      <c r="Q363">
        <v>2.484833834627009E-2</v>
      </c>
    </row>
    <row r="364" spans="1:17" x14ac:dyDescent="0.2">
      <c r="A364" s="69">
        <v>37438</v>
      </c>
      <c r="B364">
        <v>50.7</v>
      </c>
      <c r="C364">
        <v>52.6</v>
      </c>
      <c r="D364">
        <v>43.5</v>
      </c>
      <c r="E364">
        <v>60.5</v>
      </c>
      <c r="F364">
        <v>52.1</v>
      </c>
      <c r="G364">
        <v>66</v>
      </c>
      <c r="H364">
        <v>52</v>
      </c>
      <c r="I364">
        <v>52.5</v>
      </c>
      <c r="J364">
        <v>46.1</v>
      </c>
      <c r="K364">
        <v>59.5</v>
      </c>
      <c r="L364">
        <v>50.4</v>
      </c>
      <c r="M364">
        <v>911.6199951171875</v>
      </c>
      <c r="N364">
        <v>13531.741</v>
      </c>
      <c r="O364">
        <v>4.0352870399802624E-3</v>
      </c>
      <c r="P364">
        <v>2.140669989799325E-2</v>
      </c>
      <c r="Q364">
        <v>1.6239112509100821E-2</v>
      </c>
    </row>
    <row r="365" spans="1:17" x14ac:dyDescent="0.2">
      <c r="A365" s="69">
        <v>37469</v>
      </c>
      <c r="B365">
        <v>51.6</v>
      </c>
      <c r="C365">
        <v>48.3</v>
      </c>
      <c r="D365">
        <v>48</v>
      </c>
      <c r="E365">
        <v>55.1</v>
      </c>
      <c r="F365">
        <v>51.9</v>
      </c>
      <c r="G365">
        <v>62</v>
      </c>
      <c r="H365">
        <v>46</v>
      </c>
      <c r="I365">
        <v>53</v>
      </c>
      <c r="J365">
        <v>47.2</v>
      </c>
      <c r="K365">
        <v>46</v>
      </c>
      <c r="L365">
        <v>50.9</v>
      </c>
      <c r="M365">
        <v>916.07000732421875</v>
      </c>
      <c r="O365">
        <v>4.0352870399802624E-3</v>
      </c>
      <c r="P365">
        <v>2.140669989799325E-2</v>
      </c>
      <c r="Q365">
        <v>1.6239112509100821E-2</v>
      </c>
    </row>
    <row r="366" spans="1:17" x14ac:dyDescent="0.2">
      <c r="A366" s="69">
        <v>37500</v>
      </c>
      <c r="B366">
        <v>54.8</v>
      </c>
      <c r="C366">
        <v>44.7</v>
      </c>
      <c r="D366">
        <v>51</v>
      </c>
      <c r="E366">
        <v>53.4</v>
      </c>
      <c r="F366">
        <v>54.9</v>
      </c>
      <c r="G366">
        <v>66</v>
      </c>
      <c r="H366">
        <v>44.5</v>
      </c>
      <c r="I366">
        <v>52.5</v>
      </c>
      <c r="J366">
        <v>47.1</v>
      </c>
      <c r="K366">
        <v>57.5</v>
      </c>
      <c r="L366">
        <v>52.3</v>
      </c>
      <c r="M366">
        <v>815.280029296875</v>
      </c>
      <c r="O366">
        <v>4.0352870399802624E-3</v>
      </c>
      <c r="P366">
        <v>2.140669989799325E-2</v>
      </c>
      <c r="Q366">
        <v>1.6239112509100821E-2</v>
      </c>
    </row>
    <row r="367" spans="1:17" x14ac:dyDescent="0.2">
      <c r="A367" s="69">
        <v>37530</v>
      </c>
      <c r="B367">
        <v>52.3</v>
      </c>
      <c r="C367">
        <v>54.9</v>
      </c>
      <c r="D367">
        <v>52</v>
      </c>
      <c r="E367">
        <v>56.1</v>
      </c>
      <c r="F367">
        <v>53.1</v>
      </c>
      <c r="G367">
        <v>64.5</v>
      </c>
      <c r="H367">
        <v>44</v>
      </c>
      <c r="I367">
        <v>53.5</v>
      </c>
      <c r="J367">
        <v>46.6</v>
      </c>
      <c r="K367">
        <v>49</v>
      </c>
      <c r="L367">
        <v>51.4</v>
      </c>
      <c r="M367">
        <v>885.760009765625</v>
      </c>
      <c r="N367">
        <v>13549.421</v>
      </c>
      <c r="O367">
        <v>1.306557670590968E-3</v>
      </c>
      <c r="P367">
        <v>1.9912861846485559E-2</v>
      </c>
      <c r="Q367">
        <v>5.2364821646193596E-3</v>
      </c>
    </row>
    <row r="368" spans="1:17" x14ac:dyDescent="0.2">
      <c r="A368" s="69">
        <v>37561</v>
      </c>
      <c r="B368">
        <v>56.4</v>
      </c>
      <c r="C368">
        <v>55.1</v>
      </c>
      <c r="D368">
        <v>50.5</v>
      </c>
      <c r="E368">
        <v>57.6</v>
      </c>
      <c r="F368">
        <v>56.8</v>
      </c>
      <c r="G368">
        <v>61</v>
      </c>
      <c r="H368">
        <v>44</v>
      </c>
      <c r="I368">
        <v>52.5</v>
      </c>
      <c r="J368">
        <v>46</v>
      </c>
      <c r="K368">
        <v>58.5</v>
      </c>
      <c r="L368">
        <v>52.9</v>
      </c>
      <c r="M368">
        <v>936.30999755859375</v>
      </c>
      <c r="O368">
        <v>1.306557670590968E-3</v>
      </c>
      <c r="P368">
        <v>1.9912861846485559E-2</v>
      </c>
      <c r="Q368">
        <v>5.2364821646193596E-3</v>
      </c>
    </row>
    <row r="369" spans="1:17" x14ac:dyDescent="0.2">
      <c r="A369" s="69">
        <v>37591</v>
      </c>
      <c r="B369">
        <v>54.2</v>
      </c>
      <c r="C369">
        <v>51.8</v>
      </c>
      <c r="D369">
        <v>51.5</v>
      </c>
      <c r="E369">
        <v>56.5</v>
      </c>
      <c r="F369">
        <v>55.5</v>
      </c>
      <c r="G369">
        <v>63</v>
      </c>
      <c r="H369">
        <v>45.5</v>
      </c>
      <c r="I369">
        <v>52.5</v>
      </c>
      <c r="J369">
        <v>47</v>
      </c>
      <c r="K369">
        <v>54</v>
      </c>
      <c r="L369">
        <v>52.3</v>
      </c>
      <c r="M369">
        <v>879.82000732421875</v>
      </c>
      <c r="O369">
        <v>1.306557670590968E-3</v>
      </c>
      <c r="P369">
        <v>1.9912861846485559E-2</v>
      </c>
      <c r="Q369">
        <v>5.2364821646193596E-3</v>
      </c>
    </row>
    <row r="370" spans="1:17" x14ac:dyDescent="0.2">
      <c r="A370" s="69">
        <v>37622</v>
      </c>
      <c r="B370">
        <v>54.4</v>
      </c>
      <c r="C370">
        <v>56.5</v>
      </c>
      <c r="D370">
        <v>48</v>
      </c>
      <c r="E370">
        <v>58</v>
      </c>
      <c r="F370">
        <v>56.2</v>
      </c>
      <c r="G370">
        <v>64.5</v>
      </c>
      <c r="H370">
        <v>46.5</v>
      </c>
      <c r="I370">
        <v>52</v>
      </c>
      <c r="J370">
        <v>50.5</v>
      </c>
      <c r="K370">
        <v>53</v>
      </c>
      <c r="L370">
        <v>53.3</v>
      </c>
      <c r="M370">
        <v>855.70001220703125</v>
      </c>
      <c r="N370">
        <v>13619.433999999999</v>
      </c>
      <c r="O370">
        <v>5.1672318691698346E-3</v>
      </c>
      <c r="P370">
        <v>1.676188940425874E-2</v>
      </c>
      <c r="Q370">
        <v>2.0829681766981079E-2</v>
      </c>
    </row>
    <row r="371" spans="1:17" x14ac:dyDescent="0.2">
      <c r="A371" s="69">
        <v>37653</v>
      </c>
      <c r="B371">
        <v>53.9</v>
      </c>
      <c r="C371">
        <v>51.5</v>
      </c>
      <c r="D371">
        <v>50</v>
      </c>
      <c r="E371">
        <v>60.5</v>
      </c>
      <c r="F371">
        <v>55.6</v>
      </c>
      <c r="G371">
        <v>66.5</v>
      </c>
      <c r="H371">
        <v>48.5</v>
      </c>
      <c r="I371">
        <v>52.5</v>
      </c>
      <c r="J371">
        <v>48.5</v>
      </c>
      <c r="K371">
        <v>58.5</v>
      </c>
      <c r="L371">
        <v>52.6</v>
      </c>
      <c r="M371">
        <v>841.1500244140625</v>
      </c>
      <c r="O371">
        <v>5.1672318691698346E-3</v>
      </c>
      <c r="P371">
        <v>1.676188940425874E-2</v>
      </c>
      <c r="Q371">
        <v>2.0829681766981079E-2</v>
      </c>
    </row>
    <row r="372" spans="1:17" x14ac:dyDescent="0.2">
      <c r="A372" s="69">
        <v>37681</v>
      </c>
      <c r="B372">
        <v>49.9</v>
      </c>
      <c r="C372">
        <v>55</v>
      </c>
      <c r="D372">
        <v>47.5</v>
      </c>
      <c r="E372">
        <v>59.4</v>
      </c>
      <c r="F372">
        <v>46.3</v>
      </c>
      <c r="G372">
        <v>66</v>
      </c>
      <c r="H372">
        <v>49.5</v>
      </c>
      <c r="I372">
        <v>52</v>
      </c>
      <c r="J372">
        <v>48.1</v>
      </c>
      <c r="K372">
        <v>48.5</v>
      </c>
      <c r="L372">
        <v>49.1</v>
      </c>
      <c r="M372">
        <v>848.17999267578125</v>
      </c>
      <c r="O372">
        <v>5.1672318691698346E-3</v>
      </c>
      <c r="P372">
        <v>1.676188940425874E-2</v>
      </c>
      <c r="Q372">
        <v>2.0829681766981079E-2</v>
      </c>
    </row>
    <row r="373" spans="1:17" x14ac:dyDescent="0.2">
      <c r="A373" s="69">
        <v>37712</v>
      </c>
      <c r="B373">
        <v>50.4</v>
      </c>
      <c r="C373">
        <v>50</v>
      </c>
      <c r="D373">
        <v>46</v>
      </c>
      <c r="E373">
        <v>55.7</v>
      </c>
      <c r="F373">
        <v>50.7</v>
      </c>
      <c r="G373">
        <v>62.5</v>
      </c>
      <c r="H373">
        <v>51</v>
      </c>
      <c r="I373">
        <v>50.5</v>
      </c>
      <c r="J373">
        <v>48.7</v>
      </c>
      <c r="K373">
        <v>52.5</v>
      </c>
      <c r="L373">
        <v>50.1</v>
      </c>
      <c r="M373">
        <v>916.91998291015625</v>
      </c>
      <c r="N373">
        <v>13741.107</v>
      </c>
      <c r="O373">
        <v>8.9337780116266717E-3</v>
      </c>
      <c r="P373">
        <v>1.9569936417795909E-2</v>
      </c>
      <c r="Q373">
        <v>3.621684485857446E-2</v>
      </c>
    </row>
    <row r="374" spans="1:17" x14ac:dyDescent="0.2">
      <c r="A374" s="69">
        <v>37742</v>
      </c>
      <c r="B374">
        <v>55.9</v>
      </c>
      <c r="C374">
        <v>58.5</v>
      </c>
      <c r="D374">
        <v>51</v>
      </c>
      <c r="E374">
        <v>50</v>
      </c>
      <c r="F374">
        <v>54.6</v>
      </c>
      <c r="G374">
        <v>63</v>
      </c>
      <c r="H374">
        <v>52.5</v>
      </c>
      <c r="I374">
        <v>52</v>
      </c>
      <c r="J374">
        <v>48.5</v>
      </c>
      <c r="K374">
        <v>49</v>
      </c>
      <c r="L374">
        <v>52.8</v>
      </c>
      <c r="M374">
        <v>963.59002685546875</v>
      </c>
      <c r="O374">
        <v>8.9337780116266717E-3</v>
      </c>
      <c r="P374">
        <v>1.9569936417795909E-2</v>
      </c>
      <c r="Q374">
        <v>3.621684485857446E-2</v>
      </c>
    </row>
    <row r="375" spans="1:17" x14ac:dyDescent="0.2">
      <c r="A375" s="69">
        <v>37773</v>
      </c>
      <c r="B375">
        <v>57.1</v>
      </c>
      <c r="C375">
        <v>50.5</v>
      </c>
      <c r="D375">
        <v>51.5</v>
      </c>
      <c r="E375">
        <v>52.3</v>
      </c>
      <c r="F375">
        <v>59.2</v>
      </c>
      <c r="G375">
        <v>62</v>
      </c>
      <c r="H375">
        <v>47</v>
      </c>
      <c r="I375">
        <v>51.5</v>
      </c>
      <c r="J375">
        <v>49.3</v>
      </c>
      <c r="K375">
        <v>49.5</v>
      </c>
      <c r="L375">
        <v>54.3</v>
      </c>
      <c r="M375">
        <v>974.5</v>
      </c>
      <c r="O375">
        <v>8.9337780116266717E-3</v>
      </c>
      <c r="P375">
        <v>1.9569936417795909E-2</v>
      </c>
      <c r="Q375">
        <v>3.621684485857446E-2</v>
      </c>
    </row>
    <row r="376" spans="1:17" x14ac:dyDescent="0.2">
      <c r="A376" s="69">
        <v>37803</v>
      </c>
      <c r="B376">
        <v>62.3</v>
      </c>
      <c r="C376">
        <v>54</v>
      </c>
      <c r="D376">
        <v>54.5</v>
      </c>
      <c r="E376">
        <v>51.4</v>
      </c>
      <c r="F376">
        <v>62.7</v>
      </c>
      <c r="G376">
        <v>60</v>
      </c>
      <c r="H376">
        <v>49.5</v>
      </c>
      <c r="I376">
        <v>53.5</v>
      </c>
      <c r="J376">
        <v>50.5</v>
      </c>
      <c r="K376">
        <v>47.5</v>
      </c>
      <c r="L376">
        <v>57.3</v>
      </c>
      <c r="M376">
        <v>990.30999755859375</v>
      </c>
      <c r="N376">
        <v>13970.156999999999</v>
      </c>
      <c r="O376">
        <v>1.666896269711016E-2</v>
      </c>
      <c r="P376">
        <v>3.2399083015260143E-2</v>
      </c>
      <c r="Q376">
        <v>6.8361580068855954E-2</v>
      </c>
    </row>
    <row r="377" spans="1:17" x14ac:dyDescent="0.2">
      <c r="A377" s="69">
        <v>37834</v>
      </c>
      <c r="B377">
        <v>66.900000000000006</v>
      </c>
      <c r="C377">
        <v>60</v>
      </c>
      <c r="D377">
        <v>51.5</v>
      </c>
      <c r="E377">
        <v>56.1</v>
      </c>
      <c r="F377">
        <v>65.099999999999994</v>
      </c>
      <c r="G377">
        <v>62</v>
      </c>
      <c r="H377">
        <v>49</v>
      </c>
      <c r="I377">
        <v>52.5</v>
      </c>
      <c r="J377">
        <v>51.7</v>
      </c>
      <c r="K377">
        <v>58.5</v>
      </c>
      <c r="L377">
        <v>59.1</v>
      </c>
      <c r="M377">
        <v>1008.010009765625</v>
      </c>
      <c r="O377">
        <v>1.666896269711016E-2</v>
      </c>
      <c r="P377">
        <v>3.2399083015260143E-2</v>
      </c>
      <c r="Q377">
        <v>6.8361580068855954E-2</v>
      </c>
    </row>
    <row r="378" spans="1:17" x14ac:dyDescent="0.2">
      <c r="A378" s="69">
        <v>37865</v>
      </c>
      <c r="B378">
        <v>61.4</v>
      </c>
      <c r="C378">
        <v>55</v>
      </c>
      <c r="D378">
        <v>57</v>
      </c>
      <c r="E378">
        <v>59.5</v>
      </c>
      <c r="F378">
        <v>63.8</v>
      </c>
      <c r="G378">
        <v>60.5</v>
      </c>
      <c r="H378">
        <v>47.5</v>
      </c>
      <c r="I378">
        <v>55</v>
      </c>
      <c r="J378">
        <v>50.1</v>
      </c>
      <c r="K378">
        <v>56</v>
      </c>
      <c r="L378">
        <v>57.6</v>
      </c>
      <c r="M378">
        <v>995.969970703125</v>
      </c>
      <c r="O378">
        <v>1.666896269711016E-2</v>
      </c>
      <c r="P378">
        <v>3.2399083015260143E-2</v>
      </c>
      <c r="Q378">
        <v>6.8361580068855954E-2</v>
      </c>
    </row>
    <row r="379" spans="1:17" x14ac:dyDescent="0.2">
      <c r="A379" s="69">
        <v>37895</v>
      </c>
      <c r="B379">
        <v>64.2</v>
      </c>
      <c r="C379">
        <v>56</v>
      </c>
      <c r="D379">
        <v>54</v>
      </c>
      <c r="E379">
        <v>57.2</v>
      </c>
      <c r="F379">
        <v>64.400000000000006</v>
      </c>
      <c r="G379">
        <v>60</v>
      </c>
      <c r="H379">
        <v>49</v>
      </c>
      <c r="I379">
        <v>53</v>
      </c>
      <c r="J379">
        <v>53</v>
      </c>
      <c r="K379">
        <v>58</v>
      </c>
      <c r="L379">
        <v>58.7</v>
      </c>
      <c r="M379">
        <v>1050.7099609375</v>
      </c>
      <c r="N379">
        <v>14131.379000000001</v>
      </c>
      <c r="O379">
        <v>1.154045727617818E-2</v>
      </c>
      <c r="P379">
        <v>4.2950765202439317E-2</v>
      </c>
      <c r="Q379">
        <v>4.6967087698897902E-2</v>
      </c>
    </row>
    <row r="380" spans="1:17" x14ac:dyDescent="0.2">
      <c r="A380" s="69">
        <v>37926</v>
      </c>
      <c r="B380">
        <v>61.3</v>
      </c>
      <c r="C380">
        <v>57.5</v>
      </c>
      <c r="D380">
        <v>52.5</v>
      </c>
      <c r="E380">
        <v>58.5</v>
      </c>
      <c r="F380">
        <v>61.1</v>
      </c>
      <c r="G380">
        <v>62</v>
      </c>
      <c r="H380">
        <v>51</v>
      </c>
      <c r="I380">
        <v>53</v>
      </c>
      <c r="J380">
        <v>54.4</v>
      </c>
      <c r="K380">
        <v>54.5</v>
      </c>
      <c r="L380">
        <v>57.5</v>
      </c>
      <c r="M380">
        <v>1058.199951171875</v>
      </c>
      <c r="O380">
        <v>1.154045727617818E-2</v>
      </c>
      <c r="P380">
        <v>4.2950765202439317E-2</v>
      </c>
      <c r="Q380">
        <v>4.6967087698897902E-2</v>
      </c>
    </row>
    <row r="381" spans="1:17" x14ac:dyDescent="0.2">
      <c r="A381" s="69">
        <v>37956</v>
      </c>
      <c r="B381">
        <v>61.2</v>
      </c>
      <c r="C381">
        <v>57</v>
      </c>
      <c r="D381">
        <v>55.5</v>
      </c>
      <c r="E381">
        <v>61.1</v>
      </c>
      <c r="F381">
        <v>60</v>
      </c>
      <c r="G381">
        <v>62</v>
      </c>
      <c r="H381">
        <v>51.5</v>
      </c>
      <c r="I381">
        <v>52</v>
      </c>
      <c r="J381">
        <v>54</v>
      </c>
      <c r="K381">
        <v>57.5</v>
      </c>
      <c r="L381">
        <v>56.8</v>
      </c>
      <c r="M381">
        <v>1111.920043945312</v>
      </c>
      <c r="O381">
        <v>1.154045727617818E-2</v>
      </c>
      <c r="P381">
        <v>4.2950765202439317E-2</v>
      </c>
      <c r="Q381">
        <v>4.6967087698897902E-2</v>
      </c>
    </row>
    <row r="382" spans="1:17" x14ac:dyDescent="0.2">
      <c r="A382" s="69">
        <v>37987</v>
      </c>
      <c r="B382">
        <v>65.400000000000006</v>
      </c>
      <c r="C382">
        <v>54.5</v>
      </c>
      <c r="D382">
        <v>53.5</v>
      </c>
      <c r="E382">
        <v>62.2</v>
      </c>
      <c r="F382">
        <v>67.7</v>
      </c>
      <c r="G382">
        <v>59</v>
      </c>
      <c r="H382">
        <v>49.5</v>
      </c>
      <c r="I382">
        <v>56.5</v>
      </c>
      <c r="J382">
        <v>55.143160127252997</v>
      </c>
      <c r="K382">
        <v>51</v>
      </c>
      <c r="L382">
        <v>61.2</v>
      </c>
      <c r="M382">
        <v>1131.130004882812</v>
      </c>
      <c r="N382">
        <v>14212.34</v>
      </c>
      <c r="O382">
        <v>5.7291648606975533E-3</v>
      </c>
      <c r="P382">
        <v>4.3533820862159241E-2</v>
      </c>
      <c r="Q382">
        <v>2.3114352701243179E-2</v>
      </c>
    </row>
    <row r="383" spans="1:17" x14ac:dyDescent="0.2">
      <c r="A383" s="69">
        <v>38018</v>
      </c>
      <c r="B383">
        <v>61.2</v>
      </c>
      <c r="C383">
        <v>58.5</v>
      </c>
      <c r="D383">
        <v>53</v>
      </c>
      <c r="E383">
        <v>59.5</v>
      </c>
      <c r="F383">
        <v>62.5</v>
      </c>
      <c r="G383">
        <v>58</v>
      </c>
      <c r="H383">
        <v>49</v>
      </c>
      <c r="I383">
        <v>55.5</v>
      </c>
      <c r="J383">
        <v>52.904564315352999</v>
      </c>
      <c r="K383">
        <v>55.5</v>
      </c>
      <c r="L383">
        <v>58</v>
      </c>
      <c r="M383">
        <v>1144.93994140625</v>
      </c>
      <c r="O383">
        <v>5.7291648606975533E-3</v>
      </c>
      <c r="P383">
        <v>4.3533820862159241E-2</v>
      </c>
      <c r="Q383">
        <v>2.3114352701243179E-2</v>
      </c>
    </row>
    <row r="384" spans="1:17" x14ac:dyDescent="0.2">
      <c r="A384" s="69">
        <v>38047</v>
      </c>
      <c r="B384">
        <v>62.1</v>
      </c>
      <c r="C384">
        <v>60.5</v>
      </c>
      <c r="D384">
        <v>52.5</v>
      </c>
      <c r="E384">
        <v>65</v>
      </c>
      <c r="F384">
        <v>62.3</v>
      </c>
      <c r="G384">
        <v>60.5</v>
      </c>
      <c r="H384">
        <v>51.5</v>
      </c>
      <c r="I384">
        <v>55</v>
      </c>
      <c r="J384">
        <v>53.800592300098998</v>
      </c>
      <c r="K384">
        <v>51.5</v>
      </c>
      <c r="L384">
        <v>58.3</v>
      </c>
      <c r="M384">
        <v>1126.2099609375</v>
      </c>
      <c r="O384">
        <v>5.7291648606975533E-3</v>
      </c>
      <c r="P384">
        <v>4.3533820862159241E-2</v>
      </c>
      <c r="Q384">
        <v>2.3114352701243179E-2</v>
      </c>
    </row>
    <row r="385" spans="1:17" x14ac:dyDescent="0.2">
      <c r="A385" s="69">
        <v>38078</v>
      </c>
      <c r="B385">
        <v>61.6</v>
      </c>
      <c r="C385">
        <v>60.5</v>
      </c>
      <c r="D385">
        <v>53.5</v>
      </c>
      <c r="E385">
        <v>68.599999999999994</v>
      </c>
      <c r="F385">
        <v>64</v>
      </c>
      <c r="G385">
        <v>58</v>
      </c>
      <c r="H385">
        <v>56.5</v>
      </c>
      <c r="I385">
        <v>58</v>
      </c>
      <c r="J385">
        <v>54.6875</v>
      </c>
      <c r="K385">
        <v>62</v>
      </c>
      <c r="L385">
        <v>59.6</v>
      </c>
      <c r="M385">
        <v>1107.300048828125</v>
      </c>
      <c r="N385">
        <v>14323.017</v>
      </c>
      <c r="O385">
        <v>7.7873875800888301E-3</v>
      </c>
      <c r="P385">
        <v>4.2348116494544417E-2</v>
      </c>
      <c r="Q385">
        <v>3.1515303444719089E-2</v>
      </c>
    </row>
    <row r="386" spans="1:17" x14ac:dyDescent="0.2">
      <c r="A386" s="69">
        <v>38108</v>
      </c>
      <c r="B386">
        <v>60.7</v>
      </c>
      <c r="C386">
        <v>59.5</v>
      </c>
      <c r="D386">
        <v>56.5</v>
      </c>
      <c r="E386">
        <v>71</v>
      </c>
      <c r="F386">
        <v>62.6</v>
      </c>
      <c r="G386">
        <v>60</v>
      </c>
      <c r="H386">
        <v>54</v>
      </c>
      <c r="I386">
        <v>56</v>
      </c>
      <c r="J386">
        <v>54.545454545455001</v>
      </c>
      <c r="K386">
        <v>52</v>
      </c>
      <c r="L386">
        <v>58.5</v>
      </c>
      <c r="M386">
        <v>1120.680053710938</v>
      </c>
      <c r="O386">
        <v>7.7873875800888301E-3</v>
      </c>
      <c r="P386">
        <v>4.2348116494544417E-2</v>
      </c>
      <c r="Q386">
        <v>3.1515303444719089E-2</v>
      </c>
    </row>
    <row r="387" spans="1:17" x14ac:dyDescent="0.2">
      <c r="A387" s="69">
        <v>38139</v>
      </c>
      <c r="B387">
        <v>62.1</v>
      </c>
      <c r="C387">
        <v>56.5</v>
      </c>
      <c r="D387">
        <v>55.5</v>
      </c>
      <c r="E387">
        <v>74.2</v>
      </c>
      <c r="F387">
        <v>59.2</v>
      </c>
      <c r="G387">
        <v>60.5</v>
      </c>
      <c r="H387">
        <v>57.5</v>
      </c>
      <c r="I387">
        <v>57.5</v>
      </c>
      <c r="J387">
        <v>55.555555555555998</v>
      </c>
      <c r="K387">
        <v>59.5</v>
      </c>
      <c r="L387">
        <v>58.6</v>
      </c>
      <c r="M387">
        <v>1140.839965820312</v>
      </c>
      <c r="O387">
        <v>7.7873875800888301E-3</v>
      </c>
      <c r="P387">
        <v>4.2348116494544417E-2</v>
      </c>
      <c r="Q387">
        <v>3.1515303444719089E-2</v>
      </c>
    </row>
    <row r="388" spans="1:17" x14ac:dyDescent="0.2">
      <c r="A388" s="69">
        <v>38169</v>
      </c>
      <c r="B388">
        <v>63.2</v>
      </c>
      <c r="C388">
        <v>60.5</v>
      </c>
      <c r="D388">
        <v>55</v>
      </c>
      <c r="E388">
        <v>71.900000000000006</v>
      </c>
      <c r="F388">
        <v>63.2</v>
      </c>
      <c r="G388">
        <v>64</v>
      </c>
      <c r="H388">
        <v>54</v>
      </c>
      <c r="I388">
        <v>58</v>
      </c>
      <c r="J388">
        <v>49.665711556829002</v>
      </c>
      <c r="K388">
        <v>55.5</v>
      </c>
      <c r="L388">
        <v>58.5</v>
      </c>
      <c r="M388">
        <v>1101.719970703125</v>
      </c>
      <c r="N388">
        <v>14457.832</v>
      </c>
      <c r="O388">
        <v>9.4124722465944513E-3</v>
      </c>
      <c r="P388">
        <v>3.4908340686507763E-2</v>
      </c>
      <c r="Q388">
        <v>3.8184800216271693E-2</v>
      </c>
    </row>
    <row r="389" spans="1:17" x14ac:dyDescent="0.2">
      <c r="A389" s="69">
        <v>38200</v>
      </c>
      <c r="B389">
        <v>59</v>
      </c>
      <c r="C389">
        <v>63.5</v>
      </c>
      <c r="D389">
        <v>53</v>
      </c>
      <c r="E389">
        <v>70.900000000000006</v>
      </c>
      <c r="F389">
        <v>59.7</v>
      </c>
      <c r="G389">
        <v>62.5</v>
      </c>
      <c r="H389">
        <v>53</v>
      </c>
      <c r="I389">
        <v>57</v>
      </c>
      <c r="J389">
        <v>53.516819571865</v>
      </c>
      <c r="K389">
        <v>55</v>
      </c>
      <c r="L389">
        <v>57.3</v>
      </c>
      <c r="M389">
        <v>1104.239990234375</v>
      </c>
      <c r="O389">
        <v>9.4124722465944513E-3</v>
      </c>
      <c r="P389">
        <v>3.4908340686507763E-2</v>
      </c>
      <c r="Q389">
        <v>3.8184800216271693E-2</v>
      </c>
    </row>
    <row r="390" spans="1:17" x14ac:dyDescent="0.2">
      <c r="A390" s="69">
        <v>38231</v>
      </c>
      <c r="B390">
        <v>60.6</v>
      </c>
      <c r="C390">
        <v>56</v>
      </c>
      <c r="D390">
        <v>52.5</v>
      </c>
      <c r="E390">
        <v>67</v>
      </c>
      <c r="F390">
        <v>60</v>
      </c>
      <c r="G390">
        <v>61.5</v>
      </c>
      <c r="H390">
        <v>51.5</v>
      </c>
      <c r="I390">
        <v>55.5</v>
      </c>
      <c r="J390">
        <v>55.325749741468002</v>
      </c>
      <c r="K390">
        <v>55.5</v>
      </c>
      <c r="L390">
        <v>57.9</v>
      </c>
      <c r="M390">
        <v>1114.579956054688</v>
      </c>
      <c r="O390">
        <v>9.4124722465944513E-3</v>
      </c>
      <c r="P390">
        <v>3.4908340686507763E-2</v>
      </c>
      <c r="Q390">
        <v>3.8184800216271693E-2</v>
      </c>
    </row>
    <row r="391" spans="1:17" x14ac:dyDescent="0.2">
      <c r="A391" s="69">
        <v>38261</v>
      </c>
      <c r="B391">
        <v>61.7</v>
      </c>
      <c r="C391">
        <v>57.5</v>
      </c>
      <c r="D391">
        <v>52.5</v>
      </c>
      <c r="E391">
        <v>72.8</v>
      </c>
      <c r="F391">
        <v>61</v>
      </c>
      <c r="G391">
        <v>60.5</v>
      </c>
      <c r="H391">
        <v>50</v>
      </c>
      <c r="I391">
        <v>56</v>
      </c>
      <c r="J391">
        <v>56.476683937823999</v>
      </c>
      <c r="K391">
        <v>55</v>
      </c>
      <c r="L391">
        <v>58.8</v>
      </c>
      <c r="M391">
        <v>1130.199951171875</v>
      </c>
      <c r="N391">
        <v>14605.594999999999</v>
      </c>
      <c r="O391">
        <v>1.0220273689720489E-2</v>
      </c>
      <c r="P391">
        <v>3.3557659164048917E-2</v>
      </c>
      <c r="Q391">
        <v>4.1512099828914462E-2</v>
      </c>
    </row>
    <row r="392" spans="1:17" x14ac:dyDescent="0.2">
      <c r="A392" s="69">
        <v>38292</v>
      </c>
      <c r="B392">
        <v>61.1</v>
      </c>
      <c r="C392">
        <v>62</v>
      </c>
      <c r="D392">
        <v>54</v>
      </c>
      <c r="E392">
        <v>70.599999999999994</v>
      </c>
      <c r="F392">
        <v>62.8</v>
      </c>
      <c r="G392">
        <v>61.5</v>
      </c>
      <c r="H392">
        <v>52.5</v>
      </c>
      <c r="I392">
        <v>55</v>
      </c>
      <c r="J392">
        <v>54.835493519441997</v>
      </c>
      <c r="K392">
        <v>53.5</v>
      </c>
      <c r="L392">
        <v>58.4</v>
      </c>
      <c r="M392">
        <v>1173.819946289062</v>
      </c>
      <c r="O392">
        <v>1.0220273689720489E-2</v>
      </c>
      <c r="P392">
        <v>3.3557659164048917E-2</v>
      </c>
      <c r="Q392">
        <v>4.1512099828914462E-2</v>
      </c>
    </row>
    <row r="393" spans="1:17" x14ac:dyDescent="0.2">
      <c r="A393" s="69">
        <v>38322</v>
      </c>
      <c r="B393">
        <v>63.2</v>
      </c>
      <c r="C393">
        <v>61</v>
      </c>
      <c r="D393">
        <v>56.5</v>
      </c>
      <c r="E393">
        <v>71.3</v>
      </c>
      <c r="F393">
        <v>65</v>
      </c>
      <c r="G393">
        <v>64</v>
      </c>
      <c r="H393">
        <v>56</v>
      </c>
      <c r="I393">
        <v>55.5</v>
      </c>
      <c r="J393">
        <v>54.711246200608002</v>
      </c>
      <c r="K393">
        <v>55.5</v>
      </c>
      <c r="L393">
        <v>59.6</v>
      </c>
      <c r="M393">
        <v>1211.920043945312</v>
      </c>
      <c r="O393">
        <v>1.0220273689720489E-2</v>
      </c>
      <c r="P393">
        <v>3.3557659164048917E-2</v>
      </c>
      <c r="Q393">
        <v>4.1512099828914462E-2</v>
      </c>
    </row>
    <row r="394" spans="1:17" x14ac:dyDescent="0.2">
      <c r="A394" s="69">
        <v>38353</v>
      </c>
      <c r="B394">
        <v>62.4</v>
      </c>
      <c r="C394">
        <v>53</v>
      </c>
      <c r="D394">
        <v>48</v>
      </c>
      <c r="E394">
        <v>69.099999999999994</v>
      </c>
      <c r="F394">
        <v>62.5</v>
      </c>
      <c r="G394">
        <v>64.5</v>
      </c>
      <c r="H394">
        <v>49.5</v>
      </c>
      <c r="I394">
        <v>52.5</v>
      </c>
      <c r="J394">
        <v>54.6</v>
      </c>
      <c r="K394">
        <v>52.5</v>
      </c>
      <c r="L394">
        <v>58</v>
      </c>
      <c r="M394">
        <v>1181.27001953125</v>
      </c>
      <c r="N394">
        <v>14767.846</v>
      </c>
      <c r="O394">
        <v>1.110882507696538E-2</v>
      </c>
      <c r="P394">
        <v>3.9086174408999461E-2</v>
      </c>
      <c r="Q394">
        <v>4.5181235086873883E-2</v>
      </c>
    </row>
    <row r="395" spans="1:17" x14ac:dyDescent="0.2">
      <c r="A395" s="69">
        <v>38384</v>
      </c>
      <c r="B395">
        <v>63.3</v>
      </c>
      <c r="C395">
        <v>57.5</v>
      </c>
      <c r="D395">
        <v>51.5</v>
      </c>
      <c r="E395">
        <v>69.7</v>
      </c>
      <c r="F395">
        <v>61.9</v>
      </c>
      <c r="G395">
        <v>64.5</v>
      </c>
      <c r="H395">
        <v>52</v>
      </c>
      <c r="I395">
        <v>52.5</v>
      </c>
      <c r="J395">
        <v>59.7</v>
      </c>
      <c r="K395">
        <v>56</v>
      </c>
      <c r="L395">
        <v>59.4</v>
      </c>
      <c r="M395">
        <v>1203.599975585938</v>
      </c>
      <c r="O395">
        <v>1.110882507696538E-2</v>
      </c>
      <c r="P395">
        <v>3.9086174408999461E-2</v>
      </c>
      <c r="Q395">
        <v>4.5181235086873883E-2</v>
      </c>
    </row>
    <row r="396" spans="1:17" x14ac:dyDescent="0.2">
      <c r="A396" s="69">
        <v>38412</v>
      </c>
      <c r="B396">
        <v>60.5</v>
      </c>
      <c r="C396">
        <v>59</v>
      </c>
      <c r="D396">
        <v>56.5</v>
      </c>
      <c r="E396">
        <v>65.599999999999994</v>
      </c>
      <c r="F396">
        <v>61.3</v>
      </c>
      <c r="G396">
        <v>64.5</v>
      </c>
      <c r="H396">
        <v>52.5</v>
      </c>
      <c r="I396">
        <v>53</v>
      </c>
      <c r="J396">
        <v>57.2</v>
      </c>
      <c r="K396">
        <v>51.5</v>
      </c>
      <c r="L396">
        <v>58</v>
      </c>
      <c r="M396">
        <v>1180.589965820312</v>
      </c>
      <c r="O396">
        <v>1.110882507696538E-2</v>
      </c>
      <c r="P396">
        <v>3.9086174408999461E-2</v>
      </c>
      <c r="Q396">
        <v>4.5181235086873883E-2</v>
      </c>
    </row>
    <row r="397" spans="1:17" x14ac:dyDescent="0.2">
      <c r="A397" s="69">
        <v>38443</v>
      </c>
      <c r="B397">
        <v>57.5</v>
      </c>
      <c r="C397">
        <v>58.5</v>
      </c>
      <c r="D397">
        <v>54</v>
      </c>
      <c r="E397">
        <v>62.4</v>
      </c>
      <c r="F397">
        <v>58.6</v>
      </c>
      <c r="G397">
        <v>60.5</v>
      </c>
      <c r="H397">
        <v>54.5</v>
      </c>
      <c r="I397">
        <v>53</v>
      </c>
      <c r="J397">
        <v>53.3</v>
      </c>
      <c r="K397">
        <v>52.5</v>
      </c>
      <c r="L397">
        <v>55.6</v>
      </c>
      <c r="M397">
        <v>1156.849975585938</v>
      </c>
      <c r="N397">
        <v>14839.707</v>
      </c>
      <c r="O397">
        <v>4.8660447840531912E-3</v>
      </c>
      <c r="P397">
        <v>3.6074103661260792E-2</v>
      </c>
      <c r="Q397">
        <v>1.9606710928381729E-2</v>
      </c>
    </row>
    <row r="398" spans="1:17" x14ac:dyDescent="0.2">
      <c r="A398" s="69">
        <v>38473</v>
      </c>
      <c r="B398">
        <v>58.2</v>
      </c>
      <c r="C398">
        <v>57.5</v>
      </c>
      <c r="D398">
        <v>56.5</v>
      </c>
      <c r="E398">
        <v>57.6</v>
      </c>
      <c r="F398">
        <v>57.5</v>
      </c>
      <c r="G398">
        <v>63</v>
      </c>
      <c r="H398">
        <v>51.5</v>
      </c>
      <c r="I398">
        <v>53.5</v>
      </c>
      <c r="J398">
        <v>51.8</v>
      </c>
      <c r="K398">
        <v>62</v>
      </c>
      <c r="L398">
        <v>55.3</v>
      </c>
      <c r="M398">
        <v>1191.5</v>
      </c>
      <c r="O398">
        <v>4.8660447840531912E-3</v>
      </c>
      <c r="P398">
        <v>3.6074103661260792E-2</v>
      </c>
      <c r="Q398">
        <v>1.9606710928381729E-2</v>
      </c>
    </row>
    <row r="399" spans="1:17" x14ac:dyDescent="0.2">
      <c r="A399" s="69">
        <v>38504</v>
      </c>
      <c r="B399">
        <v>59.2</v>
      </c>
      <c r="C399">
        <v>58.5</v>
      </c>
      <c r="D399">
        <v>52.5</v>
      </c>
      <c r="E399">
        <v>58.4</v>
      </c>
      <c r="F399">
        <v>60.7</v>
      </c>
      <c r="G399">
        <v>64.5</v>
      </c>
      <c r="H399">
        <v>52</v>
      </c>
      <c r="I399">
        <v>56.5</v>
      </c>
      <c r="J399">
        <v>55.8</v>
      </c>
      <c r="K399">
        <v>50</v>
      </c>
      <c r="L399">
        <v>58.1</v>
      </c>
      <c r="M399">
        <v>1191.329956054688</v>
      </c>
      <c r="O399">
        <v>4.8660447840531912E-3</v>
      </c>
      <c r="P399">
        <v>3.6074103661260792E-2</v>
      </c>
      <c r="Q399">
        <v>1.9606710928381729E-2</v>
      </c>
    </row>
    <row r="400" spans="1:17" x14ac:dyDescent="0.2">
      <c r="A400" s="69">
        <v>38534</v>
      </c>
      <c r="B400">
        <v>64.400000000000006</v>
      </c>
      <c r="C400">
        <v>62</v>
      </c>
      <c r="D400">
        <v>53.5</v>
      </c>
      <c r="E400">
        <v>65.8</v>
      </c>
      <c r="F400">
        <v>61.3</v>
      </c>
      <c r="G400">
        <v>64</v>
      </c>
      <c r="H400">
        <v>52.5</v>
      </c>
      <c r="I400">
        <v>57</v>
      </c>
      <c r="J400">
        <v>55.1</v>
      </c>
      <c r="K400">
        <v>53.5</v>
      </c>
      <c r="L400">
        <v>59.5</v>
      </c>
      <c r="M400">
        <v>1234.180053710938</v>
      </c>
      <c r="N400">
        <v>14956.290999999999</v>
      </c>
      <c r="O400">
        <v>7.8562198027224469E-3</v>
      </c>
      <c r="P400">
        <v>3.4476745891085119E-2</v>
      </c>
      <c r="Q400">
        <v>3.1797143707306803E-2</v>
      </c>
    </row>
    <row r="401" spans="1:17" x14ac:dyDescent="0.2">
      <c r="A401" s="69">
        <v>38565</v>
      </c>
      <c r="B401">
        <v>65.3</v>
      </c>
      <c r="C401">
        <v>61.5</v>
      </c>
      <c r="D401">
        <v>52</v>
      </c>
      <c r="E401">
        <v>66.099999999999994</v>
      </c>
      <c r="F401">
        <v>64.8</v>
      </c>
      <c r="G401">
        <v>67</v>
      </c>
      <c r="H401">
        <v>53.5</v>
      </c>
      <c r="I401">
        <v>55</v>
      </c>
      <c r="J401">
        <v>60.2</v>
      </c>
      <c r="K401">
        <v>63.5</v>
      </c>
      <c r="L401">
        <v>61.3</v>
      </c>
      <c r="M401">
        <v>1220.329956054688</v>
      </c>
      <c r="O401">
        <v>7.8562198027224469E-3</v>
      </c>
      <c r="P401">
        <v>3.4476745891085119E-2</v>
      </c>
      <c r="Q401">
        <v>3.1797143707306803E-2</v>
      </c>
    </row>
    <row r="402" spans="1:17" x14ac:dyDescent="0.2">
      <c r="A402" s="69">
        <v>38596</v>
      </c>
      <c r="B402">
        <v>56.2</v>
      </c>
      <c r="C402">
        <v>58.5</v>
      </c>
      <c r="D402">
        <v>52</v>
      </c>
      <c r="E402">
        <v>83.5</v>
      </c>
      <c r="F402">
        <v>55.2</v>
      </c>
      <c r="G402">
        <v>64</v>
      </c>
      <c r="H402">
        <v>50</v>
      </c>
      <c r="I402">
        <v>56</v>
      </c>
      <c r="J402">
        <v>55.4</v>
      </c>
      <c r="K402">
        <v>55</v>
      </c>
      <c r="L402">
        <v>55.7</v>
      </c>
      <c r="M402">
        <v>1228.81005859375</v>
      </c>
      <c r="O402">
        <v>7.8562198027224469E-3</v>
      </c>
      <c r="P402">
        <v>3.4476745891085119E-2</v>
      </c>
      <c r="Q402">
        <v>3.1797143707306803E-2</v>
      </c>
    </row>
    <row r="403" spans="1:17" x14ac:dyDescent="0.2">
      <c r="A403" s="69">
        <v>38626</v>
      </c>
      <c r="B403">
        <v>57.5</v>
      </c>
      <c r="C403">
        <v>53.5</v>
      </c>
      <c r="D403">
        <v>55</v>
      </c>
      <c r="E403">
        <v>79.2</v>
      </c>
      <c r="F403">
        <v>59.2</v>
      </c>
      <c r="G403">
        <v>55</v>
      </c>
      <c r="H403">
        <v>50</v>
      </c>
      <c r="I403">
        <v>58.5</v>
      </c>
      <c r="J403">
        <v>54.2</v>
      </c>
      <c r="K403">
        <v>54.5</v>
      </c>
      <c r="L403">
        <v>57.4</v>
      </c>
      <c r="M403">
        <v>1207.010009765625</v>
      </c>
      <c r="N403">
        <v>15041.232</v>
      </c>
      <c r="O403">
        <v>5.6792823835803089E-3</v>
      </c>
      <c r="P403">
        <v>2.9826720513611439E-2</v>
      </c>
      <c r="Q403">
        <v>2.2911388788951159E-2</v>
      </c>
    </row>
    <row r="404" spans="1:17" x14ac:dyDescent="0.2">
      <c r="A404" s="69">
        <v>38657</v>
      </c>
      <c r="B404">
        <v>59.6</v>
      </c>
      <c r="C404">
        <v>56.5</v>
      </c>
      <c r="D404">
        <v>54</v>
      </c>
      <c r="E404">
        <v>72.599999999999994</v>
      </c>
      <c r="F404">
        <v>59.2</v>
      </c>
      <c r="G404">
        <v>60</v>
      </c>
      <c r="H404">
        <v>54</v>
      </c>
      <c r="I404">
        <v>60.5</v>
      </c>
      <c r="J404">
        <v>56.9</v>
      </c>
      <c r="K404">
        <v>57</v>
      </c>
      <c r="L404">
        <v>59.1</v>
      </c>
      <c r="M404">
        <v>1249.47998046875</v>
      </c>
      <c r="O404">
        <v>5.6792823835803089E-3</v>
      </c>
      <c r="P404">
        <v>2.9826720513611439E-2</v>
      </c>
      <c r="Q404">
        <v>2.2911388788951159E-2</v>
      </c>
    </row>
    <row r="405" spans="1:17" x14ac:dyDescent="0.2">
      <c r="A405" s="69">
        <v>38687</v>
      </c>
      <c r="B405">
        <v>62.8</v>
      </c>
      <c r="C405">
        <v>56.5</v>
      </c>
      <c r="D405">
        <v>54</v>
      </c>
      <c r="E405">
        <v>68.900000000000006</v>
      </c>
      <c r="F405">
        <v>60.1</v>
      </c>
      <c r="G405">
        <v>59</v>
      </c>
      <c r="H405">
        <v>56</v>
      </c>
      <c r="I405">
        <v>56.5</v>
      </c>
      <c r="J405">
        <v>56.4</v>
      </c>
      <c r="K405">
        <v>61.5</v>
      </c>
      <c r="L405">
        <v>59</v>
      </c>
      <c r="M405">
        <v>1248.2900390625</v>
      </c>
      <c r="O405">
        <v>5.6792823835803089E-3</v>
      </c>
      <c r="P405">
        <v>2.9826720513611439E-2</v>
      </c>
      <c r="Q405">
        <v>2.2911388788951159E-2</v>
      </c>
    </row>
    <row r="406" spans="1:17" x14ac:dyDescent="0.2">
      <c r="A406" s="69">
        <v>38718</v>
      </c>
      <c r="B406">
        <v>57.4</v>
      </c>
      <c r="C406">
        <v>49.5</v>
      </c>
      <c r="D406">
        <v>52.5</v>
      </c>
      <c r="E406">
        <v>69.900000000000006</v>
      </c>
      <c r="F406">
        <v>58.6</v>
      </c>
      <c r="G406">
        <v>63</v>
      </c>
      <c r="H406">
        <v>55</v>
      </c>
      <c r="I406">
        <v>54.5</v>
      </c>
      <c r="J406">
        <v>54.5</v>
      </c>
      <c r="K406">
        <v>58</v>
      </c>
      <c r="L406">
        <v>56.3</v>
      </c>
      <c r="M406">
        <v>1280.079956054688</v>
      </c>
      <c r="N406">
        <v>15244.088</v>
      </c>
      <c r="O406">
        <v>1.3486661199029431E-2</v>
      </c>
      <c r="P406">
        <v>3.2248575723230061E-2</v>
      </c>
      <c r="Q406">
        <v>5.5047830418741617E-2</v>
      </c>
    </row>
    <row r="407" spans="1:17" x14ac:dyDescent="0.2">
      <c r="A407" s="69">
        <v>38749</v>
      </c>
      <c r="B407">
        <v>57.8</v>
      </c>
      <c r="C407">
        <v>55</v>
      </c>
      <c r="D407">
        <v>54</v>
      </c>
      <c r="E407">
        <v>67.8</v>
      </c>
      <c r="F407">
        <v>61.8</v>
      </c>
      <c r="G407">
        <v>63.5</v>
      </c>
      <c r="H407">
        <v>53</v>
      </c>
      <c r="I407">
        <v>52.5</v>
      </c>
      <c r="J407">
        <v>58.1</v>
      </c>
      <c r="K407">
        <v>60</v>
      </c>
      <c r="L407">
        <v>57.6</v>
      </c>
      <c r="M407">
        <v>1280.660034179688</v>
      </c>
      <c r="O407">
        <v>1.3486661199029431E-2</v>
      </c>
      <c r="P407">
        <v>3.2248575723230061E-2</v>
      </c>
      <c r="Q407">
        <v>5.5047830418741617E-2</v>
      </c>
    </row>
    <row r="408" spans="1:17" x14ac:dyDescent="0.2">
      <c r="A408" s="69">
        <v>38777</v>
      </c>
      <c r="B408">
        <v>58.6</v>
      </c>
      <c r="C408">
        <v>60.5</v>
      </c>
      <c r="D408">
        <v>50.5</v>
      </c>
      <c r="E408">
        <v>60.1</v>
      </c>
      <c r="F408">
        <v>60</v>
      </c>
      <c r="G408">
        <v>63</v>
      </c>
      <c r="H408">
        <v>54</v>
      </c>
      <c r="I408">
        <v>54</v>
      </c>
      <c r="J408">
        <v>55.1</v>
      </c>
      <c r="K408">
        <v>63.5</v>
      </c>
      <c r="L408">
        <v>56.9</v>
      </c>
      <c r="M408">
        <v>1294.869995117188</v>
      </c>
      <c r="O408">
        <v>1.3486661199029431E-2</v>
      </c>
      <c r="P408">
        <v>3.2248575723230061E-2</v>
      </c>
      <c r="Q408">
        <v>5.5047830418741617E-2</v>
      </c>
    </row>
    <row r="409" spans="1:17" x14ac:dyDescent="0.2">
      <c r="A409" s="69">
        <v>38808</v>
      </c>
      <c r="B409">
        <v>61.1</v>
      </c>
      <c r="C409">
        <v>57</v>
      </c>
      <c r="D409">
        <v>54</v>
      </c>
      <c r="E409">
        <v>68.5</v>
      </c>
      <c r="F409">
        <v>61.3</v>
      </c>
      <c r="G409">
        <v>60</v>
      </c>
      <c r="H409">
        <v>59</v>
      </c>
      <c r="I409">
        <v>54.5</v>
      </c>
      <c r="J409">
        <v>56.5</v>
      </c>
      <c r="K409">
        <v>59.5</v>
      </c>
      <c r="L409">
        <v>58.4</v>
      </c>
      <c r="M409">
        <v>1310.609985351562</v>
      </c>
      <c r="N409">
        <v>15281.525</v>
      </c>
      <c r="O409">
        <v>2.4558373055836402E-3</v>
      </c>
      <c r="P409">
        <v>2.977269025594638E-2</v>
      </c>
      <c r="Q409">
        <v>9.8595953259017488E-3</v>
      </c>
    </row>
    <row r="410" spans="1:17" x14ac:dyDescent="0.2">
      <c r="A410" s="69">
        <v>38838</v>
      </c>
      <c r="B410">
        <v>58.6</v>
      </c>
      <c r="C410">
        <v>58.5</v>
      </c>
      <c r="D410">
        <v>52</v>
      </c>
      <c r="E410">
        <v>70.5</v>
      </c>
      <c r="F410">
        <v>58.1</v>
      </c>
      <c r="G410">
        <v>59</v>
      </c>
      <c r="H410">
        <v>59</v>
      </c>
      <c r="I410">
        <v>56.5</v>
      </c>
      <c r="J410">
        <v>54.6</v>
      </c>
      <c r="K410">
        <v>64</v>
      </c>
      <c r="L410">
        <v>57</v>
      </c>
      <c r="M410">
        <v>1270.089965820312</v>
      </c>
      <c r="O410">
        <v>2.4558373055836402E-3</v>
      </c>
      <c r="P410">
        <v>2.977269025594638E-2</v>
      </c>
      <c r="Q410">
        <v>9.8595953259017488E-3</v>
      </c>
    </row>
    <row r="411" spans="1:17" x14ac:dyDescent="0.2">
      <c r="A411" s="69">
        <v>38869</v>
      </c>
      <c r="B411">
        <v>57</v>
      </c>
      <c r="C411">
        <v>55.5</v>
      </c>
      <c r="D411">
        <v>55</v>
      </c>
      <c r="E411">
        <v>69</v>
      </c>
      <c r="F411">
        <v>56.4</v>
      </c>
      <c r="G411">
        <v>63</v>
      </c>
      <c r="H411">
        <v>51.5</v>
      </c>
      <c r="I411">
        <v>56</v>
      </c>
      <c r="J411">
        <v>51.2</v>
      </c>
      <c r="K411">
        <v>54.5</v>
      </c>
      <c r="L411">
        <v>55.2</v>
      </c>
      <c r="M411">
        <v>1270.199951171875</v>
      </c>
      <c r="O411">
        <v>2.4558373055836402E-3</v>
      </c>
      <c r="P411">
        <v>2.977269025594638E-2</v>
      </c>
      <c r="Q411">
        <v>9.8595953259017488E-3</v>
      </c>
    </row>
    <row r="412" spans="1:17" x14ac:dyDescent="0.2">
      <c r="A412" s="69">
        <v>38899</v>
      </c>
      <c r="B412">
        <v>58.1</v>
      </c>
      <c r="C412">
        <v>60.5</v>
      </c>
      <c r="D412">
        <v>56</v>
      </c>
      <c r="E412">
        <v>70.599999999999994</v>
      </c>
      <c r="F412">
        <v>56.3</v>
      </c>
      <c r="G412">
        <v>60</v>
      </c>
      <c r="H412">
        <v>53</v>
      </c>
      <c r="I412">
        <v>54.5</v>
      </c>
      <c r="J412">
        <v>53.6</v>
      </c>
      <c r="K412">
        <v>56</v>
      </c>
      <c r="L412">
        <v>55.6</v>
      </c>
      <c r="M412">
        <v>1276.660034179688</v>
      </c>
      <c r="N412">
        <v>15304.517</v>
      </c>
      <c r="O412">
        <v>1.5045618810949951E-3</v>
      </c>
      <c r="P412">
        <v>2.328291151863791E-2</v>
      </c>
      <c r="Q412">
        <v>6.0318433917740943E-3</v>
      </c>
    </row>
    <row r="413" spans="1:17" x14ac:dyDescent="0.2">
      <c r="A413" s="69">
        <v>38930</v>
      </c>
      <c r="B413">
        <v>53.1</v>
      </c>
      <c r="C413">
        <v>60</v>
      </c>
      <c r="D413">
        <v>49.5</v>
      </c>
      <c r="E413">
        <v>72.2</v>
      </c>
      <c r="F413">
        <v>56.7</v>
      </c>
      <c r="G413">
        <v>59</v>
      </c>
      <c r="H413">
        <v>51.5</v>
      </c>
      <c r="I413">
        <v>53.5</v>
      </c>
      <c r="J413">
        <v>52.2</v>
      </c>
      <c r="K413">
        <v>53</v>
      </c>
      <c r="L413">
        <v>53.9</v>
      </c>
      <c r="M413">
        <v>1303.819946289062</v>
      </c>
      <c r="O413">
        <v>1.5045618810949951E-3</v>
      </c>
      <c r="P413">
        <v>2.328291151863791E-2</v>
      </c>
      <c r="Q413">
        <v>6.0318433917740943E-3</v>
      </c>
    </row>
    <row r="414" spans="1:17" x14ac:dyDescent="0.2">
      <c r="A414" s="69">
        <v>38961</v>
      </c>
      <c r="B414">
        <v>56.5</v>
      </c>
      <c r="C414">
        <v>55</v>
      </c>
      <c r="D414">
        <v>53</v>
      </c>
      <c r="E414">
        <v>60.6</v>
      </c>
      <c r="F414">
        <v>54.4</v>
      </c>
      <c r="G414">
        <v>63.5</v>
      </c>
      <c r="H414">
        <v>50.5</v>
      </c>
      <c r="I414">
        <v>54</v>
      </c>
      <c r="J414">
        <v>52.9</v>
      </c>
      <c r="K414">
        <v>59</v>
      </c>
      <c r="L414">
        <v>54.5</v>
      </c>
      <c r="M414">
        <v>1335.849975585938</v>
      </c>
      <c r="O414">
        <v>1.5045618810949951E-3</v>
      </c>
      <c r="P414">
        <v>2.328291151863791E-2</v>
      </c>
      <c r="Q414">
        <v>6.0318433917740943E-3</v>
      </c>
    </row>
    <row r="415" spans="1:17" x14ac:dyDescent="0.2">
      <c r="A415" s="69">
        <v>38991</v>
      </c>
      <c r="B415">
        <v>55.3</v>
      </c>
      <c r="C415">
        <v>57.5</v>
      </c>
      <c r="D415">
        <v>51.5</v>
      </c>
      <c r="E415">
        <v>56.5</v>
      </c>
      <c r="F415">
        <v>56.9</v>
      </c>
      <c r="G415">
        <v>64.5</v>
      </c>
      <c r="H415">
        <v>53</v>
      </c>
      <c r="I415">
        <v>54.5</v>
      </c>
      <c r="J415">
        <v>52.9</v>
      </c>
      <c r="K415">
        <v>63.5</v>
      </c>
      <c r="L415">
        <v>54.9</v>
      </c>
      <c r="M415">
        <v>1377.93994140625</v>
      </c>
      <c r="N415">
        <v>15433.643</v>
      </c>
      <c r="O415">
        <v>8.4371169635735783E-3</v>
      </c>
      <c r="P415">
        <v>2.6089019835609219E-2</v>
      </c>
      <c r="Q415">
        <v>3.4177984960281238E-2</v>
      </c>
    </row>
    <row r="416" spans="1:17" x14ac:dyDescent="0.2">
      <c r="A416" s="69">
        <v>39022</v>
      </c>
      <c r="B416">
        <v>56.7</v>
      </c>
      <c r="C416">
        <v>59.5</v>
      </c>
      <c r="D416">
        <v>54.5</v>
      </c>
      <c r="E416">
        <v>56.7</v>
      </c>
      <c r="F416">
        <v>59.2</v>
      </c>
      <c r="G416">
        <v>57</v>
      </c>
      <c r="H416">
        <v>51.5</v>
      </c>
      <c r="I416">
        <v>50</v>
      </c>
      <c r="J416">
        <v>52.2</v>
      </c>
      <c r="K416">
        <v>58.5</v>
      </c>
      <c r="L416">
        <v>54.5</v>
      </c>
      <c r="M416">
        <v>1400.630004882812</v>
      </c>
      <c r="O416">
        <v>8.4371169635735783E-3</v>
      </c>
      <c r="P416">
        <v>2.6089019835609219E-2</v>
      </c>
      <c r="Q416">
        <v>3.4177984960281238E-2</v>
      </c>
    </row>
    <row r="417" spans="1:17" x14ac:dyDescent="0.2">
      <c r="A417" s="69">
        <v>39052</v>
      </c>
      <c r="B417">
        <v>54.8</v>
      </c>
      <c r="C417">
        <v>62</v>
      </c>
      <c r="D417">
        <v>48</v>
      </c>
      <c r="E417">
        <v>60.5</v>
      </c>
      <c r="F417">
        <v>56.1</v>
      </c>
      <c r="G417">
        <v>63.5</v>
      </c>
      <c r="H417">
        <v>53.5</v>
      </c>
      <c r="I417">
        <v>51</v>
      </c>
      <c r="J417">
        <v>52.7</v>
      </c>
      <c r="K417">
        <v>61.5</v>
      </c>
      <c r="L417">
        <v>53.7</v>
      </c>
      <c r="M417">
        <v>1418.300048828125</v>
      </c>
      <c r="O417">
        <v>8.4371169635735783E-3</v>
      </c>
      <c r="P417">
        <v>2.6089019835609219E-2</v>
      </c>
      <c r="Q417">
        <v>3.4177984960281238E-2</v>
      </c>
    </row>
    <row r="418" spans="1:17" x14ac:dyDescent="0.2">
      <c r="A418" s="69">
        <v>39083</v>
      </c>
      <c r="B418">
        <v>55.6</v>
      </c>
      <c r="C418">
        <v>52</v>
      </c>
      <c r="D418">
        <v>49</v>
      </c>
      <c r="E418">
        <v>57.5</v>
      </c>
      <c r="F418">
        <v>58.3</v>
      </c>
      <c r="G418">
        <v>65.5</v>
      </c>
      <c r="H418">
        <v>47</v>
      </c>
      <c r="I418">
        <v>53.5</v>
      </c>
      <c r="J418">
        <v>54.8</v>
      </c>
      <c r="K418">
        <v>55</v>
      </c>
      <c r="L418">
        <v>55.4</v>
      </c>
      <c r="M418">
        <v>1438.239990234375</v>
      </c>
      <c r="N418">
        <v>15478.956</v>
      </c>
      <c r="O418">
        <v>2.9359886061897439E-3</v>
      </c>
      <c r="P418">
        <v>1.540715325180492E-2</v>
      </c>
      <c r="Q418">
        <v>1.1795775906866529E-2</v>
      </c>
    </row>
    <row r="419" spans="1:17" x14ac:dyDescent="0.2">
      <c r="A419" s="69">
        <v>39114</v>
      </c>
      <c r="B419">
        <v>55.7</v>
      </c>
      <c r="C419">
        <v>54</v>
      </c>
      <c r="D419">
        <v>47</v>
      </c>
      <c r="E419">
        <v>57</v>
      </c>
      <c r="F419">
        <v>56</v>
      </c>
      <c r="G419">
        <v>61.5</v>
      </c>
      <c r="H419">
        <v>50.5</v>
      </c>
      <c r="I419">
        <v>52.5</v>
      </c>
      <c r="J419">
        <v>52.7</v>
      </c>
      <c r="K419">
        <v>59</v>
      </c>
      <c r="L419">
        <v>54.2</v>
      </c>
      <c r="M419">
        <v>1406.819946289062</v>
      </c>
      <c r="O419">
        <v>2.9359886061897439E-3</v>
      </c>
      <c r="P419">
        <v>1.540715325180492E-2</v>
      </c>
      <c r="Q419">
        <v>1.1795775906866529E-2</v>
      </c>
    </row>
    <row r="420" spans="1:17" x14ac:dyDescent="0.2">
      <c r="A420" s="69">
        <v>39142</v>
      </c>
      <c r="B420">
        <v>53.2</v>
      </c>
      <c r="C420">
        <v>50</v>
      </c>
      <c r="D420">
        <v>52.5</v>
      </c>
      <c r="E420">
        <v>64.2</v>
      </c>
      <c r="F420">
        <v>52.8</v>
      </c>
      <c r="G420">
        <v>63</v>
      </c>
      <c r="H420">
        <v>52</v>
      </c>
      <c r="I420">
        <v>50</v>
      </c>
      <c r="J420">
        <v>51.9</v>
      </c>
      <c r="K420">
        <v>48.5</v>
      </c>
      <c r="L420">
        <v>52.1</v>
      </c>
      <c r="M420">
        <v>1420.859985351562</v>
      </c>
      <c r="O420">
        <v>2.9359886061897439E-3</v>
      </c>
      <c r="P420">
        <v>1.540715325180492E-2</v>
      </c>
      <c r="Q420">
        <v>1.1795775906866529E-2</v>
      </c>
    </row>
    <row r="421" spans="1:17" x14ac:dyDescent="0.2">
      <c r="A421" s="69">
        <v>39173</v>
      </c>
      <c r="B421">
        <v>54.9</v>
      </c>
      <c r="C421">
        <v>52.5</v>
      </c>
      <c r="D421">
        <v>50</v>
      </c>
      <c r="E421">
        <v>63.2</v>
      </c>
      <c r="F421">
        <v>56.1</v>
      </c>
      <c r="G421">
        <v>60.5</v>
      </c>
      <c r="H421">
        <v>52</v>
      </c>
      <c r="I421">
        <v>51</v>
      </c>
      <c r="J421">
        <v>51.1</v>
      </c>
      <c r="K421">
        <v>55.5</v>
      </c>
      <c r="L421">
        <v>53.4</v>
      </c>
      <c r="M421">
        <v>1482.369995117188</v>
      </c>
      <c r="N421">
        <v>15577.779</v>
      </c>
      <c r="O421">
        <v>6.3843453008071297E-3</v>
      </c>
      <c r="P421">
        <v>1.938641594997887E-2</v>
      </c>
      <c r="Q421">
        <v>2.578298295432346E-2</v>
      </c>
    </row>
    <row r="422" spans="1:17" x14ac:dyDescent="0.2">
      <c r="A422" s="69">
        <v>39203</v>
      </c>
      <c r="B422">
        <v>57.1</v>
      </c>
      <c r="C422">
        <v>55.5</v>
      </c>
      <c r="D422">
        <v>48</v>
      </c>
      <c r="E422">
        <v>62.8</v>
      </c>
      <c r="F422">
        <v>58.1</v>
      </c>
      <c r="G422">
        <v>61</v>
      </c>
      <c r="H422">
        <v>61</v>
      </c>
      <c r="I422">
        <v>49.5</v>
      </c>
      <c r="J422">
        <v>52.2</v>
      </c>
      <c r="K422">
        <v>66</v>
      </c>
      <c r="L422">
        <v>54.3</v>
      </c>
      <c r="M422">
        <v>1530.619995117188</v>
      </c>
      <c r="O422">
        <v>6.3843453008071297E-3</v>
      </c>
      <c r="P422">
        <v>1.938641594997887E-2</v>
      </c>
      <c r="Q422">
        <v>2.578298295432346E-2</v>
      </c>
    </row>
    <row r="423" spans="1:17" x14ac:dyDescent="0.2">
      <c r="A423" s="69">
        <v>39234</v>
      </c>
      <c r="B423">
        <v>57.2</v>
      </c>
      <c r="C423">
        <v>57.5</v>
      </c>
      <c r="D423">
        <v>46.5</v>
      </c>
      <c r="E423">
        <v>61.6</v>
      </c>
      <c r="F423">
        <v>60.1</v>
      </c>
      <c r="G423">
        <v>60.5</v>
      </c>
      <c r="H423">
        <v>52.5</v>
      </c>
      <c r="I423">
        <v>50.5</v>
      </c>
      <c r="J423">
        <v>53.3</v>
      </c>
      <c r="K423">
        <v>59</v>
      </c>
      <c r="L423">
        <v>54.9</v>
      </c>
      <c r="M423">
        <v>1503.349975585938</v>
      </c>
      <c r="O423">
        <v>6.3843453008071297E-3</v>
      </c>
      <c r="P423">
        <v>1.938641594997887E-2</v>
      </c>
      <c r="Q423">
        <v>2.578298295432346E-2</v>
      </c>
    </row>
    <row r="424" spans="1:17" x14ac:dyDescent="0.2">
      <c r="A424" s="69">
        <v>39264</v>
      </c>
      <c r="B424">
        <v>54.5</v>
      </c>
      <c r="C424">
        <v>54.5</v>
      </c>
      <c r="D424">
        <v>53</v>
      </c>
      <c r="E424">
        <v>59.7</v>
      </c>
      <c r="F424">
        <v>57.1</v>
      </c>
      <c r="G424">
        <v>65</v>
      </c>
      <c r="H424">
        <v>55</v>
      </c>
      <c r="I424">
        <v>51.5</v>
      </c>
      <c r="J424">
        <v>51.1</v>
      </c>
      <c r="K424">
        <v>52.5</v>
      </c>
      <c r="L424">
        <v>53.6</v>
      </c>
      <c r="M424">
        <v>1455.27001953125</v>
      </c>
      <c r="N424">
        <v>15671.605</v>
      </c>
      <c r="O424">
        <v>6.0230665745096982E-3</v>
      </c>
      <c r="P424">
        <v>2.3985598500102932E-2</v>
      </c>
      <c r="Q424">
        <v>2.4310805602967941E-2</v>
      </c>
    </row>
    <row r="425" spans="1:17" x14ac:dyDescent="0.2">
      <c r="A425" s="69">
        <v>39295</v>
      </c>
      <c r="B425">
        <v>56.7</v>
      </c>
      <c r="C425">
        <v>55</v>
      </c>
      <c r="D425">
        <v>58.6</v>
      </c>
      <c r="E425">
        <v>60</v>
      </c>
      <c r="F425">
        <v>55.7</v>
      </c>
      <c r="G425">
        <v>61.5</v>
      </c>
      <c r="H425">
        <v>57</v>
      </c>
      <c r="I425">
        <v>50.5</v>
      </c>
      <c r="J425">
        <v>48.3</v>
      </c>
      <c r="K425">
        <v>53.5</v>
      </c>
      <c r="L425">
        <v>52.7</v>
      </c>
      <c r="M425">
        <v>1473.989990234375</v>
      </c>
      <c r="O425">
        <v>6.0230665745096982E-3</v>
      </c>
      <c r="P425">
        <v>2.3985598500102932E-2</v>
      </c>
      <c r="Q425">
        <v>2.4310805602967941E-2</v>
      </c>
    </row>
    <row r="426" spans="1:17" x14ac:dyDescent="0.2">
      <c r="A426" s="69">
        <v>39326</v>
      </c>
      <c r="B426">
        <v>52.6</v>
      </c>
      <c r="C426">
        <v>51</v>
      </c>
      <c r="D426">
        <v>47</v>
      </c>
      <c r="E426">
        <v>66.7</v>
      </c>
      <c r="F426">
        <v>54.2</v>
      </c>
      <c r="G426">
        <v>62</v>
      </c>
      <c r="H426">
        <v>50</v>
      </c>
      <c r="I426">
        <v>50.5</v>
      </c>
      <c r="J426">
        <v>52.5</v>
      </c>
      <c r="K426">
        <v>50</v>
      </c>
      <c r="L426">
        <v>52.6</v>
      </c>
      <c r="M426">
        <v>1526.75</v>
      </c>
      <c r="O426">
        <v>6.0230665745096982E-3</v>
      </c>
      <c r="P426">
        <v>2.3985598500102932E-2</v>
      </c>
      <c r="Q426">
        <v>2.4310805602967941E-2</v>
      </c>
    </row>
    <row r="427" spans="1:17" x14ac:dyDescent="0.2">
      <c r="A427" s="69">
        <v>39356</v>
      </c>
      <c r="B427">
        <v>55.3</v>
      </c>
      <c r="C427">
        <v>55.5</v>
      </c>
      <c r="D427">
        <v>43.5</v>
      </c>
      <c r="E427">
        <v>66.2</v>
      </c>
      <c r="F427">
        <v>55.1</v>
      </c>
      <c r="G427">
        <v>60</v>
      </c>
      <c r="H427">
        <v>49.5</v>
      </c>
      <c r="I427">
        <v>50</v>
      </c>
      <c r="J427">
        <v>53.6</v>
      </c>
      <c r="K427">
        <v>56</v>
      </c>
      <c r="L427">
        <v>53.6</v>
      </c>
      <c r="M427">
        <v>1549.380004882812</v>
      </c>
      <c r="N427">
        <v>15767.146000000001</v>
      </c>
      <c r="O427">
        <v>6.0964400264045121E-3</v>
      </c>
      <c r="P427">
        <v>2.1608832081965391E-2</v>
      </c>
      <c r="Q427">
        <v>2.46096673082743E-2</v>
      </c>
    </row>
    <row r="428" spans="1:17" x14ac:dyDescent="0.2">
      <c r="A428" s="69">
        <v>39387</v>
      </c>
      <c r="B428">
        <v>51.9</v>
      </c>
      <c r="C428">
        <v>49.5</v>
      </c>
      <c r="D428">
        <v>48.5</v>
      </c>
      <c r="E428">
        <v>75.3</v>
      </c>
      <c r="F428">
        <v>55.7</v>
      </c>
      <c r="G428">
        <v>61.5</v>
      </c>
      <c r="H428">
        <v>50.5</v>
      </c>
      <c r="I428">
        <v>51.5</v>
      </c>
      <c r="J428">
        <v>51.6</v>
      </c>
      <c r="K428">
        <v>55.5</v>
      </c>
      <c r="L428">
        <v>52.8</v>
      </c>
      <c r="M428">
        <v>1481.140014648438</v>
      </c>
      <c r="O428">
        <v>6.0964400264045121E-3</v>
      </c>
      <c r="P428">
        <v>2.1608832081965391E-2</v>
      </c>
      <c r="Q428">
        <v>2.46096673082743E-2</v>
      </c>
    </row>
    <row r="429" spans="1:17" x14ac:dyDescent="0.2">
      <c r="A429" s="69">
        <v>39417</v>
      </c>
      <c r="B429">
        <v>52.5</v>
      </c>
      <c r="C429">
        <v>50.5</v>
      </c>
      <c r="D429">
        <v>49</v>
      </c>
      <c r="E429">
        <v>72</v>
      </c>
      <c r="F429">
        <v>53.2</v>
      </c>
      <c r="G429">
        <v>64.5</v>
      </c>
      <c r="H429">
        <v>50.5</v>
      </c>
      <c r="I429">
        <v>52.5</v>
      </c>
      <c r="J429">
        <v>51.8</v>
      </c>
      <c r="K429">
        <v>50</v>
      </c>
      <c r="L429">
        <v>52.5</v>
      </c>
      <c r="M429">
        <v>1468.359985351562</v>
      </c>
      <c r="O429">
        <v>6.0964400264045121E-3</v>
      </c>
      <c r="P429">
        <v>2.1608832081965391E-2</v>
      </c>
      <c r="Q429">
        <v>2.46096673082743E-2</v>
      </c>
    </row>
    <row r="430" spans="1:17" x14ac:dyDescent="0.2">
      <c r="A430" s="69">
        <v>39448</v>
      </c>
      <c r="B430">
        <v>43.3</v>
      </c>
      <c r="C430">
        <v>41.5</v>
      </c>
      <c r="D430">
        <v>46</v>
      </c>
      <c r="E430">
        <v>71.599999999999994</v>
      </c>
      <c r="F430">
        <v>41.9</v>
      </c>
      <c r="G430">
        <v>57</v>
      </c>
      <c r="H430">
        <v>44.5</v>
      </c>
      <c r="I430">
        <v>49</v>
      </c>
      <c r="J430">
        <v>45.7</v>
      </c>
      <c r="K430">
        <v>52</v>
      </c>
      <c r="L430">
        <v>44.8</v>
      </c>
      <c r="M430">
        <v>1378.550048828125</v>
      </c>
      <c r="N430">
        <v>15702.906000000001</v>
      </c>
      <c r="O430">
        <v>-4.0742947392000926E-3</v>
      </c>
      <c r="P430">
        <v>1.4468030014427379E-2</v>
      </c>
      <c r="Q430">
        <v>-1.619784994668938E-2</v>
      </c>
    </row>
    <row r="431" spans="1:17" x14ac:dyDescent="0.2">
      <c r="A431" s="69">
        <v>39479</v>
      </c>
      <c r="B431">
        <v>50.1</v>
      </c>
      <c r="C431">
        <v>49</v>
      </c>
      <c r="D431">
        <v>49.5</v>
      </c>
      <c r="E431">
        <v>71.7</v>
      </c>
      <c r="F431">
        <v>52.2</v>
      </c>
      <c r="G431">
        <v>60.5</v>
      </c>
      <c r="H431">
        <v>50</v>
      </c>
      <c r="I431">
        <v>50</v>
      </c>
      <c r="J431">
        <v>47.3</v>
      </c>
      <c r="K431">
        <v>46.5</v>
      </c>
      <c r="L431">
        <v>49.9</v>
      </c>
      <c r="M431">
        <v>1330.630004882812</v>
      </c>
      <c r="O431">
        <v>-4.0742947392000926E-3</v>
      </c>
      <c r="P431">
        <v>1.4468030014427379E-2</v>
      </c>
      <c r="Q431">
        <v>-1.619784994668938E-2</v>
      </c>
    </row>
    <row r="432" spans="1:17" x14ac:dyDescent="0.2">
      <c r="A432" s="69">
        <v>39508</v>
      </c>
      <c r="B432">
        <v>49.3</v>
      </c>
      <c r="C432">
        <v>54.5</v>
      </c>
      <c r="D432">
        <v>47.5</v>
      </c>
      <c r="E432">
        <v>72.7</v>
      </c>
      <c r="F432">
        <v>51.7</v>
      </c>
      <c r="G432">
        <v>60.5</v>
      </c>
      <c r="H432">
        <v>51.5</v>
      </c>
      <c r="I432">
        <v>49</v>
      </c>
      <c r="J432">
        <v>47.4</v>
      </c>
      <c r="K432">
        <v>55</v>
      </c>
      <c r="L432">
        <v>49.4</v>
      </c>
      <c r="M432">
        <v>1322.699951171875</v>
      </c>
      <c r="O432">
        <v>-4.0742947392000926E-3</v>
      </c>
      <c r="P432">
        <v>1.4468030014427379E-2</v>
      </c>
      <c r="Q432">
        <v>-1.619784994668938E-2</v>
      </c>
    </row>
    <row r="433" spans="1:17" x14ac:dyDescent="0.2">
      <c r="A433" s="69">
        <v>39539</v>
      </c>
      <c r="B433">
        <v>50.3</v>
      </c>
      <c r="C433">
        <v>50</v>
      </c>
      <c r="D433">
        <v>50</v>
      </c>
      <c r="E433">
        <v>71.900000000000006</v>
      </c>
      <c r="F433">
        <v>51.1</v>
      </c>
      <c r="G433">
        <v>63</v>
      </c>
      <c r="H433">
        <v>47</v>
      </c>
      <c r="I433">
        <v>56</v>
      </c>
      <c r="J433">
        <v>49.7</v>
      </c>
      <c r="K433">
        <v>48.5</v>
      </c>
      <c r="L433">
        <v>51.9</v>
      </c>
      <c r="M433">
        <v>1385.589965820312</v>
      </c>
      <c r="N433">
        <v>15792.772999999999</v>
      </c>
      <c r="O433">
        <v>5.7229534456869546E-3</v>
      </c>
      <c r="P433">
        <v>1.3801325593333859E-2</v>
      </c>
      <c r="Q433">
        <v>2.3089077789477889E-2</v>
      </c>
    </row>
    <row r="434" spans="1:17" x14ac:dyDescent="0.2">
      <c r="A434" s="69">
        <v>39569</v>
      </c>
      <c r="B434">
        <v>54.2</v>
      </c>
      <c r="C434">
        <v>48</v>
      </c>
      <c r="D434">
        <v>49</v>
      </c>
      <c r="E434">
        <v>75.2</v>
      </c>
      <c r="F434">
        <v>53.3</v>
      </c>
      <c r="G434">
        <v>66.5</v>
      </c>
      <c r="H434">
        <v>54</v>
      </c>
      <c r="I434">
        <v>51</v>
      </c>
      <c r="J434">
        <v>47.2</v>
      </c>
      <c r="K434">
        <v>54</v>
      </c>
      <c r="L434">
        <v>51.5</v>
      </c>
      <c r="M434">
        <v>1400.380004882812</v>
      </c>
      <c r="O434">
        <v>5.7229534456869546E-3</v>
      </c>
      <c r="P434">
        <v>1.3801325593333859E-2</v>
      </c>
      <c r="Q434">
        <v>2.3089077789477889E-2</v>
      </c>
    </row>
    <row r="435" spans="1:17" x14ac:dyDescent="0.2">
      <c r="A435" s="69">
        <v>39600</v>
      </c>
      <c r="B435">
        <v>49.2</v>
      </c>
      <c r="C435">
        <v>50.5</v>
      </c>
      <c r="D435">
        <v>49</v>
      </c>
      <c r="E435">
        <v>79.599999999999994</v>
      </c>
      <c r="F435">
        <v>50.2</v>
      </c>
      <c r="G435">
        <v>60</v>
      </c>
      <c r="H435">
        <v>53</v>
      </c>
      <c r="I435">
        <v>50.5</v>
      </c>
      <c r="J435">
        <v>43.4</v>
      </c>
      <c r="K435">
        <v>52</v>
      </c>
      <c r="L435">
        <v>48.1</v>
      </c>
      <c r="M435">
        <v>1280</v>
      </c>
      <c r="O435">
        <v>5.7229534456869546E-3</v>
      </c>
      <c r="P435">
        <v>1.3801325593333859E-2</v>
      </c>
      <c r="Q435">
        <v>2.3089077789477889E-2</v>
      </c>
    </row>
    <row r="436" spans="1:17" x14ac:dyDescent="0.2">
      <c r="A436" s="69">
        <v>39630</v>
      </c>
      <c r="B436">
        <v>49</v>
      </c>
      <c r="C436">
        <v>49</v>
      </c>
      <c r="D436">
        <v>52</v>
      </c>
      <c r="E436">
        <v>77.400000000000006</v>
      </c>
      <c r="F436">
        <v>51</v>
      </c>
      <c r="G436">
        <v>62.5</v>
      </c>
      <c r="H436">
        <v>54.5</v>
      </c>
      <c r="I436">
        <v>53.5</v>
      </c>
      <c r="J436">
        <v>46.3</v>
      </c>
      <c r="K436">
        <v>47.5</v>
      </c>
      <c r="L436">
        <v>50.1</v>
      </c>
      <c r="M436">
        <v>1267.380004882812</v>
      </c>
      <c r="N436">
        <v>15709.562</v>
      </c>
      <c r="O436">
        <v>-5.2689290221545849E-3</v>
      </c>
      <c r="P436">
        <v>2.4220237812272792E-3</v>
      </c>
      <c r="Q436">
        <v>-2.0909730735542809E-2</v>
      </c>
    </row>
    <row r="437" spans="1:17" x14ac:dyDescent="0.2">
      <c r="A437" s="69">
        <v>39661</v>
      </c>
      <c r="B437">
        <v>50.7</v>
      </c>
      <c r="C437">
        <v>46</v>
      </c>
      <c r="D437">
        <v>49</v>
      </c>
      <c r="E437">
        <v>72.400000000000006</v>
      </c>
      <c r="F437">
        <v>51.1</v>
      </c>
      <c r="G437">
        <v>66</v>
      </c>
      <c r="H437">
        <v>53.5</v>
      </c>
      <c r="I437">
        <v>55.5</v>
      </c>
      <c r="J437">
        <v>45.2</v>
      </c>
      <c r="K437">
        <v>44.5</v>
      </c>
      <c r="L437">
        <v>50.6</v>
      </c>
      <c r="M437">
        <v>1282.829956054688</v>
      </c>
      <c r="O437">
        <v>-5.2689290221545849E-3</v>
      </c>
      <c r="P437">
        <v>2.4220237812272792E-3</v>
      </c>
      <c r="Q437">
        <v>-2.0909730735542809E-2</v>
      </c>
    </row>
    <row r="438" spans="1:17" x14ac:dyDescent="0.2">
      <c r="A438" s="69">
        <v>39692</v>
      </c>
      <c r="B438">
        <v>49.5</v>
      </c>
      <c r="C438">
        <v>47.5</v>
      </c>
      <c r="D438">
        <v>46.5</v>
      </c>
      <c r="E438">
        <v>71.900000000000006</v>
      </c>
      <c r="F438">
        <v>50.4</v>
      </c>
      <c r="G438">
        <v>62.5</v>
      </c>
      <c r="H438">
        <v>45.5</v>
      </c>
      <c r="I438">
        <v>53.5</v>
      </c>
      <c r="J438">
        <v>44.3</v>
      </c>
      <c r="K438">
        <v>50.5</v>
      </c>
      <c r="L438">
        <v>49.4</v>
      </c>
      <c r="M438">
        <v>1166.359985351562</v>
      </c>
      <c r="O438">
        <v>-5.2689290221545849E-3</v>
      </c>
      <c r="P438">
        <v>2.4220237812272792E-3</v>
      </c>
      <c r="Q438">
        <v>-2.0909730735542809E-2</v>
      </c>
    </row>
    <row r="439" spans="1:17" x14ac:dyDescent="0.2">
      <c r="A439" s="69">
        <v>39722</v>
      </c>
      <c r="B439">
        <v>44.1</v>
      </c>
      <c r="C439">
        <v>52</v>
      </c>
      <c r="D439">
        <v>44</v>
      </c>
      <c r="E439">
        <v>53.9</v>
      </c>
      <c r="F439">
        <v>43.8</v>
      </c>
      <c r="G439">
        <v>67.5</v>
      </c>
      <c r="H439">
        <v>48</v>
      </c>
      <c r="I439">
        <v>48</v>
      </c>
      <c r="J439">
        <v>42.8</v>
      </c>
      <c r="K439">
        <v>50</v>
      </c>
      <c r="L439">
        <v>44.7</v>
      </c>
      <c r="M439">
        <v>968.75</v>
      </c>
      <c r="N439">
        <v>15366.607</v>
      </c>
      <c r="O439">
        <v>-2.1830971480936261E-2</v>
      </c>
      <c r="P439">
        <v>-2.5403392598762051E-2</v>
      </c>
      <c r="Q439">
        <v>-8.4505728695347337E-2</v>
      </c>
    </row>
    <row r="440" spans="1:17" x14ac:dyDescent="0.2">
      <c r="A440" s="69">
        <v>39753</v>
      </c>
      <c r="B440">
        <v>35.299999999999997</v>
      </c>
      <c r="C440">
        <v>40</v>
      </c>
      <c r="D440">
        <v>39.5</v>
      </c>
      <c r="E440">
        <v>37.4</v>
      </c>
      <c r="F440">
        <v>34.200000000000003</v>
      </c>
      <c r="G440">
        <v>65</v>
      </c>
      <c r="H440">
        <v>46</v>
      </c>
      <c r="I440">
        <v>49.5</v>
      </c>
      <c r="J440">
        <v>31.5</v>
      </c>
      <c r="K440">
        <v>34.5</v>
      </c>
      <c r="L440">
        <v>37.799999999999997</v>
      </c>
      <c r="M440">
        <v>896.239990234375</v>
      </c>
      <c r="O440">
        <v>-2.1830971480936261E-2</v>
      </c>
      <c r="P440">
        <v>-2.5403392598762051E-2</v>
      </c>
      <c r="Q440">
        <v>-8.4505728695347337E-2</v>
      </c>
    </row>
    <row r="441" spans="1:17" x14ac:dyDescent="0.2">
      <c r="A441" s="69">
        <v>39783</v>
      </c>
      <c r="B441">
        <v>38.700000000000003</v>
      </c>
      <c r="C441">
        <v>32.5</v>
      </c>
      <c r="D441">
        <v>42.5</v>
      </c>
      <c r="E441">
        <v>36.1</v>
      </c>
      <c r="F441">
        <v>38.299999999999997</v>
      </c>
      <c r="G441">
        <v>65.5</v>
      </c>
      <c r="H441">
        <v>49</v>
      </c>
      <c r="I441">
        <v>48</v>
      </c>
      <c r="J441">
        <v>34.9</v>
      </c>
      <c r="K441">
        <v>39.5</v>
      </c>
      <c r="L441">
        <v>40</v>
      </c>
      <c r="M441">
        <v>903.25</v>
      </c>
      <c r="O441">
        <v>-2.1830971480936261E-2</v>
      </c>
      <c r="P441">
        <v>-2.5403392598762051E-2</v>
      </c>
      <c r="Q441">
        <v>-8.4505728695347337E-2</v>
      </c>
    </row>
    <row r="442" spans="1:17" x14ac:dyDescent="0.2">
      <c r="A442" s="69">
        <v>39814</v>
      </c>
      <c r="B442">
        <v>40.700000000000003</v>
      </c>
      <c r="C442">
        <v>40.5</v>
      </c>
      <c r="D442">
        <v>37.5</v>
      </c>
      <c r="E442">
        <v>41.7</v>
      </c>
      <c r="F442">
        <v>44.1</v>
      </c>
      <c r="G442">
        <v>62.5</v>
      </c>
      <c r="H442">
        <v>41.5</v>
      </c>
      <c r="I442">
        <v>51.5</v>
      </c>
      <c r="J442">
        <v>36.200000000000003</v>
      </c>
      <c r="K442">
        <v>39</v>
      </c>
      <c r="L442">
        <v>43</v>
      </c>
      <c r="M442">
        <v>825.8800048828125</v>
      </c>
      <c r="N442">
        <v>15187.475</v>
      </c>
      <c r="O442">
        <v>-1.165722530679672E-2</v>
      </c>
      <c r="P442">
        <v>-3.2823924437935283E-2</v>
      </c>
      <c r="Q442">
        <v>-4.5819873793169208E-2</v>
      </c>
    </row>
    <row r="443" spans="1:17" x14ac:dyDescent="0.2">
      <c r="A443" s="69">
        <v>39845</v>
      </c>
      <c r="B443">
        <v>40.4</v>
      </c>
      <c r="C443">
        <v>39</v>
      </c>
      <c r="D443">
        <v>36.5</v>
      </c>
      <c r="E443">
        <v>48.6</v>
      </c>
      <c r="F443">
        <v>40.6</v>
      </c>
      <c r="G443">
        <v>66.5</v>
      </c>
      <c r="H443">
        <v>39</v>
      </c>
      <c r="I443">
        <v>48</v>
      </c>
      <c r="J443">
        <v>37</v>
      </c>
      <c r="K443">
        <v>40</v>
      </c>
      <c r="L443">
        <v>41.6</v>
      </c>
      <c r="M443">
        <v>735.09002685546875</v>
      </c>
      <c r="O443">
        <v>-1.165722530679672E-2</v>
      </c>
      <c r="P443">
        <v>-3.2823924437935283E-2</v>
      </c>
      <c r="Q443">
        <v>-4.5819873793169208E-2</v>
      </c>
    </row>
    <row r="444" spans="1:17" x14ac:dyDescent="0.2">
      <c r="A444" s="69">
        <v>39873</v>
      </c>
      <c r="B444">
        <v>37.200000000000003</v>
      </c>
      <c r="C444">
        <v>37</v>
      </c>
      <c r="D444">
        <v>41</v>
      </c>
      <c r="E444">
        <v>40</v>
      </c>
      <c r="F444">
        <v>42.8</v>
      </c>
      <c r="G444">
        <v>60</v>
      </c>
      <c r="H444">
        <v>40</v>
      </c>
      <c r="I444">
        <v>48</v>
      </c>
      <c r="J444">
        <v>31.9</v>
      </c>
      <c r="K444">
        <v>39</v>
      </c>
      <c r="L444">
        <v>40.1</v>
      </c>
      <c r="M444">
        <v>797.8699951171875</v>
      </c>
      <c r="O444">
        <v>-1.165722530679672E-2</v>
      </c>
      <c r="P444">
        <v>-3.2823924437935283E-2</v>
      </c>
      <c r="Q444">
        <v>-4.5819873793169208E-2</v>
      </c>
    </row>
    <row r="445" spans="1:17" x14ac:dyDescent="0.2">
      <c r="A445" s="69">
        <v>39904</v>
      </c>
      <c r="B445">
        <v>46.8</v>
      </c>
      <c r="C445">
        <v>48.5</v>
      </c>
      <c r="D445">
        <v>44</v>
      </c>
      <c r="E445">
        <v>39.9</v>
      </c>
      <c r="F445">
        <v>45</v>
      </c>
      <c r="G445">
        <v>62.5</v>
      </c>
      <c r="H445">
        <v>43</v>
      </c>
      <c r="I445">
        <v>45.5</v>
      </c>
      <c r="J445">
        <v>36.299999999999997</v>
      </c>
      <c r="K445">
        <v>48.5</v>
      </c>
      <c r="L445">
        <v>43.7</v>
      </c>
      <c r="M445">
        <v>872.80999755859375</v>
      </c>
      <c r="N445">
        <v>15161.772000000001</v>
      </c>
      <c r="O445">
        <v>-1.692381386635996E-3</v>
      </c>
      <c r="P445">
        <v>-3.995504779306322E-2</v>
      </c>
      <c r="Q445">
        <v>-6.7523599987623362E-3</v>
      </c>
    </row>
    <row r="446" spans="1:17" x14ac:dyDescent="0.2">
      <c r="A446" s="69">
        <v>39934</v>
      </c>
      <c r="B446">
        <v>45.9</v>
      </c>
      <c r="C446">
        <v>46</v>
      </c>
      <c r="D446">
        <v>40</v>
      </c>
      <c r="E446">
        <v>47.1</v>
      </c>
      <c r="F446">
        <v>43.1</v>
      </c>
      <c r="G446">
        <v>62.5</v>
      </c>
      <c r="H446">
        <v>47</v>
      </c>
      <c r="I446">
        <v>50</v>
      </c>
      <c r="J446">
        <v>37.9</v>
      </c>
      <c r="K446">
        <v>47</v>
      </c>
      <c r="L446">
        <v>44.4</v>
      </c>
      <c r="M446">
        <v>919.1400146484375</v>
      </c>
      <c r="O446">
        <v>-1.692381386635996E-3</v>
      </c>
      <c r="P446">
        <v>-3.995504779306322E-2</v>
      </c>
      <c r="Q446">
        <v>-6.7523599987623362E-3</v>
      </c>
    </row>
    <row r="447" spans="1:17" x14ac:dyDescent="0.2">
      <c r="A447" s="69">
        <v>39965</v>
      </c>
      <c r="B447">
        <v>49.6</v>
      </c>
      <c r="C447">
        <v>47</v>
      </c>
      <c r="D447">
        <v>46</v>
      </c>
      <c r="E447">
        <v>52.9</v>
      </c>
      <c r="F447">
        <v>50.1</v>
      </c>
      <c r="G447">
        <v>67</v>
      </c>
      <c r="H447">
        <v>45</v>
      </c>
      <c r="I447">
        <v>46</v>
      </c>
      <c r="J447">
        <v>41.5</v>
      </c>
      <c r="K447">
        <v>54.5</v>
      </c>
      <c r="L447">
        <v>46.4</v>
      </c>
      <c r="M447">
        <v>919.32000732421875</v>
      </c>
      <c r="O447">
        <v>-1.692381386635996E-3</v>
      </c>
      <c r="P447">
        <v>-3.995504779306322E-2</v>
      </c>
      <c r="Q447">
        <v>-6.7523599987623362E-3</v>
      </c>
    </row>
    <row r="448" spans="1:17" x14ac:dyDescent="0.2">
      <c r="A448" s="69">
        <v>39995</v>
      </c>
      <c r="B448">
        <v>49.7</v>
      </c>
      <c r="C448">
        <v>45</v>
      </c>
      <c r="D448">
        <v>42</v>
      </c>
      <c r="E448">
        <v>41.5</v>
      </c>
      <c r="F448">
        <v>47</v>
      </c>
      <c r="G448">
        <v>62.5</v>
      </c>
      <c r="H448">
        <v>47</v>
      </c>
      <c r="I448">
        <v>50</v>
      </c>
      <c r="J448">
        <v>41.3</v>
      </c>
      <c r="K448">
        <v>47.5</v>
      </c>
      <c r="L448">
        <v>47.1</v>
      </c>
      <c r="M448">
        <v>987.47998046875</v>
      </c>
      <c r="N448">
        <v>15216.647000000001</v>
      </c>
      <c r="O448">
        <v>3.6192999076888901E-3</v>
      </c>
      <c r="P448">
        <v>-3.1376750032878008E-2</v>
      </c>
      <c r="Q448">
        <v>1.4555985434920871E-2</v>
      </c>
    </row>
    <row r="449" spans="1:17" x14ac:dyDescent="0.2">
      <c r="A449" s="69">
        <v>40026</v>
      </c>
      <c r="B449">
        <v>51.7</v>
      </c>
      <c r="C449">
        <v>49</v>
      </c>
      <c r="D449">
        <v>41</v>
      </c>
      <c r="E449">
        <v>60.8</v>
      </c>
      <c r="F449">
        <v>52.1</v>
      </c>
      <c r="G449">
        <v>67.5</v>
      </c>
      <c r="H449">
        <v>43</v>
      </c>
      <c r="I449">
        <v>49</v>
      </c>
      <c r="J449">
        <v>43.4</v>
      </c>
      <c r="K449">
        <v>54</v>
      </c>
      <c r="L449">
        <v>48.9</v>
      </c>
      <c r="M449">
        <v>1020.619995117188</v>
      </c>
      <c r="O449">
        <v>3.6192999076888901E-3</v>
      </c>
      <c r="P449">
        <v>-3.1376750032878008E-2</v>
      </c>
      <c r="Q449">
        <v>1.4555985434920871E-2</v>
      </c>
    </row>
    <row r="450" spans="1:17" x14ac:dyDescent="0.2">
      <c r="A450" s="69">
        <v>40057</v>
      </c>
      <c r="B450">
        <v>53.3</v>
      </c>
      <c r="C450">
        <v>51.5</v>
      </c>
      <c r="D450">
        <v>51.5</v>
      </c>
      <c r="E450">
        <v>49.6</v>
      </c>
      <c r="F450">
        <v>53.8</v>
      </c>
      <c r="G450">
        <v>62</v>
      </c>
      <c r="H450">
        <v>47.5</v>
      </c>
      <c r="I450">
        <v>50</v>
      </c>
      <c r="J450">
        <v>44.7</v>
      </c>
      <c r="K450">
        <v>48.5</v>
      </c>
      <c r="L450">
        <v>50.1</v>
      </c>
      <c r="M450">
        <v>1057.079956054688</v>
      </c>
      <c r="O450">
        <v>3.6192999076888901E-3</v>
      </c>
      <c r="P450">
        <v>-3.1376750032878008E-2</v>
      </c>
      <c r="Q450">
        <v>1.4555985434920871E-2</v>
      </c>
    </row>
    <row r="451" spans="1:17" x14ac:dyDescent="0.2">
      <c r="A451" s="69">
        <v>40087</v>
      </c>
      <c r="B451">
        <v>55.4</v>
      </c>
      <c r="C451">
        <v>46</v>
      </c>
      <c r="D451">
        <v>53.5</v>
      </c>
      <c r="E451">
        <v>53.5</v>
      </c>
      <c r="F451">
        <v>55</v>
      </c>
      <c r="G451">
        <v>63.5</v>
      </c>
      <c r="H451">
        <v>43</v>
      </c>
      <c r="I451">
        <v>50.5</v>
      </c>
      <c r="J451">
        <v>42.6</v>
      </c>
      <c r="K451">
        <v>53.5</v>
      </c>
      <c r="L451">
        <v>51</v>
      </c>
      <c r="M451">
        <v>1036.18994140625</v>
      </c>
      <c r="N451">
        <v>15379.155000000001</v>
      </c>
      <c r="O451">
        <v>1.0679619498303389E-2</v>
      </c>
      <c r="P451">
        <v>8.1657583876523191E-4</v>
      </c>
      <c r="Q451">
        <v>4.34076888622974E-2</v>
      </c>
    </row>
    <row r="452" spans="1:17" x14ac:dyDescent="0.2">
      <c r="A452" s="69">
        <v>40118</v>
      </c>
      <c r="B452">
        <v>54.9</v>
      </c>
      <c r="C452">
        <v>46</v>
      </c>
      <c r="D452">
        <v>48.5</v>
      </c>
      <c r="E452">
        <v>58.9</v>
      </c>
      <c r="F452">
        <v>50.9</v>
      </c>
      <c r="G452">
        <v>61.5</v>
      </c>
      <c r="H452">
        <v>45.5</v>
      </c>
      <c r="I452">
        <v>48.5</v>
      </c>
      <c r="J452">
        <v>42.8</v>
      </c>
      <c r="K452">
        <v>54.5</v>
      </c>
      <c r="L452">
        <v>49.5</v>
      </c>
      <c r="M452">
        <v>1095.630004882812</v>
      </c>
      <c r="O452">
        <v>1.0679619498303389E-2</v>
      </c>
      <c r="P452">
        <v>8.1657583876523191E-4</v>
      </c>
      <c r="Q452">
        <v>4.34076888622974E-2</v>
      </c>
    </row>
    <row r="453" spans="1:17" x14ac:dyDescent="0.2">
      <c r="A453" s="69">
        <v>40148</v>
      </c>
      <c r="B453">
        <v>51.6</v>
      </c>
      <c r="C453">
        <v>52.5</v>
      </c>
      <c r="D453">
        <v>48</v>
      </c>
      <c r="E453">
        <v>58.9</v>
      </c>
      <c r="F453">
        <v>53</v>
      </c>
      <c r="G453">
        <v>61</v>
      </c>
      <c r="H453">
        <v>51.5</v>
      </c>
      <c r="I453">
        <v>50.5</v>
      </c>
      <c r="J453">
        <v>44.6</v>
      </c>
      <c r="K453">
        <v>46</v>
      </c>
      <c r="L453">
        <v>49.7</v>
      </c>
      <c r="M453">
        <v>1115.099975585938</v>
      </c>
      <c r="O453">
        <v>1.0679619498303389E-2</v>
      </c>
      <c r="P453">
        <v>8.1657583876523191E-4</v>
      </c>
      <c r="Q453">
        <v>4.34076888622974E-2</v>
      </c>
    </row>
    <row r="454" spans="1:17" x14ac:dyDescent="0.2">
      <c r="A454" s="69">
        <v>40179</v>
      </c>
      <c r="B454">
        <v>52.9</v>
      </c>
      <c r="C454">
        <v>47</v>
      </c>
      <c r="D454">
        <v>45.5</v>
      </c>
      <c r="E454">
        <v>59.4</v>
      </c>
      <c r="F454">
        <v>51.5</v>
      </c>
      <c r="G454">
        <v>64.5</v>
      </c>
      <c r="H454">
        <v>46.5</v>
      </c>
      <c r="I454">
        <v>50.5</v>
      </c>
      <c r="J454">
        <v>44.8</v>
      </c>
      <c r="K454">
        <v>46</v>
      </c>
      <c r="L454">
        <v>50</v>
      </c>
      <c r="M454">
        <v>1073.869995117188</v>
      </c>
      <c r="N454">
        <v>15456.058999999999</v>
      </c>
      <c r="O454">
        <v>5.0005348148190604E-3</v>
      </c>
      <c r="P454">
        <v>1.768457232028358E-2</v>
      </c>
      <c r="Q454">
        <v>2.0152672135610231E-2</v>
      </c>
    </row>
    <row r="455" spans="1:17" x14ac:dyDescent="0.2">
      <c r="A455" s="69">
        <v>40210</v>
      </c>
      <c r="B455">
        <v>53.4</v>
      </c>
      <c r="C455">
        <v>48.5</v>
      </c>
      <c r="D455">
        <v>46</v>
      </c>
      <c r="E455">
        <v>58.7</v>
      </c>
      <c r="F455">
        <v>53</v>
      </c>
      <c r="G455">
        <v>60</v>
      </c>
      <c r="H455">
        <v>45</v>
      </c>
      <c r="I455">
        <v>53.5</v>
      </c>
      <c r="J455">
        <v>46</v>
      </c>
      <c r="K455">
        <v>47</v>
      </c>
      <c r="L455">
        <v>51.7</v>
      </c>
      <c r="M455">
        <v>1104.489990234375</v>
      </c>
      <c r="O455">
        <v>5.0005348148190604E-3</v>
      </c>
      <c r="P455">
        <v>1.768457232028358E-2</v>
      </c>
      <c r="Q455">
        <v>2.0152672135610231E-2</v>
      </c>
    </row>
    <row r="456" spans="1:17" x14ac:dyDescent="0.2">
      <c r="A456" s="69">
        <v>40238</v>
      </c>
      <c r="B456">
        <v>58.1</v>
      </c>
      <c r="C456">
        <v>51</v>
      </c>
      <c r="D456">
        <v>55.5</v>
      </c>
      <c r="E456">
        <v>60.9</v>
      </c>
      <c r="F456">
        <v>57.7</v>
      </c>
      <c r="G456">
        <v>52.5</v>
      </c>
      <c r="H456">
        <v>46.5</v>
      </c>
      <c r="I456">
        <v>49.5</v>
      </c>
      <c r="J456">
        <v>47.4</v>
      </c>
      <c r="K456">
        <v>57.5</v>
      </c>
      <c r="L456">
        <v>53.3</v>
      </c>
      <c r="M456">
        <v>1169.430053710938</v>
      </c>
      <c r="O456">
        <v>5.0005348148190604E-3</v>
      </c>
      <c r="P456">
        <v>1.768457232028358E-2</v>
      </c>
      <c r="Q456">
        <v>2.0152672135610231E-2</v>
      </c>
    </row>
    <row r="457" spans="1:17" x14ac:dyDescent="0.2">
      <c r="A457" s="69">
        <v>40269</v>
      </c>
      <c r="B457">
        <v>58.1</v>
      </c>
      <c r="C457">
        <v>56.5</v>
      </c>
      <c r="D457">
        <v>49.5</v>
      </c>
      <c r="E457">
        <v>63.8</v>
      </c>
      <c r="F457">
        <v>59.8</v>
      </c>
      <c r="G457">
        <v>53.5</v>
      </c>
      <c r="H457">
        <v>54.5</v>
      </c>
      <c r="I457">
        <v>53.5</v>
      </c>
      <c r="J457">
        <v>49.3</v>
      </c>
      <c r="K457">
        <v>57</v>
      </c>
      <c r="L457">
        <v>55.3</v>
      </c>
      <c r="M457">
        <v>1186.68994140625</v>
      </c>
      <c r="N457">
        <v>15605.628000000001</v>
      </c>
      <c r="O457">
        <v>9.6770463932624312E-3</v>
      </c>
      <c r="P457">
        <v>2.9274678447875339E-2</v>
      </c>
      <c r="Q457">
        <v>3.9273690540683408E-2</v>
      </c>
    </row>
    <row r="458" spans="1:17" x14ac:dyDescent="0.2">
      <c r="A458" s="69">
        <v>40299</v>
      </c>
      <c r="B458">
        <v>57.9</v>
      </c>
      <c r="C458">
        <v>56.5</v>
      </c>
      <c r="D458">
        <v>56</v>
      </c>
      <c r="E458">
        <v>60.8</v>
      </c>
      <c r="F458">
        <v>61.3</v>
      </c>
      <c r="G458">
        <v>60.5</v>
      </c>
      <c r="H458">
        <v>62.5</v>
      </c>
      <c r="I458">
        <v>53</v>
      </c>
      <c r="J458">
        <v>49.6</v>
      </c>
      <c r="K458">
        <v>53.5</v>
      </c>
      <c r="L458">
        <v>55.5</v>
      </c>
      <c r="M458">
        <v>1089.410034179688</v>
      </c>
      <c r="O458">
        <v>9.6770463932624312E-3</v>
      </c>
      <c r="P458">
        <v>2.9274678447875339E-2</v>
      </c>
      <c r="Q458">
        <v>3.9273690540683408E-2</v>
      </c>
    </row>
    <row r="459" spans="1:17" x14ac:dyDescent="0.2">
      <c r="A459" s="69">
        <v>40330</v>
      </c>
      <c r="B459">
        <v>56.6</v>
      </c>
      <c r="C459">
        <v>48</v>
      </c>
      <c r="D459">
        <v>55.5</v>
      </c>
      <c r="E459">
        <v>56.7</v>
      </c>
      <c r="F459">
        <v>59.4</v>
      </c>
      <c r="G459">
        <v>59</v>
      </c>
      <c r="H459">
        <v>58.5</v>
      </c>
      <c r="I459">
        <v>53</v>
      </c>
      <c r="J459">
        <v>48.5</v>
      </c>
      <c r="K459">
        <v>48</v>
      </c>
      <c r="L459">
        <v>54.4</v>
      </c>
      <c r="M459">
        <v>1030.7099609375</v>
      </c>
      <c r="O459">
        <v>9.6770463932624312E-3</v>
      </c>
      <c r="P459">
        <v>2.9274678447875339E-2</v>
      </c>
      <c r="Q459">
        <v>3.9273690540683408E-2</v>
      </c>
    </row>
    <row r="460" spans="1:17" x14ac:dyDescent="0.2">
      <c r="A460" s="69">
        <v>40360</v>
      </c>
      <c r="B460">
        <v>58.2</v>
      </c>
      <c r="C460">
        <v>48</v>
      </c>
      <c r="D460">
        <v>52</v>
      </c>
      <c r="E460">
        <v>56.1</v>
      </c>
      <c r="F460">
        <v>57.4</v>
      </c>
      <c r="G460">
        <v>59</v>
      </c>
      <c r="H460">
        <v>55.5</v>
      </c>
      <c r="I460">
        <v>52</v>
      </c>
      <c r="J460">
        <v>50.7</v>
      </c>
      <c r="K460">
        <v>52</v>
      </c>
      <c r="L460">
        <v>54.6</v>
      </c>
      <c r="M460">
        <v>1101.599975585938</v>
      </c>
      <c r="N460">
        <v>15726.281999999999</v>
      </c>
      <c r="O460">
        <v>7.7314415030268974E-3</v>
      </c>
      <c r="P460">
        <v>3.3491938138539873E-2</v>
      </c>
      <c r="Q460">
        <v>3.128626930493783E-2</v>
      </c>
    </row>
    <row r="461" spans="1:17" x14ac:dyDescent="0.2">
      <c r="A461" s="69">
        <v>40391</v>
      </c>
      <c r="B461">
        <v>54.4</v>
      </c>
      <c r="C461">
        <v>50.5</v>
      </c>
      <c r="D461">
        <v>50.5</v>
      </c>
      <c r="E461">
        <v>59.2</v>
      </c>
      <c r="F461">
        <v>55.8</v>
      </c>
      <c r="G461">
        <v>60</v>
      </c>
      <c r="H461">
        <v>53.5</v>
      </c>
      <c r="I461">
        <v>51</v>
      </c>
      <c r="J461">
        <v>48.9</v>
      </c>
      <c r="K461">
        <v>46.5</v>
      </c>
      <c r="L461">
        <v>52.4</v>
      </c>
      <c r="M461">
        <v>1049.329956054688</v>
      </c>
      <c r="O461">
        <v>7.7314415030268974E-3</v>
      </c>
      <c r="P461">
        <v>3.3491938138539873E-2</v>
      </c>
      <c r="Q461">
        <v>3.128626930493783E-2</v>
      </c>
    </row>
    <row r="462" spans="1:17" x14ac:dyDescent="0.2">
      <c r="A462" s="69">
        <v>40422</v>
      </c>
      <c r="B462">
        <v>54.3</v>
      </c>
      <c r="C462">
        <v>53</v>
      </c>
      <c r="D462">
        <v>48</v>
      </c>
      <c r="E462">
        <v>59.5</v>
      </c>
      <c r="F462">
        <v>53.3</v>
      </c>
      <c r="G462">
        <v>59.5</v>
      </c>
      <c r="H462">
        <v>47</v>
      </c>
      <c r="I462">
        <v>55</v>
      </c>
      <c r="J462">
        <v>51.5</v>
      </c>
      <c r="K462">
        <v>58</v>
      </c>
      <c r="L462">
        <v>53.3</v>
      </c>
      <c r="M462">
        <v>1141.199951171875</v>
      </c>
      <c r="O462">
        <v>7.7314415030268974E-3</v>
      </c>
      <c r="P462">
        <v>3.3491938138539873E-2</v>
      </c>
      <c r="Q462">
        <v>3.128626930493783E-2</v>
      </c>
    </row>
    <row r="463" spans="1:17" x14ac:dyDescent="0.2">
      <c r="A463" s="69">
        <v>40452</v>
      </c>
      <c r="B463">
        <v>58.3</v>
      </c>
      <c r="C463">
        <v>54</v>
      </c>
      <c r="D463">
        <v>52</v>
      </c>
      <c r="E463">
        <v>68.2</v>
      </c>
      <c r="F463">
        <v>59.7</v>
      </c>
      <c r="G463">
        <v>61.5</v>
      </c>
      <c r="H463">
        <v>47.5</v>
      </c>
      <c r="I463">
        <v>51</v>
      </c>
      <c r="J463">
        <v>52.1</v>
      </c>
      <c r="K463">
        <v>55.5</v>
      </c>
      <c r="L463">
        <v>55.3</v>
      </c>
      <c r="M463">
        <v>1183.260009765625</v>
      </c>
      <c r="N463">
        <v>15807.995000000001</v>
      </c>
      <c r="O463">
        <v>5.1959515923726638E-3</v>
      </c>
      <c r="P463">
        <v>2.7884496905064039E-2</v>
      </c>
      <c r="Q463">
        <v>2.094635569547498E-2</v>
      </c>
    </row>
    <row r="464" spans="1:17" x14ac:dyDescent="0.2">
      <c r="A464" s="69">
        <v>40483</v>
      </c>
      <c r="B464">
        <v>58.4</v>
      </c>
      <c r="C464">
        <v>54.5</v>
      </c>
      <c r="D464">
        <v>51.5</v>
      </c>
      <c r="E464">
        <v>65.599999999999994</v>
      </c>
      <c r="F464">
        <v>59.1</v>
      </c>
      <c r="G464">
        <v>60</v>
      </c>
      <c r="H464">
        <v>51.5</v>
      </c>
      <c r="I464">
        <v>52.5</v>
      </c>
      <c r="J464">
        <v>56.6</v>
      </c>
      <c r="K464">
        <v>59.5</v>
      </c>
      <c r="L464">
        <v>56.4</v>
      </c>
      <c r="M464">
        <v>1180.550048828125</v>
      </c>
      <c r="O464">
        <v>5.1959515923726638E-3</v>
      </c>
      <c r="P464">
        <v>2.7884496905064039E-2</v>
      </c>
      <c r="Q464">
        <v>2.094635569547498E-2</v>
      </c>
    </row>
    <row r="465" spans="1:17" x14ac:dyDescent="0.2">
      <c r="A465" s="69">
        <v>40513</v>
      </c>
      <c r="B465">
        <v>62.1</v>
      </c>
      <c r="C465">
        <v>51</v>
      </c>
      <c r="D465">
        <v>48.5</v>
      </c>
      <c r="E465">
        <v>69.3</v>
      </c>
      <c r="F465">
        <v>62.2</v>
      </c>
      <c r="G465">
        <v>61.5</v>
      </c>
      <c r="H465">
        <v>52.5</v>
      </c>
      <c r="I465">
        <v>51.5</v>
      </c>
      <c r="J465">
        <v>52.2</v>
      </c>
      <c r="K465">
        <v>56</v>
      </c>
      <c r="L465">
        <v>56.9</v>
      </c>
      <c r="M465">
        <v>1257.640014648438</v>
      </c>
      <c r="O465">
        <v>5.1959515923726638E-3</v>
      </c>
      <c r="P465">
        <v>2.7884496905064039E-2</v>
      </c>
      <c r="Q465">
        <v>2.094635569547498E-2</v>
      </c>
    </row>
    <row r="466" spans="1:17" x14ac:dyDescent="0.2">
      <c r="A466" s="69">
        <v>40544</v>
      </c>
      <c r="B466">
        <v>63</v>
      </c>
      <c r="C466">
        <v>53.5</v>
      </c>
      <c r="D466">
        <v>50.5</v>
      </c>
      <c r="E466">
        <v>70</v>
      </c>
      <c r="F466">
        <v>61.6</v>
      </c>
      <c r="G466">
        <v>60</v>
      </c>
      <c r="H466">
        <v>49</v>
      </c>
      <c r="I466">
        <v>53.5</v>
      </c>
      <c r="J466">
        <v>52.1</v>
      </c>
      <c r="K466">
        <v>53.5</v>
      </c>
      <c r="L466">
        <v>57.6</v>
      </c>
      <c r="M466">
        <v>1286.119995117188</v>
      </c>
      <c r="N466">
        <v>15769.911</v>
      </c>
      <c r="O466">
        <v>-2.409160681035181E-3</v>
      </c>
      <c r="P466">
        <v>2.0306081906131489E-2</v>
      </c>
      <c r="Q466">
        <v>-9.6018742909373955E-3</v>
      </c>
    </row>
    <row r="467" spans="1:17" x14ac:dyDescent="0.2">
      <c r="A467" s="69">
        <v>40575</v>
      </c>
      <c r="B467">
        <v>61.9</v>
      </c>
      <c r="C467">
        <v>53.5</v>
      </c>
      <c r="D467">
        <v>52</v>
      </c>
      <c r="E467">
        <v>70.900000000000006</v>
      </c>
      <c r="F467">
        <v>63.3</v>
      </c>
      <c r="G467">
        <v>57.5</v>
      </c>
      <c r="H467">
        <v>55.5</v>
      </c>
      <c r="I467">
        <v>52</v>
      </c>
      <c r="J467">
        <v>53.6</v>
      </c>
      <c r="K467">
        <v>56.5</v>
      </c>
      <c r="L467">
        <v>58</v>
      </c>
      <c r="M467">
        <v>1327.219970703125</v>
      </c>
      <c r="O467">
        <v>-2.409160681035181E-3</v>
      </c>
      <c r="P467">
        <v>2.0306081906131489E-2</v>
      </c>
      <c r="Q467">
        <v>-9.6018742909373955E-3</v>
      </c>
    </row>
    <row r="468" spans="1:17" x14ac:dyDescent="0.2">
      <c r="A468" s="69">
        <v>40603</v>
      </c>
      <c r="B468">
        <v>59.5</v>
      </c>
      <c r="C468">
        <v>50</v>
      </c>
      <c r="D468">
        <v>56</v>
      </c>
      <c r="E468">
        <v>70.900000000000006</v>
      </c>
      <c r="F468">
        <v>58.2</v>
      </c>
      <c r="G468">
        <v>67</v>
      </c>
      <c r="H468">
        <v>55.5</v>
      </c>
      <c r="I468">
        <v>51.5</v>
      </c>
      <c r="J468">
        <v>52.9</v>
      </c>
      <c r="K468">
        <v>59</v>
      </c>
      <c r="L468">
        <v>55.8</v>
      </c>
      <c r="M468">
        <v>1325.829956054688</v>
      </c>
      <c r="O468">
        <v>-2.409160681035181E-3</v>
      </c>
      <c r="P468">
        <v>2.0306081906131489E-2</v>
      </c>
      <c r="Q468">
        <v>-9.6018742909373955E-3</v>
      </c>
    </row>
    <row r="469" spans="1:17" x14ac:dyDescent="0.2">
      <c r="A469" s="69">
        <v>40634</v>
      </c>
      <c r="B469">
        <v>56.3</v>
      </c>
      <c r="C469">
        <v>57</v>
      </c>
      <c r="D469">
        <v>55.5</v>
      </c>
      <c r="E469">
        <v>71</v>
      </c>
      <c r="F469">
        <v>56.9</v>
      </c>
      <c r="G469">
        <v>57.5</v>
      </c>
      <c r="H469">
        <v>55.5</v>
      </c>
      <c r="I469">
        <v>53</v>
      </c>
      <c r="J469">
        <v>53.6</v>
      </c>
      <c r="K469">
        <v>53.5</v>
      </c>
      <c r="L469">
        <v>55.2</v>
      </c>
      <c r="M469">
        <v>1363.609985351562</v>
      </c>
      <c r="N469">
        <v>15876.839</v>
      </c>
      <c r="O469">
        <v>6.7805075120588752E-3</v>
      </c>
      <c r="P469">
        <v>1.7379050686072959E-2</v>
      </c>
      <c r="Q469">
        <v>2.739913079767153E-2</v>
      </c>
    </row>
    <row r="470" spans="1:17" x14ac:dyDescent="0.2">
      <c r="A470" s="69">
        <v>40664</v>
      </c>
      <c r="B470">
        <v>56</v>
      </c>
      <c r="C470">
        <v>50.5</v>
      </c>
      <c r="D470">
        <v>55</v>
      </c>
      <c r="E470">
        <v>70.3</v>
      </c>
      <c r="F470">
        <v>55</v>
      </c>
      <c r="G470">
        <v>55</v>
      </c>
      <c r="H470">
        <v>55</v>
      </c>
      <c r="I470">
        <v>54</v>
      </c>
      <c r="J470">
        <v>54.4</v>
      </c>
      <c r="K470">
        <v>57</v>
      </c>
      <c r="L470">
        <v>55</v>
      </c>
      <c r="M470">
        <v>1345.199951171875</v>
      </c>
      <c r="O470">
        <v>6.7805075120588752E-3</v>
      </c>
      <c r="P470">
        <v>1.7379050686072959E-2</v>
      </c>
      <c r="Q470">
        <v>2.739913079767153E-2</v>
      </c>
    </row>
    <row r="471" spans="1:17" x14ac:dyDescent="0.2">
      <c r="A471" s="69">
        <v>40695</v>
      </c>
      <c r="B471">
        <v>55.4</v>
      </c>
      <c r="C471">
        <v>46.5</v>
      </c>
      <c r="D471">
        <v>48.5</v>
      </c>
      <c r="E471">
        <v>62.4</v>
      </c>
      <c r="F471">
        <v>55.7</v>
      </c>
      <c r="G471">
        <v>58.5</v>
      </c>
      <c r="H471">
        <v>53.5</v>
      </c>
      <c r="I471">
        <v>52</v>
      </c>
      <c r="J471">
        <v>52.9</v>
      </c>
      <c r="K471">
        <v>57</v>
      </c>
      <c r="L471">
        <v>54.2</v>
      </c>
      <c r="M471">
        <v>1320.640014648438</v>
      </c>
      <c r="O471">
        <v>6.7805075120588752E-3</v>
      </c>
      <c r="P471">
        <v>1.7379050686072959E-2</v>
      </c>
      <c r="Q471">
        <v>2.739913079767153E-2</v>
      </c>
    </row>
    <row r="472" spans="1:17" x14ac:dyDescent="0.2">
      <c r="A472" s="69">
        <v>40725</v>
      </c>
      <c r="B472">
        <v>53.7</v>
      </c>
      <c r="C472">
        <v>47.5</v>
      </c>
      <c r="D472">
        <v>44</v>
      </c>
      <c r="E472">
        <v>60.7</v>
      </c>
      <c r="F472">
        <v>56.6</v>
      </c>
      <c r="G472">
        <v>59.5</v>
      </c>
      <c r="H472">
        <v>56.5</v>
      </c>
      <c r="I472">
        <v>50.5</v>
      </c>
      <c r="J472">
        <v>53.3</v>
      </c>
      <c r="K472">
        <v>49</v>
      </c>
      <c r="L472">
        <v>53.5</v>
      </c>
      <c r="M472">
        <v>1292.280029296875</v>
      </c>
      <c r="N472">
        <v>15870.683999999999</v>
      </c>
      <c r="O472">
        <v>-3.8767162657507928E-4</v>
      </c>
      <c r="P472">
        <v>9.1822084838616043E-3</v>
      </c>
      <c r="Q472">
        <v>-1.5497850035888221E-3</v>
      </c>
    </row>
    <row r="473" spans="1:17" x14ac:dyDescent="0.2">
      <c r="A473" s="69">
        <v>40756</v>
      </c>
      <c r="B473">
        <v>53.9</v>
      </c>
      <c r="C473">
        <v>53.5</v>
      </c>
      <c r="D473">
        <v>47.5</v>
      </c>
      <c r="E473">
        <v>61.3</v>
      </c>
      <c r="F473">
        <v>56.5</v>
      </c>
      <c r="G473">
        <v>56</v>
      </c>
      <c r="H473">
        <v>53.5</v>
      </c>
      <c r="I473">
        <v>53</v>
      </c>
      <c r="J473">
        <v>51.9</v>
      </c>
      <c r="K473">
        <v>56.5</v>
      </c>
      <c r="L473">
        <v>53.5</v>
      </c>
      <c r="M473">
        <v>1218.890014648438</v>
      </c>
      <c r="O473">
        <v>-3.8767162657507928E-4</v>
      </c>
      <c r="P473">
        <v>9.1822084838616043E-3</v>
      </c>
      <c r="Q473">
        <v>-1.5497850035888221E-3</v>
      </c>
    </row>
    <row r="474" spans="1:17" x14ac:dyDescent="0.2">
      <c r="A474" s="69">
        <v>40787</v>
      </c>
      <c r="B474">
        <v>54.6</v>
      </c>
      <c r="C474">
        <v>47.5</v>
      </c>
      <c r="D474">
        <v>52.5</v>
      </c>
      <c r="E474">
        <v>60.9</v>
      </c>
      <c r="F474">
        <v>56.8</v>
      </c>
      <c r="G474">
        <v>59</v>
      </c>
      <c r="H474">
        <v>51.5</v>
      </c>
      <c r="I474">
        <v>49.5</v>
      </c>
      <c r="J474">
        <v>49.4</v>
      </c>
      <c r="K474">
        <v>52</v>
      </c>
      <c r="L474">
        <v>52.3</v>
      </c>
      <c r="M474">
        <v>1131.420043945312</v>
      </c>
      <c r="O474">
        <v>-3.8767162657507928E-4</v>
      </c>
      <c r="P474">
        <v>9.1822084838616043E-3</v>
      </c>
      <c r="Q474">
        <v>-1.5497850035888221E-3</v>
      </c>
    </row>
    <row r="475" spans="1:17" x14ac:dyDescent="0.2">
      <c r="A475" s="69">
        <v>40817</v>
      </c>
      <c r="B475">
        <v>53.4</v>
      </c>
      <c r="C475">
        <v>48</v>
      </c>
      <c r="D475">
        <v>47</v>
      </c>
      <c r="E475">
        <v>57.7</v>
      </c>
      <c r="F475">
        <v>53.9</v>
      </c>
      <c r="G475">
        <v>57.5</v>
      </c>
      <c r="H475">
        <v>45.5</v>
      </c>
      <c r="I475">
        <v>52</v>
      </c>
      <c r="J475">
        <v>52.3</v>
      </c>
      <c r="K475">
        <v>54</v>
      </c>
      <c r="L475">
        <v>52.8</v>
      </c>
      <c r="M475">
        <v>1253.300048828125</v>
      </c>
      <c r="N475">
        <v>16048.701999999999</v>
      </c>
      <c r="O475">
        <v>1.121678183498582E-2</v>
      </c>
      <c r="P475">
        <v>1.52269152413066E-2</v>
      </c>
      <c r="Q475">
        <v>4.5627685349290507E-2</v>
      </c>
    </row>
    <row r="476" spans="1:17" x14ac:dyDescent="0.2">
      <c r="A476" s="69">
        <v>40848</v>
      </c>
      <c r="B476">
        <v>53.4</v>
      </c>
      <c r="C476">
        <v>48.5</v>
      </c>
      <c r="D476">
        <v>48</v>
      </c>
      <c r="E476">
        <v>63.4</v>
      </c>
      <c r="F476">
        <v>56.1</v>
      </c>
      <c r="G476">
        <v>63</v>
      </c>
      <c r="H476">
        <v>52.5</v>
      </c>
      <c r="I476">
        <v>50</v>
      </c>
      <c r="J476">
        <v>53.1</v>
      </c>
      <c r="K476">
        <v>55.5</v>
      </c>
      <c r="L476">
        <v>52.9</v>
      </c>
      <c r="M476">
        <v>1246.9599609375</v>
      </c>
      <c r="O476">
        <v>1.121678183498582E-2</v>
      </c>
      <c r="P476">
        <v>1.52269152413066E-2</v>
      </c>
      <c r="Q476">
        <v>4.5627685349290507E-2</v>
      </c>
    </row>
    <row r="477" spans="1:17" x14ac:dyDescent="0.2">
      <c r="A477" s="69">
        <v>40878</v>
      </c>
      <c r="B477">
        <v>54.1</v>
      </c>
      <c r="C477">
        <v>54</v>
      </c>
      <c r="D477">
        <v>45.5</v>
      </c>
      <c r="E477">
        <v>62.2</v>
      </c>
      <c r="F477">
        <v>55.6</v>
      </c>
      <c r="G477">
        <v>59.5</v>
      </c>
      <c r="H477">
        <v>48.5</v>
      </c>
      <c r="I477">
        <v>51.5</v>
      </c>
      <c r="J477">
        <v>49</v>
      </c>
      <c r="K477">
        <v>51</v>
      </c>
      <c r="L477">
        <v>52.6</v>
      </c>
      <c r="M477">
        <v>1257.599975585938</v>
      </c>
      <c r="O477">
        <v>1.121678183498582E-2</v>
      </c>
      <c r="P477">
        <v>1.52269152413066E-2</v>
      </c>
      <c r="Q477">
        <v>4.5627685349290507E-2</v>
      </c>
    </row>
    <row r="478" spans="1:17" x14ac:dyDescent="0.2">
      <c r="A478" s="69">
        <v>40909</v>
      </c>
      <c r="B478">
        <v>59.5</v>
      </c>
      <c r="C478">
        <v>55</v>
      </c>
      <c r="D478">
        <v>49.5</v>
      </c>
      <c r="E478">
        <v>61.4</v>
      </c>
      <c r="F478">
        <v>58.7</v>
      </c>
      <c r="G478">
        <v>58.5</v>
      </c>
      <c r="H478">
        <v>47</v>
      </c>
      <c r="I478">
        <v>51</v>
      </c>
      <c r="J478">
        <v>54.9</v>
      </c>
      <c r="K478">
        <v>56.5</v>
      </c>
      <c r="L478">
        <v>56</v>
      </c>
      <c r="M478">
        <v>1312.410034179688</v>
      </c>
      <c r="N478">
        <v>16179.968000000001</v>
      </c>
      <c r="O478">
        <v>8.1792284509988062E-3</v>
      </c>
      <c r="P478">
        <v>2.6002492975388428E-2</v>
      </c>
      <c r="Q478">
        <v>3.3120505702169067E-2</v>
      </c>
    </row>
    <row r="479" spans="1:17" x14ac:dyDescent="0.2">
      <c r="A479" s="69">
        <v>40940</v>
      </c>
      <c r="B479">
        <v>59.9</v>
      </c>
      <c r="C479">
        <v>52</v>
      </c>
      <c r="D479">
        <v>53</v>
      </c>
      <c r="E479">
        <v>67.400000000000006</v>
      </c>
      <c r="F479">
        <v>59.9</v>
      </c>
      <c r="G479">
        <v>61.5</v>
      </c>
      <c r="H479">
        <v>53.5</v>
      </c>
      <c r="I479">
        <v>49.5</v>
      </c>
      <c r="J479">
        <v>53.2</v>
      </c>
      <c r="K479">
        <v>54.5</v>
      </c>
      <c r="L479">
        <v>56</v>
      </c>
      <c r="M479">
        <v>1365.680053710938</v>
      </c>
      <c r="O479">
        <v>8.1792284509988062E-3</v>
      </c>
      <c r="P479">
        <v>2.6002492975388428E-2</v>
      </c>
      <c r="Q479">
        <v>3.3120505702169067E-2</v>
      </c>
    </row>
    <row r="480" spans="1:17" x14ac:dyDescent="0.2">
      <c r="A480" s="69">
        <v>40969</v>
      </c>
      <c r="B480">
        <v>57.9</v>
      </c>
      <c r="C480">
        <v>56</v>
      </c>
      <c r="D480">
        <v>49.5</v>
      </c>
      <c r="E480">
        <v>65</v>
      </c>
      <c r="F480">
        <v>58.5</v>
      </c>
      <c r="G480">
        <v>58.5</v>
      </c>
      <c r="H480">
        <v>54</v>
      </c>
      <c r="I480">
        <v>49.5</v>
      </c>
      <c r="J480">
        <v>55.2</v>
      </c>
      <c r="K480">
        <v>52.5</v>
      </c>
      <c r="L480">
        <v>55.6</v>
      </c>
      <c r="M480">
        <v>1408.469970703125</v>
      </c>
      <c r="O480">
        <v>8.1792284509988062E-3</v>
      </c>
      <c r="P480">
        <v>2.6002492975388428E-2</v>
      </c>
      <c r="Q480">
        <v>3.3120505702169067E-2</v>
      </c>
    </row>
    <row r="481" spans="1:17" x14ac:dyDescent="0.2">
      <c r="A481" s="69">
        <v>41000</v>
      </c>
      <c r="B481">
        <v>55.1</v>
      </c>
      <c r="C481">
        <v>56.5</v>
      </c>
      <c r="D481">
        <v>53</v>
      </c>
      <c r="E481">
        <v>56.6</v>
      </c>
      <c r="F481">
        <v>56</v>
      </c>
      <c r="G481">
        <v>61</v>
      </c>
      <c r="H481">
        <v>54</v>
      </c>
      <c r="I481">
        <v>51.5</v>
      </c>
      <c r="J481">
        <v>54.5</v>
      </c>
      <c r="K481">
        <v>58</v>
      </c>
      <c r="L481">
        <v>54.4</v>
      </c>
      <c r="M481">
        <v>1397.910034179688</v>
      </c>
      <c r="N481">
        <v>16253.726000000001</v>
      </c>
      <c r="O481">
        <v>4.5585998686771077E-3</v>
      </c>
      <c r="P481">
        <v>2.3738163497154609E-2</v>
      </c>
      <c r="Q481">
        <v>1.8359463829133341E-2</v>
      </c>
    </row>
    <row r="482" spans="1:17" x14ac:dyDescent="0.2">
      <c r="A482" s="69">
        <v>41030</v>
      </c>
      <c r="B482">
        <v>55.6</v>
      </c>
      <c r="C482">
        <v>53</v>
      </c>
      <c r="D482">
        <v>53</v>
      </c>
      <c r="E482">
        <v>52.8</v>
      </c>
      <c r="F482">
        <v>56.4</v>
      </c>
      <c r="G482">
        <v>63</v>
      </c>
      <c r="H482">
        <v>56</v>
      </c>
      <c r="I482">
        <v>53</v>
      </c>
      <c r="J482">
        <v>51.9</v>
      </c>
      <c r="K482">
        <v>53</v>
      </c>
      <c r="L482">
        <v>54.5</v>
      </c>
      <c r="M482">
        <v>1310.329956054688</v>
      </c>
      <c r="O482">
        <v>4.5585998686771077E-3</v>
      </c>
      <c r="P482">
        <v>2.3738163497154609E-2</v>
      </c>
      <c r="Q482">
        <v>1.8359463829133341E-2</v>
      </c>
    </row>
    <row r="483" spans="1:17" x14ac:dyDescent="0.2">
      <c r="A483" s="69">
        <v>41061</v>
      </c>
      <c r="B483">
        <v>55.7</v>
      </c>
      <c r="C483">
        <v>53.5</v>
      </c>
      <c r="D483">
        <v>47.5</v>
      </c>
      <c r="E483">
        <v>49.7</v>
      </c>
      <c r="F483">
        <v>53.6</v>
      </c>
      <c r="G483">
        <v>64.5</v>
      </c>
      <c r="H483">
        <v>53</v>
      </c>
      <c r="I483">
        <v>51</v>
      </c>
      <c r="J483">
        <v>52.5</v>
      </c>
      <c r="K483">
        <v>49.5</v>
      </c>
      <c r="L483">
        <v>53.7</v>
      </c>
      <c r="M483">
        <v>1362.160034179688</v>
      </c>
      <c r="O483">
        <v>4.5585998686771077E-3</v>
      </c>
      <c r="P483">
        <v>2.3738163497154609E-2</v>
      </c>
      <c r="Q483">
        <v>1.8359463829133341E-2</v>
      </c>
    </row>
    <row r="484" spans="1:17" x14ac:dyDescent="0.2">
      <c r="A484" s="69">
        <v>41091</v>
      </c>
      <c r="B484">
        <v>54.3</v>
      </c>
      <c r="C484">
        <v>44.5</v>
      </c>
      <c r="D484">
        <v>44.5</v>
      </c>
      <c r="E484">
        <v>54.8</v>
      </c>
      <c r="F484">
        <v>56.2</v>
      </c>
      <c r="G484">
        <v>59</v>
      </c>
      <c r="H484">
        <v>54.5</v>
      </c>
      <c r="I484">
        <v>49.5</v>
      </c>
      <c r="J484">
        <v>50.3</v>
      </c>
      <c r="K484">
        <v>51</v>
      </c>
      <c r="L484">
        <v>52.4</v>
      </c>
      <c r="M484">
        <v>1379.319946289062</v>
      </c>
      <c r="N484">
        <v>16282.151</v>
      </c>
      <c r="O484">
        <v>1.748829776015621E-3</v>
      </c>
      <c r="P484">
        <v>2.5926229770563171E-2</v>
      </c>
      <c r="Q484">
        <v>7.0136909414519888E-3</v>
      </c>
    </row>
    <row r="485" spans="1:17" x14ac:dyDescent="0.2">
      <c r="A485" s="69">
        <v>41122</v>
      </c>
      <c r="B485">
        <v>53.6</v>
      </c>
      <c r="C485">
        <v>49.5</v>
      </c>
      <c r="D485">
        <v>50.5</v>
      </c>
      <c r="E485">
        <v>61.8</v>
      </c>
      <c r="F485">
        <v>55.3</v>
      </c>
      <c r="G485">
        <v>67</v>
      </c>
      <c r="H485">
        <v>52.5</v>
      </c>
      <c r="I485">
        <v>51.5</v>
      </c>
      <c r="J485">
        <v>53.3</v>
      </c>
      <c r="K485">
        <v>52</v>
      </c>
      <c r="L485">
        <v>52.9</v>
      </c>
      <c r="M485">
        <v>1406.579956054688</v>
      </c>
      <c r="O485">
        <v>1.748829776015621E-3</v>
      </c>
      <c r="P485">
        <v>2.5926229770563171E-2</v>
      </c>
      <c r="Q485">
        <v>7.0136909414519888E-3</v>
      </c>
    </row>
    <row r="486" spans="1:17" x14ac:dyDescent="0.2">
      <c r="A486" s="69">
        <v>41153</v>
      </c>
      <c r="B486">
        <v>55.6</v>
      </c>
      <c r="C486">
        <v>50</v>
      </c>
      <c r="D486">
        <v>48</v>
      </c>
      <c r="E486">
        <v>65.900000000000006</v>
      </c>
      <c r="F486">
        <v>60.2</v>
      </c>
      <c r="G486">
        <v>65</v>
      </c>
      <c r="H486">
        <v>48.5</v>
      </c>
      <c r="I486">
        <v>51.5</v>
      </c>
      <c r="J486">
        <v>53.2</v>
      </c>
      <c r="K486">
        <v>50.5</v>
      </c>
      <c r="L486">
        <v>54.6</v>
      </c>
      <c r="M486">
        <v>1440.670043945312</v>
      </c>
      <c r="O486">
        <v>1.748829776015621E-3</v>
      </c>
      <c r="P486">
        <v>2.5926229770563171E-2</v>
      </c>
      <c r="Q486">
        <v>7.0136909414519888E-3</v>
      </c>
    </row>
    <row r="487" spans="1:17" x14ac:dyDescent="0.2">
      <c r="A487" s="69">
        <v>41183</v>
      </c>
      <c r="B487">
        <v>55.5</v>
      </c>
      <c r="C487">
        <v>49.5</v>
      </c>
      <c r="D487">
        <v>49</v>
      </c>
      <c r="E487">
        <v>61.7</v>
      </c>
      <c r="F487">
        <v>56.1</v>
      </c>
      <c r="G487">
        <v>64</v>
      </c>
      <c r="H487">
        <v>46.5</v>
      </c>
      <c r="I487">
        <v>51.5</v>
      </c>
      <c r="J487">
        <v>54.7</v>
      </c>
      <c r="K487">
        <v>47.5</v>
      </c>
      <c r="L487">
        <v>54.2</v>
      </c>
      <c r="M487">
        <v>1412.160034179688</v>
      </c>
      <c r="N487">
        <v>16300.035</v>
      </c>
      <c r="O487">
        <v>1.0983806746418219E-3</v>
      </c>
      <c r="P487">
        <v>1.56606434588916E-2</v>
      </c>
      <c r="Q487">
        <v>4.4007666411833854E-3</v>
      </c>
    </row>
    <row r="488" spans="1:17" x14ac:dyDescent="0.2">
      <c r="A488" s="69">
        <v>41214</v>
      </c>
      <c r="B488">
        <v>57.1</v>
      </c>
      <c r="C488">
        <v>55.5</v>
      </c>
      <c r="D488">
        <v>53.5</v>
      </c>
      <c r="E488">
        <v>57.9</v>
      </c>
      <c r="F488">
        <v>60.9</v>
      </c>
      <c r="G488">
        <v>62.5</v>
      </c>
      <c r="H488">
        <v>47</v>
      </c>
      <c r="I488">
        <v>49</v>
      </c>
      <c r="J488">
        <v>53.3</v>
      </c>
      <c r="K488">
        <v>48</v>
      </c>
      <c r="L488">
        <v>54.8</v>
      </c>
      <c r="M488">
        <v>1416.180053710938</v>
      </c>
      <c r="O488">
        <v>1.0983806746418219E-3</v>
      </c>
      <c r="P488">
        <v>1.56606434588916E-2</v>
      </c>
      <c r="Q488">
        <v>4.4007666411833854E-3</v>
      </c>
    </row>
    <row r="489" spans="1:17" x14ac:dyDescent="0.2">
      <c r="A489" s="69">
        <v>41244</v>
      </c>
      <c r="B489">
        <v>58.8</v>
      </c>
      <c r="C489">
        <v>49</v>
      </c>
      <c r="D489">
        <v>49.5</v>
      </c>
      <c r="E489">
        <v>56.9</v>
      </c>
      <c r="F489">
        <v>60</v>
      </c>
      <c r="G489">
        <v>58</v>
      </c>
      <c r="H489">
        <v>50</v>
      </c>
      <c r="I489">
        <v>48.5</v>
      </c>
      <c r="J489">
        <v>55.2</v>
      </c>
      <c r="K489">
        <v>49.5</v>
      </c>
      <c r="L489">
        <v>55.6</v>
      </c>
      <c r="M489">
        <v>1426.18994140625</v>
      </c>
      <c r="O489">
        <v>1.0983806746418219E-3</v>
      </c>
      <c r="P489">
        <v>1.56606434588916E-2</v>
      </c>
      <c r="Q489">
        <v>4.4007666411833854E-3</v>
      </c>
    </row>
    <row r="490" spans="1:17" x14ac:dyDescent="0.2">
      <c r="A490" s="69">
        <v>41275</v>
      </c>
      <c r="B490">
        <v>56.7</v>
      </c>
      <c r="C490">
        <v>51</v>
      </c>
      <c r="D490">
        <v>49</v>
      </c>
      <c r="E490">
        <v>57.4</v>
      </c>
      <c r="F490">
        <v>56.4</v>
      </c>
      <c r="G490">
        <v>64</v>
      </c>
      <c r="H490">
        <v>47</v>
      </c>
      <c r="I490">
        <v>52.5</v>
      </c>
      <c r="J490">
        <v>55.6</v>
      </c>
      <c r="K490">
        <v>55.5</v>
      </c>
      <c r="L490">
        <v>55.3</v>
      </c>
      <c r="M490">
        <v>1498.109985351562</v>
      </c>
      <c r="N490">
        <v>16441.485000000001</v>
      </c>
      <c r="O490">
        <v>8.6778954769115967E-3</v>
      </c>
      <c r="P490">
        <v>1.6163010952802859E-2</v>
      </c>
      <c r="Q490">
        <v>3.5166036783941028E-2</v>
      </c>
    </row>
    <row r="491" spans="1:17" x14ac:dyDescent="0.2">
      <c r="A491" s="69">
        <v>41306</v>
      </c>
      <c r="B491">
        <v>58.9</v>
      </c>
      <c r="C491">
        <v>52.5</v>
      </c>
      <c r="D491">
        <v>54.5</v>
      </c>
      <c r="E491">
        <v>61</v>
      </c>
      <c r="F491">
        <v>56.3</v>
      </c>
      <c r="G491">
        <v>62.5</v>
      </c>
      <c r="H491">
        <v>54</v>
      </c>
      <c r="I491">
        <v>51.5</v>
      </c>
      <c r="J491">
        <v>55.5</v>
      </c>
      <c r="K491">
        <v>60.5</v>
      </c>
      <c r="L491">
        <v>56.1</v>
      </c>
      <c r="M491">
        <v>1514.680053710938</v>
      </c>
      <c r="O491">
        <v>8.6778954769115967E-3</v>
      </c>
      <c r="P491">
        <v>1.6163010952802859E-2</v>
      </c>
      <c r="Q491">
        <v>3.5166036783941028E-2</v>
      </c>
    </row>
    <row r="492" spans="1:17" x14ac:dyDescent="0.2">
      <c r="A492" s="69">
        <v>41334</v>
      </c>
      <c r="B492">
        <v>56.5</v>
      </c>
      <c r="C492">
        <v>57.5</v>
      </c>
      <c r="D492">
        <v>54.5</v>
      </c>
      <c r="E492">
        <v>56.2</v>
      </c>
      <c r="F492">
        <v>56.6</v>
      </c>
      <c r="G492">
        <v>59.5</v>
      </c>
      <c r="H492">
        <v>51.5</v>
      </c>
      <c r="I492">
        <v>53</v>
      </c>
      <c r="J492">
        <v>53.2</v>
      </c>
      <c r="K492">
        <v>56.5</v>
      </c>
      <c r="L492">
        <v>55.2</v>
      </c>
      <c r="M492">
        <v>1569.18994140625</v>
      </c>
      <c r="O492">
        <v>8.6778954769115967E-3</v>
      </c>
      <c r="P492">
        <v>1.6163010952802859E-2</v>
      </c>
      <c r="Q492">
        <v>3.5166036783941028E-2</v>
      </c>
    </row>
    <row r="493" spans="1:17" x14ac:dyDescent="0.2">
      <c r="A493" s="69">
        <v>41365</v>
      </c>
      <c r="B493">
        <v>55.4</v>
      </c>
      <c r="C493">
        <v>58.5</v>
      </c>
      <c r="D493">
        <v>51.5</v>
      </c>
      <c r="E493">
        <v>52.7</v>
      </c>
      <c r="F493">
        <v>55.9</v>
      </c>
      <c r="G493">
        <v>60.5</v>
      </c>
      <c r="H493">
        <v>56</v>
      </c>
      <c r="I493">
        <v>51</v>
      </c>
      <c r="J493">
        <v>52.6</v>
      </c>
      <c r="K493">
        <v>53.5</v>
      </c>
      <c r="L493">
        <v>53.9</v>
      </c>
      <c r="M493">
        <v>1597.569946289062</v>
      </c>
      <c r="N493">
        <v>16464.401999999998</v>
      </c>
      <c r="O493">
        <v>1.393852197657185E-3</v>
      </c>
      <c r="P493">
        <v>1.2961704903847749E-2</v>
      </c>
      <c r="Q493">
        <v>5.5870765701340197E-3</v>
      </c>
    </row>
    <row r="494" spans="1:17" x14ac:dyDescent="0.2">
      <c r="A494" s="69">
        <v>41395</v>
      </c>
      <c r="B494">
        <v>56.1</v>
      </c>
      <c r="C494">
        <v>49.5</v>
      </c>
      <c r="D494">
        <v>51.5</v>
      </c>
      <c r="E494">
        <v>52.6</v>
      </c>
      <c r="F494">
        <v>57</v>
      </c>
      <c r="G494">
        <v>62.5</v>
      </c>
      <c r="H494">
        <v>51.5</v>
      </c>
      <c r="I494">
        <v>52</v>
      </c>
      <c r="J494">
        <v>50.3</v>
      </c>
      <c r="K494">
        <v>50</v>
      </c>
      <c r="L494">
        <v>54.4</v>
      </c>
      <c r="M494">
        <v>1630.739990234375</v>
      </c>
      <c r="O494">
        <v>1.393852197657185E-3</v>
      </c>
      <c r="P494">
        <v>1.2961704903847749E-2</v>
      </c>
      <c r="Q494">
        <v>5.5870765701340197E-3</v>
      </c>
    </row>
    <row r="495" spans="1:17" x14ac:dyDescent="0.2">
      <c r="A495" s="69">
        <v>41426</v>
      </c>
      <c r="B495">
        <v>54.1</v>
      </c>
      <c r="C495">
        <v>53.5</v>
      </c>
      <c r="D495">
        <v>52</v>
      </c>
      <c r="E495">
        <v>54.8</v>
      </c>
      <c r="F495">
        <v>53.3</v>
      </c>
      <c r="G495">
        <v>61.5</v>
      </c>
      <c r="H495">
        <v>54.5</v>
      </c>
      <c r="I495">
        <v>51.5</v>
      </c>
      <c r="J495">
        <v>54.9</v>
      </c>
      <c r="K495">
        <v>47.5</v>
      </c>
      <c r="L495">
        <v>54.1</v>
      </c>
      <c r="M495">
        <v>1606.280029296875</v>
      </c>
      <c r="O495">
        <v>1.393852197657185E-3</v>
      </c>
      <c r="P495">
        <v>1.2961704903847749E-2</v>
      </c>
      <c r="Q495">
        <v>5.5870765701340197E-3</v>
      </c>
    </row>
    <row r="496" spans="1:17" x14ac:dyDescent="0.2">
      <c r="A496" s="69">
        <v>41456</v>
      </c>
      <c r="B496">
        <v>55.3</v>
      </c>
      <c r="C496">
        <v>50.5</v>
      </c>
      <c r="D496">
        <v>46.5</v>
      </c>
      <c r="E496">
        <v>56.9</v>
      </c>
      <c r="F496">
        <v>59.5</v>
      </c>
      <c r="G496">
        <v>64</v>
      </c>
      <c r="H496">
        <v>53.5</v>
      </c>
      <c r="I496">
        <v>52.5</v>
      </c>
      <c r="J496">
        <v>53.9</v>
      </c>
      <c r="K496">
        <v>49.5</v>
      </c>
      <c r="L496">
        <v>54.9</v>
      </c>
      <c r="M496">
        <v>1685.72998046875</v>
      </c>
      <c r="N496">
        <v>16594.742999999999</v>
      </c>
      <c r="O496">
        <v>7.9165341079500094E-3</v>
      </c>
      <c r="P496">
        <v>1.919844620038217E-2</v>
      </c>
      <c r="Q496">
        <v>3.2044153997870417E-2</v>
      </c>
    </row>
    <row r="497" spans="1:17" x14ac:dyDescent="0.2">
      <c r="A497" s="69">
        <v>41487</v>
      </c>
      <c r="B497">
        <v>57.8</v>
      </c>
      <c r="C497">
        <v>55</v>
      </c>
      <c r="D497">
        <v>50.5</v>
      </c>
      <c r="E497">
        <v>53.2</v>
      </c>
      <c r="F497">
        <v>61</v>
      </c>
      <c r="G497">
        <v>63.5</v>
      </c>
      <c r="H497">
        <v>56</v>
      </c>
      <c r="I497">
        <v>54.5</v>
      </c>
      <c r="J497">
        <v>56.3</v>
      </c>
      <c r="K497">
        <v>50.5</v>
      </c>
      <c r="L497">
        <v>56.6</v>
      </c>
      <c r="M497">
        <v>1632.969970703125</v>
      </c>
      <c r="O497">
        <v>7.9165341079500094E-3</v>
      </c>
      <c r="P497">
        <v>1.919844620038217E-2</v>
      </c>
      <c r="Q497">
        <v>3.2044153997870417E-2</v>
      </c>
    </row>
    <row r="498" spans="1:17" x14ac:dyDescent="0.2">
      <c r="A498" s="69">
        <v>41518</v>
      </c>
      <c r="B498">
        <v>57.1</v>
      </c>
      <c r="C498">
        <v>51.5</v>
      </c>
      <c r="D498">
        <v>50.5</v>
      </c>
      <c r="E498">
        <v>57</v>
      </c>
      <c r="F498">
        <v>55.8</v>
      </c>
      <c r="G498">
        <v>62</v>
      </c>
      <c r="H498">
        <v>54.5</v>
      </c>
      <c r="I498">
        <v>50</v>
      </c>
      <c r="J498">
        <v>54.1</v>
      </c>
      <c r="K498">
        <v>57.5</v>
      </c>
      <c r="L498">
        <v>53.6</v>
      </c>
      <c r="M498">
        <v>1681.550048828125</v>
      </c>
      <c r="O498">
        <v>7.9165341079500094E-3</v>
      </c>
      <c r="P498">
        <v>1.919844620038217E-2</v>
      </c>
      <c r="Q498">
        <v>3.2044153997870417E-2</v>
      </c>
    </row>
    <row r="499" spans="1:17" x14ac:dyDescent="0.2">
      <c r="A499" s="69">
        <v>41548</v>
      </c>
      <c r="B499">
        <v>56</v>
      </c>
      <c r="C499">
        <v>55</v>
      </c>
      <c r="D499">
        <v>50</v>
      </c>
      <c r="E499">
        <v>56.7</v>
      </c>
      <c r="F499">
        <v>58.9</v>
      </c>
      <c r="G499">
        <v>62.5</v>
      </c>
      <c r="H499">
        <v>54.5</v>
      </c>
      <c r="I499">
        <v>49</v>
      </c>
      <c r="J499">
        <v>56</v>
      </c>
      <c r="K499">
        <v>53</v>
      </c>
      <c r="L499">
        <v>54.5</v>
      </c>
      <c r="M499">
        <v>1756.5400390625</v>
      </c>
      <c r="N499">
        <v>16712.759999999998</v>
      </c>
      <c r="O499">
        <v>7.1117100156356649E-3</v>
      </c>
      <c r="P499">
        <v>2.532049777807217E-2</v>
      </c>
      <c r="Q499">
        <v>2.875173987590807E-2</v>
      </c>
    </row>
    <row r="500" spans="1:17" x14ac:dyDescent="0.2">
      <c r="A500" s="69">
        <v>41579</v>
      </c>
      <c r="B500">
        <v>55.4</v>
      </c>
      <c r="C500">
        <v>55</v>
      </c>
      <c r="D500">
        <v>49</v>
      </c>
      <c r="E500">
        <v>52.9</v>
      </c>
      <c r="F500">
        <v>55.3</v>
      </c>
      <c r="G500">
        <v>60.5</v>
      </c>
      <c r="H500">
        <v>54</v>
      </c>
      <c r="I500">
        <v>51</v>
      </c>
      <c r="J500">
        <v>54.5</v>
      </c>
      <c r="K500">
        <v>58</v>
      </c>
      <c r="L500">
        <v>53.8</v>
      </c>
      <c r="M500">
        <v>1805.81005859375</v>
      </c>
      <c r="O500">
        <v>7.1117100156356649E-3</v>
      </c>
      <c r="P500">
        <v>2.532049777807217E-2</v>
      </c>
      <c r="Q500">
        <v>2.875173987590807E-2</v>
      </c>
    </row>
    <row r="501" spans="1:17" x14ac:dyDescent="0.2">
      <c r="A501" s="69">
        <v>41609</v>
      </c>
      <c r="B501">
        <v>50.2</v>
      </c>
      <c r="C501">
        <v>50.5</v>
      </c>
      <c r="D501">
        <v>46</v>
      </c>
      <c r="E501">
        <v>56</v>
      </c>
      <c r="F501">
        <v>54.3</v>
      </c>
      <c r="G501">
        <v>57.5</v>
      </c>
      <c r="H501">
        <v>48</v>
      </c>
      <c r="I501">
        <v>51.5</v>
      </c>
      <c r="J501">
        <v>55.6</v>
      </c>
      <c r="K501">
        <v>51.5</v>
      </c>
      <c r="L501">
        <v>52.9</v>
      </c>
      <c r="M501">
        <v>1848.359985351562</v>
      </c>
      <c r="O501">
        <v>7.1117100156356649E-3</v>
      </c>
      <c r="P501">
        <v>2.532049777807217E-2</v>
      </c>
      <c r="Q501">
        <v>2.875173987590807E-2</v>
      </c>
    </row>
    <row r="502" spans="1:17" x14ac:dyDescent="0.2">
      <c r="A502" s="69">
        <v>41640</v>
      </c>
      <c r="B502">
        <v>52.9</v>
      </c>
      <c r="C502">
        <v>48</v>
      </c>
      <c r="D502">
        <v>49</v>
      </c>
      <c r="E502">
        <v>58.1</v>
      </c>
      <c r="F502">
        <v>56.3</v>
      </c>
      <c r="G502">
        <v>63</v>
      </c>
      <c r="H502">
        <v>50.5</v>
      </c>
      <c r="I502">
        <v>52.5</v>
      </c>
      <c r="J502">
        <v>56.4</v>
      </c>
      <c r="K502">
        <v>49</v>
      </c>
      <c r="L502">
        <v>54.7</v>
      </c>
      <c r="M502">
        <v>1782.589965820312</v>
      </c>
      <c r="N502">
        <v>16654.246999999999</v>
      </c>
      <c r="O502">
        <v>-3.5010973651269459E-3</v>
      </c>
      <c r="P502">
        <v>1.294055859309538E-2</v>
      </c>
      <c r="Q502">
        <v>-1.393101487505966E-2</v>
      </c>
    </row>
    <row r="503" spans="1:17" x14ac:dyDescent="0.2">
      <c r="A503" s="69">
        <v>41671</v>
      </c>
      <c r="B503">
        <v>54.4</v>
      </c>
      <c r="C503">
        <v>47</v>
      </c>
      <c r="D503">
        <v>52</v>
      </c>
      <c r="E503">
        <v>56.9</v>
      </c>
      <c r="F503">
        <v>54.6</v>
      </c>
      <c r="G503">
        <v>62</v>
      </c>
      <c r="H503">
        <v>50.5</v>
      </c>
      <c r="I503">
        <v>53</v>
      </c>
      <c r="J503">
        <v>47.5</v>
      </c>
      <c r="K503">
        <v>47.5</v>
      </c>
      <c r="L503">
        <v>53</v>
      </c>
      <c r="M503">
        <v>1859.449951171875</v>
      </c>
      <c r="O503">
        <v>-3.5010973651269459E-3</v>
      </c>
      <c r="P503">
        <v>1.294055859309538E-2</v>
      </c>
      <c r="Q503">
        <v>-1.393101487505966E-2</v>
      </c>
    </row>
    <row r="504" spans="1:17" x14ac:dyDescent="0.2">
      <c r="A504" s="69">
        <v>41699</v>
      </c>
      <c r="B504">
        <v>55.3</v>
      </c>
      <c r="C504">
        <v>50.5</v>
      </c>
      <c r="D504">
        <v>51.5</v>
      </c>
      <c r="E504">
        <v>58.4</v>
      </c>
      <c r="F504">
        <v>53.4</v>
      </c>
      <c r="G504">
        <v>60.5</v>
      </c>
      <c r="H504">
        <v>48</v>
      </c>
      <c r="I504">
        <v>52</v>
      </c>
      <c r="J504">
        <v>53.6</v>
      </c>
      <c r="K504">
        <v>49.5</v>
      </c>
      <c r="L504">
        <v>54.2</v>
      </c>
      <c r="M504">
        <v>1872.339965820312</v>
      </c>
      <c r="O504">
        <v>-3.5010973651269459E-3</v>
      </c>
      <c r="P504">
        <v>1.294055859309538E-2</v>
      </c>
      <c r="Q504">
        <v>-1.393101487505966E-2</v>
      </c>
    </row>
    <row r="505" spans="1:17" x14ac:dyDescent="0.2">
      <c r="A505" s="69">
        <v>41730</v>
      </c>
      <c r="B505">
        <v>58</v>
      </c>
      <c r="C505">
        <v>55.5</v>
      </c>
      <c r="D505">
        <v>49</v>
      </c>
      <c r="E505">
        <v>60.5</v>
      </c>
      <c r="F505">
        <v>60.9</v>
      </c>
      <c r="G505">
        <v>65</v>
      </c>
      <c r="H505">
        <v>55.5</v>
      </c>
      <c r="I505">
        <v>50.5</v>
      </c>
      <c r="J505">
        <v>51.3</v>
      </c>
      <c r="K505">
        <v>57</v>
      </c>
      <c r="L505">
        <v>55.2</v>
      </c>
      <c r="M505">
        <v>1883.949951171875</v>
      </c>
      <c r="N505">
        <v>16868.109</v>
      </c>
      <c r="O505">
        <v>1.2841289071790579E-2</v>
      </c>
      <c r="P505">
        <v>2.45199916765882E-2</v>
      </c>
      <c r="Q505">
        <v>5.2363045756652182E-2</v>
      </c>
    </row>
    <row r="506" spans="1:17" x14ac:dyDescent="0.2">
      <c r="A506" s="69">
        <v>41760</v>
      </c>
      <c r="B506">
        <v>60.2</v>
      </c>
      <c r="C506">
        <v>55.5</v>
      </c>
      <c r="D506">
        <v>54</v>
      </c>
      <c r="E506">
        <v>58.7</v>
      </c>
      <c r="F506">
        <v>62.1</v>
      </c>
      <c r="G506">
        <v>63</v>
      </c>
      <c r="H506">
        <v>55.5</v>
      </c>
      <c r="I506">
        <v>50</v>
      </c>
      <c r="J506">
        <v>52.4</v>
      </c>
      <c r="K506">
        <v>53</v>
      </c>
      <c r="L506">
        <v>56.9</v>
      </c>
      <c r="M506">
        <v>1923.569946289062</v>
      </c>
      <c r="O506">
        <v>1.2841289071790579E-2</v>
      </c>
      <c r="P506">
        <v>2.45199916765882E-2</v>
      </c>
      <c r="Q506">
        <v>5.2363045756652182E-2</v>
      </c>
    </row>
    <row r="507" spans="1:17" x14ac:dyDescent="0.2">
      <c r="A507" s="69">
        <v>41791</v>
      </c>
      <c r="B507">
        <v>60.9</v>
      </c>
      <c r="C507">
        <v>53</v>
      </c>
      <c r="D507">
        <v>53</v>
      </c>
      <c r="E507">
        <v>59.3</v>
      </c>
      <c r="F507">
        <v>57.5</v>
      </c>
      <c r="G507">
        <v>60.5</v>
      </c>
      <c r="H507">
        <v>53.5</v>
      </c>
      <c r="I507">
        <v>51</v>
      </c>
      <c r="J507">
        <v>54.4</v>
      </c>
      <c r="K507">
        <v>55</v>
      </c>
      <c r="L507">
        <v>56.6</v>
      </c>
      <c r="M507">
        <v>1960.22998046875</v>
      </c>
      <c r="O507">
        <v>1.2841289071790579E-2</v>
      </c>
      <c r="P507">
        <v>2.45199916765882E-2</v>
      </c>
      <c r="Q507">
        <v>5.2363045756652182E-2</v>
      </c>
    </row>
    <row r="508" spans="1:17" x14ac:dyDescent="0.2">
      <c r="A508" s="69">
        <v>41821</v>
      </c>
      <c r="B508">
        <v>60.7</v>
      </c>
      <c r="C508">
        <v>54.5</v>
      </c>
      <c r="D508">
        <v>53</v>
      </c>
      <c r="E508">
        <v>59.1</v>
      </c>
      <c r="F508">
        <v>62.4</v>
      </c>
      <c r="G508">
        <v>58</v>
      </c>
      <c r="H508">
        <v>51</v>
      </c>
      <c r="I508">
        <v>51.5</v>
      </c>
      <c r="J508">
        <v>56</v>
      </c>
      <c r="K508">
        <v>53</v>
      </c>
      <c r="L508">
        <v>57.1</v>
      </c>
      <c r="M508">
        <v>1930.670043945312</v>
      </c>
      <c r="N508">
        <v>17064.616000000002</v>
      </c>
      <c r="O508">
        <v>1.1649616444854689E-2</v>
      </c>
      <c r="P508">
        <v>2.831456925846958E-2</v>
      </c>
      <c r="Q508">
        <v>4.7419089621299371E-2</v>
      </c>
    </row>
    <row r="509" spans="1:17" x14ac:dyDescent="0.2">
      <c r="A509" s="69">
        <v>41852</v>
      </c>
      <c r="B509">
        <v>61.4</v>
      </c>
      <c r="C509">
        <v>51</v>
      </c>
      <c r="D509">
        <v>54.5</v>
      </c>
      <c r="E509">
        <v>57.5</v>
      </c>
      <c r="F509">
        <v>65</v>
      </c>
      <c r="G509">
        <v>55</v>
      </c>
      <c r="H509">
        <v>51</v>
      </c>
      <c r="I509">
        <v>52.5</v>
      </c>
      <c r="J509">
        <v>57.1</v>
      </c>
      <c r="K509">
        <v>52.5</v>
      </c>
      <c r="L509">
        <v>58</v>
      </c>
      <c r="M509">
        <v>2003.369995117188</v>
      </c>
      <c r="O509">
        <v>1.1649616444854689E-2</v>
      </c>
      <c r="P509">
        <v>2.831456925846958E-2</v>
      </c>
      <c r="Q509">
        <v>4.7419089621299371E-2</v>
      </c>
    </row>
    <row r="510" spans="1:17" x14ac:dyDescent="0.2">
      <c r="A510" s="69">
        <v>41883</v>
      </c>
      <c r="B510">
        <v>59.9</v>
      </c>
      <c r="C510">
        <v>52.5</v>
      </c>
      <c r="D510">
        <v>52</v>
      </c>
      <c r="E510">
        <v>55.3</v>
      </c>
      <c r="F510">
        <v>62.9</v>
      </c>
      <c r="G510">
        <v>60</v>
      </c>
      <c r="H510">
        <v>52</v>
      </c>
      <c r="I510">
        <v>52</v>
      </c>
      <c r="J510">
        <v>58.5</v>
      </c>
      <c r="K510">
        <v>57.5</v>
      </c>
      <c r="L510">
        <v>57.4</v>
      </c>
      <c r="M510">
        <v>1972.2900390625</v>
      </c>
      <c r="O510">
        <v>1.1649616444854689E-2</v>
      </c>
      <c r="P510">
        <v>2.831456925846958E-2</v>
      </c>
      <c r="Q510">
        <v>4.7419089621299371E-2</v>
      </c>
    </row>
    <row r="511" spans="1:17" x14ac:dyDescent="0.2">
      <c r="A511" s="69">
        <v>41913</v>
      </c>
      <c r="B511">
        <v>58.5</v>
      </c>
      <c r="C511">
        <v>56</v>
      </c>
      <c r="D511">
        <v>51.5</v>
      </c>
      <c r="E511">
        <v>52.3</v>
      </c>
      <c r="F511">
        <v>60</v>
      </c>
      <c r="G511">
        <v>58.5</v>
      </c>
      <c r="H511">
        <v>49.5</v>
      </c>
      <c r="I511">
        <v>49.5</v>
      </c>
      <c r="J511">
        <v>59.6</v>
      </c>
      <c r="K511">
        <v>53.5</v>
      </c>
      <c r="L511">
        <v>56</v>
      </c>
      <c r="M511">
        <v>2018.050048828125</v>
      </c>
      <c r="N511">
        <v>17141.235000000001</v>
      </c>
      <c r="O511">
        <v>4.4899340248851054E-3</v>
      </c>
      <c r="P511">
        <v>2.5637596662669859E-2</v>
      </c>
      <c r="Q511">
        <v>1.808105561066875E-2</v>
      </c>
    </row>
    <row r="512" spans="1:17" x14ac:dyDescent="0.2">
      <c r="A512" s="69">
        <v>41944</v>
      </c>
      <c r="B512">
        <v>61.4</v>
      </c>
      <c r="C512">
        <v>53.5</v>
      </c>
      <c r="D512">
        <v>55.5</v>
      </c>
      <c r="E512">
        <v>54.3</v>
      </c>
      <c r="F512">
        <v>64.400000000000006</v>
      </c>
      <c r="G512">
        <v>63</v>
      </c>
      <c r="H512">
        <v>55.5</v>
      </c>
      <c r="I512">
        <v>54.5</v>
      </c>
      <c r="J512">
        <v>56.7</v>
      </c>
      <c r="K512">
        <v>57</v>
      </c>
      <c r="L512">
        <v>58.7</v>
      </c>
      <c r="M512">
        <v>2067.56005859375</v>
      </c>
      <c r="O512">
        <v>4.4899340248851054E-3</v>
      </c>
      <c r="P512">
        <v>2.5637596662669859E-2</v>
      </c>
      <c r="Q512">
        <v>1.808105561066875E-2</v>
      </c>
    </row>
    <row r="513" spans="1:17" x14ac:dyDescent="0.2">
      <c r="A513" s="69">
        <v>41974</v>
      </c>
      <c r="B513">
        <v>58.7</v>
      </c>
      <c r="C513">
        <v>50</v>
      </c>
      <c r="D513">
        <v>49.5</v>
      </c>
      <c r="E513">
        <v>50.3</v>
      </c>
      <c r="F513">
        <v>57.2</v>
      </c>
      <c r="G513">
        <v>59</v>
      </c>
      <c r="H513">
        <v>50</v>
      </c>
      <c r="I513">
        <v>52.5</v>
      </c>
      <c r="J513">
        <v>56</v>
      </c>
      <c r="K513">
        <v>53.5</v>
      </c>
      <c r="L513">
        <v>56.4</v>
      </c>
      <c r="M513">
        <v>2058.89990234375</v>
      </c>
      <c r="O513">
        <v>4.4899340248851054E-3</v>
      </c>
      <c r="P513">
        <v>2.5637596662669859E-2</v>
      </c>
      <c r="Q513">
        <v>1.808105561066875E-2</v>
      </c>
    </row>
    <row r="514" spans="1:17" x14ac:dyDescent="0.2">
      <c r="A514" s="69">
        <v>42005</v>
      </c>
      <c r="B514">
        <v>60.5</v>
      </c>
      <c r="C514">
        <v>46.5</v>
      </c>
      <c r="D514">
        <v>49</v>
      </c>
      <c r="E514">
        <v>47.1</v>
      </c>
      <c r="F514">
        <v>61.5</v>
      </c>
      <c r="G514">
        <v>61.5</v>
      </c>
      <c r="H514">
        <v>52.5</v>
      </c>
      <c r="I514">
        <v>54</v>
      </c>
      <c r="J514">
        <v>51.6</v>
      </c>
      <c r="K514">
        <v>52.5</v>
      </c>
      <c r="L514">
        <v>57.3</v>
      </c>
      <c r="M514">
        <v>1994.989990234375</v>
      </c>
      <c r="N514">
        <v>17280.647000000001</v>
      </c>
      <c r="O514">
        <v>8.1331362646857273E-3</v>
      </c>
      <c r="P514">
        <v>3.7612027730824553E-2</v>
      </c>
      <c r="Q514">
        <v>3.2931588827004088E-2</v>
      </c>
    </row>
    <row r="515" spans="1:17" x14ac:dyDescent="0.2">
      <c r="A515" s="69">
        <v>42036</v>
      </c>
      <c r="B515">
        <v>58.8</v>
      </c>
      <c r="C515">
        <v>51</v>
      </c>
      <c r="D515">
        <v>53</v>
      </c>
      <c r="E515">
        <v>50.7</v>
      </c>
      <c r="F515">
        <v>59.4</v>
      </c>
      <c r="G515">
        <v>62</v>
      </c>
      <c r="H515">
        <v>54.5</v>
      </c>
      <c r="I515">
        <v>55</v>
      </c>
      <c r="J515">
        <v>56.4</v>
      </c>
      <c r="K515">
        <v>53</v>
      </c>
      <c r="L515">
        <v>57.6</v>
      </c>
      <c r="M515">
        <v>2104.5</v>
      </c>
      <c r="O515">
        <v>8.1331362646857273E-3</v>
      </c>
      <c r="P515">
        <v>3.7612027730824553E-2</v>
      </c>
      <c r="Q515">
        <v>3.2931588827004088E-2</v>
      </c>
    </row>
    <row r="516" spans="1:17" x14ac:dyDescent="0.2">
      <c r="A516" s="69">
        <v>42064</v>
      </c>
      <c r="B516">
        <v>58.9</v>
      </c>
      <c r="C516">
        <v>55.5</v>
      </c>
      <c r="D516">
        <v>53.5</v>
      </c>
      <c r="E516">
        <v>53.3</v>
      </c>
      <c r="F516">
        <v>57.5</v>
      </c>
      <c r="G516">
        <v>61</v>
      </c>
      <c r="H516">
        <v>49.5</v>
      </c>
      <c r="I516">
        <v>54</v>
      </c>
      <c r="J516">
        <v>56.6</v>
      </c>
      <c r="K516">
        <v>59</v>
      </c>
      <c r="L516">
        <v>57.5</v>
      </c>
      <c r="M516">
        <v>2067.889892578125</v>
      </c>
      <c r="O516">
        <v>8.1331362646857273E-3</v>
      </c>
      <c r="P516">
        <v>3.7612027730824553E-2</v>
      </c>
      <c r="Q516">
        <v>3.2931588827004088E-2</v>
      </c>
    </row>
    <row r="517" spans="1:17" x14ac:dyDescent="0.2">
      <c r="A517" s="69">
        <v>42095</v>
      </c>
      <c r="B517">
        <v>58.7</v>
      </c>
      <c r="C517">
        <v>51.5</v>
      </c>
      <c r="D517">
        <v>54.5</v>
      </c>
      <c r="E517">
        <v>50.2</v>
      </c>
      <c r="F517">
        <v>61.6</v>
      </c>
      <c r="G517">
        <v>59.5</v>
      </c>
      <c r="H517">
        <v>51</v>
      </c>
      <c r="I517">
        <v>53.5</v>
      </c>
      <c r="J517">
        <v>56.7</v>
      </c>
      <c r="K517">
        <v>48.5</v>
      </c>
      <c r="L517">
        <v>57.5</v>
      </c>
      <c r="M517">
        <v>2085.510009765625</v>
      </c>
      <c r="N517">
        <v>17380.875</v>
      </c>
      <c r="O517">
        <v>5.800014316593537E-3</v>
      </c>
      <c r="P517">
        <v>3.0398546748778989E-2</v>
      </c>
      <c r="Q517">
        <v>2.3402679848250289E-2</v>
      </c>
    </row>
    <row r="518" spans="1:17" x14ac:dyDescent="0.2">
      <c r="A518" s="69">
        <v>42125</v>
      </c>
      <c r="B518">
        <v>58.4</v>
      </c>
      <c r="C518">
        <v>53.5</v>
      </c>
      <c r="D518">
        <v>48.5</v>
      </c>
      <c r="E518">
        <v>54</v>
      </c>
      <c r="F518">
        <v>59.5</v>
      </c>
      <c r="G518">
        <v>59</v>
      </c>
      <c r="H518">
        <v>51</v>
      </c>
      <c r="I518">
        <v>50</v>
      </c>
      <c r="J518">
        <v>55.3</v>
      </c>
      <c r="K518">
        <v>55</v>
      </c>
      <c r="L518">
        <v>56.8</v>
      </c>
      <c r="M518">
        <v>2107.389892578125</v>
      </c>
      <c r="O518">
        <v>5.800014316593537E-3</v>
      </c>
      <c r="P518">
        <v>3.0398546748778989E-2</v>
      </c>
      <c r="Q518">
        <v>2.3402679848250289E-2</v>
      </c>
    </row>
    <row r="519" spans="1:17" x14ac:dyDescent="0.2">
      <c r="A519" s="69">
        <v>42156</v>
      </c>
      <c r="B519">
        <v>58.3</v>
      </c>
      <c r="C519">
        <v>48</v>
      </c>
      <c r="D519">
        <v>50.5</v>
      </c>
      <c r="E519">
        <v>52.3</v>
      </c>
      <c r="F519">
        <v>61.5</v>
      </c>
      <c r="G519">
        <v>65</v>
      </c>
      <c r="H519">
        <v>55</v>
      </c>
      <c r="I519">
        <v>51.5</v>
      </c>
      <c r="J519">
        <v>52.7</v>
      </c>
      <c r="K519">
        <v>52</v>
      </c>
      <c r="L519">
        <v>56</v>
      </c>
      <c r="M519">
        <v>2063.110107421875</v>
      </c>
      <c r="O519">
        <v>5.800014316593537E-3</v>
      </c>
      <c r="P519">
        <v>3.0398546748778989E-2</v>
      </c>
      <c r="Q519">
        <v>2.3402679848250289E-2</v>
      </c>
    </row>
    <row r="520" spans="1:17" x14ac:dyDescent="0.2">
      <c r="A520" s="69">
        <v>42186</v>
      </c>
      <c r="B520">
        <v>60.9</v>
      </c>
      <c r="C520">
        <v>50.5</v>
      </c>
      <c r="D520">
        <v>54</v>
      </c>
      <c r="E520">
        <v>52.8</v>
      </c>
      <c r="F520">
        <v>64.900000000000006</v>
      </c>
      <c r="G520">
        <v>63.5</v>
      </c>
      <c r="H520">
        <v>57</v>
      </c>
      <c r="I520">
        <v>53</v>
      </c>
      <c r="J520">
        <v>59.6</v>
      </c>
      <c r="K520">
        <v>56.5</v>
      </c>
      <c r="L520">
        <v>59.3</v>
      </c>
      <c r="M520">
        <v>2103.840087890625</v>
      </c>
      <c r="N520">
        <v>17437.080000000002</v>
      </c>
      <c r="O520">
        <v>3.233726725495796E-3</v>
      </c>
      <c r="P520">
        <v>2.1826685112633061E-2</v>
      </c>
      <c r="Q520">
        <v>1.299778420271624E-2</v>
      </c>
    </row>
    <row r="521" spans="1:17" x14ac:dyDescent="0.2">
      <c r="A521" s="69">
        <v>42217</v>
      </c>
      <c r="B521">
        <v>62.7</v>
      </c>
      <c r="C521">
        <v>51.5</v>
      </c>
      <c r="D521">
        <v>56.5</v>
      </c>
      <c r="E521">
        <v>50.9</v>
      </c>
      <c r="F521">
        <v>63.9</v>
      </c>
      <c r="G521">
        <v>69</v>
      </c>
      <c r="H521">
        <v>54.5</v>
      </c>
      <c r="I521">
        <v>52.5</v>
      </c>
      <c r="J521">
        <v>56</v>
      </c>
      <c r="K521">
        <v>52</v>
      </c>
      <c r="L521">
        <v>58.4</v>
      </c>
      <c r="M521">
        <v>1972.180053710938</v>
      </c>
      <c r="O521">
        <v>3.233726725495796E-3</v>
      </c>
      <c r="P521">
        <v>2.1826685112633061E-2</v>
      </c>
      <c r="Q521">
        <v>1.299778420271624E-2</v>
      </c>
    </row>
    <row r="522" spans="1:17" x14ac:dyDescent="0.2">
      <c r="A522" s="69">
        <v>42248</v>
      </c>
      <c r="B522">
        <v>56</v>
      </c>
      <c r="C522">
        <v>53</v>
      </c>
      <c r="D522">
        <v>54.5</v>
      </c>
      <c r="E522">
        <v>48.7</v>
      </c>
      <c r="F522">
        <v>60.2</v>
      </c>
      <c r="G522">
        <v>65</v>
      </c>
      <c r="H522">
        <v>51</v>
      </c>
      <c r="I522">
        <v>52.5</v>
      </c>
      <c r="J522">
        <v>58.3</v>
      </c>
      <c r="K522">
        <v>52.5</v>
      </c>
      <c r="L522">
        <v>56.1</v>
      </c>
      <c r="M522">
        <v>1920.030029296875</v>
      </c>
      <c r="O522">
        <v>3.233726725495796E-3</v>
      </c>
      <c r="P522">
        <v>2.1826685112633061E-2</v>
      </c>
      <c r="Q522">
        <v>1.299778420271624E-2</v>
      </c>
    </row>
    <row r="523" spans="1:17" x14ac:dyDescent="0.2">
      <c r="A523" s="69">
        <v>42278</v>
      </c>
      <c r="B523">
        <v>61</v>
      </c>
      <c r="C523">
        <v>54.5</v>
      </c>
      <c r="D523">
        <v>54.5</v>
      </c>
      <c r="E523">
        <v>48.4</v>
      </c>
      <c r="F523">
        <v>63</v>
      </c>
      <c r="G523">
        <v>63</v>
      </c>
      <c r="H523">
        <v>52.5</v>
      </c>
      <c r="I523">
        <v>52</v>
      </c>
      <c r="J523">
        <v>59.2</v>
      </c>
      <c r="K523">
        <v>54.5</v>
      </c>
      <c r="L523">
        <v>57.9</v>
      </c>
      <c r="M523">
        <v>2079.360107421875</v>
      </c>
      <c r="N523">
        <v>17462.579000000002</v>
      </c>
      <c r="O523">
        <v>1.462343465763751E-3</v>
      </c>
      <c r="P523">
        <v>1.874684058645722E-2</v>
      </c>
      <c r="Q523">
        <v>5.8622170666831064E-3</v>
      </c>
    </row>
    <row r="524" spans="1:17" x14ac:dyDescent="0.2">
      <c r="A524" s="69">
        <v>42309</v>
      </c>
      <c r="B524">
        <v>58.2</v>
      </c>
      <c r="C524">
        <v>51</v>
      </c>
      <c r="D524">
        <v>51.5</v>
      </c>
      <c r="E524">
        <v>49.1</v>
      </c>
      <c r="F524">
        <v>58.2</v>
      </c>
      <c r="G524">
        <v>63.5</v>
      </c>
      <c r="H524">
        <v>54.5</v>
      </c>
      <c r="I524">
        <v>53</v>
      </c>
      <c r="J524">
        <v>55</v>
      </c>
      <c r="K524">
        <v>49.5</v>
      </c>
      <c r="L524">
        <v>55.8</v>
      </c>
      <c r="M524">
        <v>2080.409912109375</v>
      </c>
      <c r="O524">
        <v>1.462343465763751E-3</v>
      </c>
      <c r="P524">
        <v>1.874684058645722E-2</v>
      </c>
      <c r="Q524">
        <v>5.8622170666831064E-3</v>
      </c>
    </row>
    <row r="525" spans="1:17" x14ac:dyDescent="0.2">
      <c r="A525" s="69">
        <v>42339</v>
      </c>
      <c r="B525">
        <v>57.9</v>
      </c>
      <c r="C525">
        <v>49</v>
      </c>
      <c r="D525">
        <v>50</v>
      </c>
      <c r="E525">
        <v>50.1</v>
      </c>
      <c r="F525">
        <v>58.7</v>
      </c>
      <c r="G525">
        <v>64.5</v>
      </c>
      <c r="H525">
        <v>53</v>
      </c>
      <c r="I525">
        <v>48.5</v>
      </c>
      <c r="J525">
        <v>55.7</v>
      </c>
      <c r="K525">
        <v>53.5</v>
      </c>
      <c r="L525">
        <v>55.3</v>
      </c>
      <c r="M525">
        <v>2043.93994140625</v>
      </c>
      <c r="O525">
        <v>1.462343465763751E-3</v>
      </c>
      <c r="P525">
        <v>1.874684058645722E-2</v>
      </c>
      <c r="Q525">
        <v>5.8622170666831064E-3</v>
      </c>
    </row>
    <row r="526" spans="1:17" x14ac:dyDescent="0.2">
      <c r="A526" s="69">
        <v>42370</v>
      </c>
      <c r="B526">
        <v>57</v>
      </c>
      <c r="C526">
        <v>46</v>
      </c>
      <c r="D526">
        <v>52</v>
      </c>
      <c r="E526">
        <v>47.3</v>
      </c>
      <c r="F526">
        <v>53.9</v>
      </c>
      <c r="G526">
        <v>61.5</v>
      </c>
      <c r="H526">
        <v>51.5</v>
      </c>
      <c r="I526">
        <v>51.5</v>
      </c>
      <c r="J526">
        <v>52.1</v>
      </c>
      <c r="K526">
        <v>45.5</v>
      </c>
      <c r="L526">
        <v>54</v>
      </c>
      <c r="M526">
        <v>1940.239990234375</v>
      </c>
      <c r="N526">
        <v>17565.465</v>
      </c>
      <c r="O526">
        <v>5.8917986856350706E-3</v>
      </c>
      <c r="P526">
        <v>1.6481906030485969E-2</v>
      </c>
      <c r="Q526">
        <v>2.377629379297197E-2</v>
      </c>
    </row>
    <row r="527" spans="1:17" x14ac:dyDescent="0.2">
      <c r="A527" s="69">
        <v>42401</v>
      </c>
      <c r="B527">
        <v>56.8</v>
      </c>
      <c r="C527">
        <v>55.5</v>
      </c>
      <c r="D527">
        <v>52</v>
      </c>
      <c r="E527">
        <v>45.6</v>
      </c>
      <c r="F527">
        <v>57.8</v>
      </c>
      <c r="G527">
        <v>62</v>
      </c>
      <c r="H527">
        <v>52.5</v>
      </c>
      <c r="I527">
        <v>50.5</v>
      </c>
      <c r="J527">
        <v>49.7</v>
      </c>
      <c r="K527">
        <v>53.5</v>
      </c>
      <c r="L527">
        <v>54</v>
      </c>
      <c r="M527">
        <v>1932.22998046875</v>
      </c>
      <c r="O527">
        <v>5.8917986856350706E-3</v>
      </c>
      <c r="P527">
        <v>1.6481906030485969E-2</v>
      </c>
      <c r="Q527">
        <v>2.377629379297197E-2</v>
      </c>
    </row>
    <row r="528" spans="1:17" x14ac:dyDescent="0.2">
      <c r="A528" s="69">
        <v>42430</v>
      </c>
      <c r="B528">
        <v>57.4</v>
      </c>
      <c r="C528">
        <v>53</v>
      </c>
      <c r="D528">
        <v>52</v>
      </c>
      <c r="E528">
        <v>50.4</v>
      </c>
      <c r="F528">
        <v>59.8</v>
      </c>
      <c r="G528">
        <v>62.5</v>
      </c>
      <c r="H528">
        <v>52.5</v>
      </c>
      <c r="I528">
        <v>51</v>
      </c>
      <c r="J528">
        <v>50.3</v>
      </c>
      <c r="K528">
        <v>58.5</v>
      </c>
      <c r="L528">
        <v>55.2</v>
      </c>
      <c r="M528">
        <v>2059.739990234375</v>
      </c>
      <c r="O528">
        <v>5.8917986856350706E-3</v>
      </c>
      <c r="P528">
        <v>1.6481906030485969E-2</v>
      </c>
      <c r="Q528">
        <v>2.377629379297197E-2</v>
      </c>
    </row>
    <row r="529" spans="1:17" x14ac:dyDescent="0.2">
      <c r="A529" s="69">
        <v>42461</v>
      </c>
      <c r="B529">
        <v>59.5</v>
      </c>
      <c r="C529">
        <v>54</v>
      </c>
      <c r="D529">
        <v>51.5</v>
      </c>
      <c r="E529">
        <v>53.6</v>
      </c>
      <c r="F529">
        <v>58.8</v>
      </c>
      <c r="G529">
        <v>61</v>
      </c>
      <c r="H529">
        <v>54</v>
      </c>
      <c r="I529">
        <v>51</v>
      </c>
      <c r="J529">
        <v>53</v>
      </c>
      <c r="K529">
        <v>56.5</v>
      </c>
      <c r="L529">
        <v>55.6</v>
      </c>
      <c r="M529">
        <v>2065.300048828125</v>
      </c>
      <c r="N529">
        <v>17618.580999999998</v>
      </c>
      <c r="O529">
        <v>3.0238880667262818E-3</v>
      </c>
      <c r="P529">
        <v>1.367629650405968E-2</v>
      </c>
      <c r="Q529">
        <v>1.21505263452657E-2</v>
      </c>
    </row>
    <row r="530" spans="1:17" x14ac:dyDescent="0.2">
      <c r="A530" s="69">
        <v>42491</v>
      </c>
      <c r="B530">
        <v>54.8</v>
      </c>
      <c r="C530">
        <v>53.5</v>
      </c>
      <c r="D530">
        <v>50</v>
      </c>
      <c r="E530">
        <v>55.5</v>
      </c>
      <c r="F530">
        <v>55.1</v>
      </c>
      <c r="G530">
        <v>60</v>
      </c>
      <c r="H530">
        <v>54</v>
      </c>
      <c r="I530">
        <v>52.5</v>
      </c>
      <c r="J530">
        <v>49.7</v>
      </c>
      <c r="K530">
        <v>49</v>
      </c>
      <c r="L530">
        <v>53.8</v>
      </c>
      <c r="M530">
        <v>2096.949951171875</v>
      </c>
      <c r="O530">
        <v>3.0238880667262818E-3</v>
      </c>
      <c r="P530">
        <v>1.367629650405968E-2</v>
      </c>
      <c r="Q530">
        <v>1.21505263452657E-2</v>
      </c>
    </row>
    <row r="531" spans="1:17" x14ac:dyDescent="0.2">
      <c r="A531" s="69">
        <v>42522</v>
      </c>
      <c r="B531">
        <v>58.9</v>
      </c>
      <c r="C531">
        <v>54</v>
      </c>
      <c r="D531">
        <v>47.5</v>
      </c>
      <c r="E531">
        <v>55.7</v>
      </c>
      <c r="F531">
        <v>59.5</v>
      </c>
      <c r="G531">
        <v>62.5</v>
      </c>
      <c r="H531">
        <v>55.5</v>
      </c>
      <c r="I531">
        <v>54</v>
      </c>
      <c r="J531">
        <v>52.7</v>
      </c>
      <c r="K531">
        <v>53</v>
      </c>
      <c r="L531">
        <v>56</v>
      </c>
      <c r="M531">
        <v>2098.860107421875</v>
      </c>
      <c r="O531">
        <v>3.0238880667262818E-3</v>
      </c>
      <c r="P531">
        <v>1.367629650405968E-2</v>
      </c>
      <c r="Q531">
        <v>1.21505263452657E-2</v>
      </c>
    </row>
    <row r="532" spans="1:17" x14ac:dyDescent="0.2">
      <c r="A532" s="69">
        <v>42552</v>
      </c>
      <c r="B532">
        <v>58.5</v>
      </c>
      <c r="C532">
        <v>53</v>
      </c>
      <c r="D532">
        <v>51</v>
      </c>
      <c r="E532">
        <v>52.7</v>
      </c>
      <c r="F532">
        <v>59.3</v>
      </c>
      <c r="G532">
        <v>63</v>
      </c>
      <c r="H532">
        <v>54</v>
      </c>
      <c r="I532">
        <v>51</v>
      </c>
      <c r="J532">
        <v>51.4</v>
      </c>
      <c r="K532">
        <v>55.5</v>
      </c>
      <c r="L532">
        <v>55.2</v>
      </c>
      <c r="M532">
        <v>2173.60009765625</v>
      </c>
      <c r="N532">
        <v>17724.489000000001</v>
      </c>
      <c r="O532">
        <v>6.0111537926921072E-3</v>
      </c>
      <c r="P532">
        <v>1.6482633560206159E-2</v>
      </c>
      <c r="Q532">
        <v>2.426228912334993E-2</v>
      </c>
    </row>
    <row r="533" spans="1:17" x14ac:dyDescent="0.2">
      <c r="A533" s="69">
        <v>42583</v>
      </c>
      <c r="B533">
        <v>52</v>
      </c>
      <c r="C533">
        <v>50.5</v>
      </c>
      <c r="D533">
        <v>49.5</v>
      </c>
      <c r="E533">
        <v>52</v>
      </c>
      <c r="F533">
        <v>51.8</v>
      </c>
      <c r="G533">
        <v>64</v>
      </c>
      <c r="H533">
        <v>48</v>
      </c>
      <c r="I533">
        <v>51.5</v>
      </c>
      <c r="J533">
        <v>50.7</v>
      </c>
      <c r="K533">
        <v>46.5</v>
      </c>
      <c r="L533">
        <v>51.6</v>
      </c>
      <c r="M533">
        <v>2170.949951171875</v>
      </c>
      <c r="O533">
        <v>6.0111537926921072E-3</v>
      </c>
      <c r="P533">
        <v>1.6482633560206159E-2</v>
      </c>
      <c r="Q533">
        <v>2.426228912334993E-2</v>
      </c>
    </row>
    <row r="534" spans="1:17" x14ac:dyDescent="0.2">
      <c r="A534" s="69">
        <v>42614</v>
      </c>
      <c r="B534">
        <v>59.6</v>
      </c>
      <c r="C534">
        <v>51</v>
      </c>
      <c r="D534">
        <v>52</v>
      </c>
      <c r="E534">
        <v>53.4</v>
      </c>
      <c r="F534">
        <v>60.3</v>
      </c>
      <c r="G534">
        <v>64.5</v>
      </c>
      <c r="H534">
        <v>51.5</v>
      </c>
      <c r="I534">
        <v>51</v>
      </c>
      <c r="J534">
        <v>57.2</v>
      </c>
      <c r="K534">
        <v>56.5</v>
      </c>
      <c r="L534">
        <v>56.3</v>
      </c>
      <c r="M534">
        <v>2168.27001953125</v>
      </c>
      <c r="O534">
        <v>6.0111537926921072E-3</v>
      </c>
      <c r="P534">
        <v>1.6482633560206159E-2</v>
      </c>
      <c r="Q534">
        <v>2.426228912334993E-2</v>
      </c>
    </row>
    <row r="535" spans="1:17" x14ac:dyDescent="0.2">
      <c r="A535" s="69">
        <v>42644</v>
      </c>
      <c r="B535">
        <v>57.7</v>
      </c>
      <c r="C535">
        <v>53</v>
      </c>
      <c r="D535">
        <v>52</v>
      </c>
      <c r="E535">
        <v>54.9</v>
      </c>
      <c r="F535">
        <v>57.7</v>
      </c>
      <c r="G535">
        <v>62</v>
      </c>
      <c r="H535">
        <v>52</v>
      </c>
      <c r="I535">
        <v>50.5</v>
      </c>
      <c r="J535">
        <v>53.1</v>
      </c>
      <c r="K535">
        <v>55.5</v>
      </c>
      <c r="L535">
        <v>54.4</v>
      </c>
      <c r="M535">
        <v>2126.14990234375</v>
      </c>
      <c r="N535">
        <v>17812.560000000001</v>
      </c>
      <c r="O535">
        <v>4.9688879606063626E-3</v>
      </c>
      <c r="P535">
        <v>2.0041770462427101E-2</v>
      </c>
      <c r="Q535">
        <v>2.002418226174996E-2</v>
      </c>
    </row>
    <row r="536" spans="1:17" x14ac:dyDescent="0.2">
      <c r="A536" s="69">
        <v>42675</v>
      </c>
      <c r="B536">
        <v>57.4</v>
      </c>
      <c r="C536">
        <v>54</v>
      </c>
      <c r="D536">
        <v>51</v>
      </c>
      <c r="E536">
        <v>55</v>
      </c>
      <c r="F536">
        <v>61.7</v>
      </c>
      <c r="G536">
        <v>60.5</v>
      </c>
      <c r="H536">
        <v>51.5</v>
      </c>
      <c r="I536">
        <v>52</v>
      </c>
      <c r="J536">
        <v>58.2</v>
      </c>
      <c r="K536">
        <v>57</v>
      </c>
      <c r="L536">
        <v>56.2</v>
      </c>
      <c r="M536">
        <v>2198.81005859375</v>
      </c>
      <c r="O536">
        <v>4.9688879606063626E-3</v>
      </c>
      <c r="P536">
        <v>2.0041770462427101E-2</v>
      </c>
      <c r="Q536">
        <v>2.002418226174996E-2</v>
      </c>
    </row>
    <row r="537" spans="1:17" x14ac:dyDescent="0.2">
      <c r="A537" s="69">
        <v>42705</v>
      </c>
      <c r="B537">
        <v>60.7</v>
      </c>
      <c r="C537">
        <v>50</v>
      </c>
      <c r="D537">
        <v>48</v>
      </c>
      <c r="E537">
        <v>55.4</v>
      </c>
      <c r="F537">
        <v>61.4</v>
      </c>
      <c r="G537">
        <v>61.5</v>
      </c>
      <c r="H537">
        <v>52</v>
      </c>
      <c r="I537">
        <v>52</v>
      </c>
      <c r="J537">
        <v>53.8</v>
      </c>
      <c r="K537">
        <v>53</v>
      </c>
      <c r="L537">
        <v>56.7</v>
      </c>
      <c r="M537">
        <v>2238.830078125</v>
      </c>
      <c r="O537">
        <v>4.9688879606063626E-3</v>
      </c>
      <c r="P537">
        <v>2.0041770462427101E-2</v>
      </c>
      <c r="Q537">
        <v>2.002418226174996E-2</v>
      </c>
    </row>
    <row r="538" spans="1:17" x14ac:dyDescent="0.2">
      <c r="A538" s="69">
        <v>42736</v>
      </c>
      <c r="B538">
        <v>58.6</v>
      </c>
      <c r="C538">
        <v>54</v>
      </c>
      <c r="D538">
        <v>50</v>
      </c>
      <c r="E538">
        <v>57.5</v>
      </c>
      <c r="F538">
        <v>60.3</v>
      </c>
      <c r="G538">
        <v>62</v>
      </c>
      <c r="H538">
        <v>48</v>
      </c>
      <c r="I538">
        <v>52.5</v>
      </c>
      <c r="J538">
        <v>54.7</v>
      </c>
      <c r="K538">
        <v>48</v>
      </c>
      <c r="L538">
        <v>56.8</v>
      </c>
      <c r="M538">
        <v>2278.8701171875</v>
      </c>
      <c r="N538">
        <v>17896.623</v>
      </c>
      <c r="O538">
        <v>4.719310419164807E-3</v>
      </c>
      <c r="P538">
        <v>1.8852788696456339E-2</v>
      </c>
      <c r="Q538">
        <v>1.9011293949556581E-2</v>
      </c>
    </row>
    <row r="539" spans="1:17" x14ac:dyDescent="0.2">
      <c r="A539" s="69">
        <v>42767</v>
      </c>
      <c r="B539">
        <v>61.2</v>
      </c>
      <c r="C539">
        <v>51</v>
      </c>
      <c r="D539">
        <v>54</v>
      </c>
      <c r="E539">
        <v>57.1</v>
      </c>
      <c r="F539">
        <v>63.6</v>
      </c>
      <c r="G539">
        <v>64.5</v>
      </c>
      <c r="H539">
        <v>52</v>
      </c>
      <c r="I539">
        <v>50.5</v>
      </c>
      <c r="J539">
        <v>55.2</v>
      </c>
      <c r="K539">
        <v>57</v>
      </c>
      <c r="L539">
        <v>57.4</v>
      </c>
      <c r="M539">
        <v>2363.639892578125</v>
      </c>
      <c r="O539">
        <v>4.719310419164807E-3</v>
      </c>
      <c r="P539">
        <v>1.8852788696456339E-2</v>
      </c>
      <c r="Q539">
        <v>1.9011293949556581E-2</v>
      </c>
    </row>
    <row r="540" spans="1:17" x14ac:dyDescent="0.2">
      <c r="A540" s="69">
        <v>42795</v>
      </c>
      <c r="B540">
        <v>58.9</v>
      </c>
      <c r="C540">
        <v>56.5</v>
      </c>
      <c r="D540">
        <v>53</v>
      </c>
      <c r="E540">
        <v>54.3</v>
      </c>
      <c r="F540">
        <v>58.9</v>
      </c>
      <c r="G540">
        <v>65</v>
      </c>
      <c r="H540">
        <v>48.5</v>
      </c>
      <c r="I540">
        <v>51.5</v>
      </c>
      <c r="J540">
        <v>51.6</v>
      </c>
      <c r="K540">
        <v>62.5</v>
      </c>
      <c r="L540">
        <v>55.6</v>
      </c>
      <c r="M540">
        <v>2362.719970703125</v>
      </c>
      <c r="O540">
        <v>4.719310419164807E-3</v>
      </c>
      <c r="P540">
        <v>1.8852788696456339E-2</v>
      </c>
      <c r="Q540">
        <v>1.9011293949556581E-2</v>
      </c>
    </row>
    <row r="541" spans="1:17" x14ac:dyDescent="0.2">
      <c r="A541" s="69">
        <v>42826</v>
      </c>
      <c r="B541">
        <v>63.2</v>
      </c>
      <c r="C541">
        <v>53</v>
      </c>
      <c r="D541">
        <v>53.5</v>
      </c>
      <c r="E541">
        <v>58</v>
      </c>
      <c r="F541">
        <v>62.4</v>
      </c>
      <c r="G541">
        <v>60</v>
      </c>
      <c r="H541">
        <v>52.5</v>
      </c>
      <c r="I541">
        <v>53</v>
      </c>
      <c r="J541">
        <v>51.4</v>
      </c>
      <c r="K541">
        <v>65.5</v>
      </c>
      <c r="L541">
        <v>57.3</v>
      </c>
      <c r="M541">
        <v>2384.199951171875</v>
      </c>
      <c r="N541">
        <v>17996.802</v>
      </c>
      <c r="O541">
        <v>5.5976482267073562E-3</v>
      </c>
      <c r="P541">
        <v>2.1467165829075641E-2</v>
      </c>
      <c r="Q541">
        <v>2.2579297461999829E-2</v>
      </c>
    </row>
    <row r="542" spans="1:17" x14ac:dyDescent="0.2">
      <c r="A542" s="69">
        <v>42856</v>
      </c>
      <c r="B542">
        <v>57.7</v>
      </c>
      <c r="C542">
        <v>48.5</v>
      </c>
      <c r="D542">
        <v>57</v>
      </c>
      <c r="E542">
        <v>50.1</v>
      </c>
      <c r="F542">
        <v>60.7</v>
      </c>
      <c r="G542">
        <v>63</v>
      </c>
      <c r="H542">
        <v>54</v>
      </c>
      <c r="I542">
        <v>51.5</v>
      </c>
      <c r="J542">
        <v>57.8</v>
      </c>
      <c r="K542">
        <v>54.5</v>
      </c>
      <c r="L542">
        <v>57.1</v>
      </c>
      <c r="M542">
        <v>2411.800048828125</v>
      </c>
      <c r="O542">
        <v>5.5976482267073562E-3</v>
      </c>
      <c r="P542">
        <v>2.1467165829075641E-2</v>
      </c>
      <c r="Q542">
        <v>2.2579297461999829E-2</v>
      </c>
    </row>
    <row r="543" spans="1:17" x14ac:dyDescent="0.2">
      <c r="A543" s="69">
        <v>42887</v>
      </c>
      <c r="B543">
        <v>60.5</v>
      </c>
      <c r="C543">
        <v>51</v>
      </c>
      <c r="D543">
        <v>52.5</v>
      </c>
      <c r="E543">
        <v>53.3</v>
      </c>
      <c r="F543">
        <v>60.8</v>
      </c>
      <c r="G543">
        <v>62</v>
      </c>
      <c r="H543">
        <v>57.5</v>
      </c>
      <c r="I543">
        <v>52.5</v>
      </c>
      <c r="J543">
        <v>55.8</v>
      </c>
      <c r="K543">
        <v>55</v>
      </c>
      <c r="L543">
        <v>57.2</v>
      </c>
      <c r="M543">
        <v>2423.409912109375</v>
      </c>
      <c r="O543">
        <v>5.5976482267073562E-3</v>
      </c>
      <c r="P543">
        <v>2.1467165829075641E-2</v>
      </c>
      <c r="Q543">
        <v>2.2579297461999829E-2</v>
      </c>
    </row>
    <row r="544" spans="1:17" x14ac:dyDescent="0.2">
      <c r="A544" s="69">
        <v>42917</v>
      </c>
      <c r="B544">
        <v>55.1</v>
      </c>
      <c r="C544">
        <v>51.5</v>
      </c>
      <c r="D544">
        <v>52</v>
      </c>
      <c r="E544">
        <v>56.4</v>
      </c>
      <c r="F544">
        <v>55.9</v>
      </c>
      <c r="G544">
        <v>67.5</v>
      </c>
      <c r="H544">
        <v>56.5</v>
      </c>
      <c r="I544">
        <v>51</v>
      </c>
      <c r="J544">
        <v>53.6</v>
      </c>
      <c r="K544">
        <v>53</v>
      </c>
      <c r="L544">
        <v>54.3</v>
      </c>
      <c r="M544">
        <v>2470.300048828125</v>
      </c>
      <c r="N544">
        <v>18126.225999999999</v>
      </c>
      <c r="O544">
        <v>7.1914999120398764E-3</v>
      </c>
      <c r="P544">
        <v>2.2665646383373719E-2</v>
      </c>
      <c r="Q544">
        <v>2.9077796059291838E-2</v>
      </c>
    </row>
    <row r="545" spans="1:17" x14ac:dyDescent="0.2">
      <c r="A545" s="69">
        <v>42948</v>
      </c>
      <c r="B545">
        <v>57.1</v>
      </c>
      <c r="C545">
        <v>50.5</v>
      </c>
      <c r="D545">
        <v>53.5</v>
      </c>
      <c r="E545">
        <v>58.1</v>
      </c>
      <c r="F545">
        <v>57.5</v>
      </c>
      <c r="G545">
        <v>61</v>
      </c>
      <c r="H545">
        <v>53.5</v>
      </c>
      <c r="I545">
        <v>50.5</v>
      </c>
      <c r="J545">
        <v>56.2</v>
      </c>
      <c r="K545">
        <v>55</v>
      </c>
      <c r="L545">
        <v>55.2</v>
      </c>
      <c r="M545">
        <v>2471.64990234375</v>
      </c>
      <c r="O545">
        <v>7.1914999120398764E-3</v>
      </c>
      <c r="P545">
        <v>2.2665646383373719E-2</v>
      </c>
      <c r="Q545">
        <v>2.9077796059291838E-2</v>
      </c>
    </row>
    <row r="546" spans="1:17" x14ac:dyDescent="0.2">
      <c r="A546" s="69">
        <v>42979</v>
      </c>
      <c r="B546">
        <v>63</v>
      </c>
      <c r="C546">
        <v>52</v>
      </c>
      <c r="D546">
        <v>56</v>
      </c>
      <c r="E546">
        <v>65.900000000000006</v>
      </c>
      <c r="F546">
        <v>61.3</v>
      </c>
      <c r="G546">
        <v>58.5</v>
      </c>
      <c r="H546">
        <v>51.5</v>
      </c>
      <c r="I546">
        <v>58</v>
      </c>
      <c r="J546">
        <v>56.8</v>
      </c>
      <c r="K546">
        <v>56</v>
      </c>
      <c r="L546">
        <v>59.4</v>
      </c>
      <c r="M546">
        <v>2519.360107421875</v>
      </c>
      <c r="O546">
        <v>7.1914999120398764E-3</v>
      </c>
      <c r="P546">
        <v>2.2665646383373719E-2</v>
      </c>
      <c r="Q546">
        <v>2.9077796059291838E-2</v>
      </c>
    </row>
    <row r="547" spans="1:17" x14ac:dyDescent="0.2">
      <c r="A547" s="69">
        <v>43009</v>
      </c>
      <c r="B547">
        <v>62.8</v>
      </c>
      <c r="C547">
        <v>52</v>
      </c>
      <c r="D547">
        <v>53.5</v>
      </c>
      <c r="E547">
        <v>61.5</v>
      </c>
      <c r="F547">
        <v>62.2</v>
      </c>
      <c r="G547">
        <v>61</v>
      </c>
      <c r="H547">
        <v>52.5</v>
      </c>
      <c r="I547">
        <v>58</v>
      </c>
      <c r="J547">
        <v>57.5</v>
      </c>
      <c r="K547">
        <v>60</v>
      </c>
      <c r="L547">
        <v>59.8</v>
      </c>
      <c r="M547">
        <v>2575.260009765625</v>
      </c>
      <c r="N547">
        <v>18296.685000000001</v>
      </c>
      <c r="O547">
        <v>9.403998383337081E-3</v>
      </c>
      <c r="P547">
        <v>2.7178855818590929E-2</v>
      </c>
      <c r="Q547">
        <v>3.814993904506303E-2</v>
      </c>
    </row>
    <row r="548" spans="1:17" x14ac:dyDescent="0.2">
      <c r="A548" s="69">
        <v>43040</v>
      </c>
      <c r="B548">
        <v>58.7</v>
      </c>
      <c r="C548">
        <v>52.5</v>
      </c>
      <c r="D548">
        <v>51.5</v>
      </c>
      <c r="E548">
        <v>60.1</v>
      </c>
      <c r="F548">
        <v>61.4</v>
      </c>
      <c r="G548">
        <v>56</v>
      </c>
      <c r="H548">
        <v>54.5</v>
      </c>
      <c r="I548">
        <v>54</v>
      </c>
      <c r="J548">
        <v>55.3</v>
      </c>
      <c r="K548">
        <v>57</v>
      </c>
      <c r="L548">
        <v>57.3</v>
      </c>
      <c r="M548">
        <v>2647.580078125</v>
      </c>
      <c r="O548">
        <v>9.403998383337081E-3</v>
      </c>
      <c r="P548">
        <v>2.7178855818590929E-2</v>
      </c>
      <c r="Q548">
        <v>3.814993904506303E-2</v>
      </c>
    </row>
    <row r="549" spans="1:17" x14ac:dyDescent="0.2">
      <c r="A549" s="69">
        <v>43070</v>
      </c>
      <c r="B549">
        <v>54.3</v>
      </c>
      <c r="C549">
        <v>52.5</v>
      </c>
      <c r="D549">
        <v>50</v>
      </c>
      <c r="E549">
        <v>59.9</v>
      </c>
      <c r="F549">
        <v>57.3</v>
      </c>
      <c r="G549">
        <v>62.5</v>
      </c>
      <c r="H549">
        <v>53.5</v>
      </c>
      <c r="I549">
        <v>55.5</v>
      </c>
      <c r="J549">
        <v>56.3</v>
      </c>
      <c r="K549">
        <v>56.5</v>
      </c>
      <c r="L549">
        <v>56</v>
      </c>
      <c r="M549">
        <v>2673.610107421875</v>
      </c>
      <c r="O549">
        <v>9.403998383337081E-3</v>
      </c>
      <c r="P549">
        <v>2.7178855818590929E-2</v>
      </c>
      <c r="Q549">
        <v>3.814993904506303E-2</v>
      </c>
    </row>
    <row r="550" spans="1:17" x14ac:dyDescent="0.2">
      <c r="A550" s="69">
        <v>43101</v>
      </c>
      <c r="B550">
        <v>62.7</v>
      </c>
      <c r="C550">
        <v>54</v>
      </c>
      <c r="D550">
        <v>50.5</v>
      </c>
      <c r="E550">
        <v>61.9</v>
      </c>
      <c r="F550">
        <v>59.8</v>
      </c>
      <c r="G550">
        <v>61</v>
      </c>
      <c r="H550">
        <v>49</v>
      </c>
      <c r="I550">
        <v>55.5</v>
      </c>
      <c r="J550">
        <v>61.6</v>
      </c>
      <c r="K550">
        <v>58</v>
      </c>
      <c r="L550">
        <v>59.9</v>
      </c>
      <c r="M550">
        <v>2823.81005859375</v>
      </c>
      <c r="N550">
        <v>18436.261999999999</v>
      </c>
      <c r="O550">
        <v>7.6285403612729556E-3</v>
      </c>
      <c r="P550">
        <v>3.0153118831413011E-2</v>
      </c>
      <c r="Q550">
        <v>3.0865108360243591E-2</v>
      </c>
    </row>
    <row r="551" spans="1:17" x14ac:dyDescent="0.2">
      <c r="A551" s="69">
        <v>43132</v>
      </c>
      <c r="B551">
        <v>64.8</v>
      </c>
      <c r="C551">
        <v>50</v>
      </c>
      <c r="D551">
        <v>56</v>
      </c>
      <c r="E551">
        <v>61</v>
      </c>
      <c r="F551">
        <v>62.8</v>
      </c>
      <c r="G551">
        <v>61</v>
      </c>
      <c r="H551">
        <v>53.5</v>
      </c>
      <c r="I551">
        <v>55.5</v>
      </c>
      <c r="J551">
        <v>55</v>
      </c>
      <c r="K551">
        <v>59.5</v>
      </c>
      <c r="L551">
        <v>59.5</v>
      </c>
      <c r="M551">
        <v>2713.830078125</v>
      </c>
      <c r="O551">
        <v>7.6285403612729556E-3</v>
      </c>
      <c r="P551">
        <v>3.0153118831413011E-2</v>
      </c>
      <c r="Q551">
        <v>3.0865108360243591E-2</v>
      </c>
    </row>
    <row r="552" spans="1:17" x14ac:dyDescent="0.2">
      <c r="A552" s="69">
        <v>43160</v>
      </c>
      <c r="B552">
        <v>59.5</v>
      </c>
      <c r="C552">
        <v>55</v>
      </c>
      <c r="D552">
        <v>56.5</v>
      </c>
      <c r="E552">
        <v>61.5</v>
      </c>
      <c r="F552">
        <v>60.6</v>
      </c>
      <c r="G552">
        <v>58.5</v>
      </c>
      <c r="H552">
        <v>53.5</v>
      </c>
      <c r="I552">
        <v>58.5</v>
      </c>
      <c r="J552">
        <v>56.6</v>
      </c>
      <c r="K552">
        <v>58</v>
      </c>
      <c r="L552">
        <v>58.8</v>
      </c>
      <c r="M552">
        <v>2640.8701171875</v>
      </c>
      <c r="O552">
        <v>7.6285403612729556E-3</v>
      </c>
      <c r="P552">
        <v>3.0153118831413011E-2</v>
      </c>
      <c r="Q552">
        <v>3.0865108360243591E-2</v>
      </c>
    </row>
    <row r="553" spans="1:17" x14ac:dyDescent="0.2">
      <c r="A553" s="69">
        <v>43191</v>
      </c>
      <c r="B553">
        <v>60</v>
      </c>
      <c r="C553">
        <v>54.5</v>
      </c>
      <c r="D553">
        <v>52</v>
      </c>
      <c r="E553">
        <v>61.8</v>
      </c>
      <c r="F553">
        <v>59.1</v>
      </c>
      <c r="G553">
        <v>60</v>
      </c>
      <c r="H553">
        <v>57</v>
      </c>
      <c r="I553">
        <v>54.5</v>
      </c>
      <c r="J553">
        <v>53.6</v>
      </c>
      <c r="K553">
        <v>61.5</v>
      </c>
      <c r="L553">
        <v>56.8</v>
      </c>
      <c r="M553">
        <v>2648.050048828125</v>
      </c>
      <c r="N553">
        <v>18590.004000000001</v>
      </c>
      <c r="O553">
        <v>8.339109088382559E-3</v>
      </c>
      <c r="P553">
        <v>3.296152283055629E-2</v>
      </c>
      <c r="Q553">
        <v>3.3776005263053577E-2</v>
      </c>
    </row>
    <row r="554" spans="1:17" x14ac:dyDescent="0.2">
      <c r="A554" s="69">
        <v>43221</v>
      </c>
      <c r="B554">
        <v>60.5</v>
      </c>
      <c r="C554">
        <v>54</v>
      </c>
      <c r="D554">
        <v>60.5</v>
      </c>
      <c r="E554">
        <v>64.3</v>
      </c>
      <c r="F554">
        <v>61.3</v>
      </c>
      <c r="G554">
        <v>61</v>
      </c>
      <c r="H554">
        <v>57.5</v>
      </c>
      <c r="I554">
        <v>58.5</v>
      </c>
      <c r="J554">
        <v>54.1</v>
      </c>
      <c r="K554">
        <v>57.5</v>
      </c>
      <c r="L554">
        <v>58.6</v>
      </c>
      <c r="M554">
        <v>2705.27001953125</v>
      </c>
      <c r="O554">
        <v>8.339109088382559E-3</v>
      </c>
      <c r="P554">
        <v>3.296152283055629E-2</v>
      </c>
      <c r="Q554">
        <v>3.3776005263053577E-2</v>
      </c>
    </row>
    <row r="555" spans="1:17" x14ac:dyDescent="0.2">
      <c r="A555" s="69">
        <v>43252</v>
      </c>
      <c r="B555">
        <v>63.2</v>
      </c>
      <c r="C555">
        <v>51.5</v>
      </c>
      <c r="D555">
        <v>56.5</v>
      </c>
      <c r="E555">
        <v>60.7</v>
      </c>
      <c r="F555">
        <v>63.9</v>
      </c>
      <c r="G555">
        <v>57.5</v>
      </c>
      <c r="H555">
        <v>53.5</v>
      </c>
      <c r="I555">
        <v>55.5</v>
      </c>
      <c r="J555">
        <v>53.6</v>
      </c>
      <c r="K555">
        <v>60.5</v>
      </c>
      <c r="L555">
        <v>59.1</v>
      </c>
      <c r="M555">
        <v>2718.3701171875</v>
      </c>
      <c r="O555">
        <v>8.339109088382559E-3</v>
      </c>
      <c r="P555">
        <v>3.296152283055629E-2</v>
      </c>
      <c r="Q555">
        <v>3.3776005263053577E-2</v>
      </c>
    </row>
    <row r="556" spans="1:17" x14ac:dyDescent="0.2">
      <c r="A556" s="69">
        <v>43282</v>
      </c>
      <c r="B556">
        <v>57</v>
      </c>
      <c r="C556">
        <v>52.5</v>
      </c>
      <c r="D556">
        <v>51.5</v>
      </c>
      <c r="E556">
        <v>63.4</v>
      </c>
      <c r="F556">
        <v>56.5</v>
      </c>
      <c r="G556">
        <v>58</v>
      </c>
      <c r="H556">
        <v>53.5</v>
      </c>
      <c r="I556">
        <v>53</v>
      </c>
      <c r="J556">
        <v>56.1</v>
      </c>
      <c r="K556">
        <v>58</v>
      </c>
      <c r="L556">
        <v>55.7</v>
      </c>
      <c r="M556">
        <v>2816.2900390625</v>
      </c>
      <c r="N556">
        <v>18679.598999999998</v>
      </c>
      <c r="O556">
        <v>4.819525590204151E-3</v>
      </c>
      <c r="P556">
        <v>3.0528859123791111E-2</v>
      </c>
      <c r="Q556">
        <v>1.9417917650261129E-2</v>
      </c>
    </row>
    <row r="557" spans="1:17" x14ac:dyDescent="0.2">
      <c r="A557" s="69">
        <v>43313</v>
      </c>
      <c r="B557">
        <v>60.4</v>
      </c>
      <c r="C557">
        <v>52</v>
      </c>
      <c r="D557">
        <v>56.5</v>
      </c>
      <c r="E557">
        <v>62.8</v>
      </c>
      <c r="F557">
        <v>60.7</v>
      </c>
      <c r="G557">
        <v>59.5</v>
      </c>
      <c r="H557">
        <v>53.5</v>
      </c>
      <c r="I557">
        <v>56</v>
      </c>
      <c r="J557">
        <v>56.7</v>
      </c>
      <c r="K557">
        <v>60.5</v>
      </c>
      <c r="L557">
        <v>58.5</v>
      </c>
      <c r="M557">
        <v>2901.52001953125</v>
      </c>
      <c r="O557">
        <v>4.819525590204151E-3</v>
      </c>
      <c r="P557">
        <v>3.0528859123791111E-2</v>
      </c>
      <c r="Q557">
        <v>1.9417917650261129E-2</v>
      </c>
    </row>
    <row r="558" spans="1:17" x14ac:dyDescent="0.2">
      <c r="A558" s="69">
        <v>43344</v>
      </c>
      <c r="B558">
        <v>61.6</v>
      </c>
      <c r="C558">
        <v>55</v>
      </c>
      <c r="D558">
        <v>58.5</v>
      </c>
      <c r="E558">
        <v>64.2</v>
      </c>
      <c r="F558">
        <v>65.2</v>
      </c>
      <c r="G558">
        <v>59.5</v>
      </c>
      <c r="H558">
        <v>54.5</v>
      </c>
      <c r="I558">
        <v>57</v>
      </c>
      <c r="J558">
        <v>62.4</v>
      </c>
      <c r="K558">
        <v>61</v>
      </c>
      <c r="L558">
        <v>61.6</v>
      </c>
      <c r="M558">
        <v>2913.97998046875</v>
      </c>
      <c r="O558">
        <v>4.819525590204151E-3</v>
      </c>
      <c r="P558">
        <v>3.0528859123791111E-2</v>
      </c>
      <c r="Q558">
        <v>1.9417917650261129E-2</v>
      </c>
    </row>
    <row r="559" spans="1:17" x14ac:dyDescent="0.2">
      <c r="A559" s="69">
        <v>43374</v>
      </c>
      <c r="B559">
        <v>61.5</v>
      </c>
      <c r="C559">
        <v>51</v>
      </c>
      <c r="D559">
        <v>53.5</v>
      </c>
      <c r="E559">
        <v>61.7</v>
      </c>
      <c r="F559">
        <v>62.5</v>
      </c>
      <c r="G559">
        <v>62</v>
      </c>
      <c r="H559">
        <v>56</v>
      </c>
      <c r="I559">
        <v>57.5</v>
      </c>
      <c r="J559">
        <v>59.7</v>
      </c>
      <c r="K559">
        <v>61</v>
      </c>
      <c r="L559">
        <v>60.3</v>
      </c>
      <c r="M559">
        <v>2711.739990234375</v>
      </c>
      <c r="N559">
        <v>18721.280999999999</v>
      </c>
      <c r="O559">
        <v>2.2314183511113221E-3</v>
      </c>
      <c r="P559">
        <v>2.3206170953918571E-2</v>
      </c>
      <c r="Q559">
        <v>8.9555932393461379E-3</v>
      </c>
    </row>
    <row r="560" spans="1:17" x14ac:dyDescent="0.2">
      <c r="A560" s="69">
        <v>43405</v>
      </c>
      <c r="B560">
        <v>62.5</v>
      </c>
      <c r="C560">
        <v>54.5</v>
      </c>
      <c r="D560">
        <v>55.5</v>
      </c>
      <c r="E560">
        <v>64.3</v>
      </c>
      <c r="F560">
        <v>65.2</v>
      </c>
      <c r="G560">
        <v>60</v>
      </c>
      <c r="H560">
        <v>57.5</v>
      </c>
      <c r="I560">
        <v>56.5</v>
      </c>
      <c r="J560">
        <v>58.4</v>
      </c>
      <c r="K560">
        <v>57.5</v>
      </c>
      <c r="L560">
        <v>60.7</v>
      </c>
      <c r="M560">
        <v>2760.169921875</v>
      </c>
      <c r="O560">
        <v>2.2314183511113221E-3</v>
      </c>
      <c r="P560">
        <v>2.3206170953918571E-2</v>
      </c>
      <c r="Q560">
        <v>8.9555932393461379E-3</v>
      </c>
    </row>
    <row r="561" spans="1:17" x14ac:dyDescent="0.2">
      <c r="A561" s="69">
        <v>43435</v>
      </c>
      <c r="B561">
        <v>62.7</v>
      </c>
      <c r="C561">
        <v>53.5</v>
      </c>
      <c r="D561">
        <v>50.5</v>
      </c>
      <c r="E561">
        <v>57.6</v>
      </c>
      <c r="F561">
        <v>59.9</v>
      </c>
      <c r="G561">
        <v>59</v>
      </c>
      <c r="H561">
        <v>51.5</v>
      </c>
      <c r="I561">
        <v>51.5</v>
      </c>
      <c r="J561">
        <v>56.3</v>
      </c>
      <c r="K561">
        <v>59.5</v>
      </c>
      <c r="L561">
        <v>57.6</v>
      </c>
      <c r="M561">
        <v>2506.85009765625</v>
      </c>
      <c r="O561">
        <v>2.2314183511113221E-3</v>
      </c>
      <c r="P561">
        <v>2.3206170953918571E-2</v>
      </c>
      <c r="Q561">
        <v>8.9555932393461379E-3</v>
      </c>
    </row>
    <row r="562" spans="1:17" x14ac:dyDescent="0.2">
      <c r="A562" s="69">
        <v>43466</v>
      </c>
      <c r="B562">
        <v>57.7</v>
      </c>
      <c r="C562">
        <v>52</v>
      </c>
      <c r="D562">
        <v>52.5</v>
      </c>
      <c r="E562">
        <v>59.4</v>
      </c>
      <c r="F562">
        <v>59.7</v>
      </c>
      <c r="G562">
        <v>60.5</v>
      </c>
      <c r="H562">
        <v>49</v>
      </c>
      <c r="I562">
        <v>51.5</v>
      </c>
      <c r="J562">
        <v>57.8</v>
      </c>
      <c r="K562">
        <v>50.5</v>
      </c>
      <c r="L562">
        <v>56.7</v>
      </c>
      <c r="M562">
        <v>2704.10009765625</v>
      </c>
      <c r="N562">
        <v>18833.195</v>
      </c>
      <c r="O562">
        <v>5.9779029009820791E-3</v>
      </c>
      <c r="P562">
        <v>2.1530015140813302E-2</v>
      </c>
      <c r="Q562">
        <v>2.4126879308669521E-2</v>
      </c>
    </row>
    <row r="563" spans="1:17" x14ac:dyDescent="0.2">
      <c r="A563" s="69">
        <v>43497</v>
      </c>
      <c r="B563">
        <v>65.2</v>
      </c>
      <c r="C563">
        <v>48.5</v>
      </c>
      <c r="D563">
        <v>55.5</v>
      </c>
      <c r="E563">
        <v>54.4</v>
      </c>
      <c r="F563">
        <v>64.7</v>
      </c>
      <c r="G563">
        <v>59</v>
      </c>
      <c r="H563">
        <v>51</v>
      </c>
      <c r="I563">
        <v>53.5</v>
      </c>
      <c r="J563">
        <v>55.2</v>
      </c>
      <c r="K563">
        <v>55</v>
      </c>
      <c r="L563">
        <v>59.7</v>
      </c>
      <c r="M563">
        <v>2784.489990234375</v>
      </c>
      <c r="O563">
        <v>5.9779029009820791E-3</v>
      </c>
      <c r="P563">
        <v>2.1530015140813302E-2</v>
      </c>
      <c r="Q563">
        <v>2.4126879308669521E-2</v>
      </c>
    </row>
    <row r="564" spans="1:17" x14ac:dyDescent="0.2">
      <c r="A564" s="69">
        <v>43525</v>
      </c>
      <c r="B564">
        <v>59</v>
      </c>
      <c r="C564">
        <v>51.5</v>
      </c>
      <c r="D564">
        <v>56.5</v>
      </c>
      <c r="E564">
        <v>58.7</v>
      </c>
      <c r="F564">
        <v>57.4</v>
      </c>
      <c r="G564">
        <v>62.5</v>
      </c>
      <c r="H564">
        <v>50</v>
      </c>
      <c r="I564">
        <v>52</v>
      </c>
      <c r="J564">
        <v>55.9</v>
      </c>
      <c r="K564">
        <v>52.5</v>
      </c>
      <c r="L564">
        <v>56.1</v>
      </c>
      <c r="M564">
        <v>2834.39990234375</v>
      </c>
      <c r="O564">
        <v>5.9779029009820791E-3</v>
      </c>
      <c r="P564">
        <v>2.1530015140813302E-2</v>
      </c>
      <c r="Q564">
        <v>2.4126879308669521E-2</v>
      </c>
    </row>
    <row r="565" spans="1:17" x14ac:dyDescent="0.2">
      <c r="A565" s="69">
        <v>43556</v>
      </c>
      <c r="B565">
        <v>58.1</v>
      </c>
      <c r="C565">
        <v>55</v>
      </c>
      <c r="D565">
        <v>55</v>
      </c>
      <c r="E565">
        <v>55.7</v>
      </c>
      <c r="F565">
        <v>59.5</v>
      </c>
      <c r="G565">
        <v>60</v>
      </c>
      <c r="H565">
        <v>51.5</v>
      </c>
      <c r="I565">
        <v>50.5</v>
      </c>
      <c r="J565">
        <v>53.7</v>
      </c>
      <c r="K565">
        <v>57</v>
      </c>
      <c r="L565">
        <v>55.5</v>
      </c>
      <c r="M565">
        <v>2945.830078125</v>
      </c>
      <c r="N565">
        <v>18982.527999999998</v>
      </c>
      <c r="O565">
        <v>7.9292440820582337E-3</v>
      </c>
      <c r="P565">
        <v>2.111478835615084E-2</v>
      </c>
      <c r="Q565">
        <v>3.2096211890165323E-2</v>
      </c>
    </row>
    <row r="566" spans="1:17" x14ac:dyDescent="0.2">
      <c r="A566" s="69">
        <v>43586</v>
      </c>
      <c r="B566">
        <v>58.6</v>
      </c>
      <c r="C566">
        <v>50</v>
      </c>
      <c r="D566">
        <v>52.5</v>
      </c>
      <c r="E566">
        <v>55.4</v>
      </c>
      <c r="F566">
        <v>61.2</v>
      </c>
      <c r="G566">
        <v>58.5</v>
      </c>
      <c r="H566">
        <v>54</v>
      </c>
      <c r="I566">
        <v>49.5</v>
      </c>
      <c r="J566">
        <v>58.1</v>
      </c>
      <c r="K566">
        <v>55.5</v>
      </c>
      <c r="L566">
        <v>56.9</v>
      </c>
      <c r="M566">
        <v>2752.06005859375</v>
      </c>
      <c r="O566">
        <v>7.9292440820582337E-3</v>
      </c>
      <c r="P566">
        <v>2.111478835615084E-2</v>
      </c>
      <c r="Q566">
        <v>3.2096211890165323E-2</v>
      </c>
    </row>
    <row r="567" spans="1:17" x14ac:dyDescent="0.2">
      <c r="A567" s="69">
        <v>43617</v>
      </c>
      <c r="B567">
        <v>55.8</v>
      </c>
      <c r="C567">
        <v>50</v>
      </c>
      <c r="D567">
        <v>56</v>
      </c>
      <c r="E567">
        <v>58.9</v>
      </c>
      <c r="F567">
        <v>58.2</v>
      </c>
      <c r="G567">
        <v>58.5</v>
      </c>
      <c r="H567">
        <v>55</v>
      </c>
      <c r="I567">
        <v>51.5</v>
      </c>
      <c r="J567">
        <v>55</v>
      </c>
      <c r="K567">
        <v>55.5</v>
      </c>
      <c r="L567">
        <v>55.1</v>
      </c>
      <c r="M567">
        <v>2941.760009765625</v>
      </c>
      <c r="O567">
        <v>7.9292440820582337E-3</v>
      </c>
      <c r="P567">
        <v>2.111478835615084E-2</v>
      </c>
      <c r="Q567">
        <v>3.2096211890165323E-2</v>
      </c>
    </row>
    <row r="568" spans="1:17" x14ac:dyDescent="0.2">
      <c r="A568" s="69">
        <v>43647</v>
      </c>
      <c r="B568">
        <v>54.1</v>
      </c>
      <c r="C568">
        <v>53.5</v>
      </c>
      <c r="D568">
        <v>53.5</v>
      </c>
      <c r="E568">
        <v>56.5</v>
      </c>
      <c r="F568">
        <v>53.1</v>
      </c>
      <c r="G568">
        <v>60.5</v>
      </c>
      <c r="H568">
        <v>50</v>
      </c>
      <c r="I568">
        <v>51.5</v>
      </c>
      <c r="J568">
        <v>56.2</v>
      </c>
      <c r="K568">
        <v>53.5</v>
      </c>
      <c r="L568">
        <v>53.7</v>
      </c>
      <c r="M568">
        <v>2980.3798828125</v>
      </c>
      <c r="N568">
        <v>19112.652999999998</v>
      </c>
      <c r="O568">
        <v>6.8549879130956641E-3</v>
      </c>
      <c r="P568">
        <v>2.3183259983257681E-2</v>
      </c>
      <c r="Q568">
        <v>2.770318750334555E-2</v>
      </c>
    </row>
    <row r="569" spans="1:17" x14ac:dyDescent="0.2">
      <c r="A569" s="69">
        <v>43678</v>
      </c>
      <c r="B569">
        <v>60.3</v>
      </c>
      <c r="C569">
        <v>50.5</v>
      </c>
      <c r="D569">
        <v>49</v>
      </c>
      <c r="E569">
        <v>58.2</v>
      </c>
      <c r="F569">
        <v>61.5</v>
      </c>
      <c r="G569">
        <v>56</v>
      </c>
      <c r="H569">
        <v>55</v>
      </c>
      <c r="I569">
        <v>50.5</v>
      </c>
      <c r="J569">
        <v>53.1</v>
      </c>
      <c r="K569">
        <v>50.5</v>
      </c>
      <c r="L569">
        <v>56.4</v>
      </c>
      <c r="M569">
        <v>2926.4599609375</v>
      </c>
      <c r="O569">
        <v>6.8549879130956641E-3</v>
      </c>
      <c r="P569">
        <v>2.3183259983257681E-2</v>
      </c>
      <c r="Q569">
        <v>2.770318750334555E-2</v>
      </c>
    </row>
    <row r="570" spans="1:17" x14ac:dyDescent="0.2">
      <c r="A570" s="69">
        <v>43709</v>
      </c>
      <c r="B570">
        <v>53.7</v>
      </c>
      <c r="C570">
        <v>49</v>
      </c>
      <c r="D570">
        <v>54</v>
      </c>
      <c r="E570">
        <v>60</v>
      </c>
      <c r="F570">
        <v>55.2</v>
      </c>
      <c r="G570">
        <v>58</v>
      </c>
      <c r="H570">
        <v>53</v>
      </c>
      <c r="I570">
        <v>51</v>
      </c>
      <c r="J570">
        <v>50.4</v>
      </c>
      <c r="K570">
        <v>52</v>
      </c>
      <c r="L570">
        <v>52.6</v>
      </c>
      <c r="M570">
        <v>2976.739990234375</v>
      </c>
      <c r="O570">
        <v>6.8549879130956641E-3</v>
      </c>
      <c r="P570">
        <v>2.3183259983257681E-2</v>
      </c>
      <c r="Q570">
        <v>2.770318750334555E-2</v>
      </c>
    </row>
    <row r="571" spans="1:17" x14ac:dyDescent="0.2">
      <c r="A571" s="69">
        <v>43739</v>
      </c>
      <c r="B571">
        <v>55.6</v>
      </c>
      <c r="C571">
        <v>48.5</v>
      </c>
      <c r="D571">
        <v>48.5</v>
      </c>
      <c r="E571">
        <v>56.6</v>
      </c>
      <c r="F571">
        <v>57</v>
      </c>
      <c r="G571">
        <v>57</v>
      </c>
      <c r="H571">
        <v>50.5</v>
      </c>
      <c r="I571">
        <v>52.5</v>
      </c>
      <c r="J571">
        <v>53.7</v>
      </c>
      <c r="K571">
        <v>50</v>
      </c>
      <c r="L571">
        <v>54.7</v>
      </c>
      <c r="M571">
        <v>3037.56005859375</v>
      </c>
      <c r="N571">
        <v>19202.310000000001</v>
      </c>
      <c r="O571">
        <v>4.690976182113644E-3</v>
      </c>
      <c r="P571">
        <v>2.5694235346395491E-2</v>
      </c>
      <c r="Q571">
        <v>1.8896349662488991E-2</v>
      </c>
    </row>
    <row r="572" spans="1:17" x14ac:dyDescent="0.2">
      <c r="A572" s="69">
        <v>43770</v>
      </c>
      <c r="B572">
        <v>57.1</v>
      </c>
      <c r="C572">
        <v>45</v>
      </c>
      <c r="D572">
        <v>48.5</v>
      </c>
      <c r="E572">
        <v>58.5</v>
      </c>
      <c r="F572">
        <v>51.6</v>
      </c>
      <c r="G572">
        <v>58.5</v>
      </c>
      <c r="H572">
        <v>50.5</v>
      </c>
      <c r="I572">
        <v>51.5</v>
      </c>
      <c r="J572">
        <v>55.5</v>
      </c>
      <c r="K572">
        <v>52</v>
      </c>
      <c r="L572">
        <v>53.9</v>
      </c>
      <c r="M572">
        <v>3140.97998046875</v>
      </c>
      <c r="O572">
        <v>4.690976182113644E-3</v>
      </c>
      <c r="P572">
        <v>2.5694235346395491E-2</v>
      </c>
      <c r="Q572">
        <v>1.8896349662488991E-2</v>
      </c>
    </row>
    <row r="573" spans="1:17" x14ac:dyDescent="0.2">
      <c r="A573" s="69">
        <v>43800</v>
      </c>
      <c r="B573">
        <v>54.9</v>
      </c>
      <c r="C573">
        <v>48</v>
      </c>
      <c r="D573">
        <v>47.5</v>
      </c>
      <c r="E573">
        <v>58.5</v>
      </c>
      <c r="F573">
        <v>57.2</v>
      </c>
      <c r="G573">
        <v>60</v>
      </c>
      <c r="H573">
        <v>51</v>
      </c>
      <c r="I573">
        <v>52.5</v>
      </c>
      <c r="J573">
        <v>55.2</v>
      </c>
      <c r="K573">
        <v>51</v>
      </c>
      <c r="L573">
        <v>55</v>
      </c>
      <c r="M573">
        <v>3230.780029296875</v>
      </c>
      <c r="O573">
        <v>4.690976182113644E-3</v>
      </c>
      <c r="P573">
        <v>2.5694235346395491E-2</v>
      </c>
      <c r="Q573">
        <v>1.8896349662488991E-2</v>
      </c>
    </row>
    <row r="574" spans="1:17" x14ac:dyDescent="0.2">
      <c r="A574" s="69">
        <v>43831</v>
      </c>
      <c r="B574">
        <v>56.2</v>
      </c>
      <c r="C574">
        <v>55.1</v>
      </c>
      <c r="D574">
        <v>45.5</v>
      </c>
      <c r="E574">
        <v>55.5</v>
      </c>
      <c r="F574">
        <v>60.9</v>
      </c>
      <c r="G574">
        <v>54.9</v>
      </c>
      <c r="H574">
        <v>46.5</v>
      </c>
      <c r="I574">
        <v>51.7</v>
      </c>
      <c r="J574">
        <v>53.1</v>
      </c>
      <c r="K574">
        <v>50.1</v>
      </c>
      <c r="L574">
        <v>55.5</v>
      </c>
      <c r="M574">
        <v>3225.52001953125</v>
      </c>
      <c r="N574">
        <v>18951.991999999998</v>
      </c>
      <c r="O574">
        <v>-1.303582746034216E-2</v>
      </c>
      <c r="P574">
        <v>6.3078516417420767E-3</v>
      </c>
      <c r="Q574">
        <v>-5.1132545037274268E-2</v>
      </c>
    </row>
    <row r="575" spans="1:17" x14ac:dyDescent="0.2">
      <c r="A575" s="69">
        <v>43862</v>
      </c>
      <c r="B575">
        <v>63.1</v>
      </c>
      <c r="C575">
        <v>52.6</v>
      </c>
      <c r="D575">
        <v>53.2</v>
      </c>
      <c r="E575">
        <v>50.8</v>
      </c>
      <c r="F575">
        <v>57.8</v>
      </c>
      <c r="G575">
        <v>59.3</v>
      </c>
      <c r="H575">
        <v>53.9</v>
      </c>
      <c r="I575">
        <v>52.4</v>
      </c>
      <c r="J575">
        <v>55.6</v>
      </c>
      <c r="K575">
        <v>55.6</v>
      </c>
      <c r="L575">
        <v>57.3</v>
      </c>
      <c r="M575">
        <v>2954.219970703125</v>
      </c>
      <c r="O575">
        <v>-1.303582746034216E-2</v>
      </c>
      <c r="P575">
        <v>6.3078516417420767E-3</v>
      </c>
      <c r="Q575">
        <v>-5.1132545037274268E-2</v>
      </c>
    </row>
    <row r="576" spans="1:17" x14ac:dyDescent="0.2">
      <c r="A576" s="69">
        <v>43891</v>
      </c>
      <c r="B576">
        <v>52.9</v>
      </c>
      <c r="C576">
        <v>40.200000000000003</v>
      </c>
      <c r="D576">
        <v>55</v>
      </c>
      <c r="E576">
        <v>50</v>
      </c>
      <c r="F576">
        <v>48</v>
      </c>
      <c r="G576">
        <v>47.8</v>
      </c>
      <c r="H576">
        <v>41.5</v>
      </c>
      <c r="I576">
        <v>62.1</v>
      </c>
      <c r="J576">
        <v>47</v>
      </c>
      <c r="K576">
        <v>45.9</v>
      </c>
      <c r="L576">
        <v>52.5</v>
      </c>
      <c r="M576">
        <v>2584.590087890625</v>
      </c>
      <c r="O576">
        <v>-1.303582746034216E-2</v>
      </c>
      <c r="P576">
        <v>6.3078516417420767E-3</v>
      </c>
      <c r="Q576">
        <v>-5.1132545037274268E-2</v>
      </c>
    </row>
    <row r="577" spans="1:17" x14ac:dyDescent="0.2">
      <c r="A577" s="69">
        <v>43922</v>
      </c>
      <c r="B577">
        <v>32.9</v>
      </c>
      <c r="C577">
        <v>49.3</v>
      </c>
      <c r="D577">
        <v>47.7</v>
      </c>
      <c r="E577">
        <v>55.1</v>
      </c>
      <c r="F577">
        <v>26</v>
      </c>
      <c r="G577">
        <v>62.6</v>
      </c>
      <c r="H577">
        <v>46.9</v>
      </c>
      <c r="I577">
        <v>78.3</v>
      </c>
      <c r="J577">
        <v>30</v>
      </c>
      <c r="K577">
        <v>36.299999999999997</v>
      </c>
      <c r="L577">
        <v>41.8</v>
      </c>
      <c r="M577">
        <v>2912.429931640625</v>
      </c>
      <c r="N577">
        <v>17258.205000000002</v>
      </c>
      <c r="O577">
        <v>-8.9372505011610218E-2</v>
      </c>
      <c r="P577">
        <v>-9.0837374242250385E-2</v>
      </c>
      <c r="Q577">
        <v>-0.31235698461085082</v>
      </c>
    </row>
    <row r="578" spans="1:17" x14ac:dyDescent="0.2">
      <c r="A578" s="69">
        <v>43952</v>
      </c>
      <c r="B578">
        <v>41.9</v>
      </c>
      <c r="C578">
        <v>43.7</v>
      </c>
      <c r="D578">
        <v>46.4</v>
      </c>
      <c r="E578">
        <v>55.6</v>
      </c>
      <c r="F578">
        <v>41</v>
      </c>
      <c r="G578">
        <v>55.1</v>
      </c>
      <c r="H578">
        <v>48</v>
      </c>
      <c r="I578">
        <v>67</v>
      </c>
      <c r="J578">
        <v>31.8</v>
      </c>
      <c r="K578">
        <v>41.5</v>
      </c>
      <c r="L578">
        <v>45.4</v>
      </c>
      <c r="M578">
        <v>3044.31005859375</v>
      </c>
      <c r="O578">
        <v>-8.9372505011610218E-2</v>
      </c>
      <c r="P578">
        <v>-9.0837374242250385E-2</v>
      </c>
      <c r="Q578">
        <v>-0.31235698461085082</v>
      </c>
    </row>
    <row r="579" spans="1:17" x14ac:dyDescent="0.2">
      <c r="A579" s="69">
        <v>43983</v>
      </c>
      <c r="B579">
        <v>61.6</v>
      </c>
      <c r="C579">
        <v>52.9</v>
      </c>
      <c r="D579">
        <v>41.9</v>
      </c>
      <c r="E579">
        <v>62.4</v>
      </c>
      <c r="F579">
        <v>66</v>
      </c>
      <c r="G579">
        <v>55.9</v>
      </c>
      <c r="H579">
        <v>60.7</v>
      </c>
      <c r="I579">
        <v>57.5</v>
      </c>
      <c r="J579">
        <v>43.1</v>
      </c>
      <c r="K579">
        <v>58.9</v>
      </c>
      <c r="L579">
        <v>57.1</v>
      </c>
      <c r="M579">
        <v>3100.2900390625</v>
      </c>
      <c r="O579">
        <v>-8.9372505011610218E-2</v>
      </c>
      <c r="P579">
        <v>-9.0837374242250385E-2</v>
      </c>
      <c r="Q579">
        <v>-0.31235698461085082</v>
      </c>
    </row>
    <row r="580" spans="1:17" x14ac:dyDescent="0.2">
      <c r="A580" s="69">
        <v>44013</v>
      </c>
      <c r="B580">
        <v>67.7</v>
      </c>
      <c r="C580">
        <v>46.3</v>
      </c>
      <c r="D580">
        <v>55.9</v>
      </c>
      <c r="E580">
        <v>57.6</v>
      </c>
      <c r="F580">
        <v>67.2</v>
      </c>
      <c r="G580">
        <v>50</v>
      </c>
      <c r="H580">
        <v>52</v>
      </c>
      <c r="I580">
        <v>55.2</v>
      </c>
      <c r="J580">
        <v>42.1</v>
      </c>
      <c r="K580">
        <v>49.3</v>
      </c>
      <c r="L580">
        <v>58.1</v>
      </c>
      <c r="M580">
        <v>3271.1201171875</v>
      </c>
      <c r="N580">
        <v>18560.774000000001</v>
      </c>
      <c r="O580">
        <v>7.547534636423657E-2</v>
      </c>
      <c r="P580">
        <v>-2.8875059888336659E-2</v>
      </c>
      <c r="Q580">
        <v>0.33783279300793229</v>
      </c>
    </row>
    <row r="581" spans="1:17" x14ac:dyDescent="0.2">
      <c r="A581" s="69">
        <v>44044</v>
      </c>
      <c r="B581">
        <v>56.8</v>
      </c>
      <c r="C581">
        <v>50.8</v>
      </c>
      <c r="D581">
        <v>56.6</v>
      </c>
      <c r="E581">
        <v>64.2</v>
      </c>
      <c r="F581">
        <v>62.4</v>
      </c>
      <c r="G581">
        <v>52.5</v>
      </c>
      <c r="H581">
        <v>45.8</v>
      </c>
      <c r="I581">
        <v>60.5</v>
      </c>
      <c r="J581">
        <v>47.9</v>
      </c>
      <c r="K581">
        <v>55.8</v>
      </c>
      <c r="L581">
        <v>56.9</v>
      </c>
      <c r="M581">
        <v>3500.31005859375</v>
      </c>
      <c r="O581">
        <v>7.547534636423657E-2</v>
      </c>
      <c r="P581">
        <v>-2.8875059888336659E-2</v>
      </c>
      <c r="Q581">
        <v>0.33783279300793229</v>
      </c>
    </row>
    <row r="582" spans="1:17" x14ac:dyDescent="0.2">
      <c r="A582" s="69">
        <v>44075</v>
      </c>
      <c r="B582">
        <v>61.5</v>
      </c>
      <c r="C582">
        <v>46.6</v>
      </c>
      <c r="D582">
        <v>50.1</v>
      </c>
      <c r="E582">
        <v>59</v>
      </c>
      <c r="F582">
        <v>63</v>
      </c>
      <c r="G582">
        <v>55.4</v>
      </c>
      <c r="H582">
        <v>48.8</v>
      </c>
      <c r="I582">
        <v>54.9</v>
      </c>
      <c r="J582">
        <v>51.8</v>
      </c>
      <c r="K582">
        <v>52.6</v>
      </c>
      <c r="L582">
        <v>57.8</v>
      </c>
      <c r="M582">
        <v>3363</v>
      </c>
      <c r="O582">
        <v>7.547534636423657E-2</v>
      </c>
      <c r="P582">
        <v>-2.8875059888336659E-2</v>
      </c>
      <c r="Q582">
        <v>0.33783279300793229</v>
      </c>
    </row>
    <row r="583" spans="1:17" x14ac:dyDescent="0.2">
      <c r="A583" s="69">
        <v>44105</v>
      </c>
      <c r="B583">
        <v>58.8</v>
      </c>
      <c r="C583">
        <v>52.5</v>
      </c>
      <c r="D583">
        <v>54.4</v>
      </c>
      <c r="E583">
        <v>63.9</v>
      </c>
      <c r="F583">
        <v>61.2</v>
      </c>
      <c r="G583">
        <v>51.1</v>
      </c>
      <c r="H583">
        <v>53.1</v>
      </c>
      <c r="I583">
        <v>56.2</v>
      </c>
      <c r="J583">
        <v>50.1</v>
      </c>
      <c r="K583">
        <v>53.7</v>
      </c>
      <c r="L583">
        <v>56.6</v>
      </c>
      <c r="M583">
        <v>3269.9599609375</v>
      </c>
      <c r="N583">
        <v>18767.777999999998</v>
      </c>
      <c r="O583">
        <v>1.115276765936578E-2</v>
      </c>
      <c r="P583">
        <v>-2.2629152430098401E-2</v>
      </c>
      <c r="Q583">
        <v>4.536294038119415E-2</v>
      </c>
    </row>
    <row r="584" spans="1:17" x14ac:dyDescent="0.2">
      <c r="A584" s="69">
        <v>44136</v>
      </c>
      <c r="B584">
        <v>57.2</v>
      </c>
      <c r="C584">
        <v>55</v>
      </c>
      <c r="D584">
        <v>50.7</v>
      </c>
      <c r="E584">
        <v>66.099999999999994</v>
      </c>
      <c r="F584">
        <v>58</v>
      </c>
      <c r="G584">
        <v>49.9</v>
      </c>
      <c r="H584">
        <v>49.3</v>
      </c>
      <c r="I584">
        <v>57</v>
      </c>
      <c r="J584">
        <v>51.5</v>
      </c>
      <c r="K584">
        <v>50.4</v>
      </c>
      <c r="L584">
        <v>55.9</v>
      </c>
      <c r="M584">
        <v>3621.6298828125</v>
      </c>
      <c r="O584">
        <v>1.115276765936578E-2</v>
      </c>
      <c r="P584">
        <v>-2.2629152430098401E-2</v>
      </c>
      <c r="Q584">
        <v>4.536294038119415E-2</v>
      </c>
    </row>
    <row r="585" spans="1:17" x14ac:dyDescent="0.2">
      <c r="A585" s="69">
        <v>44166</v>
      </c>
      <c r="B585">
        <v>58.5</v>
      </c>
      <c r="C585">
        <v>51.8</v>
      </c>
      <c r="D585">
        <v>48.7</v>
      </c>
      <c r="E585">
        <v>64.8</v>
      </c>
      <c r="F585">
        <v>59.4</v>
      </c>
      <c r="G585">
        <v>47.7</v>
      </c>
      <c r="H585">
        <v>58.2</v>
      </c>
      <c r="I585">
        <v>62.8</v>
      </c>
      <c r="J585">
        <v>48.2</v>
      </c>
      <c r="K585">
        <v>57.3</v>
      </c>
      <c r="L585">
        <v>57.2</v>
      </c>
      <c r="M585">
        <v>3756.070068359375</v>
      </c>
      <c r="O585">
        <v>1.115276765936578E-2</v>
      </c>
      <c r="P585">
        <v>-2.2629152430098401E-2</v>
      </c>
      <c r="Q585">
        <v>4.536294038119415E-2</v>
      </c>
    </row>
    <row r="586" spans="1:17" x14ac:dyDescent="0.2">
      <c r="A586" s="69">
        <v>44197</v>
      </c>
      <c r="B586">
        <v>61.8</v>
      </c>
      <c r="C586">
        <v>53.5</v>
      </c>
      <c r="D586">
        <v>50.9</v>
      </c>
      <c r="E586">
        <v>64.2</v>
      </c>
      <c r="F586">
        <v>59.9</v>
      </c>
      <c r="G586">
        <v>49.7</v>
      </c>
      <c r="H586">
        <v>49.2</v>
      </c>
      <c r="I586">
        <v>57.8</v>
      </c>
      <c r="J586">
        <v>55.2</v>
      </c>
      <c r="K586">
        <v>47</v>
      </c>
      <c r="L586">
        <v>58.7</v>
      </c>
      <c r="M586">
        <v>3714.239990234375</v>
      </c>
      <c r="N586">
        <v>19055.654999999999</v>
      </c>
      <c r="O586">
        <v>1.533889627211066E-2</v>
      </c>
      <c r="P586">
        <v>5.4697680328273934E-3</v>
      </c>
      <c r="Q586">
        <v>6.278176672776592E-2</v>
      </c>
    </row>
    <row r="587" spans="1:17" x14ac:dyDescent="0.2">
      <c r="A587" s="69">
        <v>44228</v>
      </c>
      <c r="B587">
        <v>51.9</v>
      </c>
      <c r="C587">
        <v>50.5</v>
      </c>
      <c r="D587">
        <v>55.2</v>
      </c>
      <c r="E587">
        <v>71.8</v>
      </c>
      <c r="F587">
        <v>55.5</v>
      </c>
      <c r="G587">
        <v>54.3</v>
      </c>
      <c r="H587">
        <v>58.9</v>
      </c>
      <c r="I587">
        <v>60.8</v>
      </c>
      <c r="J587">
        <v>52.7</v>
      </c>
      <c r="K587">
        <v>57.6</v>
      </c>
      <c r="L587">
        <v>55.3</v>
      </c>
      <c r="M587">
        <v>3811.14990234375</v>
      </c>
      <c r="O587">
        <v>1.533889627211066E-2</v>
      </c>
      <c r="P587">
        <v>5.4697680328273934E-3</v>
      </c>
      <c r="Q587">
        <v>6.278176672776592E-2</v>
      </c>
    </row>
    <row r="588" spans="1:17" x14ac:dyDescent="0.2">
      <c r="A588" s="69">
        <v>44256</v>
      </c>
      <c r="B588">
        <v>67.2</v>
      </c>
      <c r="C588">
        <v>74</v>
      </c>
      <c r="D588">
        <v>50.2</v>
      </c>
      <c r="E588">
        <v>74</v>
      </c>
      <c r="F588">
        <v>69.400000000000006</v>
      </c>
      <c r="G588">
        <v>52.7</v>
      </c>
      <c r="H588">
        <v>54</v>
      </c>
      <c r="I588">
        <v>61</v>
      </c>
      <c r="J588">
        <v>57.2</v>
      </c>
      <c r="K588">
        <v>55.5</v>
      </c>
      <c r="L588">
        <v>63.7</v>
      </c>
      <c r="M588">
        <v>3972.889892578125</v>
      </c>
      <c r="O588">
        <v>1.533889627211066E-2</v>
      </c>
      <c r="P588">
        <v>5.4697680328273934E-3</v>
      </c>
      <c r="Q588">
        <v>6.278176672776592E-2</v>
      </c>
    </row>
    <row r="589" spans="1:17" x14ac:dyDescent="0.2">
      <c r="A589" s="69">
        <v>44287</v>
      </c>
      <c r="B589">
        <v>63.2</v>
      </c>
      <c r="C589">
        <v>55.7</v>
      </c>
      <c r="D589">
        <v>55.7</v>
      </c>
      <c r="E589">
        <v>76.8</v>
      </c>
      <c r="F589">
        <v>62.7</v>
      </c>
      <c r="G589">
        <v>46.8</v>
      </c>
      <c r="H589">
        <v>49.1</v>
      </c>
      <c r="I589">
        <v>66.099999999999994</v>
      </c>
      <c r="J589">
        <v>58.8</v>
      </c>
      <c r="K589">
        <v>58.6</v>
      </c>
      <c r="L589">
        <v>62.7</v>
      </c>
      <c r="M589">
        <v>4181.169921875</v>
      </c>
      <c r="N589">
        <v>19368.310000000001</v>
      </c>
      <c r="O589">
        <v>1.6407465395443108E-2</v>
      </c>
      <c r="P589">
        <v>0.12226677108077</v>
      </c>
      <c r="Q589">
        <v>6.7262831458960726E-2</v>
      </c>
    </row>
    <row r="590" spans="1:17" x14ac:dyDescent="0.2">
      <c r="A590" s="69">
        <v>44317</v>
      </c>
      <c r="B590">
        <v>63.9</v>
      </c>
      <c r="C590">
        <v>50.4</v>
      </c>
      <c r="D590">
        <v>61.1</v>
      </c>
      <c r="E590">
        <v>80.599999999999994</v>
      </c>
      <c r="F590">
        <v>66.2</v>
      </c>
      <c r="G590">
        <v>40.5</v>
      </c>
      <c r="H590">
        <v>51.5</v>
      </c>
      <c r="I590">
        <v>70.400000000000006</v>
      </c>
      <c r="J590">
        <v>55.3</v>
      </c>
      <c r="K590">
        <v>60</v>
      </c>
      <c r="L590">
        <v>64</v>
      </c>
      <c r="M590">
        <v>4204.10986328125</v>
      </c>
      <c r="O590">
        <v>1.6407465395443108E-2</v>
      </c>
      <c r="P590">
        <v>0.12226677108077</v>
      </c>
      <c r="Q590">
        <v>6.7262831458960726E-2</v>
      </c>
    </row>
    <row r="591" spans="1:17" x14ac:dyDescent="0.2">
      <c r="A591" s="69">
        <v>44348</v>
      </c>
      <c r="B591">
        <v>62.1</v>
      </c>
      <c r="C591">
        <v>58.2</v>
      </c>
      <c r="D591">
        <v>65.8</v>
      </c>
      <c r="E591">
        <v>79.5</v>
      </c>
      <c r="F591">
        <v>60.4</v>
      </c>
      <c r="G591">
        <v>37.200000000000003</v>
      </c>
      <c r="H591">
        <v>49.9</v>
      </c>
      <c r="I591">
        <v>68.5</v>
      </c>
      <c r="J591">
        <v>49.3</v>
      </c>
      <c r="K591">
        <v>50.7</v>
      </c>
      <c r="L591">
        <v>60.1</v>
      </c>
      <c r="M591">
        <v>4297.5</v>
      </c>
      <c r="O591">
        <v>1.6407465395443108E-2</v>
      </c>
      <c r="P591">
        <v>0.12226677108077</v>
      </c>
      <c r="Q591">
        <v>6.7262831458960726E-2</v>
      </c>
    </row>
    <row r="592" spans="1:17" x14ac:dyDescent="0.2">
      <c r="A592" s="69">
        <v>44378</v>
      </c>
      <c r="B592">
        <v>63.7</v>
      </c>
      <c r="C592">
        <v>51.6</v>
      </c>
      <c r="D592">
        <v>63.5</v>
      </c>
      <c r="E592">
        <v>82.3</v>
      </c>
      <c r="F592">
        <v>67</v>
      </c>
      <c r="G592">
        <v>40.299999999999997</v>
      </c>
      <c r="H592">
        <v>49.2</v>
      </c>
      <c r="I592">
        <v>72</v>
      </c>
      <c r="J592">
        <v>53.8</v>
      </c>
      <c r="K592">
        <v>65.8</v>
      </c>
      <c r="L592">
        <v>64.099999999999994</v>
      </c>
      <c r="M592">
        <v>4395.259765625</v>
      </c>
      <c r="N592">
        <v>19478.893</v>
      </c>
      <c r="O592">
        <v>5.7094811059921454E-3</v>
      </c>
      <c r="P592">
        <v>4.9465555692882128E-2</v>
      </c>
      <c r="Q592">
        <v>2.303425900825307E-2</v>
      </c>
    </row>
    <row r="593" spans="1:17" x14ac:dyDescent="0.2">
      <c r="A593" s="69">
        <v>44409</v>
      </c>
      <c r="B593">
        <v>63.2</v>
      </c>
      <c r="C593">
        <v>48.7</v>
      </c>
      <c r="D593">
        <v>61.3</v>
      </c>
      <c r="E593">
        <v>75.400000000000006</v>
      </c>
      <c r="F593">
        <v>60.1</v>
      </c>
      <c r="G593">
        <v>41.4</v>
      </c>
      <c r="H593">
        <v>46.9</v>
      </c>
      <c r="I593">
        <v>69.599999999999994</v>
      </c>
      <c r="J593">
        <v>53.7</v>
      </c>
      <c r="K593">
        <v>60.6</v>
      </c>
      <c r="L593">
        <v>61.7</v>
      </c>
      <c r="M593">
        <v>4522.68017578125</v>
      </c>
      <c r="O593">
        <v>5.7094811059921454E-3</v>
      </c>
      <c r="P593">
        <v>4.9465555692882128E-2</v>
      </c>
      <c r="Q593">
        <v>2.303425900825307E-2</v>
      </c>
    </row>
    <row r="594" spans="1:17" x14ac:dyDescent="0.2">
      <c r="A594" s="69">
        <v>44440</v>
      </c>
      <c r="B594">
        <v>63.5</v>
      </c>
      <c r="C594">
        <v>47.7</v>
      </c>
      <c r="D594">
        <v>61.9</v>
      </c>
      <c r="E594">
        <v>77.5</v>
      </c>
      <c r="F594">
        <v>62.3</v>
      </c>
      <c r="G594">
        <v>46.3</v>
      </c>
      <c r="H594">
        <v>46.1</v>
      </c>
      <c r="I594">
        <v>68.8</v>
      </c>
      <c r="J594">
        <v>53</v>
      </c>
      <c r="K594">
        <v>59.5</v>
      </c>
      <c r="L594">
        <v>61.9</v>
      </c>
      <c r="M594">
        <v>4307.5400390625</v>
      </c>
      <c r="O594">
        <v>5.7094811059921454E-3</v>
      </c>
      <c r="P594">
        <v>4.9465555692882128E-2</v>
      </c>
      <c r="Q594">
        <v>2.303425900825307E-2</v>
      </c>
    </row>
    <row r="595" spans="1:17" x14ac:dyDescent="0.2">
      <c r="A595" s="69">
        <v>44470</v>
      </c>
      <c r="B595">
        <v>69.7</v>
      </c>
      <c r="C595">
        <v>53.3</v>
      </c>
      <c r="D595">
        <v>67.3</v>
      </c>
      <c r="E595">
        <v>82.9</v>
      </c>
      <c r="F595">
        <v>69.8</v>
      </c>
      <c r="G595">
        <v>37.299999999999997</v>
      </c>
      <c r="H595">
        <v>42.2</v>
      </c>
      <c r="I595">
        <v>75.7</v>
      </c>
      <c r="J595">
        <v>51.6</v>
      </c>
      <c r="K595">
        <v>62.3</v>
      </c>
      <c r="L595">
        <v>66.7</v>
      </c>
      <c r="M595">
        <v>4605.3798828125</v>
      </c>
      <c r="N595">
        <v>19805.962</v>
      </c>
      <c r="O595">
        <v>1.6790943920683761E-2</v>
      </c>
      <c r="P595">
        <v>5.5317363621841711E-2</v>
      </c>
      <c r="Q595">
        <v>6.8874405829691066E-2</v>
      </c>
    </row>
    <row r="596" spans="1:17" x14ac:dyDescent="0.2">
      <c r="A596" s="69">
        <v>44501</v>
      </c>
      <c r="B596">
        <v>69.7</v>
      </c>
      <c r="C596">
        <v>50.5</v>
      </c>
      <c r="D596">
        <v>65.900000000000006</v>
      </c>
      <c r="E596">
        <v>82.3</v>
      </c>
      <c r="F596">
        <v>74.599999999999994</v>
      </c>
      <c r="G596">
        <v>36.4</v>
      </c>
      <c r="H596">
        <v>48.2</v>
      </c>
      <c r="I596">
        <v>75.7</v>
      </c>
      <c r="J596">
        <v>56.5</v>
      </c>
      <c r="K596">
        <v>57.9</v>
      </c>
      <c r="L596">
        <v>69.099999999999994</v>
      </c>
      <c r="M596">
        <v>4567</v>
      </c>
      <c r="O596">
        <v>1.6790943920683761E-2</v>
      </c>
      <c r="P596">
        <v>5.5317363621841711E-2</v>
      </c>
      <c r="Q596">
        <v>6.8874405829691066E-2</v>
      </c>
    </row>
    <row r="597" spans="1:17" x14ac:dyDescent="0.2">
      <c r="A597" s="69">
        <v>44531</v>
      </c>
      <c r="B597">
        <v>61.5</v>
      </c>
      <c r="C597">
        <v>55.5</v>
      </c>
      <c r="D597">
        <v>62.3</v>
      </c>
      <c r="E597">
        <v>82.5</v>
      </c>
      <c r="F597">
        <v>67.599999999999994</v>
      </c>
      <c r="G597">
        <v>38.299999999999997</v>
      </c>
      <c r="H597">
        <v>46.7</v>
      </c>
      <c r="I597">
        <v>63.9</v>
      </c>
      <c r="J597">
        <v>54.9</v>
      </c>
      <c r="K597">
        <v>61.5</v>
      </c>
      <c r="L597">
        <v>62</v>
      </c>
      <c r="M597">
        <v>4766.18017578125</v>
      </c>
      <c r="O597">
        <v>1.6790943920683761E-2</v>
      </c>
      <c r="P597">
        <v>5.5317363621841711E-2</v>
      </c>
      <c r="Q597">
        <v>6.8874405829691066E-2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79998168889431442"/>
  </sheetPr>
  <dimension ref="A1:Z16"/>
  <sheetViews>
    <sheetView zoomScale="140" zoomScaleNormal="140" workbookViewId="0">
      <selection activeCell="O1" sqref="O1"/>
    </sheetView>
  </sheetViews>
  <sheetFormatPr baseColWidth="10" defaultColWidth="9.1640625" defaultRowHeight="15" x14ac:dyDescent="0.2"/>
  <cols>
    <col min="1" max="1" width="9.6640625" style="66" customWidth="1"/>
    <col min="2" max="18" width="8.83203125" style="66" customWidth="1"/>
    <col min="19" max="19" width="12.5" style="66" customWidth="1"/>
    <col min="20" max="20" width="8.83203125" style="66" customWidth="1"/>
    <col min="21" max="30" width="9.1640625" style="66" customWidth="1"/>
    <col min="31" max="16384" width="9.1640625" style="66"/>
  </cols>
  <sheetData>
    <row r="1" spans="1:26" x14ac:dyDescent="0.2">
      <c r="B1" s="14" t="s">
        <v>66</v>
      </c>
      <c r="J1" s="66" t="s">
        <v>67</v>
      </c>
      <c r="L1" s="43">
        <v>44531</v>
      </c>
      <c r="O1" s="6"/>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6" t="s">
        <v>68</v>
      </c>
      <c r="Z5" s="66" t="s">
        <v>69</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66">
        <f t="shared" ref="Y6:Y11" si="2">MIN(B6:S6)</f>
        <v>0</v>
      </c>
      <c r="Z6" s="66">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66">
        <f t="shared" si="2"/>
        <v>-1</v>
      </c>
      <c r="Z7" s="66">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66">
        <f t="shared" si="2"/>
        <v>-1</v>
      </c>
      <c r="Z8" s="66">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66">
        <f t="shared" si="2"/>
        <v>1</v>
      </c>
      <c r="Z9" s="66">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66">
        <f t="shared" si="2"/>
        <v>1</v>
      </c>
      <c r="Z10" s="66">
        <f t="shared" si="3"/>
        <v>18</v>
      </c>
    </row>
    <row r="11" spans="1:26" ht="16" customHeight="1" thickBot="1" x14ac:dyDescent="0.25">
      <c r="A11" s="8">
        <f>L1</f>
        <v>44531</v>
      </c>
      <c r="B11" s="41">
        <f>VLOOKUP($B$5,'Sectors Trend'!$B$6:$AD$23,VLOOKUP(A11,$U:$V,2,),)</f>
        <v>5</v>
      </c>
      <c r="C11" s="41">
        <f>VLOOKUP($C$5,'Sectors Trend'!$B$6:$AD$23,VLOOKUP(A11,$U:$V,2,),)</f>
        <v>13</v>
      </c>
      <c r="D11" s="41">
        <f>VLOOKUP($D$5,'Sectors Trend'!$B$6:$AD$23,VLOOKUP(A11,$U:$V,2,),)</f>
        <v>12</v>
      </c>
      <c r="E11" s="41">
        <f>VLOOKUP($E$5,'Sectors Trend'!$B$6:$AD$23,VLOOKUP(A11,$U:$V,2,),)</f>
        <v>15</v>
      </c>
      <c r="F11" s="41">
        <f>VLOOKUP($F$5,'Sectors Trend'!$B$6:$AD$23,VLOOKUP(A11,$U:$V,2,),)</f>
        <v>3</v>
      </c>
      <c r="G11" s="41">
        <f>VLOOKUP($G$5,'Sectors Trend'!$B$6:$AD$23,VLOOKUP(A11,$U:$V,2,),)</f>
        <v>18</v>
      </c>
      <c r="H11" s="41">
        <f>VLOOKUP($H$5,'Sectors Trend'!$B$6:$AD$23,VLOOKUP(A11,$U:$V,2,),)</f>
        <v>4</v>
      </c>
      <c r="I11" s="41">
        <f>VLOOKUP($I$5,'Sectors Trend'!$B$6:$AD$23,VLOOKUP(A11,$U:$V,2,),)</f>
        <v>6</v>
      </c>
      <c r="J11" s="41">
        <f>VLOOKUP($J$5,'Sectors Trend'!$B$6:$AD$23,VLOOKUP(A11,$U:$V,2,),)</f>
        <v>8</v>
      </c>
      <c r="K11" s="41">
        <f>VLOOKUP($K$5,'Sectors Trend'!$B$6:$AD$23,VLOOKUP(A11,$U:$V,2,),)</f>
        <v>17</v>
      </c>
      <c r="L11" s="41">
        <f>VLOOKUP($L$5,'Sectors Trend'!$B$6:$AD$23,VLOOKUP(A11,$U:$V,2,),)</f>
        <v>11</v>
      </c>
      <c r="M11" s="41">
        <f>VLOOKUP($M$5,'Sectors Trend'!$B$6:$AD$23,VLOOKUP(A11,$U:$V,2,),)</f>
        <v>14</v>
      </c>
      <c r="N11" s="41">
        <f>VLOOKUP($N$5,'Sectors Trend'!$B$6:$AD$23,VLOOKUP(A11,$U:$V,2,),)</f>
        <v>7</v>
      </c>
      <c r="O11" s="41">
        <f>VLOOKUP($O$5,'Sectors Trend'!$B$6:$AD$23,VLOOKUP(A11,$U:$V,2,),)</f>
        <v>2</v>
      </c>
      <c r="P11" s="41">
        <f>VLOOKUP($P$5,'Sectors Trend'!$B$6:$AD$23,VLOOKUP(A11,$U:$V,2,),)</f>
        <v>1</v>
      </c>
      <c r="Q11" s="41">
        <f>VLOOKUP($Q$5,'Sectors Trend'!$B$6:$AD$23,VLOOKUP(A11,$U:$V,2,),)</f>
        <v>9</v>
      </c>
      <c r="R11" s="41">
        <f>VLOOKUP($R$5,'Sectors Trend'!$B$6:$AD$23,VLOOKUP(A11,$U:$V,2,),)</f>
        <v>10</v>
      </c>
      <c r="S11" s="42">
        <f>VLOOKUP($S$5,'Sectors Trend'!$B$6:$AD$23,VLOOKUP(A11,$U:$V,2,),)</f>
        <v>16</v>
      </c>
      <c r="U11" s="7">
        <f>L1</f>
        <v>44531</v>
      </c>
      <c r="V11" s="1">
        <f>L2+1</f>
        <v>25</v>
      </c>
      <c r="Y11" s="66">
        <f t="shared" si="2"/>
        <v>1</v>
      </c>
      <c r="Z11" s="66">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66" customWidth="1"/>
    <col min="2" max="18" width="8.83203125" style="66" customWidth="1"/>
    <col min="19" max="19" width="10.5" style="66" customWidth="1"/>
    <col min="20" max="20" width="8.83203125" style="66" customWidth="1"/>
    <col min="21" max="30" width="9.1640625" style="66" customWidth="1"/>
    <col min="31" max="16384" width="9.1640625" style="66"/>
  </cols>
  <sheetData>
    <row r="1" spans="1:26" x14ac:dyDescent="0.2">
      <c r="J1" s="66" t="s">
        <v>67</v>
      </c>
      <c r="L1" s="7">
        <f>Sectors!L1</f>
        <v>44531</v>
      </c>
      <c r="O1" s="6"/>
    </row>
    <row r="2" spans="1:26" x14ac:dyDescent="0.2">
      <c r="L2" s="66">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6" t="s">
        <v>68</v>
      </c>
      <c r="Z5" s="66" t="s">
        <v>69</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66">
        <f t="shared" ref="Y6:Y11" si="2">MIN(B6:S6)</f>
        <v>0</v>
      </c>
      <c r="Z6" s="66">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66">
        <f t="shared" si="2"/>
        <v>-2</v>
      </c>
      <c r="Z7" s="66">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66">
        <f t="shared" si="2"/>
        <v>-1</v>
      </c>
      <c r="Z8" s="66">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66">
        <f t="shared" si="2"/>
        <v>-1</v>
      </c>
      <c r="Z9" s="66">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66">
        <f t="shared" si="2"/>
        <v>0</v>
      </c>
      <c r="Z10" s="66">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66">
        <f t="shared" si="2"/>
        <v>-3</v>
      </c>
      <c r="Z11" s="66">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66" customWidth="1"/>
    <col min="2" max="20" width="8.83203125" style="66" customWidth="1"/>
    <col min="21" max="30" width="9.1640625" style="66" customWidth="1"/>
    <col min="31" max="16384" width="9.1640625" style="66"/>
  </cols>
  <sheetData>
    <row r="1" spans="1:26" x14ac:dyDescent="0.2">
      <c r="J1" s="66" t="s">
        <v>67</v>
      </c>
      <c r="L1" s="7">
        <f>Sectors!L1</f>
        <v>44531</v>
      </c>
      <c r="O1" s="6"/>
    </row>
    <row r="2" spans="1:26" x14ac:dyDescent="0.2">
      <c r="L2" s="66">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66" t="s">
        <v>68</v>
      </c>
      <c r="Z5" s="66" t="s">
        <v>69</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66">
        <f t="shared" ref="Y6:Y11" si="2">MIN(B6:S6)</f>
        <v>-1</v>
      </c>
      <c r="Z6" s="66">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66">
        <f t="shared" si="2"/>
        <v>-3</v>
      </c>
      <c r="Z7" s="66">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66">
        <f t="shared" si="2"/>
        <v>-1</v>
      </c>
      <c r="Z8" s="66">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66">
        <f t="shared" si="2"/>
        <v>0</v>
      </c>
      <c r="Z9" s="66">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66">
        <f t="shared" si="2"/>
        <v>1</v>
      </c>
      <c r="Z10" s="66">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66">
        <f t="shared" si="2"/>
        <v>-3</v>
      </c>
      <c r="Z11" s="66">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WWI68"/>
  <sheetViews>
    <sheetView zoomScale="130" zoomScaleNormal="130" workbookViewId="0">
      <pane xSplit="2" ySplit="5" topLeftCell="C6" activePane="bottomRight" state="frozen"/>
      <selection pane="topRight" activeCell="C1" sqref="C1"/>
      <selection pane="bottomLeft" activeCell="A6" sqref="A6"/>
      <selection pane="bottomRight" activeCell="H71" sqref="H71"/>
    </sheetView>
  </sheetViews>
  <sheetFormatPr baseColWidth="10" defaultColWidth="8.83203125" defaultRowHeight="15" x14ac:dyDescent="0.2"/>
  <cols>
    <col min="1" max="1" width="9.1640625" style="66" customWidth="1"/>
    <col min="2" max="2" width="30.5" style="66" customWidth="1"/>
    <col min="3" max="26" width="10.5" style="29" customWidth="1"/>
    <col min="27" max="30" width="10.1640625" style="66" customWidth="1"/>
    <col min="31" max="32" width="9.1640625" style="66" customWidth="1"/>
    <col min="33" max="33" width="10.6640625" style="66" bestFit="1" customWidth="1"/>
    <col min="34" max="233" width="9.1640625" style="66" customWidth="1"/>
    <col min="234" max="234" width="28.6640625" style="66" customWidth="1"/>
    <col min="235" max="235" width="9" style="66" bestFit="1" customWidth="1"/>
    <col min="236" max="236" width="5.33203125" style="66" customWidth="1"/>
    <col min="237" max="237" width="9" style="66" bestFit="1" customWidth="1"/>
    <col min="238" max="238" width="5.33203125" style="66" customWidth="1"/>
    <col min="239" max="239" width="9" style="66" bestFit="1" customWidth="1"/>
    <col min="240" max="240" width="5" style="66" customWidth="1"/>
    <col min="241" max="241" width="9" style="66" bestFit="1" customWidth="1"/>
    <col min="242" max="242" width="5.1640625" style="66" customWidth="1"/>
    <col min="243" max="243" width="9.1640625" style="66" customWidth="1"/>
    <col min="244" max="244" width="6" style="66" customWidth="1"/>
    <col min="245" max="245" width="9.1640625" style="66" customWidth="1"/>
    <col min="246" max="246" width="6" style="66" customWidth="1"/>
    <col min="247" max="248" width="10.1640625" style="66" customWidth="1"/>
    <col min="249" max="249" width="10" style="66" customWidth="1"/>
    <col min="250" max="250" width="10.33203125" style="66" customWidth="1"/>
    <col min="251" max="261" width="9.1640625" style="66" customWidth="1"/>
    <col min="262" max="262" width="11.33203125" style="66" customWidth="1"/>
    <col min="263" max="283" width="13" style="66" hidden="1" customWidth="1"/>
    <col min="284" max="489" width="9.1640625" style="66" customWidth="1"/>
    <col min="490" max="490" width="28.6640625" style="66" customWidth="1"/>
    <col min="491" max="491" width="9" style="66" bestFit="1" customWidth="1"/>
    <col min="492" max="492" width="5.33203125" style="66" customWidth="1"/>
    <col min="493" max="493" width="9" style="66" bestFit="1" customWidth="1"/>
    <col min="494" max="494" width="5.33203125" style="66" customWidth="1"/>
    <col min="495" max="495" width="9" style="66" bestFit="1" customWidth="1"/>
    <col min="496" max="496" width="5" style="66" customWidth="1"/>
    <col min="497" max="497" width="9" style="66" bestFit="1" customWidth="1"/>
    <col min="498" max="498" width="5.1640625" style="66" customWidth="1"/>
    <col min="499" max="499" width="9.1640625" style="66" customWidth="1"/>
    <col min="500" max="500" width="6" style="66" customWidth="1"/>
    <col min="501" max="501" width="9.1640625" style="66" customWidth="1"/>
    <col min="502" max="502" width="6" style="66" customWidth="1"/>
    <col min="503" max="504" width="10.1640625" style="66" customWidth="1"/>
    <col min="505" max="505" width="10" style="66" customWidth="1"/>
    <col min="506" max="506" width="10.33203125" style="66" customWidth="1"/>
    <col min="507" max="517" width="9.1640625" style="66" customWidth="1"/>
    <col min="518" max="518" width="11.33203125" style="66" customWidth="1"/>
    <col min="519" max="539" width="13" style="66" hidden="1" customWidth="1"/>
    <col min="540" max="745" width="9.1640625" style="66" customWidth="1"/>
    <col min="746" max="746" width="28.6640625" style="66" customWidth="1"/>
    <col min="747" max="747" width="9" style="66" bestFit="1" customWidth="1"/>
    <col min="748" max="748" width="5.33203125" style="66" customWidth="1"/>
    <col min="749" max="749" width="9" style="66" bestFit="1" customWidth="1"/>
    <col min="750" max="750" width="5.33203125" style="66" customWidth="1"/>
    <col min="751" max="751" width="9" style="66" bestFit="1" customWidth="1"/>
    <col min="752" max="752" width="5" style="66" customWidth="1"/>
    <col min="753" max="753" width="9" style="66" bestFit="1" customWidth="1"/>
    <col min="754" max="754" width="5.1640625" style="66" customWidth="1"/>
    <col min="755" max="755" width="9.1640625" style="66" customWidth="1"/>
    <col min="756" max="756" width="6" style="66" customWidth="1"/>
    <col min="757" max="757" width="9.1640625" style="66" customWidth="1"/>
    <col min="758" max="758" width="6" style="66" customWidth="1"/>
    <col min="759" max="760" width="10.1640625" style="66" customWidth="1"/>
    <col min="761" max="761" width="10" style="66" customWidth="1"/>
    <col min="762" max="762" width="10.33203125" style="66" customWidth="1"/>
    <col min="763" max="773" width="9.1640625" style="66" customWidth="1"/>
    <col min="774" max="774" width="11.33203125" style="66" customWidth="1"/>
    <col min="775" max="795" width="13" style="66" hidden="1" customWidth="1"/>
    <col min="796" max="1001" width="9.1640625" style="66" customWidth="1"/>
    <col min="1002" max="1002" width="28.6640625" style="66" customWidth="1"/>
    <col min="1003" max="1003" width="9" style="66" bestFit="1" customWidth="1"/>
    <col min="1004" max="1004" width="5.33203125" style="66" customWidth="1"/>
    <col min="1005" max="1005" width="9" style="66" bestFit="1" customWidth="1"/>
    <col min="1006" max="1006" width="5.33203125" style="66" customWidth="1"/>
    <col min="1007" max="1007" width="9" style="66" bestFit="1" customWidth="1"/>
    <col min="1008" max="1008" width="5" style="66" customWidth="1"/>
    <col min="1009" max="1009" width="9" style="66" bestFit="1" customWidth="1"/>
    <col min="1010" max="1010" width="5.1640625" style="66" customWidth="1"/>
    <col min="1011" max="1011" width="9.1640625" style="66" customWidth="1"/>
    <col min="1012" max="1012" width="6" style="66" customWidth="1"/>
    <col min="1013" max="1013" width="9.1640625" style="66" customWidth="1"/>
    <col min="1014" max="1014" width="6" style="66" customWidth="1"/>
    <col min="1015" max="1016" width="10.1640625" style="66" customWidth="1"/>
    <col min="1017" max="1017" width="10" style="66" customWidth="1"/>
    <col min="1018" max="1018" width="10.33203125" style="66" customWidth="1"/>
    <col min="1019" max="1029" width="9.1640625" style="66" customWidth="1"/>
    <col min="1030" max="1030" width="11.33203125" style="66" customWidth="1"/>
    <col min="1031" max="1051" width="13" style="66" hidden="1" customWidth="1"/>
    <col min="1052" max="1257" width="9.1640625" style="66" customWidth="1"/>
    <col min="1258" max="1258" width="28.6640625" style="66" customWidth="1"/>
    <col min="1259" max="1259" width="9" style="66" bestFit="1" customWidth="1"/>
    <col min="1260" max="1260" width="5.33203125" style="66" customWidth="1"/>
    <col min="1261" max="1261" width="9" style="66" bestFit="1" customWidth="1"/>
    <col min="1262" max="1262" width="5.33203125" style="66" customWidth="1"/>
    <col min="1263" max="1263" width="9" style="66" bestFit="1" customWidth="1"/>
    <col min="1264" max="1264" width="5" style="66" customWidth="1"/>
    <col min="1265" max="1265" width="9" style="66" bestFit="1" customWidth="1"/>
    <col min="1266" max="1266" width="5.1640625" style="66" customWidth="1"/>
    <col min="1267" max="1267" width="9.1640625" style="66" customWidth="1"/>
    <col min="1268" max="1268" width="6" style="66" customWidth="1"/>
    <col min="1269" max="1269" width="9.1640625" style="66" customWidth="1"/>
    <col min="1270" max="1270" width="6" style="66" customWidth="1"/>
    <col min="1271" max="1272" width="10.1640625" style="66" customWidth="1"/>
    <col min="1273" max="1273" width="10" style="66" customWidth="1"/>
    <col min="1274" max="1274" width="10.33203125" style="66" customWidth="1"/>
    <col min="1275" max="1285" width="9.1640625" style="66" customWidth="1"/>
    <col min="1286" max="1286" width="11.33203125" style="66" customWidth="1"/>
    <col min="1287" max="1307" width="13" style="66" hidden="1" customWidth="1"/>
    <col min="1308" max="1513" width="9.1640625" style="66" customWidth="1"/>
    <col min="1514" max="1514" width="28.6640625" style="66" customWidth="1"/>
    <col min="1515" max="1515" width="9" style="66" bestFit="1" customWidth="1"/>
    <col min="1516" max="1516" width="5.33203125" style="66" customWidth="1"/>
    <col min="1517" max="1517" width="9" style="66" bestFit="1" customWidth="1"/>
    <col min="1518" max="1518" width="5.33203125" style="66" customWidth="1"/>
    <col min="1519" max="1519" width="9" style="66" bestFit="1" customWidth="1"/>
    <col min="1520" max="1520" width="5" style="66" customWidth="1"/>
    <col min="1521" max="1521" width="9" style="66" bestFit="1" customWidth="1"/>
    <col min="1522" max="1522" width="5.1640625" style="66" customWidth="1"/>
    <col min="1523" max="1523" width="9.1640625" style="66" customWidth="1"/>
    <col min="1524" max="1524" width="6" style="66" customWidth="1"/>
    <col min="1525" max="1525" width="9.1640625" style="66" customWidth="1"/>
    <col min="1526" max="1526" width="6" style="66" customWidth="1"/>
    <col min="1527" max="1528" width="10.1640625" style="66" customWidth="1"/>
    <col min="1529" max="1529" width="10" style="66" customWidth="1"/>
    <col min="1530" max="1530" width="10.33203125" style="66" customWidth="1"/>
    <col min="1531" max="1541" width="9.1640625" style="66" customWidth="1"/>
    <col min="1542" max="1542" width="11.33203125" style="66" customWidth="1"/>
    <col min="1543" max="1563" width="13" style="66" hidden="1" customWidth="1"/>
    <col min="1564" max="1769" width="9.1640625" style="66" customWidth="1"/>
    <col min="1770" max="1770" width="28.6640625" style="66" customWidth="1"/>
    <col min="1771" max="1771" width="9" style="66" bestFit="1" customWidth="1"/>
    <col min="1772" max="1772" width="5.33203125" style="66" customWidth="1"/>
    <col min="1773" max="1773" width="9" style="66" bestFit="1" customWidth="1"/>
    <col min="1774" max="1774" width="5.33203125" style="66" customWidth="1"/>
    <col min="1775" max="1775" width="9" style="66" bestFit="1" customWidth="1"/>
    <col min="1776" max="1776" width="5" style="66" customWidth="1"/>
    <col min="1777" max="1777" width="9" style="66" bestFit="1" customWidth="1"/>
    <col min="1778" max="1778" width="5.1640625" style="66" customWidth="1"/>
    <col min="1779" max="1779" width="9.1640625" style="66" customWidth="1"/>
    <col min="1780" max="1780" width="6" style="66" customWidth="1"/>
    <col min="1781" max="1781" width="9.1640625" style="66" customWidth="1"/>
    <col min="1782" max="1782" width="6" style="66" customWidth="1"/>
    <col min="1783" max="1784" width="10.1640625" style="66" customWidth="1"/>
    <col min="1785" max="1785" width="10" style="66" customWidth="1"/>
    <col min="1786" max="1786" width="10.33203125" style="66" customWidth="1"/>
    <col min="1787" max="1797" width="9.1640625" style="66" customWidth="1"/>
    <col min="1798" max="1798" width="11.33203125" style="66" customWidth="1"/>
    <col min="1799" max="1819" width="13" style="66" hidden="1" customWidth="1"/>
    <col min="1820" max="2025" width="9.1640625" style="66" customWidth="1"/>
    <col min="2026" max="2026" width="28.6640625" style="66" customWidth="1"/>
    <col min="2027" max="2027" width="9" style="66" bestFit="1" customWidth="1"/>
    <col min="2028" max="2028" width="5.33203125" style="66" customWidth="1"/>
    <col min="2029" max="2029" width="9" style="66" bestFit="1" customWidth="1"/>
    <col min="2030" max="2030" width="5.33203125" style="66" customWidth="1"/>
    <col min="2031" max="2031" width="9" style="66" bestFit="1" customWidth="1"/>
    <col min="2032" max="2032" width="5" style="66" customWidth="1"/>
    <col min="2033" max="2033" width="9" style="66" bestFit="1" customWidth="1"/>
    <col min="2034" max="2034" width="5.1640625" style="66" customWidth="1"/>
    <col min="2035" max="2035" width="9.1640625" style="66" customWidth="1"/>
    <col min="2036" max="2036" width="6" style="66" customWidth="1"/>
    <col min="2037" max="2037" width="9.1640625" style="66" customWidth="1"/>
    <col min="2038" max="2038" width="6" style="66" customWidth="1"/>
    <col min="2039" max="2040" width="10.1640625" style="66" customWidth="1"/>
    <col min="2041" max="2041" width="10" style="66" customWidth="1"/>
    <col min="2042" max="2042" width="10.33203125" style="66" customWidth="1"/>
    <col min="2043" max="2053" width="9.1640625" style="66" customWidth="1"/>
    <col min="2054" max="2054" width="11.33203125" style="66" customWidth="1"/>
    <col min="2055" max="2075" width="13" style="66" hidden="1" customWidth="1"/>
    <col min="2076" max="2281" width="9.1640625" style="66" customWidth="1"/>
    <col min="2282" max="2282" width="28.6640625" style="66" customWidth="1"/>
    <col min="2283" max="2283" width="9" style="66" bestFit="1" customWidth="1"/>
    <col min="2284" max="2284" width="5.33203125" style="66" customWidth="1"/>
    <col min="2285" max="2285" width="9" style="66" bestFit="1" customWidth="1"/>
    <col min="2286" max="2286" width="5.33203125" style="66" customWidth="1"/>
    <col min="2287" max="2287" width="9" style="66" bestFit="1" customWidth="1"/>
    <col min="2288" max="2288" width="5" style="66" customWidth="1"/>
    <col min="2289" max="2289" width="9" style="66" bestFit="1" customWidth="1"/>
    <col min="2290" max="2290" width="5.1640625" style="66" customWidth="1"/>
    <col min="2291" max="2291" width="9.1640625" style="66" customWidth="1"/>
    <col min="2292" max="2292" width="6" style="66" customWidth="1"/>
    <col min="2293" max="2293" width="9.1640625" style="66" customWidth="1"/>
    <col min="2294" max="2294" width="6" style="66" customWidth="1"/>
    <col min="2295" max="2296" width="10.1640625" style="66" customWidth="1"/>
    <col min="2297" max="2297" width="10" style="66" customWidth="1"/>
    <col min="2298" max="2298" width="10.33203125" style="66" customWidth="1"/>
    <col min="2299" max="2309" width="9.1640625" style="66" customWidth="1"/>
    <col min="2310" max="2310" width="11.33203125" style="66" customWidth="1"/>
    <col min="2311" max="2331" width="13" style="66" hidden="1" customWidth="1"/>
    <col min="2332" max="2537" width="9.1640625" style="66" customWidth="1"/>
    <col min="2538" max="2538" width="28.6640625" style="66" customWidth="1"/>
    <col min="2539" max="2539" width="9" style="66" bestFit="1" customWidth="1"/>
    <col min="2540" max="2540" width="5.33203125" style="66" customWidth="1"/>
    <col min="2541" max="2541" width="9" style="66" bestFit="1" customWidth="1"/>
    <col min="2542" max="2542" width="5.33203125" style="66" customWidth="1"/>
    <col min="2543" max="2543" width="9" style="66" bestFit="1" customWidth="1"/>
    <col min="2544" max="2544" width="5" style="66" customWidth="1"/>
    <col min="2545" max="2545" width="9" style="66" bestFit="1" customWidth="1"/>
    <col min="2546" max="2546" width="5.1640625" style="66" customWidth="1"/>
    <col min="2547" max="2547" width="9.1640625" style="66" customWidth="1"/>
    <col min="2548" max="2548" width="6" style="66" customWidth="1"/>
    <col min="2549" max="2549" width="9.1640625" style="66" customWidth="1"/>
    <col min="2550" max="2550" width="6" style="66" customWidth="1"/>
    <col min="2551" max="2552" width="10.1640625" style="66" customWidth="1"/>
    <col min="2553" max="2553" width="10" style="66" customWidth="1"/>
    <col min="2554" max="2554" width="10.33203125" style="66" customWidth="1"/>
    <col min="2555" max="2565" width="9.1640625" style="66" customWidth="1"/>
    <col min="2566" max="2566" width="11.33203125" style="66" customWidth="1"/>
    <col min="2567" max="2587" width="13" style="66" hidden="1" customWidth="1"/>
    <col min="2588" max="2793" width="9.1640625" style="66" customWidth="1"/>
    <col min="2794" max="2794" width="28.6640625" style="66" customWidth="1"/>
    <col min="2795" max="2795" width="9" style="66" bestFit="1" customWidth="1"/>
    <col min="2796" max="2796" width="5.33203125" style="66" customWidth="1"/>
    <col min="2797" max="2797" width="9" style="66" bestFit="1" customWidth="1"/>
    <col min="2798" max="2798" width="5.33203125" style="66" customWidth="1"/>
    <col min="2799" max="2799" width="9" style="66" bestFit="1" customWidth="1"/>
    <col min="2800" max="2800" width="5" style="66" customWidth="1"/>
    <col min="2801" max="2801" width="9" style="66" bestFit="1" customWidth="1"/>
    <col min="2802" max="2802" width="5.1640625" style="66" customWidth="1"/>
    <col min="2803" max="2803" width="9.1640625" style="66" customWidth="1"/>
    <col min="2804" max="2804" width="6" style="66" customWidth="1"/>
    <col min="2805" max="2805" width="9.1640625" style="66" customWidth="1"/>
    <col min="2806" max="2806" width="6" style="66" customWidth="1"/>
    <col min="2807" max="2808" width="10.1640625" style="66" customWidth="1"/>
    <col min="2809" max="2809" width="10" style="66" customWidth="1"/>
    <col min="2810" max="2810" width="10.33203125" style="66" customWidth="1"/>
    <col min="2811" max="2821" width="9.1640625" style="66" customWidth="1"/>
    <col min="2822" max="2822" width="11.33203125" style="66" customWidth="1"/>
    <col min="2823" max="2843" width="13" style="66" hidden="1" customWidth="1"/>
    <col min="2844" max="3049" width="9.1640625" style="66" customWidth="1"/>
    <col min="3050" max="3050" width="28.6640625" style="66" customWidth="1"/>
    <col min="3051" max="3051" width="9" style="66" bestFit="1" customWidth="1"/>
    <col min="3052" max="3052" width="5.33203125" style="66" customWidth="1"/>
    <col min="3053" max="3053" width="9" style="66" bestFit="1" customWidth="1"/>
    <col min="3054" max="3054" width="5.33203125" style="66" customWidth="1"/>
    <col min="3055" max="3055" width="9" style="66" bestFit="1" customWidth="1"/>
    <col min="3056" max="3056" width="5" style="66" customWidth="1"/>
    <col min="3057" max="3057" width="9" style="66" bestFit="1" customWidth="1"/>
    <col min="3058" max="3058" width="5.1640625" style="66" customWidth="1"/>
    <col min="3059" max="3059" width="9.1640625" style="66" customWidth="1"/>
    <col min="3060" max="3060" width="6" style="66" customWidth="1"/>
    <col min="3061" max="3061" width="9.1640625" style="66" customWidth="1"/>
    <col min="3062" max="3062" width="6" style="66" customWidth="1"/>
    <col min="3063" max="3064" width="10.1640625" style="66" customWidth="1"/>
    <col min="3065" max="3065" width="10" style="66" customWidth="1"/>
    <col min="3066" max="3066" width="10.33203125" style="66" customWidth="1"/>
    <col min="3067" max="3077" width="9.1640625" style="66" customWidth="1"/>
    <col min="3078" max="3078" width="11.33203125" style="66" customWidth="1"/>
    <col min="3079" max="3099" width="13" style="66" hidden="1" customWidth="1"/>
    <col min="3100" max="3305" width="9.1640625" style="66" customWidth="1"/>
    <col min="3306" max="3306" width="28.6640625" style="66" customWidth="1"/>
    <col min="3307" max="3307" width="9" style="66" bestFit="1" customWidth="1"/>
    <col min="3308" max="3308" width="5.33203125" style="66" customWidth="1"/>
    <col min="3309" max="3309" width="9" style="66" bestFit="1" customWidth="1"/>
    <col min="3310" max="3310" width="5.33203125" style="66" customWidth="1"/>
    <col min="3311" max="3311" width="9" style="66" bestFit="1" customWidth="1"/>
    <col min="3312" max="3312" width="5" style="66" customWidth="1"/>
    <col min="3313" max="3313" width="9" style="66" bestFit="1" customWidth="1"/>
    <col min="3314" max="3314" width="5.1640625" style="66" customWidth="1"/>
    <col min="3315" max="3315" width="9.1640625" style="66" customWidth="1"/>
    <col min="3316" max="3316" width="6" style="66" customWidth="1"/>
    <col min="3317" max="3317" width="9.1640625" style="66" customWidth="1"/>
    <col min="3318" max="3318" width="6" style="66" customWidth="1"/>
    <col min="3319" max="3320" width="10.1640625" style="66" customWidth="1"/>
    <col min="3321" max="3321" width="10" style="66" customWidth="1"/>
    <col min="3322" max="3322" width="10.33203125" style="66" customWidth="1"/>
    <col min="3323" max="3333" width="9.1640625" style="66" customWidth="1"/>
    <col min="3334" max="3334" width="11.33203125" style="66" customWidth="1"/>
    <col min="3335" max="3355" width="13" style="66" hidden="1" customWidth="1"/>
    <col min="3356" max="3561" width="9.1640625" style="66" customWidth="1"/>
    <col min="3562" max="3562" width="28.6640625" style="66" customWidth="1"/>
    <col min="3563" max="3563" width="9" style="66" bestFit="1" customWidth="1"/>
    <col min="3564" max="3564" width="5.33203125" style="66" customWidth="1"/>
    <col min="3565" max="3565" width="9" style="66" bestFit="1" customWidth="1"/>
    <col min="3566" max="3566" width="5.33203125" style="66" customWidth="1"/>
    <col min="3567" max="3567" width="9" style="66" bestFit="1" customWidth="1"/>
    <col min="3568" max="3568" width="5" style="66" customWidth="1"/>
    <col min="3569" max="3569" width="9" style="66" bestFit="1" customWidth="1"/>
    <col min="3570" max="3570" width="5.1640625" style="66" customWidth="1"/>
    <col min="3571" max="3571" width="9.1640625" style="66" customWidth="1"/>
    <col min="3572" max="3572" width="6" style="66" customWidth="1"/>
    <col min="3573" max="3573" width="9.1640625" style="66" customWidth="1"/>
    <col min="3574" max="3574" width="6" style="66" customWidth="1"/>
    <col min="3575" max="3576" width="10.1640625" style="66" customWidth="1"/>
    <col min="3577" max="3577" width="10" style="66" customWidth="1"/>
    <col min="3578" max="3578" width="10.33203125" style="66" customWidth="1"/>
    <col min="3579" max="3589" width="9.1640625" style="66" customWidth="1"/>
    <col min="3590" max="3590" width="11.33203125" style="66" customWidth="1"/>
    <col min="3591" max="3611" width="13" style="66" hidden="1" customWidth="1"/>
    <col min="3612" max="3817" width="9.1640625" style="66" customWidth="1"/>
    <col min="3818" max="3818" width="28.6640625" style="66" customWidth="1"/>
    <col min="3819" max="3819" width="9" style="66" bestFit="1" customWidth="1"/>
    <col min="3820" max="3820" width="5.33203125" style="66" customWidth="1"/>
    <col min="3821" max="3821" width="9" style="66" bestFit="1" customWidth="1"/>
    <col min="3822" max="3822" width="5.33203125" style="66" customWidth="1"/>
    <col min="3823" max="3823" width="9" style="66" bestFit="1" customWidth="1"/>
    <col min="3824" max="3824" width="5" style="66" customWidth="1"/>
    <col min="3825" max="3825" width="9" style="66" bestFit="1" customWidth="1"/>
    <col min="3826" max="3826" width="5.1640625" style="66" customWidth="1"/>
    <col min="3827" max="3827" width="9.1640625" style="66" customWidth="1"/>
    <col min="3828" max="3828" width="6" style="66" customWidth="1"/>
    <col min="3829" max="3829" width="9.1640625" style="66" customWidth="1"/>
    <col min="3830" max="3830" width="6" style="66" customWidth="1"/>
    <col min="3831" max="3832" width="10.1640625" style="66" customWidth="1"/>
    <col min="3833" max="3833" width="10" style="66" customWidth="1"/>
    <col min="3834" max="3834" width="10.33203125" style="66" customWidth="1"/>
    <col min="3835" max="3845" width="9.1640625" style="66" customWidth="1"/>
    <col min="3846" max="3846" width="11.33203125" style="66" customWidth="1"/>
    <col min="3847" max="3867" width="13" style="66" hidden="1" customWidth="1"/>
    <col min="3868" max="4073" width="9.1640625" style="66" customWidth="1"/>
    <col min="4074" max="4074" width="28.6640625" style="66" customWidth="1"/>
    <col min="4075" max="4075" width="9" style="66" bestFit="1" customWidth="1"/>
    <col min="4076" max="4076" width="5.33203125" style="66" customWidth="1"/>
    <col min="4077" max="4077" width="9" style="66" bestFit="1" customWidth="1"/>
    <col min="4078" max="4078" width="5.33203125" style="66" customWidth="1"/>
    <col min="4079" max="4079" width="9" style="66" bestFit="1" customWidth="1"/>
    <col min="4080" max="4080" width="5" style="66" customWidth="1"/>
    <col min="4081" max="4081" width="9" style="66" bestFit="1" customWidth="1"/>
    <col min="4082" max="4082" width="5.1640625" style="66" customWidth="1"/>
    <col min="4083" max="4083" width="9.1640625" style="66" customWidth="1"/>
    <col min="4084" max="4084" width="6" style="66" customWidth="1"/>
    <col min="4085" max="4085" width="9.1640625" style="66" customWidth="1"/>
    <col min="4086" max="4086" width="6" style="66" customWidth="1"/>
    <col min="4087" max="4088" width="10.1640625" style="66" customWidth="1"/>
    <col min="4089" max="4089" width="10" style="66" customWidth="1"/>
    <col min="4090" max="4090" width="10.33203125" style="66" customWidth="1"/>
    <col min="4091" max="4101" width="9.1640625" style="66" customWidth="1"/>
    <col min="4102" max="4102" width="11.33203125" style="66" customWidth="1"/>
    <col min="4103" max="4123" width="13" style="66" hidden="1" customWidth="1"/>
    <col min="4124" max="4329" width="9.1640625" style="66" customWidth="1"/>
    <col min="4330" max="4330" width="28.6640625" style="66" customWidth="1"/>
    <col min="4331" max="4331" width="9" style="66" bestFit="1" customWidth="1"/>
    <col min="4332" max="4332" width="5.33203125" style="66" customWidth="1"/>
    <col min="4333" max="4333" width="9" style="66" bestFit="1" customWidth="1"/>
    <col min="4334" max="4334" width="5.33203125" style="66" customWidth="1"/>
    <col min="4335" max="4335" width="9" style="66" bestFit="1" customWidth="1"/>
    <col min="4336" max="4336" width="5" style="66" customWidth="1"/>
    <col min="4337" max="4337" width="9" style="66" bestFit="1" customWidth="1"/>
    <col min="4338" max="4338" width="5.1640625" style="66" customWidth="1"/>
    <col min="4339" max="4339" width="9.1640625" style="66" customWidth="1"/>
    <col min="4340" max="4340" width="6" style="66" customWidth="1"/>
    <col min="4341" max="4341" width="9.1640625" style="66" customWidth="1"/>
    <col min="4342" max="4342" width="6" style="66" customWidth="1"/>
    <col min="4343" max="4344" width="10.1640625" style="66" customWidth="1"/>
    <col min="4345" max="4345" width="10" style="66" customWidth="1"/>
    <col min="4346" max="4346" width="10.33203125" style="66" customWidth="1"/>
    <col min="4347" max="4357" width="9.1640625" style="66" customWidth="1"/>
    <col min="4358" max="4358" width="11.33203125" style="66" customWidth="1"/>
    <col min="4359" max="4379" width="13" style="66" hidden="1" customWidth="1"/>
    <col min="4380" max="4585" width="9.1640625" style="66" customWidth="1"/>
    <col min="4586" max="4586" width="28.6640625" style="66" customWidth="1"/>
    <col min="4587" max="4587" width="9" style="66" bestFit="1" customWidth="1"/>
    <col min="4588" max="4588" width="5.33203125" style="66" customWidth="1"/>
    <col min="4589" max="4589" width="9" style="66" bestFit="1" customWidth="1"/>
    <col min="4590" max="4590" width="5.33203125" style="66" customWidth="1"/>
    <col min="4591" max="4591" width="9" style="66" bestFit="1" customWidth="1"/>
    <col min="4592" max="4592" width="5" style="66" customWidth="1"/>
    <col min="4593" max="4593" width="9" style="66" bestFit="1" customWidth="1"/>
    <col min="4594" max="4594" width="5.1640625" style="66" customWidth="1"/>
    <col min="4595" max="4595" width="9.1640625" style="66" customWidth="1"/>
    <col min="4596" max="4596" width="6" style="66" customWidth="1"/>
    <col min="4597" max="4597" width="9.1640625" style="66" customWidth="1"/>
    <col min="4598" max="4598" width="6" style="66" customWidth="1"/>
    <col min="4599" max="4600" width="10.1640625" style="66" customWidth="1"/>
    <col min="4601" max="4601" width="10" style="66" customWidth="1"/>
    <col min="4602" max="4602" width="10.33203125" style="66" customWidth="1"/>
    <col min="4603" max="4613" width="9.1640625" style="66" customWidth="1"/>
    <col min="4614" max="4614" width="11.33203125" style="66" customWidth="1"/>
    <col min="4615" max="4635" width="13" style="66" hidden="1" customWidth="1"/>
    <col min="4636" max="4841" width="9.1640625" style="66" customWidth="1"/>
    <col min="4842" max="4842" width="28.6640625" style="66" customWidth="1"/>
    <col min="4843" max="4843" width="9" style="66" bestFit="1" customWidth="1"/>
    <col min="4844" max="4844" width="5.33203125" style="66" customWidth="1"/>
    <col min="4845" max="4845" width="9" style="66" bestFit="1" customWidth="1"/>
    <col min="4846" max="4846" width="5.33203125" style="66" customWidth="1"/>
    <col min="4847" max="4847" width="9" style="66" bestFit="1" customWidth="1"/>
    <col min="4848" max="4848" width="5" style="66" customWidth="1"/>
    <col min="4849" max="4849" width="9" style="66" bestFit="1" customWidth="1"/>
    <col min="4850" max="4850" width="5.1640625" style="66" customWidth="1"/>
    <col min="4851" max="4851" width="9.1640625" style="66" customWidth="1"/>
    <col min="4852" max="4852" width="6" style="66" customWidth="1"/>
    <col min="4853" max="4853" width="9.1640625" style="66" customWidth="1"/>
    <col min="4854" max="4854" width="6" style="66" customWidth="1"/>
    <col min="4855" max="4856" width="10.1640625" style="66" customWidth="1"/>
    <col min="4857" max="4857" width="10" style="66" customWidth="1"/>
    <col min="4858" max="4858" width="10.33203125" style="66" customWidth="1"/>
    <col min="4859" max="4869" width="9.1640625" style="66" customWidth="1"/>
    <col min="4870" max="4870" width="11.33203125" style="66" customWidth="1"/>
    <col min="4871" max="4891" width="13" style="66" hidden="1" customWidth="1"/>
    <col min="4892" max="5097" width="9.1640625" style="66" customWidth="1"/>
    <col min="5098" max="5098" width="28.6640625" style="66" customWidth="1"/>
    <col min="5099" max="5099" width="9" style="66" bestFit="1" customWidth="1"/>
    <col min="5100" max="5100" width="5.33203125" style="66" customWidth="1"/>
    <col min="5101" max="5101" width="9" style="66" bestFit="1" customWidth="1"/>
    <col min="5102" max="5102" width="5.33203125" style="66" customWidth="1"/>
    <col min="5103" max="5103" width="9" style="66" bestFit="1" customWidth="1"/>
    <col min="5104" max="5104" width="5" style="66" customWidth="1"/>
    <col min="5105" max="5105" width="9" style="66" bestFit="1" customWidth="1"/>
    <col min="5106" max="5106" width="5.1640625" style="66" customWidth="1"/>
    <col min="5107" max="5107" width="9.1640625" style="66" customWidth="1"/>
    <col min="5108" max="5108" width="6" style="66" customWidth="1"/>
    <col min="5109" max="5109" width="9.1640625" style="66" customWidth="1"/>
    <col min="5110" max="5110" width="6" style="66" customWidth="1"/>
    <col min="5111" max="5112" width="10.1640625" style="66" customWidth="1"/>
    <col min="5113" max="5113" width="10" style="66" customWidth="1"/>
    <col min="5114" max="5114" width="10.33203125" style="66" customWidth="1"/>
    <col min="5115" max="5125" width="9.1640625" style="66" customWidth="1"/>
    <col min="5126" max="5126" width="11.33203125" style="66" customWidth="1"/>
    <col min="5127" max="5147" width="13" style="66" hidden="1" customWidth="1"/>
    <col min="5148" max="5353" width="9.1640625" style="66" customWidth="1"/>
    <col min="5354" max="5354" width="28.6640625" style="66" customWidth="1"/>
    <col min="5355" max="5355" width="9" style="66" bestFit="1" customWidth="1"/>
    <col min="5356" max="5356" width="5.33203125" style="66" customWidth="1"/>
    <col min="5357" max="5357" width="9" style="66" bestFit="1" customWidth="1"/>
    <col min="5358" max="5358" width="5.33203125" style="66" customWidth="1"/>
    <col min="5359" max="5359" width="9" style="66" bestFit="1" customWidth="1"/>
    <col min="5360" max="5360" width="5" style="66" customWidth="1"/>
    <col min="5361" max="5361" width="9" style="66" bestFit="1" customWidth="1"/>
    <col min="5362" max="5362" width="5.1640625" style="66" customWidth="1"/>
    <col min="5363" max="5363" width="9.1640625" style="66" customWidth="1"/>
    <col min="5364" max="5364" width="6" style="66" customWidth="1"/>
    <col min="5365" max="5365" width="9.1640625" style="66" customWidth="1"/>
    <col min="5366" max="5366" width="6" style="66" customWidth="1"/>
    <col min="5367" max="5368" width="10.1640625" style="66" customWidth="1"/>
    <col min="5369" max="5369" width="10" style="66" customWidth="1"/>
    <col min="5370" max="5370" width="10.33203125" style="66" customWidth="1"/>
    <col min="5371" max="5381" width="9.1640625" style="66" customWidth="1"/>
    <col min="5382" max="5382" width="11.33203125" style="66" customWidth="1"/>
    <col min="5383" max="5403" width="13" style="66" hidden="1" customWidth="1"/>
    <col min="5404" max="5609" width="9.1640625" style="66" customWidth="1"/>
    <col min="5610" max="5610" width="28.6640625" style="66" customWidth="1"/>
    <col min="5611" max="5611" width="9" style="66" bestFit="1" customWidth="1"/>
    <col min="5612" max="5612" width="5.33203125" style="66" customWidth="1"/>
    <col min="5613" max="5613" width="9" style="66" bestFit="1" customWidth="1"/>
    <col min="5614" max="5614" width="5.33203125" style="66" customWidth="1"/>
    <col min="5615" max="5615" width="9" style="66" bestFit="1" customWidth="1"/>
    <col min="5616" max="5616" width="5" style="66" customWidth="1"/>
    <col min="5617" max="5617" width="9" style="66" bestFit="1" customWidth="1"/>
    <col min="5618" max="5618" width="5.1640625" style="66" customWidth="1"/>
    <col min="5619" max="5619" width="9.1640625" style="66" customWidth="1"/>
    <col min="5620" max="5620" width="6" style="66" customWidth="1"/>
    <col min="5621" max="5621" width="9.1640625" style="66" customWidth="1"/>
    <col min="5622" max="5622" width="6" style="66" customWidth="1"/>
    <col min="5623" max="5624" width="10.1640625" style="66" customWidth="1"/>
    <col min="5625" max="5625" width="10" style="66" customWidth="1"/>
    <col min="5626" max="5626" width="10.33203125" style="66" customWidth="1"/>
    <col min="5627" max="5637" width="9.1640625" style="66" customWidth="1"/>
    <col min="5638" max="5638" width="11.33203125" style="66" customWidth="1"/>
    <col min="5639" max="5659" width="13" style="66" hidden="1" customWidth="1"/>
    <col min="5660" max="5865" width="9.1640625" style="66" customWidth="1"/>
    <col min="5866" max="5866" width="28.6640625" style="66" customWidth="1"/>
    <col min="5867" max="5867" width="9" style="66" bestFit="1" customWidth="1"/>
    <col min="5868" max="5868" width="5.33203125" style="66" customWidth="1"/>
    <col min="5869" max="5869" width="9" style="66" bestFit="1" customWidth="1"/>
    <col min="5870" max="5870" width="5.33203125" style="66" customWidth="1"/>
    <col min="5871" max="5871" width="9" style="66" bestFit="1" customWidth="1"/>
    <col min="5872" max="5872" width="5" style="66" customWidth="1"/>
    <col min="5873" max="5873" width="9" style="66" bestFit="1" customWidth="1"/>
    <col min="5874" max="5874" width="5.1640625" style="66" customWidth="1"/>
    <col min="5875" max="5875" width="9.1640625" style="66" customWidth="1"/>
    <col min="5876" max="5876" width="6" style="66" customWidth="1"/>
    <col min="5877" max="5877" width="9.1640625" style="66" customWidth="1"/>
    <col min="5878" max="5878" width="6" style="66" customWidth="1"/>
    <col min="5879" max="5880" width="10.1640625" style="66" customWidth="1"/>
    <col min="5881" max="5881" width="10" style="66" customWidth="1"/>
    <col min="5882" max="5882" width="10.33203125" style="66" customWidth="1"/>
    <col min="5883" max="5893" width="9.1640625" style="66" customWidth="1"/>
    <col min="5894" max="5894" width="11.33203125" style="66" customWidth="1"/>
    <col min="5895" max="5915" width="13" style="66" hidden="1" customWidth="1"/>
    <col min="5916" max="6121" width="9.1640625" style="66" customWidth="1"/>
    <col min="6122" max="6122" width="28.6640625" style="66" customWidth="1"/>
    <col min="6123" max="6123" width="9" style="66" bestFit="1" customWidth="1"/>
    <col min="6124" max="6124" width="5.33203125" style="66" customWidth="1"/>
    <col min="6125" max="6125" width="9" style="66" bestFit="1" customWidth="1"/>
    <col min="6126" max="6126" width="5.33203125" style="66" customWidth="1"/>
    <col min="6127" max="6127" width="9" style="66" bestFit="1" customWidth="1"/>
    <col min="6128" max="6128" width="5" style="66" customWidth="1"/>
    <col min="6129" max="6129" width="9" style="66" bestFit="1" customWidth="1"/>
    <col min="6130" max="6130" width="5.1640625" style="66" customWidth="1"/>
    <col min="6131" max="6131" width="9.1640625" style="66" customWidth="1"/>
    <col min="6132" max="6132" width="6" style="66" customWidth="1"/>
    <col min="6133" max="6133" width="9.1640625" style="66" customWidth="1"/>
    <col min="6134" max="6134" width="6" style="66" customWidth="1"/>
    <col min="6135" max="6136" width="10.1640625" style="66" customWidth="1"/>
    <col min="6137" max="6137" width="10" style="66" customWidth="1"/>
    <col min="6138" max="6138" width="10.33203125" style="66" customWidth="1"/>
    <col min="6139" max="6149" width="9.1640625" style="66" customWidth="1"/>
    <col min="6150" max="6150" width="11.33203125" style="66" customWidth="1"/>
    <col min="6151" max="6171" width="13" style="66" hidden="1" customWidth="1"/>
    <col min="6172" max="6377" width="9.1640625" style="66" customWidth="1"/>
    <col min="6378" max="6378" width="28.6640625" style="66" customWidth="1"/>
    <col min="6379" max="6379" width="9" style="66" bestFit="1" customWidth="1"/>
    <col min="6380" max="6380" width="5.33203125" style="66" customWidth="1"/>
    <col min="6381" max="6381" width="9" style="66" bestFit="1" customWidth="1"/>
    <col min="6382" max="6382" width="5.33203125" style="66" customWidth="1"/>
    <col min="6383" max="6383" width="9" style="66" bestFit="1" customWidth="1"/>
    <col min="6384" max="6384" width="5" style="66" customWidth="1"/>
    <col min="6385" max="6385" width="9" style="66" bestFit="1" customWidth="1"/>
    <col min="6386" max="6386" width="5.1640625" style="66" customWidth="1"/>
    <col min="6387" max="6387" width="9.1640625" style="66" customWidth="1"/>
    <col min="6388" max="6388" width="6" style="66" customWidth="1"/>
    <col min="6389" max="6389" width="9.1640625" style="66" customWidth="1"/>
    <col min="6390" max="6390" width="6" style="66" customWidth="1"/>
    <col min="6391" max="6392" width="10.1640625" style="66" customWidth="1"/>
    <col min="6393" max="6393" width="10" style="66" customWidth="1"/>
    <col min="6394" max="6394" width="10.33203125" style="66" customWidth="1"/>
    <col min="6395" max="6405" width="9.1640625" style="66" customWidth="1"/>
    <col min="6406" max="6406" width="11.33203125" style="66" customWidth="1"/>
    <col min="6407" max="6427" width="13" style="66" hidden="1" customWidth="1"/>
    <col min="6428" max="6633" width="9.1640625" style="66" customWidth="1"/>
    <col min="6634" max="6634" width="28.6640625" style="66" customWidth="1"/>
    <col min="6635" max="6635" width="9" style="66" bestFit="1" customWidth="1"/>
    <col min="6636" max="6636" width="5.33203125" style="66" customWidth="1"/>
    <col min="6637" max="6637" width="9" style="66" bestFit="1" customWidth="1"/>
    <col min="6638" max="6638" width="5.33203125" style="66" customWidth="1"/>
    <col min="6639" max="6639" width="9" style="66" bestFit="1" customWidth="1"/>
    <col min="6640" max="6640" width="5" style="66" customWidth="1"/>
    <col min="6641" max="6641" width="9" style="66" bestFit="1" customWidth="1"/>
    <col min="6642" max="6642" width="5.1640625" style="66" customWidth="1"/>
    <col min="6643" max="6643" width="9.1640625" style="66" customWidth="1"/>
    <col min="6644" max="6644" width="6" style="66" customWidth="1"/>
    <col min="6645" max="6645" width="9.1640625" style="66" customWidth="1"/>
    <col min="6646" max="6646" width="6" style="66" customWidth="1"/>
    <col min="6647" max="6648" width="10.1640625" style="66" customWidth="1"/>
    <col min="6649" max="6649" width="10" style="66" customWidth="1"/>
    <col min="6650" max="6650" width="10.33203125" style="66" customWidth="1"/>
    <col min="6651" max="6661" width="9.1640625" style="66" customWidth="1"/>
    <col min="6662" max="6662" width="11.33203125" style="66" customWidth="1"/>
    <col min="6663" max="6683" width="13" style="66" hidden="1" customWidth="1"/>
    <col min="6684" max="6889" width="9.1640625" style="66" customWidth="1"/>
    <col min="6890" max="6890" width="28.6640625" style="66" customWidth="1"/>
    <col min="6891" max="6891" width="9" style="66" bestFit="1" customWidth="1"/>
    <col min="6892" max="6892" width="5.33203125" style="66" customWidth="1"/>
    <col min="6893" max="6893" width="9" style="66" bestFit="1" customWidth="1"/>
    <col min="6894" max="6894" width="5.33203125" style="66" customWidth="1"/>
    <col min="6895" max="6895" width="9" style="66" bestFit="1" customWidth="1"/>
    <col min="6896" max="6896" width="5" style="66" customWidth="1"/>
    <col min="6897" max="6897" width="9" style="66" bestFit="1" customWidth="1"/>
    <col min="6898" max="6898" width="5.1640625" style="66" customWidth="1"/>
    <col min="6899" max="6899" width="9.1640625" style="66" customWidth="1"/>
    <col min="6900" max="6900" width="6" style="66" customWidth="1"/>
    <col min="6901" max="6901" width="9.1640625" style="66" customWidth="1"/>
    <col min="6902" max="6902" width="6" style="66" customWidth="1"/>
    <col min="6903" max="6904" width="10.1640625" style="66" customWidth="1"/>
    <col min="6905" max="6905" width="10" style="66" customWidth="1"/>
    <col min="6906" max="6906" width="10.33203125" style="66" customWidth="1"/>
    <col min="6907" max="6917" width="9.1640625" style="66" customWidth="1"/>
    <col min="6918" max="6918" width="11.33203125" style="66" customWidth="1"/>
    <col min="6919" max="6939" width="13" style="66" hidden="1" customWidth="1"/>
    <col min="6940" max="7145" width="9.1640625" style="66" customWidth="1"/>
    <col min="7146" max="7146" width="28.6640625" style="66" customWidth="1"/>
    <col min="7147" max="7147" width="9" style="66" bestFit="1" customWidth="1"/>
    <col min="7148" max="7148" width="5.33203125" style="66" customWidth="1"/>
    <col min="7149" max="7149" width="9" style="66" bestFit="1" customWidth="1"/>
    <col min="7150" max="7150" width="5.33203125" style="66" customWidth="1"/>
    <col min="7151" max="7151" width="9" style="66" bestFit="1" customWidth="1"/>
    <col min="7152" max="7152" width="5" style="66" customWidth="1"/>
    <col min="7153" max="7153" width="9" style="66" bestFit="1" customWidth="1"/>
    <col min="7154" max="7154" width="5.1640625" style="66" customWidth="1"/>
    <col min="7155" max="7155" width="9.1640625" style="66" customWidth="1"/>
    <col min="7156" max="7156" width="6" style="66" customWidth="1"/>
    <col min="7157" max="7157" width="9.1640625" style="66" customWidth="1"/>
    <col min="7158" max="7158" width="6" style="66" customWidth="1"/>
    <col min="7159" max="7160" width="10.1640625" style="66" customWidth="1"/>
    <col min="7161" max="7161" width="10" style="66" customWidth="1"/>
    <col min="7162" max="7162" width="10.33203125" style="66" customWidth="1"/>
    <col min="7163" max="7173" width="9.1640625" style="66" customWidth="1"/>
    <col min="7174" max="7174" width="11.33203125" style="66" customWidth="1"/>
    <col min="7175" max="7195" width="13" style="66" hidden="1" customWidth="1"/>
    <col min="7196" max="7401" width="9.1640625" style="66" customWidth="1"/>
    <col min="7402" max="7402" width="28.6640625" style="66" customWidth="1"/>
    <col min="7403" max="7403" width="9" style="66" bestFit="1" customWidth="1"/>
    <col min="7404" max="7404" width="5.33203125" style="66" customWidth="1"/>
    <col min="7405" max="7405" width="9" style="66" bestFit="1" customWidth="1"/>
    <col min="7406" max="7406" width="5.33203125" style="66" customWidth="1"/>
    <col min="7407" max="7407" width="9" style="66" bestFit="1" customWidth="1"/>
    <col min="7408" max="7408" width="5" style="66" customWidth="1"/>
    <col min="7409" max="7409" width="9" style="66" bestFit="1" customWidth="1"/>
    <col min="7410" max="7410" width="5.1640625" style="66" customWidth="1"/>
    <col min="7411" max="7411" width="9.1640625" style="66" customWidth="1"/>
    <col min="7412" max="7412" width="6" style="66" customWidth="1"/>
    <col min="7413" max="7413" width="9.1640625" style="66" customWidth="1"/>
    <col min="7414" max="7414" width="6" style="66" customWidth="1"/>
    <col min="7415" max="7416" width="10.1640625" style="66" customWidth="1"/>
    <col min="7417" max="7417" width="10" style="66" customWidth="1"/>
    <col min="7418" max="7418" width="10.33203125" style="66" customWidth="1"/>
    <col min="7419" max="7429" width="9.1640625" style="66" customWidth="1"/>
    <col min="7430" max="7430" width="11.33203125" style="66" customWidth="1"/>
    <col min="7431" max="7451" width="13" style="66" hidden="1" customWidth="1"/>
    <col min="7452" max="7657" width="9.1640625" style="66" customWidth="1"/>
    <col min="7658" max="7658" width="28.6640625" style="66" customWidth="1"/>
    <col min="7659" max="7659" width="9" style="66" bestFit="1" customWidth="1"/>
    <col min="7660" max="7660" width="5.33203125" style="66" customWidth="1"/>
    <col min="7661" max="7661" width="9" style="66" bestFit="1" customWidth="1"/>
    <col min="7662" max="7662" width="5.33203125" style="66" customWidth="1"/>
    <col min="7663" max="7663" width="9" style="66" bestFit="1" customWidth="1"/>
    <col min="7664" max="7664" width="5" style="66" customWidth="1"/>
    <col min="7665" max="7665" width="9" style="66" bestFit="1" customWidth="1"/>
    <col min="7666" max="7666" width="5.1640625" style="66" customWidth="1"/>
    <col min="7667" max="7667" width="9.1640625" style="66" customWidth="1"/>
    <col min="7668" max="7668" width="6" style="66" customWidth="1"/>
    <col min="7669" max="7669" width="9.1640625" style="66" customWidth="1"/>
    <col min="7670" max="7670" width="6" style="66" customWidth="1"/>
    <col min="7671" max="7672" width="10.1640625" style="66" customWidth="1"/>
    <col min="7673" max="7673" width="10" style="66" customWidth="1"/>
    <col min="7674" max="7674" width="10.33203125" style="66" customWidth="1"/>
    <col min="7675" max="7685" width="9.1640625" style="66" customWidth="1"/>
    <col min="7686" max="7686" width="11.33203125" style="66" customWidth="1"/>
    <col min="7687" max="7707" width="13" style="66" hidden="1" customWidth="1"/>
    <col min="7708" max="7913" width="9.1640625" style="66" customWidth="1"/>
    <col min="7914" max="7914" width="28.6640625" style="66" customWidth="1"/>
    <col min="7915" max="7915" width="9" style="66" bestFit="1" customWidth="1"/>
    <col min="7916" max="7916" width="5.33203125" style="66" customWidth="1"/>
    <col min="7917" max="7917" width="9" style="66" bestFit="1" customWidth="1"/>
    <col min="7918" max="7918" width="5.33203125" style="66" customWidth="1"/>
    <col min="7919" max="7919" width="9" style="66" bestFit="1" customWidth="1"/>
    <col min="7920" max="7920" width="5" style="66" customWidth="1"/>
    <col min="7921" max="7921" width="9" style="66" bestFit="1" customWidth="1"/>
    <col min="7922" max="7922" width="5.1640625" style="66" customWidth="1"/>
    <col min="7923" max="7923" width="9.1640625" style="66" customWidth="1"/>
    <col min="7924" max="7924" width="6" style="66" customWidth="1"/>
    <col min="7925" max="7925" width="9.1640625" style="66" customWidth="1"/>
    <col min="7926" max="7926" width="6" style="66" customWidth="1"/>
    <col min="7927" max="7928" width="10.1640625" style="66" customWidth="1"/>
    <col min="7929" max="7929" width="10" style="66" customWidth="1"/>
    <col min="7930" max="7930" width="10.33203125" style="66" customWidth="1"/>
    <col min="7931" max="7941" width="9.1640625" style="66" customWidth="1"/>
    <col min="7942" max="7942" width="11.33203125" style="66" customWidth="1"/>
    <col min="7943" max="7963" width="13" style="66" hidden="1" customWidth="1"/>
    <col min="7964" max="8169" width="9.1640625" style="66" customWidth="1"/>
    <col min="8170" max="8170" width="28.6640625" style="66" customWidth="1"/>
    <col min="8171" max="8171" width="9" style="66" bestFit="1" customWidth="1"/>
    <col min="8172" max="8172" width="5.33203125" style="66" customWidth="1"/>
    <col min="8173" max="8173" width="9" style="66" bestFit="1" customWidth="1"/>
    <col min="8174" max="8174" width="5.33203125" style="66" customWidth="1"/>
    <col min="8175" max="8175" width="9" style="66" bestFit="1" customWidth="1"/>
    <col min="8176" max="8176" width="5" style="66" customWidth="1"/>
    <col min="8177" max="8177" width="9" style="66" bestFit="1" customWidth="1"/>
    <col min="8178" max="8178" width="5.1640625" style="66" customWidth="1"/>
    <col min="8179" max="8179" width="9.1640625" style="66" customWidth="1"/>
    <col min="8180" max="8180" width="6" style="66" customWidth="1"/>
    <col min="8181" max="8181" width="9.1640625" style="66" customWidth="1"/>
    <col min="8182" max="8182" width="6" style="66" customWidth="1"/>
    <col min="8183" max="8184" width="10.1640625" style="66" customWidth="1"/>
    <col min="8185" max="8185" width="10" style="66" customWidth="1"/>
    <col min="8186" max="8186" width="10.33203125" style="66" customWidth="1"/>
    <col min="8187" max="8197" width="9.1640625" style="66" customWidth="1"/>
    <col min="8198" max="8198" width="11.33203125" style="66" customWidth="1"/>
    <col min="8199" max="8219" width="13" style="66" hidden="1" customWidth="1"/>
    <col min="8220" max="8425" width="9.1640625" style="66" customWidth="1"/>
    <col min="8426" max="8426" width="28.6640625" style="66" customWidth="1"/>
    <col min="8427" max="8427" width="9" style="66" bestFit="1" customWidth="1"/>
    <col min="8428" max="8428" width="5.33203125" style="66" customWidth="1"/>
    <col min="8429" max="8429" width="9" style="66" bestFit="1" customWidth="1"/>
    <col min="8430" max="8430" width="5.33203125" style="66" customWidth="1"/>
    <col min="8431" max="8431" width="9" style="66" bestFit="1" customWidth="1"/>
    <col min="8432" max="8432" width="5" style="66" customWidth="1"/>
    <col min="8433" max="8433" width="9" style="66" bestFit="1" customWidth="1"/>
    <col min="8434" max="8434" width="5.1640625" style="66" customWidth="1"/>
    <col min="8435" max="8435" width="9.1640625" style="66" customWidth="1"/>
    <col min="8436" max="8436" width="6" style="66" customWidth="1"/>
    <col min="8437" max="8437" width="9.1640625" style="66" customWidth="1"/>
    <col min="8438" max="8438" width="6" style="66" customWidth="1"/>
    <col min="8439" max="8440" width="10.1640625" style="66" customWidth="1"/>
    <col min="8441" max="8441" width="10" style="66" customWidth="1"/>
    <col min="8442" max="8442" width="10.33203125" style="66" customWidth="1"/>
    <col min="8443" max="8453" width="9.1640625" style="66" customWidth="1"/>
    <col min="8454" max="8454" width="11.33203125" style="66" customWidth="1"/>
    <col min="8455" max="8475" width="13" style="66" hidden="1" customWidth="1"/>
    <col min="8476" max="8681" width="9.1640625" style="66" customWidth="1"/>
    <col min="8682" max="8682" width="28.6640625" style="66" customWidth="1"/>
    <col min="8683" max="8683" width="9" style="66" bestFit="1" customWidth="1"/>
    <col min="8684" max="8684" width="5.33203125" style="66" customWidth="1"/>
    <col min="8685" max="8685" width="9" style="66" bestFit="1" customWidth="1"/>
    <col min="8686" max="8686" width="5.33203125" style="66" customWidth="1"/>
    <col min="8687" max="8687" width="9" style="66" bestFit="1" customWidth="1"/>
    <col min="8688" max="8688" width="5" style="66" customWidth="1"/>
    <col min="8689" max="8689" width="9" style="66" bestFit="1" customWidth="1"/>
    <col min="8690" max="8690" width="5.1640625" style="66" customWidth="1"/>
    <col min="8691" max="8691" width="9.1640625" style="66" customWidth="1"/>
    <col min="8692" max="8692" width="6" style="66" customWidth="1"/>
    <col min="8693" max="8693" width="9.1640625" style="66" customWidth="1"/>
    <col min="8694" max="8694" width="6" style="66" customWidth="1"/>
    <col min="8695" max="8696" width="10.1640625" style="66" customWidth="1"/>
    <col min="8697" max="8697" width="10" style="66" customWidth="1"/>
    <col min="8698" max="8698" width="10.33203125" style="66" customWidth="1"/>
    <col min="8699" max="8709" width="9.1640625" style="66" customWidth="1"/>
    <col min="8710" max="8710" width="11.33203125" style="66" customWidth="1"/>
    <col min="8711" max="8731" width="13" style="66" hidden="1" customWidth="1"/>
    <col min="8732" max="8937" width="9.1640625" style="66" customWidth="1"/>
    <col min="8938" max="8938" width="28.6640625" style="66" customWidth="1"/>
    <col min="8939" max="8939" width="9" style="66" bestFit="1" customWidth="1"/>
    <col min="8940" max="8940" width="5.33203125" style="66" customWidth="1"/>
    <col min="8941" max="8941" width="9" style="66" bestFit="1" customWidth="1"/>
    <col min="8942" max="8942" width="5.33203125" style="66" customWidth="1"/>
    <col min="8943" max="8943" width="9" style="66" bestFit="1" customWidth="1"/>
    <col min="8944" max="8944" width="5" style="66" customWidth="1"/>
    <col min="8945" max="8945" width="9" style="66" bestFit="1" customWidth="1"/>
    <col min="8946" max="8946" width="5.1640625" style="66" customWidth="1"/>
    <col min="8947" max="8947" width="9.1640625" style="66" customWidth="1"/>
    <col min="8948" max="8948" width="6" style="66" customWidth="1"/>
    <col min="8949" max="8949" width="9.1640625" style="66" customWidth="1"/>
    <col min="8950" max="8950" width="6" style="66" customWidth="1"/>
    <col min="8951" max="8952" width="10.1640625" style="66" customWidth="1"/>
    <col min="8953" max="8953" width="10" style="66" customWidth="1"/>
    <col min="8954" max="8954" width="10.33203125" style="66" customWidth="1"/>
    <col min="8955" max="8965" width="9.1640625" style="66" customWidth="1"/>
    <col min="8966" max="8966" width="11.33203125" style="66" customWidth="1"/>
    <col min="8967" max="8987" width="13" style="66" hidden="1" customWidth="1"/>
    <col min="8988" max="9193" width="9.1640625" style="66" customWidth="1"/>
    <col min="9194" max="9194" width="28.6640625" style="66" customWidth="1"/>
    <col min="9195" max="9195" width="9" style="66" bestFit="1" customWidth="1"/>
    <col min="9196" max="9196" width="5.33203125" style="66" customWidth="1"/>
    <col min="9197" max="9197" width="9" style="66" bestFit="1" customWidth="1"/>
    <col min="9198" max="9198" width="5.33203125" style="66" customWidth="1"/>
    <col min="9199" max="9199" width="9" style="66" bestFit="1" customWidth="1"/>
    <col min="9200" max="9200" width="5" style="66" customWidth="1"/>
    <col min="9201" max="9201" width="9" style="66" bestFit="1" customWidth="1"/>
    <col min="9202" max="9202" width="5.1640625" style="66" customWidth="1"/>
    <col min="9203" max="9203" width="9.1640625" style="66" customWidth="1"/>
    <col min="9204" max="9204" width="6" style="66" customWidth="1"/>
    <col min="9205" max="9205" width="9.1640625" style="66" customWidth="1"/>
    <col min="9206" max="9206" width="6" style="66" customWidth="1"/>
    <col min="9207" max="9208" width="10.1640625" style="66" customWidth="1"/>
    <col min="9209" max="9209" width="10" style="66" customWidth="1"/>
    <col min="9210" max="9210" width="10.33203125" style="66" customWidth="1"/>
    <col min="9211" max="9221" width="9.1640625" style="66" customWidth="1"/>
    <col min="9222" max="9222" width="11.33203125" style="66" customWidth="1"/>
    <col min="9223" max="9243" width="13" style="66" hidden="1" customWidth="1"/>
    <col min="9244" max="9449" width="9.1640625" style="66" customWidth="1"/>
    <col min="9450" max="9450" width="28.6640625" style="66" customWidth="1"/>
    <col min="9451" max="9451" width="9" style="66" bestFit="1" customWidth="1"/>
    <col min="9452" max="9452" width="5.33203125" style="66" customWidth="1"/>
    <col min="9453" max="9453" width="9" style="66" bestFit="1" customWidth="1"/>
    <col min="9454" max="9454" width="5.33203125" style="66" customWidth="1"/>
    <col min="9455" max="9455" width="9" style="66" bestFit="1" customWidth="1"/>
    <col min="9456" max="9456" width="5" style="66" customWidth="1"/>
    <col min="9457" max="9457" width="9" style="66" bestFit="1" customWidth="1"/>
    <col min="9458" max="9458" width="5.1640625" style="66" customWidth="1"/>
    <col min="9459" max="9459" width="9.1640625" style="66" customWidth="1"/>
    <col min="9460" max="9460" width="6" style="66" customWidth="1"/>
    <col min="9461" max="9461" width="9.1640625" style="66" customWidth="1"/>
    <col min="9462" max="9462" width="6" style="66" customWidth="1"/>
    <col min="9463" max="9464" width="10.1640625" style="66" customWidth="1"/>
    <col min="9465" max="9465" width="10" style="66" customWidth="1"/>
    <col min="9466" max="9466" width="10.33203125" style="66" customWidth="1"/>
    <col min="9467" max="9477" width="9.1640625" style="66" customWidth="1"/>
    <col min="9478" max="9478" width="11.33203125" style="66" customWidth="1"/>
    <col min="9479" max="9499" width="13" style="66" hidden="1" customWidth="1"/>
    <col min="9500" max="9705" width="9.1640625" style="66" customWidth="1"/>
    <col min="9706" max="9706" width="28.6640625" style="66" customWidth="1"/>
    <col min="9707" max="9707" width="9" style="66" bestFit="1" customWidth="1"/>
    <col min="9708" max="9708" width="5.33203125" style="66" customWidth="1"/>
    <col min="9709" max="9709" width="9" style="66" bestFit="1" customWidth="1"/>
    <col min="9710" max="9710" width="5.33203125" style="66" customWidth="1"/>
    <col min="9711" max="9711" width="9" style="66" bestFit="1" customWidth="1"/>
    <col min="9712" max="9712" width="5" style="66" customWidth="1"/>
    <col min="9713" max="9713" width="9" style="66" bestFit="1" customWidth="1"/>
    <col min="9714" max="9714" width="5.1640625" style="66" customWidth="1"/>
    <col min="9715" max="9715" width="9.1640625" style="66" customWidth="1"/>
    <col min="9716" max="9716" width="6" style="66" customWidth="1"/>
    <col min="9717" max="9717" width="9.1640625" style="66" customWidth="1"/>
    <col min="9718" max="9718" width="6" style="66" customWidth="1"/>
    <col min="9719" max="9720" width="10.1640625" style="66" customWidth="1"/>
    <col min="9721" max="9721" width="10" style="66" customWidth="1"/>
    <col min="9722" max="9722" width="10.33203125" style="66" customWidth="1"/>
    <col min="9723" max="9733" width="9.1640625" style="66" customWidth="1"/>
    <col min="9734" max="9734" width="11.33203125" style="66" customWidth="1"/>
    <col min="9735" max="9755" width="13" style="66" hidden="1" customWidth="1"/>
    <col min="9756" max="9961" width="9.1640625" style="66" customWidth="1"/>
    <col min="9962" max="9962" width="28.6640625" style="66" customWidth="1"/>
    <col min="9963" max="9963" width="9" style="66" bestFit="1" customWidth="1"/>
    <col min="9964" max="9964" width="5.33203125" style="66" customWidth="1"/>
    <col min="9965" max="9965" width="9" style="66" bestFit="1" customWidth="1"/>
    <col min="9966" max="9966" width="5.33203125" style="66" customWidth="1"/>
    <col min="9967" max="9967" width="9" style="66" bestFit="1" customWidth="1"/>
    <col min="9968" max="9968" width="5" style="66" customWidth="1"/>
    <col min="9969" max="9969" width="9" style="66" bestFit="1" customWidth="1"/>
    <col min="9970" max="9970" width="5.1640625" style="66" customWidth="1"/>
    <col min="9971" max="9971" width="9.1640625" style="66" customWidth="1"/>
    <col min="9972" max="9972" width="6" style="66" customWidth="1"/>
    <col min="9973" max="9973" width="9.1640625" style="66" customWidth="1"/>
    <col min="9974" max="9974" width="6" style="66" customWidth="1"/>
    <col min="9975" max="9976" width="10.1640625" style="66" customWidth="1"/>
    <col min="9977" max="9977" width="10" style="66" customWidth="1"/>
    <col min="9978" max="9978" width="10.33203125" style="66" customWidth="1"/>
    <col min="9979" max="9989" width="9.1640625" style="66" customWidth="1"/>
    <col min="9990" max="9990" width="11.33203125" style="66" customWidth="1"/>
    <col min="9991" max="10011" width="13" style="66" hidden="1" customWidth="1"/>
    <col min="10012" max="10217" width="9.1640625" style="66" customWidth="1"/>
    <col min="10218" max="10218" width="28.6640625" style="66" customWidth="1"/>
    <col min="10219" max="10219" width="9" style="66" bestFit="1" customWidth="1"/>
    <col min="10220" max="10220" width="5.33203125" style="66" customWidth="1"/>
    <col min="10221" max="10221" width="9" style="66" bestFit="1" customWidth="1"/>
    <col min="10222" max="10222" width="5.33203125" style="66" customWidth="1"/>
    <col min="10223" max="10223" width="9" style="66" bestFit="1" customWidth="1"/>
    <col min="10224" max="10224" width="5" style="66" customWidth="1"/>
    <col min="10225" max="10225" width="9" style="66" bestFit="1" customWidth="1"/>
    <col min="10226" max="10226" width="5.1640625" style="66" customWidth="1"/>
    <col min="10227" max="10227" width="9.1640625" style="66" customWidth="1"/>
    <col min="10228" max="10228" width="6" style="66" customWidth="1"/>
    <col min="10229" max="10229" width="9.1640625" style="66" customWidth="1"/>
    <col min="10230" max="10230" width="6" style="66" customWidth="1"/>
    <col min="10231" max="10232" width="10.1640625" style="66" customWidth="1"/>
    <col min="10233" max="10233" width="10" style="66" customWidth="1"/>
    <col min="10234" max="10234" width="10.33203125" style="66" customWidth="1"/>
    <col min="10235" max="10245" width="9.1640625" style="66" customWidth="1"/>
    <col min="10246" max="10246" width="11.33203125" style="66" customWidth="1"/>
    <col min="10247" max="10267" width="13" style="66" hidden="1" customWidth="1"/>
    <col min="10268" max="10473" width="9.1640625" style="66" customWidth="1"/>
    <col min="10474" max="10474" width="28.6640625" style="66" customWidth="1"/>
    <col min="10475" max="10475" width="9" style="66" bestFit="1" customWidth="1"/>
    <col min="10476" max="10476" width="5.33203125" style="66" customWidth="1"/>
    <col min="10477" max="10477" width="9" style="66" bestFit="1" customWidth="1"/>
    <col min="10478" max="10478" width="5.33203125" style="66" customWidth="1"/>
    <col min="10479" max="10479" width="9" style="66" bestFit="1" customWidth="1"/>
    <col min="10480" max="10480" width="5" style="66" customWidth="1"/>
    <col min="10481" max="10481" width="9" style="66" bestFit="1" customWidth="1"/>
    <col min="10482" max="10482" width="5.1640625" style="66" customWidth="1"/>
    <col min="10483" max="10483" width="9.1640625" style="66" customWidth="1"/>
    <col min="10484" max="10484" width="6" style="66" customWidth="1"/>
    <col min="10485" max="10485" width="9.1640625" style="66" customWidth="1"/>
    <col min="10486" max="10486" width="6" style="66" customWidth="1"/>
    <col min="10487" max="10488" width="10.1640625" style="66" customWidth="1"/>
    <col min="10489" max="10489" width="10" style="66" customWidth="1"/>
    <col min="10490" max="10490" width="10.33203125" style="66" customWidth="1"/>
    <col min="10491" max="10501" width="9.1640625" style="66" customWidth="1"/>
    <col min="10502" max="10502" width="11.33203125" style="66" customWidth="1"/>
    <col min="10503" max="10523" width="13" style="66" hidden="1" customWidth="1"/>
    <col min="10524" max="10729" width="9.1640625" style="66" customWidth="1"/>
    <col min="10730" max="10730" width="28.6640625" style="66" customWidth="1"/>
    <col min="10731" max="10731" width="9" style="66" bestFit="1" customWidth="1"/>
    <col min="10732" max="10732" width="5.33203125" style="66" customWidth="1"/>
    <col min="10733" max="10733" width="9" style="66" bestFit="1" customWidth="1"/>
    <col min="10734" max="10734" width="5.33203125" style="66" customWidth="1"/>
    <col min="10735" max="10735" width="9" style="66" bestFit="1" customWidth="1"/>
    <col min="10736" max="10736" width="5" style="66" customWidth="1"/>
    <col min="10737" max="10737" width="9" style="66" bestFit="1" customWidth="1"/>
    <col min="10738" max="10738" width="5.1640625" style="66" customWidth="1"/>
    <col min="10739" max="10739" width="9.1640625" style="66" customWidth="1"/>
    <col min="10740" max="10740" width="6" style="66" customWidth="1"/>
    <col min="10741" max="10741" width="9.1640625" style="66" customWidth="1"/>
    <col min="10742" max="10742" width="6" style="66" customWidth="1"/>
    <col min="10743" max="10744" width="10.1640625" style="66" customWidth="1"/>
    <col min="10745" max="10745" width="10" style="66" customWidth="1"/>
    <col min="10746" max="10746" width="10.33203125" style="66" customWidth="1"/>
    <col min="10747" max="10757" width="9.1640625" style="66" customWidth="1"/>
    <col min="10758" max="10758" width="11.33203125" style="66" customWidth="1"/>
    <col min="10759" max="10779" width="13" style="66" hidden="1" customWidth="1"/>
    <col min="10780" max="10985" width="9.1640625" style="66" customWidth="1"/>
    <col min="10986" max="10986" width="28.6640625" style="66" customWidth="1"/>
    <col min="10987" max="10987" width="9" style="66" bestFit="1" customWidth="1"/>
    <col min="10988" max="10988" width="5.33203125" style="66" customWidth="1"/>
    <col min="10989" max="10989" width="9" style="66" bestFit="1" customWidth="1"/>
    <col min="10990" max="10990" width="5.33203125" style="66" customWidth="1"/>
    <col min="10991" max="10991" width="9" style="66" bestFit="1" customWidth="1"/>
    <col min="10992" max="10992" width="5" style="66" customWidth="1"/>
    <col min="10993" max="10993" width="9" style="66" bestFit="1" customWidth="1"/>
    <col min="10994" max="10994" width="5.1640625" style="66" customWidth="1"/>
    <col min="10995" max="10995" width="9.1640625" style="66" customWidth="1"/>
    <col min="10996" max="10996" width="6" style="66" customWidth="1"/>
    <col min="10997" max="10997" width="9.1640625" style="66" customWidth="1"/>
    <col min="10998" max="10998" width="6" style="66" customWidth="1"/>
    <col min="10999" max="11000" width="10.1640625" style="66" customWidth="1"/>
    <col min="11001" max="11001" width="10" style="66" customWidth="1"/>
    <col min="11002" max="11002" width="10.33203125" style="66" customWidth="1"/>
    <col min="11003" max="11013" width="9.1640625" style="66" customWidth="1"/>
    <col min="11014" max="11014" width="11.33203125" style="66" customWidth="1"/>
    <col min="11015" max="11035" width="13" style="66" hidden="1" customWidth="1"/>
    <col min="11036" max="11241" width="9.1640625" style="66" customWidth="1"/>
    <col min="11242" max="11242" width="28.6640625" style="66" customWidth="1"/>
    <col min="11243" max="11243" width="9" style="66" bestFit="1" customWidth="1"/>
    <col min="11244" max="11244" width="5.33203125" style="66" customWidth="1"/>
    <col min="11245" max="11245" width="9" style="66" bestFit="1" customWidth="1"/>
    <col min="11246" max="11246" width="5.33203125" style="66" customWidth="1"/>
    <col min="11247" max="11247" width="9" style="66" bestFit="1" customWidth="1"/>
    <col min="11248" max="11248" width="5" style="66" customWidth="1"/>
    <col min="11249" max="11249" width="9" style="66" bestFit="1" customWidth="1"/>
    <col min="11250" max="11250" width="5.1640625" style="66" customWidth="1"/>
    <col min="11251" max="11251" width="9.1640625" style="66" customWidth="1"/>
    <col min="11252" max="11252" width="6" style="66" customWidth="1"/>
    <col min="11253" max="11253" width="9.1640625" style="66" customWidth="1"/>
    <col min="11254" max="11254" width="6" style="66" customWidth="1"/>
    <col min="11255" max="11256" width="10.1640625" style="66" customWidth="1"/>
    <col min="11257" max="11257" width="10" style="66" customWidth="1"/>
    <col min="11258" max="11258" width="10.33203125" style="66" customWidth="1"/>
    <col min="11259" max="11269" width="9.1640625" style="66" customWidth="1"/>
    <col min="11270" max="11270" width="11.33203125" style="66" customWidth="1"/>
    <col min="11271" max="11291" width="13" style="66" hidden="1" customWidth="1"/>
    <col min="11292" max="11497" width="9.1640625" style="66" customWidth="1"/>
    <col min="11498" max="11498" width="28.6640625" style="66" customWidth="1"/>
    <col min="11499" max="11499" width="9" style="66" bestFit="1" customWidth="1"/>
    <col min="11500" max="11500" width="5.33203125" style="66" customWidth="1"/>
    <col min="11501" max="11501" width="9" style="66" bestFit="1" customWidth="1"/>
    <col min="11502" max="11502" width="5.33203125" style="66" customWidth="1"/>
    <col min="11503" max="11503" width="9" style="66" bestFit="1" customWidth="1"/>
    <col min="11504" max="11504" width="5" style="66" customWidth="1"/>
    <col min="11505" max="11505" width="9" style="66" bestFit="1" customWidth="1"/>
    <col min="11506" max="11506" width="5.1640625" style="66" customWidth="1"/>
    <col min="11507" max="11507" width="9.1640625" style="66" customWidth="1"/>
    <col min="11508" max="11508" width="6" style="66" customWidth="1"/>
    <col min="11509" max="11509" width="9.1640625" style="66" customWidth="1"/>
    <col min="11510" max="11510" width="6" style="66" customWidth="1"/>
    <col min="11511" max="11512" width="10.1640625" style="66" customWidth="1"/>
    <col min="11513" max="11513" width="10" style="66" customWidth="1"/>
    <col min="11514" max="11514" width="10.33203125" style="66" customWidth="1"/>
    <col min="11515" max="11525" width="9.1640625" style="66" customWidth="1"/>
    <col min="11526" max="11526" width="11.33203125" style="66" customWidth="1"/>
    <col min="11527" max="11547" width="13" style="66" hidden="1" customWidth="1"/>
    <col min="11548" max="11753" width="9.1640625" style="66" customWidth="1"/>
    <col min="11754" max="11754" width="28.6640625" style="66" customWidth="1"/>
    <col min="11755" max="11755" width="9" style="66" bestFit="1" customWidth="1"/>
    <col min="11756" max="11756" width="5.33203125" style="66" customWidth="1"/>
    <col min="11757" max="11757" width="9" style="66" bestFit="1" customWidth="1"/>
    <col min="11758" max="11758" width="5.33203125" style="66" customWidth="1"/>
    <col min="11759" max="11759" width="9" style="66" bestFit="1" customWidth="1"/>
    <col min="11760" max="11760" width="5" style="66" customWidth="1"/>
    <col min="11761" max="11761" width="9" style="66" bestFit="1" customWidth="1"/>
    <col min="11762" max="11762" width="5.1640625" style="66" customWidth="1"/>
    <col min="11763" max="11763" width="9.1640625" style="66" customWidth="1"/>
    <col min="11764" max="11764" width="6" style="66" customWidth="1"/>
    <col min="11765" max="11765" width="9.1640625" style="66" customWidth="1"/>
    <col min="11766" max="11766" width="6" style="66" customWidth="1"/>
    <col min="11767" max="11768" width="10.1640625" style="66" customWidth="1"/>
    <col min="11769" max="11769" width="10" style="66" customWidth="1"/>
    <col min="11770" max="11770" width="10.33203125" style="66" customWidth="1"/>
    <col min="11771" max="11781" width="9.1640625" style="66" customWidth="1"/>
    <col min="11782" max="11782" width="11.33203125" style="66" customWidth="1"/>
    <col min="11783" max="11803" width="13" style="66" hidden="1" customWidth="1"/>
    <col min="11804" max="12009" width="9.1640625" style="66" customWidth="1"/>
    <col min="12010" max="12010" width="28.6640625" style="66" customWidth="1"/>
    <col min="12011" max="12011" width="9" style="66" bestFit="1" customWidth="1"/>
    <col min="12012" max="12012" width="5.33203125" style="66" customWidth="1"/>
    <col min="12013" max="12013" width="9" style="66" bestFit="1" customWidth="1"/>
    <col min="12014" max="12014" width="5.33203125" style="66" customWidth="1"/>
    <col min="12015" max="12015" width="9" style="66" bestFit="1" customWidth="1"/>
    <col min="12016" max="12016" width="5" style="66" customWidth="1"/>
    <col min="12017" max="12017" width="9" style="66" bestFit="1" customWidth="1"/>
    <col min="12018" max="12018" width="5.1640625" style="66" customWidth="1"/>
    <col min="12019" max="12019" width="9.1640625" style="66" customWidth="1"/>
    <col min="12020" max="12020" width="6" style="66" customWidth="1"/>
    <col min="12021" max="12021" width="9.1640625" style="66" customWidth="1"/>
    <col min="12022" max="12022" width="6" style="66" customWidth="1"/>
    <col min="12023" max="12024" width="10.1640625" style="66" customWidth="1"/>
    <col min="12025" max="12025" width="10" style="66" customWidth="1"/>
    <col min="12026" max="12026" width="10.33203125" style="66" customWidth="1"/>
    <col min="12027" max="12037" width="9.1640625" style="66" customWidth="1"/>
    <col min="12038" max="12038" width="11.33203125" style="66" customWidth="1"/>
    <col min="12039" max="12059" width="13" style="66" hidden="1" customWidth="1"/>
    <col min="12060" max="12265" width="9.1640625" style="66" customWidth="1"/>
    <col min="12266" max="12266" width="28.6640625" style="66" customWidth="1"/>
    <col min="12267" max="12267" width="9" style="66" bestFit="1" customWidth="1"/>
    <col min="12268" max="12268" width="5.33203125" style="66" customWidth="1"/>
    <col min="12269" max="12269" width="9" style="66" bestFit="1" customWidth="1"/>
    <col min="12270" max="12270" width="5.33203125" style="66" customWidth="1"/>
    <col min="12271" max="12271" width="9" style="66" bestFit="1" customWidth="1"/>
    <col min="12272" max="12272" width="5" style="66" customWidth="1"/>
    <col min="12273" max="12273" width="9" style="66" bestFit="1" customWidth="1"/>
    <col min="12274" max="12274" width="5.1640625" style="66" customWidth="1"/>
    <col min="12275" max="12275" width="9.1640625" style="66" customWidth="1"/>
    <col min="12276" max="12276" width="6" style="66" customWidth="1"/>
    <col min="12277" max="12277" width="9.1640625" style="66" customWidth="1"/>
    <col min="12278" max="12278" width="6" style="66" customWidth="1"/>
    <col min="12279" max="12280" width="10.1640625" style="66" customWidth="1"/>
    <col min="12281" max="12281" width="10" style="66" customWidth="1"/>
    <col min="12282" max="12282" width="10.33203125" style="66" customWidth="1"/>
    <col min="12283" max="12293" width="9.1640625" style="66" customWidth="1"/>
    <col min="12294" max="12294" width="11.33203125" style="66" customWidth="1"/>
    <col min="12295" max="12315" width="13" style="66" hidden="1" customWidth="1"/>
    <col min="12316" max="12521" width="9.1640625" style="66" customWidth="1"/>
    <col min="12522" max="12522" width="28.6640625" style="66" customWidth="1"/>
    <col min="12523" max="12523" width="9" style="66" bestFit="1" customWidth="1"/>
    <col min="12524" max="12524" width="5.33203125" style="66" customWidth="1"/>
    <col min="12525" max="12525" width="9" style="66" bestFit="1" customWidth="1"/>
    <col min="12526" max="12526" width="5.33203125" style="66" customWidth="1"/>
    <col min="12527" max="12527" width="9" style="66" bestFit="1" customWidth="1"/>
    <col min="12528" max="12528" width="5" style="66" customWidth="1"/>
    <col min="12529" max="12529" width="9" style="66" bestFit="1" customWidth="1"/>
    <col min="12530" max="12530" width="5.1640625" style="66" customWidth="1"/>
    <col min="12531" max="12531" width="9.1640625" style="66" customWidth="1"/>
    <col min="12532" max="12532" width="6" style="66" customWidth="1"/>
    <col min="12533" max="12533" width="9.1640625" style="66" customWidth="1"/>
    <col min="12534" max="12534" width="6" style="66" customWidth="1"/>
    <col min="12535" max="12536" width="10.1640625" style="66" customWidth="1"/>
    <col min="12537" max="12537" width="10" style="66" customWidth="1"/>
    <col min="12538" max="12538" width="10.33203125" style="66" customWidth="1"/>
    <col min="12539" max="12549" width="9.1640625" style="66" customWidth="1"/>
    <col min="12550" max="12550" width="11.33203125" style="66" customWidth="1"/>
    <col min="12551" max="12571" width="13" style="66" hidden="1" customWidth="1"/>
    <col min="12572" max="12777" width="9.1640625" style="66" customWidth="1"/>
    <col min="12778" max="12778" width="28.6640625" style="66" customWidth="1"/>
    <col min="12779" max="12779" width="9" style="66" bestFit="1" customWidth="1"/>
    <col min="12780" max="12780" width="5.33203125" style="66" customWidth="1"/>
    <col min="12781" max="12781" width="9" style="66" bestFit="1" customWidth="1"/>
    <col min="12782" max="12782" width="5.33203125" style="66" customWidth="1"/>
    <col min="12783" max="12783" width="9" style="66" bestFit="1" customWidth="1"/>
    <col min="12784" max="12784" width="5" style="66" customWidth="1"/>
    <col min="12785" max="12785" width="9" style="66" bestFit="1" customWidth="1"/>
    <col min="12786" max="12786" width="5.1640625" style="66" customWidth="1"/>
    <col min="12787" max="12787" width="9.1640625" style="66" customWidth="1"/>
    <col min="12788" max="12788" width="6" style="66" customWidth="1"/>
    <col min="12789" max="12789" width="9.1640625" style="66" customWidth="1"/>
    <col min="12790" max="12790" width="6" style="66" customWidth="1"/>
    <col min="12791" max="12792" width="10.1640625" style="66" customWidth="1"/>
    <col min="12793" max="12793" width="10" style="66" customWidth="1"/>
    <col min="12794" max="12794" width="10.33203125" style="66" customWidth="1"/>
    <col min="12795" max="12805" width="9.1640625" style="66" customWidth="1"/>
    <col min="12806" max="12806" width="11.33203125" style="66" customWidth="1"/>
    <col min="12807" max="12827" width="13" style="66" hidden="1" customWidth="1"/>
    <col min="12828" max="13033" width="9.1640625" style="66" customWidth="1"/>
    <col min="13034" max="13034" width="28.6640625" style="66" customWidth="1"/>
    <col min="13035" max="13035" width="9" style="66" bestFit="1" customWidth="1"/>
    <col min="13036" max="13036" width="5.33203125" style="66" customWidth="1"/>
    <col min="13037" max="13037" width="9" style="66" bestFit="1" customWidth="1"/>
    <col min="13038" max="13038" width="5.33203125" style="66" customWidth="1"/>
    <col min="13039" max="13039" width="9" style="66" bestFit="1" customWidth="1"/>
    <col min="13040" max="13040" width="5" style="66" customWidth="1"/>
    <col min="13041" max="13041" width="9" style="66" bestFit="1" customWidth="1"/>
    <col min="13042" max="13042" width="5.1640625" style="66" customWidth="1"/>
    <col min="13043" max="13043" width="9.1640625" style="66" customWidth="1"/>
    <col min="13044" max="13044" width="6" style="66" customWidth="1"/>
    <col min="13045" max="13045" width="9.1640625" style="66" customWidth="1"/>
    <col min="13046" max="13046" width="6" style="66" customWidth="1"/>
    <col min="13047" max="13048" width="10.1640625" style="66" customWidth="1"/>
    <col min="13049" max="13049" width="10" style="66" customWidth="1"/>
    <col min="13050" max="13050" width="10.33203125" style="66" customWidth="1"/>
    <col min="13051" max="13061" width="9.1640625" style="66" customWidth="1"/>
    <col min="13062" max="13062" width="11.33203125" style="66" customWidth="1"/>
    <col min="13063" max="13083" width="13" style="66" hidden="1" customWidth="1"/>
    <col min="13084" max="13289" width="9.1640625" style="66" customWidth="1"/>
    <col min="13290" max="13290" width="28.6640625" style="66" customWidth="1"/>
    <col min="13291" max="13291" width="9" style="66" bestFit="1" customWidth="1"/>
    <col min="13292" max="13292" width="5.33203125" style="66" customWidth="1"/>
    <col min="13293" max="13293" width="9" style="66" bestFit="1" customWidth="1"/>
    <col min="13294" max="13294" width="5.33203125" style="66" customWidth="1"/>
    <col min="13295" max="13295" width="9" style="66" bestFit="1" customWidth="1"/>
    <col min="13296" max="13296" width="5" style="66" customWidth="1"/>
    <col min="13297" max="13297" width="9" style="66" bestFit="1" customWidth="1"/>
    <col min="13298" max="13298" width="5.1640625" style="66" customWidth="1"/>
    <col min="13299" max="13299" width="9.1640625" style="66" customWidth="1"/>
    <col min="13300" max="13300" width="6" style="66" customWidth="1"/>
    <col min="13301" max="13301" width="9.1640625" style="66" customWidth="1"/>
    <col min="13302" max="13302" width="6" style="66" customWidth="1"/>
    <col min="13303" max="13304" width="10.1640625" style="66" customWidth="1"/>
    <col min="13305" max="13305" width="10" style="66" customWidth="1"/>
    <col min="13306" max="13306" width="10.33203125" style="66" customWidth="1"/>
    <col min="13307" max="13317" width="9.1640625" style="66" customWidth="1"/>
    <col min="13318" max="13318" width="11.33203125" style="66" customWidth="1"/>
    <col min="13319" max="13339" width="13" style="66" hidden="1" customWidth="1"/>
    <col min="13340" max="13545" width="9.1640625" style="66" customWidth="1"/>
    <col min="13546" max="13546" width="28.6640625" style="66" customWidth="1"/>
    <col min="13547" max="13547" width="9" style="66" bestFit="1" customWidth="1"/>
    <col min="13548" max="13548" width="5.33203125" style="66" customWidth="1"/>
    <col min="13549" max="13549" width="9" style="66" bestFit="1" customWidth="1"/>
    <col min="13550" max="13550" width="5.33203125" style="66" customWidth="1"/>
    <col min="13551" max="13551" width="9" style="66" bestFit="1" customWidth="1"/>
    <col min="13552" max="13552" width="5" style="66" customWidth="1"/>
    <col min="13553" max="13553" width="9" style="66" bestFit="1" customWidth="1"/>
    <col min="13554" max="13554" width="5.1640625" style="66" customWidth="1"/>
    <col min="13555" max="13555" width="9.1640625" style="66" customWidth="1"/>
    <col min="13556" max="13556" width="6" style="66" customWidth="1"/>
    <col min="13557" max="13557" width="9.1640625" style="66" customWidth="1"/>
    <col min="13558" max="13558" width="6" style="66" customWidth="1"/>
    <col min="13559" max="13560" width="10.1640625" style="66" customWidth="1"/>
    <col min="13561" max="13561" width="10" style="66" customWidth="1"/>
    <col min="13562" max="13562" width="10.33203125" style="66" customWidth="1"/>
    <col min="13563" max="13573" width="9.1640625" style="66" customWidth="1"/>
    <col min="13574" max="13574" width="11.33203125" style="66" customWidth="1"/>
    <col min="13575" max="13595" width="13" style="66" hidden="1" customWidth="1"/>
    <col min="13596" max="13801" width="9.1640625" style="66" customWidth="1"/>
    <col min="13802" max="13802" width="28.6640625" style="66" customWidth="1"/>
    <col min="13803" max="13803" width="9" style="66" bestFit="1" customWidth="1"/>
    <col min="13804" max="13804" width="5.33203125" style="66" customWidth="1"/>
    <col min="13805" max="13805" width="9" style="66" bestFit="1" customWidth="1"/>
    <col min="13806" max="13806" width="5.33203125" style="66" customWidth="1"/>
    <col min="13807" max="13807" width="9" style="66" bestFit="1" customWidth="1"/>
    <col min="13808" max="13808" width="5" style="66" customWidth="1"/>
    <col min="13809" max="13809" width="9" style="66" bestFit="1" customWidth="1"/>
    <col min="13810" max="13810" width="5.1640625" style="66" customWidth="1"/>
    <col min="13811" max="13811" width="9.1640625" style="66" customWidth="1"/>
    <col min="13812" max="13812" width="6" style="66" customWidth="1"/>
    <col min="13813" max="13813" width="9.1640625" style="66" customWidth="1"/>
    <col min="13814" max="13814" width="6" style="66" customWidth="1"/>
    <col min="13815" max="13816" width="10.1640625" style="66" customWidth="1"/>
    <col min="13817" max="13817" width="10" style="66" customWidth="1"/>
    <col min="13818" max="13818" width="10.33203125" style="66" customWidth="1"/>
    <col min="13819" max="13829" width="9.1640625" style="66" customWidth="1"/>
    <col min="13830" max="13830" width="11.33203125" style="66" customWidth="1"/>
    <col min="13831" max="13851" width="13" style="66" hidden="1" customWidth="1"/>
    <col min="13852" max="14057" width="9.1640625" style="66" customWidth="1"/>
    <col min="14058" max="14058" width="28.6640625" style="66" customWidth="1"/>
    <col min="14059" max="14059" width="9" style="66" bestFit="1" customWidth="1"/>
    <col min="14060" max="14060" width="5.33203125" style="66" customWidth="1"/>
    <col min="14061" max="14061" width="9" style="66" bestFit="1" customWidth="1"/>
    <col min="14062" max="14062" width="5.33203125" style="66" customWidth="1"/>
    <col min="14063" max="14063" width="9" style="66" bestFit="1" customWidth="1"/>
    <col min="14064" max="14064" width="5" style="66" customWidth="1"/>
    <col min="14065" max="14065" width="9" style="66" bestFit="1" customWidth="1"/>
    <col min="14066" max="14066" width="5.1640625" style="66" customWidth="1"/>
    <col min="14067" max="14067" width="9.1640625" style="66" customWidth="1"/>
    <col min="14068" max="14068" width="6" style="66" customWidth="1"/>
    <col min="14069" max="14069" width="9.1640625" style="66" customWidth="1"/>
    <col min="14070" max="14070" width="6" style="66" customWidth="1"/>
    <col min="14071" max="14072" width="10.1640625" style="66" customWidth="1"/>
    <col min="14073" max="14073" width="10" style="66" customWidth="1"/>
    <col min="14074" max="14074" width="10.33203125" style="66" customWidth="1"/>
    <col min="14075" max="14085" width="9.1640625" style="66" customWidth="1"/>
    <col min="14086" max="14086" width="11.33203125" style="66" customWidth="1"/>
    <col min="14087" max="14107" width="13" style="66" hidden="1" customWidth="1"/>
    <col min="14108" max="14313" width="9.1640625" style="66" customWidth="1"/>
    <col min="14314" max="14314" width="28.6640625" style="66" customWidth="1"/>
    <col min="14315" max="14315" width="9" style="66" bestFit="1" customWidth="1"/>
    <col min="14316" max="14316" width="5.33203125" style="66" customWidth="1"/>
    <col min="14317" max="14317" width="9" style="66" bestFit="1" customWidth="1"/>
    <col min="14318" max="14318" width="5.33203125" style="66" customWidth="1"/>
    <col min="14319" max="14319" width="9" style="66" bestFit="1" customWidth="1"/>
    <col min="14320" max="14320" width="5" style="66" customWidth="1"/>
    <col min="14321" max="14321" width="9" style="66" bestFit="1" customWidth="1"/>
    <col min="14322" max="14322" width="5.1640625" style="66" customWidth="1"/>
    <col min="14323" max="14323" width="9.1640625" style="66" customWidth="1"/>
    <col min="14324" max="14324" width="6" style="66" customWidth="1"/>
    <col min="14325" max="14325" width="9.1640625" style="66" customWidth="1"/>
    <col min="14326" max="14326" width="6" style="66" customWidth="1"/>
    <col min="14327" max="14328" width="10.1640625" style="66" customWidth="1"/>
    <col min="14329" max="14329" width="10" style="66" customWidth="1"/>
    <col min="14330" max="14330" width="10.33203125" style="66" customWidth="1"/>
    <col min="14331" max="14341" width="9.1640625" style="66" customWidth="1"/>
    <col min="14342" max="14342" width="11.33203125" style="66" customWidth="1"/>
    <col min="14343" max="14363" width="13" style="66" hidden="1" customWidth="1"/>
    <col min="14364" max="14569" width="9.1640625" style="66" customWidth="1"/>
    <col min="14570" max="14570" width="28.6640625" style="66" customWidth="1"/>
    <col min="14571" max="14571" width="9" style="66" bestFit="1" customWidth="1"/>
    <col min="14572" max="14572" width="5.33203125" style="66" customWidth="1"/>
    <col min="14573" max="14573" width="9" style="66" bestFit="1" customWidth="1"/>
    <col min="14574" max="14574" width="5.33203125" style="66" customWidth="1"/>
    <col min="14575" max="14575" width="9" style="66" bestFit="1" customWidth="1"/>
    <col min="14576" max="14576" width="5" style="66" customWidth="1"/>
    <col min="14577" max="14577" width="9" style="66" bestFit="1" customWidth="1"/>
    <col min="14578" max="14578" width="5.1640625" style="66" customWidth="1"/>
    <col min="14579" max="14579" width="9.1640625" style="66" customWidth="1"/>
    <col min="14580" max="14580" width="6" style="66" customWidth="1"/>
    <col min="14581" max="14581" width="9.1640625" style="66" customWidth="1"/>
    <col min="14582" max="14582" width="6" style="66" customWidth="1"/>
    <col min="14583" max="14584" width="10.1640625" style="66" customWidth="1"/>
    <col min="14585" max="14585" width="10" style="66" customWidth="1"/>
    <col min="14586" max="14586" width="10.33203125" style="66" customWidth="1"/>
    <col min="14587" max="14597" width="9.1640625" style="66" customWidth="1"/>
    <col min="14598" max="14598" width="11.33203125" style="66" customWidth="1"/>
    <col min="14599" max="14619" width="13" style="66" hidden="1" customWidth="1"/>
    <col min="14620" max="14825" width="9.1640625" style="66" customWidth="1"/>
    <col min="14826" max="14826" width="28.6640625" style="66" customWidth="1"/>
    <col min="14827" max="14827" width="9" style="66" bestFit="1" customWidth="1"/>
    <col min="14828" max="14828" width="5.33203125" style="66" customWidth="1"/>
    <col min="14829" max="14829" width="9" style="66" bestFit="1" customWidth="1"/>
    <col min="14830" max="14830" width="5.33203125" style="66" customWidth="1"/>
    <col min="14831" max="14831" width="9" style="66" bestFit="1" customWidth="1"/>
    <col min="14832" max="14832" width="5" style="66" customWidth="1"/>
    <col min="14833" max="14833" width="9" style="66" bestFit="1" customWidth="1"/>
    <col min="14834" max="14834" width="5.1640625" style="66" customWidth="1"/>
    <col min="14835" max="14835" width="9.1640625" style="66" customWidth="1"/>
    <col min="14836" max="14836" width="6" style="66" customWidth="1"/>
    <col min="14837" max="14837" width="9.1640625" style="66" customWidth="1"/>
    <col min="14838" max="14838" width="6" style="66" customWidth="1"/>
    <col min="14839" max="14840" width="10.1640625" style="66" customWidth="1"/>
    <col min="14841" max="14841" width="10" style="66" customWidth="1"/>
    <col min="14842" max="14842" width="10.33203125" style="66" customWidth="1"/>
    <col min="14843" max="14853" width="9.1640625" style="66" customWidth="1"/>
    <col min="14854" max="14854" width="11.33203125" style="66" customWidth="1"/>
    <col min="14855" max="14875" width="13" style="66" hidden="1" customWidth="1"/>
    <col min="14876" max="15081" width="9.1640625" style="66" customWidth="1"/>
    <col min="15082" max="15082" width="28.6640625" style="66" customWidth="1"/>
    <col min="15083" max="15083" width="9" style="66" bestFit="1" customWidth="1"/>
    <col min="15084" max="15084" width="5.33203125" style="66" customWidth="1"/>
    <col min="15085" max="15085" width="9" style="66" bestFit="1" customWidth="1"/>
    <col min="15086" max="15086" width="5.33203125" style="66" customWidth="1"/>
    <col min="15087" max="15087" width="9" style="66" bestFit="1" customWidth="1"/>
    <col min="15088" max="15088" width="5" style="66" customWidth="1"/>
    <col min="15089" max="15089" width="9" style="66" bestFit="1" customWidth="1"/>
    <col min="15090" max="15090" width="5.1640625" style="66" customWidth="1"/>
    <col min="15091" max="15091" width="9.1640625" style="66" customWidth="1"/>
    <col min="15092" max="15092" width="6" style="66" customWidth="1"/>
    <col min="15093" max="15093" width="9.1640625" style="66" customWidth="1"/>
    <col min="15094" max="15094" width="6" style="66" customWidth="1"/>
    <col min="15095" max="15096" width="10.1640625" style="66" customWidth="1"/>
    <col min="15097" max="15097" width="10" style="66" customWidth="1"/>
    <col min="15098" max="15098" width="10.33203125" style="66" customWidth="1"/>
    <col min="15099" max="15109" width="9.1640625" style="66" customWidth="1"/>
    <col min="15110" max="15110" width="11.33203125" style="66" customWidth="1"/>
    <col min="15111" max="15131" width="13" style="66" hidden="1" customWidth="1"/>
    <col min="15132" max="15337" width="9.1640625" style="66" customWidth="1"/>
    <col min="15338" max="15338" width="28.6640625" style="66" customWidth="1"/>
    <col min="15339" max="15339" width="9" style="66" bestFit="1" customWidth="1"/>
    <col min="15340" max="15340" width="5.33203125" style="66" customWidth="1"/>
    <col min="15341" max="15341" width="9" style="66" bestFit="1" customWidth="1"/>
    <col min="15342" max="15342" width="5.33203125" style="66" customWidth="1"/>
    <col min="15343" max="15343" width="9" style="66" bestFit="1" customWidth="1"/>
    <col min="15344" max="15344" width="5" style="66" customWidth="1"/>
    <col min="15345" max="15345" width="9" style="66" bestFit="1" customWidth="1"/>
    <col min="15346" max="15346" width="5.1640625" style="66" customWidth="1"/>
    <col min="15347" max="15347" width="9.1640625" style="66" customWidth="1"/>
    <col min="15348" max="15348" width="6" style="66" customWidth="1"/>
    <col min="15349" max="15349" width="9.1640625" style="66" customWidth="1"/>
    <col min="15350" max="15350" width="6" style="66" customWidth="1"/>
    <col min="15351" max="15352" width="10.1640625" style="66" customWidth="1"/>
    <col min="15353" max="15353" width="10" style="66" customWidth="1"/>
    <col min="15354" max="15354" width="10.33203125" style="66" customWidth="1"/>
    <col min="15355" max="15365" width="9.1640625" style="66" customWidth="1"/>
    <col min="15366" max="15366" width="11.33203125" style="66" customWidth="1"/>
    <col min="15367" max="15387" width="13" style="66" hidden="1" customWidth="1"/>
    <col min="15388" max="15593" width="9.1640625" style="66" customWidth="1"/>
    <col min="15594" max="15594" width="28.6640625" style="66" customWidth="1"/>
    <col min="15595" max="15595" width="9" style="66" bestFit="1" customWidth="1"/>
    <col min="15596" max="15596" width="5.33203125" style="66" customWidth="1"/>
    <col min="15597" max="15597" width="9" style="66" bestFit="1" customWidth="1"/>
    <col min="15598" max="15598" width="5.33203125" style="66" customWidth="1"/>
    <col min="15599" max="15599" width="9" style="66" bestFit="1" customWidth="1"/>
    <col min="15600" max="15600" width="5" style="66" customWidth="1"/>
    <col min="15601" max="15601" width="9" style="66" bestFit="1" customWidth="1"/>
    <col min="15602" max="15602" width="5.1640625" style="66" customWidth="1"/>
    <col min="15603" max="15603" width="9.1640625" style="66" customWidth="1"/>
    <col min="15604" max="15604" width="6" style="66" customWidth="1"/>
    <col min="15605" max="15605" width="9.1640625" style="66" customWidth="1"/>
    <col min="15606" max="15606" width="6" style="66" customWidth="1"/>
    <col min="15607" max="15608" width="10.1640625" style="66" customWidth="1"/>
    <col min="15609" max="15609" width="10" style="66" customWidth="1"/>
    <col min="15610" max="15610" width="10.33203125" style="66" customWidth="1"/>
    <col min="15611" max="15621" width="9.1640625" style="66" customWidth="1"/>
    <col min="15622" max="15622" width="11.33203125" style="66" customWidth="1"/>
    <col min="15623" max="15643" width="13" style="66" hidden="1" customWidth="1"/>
    <col min="15644" max="15849" width="9.1640625" style="66" customWidth="1"/>
    <col min="15850" max="15850" width="28.6640625" style="66" customWidth="1"/>
    <col min="15851" max="15851" width="9" style="66" bestFit="1" customWidth="1"/>
    <col min="15852" max="15852" width="5.33203125" style="66" customWidth="1"/>
    <col min="15853" max="15853" width="9" style="66" bestFit="1" customWidth="1"/>
    <col min="15854" max="15854" width="5.33203125" style="66" customWidth="1"/>
    <col min="15855" max="15855" width="9" style="66" bestFit="1" customWidth="1"/>
    <col min="15856" max="15856" width="5" style="66" customWidth="1"/>
    <col min="15857" max="15857" width="9" style="66" bestFit="1" customWidth="1"/>
    <col min="15858" max="15858" width="5.1640625" style="66" customWidth="1"/>
    <col min="15859" max="15859" width="9.1640625" style="66" customWidth="1"/>
    <col min="15860" max="15860" width="6" style="66" customWidth="1"/>
    <col min="15861" max="15861" width="9.1640625" style="66" customWidth="1"/>
    <col min="15862" max="15862" width="6" style="66" customWidth="1"/>
    <col min="15863" max="15864" width="10.1640625" style="66" customWidth="1"/>
    <col min="15865" max="15865" width="10" style="66" customWidth="1"/>
    <col min="15866" max="15866" width="10.33203125" style="66" customWidth="1"/>
    <col min="15867" max="15877" width="9.1640625" style="66" customWidth="1"/>
    <col min="15878" max="15878" width="11.33203125" style="66" customWidth="1"/>
    <col min="15879" max="15899" width="13" style="66" hidden="1" customWidth="1"/>
    <col min="15900" max="16105" width="9.1640625" style="66" customWidth="1"/>
    <col min="16106" max="16106" width="28.6640625" style="66" customWidth="1"/>
    <col min="16107" max="16107" width="9" style="66" bestFit="1" customWidth="1"/>
    <col min="16108" max="16108" width="5.33203125" style="66" customWidth="1"/>
    <col min="16109" max="16109" width="9" style="66" bestFit="1" customWidth="1"/>
    <col min="16110" max="16110" width="5.33203125" style="66" customWidth="1"/>
    <col min="16111" max="16111" width="9" style="66" bestFit="1" customWidth="1"/>
    <col min="16112" max="16112" width="5" style="66" customWidth="1"/>
    <col min="16113" max="16113" width="9" style="66" bestFit="1" customWidth="1"/>
    <col min="16114" max="16114" width="5.1640625" style="66" customWidth="1"/>
    <col min="16115" max="16115" width="9.1640625" style="66" customWidth="1"/>
    <col min="16116" max="16116" width="6" style="66" customWidth="1"/>
    <col min="16117" max="16117" width="9.1640625" style="66" customWidth="1"/>
    <col min="16118" max="16118" width="6" style="66" customWidth="1"/>
    <col min="16119" max="16120" width="10.1640625" style="66" customWidth="1"/>
    <col min="16121" max="16121" width="10" style="66" customWidth="1"/>
    <col min="16122" max="16122" width="10.33203125" style="66" customWidth="1"/>
    <col min="16123" max="16133" width="9.1640625" style="66" customWidth="1"/>
    <col min="16134" max="16134" width="11.33203125" style="66" customWidth="1"/>
    <col min="16135" max="16155" width="13" style="66" hidden="1" customWidth="1"/>
    <col min="16156" max="16384" width="9.1640625" style="66" customWidth="1"/>
  </cols>
  <sheetData>
    <row r="1" spans="2:30" x14ac:dyDescent="0.2">
      <c r="AA1" s="14" t="s">
        <v>70</v>
      </c>
      <c r="AB1" s="91" t="s">
        <v>71</v>
      </c>
      <c r="AC1" s="74"/>
      <c r="AD1" s="74"/>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92" t="s">
        <v>72</v>
      </c>
      <c r="AD3" s="79"/>
    </row>
    <row r="4" spans="2:30" x14ac:dyDescent="0.2">
      <c r="B4" s="87"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89" t="s">
        <v>73</v>
      </c>
      <c r="AC4" s="89" t="s">
        <v>74</v>
      </c>
      <c r="AD4" s="89" t="s">
        <v>75</v>
      </c>
    </row>
    <row r="5" spans="2:30" ht="16" customHeight="1" thickBot="1" x14ac:dyDescent="0.25">
      <c r="B5" s="88"/>
      <c r="C5" s="32"/>
      <c r="D5" s="32"/>
      <c r="E5" s="32"/>
      <c r="F5" s="32"/>
      <c r="G5" s="32"/>
      <c r="H5" s="32"/>
      <c r="I5" s="32"/>
      <c r="J5" s="32"/>
      <c r="K5" s="32"/>
      <c r="L5" s="32"/>
      <c r="M5" s="32"/>
      <c r="N5" s="32"/>
      <c r="O5" s="32"/>
      <c r="P5" s="32"/>
      <c r="Q5" s="32"/>
      <c r="R5" s="32"/>
      <c r="S5" s="32"/>
      <c r="T5" s="32"/>
      <c r="U5" s="32"/>
      <c r="V5" s="32"/>
      <c r="W5" s="32"/>
      <c r="X5" s="32"/>
      <c r="Y5" s="32"/>
      <c r="Z5" s="32"/>
      <c r="AA5" s="10"/>
      <c r="AB5" s="90"/>
      <c r="AC5" s="90"/>
      <c r="AD5" s="90"/>
    </row>
    <row r="6" spans="2:30" x14ac:dyDescent="0.2">
      <c r="B6" s="3" t="s">
        <v>30</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33"/>
      <c r="AB6" s="22">
        <f t="shared" ref="AB6:AB23" si="0">Z6-Y6</f>
        <v>-11</v>
      </c>
      <c r="AC6" s="34">
        <f t="shared" ref="AC6:AC23" si="1">AVERAGE(X6:Z6)</f>
        <v>13</v>
      </c>
      <c r="AD6" s="34">
        <f t="shared" ref="AD6:AD23" si="2">AVERAGE(U6:Z6)</f>
        <v>14.166666666666666</v>
      </c>
    </row>
    <row r="7" spans="2:30" x14ac:dyDescent="0.2">
      <c r="B7" s="3" t="s">
        <v>38</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33"/>
      <c r="AB7" s="22">
        <f t="shared" si="0"/>
        <v>0</v>
      </c>
      <c r="AC7" s="34">
        <f t="shared" si="1"/>
        <v>13</v>
      </c>
      <c r="AD7" s="34">
        <f t="shared" si="2"/>
        <v>9.6666666666666661</v>
      </c>
    </row>
    <row r="8" spans="2:30" x14ac:dyDescent="0.2">
      <c r="B8" s="3" t="s">
        <v>36</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33"/>
      <c r="AB8" s="22">
        <f t="shared" si="0"/>
        <v>5</v>
      </c>
      <c r="AC8" s="34">
        <f t="shared" si="1"/>
        <v>11.333333333333334</v>
      </c>
      <c r="AD8" s="34">
        <f t="shared" si="2"/>
        <v>11</v>
      </c>
    </row>
    <row r="9" spans="2:30" x14ac:dyDescent="0.2">
      <c r="B9" s="3" t="s">
        <v>32</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33"/>
      <c r="AB9" s="22">
        <f t="shared" si="0"/>
        <v>9</v>
      </c>
      <c r="AC9" s="34">
        <f t="shared" si="1"/>
        <v>11.666666666666666</v>
      </c>
      <c r="AD9" s="34">
        <f t="shared" si="2"/>
        <v>10.333333333333334</v>
      </c>
    </row>
    <row r="10" spans="2:30" x14ac:dyDescent="0.2">
      <c r="B10" s="3" t="s">
        <v>34</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33"/>
      <c r="AB10" s="22">
        <f t="shared" si="0"/>
        <v>-5</v>
      </c>
      <c r="AC10" s="34">
        <f t="shared" si="1"/>
        <v>6</v>
      </c>
      <c r="AD10" s="34">
        <f t="shared" si="2"/>
        <v>6</v>
      </c>
    </row>
    <row r="11" spans="2:30" x14ac:dyDescent="0.2">
      <c r="B11" s="3" t="s">
        <v>17</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33"/>
      <c r="AB11" s="22">
        <f t="shared" si="0"/>
        <v>17</v>
      </c>
      <c r="AC11" s="34">
        <f t="shared" si="1"/>
        <v>9</v>
      </c>
      <c r="AD11" s="34">
        <f t="shared" si="2"/>
        <v>11.666666666666666</v>
      </c>
    </row>
    <row r="12" spans="2:30" x14ac:dyDescent="0.2">
      <c r="B12" s="3" t="s">
        <v>43</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33"/>
      <c r="AB12" s="22">
        <f t="shared" si="0"/>
        <v>0</v>
      </c>
      <c r="AC12" s="34">
        <f t="shared" si="1"/>
        <v>4</v>
      </c>
      <c r="AD12" s="34">
        <f t="shared" si="2"/>
        <v>3</v>
      </c>
    </row>
    <row r="13" spans="2:30" x14ac:dyDescent="0.2">
      <c r="B13" s="3" t="s">
        <v>45</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33"/>
      <c r="AB13" s="22">
        <f t="shared" si="0"/>
        <v>-12</v>
      </c>
      <c r="AC13" s="34">
        <f t="shared" si="1"/>
        <v>13.333333333333334</v>
      </c>
      <c r="AD13" s="34">
        <f t="shared" si="2"/>
        <v>11</v>
      </c>
    </row>
    <row r="14" spans="2:30" x14ac:dyDescent="0.2">
      <c r="B14" s="3" t="s">
        <v>25</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33"/>
      <c r="AB14" s="22">
        <f t="shared" si="0"/>
        <v>-9</v>
      </c>
      <c r="AC14" s="34">
        <f t="shared" si="1"/>
        <v>14</v>
      </c>
      <c r="AD14" s="34">
        <f t="shared" si="2"/>
        <v>12.333333333333334</v>
      </c>
    </row>
    <row r="15" spans="2:30" x14ac:dyDescent="0.2">
      <c r="B15" s="3" t="s">
        <v>48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33"/>
      <c r="AB15" s="22">
        <f t="shared" si="0"/>
        <v>6</v>
      </c>
      <c r="AC15" s="34">
        <f t="shared" si="1"/>
        <v>9.6666666666666661</v>
      </c>
      <c r="AD15" s="34">
        <f t="shared" si="2"/>
        <v>8.5</v>
      </c>
    </row>
    <row r="16" spans="2:30" x14ac:dyDescent="0.2">
      <c r="B16" s="3" t="s">
        <v>22</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33"/>
      <c r="AB16" s="22">
        <f t="shared" si="0"/>
        <v>2</v>
      </c>
      <c r="AC16" s="34">
        <f t="shared" si="1"/>
        <v>10.666666666666666</v>
      </c>
      <c r="AD16" s="34">
        <f t="shared" si="2"/>
        <v>10.666666666666666</v>
      </c>
    </row>
    <row r="17" spans="2:33" x14ac:dyDescent="0.2">
      <c r="B17" s="3" t="s">
        <v>19</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33"/>
      <c r="AB17" s="22">
        <f t="shared" si="0"/>
        <v>2</v>
      </c>
      <c r="AC17" s="34">
        <f t="shared" si="1"/>
        <v>11.666666666666666</v>
      </c>
      <c r="AD17" s="34">
        <f t="shared" si="2"/>
        <v>9.8333333333333339</v>
      </c>
    </row>
    <row r="18" spans="2:33" x14ac:dyDescent="0.2">
      <c r="B18" s="3" t="s">
        <v>42</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33"/>
      <c r="AB18" s="22">
        <f t="shared" si="0"/>
        <v>-3</v>
      </c>
      <c r="AC18" s="34">
        <f t="shared" si="1"/>
        <v>6.333333333333333</v>
      </c>
      <c r="AD18" s="34">
        <f t="shared" si="2"/>
        <v>6.5</v>
      </c>
      <c r="AG18" s="35"/>
    </row>
    <row r="19" spans="2:33" x14ac:dyDescent="0.2">
      <c r="B19" s="3" t="s">
        <v>40</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33"/>
      <c r="AB19" s="22">
        <f t="shared" si="0"/>
        <v>-3</v>
      </c>
      <c r="AC19" s="34">
        <f t="shared" si="1"/>
        <v>3.3333333333333335</v>
      </c>
      <c r="AD19" s="34">
        <f t="shared" si="2"/>
        <v>3.8333333333333335</v>
      </c>
    </row>
    <row r="20" spans="2:33"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33"/>
      <c r="AB20" s="22">
        <f t="shared" si="0"/>
        <v>-14</v>
      </c>
      <c r="AC20" s="34">
        <f t="shared" si="1"/>
        <v>7.333333333333333</v>
      </c>
      <c r="AD20" s="34">
        <f t="shared" si="2"/>
        <v>4.166666666666667</v>
      </c>
    </row>
    <row r="21" spans="2:33" x14ac:dyDescent="0.2">
      <c r="B21" s="3" t="s">
        <v>44</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33"/>
      <c r="AB21" s="22">
        <f t="shared" si="0"/>
        <v>6</v>
      </c>
      <c r="AC21" s="34">
        <f t="shared" si="1"/>
        <v>7.666666666666667</v>
      </c>
      <c r="AD21" s="34">
        <f t="shared" si="2"/>
        <v>8.6666666666666661</v>
      </c>
    </row>
    <row r="22" spans="2:33" x14ac:dyDescent="0.2">
      <c r="B22" s="3" t="s">
        <v>46</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33"/>
      <c r="AB22" s="22">
        <f t="shared" si="0"/>
        <v>8</v>
      </c>
      <c r="AC22" s="34">
        <f t="shared" si="1"/>
        <v>7.333333333333333</v>
      </c>
      <c r="AD22" s="34">
        <f t="shared" si="2"/>
        <v>8.8333333333333339</v>
      </c>
    </row>
    <row r="23" spans="2:33" x14ac:dyDescent="0.2">
      <c r="B23" s="4" t="s">
        <v>28</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33"/>
      <c r="AB23" s="22">
        <f t="shared" si="0"/>
        <v>2</v>
      </c>
      <c r="AC23" s="34">
        <f t="shared" si="1"/>
        <v>11.666666666666666</v>
      </c>
      <c r="AD23" s="34">
        <f t="shared" si="2"/>
        <v>11.5</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87"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89" t="s">
        <v>73</v>
      </c>
      <c r="AC26" s="89" t="s">
        <v>74</v>
      </c>
      <c r="AD26" s="89" t="s">
        <v>75</v>
      </c>
    </row>
    <row r="27" spans="2:33" ht="16" customHeight="1" thickBot="1" x14ac:dyDescent="0.25">
      <c r="B27" s="88"/>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90"/>
      <c r="AC27" s="90"/>
      <c r="AD27" s="90"/>
    </row>
    <row r="28" spans="2:33" x14ac:dyDescent="0.2">
      <c r="B28" s="3" t="s">
        <v>38</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B28" s="22">
        <f t="shared" ref="AB28:AB45" si="3">Z28-Y28</f>
        <v>-6</v>
      </c>
      <c r="AC28" s="34">
        <f t="shared" ref="AC28:AC45" si="4">AVERAGE(X28:Z28)</f>
        <v>8.6666666666666661</v>
      </c>
      <c r="AD28" s="34">
        <f t="shared" ref="AD28:AD45" si="5">AVERAGE(U28:Z28)</f>
        <v>8.5</v>
      </c>
    </row>
    <row r="29" spans="2:33" x14ac:dyDescent="0.2">
      <c r="B29" s="3" t="s">
        <v>30</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B29" s="22">
        <f t="shared" si="3"/>
        <v>-2</v>
      </c>
      <c r="AC29" s="34">
        <f t="shared" si="4"/>
        <v>14.666666666666666</v>
      </c>
      <c r="AD29" s="34">
        <f t="shared" si="5"/>
        <v>14.333333333333334</v>
      </c>
    </row>
    <row r="30" spans="2:33" x14ac:dyDescent="0.2">
      <c r="B30" s="3" t="s">
        <v>36</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B30" s="22">
        <f t="shared" si="3"/>
        <v>9</v>
      </c>
      <c r="AC30" s="34">
        <f t="shared" si="4"/>
        <v>6.333333333333333</v>
      </c>
      <c r="AD30" s="34">
        <f t="shared" si="5"/>
        <v>8.3333333333333339</v>
      </c>
    </row>
    <row r="31" spans="2:33" x14ac:dyDescent="0.2">
      <c r="B31" s="3" t="s">
        <v>32</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B31" s="22">
        <f t="shared" si="3"/>
        <v>0</v>
      </c>
      <c r="AC31" s="34">
        <f t="shared" si="4"/>
        <v>6.333333333333333</v>
      </c>
      <c r="AD31" s="34">
        <f t="shared" si="5"/>
        <v>6.833333333333333</v>
      </c>
    </row>
    <row r="32" spans="2:33" x14ac:dyDescent="0.2">
      <c r="B32" s="3" t="s">
        <v>34</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B32" s="22">
        <f t="shared" si="3"/>
        <v>0</v>
      </c>
      <c r="AC32" s="34">
        <f t="shared" si="4"/>
        <v>11</v>
      </c>
      <c r="AD32" s="34">
        <f t="shared" si="5"/>
        <v>11</v>
      </c>
    </row>
    <row r="33" spans="2:30" x14ac:dyDescent="0.2">
      <c r="B33" s="3" t="s">
        <v>17</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B33" s="22">
        <f t="shared" si="3"/>
        <v>15</v>
      </c>
      <c r="AC33" s="34">
        <f t="shared" si="4"/>
        <v>6</v>
      </c>
      <c r="AD33" s="34">
        <f t="shared" si="5"/>
        <v>8.3333333333333339</v>
      </c>
    </row>
    <row r="34" spans="2:30" x14ac:dyDescent="0.2">
      <c r="B34" s="3" t="s">
        <v>25</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B34" s="22">
        <f t="shared" si="3"/>
        <v>1</v>
      </c>
      <c r="AC34" s="34">
        <f t="shared" si="4"/>
        <v>13.666666666666666</v>
      </c>
      <c r="AD34" s="34">
        <f t="shared" si="5"/>
        <v>9.1666666666666661</v>
      </c>
    </row>
    <row r="35" spans="2:30" x14ac:dyDescent="0.2">
      <c r="B35" s="3" t="s">
        <v>43</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B35" s="22">
        <f t="shared" si="3"/>
        <v>1</v>
      </c>
      <c r="AC35" s="34">
        <f t="shared" si="4"/>
        <v>6</v>
      </c>
      <c r="AD35" s="34">
        <f t="shared" si="5"/>
        <v>5.666666666666667</v>
      </c>
    </row>
    <row r="36" spans="2:30" x14ac:dyDescent="0.2">
      <c r="B36" s="3" t="s">
        <v>45</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B36" s="22">
        <f t="shared" si="3"/>
        <v>-9</v>
      </c>
      <c r="AC36" s="34">
        <f t="shared" si="4"/>
        <v>12</v>
      </c>
      <c r="AD36" s="34">
        <f t="shared" si="5"/>
        <v>10.333333333333334</v>
      </c>
    </row>
    <row r="37" spans="2:30" x14ac:dyDescent="0.2">
      <c r="B37" s="3" t="s">
        <v>42</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B37" s="22">
        <f t="shared" si="3"/>
        <v>-8</v>
      </c>
      <c r="AC37" s="34">
        <f t="shared" si="4"/>
        <v>3.6666666666666665</v>
      </c>
      <c r="AD37" s="34">
        <f t="shared" si="5"/>
        <v>6.5</v>
      </c>
    </row>
    <row r="38" spans="2:30"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B38" s="22">
        <f t="shared" si="3"/>
        <v>-10</v>
      </c>
      <c r="AC38" s="34">
        <f t="shared" si="4"/>
        <v>1.6666666666666667</v>
      </c>
      <c r="AD38" s="34">
        <f t="shared" si="5"/>
        <v>1.6666666666666667</v>
      </c>
    </row>
    <row r="39" spans="2:30" x14ac:dyDescent="0.2">
      <c r="B39" s="3" t="s">
        <v>22</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B39" s="22">
        <f t="shared" si="3"/>
        <v>2</v>
      </c>
      <c r="AC39" s="34">
        <f t="shared" si="4"/>
        <v>6</v>
      </c>
      <c r="AD39" s="34">
        <f t="shared" si="5"/>
        <v>5.666666666666667</v>
      </c>
    </row>
    <row r="40" spans="2:30" x14ac:dyDescent="0.2">
      <c r="B40" s="3" t="s">
        <v>40</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B40" s="22">
        <f t="shared" si="3"/>
        <v>0</v>
      </c>
      <c r="AC40" s="34">
        <f t="shared" si="4"/>
        <v>2</v>
      </c>
      <c r="AD40" s="34">
        <f t="shared" si="5"/>
        <v>3.6666666666666665</v>
      </c>
    </row>
    <row r="41" spans="2:30" x14ac:dyDescent="0.2">
      <c r="B41" s="3" t="s">
        <v>19</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B41" s="22">
        <f t="shared" si="3"/>
        <v>0</v>
      </c>
      <c r="AC41" s="34">
        <f t="shared" si="4"/>
        <v>10.666666666666666</v>
      </c>
      <c r="AD41" s="34">
        <f t="shared" si="5"/>
        <v>9.3333333333333339</v>
      </c>
    </row>
    <row r="42" spans="2:30" x14ac:dyDescent="0.2">
      <c r="B42" s="3" t="s">
        <v>28</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B42" s="22">
        <f t="shared" si="3"/>
        <v>-6</v>
      </c>
      <c r="AC42" s="34">
        <f t="shared" si="4"/>
        <v>10.666666666666666</v>
      </c>
      <c r="AD42" s="34">
        <f t="shared" si="5"/>
        <v>10</v>
      </c>
    </row>
    <row r="43" spans="2:30" x14ac:dyDescent="0.2">
      <c r="B43" s="3" t="s">
        <v>48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B43" s="22">
        <f t="shared" si="3"/>
        <v>-6</v>
      </c>
      <c r="AC43" s="34">
        <f t="shared" si="4"/>
        <v>3</v>
      </c>
      <c r="AD43" s="34">
        <f t="shared" si="5"/>
        <v>2.5</v>
      </c>
    </row>
    <row r="44" spans="2:30" x14ac:dyDescent="0.2">
      <c r="B44" s="3" t="s">
        <v>44</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B44" s="22">
        <f t="shared" si="3"/>
        <v>-1</v>
      </c>
      <c r="AC44" s="34">
        <f t="shared" si="4"/>
        <v>7.333333333333333</v>
      </c>
      <c r="AD44" s="34">
        <f t="shared" si="5"/>
        <v>8.3333333333333339</v>
      </c>
    </row>
    <row r="45" spans="2:30" x14ac:dyDescent="0.2">
      <c r="B45" s="4" t="s">
        <v>46</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87"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89" t="s">
        <v>73</v>
      </c>
      <c r="AC48" s="89" t="s">
        <v>74</v>
      </c>
      <c r="AD48" s="89" t="s">
        <v>75</v>
      </c>
    </row>
    <row r="49" spans="2:30" ht="16" customHeight="1" thickBot="1" x14ac:dyDescent="0.25">
      <c r="B49" s="88"/>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90"/>
      <c r="AC49" s="90"/>
      <c r="AD49" s="90"/>
    </row>
    <row r="50" spans="2:30" x14ac:dyDescent="0.2">
      <c r="B50" s="3" t="s">
        <v>30</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B50" s="22">
        <f t="shared" ref="AB50:AB67" si="6">Z50-Y50</f>
        <v>-11</v>
      </c>
      <c r="AC50" s="34">
        <f t="shared" ref="AC50:AC67" si="7">AVERAGE(X50:Z50)</f>
        <v>13</v>
      </c>
      <c r="AD50" s="34">
        <f t="shared" ref="AD50:AD67" si="8">AVERAGE(U50:Z50)</f>
        <v>12.333333333333334</v>
      </c>
    </row>
    <row r="51" spans="2:30" x14ac:dyDescent="0.2">
      <c r="B51" s="3" t="s">
        <v>43</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B51" s="22">
        <f t="shared" si="6"/>
        <v>-1</v>
      </c>
      <c r="AC51" s="34">
        <f t="shared" si="7"/>
        <v>4</v>
      </c>
      <c r="AD51" s="34">
        <f t="shared" si="8"/>
        <v>4.166666666666667</v>
      </c>
    </row>
    <row r="52" spans="2:30" x14ac:dyDescent="0.2">
      <c r="B52" s="3" t="s">
        <v>34</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B52" s="22">
        <f t="shared" si="6"/>
        <v>-7</v>
      </c>
      <c r="AC52" s="34">
        <f t="shared" si="7"/>
        <v>8</v>
      </c>
      <c r="AD52" s="34">
        <f t="shared" si="8"/>
        <v>7.333333333333333</v>
      </c>
    </row>
    <row r="53" spans="2:30" x14ac:dyDescent="0.2">
      <c r="B53" s="3" t="s">
        <v>38</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B53" s="22">
        <f t="shared" si="6"/>
        <v>-4</v>
      </c>
      <c r="AC53" s="34">
        <f t="shared" si="7"/>
        <v>6.666666666666667</v>
      </c>
      <c r="AD53" s="34">
        <f t="shared" si="8"/>
        <v>6.166666666666667</v>
      </c>
    </row>
    <row r="54" spans="2:30" x14ac:dyDescent="0.2">
      <c r="B54" s="3" t="s">
        <v>32</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B54" s="22">
        <f t="shared" si="6"/>
        <v>-1</v>
      </c>
      <c r="AC54" s="34">
        <f t="shared" si="7"/>
        <v>9.6666666666666661</v>
      </c>
      <c r="AD54" s="34">
        <f t="shared" si="8"/>
        <v>10.666666666666666</v>
      </c>
    </row>
    <row r="55" spans="2:30" x14ac:dyDescent="0.2">
      <c r="B55" s="3" t="s">
        <v>45</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B55" s="22">
        <f t="shared" si="6"/>
        <v>-7</v>
      </c>
      <c r="AC55" s="34">
        <f t="shared" si="7"/>
        <v>6.666666666666667</v>
      </c>
      <c r="AD55" s="34">
        <f t="shared" si="8"/>
        <v>7.5</v>
      </c>
    </row>
    <row r="56" spans="2:30" x14ac:dyDescent="0.2">
      <c r="B56" s="3" t="s">
        <v>25</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B56" s="22">
        <f t="shared" si="6"/>
        <v>-8</v>
      </c>
      <c r="AC56" s="34">
        <f t="shared" si="7"/>
        <v>14.333333333333334</v>
      </c>
      <c r="AD56" s="34">
        <f t="shared" si="8"/>
        <v>10.166666666666666</v>
      </c>
    </row>
    <row r="57" spans="2:30" x14ac:dyDescent="0.2">
      <c r="B57" s="3" t="s">
        <v>17</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B57" s="22">
        <f t="shared" si="6"/>
        <v>9</v>
      </c>
      <c r="AC57" s="34">
        <f t="shared" si="7"/>
        <v>8</v>
      </c>
      <c r="AD57" s="34">
        <f t="shared" si="8"/>
        <v>8</v>
      </c>
    </row>
    <row r="58" spans="2:30" x14ac:dyDescent="0.2">
      <c r="B58" s="3" t="s">
        <v>22</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B58" s="22">
        <f t="shared" si="6"/>
        <v>-2</v>
      </c>
      <c r="AC58" s="34">
        <f t="shared" si="7"/>
        <v>11</v>
      </c>
      <c r="AD58" s="34">
        <f t="shared" si="8"/>
        <v>8.5</v>
      </c>
    </row>
    <row r="59" spans="2:30"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B59" s="22">
        <f t="shared" si="6"/>
        <v>-12</v>
      </c>
      <c r="AC59" s="34">
        <f t="shared" si="7"/>
        <v>2.6666666666666665</v>
      </c>
      <c r="AD59" s="34">
        <f t="shared" si="8"/>
        <v>1.1666666666666667</v>
      </c>
    </row>
    <row r="60" spans="2:30" x14ac:dyDescent="0.2">
      <c r="B60" s="3" t="s">
        <v>36</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B60" s="22">
        <f t="shared" si="6"/>
        <v>-1</v>
      </c>
      <c r="AC60" s="34">
        <f t="shared" si="7"/>
        <v>8.3333333333333339</v>
      </c>
      <c r="AD60" s="34">
        <f t="shared" si="8"/>
        <v>9</v>
      </c>
    </row>
    <row r="61" spans="2:30" x14ac:dyDescent="0.2">
      <c r="B61" s="3" t="s">
        <v>48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B61" s="22">
        <f t="shared" si="6"/>
        <v>-16</v>
      </c>
      <c r="AC61" s="34">
        <f t="shared" si="7"/>
        <v>3.3333333333333335</v>
      </c>
      <c r="AD61" s="34">
        <f t="shared" si="8"/>
        <v>4.5</v>
      </c>
    </row>
    <row r="62" spans="2:30" x14ac:dyDescent="0.2">
      <c r="B62" s="3" t="s">
        <v>40</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B62" s="22">
        <f t="shared" si="6"/>
        <v>-1</v>
      </c>
      <c r="AC62" s="34">
        <f t="shared" si="7"/>
        <v>3</v>
      </c>
      <c r="AD62" s="34">
        <f t="shared" si="8"/>
        <v>4</v>
      </c>
    </row>
    <row r="63" spans="2:30" x14ac:dyDescent="0.2">
      <c r="B63" s="3" t="s">
        <v>19</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B63" s="22">
        <f t="shared" si="6"/>
        <v>-3</v>
      </c>
      <c r="AC63" s="34">
        <f t="shared" si="7"/>
        <v>10.333333333333334</v>
      </c>
      <c r="AD63" s="34">
        <f t="shared" si="8"/>
        <v>7.666666666666667</v>
      </c>
    </row>
    <row r="64" spans="2:30" x14ac:dyDescent="0.2">
      <c r="B64" s="3" t="s">
        <v>42</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B64" s="22">
        <f t="shared" si="6"/>
        <v>-10</v>
      </c>
      <c r="AC64" s="34">
        <f t="shared" si="7"/>
        <v>4.333333333333333</v>
      </c>
      <c r="AD64" s="34">
        <f t="shared" si="8"/>
        <v>6.166666666666667</v>
      </c>
    </row>
    <row r="65" spans="2:30" x14ac:dyDescent="0.2">
      <c r="B65" s="3" t="s">
        <v>44</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B65" s="22">
        <f t="shared" si="6"/>
        <v>-2</v>
      </c>
      <c r="AC65" s="34">
        <f t="shared" si="7"/>
        <v>4.333333333333333</v>
      </c>
      <c r="AD65" s="34">
        <f t="shared" si="8"/>
        <v>5.5</v>
      </c>
    </row>
    <row r="66" spans="2:30" x14ac:dyDescent="0.2">
      <c r="B66" s="3" t="s">
        <v>28</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B66" s="22">
        <f t="shared" si="6"/>
        <v>-7</v>
      </c>
      <c r="AC66" s="34">
        <f t="shared" si="7"/>
        <v>11.666666666666666</v>
      </c>
      <c r="AD66" s="34">
        <f t="shared" si="8"/>
        <v>9.3333333333333339</v>
      </c>
    </row>
    <row r="67" spans="2:30" x14ac:dyDescent="0.2">
      <c r="B67" s="4" t="s">
        <v>46</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299"/>
  <sheetViews>
    <sheetView zoomScale="170" zoomScaleNormal="170" workbookViewId="0">
      <pane xSplit="1" ySplit="5" topLeftCell="B266" activePane="bottomRight" state="frozen"/>
      <selection pane="topRight" activeCell="B1" sqref="B1"/>
      <selection pane="bottomLeft" activeCell="A6" sqref="A6"/>
      <selection pane="bottomRight" activeCell="B300" sqref="B300"/>
    </sheetView>
  </sheetViews>
  <sheetFormatPr baseColWidth="10" defaultColWidth="9.1640625" defaultRowHeight="15" x14ac:dyDescent="0.2"/>
  <cols>
    <col min="1" max="1" width="12" style="66" customWidth="1"/>
    <col min="2" max="2" width="13.1640625" style="66" customWidth="1"/>
    <col min="3" max="9" width="11.5" style="66" customWidth="1"/>
    <col min="10" max="10" width="12.1640625" style="66" customWidth="1"/>
    <col min="11" max="11" width="11.5" style="66" customWidth="1"/>
    <col min="12" max="12" width="15.33203125" style="66" customWidth="1"/>
    <col min="13" max="22" width="9.1640625" style="66" customWidth="1"/>
    <col min="23" max="16384" width="9.1640625" style="66"/>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76</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t="str">
        <f>IF(VLOOKUP(Table91213[[#This Row],[Date]],'DB Details'!$A:$Q,2)=0,"",VLOOKUP(Table91213[[#This Row],[Date]],'DB Details'!$A:$Q,2))</f>
        <v/>
      </c>
      <c r="C6" s="51">
        <f>IF(VLOOKUP(Table91213[[#This Row],[Date]],'DB Details'!$A:$Q,3)=0,"",VLOOKUP(Table91213[[#This Row],[Date]],'DB Details'!$A:$Q,3))</f>
        <v>55.6</v>
      </c>
      <c r="D6" s="51">
        <f>IF(VLOOKUP(Table91213[[#This Row],[Date]],'DB Details'!$A:$Q,4)=0,"",VLOOKUP(Table91213[[#This Row],[Date]],'DB Details'!$A:$Q,4))</f>
        <v>49</v>
      </c>
      <c r="E6" s="52">
        <f>IF(VLOOKUP(Table91213[[#This Row],[Date]],'DB Details'!$A:$Q,5)=0,"",VLOOKUP(Table91213[[#This Row],[Date]],'DB Details'!$A:$Q,5))</f>
        <v>50.9</v>
      </c>
      <c r="F6" s="51">
        <f>IF(VLOOKUP(Table91213[[#This Row],[Date]],'DB Details'!$A:$Q,6)=0,"",VLOOKUP(Table91213[[#This Row],[Date]],'DB Details'!$A:$Q,6))</f>
        <v>58.6</v>
      </c>
      <c r="G6" s="52" t="str">
        <f>IF(VLOOKUP(Table91213[[#This Row],[Date]],'DB Details'!$A:$Q,7)=0,"",VLOOKUP(Table91213[[#This Row],[Date]],'DB Details'!$A:$Q,7))</f>
        <v/>
      </c>
      <c r="H6" s="52">
        <f>IF(VLOOKUP(Table91213[[#This Row],[Date]],'DB Details'!$A:$Q,8)=0,"",VLOOKUP(Table91213[[#This Row],[Date]],'DB Details'!$A:$Q,8))</f>
        <v>51</v>
      </c>
      <c r="I6" s="52" t="str">
        <f>IF(VLOOKUP(Table91213[[#This Row],[Date]],'DB Details'!$A:$Q,9)=0,"",VLOOKUP(Table91213[[#This Row],[Date]],'DB Details'!$A:$Q,9))</f>
        <v/>
      </c>
      <c r="J6" s="52">
        <f>IF(VLOOKUP(Table91213[[#This Row],[Date]],'DB Details'!$A:$Q,10)=0,"",VLOOKUP(Table91213[[#This Row],[Date]],'DB Details'!$A:$Q,10))</f>
        <v>53.8</v>
      </c>
      <c r="K6" s="52">
        <f>IF(VLOOKUP(Table91213[[#This Row],[Date]],'DB Details'!$A:$Q,11)=0,"",VLOOKUP(Table91213[[#This Row],[Date]],'DB Details'!$A:$Q,11))</f>
        <v>62</v>
      </c>
      <c r="L6" s="50">
        <f>IF(VLOOKUP(Table91213[[#This Row],[Date]],'DB Details'!$A:$Q,12)=0,"",VLOOKUP(Table91213[[#This Row],[Date]],'DB Details'!$A:$Q,12))</f>
        <v>56.7</v>
      </c>
    </row>
    <row r="7" spans="1:12" ht="14.25" customHeight="1" x14ac:dyDescent="0.2">
      <c r="A7" s="53">
        <v>35643</v>
      </c>
      <c r="B7" s="50" t="str">
        <f>IF(VLOOKUP(Table91213[[#This Row],[Date]],'DB Details'!$A:$Q,2)=0,"",VLOOKUP(Table91213[[#This Row],[Date]],'DB Details'!$A:$Q,2))</f>
        <v/>
      </c>
      <c r="C7" s="51">
        <f>IF(VLOOKUP(Table91213[[#This Row],[Date]],'DB Details'!$A:$Q,3)=0,"",VLOOKUP(Table91213[[#This Row],[Date]],'DB Details'!$A:$Q,3))</f>
        <v>48.4</v>
      </c>
      <c r="D7" s="51">
        <f>IF(VLOOKUP(Table91213[[#This Row],[Date]],'DB Details'!$A:$Q,4)=0,"",VLOOKUP(Table91213[[#This Row],[Date]],'DB Details'!$A:$Q,4))</f>
        <v>56.5</v>
      </c>
      <c r="E7" s="52">
        <f>IF(VLOOKUP(Table91213[[#This Row],[Date]],'DB Details'!$A:$Q,5)=0,"",VLOOKUP(Table91213[[#This Row],[Date]],'DB Details'!$A:$Q,5))</f>
        <v>53.3</v>
      </c>
      <c r="F7" s="51">
        <f>IF(VLOOKUP(Table91213[[#This Row],[Date]],'DB Details'!$A:$Q,6)=0,"",VLOOKUP(Table91213[[#This Row],[Date]],'DB Details'!$A:$Q,6))</f>
        <v>62.6</v>
      </c>
      <c r="G7" s="52">
        <f>IF(VLOOKUP(Table91213[[#This Row],[Date]],'DB Details'!$A:$Q,7)=0,"",VLOOKUP(Table91213[[#This Row],[Date]],'DB Details'!$A:$Q,7))</f>
        <v>62</v>
      </c>
      <c r="H7" s="52">
        <f>IF(VLOOKUP(Table91213[[#This Row],[Date]],'DB Details'!$A:$Q,8)=0,"",VLOOKUP(Table91213[[#This Row],[Date]],'DB Details'!$A:$Q,8))</f>
        <v>48.5</v>
      </c>
      <c r="I7" s="52" t="str">
        <f>IF(VLOOKUP(Table91213[[#This Row],[Date]],'DB Details'!$A:$Q,9)=0,"",VLOOKUP(Table91213[[#This Row],[Date]],'DB Details'!$A:$Q,9))</f>
        <v/>
      </c>
      <c r="J7" s="52">
        <f>IF(VLOOKUP(Table91213[[#This Row],[Date]],'DB Details'!$A:$Q,10)=0,"",VLOOKUP(Table91213[[#This Row],[Date]],'DB Details'!$A:$Q,10))</f>
        <v>53.8</v>
      </c>
      <c r="K7" s="52">
        <f>IF(VLOOKUP(Table91213[[#This Row],[Date]],'DB Details'!$A:$Q,11)=0,"",VLOOKUP(Table91213[[#This Row],[Date]],'DB Details'!$A:$Q,11))</f>
        <v>57.5</v>
      </c>
      <c r="L7" s="50">
        <f>IF(VLOOKUP(Table91213[[#This Row],[Date]],'DB Details'!$A:$Q,12)=0,"",VLOOKUP(Table91213[[#This Row],[Date]],'DB Details'!$A:$Q,12))</f>
        <v>62</v>
      </c>
    </row>
    <row r="8" spans="1:12" ht="14.25" customHeight="1" x14ac:dyDescent="0.2">
      <c r="A8" s="49">
        <v>35674</v>
      </c>
      <c r="B8" s="50" t="str">
        <f>IF(VLOOKUP(Table91213[[#This Row],[Date]],'DB Details'!$A:$Q,2)=0,"",VLOOKUP(Table91213[[#This Row],[Date]],'DB Details'!$A:$Q,2))</f>
        <v/>
      </c>
      <c r="C8" s="51">
        <f>IF(VLOOKUP(Table91213[[#This Row],[Date]],'DB Details'!$A:$Q,3)=0,"",VLOOKUP(Table91213[[#This Row],[Date]],'DB Details'!$A:$Q,3))</f>
        <v>47.5</v>
      </c>
      <c r="D8" s="51">
        <f>IF(VLOOKUP(Table91213[[#This Row],[Date]],'DB Details'!$A:$Q,4)=0,"",VLOOKUP(Table91213[[#This Row],[Date]],'DB Details'!$A:$Q,4))</f>
        <v>49.5</v>
      </c>
      <c r="E8" s="52">
        <f>IF(VLOOKUP(Table91213[[#This Row],[Date]],'DB Details'!$A:$Q,5)=0,"",VLOOKUP(Table91213[[#This Row],[Date]],'DB Details'!$A:$Q,5))</f>
        <v>53.1</v>
      </c>
      <c r="F8" s="51">
        <f>IF(VLOOKUP(Table91213[[#This Row],[Date]],'DB Details'!$A:$Q,6)=0,"",VLOOKUP(Table91213[[#This Row],[Date]],'DB Details'!$A:$Q,6))</f>
        <v>59.1</v>
      </c>
      <c r="G8" s="52">
        <f>IF(VLOOKUP(Table91213[[#This Row],[Date]],'DB Details'!$A:$Q,7)=0,"",VLOOKUP(Table91213[[#This Row],[Date]],'DB Details'!$A:$Q,7))</f>
        <v>63</v>
      </c>
      <c r="H8" s="52">
        <f>IF(VLOOKUP(Table91213[[#This Row],[Date]],'DB Details'!$A:$Q,8)=0,"",VLOOKUP(Table91213[[#This Row],[Date]],'DB Details'!$A:$Q,8))</f>
        <v>54</v>
      </c>
      <c r="I8" s="52" t="str">
        <f>IF(VLOOKUP(Table91213[[#This Row],[Date]],'DB Details'!$A:$Q,9)=0,"",VLOOKUP(Table91213[[#This Row],[Date]],'DB Details'!$A:$Q,9))</f>
        <v/>
      </c>
      <c r="J8" s="52">
        <f>IF(VLOOKUP(Table91213[[#This Row],[Date]],'DB Details'!$A:$Q,10)=0,"",VLOOKUP(Table91213[[#This Row],[Date]],'DB Details'!$A:$Q,10))</f>
        <v>53.2</v>
      </c>
      <c r="K8" s="52">
        <f>IF(VLOOKUP(Table91213[[#This Row],[Date]],'DB Details'!$A:$Q,11)=0,"",VLOOKUP(Table91213[[#This Row],[Date]],'DB Details'!$A:$Q,11))</f>
        <v>49.5</v>
      </c>
      <c r="L8" s="50">
        <f>IF(VLOOKUP(Table91213[[#This Row],[Date]],'DB Details'!$A:$Q,12)=0,"",VLOOKUP(Table91213[[#This Row],[Date]],'DB Details'!$A:$Q,12))</f>
        <v>56.2</v>
      </c>
    </row>
    <row r="9" spans="1:12" ht="14.25" customHeight="1" x14ac:dyDescent="0.2">
      <c r="A9" s="53">
        <v>35704</v>
      </c>
      <c r="B9" s="50" t="str">
        <f>IF(VLOOKUP(Table91213[[#This Row],[Date]],'DB Details'!$A:$Q,2)=0,"",VLOOKUP(Table91213[[#This Row],[Date]],'DB Details'!$A:$Q,2))</f>
        <v/>
      </c>
      <c r="C9" s="51">
        <f>IF(VLOOKUP(Table91213[[#This Row],[Date]],'DB Details'!$A:$Q,3)=0,"",VLOOKUP(Table91213[[#This Row],[Date]],'DB Details'!$A:$Q,3))</f>
        <v>50.7</v>
      </c>
      <c r="D9" s="51">
        <f>IF(VLOOKUP(Table91213[[#This Row],[Date]],'DB Details'!$A:$Q,4)=0,"",VLOOKUP(Table91213[[#This Row],[Date]],'DB Details'!$A:$Q,4))</f>
        <v>52</v>
      </c>
      <c r="E9" s="52">
        <f>IF(VLOOKUP(Table91213[[#This Row],[Date]],'DB Details'!$A:$Q,5)=0,"",VLOOKUP(Table91213[[#This Row],[Date]],'DB Details'!$A:$Q,5))</f>
        <v>53.1</v>
      </c>
      <c r="F9" s="51">
        <f>IF(VLOOKUP(Table91213[[#This Row],[Date]],'DB Details'!$A:$Q,6)=0,"",VLOOKUP(Table91213[[#This Row],[Date]],'DB Details'!$A:$Q,6))</f>
        <v>62.6</v>
      </c>
      <c r="G9" s="52">
        <f>IF(VLOOKUP(Table91213[[#This Row],[Date]],'DB Details'!$A:$Q,7)=0,"",VLOOKUP(Table91213[[#This Row],[Date]],'DB Details'!$A:$Q,7))</f>
        <v>66</v>
      </c>
      <c r="H9" s="52">
        <f>IF(VLOOKUP(Table91213[[#This Row],[Date]],'DB Details'!$A:$Q,8)=0,"",VLOOKUP(Table91213[[#This Row],[Date]],'DB Details'!$A:$Q,8))</f>
        <v>46.5</v>
      </c>
      <c r="I9" s="52" t="str">
        <f>IF(VLOOKUP(Table91213[[#This Row],[Date]],'DB Details'!$A:$Q,9)=0,"",VLOOKUP(Table91213[[#This Row],[Date]],'DB Details'!$A:$Q,9))</f>
        <v/>
      </c>
      <c r="J9" s="52">
        <f>IF(VLOOKUP(Table91213[[#This Row],[Date]],'DB Details'!$A:$Q,10)=0,"",VLOOKUP(Table91213[[#This Row],[Date]],'DB Details'!$A:$Q,10))</f>
        <v>51</v>
      </c>
      <c r="K9" s="52">
        <f>IF(VLOOKUP(Table91213[[#This Row],[Date]],'DB Details'!$A:$Q,11)=0,"",VLOOKUP(Table91213[[#This Row],[Date]],'DB Details'!$A:$Q,11))</f>
        <v>51.5</v>
      </c>
      <c r="L9" s="50">
        <f>IF(VLOOKUP(Table91213[[#This Row],[Date]],'DB Details'!$A:$Q,12)=0,"",VLOOKUP(Table91213[[#This Row],[Date]],'DB Details'!$A:$Q,12))</f>
        <v>56.6</v>
      </c>
    </row>
    <row r="10" spans="1:12" ht="14.25" customHeight="1" x14ac:dyDescent="0.2">
      <c r="A10" s="49">
        <v>35735</v>
      </c>
      <c r="B10" s="50" t="str">
        <f>IF(VLOOKUP(Table91213[[#This Row],[Date]],'DB Details'!$A:$Q,2)=0,"",VLOOKUP(Table91213[[#This Row],[Date]],'DB Details'!$A:$Q,2))</f>
        <v/>
      </c>
      <c r="C10" s="51">
        <f>IF(VLOOKUP(Table91213[[#This Row],[Date]],'DB Details'!$A:$Q,3)=0,"",VLOOKUP(Table91213[[#This Row],[Date]],'DB Details'!$A:$Q,3))</f>
        <v>50.3</v>
      </c>
      <c r="D10" s="51">
        <f>IF(VLOOKUP(Table91213[[#This Row],[Date]],'DB Details'!$A:$Q,4)=0,"",VLOOKUP(Table91213[[#This Row],[Date]],'DB Details'!$A:$Q,4))</f>
        <v>56</v>
      </c>
      <c r="E10" s="52">
        <f>IF(VLOOKUP(Table91213[[#This Row],[Date]],'DB Details'!$A:$Q,5)=0,"",VLOOKUP(Table91213[[#This Row],[Date]],'DB Details'!$A:$Q,5))</f>
        <v>54.3</v>
      </c>
      <c r="F10" s="51">
        <f>IF(VLOOKUP(Table91213[[#This Row],[Date]],'DB Details'!$A:$Q,6)=0,"",VLOOKUP(Table91213[[#This Row],[Date]],'DB Details'!$A:$Q,6))</f>
        <v>61.9</v>
      </c>
      <c r="G10" s="52">
        <f>IF(VLOOKUP(Table91213[[#This Row],[Date]],'DB Details'!$A:$Q,7)=0,"",VLOOKUP(Table91213[[#This Row],[Date]],'DB Details'!$A:$Q,7))</f>
        <v>64.5</v>
      </c>
      <c r="H10" s="52">
        <f>IF(VLOOKUP(Table91213[[#This Row],[Date]],'DB Details'!$A:$Q,8)=0,"",VLOOKUP(Table91213[[#This Row],[Date]],'DB Details'!$A:$Q,8))</f>
        <v>51</v>
      </c>
      <c r="I10" s="52" t="str">
        <f>IF(VLOOKUP(Table91213[[#This Row],[Date]],'DB Details'!$A:$Q,9)=0,"",VLOOKUP(Table91213[[#This Row],[Date]],'DB Details'!$A:$Q,9))</f>
        <v/>
      </c>
      <c r="J10" s="52">
        <f>IF(VLOOKUP(Table91213[[#This Row],[Date]],'DB Details'!$A:$Q,10)=0,"",VLOOKUP(Table91213[[#This Row],[Date]],'DB Details'!$A:$Q,10))</f>
        <v>56.7</v>
      </c>
      <c r="K10" s="52">
        <f>IF(VLOOKUP(Table91213[[#This Row],[Date]],'DB Details'!$A:$Q,11)=0,"",VLOOKUP(Table91213[[#This Row],[Date]],'DB Details'!$A:$Q,11))</f>
        <v>53.5</v>
      </c>
      <c r="L10" s="50">
        <f>IF(VLOOKUP(Table91213[[#This Row],[Date]],'DB Details'!$A:$Q,12)=0,"",VLOOKUP(Table91213[[#This Row],[Date]],'DB Details'!$A:$Q,12))</f>
        <v>58.5</v>
      </c>
    </row>
    <row r="11" spans="1:12" ht="14.25" customHeight="1" x14ac:dyDescent="0.2">
      <c r="A11" s="53">
        <v>35765</v>
      </c>
      <c r="B11" s="50" t="str">
        <f>IF(VLOOKUP(Table91213[[#This Row],[Date]],'DB Details'!$A:$Q,2)=0,"",VLOOKUP(Table91213[[#This Row],[Date]],'DB Details'!$A:$Q,2))</f>
        <v/>
      </c>
      <c r="C11" s="51">
        <f>IF(VLOOKUP(Table91213[[#This Row],[Date]],'DB Details'!$A:$Q,3)=0,"",VLOOKUP(Table91213[[#This Row],[Date]],'DB Details'!$A:$Q,3))</f>
        <v>52.2</v>
      </c>
      <c r="D11" s="51">
        <f>IF(VLOOKUP(Table91213[[#This Row],[Date]],'DB Details'!$A:$Q,4)=0,"",VLOOKUP(Table91213[[#This Row],[Date]],'DB Details'!$A:$Q,4))</f>
        <v>49</v>
      </c>
      <c r="E11" s="52">
        <f>IF(VLOOKUP(Table91213[[#This Row],[Date]],'DB Details'!$A:$Q,5)=0,"",VLOOKUP(Table91213[[#This Row],[Date]],'DB Details'!$A:$Q,5))</f>
        <v>54.9</v>
      </c>
      <c r="F11" s="51">
        <f>IF(VLOOKUP(Table91213[[#This Row],[Date]],'DB Details'!$A:$Q,6)=0,"",VLOOKUP(Table91213[[#This Row],[Date]],'DB Details'!$A:$Q,6))</f>
        <v>56.5</v>
      </c>
      <c r="G11" s="52">
        <f>IF(VLOOKUP(Table91213[[#This Row],[Date]],'DB Details'!$A:$Q,7)=0,"",VLOOKUP(Table91213[[#This Row],[Date]],'DB Details'!$A:$Q,7))</f>
        <v>67</v>
      </c>
      <c r="H11" s="52">
        <f>IF(VLOOKUP(Table91213[[#This Row],[Date]],'DB Details'!$A:$Q,8)=0,"",VLOOKUP(Table91213[[#This Row],[Date]],'DB Details'!$A:$Q,8))</f>
        <v>49</v>
      </c>
      <c r="I11" s="52" t="str">
        <f>IF(VLOOKUP(Table91213[[#This Row],[Date]],'DB Details'!$A:$Q,9)=0,"",VLOOKUP(Table91213[[#This Row],[Date]],'DB Details'!$A:$Q,9))</f>
        <v/>
      </c>
      <c r="J11" s="52">
        <f>IF(VLOOKUP(Table91213[[#This Row],[Date]],'DB Details'!$A:$Q,10)=0,"",VLOOKUP(Table91213[[#This Row],[Date]],'DB Details'!$A:$Q,10))</f>
        <v>55</v>
      </c>
      <c r="K11" s="52">
        <f>IF(VLOOKUP(Table91213[[#This Row],[Date]],'DB Details'!$A:$Q,11)=0,"",VLOOKUP(Table91213[[#This Row],[Date]],'DB Details'!$A:$Q,11))</f>
        <v>48.5</v>
      </c>
      <c r="L11" s="50">
        <f>IF(VLOOKUP(Table91213[[#This Row],[Date]],'DB Details'!$A:$Q,12)=0,"",VLOOKUP(Table91213[[#This Row],[Date]],'DB Details'!$A:$Q,12))</f>
        <v>55.5</v>
      </c>
    </row>
    <row r="12" spans="1:12" ht="14.25" customHeight="1" x14ac:dyDescent="0.2">
      <c r="A12" s="49">
        <v>35796</v>
      </c>
      <c r="B12" s="50">
        <f>IF(VLOOKUP(Table91213[[#This Row],[Date]],'DB Details'!$A:$Q,2)=0,"",VLOOKUP(Table91213[[#This Row],[Date]],'DB Details'!$A:$Q,2))</f>
        <v>57.4</v>
      </c>
      <c r="C12" s="51">
        <f>IF(VLOOKUP(Table91213[[#This Row],[Date]],'DB Details'!$A:$Q,3)=0,"",VLOOKUP(Table91213[[#This Row],[Date]],'DB Details'!$A:$Q,3))</f>
        <v>51.5</v>
      </c>
      <c r="D12" s="51">
        <f>IF(VLOOKUP(Table91213[[#This Row],[Date]],'DB Details'!$A:$Q,4)=0,"",VLOOKUP(Table91213[[#This Row],[Date]],'DB Details'!$A:$Q,4))</f>
        <v>49</v>
      </c>
      <c r="E12" s="52">
        <f>IF(VLOOKUP(Table91213[[#This Row],[Date]],'DB Details'!$A:$Q,5)=0,"",VLOOKUP(Table91213[[#This Row],[Date]],'DB Details'!$A:$Q,5))</f>
        <v>52.7</v>
      </c>
      <c r="F12" s="51">
        <f>IF(VLOOKUP(Table91213[[#This Row],[Date]],'DB Details'!$A:$Q,6)=0,"",VLOOKUP(Table91213[[#This Row],[Date]],'DB Details'!$A:$Q,6))</f>
        <v>61.4</v>
      </c>
      <c r="G12" s="52">
        <f>IF(VLOOKUP(Table91213[[#This Row],[Date]],'DB Details'!$A:$Q,7)=0,"",VLOOKUP(Table91213[[#This Row],[Date]],'DB Details'!$A:$Q,7))</f>
        <v>61.5</v>
      </c>
      <c r="H12" s="52">
        <f>IF(VLOOKUP(Table91213[[#This Row],[Date]],'DB Details'!$A:$Q,8)=0,"",VLOOKUP(Table91213[[#This Row],[Date]],'DB Details'!$A:$Q,8))</f>
        <v>48.5</v>
      </c>
      <c r="I12" s="52">
        <f>IF(VLOOKUP(Table91213[[#This Row],[Date]],'DB Details'!$A:$Q,9)=0,"",VLOOKUP(Table91213[[#This Row],[Date]],'DB Details'!$A:$Q,9))</f>
        <v>54</v>
      </c>
      <c r="J12" s="52">
        <f>IF(VLOOKUP(Table91213[[#This Row],[Date]],'DB Details'!$A:$Q,10)=0,"",VLOOKUP(Table91213[[#This Row],[Date]],'DB Details'!$A:$Q,10))</f>
        <v>55</v>
      </c>
      <c r="K12" s="52">
        <f>IF(VLOOKUP(Table91213[[#This Row],[Date]],'DB Details'!$A:$Q,11)=0,"",VLOOKUP(Table91213[[#This Row],[Date]],'DB Details'!$A:$Q,11))</f>
        <v>52</v>
      </c>
      <c r="L12" s="50">
        <f>IF(VLOOKUP(Table91213[[#This Row],[Date]],'DB Details'!$A:$Q,12)=0,"",VLOOKUP(Table91213[[#This Row],[Date]],'DB Details'!$A:$Q,12))</f>
        <v>57</v>
      </c>
    </row>
    <row r="13" spans="1:12" ht="14.25" customHeight="1" x14ac:dyDescent="0.2">
      <c r="A13" s="53">
        <v>35827</v>
      </c>
      <c r="B13" s="50">
        <f>IF(VLOOKUP(Table91213[[#This Row],[Date]],'DB Details'!$A:$Q,2)=0,"",VLOOKUP(Table91213[[#This Row],[Date]],'DB Details'!$A:$Q,2))</f>
        <v>59.1</v>
      </c>
      <c r="C13" s="51">
        <f>IF(VLOOKUP(Table91213[[#This Row],[Date]],'DB Details'!$A:$Q,3)=0,"",VLOOKUP(Table91213[[#This Row],[Date]],'DB Details'!$A:$Q,3))</f>
        <v>52.6</v>
      </c>
      <c r="D13" s="51">
        <f>IF(VLOOKUP(Table91213[[#This Row],[Date]],'DB Details'!$A:$Q,4)=0,"",VLOOKUP(Table91213[[#This Row],[Date]],'DB Details'!$A:$Q,4))</f>
        <v>51.5</v>
      </c>
      <c r="E13" s="52">
        <f>IF(VLOOKUP(Table91213[[#This Row],[Date]],'DB Details'!$A:$Q,5)=0,"",VLOOKUP(Table91213[[#This Row],[Date]],'DB Details'!$A:$Q,5))</f>
        <v>51.6</v>
      </c>
      <c r="F13" s="51">
        <f>IF(VLOOKUP(Table91213[[#This Row],[Date]],'DB Details'!$A:$Q,6)=0,"",VLOOKUP(Table91213[[#This Row],[Date]],'DB Details'!$A:$Q,6))</f>
        <v>58.9</v>
      </c>
      <c r="G13" s="52">
        <f>IF(VLOOKUP(Table91213[[#This Row],[Date]],'DB Details'!$A:$Q,7)=0,"",VLOOKUP(Table91213[[#This Row],[Date]],'DB Details'!$A:$Q,7))</f>
        <v>59.5</v>
      </c>
      <c r="H13" s="52">
        <f>IF(VLOOKUP(Table91213[[#This Row],[Date]],'DB Details'!$A:$Q,8)=0,"",VLOOKUP(Table91213[[#This Row],[Date]],'DB Details'!$A:$Q,8))</f>
        <v>50.5</v>
      </c>
      <c r="I13" s="52">
        <f>IF(VLOOKUP(Table91213[[#This Row],[Date]],'DB Details'!$A:$Q,9)=0,"",VLOOKUP(Table91213[[#This Row],[Date]],'DB Details'!$A:$Q,9))</f>
        <v>52</v>
      </c>
      <c r="J13" s="52">
        <f>IF(VLOOKUP(Table91213[[#This Row],[Date]],'DB Details'!$A:$Q,10)=0,"",VLOOKUP(Table91213[[#This Row],[Date]],'DB Details'!$A:$Q,10))</f>
        <v>54.8</v>
      </c>
      <c r="K13" s="52">
        <f>IF(VLOOKUP(Table91213[[#This Row],[Date]],'DB Details'!$A:$Q,11)=0,"",VLOOKUP(Table91213[[#This Row],[Date]],'DB Details'!$A:$Q,11))</f>
        <v>51.5</v>
      </c>
      <c r="L13" s="50">
        <f>IF(VLOOKUP(Table91213[[#This Row],[Date]],'DB Details'!$A:$Q,12)=0,"",VLOOKUP(Table91213[[#This Row],[Date]],'DB Details'!$A:$Q,12))</f>
        <v>56.2</v>
      </c>
    </row>
    <row r="14" spans="1:12" ht="14.25" customHeight="1" x14ac:dyDescent="0.2">
      <c r="A14" s="49">
        <v>35855</v>
      </c>
      <c r="B14" s="50">
        <f>IF(VLOOKUP(Table91213[[#This Row],[Date]],'DB Details'!$A:$Q,2)=0,"",VLOOKUP(Table91213[[#This Row],[Date]],'DB Details'!$A:$Q,2))</f>
        <v>55.1</v>
      </c>
      <c r="C14" s="51">
        <f>IF(VLOOKUP(Table91213[[#This Row],[Date]],'DB Details'!$A:$Q,3)=0,"",VLOOKUP(Table91213[[#This Row],[Date]],'DB Details'!$A:$Q,3))</f>
        <v>50</v>
      </c>
      <c r="D14" s="51">
        <f>IF(VLOOKUP(Table91213[[#This Row],[Date]],'DB Details'!$A:$Q,4)=0,"",VLOOKUP(Table91213[[#This Row],[Date]],'DB Details'!$A:$Q,4))</f>
        <v>51.5</v>
      </c>
      <c r="E14" s="52">
        <f>IF(VLOOKUP(Table91213[[#This Row],[Date]],'DB Details'!$A:$Q,5)=0,"",VLOOKUP(Table91213[[#This Row],[Date]],'DB Details'!$A:$Q,5))</f>
        <v>47.9</v>
      </c>
      <c r="F14" s="51">
        <f>IF(VLOOKUP(Table91213[[#This Row],[Date]],'DB Details'!$A:$Q,6)=0,"",VLOOKUP(Table91213[[#This Row],[Date]],'DB Details'!$A:$Q,6))</f>
        <v>57</v>
      </c>
      <c r="G14" s="52">
        <f>IF(VLOOKUP(Table91213[[#This Row],[Date]],'DB Details'!$A:$Q,7)=0,"",VLOOKUP(Table91213[[#This Row],[Date]],'DB Details'!$A:$Q,7))</f>
        <v>64</v>
      </c>
      <c r="H14" s="52">
        <f>IF(VLOOKUP(Table91213[[#This Row],[Date]],'DB Details'!$A:$Q,8)=0,"",VLOOKUP(Table91213[[#This Row],[Date]],'DB Details'!$A:$Q,8))</f>
        <v>52.5</v>
      </c>
      <c r="I14" s="52">
        <f>IF(VLOOKUP(Table91213[[#This Row],[Date]],'DB Details'!$A:$Q,9)=0,"",VLOOKUP(Table91213[[#This Row],[Date]],'DB Details'!$A:$Q,9))</f>
        <v>52.5</v>
      </c>
      <c r="J14" s="52">
        <f>IF(VLOOKUP(Table91213[[#This Row],[Date]],'DB Details'!$A:$Q,10)=0,"",VLOOKUP(Table91213[[#This Row],[Date]],'DB Details'!$A:$Q,10))</f>
        <v>54.1</v>
      </c>
      <c r="K14" s="52">
        <f>IF(VLOOKUP(Table91213[[#This Row],[Date]],'DB Details'!$A:$Q,11)=0,"",VLOOKUP(Table91213[[#This Row],[Date]],'DB Details'!$A:$Q,11))</f>
        <v>58.5</v>
      </c>
      <c r="L14" s="50">
        <f>IF(VLOOKUP(Table91213[[#This Row],[Date]],'DB Details'!$A:$Q,12)=0,"",VLOOKUP(Table91213[[#This Row],[Date]],'DB Details'!$A:$Q,12))</f>
        <v>54.7</v>
      </c>
    </row>
    <row r="15" spans="1:12" x14ac:dyDescent="0.2">
      <c r="A15" s="53">
        <v>35886</v>
      </c>
      <c r="B15" s="50">
        <f>IF(VLOOKUP(Table91213[[#This Row],[Date]],'DB Details'!$A:$Q,2)=0,"",VLOOKUP(Table91213[[#This Row],[Date]],'DB Details'!$A:$Q,2))</f>
        <v>57.5</v>
      </c>
      <c r="C15" s="51">
        <f>IF(VLOOKUP(Table91213[[#This Row],[Date]],'DB Details'!$A:$Q,3)=0,"",VLOOKUP(Table91213[[#This Row],[Date]],'DB Details'!$A:$Q,3))</f>
        <v>52.1</v>
      </c>
      <c r="D15" s="51">
        <f>IF(VLOOKUP(Table91213[[#This Row],[Date]],'DB Details'!$A:$Q,4)=0,"",VLOOKUP(Table91213[[#This Row],[Date]],'DB Details'!$A:$Q,4))</f>
        <v>51</v>
      </c>
      <c r="E15" s="52">
        <f>IF(VLOOKUP(Table91213[[#This Row],[Date]],'DB Details'!$A:$Q,5)=0,"",VLOOKUP(Table91213[[#This Row],[Date]],'DB Details'!$A:$Q,5))</f>
        <v>46.8</v>
      </c>
      <c r="F15" s="51">
        <f>IF(VLOOKUP(Table91213[[#This Row],[Date]],'DB Details'!$A:$Q,6)=0,"",VLOOKUP(Table91213[[#This Row],[Date]],'DB Details'!$A:$Q,6))</f>
        <v>58.6</v>
      </c>
      <c r="G15" s="52">
        <f>IF(VLOOKUP(Table91213[[#This Row],[Date]],'DB Details'!$A:$Q,7)=0,"",VLOOKUP(Table91213[[#This Row],[Date]],'DB Details'!$A:$Q,7))</f>
        <v>66.5</v>
      </c>
      <c r="H15" s="52">
        <f>IF(VLOOKUP(Table91213[[#This Row],[Date]],'DB Details'!$A:$Q,8)=0,"",VLOOKUP(Table91213[[#This Row],[Date]],'DB Details'!$A:$Q,8))</f>
        <v>52.5</v>
      </c>
      <c r="I15" s="52">
        <f>IF(VLOOKUP(Table91213[[#This Row],[Date]],'DB Details'!$A:$Q,9)=0,"",VLOOKUP(Table91213[[#This Row],[Date]],'DB Details'!$A:$Q,9))</f>
        <v>52</v>
      </c>
      <c r="J15" s="52">
        <f>IF(VLOOKUP(Table91213[[#This Row],[Date]],'DB Details'!$A:$Q,10)=0,"",VLOOKUP(Table91213[[#This Row],[Date]],'DB Details'!$A:$Q,10))</f>
        <v>51.6</v>
      </c>
      <c r="K15" s="52">
        <f>IF(VLOOKUP(Table91213[[#This Row],[Date]],'DB Details'!$A:$Q,11)=0,"",VLOOKUP(Table91213[[#This Row],[Date]],'DB Details'!$A:$Q,11))</f>
        <v>56.5</v>
      </c>
      <c r="L15" s="50">
        <f>IF(VLOOKUP(Table91213[[#This Row],[Date]],'DB Details'!$A:$Q,12)=0,"",VLOOKUP(Table91213[[#This Row],[Date]],'DB Details'!$A:$Q,12))</f>
        <v>54.9</v>
      </c>
    </row>
    <row r="16" spans="1:12" x14ac:dyDescent="0.2">
      <c r="A16" s="53">
        <v>35916</v>
      </c>
      <c r="B16" s="50">
        <f>IF(VLOOKUP(Table91213[[#This Row],[Date]],'DB Details'!$A:$Q,2)=0,"",VLOOKUP(Table91213[[#This Row],[Date]],'DB Details'!$A:$Q,2))</f>
        <v>60.2</v>
      </c>
      <c r="C16" s="51">
        <f>IF(VLOOKUP(Table91213[[#This Row],[Date]],'DB Details'!$A:$Q,3)=0,"",VLOOKUP(Table91213[[#This Row],[Date]],'DB Details'!$A:$Q,3))</f>
        <v>52.8</v>
      </c>
      <c r="D16" s="51">
        <f>IF(VLOOKUP(Table91213[[#This Row],[Date]],'DB Details'!$A:$Q,4)=0,"",VLOOKUP(Table91213[[#This Row],[Date]],'DB Details'!$A:$Q,4))</f>
        <v>53</v>
      </c>
      <c r="E16" s="52">
        <f>IF(VLOOKUP(Table91213[[#This Row],[Date]],'DB Details'!$A:$Q,5)=0,"",VLOOKUP(Table91213[[#This Row],[Date]],'DB Details'!$A:$Q,5))</f>
        <v>47.2</v>
      </c>
      <c r="F16" s="51">
        <f>IF(VLOOKUP(Table91213[[#This Row],[Date]],'DB Details'!$A:$Q,6)=0,"",VLOOKUP(Table91213[[#This Row],[Date]],'DB Details'!$A:$Q,6))</f>
        <v>61.2</v>
      </c>
      <c r="G16" s="52">
        <f>IF(VLOOKUP(Table91213[[#This Row],[Date]],'DB Details'!$A:$Q,7)=0,"",VLOOKUP(Table91213[[#This Row],[Date]],'DB Details'!$A:$Q,7))</f>
        <v>63.5</v>
      </c>
      <c r="H16" s="52">
        <f>IF(VLOOKUP(Table91213[[#This Row],[Date]],'DB Details'!$A:$Q,8)=0,"",VLOOKUP(Table91213[[#This Row],[Date]],'DB Details'!$A:$Q,8))</f>
        <v>50</v>
      </c>
      <c r="I16" s="52">
        <f>IF(VLOOKUP(Table91213[[#This Row],[Date]],'DB Details'!$A:$Q,9)=0,"",VLOOKUP(Table91213[[#This Row],[Date]],'DB Details'!$A:$Q,9))</f>
        <v>50.5</v>
      </c>
      <c r="J16" s="52">
        <f>IF(VLOOKUP(Table91213[[#This Row],[Date]],'DB Details'!$A:$Q,10)=0,"",VLOOKUP(Table91213[[#This Row],[Date]],'DB Details'!$A:$Q,10))</f>
        <v>52.8</v>
      </c>
      <c r="K16" s="52">
        <f>IF(VLOOKUP(Table91213[[#This Row],[Date]],'DB Details'!$A:$Q,11)=0,"",VLOOKUP(Table91213[[#This Row],[Date]],'DB Details'!$A:$Q,11))</f>
        <v>48.5</v>
      </c>
      <c r="L16" s="50">
        <f>IF(VLOOKUP(Table91213[[#This Row],[Date]],'DB Details'!$A:$Q,12)=0,"",VLOOKUP(Table91213[[#This Row],[Date]],'DB Details'!$A:$Q,12))</f>
        <v>56.2</v>
      </c>
    </row>
    <row r="17" spans="1:12" x14ac:dyDescent="0.2">
      <c r="A17" s="53">
        <v>35947</v>
      </c>
      <c r="B17" s="50">
        <f>IF(VLOOKUP(Table91213[[#This Row],[Date]],'DB Details'!$A:$Q,2)=0,"",VLOOKUP(Table91213[[#This Row],[Date]],'DB Details'!$A:$Q,2))</f>
        <v>55.8</v>
      </c>
      <c r="C17" s="51">
        <f>IF(VLOOKUP(Table91213[[#This Row],[Date]],'DB Details'!$A:$Q,3)=0,"",VLOOKUP(Table91213[[#This Row],[Date]],'DB Details'!$A:$Q,3))</f>
        <v>54.5</v>
      </c>
      <c r="D17" s="51">
        <f>IF(VLOOKUP(Table91213[[#This Row],[Date]],'DB Details'!$A:$Q,4)=0,"",VLOOKUP(Table91213[[#This Row],[Date]],'DB Details'!$A:$Q,4))</f>
        <v>50</v>
      </c>
      <c r="E17" s="52">
        <f>IF(VLOOKUP(Table91213[[#This Row],[Date]],'DB Details'!$A:$Q,5)=0,"",VLOOKUP(Table91213[[#This Row],[Date]],'DB Details'!$A:$Q,5))</f>
        <v>45.5</v>
      </c>
      <c r="F17" s="51">
        <f>IF(VLOOKUP(Table91213[[#This Row],[Date]],'DB Details'!$A:$Q,6)=0,"",VLOOKUP(Table91213[[#This Row],[Date]],'DB Details'!$A:$Q,6))</f>
        <v>58.7</v>
      </c>
      <c r="G17" s="52">
        <f>IF(VLOOKUP(Table91213[[#This Row],[Date]],'DB Details'!$A:$Q,7)=0,"",VLOOKUP(Table91213[[#This Row],[Date]],'DB Details'!$A:$Q,7))</f>
        <v>69</v>
      </c>
      <c r="H17" s="52">
        <f>IF(VLOOKUP(Table91213[[#This Row],[Date]],'DB Details'!$A:$Q,8)=0,"",VLOOKUP(Table91213[[#This Row],[Date]],'DB Details'!$A:$Q,8))</f>
        <v>49.5</v>
      </c>
      <c r="I17" s="52">
        <f>IF(VLOOKUP(Table91213[[#This Row],[Date]],'DB Details'!$A:$Q,9)=0,"",VLOOKUP(Table91213[[#This Row],[Date]],'DB Details'!$A:$Q,9))</f>
        <v>53.5</v>
      </c>
      <c r="J17" s="52">
        <f>IF(VLOOKUP(Table91213[[#This Row],[Date]],'DB Details'!$A:$Q,10)=0,"",VLOOKUP(Table91213[[#This Row],[Date]],'DB Details'!$A:$Q,10))</f>
        <v>52.5</v>
      </c>
      <c r="K17" s="52">
        <f>IF(VLOOKUP(Table91213[[#This Row],[Date]],'DB Details'!$A:$Q,11)=0,"",VLOOKUP(Table91213[[#This Row],[Date]],'DB Details'!$A:$Q,11))</f>
        <v>55</v>
      </c>
      <c r="L17" s="50">
        <f>IF(VLOOKUP(Table91213[[#This Row],[Date]],'DB Details'!$A:$Q,12)=0,"",VLOOKUP(Table91213[[#This Row],[Date]],'DB Details'!$A:$Q,12))</f>
        <v>55.1</v>
      </c>
    </row>
    <row r="18" spans="1:12" x14ac:dyDescent="0.2">
      <c r="A18" s="53">
        <v>35977</v>
      </c>
      <c r="B18" s="50">
        <f>IF(VLOOKUP(Table91213[[#This Row],[Date]],'DB Details'!$A:$Q,2)=0,"",VLOOKUP(Table91213[[#This Row],[Date]],'DB Details'!$A:$Q,2))</f>
        <v>58.2</v>
      </c>
      <c r="C18" s="51">
        <f>IF(VLOOKUP(Table91213[[#This Row],[Date]],'DB Details'!$A:$Q,3)=0,"",VLOOKUP(Table91213[[#This Row],[Date]],'DB Details'!$A:$Q,3))</f>
        <v>50.9</v>
      </c>
      <c r="D18" s="51">
        <f>IF(VLOOKUP(Table91213[[#This Row],[Date]],'DB Details'!$A:$Q,4)=0,"",VLOOKUP(Table91213[[#This Row],[Date]],'DB Details'!$A:$Q,4))</f>
        <v>52</v>
      </c>
      <c r="E18" s="52">
        <f>IF(VLOOKUP(Table91213[[#This Row],[Date]],'DB Details'!$A:$Q,5)=0,"",VLOOKUP(Table91213[[#This Row],[Date]],'DB Details'!$A:$Q,5))</f>
        <v>47</v>
      </c>
      <c r="F18" s="51">
        <f>IF(VLOOKUP(Table91213[[#This Row],[Date]],'DB Details'!$A:$Q,6)=0,"",VLOOKUP(Table91213[[#This Row],[Date]],'DB Details'!$A:$Q,6))</f>
        <v>58.6</v>
      </c>
      <c r="G18" s="52">
        <f>IF(VLOOKUP(Table91213[[#This Row],[Date]],'DB Details'!$A:$Q,7)=0,"",VLOOKUP(Table91213[[#This Row],[Date]],'DB Details'!$A:$Q,7))</f>
        <v>60.5</v>
      </c>
      <c r="H18" s="52">
        <f>IF(VLOOKUP(Table91213[[#This Row],[Date]],'DB Details'!$A:$Q,8)=0,"",VLOOKUP(Table91213[[#This Row],[Date]],'DB Details'!$A:$Q,8))</f>
        <v>48</v>
      </c>
      <c r="I18" s="52">
        <f>IF(VLOOKUP(Table91213[[#This Row],[Date]],'DB Details'!$A:$Q,9)=0,"",VLOOKUP(Table91213[[#This Row],[Date]],'DB Details'!$A:$Q,9))</f>
        <v>54.5</v>
      </c>
      <c r="J18" s="52">
        <f>IF(VLOOKUP(Table91213[[#This Row],[Date]],'DB Details'!$A:$Q,10)=0,"",VLOOKUP(Table91213[[#This Row],[Date]],'DB Details'!$A:$Q,10))</f>
        <v>51.9</v>
      </c>
      <c r="K18" s="52">
        <f>IF(VLOOKUP(Table91213[[#This Row],[Date]],'DB Details'!$A:$Q,11)=0,"",VLOOKUP(Table91213[[#This Row],[Date]],'DB Details'!$A:$Q,11))</f>
        <v>51.5</v>
      </c>
      <c r="L18" s="50">
        <f>IF(VLOOKUP(Table91213[[#This Row],[Date]],'DB Details'!$A:$Q,12)=0,"",VLOOKUP(Table91213[[#This Row],[Date]],'DB Details'!$A:$Q,12))</f>
        <v>55.8</v>
      </c>
    </row>
    <row r="19" spans="1:12" x14ac:dyDescent="0.2">
      <c r="A19" s="53">
        <v>36008</v>
      </c>
      <c r="B19" s="50">
        <f>IF(VLOOKUP(Table91213[[#This Row],[Date]],'DB Details'!$A:$Q,2)=0,"",VLOOKUP(Table91213[[#This Row],[Date]],'DB Details'!$A:$Q,2))</f>
        <v>55.3</v>
      </c>
      <c r="C19" s="51">
        <f>IF(VLOOKUP(Table91213[[#This Row],[Date]],'DB Details'!$A:$Q,3)=0,"",VLOOKUP(Table91213[[#This Row],[Date]],'DB Details'!$A:$Q,3))</f>
        <v>55.2</v>
      </c>
      <c r="D19" s="51">
        <f>IF(VLOOKUP(Table91213[[#This Row],[Date]],'DB Details'!$A:$Q,4)=0,"",VLOOKUP(Table91213[[#This Row],[Date]],'DB Details'!$A:$Q,4))</f>
        <v>56.5</v>
      </c>
      <c r="E19" s="52">
        <f>IF(VLOOKUP(Table91213[[#This Row],[Date]],'DB Details'!$A:$Q,5)=0,"",VLOOKUP(Table91213[[#This Row],[Date]],'DB Details'!$A:$Q,5))</f>
        <v>47.9</v>
      </c>
      <c r="F19" s="51">
        <f>IF(VLOOKUP(Table91213[[#This Row],[Date]],'DB Details'!$A:$Q,6)=0,"",VLOOKUP(Table91213[[#This Row],[Date]],'DB Details'!$A:$Q,6))</f>
        <v>52.2</v>
      </c>
      <c r="G19" s="52">
        <f>IF(VLOOKUP(Table91213[[#This Row],[Date]],'DB Details'!$A:$Q,7)=0,"",VLOOKUP(Table91213[[#This Row],[Date]],'DB Details'!$A:$Q,7))</f>
        <v>62.5</v>
      </c>
      <c r="H19" s="52">
        <f>IF(VLOOKUP(Table91213[[#This Row],[Date]],'DB Details'!$A:$Q,8)=0,"",VLOOKUP(Table91213[[#This Row],[Date]],'DB Details'!$A:$Q,8))</f>
        <v>48</v>
      </c>
      <c r="I19" s="52">
        <f>IF(VLOOKUP(Table91213[[#This Row],[Date]],'DB Details'!$A:$Q,9)=0,"",VLOOKUP(Table91213[[#This Row],[Date]],'DB Details'!$A:$Q,9))</f>
        <v>54</v>
      </c>
      <c r="J19" s="52">
        <f>IF(VLOOKUP(Table91213[[#This Row],[Date]],'DB Details'!$A:$Q,10)=0,"",VLOOKUP(Table91213[[#This Row],[Date]],'DB Details'!$A:$Q,10))</f>
        <v>52.3</v>
      </c>
      <c r="K19" s="52">
        <f>IF(VLOOKUP(Table91213[[#This Row],[Date]],'DB Details'!$A:$Q,11)=0,"",VLOOKUP(Table91213[[#This Row],[Date]],'DB Details'!$A:$Q,11))</f>
        <v>54</v>
      </c>
      <c r="L19" s="50">
        <f>IF(VLOOKUP(Table91213[[#This Row],[Date]],'DB Details'!$A:$Q,12)=0,"",VLOOKUP(Table91213[[#This Row],[Date]],'DB Details'!$A:$Q,12))</f>
        <v>53.5</v>
      </c>
    </row>
    <row r="20" spans="1:12" x14ac:dyDescent="0.2">
      <c r="A20" s="53">
        <v>36039</v>
      </c>
      <c r="B20" s="50">
        <f>IF(VLOOKUP(Table91213[[#This Row],[Date]],'DB Details'!$A:$Q,2)=0,"",VLOOKUP(Table91213[[#This Row],[Date]],'DB Details'!$A:$Q,2))</f>
        <v>55.9</v>
      </c>
      <c r="C20" s="51">
        <f>IF(VLOOKUP(Table91213[[#This Row],[Date]],'DB Details'!$A:$Q,3)=0,"",VLOOKUP(Table91213[[#This Row],[Date]],'DB Details'!$A:$Q,3))</f>
        <v>52</v>
      </c>
      <c r="D20" s="51">
        <f>IF(VLOOKUP(Table91213[[#This Row],[Date]],'DB Details'!$A:$Q,4)=0,"",VLOOKUP(Table91213[[#This Row],[Date]],'DB Details'!$A:$Q,4))</f>
        <v>54</v>
      </c>
      <c r="E20" s="52">
        <f>IF(VLOOKUP(Table91213[[#This Row],[Date]],'DB Details'!$A:$Q,5)=0,"",VLOOKUP(Table91213[[#This Row],[Date]],'DB Details'!$A:$Q,5))</f>
        <v>46.2</v>
      </c>
      <c r="F20" s="51">
        <f>IF(VLOOKUP(Table91213[[#This Row],[Date]],'DB Details'!$A:$Q,6)=0,"",VLOOKUP(Table91213[[#This Row],[Date]],'DB Details'!$A:$Q,6))</f>
        <v>57.4</v>
      </c>
      <c r="G20" s="52">
        <f>IF(VLOOKUP(Table91213[[#This Row],[Date]],'DB Details'!$A:$Q,7)=0,"",VLOOKUP(Table91213[[#This Row],[Date]],'DB Details'!$A:$Q,7))</f>
        <v>65</v>
      </c>
      <c r="H20" s="52">
        <f>IF(VLOOKUP(Table91213[[#This Row],[Date]],'DB Details'!$A:$Q,8)=0,"",VLOOKUP(Table91213[[#This Row],[Date]],'DB Details'!$A:$Q,8))</f>
        <v>50.5</v>
      </c>
      <c r="I20" s="52">
        <f>IF(VLOOKUP(Table91213[[#This Row],[Date]],'DB Details'!$A:$Q,9)=0,"",VLOOKUP(Table91213[[#This Row],[Date]],'DB Details'!$A:$Q,9))</f>
        <v>53</v>
      </c>
      <c r="J20" s="52">
        <f>IF(VLOOKUP(Table91213[[#This Row],[Date]],'DB Details'!$A:$Q,10)=0,"",VLOOKUP(Table91213[[#This Row],[Date]],'DB Details'!$A:$Q,10))</f>
        <v>53.7</v>
      </c>
      <c r="K20" s="52">
        <f>IF(VLOOKUP(Table91213[[#This Row],[Date]],'DB Details'!$A:$Q,11)=0,"",VLOOKUP(Table91213[[#This Row],[Date]],'DB Details'!$A:$Q,11))</f>
        <v>54</v>
      </c>
      <c r="L20" s="50">
        <f>IF(VLOOKUP(Table91213[[#This Row],[Date]],'DB Details'!$A:$Q,12)=0,"",VLOOKUP(Table91213[[#This Row],[Date]],'DB Details'!$A:$Q,12))</f>
        <v>55</v>
      </c>
    </row>
    <row r="21" spans="1:12" x14ac:dyDescent="0.2">
      <c r="A21" s="53">
        <v>36069</v>
      </c>
      <c r="B21" s="50">
        <f>IF(VLOOKUP(Table91213[[#This Row],[Date]],'DB Details'!$A:$Q,2)=0,"",VLOOKUP(Table91213[[#This Row],[Date]],'DB Details'!$A:$Q,2))</f>
        <v>54.7</v>
      </c>
      <c r="C21" s="51">
        <f>IF(VLOOKUP(Table91213[[#This Row],[Date]],'DB Details'!$A:$Q,3)=0,"",VLOOKUP(Table91213[[#This Row],[Date]],'DB Details'!$A:$Q,3))</f>
        <v>48.8</v>
      </c>
      <c r="D21" s="51">
        <f>IF(VLOOKUP(Table91213[[#This Row],[Date]],'DB Details'!$A:$Q,4)=0,"",VLOOKUP(Table91213[[#This Row],[Date]],'DB Details'!$A:$Q,4))</f>
        <v>49</v>
      </c>
      <c r="E21" s="52">
        <f>IF(VLOOKUP(Table91213[[#This Row],[Date]],'DB Details'!$A:$Q,5)=0,"",VLOOKUP(Table91213[[#This Row],[Date]],'DB Details'!$A:$Q,5))</f>
        <v>49.3</v>
      </c>
      <c r="F21" s="51">
        <f>IF(VLOOKUP(Table91213[[#This Row],[Date]],'DB Details'!$A:$Q,6)=0,"",VLOOKUP(Table91213[[#This Row],[Date]],'DB Details'!$A:$Q,6))</f>
        <v>54</v>
      </c>
      <c r="G21" s="52">
        <f>IF(VLOOKUP(Table91213[[#This Row],[Date]],'DB Details'!$A:$Q,7)=0,"",VLOOKUP(Table91213[[#This Row],[Date]],'DB Details'!$A:$Q,7))</f>
        <v>65.5</v>
      </c>
      <c r="H21" s="52">
        <f>IF(VLOOKUP(Table91213[[#This Row],[Date]],'DB Details'!$A:$Q,8)=0,"",VLOOKUP(Table91213[[#This Row],[Date]],'DB Details'!$A:$Q,8))</f>
        <v>48.5</v>
      </c>
      <c r="I21" s="52">
        <f>IF(VLOOKUP(Table91213[[#This Row],[Date]],'DB Details'!$A:$Q,9)=0,"",VLOOKUP(Table91213[[#This Row],[Date]],'DB Details'!$A:$Q,9))</f>
        <v>53.5</v>
      </c>
      <c r="J21" s="52">
        <f>IF(VLOOKUP(Table91213[[#This Row],[Date]],'DB Details'!$A:$Q,10)=0,"",VLOOKUP(Table91213[[#This Row],[Date]],'DB Details'!$A:$Q,10))</f>
        <v>53.1</v>
      </c>
      <c r="K21" s="52">
        <f>IF(VLOOKUP(Table91213[[#This Row],[Date]],'DB Details'!$A:$Q,11)=0,"",VLOOKUP(Table91213[[#This Row],[Date]],'DB Details'!$A:$Q,11))</f>
        <v>48.5</v>
      </c>
      <c r="L21" s="50">
        <f>IF(VLOOKUP(Table91213[[#This Row],[Date]],'DB Details'!$A:$Q,12)=0,"",VLOOKUP(Table91213[[#This Row],[Date]],'DB Details'!$A:$Q,12))</f>
        <v>53.8</v>
      </c>
    </row>
    <row r="22" spans="1:12" x14ac:dyDescent="0.2">
      <c r="A22" s="53">
        <v>36100</v>
      </c>
      <c r="B22" s="50">
        <f>IF(VLOOKUP(Table91213[[#This Row],[Date]],'DB Details'!$A:$Q,2)=0,"",VLOOKUP(Table91213[[#This Row],[Date]],'DB Details'!$A:$Q,2))</f>
        <v>52.7</v>
      </c>
      <c r="C22" s="51">
        <f>IF(VLOOKUP(Table91213[[#This Row],[Date]],'DB Details'!$A:$Q,3)=0,"",VLOOKUP(Table91213[[#This Row],[Date]],'DB Details'!$A:$Q,3))</f>
        <v>50.7</v>
      </c>
      <c r="D22" s="51">
        <f>IF(VLOOKUP(Table91213[[#This Row],[Date]],'DB Details'!$A:$Q,4)=0,"",VLOOKUP(Table91213[[#This Row],[Date]],'DB Details'!$A:$Q,4))</f>
        <v>46.5</v>
      </c>
      <c r="E22" s="52">
        <f>IF(VLOOKUP(Table91213[[#This Row],[Date]],'DB Details'!$A:$Q,5)=0,"",VLOOKUP(Table91213[[#This Row],[Date]],'DB Details'!$A:$Q,5))</f>
        <v>47.3</v>
      </c>
      <c r="F22" s="51">
        <f>IF(VLOOKUP(Table91213[[#This Row],[Date]],'DB Details'!$A:$Q,6)=0,"",VLOOKUP(Table91213[[#This Row],[Date]],'DB Details'!$A:$Q,6))</f>
        <v>54.9</v>
      </c>
      <c r="G22" s="52">
        <f>IF(VLOOKUP(Table91213[[#This Row],[Date]],'DB Details'!$A:$Q,7)=0,"",VLOOKUP(Table91213[[#This Row],[Date]],'DB Details'!$A:$Q,7))</f>
        <v>63</v>
      </c>
      <c r="H22" s="52">
        <f>IF(VLOOKUP(Table91213[[#This Row],[Date]],'DB Details'!$A:$Q,8)=0,"",VLOOKUP(Table91213[[#This Row],[Date]],'DB Details'!$A:$Q,8))</f>
        <v>50</v>
      </c>
      <c r="I22" s="52">
        <f>IF(VLOOKUP(Table91213[[#This Row],[Date]],'DB Details'!$A:$Q,9)=0,"",VLOOKUP(Table91213[[#This Row],[Date]],'DB Details'!$A:$Q,9))</f>
        <v>50</v>
      </c>
      <c r="J22" s="52">
        <f>IF(VLOOKUP(Table91213[[#This Row],[Date]],'DB Details'!$A:$Q,10)=0,"",VLOOKUP(Table91213[[#This Row],[Date]],'DB Details'!$A:$Q,10))</f>
        <v>52.6</v>
      </c>
      <c r="K22" s="52">
        <f>IF(VLOOKUP(Table91213[[#This Row],[Date]],'DB Details'!$A:$Q,11)=0,"",VLOOKUP(Table91213[[#This Row],[Date]],'DB Details'!$A:$Q,11))</f>
        <v>45</v>
      </c>
      <c r="L22" s="50">
        <f>IF(VLOOKUP(Table91213[[#This Row],[Date]],'DB Details'!$A:$Q,12)=0,"",VLOOKUP(Table91213[[#This Row],[Date]],'DB Details'!$A:$Q,12))</f>
        <v>52.6</v>
      </c>
    </row>
    <row r="23" spans="1:12" x14ac:dyDescent="0.2">
      <c r="A23" s="53">
        <v>36130</v>
      </c>
      <c r="B23" s="50">
        <f>IF(VLOOKUP(Table91213[[#This Row],[Date]],'DB Details'!$A:$Q,2)=0,"",VLOOKUP(Table91213[[#This Row],[Date]],'DB Details'!$A:$Q,2))</f>
        <v>53.5</v>
      </c>
      <c r="C23" s="51">
        <f>IF(VLOOKUP(Table91213[[#This Row],[Date]],'DB Details'!$A:$Q,3)=0,"",VLOOKUP(Table91213[[#This Row],[Date]],'DB Details'!$A:$Q,3))</f>
        <v>50.3</v>
      </c>
      <c r="D23" s="51">
        <f>IF(VLOOKUP(Table91213[[#This Row],[Date]],'DB Details'!$A:$Q,4)=0,"",VLOOKUP(Table91213[[#This Row],[Date]],'DB Details'!$A:$Q,4))</f>
        <v>47</v>
      </c>
      <c r="E23" s="52">
        <f>IF(VLOOKUP(Table91213[[#This Row],[Date]],'DB Details'!$A:$Q,5)=0,"",VLOOKUP(Table91213[[#This Row],[Date]],'DB Details'!$A:$Q,5))</f>
        <v>48.5</v>
      </c>
      <c r="F23" s="51">
        <f>IF(VLOOKUP(Table91213[[#This Row],[Date]],'DB Details'!$A:$Q,6)=0,"",VLOOKUP(Table91213[[#This Row],[Date]],'DB Details'!$A:$Q,6))</f>
        <v>54.2</v>
      </c>
      <c r="G23" s="52">
        <f>IF(VLOOKUP(Table91213[[#This Row],[Date]],'DB Details'!$A:$Q,7)=0,"",VLOOKUP(Table91213[[#This Row],[Date]],'DB Details'!$A:$Q,7))</f>
        <v>64.5</v>
      </c>
      <c r="H23" s="52">
        <f>IF(VLOOKUP(Table91213[[#This Row],[Date]],'DB Details'!$A:$Q,8)=0,"",VLOOKUP(Table91213[[#This Row],[Date]],'DB Details'!$A:$Q,8))</f>
        <v>50.5</v>
      </c>
      <c r="I23" s="52">
        <f>IF(VLOOKUP(Table91213[[#This Row],[Date]],'DB Details'!$A:$Q,9)=0,"",VLOOKUP(Table91213[[#This Row],[Date]],'DB Details'!$A:$Q,9))</f>
        <v>53</v>
      </c>
      <c r="J23" s="52">
        <f>IF(VLOOKUP(Table91213[[#This Row],[Date]],'DB Details'!$A:$Q,10)=0,"",VLOOKUP(Table91213[[#This Row],[Date]],'DB Details'!$A:$Q,10))</f>
        <v>50.9</v>
      </c>
      <c r="K23" s="52">
        <f>IF(VLOOKUP(Table91213[[#This Row],[Date]],'DB Details'!$A:$Q,11)=0,"",VLOOKUP(Table91213[[#This Row],[Date]],'DB Details'!$A:$Q,11))</f>
        <v>49</v>
      </c>
      <c r="L23" s="50">
        <f>IF(VLOOKUP(Table91213[[#This Row],[Date]],'DB Details'!$A:$Q,12)=0,"",VLOOKUP(Table91213[[#This Row],[Date]],'DB Details'!$A:$Q,12))</f>
        <v>52.9</v>
      </c>
    </row>
    <row r="24" spans="1:12" x14ac:dyDescent="0.2">
      <c r="A24" s="53">
        <v>36161</v>
      </c>
      <c r="B24" s="50">
        <f>IF(VLOOKUP(Table91213[[#This Row],[Date]],'DB Details'!$A:$Q,2)=0,"",VLOOKUP(Table91213[[#This Row],[Date]],'DB Details'!$A:$Q,2))</f>
        <v>57.5</v>
      </c>
      <c r="C24" s="51">
        <f>IF(VLOOKUP(Table91213[[#This Row],[Date]],'DB Details'!$A:$Q,3)=0,"",VLOOKUP(Table91213[[#This Row],[Date]],'DB Details'!$A:$Q,3))</f>
        <v>53.1</v>
      </c>
      <c r="D24" s="51">
        <f>IF(VLOOKUP(Table91213[[#This Row],[Date]],'DB Details'!$A:$Q,4)=0,"",VLOOKUP(Table91213[[#This Row],[Date]],'DB Details'!$A:$Q,4))</f>
        <v>49</v>
      </c>
      <c r="E24" s="52">
        <f>IF(VLOOKUP(Table91213[[#This Row],[Date]],'DB Details'!$A:$Q,5)=0,"",VLOOKUP(Table91213[[#This Row],[Date]],'DB Details'!$A:$Q,5))</f>
        <v>47</v>
      </c>
      <c r="F24" s="51">
        <f>IF(VLOOKUP(Table91213[[#This Row],[Date]],'DB Details'!$A:$Q,6)=0,"",VLOOKUP(Table91213[[#This Row],[Date]],'DB Details'!$A:$Q,6))</f>
        <v>58.8</v>
      </c>
      <c r="G24" s="52">
        <f>IF(VLOOKUP(Table91213[[#This Row],[Date]],'DB Details'!$A:$Q,7)=0,"",VLOOKUP(Table91213[[#This Row],[Date]],'DB Details'!$A:$Q,7))</f>
        <v>61</v>
      </c>
      <c r="H24" s="52">
        <f>IF(VLOOKUP(Table91213[[#This Row],[Date]],'DB Details'!$A:$Q,8)=0,"",VLOOKUP(Table91213[[#This Row],[Date]],'DB Details'!$A:$Q,8))</f>
        <v>47</v>
      </c>
      <c r="I24" s="52">
        <f>IF(VLOOKUP(Table91213[[#This Row],[Date]],'DB Details'!$A:$Q,9)=0,"",VLOOKUP(Table91213[[#This Row],[Date]],'DB Details'!$A:$Q,9))</f>
        <v>54.5</v>
      </c>
      <c r="J24" s="52">
        <f>IF(VLOOKUP(Table91213[[#This Row],[Date]],'DB Details'!$A:$Q,10)=0,"",VLOOKUP(Table91213[[#This Row],[Date]],'DB Details'!$A:$Q,10))</f>
        <v>51.4</v>
      </c>
      <c r="K24" s="52">
        <f>IF(VLOOKUP(Table91213[[#This Row],[Date]],'DB Details'!$A:$Q,11)=0,"",VLOOKUP(Table91213[[#This Row],[Date]],'DB Details'!$A:$Q,11))</f>
        <v>46.5</v>
      </c>
      <c r="L24" s="50">
        <f>IF(VLOOKUP(Table91213[[#This Row],[Date]],'DB Details'!$A:$Q,12)=0,"",VLOOKUP(Table91213[[#This Row],[Date]],'DB Details'!$A:$Q,12))</f>
        <v>55.6</v>
      </c>
    </row>
    <row r="25" spans="1:12" x14ac:dyDescent="0.2">
      <c r="A25" s="53">
        <v>36192</v>
      </c>
      <c r="B25" s="50">
        <f>IF(VLOOKUP(Table91213[[#This Row],[Date]],'DB Details'!$A:$Q,2)=0,"",VLOOKUP(Table91213[[#This Row],[Date]],'DB Details'!$A:$Q,2))</f>
        <v>56.6</v>
      </c>
      <c r="C25" s="51">
        <f>IF(VLOOKUP(Table91213[[#This Row],[Date]],'DB Details'!$A:$Q,3)=0,"",VLOOKUP(Table91213[[#This Row],[Date]],'DB Details'!$A:$Q,3))</f>
        <v>52.7</v>
      </c>
      <c r="D25" s="51">
        <f>IF(VLOOKUP(Table91213[[#This Row],[Date]],'DB Details'!$A:$Q,4)=0,"",VLOOKUP(Table91213[[#This Row],[Date]],'DB Details'!$A:$Q,4))</f>
        <v>51.5</v>
      </c>
      <c r="E25" s="52">
        <f>IF(VLOOKUP(Table91213[[#This Row],[Date]],'DB Details'!$A:$Q,5)=0,"",VLOOKUP(Table91213[[#This Row],[Date]],'DB Details'!$A:$Q,5))</f>
        <v>45.5</v>
      </c>
      <c r="F25" s="51">
        <f>IF(VLOOKUP(Table91213[[#This Row],[Date]],'DB Details'!$A:$Q,6)=0,"",VLOOKUP(Table91213[[#This Row],[Date]],'DB Details'!$A:$Q,6))</f>
        <v>57.3</v>
      </c>
      <c r="G25" s="52">
        <f>IF(VLOOKUP(Table91213[[#This Row],[Date]],'DB Details'!$A:$Q,7)=0,"",VLOOKUP(Table91213[[#This Row],[Date]],'DB Details'!$A:$Q,7))</f>
        <v>60.5</v>
      </c>
      <c r="H25" s="52">
        <f>IF(VLOOKUP(Table91213[[#This Row],[Date]],'DB Details'!$A:$Q,8)=0,"",VLOOKUP(Table91213[[#This Row],[Date]],'DB Details'!$A:$Q,8))</f>
        <v>49.5</v>
      </c>
      <c r="I25" s="52">
        <f>IF(VLOOKUP(Table91213[[#This Row],[Date]],'DB Details'!$A:$Q,9)=0,"",VLOOKUP(Table91213[[#This Row],[Date]],'DB Details'!$A:$Q,9))</f>
        <v>51.5</v>
      </c>
      <c r="J25" s="52">
        <f>IF(VLOOKUP(Table91213[[#This Row],[Date]],'DB Details'!$A:$Q,10)=0,"",VLOOKUP(Table91213[[#This Row],[Date]],'DB Details'!$A:$Q,10))</f>
        <v>52.2</v>
      </c>
      <c r="K25" s="52">
        <f>IF(VLOOKUP(Table91213[[#This Row],[Date]],'DB Details'!$A:$Q,11)=0,"",VLOOKUP(Table91213[[#This Row],[Date]],'DB Details'!$A:$Q,11))</f>
        <v>47.5</v>
      </c>
      <c r="L25" s="50">
        <f>IF(VLOOKUP(Table91213[[#This Row],[Date]],'DB Details'!$A:$Q,12)=0,"",VLOOKUP(Table91213[[#This Row],[Date]],'DB Details'!$A:$Q,12))</f>
        <v>54.4</v>
      </c>
    </row>
    <row r="26" spans="1:12" x14ac:dyDescent="0.2">
      <c r="A26" s="53">
        <v>36220</v>
      </c>
      <c r="B26" s="50">
        <f>IF(VLOOKUP(Table91213[[#This Row],[Date]],'DB Details'!$A:$Q,2)=0,"",VLOOKUP(Table91213[[#This Row],[Date]],'DB Details'!$A:$Q,2))</f>
        <v>58.1</v>
      </c>
      <c r="C26" s="51">
        <f>IF(VLOOKUP(Table91213[[#This Row],[Date]],'DB Details'!$A:$Q,3)=0,"",VLOOKUP(Table91213[[#This Row],[Date]],'DB Details'!$A:$Q,3))</f>
        <v>55.3</v>
      </c>
      <c r="D26" s="51">
        <f>IF(VLOOKUP(Table91213[[#This Row],[Date]],'DB Details'!$A:$Q,4)=0,"",VLOOKUP(Table91213[[#This Row],[Date]],'DB Details'!$A:$Q,4))</f>
        <v>55.5</v>
      </c>
      <c r="E26" s="52">
        <f>IF(VLOOKUP(Table91213[[#This Row],[Date]],'DB Details'!$A:$Q,5)=0,"",VLOOKUP(Table91213[[#This Row],[Date]],'DB Details'!$A:$Q,5))</f>
        <v>48.9</v>
      </c>
      <c r="F26" s="51">
        <f>IF(VLOOKUP(Table91213[[#This Row],[Date]],'DB Details'!$A:$Q,6)=0,"",VLOOKUP(Table91213[[#This Row],[Date]],'DB Details'!$A:$Q,6))</f>
        <v>59.5</v>
      </c>
      <c r="G26" s="52">
        <f>IF(VLOOKUP(Table91213[[#This Row],[Date]],'DB Details'!$A:$Q,7)=0,"",VLOOKUP(Table91213[[#This Row],[Date]],'DB Details'!$A:$Q,7))</f>
        <v>61.5</v>
      </c>
      <c r="H26" s="52">
        <f>IF(VLOOKUP(Table91213[[#This Row],[Date]],'DB Details'!$A:$Q,8)=0,"",VLOOKUP(Table91213[[#This Row],[Date]],'DB Details'!$A:$Q,8))</f>
        <v>47.5</v>
      </c>
      <c r="I26" s="52">
        <f>IF(VLOOKUP(Table91213[[#This Row],[Date]],'DB Details'!$A:$Q,9)=0,"",VLOOKUP(Table91213[[#This Row],[Date]],'DB Details'!$A:$Q,9))</f>
        <v>52.5</v>
      </c>
      <c r="J26" s="52">
        <f>IF(VLOOKUP(Table91213[[#This Row],[Date]],'DB Details'!$A:$Q,10)=0,"",VLOOKUP(Table91213[[#This Row],[Date]],'DB Details'!$A:$Q,10))</f>
        <v>51.1</v>
      </c>
      <c r="K26" s="52">
        <f>IF(VLOOKUP(Table91213[[#This Row],[Date]],'DB Details'!$A:$Q,11)=0,"",VLOOKUP(Table91213[[#This Row],[Date]],'DB Details'!$A:$Q,11))</f>
        <v>58.5</v>
      </c>
      <c r="L26" s="50">
        <f>IF(VLOOKUP(Table91213[[#This Row],[Date]],'DB Details'!$A:$Q,12)=0,"",VLOOKUP(Table91213[[#This Row],[Date]],'DB Details'!$A:$Q,12))</f>
        <v>55.3</v>
      </c>
    </row>
    <row r="27" spans="1:12" x14ac:dyDescent="0.2">
      <c r="A27" s="53">
        <v>36251</v>
      </c>
      <c r="B27" s="50">
        <f>IF(VLOOKUP(Table91213[[#This Row],[Date]],'DB Details'!$A:$Q,2)=0,"",VLOOKUP(Table91213[[#This Row],[Date]],'DB Details'!$A:$Q,2))</f>
        <v>58.6</v>
      </c>
      <c r="C27" s="51">
        <f>IF(VLOOKUP(Table91213[[#This Row],[Date]],'DB Details'!$A:$Q,3)=0,"",VLOOKUP(Table91213[[#This Row],[Date]],'DB Details'!$A:$Q,3))</f>
        <v>52.6</v>
      </c>
      <c r="D27" s="51">
        <f>IF(VLOOKUP(Table91213[[#This Row],[Date]],'DB Details'!$A:$Q,4)=0,"",VLOOKUP(Table91213[[#This Row],[Date]],'DB Details'!$A:$Q,4))</f>
        <v>51</v>
      </c>
      <c r="E27" s="52">
        <f>IF(VLOOKUP(Table91213[[#This Row],[Date]],'DB Details'!$A:$Q,5)=0,"",VLOOKUP(Table91213[[#This Row],[Date]],'DB Details'!$A:$Q,5))</f>
        <v>51.4</v>
      </c>
      <c r="F27" s="51">
        <f>IF(VLOOKUP(Table91213[[#This Row],[Date]],'DB Details'!$A:$Q,6)=0,"",VLOOKUP(Table91213[[#This Row],[Date]],'DB Details'!$A:$Q,6))</f>
        <v>59.8</v>
      </c>
      <c r="G27" s="52">
        <f>IF(VLOOKUP(Table91213[[#This Row],[Date]],'DB Details'!$A:$Q,7)=0,"",VLOOKUP(Table91213[[#This Row],[Date]],'DB Details'!$A:$Q,7))</f>
        <v>63</v>
      </c>
      <c r="H27" s="52">
        <f>IF(VLOOKUP(Table91213[[#This Row],[Date]],'DB Details'!$A:$Q,8)=0,"",VLOOKUP(Table91213[[#This Row],[Date]],'DB Details'!$A:$Q,8))</f>
        <v>48.5</v>
      </c>
      <c r="I27" s="52">
        <f>IF(VLOOKUP(Table91213[[#This Row],[Date]],'DB Details'!$A:$Q,9)=0,"",VLOOKUP(Table91213[[#This Row],[Date]],'DB Details'!$A:$Q,9))</f>
        <v>51.5</v>
      </c>
      <c r="J27" s="52">
        <f>IF(VLOOKUP(Table91213[[#This Row],[Date]],'DB Details'!$A:$Q,10)=0,"",VLOOKUP(Table91213[[#This Row],[Date]],'DB Details'!$A:$Q,10))</f>
        <v>52</v>
      </c>
      <c r="K27" s="52">
        <f>IF(VLOOKUP(Table91213[[#This Row],[Date]],'DB Details'!$A:$Q,11)=0,"",VLOOKUP(Table91213[[#This Row],[Date]],'DB Details'!$A:$Q,11))</f>
        <v>56.5</v>
      </c>
      <c r="L27" s="50">
        <f>IF(VLOOKUP(Table91213[[#This Row],[Date]],'DB Details'!$A:$Q,12)=0,"",VLOOKUP(Table91213[[#This Row],[Date]],'DB Details'!$A:$Q,12))</f>
        <v>55.5</v>
      </c>
    </row>
    <row r="28" spans="1:12" x14ac:dyDescent="0.2">
      <c r="A28" s="53">
        <v>36281</v>
      </c>
      <c r="B28" s="50">
        <f>IF(VLOOKUP(Table91213[[#This Row],[Date]],'DB Details'!$A:$Q,2)=0,"",VLOOKUP(Table91213[[#This Row],[Date]],'DB Details'!$A:$Q,2))</f>
        <v>56.4</v>
      </c>
      <c r="C28" s="51">
        <f>IF(VLOOKUP(Table91213[[#This Row],[Date]],'DB Details'!$A:$Q,3)=0,"",VLOOKUP(Table91213[[#This Row],[Date]],'DB Details'!$A:$Q,3))</f>
        <v>54.4</v>
      </c>
      <c r="D28" s="51">
        <f>IF(VLOOKUP(Table91213[[#This Row],[Date]],'DB Details'!$A:$Q,4)=0,"",VLOOKUP(Table91213[[#This Row],[Date]],'DB Details'!$A:$Q,4))</f>
        <v>50.5</v>
      </c>
      <c r="E28" s="52">
        <f>IF(VLOOKUP(Table91213[[#This Row],[Date]],'DB Details'!$A:$Q,5)=0,"",VLOOKUP(Table91213[[#This Row],[Date]],'DB Details'!$A:$Q,5))</f>
        <v>52.9</v>
      </c>
      <c r="F28" s="51">
        <f>IF(VLOOKUP(Table91213[[#This Row],[Date]],'DB Details'!$A:$Q,6)=0,"",VLOOKUP(Table91213[[#This Row],[Date]],'DB Details'!$A:$Q,6))</f>
        <v>57.7</v>
      </c>
      <c r="G28" s="52">
        <f>IF(VLOOKUP(Table91213[[#This Row],[Date]],'DB Details'!$A:$Q,7)=0,"",VLOOKUP(Table91213[[#This Row],[Date]],'DB Details'!$A:$Q,7))</f>
        <v>61</v>
      </c>
      <c r="H28" s="52">
        <f>IF(VLOOKUP(Table91213[[#This Row],[Date]],'DB Details'!$A:$Q,8)=0,"",VLOOKUP(Table91213[[#This Row],[Date]],'DB Details'!$A:$Q,8))</f>
        <v>51.5</v>
      </c>
      <c r="I28" s="52">
        <f>IF(VLOOKUP(Table91213[[#This Row],[Date]],'DB Details'!$A:$Q,9)=0,"",VLOOKUP(Table91213[[#This Row],[Date]],'DB Details'!$A:$Q,9))</f>
        <v>54</v>
      </c>
      <c r="J28" s="52">
        <f>IF(VLOOKUP(Table91213[[#This Row],[Date]],'DB Details'!$A:$Q,10)=0,"",VLOOKUP(Table91213[[#This Row],[Date]],'DB Details'!$A:$Q,10))</f>
        <v>52.9</v>
      </c>
      <c r="K28" s="52">
        <f>IF(VLOOKUP(Table91213[[#This Row],[Date]],'DB Details'!$A:$Q,11)=0,"",VLOOKUP(Table91213[[#This Row],[Date]],'DB Details'!$A:$Q,11))</f>
        <v>58.5</v>
      </c>
      <c r="L28" s="50">
        <f>IF(VLOOKUP(Table91213[[#This Row],[Date]],'DB Details'!$A:$Q,12)=0,"",VLOOKUP(Table91213[[#This Row],[Date]],'DB Details'!$A:$Q,12))</f>
        <v>55.3</v>
      </c>
    </row>
    <row r="29" spans="1:12" x14ac:dyDescent="0.2">
      <c r="A29" s="53">
        <v>36312</v>
      </c>
      <c r="B29" s="50">
        <f>IF(VLOOKUP(Table91213[[#This Row],[Date]],'DB Details'!$A:$Q,2)=0,"",VLOOKUP(Table91213[[#This Row],[Date]],'DB Details'!$A:$Q,2))</f>
        <v>59.7</v>
      </c>
      <c r="C29" s="51">
        <f>IF(VLOOKUP(Table91213[[#This Row],[Date]],'DB Details'!$A:$Q,3)=0,"",VLOOKUP(Table91213[[#This Row],[Date]],'DB Details'!$A:$Q,3))</f>
        <v>51.9</v>
      </c>
      <c r="D29" s="51">
        <f>IF(VLOOKUP(Table91213[[#This Row],[Date]],'DB Details'!$A:$Q,4)=0,"",VLOOKUP(Table91213[[#This Row],[Date]],'DB Details'!$A:$Q,4))</f>
        <v>52</v>
      </c>
      <c r="E29" s="52">
        <f>IF(VLOOKUP(Table91213[[#This Row],[Date]],'DB Details'!$A:$Q,5)=0,"",VLOOKUP(Table91213[[#This Row],[Date]],'DB Details'!$A:$Q,5))</f>
        <v>53.2</v>
      </c>
      <c r="F29" s="51">
        <f>IF(VLOOKUP(Table91213[[#This Row],[Date]],'DB Details'!$A:$Q,6)=0,"",VLOOKUP(Table91213[[#This Row],[Date]],'DB Details'!$A:$Q,6))</f>
        <v>57.9</v>
      </c>
      <c r="G29" s="52">
        <f>IF(VLOOKUP(Table91213[[#This Row],[Date]],'DB Details'!$A:$Q,7)=0,"",VLOOKUP(Table91213[[#This Row],[Date]],'DB Details'!$A:$Q,7))</f>
        <v>61</v>
      </c>
      <c r="H29" s="52">
        <f>IF(VLOOKUP(Table91213[[#This Row],[Date]],'DB Details'!$A:$Q,8)=0,"",VLOOKUP(Table91213[[#This Row],[Date]],'DB Details'!$A:$Q,8))</f>
        <v>49.5</v>
      </c>
      <c r="I29" s="52">
        <f>IF(VLOOKUP(Table91213[[#This Row],[Date]],'DB Details'!$A:$Q,9)=0,"",VLOOKUP(Table91213[[#This Row],[Date]],'DB Details'!$A:$Q,9))</f>
        <v>54</v>
      </c>
      <c r="J29" s="52">
        <f>IF(VLOOKUP(Table91213[[#This Row],[Date]],'DB Details'!$A:$Q,10)=0,"",VLOOKUP(Table91213[[#This Row],[Date]],'DB Details'!$A:$Q,10))</f>
        <v>55.3</v>
      </c>
      <c r="K29" s="52">
        <f>IF(VLOOKUP(Table91213[[#This Row],[Date]],'DB Details'!$A:$Q,11)=0,"",VLOOKUP(Table91213[[#This Row],[Date]],'DB Details'!$A:$Q,11))</f>
        <v>53.5</v>
      </c>
      <c r="L29" s="50">
        <f>IF(VLOOKUP(Table91213[[#This Row],[Date]],'DB Details'!$A:$Q,12)=0,"",VLOOKUP(Table91213[[#This Row],[Date]],'DB Details'!$A:$Q,12))</f>
        <v>56.7</v>
      </c>
    </row>
    <row r="30" spans="1:12" x14ac:dyDescent="0.2">
      <c r="A30" s="53">
        <v>36342</v>
      </c>
      <c r="B30" s="50">
        <f>IF(VLOOKUP(Table91213[[#This Row],[Date]],'DB Details'!$A:$Q,2)=0,"",VLOOKUP(Table91213[[#This Row],[Date]],'DB Details'!$A:$Q,2))</f>
        <v>58.1</v>
      </c>
      <c r="C30" s="51">
        <f>IF(VLOOKUP(Table91213[[#This Row],[Date]],'DB Details'!$A:$Q,3)=0,"",VLOOKUP(Table91213[[#This Row],[Date]],'DB Details'!$A:$Q,3))</f>
        <v>55.9</v>
      </c>
      <c r="D30" s="51">
        <f>IF(VLOOKUP(Table91213[[#This Row],[Date]],'DB Details'!$A:$Q,4)=0,"",VLOOKUP(Table91213[[#This Row],[Date]],'DB Details'!$A:$Q,4))</f>
        <v>50</v>
      </c>
      <c r="E30" s="52">
        <f>IF(VLOOKUP(Table91213[[#This Row],[Date]],'DB Details'!$A:$Q,5)=0,"",VLOOKUP(Table91213[[#This Row],[Date]],'DB Details'!$A:$Q,5))</f>
        <v>57.7</v>
      </c>
      <c r="F30" s="51">
        <f>IF(VLOOKUP(Table91213[[#This Row],[Date]],'DB Details'!$A:$Q,6)=0,"",VLOOKUP(Table91213[[#This Row],[Date]],'DB Details'!$A:$Q,6))</f>
        <v>60.7</v>
      </c>
      <c r="G30" s="52">
        <f>IF(VLOOKUP(Table91213[[#This Row],[Date]],'DB Details'!$A:$Q,7)=0,"",VLOOKUP(Table91213[[#This Row],[Date]],'DB Details'!$A:$Q,7))</f>
        <v>61</v>
      </c>
      <c r="H30" s="52">
        <f>IF(VLOOKUP(Table91213[[#This Row],[Date]],'DB Details'!$A:$Q,8)=0,"",VLOOKUP(Table91213[[#This Row],[Date]],'DB Details'!$A:$Q,8))</f>
        <v>49.5</v>
      </c>
      <c r="I30" s="52">
        <f>IF(VLOOKUP(Table91213[[#This Row],[Date]],'DB Details'!$A:$Q,9)=0,"",VLOOKUP(Table91213[[#This Row],[Date]],'DB Details'!$A:$Q,9))</f>
        <v>52.5</v>
      </c>
      <c r="J30" s="52">
        <f>IF(VLOOKUP(Table91213[[#This Row],[Date]],'DB Details'!$A:$Q,10)=0,"",VLOOKUP(Table91213[[#This Row],[Date]],'DB Details'!$A:$Q,10))</f>
        <v>53.4</v>
      </c>
      <c r="K30" s="52">
        <f>IF(VLOOKUP(Table91213[[#This Row],[Date]],'DB Details'!$A:$Q,11)=0,"",VLOOKUP(Table91213[[#This Row],[Date]],'DB Details'!$A:$Q,11))</f>
        <v>57.5</v>
      </c>
      <c r="L30" s="50">
        <f>IF(VLOOKUP(Table91213[[#This Row],[Date]],'DB Details'!$A:$Q,12)=0,"",VLOOKUP(Table91213[[#This Row],[Date]],'DB Details'!$A:$Q,12))</f>
        <v>56.2</v>
      </c>
    </row>
    <row r="31" spans="1:12" x14ac:dyDescent="0.2">
      <c r="A31" s="53">
        <v>36373</v>
      </c>
      <c r="B31" s="50">
        <f>IF(VLOOKUP(Table91213[[#This Row],[Date]],'DB Details'!$A:$Q,2)=0,"",VLOOKUP(Table91213[[#This Row],[Date]],'DB Details'!$A:$Q,2))</f>
        <v>59.6</v>
      </c>
      <c r="C31" s="51">
        <f>IF(VLOOKUP(Table91213[[#This Row],[Date]],'DB Details'!$A:$Q,3)=0,"",VLOOKUP(Table91213[[#This Row],[Date]],'DB Details'!$A:$Q,3))</f>
        <v>52.3</v>
      </c>
      <c r="D31" s="51">
        <f>IF(VLOOKUP(Table91213[[#This Row],[Date]],'DB Details'!$A:$Q,4)=0,"",VLOOKUP(Table91213[[#This Row],[Date]],'DB Details'!$A:$Q,4))</f>
        <v>51.5</v>
      </c>
      <c r="E31" s="52">
        <f>IF(VLOOKUP(Table91213[[#This Row],[Date]],'DB Details'!$A:$Q,5)=0,"",VLOOKUP(Table91213[[#This Row],[Date]],'DB Details'!$A:$Q,5))</f>
        <v>58.9</v>
      </c>
      <c r="F31" s="51">
        <f>IF(VLOOKUP(Table91213[[#This Row],[Date]],'DB Details'!$A:$Q,6)=0,"",VLOOKUP(Table91213[[#This Row],[Date]],'DB Details'!$A:$Q,6))</f>
        <v>60.3</v>
      </c>
      <c r="G31" s="52">
        <f>IF(VLOOKUP(Table91213[[#This Row],[Date]],'DB Details'!$A:$Q,7)=0,"",VLOOKUP(Table91213[[#This Row],[Date]],'DB Details'!$A:$Q,7))</f>
        <v>63</v>
      </c>
      <c r="H31" s="52">
        <f>IF(VLOOKUP(Table91213[[#This Row],[Date]],'DB Details'!$A:$Q,8)=0,"",VLOOKUP(Table91213[[#This Row],[Date]],'DB Details'!$A:$Q,8))</f>
        <v>52</v>
      </c>
      <c r="I31" s="52">
        <f>IF(VLOOKUP(Table91213[[#This Row],[Date]],'DB Details'!$A:$Q,9)=0,"",VLOOKUP(Table91213[[#This Row],[Date]],'DB Details'!$A:$Q,9))</f>
        <v>53.5</v>
      </c>
      <c r="J31" s="52">
        <f>IF(VLOOKUP(Table91213[[#This Row],[Date]],'DB Details'!$A:$Q,10)=0,"",VLOOKUP(Table91213[[#This Row],[Date]],'DB Details'!$A:$Q,10))</f>
        <v>52.3</v>
      </c>
      <c r="K31" s="52">
        <f>IF(VLOOKUP(Table91213[[#This Row],[Date]],'DB Details'!$A:$Q,11)=0,"",VLOOKUP(Table91213[[#This Row],[Date]],'DB Details'!$A:$Q,11))</f>
        <v>58</v>
      </c>
      <c r="L31" s="50">
        <f>IF(VLOOKUP(Table91213[[#This Row],[Date]],'DB Details'!$A:$Q,12)=0,"",VLOOKUP(Table91213[[#This Row],[Date]],'DB Details'!$A:$Q,12))</f>
        <v>56.4</v>
      </c>
    </row>
    <row r="32" spans="1:12" x14ac:dyDescent="0.2">
      <c r="A32" s="53">
        <v>36404</v>
      </c>
      <c r="B32" s="50">
        <f>IF(VLOOKUP(Table91213[[#This Row],[Date]],'DB Details'!$A:$Q,2)=0,"",VLOOKUP(Table91213[[#This Row],[Date]],'DB Details'!$A:$Q,2))</f>
        <v>60.1</v>
      </c>
      <c r="C32" s="51">
        <f>IF(VLOOKUP(Table91213[[#This Row],[Date]],'DB Details'!$A:$Q,3)=0,"",VLOOKUP(Table91213[[#This Row],[Date]],'DB Details'!$A:$Q,3))</f>
        <v>55.5</v>
      </c>
      <c r="D32" s="51">
        <f>IF(VLOOKUP(Table91213[[#This Row],[Date]],'DB Details'!$A:$Q,4)=0,"",VLOOKUP(Table91213[[#This Row],[Date]],'DB Details'!$A:$Q,4))</f>
        <v>52.5</v>
      </c>
      <c r="E32" s="52">
        <f>IF(VLOOKUP(Table91213[[#This Row],[Date]],'DB Details'!$A:$Q,5)=0,"",VLOOKUP(Table91213[[#This Row],[Date]],'DB Details'!$A:$Q,5))</f>
        <v>64.2</v>
      </c>
      <c r="F32" s="51">
        <f>IF(VLOOKUP(Table91213[[#This Row],[Date]],'DB Details'!$A:$Q,6)=0,"",VLOOKUP(Table91213[[#This Row],[Date]],'DB Details'!$A:$Q,6))</f>
        <v>59.1</v>
      </c>
      <c r="G32" s="52">
        <f>IF(VLOOKUP(Table91213[[#This Row],[Date]],'DB Details'!$A:$Q,7)=0,"",VLOOKUP(Table91213[[#This Row],[Date]],'DB Details'!$A:$Q,7))</f>
        <v>61.5</v>
      </c>
      <c r="H32" s="52">
        <f>IF(VLOOKUP(Table91213[[#This Row],[Date]],'DB Details'!$A:$Q,8)=0,"",VLOOKUP(Table91213[[#This Row],[Date]],'DB Details'!$A:$Q,8))</f>
        <v>52</v>
      </c>
      <c r="I32" s="52">
        <f>IF(VLOOKUP(Table91213[[#This Row],[Date]],'DB Details'!$A:$Q,9)=0,"",VLOOKUP(Table91213[[#This Row],[Date]],'DB Details'!$A:$Q,9))</f>
        <v>54</v>
      </c>
      <c r="J32" s="52">
        <f>IF(VLOOKUP(Table91213[[#This Row],[Date]],'DB Details'!$A:$Q,10)=0,"",VLOOKUP(Table91213[[#This Row],[Date]],'DB Details'!$A:$Q,10))</f>
        <v>51.4</v>
      </c>
      <c r="K32" s="52">
        <f>IF(VLOOKUP(Table91213[[#This Row],[Date]],'DB Details'!$A:$Q,11)=0,"",VLOOKUP(Table91213[[#This Row],[Date]],'DB Details'!$A:$Q,11))</f>
        <v>62.5</v>
      </c>
      <c r="L32" s="50">
        <f>IF(VLOOKUP(Table91213[[#This Row],[Date]],'DB Details'!$A:$Q,12)=0,"",VLOOKUP(Table91213[[#This Row],[Date]],'DB Details'!$A:$Q,12))</f>
        <v>56.2</v>
      </c>
    </row>
    <row r="33" spans="1:12" x14ac:dyDescent="0.2">
      <c r="A33" s="53">
        <v>36434</v>
      </c>
      <c r="B33" s="50">
        <f>IF(VLOOKUP(Table91213[[#This Row],[Date]],'DB Details'!$A:$Q,2)=0,"",VLOOKUP(Table91213[[#This Row],[Date]],'DB Details'!$A:$Q,2))</f>
        <v>62</v>
      </c>
      <c r="C33" s="51">
        <f>IF(VLOOKUP(Table91213[[#This Row],[Date]],'DB Details'!$A:$Q,3)=0,"",VLOOKUP(Table91213[[#This Row],[Date]],'DB Details'!$A:$Q,3))</f>
        <v>55.7</v>
      </c>
      <c r="D33" s="51">
        <f>IF(VLOOKUP(Table91213[[#This Row],[Date]],'DB Details'!$A:$Q,4)=0,"",VLOOKUP(Table91213[[#This Row],[Date]],'DB Details'!$A:$Q,4))</f>
        <v>52</v>
      </c>
      <c r="E33" s="52">
        <f>IF(VLOOKUP(Table91213[[#This Row],[Date]],'DB Details'!$A:$Q,5)=0,"",VLOOKUP(Table91213[[#This Row],[Date]],'DB Details'!$A:$Q,5))</f>
        <v>58.9</v>
      </c>
      <c r="F33" s="51">
        <f>IF(VLOOKUP(Table91213[[#This Row],[Date]],'DB Details'!$A:$Q,6)=0,"",VLOOKUP(Table91213[[#This Row],[Date]],'DB Details'!$A:$Q,6))</f>
        <v>60.7</v>
      </c>
      <c r="G33" s="52">
        <f>IF(VLOOKUP(Table91213[[#This Row],[Date]],'DB Details'!$A:$Q,7)=0,"",VLOOKUP(Table91213[[#This Row],[Date]],'DB Details'!$A:$Q,7))</f>
        <v>58</v>
      </c>
      <c r="H33" s="52">
        <f>IF(VLOOKUP(Table91213[[#This Row],[Date]],'DB Details'!$A:$Q,8)=0,"",VLOOKUP(Table91213[[#This Row],[Date]],'DB Details'!$A:$Q,8))</f>
        <v>47.5</v>
      </c>
      <c r="I33" s="52">
        <f>IF(VLOOKUP(Table91213[[#This Row],[Date]],'DB Details'!$A:$Q,9)=0,"",VLOOKUP(Table91213[[#This Row],[Date]],'DB Details'!$A:$Q,9))</f>
        <v>56</v>
      </c>
      <c r="J33" s="52">
        <f>IF(VLOOKUP(Table91213[[#This Row],[Date]],'DB Details'!$A:$Q,10)=0,"",VLOOKUP(Table91213[[#This Row],[Date]],'DB Details'!$A:$Q,10))</f>
        <v>51.7</v>
      </c>
      <c r="K33" s="52">
        <f>IF(VLOOKUP(Table91213[[#This Row],[Date]],'DB Details'!$A:$Q,11)=0,"",VLOOKUP(Table91213[[#This Row],[Date]],'DB Details'!$A:$Q,11))</f>
        <v>54</v>
      </c>
      <c r="L33" s="50">
        <f>IF(VLOOKUP(Table91213[[#This Row],[Date]],'DB Details'!$A:$Q,12)=0,"",VLOOKUP(Table91213[[#This Row],[Date]],'DB Details'!$A:$Q,12))</f>
        <v>57.6</v>
      </c>
    </row>
    <row r="34" spans="1:12" x14ac:dyDescent="0.2">
      <c r="A34" s="53">
        <v>36465</v>
      </c>
      <c r="B34" s="50">
        <f>IF(VLOOKUP(Table91213[[#This Row],[Date]],'DB Details'!$A:$Q,2)=0,"",VLOOKUP(Table91213[[#This Row],[Date]],'DB Details'!$A:$Q,2))</f>
        <v>55.5</v>
      </c>
      <c r="C34" s="51">
        <f>IF(VLOOKUP(Table91213[[#This Row],[Date]],'DB Details'!$A:$Q,3)=0,"",VLOOKUP(Table91213[[#This Row],[Date]],'DB Details'!$A:$Q,3))</f>
        <v>53.8</v>
      </c>
      <c r="D34" s="51">
        <f>IF(VLOOKUP(Table91213[[#This Row],[Date]],'DB Details'!$A:$Q,4)=0,"",VLOOKUP(Table91213[[#This Row],[Date]],'DB Details'!$A:$Q,4))</f>
        <v>49</v>
      </c>
      <c r="E34" s="52">
        <f>IF(VLOOKUP(Table91213[[#This Row],[Date]],'DB Details'!$A:$Q,5)=0,"",VLOOKUP(Table91213[[#This Row],[Date]],'DB Details'!$A:$Q,5))</f>
        <v>61</v>
      </c>
      <c r="F34" s="51">
        <f>IF(VLOOKUP(Table91213[[#This Row],[Date]],'DB Details'!$A:$Q,6)=0,"",VLOOKUP(Table91213[[#This Row],[Date]],'DB Details'!$A:$Q,6))</f>
        <v>57</v>
      </c>
      <c r="G34" s="52">
        <f>IF(VLOOKUP(Table91213[[#This Row],[Date]],'DB Details'!$A:$Q,7)=0,"",VLOOKUP(Table91213[[#This Row],[Date]],'DB Details'!$A:$Q,7))</f>
        <v>62.5</v>
      </c>
      <c r="H34" s="52">
        <f>IF(VLOOKUP(Table91213[[#This Row],[Date]],'DB Details'!$A:$Q,8)=0,"",VLOOKUP(Table91213[[#This Row],[Date]],'DB Details'!$A:$Q,8))</f>
        <v>52.5</v>
      </c>
      <c r="I34" s="52">
        <f>IF(VLOOKUP(Table91213[[#This Row],[Date]],'DB Details'!$A:$Q,9)=0,"",VLOOKUP(Table91213[[#This Row],[Date]],'DB Details'!$A:$Q,9))</f>
        <v>56.5</v>
      </c>
      <c r="J34" s="52">
        <f>IF(VLOOKUP(Table91213[[#This Row],[Date]],'DB Details'!$A:$Q,10)=0,"",VLOOKUP(Table91213[[#This Row],[Date]],'DB Details'!$A:$Q,10))</f>
        <v>50.6</v>
      </c>
      <c r="K34" s="52">
        <f>IF(VLOOKUP(Table91213[[#This Row],[Date]],'DB Details'!$A:$Q,11)=0,"",VLOOKUP(Table91213[[#This Row],[Date]],'DB Details'!$A:$Q,11))</f>
        <v>56</v>
      </c>
      <c r="L34" s="50">
        <f>IF(VLOOKUP(Table91213[[#This Row],[Date]],'DB Details'!$A:$Q,12)=0,"",VLOOKUP(Table91213[[#This Row],[Date]],'DB Details'!$A:$Q,12))</f>
        <v>54.9</v>
      </c>
    </row>
    <row r="35" spans="1:12" x14ac:dyDescent="0.2">
      <c r="A35" s="53">
        <v>36495</v>
      </c>
      <c r="B35" s="50">
        <f>IF(VLOOKUP(Table91213[[#This Row],[Date]],'DB Details'!$A:$Q,2)=0,"",VLOOKUP(Table91213[[#This Row],[Date]],'DB Details'!$A:$Q,2))</f>
        <v>61.1</v>
      </c>
      <c r="C35" s="51">
        <f>IF(VLOOKUP(Table91213[[#This Row],[Date]],'DB Details'!$A:$Q,3)=0,"",VLOOKUP(Table91213[[#This Row],[Date]],'DB Details'!$A:$Q,3))</f>
        <v>50.8</v>
      </c>
      <c r="D35" s="51">
        <f>IF(VLOOKUP(Table91213[[#This Row],[Date]],'DB Details'!$A:$Q,4)=0,"",VLOOKUP(Table91213[[#This Row],[Date]],'DB Details'!$A:$Q,4))</f>
        <v>49</v>
      </c>
      <c r="E35" s="52">
        <f>IF(VLOOKUP(Table91213[[#This Row],[Date]],'DB Details'!$A:$Q,5)=0,"",VLOOKUP(Table91213[[#This Row],[Date]],'DB Details'!$A:$Q,5))</f>
        <v>60.5</v>
      </c>
      <c r="F35" s="51">
        <f>IF(VLOOKUP(Table91213[[#This Row],[Date]],'DB Details'!$A:$Q,6)=0,"",VLOOKUP(Table91213[[#This Row],[Date]],'DB Details'!$A:$Q,6))</f>
        <v>60.4</v>
      </c>
      <c r="G35" s="52">
        <f>IF(VLOOKUP(Table91213[[#This Row],[Date]],'DB Details'!$A:$Q,7)=0,"",VLOOKUP(Table91213[[#This Row],[Date]],'DB Details'!$A:$Q,7))</f>
        <v>61.5</v>
      </c>
      <c r="H35" s="52">
        <f>IF(VLOOKUP(Table91213[[#This Row],[Date]],'DB Details'!$A:$Q,8)=0,"",VLOOKUP(Table91213[[#This Row],[Date]],'DB Details'!$A:$Q,8))</f>
        <v>50</v>
      </c>
      <c r="I35" s="52">
        <f>IF(VLOOKUP(Table91213[[#This Row],[Date]],'DB Details'!$A:$Q,9)=0,"",VLOOKUP(Table91213[[#This Row],[Date]],'DB Details'!$A:$Q,9))</f>
        <v>53</v>
      </c>
      <c r="J35" s="52">
        <f>IF(VLOOKUP(Table91213[[#This Row],[Date]],'DB Details'!$A:$Q,10)=0,"",VLOOKUP(Table91213[[#This Row],[Date]],'DB Details'!$A:$Q,10))</f>
        <v>53</v>
      </c>
      <c r="K35" s="52">
        <f>IF(VLOOKUP(Table91213[[#This Row],[Date]],'DB Details'!$A:$Q,11)=0,"",VLOOKUP(Table91213[[#This Row],[Date]],'DB Details'!$A:$Q,11))</f>
        <v>58</v>
      </c>
      <c r="L35" s="50">
        <f>IF(VLOOKUP(Table91213[[#This Row],[Date]],'DB Details'!$A:$Q,12)=0,"",VLOOKUP(Table91213[[#This Row],[Date]],'DB Details'!$A:$Q,12))</f>
        <v>56.9</v>
      </c>
    </row>
    <row r="36" spans="1:12" x14ac:dyDescent="0.2">
      <c r="A36" s="53">
        <v>36526</v>
      </c>
      <c r="B36" s="50">
        <f>IF(VLOOKUP(Table91213[[#This Row],[Date]],'DB Details'!$A:$Q,2)=0,"",VLOOKUP(Table91213[[#This Row],[Date]],'DB Details'!$A:$Q,2))</f>
        <v>60.8</v>
      </c>
      <c r="C36" s="51">
        <f>IF(VLOOKUP(Table91213[[#This Row],[Date]],'DB Details'!$A:$Q,3)=0,"",VLOOKUP(Table91213[[#This Row],[Date]],'DB Details'!$A:$Q,3))</f>
        <v>54.9</v>
      </c>
      <c r="D36" s="51">
        <f>IF(VLOOKUP(Table91213[[#This Row],[Date]],'DB Details'!$A:$Q,4)=0,"",VLOOKUP(Table91213[[#This Row],[Date]],'DB Details'!$A:$Q,4))</f>
        <v>48.5</v>
      </c>
      <c r="E36" s="52">
        <f>IF(VLOOKUP(Table91213[[#This Row],[Date]],'DB Details'!$A:$Q,5)=0,"",VLOOKUP(Table91213[[#This Row],[Date]],'DB Details'!$A:$Q,5))</f>
        <v>61.4</v>
      </c>
      <c r="F36" s="51">
        <f>IF(VLOOKUP(Table91213[[#This Row],[Date]],'DB Details'!$A:$Q,6)=0,"",VLOOKUP(Table91213[[#This Row],[Date]],'DB Details'!$A:$Q,6))</f>
        <v>57.7</v>
      </c>
      <c r="G36" s="52">
        <f>IF(VLOOKUP(Table91213[[#This Row],[Date]],'DB Details'!$A:$Q,7)=0,"",VLOOKUP(Table91213[[#This Row],[Date]],'DB Details'!$A:$Q,7))</f>
        <v>67</v>
      </c>
      <c r="H36" s="52">
        <f>IF(VLOOKUP(Table91213[[#This Row],[Date]],'DB Details'!$A:$Q,8)=0,"",VLOOKUP(Table91213[[#This Row],[Date]],'DB Details'!$A:$Q,8))</f>
        <v>49.5</v>
      </c>
      <c r="I36" s="52">
        <f>IF(VLOOKUP(Table91213[[#This Row],[Date]],'DB Details'!$A:$Q,9)=0,"",VLOOKUP(Table91213[[#This Row],[Date]],'DB Details'!$A:$Q,9))</f>
        <v>55.5</v>
      </c>
      <c r="J36" s="52">
        <f>IF(VLOOKUP(Table91213[[#This Row],[Date]],'DB Details'!$A:$Q,10)=0,"",VLOOKUP(Table91213[[#This Row],[Date]],'DB Details'!$A:$Q,10))</f>
        <v>52.3</v>
      </c>
      <c r="K36" s="52">
        <f>IF(VLOOKUP(Table91213[[#This Row],[Date]],'DB Details'!$A:$Q,11)=0,"",VLOOKUP(Table91213[[#This Row],[Date]],'DB Details'!$A:$Q,11))</f>
        <v>57.5</v>
      </c>
      <c r="L36" s="50">
        <f>IF(VLOOKUP(Table91213[[#This Row],[Date]],'DB Details'!$A:$Q,12)=0,"",VLOOKUP(Table91213[[#This Row],[Date]],'DB Details'!$A:$Q,12))</f>
        <v>56.6</v>
      </c>
    </row>
    <row r="37" spans="1:12" x14ac:dyDescent="0.2">
      <c r="A37" s="53">
        <v>36557</v>
      </c>
      <c r="B37" s="50">
        <f>IF(VLOOKUP(Table91213[[#This Row],[Date]],'DB Details'!$A:$Q,2)=0,"",VLOOKUP(Table91213[[#This Row],[Date]],'DB Details'!$A:$Q,2))</f>
        <v>58.9</v>
      </c>
      <c r="C37" s="51">
        <f>IF(VLOOKUP(Table91213[[#This Row],[Date]],'DB Details'!$A:$Q,3)=0,"",VLOOKUP(Table91213[[#This Row],[Date]],'DB Details'!$A:$Q,3))</f>
        <v>51.9</v>
      </c>
      <c r="D37" s="51">
        <f>IF(VLOOKUP(Table91213[[#This Row],[Date]],'DB Details'!$A:$Q,4)=0,"",VLOOKUP(Table91213[[#This Row],[Date]],'DB Details'!$A:$Q,4))</f>
        <v>52</v>
      </c>
      <c r="E37" s="52">
        <f>IF(VLOOKUP(Table91213[[#This Row],[Date]],'DB Details'!$A:$Q,5)=0,"",VLOOKUP(Table91213[[#This Row],[Date]],'DB Details'!$A:$Q,5))</f>
        <v>66.5</v>
      </c>
      <c r="F37" s="51">
        <f>IF(VLOOKUP(Table91213[[#This Row],[Date]],'DB Details'!$A:$Q,6)=0,"",VLOOKUP(Table91213[[#This Row],[Date]],'DB Details'!$A:$Q,6))</f>
        <v>58.2</v>
      </c>
      <c r="G37" s="52">
        <f>IF(VLOOKUP(Table91213[[#This Row],[Date]],'DB Details'!$A:$Q,7)=0,"",VLOOKUP(Table91213[[#This Row],[Date]],'DB Details'!$A:$Q,7))</f>
        <v>66.5</v>
      </c>
      <c r="H37" s="52">
        <f>IF(VLOOKUP(Table91213[[#This Row],[Date]],'DB Details'!$A:$Q,8)=0,"",VLOOKUP(Table91213[[#This Row],[Date]],'DB Details'!$A:$Q,8))</f>
        <v>49.5</v>
      </c>
      <c r="I37" s="52">
        <f>IF(VLOOKUP(Table91213[[#This Row],[Date]],'DB Details'!$A:$Q,9)=0,"",VLOOKUP(Table91213[[#This Row],[Date]],'DB Details'!$A:$Q,9))</f>
        <v>55</v>
      </c>
      <c r="J37" s="52">
        <f>IF(VLOOKUP(Table91213[[#This Row],[Date]],'DB Details'!$A:$Q,10)=0,"",VLOOKUP(Table91213[[#This Row],[Date]],'DB Details'!$A:$Q,10))</f>
        <v>52.8</v>
      </c>
      <c r="K37" s="52">
        <f>IF(VLOOKUP(Table91213[[#This Row],[Date]],'DB Details'!$A:$Q,11)=0,"",VLOOKUP(Table91213[[#This Row],[Date]],'DB Details'!$A:$Q,11))</f>
        <v>47.5</v>
      </c>
      <c r="L37" s="50">
        <f>IF(VLOOKUP(Table91213[[#This Row],[Date]],'DB Details'!$A:$Q,12)=0,"",VLOOKUP(Table91213[[#This Row],[Date]],'DB Details'!$A:$Q,12))</f>
        <v>56.2</v>
      </c>
    </row>
    <row r="38" spans="1:12" x14ac:dyDescent="0.2">
      <c r="A38" s="53">
        <v>36586</v>
      </c>
      <c r="B38" s="50">
        <f>IF(VLOOKUP(Table91213[[#This Row],[Date]],'DB Details'!$A:$Q,2)=0,"",VLOOKUP(Table91213[[#This Row],[Date]],'DB Details'!$A:$Q,2))</f>
        <v>61.7</v>
      </c>
      <c r="C38" s="51">
        <f>IF(VLOOKUP(Table91213[[#This Row],[Date]],'DB Details'!$A:$Q,3)=0,"",VLOOKUP(Table91213[[#This Row],[Date]],'DB Details'!$A:$Q,3))</f>
        <v>54.7</v>
      </c>
      <c r="D38" s="51">
        <f>IF(VLOOKUP(Table91213[[#This Row],[Date]],'DB Details'!$A:$Q,4)=0,"",VLOOKUP(Table91213[[#This Row],[Date]],'DB Details'!$A:$Q,4))</f>
        <v>53</v>
      </c>
      <c r="E38" s="52">
        <f>IF(VLOOKUP(Table91213[[#This Row],[Date]],'DB Details'!$A:$Q,5)=0,"",VLOOKUP(Table91213[[#This Row],[Date]],'DB Details'!$A:$Q,5))</f>
        <v>68.599999999999994</v>
      </c>
      <c r="F38" s="51">
        <f>IF(VLOOKUP(Table91213[[#This Row],[Date]],'DB Details'!$A:$Q,6)=0,"",VLOOKUP(Table91213[[#This Row],[Date]],'DB Details'!$A:$Q,6))</f>
        <v>60.5</v>
      </c>
      <c r="G38" s="52">
        <f>IF(VLOOKUP(Table91213[[#This Row],[Date]],'DB Details'!$A:$Q,7)=0,"",VLOOKUP(Table91213[[#This Row],[Date]],'DB Details'!$A:$Q,7))</f>
        <v>60.5</v>
      </c>
      <c r="H38" s="52">
        <f>IF(VLOOKUP(Table91213[[#This Row],[Date]],'DB Details'!$A:$Q,8)=0,"",VLOOKUP(Table91213[[#This Row],[Date]],'DB Details'!$A:$Q,8))</f>
        <v>51.5</v>
      </c>
      <c r="I38" s="52">
        <f>IF(VLOOKUP(Table91213[[#This Row],[Date]],'DB Details'!$A:$Q,9)=0,"",VLOOKUP(Table91213[[#This Row],[Date]],'DB Details'!$A:$Q,9))</f>
        <v>52.5</v>
      </c>
      <c r="J38" s="52">
        <f>IF(VLOOKUP(Table91213[[#This Row],[Date]],'DB Details'!$A:$Q,10)=0,"",VLOOKUP(Table91213[[#This Row],[Date]],'DB Details'!$A:$Q,10))</f>
        <v>55</v>
      </c>
      <c r="K38" s="52">
        <f>IF(VLOOKUP(Table91213[[#This Row],[Date]],'DB Details'!$A:$Q,11)=0,"",VLOOKUP(Table91213[[#This Row],[Date]],'DB Details'!$A:$Q,11))</f>
        <v>55.5</v>
      </c>
      <c r="L38" s="50">
        <f>IF(VLOOKUP(Table91213[[#This Row],[Date]],'DB Details'!$A:$Q,12)=0,"",VLOOKUP(Table91213[[#This Row],[Date]],'DB Details'!$A:$Q,12))</f>
        <v>57.4</v>
      </c>
    </row>
    <row r="39" spans="1:12" x14ac:dyDescent="0.2">
      <c r="A39" s="53">
        <v>36617</v>
      </c>
      <c r="B39" s="50">
        <f>IF(VLOOKUP(Table91213[[#This Row],[Date]],'DB Details'!$A:$Q,2)=0,"",VLOOKUP(Table91213[[#This Row],[Date]],'DB Details'!$A:$Q,2))</f>
        <v>61.5</v>
      </c>
      <c r="C39" s="51">
        <f>IF(VLOOKUP(Table91213[[#This Row],[Date]],'DB Details'!$A:$Q,3)=0,"",VLOOKUP(Table91213[[#This Row],[Date]],'DB Details'!$A:$Q,3))</f>
        <v>54.6</v>
      </c>
      <c r="D39" s="51">
        <f>IF(VLOOKUP(Table91213[[#This Row],[Date]],'DB Details'!$A:$Q,4)=0,"",VLOOKUP(Table91213[[#This Row],[Date]],'DB Details'!$A:$Q,4))</f>
        <v>55.5</v>
      </c>
      <c r="E39" s="52">
        <f>IF(VLOOKUP(Table91213[[#This Row],[Date]],'DB Details'!$A:$Q,5)=0,"",VLOOKUP(Table91213[[#This Row],[Date]],'DB Details'!$A:$Q,5))</f>
        <v>65</v>
      </c>
      <c r="F39" s="51">
        <f>IF(VLOOKUP(Table91213[[#This Row],[Date]],'DB Details'!$A:$Q,6)=0,"",VLOOKUP(Table91213[[#This Row],[Date]],'DB Details'!$A:$Q,6))</f>
        <v>61.1</v>
      </c>
      <c r="G39" s="52">
        <f>IF(VLOOKUP(Table91213[[#This Row],[Date]],'DB Details'!$A:$Q,7)=0,"",VLOOKUP(Table91213[[#This Row],[Date]],'DB Details'!$A:$Q,7))</f>
        <v>64</v>
      </c>
      <c r="H39" s="52">
        <f>IF(VLOOKUP(Table91213[[#This Row],[Date]],'DB Details'!$A:$Q,8)=0,"",VLOOKUP(Table91213[[#This Row],[Date]],'DB Details'!$A:$Q,8))</f>
        <v>53.5</v>
      </c>
      <c r="I39" s="52">
        <f>IF(VLOOKUP(Table91213[[#This Row],[Date]],'DB Details'!$A:$Q,9)=0,"",VLOOKUP(Table91213[[#This Row],[Date]],'DB Details'!$A:$Q,9))</f>
        <v>55</v>
      </c>
      <c r="J39" s="52">
        <f>IF(VLOOKUP(Table91213[[#This Row],[Date]],'DB Details'!$A:$Q,10)=0,"",VLOOKUP(Table91213[[#This Row],[Date]],'DB Details'!$A:$Q,10))</f>
        <v>54.4</v>
      </c>
      <c r="K39" s="52">
        <f>IF(VLOOKUP(Table91213[[#This Row],[Date]],'DB Details'!$A:$Q,11)=0,"",VLOOKUP(Table91213[[#This Row],[Date]],'DB Details'!$A:$Q,11))</f>
        <v>59</v>
      </c>
      <c r="L39" s="50">
        <f>IF(VLOOKUP(Table91213[[#This Row],[Date]],'DB Details'!$A:$Q,12)=0,"",VLOOKUP(Table91213[[#This Row],[Date]],'DB Details'!$A:$Q,12))</f>
        <v>58</v>
      </c>
    </row>
    <row r="40" spans="1:12" x14ac:dyDescent="0.2">
      <c r="A40" s="53">
        <v>36647</v>
      </c>
      <c r="B40" s="50">
        <f>IF(VLOOKUP(Table91213[[#This Row],[Date]],'DB Details'!$A:$Q,2)=0,"",VLOOKUP(Table91213[[#This Row],[Date]],'DB Details'!$A:$Q,2))</f>
        <v>60.5</v>
      </c>
      <c r="C40" s="51">
        <f>IF(VLOOKUP(Table91213[[#This Row],[Date]],'DB Details'!$A:$Q,3)=0,"",VLOOKUP(Table91213[[#This Row],[Date]],'DB Details'!$A:$Q,3))</f>
        <v>54.7</v>
      </c>
      <c r="D40" s="51">
        <f>IF(VLOOKUP(Table91213[[#This Row],[Date]],'DB Details'!$A:$Q,4)=0,"",VLOOKUP(Table91213[[#This Row],[Date]],'DB Details'!$A:$Q,4))</f>
        <v>53.5</v>
      </c>
      <c r="E40" s="52">
        <f>IF(VLOOKUP(Table91213[[#This Row],[Date]],'DB Details'!$A:$Q,5)=0,"",VLOOKUP(Table91213[[#This Row],[Date]],'DB Details'!$A:$Q,5))</f>
        <v>64.2</v>
      </c>
      <c r="F40" s="51">
        <f>IF(VLOOKUP(Table91213[[#This Row],[Date]],'DB Details'!$A:$Q,6)=0,"",VLOOKUP(Table91213[[#This Row],[Date]],'DB Details'!$A:$Q,6))</f>
        <v>59.8</v>
      </c>
      <c r="G40" s="52">
        <f>IF(VLOOKUP(Table91213[[#This Row],[Date]],'DB Details'!$A:$Q,7)=0,"",VLOOKUP(Table91213[[#This Row],[Date]],'DB Details'!$A:$Q,7))</f>
        <v>63</v>
      </c>
      <c r="H40" s="52">
        <f>IF(VLOOKUP(Table91213[[#This Row],[Date]],'DB Details'!$A:$Q,8)=0,"",VLOOKUP(Table91213[[#This Row],[Date]],'DB Details'!$A:$Q,8))</f>
        <v>49.5</v>
      </c>
      <c r="I40" s="52">
        <f>IF(VLOOKUP(Table91213[[#This Row],[Date]],'DB Details'!$A:$Q,9)=0,"",VLOOKUP(Table91213[[#This Row],[Date]],'DB Details'!$A:$Q,9))</f>
        <v>57</v>
      </c>
      <c r="J40" s="52">
        <f>IF(VLOOKUP(Table91213[[#This Row],[Date]],'DB Details'!$A:$Q,10)=0,"",VLOOKUP(Table91213[[#This Row],[Date]],'DB Details'!$A:$Q,10))</f>
        <v>53.5</v>
      </c>
      <c r="K40" s="52">
        <f>IF(VLOOKUP(Table91213[[#This Row],[Date]],'DB Details'!$A:$Q,11)=0,"",VLOOKUP(Table91213[[#This Row],[Date]],'DB Details'!$A:$Q,11))</f>
        <v>62</v>
      </c>
      <c r="L40" s="50">
        <f>IF(VLOOKUP(Table91213[[#This Row],[Date]],'DB Details'!$A:$Q,12)=0,"",VLOOKUP(Table91213[[#This Row],[Date]],'DB Details'!$A:$Q,12))</f>
        <v>57.7</v>
      </c>
    </row>
    <row r="41" spans="1:12" x14ac:dyDescent="0.2">
      <c r="A41" s="53">
        <v>36678</v>
      </c>
      <c r="B41" s="50">
        <f>IF(VLOOKUP(Table91213[[#This Row],[Date]],'DB Details'!$A:$Q,2)=0,"",VLOOKUP(Table91213[[#This Row],[Date]],'DB Details'!$A:$Q,2))</f>
        <v>59.4</v>
      </c>
      <c r="C41" s="51">
        <f>IF(VLOOKUP(Table91213[[#This Row],[Date]],'DB Details'!$A:$Q,3)=0,"",VLOOKUP(Table91213[[#This Row],[Date]],'DB Details'!$A:$Q,3))</f>
        <v>52.6</v>
      </c>
      <c r="D41" s="51">
        <f>IF(VLOOKUP(Table91213[[#This Row],[Date]],'DB Details'!$A:$Q,4)=0,"",VLOOKUP(Table91213[[#This Row],[Date]],'DB Details'!$A:$Q,4))</f>
        <v>56.5</v>
      </c>
      <c r="E41" s="52">
        <f>IF(VLOOKUP(Table91213[[#This Row],[Date]],'DB Details'!$A:$Q,5)=0,"",VLOOKUP(Table91213[[#This Row],[Date]],'DB Details'!$A:$Q,5))</f>
        <v>65</v>
      </c>
      <c r="F41" s="51">
        <f>IF(VLOOKUP(Table91213[[#This Row],[Date]],'DB Details'!$A:$Q,6)=0,"",VLOOKUP(Table91213[[#This Row],[Date]],'DB Details'!$A:$Q,6))</f>
        <v>60.3</v>
      </c>
      <c r="G41" s="52">
        <f>IF(VLOOKUP(Table91213[[#This Row],[Date]],'DB Details'!$A:$Q,7)=0,"",VLOOKUP(Table91213[[#This Row],[Date]],'DB Details'!$A:$Q,7))</f>
        <v>66.5</v>
      </c>
      <c r="H41" s="52">
        <f>IF(VLOOKUP(Table91213[[#This Row],[Date]],'DB Details'!$A:$Q,8)=0,"",VLOOKUP(Table91213[[#This Row],[Date]],'DB Details'!$A:$Q,8))</f>
        <v>54</v>
      </c>
      <c r="I41" s="52">
        <f>IF(VLOOKUP(Table91213[[#This Row],[Date]],'DB Details'!$A:$Q,9)=0,"",VLOOKUP(Table91213[[#This Row],[Date]],'DB Details'!$A:$Q,9))</f>
        <v>53.5</v>
      </c>
      <c r="J41" s="52">
        <f>IF(VLOOKUP(Table91213[[#This Row],[Date]],'DB Details'!$A:$Q,10)=0,"",VLOOKUP(Table91213[[#This Row],[Date]],'DB Details'!$A:$Q,10))</f>
        <v>54.4</v>
      </c>
      <c r="K41" s="52">
        <f>IF(VLOOKUP(Table91213[[#This Row],[Date]],'DB Details'!$A:$Q,11)=0,"",VLOOKUP(Table91213[[#This Row],[Date]],'DB Details'!$A:$Q,11))</f>
        <v>57</v>
      </c>
      <c r="L41" s="50">
        <f>IF(VLOOKUP(Table91213[[#This Row],[Date]],'DB Details'!$A:$Q,12)=0,"",VLOOKUP(Table91213[[#This Row],[Date]],'DB Details'!$A:$Q,12))</f>
        <v>56.9</v>
      </c>
    </row>
    <row r="42" spans="1:12" x14ac:dyDescent="0.2">
      <c r="A42" s="53">
        <v>36708</v>
      </c>
      <c r="B42" s="50">
        <f>IF(VLOOKUP(Table91213[[#This Row],[Date]],'DB Details'!$A:$Q,2)=0,"",VLOOKUP(Table91213[[#This Row],[Date]],'DB Details'!$A:$Q,2))</f>
        <v>59.7</v>
      </c>
      <c r="C42" s="51">
        <f>IF(VLOOKUP(Table91213[[#This Row],[Date]],'DB Details'!$A:$Q,3)=0,"",VLOOKUP(Table91213[[#This Row],[Date]],'DB Details'!$A:$Q,3))</f>
        <v>53.1</v>
      </c>
      <c r="D42" s="51">
        <f>IF(VLOOKUP(Table91213[[#This Row],[Date]],'DB Details'!$A:$Q,4)=0,"",VLOOKUP(Table91213[[#This Row],[Date]],'DB Details'!$A:$Q,4))</f>
        <v>50.5</v>
      </c>
      <c r="E42" s="52">
        <f>IF(VLOOKUP(Table91213[[#This Row],[Date]],'DB Details'!$A:$Q,5)=0,"",VLOOKUP(Table91213[[#This Row],[Date]],'DB Details'!$A:$Q,5))</f>
        <v>62.1</v>
      </c>
      <c r="F42" s="51">
        <f>IF(VLOOKUP(Table91213[[#This Row],[Date]],'DB Details'!$A:$Q,6)=0,"",VLOOKUP(Table91213[[#This Row],[Date]],'DB Details'!$A:$Q,6))</f>
        <v>56.5</v>
      </c>
      <c r="G42" s="52">
        <f>IF(VLOOKUP(Table91213[[#This Row],[Date]],'DB Details'!$A:$Q,7)=0,"",VLOOKUP(Table91213[[#This Row],[Date]],'DB Details'!$A:$Q,7))</f>
        <v>68</v>
      </c>
      <c r="H42" s="52">
        <f>IF(VLOOKUP(Table91213[[#This Row],[Date]],'DB Details'!$A:$Q,8)=0,"",VLOOKUP(Table91213[[#This Row],[Date]],'DB Details'!$A:$Q,8))</f>
        <v>51</v>
      </c>
      <c r="I42" s="52">
        <f>IF(VLOOKUP(Table91213[[#This Row],[Date]],'DB Details'!$A:$Q,9)=0,"",VLOOKUP(Table91213[[#This Row],[Date]],'DB Details'!$A:$Q,9))</f>
        <v>54.5</v>
      </c>
      <c r="J42" s="52">
        <f>IF(VLOOKUP(Table91213[[#This Row],[Date]],'DB Details'!$A:$Q,10)=0,"",VLOOKUP(Table91213[[#This Row],[Date]],'DB Details'!$A:$Q,10))</f>
        <v>50.5</v>
      </c>
      <c r="K42" s="52">
        <f>IF(VLOOKUP(Table91213[[#This Row],[Date]],'DB Details'!$A:$Q,11)=0,"",VLOOKUP(Table91213[[#This Row],[Date]],'DB Details'!$A:$Q,11))</f>
        <v>53</v>
      </c>
      <c r="L42" s="50">
        <f>IF(VLOOKUP(Table91213[[#This Row],[Date]],'DB Details'!$A:$Q,12)=0,"",VLOOKUP(Table91213[[#This Row],[Date]],'DB Details'!$A:$Q,12))</f>
        <v>55.3</v>
      </c>
    </row>
    <row r="43" spans="1:12" x14ac:dyDescent="0.2">
      <c r="A43" s="53">
        <v>36739</v>
      </c>
      <c r="B43" s="50">
        <f>IF(VLOOKUP(Table91213[[#This Row],[Date]],'DB Details'!$A:$Q,2)=0,"",VLOOKUP(Table91213[[#This Row],[Date]],'DB Details'!$A:$Q,2))</f>
        <v>59.8</v>
      </c>
      <c r="C43" s="51">
        <f>IF(VLOOKUP(Table91213[[#This Row],[Date]],'DB Details'!$A:$Q,3)=0,"",VLOOKUP(Table91213[[#This Row],[Date]],'DB Details'!$A:$Q,3))</f>
        <v>53.9</v>
      </c>
      <c r="D43" s="51">
        <f>IF(VLOOKUP(Table91213[[#This Row],[Date]],'DB Details'!$A:$Q,4)=0,"",VLOOKUP(Table91213[[#This Row],[Date]],'DB Details'!$A:$Q,4))</f>
        <v>52</v>
      </c>
      <c r="E43" s="52">
        <f>IF(VLOOKUP(Table91213[[#This Row],[Date]],'DB Details'!$A:$Q,5)=0,"",VLOOKUP(Table91213[[#This Row],[Date]],'DB Details'!$A:$Q,5))</f>
        <v>59.2</v>
      </c>
      <c r="F43" s="51">
        <f>IF(VLOOKUP(Table91213[[#This Row],[Date]],'DB Details'!$A:$Q,6)=0,"",VLOOKUP(Table91213[[#This Row],[Date]],'DB Details'!$A:$Q,6))</f>
        <v>61.3</v>
      </c>
      <c r="G43" s="52">
        <f>IF(VLOOKUP(Table91213[[#This Row],[Date]],'DB Details'!$A:$Q,7)=0,"",VLOOKUP(Table91213[[#This Row],[Date]],'DB Details'!$A:$Q,7))</f>
        <v>61.5</v>
      </c>
      <c r="H43" s="52">
        <f>IF(VLOOKUP(Table91213[[#This Row],[Date]],'DB Details'!$A:$Q,8)=0,"",VLOOKUP(Table91213[[#This Row],[Date]],'DB Details'!$A:$Q,8))</f>
        <v>51</v>
      </c>
      <c r="I43" s="52">
        <f>IF(VLOOKUP(Table91213[[#This Row],[Date]],'DB Details'!$A:$Q,9)=0,"",VLOOKUP(Table91213[[#This Row],[Date]],'DB Details'!$A:$Q,9))</f>
        <v>55</v>
      </c>
      <c r="J43" s="52">
        <f>IF(VLOOKUP(Table91213[[#This Row],[Date]],'DB Details'!$A:$Q,10)=0,"",VLOOKUP(Table91213[[#This Row],[Date]],'DB Details'!$A:$Q,10))</f>
        <v>54.2</v>
      </c>
      <c r="K43" s="52">
        <f>IF(VLOOKUP(Table91213[[#This Row],[Date]],'DB Details'!$A:$Q,11)=0,"",VLOOKUP(Table91213[[#This Row],[Date]],'DB Details'!$A:$Q,11))</f>
        <v>56</v>
      </c>
      <c r="L43" s="50">
        <f>IF(VLOOKUP(Table91213[[#This Row],[Date]],'DB Details'!$A:$Q,12)=0,"",VLOOKUP(Table91213[[#This Row],[Date]],'DB Details'!$A:$Q,12))</f>
        <v>57.6</v>
      </c>
    </row>
    <row r="44" spans="1:12" x14ac:dyDescent="0.2">
      <c r="A44" s="53">
        <v>36770</v>
      </c>
      <c r="B44" s="50">
        <f>IF(VLOOKUP(Table91213[[#This Row],[Date]],'DB Details'!$A:$Q,2)=0,"",VLOOKUP(Table91213[[#This Row],[Date]],'DB Details'!$A:$Q,2))</f>
        <v>60.4</v>
      </c>
      <c r="C44" s="51">
        <f>IF(VLOOKUP(Table91213[[#This Row],[Date]],'DB Details'!$A:$Q,3)=0,"",VLOOKUP(Table91213[[#This Row],[Date]],'DB Details'!$A:$Q,3))</f>
        <v>46</v>
      </c>
      <c r="D44" s="51">
        <f>IF(VLOOKUP(Table91213[[#This Row],[Date]],'DB Details'!$A:$Q,4)=0,"",VLOOKUP(Table91213[[#This Row],[Date]],'DB Details'!$A:$Q,4))</f>
        <v>56.5</v>
      </c>
      <c r="E44" s="52">
        <f>IF(VLOOKUP(Table91213[[#This Row],[Date]],'DB Details'!$A:$Q,5)=0,"",VLOOKUP(Table91213[[#This Row],[Date]],'DB Details'!$A:$Q,5))</f>
        <v>62.1</v>
      </c>
      <c r="F44" s="51">
        <f>IF(VLOOKUP(Table91213[[#This Row],[Date]],'DB Details'!$A:$Q,6)=0,"",VLOOKUP(Table91213[[#This Row],[Date]],'DB Details'!$A:$Q,6))</f>
        <v>59.8</v>
      </c>
      <c r="G44" s="52">
        <f>IF(VLOOKUP(Table91213[[#This Row],[Date]],'DB Details'!$A:$Q,7)=0,"",VLOOKUP(Table91213[[#This Row],[Date]],'DB Details'!$A:$Q,7))</f>
        <v>65</v>
      </c>
      <c r="H44" s="52">
        <f>IF(VLOOKUP(Table91213[[#This Row],[Date]],'DB Details'!$A:$Q,8)=0,"",VLOOKUP(Table91213[[#This Row],[Date]],'DB Details'!$A:$Q,8))</f>
        <v>53.5</v>
      </c>
      <c r="I44" s="52">
        <f>IF(VLOOKUP(Table91213[[#This Row],[Date]],'DB Details'!$A:$Q,9)=0,"",VLOOKUP(Table91213[[#This Row],[Date]],'DB Details'!$A:$Q,9))</f>
        <v>53</v>
      </c>
      <c r="J44" s="52">
        <f>IF(VLOOKUP(Table91213[[#This Row],[Date]],'DB Details'!$A:$Q,10)=0,"",VLOOKUP(Table91213[[#This Row],[Date]],'DB Details'!$A:$Q,10))</f>
        <v>53.5</v>
      </c>
      <c r="K44" s="52">
        <f>IF(VLOOKUP(Table91213[[#This Row],[Date]],'DB Details'!$A:$Q,11)=0,"",VLOOKUP(Table91213[[#This Row],[Date]],'DB Details'!$A:$Q,11))</f>
        <v>51.5</v>
      </c>
      <c r="L44" s="50">
        <f>IF(VLOOKUP(Table91213[[#This Row],[Date]],'DB Details'!$A:$Q,12)=0,"",VLOOKUP(Table91213[[#This Row],[Date]],'DB Details'!$A:$Q,12))</f>
        <v>56.7</v>
      </c>
    </row>
    <row r="45" spans="1:12" x14ac:dyDescent="0.2">
      <c r="A45" s="53">
        <v>36800</v>
      </c>
      <c r="B45" s="50">
        <f>IF(VLOOKUP(Table91213[[#This Row],[Date]],'DB Details'!$A:$Q,2)=0,"",VLOOKUP(Table91213[[#This Row],[Date]],'DB Details'!$A:$Q,2))</f>
        <v>59.2</v>
      </c>
      <c r="C45" s="51">
        <f>IF(VLOOKUP(Table91213[[#This Row],[Date]],'DB Details'!$A:$Q,3)=0,"",VLOOKUP(Table91213[[#This Row],[Date]],'DB Details'!$A:$Q,3))</f>
        <v>58.9</v>
      </c>
      <c r="D45" s="51">
        <f>IF(VLOOKUP(Table91213[[#This Row],[Date]],'DB Details'!$A:$Q,4)=0,"",VLOOKUP(Table91213[[#This Row],[Date]],'DB Details'!$A:$Q,4))</f>
        <v>53.5</v>
      </c>
      <c r="E45" s="52">
        <f>IF(VLOOKUP(Table91213[[#This Row],[Date]],'DB Details'!$A:$Q,5)=0,"",VLOOKUP(Table91213[[#This Row],[Date]],'DB Details'!$A:$Q,5))</f>
        <v>63.7</v>
      </c>
      <c r="F45" s="51">
        <f>IF(VLOOKUP(Table91213[[#This Row],[Date]],'DB Details'!$A:$Q,6)=0,"",VLOOKUP(Table91213[[#This Row],[Date]],'DB Details'!$A:$Q,6))</f>
        <v>58.6</v>
      </c>
      <c r="G45" s="52">
        <f>IF(VLOOKUP(Table91213[[#This Row],[Date]],'DB Details'!$A:$Q,7)=0,"",VLOOKUP(Table91213[[#This Row],[Date]],'DB Details'!$A:$Q,7))</f>
        <v>67.5</v>
      </c>
      <c r="H45" s="52">
        <f>IF(VLOOKUP(Table91213[[#This Row],[Date]],'DB Details'!$A:$Q,8)=0,"",VLOOKUP(Table91213[[#This Row],[Date]],'DB Details'!$A:$Q,8))</f>
        <v>55</v>
      </c>
      <c r="I45" s="52">
        <f>IF(VLOOKUP(Table91213[[#This Row],[Date]],'DB Details'!$A:$Q,9)=0,"",VLOOKUP(Table91213[[#This Row],[Date]],'DB Details'!$A:$Q,9))</f>
        <v>54.5</v>
      </c>
      <c r="J45" s="52">
        <f>IF(VLOOKUP(Table91213[[#This Row],[Date]],'DB Details'!$A:$Q,10)=0,"",VLOOKUP(Table91213[[#This Row],[Date]],'DB Details'!$A:$Q,10))</f>
        <v>54.5</v>
      </c>
      <c r="K45" s="52">
        <f>IF(VLOOKUP(Table91213[[#This Row],[Date]],'DB Details'!$A:$Q,11)=0,"",VLOOKUP(Table91213[[#This Row],[Date]],'DB Details'!$A:$Q,11))</f>
        <v>55</v>
      </c>
      <c r="L45" s="50">
        <f>IF(VLOOKUP(Table91213[[#This Row],[Date]],'DB Details'!$A:$Q,12)=0,"",VLOOKUP(Table91213[[#This Row],[Date]],'DB Details'!$A:$Q,12))</f>
        <v>56.7</v>
      </c>
    </row>
    <row r="46" spans="1:12" x14ac:dyDescent="0.2">
      <c r="A46" s="53">
        <v>36831</v>
      </c>
      <c r="B46" s="50">
        <f>IF(VLOOKUP(Table91213[[#This Row],[Date]],'DB Details'!$A:$Q,2)=0,"",VLOOKUP(Table91213[[#This Row],[Date]],'DB Details'!$A:$Q,2))</f>
        <v>56.4</v>
      </c>
      <c r="C46" s="51">
        <f>IF(VLOOKUP(Table91213[[#This Row],[Date]],'DB Details'!$A:$Q,3)=0,"",VLOOKUP(Table91213[[#This Row],[Date]],'DB Details'!$A:$Q,3))</f>
        <v>54.7</v>
      </c>
      <c r="D46" s="51">
        <f>IF(VLOOKUP(Table91213[[#This Row],[Date]],'DB Details'!$A:$Q,4)=0,"",VLOOKUP(Table91213[[#This Row],[Date]],'DB Details'!$A:$Q,4))</f>
        <v>49.5</v>
      </c>
      <c r="E46" s="52">
        <f>IF(VLOOKUP(Table91213[[#This Row],[Date]],'DB Details'!$A:$Q,5)=0,"",VLOOKUP(Table91213[[#This Row],[Date]],'DB Details'!$A:$Q,5))</f>
        <v>60.9</v>
      </c>
      <c r="F46" s="51">
        <f>IF(VLOOKUP(Table91213[[#This Row],[Date]],'DB Details'!$A:$Q,6)=0,"",VLOOKUP(Table91213[[#This Row],[Date]],'DB Details'!$A:$Q,6))</f>
        <v>59.7</v>
      </c>
      <c r="G46" s="52">
        <f>IF(VLOOKUP(Table91213[[#This Row],[Date]],'DB Details'!$A:$Q,7)=0,"",VLOOKUP(Table91213[[#This Row],[Date]],'DB Details'!$A:$Q,7))</f>
        <v>66</v>
      </c>
      <c r="H46" s="52">
        <f>IF(VLOOKUP(Table91213[[#This Row],[Date]],'DB Details'!$A:$Q,8)=0,"",VLOOKUP(Table91213[[#This Row],[Date]],'DB Details'!$A:$Q,8))</f>
        <v>49.5</v>
      </c>
      <c r="I46" s="52">
        <f>IF(VLOOKUP(Table91213[[#This Row],[Date]],'DB Details'!$A:$Q,9)=0,"",VLOOKUP(Table91213[[#This Row],[Date]],'DB Details'!$A:$Q,9))</f>
        <v>54</v>
      </c>
      <c r="J46" s="52">
        <f>IF(VLOOKUP(Table91213[[#This Row],[Date]],'DB Details'!$A:$Q,10)=0,"",VLOOKUP(Table91213[[#This Row],[Date]],'DB Details'!$A:$Q,10))</f>
        <v>54.6</v>
      </c>
      <c r="K46" s="52">
        <f>IF(VLOOKUP(Table91213[[#This Row],[Date]],'DB Details'!$A:$Q,11)=0,"",VLOOKUP(Table91213[[#This Row],[Date]],'DB Details'!$A:$Q,11))</f>
        <v>55</v>
      </c>
      <c r="L46" s="50">
        <f>IF(VLOOKUP(Table91213[[#This Row],[Date]],'DB Details'!$A:$Q,12)=0,"",VLOOKUP(Table91213[[#This Row],[Date]],'DB Details'!$A:$Q,12))</f>
        <v>56.2</v>
      </c>
    </row>
    <row r="47" spans="1:12" x14ac:dyDescent="0.2">
      <c r="A47" s="53">
        <v>36861</v>
      </c>
      <c r="B47" s="50">
        <f>IF(VLOOKUP(Table91213[[#This Row],[Date]],'DB Details'!$A:$Q,2)=0,"",VLOOKUP(Table91213[[#This Row],[Date]],'DB Details'!$A:$Q,2))</f>
        <v>54.9</v>
      </c>
      <c r="C47" s="51">
        <f>IF(VLOOKUP(Table91213[[#This Row],[Date]],'DB Details'!$A:$Q,3)=0,"",VLOOKUP(Table91213[[#This Row],[Date]],'DB Details'!$A:$Q,3))</f>
        <v>53.4</v>
      </c>
      <c r="D47" s="51">
        <f>IF(VLOOKUP(Table91213[[#This Row],[Date]],'DB Details'!$A:$Q,4)=0,"",VLOOKUP(Table91213[[#This Row],[Date]],'DB Details'!$A:$Q,4))</f>
        <v>50.5</v>
      </c>
      <c r="E47" s="52">
        <f>IF(VLOOKUP(Table91213[[#This Row],[Date]],'DB Details'!$A:$Q,5)=0,"",VLOOKUP(Table91213[[#This Row],[Date]],'DB Details'!$A:$Q,5))</f>
        <v>63.5</v>
      </c>
      <c r="F47" s="51">
        <f>IF(VLOOKUP(Table91213[[#This Row],[Date]],'DB Details'!$A:$Q,6)=0,"",VLOOKUP(Table91213[[#This Row],[Date]],'DB Details'!$A:$Q,6))</f>
        <v>57.5</v>
      </c>
      <c r="G47" s="52">
        <f>IF(VLOOKUP(Table91213[[#This Row],[Date]],'DB Details'!$A:$Q,7)=0,"",VLOOKUP(Table91213[[#This Row],[Date]],'DB Details'!$A:$Q,7))</f>
        <v>65</v>
      </c>
      <c r="H47" s="52">
        <f>IF(VLOOKUP(Table91213[[#This Row],[Date]],'DB Details'!$A:$Q,8)=0,"",VLOOKUP(Table91213[[#This Row],[Date]],'DB Details'!$A:$Q,8))</f>
        <v>48.5</v>
      </c>
      <c r="I47" s="52">
        <f>IF(VLOOKUP(Table91213[[#This Row],[Date]],'DB Details'!$A:$Q,9)=0,"",VLOOKUP(Table91213[[#This Row],[Date]],'DB Details'!$A:$Q,9))</f>
        <v>51</v>
      </c>
      <c r="J47" s="52">
        <f>IF(VLOOKUP(Table91213[[#This Row],[Date]],'DB Details'!$A:$Q,10)=0,"",VLOOKUP(Table91213[[#This Row],[Date]],'DB Details'!$A:$Q,10))</f>
        <v>52.4</v>
      </c>
      <c r="K47" s="52">
        <f>IF(VLOOKUP(Table91213[[#This Row],[Date]],'DB Details'!$A:$Q,11)=0,"",VLOOKUP(Table91213[[#This Row],[Date]],'DB Details'!$A:$Q,11))</f>
        <v>56.5</v>
      </c>
      <c r="L47" s="50">
        <f>IF(VLOOKUP(Table91213[[#This Row],[Date]],'DB Details'!$A:$Q,12)=0,"",VLOOKUP(Table91213[[#This Row],[Date]],'DB Details'!$A:$Q,12))</f>
        <v>54</v>
      </c>
    </row>
    <row r="48" spans="1:12" x14ac:dyDescent="0.2">
      <c r="A48" s="53">
        <v>36892</v>
      </c>
      <c r="B48" s="50">
        <f>IF(VLOOKUP(Table91213[[#This Row],[Date]],'DB Details'!$A:$Q,2)=0,"",VLOOKUP(Table91213[[#This Row],[Date]],'DB Details'!$A:$Q,2))</f>
        <v>50.8</v>
      </c>
      <c r="C48" s="51">
        <f>IF(VLOOKUP(Table91213[[#This Row],[Date]],'DB Details'!$A:$Q,3)=0,"",VLOOKUP(Table91213[[#This Row],[Date]],'DB Details'!$A:$Q,3))</f>
        <v>49.8</v>
      </c>
      <c r="D48" s="51">
        <f>IF(VLOOKUP(Table91213[[#This Row],[Date]],'DB Details'!$A:$Q,4)=0,"",VLOOKUP(Table91213[[#This Row],[Date]],'DB Details'!$A:$Q,4))</f>
        <v>42.5</v>
      </c>
      <c r="E48" s="52">
        <f>IF(VLOOKUP(Table91213[[#This Row],[Date]],'DB Details'!$A:$Q,5)=0,"",VLOOKUP(Table91213[[#This Row],[Date]],'DB Details'!$A:$Q,5))</f>
        <v>61.8</v>
      </c>
      <c r="F48" s="51">
        <f>IF(VLOOKUP(Table91213[[#This Row],[Date]],'DB Details'!$A:$Q,6)=0,"",VLOOKUP(Table91213[[#This Row],[Date]],'DB Details'!$A:$Q,6))</f>
        <v>52.5</v>
      </c>
      <c r="G48" s="52">
        <f>IF(VLOOKUP(Table91213[[#This Row],[Date]],'DB Details'!$A:$Q,7)=0,"",VLOOKUP(Table91213[[#This Row],[Date]],'DB Details'!$A:$Q,7))</f>
        <v>67.5</v>
      </c>
      <c r="H48" s="52">
        <f>IF(VLOOKUP(Table91213[[#This Row],[Date]],'DB Details'!$A:$Q,8)=0,"",VLOOKUP(Table91213[[#This Row],[Date]],'DB Details'!$A:$Q,8))</f>
        <v>45.5</v>
      </c>
      <c r="I48" s="52">
        <f>IF(VLOOKUP(Table91213[[#This Row],[Date]],'DB Details'!$A:$Q,9)=0,"",VLOOKUP(Table91213[[#This Row],[Date]],'DB Details'!$A:$Q,9))</f>
        <v>51.5</v>
      </c>
      <c r="J48" s="52">
        <f>IF(VLOOKUP(Table91213[[#This Row],[Date]],'DB Details'!$A:$Q,10)=0,"",VLOOKUP(Table91213[[#This Row],[Date]],'DB Details'!$A:$Q,10))</f>
        <v>51.7</v>
      </c>
      <c r="K48" s="52">
        <f>IF(VLOOKUP(Table91213[[#This Row],[Date]],'DB Details'!$A:$Q,11)=0,"",VLOOKUP(Table91213[[#This Row],[Date]],'DB Details'!$A:$Q,11))</f>
        <v>55</v>
      </c>
      <c r="L48" s="50">
        <f>IF(VLOOKUP(Table91213[[#This Row],[Date]],'DB Details'!$A:$Q,12)=0,"",VLOOKUP(Table91213[[#This Row],[Date]],'DB Details'!$A:$Q,12))</f>
        <v>51.6</v>
      </c>
    </row>
    <row r="49" spans="1:12" x14ac:dyDescent="0.2">
      <c r="A49" s="53">
        <v>36923</v>
      </c>
      <c r="B49" s="50">
        <f>IF(VLOOKUP(Table91213[[#This Row],[Date]],'DB Details'!$A:$Q,2)=0,"",VLOOKUP(Table91213[[#This Row],[Date]],'DB Details'!$A:$Q,2))</f>
        <v>51.4</v>
      </c>
      <c r="C49" s="51">
        <f>IF(VLOOKUP(Table91213[[#This Row],[Date]],'DB Details'!$A:$Q,3)=0,"",VLOOKUP(Table91213[[#This Row],[Date]],'DB Details'!$A:$Q,3))</f>
        <v>48.7</v>
      </c>
      <c r="D49" s="51">
        <f>IF(VLOOKUP(Table91213[[#This Row],[Date]],'DB Details'!$A:$Q,4)=0,"",VLOOKUP(Table91213[[#This Row],[Date]],'DB Details'!$A:$Q,4))</f>
        <v>45.5</v>
      </c>
      <c r="E49" s="52">
        <f>IF(VLOOKUP(Table91213[[#This Row],[Date]],'DB Details'!$A:$Q,5)=0,"",VLOOKUP(Table91213[[#This Row],[Date]],'DB Details'!$A:$Q,5))</f>
        <v>58.1</v>
      </c>
      <c r="F49" s="51">
        <f>IF(VLOOKUP(Table91213[[#This Row],[Date]],'DB Details'!$A:$Q,6)=0,"",VLOOKUP(Table91213[[#This Row],[Date]],'DB Details'!$A:$Q,6))</f>
        <v>51.5</v>
      </c>
      <c r="G49" s="52">
        <f>IF(VLOOKUP(Table91213[[#This Row],[Date]],'DB Details'!$A:$Q,7)=0,"",VLOOKUP(Table91213[[#This Row],[Date]],'DB Details'!$A:$Q,7))</f>
        <v>65</v>
      </c>
      <c r="H49" s="52">
        <f>IF(VLOOKUP(Table91213[[#This Row],[Date]],'DB Details'!$A:$Q,8)=0,"",VLOOKUP(Table91213[[#This Row],[Date]],'DB Details'!$A:$Q,8))</f>
        <v>47</v>
      </c>
      <c r="I49" s="52">
        <f>IF(VLOOKUP(Table91213[[#This Row],[Date]],'DB Details'!$A:$Q,9)=0,"",VLOOKUP(Table91213[[#This Row],[Date]],'DB Details'!$A:$Q,9))</f>
        <v>51.5</v>
      </c>
      <c r="J49" s="52">
        <f>IF(VLOOKUP(Table91213[[#This Row],[Date]],'DB Details'!$A:$Q,10)=0,"",VLOOKUP(Table91213[[#This Row],[Date]],'DB Details'!$A:$Q,10))</f>
        <v>50.7</v>
      </c>
      <c r="K49" s="52">
        <f>IF(VLOOKUP(Table91213[[#This Row],[Date]],'DB Details'!$A:$Q,11)=0,"",VLOOKUP(Table91213[[#This Row],[Date]],'DB Details'!$A:$Q,11))</f>
        <v>53.5</v>
      </c>
      <c r="L49" s="50">
        <f>IF(VLOOKUP(Table91213[[#This Row],[Date]],'DB Details'!$A:$Q,12)=0,"",VLOOKUP(Table91213[[#This Row],[Date]],'DB Details'!$A:$Q,12))</f>
        <v>51.3</v>
      </c>
    </row>
    <row r="50" spans="1:12" x14ac:dyDescent="0.2">
      <c r="A50" s="53">
        <v>36951</v>
      </c>
      <c r="B50" s="50">
        <f>IF(VLOOKUP(Table91213[[#This Row],[Date]],'DB Details'!$A:$Q,2)=0,"",VLOOKUP(Table91213[[#This Row],[Date]],'DB Details'!$A:$Q,2))</f>
        <v>52.6</v>
      </c>
      <c r="C50" s="51">
        <f>IF(VLOOKUP(Table91213[[#This Row],[Date]],'DB Details'!$A:$Q,3)=0,"",VLOOKUP(Table91213[[#This Row],[Date]],'DB Details'!$A:$Q,3))</f>
        <v>48.4</v>
      </c>
      <c r="D50" s="51">
        <f>IF(VLOOKUP(Table91213[[#This Row],[Date]],'DB Details'!$A:$Q,4)=0,"",VLOOKUP(Table91213[[#This Row],[Date]],'DB Details'!$A:$Q,4))</f>
        <v>47.5</v>
      </c>
      <c r="E50" s="52">
        <f>IF(VLOOKUP(Table91213[[#This Row],[Date]],'DB Details'!$A:$Q,5)=0,"",VLOOKUP(Table91213[[#This Row],[Date]],'DB Details'!$A:$Q,5))</f>
        <v>55.8</v>
      </c>
      <c r="F50" s="51">
        <f>IF(VLOOKUP(Table91213[[#This Row],[Date]],'DB Details'!$A:$Q,6)=0,"",VLOOKUP(Table91213[[#This Row],[Date]],'DB Details'!$A:$Q,6))</f>
        <v>50</v>
      </c>
      <c r="G50" s="52">
        <f>IF(VLOOKUP(Table91213[[#This Row],[Date]],'DB Details'!$A:$Q,7)=0,"",VLOOKUP(Table91213[[#This Row],[Date]],'DB Details'!$A:$Q,7))</f>
        <v>69</v>
      </c>
      <c r="H50" s="52">
        <f>IF(VLOOKUP(Table91213[[#This Row],[Date]],'DB Details'!$A:$Q,8)=0,"",VLOOKUP(Table91213[[#This Row],[Date]],'DB Details'!$A:$Q,8))</f>
        <v>49</v>
      </c>
      <c r="I50" s="52">
        <f>IF(VLOOKUP(Table91213[[#This Row],[Date]],'DB Details'!$A:$Q,9)=0,"",VLOOKUP(Table91213[[#This Row],[Date]],'DB Details'!$A:$Q,9))</f>
        <v>50.5</v>
      </c>
      <c r="J50" s="52">
        <f>IF(VLOOKUP(Table91213[[#This Row],[Date]],'DB Details'!$A:$Q,10)=0,"",VLOOKUP(Table91213[[#This Row],[Date]],'DB Details'!$A:$Q,10))</f>
        <v>49.6</v>
      </c>
      <c r="K50" s="52">
        <f>IF(VLOOKUP(Table91213[[#This Row],[Date]],'DB Details'!$A:$Q,11)=0,"",VLOOKUP(Table91213[[#This Row],[Date]],'DB Details'!$A:$Q,11))</f>
        <v>49.5</v>
      </c>
      <c r="L50" s="50">
        <f>IF(VLOOKUP(Table91213[[#This Row],[Date]],'DB Details'!$A:$Q,12)=0,"",VLOOKUP(Table91213[[#This Row],[Date]],'DB Details'!$A:$Q,12))</f>
        <v>50.7</v>
      </c>
    </row>
    <row r="51" spans="1:12" x14ac:dyDescent="0.2">
      <c r="A51" s="53">
        <v>36982</v>
      </c>
      <c r="B51" s="50">
        <f>IF(VLOOKUP(Table91213[[#This Row],[Date]],'DB Details'!$A:$Q,2)=0,"",VLOOKUP(Table91213[[#This Row],[Date]],'DB Details'!$A:$Q,2))</f>
        <v>47.2</v>
      </c>
      <c r="C51" s="51">
        <f>IF(VLOOKUP(Table91213[[#This Row],[Date]],'DB Details'!$A:$Q,3)=0,"",VLOOKUP(Table91213[[#This Row],[Date]],'DB Details'!$A:$Q,3))</f>
        <v>49.8</v>
      </c>
      <c r="D51" s="51">
        <f>IF(VLOOKUP(Table91213[[#This Row],[Date]],'DB Details'!$A:$Q,4)=0,"",VLOOKUP(Table91213[[#This Row],[Date]],'DB Details'!$A:$Q,4))</f>
        <v>44</v>
      </c>
      <c r="E51" s="52">
        <f>IF(VLOOKUP(Table91213[[#This Row],[Date]],'DB Details'!$A:$Q,5)=0,"",VLOOKUP(Table91213[[#This Row],[Date]],'DB Details'!$A:$Q,5))</f>
        <v>53.8</v>
      </c>
      <c r="F51" s="51">
        <f>IF(VLOOKUP(Table91213[[#This Row],[Date]],'DB Details'!$A:$Q,6)=0,"",VLOOKUP(Table91213[[#This Row],[Date]],'DB Details'!$A:$Q,6))</f>
        <v>48.3</v>
      </c>
      <c r="G51" s="52">
        <f>IF(VLOOKUP(Table91213[[#This Row],[Date]],'DB Details'!$A:$Q,7)=0,"",VLOOKUP(Table91213[[#This Row],[Date]],'DB Details'!$A:$Q,7))</f>
        <v>64</v>
      </c>
      <c r="H51" s="52">
        <f>IF(VLOOKUP(Table91213[[#This Row],[Date]],'DB Details'!$A:$Q,8)=0,"",VLOOKUP(Table91213[[#This Row],[Date]],'DB Details'!$A:$Q,8))</f>
        <v>45.5</v>
      </c>
      <c r="I51" s="52">
        <f>IF(VLOOKUP(Table91213[[#This Row],[Date]],'DB Details'!$A:$Q,9)=0,"",VLOOKUP(Table91213[[#This Row],[Date]],'DB Details'!$A:$Q,9))</f>
        <v>51</v>
      </c>
      <c r="J51" s="52">
        <f>IF(VLOOKUP(Table91213[[#This Row],[Date]],'DB Details'!$A:$Q,10)=0,"",VLOOKUP(Table91213[[#This Row],[Date]],'DB Details'!$A:$Q,10))</f>
        <v>46.5</v>
      </c>
      <c r="K51" s="52">
        <f>IF(VLOOKUP(Table91213[[#This Row],[Date]],'DB Details'!$A:$Q,11)=0,"",VLOOKUP(Table91213[[#This Row],[Date]],'DB Details'!$A:$Q,11))</f>
        <v>55.5</v>
      </c>
      <c r="L51" s="50">
        <f>IF(VLOOKUP(Table91213[[#This Row],[Date]],'DB Details'!$A:$Q,12)=0,"",VLOOKUP(Table91213[[#This Row],[Date]],'DB Details'!$A:$Q,12))</f>
        <v>48.3</v>
      </c>
    </row>
    <row r="52" spans="1:12" x14ac:dyDescent="0.2">
      <c r="A52" s="53">
        <v>37012</v>
      </c>
      <c r="B52" s="50">
        <f>IF(VLOOKUP(Table91213[[#This Row],[Date]],'DB Details'!$A:$Q,2)=0,"",VLOOKUP(Table91213[[#This Row],[Date]],'DB Details'!$A:$Q,2))</f>
        <v>49.3</v>
      </c>
      <c r="C52" s="51">
        <f>IF(VLOOKUP(Table91213[[#This Row],[Date]],'DB Details'!$A:$Q,3)=0,"",VLOOKUP(Table91213[[#This Row],[Date]],'DB Details'!$A:$Q,3))</f>
        <v>48.7</v>
      </c>
      <c r="D52" s="51">
        <f>IF(VLOOKUP(Table91213[[#This Row],[Date]],'DB Details'!$A:$Q,4)=0,"",VLOOKUP(Table91213[[#This Row],[Date]],'DB Details'!$A:$Q,4))</f>
        <v>46.5</v>
      </c>
      <c r="E52" s="52">
        <f>IF(VLOOKUP(Table91213[[#This Row],[Date]],'DB Details'!$A:$Q,5)=0,"",VLOOKUP(Table91213[[#This Row],[Date]],'DB Details'!$A:$Q,5))</f>
        <v>58.5</v>
      </c>
      <c r="F52" s="51">
        <f>IF(VLOOKUP(Table91213[[#This Row],[Date]],'DB Details'!$A:$Q,6)=0,"",VLOOKUP(Table91213[[#This Row],[Date]],'DB Details'!$A:$Q,6))</f>
        <v>47.9</v>
      </c>
      <c r="G52" s="52">
        <f>IF(VLOOKUP(Table91213[[#This Row],[Date]],'DB Details'!$A:$Q,7)=0,"",VLOOKUP(Table91213[[#This Row],[Date]],'DB Details'!$A:$Q,7))</f>
        <v>63.5</v>
      </c>
      <c r="H52" s="52">
        <f>IF(VLOOKUP(Table91213[[#This Row],[Date]],'DB Details'!$A:$Q,8)=0,"",VLOOKUP(Table91213[[#This Row],[Date]],'DB Details'!$A:$Q,8))</f>
        <v>47.5</v>
      </c>
      <c r="I52" s="52">
        <f>IF(VLOOKUP(Table91213[[#This Row],[Date]],'DB Details'!$A:$Q,9)=0,"",VLOOKUP(Table91213[[#This Row],[Date]],'DB Details'!$A:$Q,9))</f>
        <v>52</v>
      </c>
      <c r="J52" s="52">
        <f>IF(VLOOKUP(Table91213[[#This Row],[Date]],'DB Details'!$A:$Q,10)=0,"",VLOOKUP(Table91213[[#This Row],[Date]],'DB Details'!$A:$Q,10))</f>
        <v>46.7</v>
      </c>
      <c r="K52" s="52">
        <f>IF(VLOOKUP(Table91213[[#This Row],[Date]],'DB Details'!$A:$Q,11)=0,"",VLOOKUP(Table91213[[#This Row],[Date]],'DB Details'!$A:$Q,11))</f>
        <v>48.5</v>
      </c>
      <c r="L52" s="50">
        <f>IF(VLOOKUP(Table91213[[#This Row],[Date]],'DB Details'!$A:$Q,12)=0,"",VLOOKUP(Table91213[[#This Row],[Date]],'DB Details'!$A:$Q,12))</f>
        <v>49</v>
      </c>
    </row>
    <row r="53" spans="1:12" x14ac:dyDescent="0.2">
      <c r="A53" s="53">
        <v>37043</v>
      </c>
      <c r="B53" s="50">
        <f>IF(VLOOKUP(Table91213[[#This Row],[Date]],'DB Details'!$A:$Q,2)=0,"",VLOOKUP(Table91213[[#This Row],[Date]],'DB Details'!$A:$Q,2))</f>
        <v>52.2</v>
      </c>
      <c r="C53" s="51">
        <f>IF(VLOOKUP(Table91213[[#This Row],[Date]],'DB Details'!$A:$Q,3)=0,"",VLOOKUP(Table91213[[#This Row],[Date]],'DB Details'!$A:$Q,3))</f>
        <v>50</v>
      </c>
      <c r="D53" s="51">
        <f>IF(VLOOKUP(Table91213[[#This Row],[Date]],'DB Details'!$A:$Q,4)=0,"",VLOOKUP(Table91213[[#This Row],[Date]],'DB Details'!$A:$Q,4))</f>
        <v>49</v>
      </c>
      <c r="E53" s="52">
        <f>IF(VLOOKUP(Table91213[[#This Row],[Date]],'DB Details'!$A:$Q,5)=0,"",VLOOKUP(Table91213[[#This Row],[Date]],'DB Details'!$A:$Q,5))</f>
        <v>54.5</v>
      </c>
      <c r="F53" s="51">
        <f>IF(VLOOKUP(Table91213[[#This Row],[Date]],'DB Details'!$A:$Q,6)=0,"",VLOOKUP(Table91213[[#This Row],[Date]],'DB Details'!$A:$Q,6))</f>
        <v>51.6</v>
      </c>
      <c r="G53" s="52">
        <f>IF(VLOOKUP(Table91213[[#This Row],[Date]],'DB Details'!$A:$Q,7)=0,"",VLOOKUP(Table91213[[#This Row],[Date]],'DB Details'!$A:$Q,7))</f>
        <v>65</v>
      </c>
      <c r="H53" s="52">
        <f>IF(VLOOKUP(Table91213[[#This Row],[Date]],'DB Details'!$A:$Q,8)=0,"",VLOOKUP(Table91213[[#This Row],[Date]],'DB Details'!$A:$Q,8))</f>
        <v>48.5</v>
      </c>
      <c r="I53" s="52">
        <f>IF(VLOOKUP(Table91213[[#This Row],[Date]],'DB Details'!$A:$Q,9)=0,"",VLOOKUP(Table91213[[#This Row],[Date]],'DB Details'!$A:$Q,9))</f>
        <v>51</v>
      </c>
      <c r="J53" s="52">
        <f>IF(VLOOKUP(Table91213[[#This Row],[Date]],'DB Details'!$A:$Q,10)=0,"",VLOOKUP(Table91213[[#This Row],[Date]],'DB Details'!$A:$Q,10))</f>
        <v>45.6</v>
      </c>
      <c r="K53" s="52">
        <f>IF(VLOOKUP(Table91213[[#This Row],[Date]],'DB Details'!$A:$Q,11)=0,"",VLOOKUP(Table91213[[#This Row],[Date]],'DB Details'!$A:$Q,11))</f>
        <v>49.5</v>
      </c>
      <c r="L53" s="50">
        <f>IF(VLOOKUP(Table91213[[#This Row],[Date]],'DB Details'!$A:$Q,12)=0,"",VLOOKUP(Table91213[[#This Row],[Date]],'DB Details'!$A:$Q,12))</f>
        <v>50.1</v>
      </c>
    </row>
    <row r="54" spans="1:12" x14ac:dyDescent="0.2">
      <c r="A54" s="53">
        <v>37073</v>
      </c>
      <c r="B54" s="50">
        <f>IF(VLOOKUP(Table91213[[#This Row],[Date]],'DB Details'!$A:$Q,2)=0,"",VLOOKUP(Table91213[[#This Row],[Date]],'DB Details'!$A:$Q,2))</f>
        <v>47.5</v>
      </c>
      <c r="C54" s="51">
        <f>IF(VLOOKUP(Table91213[[#This Row],[Date]],'DB Details'!$A:$Q,3)=0,"",VLOOKUP(Table91213[[#This Row],[Date]],'DB Details'!$A:$Q,3))</f>
        <v>50.1</v>
      </c>
      <c r="D54" s="51">
        <f>IF(VLOOKUP(Table91213[[#This Row],[Date]],'DB Details'!$A:$Q,4)=0,"",VLOOKUP(Table91213[[#This Row],[Date]],'DB Details'!$A:$Q,4))</f>
        <v>42.5</v>
      </c>
      <c r="E54" s="52">
        <f>IF(VLOOKUP(Table91213[[#This Row],[Date]],'DB Details'!$A:$Q,5)=0,"",VLOOKUP(Table91213[[#This Row],[Date]],'DB Details'!$A:$Q,5))</f>
        <v>49.9</v>
      </c>
      <c r="F54" s="51">
        <f>IF(VLOOKUP(Table91213[[#This Row],[Date]],'DB Details'!$A:$Q,6)=0,"",VLOOKUP(Table91213[[#This Row],[Date]],'DB Details'!$A:$Q,6))</f>
        <v>48.1</v>
      </c>
      <c r="G54" s="52">
        <f>IF(VLOOKUP(Table91213[[#This Row],[Date]],'DB Details'!$A:$Q,7)=0,"",VLOOKUP(Table91213[[#This Row],[Date]],'DB Details'!$A:$Q,7))</f>
        <v>61.5</v>
      </c>
      <c r="H54" s="52">
        <f>IF(VLOOKUP(Table91213[[#This Row],[Date]],'DB Details'!$A:$Q,8)=0,"",VLOOKUP(Table91213[[#This Row],[Date]],'DB Details'!$A:$Q,8))</f>
        <v>46</v>
      </c>
      <c r="I54" s="52">
        <f>IF(VLOOKUP(Table91213[[#This Row],[Date]],'DB Details'!$A:$Q,9)=0,"",VLOOKUP(Table91213[[#This Row],[Date]],'DB Details'!$A:$Q,9))</f>
        <v>50.5</v>
      </c>
      <c r="J54" s="52">
        <f>IF(VLOOKUP(Table91213[[#This Row],[Date]],'DB Details'!$A:$Q,10)=0,"",VLOOKUP(Table91213[[#This Row],[Date]],'DB Details'!$A:$Q,10))</f>
        <v>46.4</v>
      </c>
      <c r="K54" s="52">
        <f>IF(VLOOKUP(Table91213[[#This Row],[Date]],'DB Details'!$A:$Q,11)=0,"",VLOOKUP(Table91213[[#This Row],[Date]],'DB Details'!$A:$Q,11))</f>
        <v>53</v>
      </c>
      <c r="L54" s="50">
        <f>IF(VLOOKUP(Table91213[[#This Row],[Date]],'DB Details'!$A:$Q,12)=0,"",VLOOKUP(Table91213[[#This Row],[Date]],'DB Details'!$A:$Q,12))</f>
        <v>48.1</v>
      </c>
    </row>
    <row r="55" spans="1:12" x14ac:dyDescent="0.2">
      <c r="A55" s="53">
        <v>37104</v>
      </c>
      <c r="B55" s="50">
        <f>IF(VLOOKUP(Table91213[[#This Row],[Date]],'DB Details'!$A:$Q,2)=0,"",VLOOKUP(Table91213[[#This Row],[Date]],'DB Details'!$A:$Q,2))</f>
        <v>46.5</v>
      </c>
      <c r="C55" s="51">
        <f>IF(VLOOKUP(Table91213[[#This Row],[Date]],'DB Details'!$A:$Q,3)=0,"",VLOOKUP(Table91213[[#This Row],[Date]],'DB Details'!$A:$Q,3))</f>
        <v>52.8</v>
      </c>
      <c r="D55" s="51">
        <f>IF(VLOOKUP(Table91213[[#This Row],[Date]],'DB Details'!$A:$Q,4)=0,"",VLOOKUP(Table91213[[#This Row],[Date]],'DB Details'!$A:$Q,4))</f>
        <v>41.5</v>
      </c>
      <c r="E55" s="52">
        <f>IF(VLOOKUP(Table91213[[#This Row],[Date]],'DB Details'!$A:$Q,5)=0,"",VLOOKUP(Table91213[[#This Row],[Date]],'DB Details'!$A:$Q,5))</f>
        <v>48.9</v>
      </c>
      <c r="F55" s="51">
        <f>IF(VLOOKUP(Table91213[[#This Row],[Date]],'DB Details'!$A:$Q,6)=0,"",VLOOKUP(Table91213[[#This Row],[Date]],'DB Details'!$A:$Q,6))</f>
        <v>47.4</v>
      </c>
      <c r="G55" s="52">
        <f>IF(VLOOKUP(Table91213[[#This Row],[Date]],'DB Details'!$A:$Q,7)=0,"",VLOOKUP(Table91213[[#This Row],[Date]],'DB Details'!$A:$Q,7))</f>
        <v>65.5</v>
      </c>
      <c r="H55" s="52">
        <f>IF(VLOOKUP(Table91213[[#This Row],[Date]],'DB Details'!$A:$Q,8)=0,"",VLOOKUP(Table91213[[#This Row],[Date]],'DB Details'!$A:$Q,8))</f>
        <v>43.5</v>
      </c>
      <c r="I55" s="52">
        <f>IF(VLOOKUP(Table91213[[#This Row],[Date]],'DB Details'!$A:$Q,9)=0,"",VLOOKUP(Table91213[[#This Row],[Date]],'DB Details'!$A:$Q,9))</f>
        <v>48</v>
      </c>
      <c r="J55" s="52">
        <f>IF(VLOOKUP(Table91213[[#This Row],[Date]],'DB Details'!$A:$Q,10)=0,"",VLOOKUP(Table91213[[#This Row],[Date]],'DB Details'!$A:$Q,10))</f>
        <v>45.7</v>
      </c>
      <c r="K55" s="52">
        <f>IF(VLOOKUP(Table91213[[#This Row],[Date]],'DB Details'!$A:$Q,11)=0,"",VLOOKUP(Table91213[[#This Row],[Date]],'DB Details'!$A:$Q,11))</f>
        <v>47.5</v>
      </c>
      <c r="L55" s="50">
        <f>IF(VLOOKUP(Table91213[[#This Row],[Date]],'DB Details'!$A:$Q,12)=0,"",VLOOKUP(Table91213[[#This Row],[Date]],'DB Details'!$A:$Q,12))</f>
        <v>46.9</v>
      </c>
    </row>
    <row r="56" spans="1:12" x14ac:dyDescent="0.2">
      <c r="A56" s="53">
        <v>37135</v>
      </c>
      <c r="B56" s="50">
        <f>IF(VLOOKUP(Table91213[[#This Row],[Date]],'DB Details'!$A:$Q,2)=0,"",VLOOKUP(Table91213[[#This Row],[Date]],'DB Details'!$A:$Q,2))</f>
        <v>50.8</v>
      </c>
      <c r="C56" s="51">
        <f>IF(VLOOKUP(Table91213[[#This Row],[Date]],'DB Details'!$A:$Q,3)=0,"",VLOOKUP(Table91213[[#This Row],[Date]],'DB Details'!$A:$Q,3))</f>
        <v>52.7</v>
      </c>
      <c r="D56" s="51">
        <f>IF(VLOOKUP(Table91213[[#This Row],[Date]],'DB Details'!$A:$Q,4)=0,"",VLOOKUP(Table91213[[#This Row],[Date]],'DB Details'!$A:$Q,4))</f>
        <v>48.5</v>
      </c>
      <c r="E56" s="52">
        <f>IF(VLOOKUP(Table91213[[#This Row],[Date]],'DB Details'!$A:$Q,5)=0,"",VLOOKUP(Table91213[[#This Row],[Date]],'DB Details'!$A:$Q,5))</f>
        <v>50.2</v>
      </c>
      <c r="F56" s="51">
        <f>IF(VLOOKUP(Table91213[[#This Row],[Date]],'DB Details'!$A:$Q,6)=0,"",VLOOKUP(Table91213[[#This Row],[Date]],'DB Details'!$A:$Q,6))</f>
        <v>49.7</v>
      </c>
      <c r="G56" s="52">
        <f>IF(VLOOKUP(Table91213[[#This Row],[Date]],'DB Details'!$A:$Q,7)=0,"",VLOOKUP(Table91213[[#This Row],[Date]],'DB Details'!$A:$Q,7))</f>
        <v>64</v>
      </c>
      <c r="H56" s="52">
        <f>IF(VLOOKUP(Table91213[[#This Row],[Date]],'DB Details'!$A:$Q,8)=0,"",VLOOKUP(Table91213[[#This Row],[Date]],'DB Details'!$A:$Q,8))</f>
        <v>44.5</v>
      </c>
      <c r="I56" s="52">
        <f>IF(VLOOKUP(Table91213[[#This Row],[Date]],'DB Details'!$A:$Q,9)=0,"",VLOOKUP(Table91213[[#This Row],[Date]],'DB Details'!$A:$Q,9))</f>
        <v>51</v>
      </c>
      <c r="J56" s="52">
        <f>IF(VLOOKUP(Table91213[[#This Row],[Date]],'DB Details'!$A:$Q,10)=0,"",VLOOKUP(Table91213[[#This Row],[Date]],'DB Details'!$A:$Q,10))</f>
        <v>46.4</v>
      </c>
      <c r="K56" s="52">
        <f>IF(VLOOKUP(Table91213[[#This Row],[Date]],'DB Details'!$A:$Q,11)=0,"",VLOOKUP(Table91213[[#This Row],[Date]],'DB Details'!$A:$Q,11))</f>
        <v>53.5</v>
      </c>
      <c r="L56" s="50">
        <f>IF(VLOOKUP(Table91213[[#This Row],[Date]],'DB Details'!$A:$Q,12)=0,"",VLOOKUP(Table91213[[#This Row],[Date]],'DB Details'!$A:$Q,12))</f>
        <v>49.5</v>
      </c>
    </row>
    <row r="57" spans="1:12" x14ac:dyDescent="0.2">
      <c r="A57" s="53">
        <v>37165</v>
      </c>
      <c r="B57" s="50">
        <f>IF(VLOOKUP(Table91213[[#This Row],[Date]],'DB Details'!$A:$Q,2)=0,"",VLOOKUP(Table91213[[#This Row],[Date]],'DB Details'!$A:$Q,2))</f>
        <v>41.3</v>
      </c>
      <c r="C57" s="51">
        <f>IF(VLOOKUP(Table91213[[#This Row],[Date]],'DB Details'!$A:$Q,3)=0,"",VLOOKUP(Table91213[[#This Row],[Date]],'DB Details'!$A:$Q,3))</f>
        <v>50.7</v>
      </c>
      <c r="D57" s="51">
        <f>IF(VLOOKUP(Table91213[[#This Row],[Date]],'DB Details'!$A:$Q,4)=0,"",VLOOKUP(Table91213[[#This Row],[Date]],'DB Details'!$A:$Q,4))</f>
        <v>40.5</v>
      </c>
      <c r="E57" s="52">
        <f>IF(VLOOKUP(Table91213[[#This Row],[Date]],'DB Details'!$A:$Q,5)=0,"",VLOOKUP(Table91213[[#This Row],[Date]],'DB Details'!$A:$Q,5))</f>
        <v>43.4</v>
      </c>
      <c r="F57" s="51">
        <f>IF(VLOOKUP(Table91213[[#This Row],[Date]],'DB Details'!$A:$Q,6)=0,"",VLOOKUP(Table91213[[#This Row],[Date]],'DB Details'!$A:$Q,6))</f>
        <v>40.5</v>
      </c>
      <c r="G57" s="52">
        <f>IF(VLOOKUP(Table91213[[#This Row],[Date]],'DB Details'!$A:$Q,7)=0,"",VLOOKUP(Table91213[[#This Row],[Date]],'DB Details'!$A:$Q,7))</f>
        <v>68.5</v>
      </c>
      <c r="H57" s="52">
        <f>IF(VLOOKUP(Table91213[[#This Row],[Date]],'DB Details'!$A:$Q,8)=0,"",VLOOKUP(Table91213[[#This Row],[Date]],'DB Details'!$A:$Q,8))</f>
        <v>48</v>
      </c>
      <c r="I57" s="52">
        <f>IF(VLOOKUP(Table91213[[#This Row],[Date]],'DB Details'!$A:$Q,9)=0,"",VLOOKUP(Table91213[[#This Row],[Date]],'DB Details'!$A:$Q,9))</f>
        <v>53.5</v>
      </c>
      <c r="J57" s="52">
        <f>IF(VLOOKUP(Table91213[[#This Row],[Date]],'DB Details'!$A:$Q,10)=0,"",VLOOKUP(Table91213[[#This Row],[Date]],'DB Details'!$A:$Q,10))</f>
        <v>43.9</v>
      </c>
      <c r="K57" s="52">
        <f>IF(VLOOKUP(Table91213[[#This Row],[Date]],'DB Details'!$A:$Q,11)=0,"",VLOOKUP(Table91213[[#This Row],[Date]],'DB Details'!$A:$Q,11))</f>
        <v>44.5</v>
      </c>
      <c r="L57" s="50">
        <f>IF(VLOOKUP(Table91213[[#This Row],[Date]],'DB Details'!$A:$Q,12)=0,"",VLOOKUP(Table91213[[#This Row],[Date]],'DB Details'!$A:$Q,12))</f>
        <v>44.8</v>
      </c>
    </row>
    <row r="58" spans="1:12" x14ac:dyDescent="0.2">
      <c r="A58" s="53">
        <v>37196</v>
      </c>
      <c r="B58" s="50">
        <f>IF(VLOOKUP(Table91213[[#This Row],[Date]],'DB Details'!$A:$Q,2)=0,"",VLOOKUP(Table91213[[#This Row],[Date]],'DB Details'!$A:$Q,2))</f>
        <v>46.4</v>
      </c>
      <c r="C58" s="51">
        <f>IF(VLOOKUP(Table91213[[#This Row],[Date]],'DB Details'!$A:$Q,3)=0,"",VLOOKUP(Table91213[[#This Row],[Date]],'DB Details'!$A:$Q,3))</f>
        <v>51.6</v>
      </c>
      <c r="D58" s="51">
        <f>IF(VLOOKUP(Table91213[[#This Row],[Date]],'DB Details'!$A:$Q,4)=0,"",VLOOKUP(Table91213[[#This Row],[Date]],'DB Details'!$A:$Q,4))</f>
        <v>42</v>
      </c>
      <c r="E58" s="52">
        <f>IF(VLOOKUP(Table91213[[#This Row],[Date]],'DB Details'!$A:$Q,5)=0,"",VLOOKUP(Table91213[[#This Row],[Date]],'DB Details'!$A:$Q,5))</f>
        <v>41.3</v>
      </c>
      <c r="F58" s="51">
        <f>IF(VLOOKUP(Table91213[[#This Row],[Date]],'DB Details'!$A:$Q,6)=0,"",VLOOKUP(Table91213[[#This Row],[Date]],'DB Details'!$A:$Q,6))</f>
        <v>49.4</v>
      </c>
      <c r="G58" s="52">
        <f>IF(VLOOKUP(Table91213[[#This Row],[Date]],'DB Details'!$A:$Q,7)=0,"",VLOOKUP(Table91213[[#This Row],[Date]],'DB Details'!$A:$Q,7))</f>
        <v>67</v>
      </c>
      <c r="H58" s="52">
        <f>IF(VLOOKUP(Table91213[[#This Row],[Date]],'DB Details'!$A:$Q,8)=0,"",VLOOKUP(Table91213[[#This Row],[Date]],'DB Details'!$A:$Q,8))</f>
        <v>49.5</v>
      </c>
      <c r="I58" s="52">
        <f>IF(VLOOKUP(Table91213[[#This Row],[Date]],'DB Details'!$A:$Q,9)=0,"",VLOOKUP(Table91213[[#This Row],[Date]],'DB Details'!$A:$Q,9))</f>
        <v>52.5</v>
      </c>
      <c r="J58" s="52">
        <f>IF(VLOOKUP(Table91213[[#This Row],[Date]],'DB Details'!$A:$Q,10)=0,"",VLOOKUP(Table91213[[#This Row],[Date]],'DB Details'!$A:$Q,10))</f>
        <v>44.5</v>
      </c>
      <c r="K58" s="52">
        <f>IF(VLOOKUP(Table91213[[#This Row],[Date]],'DB Details'!$A:$Q,11)=0,"",VLOOKUP(Table91213[[#This Row],[Date]],'DB Details'!$A:$Q,11))</f>
        <v>48.5</v>
      </c>
      <c r="L58" s="50">
        <f>IF(VLOOKUP(Table91213[[#This Row],[Date]],'DB Details'!$A:$Q,12)=0,"",VLOOKUP(Table91213[[#This Row],[Date]],'DB Details'!$A:$Q,12))</f>
        <v>48.2</v>
      </c>
    </row>
    <row r="59" spans="1:12" x14ac:dyDescent="0.2">
      <c r="A59" s="53">
        <v>37226</v>
      </c>
      <c r="B59" s="50">
        <f>IF(VLOOKUP(Table91213[[#This Row],[Date]],'DB Details'!$A:$Q,2)=0,"",VLOOKUP(Table91213[[#This Row],[Date]],'DB Details'!$A:$Q,2))</f>
        <v>49.9</v>
      </c>
      <c r="C59" s="51">
        <f>IF(VLOOKUP(Table91213[[#This Row],[Date]],'DB Details'!$A:$Q,3)=0,"",VLOOKUP(Table91213[[#This Row],[Date]],'DB Details'!$A:$Q,3))</f>
        <v>55.9</v>
      </c>
      <c r="D59" s="51">
        <f>IF(VLOOKUP(Table91213[[#This Row],[Date]],'DB Details'!$A:$Q,4)=0,"",VLOOKUP(Table91213[[#This Row],[Date]],'DB Details'!$A:$Q,4))</f>
        <v>46.5</v>
      </c>
      <c r="E59" s="52">
        <f>IF(VLOOKUP(Table91213[[#This Row],[Date]],'DB Details'!$A:$Q,5)=0,"",VLOOKUP(Table91213[[#This Row],[Date]],'DB Details'!$A:$Q,5))</f>
        <v>42.3</v>
      </c>
      <c r="F59" s="51">
        <f>IF(VLOOKUP(Table91213[[#This Row],[Date]],'DB Details'!$A:$Q,6)=0,"",VLOOKUP(Table91213[[#This Row],[Date]],'DB Details'!$A:$Q,6))</f>
        <v>50.7</v>
      </c>
      <c r="G59" s="52">
        <f>IF(VLOOKUP(Table91213[[#This Row],[Date]],'DB Details'!$A:$Q,7)=0,"",VLOOKUP(Table91213[[#This Row],[Date]],'DB Details'!$A:$Q,7))</f>
        <v>66.5</v>
      </c>
      <c r="H59" s="52">
        <f>IF(VLOOKUP(Table91213[[#This Row],[Date]],'DB Details'!$A:$Q,8)=0,"",VLOOKUP(Table91213[[#This Row],[Date]],'DB Details'!$A:$Q,8))</f>
        <v>48.5</v>
      </c>
      <c r="I59" s="52">
        <f>IF(VLOOKUP(Table91213[[#This Row],[Date]],'DB Details'!$A:$Q,9)=0,"",VLOOKUP(Table91213[[#This Row],[Date]],'DB Details'!$A:$Q,9))</f>
        <v>53.5</v>
      </c>
      <c r="J59" s="52">
        <f>IF(VLOOKUP(Table91213[[#This Row],[Date]],'DB Details'!$A:$Q,10)=0,"",VLOOKUP(Table91213[[#This Row],[Date]],'DB Details'!$A:$Q,10))</f>
        <v>44.6</v>
      </c>
      <c r="K59" s="52">
        <f>IF(VLOOKUP(Table91213[[#This Row],[Date]],'DB Details'!$A:$Q,11)=0,"",VLOOKUP(Table91213[[#This Row],[Date]],'DB Details'!$A:$Q,11))</f>
        <v>55</v>
      </c>
      <c r="L59" s="50">
        <f>IF(VLOOKUP(Table91213[[#This Row],[Date]],'DB Details'!$A:$Q,12)=0,"",VLOOKUP(Table91213[[#This Row],[Date]],'DB Details'!$A:$Q,12))</f>
        <v>49.7</v>
      </c>
    </row>
    <row r="60" spans="1:12" x14ac:dyDescent="0.2">
      <c r="A60" s="53">
        <v>37257</v>
      </c>
      <c r="B60" s="50">
        <f>IF(VLOOKUP(Table91213[[#This Row],[Date]],'DB Details'!$A:$Q,2)=0,"",VLOOKUP(Table91213[[#This Row],[Date]],'DB Details'!$A:$Q,2))</f>
        <v>48.3</v>
      </c>
      <c r="C60" s="51">
        <f>IF(VLOOKUP(Table91213[[#This Row],[Date]],'DB Details'!$A:$Q,3)=0,"",VLOOKUP(Table91213[[#This Row],[Date]],'DB Details'!$A:$Q,3))</f>
        <v>55.3</v>
      </c>
      <c r="D60" s="51">
        <f>IF(VLOOKUP(Table91213[[#This Row],[Date]],'DB Details'!$A:$Q,4)=0,"",VLOOKUP(Table91213[[#This Row],[Date]],'DB Details'!$A:$Q,4))</f>
        <v>45.5</v>
      </c>
      <c r="E60" s="52">
        <f>IF(VLOOKUP(Table91213[[#This Row],[Date]],'DB Details'!$A:$Q,5)=0,"",VLOOKUP(Table91213[[#This Row],[Date]],'DB Details'!$A:$Q,5))</f>
        <v>48.8</v>
      </c>
      <c r="F60" s="51">
        <f>IF(VLOOKUP(Table91213[[#This Row],[Date]],'DB Details'!$A:$Q,6)=0,"",VLOOKUP(Table91213[[#This Row],[Date]],'DB Details'!$A:$Q,6))</f>
        <v>49.8</v>
      </c>
      <c r="G60" s="52">
        <f>IF(VLOOKUP(Table91213[[#This Row],[Date]],'DB Details'!$A:$Q,7)=0,"",VLOOKUP(Table91213[[#This Row],[Date]],'DB Details'!$A:$Q,7))</f>
        <v>64.5</v>
      </c>
      <c r="H60" s="52">
        <f>IF(VLOOKUP(Table91213[[#This Row],[Date]],'DB Details'!$A:$Q,8)=0,"",VLOOKUP(Table91213[[#This Row],[Date]],'DB Details'!$A:$Q,8))</f>
        <v>47.5</v>
      </c>
      <c r="I60" s="52">
        <f>IF(VLOOKUP(Table91213[[#This Row],[Date]],'DB Details'!$A:$Q,9)=0,"",VLOOKUP(Table91213[[#This Row],[Date]],'DB Details'!$A:$Q,9))</f>
        <v>53</v>
      </c>
      <c r="J60" s="52">
        <f>IF(VLOOKUP(Table91213[[#This Row],[Date]],'DB Details'!$A:$Q,10)=0,"",VLOOKUP(Table91213[[#This Row],[Date]],'DB Details'!$A:$Q,10))</f>
        <v>44.3</v>
      </c>
      <c r="K60" s="52">
        <f>IF(VLOOKUP(Table91213[[#This Row],[Date]],'DB Details'!$A:$Q,11)=0,"",VLOOKUP(Table91213[[#This Row],[Date]],'DB Details'!$A:$Q,11))</f>
        <v>56.5</v>
      </c>
      <c r="L60" s="50">
        <f>IF(VLOOKUP(Table91213[[#This Row],[Date]],'DB Details'!$A:$Q,12)=0,"",VLOOKUP(Table91213[[#This Row],[Date]],'DB Details'!$A:$Q,12))</f>
        <v>48.9</v>
      </c>
    </row>
    <row r="61" spans="1:12" x14ac:dyDescent="0.2">
      <c r="A61" s="53">
        <v>37288</v>
      </c>
      <c r="B61" s="50">
        <f>IF(VLOOKUP(Table91213[[#This Row],[Date]],'DB Details'!$A:$Q,2)=0,"",VLOOKUP(Table91213[[#This Row],[Date]],'DB Details'!$A:$Q,2))</f>
        <v>56.3</v>
      </c>
      <c r="C61" s="51">
        <f>IF(VLOOKUP(Table91213[[#This Row],[Date]],'DB Details'!$A:$Q,3)=0,"",VLOOKUP(Table91213[[#This Row],[Date]],'DB Details'!$A:$Q,3))</f>
        <v>54.3</v>
      </c>
      <c r="D61" s="51">
        <f>IF(VLOOKUP(Table91213[[#This Row],[Date]],'DB Details'!$A:$Q,4)=0,"",VLOOKUP(Table91213[[#This Row],[Date]],'DB Details'!$A:$Q,4))</f>
        <v>47.5</v>
      </c>
      <c r="E61" s="52">
        <f>IF(VLOOKUP(Table91213[[#This Row],[Date]],'DB Details'!$A:$Q,5)=0,"",VLOOKUP(Table91213[[#This Row],[Date]],'DB Details'!$A:$Q,5))</f>
        <v>47.6</v>
      </c>
      <c r="F61" s="51">
        <f>IF(VLOOKUP(Table91213[[#This Row],[Date]],'DB Details'!$A:$Q,6)=0,"",VLOOKUP(Table91213[[#This Row],[Date]],'DB Details'!$A:$Q,6))</f>
        <v>57.5</v>
      </c>
      <c r="G61" s="52">
        <f>IF(VLOOKUP(Table91213[[#This Row],[Date]],'DB Details'!$A:$Q,7)=0,"",VLOOKUP(Table91213[[#This Row],[Date]],'DB Details'!$A:$Q,7))</f>
        <v>66.5</v>
      </c>
      <c r="H61" s="52">
        <f>IF(VLOOKUP(Table91213[[#This Row],[Date]],'DB Details'!$A:$Q,8)=0,"",VLOOKUP(Table91213[[#This Row],[Date]],'DB Details'!$A:$Q,8))</f>
        <v>51.5</v>
      </c>
      <c r="I61" s="52">
        <f>IF(VLOOKUP(Table91213[[#This Row],[Date]],'DB Details'!$A:$Q,9)=0,"",VLOOKUP(Table91213[[#This Row],[Date]],'DB Details'!$A:$Q,9))</f>
        <v>53</v>
      </c>
      <c r="J61" s="52">
        <f>IF(VLOOKUP(Table91213[[#This Row],[Date]],'DB Details'!$A:$Q,10)=0,"",VLOOKUP(Table91213[[#This Row],[Date]],'DB Details'!$A:$Q,10))</f>
        <v>43.9</v>
      </c>
      <c r="K61" s="52">
        <f>IF(VLOOKUP(Table91213[[#This Row],[Date]],'DB Details'!$A:$Q,11)=0,"",VLOOKUP(Table91213[[#This Row],[Date]],'DB Details'!$A:$Q,11))</f>
        <v>52.5</v>
      </c>
      <c r="L61" s="50">
        <f>IF(VLOOKUP(Table91213[[#This Row],[Date]],'DB Details'!$A:$Q,12)=0,"",VLOOKUP(Table91213[[#This Row],[Date]],'DB Details'!$A:$Q,12))</f>
        <v>52.7</v>
      </c>
    </row>
    <row r="62" spans="1:12" x14ac:dyDescent="0.2">
      <c r="A62" s="53">
        <v>37316</v>
      </c>
      <c r="B62" s="50">
        <f>IF(VLOOKUP(Table91213[[#This Row],[Date]],'DB Details'!$A:$Q,2)=0,"",VLOOKUP(Table91213[[#This Row],[Date]],'DB Details'!$A:$Q,2))</f>
        <v>56.4</v>
      </c>
      <c r="C62" s="51">
        <f>IF(VLOOKUP(Table91213[[#This Row],[Date]],'DB Details'!$A:$Q,3)=0,"",VLOOKUP(Table91213[[#This Row],[Date]],'DB Details'!$A:$Q,3))</f>
        <v>48.9</v>
      </c>
      <c r="D62" s="51">
        <f>IF(VLOOKUP(Table91213[[#This Row],[Date]],'DB Details'!$A:$Q,4)=0,"",VLOOKUP(Table91213[[#This Row],[Date]],'DB Details'!$A:$Q,4))</f>
        <v>49.5</v>
      </c>
      <c r="E62" s="52">
        <f>IF(VLOOKUP(Table91213[[#This Row],[Date]],'DB Details'!$A:$Q,5)=0,"",VLOOKUP(Table91213[[#This Row],[Date]],'DB Details'!$A:$Q,5))</f>
        <v>49.2</v>
      </c>
      <c r="F62" s="51">
        <f>IF(VLOOKUP(Table91213[[#This Row],[Date]],'DB Details'!$A:$Q,6)=0,"",VLOOKUP(Table91213[[#This Row],[Date]],'DB Details'!$A:$Q,6))</f>
        <v>57.1</v>
      </c>
      <c r="G62" s="52">
        <f>IF(VLOOKUP(Table91213[[#This Row],[Date]],'DB Details'!$A:$Q,7)=0,"",VLOOKUP(Table91213[[#This Row],[Date]],'DB Details'!$A:$Q,7))</f>
        <v>65.5</v>
      </c>
      <c r="H62" s="52">
        <f>IF(VLOOKUP(Table91213[[#This Row],[Date]],'DB Details'!$A:$Q,8)=0,"",VLOOKUP(Table91213[[#This Row],[Date]],'DB Details'!$A:$Q,8))</f>
        <v>50</v>
      </c>
      <c r="I62" s="52">
        <f>IF(VLOOKUP(Table91213[[#This Row],[Date]],'DB Details'!$A:$Q,9)=0,"",VLOOKUP(Table91213[[#This Row],[Date]],'DB Details'!$A:$Q,9))</f>
        <v>52</v>
      </c>
      <c r="J62" s="52">
        <f>IF(VLOOKUP(Table91213[[#This Row],[Date]],'DB Details'!$A:$Q,10)=0,"",VLOOKUP(Table91213[[#This Row],[Date]],'DB Details'!$A:$Q,10))</f>
        <v>45.8</v>
      </c>
      <c r="K62" s="52">
        <f>IF(VLOOKUP(Table91213[[#This Row],[Date]],'DB Details'!$A:$Q,11)=0,"",VLOOKUP(Table91213[[#This Row],[Date]],'DB Details'!$A:$Q,11))</f>
        <v>49.5</v>
      </c>
      <c r="L62" s="50">
        <f>IF(VLOOKUP(Table91213[[#This Row],[Date]],'DB Details'!$A:$Q,12)=0,"",VLOOKUP(Table91213[[#This Row],[Date]],'DB Details'!$A:$Q,12))</f>
        <v>52.8</v>
      </c>
    </row>
    <row r="63" spans="1:12" x14ac:dyDescent="0.2">
      <c r="A63" s="53">
        <v>37347</v>
      </c>
      <c r="B63" s="50">
        <f>IF(VLOOKUP(Table91213[[#This Row],[Date]],'DB Details'!$A:$Q,2)=0,"",VLOOKUP(Table91213[[#This Row],[Date]],'DB Details'!$A:$Q,2))</f>
        <v>58.4</v>
      </c>
      <c r="C63" s="51">
        <f>IF(VLOOKUP(Table91213[[#This Row],[Date]],'DB Details'!$A:$Q,3)=0,"",VLOOKUP(Table91213[[#This Row],[Date]],'DB Details'!$A:$Q,3))</f>
        <v>56.2</v>
      </c>
      <c r="D63" s="51">
        <f>IF(VLOOKUP(Table91213[[#This Row],[Date]],'DB Details'!$A:$Q,4)=0,"",VLOOKUP(Table91213[[#This Row],[Date]],'DB Details'!$A:$Q,4))</f>
        <v>48.5</v>
      </c>
      <c r="E63" s="52">
        <f>IF(VLOOKUP(Table91213[[#This Row],[Date]],'DB Details'!$A:$Q,5)=0,"",VLOOKUP(Table91213[[#This Row],[Date]],'DB Details'!$A:$Q,5))</f>
        <v>53.7</v>
      </c>
      <c r="F63" s="51">
        <f>IF(VLOOKUP(Table91213[[#This Row],[Date]],'DB Details'!$A:$Q,6)=0,"",VLOOKUP(Table91213[[#This Row],[Date]],'DB Details'!$A:$Q,6))</f>
        <v>56.3</v>
      </c>
      <c r="G63" s="52">
        <f>IF(VLOOKUP(Table91213[[#This Row],[Date]],'DB Details'!$A:$Q,7)=0,"",VLOOKUP(Table91213[[#This Row],[Date]],'DB Details'!$A:$Q,7))</f>
        <v>63</v>
      </c>
      <c r="H63" s="52">
        <f>IF(VLOOKUP(Table91213[[#This Row],[Date]],'DB Details'!$A:$Q,8)=0,"",VLOOKUP(Table91213[[#This Row],[Date]],'DB Details'!$A:$Q,8))</f>
        <v>52.5</v>
      </c>
      <c r="I63" s="52">
        <f>IF(VLOOKUP(Table91213[[#This Row],[Date]],'DB Details'!$A:$Q,9)=0,"",VLOOKUP(Table91213[[#This Row],[Date]],'DB Details'!$A:$Q,9))</f>
        <v>51.5</v>
      </c>
      <c r="J63" s="52">
        <f>IF(VLOOKUP(Table91213[[#This Row],[Date]],'DB Details'!$A:$Q,10)=0,"",VLOOKUP(Table91213[[#This Row],[Date]],'DB Details'!$A:$Q,10))</f>
        <v>47.8</v>
      </c>
      <c r="K63" s="52">
        <f>IF(VLOOKUP(Table91213[[#This Row],[Date]],'DB Details'!$A:$Q,11)=0,"",VLOOKUP(Table91213[[#This Row],[Date]],'DB Details'!$A:$Q,11))</f>
        <v>52.5</v>
      </c>
      <c r="L63" s="50">
        <f>IF(VLOOKUP(Table91213[[#This Row],[Date]],'DB Details'!$A:$Q,12)=0,"",VLOOKUP(Table91213[[#This Row],[Date]],'DB Details'!$A:$Q,12))</f>
        <v>53.5</v>
      </c>
    </row>
    <row r="64" spans="1:12" x14ac:dyDescent="0.2">
      <c r="A64" s="53">
        <v>37377</v>
      </c>
      <c r="B64" s="50">
        <f>IF(VLOOKUP(Table91213[[#This Row],[Date]],'DB Details'!$A:$Q,2)=0,"",VLOOKUP(Table91213[[#This Row],[Date]],'DB Details'!$A:$Q,2))</f>
        <v>57.3</v>
      </c>
      <c r="C64" s="51">
        <f>IF(VLOOKUP(Table91213[[#This Row],[Date]],'DB Details'!$A:$Q,3)=0,"",VLOOKUP(Table91213[[#This Row],[Date]],'DB Details'!$A:$Q,3))</f>
        <v>54</v>
      </c>
      <c r="D64" s="51">
        <f>IF(VLOOKUP(Table91213[[#This Row],[Date]],'DB Details'!$A:$Q,4)=0,"",VLOOKUP(Table91213[[#This Row],[Date]],'DB Details'!$A:$Q,4))</f>
        <v>53.5</v>
      </c>
      <c r="E64" s="52">
        <f>IF(VLOOKUP(Table91213[[#This Row],[Date]],'DB Details'!$A:$Q,5)=0,"",VLOOKUP(Table91213[[#This Row],[Date]],'DB Details'!$A:$Q,5))</f>
        <v>55.2</v>
      </c>
      <c r="F64" s="51">
        <f>IF(VLOOKUP(Table91213[[#This Row],[Date]],'DB Details'!$A:$Q,6)=0,"",VLOOKUP(Table91213[[#This Row],[Date]],'DB Details'!$A:$Q,6))</f>
        <v>60.5</v>
      </c>
      <c r="G64" s="52">
        <f>IF(VLOOKUP(Table91213[[#This Row],[Date]],'DB Details'!$A:$Q,7)=0,"",VLOOKUP(Table91213[[#This Row],[Date]],'DB Details'!$A:$Q,7))</f>
        <v>65</v>
      </c>
      <c r="H64" s="52">
        <f>IF(VLOOKUP(Table91213[[#This Row],[Date]],'DB Details'!$A:$Q,8)=0,"",VLOOKUP(Table91213[[#This Row],[Date]],'DB Details'!$A:$Q,8))</f>
        <v>48.5</v>
      </c>
      <c r="I64" s="52">
        <f>IF(VLOOKUP(Table91213[[#This Row],[Date]],'DB Details'!$A:$Q,9)=0,"",VLOOKUP(Table91213[[#This Row],[Date]],'DB Details'!$A:$Q,9))</f>
        <v>52</v>
      </c>
      <c r="J64" s="52">
        <f>IF(VLOOKUP(Table91213[[#This Row],[Date]],'DB Details'!$A:$Q,10)=0,"",VLOOKUP(Table91213[[#This Row],[Date]],'DB Details'!$A:$Q,10))</f>
        <v>49.2</v>
      </c>
      <c r="K64" s="52">
        <f>IF(VLOOKUP(Table91213[[#This Row],[Date]],'DB Details'!$A:$Q,11)=0,"",VLOOKUP(Table91213[[#This Row],[Date]],'DB Details'!$A:$Q,11))</f>
        <v>61.5</v>
      </c>
      <c r="L64" s="50">
        <f>IF(VLOOKUP(Table91213[[#This Row],[Date]],'DB Details'!$A:$Q,12)=0,"",VLOOKUP(Table91213[[#This Row],[Date]],'DB Details'!$A:$Q,12))</f>
        <v>54.8</v>
      </c>
    </row>
    <row r="65" spans="1:12" x14ac:dyDescent="0.2">
      <c r="A65" s="53">
        <v>37408</v>
      </c>
      <c r="B65" s="50">
        <f>IF(VLOOKUP(Table91213[[#This Row],[Date]],'DB Details'!$A:$Q,2)=0,"",VLOOKUP(Table91213[[#This Row],[Date]],'DB Details'!$A:$Q,2))</f>
        <v>56.4</v>
      </c>
      <c r="C65" s="51">
        <f>IF(VLOOKUP(Table91213[[#This Row],[Date]],'DB Details'!$A:$Q,3)=0,"",VLOOKUP(Table91213[[#This Row],[Date]],'DB Details'!$A:$Q,3))</f>
        <v>55.2</v>
      </c>
      <c r="D65" s="51">
        <f>IF(VLOOKUP(Table91213[[#This Row],[Date]],'DB Details'!$A:$Q,4)=0,"",VLOOKUP(Table91213[[#This Row],[Date]],'DB Details'!$A:$Q,4))</f>
        <v>49</v>
      </c>
      <c r="E65" s="52">
        <f>IF(VLOOKUP(Table91213[[#This Row],[Date]],'DB Details'!$A:$Q,5)=0,"",VLOOKUP(Table91213[[#This Row],[Date]],'DB Details'!$A:$Q,5))</f>
        <v>53.1</v>
      </c>
      <c r="F65" s="51">
        <f>IF(VLOOKUP(Table91213[[#This Row],[Date]],'DB Details'!$A:$Q,6)=0,"",VLOOKUP(Table91213[[#This Row],[Date]],'DB Details'!$A:$Q,6))</f>
        <v>56.1</v>
      </c>
      <c r="G65" s="52">
        <f>IF(VLOOKUP(Table91213[[#This Row],[Date]],'DB Details'!$A:$Q,7)=0,"",VLOOKUP(Table91213[[#This Row],[Date]],'DB Details'!$A:$Q,7))</f>
        <v>66</v>
      </c>
      <c r="H65" s="52">
        <f>IF(VLOOKUP(Table91213[[#This Row],[Date]],'DB Details'!$A:$Q,8)=0,"",VLOOKUP(Table91213[[#This Row],[Date]],'DB Details'!$A:$Q,8))</f>
        <v>47.5</v>
      </c>
      <c r="I65" s="52">
        <f>IF(VLOOKUP(Table91213[[#This Row],[Date]],'DB Details'!$A:$Q,9)=0,"",VLOOKUP(Table91213[[#This Row],[Date]],'DB Details'!$A:$Q,9))</f>
        <v>53.5</v>
      </c>
      <c r="J65" s="52">
        <f>IF(VLOOKUP(Table91213[[#This Row],[Date]],'DB Details'!$A:$Q,10)=0,"",VLOOKUP(Table91213[[#This Row],[Date]],'DB Details'!$A:$Q,10))</f>
        <v>44</v>
      </c>
      <c r="K65" s="52">
        <f>IF(VLOOKUP(Table91213[[#This Row],[Date]],'DB Details'!$A:$Q,11)=0,"",VLOOKUP(Table91213[[#This Row],[Date]],'DB Details'!$A:$Q,11))</f>
        <v>57.5</v>
      </c>
      <c r="L65" s="50">
        <f>IF(VLOOKUP(Table91213[[#This Row],[Date]],'DB Details'!$A:$Q,12)=0,"",VLOOKUP(Table91213[[#This Row],[Date]],'DB Details'!$A:$Q,12))</f>
        <v>52.5</v>
      </c>
    </row>
    <row r="66" spans="1:12" x14ac:dyDescent="0.2">
      <c r="A66" s="53">
        <v>37438</v>
      </c>
      <c r="B66" s="50">
        <f>IF(VLOOKUP(Table91213[[#This Row],[Date]],'DB Details'!$A:$Q,2)=0,"",VLOOKUP(Table91213[[#This Row],[Date]],'DB Details'!$A:$Q,2))</f>
        <v>50.7</v>
      </c>
      <c r="C66" s="51">
        <f>IF(VLOOKUP(Table91213[[#This Row],[Date]],'DB Details'!$A:$Q,3)=0,"",VLOOKUP(Table91213[[#This Row],[Date]],'DB Details'!$A:$Q,3))</f>
        <v>52.6</v>
      </c>
      <c r="D66" s="51">
        <f>IF(VLOOKUP(Table91213[[#This Row],[Date]],'DB Details'!$A:$Q,4)=0,"",VLOOKUP(Table91213[[#This Row],[Date]],'DB Details'!$A:$Q,4))</f>
        <v>43.5</v>
      </c>
      <c r="E66" s="52">
        <f>IF(VLOOKUP(Table91213[[#This Row],[Date]],'DB Details'!$A:$Q,5)=0,"",VLOOKUP(Table91213[[#This Row],[Date]],'DB Details'!$A:$Q,5))</f>
        <v>60.5</v>
      </c>
      <c r="F66" s="51">
        <f>IF(VLOOKUP(Table91213[[#This Row],[Date]],'DB Details'!$A:$Q,6)=0,"",VLOOKUP(Table91213[[#This Row],[Date]],'DB Details'!$A:$Q,6))</f>
        <v>52.1</v>
      </c>
      <c r="G66" s="52">
        <f>IF(VLOOKUP(Table91213[[#This Row],[Date]],'DB Details'!$A:$Q,7)=0,"",VLOOKUP(Table91213[[#This Row],[Date]],'DB Details'!$A:$Q,7))</f>
        <v>66</v>
      </c>
      <c r="H66" s="52">
        <f>IF(VLOOKUP(Table91213[[#This Row],[Date]],'DB Details'!$A:$Q,8)=0,"",VLOOKUP(Table91213[[#This Row],[Date]],'DB Details'!$A:$Q,8))</f>
        <v>52</v>
      </c>
      <c r="I66" s="52">
        <f>IF(VLOOKUP(Table91213[[#This Row],[Date]],'DB Details'!$A:$Q,9)=0,"",VLOOKUP(Table91213[[#This Row],[Date]],'DB Details'!$A:$Q,9))</f>
        <v>52.5</v>
      </c>
      <c r="J66" s="52">
        <f>IF(VLOOKUP(Table91213[[#This Row],[Date]],'DB Details'!$A:$Q,10)=0,"",VLOOKUP(Table91213[[#This Row],[Date]],'DB Details'!$A:$Q,10))</f>
        <v>46.1</v>
      </c>
      <c r="K66" s="52">
        <f>IF(VLOOKUP(Table91213[[#This Row],[Date]],'DB Details'!$A:$Q,11)=0,"",VLOOKUP(Table91213[[#This Row],[Date]],'DB Details'!$A:$Q,11))</f>
        <v>59.5</v>
      </c>
      <c r="L66" s="50">
        <f>IF(VLOOKUP(Table91213[[#This Row],[Date]],'DB Details'!$A:$Q,12)=0,"",VLOOKUP(Table91213[[#This Row],[Date]],'DB Details'!$A:$Q,12))</f>
        <v>50.4</v>
      </c>
    </row>
    <row r="67" spans="1:12" x14ac:dyDescent="0.2">
      <c r="A67" s="53">
        <v>37469</v>
      </c>
      <c r="B67" s="50">
        <f>IF(VLOOKUP(Table91213[[#This Row],[Date]],'DB Details'!$A:$Q,2)=0,"",VLOOKUP(Table91213[[#This Row],[Date]],'DB Details'!$A:$Q,2))</f>
        <v>51.6</v>
      </c>
      <c r="C67" s="51">
        <f>IF(VLOOKUP(Table91213[[#This Row],[Date]],'DB Details'!$A:$Q,3)=0,"",VLOOKUP(Table91213[[#This Row],[Date]],'DB Details'!$A:$Q,3))</f>
        <v>48.3</v>
      </c>
      <c r="D67" s="51">
        <f>IF(VLOOKUP(Table91213[[#This Row],[Date]],'DB Details'!$A:$Q,4)=0,"",VLOOKUP(Table91213[[#This Row],[Date]],'DB Details'!$A:$Q,4))</f>
        <v>48</v>
      </c>
      <c r="E67" s="52">
        <f>IF(VLOOKUP(Table91213[[#This Row],[Date]],'DB Details'!$A:$Q,5)=0,"",VLOOKUP(Table91213[[#This Row],[Date]],'DB Details'!$A:$Q,5))</f>
        <v>55.1</v>
      </c>
      <c r="F67" s="51">
        <f>IF(VLOOKUP(Table91213[[#This Row],[Date]],'DB Details'!$A:$Q,6)=0,"",VLOOKUP(Table91213[[#This Row],[Date]],'DB Details'!$A:$Q,6))</f>
        <v>51.9</v>
      </c>
      <c r="G67" s="52">
        <f>IF(VLOOKUP(Table91213[[#This Row],[Date]],'DB Details'!$A:$Q,7)=0,"",VLOOKUP(Table91213[[#This Row],[Date]],'DB Details'!$A:$Q,7))</f>
        <v>62</v>
      </c>
      <c r="H67" s="52">
        <f>IF(VLOOKUP(Table91213[[#This Row],[Date]],'DB Details'!$A:$Q,8)=0,"",VLOOKUP(Table91213[[#This Row],[Date]],'DB Details'!$A:$Q,8))</f>
        <v>46</v>
      </c>
      <c r="I67" s="52">
        <f>IF(VLOOKUP(Table91213[[#This Row],[Date]],'DB Details'!$A:$Q,9)=0,"",VLOOKUP(Table91213[[#This Row],[Date]],'DB Details'!$A:$Q,9))</f>
        <v>53</v>
      </c>
      <c r="J67" s="52">
        <f>IF(VLOOKUP(Table91213[[#This Row],[Date]],'DB Details'!$A:$Q,10)=0,"",VLOOKUP(Table91213[[#This Row],[Date]],'DB Details'!$A:$Q,10))</f>
        <v>47.2</v>
      </c>
      <c r="K67" s="52">
        <f>IF(VLOOKUP(Table91213[[#This Row],[Date]],'DB Details'!$A:$Q,11)=0,"",VLOOKUP(Table91213[[#This Row],[Date]],'DB Details'!$A:$Q,11))</f>
        <v>46</v>
      </c>
      <c r="L67" s="50">
        <f>IF(VLOOKUP(Table91213[[#This Row],[Date]],'DB Details'!$A:$Q,12)=0,"",VLOOKUP(Table91213[[#This Row],[Date]],'DB Details'!$A:$Q,12))</f>
        <v>50.9</v>
      </c>
    </row>
    <row r="68" spans="1:12" x14ac:dyDescent="0.2">
      <c r="A68" s="53">
        <v>37500</v>
      </c>
      <c r="B68" s="50">
        <f>IF(VLOOKUP(Table91213[[#This Row],[Date]],'DB Details'!$A:$Q,2)=0,"",VLOOKUP(Table91213[[#This Row],[Date]],'DB Details'!$A:$Q,2))</f>
        <v>54.8</v>
      </c>
      <c r="C68" s="51">
        <f>IF(VLOOKUP(Table91213[[#This Row],[Date]],'DB Details'!$A:$Q,3)=0,"",VLOOKUP(Table91213[[#This Row],[Date]],'DB Details'!$A:$Q,3))</f>
        <v>44.7</v>
      </c>
      <c r="D68" s="51">
        <f>IF(VLOOKUP(Table91213[[#This Row],[Date]],'DB Details'!$A:$Q,4)=0,"",VLOOKUP(Table91213[[#This Row],[Date]],'DB Details'!$A:$Q,4))</f>
        <v>51</v>
      </c>
      <c r="E68" s="52">
        <f>IF(VLOOKUP(Table91213[[#This Row],[Date]],'DB Details'!$A:$Q,5)=0,"",VLOOKUP(Table91213[[#This Row],[Date]],'DB Details'!$A:$Q,5))</f>
        <v>53.4</v>
      </c>
      <c r="F68" s="51">
        <f>IF(VLOOKUP(Table91213[[#This Row],[Date]],'DB Details'!$A:$Q,6)=0,"",VLOOKUP(Table91213[[#This Row],[Date]],'DB Details'!$A:$Q,6))</f>
        <v>54.9</v>
      </c>
      <c r="G68" s="52">
        <f>IF(VLOOKUP(Table91213[[#This Row],[Date]],'DB Details'!$A:$Q,7)=0,"",VLOOKUP(Table91213[[#This Row],[Date]],'DB Details'!$A:$Q,7))</f>
        <v>66</v>
      </c>
      <c r="H68" s="52">
        <f>IF(VLOOKUP(Table91213[[#This Row],[Date]],'DB Details'!$A:$Q,8)=0,"",VLOOKUP(Table91213[[#This Row],[Date]],'DB Details'!$A:$Q,8))</f>
        <v>44.5</v>
      </c>
      <c r="I68" s="52">
        <f>IF(VLOOKUP(Table91213[[#This Row],[Date]],'DB Details'!$A:$Q,9)=0,"",VLOOKUP(Table91213[[#This Row],[Date]],'DB Details'!$A:$Q,9))</f>
        <v>52.5</v>
      </c>
      <c r="J68" s="52">
        <f>IF(VLOOKUP(Table91213[[#This Row],[Date]],'DB Details'!$A:$Q,10)=0,"",VLOOKUP(Table91213[[#This Row],[Date]],'DB Details'!$A:$Q,10))</f>
        <v>47.1</v>
      </c>
      <c r="K68" s="52">
        <f>IF(VLOOKUP(Table91213[[#This Row],[Date]],'DB Details'!$A:$Q,11)=0,"",VLOOKUP(Table91213[[#This Row],[Date]],'DB Details'!$A:$Q,11))</f>
        <v>57.5</v>
      </c>
      <c r="L68" s="50">
        <f>IF(VLOOKUP(Table91213[[#This Row],[Date]],'DB Details'!$A:$Q,12)=0,"",VLOOKUP(Table91213[[#This Row],[Date]],'DB Details'!$A:$Q,12))</f>
        <v>52.3</v>
      </c>
    </row>
    <row r="69" spans="1:12" x14ac:dyDescent="0.2">
      <c r="A69" s="53">
        <v>37530</v>
      </c>
      <c r="B69" s="50">
        <f>IF(VLOOKUP(Table91213[[#This Row],[Date]],'DB Details'!$A:$Q,2)=0,"",VLOOKUP(Table91213[[#This Row],[Date]],'DB Details'!$A:$Q,2))</f>
        <v>52.3</v>
      </c>
      <c r="C69" s="51">
        <f>IF(VLOOKUP(Table91213[[#This Row],[Date]],'DB Details'!$A:$Q,3)=0,"",VLOOKUP(Table91213[[#This Row],[Date]],'DB Details'!$A:$Q,3))</f>
        <v>54.9</v>
      </c>
      <c r="D69" s="51">
        <f>IF(VLOOKUP(Table91213[[#This Row],[Date]],'DB Details'!$A:$Q,4)=0,"",VLOOKUP(Table91213[[#This Row],[Date]],'DB Details'!$A:$Q,4))</f>
        <v>52</v>
      </c>
      <c r="E69" s="52">
        <f>IF(VLOOKUP(Table91213[[#This Row],[Date]],'DB Details'!$A:$Q,5)=0,"",VLOOKUP(Table91213[[#This Row],[Date]],'DB Details'!$A:$Q,5))</f>
        <v>56.1</v>
      </c>
      <c r="F69" s="51">
        <f>IF(VLOOKUP(Table91213[[#This Row],[Date]],'DB Details'!$A:$Q,6)=0,"",VLOOKUP(Table91213[[#This Row],[Date]],'DB Details'!$A:$Q,6))</f>
        <v>53.1</v>
      </c>
      <c r="G69" s="52">
        <f>IF(VLOOKUP(Table91213[[#This Row],[Date]],'DB Details'!$A:$Q,7)=0,"",VLOOKUP(Table91213[[#This Row],[Date]],'DB Details'!$A:$Q,7))</f>
        <v>64.5</v>
      </c>
      <c r="H69" s="52">
        <f>IF(VLOOKUP(Table91213[[#This Row],[Date]],'DB Details'!$A:$Q,8)=0,"",VLOOKUP(Table91213[[#This Row],[Date]],'DB Details'!$A:$Q,8))</f>
        <v>44</v>
      </c>
      <c r="I69" s="52">
        <f>IF(VLOOKUP(Table91213[[#This Row],[Date]],'DB Details'!$A:$Q,9)=0,"",VLOOKUP(Table91213[[#This Row],[Date]],'DB Details'!$A:$Q,9))</f>
        <v>53.5</v>
      </c>
      <c r="J69" s="52">
        <f>IF(VLOOKUP(Table91213[[#This Row],[Date]],'DB Details'!$A:$Q,10)=0,"",VLOOKUP(Table91213[[#This Row],[Date]],'DB Details'!$A:$Q,10))</f>
        <v>46.6</v>
      </c>
      <c r="K69" s="52">
        <f>IF(VLOOKUP(Table91213[[#This Row],[Date]],'DB Details'!$A:$Q,11)=0,"",VLOOKUP(Table91213[[#This Row],[Date]],'DB Details'!$A:$Q,11))</f>
        <v>49</v>
      </c>
      <c r="L69" s="50">
        <f>IF(VLOOKUP(Table91213[[#This Row],[Date]],'DB Details'!$A:$Q,12)=0,"",VLOOKUP(Table91213[[#This Row],[Date]],'DB Details'!$A:$Q,12))</f>
        <v>51.4</v>
      </c>
    </row>
    <row r="70" spans="1:12" x14ac:dyDescent="0.2">
      <c r="A70" s="53">
        <v>37561</v>
      </c>
      <c r="B70" s="50">
        <f>IF(VLOOKUP(Table91213[[#This Row],[Date]],'DB Details'!$A:$Q,2)=0,"",VLOOKUP(Table91213[[#This Row],[Date]],'DB Details'!$A:$Q,2))</f>
        <v>56.4</v>
      </c>
      <c r="C70" s="51">
        <f>IF(VLOOKUP(Table91213[[#This Row],[Date]],'DB Details'!$A:$Q,3)=0,"",VLOOKUP(Table91213[[#This Row],[Date]],'DB Details'!$A:$Q,3))</f>
        <v>55.1</v>
      </c>
      <c r="D70" s="51">
        <f>IF(VLOOKUP(Table91213[[#This Row],[Date]],'DB Details'!$A:$Q,4)=0,"",VLOOKUP(Table91213[[#This Row],[Date]],'DB Details'!$A:$Q,4))</f>
        <v>50.5</v>
      </c>
      <c r="E70" s="52">
        <f>IF(VLOOKUP(Table91213[[#This Row],[Date]],'DB Details'!$A:$Q,5)=0,"",VLOOKUP(Table91213[[#This Row],[Date]],'DB Details'!$A:$Q,5))</f>
        <v>57.6</v>
      </c>
      <c r="F70" s="51">
        <f>IF(VLOOKUP(Table91213[[#This Row],[Date]],'DB Details'!$A:$Q,6)=0,"",VLOOKUP(Table91213[[#This Row],[Date]],'DB Details'!$A:$Q,6))</f>
        <v>56.8</v>
      </c>
      <c r="G70" s="52">
        <f>IF(VLOOKUP(Table91213[[#This Row],[Date]],'DB Details'!$A:$Q,7)=0,"",VLOOKUP(Table91213[[#This Row],[Date]],'DB Details'!$A:$Q,7))</f>
        <v>61</v>
      </c>
      <c r="H70" s="52">
        <f>IF(VLOOKUP(Table91213[[#This Row],[Date]],'DB Details'!$A:$Q,8)=0,"",VLOOKUP(Table91213[[#This Row],[Date]],'DB Details'!$A:$Q,8))</f>
        <v>44</v>
      </c>
      <c r="I70" s="52">
        <f>IF(VLOOKUP(Table91213[[#This Row],[Date]],'DB Details'!$A:$Q,9)=0,"",VLOOKUP(Table91213[[#This Row],[Date]],'DB Details'!$A:$Q,9))</f>
        <v>52.5</v>
      </c>
      <c r="J70" s="52">
        <f>IF(VLOOKUP(Table91213[[#This Row],[Date]],'DB Details'!$A:$Q,10)=0,"",VLOOKUP(Table91213[[#This Row],[Date]],'DB Details'!$A:$Q,10))</f>
        <v>46</v>
      </c>
      <c r="K70" s="52">
        <f>IF(VLOOKUP(Table91213[[#This Row],[Date]],'DB Details'!$A:$Q,11)=0,"",VLOOKUP(Table91213[[#This Row],[Date]],'DB Details'!$A:$Q,11))</f>
        <v>58.5</v>
      </c>
      <c r="L70" s="50">
        <f>IF(VLOOKUP(Table91213[[#This Row],[Date]],'DB Details'!$A:$Q,12)=0,"",VLOOKUP(Table91213[[#This Row],[Date]],'DB Details'!$A:$Q,12))</f>
        <v>52.9</v>
      </c>
    </row>
    <row r="71" spans="1:12" x14ac:dyDescent="0.2">
      <c r="A71" s="53">
        <v>37591</v>
      </c>
      <c r="B71" s="50">
        <f>IF(VLOOKUP(Table91213[[#This Row],[Date]],'DB Details'!$A:$Q,2)=0,"",VLOOKUP(Table91213[[#This Row],[Date]],'DB Details'!$A:$Q,2))</f>
        <v>54.2</v>
      </c>
      <c r="C71" s="51">
        <f>IF(VLOOKUP(Table91213[[#This Row],[Date]],'DB Details'!$A:$Q,3)=0,"",VLOOKUP(Table91213[[#This Row],[Date]],'DB Details'!$A:$Q,3))</f>
        <v>51.8</v>
      </c>
      <c r="D71" s="51">
        <f>IF(VLOOKUP(Table91213[[#This Row],[Date]],'DB Details'!$A:$Q,4)=0,"",VLOOKUP(Table91213[[#This Row],[Date]],'DB Details'!$A:$Q,4))</f>
        <v>51.5</v>
      </c>
      <c r="E71" s="52">
        <f>IF(VLOOKUP(Table91213[[#This Row],[Date]],'DB Details'!$A:$Q,5)=0,"",VLOOKUP(Table91213[[#This Row],[Date]],'DB Details'!$A:$Q,5))</f>
        <v>56.5</v>
      </c>
      <c r="F71" s="51">
        <f>IF(VLOOKUP(Table91213[[#This Row],[Date]],'DB Details'!$A:$Q,6)=0,"",VLOOKUP(Table91213[[#This Row],[Date]],'DB Details'!$A:$Q,6))</f>
        <v>55.5</v>
      </c>
      <c r="G71" s="52">
        <f>IF(VLOOKUP(Table91213[[#This Row],[Date]],'DB Details'!$A:$Q,7)=0,"",VLOOKUP(Table91213[[#This Row],[Date]],'DB Details'!$A:$Q,7))</f>
        <v>63</v>
      </c>
      <c r="H71" s="52">
        <f>IF(VLOOKUP(Table91213[[#This Row],[Date]],'DB Details'!$A:$Q,8)=0,"",VLOOKUP(Table91213[[#This Row],[Date]],'DB Details'!$A:$Q,8))</f>
        <v>45.5</v>
      </c>
      <c r="I71" s="52">
        <f>IF(VLOOKUP(Table91213[[#This Row],[Date]],'DB Details'!$A:$Q,9)=0,"",VLOOKUP(Table91213[[#This Row],[Date]],'DB Details'!$A:$Q,9))</f>
        <v>52.5</v>
      </c>
      <c r="J71" s="52">
        <f>IF(VLOOKUP(Table91213[[#This Row],[Date]],'DB Details'!$A:$Q,10)=0,"",VLOOKUP(Table91213[[#This Row],[Date]],'DB Details'!$A:$Q,10))</f>
        <v>47</v>
      </c>
      <c r="K71" s="52">
        <f>IF(VLOOKUP(Table91213[[#This Row],[Date]],'DB Details'!$A:$Q,11)=0,"",VLOOKUP(Table91213[[#This Row],[Date]],'DB Details'!$A:$Q,11))</f>
        <v>54</v>
      </c>
      <c r="L71" s="50">
        <f>IF(VLOOKUP(Table91213[[#This Row],[Date]],'DB Details'!$A:$Q,12)=0,"",VLOOKUP(Table91213[[#This Row],[Date]],'DB Details'!$A:$Q,12))</f>
        <v>52.3</v>
      </c>
    </row>
    <row r="72" spans="1:12" x14ac:dyDescent="0.2">
      <c r="A72" s="53">
        <v>37622</v>
      </c>
      <c r="B72" s="50">
        <f>IF(VLOOKUP(Table91213[[#This Row],[Date]],'DB Details'!$A:$Q,2)=0,"",VLOOKUP(Table91213[[#This Row],[Date]],'DB Details'!$A:$Q,2))</f>
        <v>54.4</v>
      </c>
      <c r="C72" s="51">
        <f>IF(VLOOKUP(Table91213[[#This Row],[Date]],'DB Details'!$A:$Q,3)=0,"",VLOOKUP(Table91213[[#This Row],[Date]],'DB Details'!$A:$Q,3))</f>
        <v>56.5</v>
      </c>
      <c r="D72" s="51">
        <f>IF(VLOOKUP(Table91213[[#This Row],[Date]],'DB Details'!$A:$Q,4)=0,"",VLOOKUP(Table91213[[#This Row],[Date]],'DB Details'!$A:$Q,4))</f>
        <v>48</v>
      </c>
      <c r="E72" s="52">
        <f>IF(VLOOKUP(Table91213[[#This Row],[Date]],'DB Details'!$A:$Q,5)=0,"",VLOOKUP(Table91213[[#This Row],[Date]],'DB Details'!$A:$Q,5))</f>
        <v>58</v>
      </c>
      <c r="F72" s="51">
        <f>IF(VLOOKUP(Table91213[[#This Row],[Date]],'DB Details'!$A:$Q,6)=0,"",VLOOKUP(Table91213[[#This Row],[Date]],'DB Details'!$A:$Q,6))</f>
        <v>56.2</v>
      </c>
      <c r="G72" s="52">
        <f>IF(VLOOKUP(Table91213[[#This Row],[Date]],'DB Details'!$A:$Q,7)=0,"",VLOOKUP(Table91213[[#This Row],[Date]],'DB Details'!$A:$Q,7))</f>
        <v>64.5</v>
      </c>
      <c r="H72" s="52">
        <f>IF(VLOOKUP(Table91213[[#This Row],[Date]],'DB Details'!$A:$Q,8)=0,"",VLOOKUP(Table91213[[#This Row],[Date]],'DB Details'!$A:$Q,8))</f>
        <v>46.5</v>
      </c>
      <c r="I72" s="52">
        <f>IF(VLOOKUP(Table91213[[#This Row],[Date]],'DB Details'!$A:$Q,9)=0,"",VLOOKUP(Table91213[[#This Row],[Date]],'DB Details'!$A:$Q,9))</f>
        <v>52</v>
      </c>
      <c r="J72" s="52">
        <f>IF(VLOOKUP(Table91213[[#This Row],[Date]],'DB Details'!$A:$Q,10)=0,"",VLOOKUP(Table91213[[#This Row],[Date]],'DB Details'!$A:$Q,10))</f>
        <v>50.5</v>
      </c>
      <c r="K72" s="52">
        <f>IF(VLOOKUP(Table91213[[#This Row],[Date]],'DB Details'!$A:$Q,11)=0,"",VLOOKUP(Table91213[[#This Row],[Date]],'DB Details'!$A:$Q,11))</f>
        <v>53</v>
      </c>
      <c r="L72" s="50">
        <f>IF(VLOOKUP(Table91213[[#This Row],[Date]],'DB Details'!$A:$Q,12)=0,"",VLOOKUP(Table91213[[#This Row],[Date]],'DB Details'!$A:$Q,12))</f>
        <v>53.3</v>
      </c>
    </row>
    <row r="73" spans="1:12" x14ac:dyDescent="0.2">
      <c r="A73" s="53">
        <v>37653</v>
      </c>
      <c r="B73" s="50">
        <f>IF(VLOOKUP(Table91213[[#This Row],[Date]],'DB Details'!$A:$Q,2)=0,"",VLOOKUP(Table91213[[#This Row],[Date]],'DB Details'!$A:$Q,2))</f>
        <v>53.9</v>
      </c>
      <c r="C73" s="51">
        <f>IF(VLOOKUP(Table91213[[#This Row],[Date]],'DB Details'!$A:$Q,3)=0,"",VLOOKUP(Table91213[[#This Row],[Date]],'DB Details'!$A:$Q,3))</f>
        <v>51.5</v>
      </c>
      <c r="D73" s="51">
        <f>IF(VLOOKUP(Table91213[[#This Row],[Date]],'DB Details'!$A:$Q,4)=0,"",VLOOKUP(Table91213[[#This Row],[Date]],'DB Details'!$A:$Q,4))</f>
        <v>50</v>
      </c>
      <c r="E73" s="52">
        <f>IF(VLOOKUP(Table91213[[#This Row],[Date]],'DB Details'!$A:$Q,5)=0,"",VLOOKUP(Table91213[[#This Row],[Date]],'DB Details'!$A:$Q,5))</f>
        <v>60.5</v>
      </c>
      <c r="F73" s="51">
        <f>IF(VLOOKUP(Table91213[[#This Row],[Date]],'DB Details'!$A:$Q,6)=0,"",VLOOKUP(Table91213[[#This Row],[Date]],'DB Details'!$A:$Q,6))</f>
        <v>55.6</v>
      </c>
      <c r="G73" s="52">
        <f>IF(VLOOKUP(Table91213[[#This Row],[Date]],'DB Details'!$A:$Q,7)=0,"",VLOOKUP(Table91213[[#This Row],[Date]],'DB Details'!$A:$Q,7))</f>
        <v>66.5</v>
      </c>
      <c r="H73" s="52">
        <f>IF(VLOOKUP(Table91213[[#This Row],[Date]],'DB Details'!$A:$Q,8)=0,"",VLOOKUP(Table91213[[#This Row],[Date]],'DB Details'!$A:$Q,8))</f>
        <v>48.5</v>
      </c>
      <c r="I73" s="52">
        <f>IF(VLOOKUP(Table91213[[#This Row],[Date]],'DB Details'!$A:$Q,9)=0,"",VLOOKUP(Table91213[[#This Row],[Date]],'DB Details'!$A:$Q,9))</f>
        <v>52.5</v>
      </c>
      <c r="J73" s="52">
        <f>IF(VLOOKUP(Table91213[[#This Row],[Date]],'DB Details'!$A:$Q,10)=0,"",VLOOKUP(Table91213[[#This Row],[Date]],'DB Details'!$A:$Q,10))</f>
        <v>48.5</v>
      </c>
      <c r="K73" s="52">
        <f>IF(VLOOKUP(Table91213[[#This Row],[Date]],'DB Details'!$A:$Q,11)=0,"",VLOOKUP(Table91213[[#This Row],[Date]],'DB Details'!$A:$Q,11))</f>
        <v>58.5</v>
      </c>
      <c r="L73" s="50">
        <f>IF(VLOOKUP(Table91213[[#This Row],[Date]],'DB Details'!$A:$Q,12)=0,"",VLOOKUP(Table91213[[#This Row],[Date]],'DB Details'!$A:$Q,12))</f>
        <v>52.6</v>
      </c>
    </row>
    <row r="74" spans="1:12" x14ac:dyDescent="0.2">
      <c r="A74" s="53">
        <v>37681</v>
      </c>
      <c r="B74" s="50">
        <f>IF(VLOOKUP(Table91213[[#This Row],[Date]],'DB Details'!$A:$Q,2)=0,"",VLOOKUP(Table91213[[#This Row],[Date]],'DB Details'!$A:$Q,2))</f>
        <v>49.9</v>
      </c>
      <c r="C74" s="51">
        <f>IF(VLOOKUP(Table91213[[#This Row],[Date]],'DB Details'!$A:$Q,3)=0,"",VLOOKUP(Table91213[[#This Row],[Date]],'DB Details'!$A:$Q,3))</f>
        <v>55</v>
      </c>
      <c r="D74" s="51">
        <f>IF(VLOOKUP(Table91213[[#This Row],[Date]],'DB Details'!$A:$Q,4)=0,"",VLOOKUP(Table91213[[#This Row],[Date]],'DB Details'!$A:$Q,4))</f>
        <v>47.5</v>
      </c>
      <c r="E74" s="52">
        <f>IF(VLOOKUP(Table91213[[#This Row],[Date]],'DB Details'!$A:$Q,5)=0,"",VLOOKUP(Table91213[[#This Row],[Date]],'DB Details'!$A:$Q,5))</f>
        <v>59.4</v>
      </c>
      <c r="F74" s="51">
        <f>IF(VLOOKUP(Table91213[[#This Row],[Date]],'DB Details'!$A:$Q,6)=0,"",VLOOKUP(Table91213[[#This Row],[Date]],'DB Details'!$A:$Q,6))</f>
        <v>46.3</v>
      </c>
      <c r="G74" s="52">
        <f>IF(VLOOKUP(Table91213[[#This Row],[Date]],'DB Details'!$A:$Q,7)=0,"",VLOOKUP(Table91213[[#This Row],[Date]],'DB Details'!$A:$Q,7))</f>
        <v>66</v>
      </c>
      <c r="H74" s="52">
        <f>IF(VLOOKUP(Table91213[[#This Row],[Date]],'DB Details'!$A:$Q,8)=0,"",VLOOKUP(Table91213[[#This Row],[Date]],'DB Details'!$A:$Q,8))</f>
        <v>49.5</v>
      </c>
      <c r="I74" s="52">
        <f>IF(VLOOKUP(Table91213[[#This Row],[Date]],'DB Details'!$A:$Q,9)=0,"",VLOOKUP(Table91213[[#This Row],[Date]],'DB Details'!$A:$Q,9))</f>
        <v>52</v>
      </c>
      <c r="J74" s="52">
        <f>IF(VLOOKUP(Table91213[[#This Row],[Date]],'DB Details'!$A:$Q,10)=0,"",VLOOKUP(Table91213[[#This Row],[Date]],'DB Details'!$A:$Q,10))</f>
        <v>48.1</v>
      </c>
      <c r="K74" s="52">
        <f>IF(VLOOKUP(Table91213[[#This Row],[Date]],'DB Details'!$A:$Q,11)=0,"",VLOOKUP(Table91213[[#This Row],[Date]],'DB Details'!$A:$Q,11))</f>
        <v>48.5</v>
      </c>
      <c r="L74" s="50">
        <f>IF(VLOOKUP(Table91213[[#This Row],[Date]],'DB Details'!$A:$Q,12)=0,"",VLOOKUP(Table91213[[#This Row],[Date]],'DB Details'!$A:$Q,12))</f>
        <v>49.1</v>
      </c>
    </row>
    <row r="75" spans="1:12" x14ac:dyDescent="0.2">
      <c r="A75" s="53">
        <v>37712</v>
      </c>
      <c r="B75" s="50">
        <f>IF(VLOOKUP(Table91213[[#This Row],[Date]],'DB Details'!$A:$Q,2)=0,"",VLOOKUP(Table91213[[#This Row],[Date]],'DB Details'!$A:$Q,2))</f>
        <v>50.4</v>
      </c>
      <c r="C75" s="51">
        <f>IF(VLOOKUP(Table91213[[#This Row],[Date]],'DB Details'!$A:$Q,3)=0,"",VLOOKUP(Table91213[[#This Row],[Date]],'DB Details'!$A:$Q,3))</f>
        <v>50</v>
      </c>
      <c r="D75" s="51">
        <f>IF(VLOOKUP(Table91213[[#This Row],[Date]],'DB Details'!$A:$Q,4)=0,"",VLOOKUP(Table91213[[#This Row],[Date]],'DB Details'!$A:$Q,4))</f>
        <v>46</v>
      </c>
      <c r="E75" s="52">
        <f>IF(VLOOKUP(Table91213[[#This Row],[Date]],'DB Details'!$A:$Q,5)=0,"",VLOOKUP(Table91213[[#This Row],[Date]],'DB Details'!$A:$Q,5))</f>
        <v>55.7</v>
      </c>
      <c r="F75" s="51">
        <f>IF(VLOOKUP(Table91213[[#This Row],[Date]],'DB Details'!$A:$Q,6)=0,"",VLOOKUP(Table91213[[#This Row],[Date]],'DB Details'!$A:$Q,6))</f>
        <v>50.7</v>
      </c>
      <c r="G75" s="52">
        <f>IF(VLOOKUP(Table91213[[#This Row],[Date]],'DB Details'!$A:$Q,7)=0,"",VLOOKUP(Table91213[[#This Row],[Date]],'DB Details'!$A:$Q,7))</f>
        <v>62.5</v>
      </c>
      <c r="H75" s="52">
        <f>IF(VLOOKUP(Table91213[[#This Row],[Date]],'DB Details'!$A:$Q,8)=0,"",VLOOKUP(Table91213[[#This Row],[Date]],'DB Details'!$A:$Q,8))</f>
        <v>51</v>
      </c>
      <c r="I75" s="52">
        <f>IF(VLOOKUP(Table91213[[#This Row],[Date]],'DB Details'!$A:$Q,9)=0,"",VLOOKUP(Table91213[[#This Row],[Date]],'DB Details'!$A:$Q,9))</f>
        <v>50.5</v>
      </c>
      <c r="J75" s="52">
        <f>IF(VLOOKUP(Table91213[[#This Row],[Date]],'DB Details'!$A:$Q,10)=0,"",VLOOKUP(Table91213[[#This Row],[Date]],'DB Details'!$A:$Q,10))</f>
        <v>48.7</v>
      </c>
      <c r="K75" s="52">
        <f>IF(VLOOKUP(Table91213[[#This Row],[Date]],'DB Details'!$A:$Q,11)=0,"",VLOOKUP(Table91213[[#This Row],[Date]],'DB Details'!$A:$Q,11))</f>
        <v>52.5</v>
      </c>
      <c r="L75" s="50">
        <f>IF(VLOOKUP(Table91213[[#This Row],[Date]],'DB Details'!$A:$Q,12)=0,"",VLOOKUP(Table91213[[#This Row],[Date]],'DB Details'!$A:$Q,12))</f>
        <v>50.1</v>
      </c>
    </row>
    <row r="76" spans="1:12" x14ac:dyDescent="0.2">
      <c r="A76" s="53">
        <v>37742</v>
      </c>
      <c r="B76" s="50">
        <f>IF(VLOOKUP(Table91213[[#This Row],[Date]],'DB Details'!$A:$Q,2)=0,"",VLOOKUP(Table91213[[#This Row],[Date]],'DB Details'!$A:$Q,2))</f>
        <v>55.9</v>
      </c>
      <c r="C76" s="51">
        <f>IF(VLOOKUP(Table91213[[#This Row],[Date]],'DB Details'!$A:$Q,3)=0,"",VLOOKUP(Table91213[[#This Row],[Date]],'DB Details'!$A:$Q,3))</f>
        <v>58.5</v>
      </c>
      <c r="D76" s="51">
        <f>IF(VLOOKUP(Table91213[[#This Row],[Date]],'DB Details'!$A:$Q,4)=0,"",VLOOKUP(Table91213[[#This Row],[Date]],'DB Details'!$A:$Q,4))</f>
        <v>51</v>
      </c>
      <c r="E76" s="52">
        <f>IF(VLOOKUP(Table91213[[#This Row],[Date]],'DB Details'!$A:$Q,5)=0,"",VLOOKUP(Table91213[[#This Row],[Date]],'DB Details'!$A:$Q,5))</f>
        <v>50</v>
      </c>
      <c r="F76" s="51">
        <f>IF(VLOOKUP(Table91213[[#This Row],[Date]],'DB Details'!$A:$Q,6)=0,"",VLOOKUP(Table91213[[#This Row],[Date]],'DB Details'!$A:$Q,6))</f>
        <v>54.6</v>
      </c>
      <c r="G76" s="52">
        <f>IF(VLOOKUP(Table91213[[#This Row],[Date]],'DB Details'!$A:$Q,7)=0,"",VLOOKUP(Table91213[[#This Row],[Date]],'DB Details'!$A:$Q,7))</f>
        <v>63</v>
      </c>
      <c r="H76" s="52">
        <f>IF(VLOOKUP(Table91213[[#This Row],[Date]],'DB Details'!$A:$Q,8)=0,"",VLOOKUP(Table91213[[#This Row],[Date]],'DB Details'!$A:$Q,8))</f>
        <v>52.5</v>
      </c>
      <c r="I76" s="52">
        <f>IF(VLOOKUP(Table91213[[#This Row],[Date]],'DB Details'!$A:$Q,9)=0,"",VLOOKUP(Table91213[[#This Row],[Date]],'DB Details'!$A:$Q,9))</f>
        <v>52</v>
      </c>
      <c r="J76" s="52">
        <f>IF(VLOOKUP(Table91213[[#This Row],[Date]],'DB Details'!$A:$Q,10)=0,"",VLOOKUP(Table91213[[#This Row],[Date]],'DB Details'!$A:$Q,10))</f>
        <v>48.5</v>
      </c>
      <c r="K76" s="52">
        <f>IF(VLOOKUP(Table91213[[#This Row],[Date]],'DB Details'!$A:$Q,11)=0,"",VLOOKUP(Table91213[[#This Row],[Date]],'DB Details'!$A:$Q,11))</f>
        <v>49</v>
      </c>
      <c r="L76" s="50">
        <f>IF(VLOOKUP(Table91213[[#This Row],[Date]],'DB Details'!$A:$Q,12)=0,"",VLOOKUP(Table91213[[#This Row],[Date]],'DB Details'!$A:$Q,12))</f>
        <v>52.8</v>
      </c>
    </row>
    <row r="77" spans="1:12" x14ac:dyDescent="0.2">
      <c r="A77" s="53">
        <v>37773</v>
      </c>
      <c r="B77" s="50">
        <f>IF(VLOOKUP(Table91213[[#This Row],[Date]],'DB Details'!$A:$Q,2)=0,"",VLOOKUP(Table91213[[#This Row],[Date]],'DB Details'!$A:$Q,2))</f>
        <v>57.1</v>
      </c>
      <c r="C77" s="51">
        <f>IF(VLOOKUP(Table91213[[#This Row],[Date]],'DB Details'!$A:$Q,3)=0,"",VLOOKUP(Table91213[[#This Row],[Date]],'DB Details'!$A:$Q,3))</f>
        <v>50.5</v>
      </c>
      <c r="D77" s="51">
        <f>IF(VLOOKUP(Table91213[[#This Row],[Date]],'DB Details'!$A:$Q,4)=0,"",VLOOKUP(Table91213[[#This Row],[Date]],'DB Details'!$A:$Q,4))</f>
        <v>51.5</v>
      </c>
      <c r="E77" s="52">
        <f>IF(VLOOKUP(Table91213[[#This Row],[Date]],'DB Details'!$A:$Q,5)=0,"",VLOOKUP(Table91213[[#This Row],[Date]],'DB Details'!$A:$Q,5))</f>
        <v>52.3</v>
      </c>
      <c r="F77" s="51">
        <f>IF(VLOOKUP(Table91213[[#This Row],[Date]],'DB Details'!$A:$Q,6)=0,"",VLOOKUP(Table91213[[#This Row],[Date]],'DB Details'!$A:$Q,6))</f>
        <v>59.2</v>
      </c>
      <c r="G77" s="52">
        <f>IF(VLOOKUP(Table91213[[#This Row],[Date]],'DB Details'!$A:$Q,7)=0,"",VLOOKUP(Table91213[[#This Row],[Date]],'DB Details'!$A:$Q,7))</f>
        <v>62</v>
      </c>
      <c r="H77" s="52">
        <f>IF(VLOOKUP(Table91213[[#This Row],[Date]],'DB Details'!$A:$Q,8)=0,"",VLOOKUP(Table91213[[#This Row],[Date]],'DB Details'!$A:$Q,8))</f>
        <v>47</v>
      </c>
      <c r="I77" s="52">
        <f>IF(VLOOKUP(Table91213[[#This Row],[Date]],'DB Details'!$A:$Q,9)=0,"",VLOOKUP(Table91213[[#This Row],[Date]],'DB Details'!$A:$Q,9))</f>
        <v>51.5</v>
      </c>
      <c r="J77" s="52">
        <f>IF(VLOOKUP(Table91213[[#This Row],[Date]],'DB Details'!$A:$Q,10)=0,"",VLOOKUP(Table91213[[#This Row],[Date]],'DB Details'!$A:$Q,10))</f>
        <v>49.3</v>
      </c>
      <c r="K77" s="52">
        <f>IF(VLOOKUP(Table91213[[#This Row],[Date]],'DB Details'!$A:$Q,11)=0,"",VLOOKUP(Table91213[[#This Row],[Date]],'DB Details'!$A:$Q,11))</f>
        <v>49.5</v>
      </c>
      <c r="L77" s="50">
        <f>IF(VLOOKUP(Table91213[[#This Row],[Date]],'DB Details'!$A:$Q,12)=0,"",VLOOKUP(Table91213[[#This Row],[Date]],'DB Details'!$A:$Q,12))</f>
        <v>54.3</v>
      </c>
    </row>
    <row r="78" spans="1:12" x14ac:dyDescent="0.2">
      <c r="A78" s="53">
        <v>37803</v>
      </c>
      <c r="B78" s="50">
        <f>IF(VLOOKUP(Table91213[[#This Row],[Date]],'DB Details'!$A:$Q,2)=0,"",VLOOKUP(Table91213[[#This Row],[Date]],'DB Details'!$A:$Q,2))</f>
        <v>62.3</v>
      </c>
      <c r="C78" s="51">
        <f>IF(VLOOKUP(Table91213[[#This Row],[Date]],'DB Details'!$A:$Q,3)=0,"",VLOOKUP(Table91213[[#This Row],[Date]],'DB Details'!$A:$Q,3))</f>
        <v>54</v>
      </c>
      <c r="D78" s="51">
        <f>IF(VLOOKUP(Table91213[[#This Row],[Date]],'DB Details'!$A:$Q,4)=0,"",VLOOKUP(Table91213[[#This Row],[Date]],'DB Details'!$A:$Q,4))</f>
        <v>54.5</v>
      </c>
      <c r="E78" s="52">
        <f>IF(VLOOKUP(Table91213[[#This Row],[Date]],'DB Details'!$A:$Q,5)=0,"",VLOOKUP(Table91213[[#This Row],[Date]],'DB Details'!$A:$Q,5))</f>
        <v>51.4</v>
      </c>
      <c r="F78" s="51">
        <f>IF(VLOOKUP(Table91213[[#This Row],[Date]],'DB Details'!$A:$Q,6)=0,"",VLOOKUP(Table91213[[#This Row],[Date]],'DB Details'!$A:$Q,6))</f>
        <v>62.7</v>
      </c>
      <c r="G78" s="52">
        <f>IF(VLOOKUP(Table91213[[#This Row],[Date]],'DB Details'!$A:$Q,7)=0,"",VLOOKUP(Table91213[[#This Row],[Date]],'DB Details'!$A:$Q,7))</f>
        <v>60</v>
      </c>
      <c r="H78" s="52">
        <f>IF(VLOOKUP(Table91213[[#This Row],[Date]],'DB Details'!$A:$Q,8)=0,"",VLOOKUP(Table91213[[#This Row],[Date]],'DB Details'!$A:$Q,8))</f>
        <v>49.5</v>
      </c>
      <c r="I78" s="52">
        <f>IF(VLOOKUP(Table91213[[#This Row],[Date]],'DB Details'!$A:$Q,9)=0,"",VLOOKUP(Table91213[[#This Row],[Date]],'DB Details'!$A:$Q,9))</f>
        <v>53.5</v>
      </c>
      <c r="J78" s="52">
        <f>IF(VLOOKUP(Table91213[[#This Row],[Date]],'DB Details'!$A:$Q,10)=0,"",VLOOKUP(Table91213[[#This Row],[Date]],'DB Details'!$A:$Q,10))</f>
        <v>50.5</v>
      </c>
      <c r="K78" s="52">
        <f>IF(VLOOKUP(Table91213[[#This Row],[Date]],'DB Details'!$A:$Q,11)=0,"",VLOOKUP(Table91213[[#This Row],[Date]],'DB Details'!$A:$Q,11))</f>
        <v>47.5</v>
      </c>
      <c r="L78" s="50">
        <f>IF(VLOOKUP(Table91213[[#This Row],[Date]],'DB Details'!$A:$Q,12)=0,"",VLOOKUP(Table91213[[#This Row],[Date]],'DB Details'!$A:$Q,12))</f>
        <v>57.3</v>
      </c>
    </row>
    <row r="79" spans="1:12" x14ac:dyDescent="0.2">
      <c r="A79" s="53">
        <v>37834</v>
      </c>
      <c r="B79" s="50">
        <f>IF(VLOOKUP(Table91213[[#This Row],[Date]],'DB Details'!$A:$Q,2)=0,"",VLOOKUP(Table91213[[#This Row],[Date]],'DB Details'!$A:$Q,2))</f>
        <v>66.900000000000006</v>
      </c>
      <c r="C79" s="51">
        <f>IF(VLOOKUP(Table91213[[#This Row],[Date]],'DB Details'!$A:$Q,3)=0,"",VLOOKUP(Table91213[[#This Row],[Date]],'DB Details'!$A:$Q,3))</f>
        <v>60</v>
      </c>
      <c r="D79" s="51">
        <f>IF(VLOOKUP(Table91213[[#This Row],[Date]],'DB Details'!$A:$Q,4)=0,"",VLOOKUP(Table91213[[#This Row],[Date]],'DB Details'!$A:$Q,4))</f>
        <v>51.5</v>
      </c>
      <c r="E79" s="52">
        <f>IF(VLOOKUP(Table91213[[#This Row],[Date]],'DB Details'!$A:$Q,5)=0,"",VLOOKUP(Table91213[[#This Row],[Date]],'DB Details'!$A:$Q,5))</f>
        <v>56.1</v>
      </c>
      <c r="F79" s="51">
        <f>IF(VLOOKUP(Table91213[[#This Row],[Date]],'DB Details'!$A:$Q,6)=0,"",VLOOKUP(Table91213[[#This Row],[Date]],'DB Details'!$A:$Q,6))</f>
        <v>65.099999999999994</v>
      </c>
      <c r="G79" s="52">
        <f>IF(VLOOKUP(Table91213[[#This Row],[Date]],'DB Details'!$A:$Q,7)=0,"",VLOOKUP(Table91213[[#This Row],[Date]],'DB Details'!$A:$Q,7))</f>
        <v>62</v>
      </c>
      <c r="H79" s="52">
        <f>IF(VLOOKUP(Table91213[[#This Row],[Date]],'DB Details'!$A:$Q,8)=0,"",VLOOKUP(Table91213[[#This Row],[Date]],'DB Details'!$A:$Q,8))</f>
        <v>49</v>
      </c>
      <c r="I79" s="52">
        <f>IF(VLOOKUP(Table91213[[#This Row],[Date]],'DB Details'!$A:$Q,9)=0,"",VLOOKUP(Table91213[[#This Row],[Date]],'DB Details'!$A:$Q,9))</f>
        <v>52.5</v>
      </c>
      <c r="J79" s="52">
        <f>IF(VLOOKUP(Table91213[[#This Row],[Date]],'DB Details'!$A:$Q,10)=0,"",VLOOKUP(Table91213[[#This Row],[Date]],'DB Details'!$A:$Q,10))</f>
        <v>51.7</v>
      </c>
      <c r="K79" s="52">
        <f>IF(VLOOKUP(Table91213[[#This Row],[Date]],'DB Details'!$A:$Q,11)=0,"",VLOOKUP(Table91213[[#This Row],[Date]],'DB Details'!$A:$Q,11))</f>
        <v>58.5</v>
      </c>
      <c r="L79" s="50">
        <f>IF(VLOOKUP(Table91213[[#This Row],[Date]],'DB Details'!$A:$Q,12)=0,"",VLOOKUP(Table91213[[#This Row],[Date]],'DB Details'!$A:$Q,12))</f>
        <v>59.1</v>
      </c>
    </row>
    <row r="80" spans="1:12" x14ac:dyDescent="0.2">
      <c r="A80" s="53">
        <v>37865</v>
      </c>
      <c r="B80" s="50">
        <f>IF(VLOOKUP(Table91213[[#This Row],[Date]],'DB Details'!$A:$Q,2)=0,"",VLOOKUP(Table91213[[#This Row],[Date]],'DB Details'!$A:$Q,2))</f>
        <v>61.4</v>
      </c>
      <c r="C80" s="51">
        <f>IF(VLOOKUP(Table91213[[#This Row],[Date]],'DB Details'!$A:$Q,3)=0,"",VLOOKUP(Table91213[[#This Row],[Date]],'DB Details'!$A:$Q,3))</f>
        <v>55</v>
      </c>
      <c r="D80" s="51">
        <f>IF(VLOOKUP(Table91213[[#This Row],[Date]],'DB Details'!$A:$Q,4)=0,"",VLOOKUP(Table91213[[#This Row],[Date]],'DB Details'!$A:$Q,4))</f>
        <v>57</v>
      </c>
      <c r="E80" s="52">
        <f>IF(VLOOKUP(Table91213[[#This Row],[Date]],'DB Details'!$A:$Q,5)=0,"",VLOOKUP(Table91213[[#This Row],[Date]],'DB Details'!$A:$Q,5))</f>
        <v>59.5</v>
      </c>
      <c r="F80" s="51">
        <f>IF(VLOOKUP(Table91213[[#This Row],[Date]],'DB Details'!$A:$Q,6)=0,"",VLOOKUP(Table91213[[#This Row],[Date]],'DB Details'!$A:$Q,6))</f>
        <v>63.8</v>
      </c>
      <c r="G80" s="52">
        <f>IF(VLOOKUP(Table91213[[#This Row],[Date]],'DB Details'!$A:$Q,7)=0,"",VLOOKUP(Table91213[[#This Row],[Date]],'DB Details'!$A:$Q,7))</f>
        <v>60.5</v>
      </c>
      <c r="H80" s="52">
        <f>IF(VLOOKUP(Table91213[[#This Row],[Date]],'DB Details'!$A:$Q,8)=0,"",VLOOKUP(Table91213[[#This Row],[Date]],'DB Details'!$A:$Q,8))</f>
        <v>47.5</v>
      </c>
      <c r="I80" s="52">
        <f>IF(VLOOKUP(Table91213[[#This Row],[Date]],'DB Details'!$A:$Q,9)=0,"",VLOOKUP(Table91213[[#This Row],[Date]],'DB Details'!$A:$Q,9))</f>
        <v>55</v>
      </c>
      <c r="J80" s="52">
        <f>IF(VLOOKUP(Table91213[[#This Row],[Date]],'DB Details'!$A:$Q,10)=0,"",VLOOKUP(Table91213[[#This Row],[Date]],'DB Details'!$A:$Q,10))</f>
        <v>50.1</v>
      </c>
      <c r="K80" s="52">
        <f>IF(VLOOKUP(Table91213[[#This Row],[Date]],'DB Details'!$A:$Q,11)=0,"",VLOOKUP(Table91213[[#This Row],[Date]],'DB Details'!$A:$Q,11))</f>
        <v>56</v>
      </c>
      <c r="L80" s="50">
        <f>IF(VLOOKUP(Table91213[[#This Row],[Date]],'DB Details'!$A:$Q,12)=0,"",VLOOKUP(Table91213[[#This Row],[Date]],'DB Details'!$A:$Q,12))</f>
        <v>57.6</v>
      </c>
    </row>
    <row r="81" spans="1:12" x14ac:dyDescent="0.2">
      <c r="A81" s="53">
        <v>37895</v>
      </c>
      <c r="B81" s="50">
        <f>IF(VLOOKUP(Table91213[[#This Row],[Date]],'DB Details'!$A:$Q,2)=0,"",VLOOKUP(Table91213[[#This Row],[Date]],'DB Details'!$A:$Q,2))</f>
        <v>64.2</v>
      </c>
      <c r="C81" s="51">
        <f>IF(VLOOKUP(Table91213[[#This Row],[Date]],'DB Details'!$A:$Q,3)=0,"",VLOOKUP(Table91213[[#This Row],[Date]],'DB Details'!$A:$Q,3))</f>
        <v>56</v>
      </c>
      <c r="D81" s="51">
        <f>IF(VLOOKUP(Table91213[[#This Row],[Date]],'DB Details'!$A:$Q,4)=0,"",VLOOKUP(Table91213[[#This Row],[Date]],'DB Details'!$A:$Q,4))</f>
        <v>54</v>
      </c>
      <c r="E81" s="52">
        <f>IF(VLOOKUP(Table91213[[#This Row],[Date]],'DB Details'!$A:$Q,5)=0,"",VLOOKUP(Table91213[[#This Row],[Date]],'DB Details'!$A:$Q,5))</f>
        <v>57.2</v>
      </c>
      <c r="F81" s="51">
        <f>IF(VLOOKUP(Table91213[[#This Row],[Date]],'DB Details'!$A:$Q,6)=0,"",VLOOKUP(Table91213[[#This Row],[Date]],'DB Details'!$A:$Q,6))</f>
        <v>64.400000000000006</v>
      </c>
      <c r="G81" s="52">
        <f>IF(VLOOKUP(Table91213[[#This Row],[Date]],'DB Details'!$A:$Q,7)=0,"",VLOOKUP(Table91213[[#This Row],[Date]],'DB Details'!$A:$Q,7))</f>
        <v>60</v>
      </c>
      <c r="H81" s="52">
        <f>IF(VLOOKUP(Table91213[[#This Row],[Date]],'DB Details'!$A:$Q,8)=0,"",VLOOKUP(Table91213[[#This Row],[Date]],'DB Details'!$A:$Q,8))</f>
        <v>49</v>
      </c>
      <c r="I81" s="52">
        <f>IF(VLOOKUP(Table91213[[#This Row],[Date]],'DB Details'!$A:$Q,9)=0,"",VLOOKUP(Table91213[[#This Row],[Date]],'DB Details'!$A:$Q,9))</f>
        <v>53</v>
      </c>
      <c r="J81" s="52">
        <f>IF(VLOOKUP(Table91213[[#This Row],[Date]],'DB Details'!$A:$Q,10)=0,"",VLOOKUP(Table91213[[#This Row],[Date]],'DB Details'!$A:$Q,10))</f>
        <v>53</v>
      </c>
      <c r="K81" s="52">
        <f>IF(VLOOKUP(Table91213[[#This Row],[Date]],'DB Details'!$A:$Q,11)=0,"",VLOOKUP(Table91213[[#This Row],[Date]],'DB Details'!$A:$Q,11))</f>
        <v>58</v>
      </c>
      <c r="L81" s="50">
        <f>IF(VLOOKUP(Table91213[[#This Row],[Date]],'DB Details'!$A:$Q,12)=0,"",VLOOKUP(Table91213[[#This Row],[Date]],'DB Details'!$A:$Q,12))</f>
        <v>58.7</v>
      </c>
    </row>
    <row r="82" spans="1:12" x14ac:dyDescent="0.2">
      <c r="A82" s="53">
        <v>37926</v>
      </c>
      <c r="B82" s="50">
        <f>IF(VLOOKUP(Table91213[[#This Row],[Date]],'DB Details'!$A:$Q,2)=0,"",VLOOKUP(Table91213[[#This Row],[Date]],'DB Details'!$A:$Q,2))</f>
        <v>61.3</v>
      </c>
      <c r="C82" s="51">
        <f>IF(VLOOKUP(Table91213[[#This Row],[Date]],'DB Details'!$A:$Q,3)=0,"",VLOOKUP(Table91213[[#This Row],[Date]],'DB Details'!$A:$Q,3))</f>
        <v>57.5</v>
      </c>
      <c r="D82" s="51">
        <f>IF(VLOOKUP(Table91213[[#This Row],[Date]],'DB Details'!$A:$Q,4)=0,"",VLOOKUP(Table91213[[#This Row],[Date]],'DB Details'!$A:$Q,4))</f>
        <v>52.5</v>
      </c>
      <c r="E82" s="52">
        <f>IF(VLOOKUP(Table91213[[#This Row],[Date]],'DB Details'!$A:$Q,5)=0,"",VLOOKUP(Table91213[[#This Row],[Date]],'DB Details'!$A:$Q,5))</f>
        <v>58.5</v>
      </c>
      <c r="F82" s="51">
        <f>IF(VLOOKUP(Table91213[[#This Row],[Date]],'DB Details'!$A:$Q,6)=0,"",VLOOKUP(Table91213[[#This Row],[Date]],'DB Details'!$A:$Q,6))</f>
        <v>61.1</v>
      </c>
      <c r="G82" s="52">
        <f>IF(VLOOKUP(Table91213[[#This Row],[Date]],'DB Details'!$A:$Q,7)=0,"",VLOOKUP(Table91213[[#This Row],[Date]],'DB Details'!$A:$Q,7))</f>
        <v>62</v>
      </c>
      <c r="H82" s="52">
        <f>IF(VLOOKUP(Table91213[[#This Row],[Date]],'DB Details'!$A:$Q,8)=0,"",VLOOKUP(Table91213[[#This Row],[Date]],'DB Details'!$A:$Q,8))</f>
        <v>51</v>
      </c>
      <c r="I82" s="52">
        <f>IF(VLOOKUP(Table91213[[#This Row],[Date]],'DB Details'!$A:$Q,9)=0,"",VLOOKUP(Table91213[[#This Row],[Date]],'DB Details'!$A:$Q,9))</f>
        <v>53</v>
      </c>
      <c r="J82" s="52">
        <f>IF(VLOOKUP(Table91213[[#This Row],[Date]],'DB Details'!$A:$Q,10)=0,"",VLOOKUP(Table91213[[#This Row],[Date]],'DB Details'!$A:$Q,10))</f>
        <v>54.4</v>
      </c>
      <c r="K82" s="52">
        <f>IF(VLOOKUP(Table91213[[#This Row],[Date]],'DB Details'!$A:$Q,11)=0,"",VLOOKUP(Table91213[[#This Row],[Date]],'DB Details'!$A:$Q,11))</f>
        <v>54.5</v>
      </c>
      <c r="L82" s="50">
        <f>IF(VLOOKUP(Table91213[[#This Row],[Date]],'DB Details'!$A:$Q,12)=0,"",VLOOKUP(Table91213[[#This Row],[Date]],'DB Details'!$A:$Q,12))</f>
        <v>57.5</v>
      </c>
    </row>
    <row r="83" spans="1:12" x14ac:dyDescent="0.2">
      <c r="A83" s="53">
        <v>37956</v>
      </c>
      <c r="B83" s="50">
        <f>IF(VLOOKUP(Table91213[[#This Row],[Date]],'DB Details'!$A:$Q,2)=0,"",VLOOKUP(Table91213[[#This Row],[Date]],'DB Details'!$A:$Q,2))</f>
        <v>61.2</v>
      </c>
      <c r="C83" s="51">
        <f>IF(VLOOKUP(Table91213[[#This Row],[Date]],'DB Details'!$A:$Q,3)=0,"",VLOOKUP(Table91213[[#This Row],[Date]],'DB Details'!$A:$Q,3))</f>
        <v>57</v>
      </c>
      <c r="D83" s="51">
        <f>IF(VLOOKUP(Table91213[[#This Row],[Date]],'DB Details'!$A:$Q,4)=0,"",VLOOKUP(Table91213[[#This Row],[Date]],'DB Details'!$A:$Q,4))</f>
        <v>55.5</v>
      </c>
      <c r="E83" s="52">
        <f>IF(VLOOKUP(Table91213[[#This Row],[Date]],'DB Details'!$A:$Q,5)=0,"",VLOOKUP(Table91213[[#This Row],[Date]],'DB Details'!$A:$Q,5))</f>
        <v>61.1</v>
      </c>
      <c r="F83" s="51">
        <f>IF(VLOOKUP(Table91213[[#This Row],[Date]],'DB Details'!$A:$Q,6)=0,"",VLOOKUP(Table91213[[#This Row],[Date]],'DB Details'!$A:$Q,6))</f>
        <v>60</v>
      </c>
      <c r="G83" s="52">
        <f>IF(VLOOKUP(Table91213[[#This Row],[Date]],'DB Details'!$A:$Q,7)=0,"",VLOOKUP(Table91213[[#This Row],[Date]],'DB Details'!$A:$Q,7))</f>
        <v>62</v>
      </c>
      <c r="H83" s="52">
        <f>IF(VLOOKUP(Table91213[[#This Row],[Date]],'DB Details'!$A:$Q,8)=0,"",VLOOKUP(Table91213[[#This Row],[Date]],'DB Details'!$A:$Q,8))</f>
        <v>51.5</v>
      </c>
      <c r="I83" s="52">
        <f>IF(VLOOKUP(Table91213[[#This Row],[Date]],'DB Details'!$A:$Q,9)=0,"",VLOOKUP(Table91213[[#This Row],[Date]],'DB Details'!$A:$Q,9))</f>
        <v>52</v>
      </c>
      <c r="J83" s="52">
        <f>IF(VLOOKUP(Table91213[[#This Row],[Date]],'DB Details'!$A:$Q,10)=0,"",VLOOKUP(Table91213[[#This Row],[Date]],'DB Details'!$A:$Q,10))</f>
        <v>54</v>
      </c>
      <c r="K83" s="52">
        <f>IF(VLOOKUP(Table91213[[#This Row],[Date]],'DB Details'!$A:$Q,11)=0,"",VLOOKUP(Table91213[[#This Row],[Date]],'DB Details'!$A:$Q,11))</f>
        <v>57.5</v>
      </c>
      <c r="L83" s="50">
        <f>IF(VLOOKUP(Table91213[[#This Row],[Date]],'DB Details'!$A:$Q,12)=0,"",VLOOKUP(Table91213[[#This Row],[Date]],'DB Details'!$A:$Q,12))</f>
        <v>56.8</v>
      </c>
    </row>
    <row r="84" spans="1:12" x14ac:dyDescent="0.2">
      <c r="A84" s="53">
        <v>37987</v>
      </c>
      <c r="B84" s="50">
        <f>IF(VLOOKUP(Table91213[[#This Row],[Date]],'DB Details'!$A:$Q,2)=0,"",VLOOKUP(Table91213[[#This Row],[Date]],'DB Details'!$A:$Q,2))</f>
        <v>65.400000000000006</v>
      </c>
      <c r="C84" s="51">
        <f>IF(VLOOKUP(Table91213[[#This Row],[Date]],'DB Details'!$A:$Q,3)=0,"",VLOOKUP(Table91213[[#This Row],[Date]],'DB Details'!$A:$Q,3))</f>
        <v>54.5</v>
      </c>
      <c r="D84" s="51">
        <f>IF(VLOOKUP(Table91213[[#This Row],[Date]],'DB Details'!$A:$Q,4)=0,"",VLOOKUP(Table91213[[#This Row],[Date]],'DB Details'!$A:$Q,4))</f>
        <v>53.5</v>
      </c>
      <c r="E84" s="52">
        <f>IF(VLOOKUP(Table91213[[#This Row],[Date]],'DB Details'!$A:$Q,5)=0,"",VLOOKUP(Table91213[[#This Row],[Date]],'DB Details'!$A:$Q,5))</f>
        <v>62.2</v>
      </c>
      <c r="F84" s="51">
        <f>IF(VLOOKUP(Table91213[[#This Row],[Date]],'DB Details'!$A:$Q,6)=0,"",VLOOKUP(Table91213[[#This Row],[Date]],'DB Details'!$A:$Q,6))</f>
        <v>67.7</v>
      </c>
      <c r="G84" s="52">
        <f>IF(VLOOKUP(Table91213[[#This Row],[Date]],'DB Details'!$A:$Q,7)=0,"",VLOOKUP(Table91213[[#This Row],[Date]],'DB Details'!$A:$Q,7))</f>
        <v>59</v>
      </c>
      <c r="H84" s="52">
        <f>IF(VLOOKUP(Table91213[[#This Row],[Date]],'DB Details'!$A:$Q,8)=0,"",VLOOKUP(Table91213[[#This Row],[Date]],'DB Details'!$A:$Q,8))</f>
        <v>49.5</v>
      </c>
      <c r="I84" s="52">
        <f>IF(VLOOKUP(Table91213[[#This Row],[Date]],'DB Details'!$A:$Q,9)=0,"",VLOOKUP(Table91213[[#This Row],[Date]],'DB Details'!$A:$Q,9))</f>
        <v>56.5</v>
      </c>
      <c r="J84" s="52">
        <f>IF(VLOOKUP(Table91213[[#This Row],[Date]],'DB Details'!$A:$Q,10)=0,"",VLOOKUP(Table91213[[#This Row],[Date]],'DB Details'!$A:$Q,10))</f>
        <v>55.143160127252997</v>
      </c>
      <c r="K84" s="52">
        <f>IF(VLOOKUP(Table91213[[#This Row],[Date]],'DB Details'!$A:$Q,11)=0,"",VLOOKUP(Table91213[[#This Row],[Date]],'DB Details'!$A:$Q,11))</f>
        <v>51</v>
      </c>
      <c r="L84" s="50">
        <f>IF(VLOOKUP(Table91213[[#This Row],[Date]],'DB Details'!$A:$Q,12)=0,"",VLOOKUP(Table91213[[#This Row],[Date]],'DB Details'!$A:$Q,12))</f>
        <v>61.2</v>
      </c>
    </row>
    <row r="85" spans="1:12" x14ac:dyDescent="0.2">
      <c r="A85" s="53">
        <v>38018</v>
      </c>
      <c r="B85" s="50">
        <f>IF(VLOOKUP(Table91213[[#This Row],[Date]],'DB Details'!$A:$Q,2)=0,"",VLOOKUP(Table91213[[#This Row],[Date]],'DB Details'!$A:$Q,2))</f>
        <v>61.2</v>
      </c>
      <c r="C85" s="51">
        <f>IF(VLOOKUP(Table91213[[#This Row],[Date]],'DB Details'!$A:$Q,3)=0,"",VLOOKUP(Table91213[[#This Row],[Date]],'DB Details'!$A:$Q,3))</f>
        <v>58.5</v>
      </c>
      <c r="D85" s="51">
        <f>IF(VLOOKUP(Table91213[[#This Row],[Date]],'DB Details'!$A:$Q,4)=0,"",VLOOKUP(Table91213[[#This Row],[Date]],'DB Details'!$A:$Q,4))</f>
        <v>53</v>
      </c>
      <c r="E85" s="52">
        <f>IF(VLOOKUP(Table91213[[#This Row],[Date]],'DB Details'!$A:$Q,5)=0,"",VLOOKUP(Table91213[[#This Row],[Date]],'DB Details'!$A:$Q,5))</f>
        <v>59.5</v>
      </c>
      <c r="F85" s="51">
        <f>IF(VLOOKUP(Table91213[[#This Row],[Date]],'DB Details'!$A:$Q,6)=0,"",VLOOKUP(Table91213[[#This Row],[Date]],'DB Details'!$A:$Q,6))</f>
        <v>62.5</v>
      </c>
      <c r="G85" s="52">
        <f>IF(VLOOKUP(Table91213[[#This Row],[Date]],'DB Details'!$A:$Q,7)=0,"",VLOOKUP(Table91213[[#This Row],[Date]],'DB Details'!$A:$Q,7))</f>
        <v>58</v>
      </c>
      <c r="H85" s="52">
        <f>IF(VLOOKUP(Table91213[[#This Row],[Date]],'DB Details'!$A:$Q,8)=0,"",VLOOKUP(Table91213[[#This Row],[Date]],'DB Details'!$A:$Q,8))</f>
        <v>49</v>
      </c>
      <c r="I85" s="52">
        <f>IF(VLOOKUP(Table91213[[#This Row],[Date]],'DB Details'!$A:$Q,9)=0,"",VLOOKUP(Table91213[[#This Row],[Date]],'DB Details'!$A:$Q,9))</f>
        <v>55.5</v>
      </c>
      <c r="J85" s="52">
        <f>IF(VLOOKUP(Table91213[[#This Row],[Date]],'DB Details'!$A:$Q,10)=0,"",VLOOKUP(Table91213[[#This Row],[Date]],'DB Details'!$A:$Q,10))</f>
        <v>52.904564315352999</v>
      </c>
      <c r="K85" s="52">
        <f>IF(VLOOKUP(Table91213[[#This Row],[Date]],'DB Details'!$A:$Q,11)=0,"",VLOOKUP(Table91213[[#This Row],[Date]],'DB Details'!$A:$Q,11))</f>
        <v>55.5</v>
      </c>
      <c r="L85" s="50">
        <f>IF(VLOOKUP(Table91213[[#This Row],[Date]],'DB Details'!$A:$Q,12)=0,"",VLOOKUP(Table91213[[#This Row],[Date]],'DB Details'!$A:$Q,12))</f>
        <v>58</v>
      </c>
    </row>
    <row r="86" spans="1:12" x14ac:dyDescent="0.2">
      <c r="A86" s="53">
        <v>38047</v>
      </c>
      <c r="B86" s="50">
        <f>IF(VLOOKUP(Table91213[[#This Row],[Date]],'DB Details'!$A:$Q,2)=0,"",VLOOKUP(Table91213[[#This Row],[Date]],'DB Details'!$A:$Q,2))</f>
        <v>62.1</v>
      </c>
      <c r="C86" s="51">
        <f>IF(VLOOKUP(Table91213[[#This Row],[Date]],'DB Details'!$A:$Q,3)=0,"",VLOOKUP(Table91213[[#This Row],[Date]],'DB Details'!$A:$Q,3))</f>
        <v>60.5</v>
      </c>
      <c r="D86" s="51">
        <f>IF(VLOOKUP(Table91213[[#This Row],[Date]],'DB Details'!$A:$Q,4)=0,"",VLOOKUP(Table91213[[#This Row],[Date]],'DB Details'!$A:$Q,4))</f>
        <v>52.5</v>
      </c>
      <c r="E86" s="52">
        <f>IF(VLOOKUP(Table91213[[#This Row],[Date]],'DB Details'!$A:$Q,5)=0,"",VLOOKUP(Table91213[[#This Row],[Date]],'DB Details'!$A:$Q,5))</f>
        <v>65</v>
      </c>
      <c r="F86" s="51">
        <f>IF(VLOOKUP(Table91213[[#This Row],[Date]],'DB Details'!$A:$Q,6)=0,"",VLOOKUP(Table91213[[#This Row],[Date]],'DB Details'!$A:$Q,6))</f>
        <v>62.3</v>
      </c>
      <c r="G86" s="52">
        <f>IF(VLOOKUP(Table91213[[#This Row],[Date]],'DB Details'!$A:$Q,7)=0,"",VLOOKUP(Table91213[[#This Row],[Date]],'DB Details'!$A:$Q,7))</f>
        <v>60.5</v>
      </c>
      <c r="H86" s="52">
        <f>IF(VLOOKUP(Table91213[[#This Row],[Date]],'DB Details'!$A:$Q,8)=0,"",VLOOKUP(Table91213[[#This Row],[Date]],'DB Details'!$A:$Q,8))</f>
        <v>51.5</v>
      </c>
      <c r="I86" s="52">
        <f>IF(VLOOKUP(Table91213[[#This Row],[Date]],'DB Details'!$A:$Q,9)=0,"",VLOOKUP(Table91213[[#This Row],[Date]],'DB Details'!$A:$Q,9))</f>
        <v>55</v>
      </c>
      <c r="J86" s="52">
        <f>IF(VLOOKUP(Table91213[[#This Row],[Date]],'DB Details'!$A:$Q,10)=0,"",VLOOKUP(Table91213[[#This Row],[Date]],'DB Details'!$A:$Q,10))</f>
        <v>53.800592300098998</v>
      </c>
      <c r="K86" s="52">
        <f>IF(VLOOKUP(Table91213[[#This Row],[Date]],'DB Details'!$A:$Q,11)=0,"",VLOOKUP(Table91213[[#This Row],[Date]],'DB Details'!$A:$Q,11))</f>
        <v>51.5</v>
      </c>
      <c r="L86" s="50">
        <f>IF(VLOOKUP(Table91213[[#This Row],[Date]],'DB Details'!$A:$Q,12)=0,"",VLOOKUP(Table91213[[#This Row],[Date]],'DB Details'!$A:$Q,12))</f>
        <v>58.3</v>
      </c>
    </row>
    <row r="87" spans="1:12" x14ac:dyDescent="0.2">
      <c r="A87" s="53">
        <v>38078</v>
      </c>
      <c r="B87" s="50">
        <f>IF(VLOOKUP(Table91213[[#This Row],[Date]],'DB Details'!$A:$Q,2)=0,"",VLOOKUP(Table91213[[#This Row],[Date]],'DB Details'!$A:$Q,2))</f>
        <v>61.6</v>
      </c>
      <c r="C87" s="51">
        <f>IF(VLOOKUP(Table91213[[#This Row],[Date]],'DB Details'!$A:$Q,3)=0,"",VLOOKUP(Table91213[[#This Row],[Date]],'DB Details'!$A:$Q,3))</f>
        <v>60.5</v>
      </c>
      <c r="D87" s="51">
        <f>IF(VLOOKUP(Table91213[[#This Row],[Date]],'DB Details'!$A:$Q,4)=0,"",VLOOKUP(Table91213[[#This Row],[Date]],'DB Details'!$A:$Q,4))</f>
        <v>53.5</v>
      </c>
      <c r="E87" s="52">
        <f>IF(VLOOKUP(Table91213[[#This Row],[Date]],'DB Details'!$A:$Q,5)=0,"",VLOOKUP(Table91213[[#This Row],[Date]],'DB Details'!$A:$Q,5))</f>
        <v>68.599999999999994</v>
      </c>
      <c r="F87" s="51">
        <f>IF(VLOOKUP(Table91213[[#This Row],[Date]],'DB Details'!$A:$Q,6)=0,"",VLOOKUP(Table91213[[#This Row],[Date]],'DB Details'!$A:$Q,6))</f>
        <v>64</v>
      </c>
      <c r="G87" s="52">
        <f>IF(VLOOKUP(Table91213[[#This Row],[Date]],'DB Details'!$A:$Q,7)=0,"",VLOOKUP(Table91213[[#This Row],[Date]],'DB Details'!$A:$Q,7))</f>
        <v>58</v>
      </c>
      <c r="H87" s="52">
        <f>IF(VLOOKUP(Table91213[[#This Row],[Date]],'DB Details'!$A:$Q,8)=0,"",VLOOKUP(Table91213[[#This Row],[Date]],'DB Details'!$A:$Q,8))</f>
        <v>56.5</v>
      </c>
      <c r="I87" s="52">
        <f>IF(VLOOKUP(Table91213[[#This Row],[Date]],'DB Details'!$A:$Q,9)=0,"",VLOOKUP(Table91213[[#This Row],[Date]],'DB Details'!$A:$Q,9))</f>
        <v>58</v>
      </c>
      <c r="J87" s="52">
        <f>IF(VLOOKUP(Table91213[[#This Row],[Date]],'DB Details'!$A:$Q,10)=0,"",VLOOKUP(Table91213[[#This Row],[Date]],'DB Details'!$A:$Q,10))</f>
        <v>54.6875</v>
      </c>
      <c r="K87" s="52">
        <f>IF(VLOOKUP(Table91213[[#This Row],[Date]],'DB Details'!$A:$Q,11)=0,"",VLOOKUP(Table91213[[#This Row],[Date]],'DB Details'!$A:$Q,11))</f>
        <v>62</v>
      </c>
      <c r="L87" s="50">
        <f>IF(VLOOKUP(Table91213[[#This Row],[Date]],'DB Details'!$A:$Q,12)=0,"",VLOOKUP(Table91213[[#This Row],[Date]],'DB Details'!$A:$Q,12))</f>
        <v>59.6</v>
      </c>
    </row>
    <row r="88" spans="1:12" x14ac:dyDescent="0.2">
      <c r="A88" s="53">
        <v>38108</v>
      </c>
      <c r="B88" s="50">
        <f>IF(VLOOKUP(Table91213[[#This Row],[Date]],'DB Details'!$A:$Q,2)=0,"",VLOOKUP(Table91213[[#This Row],[Date]],'DB Details'!$A:$Q,2))</f>
        <v>60.7</v>
      </c>
      <c r="C88" s="51">
        <f>IF(VLOOKUP(Table91213[[#This Row],[Date]],'DB Details'!$A:$Q,3)=0,"",VLOOKUP(Table91213[[#This Row],[Date]],'DB Details'!$A:$Q,3))</f>
        <v>59.5</v>
      </c>
      <c r="D88" s="51">
        <f>IF(VLOOKUP(Table91213[[#This Row],[Date]],'DB Details'!$A:$Q,4)=0,"",VLOOKUP(Table91213[[#This Row],[Date]],'DB Details'!$A:$Q,4))</f>
        <v>56.5</v>
      </c>
      <c r="E88" s="52">
        <f>IF(VLOOKUP(Table91213[[#This Row],[Date]],'DB Details'!$A:$Q,5)=0,"",VLOOKUP(Table91213[[#This Row],[Date]],'DB Details'!$A:$Q,5))</f>
        <v>71</v>
      </c>
      <c r="F88" s="51">
        <f>IF(VLOOKUP(Table91213[[#This Row],[Date]],'DB Details'!$A:$Q,6)=0,"",VLOOKUP(Table91213[[#This Row],[Date]],'DB Details'!$A:$Q,6))</f>
        <v>62.6</v>
      </c>
      <c r="G88" s="52">
        <f>IF(VLOOKUP(Table91213[[#This Row],[Date]],'DB Details'!$A:$Q,7)=0,"",VLOOKUP(Table91213[[#This Row],[Date]],'DB Details'!$A:$Q,7))</f>
        <v>60</v>
      </c>
      <c r="H88" s="52">
        <f>IF(VLOOKUP(Table91213[[#This Row],[Date]],'DB Details'!$A:$Q,8)=0,"",VLOOKUP(Table91213[[#This Row],[Date]],'DB Details'!$A:$Q,8))</f>
        <v>54</v>
      </c>
      <c r="I88" s="52">
        <f>IF(VLOOKUP(Table91213[[#This Row],[Date]],'DB Details'!$A:$Q,9)=0,"",VLOOKUP(Table91213[[#This Row],[Date]],'DB Details'!$A:$Q,9))</f>
        <v>56</v>
      </c>
      <c r="J88" s="52">
        <f>IF(VLOOKUP(Table91213[[#This Row],[Date]],'DB Details'!$A:$Q,10)=0,"",VLOOKUP(Table91213[[#This Row],[Date]],'DB Details'!$A:$Q,10))</f>
        <v>54.545454545455001</v>
      </c>
      <c r="K88" s="52">
        <f>IF(VLOOKUP(Table91213[[#This Row],[Date]],'DB Details'!$A:$Q,11)=0,"",VLOOKUP(Table91213[[#This Row],[Date]],'DB Details'!$A:$Q,11))</f>
        <v>52</v>
      </c>
      <c r="L88" s="50">
        <f>IF(VLOOKUP(Table91213[[#This Row],[Date]],'DB Details'!$A:$Q,12)=0,"",VLOOKUP(Table91213[[#This Row],[Date]],'DB Details'!$A:$Q,12))</f>
        <v>58.5</v>
      </c>
    </row>
    <row r="89" spans="1:12" x14ac:dyDescent="0.2">
      <c r="A89" s="53">
        <v>38139</v>
      </c>
      <c r="B89" s="50">
        <f>IF(VLOOKUP(Table91213[[#This Row],[Date]],'DB Details'!$A:$Q,2)=0,"",VLOOKUP(Table91213[[#This Row],[Date]],'DB Details'!$A:$Q,2))</f>
        <v>62.1</v>
      </c>
      <c r="C89" s="51">
        <f>IF(VLOOKUP(Table91213[[#This Row],[Date]],'DB Details'!$A:$Q,3)=0,"",VLOOKUP(Table91213[[#This Row],[Date]],'DB Details'!$A:$Q,3))</f>
        <v>56.5</v>
      </c>
      <c r="D89" s="51">
        <f>IF(VLOOKUP(Table91213[[#This Row],[Date]],'DB Details'!$A:$Q,4)=0,"",VLOOKUP(Table91213[[#This Row],[Date]],'DB Details'!$A:$Q,4))</f>
        <v>55.5</v>
      </c>
      <c r="E89" s="52">
        <f>IF(VLOOKUP(Table91213[[#This Row],[Date]],'DB Details'!$A:$Q,5)=0,"",VLOOKUP(Table91213[[#This Row],[Date]],'DB Details'!$A:$Q,5))</f>
        <v>74.2</v>
      </c>
      <c r="F89" s="51">
        <f>IF(VLOOKUP(Table91213[[#This Row],[Date]],'DB Details'!$A:$Q,6)=0,"",VLOOKUP(Table91213[[#This Row],[Date]],'DB Details'!$A:$Q,6))</f>
        <v>59.2</v>
      </c>
      <c r="G89" s="52">
        <f>IF(VLOOKUP(Table91213[[#This Row],[Date]],'DB Details'!$A:$Q,7)=0,"",VLOOKUP(Table91213[[#This Row],[Date]],'DB Details'!$A:$Q,7))</f>
        <v>60.5</v>
      </c>
      <c r="H89" s="52">
        <f>IF(VLOOKUP(Table91213[[#This Row],[Date]],'DB Details'!$A:$Q,8)=0,"",VLOOKUP(Table91213[[#This Row],[Date]],'DB Details'!$A:$Q,8))</f>
        <v>57.5</v>
      </c>
      <c r="I89" s="52">
        <f>IF(VLOOKUP(Table91213[[#This Row],[Date]],'DB Details'!$A:$Q,9)=0,"",VLOOKUP(Table91213[[#This Row],[Date]],'DB Details'!$A:$Q,9))</f>
        <v>57.5</v>
      </c>
      <c r="J89" s="52">
        <f>IF(VLOOKUP(Table91213[[#This Row],[Date]],'DB Details'!$A:$Q,10)=0,"",VLOOKUP(Table91213[[#This Row],[Date]],'DB Details'!$A:$Q,10))</f>
        <v>55.555555555555998</v>
      </c>
      <c r="K89" s="52">
        <f>IF(VLOOKUP(Table91213[[#This Row],[Date]],'DB Details'!$A:$Q,11)=0,"",VLOOKUP(Table91213[[#This Row],[Date]],'DB Details'!$A:$Q,11))</f>
        <v>59.5</v>
      </c>
      <c r="L89" s="50">
        <f>IF(VLOOKUP(Table91213[[#This Row],[Date]],'DB Details'!$A:$Q,12)=0,"",VLOOKUP(Table91213[[#This Row],[Date]],'DB Details'!$A:$Q,12))</f>
        <v>58.6</v>
      </c>
    </row>
    <row r="90" spans="1:12" x14ac:dyDescent="0.2">
      <c r="A90" s="53">
        <v>38169</v>
      </c>
      <c r="B90" s="50">
        <f>IF(VLOOKUP(Table91213[[#This Row],[Date]],'DB Details'!$A:$Q,2)=0,"",VLOOKUP(Table91213[[#This Row],[Date]],'DB Details'!$A:$Q,2))</f>
        <v>63.2</v>
      </c>
      <c r="C90" s="51">
        <f>IF(VLOOKUP(Table91213[[#This Row],[Date]],'DB Details'!$A:$Q,3)=0,"",VLOOKUP(Table91213[[#This Row],[Date]],'DB Details'!$A:$Q,3))</f>
        <v>60.5</v>
      </c>
      <c r="D90" s="51">
        <f>IF(VLOOKUP(Table91213[[#This Row],[Date]],'DB Details'!$A:$Q,4)=0,"",VLOOKUP(Table91213[[#This Row],[Date]],'DB Details'!$A:$Q,4))</f>
        <v>55</v>
      </c>
      <c r="E90" s="52">
        <f>IF(VLOOKUP(Table91213[[#This Row],[Date]],'DB Details'!$A:$Q,5)=0,"",VLOOKUP(Table91213[[#This Row],[Date]],'DB Details'!$A:$Q,5))</f>
        <v>71.900000000000006</v>
      </c>
      <c r="F90" s="51">
        <f>IF(VLOOKUP(Table91213[[#This Row],[Date]],'DB Details'!$A:$Q,6)=0,"",VLOOKUP(Table91213[[#This Row],[Date]],'DB Details'!$A:$Q,6))</f>
        <v>63.2</v>
      </c>
      <c r="G90" s="52">
        <f>IF(VLOOKUP(Table91213[[#This Row],[Date]],'DB Details'!$A:$Q,7)=0,"",VLOOKUP(Table91213[[#This Row],[Date]],'DB Details'!$A:$Q,7))</f>
        <v>64</v>
      </c>
      <c r="H90" s="52">
        <f>IF(VLOOKUP(Table91213[[#This Row],[Date]],'DB Details'!$A:$Q,8)=0,"",VLOOKUP(Table91213[[#This Row],[Date]],'DB Details'!$A:$Q,8))</f>
        <v>54</v>
      </c>
      <c r="I90" s="52">
        <f>IF(VLOOKUP(Table91213[[#This Row],[Date]],'DB Details'!$A:$Q,9)=0,"",VLOOKUP(Table91213[[#This Row],[Date]],'DB Details'!$A:$Q,9))</f>
        <v>58</v>
      </c>
      <c r="J90" s="52">
        <f>IF(VLOOKUP(Table91213[[#This Row],[Date]],'DB Details'!$A:$Q,10)=0,"",VLOOKUP(Table91213[[#This Row],[Date]],'DB Details'!$A:$Q,10))</f>
        <v>49.665711556829002</v>
      </c>
      <c r="K90" s="52">
        <f>IF(VLOOKUP(Table91213[[#This Row],[Date]],'DB Details'!$A:$Q,11)=0,"",VLOOKUP(Table91213[[#This Row],[Date]],'DB Details'!$A:$Q,11))</f>
        <v>55.5</v>
      </c>
      <c r="L90" s="50">
        <f>IF(VLOOKUP(Table91213[[#This Row],[Date]],'DB Details'!$A:$Q,12)=0,"",VLOOKUP(Table91213[[#This Row],[Date]],'DB Details'!$A:$Q,12))</f>
        <v>58.5</v>
      </c>
    </row>
    <row r="91" spans="1:12" x14ac:dyDescent="0.2">
      <c r="A91" s="53">
        <v>38200</v>
      </c>
      <c r="B91" s="50">
        <f>IF(VLOOKUP(Table91213[[#This Row],[Date]],'DB Details'!$A:$Q,2)=0,"",VLOOKUP(Table91213[[#This Row],[Date]],'DB Details'!$A:$Q,2))</f>
        <v>59</v>
      </c>
      <c r="C91" s="51">
        <f>IF(VLOOKUP(Table91213[[#This Row],[Date]],'DB Details'!$A:$Q,3)=0,"",VLOOKUP(Table91213[[#This Row],[Date]],'DB Details'!$A:$Q,3))</f>
        <v>63.5</v>
      </c>
      <c r="D91" s="51">
        <f>IF(VLOOKUP(Table91213[[#This Row],[Date]],'DB Details'!$A:$Q,4)=0,"",VLOOKUP(Table91213[[#This Row],[Date]],'DB Details'!$A:$Q,4))</f>
        <v>53</v>
      </c>
      <c r="E91" s="52">
        <f>IF(VLOOKUP(Table91213[[#This Row],[Date]],'DB Details'!$A:$Q,5)=0,"",VLOOKUP(Table91213[[#This Row],[Date]],'DB Details'!$A:$Q,5))</f>
        <v>70.900000000000006</v>
      </c>
      <c r="F91" s="51">
        <f>IF(VLOOKUP(Table91213[[#This Row],[Date]],'DB Details'!$A:$Q,6)=0,"",VLOOKUP(Table91213[[#This Row],[Date]],'DB Details'!$A:$Q,6))</f>
        <v>59.7</v>
      </c>
      <c r="G91" s="52">
        <f>IF(VLOOKUP(Table91213[[#This Row],[Date]],'DB Details'!$A:$Q,7)=0,"",VLOOKUP(Table91213[[#This Row],[Date]],'DB Details'!$A:$Q,7))</f>
        <v>62.5</v>
      </c>
      <c r="H91" s="52">
        <f>IF(VLOOKUP(Table91213[[#This Row],[Date]],'DB Details'!$A:$Q,8)=0,"",VLOOKUP(Table91213[[#This Row],[Date]],'DB Details'!$A:$Q,8))</f>
        <v>53</v>
      </c>
      <c r="I91" s="52">
        <f>IF(VLOOKUP(Table91213[[#This Row],[Date]],'DB Details'!$A:$Q,9)=0,"",VLOOKUP(Table91213[[#This Row],[Date]],'DB Details'!$A:$Q,9))</f>
        <v>57</v>
      </c>
      <c r="J91" s="52">
        <f>IF(VLOOKUP(Table91213[[#This Row],[Date]],'DB Details'!$A:$Q,10)=0,"",VLOOKUP(Table91213[[#This Row],[Date]],'DB Details'!$A:$Q,10))</f>
        <v>53.516819571865</v>
      </c>
      <c r="K91" s="52">
        <f>IF(VLOOKUP(Table91213[[#This Row],[Date]],'DB Details'!$A:$Q,11)=0,"",VLOOKUP(Table91213[[#This Row],[Date]],'DB Details'!$A:$Q,11))</f>
        <v>55</v>
      </c>
      <c r="L91" s="50">
        <f>IF(VLOOKUP(Table91213[[#This Row],[Date]],'DB Details'!$A:$Q,12)=0,"",VLOOKUP(Table91213[[#This Row],[Date]],'DB Details'!$A:$Q,12))</f>
        <v>57.3</v>
      </c>
    </row>
    <row r="92" spans="1:12" x14ac:dyDescent="0.2">
      <c r="A92" s="53">
        <v>38231</v>
      </c>
      <c r="B92" s="50">
        <f>IF(VLOOKUP(Table91213[[#This Row],[Date]],'DB Details'!$A:$Q,2)=0,"",VLOOKUP(Table91213[[#This Row],[Date]],'DB Details'!$A:$Q,2))</f>
        <v>60.6</v>
      </c>
      <c r="C92" s="51">
        <f>IF(VLOOKUP(Table91213[[#This Row],[Date]],'DB Details'!$A:$Q,3)=0,"",VLOOKUP(Table91213[[#This Row],[Date]],'DB Details'!$A:$Q,3))</f>
        <v>56</v>
      </c>
      <c r="D92" s="51">
        <f>IF(VLOOKUP(Table91213[[#This Row],[Date]],'DB Details'!$A:$Q,4)=0,"",VLOOKUP(Table91213[[#This Row],[Date]],'DB Details'!$A:$Q,4))</f>
        <v>52.5</v>
      </c>
      <c r="E92" s="52">
        <f>IF(VLOOKUP(Table91213[[#This Row],[Date]],'DB Details'!$A:$Q,5)=0,"",VLOOKUP(Table91213[[#This Row],[Date]],'DB Details'!$A:$Q,5))</f>
        <v>67</v>
      </c>
      <c r="F92" s="51">
        <f>IF(VLOOKUP(Table91213[[#This Row],[Date]],'DB Details'!$A:$Q,6)=0,"",VLOOKUP(Table91213[[#This Row],[Date]],'DB Details'!$A:$Q,6))</f>
        <v>60</v>
      </c>
      <c r="G92" s="52">
        <f>IF(VLOOKUP(Table91213[[#This Row],[Date]],'DB Details'!$A:$Q,7)=0,"",VLOOKUP(Table91213[[#This Row],[Date]],'DB Details'!$A:$Q,7))</f>
        <v>61.5</v>
      </c>
      <c r="H92" s="52">
        <f>IF(VLOOKUP(Table91213[[#This Row],[Date]],'DB Details'!$A:$Q,8)=0,"",VLOOKUP(Table91213[[#This Row],[Date]],'DB Details'!$A:$Q,8))</f>
        <v>51.5</v>
      </c>
      <c r="I92" s="52">
        <f>IF(VLOOKUP(Table91213[[#This Row],[Date]],'DB Details'!$A:$Q,9)=0,"",VLOOKUP(Table91213[[#This Row],[Date]],'DB Details'!$A:$Q,9))</f>
        <v>55.5</v>
      </c>
      <c r="J92" s="52">
        <f>IF(VLOOKUP(Table91213[[#This Row],[Date]],'DB Details'!$A:$Q,10)=0,"",VLOOKUP(Table91213[[#This Row],[Date]],'DB Details'!$A:$Q,10))</f>
        <v>55.325749741468002</v>
      </c>
      <c r="K92" s="52">
        <f>IF(VLOOKUP(Table91213[[#This Row],[Date]],'DB Details'!$A:$Q,11)=0,"",VLOOKUP(Table91213[[#This Row],[Date]],'DB Details'!$A:$Q,11))</f>
        <v>55.5</v>
      </c>
      <c r="L92" s="50">
        <f>IF(VLOOKUP(Table91213[[#This Row],[Date]],'DB Details'!$A:$Q,12)=0,"",VLOOKUP(Table91213[[#This Row],[Date]],'DB Details'!$A:$Q,12))</f>
        <v>57.9</v>
      </c>
    </row>
    <row r="93" spans="1:12" x14ac:dyDescent="0.2">
      <c r="A93" s="53">
        <v>38261</v>
      </c>
      <c r="B93" s="50">
        <f>IF(VLOOKUP(Table91213[[#This Row],[Date]],'DB Details'!$A:$Q,2)=0,"",VLOOKUP(Table91213[[#This Row],[Date]],'DB Details'!$A:$Q,2))</f>
        <v>61.7</v>
      </c>
      <c r="C93" s="51">
        <f>IF(VLOOKUP(Table91213[[#This Row],[Date]],'DB Details'!$A:$Q,3)=0,"",VLOOKUP(Table91213[[#This Row],[Date]],'DB Details'!$A:$Q,3))</f>
        <v>57.5</v>
      </c>
      <c r="D93" s="51">
        <f>IF(VLOOKUP(Table91213[[#This Row],[Date]],'DB Details'!$A:$Q,4)=0,"",VLOOKUP(Table91213[[#This Row],[Date]],'DB Details'!$A:$Q,4))</f>
        <v>52.5</v>
      </c>
      <c r="E93" s="52">
        <f>IF(VLOOKUP(Table91213[[#This Row],[Date]],'DB Details'!$A:$Q,5)=0,"",VLOOKUP(Table91213[[#This Row],[Date]],'DB Details'!$A:$Q,5))</f>
        <v>72.8</v>
      </c>
      <c r="F93" s="51">
        <f>IF(VLOOKUP(Table91213[[#This Row],[Date]],'DB Details'!$A:$Q,6)=0,"",VLOOKUP(Table91213[[#This Row],[Date]],'DB Details'!$A:$Q,6))</f>
        <v>61</v>
      </c>
      <c r="G93" s="52">
        <f>IF(VLOOKUP(Table91213[[#This Row],[Date]],'DB Details'!$A:$Q,7)=0,"",VLOOKUP(Table91213[[#This Row],[Date]],'DB Details'!$A:$Q,7))</f>
        <v>60.5</v>
      </c>
      <c r="H93" s="52">
        <f>IF(VLOOKUP(Table91213[[#This Row],[Date]],'DB Details'!$A:$Q,8)=0,"",VLOOKUP(Table91213[[#This Row],[Date]],'DB Details'!$A:$Q,8))</f>
        <v>50</v>
      </c>
      <c r="I93" s="52">
        <f>IF(VLOOKUP(Table91213[[#This Row],[Date]],'DB Details'!$A:$Q,9)=0,"",VLOOKUP(Table91213[[#This Row],[Date]],'DB Details'!$A:$Q,9))</f>
        <v>56</v>
      </c>
      <c r="J93" s="52">
        <f>IF(VLOOKUP(Table91213[[#This Row],[Date]],'DB Details'!$A:$Q,10)=0,"",VLOOKUP(Table91213[[#This Row],[Date]],'DB Details'!$A:$Q,10))</f>
        <v>56.476683937823999</v>
      </c>
      <c r="K93" s="52">
        <f>IF(VLOOKUP(Table91213[[#This Row],[Date]],'DB Details'!$A:$Q,11)=0,"",VLOOKUP(Table91213[[#This Row],[Date]],'DB Details'!$A:$Q,11))</f>
        <v>55</v>
      </c>
      <c r="L93" s="50">
        <f>IF(VLOOKUP(Table91213[[#This Row],[Date]],'DB Details'!$A:$Q,12)=0,"",VLOOKUP(Table91213[[#This Row],[Date]],'DB Details'!$A:$Q,12))</f>
        <v>58.8</v>
      </c>
    </row>
    <row r="94" spans="1:12" x14ac:dyDescent="0.2">
      <c r="A94" s="53">
        <v>38292</v>
      </c>
      <c r="B94" s="50">
        <f>IF(VLOOKUP(Table91213[[#This Row],[Date]],'DB Details'!$A:$Q,2)=0,"",VLOOKUP(Table91213[[#This Row],[Date]],'DB Details'!$A:$Q,2))</f>
        <v>61.1</v>
      </c>
      <c r="C94" s="51">
        <f>IF(VLOOKUP(Table91213[[#This Row],[Date]],'DB Details'!$A:$Q,3)=0,"",VLOOKUP(Table91213[[#This Row],[Date]],'DB Details'!$A:$Q,3))</f>
        <v>62</v>
      </c>
      <c r="D94" s="51">
        <f>IF(VLOOKUP(Table91213[[#This Row],[Date]],'DB Details'!$A:$Q,4)=0,"",VLOOKUP(Table91213[[#This Row],[Date]],'DB Details'!$A:$Q,4))</f>
        <v>54</v>
      </c>
      <c r="E94" s="52">
        <f>IF(VLOOKUP(Table91213[[#This Row],[Date]],'DB Details'!$A:$Q,5)=0,"",VLOOKUP(Table91213[[#This Row],[Date]],'DB Details'!$A:$Q,5))</f>
        <v>70.599999999999994</v>
      </c>
      <c r="F94" s="51">
        <f>IF(VLOOKUP(Table91213[[#This Row],[Date]],'DB Details'!$A:$Q,6)=0,"",VLOOKUP(Table91213[[#This Row],[Date]],'DB Details'!$A:$Q,6))</f>
        <v>62.8</v>
      </c>
      <c r="G94" s="52">
        <f>IF(VLOOKUP(Table91213[[#This Row],[Date]],'DB Details'!$A:$Q,7)=0,"",VLOOKUP(Table91213[[#This Row],[Date]],'DB Details'!$A:$Q,7))</f>
        <v>61.5</v>
      </c>
      <c r="H94" s="52">
        <f>IF(VLOOKUP(Table91213[[#This Row],[Date]],'DB Details'!$A:$Q,8)=0,"",VLOOKUP(Table91213[[#This Row],[Date]],'DB Details'!$A:$Q,8))</f>
        <v>52.5</v>
      </c>
      <c r="I94" s="52">
        <f>IF(VLOOKUP(Table91213[[#This Row],[Date]],'DB Details'!$A:$Q,9)=0,"",VLOOKUP(Table91213[[#This Row],[Date]],'DB Details'!$A:$Q,9))</f>
        <v>55</v>
      </c>
      <c r="J94" s="52">
        <f>IF(VLOOKUP(Table91213[[#This Row],[Date]],'DB Details'!$A:$Q,10)=0,"",VLOOKUP(Table91213[[#This Row],[Date]],'DB Details'!$A:$Q,10))</f>
        <v>54.835493519441997</v>
      </c>
      <c r="K94" s="52">
        <f>IF(VLOOKUP(Table91213[[#This Row],[Date]],'DB Details'!$A:$Q,11)=0,"",VLOOKUP(Table91213[[#This Row],[Date]],'DB Details'!$A:$Q,11))</f>
        <v>53.5</v>
      </c>
      <c r="L94" s="50">
        <f>IF(VLOOKUP(Table91213[[#This Row],[Date]],'DB Details'!$A:$Q,12)=0,"",VLOOKUP(Table91213[[#This Row],[Date]],'DB Details'!$A:$Q,12))</f>
        <v>58.4</v>
      </c>
    </row>
    <row r="95" spans="1:12" x14ac:dyDescent="0.2">
      <c r="A95" s="53">
        <v>38322</v>
      </c>
      <c r="B95" s="50">
        <f>IF(VLOOKUP(Table91213[[#This Row],[Date]],'DB Details'!$A:$Q,2)=0,"",VLOOKUP(Table91213[[#This Row],[Date]],'DB Details'!$A:$Q,2))</f>
        <v>63.2</v>
      </c>
      <c r="C95" s="51">
        <f>IF(VLOOKUP(Table91213[[#This Row],[Date]],'DB Details'!$A:$Q,3)=0,"",VLOOKUP(Table91213[[#This Row],[Date]],'DB Details'!$A:$Q,3))</f>
        <v>61</v>
      </c>
      <c r="D95" s="51">
        <f>IF(VLOOKUP(Table91213[[#This Row],[Date]],'DB Details'!$A:$Q,4)=0,"",VLOOKUP(Table91213[[#This Row],[Date]],'DB Details'!$A:$Q,4))</f>
        <v>56.5</v>
      </c>
      <c r="E95" s="52">
        <f>IF(VLOOKUP(Table91213[[#This Row],[Date]],'DB Details'!$A:$Q,5)=0,"",VLOOKUP(Table91213[[#This Row],[Date]],'DB Details'!$A:$Q,5))</f>
        <v>71.3</v>
      </c>
      <c r="F95" s="51">
        <f>IF(VLOOKUP(Table91213[[#This Row],[Date]],'DB Details'!$A:$Q,6)=0,"",VLOOKUP(Table91213[[#This Row],[Date]],'DB Details'!$A:$Q,6))</f>
        <v>65</v>
      </c>
      <c r="G95" s="52">
        <f>IF(VLOOKUP(Table91213[[#This Row],[Date]],'DB Details'!$A:$Q,7)=0,"",VLOOKUP(Table91213[[#This Row],[Date]],'DB Details'!$A:$Q,7))</f>
        <v>64</v>
      </c>
      <c r="H95" s="52">
        <f>IF(VLOOKUP(Table91213[[#This Row],[Date]],'DB Details'!$A:$Q,8)=0,"",VLOOKUP(Table91213[[#This Row],[Date]],'DB Details'!$A:$Q,8))</f>
        <v>56</v>
      </c>
      <c r="I95" s="52">
        <f>IF(VLOOKUP(Table91213[[#This Row],[Date]],'DB Details'!$A:$Q,9)=0,"",VLOOKUP(Table91213[[#This Row],[Date]],'DB Details'!$A:$Q,9))</f>
        <v>55.5</v>
      </c>
      <c r="J95" s="52">
        <f>IF(VLOOKUP(Table91213[[#This Row],[Date]],'DB Details'!$A:$Q,10)=0,"",VLOOKUP(Table91213[[#This Row],[Date]],'DB Details'!$A:$Q,10))</f>
        <v>54.711246200608002</v>
      </c>
      <c r="K95" s="52">
        <f>IF(VLOOKUP(Table91213[[#This Row],[Date]],'DB Details'!$A:$Q,11)=0,"",VLOOKUP(Table91213[[#This Row],[Date]],'DB Details'!$A:$Q,11))</f>
        <v>55.5</v>
      </c>
      <c r="L95" s="50">
        <f>IF(VLOOKUP(Table91213[[#This Row],[Date]],'DB Details'!$A:$Q,12)=0,"",VLOOKUP(Table91213[[#This Row],[Date]],'DB Details'!$A:$Q,12))</f>
        <v>59.6</v>
      </c>
    </row>
    <row r="96" spans="1:12" x14ac:dyDescent="0.2">
      <c r="A96" s="53">
        <v>38353</v>
      </c>
      <c r="B96" s="50">
        <f>IF(VLOOKUP(Table91213[[#This Row],[Date]],'DB Details'!$A:$Q,2)=0,"",VLOOKUP(Table91213[[#This Row],[Date]],'DB Details'!$A:$Q,2))</f>
        <v>62.4</v>
      </c>
      <c r="C96" s="51">
        <f>IF(VLOOKUP(Table91213[[#This Row],[Date]],'DB Details'!$A:$Q,3)=0,"",VLOOKUP(Table91213[[#This Row],[Date]],'DB Details'!$A:$Q,3))</f>
        <v>53</v>
      </c>
      <c r="D96" s="51">
        <f>IF(VLOOKUP(Table91213[[#This Row],[Date]],'DB Details'!$A:$Q,4)=0,"",VLOOKUP(Table91213[[#This Row],[Date]],'DB Details'!$A:$Q,4))</f>
        <v>48</v>
      </c>
      <c r="E96" s="52">
        <f>IF(VLOOKUP(Table91213[[#This Row],[Date]],'DB Details'!$A:$Q,5)=0,"",VLOOKUP(Table91213[[#This Row],[Date]],'DB Details'!$A:$Q,5))</f>
        <v>69.099999999999994</v>
      </c>
      <c r="F96" s="51">
        <f>IF(VLOOKUP(Table91213[[#This Row],[Date]],'DB Details'!$A:$Q,6)=0,"",VLOOKUP(Table91213[[#This Row],[Date]],'DB Details'!$A:$Q,6))</f>
        <v>62.5</v>
      </c>
      <c r="G96" s="52">
        <f>IF(VLOOKUP(Table91213[[#This Row],[Date]],'DB Details'!$A:$Q,7)=0,"",VLOOKUP(Table91213[[#This Row],[Date]],'DB Details'!$A:$Q,7))</f>
        <v>64.5</v>
      </c>
      <c r="H96" s="52">
        <f>IF(VLOOKUP(Table91213[[#This Row],[Date]],'DB Details'!$A:$Q,8)=0,"",VLOOKUP(Table91213[[#This Row],[Date]],'DB Details'!$A:$Q,8))</f>
        <v>49.5</v>
      </c>
      <c r="I96" s="52">
        <f>IF(VLOOKUP(Table91213[[#This Row],[Date]],'DB Details'!$A:$Q,9)=0,"",VLOOKUP(Table91213[[#This Row],[Date]],'DB Details'!$A:$Q,9))</f>
        <v>52.5</v>
      </c>
      <c r="J96" s="52">
        <f>IF(VLOOKUP(Table91213[[#This Row],[Date]],'DB Details'!$A:$Q,10)=0,"",VLOOKUP(Table91213[[#This Row],[Date]],'DB Details'!$A:$Q,10))</f>
        <v>54.6</v>
      </c>
      <c r="K96" s="52">
        <f>IF(VLOOKUP(Table91213[[#This Row],[Date]],'DB Details'!$A:$Q,11)=0,"",VLOOKUP(Table91213[[#This Row],[Date]],'DB Details'!$A:$Q,11))</f>
        <v>52.5</v>
      </c>
      <c r="L96" s="50">
        <f>IF(VLOOKUP(Table91213[[#This Row],[Date]],'DB Details'!$A:$Q,12)=0,"",VLOOKUP(Table91213[[#This Row],[Date]],'DB Details'!$A:$Q,12))</f>
        <v>58</v>
      </c>
    </row>
    <row r="97" spans="1:12" x14ac:dyDescent="0.2">
      <c r="A97" s="53">
        <v>38384</v>
      </c>
      <c r="B97" s="50">
        <f>IF(VLOOKUP(Table91213[[#This Row],[Date]],'DB Details'!$A:$Q,2)=0,"",VLOOKUP(Table91213[[#This Row],[Date]],'DB Details'!$A:$Q,2))</f>
        <v>63.3</v>
      </c>
      <c r="C97" s="51">
        <f>IF(VLOOKUP(Table91213[[#This Row],[Date]],'DB Details'!$A:$Q,3)=0,"",VLOOKUP(Table91213[[#This Row],[Date]],'DB Details'!$A:$Q,3))</f>
        <v>57.5</v>
      </c>
      <c r="D97" s="51">
        <f>IF(VLOOKUP(Table91213[[#This Row],[Date]],'DB Details'!$A:$Q,4)=0,"",VLOOKUP(Table91213[[#This Row],[Date]],'DB Details'!$A:$Q,4))</f>
        <v>51.5</v>
      </c>
      <c r="E97" s="52">
        <f>IF(VLOOKUP(Table91213[[#This Row],[Date]],'DB Details'!$A:$Q,5)=0,"",VLOOKUP(Table91213[[#This Row],[Date]],'DB Details'!$A:$Q,5))</f>
        <v>69.7</v>
      </c>
      <c r="F97" s="51">
        <f>IF(VLOOKUP(Table91213[[#This Row],[Date]],'DB Details'!$A:$Q,6)=0,"",VLOOKUP(Table91213[[#This Row],[Date]],'DB Details'!$A:$Q,6))</f>
        <v>61.9</v>
      </c>
      <c r="G97" s="52">
        <f>IF(VLOOKUP(Table91213[[#This Row],[Date]],'DB Details'!$A:$Q,7)=0,"",VLOOKUP(Table91213[[#This Row],[Date]],'DB Details'!$A:$Q,7))</f>
        <v>64.5</v>
      </c>
      <c r="H97" s="52">
        <f>IF(VLOOKUP(Table91213[[#This Row],[Date]],'DB Details'!$A:$Q,8)=0,"",VLOOKUP(Table91213[[#This Row],[Date]],'DB Details'!$A:$Q,8))</f>
        <v>52</v>
      </c>
      <c r="I97" s="52">
        <f>IF(VLOOKUP(Table91213[[#This Row],[Date]],'DB Details'!$A:$Q,9)=0,"",VLOOKUP(Table91213[[#This Row],[Date]],'DB Details'!$A:$Q,9))</f>
        <v>52.5</v>
      </c>
      <c r="J97" s="52">
        <f>IF(VLOOKUP(Table91213[[#This Row],[Date]],'DB Details'!$A:$Q,10)=0,"",VLOOKUP(Table91213[[#This Row],[Date]],'DB Details'!$A:$Q,10))</f>
        <v>59.7</v>
      </c>
      <c r="K97" s="52">
        <f>IF(VLOOKUP(Table91213[[#This Row],[Date]],'DB Details'!$A:$Q,11)=0,"",VLOOKUP(Table91213[[#This Row],[Date]],'DB Details'!$A:$Q,11))</f>
        <v>56</v>
      </c>
      <c r="L97" s="50">
        <f>IF(VLOOKUP(Table91213[[#This Row],[Date]],'DB Details'!$A:$Q,12)=0,"",VLOOKUP(Table91213[[#This Row],[Date]],'DB Details'!$A:$Q,12))</f>
        <v>59.4</v>
      </c>
    </row>
    <row r="98" spans="1:12" x14ac:dyDescent="0.2">
      <c r="A98" s="53">
        <v>38412</v>
      </c>
      <c r="B98" s="50">
        <f>IF(VLOOKUP(Table91213[[#This Row],[Date]],'DB Details'!$A:$Q,2)=0,"",VLOOKUP(Table91213[[#This Row],[Date]],'DB Details'!$A:$Q,2))</f>
        <v>60.5</v>
      </c>
      <c r="C98" s="51">
        <f>IF(VLOOKUP(Table91213[[#This Row],[Date]],'DB Details'!$A:$Q,3)=0,"",VLOOKUP(Table91213[[#This Row],[Date]],'DB Details'!$A:$Q,3))</f>
        <v>59</v>
      </c>
      <c r="D98" s="51">
        <f>IF(VLOOKUP(Table91213[[#This Row],[Date]],'DB Details'!$A:$Q,4)=0,"",VLOOKUP(Table91213[[#This Row],[Date]],'DB Details'!$A:$Q,4))</f>
        <v>56.5</v>
      </c>
      <c r="E98" s="52">
        <f>IF(VLOOKUP(Table91213[[#This Row],[Date]],'DB Details'!$A:$Q,5)=0,"",VLOOKUP(Table91213[[#This Row],[Date]],'DB Details'!$A:$Q,5))</f>
        <v>65.599999999999994</v>
      </c>
      <c r="F98" s="51">
        <f>IF(VLOOKUP(Table91213[[#This Row],[Date]],'DB Details'!$A:$Q,6)=0,"",VLOOKUP(Table91213[[#This Row],[Date]],'DB Details'!$A:$Q,6))</f>
        <v>61.3</v>
      </c>
      <c r="G98" s="52">
        <f>IF(VLOOKUP(Table91213[[#This Row],[Date]],'DB Details'!$A:$Q,7)=0,"",VLOOKUP(Table91213[[#This Row],[Date]],'DB Details'!$A:$Q,7))</f>
        <v>64.5</v>
      </c>
      <c r="H98" s="52">
        <f>IF(VLOOKUP(Table91213[[#This Row],[Date]],'DB Details'!$A:$Q,8)=0,"",VLOOKUP(Table91213[[#This Row],[Date]],'DB Details'!$A:$Q,8))</f>
        <v>52.5</v>
      </c>
      <c r="I98" s="52">
        <f>IF(VLOOKUP(Table91213[[#This Row],[Date]],'DB Details'!$A:$Q,9)=0,"",VLOOKUP(Table91213[[#This Row],[Date]],'DB Details'!$A:$Q,9))</f>
        <v>53</v>
      </c>
      <c r="J98" s="52">
        <f>IF(VLOOKUP(Table91213[[#This Row],[Date]],'DB Details'!$A:$Q,10)=0,"",VLOOKUP(Table91213[[#This Row],[Date]],'DB Details'!$A:$Q,10))</f>
        <v>57.2</v>
      </c>
      <c r="K98" s="52">
        <f>IF(VLOOKUP(Table91213[[#This Row],[Date]],'DB Details'!$A:$Q,11)=0,"",VLOOKUP(Table91213[[#This Row],[Date]],'DB Details'!$A:$Q,11))</f>
        <v>51.5</v>
      </c>
      <c r="L98" s="50">
        <f>IF(VLOOKUP(Table91213[[#This Row],[Date]],'DB Details'!$A:$Q,12)=0,"",VLOOKUP(Table91213[[#This Row],[Date]],'DB Details'!$A:$Q,12))</f>
        <v>58</v>
      </c>
    </row>
    <row r="99" spans="1:12" x14ac:dyDescent="0.2">
      <c r="A99" s="53">
        <v>38443</v>
      </c>
      <c r="B99" s="50">
        <f>IF(VLOOKUP(Table91213[[#This Row],[Date]],'DB Details'!$A:$Q,2)=0,"",VLOOKUP(Table91213[[#This Row],[Date]],'DB Details'!$A:$Q,2))</f>
        <v>57.5</v>
      </c>
      <c r="C99" s="51">
        <f>IF(VLOOKUP(Table91213[[#This Row],[Date]],'DB Details'!$A:$Q,3)=0,"",VLOOKUP(Table91213[[#This Row],[Date]],'DB Details'!$A:$Q,3))</f>
        <v>58.5</v>
      </c>
      <c r="D99" s="51">
        <f>IF(VLOOKUP(Table91213[[#This Row],[Date]],'DB Details'!$A:$Q,4)=0,"",VLOOKUP(Table91213[[#This Row],[Date]],'DB Details'!$A:$Q,4))</f>
        <v>54</v>
      </c>
      <c r="E99" s="52">
        <f>IF(VLOOKUP(Table91213[[#This Row],[Date]],'DB Details'!$A:$Q,5)=0,"",VLOOKUP(Table91213[[#This Row],[Date]],'DB Details'!$A:$Q,5))</f>
        <v>62.4</v>
      </c>
      <c r="F99" s="51">
        <f>IF(VLOOKUP(Table91213[[#This Row],[Date]],'DB Details'!$A:$Q,6)=0,"",VLOOKUP(Table91213[[#This Row],[Date]],'DB Details'!$A:$Q,6))</f>
        <v>58.6</v>
      </c>
      <c r="G99" s="52">
        <f>IF(VLOOKUP(Table91213[[#This Row],[Date]],'DB Details'!$A:$Q,7)=0,"",VLOOKUP(Table91213[[#This Row],[Date]],'DB Details'!$A:$Q,7))</f>
        <v>60.5</v>
      </c>
      <c r="H99" s="52">
        <f>IF(VLOOKUP(Table91213[[#This Row],[Date]],'DB Details'!$A:$Q,8)=0,"",VLOOKUP(Table91213[[#This Row],[Date]],'DB Details'!$A:$Q,8))</f>
        <v>54.5</v>
      </c>
      <c r="I99" s="52">
        <f>IF(VLOOKUP(Table91213[[#This Row],[Date]],'DB Details'!$A:$Q,9)=0,"",VLOOKUP(Table91213[[#This Row],[Date]],'DB Details'!$A:$Q,9))</f>
        <v>53</v>
      </c>
      <c r="J99" s="52">
        <f>IF(VLOOKUP(Table91213[[#This Row],[Date]],'DB Details'!$A:$Q,10)=0,"",VLOOKUP(Table91213[[#This Row],[Date]],'DB Details'!$A:$Q,10))</f>
        <v>53.3</v>
      </c>
      <c r="K99" s="52">
        <f>IF(VLOOKUP(Table91213[[#This Row],[Date]],'DB Details'!$A:$Q,11)=0,"",VLOOKUP(Table91213[[#This Row],[Date]],'DB Details'!$A:$Q,11))</f>
        <v>52.5</v>
      </c>
      <c r="L99" s="50">
        <f>IF(VLOOKUP(Table91213[[#This Row],[Date]],'DB Details'!$A:$Q,12)=0,"",VLOOKUP(Table91213[[#This Row],[Date]],'DB Details'!$A:$Q,12))</f>
        <v>55.6</v>
      </c>
    </row>
    <row r="100" spans="1:12" x14ac:dyDescent="0.2">
      <c r="A100" s="53">
        <v>38473</v>
      </c>
      <c r="B100" s="50">
        <f>IF(VLOOKUP(Table91213[[#This Row],[Date]],'DB Details'!$A:$Q,2)=0,"",VLOOKUP(Table91213[[#This Row],[Date]],'DB Details'!$A:$Q,2))</f>
        <v>58.2</v>
      </c>
      <c r="C100" s="51">
        <f>IF(VLOOKUP(Table91213[[#This Row],[Date]],'DB Details'!$A:$Q,3)=0,"",VLOOKUP(Table91213[[#This Row],[Date]],'DB Details'!$A:$Q,3))</f>
        <v>57.5</v>
      </c>
      <c r="D100" s="51">
        <f>IF(VLOOKUP(Table91213[[#This Row],[Date]],'DB Details'!$A:$Q,4)=0,"",VLOOKUP(Table91213[[#This Row],[Date]],'DB Details'!$A:$Q,4))</f>
        <v>56.5</v>
      </c>
      <c r="E100" s="52">
        <f>IF(VLOOKUP(Table91213[[#This Row],[Date]],'DB Details'!$A:$Q,5)=0,"",VLOOKUP(Table91213[[#This Row],[Date]],'DB Details'!$A:$Q,5))</f>
        <v>57.6</v>
      </c>
      <c r="F100" s="51">
        <f>IF(VLOOKUP(Table91213[[#This Row],[Date]],'DB Details'!$A:$Q,6)=0,"",VLOOKUP(Table91213[[#This Row],[Date]],'DB Details'!$A:$Q,6))</f>
        <v>57.5</v>
      </c>
      <c r="G100" s="52">
        <f>IF(VLOOKUP(Table91213[[#This Row],[Date]],'DB Details'!$A:$Q,7)=0,"",VLOOKUP(Table91213[[#This Row],[Date]],'DB Details'!$A:$Q,7))</f>
        <v>63</v>
      </c>
      <c r="H100" s="52">
        <f>IF(VLOOKUP(Table91213[[#This Row],[Date]],'DB Details'!$A:$Q,8)=0,"",VLOOKUP(Table91213[[#This Row],[Date]],'DB Details'!$A:$Q,8))</f>
        <v>51.5</v>
      </c>
      <c r="I100" s="52">
        <f>IF(VLOOKUP(Table91213[[#This Row],[Date]],'DB Details'!$A:$Q,9)=0,"",VLOOKUP(Table91213[[#This Row],[Date]],'DB Details'!$A:$Q,9))</f>
        <v>53.5</v>
      </c>
      <c r="J100" s="52">
        <f>IF(VLOOKUP(Table91213[[#This Row],[Date]],'DB Details'!$A:$Q,10)=0,"",VLOOKUP(Table91213[[#This Row],[Date]],'DB Details'!$A:$Q,10))</f>
        <v>51.8</v>
      </c>
      <c r="K100" s="52">
        <f>IF(VLOOKUP(Table91213[[#This Row],[Date]],'DB Details'!$A:$Q,11)=0,"",VLOOKUP(Table91213[[#This Row],[Date]],'DB Details'!$A:$Q,11))</f>
        <v>62</v>
      </c>
      <c r="L100" s="50">
        <f>IF(VLOOKUP(Table91213[[#This Row],[Date]],'DB Details'!$A:$Q,12)=0,"",VLOOKUP(Table91213[[#This Row],[Date]],'DB Details'!$A:$Q,12))</f>
        <v>55.3</v>
      </c>
    </row>
    <row r="101" spans="1:12" x14ac:dyDescent="0.2">
      <c r="A101" s="53">
        <v>38504</v>
      </c>
      <c r="B101" s="50">
        <f>IF(VLOOKUP(Table91213[[#This Row],[Date]],'DB Details'!$A:$Q,2)=0,"",VLOOKUP(Table91213[[#This Row],[Date]],'DB Details'!$A:$Q,2))</f>
        <v>59.2</v>
      </c>
      <c r="C101" s="51">
        <f>IF(VLOOKUP(Table91213[[#This Row],[Date]],'DB Details'!$A:$Q,3)=0,"",VLOOKUP(Table91213[[#This Row],[Date]],'DB Details'!$A:$Q,3))</f>
        <v>58.5</v>
      </c>
      <c r="D101" s="51">
        <f>IF(VLOOKUP(Table91213[[#This Row],[Date]],'DB Details'!$A:$Q,4)=0,"",VLOOKUP(Table91213[[#This Row],[Date]],'DB Details'!$A:$Q,4))</f>
        <v>52.5</v>
      </c>
      <c r="E101" s="52">
        <f>IF(VLOOKUP(Table91213[[#This Row],[Date]],'DB Details'!$A:$Q,5)=0,"",VLOOKUP(Table91213[[#This Row],[Date]],'DB Details'!$A:$Q,5))</f>
        <v>58.4</v>
      </c>
      <c r="F101" s="51">
        <f>IF(VLOOKUP(Table91213[[#This Row],[Date]],'DB Details'!$A:$Q,6)=0,"",VLOOKUP(Table91213[[#This Row],[Date]],'DB Details'!$A:$Q,6))</f>
        <v>60.7</v>
      </c>
      <c r="G101" s="52">
        <f>IF(VLOOKUP(Table91213[[#This Row],[Date]],'DB Details'!$A:$Q,7)=0,"",VLOOKUP(Table91213[[#This Row],[Date]],'DB Details'!$A:$Q,7))</f>
        <v>64.5</v>
      </c>
      <c r="H101" s="52">
        <f>IF(VLOOKUP(Table91213[[#This Row],[Date]],'DB Details'!$A:$Q,8)=0,"",VLOOKUP(Table91213[[#This Row],[Date]],'DB Details'!$A:$Q,8))</f>
        <v>52</v>
      </c>
      <c r="I101" s="52">
        <f>IF(VLOOKUP(Table91213[[#This Row],[Date]],'DB Details'!$A:$Q,9)=0,"",VLOOKUP(Table91213[[#This Row],[Date]],'DB Details'!$A:$Q,9))</f>
        <v>56.5</v>
      </c>
      <c r="J101" s="52">
        <f>IF(VLOOKUP(Table91213[[#This Row],[Date]],'DB Details'!$A:$Q,10)=0,"",VLOOKUP(Table91213[[#This Row],[Date]],'DB Details'!$A:$Q,10))</f>
        <v>55.8</v>
      </c>
      <c r="K101" s="52">
        <f>IF(VLOOKUP(Table91213[[#This Row],[Date]],'DB Details'!$A:$Q,11)=0,"",VLOOKUP(Table91213[[#This Row],[Date]],'DB Details'!$A:$Q,11))</f>
        <v>50</v>
      </c>
      <c r="L101" s="50">
        <f>IF(VLOOKUP(Table91213[[#This Row],[Date]],'DB Details'!$A:$Q,12)=0,"",VLOOKUP(Table91213[[#This Row],[Date]],'DB Details'!$A:$Q,12))</f>
        <v>58.1</v>
      </c>
    </row>
    <row r="102" spans="1:12" x14ac:dyDescent="0.2">
      <c r="A102" s="53">
        <v>38534</v>
      </c>
      <c r="B102" s="50">
        <f>IF(VLOOKUP(Table91213[[#This Row],[Date]],'DB Details'!$A:$Q,2)=0,"",VLOOKUP(Table91213[[#This Row],[Date]],'DB Details'!$A:$Q,2))</f>
        <v>64.400000000000006</v>
      </c>
      <c r="C102" s="51">
        <f>IF(VLOOKUP(Table91213[[#This Row],[Date]],'DB Details'!$A:$Q,3)=0,"",VLOOKUP(Table91213[[#This Row],[Date]],'DB Details'!$A:$Q,3))</f>
        <v>62</v>
      </c>
      <c r="D102" s="51">
        <f>IF(VLOOKUP(Table91213[[#This Row],[Date]],'DB Details'!$A:$Q,4)=0,"",VLOOKUP(Table91213[[#This Row],[Date]],'DB Details'!$A:$Q,4))</f>
        <v>53.5</v>
      </c>
      <c r="E102" s="52">
        <f>IF(VLOOKUP(Table91213[[#This Row],[Date]],'DB Details'!$A:$Q,5)=0,"",VLOOKUP(Table91213[[#This Row],[Date]],'DB Details'!$A:$Q,5))</f>
        <v>65.8</v>
      </c>
      <c r="F102" s="51">
        <f>IF(VLOOKUP(Table91213[[#This Row],[Date]],'DB Details'!$A:$Q,6)=0,"",VLOOKUP(Table91213[[#This Row],[Date]],'DB Details'!$A:$Q,6))</f>
        <v>61.3</v>
      </c>
      <c r="G102" s="52">
        <f>IF(VLOOKUP(Table91213[[#This Row],[Date]],'DB Details'!$A:$Q,7)=0,"",VLOOKUP(Table91213[[#This Row],[Date]],'DB Details'!$A:$Q,7))</f>
        <v>64</v>
      </c>
      <c r="H102" s="52">
        <f>IF(VLOOKUP(Table91213[[#This Row],[Date]],'DB Details'!$A:$Q,8)=0,"",VLOOKUP(Table91213[[#This Row],[Date]],'DB Details'!$A:$Q,8))</f>
        <v>52.5</v>
      </c>
      <c r="I102" s="52">
        <f>IF(VLOOKUP(Table91213[[#This Row],[Date]],'DB Details'!$A:$Q,9)=0,"",VLOOKUP(Table91213[[#This Row],[Date]],'DB Details'!$A:$Q,9))</f>
        <v>57</v>
      </c>
      <c r="J102" s="52">
        <f>IF(VLOOKUP(Table91213[[#This Row],[Date]],'DB Details'!$A:$Q,10)=0,"",VLOOKUP(Table91213[[#This Row],[Date]],'DB Details'!$A:$Q,10))</f>
        <v>55.1</v>
      </c>
      <c r="K102" s="52">
        <f>IF(VLOOKUP(Table91213[[#This Row],[Date]],'DB Details'!$A:$Q,11)=0,"",VLOOKUP(Table91213[[#This Row],[Date]],'DB Details'!$A:$Q,11))</f>
        <v>53.5</v>
      </c>
      <c r="L102" s="50">
        <f>IF(VLOOKUP(Table91213[[#This Row],[Date]],'DB Details'!$A:$Q,12)=0,"",VLOOKUP(Table91213[[#This Row],[Date]],'DB Details'!$A:$Q,12))</f>
        <v>59.5</v>
      </c>
    </row>
    <row r="103" spans="1:12" x14ac:dyDescent="0.2">
      <c r="A103" s="53">
        <v>38565</v>
      </c>
      <c r="B103" s="50">
        <f>IF(VLOOKUP(Table91213[[#This Row],[Date]],'DB Details'!$A:$Q,2)=0,"",VLOOKUP(Table91213[[#This Row],[Date]],'DB Details'!$A:$Q,2))</f>
        <v>65.3</v>
      </c>
      <c r="C103" s="51">
        <f>IF(VLOOKUP(Table91213[[#This Row],[Date]],'DB Details'!$A:$Q,3)=0,"",VLOOKUP(Table91213[[#This Row],[Date]],'DB Details'!$A:$Q,3))</f>
        <v>61.5</v>
      </c>
      <c r="D103" s="51">
        <f>IF(VLOOKUP(Table91213[[#This Row],[Date]],'DB Details'!$A:$Q,4)=0,"",VLOOKUP(Table91213[[#This Row],[Date]],'DB Details'!$A:$Q,4))</f>
        <v>52</v>
      </c>
      <c r="E103" s="52">
        <f>IF(VLOOKUP(Table91213[[#This Row],[Date]],'DB Details'!$A:$Q,5)=0,"",VLOOKUP(Table91213[[#This Row],[Date]],'DB Details'!$A:$Q,5))</f>
        <v>66.099999999999994</v>
      </c>
      <c r="F103" s="51">
        <f>IF(VLOOKUP(Table91213[[#This Row],[Date]],'DB Details'!$A:$Q,6)=0,"",VLOOKUP(Table91213[[#This Row],[Date]],'DB Details'!$A:$Q,6))</f>
        <v>64.8</v>
      </c>
      <c r="G103" s="52">
        <f>IF(VLOOKUP(Table91213[[#This Row],[Date]],'DB Details'!$A:$Q,7)=0,"",VLOOKUP(Table91213[[#This Row],[Date]],'DB Details'!$A:$Q,7))</f>
        <v>67</v>
      </c>
      <c r="H103" s="52">
        <f>IF(VLOOKUP(Table91213[[#This Row],[Date]],'DB Details'!$A:$Q,8)=0,"",VLOOKUP(Table91213[[#This Row],[Date]],'DB Details'!$A:$Q,8))</f>
        <v>53.5</v>
      </c>
      <c r="I103" s="52">
        <f>IF(VLOOKUP(Table91213[[#This Row],[Date]],'DB Details'!$A:$Q,9)=0,"",VLOOKUP(Table91213[[#This Row],[Date]],'DB Details'!$A:$Q,9))</f>
        <v>55</v>
      </c>
      <c r="J103" s="52">
        <f>IF(VLOOKUP(Table91213[[#This Row],[Date]],'DB Details'!$A:$Q,10)=0,"",VLOOKUP(Table91213[[#This Row],[Date]],'DB Details'!$A:$Q,10))</f>
        <v>60.2</v>
      </c>
      <c r="K103" s="52">
        <f>IF(VLOOKUP(Table91213[[#This Row],[Date]],'DB Details'!$A:$Q,11)=0,"",VLOOKUP(Table91213[[#This Row],[Date]],'DB Details'!$A:$Q,11))</f>
        <v>63.5</v>
      </c>
      <c r="L103" s="50">
        <f>IF(VLOOKUP(Table91213[[#This Row],[Date]],'DB Details'!$A:$Q,12)=0,"",VLOOKUP(Table91213[[#This Row],[Date]],'DB Details'!$A:$Q,12))</f>
        <v>61.3</v>
      </c>
    </row>
    <row r="104" spans="1:12" x14ac:dyDescent="0.2">
      <c r="A104" s="53">
        <v>38596</v>
      </c>
      <c r="B104" s="50">
        <f>IF(VLOOKUP(Table91213[[#This Row],[Date]],'DB Details'!$A:$Q,2)=0,"",VLOOKUP(Table91213[[#This Row],[Date]],'DB Details'!$A:$Q,2))</f>
        <v>56.2</v>
      </c>
      <c r="C104" s="51">
        <f>IF(VLOOKUP(Table91213[[#This Row],[Date]],'DB Details'!$A:$Q,3)=0,"",VLOOKUP(Table91213[[#This Row],[Date]],'DB Details'!$A:$Q,3))</f>
        <v>58.5</v>
      </c>
      <c r="D104" s="51">
        <f>IF(VLOOKUP(Table91213[[#This Row],[Date]],'DB Details'!$A:$Q,4)=0,"",VLOOKUP(Table91213[[#This Row],[Date]],'DB Details'!$A:$Q,4))</f>
        <v>52</v>
      </c>
      <c r="E104" s="52">
        <f>IF(VLOOKUP(Table91213[[#This Row],[Date]],'DB Details'!$A:$Q,5)=0,"",VLOOKUP(Table91213[[#This Row],[Date]],'DB Details'!$A:$Q,5))</f>
        <v>83.5</v>
      </c>
      <c r="F104" s="51">
        <f>IF(VLOOKUP(Table91213[[#This Row],[Date]],'DB Details'!$A:$Q,6)=0,"",VLOOKUP(Table91213[[#This Row],[Date]],'DB Details'!$A:$Q,6))</f>
        <v>55.2</v>
      </c>
      <c r="G104" s="52">
        <f>IF(VLOOKUP(Table91213[[#This Row],[Date]],'DB Details'!$A:$Q,7)=0,"",VLOOKUP(Table91213[[#This Row],[Date]],'DB Details'!$A:$Q,7))</f>
        <v>64</v>
      </c>
      <c r="H104" s="52">
        <f>IF(VLOOKUP(Table91213[[#This Row],[Date]],'DB Details'!$A:$Q,8)=0,"",VLOOKUP(Table91213[[#This Row],[Date]],'DB Details'!$A:$Q,8))</f>
        <v>50</v>
      </c>
      <c r="I104" s="52">
        <f>IF(VLOOKUP(Table91213[[#This Row],[Date]],'DB Details'!$A:$Q,9)=0,"",VLOOKUP(Table91213[[#This Row],[Date]],'DB Details'!$A:$Q,9))</f>
        <v>56</v>
      </c>
      <c r="J104" s="52">
        <f>IF(VLOOKUP(Table91213[[#This Row],[Date]],'DB Details'!$A:$Q,10)=0,"",VLOOKUP(Table91213[[#This Row],[Date]],'DB Details'!$A:$Q,10))</f>
        <v>55.4</v>
      </c>
      <c r="K104" s="52">
        <f>IF(VLOOKUP(Table91213[[#This Row],[Date]],'DB Details'!$A:$Q,11)=0,"",VLOOKUP(Table91213[[#This Row],[Date]],'DB Details'!$A:$Q,11))</f>
        <v>55</v>
      </c>
      <c r="L104" s="50">
        <f>IF(VLOOKUP(Table91213[[#This Row],[Date]],'DB Details'!$A:$Q,12)=0,"",VLOOKUP(Table91213[[#This Row],[Date]],'DB Details'!$A:$Q,12))</f>
        <v>55.7</v>
      </c>
    </row>
    <row r="105" spans="1:12" x14ac:dyDescent="0.2">
      <c r="A105" s="53">
        <v>38626</v>
      </c>
      <c r="B105" s="50">
        <f>IF(VLOOKUP(Table91213[[#This Row],[Date]],'DB Details'!$A:$Q,2)=0,"",VLOOKUP(Table91213[[#This Row],[Date]],'DB Details'!$A:$Q,2))</f>
        <v>57.5</v>
      </c>
      <c r="C105" s="51">
        <f>IF(VLOOKUP(Table91213[[#This Row],[Date]],'DB Details'!$A:$Q,3)=0,"",VLOOKUP(Table91213[[#This Row],[Date]],'DB Details'!$A:$Q,3))</f>
        <v>53.5</v>
      </c>
      <c r="D105" s="51">
        <f>IF(VLOOKUP(Table91213[[#This Row],[Date]],'DB Details'!$A:$Q,4)=0,"",VLOOKUP(Table91213[[#This Row],[Date]],'DB Details'!$A:$Q,4))</f>
        <v>55</v>
      </c>
      <c r="E105" s="52">
        <f>IF(VLOOKUP(Table91213[[#This Row],[Date]],'DB Details'!$A:$Q,5)=0,"",VLOOKUP(Table91213[[#This Row],[Date]],'DB Details'!$A:$Q,5))</f>
        <v>79.2</v>
      </c>
      <c r="F105" s="51">
        <f>IF(VLOOKUP(Table91213[[#This Row],[Date]],'DB Details'!$A:$Q,6)=0,"",VLOOKUP(Table91213[[#This Row],[Date]],'DB Details'!$A:$Q,6))</f>
        <v>59.2</v>
      </c>
      <c r="G105" s="52">
        <f>IF(VLOOKUP(Table91213[[#This Row],[Date]],'DB Details'!$A:$Q,7)=0,"",VLOOKUP(Table91213[[#This Row],[Date]],'DB Details'!$A:$Q,7))</f>
        <v>55</v>
      </c>
      <c r="H105" s="52">
        <f>IF(VLOOKUP(Table91213[[#This Row],[Date]],'DB Details'!$A:$Q,8)=0,"",VLOOKUP(Table91213[[#This Row],[Date]],'DB Details'!$A:$Q,8))</f>
        <v>50</v>
      </c>
      <c r="I105" s="52">
        <f>IF(VLOOKUP(Table91213[[#This Row],[Date]],'DB Details'!$A:$Q,9)=0,"",VLOOKUP(Table91213[[#This Row],[Date]],'DB Details'!$A:$Q,9))</f>
        <v>58.5</v>
      </c>
      <c r="J105" s="52">
        <f>IF(VLOOKUP(Table91213[[#This Row],[Date]],'DB Details'!$A:$Q,10)=0,"",VLOOKUP(Table91213[[#This Row],[Date]],'DB Details'!$A:$Q,10))</f>
        <v>54.2</v>
      </c>
      <c r="K105" s="52">
        <f>IF(VLOOKUP(Table91213[[#This Row],[Date]],'DB Details'!$A:$Q,11)=0,"",VLOOKUP(Table91213[[#This Row],[Date]],'DB Details'!$A:$Q,11))</f>
        <v>54.5</v>
      </c>
      <c r="L105" s="50">
        <f>IF(VLOOKUP(Table91213[[#This Row],[Date]],'DB Details'!$A:$Q,12)=0,"",VLOOKUP(Table91213[[#This Row],[Date]],'DB Details'!$A:$Q,12))</f>
        <v>57.4</v>
      </c>
    </row>
    <row r="106" spans="1:12" x14ac:dyDescent="0.2">
      <c r="A106" s="53">
        <v>38657</v>
      </c>
      <c r="B106" s="50">
        <f>IF(VLOOKUP(Table91213[[#This Row],[Date]],'DB Details'!$A:$Q,2)=0,"",VLOOKUP(Table91213[[#This Row],[Date]],'DB Details'!$A:$Q,2))</f>
        <v>59.6</v>
      </c>
      <c r="C106" s="51">
        <f>IF(VLOOKUP(Table91213[[#This Row],[Date]],'DB Details'!$A:$Q,3)=0,"",VLOOKUP(Table91213[[#This Row],[Date]],'DB Details'!$A:$Q,3))</f>
        <v>56.5</v>
      </c>
      <c r="D106" s="51">
        <f>IF(VLOOKUP(Table91213[[#This Row],[Date]],'DB Details'!$A:$Q,4)=0,"",VLOOKUP(Table91213[[#This Row],[Date]],'DB Details'!$A:$Q,4))</f>
        <v>54</v>
      </c>
      <c r="E106" s="52">
        <f>IF(VLOOKUP(Table91213[[#This Row],[Date]],'DB Details'!$A:$Q,5)=0,"",VLOOKUP(Table91213[[#This Row],[Date]],'DB Details'!$A:$Q,5))</f>
        <v>72.599999999999994</v>
      </c>
      <c r="F106" s="51">
        <f>IF(VLOOKUP(Table91213[[#This Row],[Date]],'DB Details'!$A:$Q,6)=0,"",VLOOKUP(Table91213[[#This Row],[Date]],'DB Details'!$A:$Q,6))</f>
        <v>59.2</v>
      </c>
      <c r="G106" s="52">
        <f>IF(VLOOKUP(Table91213[[#This Row],[Date]],'DB Details'!$A:$Q,7)=0,"",VLOOKUP(Table91213[[#This Row],[Date]],'DB Details'!$A:$Q,7))</f>
        <v>60</v>
      </c>
      <c r="H106" s="52">
        <f>IF(VLOOKUP(Table91213[[#This Row],[Date]],'DB Details'!$A:$Q,8)=0,"",VLOOKUP(Table91213[[#This Row],[Date]],'DB Details'!$A:$Q,8))</f>
        <v>54</v>
      </c>
      <c r="I106" s="52">
        <f>IF(VLOOKUP(Table91213[[#This Row],[Date]],'DB Details'!$A:$Q,9)=0,"",VLOOKUP(Table91213[[#This Row],[Date]],'DB Details'!$A:$Q,9))</f>
        <v>60.5</v>
      </c>
      <c r="J106" s="52">
        <f>IF(VLOOKUP(Table91213[[#This Row],[Date]],'DB Details'!$A:$Q,10)=0,"",VLOOKUP(Table91213[[#This Row],[Date]],'DB Details'!$A:$Q,10))</f>
        <v>56.9</v>
      </c>
      <c r="K106" s="52">
        <f>IF(VLOOKUP(Table91213[[#This Row],[Date]],'DB Details'!$A:$Q,11)=0,"",VLOOKUP(Table91213[[#This Row],[Date]],'DB Details'!$A:$Q,11))</f>
        <v>57</v>
      </c>
      <c r="L106" s="50">
        <f>IF(VLOOKUP(Table91213[[#This Row],[Date]],'DB Details'!$A:$Q,12)=0,"",VLOOKUP(Table91213[[#This Row],[Date]],'DB Details'!$A:$Q,12))</f>
        <v>59.1</v>
      </c>
    </row>
    <row r="107" spans="1:12" x14ac:dyDescent="0.2">
      <c r="A107" s="53">
        <v>38687</v>
      </c>
      <c r="B107" s="50">
        <f>IF(VLOOKUP(Table91213[[#This Row],[Date]],'DB Details'!$A:$Q,2)=0,"",VLOOKUP(Table91213[[#This Row],[Date]],'DB Details'!$A:$Q,2))</f>
        <v>62.8</v>
      </c>
      <c r="C107" s="51">
        <f>IF(VLOOKUP(Table91213[[#This Row],[Date]],'DB Details'!$A:$Q,3)=0,"",VLOOKUP(Table91213[[#This Row],[Date]],'DB Details'!$A:$Q,3))</f>
        <v>56.5</v>
      </c>
      <c r="D107" s="51">
        <f>IF(VLOOKUP(Table91213[[#This Row],[Date]],'DB Details'!$A:$Q,4)=0,"",VLOOKUP(Table91213[[#This Row],[Date]],'DB Details'!$A:$Q,4))</f>
        <v>54</v>
      </c>
      <c r="E107" s="52">
        <f>IF(VLOOKUP(Table91213[[#This Row],[Date]],'DB Details'!$A:$Q,5)=0,"",VLOOKUP(Table91213[[#This Row],[Date]],'DB Details'!$A:$Q,5))</f>
        <v>68.900000000000006</v>
      </c>
      <c r="F107" s="51">
        <f>IF(VLOOKUP(Table91213[[#This Row],[Date]],'DB Details'!$A:$Q,6)=0,"",VLOOKUP(Table91213[[#This Row],[Date]],'DB Details'!$A:$Q,6))</f>
        <v>60.1</v>
      </c>
      <c r="G107" s="52">
        <f>IF(VLOOKUP(Table91213[[#This Row],[Date]],'DB Details'!$A:$Q,7)=0,"",VLOOKUP(Table91213[[#This Row],[Date]],'DB Details'!$A:$Q,7))</f>
        <v>59</v>
      </c>
      <c r="H107" s="52">
        <f>IF(VLOOKUP(Table91213[[#This Row],[Date]],'DB Details'!$A:$Q,8)=0,"",VLOOKUP(Table91213[[#This Row],[Date]],'DB Details'!$A:$Q,8))</f>
        <v>56</v>
      </c>
      <c r="I107" s="52">
        <f>IF(VLOOKUP(Table91213[[#This Row],[Date]],'DB Details'!$A:$Q,9)=0,"",VLOOKUP(Table91213[[#This Row],[Date]],'DB Details'!$A:$Q,9))</f>
        <v>56.5</v>
      </c>
      <c r="J107" s="52">
        <f>IF(VLOOKUP(Table91213[[#This Row],[Date]],'DB Details'!$A:$Q,10)=0,"",VLOOKUP(Table91213[[#This Row],[Date]],'DB Details'!$A:$Q,10))</f>
        <v>56.4</v>
      </c>
      <c r="K107" s="52">
        <f>IF(VLOOKUP(Table91213[[#This Row],[Date]],'DB Details'!$A:$Q,11)=0,"",VLOOKUP(Table91213[[#This Row],[Date]],'DB Details'!$A:$Q,11))</f>
        <v>61.5</v>
      </c>
      <c r="L107" s="50">
        <f>IF(VLOOKUP(Table91213[[#This Row],[Date]],'DB Details'!$A:$Q,12)=0,"",VLOOKUP(Table91213[[#This Row],[Date]],'DB Details'!$A:$Q,12))</f>
        <v>59</v>
      </c>
    </row>
    <row r="108" spans="1:12" x14ac:dyDescent="0.2">
      <c r="A108" s="53">
        <v>38718</v>
      </c>
      <c r="B108" s="50">
        <f>IF(VLOOKUP(Table91213[[#This Row],[Date]],'DB Details'!$A:$Q,2)=0,"",VLOOKUP(Table91213[[#This Row],[Date]],'DB Details'!$A:$Q,2))</f>
        <v>57.4</v>
      </c>
      <c r="C108" s="51">
        <f>IF(VLOOKUP(Table91213[[#This Row],[Date]],'DB Details'!$A:$Q,3)=0,"",VLOOKUP(Table91213[[#This Row],[Date]],'DB Details'!$A:$Q,3))</f>
        <v>49.5</v>
      </c>
      <c r="D108" s="51">
        <f>IF(VLOOKUP(Table91213[[#This Row],[Date]],'DB Details'!$A:$Q,4)=0,"",VLOOKUP(Table91213[[#This Row],[Date]],'DB Details'!$A:$Q,4))</f>
        <v>52.5</v>
      </c>
      <c r="E108" s="52">
        <f>IF(VLOOKUP(Table91213[[#This Row],[Date]],'DB Details'!$A:$Q,5)=0,"",VLOOKUP(Table91213[[#This Row],[Date]],'DB Details'!$A:$Q,5))</f>
        <v>69.900000000000006</v>
      </c>
      <c r="F108" s="51">
        <f>IF(VLOOKUP(Table91213[[#This Row],[Date]],'DB Details'!$A:$Q,6)=0,"",VLOOKUP(Table91213[[#This Row],[Date]],'DB Details'!$A:$Q,6))</f>
        <v>58.6</v>
      </c>
      <c r="G108" s="52">
        <f>IF(VLOOKUP(Table91213[[#This Row],[Date]],'DB Details'!$A:$Q,7)=0,"",VLOOKUP(Table91213[[#This Row],[Date]],'DB Details'!$A:$Q,7))</f>
        <v>63</v>
      </c>
      <c r="H108" s="52">
        <f>IF(VLOOKUP(Table91213[[#This Row],[Date]],'DB Details'!$A:$Q,8)=0,"",VLOOKUP(Table91213[[#This Row],[Date]],'DB Details'!$A:$Q,8))</f>
        <v>55</v>
      </c>
      <c r="I108" s="52">
        <f>IF(VLOOKUP(Table91213[[#This Row],[Date]],'DB Details'!$A:$Q,9)=0,"",VLOOKUP(Table91213[[#This Row],[Date]],'DB Details'!$A:$Q,9))</f>
        <v>54.5</v>
      </c>
      <c r="J108" s="52">
        <f>IF(VLOOKUP(Table91213[[#This Row],[Date]],'DB Details'!$A:$Q,10)=0,"",VLOOKUP(Table91213[[#This Row],[Date]],'DB Details'!$A:$Q,10))</f>
        <v>54.5</v>
      </c>
      <c r="K108" s="52">
        <f>IF(VLOOKUP(Table91213[[#This Row],[Date]],'DB Details'!$A:$Q,11)=0,"",VLOOKUP(Table91213[[#This Row],[Date]],'DB Details'!$A:$Q,11))</f>
        <v>58</v>
      </c>
      <c r="L108" s="50">
        <f>IF(VLOOKUP(Table91213[[#This Row],[Date]],'DB Details'!$A:$Q,12)=0,"",VLOOKUP(Table91213[[#This Row],[Date]],'DB Details'!$A:$Q,12))</f>
        <v>56.3</v>
      </c>
    </row>
    <row r="109" spans="1:12" x14ac:dyDescent="0.2">
      <c r="A109" s="53">
        <v>38749</v>
      </c>
      <c r="B109" s="50">
        <f>IF(VLOOKUP(Table91213[[#This Row],[Date]],'DB Details'!$A:$Q,2)=0,"",VLOOKUP(Table91213[[#This Row],[Date]],'DB Details'!$A:$Q,2))</f>
        <v>57.8</v>
      </c>
      <c r="C109" s="51">
        <f>IF(VLOOKUP(Table91213[[#This Row],[Date]],'DB Details'!$A:$Q,3)=0,"",VLOOKUP(Table91213[[#This Row],[Date]],'DB Details'!$A:$Q,3))</f>
        <v>55</v>
      </c>
      <c r="D109" s="51">
        <f>IF(VLOOKUP(Table91213[[#This Row],[Date]],'DB Details'!$A:$Q,4)=0,"",VLOOKUP(Table91213[[#This Row],[Date]],'DB Details'!$A:$Q,4))</f>
        <v>54</v>
      </c>
      <c r="E109" s="52">
        <f>IF(VLOOKUP(Table91213[[#This Row],[Date]],'DB Details'!$A:$Q,5)=0,"",VLOOKUP(Table91213[[#This Row],[Date]],'DB Details'!$A:$Q,5))</f>
        <v>67.8</v>
      </c>
      <c r="F109" s="51">
        <f>IF(VLOOKUP(Table91213[[#This Row],[Date]],'DB Details'!$A:$Q,6)=0,"",VLOOKUP(Table91213[[#This Row],[Date]],'DB Details'!$A:$Q,6))</f>
        <v>61.8</v>
      </c>
      <c r="G109" s="52">
        <f>IF(VLOOKUP(Table91213[[#This Row],[Date]],'DB Details'!$A:$Q,7)=0,"",VLOOKUP(Table91213[[#This Row],[Date]],'DB Details'!$A:$Q,7))</f>
        <v>63.5</v>
      </c>
      <c r="H109" s="52">
        <f>IF(VLOOKUP(Table91213[[#This Row],[Date]],'DB Details'!$A:$Q,8)=0,"",VLOOKUP(Table91213[[#This Row],[Date]],'DB Details'!$A:$Q,8))</f>
        <v>53</v>
      </c>
      <c r="I109" s="52">
        <f>IF(VLOOKUP(Table91213[[#This Row],[Date]],'DB Details'!$A:$Q,9)=0,"",VLOOKUP(Table91213[[#This Row],[Date]],'DB Details'!$A:$Q,9))</f>
        <v>52.5</v>
      </c>
      <c r="J109" s="52">
        <f>IF(VLOOKUP(Table91213[[#This Row],[Date]],'DB Details'!$A:$Q,10)=0,"",VLOOKUP(Table91213[[#This Row],[Date]],'DB Details'!$A:$Q,10))</f>
        <v>58.1</v>
      </c>
      <c r="K109" s="52">
        <f>IF(VLOOKUP(Table91213[[#This Row],[Date]],'DB Details'!$A:$Q,11)=0,"",VLOOKUP(Table91213[[#This Row],[Date]],'DB Details'!$A:$Q,11))</f>
        <v>60</v>
      </c>
      <c r="L109" s="50">
        <f>IF(VLOOKUP(Table91213[[#This Row],[Date]],'DB Details'!$A:$Q,12)=0,"",VLOOKUP(Table91213[[#This Row],[Date]],'DB Details'!$A:$Q,12))</f>
        <v>57.6</v>
      </c>
    </row>
    <row r="110" spans="1:12" x14ac:dyDescent="0.2">
      <c r="A110" s="53">
        <v>38777</v>
      </c>
      <c r="B110" s="50">
        <f>IF(VLOOKUP(Table91213[[#This Row],[Date]],'DB Details'!$A:$Q,2)=0,"",VLOOKUP(Table91213[[#This Row],[Date]],'DB Details'!$A:$Q,2))</f>
        <v>58.6</v>
      </c>
      <c r="C110" s="51">
        <f>IF(VLOOKUP(Table91213[[#This Row],[Date]],'DB Details'!$A:$Q,3)=0,"",VLOOKUP(Table91213[[#This Row],[Date]],'DB Details'!$A:$Q,3))</f>
        <v>60.5</v>
      </c>
      <c r="D110" s="51">
        <f>IF(VLOOKUP(Table91213[[#This Row],[Date]],'DB Details'!$A:$Q,4)=0,"",VLOOKUP(Table91213[[#This Row],[Date]],'DB Details'!$A:$Q,4))</f>
        <v>50.5</v>
      </c>
      <c r="E110" s="52">
        <f>IF(VLOOKUP(Table91213[[#This Row],[Date]],'DB Details'!$A:$Q,5)=0,"",VLOOKUP(Table91213[[#This Row],[Date]],'DB Details'!$A:$Q,5))</f>
        <v>60.1</v>
      </c>
      <c r="F110" s="51">
        <f>IF(VLOOKUP(Table91213[[#This Row],[Date]],'DB Details'!$A:$Q,6)=0,"",VLOOKUP(Table91213[[#This Row],[Date]],'DB Details'!$A:$Q,6))</f>
        <v>60</v>
      </c>
      <c r="G110" s="52">
        <f>IF(VLOOKUP(Table91213[[#This Row],[Date]],'DB Details'!$A:$Q,7)=0,"",VLOOKUP(Table91213[[#This Row],[Date]],'DB Details'!$A:$Q,7))</f>
        <v>63</v>
      </c>
      <c r="H110" s="52">
        <f>IF(VLOOKUP(Table91213[[#This Row],[Date]],'DB Details'!$A:$Q,8)=0,"",VLOOKUP(Table91213[[#This Row],[Date]],'DB Details'!$A:$Q,8))</f>
        <v>54</v>
      </c>
      <c r="I110" s="52">
        <f>IF(VLOOKUP(Table91213[[#This Row],[Date]],'DB Details'!$A:$Q,9)=0,"",VLOOKUP(Table91213[[#This Row],[Date]],'DB Details'!$A:$Q,9))</f>
        <v>54</v>
      </c>
      <c r="J110" s="52">
        <f>IF(VLOOKUP(Table91213[[#This Row],[Date]],'DB Details'!$A:$Q,10)=0,"",VLOOKUP(Table91213[[#This Row],[Date]],'DB Details'!$A:$Q,10))</f>
        <v>55.1</v>
      </c>
      <c r="K110" s="52">
        <f>IF(VLOOKUP(Table91213[[#This Row],[Date]],'DB Details'!$A:$Q,11)=0,"",VLOOKUP(Table91213[[#This Row],[Date]],'DB Details'!$A:$Q,11))</f>
        <v>63.5</v>
      </c>
      <c r="L110" s="50">
        <f>IF(VLOOKUP(Table91213[[#This Row],[Date]],'DB Details'!$A:$Q,12)=0,"",VLOOKUP(Table91213[[#This Row],[Date]],'DB Details'!$A:$Q,12))</f>
        <v>56.9</v>
      </c>
    </row>
    <row r="111" spans="1:12" x14ac:dyDescent="0.2">
      <c r="A111" s="53">
        <v>38808</v>
      </c>
      <c r="B111" s="50">
        <f>IF(VLOOKUP(Table91213[[#This Row],[Date]],'DB Details'!$A:$Q,2)=0,"",VLOOKUP(Table91213[[#This Row],[Date]],'DB Details'!$A:$Q,2))</f>
        <v>61.1</v>
      </c>
      <c r="C111" s="51">
        <f>IF(VLOOKUP(Table91213[[#This Row],[Date]],'DB Details'!$A:$Q,3)=0,"",VLOOKUP(Table91213[[#This Row],[Date]],'DB Details'!$A:$Q,3))</f>
        <v>57</v>
      </c>
      <c r="D111" s="51">
        <f>IF(VLOOKUP(Table91213[[#This Row],[Date]],'DB Details'!$A:$Q,4)=0,"",VLOOKUP(Table91213[[#This Row],[Date]],'DB Details'!$A:$Q,4))</f>
        <v>54</v>
      </c>
      <c r="E111" s="52">
        <f>IF(VLOOKUP(Table91213[[#This Row],[Date]],'DB Details'!$A:$Q,5)=0,"",VLOOKUP(Table91213[[#This Row],[Date]],'DB Details'!$A:$Q,5))</f>
        <v>68.5</v>
      </c>
      <c r="F111" s="51">
        <f>IF(VLOOKUP(Table91213[[#This Row],[Date]],'DB Details'!$A:$Q,6)=0,"",VLOOKUP(Table91213[[#This Row],[Date]],'DB Details'!$A:$Q,6))</f>
        <v>61.3</v>
      </c>
      <c r="G111" s="52">
        <f>IF(VLOOKUP(Table91213[[#This Row],[Date]],'DB Details'!$A:$Q,7)=0,"",VLOOKUP(Table91213[[#This Row],[Date]],'DB Details'!$A:$Q,7))</f>
        <v>60</v>
      </c>
      <c r="H111" s="52">
        <f>IF(VLOOKUP(Table91213[[#This Row],[Date]],'DB Details'!$A:$Q,8)=0,"",VLOOKUP(Table91213[[#This Row],[Date]],'DB Details'!$A:$Q,8))</f>
        <v>59</v>
      </c>
      <c r="I111" s="52">
        <f>IF(VLOOKUP(Table91213[[#This Row],[Date]],'DB Details'!$A:$Q,9)=0,"",VLOOKUP(Table91213[[#This Row],[Date]],'DB Details'!$A:$Q,9))</f>
        <v>54.5</v>
      </c>
      <c r="J111" s="52">
        <f>IF(VLOOKUP(Table91213[[#This Row],[Date]],'DB Details'!$A:$Q,10)=0,"",VLOOKUP(Table91213[[#This Row],[Date]],'DB Details'!$A:$Q,10))</f>
        <v>56.5</v>
      </c>
      <c r="K111" s="52">
        <f>IF(VLOOKUP(Table91213[[#This Row],[Date]],'DB Details'!$A:$Q,11)=0,"",VLOOKUP(Table91213[[#This Row],[Date]],'DB Details'!$A:$Q,11))</f>
        <v>59.5</v>
      </c>
      <c r="L111" s="50">
        <f>IF(VLOOKUP(Table91213[[#This Row],[Date]],'DB Details'!$A:$Q,12)=0,"",VLOOKUP(Table91213[[#This Row],[Date]],'DB Details'!$A:$Q,12))</f>
        <v>58.4</v>
      </c>
    </row>
    <row r="112" spans="1:12" x14ac:dyDescent="0.2">
      <c r="A112" s="53">
        <v>38838</v>
      </c>
      <c r="B112" s="50">
        <f>IF(VLOOKUP(Table91213[[#This Row],[Date]],'DB Details'!$A:$Q,2)=0,"",VLOOKUP(Table91213[[#This Row],[Date]],'DB Details'!$A:$Q,2))</f>
        <v>58.6</v>
      </c>
      <c r="C112" s="51">
        <f>IF(VLOOKUP(Table91213[[#This Row],[Date]],'DB Details'!$A:$Q,3)=0,"",VLOOKUP(Table91213[[#This Row],[Date]],'DB Details'!$A:$Q,3))</f>
        <v>58.5</v>
      </c>
      <c r="D112" s="51">
        <f>IF(VLOOKUP(Table91213[[#This Row],[Date]],'DB Details'!$A:$Q,4)=0,"",VLOOKUP(Table91213[[#This Row],[Date]],'DB Details'!$A:$Q,4))</f>
        <v>52</v>
      </c>
      <c r="E112" s="52">
        <f>IF(VLOOKUP(Table91213[[#This Row],[Date]],'DB Details'!$A:$Q,5)=0,"",VLOOKUP(Table91213[[#This Row],[Date]],'DB Details'!$A:$Q,5))</f>
        <v>70.5</v>
      </c>
      <c r="F112" s="51">
        <f>IF(VLOOKUP(Table91213[[#This Row],[Date]],'DB Details'!$A:$Q,6)=0,"",VLOOKUP(Table91213[[#This Row],[Date]],'DB Details'!$A:$Q,6))</f>
        <v>58.1</v>
      </c>
      <c r="G112" s="52">
        <f>IF(VLOOKUP(Table91213[[#This Row],[Date]],'DB Details'!$A:$Q,7)=0,"",VLOOKUP(Table91213[[#This Row],[Date]],'DB Details'!$A:$Q,7))</f>
        <v>59</v>
      </c>
      <c r="H112" s="52">
        <f>IF(VLOOKUP(Table91213[[#This Row],[Date]],'DB Details'!$A:$Q,8)=0,"",VLOOKUP(Table91213[[#This Row],[Date]],'DB Details'!$A:$Q,8))</f>
        <v>59</v>
      </c>
      <c r="I112" s="52">
        <f>IF(VLOOKUP(Table91213[[#This Row],[Date]],'DB Details'!$A:$Q,9)=0,"",VLOOKUP(Table91213[[#This Row],[Date]],'DB Details'!$A:$Q,9))</f>
        <v>56.5</v>
      </c>
      <c r="J112" s="52">
        <f>IF(VLOOKUP(Table91213[[#This Row],[Date]],'DB Details'!$A:$Q,10)=0,"",VLOOKUP(Table91213[[#This Row],[Date]],'DB Details'!$A:$Q,10))</f>
        <v>54.6</v>
      </c>
      <c r="K112" s="52">
        <f>IF(VLOOKUP(Table91213[[#This Row],[Date]],'DB Details'!$A:$Q,11)=0,"",VLOOKUP(Table91213[[#This Row],[Date]],'DB Details'!$A:$Q,11))</f>
        <v>64</v>
      </c>
      <c r="L112" s="50">
        <f>IF(VLOOKUP(Table91213[[#This Row],[Date]],'DB Details'!$A:$Q,12)=0,"",VLOOKUP(Table91213[[#This Row],[Date]],'DB Details'!$A:$Q,12))</f>
        <v>57</v>
      </c>
    </row>
    <row r="113" spans="1:12" x14ac:dyDescent="0.2">
      <c r="A113" s="53">
        <v>38869</v>
      </c>
      <c r="B113" s="50">
        <f>IF(VLOOKUP(Table91213[[#This Row],[Date]],'DB Details'!$A:$Q,2)=0,"",VLOOKUP(Table91213[[#This Row],[Date]],'DB Details'!$A:$Q,2))</f>
        <v>57</v>
      </c>
      <c r="C113" s="51">
        <f>IF(VLOOKUP(Table91213[[#This Row],[Date]],'DB Details'!$A:$Q,3)=0,"",VLOOKUP(Table91213[[#This Row],[Date]],'DB Details'!$A:$Q,3))</f>
        <v>55.5</v>
      </c>
      <c r="D113" s="51">
        <f>IF(VLOOKUP(Table91213[[#This Row],[Date]],'DB Details'!$A:$Q,4)=0,"",VLOOKUP(Table91213[[#This Row],[Date]],'DB Details'!$A:$Q,4))</f>
        <v>55</v>
      </c>
      <c r="E113" s="52">
        <f>IF(VLOOKUP(Table91213[[#This Row],[Date]],'DB Details'!$A:$Q,5)=0,"",VLOOKUP(Table91213[[#This Row],[Date]],'DB Details'!$A:$Q,5))</f>
        <v>69</v>
      </c>
      <c r="F113" s="51">
        <f>IF(VLOOKUP(Table91213[[#This Row],[Date]],'DB Details'!$A:$Q,6)=0,"",VLOOKUP(Table91213[[#This Row],[Date]],'DB Details'!$A:$Q,6))</f>
        <v>56.4</v>
      </c>
      <c r="G113" s="52">
        <f>IF(VLOOKUP(Table91213[[#This Row],[Date]],'DB Details'!$A:$Q,7)=0,"",VLOOKUP(Table91213[[#This Row],[Date]],'DB Details'!$A:$Q,7))</f>
        <v>63</v>
      </c>
      <c r="H113" s="52">
        <f>IF(VLOOKUP(Table91213[[#This Row],[Date]],'DB Details'!$A:$Q,8)=0,"",VLOOKUP(Table91213[[#This Row],[Date]],'DB Details'!$A:$Q,8))</f>
        <v>51.5</v>
      </c>
      <c r="I113" s="52">
        <f>IF(VLOOKUP(Table91213[[#This Row],[Date]],'DB Details'!$A:$Q,9)=0,"",VLOOKUP(Table91213[[#This Row],[Date]],'DB Details'!$A:$Q,9))</f>
        <v>56</v>
      </c>
      <c r="J113" s="52">
        <f>IF(VLOOKUP(Table91213[[#This Row],[Date]],'DB Details'!$A:$Q,10)=0,"",VLOOKUP(Table91213[[#This Row],[Date]],'DB Details'!$A:$Q,10))</f>
        <v>51.2</v>
      </c>
      <c r="K113" s="52">
        <f>IF(VLOOKUP(Table91213[[#This Row],[Date]],'DB Details'!$A:$Q,11)=0,"",VLOOKUP(Table91213[[#This Row],[Date]],'DB Details'!$A:$Q,11))</f>
        <v>54.5</v>
      </c>
      <c r="L113" s="50">
        <f>IF(VLOOKUP(Table91213[[#This Row],[Date]],'DB Details'!$A:$Q,12)=0,"",VLOOKUP(Table91213[[#This Row],[Date]],'DB Details'!$A:$Q,12))</f>
        <v>55.2</v>
      </c>
    </row>
    <row r="114" spans="1:12" x14ac:dyDescent="0.2">
      <c r="A114" s="53">
        <v>38899</v>
      </c>
      <c r="B114" s="50">
        <f>IF(VLOOKUP(Table91213[[#This Row],[Date]],'DB Details'!$A:$Q,2)=0,"",VLOOKUP(Table91213[[#This Row],[Date]],'DB Details'!$A:$Q,2))</f>
        <v>58.1</v>
      </c>
      <c r="C114" s="51">
        <f>IF(VLOOKUP(Table91213[[#This Row],[Date]],'DB Details'!$A:$Q,3)=0,"",VLOOKUP(Table91213[[#This Row],[Date]],'DB Details'!$A:$Q,3))</f>
        <v>60.5</v>
      </c>
      <c r="D114" s="51">
        <f>IF(VLOOKUP(Table91213[[#This Row],[Date]],'DB Details'!$A:$Q,4)=0,"",VLOOKUP(Table91213[[#This Row],[Date]],'DB Details'!$A:$Q,4))</f>
        <v>56</v>
      </c>
      <c r="E114" s="52">
        <f>IF(VLOOKUP(Table91213[[#This Row],[Date]],'DB Details'!$A:$Q,5)=0,"",VLOOKUP(Table91213[[#This Row],[Date]],'DB Details'!$A:$Q,5))</f>
        <v>70.599999999999994</v>
      </c>
      <c r="F114" s="51">
        <f>IF(VLOOKUP(Table91213[[#This Row],[Date]],'DB Details'!$A:$Q,6)=0,"",VLOOKUP(Table91213[[#This Row],[Date]],'DB Details'!$A:$Q,6))</f>
        <v>56.3</v>
      </c>
      <c r="G114" s="52">
        <f>IF(VLOOKUP(Table91213[[#This Row],[Date]],'DB Details'!$A:$Q,7)=0,"",VLOOKUP(Table91213[[#This Row],[Date]],'DB Details'!$A:$Q,7))</f>
        <v>60</v>
      </c>
      <c r="H114" s="52">
        <f>IF(VLOOKUP(Table91213[[#This Row],[Date]],'DB Details'!$A:$Q,8)=0,"",VLOOKUP(Table91213[[#This Row],[Date]],'DB Details'!$A:$Q,8))</f>
        <v>53</v>
      </c>
      <c r="I114" s="52">
        <f>IF(VLOOKUP(Table91213[[#This Row],[Date]],'DB Details'!$A:$Q,9)=0,"",VLOOKUP(Table91213[[#This Row],[Date]],'DB Details'!$A:$Q,9))</f>
        <v>54.5</v>
      </c>
      <c r="J114" s="52">
        <f>IF(VLOOKUP(Table91213[[#This Row],[Date]],'DB Details'!$A:$Q,10)=0,"",VLOOKUP(Table91213[[#This Row],[Date]],'DB Details'!$A:$Q,10))</f>
        <v>53.6</v>
      </c>
      <c r="K114" s="52">
        <f>IF(VLOOKUP(Table91213[[#This Row],[Date]],'DB Details'!$A:$Q,11)=0,"",VLOOKUP(Table91213[[#This Row],[Date]],'DB Details'!$A:$Q,11))</f>
        <v>56</v>
      </c>
      <c r="L114" s="50">
        <f>IF(VLOOKUP(Table91213[[#This Row],[Date]],'DB Details'!$A:$Q,12)=0,"",VLOOKUP(Table91213[[#This Row],[Date]],'DB Details'!$A:$Q,12))</f>
        <v>55.6</v>
      </c>
    </row>
    <row r="115" spans="1:12" x14ac:dyDescent="0.2">
      <c r="A115" s="53">
        <v>38930</v>
      </c>
      <c r="B115" s="50">
        <f>IF(VLOOKUP(Table91213[[#This Row],[Date]],'DB Details'!$A:$Q,2)=0,"",VLOOKUP(Table91213[[#This Row],[Date]],'DB Details'!$A:$Q,2))</f>
        <v>53.1</v>
      </c>
      <c r="C115" s="51">
        <f>IF(VLOOKUP(Table91213[[#This Row],[Date]],'DB Details'!$A:$Q,3)=0,"",VLOOKUP(Table91213[[#This Row],[Date]],'DB Details'!$A:$Q,3))</f>
        <v>60</v>
      </c>
      <c r="D115" s="51">
        <f>IF(VLOOKUP(Table91213[[#This Row],[Date]],'DB Details'!$A:$Q,4)=0,"",VLOOKUP(Table91213[[#This Row],[Date]],'DB Details'!$A:$Q,4))</f>
        <v>49.5</v>
      </c>
      <c r="E115" s="52">
        <f>IF(VLOOKUP(Table91213[[#This Row],[Date]],'DB Details'!$A:$Q,5)=0,"",VLOOKUP(Table91213[[#This Row],[Date]],'DB Details'!$A:$Q,5))</f>
        <v>72.2</v>
      </c>
      <c r="F115" s="51">
        <f>IF(VLOOKUP(Table91213[[#This Row],[Date]],'DB Details'!$A:$Q,6)=0,"",VLOOKUP(Table91213[[#This Row],[Date]],'DB Details'!$A:$Q,6))</f>
        <v>56.7</v>
      </c>
      <c r="G115" s="52">
        <f>IF(VLOOKUP(Table91213[[#This Row],[Date]],'DB Details'!$A:$Q,7)=0,"",VLOOKUP(Table91213[[#This Row],[Date]],'DB Details'!$A:$Q,7))</f>
        <v>59</v>
      </c>
      <c r="H115" s="52">
        <f>IF(VLOOKUP(Table91213[[#This Row],[Date]],'DB Details'!$A:$Q,8)=0,"",VLOOKUP(Table91213[[#This Row],[Date]],'DB Details'!$A:$Q,8))</f>
        <v>51.5</v>
      </c>
      <c r="I115" s="52">
        <f>IF(VLOOKUP(Table91213[[#This Row],[Date]],'DB Details'!$A:$Q,9)=0,"",VLOOKUP(Table91213[[#This Row],[Date]],'DB Details'!$A:$Q,9))</f>
        <v>53.5</v>
      </c>
      <c r="J115" s="52">
        <f>IF(VLOOKUP(Table91213[[#This Row],[Date]],'DB Details'!$A:$Q,10)=0,"",VLOOKUP(Table91213[[#This Row],[Date]],'DB Details'!$A:$Q,10))</f>
        <v>52.2</v>
      </c>
      <c r="K115" s="52">
        <f>IF(VLOOKUP(Table91213[[#This Row],[Date]],'DB Details'!$A:$Q,11)=0,"",VLOOKUP(Table91213[[#This Row],[Date]],'DB Details'!$A:$Q,11))</f>
        <v>53</v>
      </c>
      <c r="L115" s="50">
        <f>IF(VLOOKUP(Table91213[[#This Row],[Date]],'DB Details'!$A:$Q,12)=0,"",VLOOKUP(Table91213[[#This Row],[Date]],'DB Details'!$A:$Q,12))</f>
        <v>53.9</v>
      </c>
    </row>
    <row r="116" spans="1:12" x14ac:dyDescent="0.2">
      <c r="A116" s="53">
        <v>38961</v>
      </c>
      <c r="B116" s="50">
        <f>IF(VLOOKUP(Table91213[[#This Row],[Date]],'DB Details'!$A:$Q,2)=0,"",VLOOKUP(Table91213[[#This Row],[Date]],'DB Details'!$A:$Q,2))</f>
        <v>56.5</v>
      </c>
      <c r="C116" s="51">
        <f>IF(VLOOKUP(Table91213[[#This Row],[Date]],'DB Details'!$A:$Q,3)=0,"",VLOOKUP(Table91213[[#This Row],[Date]],'DB Details'!$A:$Q,3))</f>
        <v>55</v>
      </c>
      <c r="D116" s="51">
        <f>IF(VLOOKUP(Table91213[[#This Row],[Date]],'DB Details'!$A:$Q,4)=0,"",VLOOKUP(Table91213[[#This Row],[Date]],'DB Details'!$A:$Q,4))</f>
        <v>53</v>
      </c>
      <c r="E116" s="52">
        <f>IF(VLOOKUP(Table91213[[#This Row],[Date]],'DB Details'!$A:$Q,5)=0,"",VLOOKUP(Table91213[[#This Row],[Date]],'DB Details'!$A:$Q,5))</f>
        <v>60.6</v>
      </c>
      <c r="F116" s="51">
        <f>IF(VLOOKUP(Table91213[[#This Row],[Date]],'DB Details'!$A:$Q,6)=0,"",VLOOKUP(Table91213[[#This Row],[Date]],'DB Details'!$A:$Q,6))</f>
        <v>54.4</v>
      </c>
      <c r="G116" s="52">
        <f>IF(VLOOKUP(Table91213[[#This Row],[Date]],'DB Details'!$A:$Q,7)=0,"",VLOOKUP(Table91213[[#This Row],[Date]],'DB Details'!$A:$Q,7))</f>
        <v>63.5</v>
      </c>
      <c r="H116" s="52">
        <f>IF(VLOOKUP(Table91213[[#This Row],[Date]],'DB Details'!$A:$Q,8)=0,"",VLOOKUP(Table91213[[#This Row],[Date]],'DB Details'!$A:$Q,8))</f>
        <v>50.5</v>
      </c>
      <c r="I116" s="52">
        <f>IF(VLOOKUP(Table91213[[#This Row],[Date]],'DB Details'!$A:$Q,9)=0,"",VLOOKUP(Table91213[[#This Row],[Date]],'DB Details'!$A:$Q,9))</f>
        <v>54</v>
      </c>
      <c r="J116" s="52">
        <f>IF(VLOOKUP(Table91213[[#This Row],[Date]],'DB Details'!$A:$Q,10)=0,"",VLOOKUP(Table91213[[#This Row],[Date]],'DB Details'!$A:$Q,10))</f>
        <v>52.9</v>
      </c>
      <c r="K116" s="52">
        <f>IF(VLOOKUP(Table91213[[#This Row],[Date]],'DB Details'!$A:$Q,11)=0,"",VLOOKUP(Table91213[[#This Row],[Date]],'DB Details'!$A:$Q,11))</f>
        <v>59</v>
      </c>
      <c r="L116" s="50">
        <f>IF(VLOOKUP(Table91213[[#This Row],[Date]],'DB Details'!$A:$Q,12)=0,"",VLOOKUP(Table91213[[#This Row],[Date]],'DB Details'!$A:$Q,12))</f>
        <v>54.5</v>
      </c>
    </row>
    <row r="117" spans="1:12" x14ac:dyDescent="0.2">
      <c r="A117" s="53">
        <v>38991</v>
      </c>
      <c r="B117" s="50">
        <f>IF(VLOOKUP(Table91213[[#This Row],[Date]],'DB Details'!$A:$Q,2)=0,"",VLOOKUP(Table91213[[#This Row],[Date]],'DB Details'!$A:$Q,2))</f>
        <v>55.3</v>
      </c>
      <c r="C117" s="51">
        <f>IF(VLOOKUP(Table91213[[#This Row],[Date]],'DB Details'!$A:$Q,3)=0,"",VLOOKUP(Table91213[[#This Row],[Date]],'DB Details'!$A:$Q,3))</f>
        <v>57.5</v>
      </c>
      <c r="D117" s="51">
        <f>IF(VLOOKUP(Table91213[[#This Row],[Date]],'DB Details'!$A:$Q,4)=0,"",VLOOKUP(Table91213[[#This Row],[Date]],'DB Details'!$A:$Q,4))</f>
        <v>51.5</v>
      </c>
      <c r="E117" s="52">
        <f>IF(VLOOKUP(Table91213[[#This Row],[Date]],'DB Details'!$A:$Q,5)=0,"",VLOOKUP(Table91213[[#This Row],[Date]],'DB Details'!$A:$Q,5))</f>
        <v>56.5</v>
      </c>
      <c r="F117" s="51">
        <f>IF(VLOOKUP(Table91213[[#This Row],[Date]],'DB Details'!$A:$Q,6)=0,"",VLOOKUP(Table91213[[#This Row],[Date]],'DB Details'!$A:$Q,6))</f>
        <v>56.9</v>
      </c>
      <c r="G117" s="52">
        <f>IF(VLOOKUP(Table91213[[#This Row],[Date]],'DB Details'!$A:$Q,7)=0,"",VLOOKUP(Table91213[[#This Row],[Date]],'DB Details'!$A:$Q,7))</f>
        <v>64.5</v>
      </c>
      <c r="H117" s="52">
        <f>IF(VLOOKUP(Table91213[[#This Row],[Date]],'DB Details'!$A:$Q,8)=0,"",VLOOKUP(Table91213[[#This Row],[Date]],'DB Details'!$A:$Q,8))</f>
        <v>53</v>
      </c>
      <c r="I117" s="52">
        <f>IF(VLOOKUP(Table91213[[#This Row],[Date]],'DB Details'!$A:$Q,9)=0,"",VLOOKUP(Table91213[[#This Row],[Date]],'DB Details'!$A:$Q,9))</f>
        <v>54.5</v>
      </c>
      <c r="J117" s="52">
        <f>IF(VLOOKUP(Table91213[[#This Row],[Date]],'DB Details'!$A:$Q,10)=0,"",VLOOKUP(Table91213[[#This Row],[Date]],'DB Details'!$A:$Q,10))</f>
        <v>52.9</v>
      </c>
      <c r="K117" s="52">
        <f>IF(VLOOKUP(Table91213[[#This Row],[Date]],'DB Details'!$A:$Q,11)=0,"",VLOOKUP(Table91213[[#This Row],[Date]],'DB Details'!$A:$Q,11))</f>
        <v>63.5</v>
      </c>
      <c r="L117" s="50">
        <f>IF(VLOOKUP(Table91213[[#This Row],[Date]],'DB Details'!$A:$Q,12)=0,"",VLOOKUP(Table91213[[#This Row],[Date]],'DB Details'!$A:$Q,12))</f>
        <v>54.9</v>
      </c>
    </row>
    <row r="118" spans="1:12" x14ac:dyDescent="0.2">
      <c r="A118" s="53">
        <v>39022</v>
      </c>
      <c r="B118" s="50">
        <f>IF(VLOOKUP(Table91213[[#This Row],[Date]],'DB Details'!$A:$Q,2)=0,"",VLOOKUP(Table91213[[#This Row],[Date]],'DB Details'!$A:$Q,2))</f>
        <v>56.7</v>
      </c>
      <c r="C118" s="51">
        <f>IF(VLOOKUP(Table91213[[#This Row],[Date]],'DB Details'!$A:$Q,3)=0,"",VLOOKUP(Table91213[[#This Row],[Date]],'DB Details'!$A:$Q,3))</f>
        <v>59.5</v>
      </c>
      <c r="D118" s="51">
        <f>IF(VLOOKUP(Table91213[[#This Row],[Date]],'DB Details'!$A:$Q,4)=0,"",VLOOKUP(Table91213[[#This Row],[Date]],'DB Details'!$A:$Q,4))</f>
        <v>54.5</v>
      </c>
      <c r="E118" s="52">
        <f>IF(VLOOKUP(Table91213[[#This Row],[Date]],'DB Details'!$A:$Q,5)=0,"",VLOOKUP(Table91213[[#This Row],[Date]],'DB Details'!$A:$Q,5))</f>
        <v>56.7</v>
      </c>
      <c r="F118" s="51">
        <f>IF(VLOOKUP(Table91213[[#This Row],[Date]],'DB Details'!$A:$Q,6)=0,"",VLOOKUP(Table91213[[#This Row],[Date]],'DB Details'!$A:$Q,6))</f>
        <v>59.2</v>
      </c>
      <c r="G118" s="52">
        <f>IF(VLOOKUP(Table91213[[#This Row],[Date]],'DB Details'!$A:$Q,7)=0,"",VLOOKUP(Table91213[[#This Row],[Date]],'DB Details'!$A:$Q,7))</f>
        <v>57</v>
      </c>
      <c r="H118" s="52">
        <f>IF(VLOOKUP(Table91213[[#This Row],[Date]],'DB Details'!$A:$Q,8)=0,"",VLOOKUP(Table91213[[#This Row],[Date]],'DB Details'!$A:$Q,8))</f>
        <v>51.5</v>
      </c>
      <c r="I118" s="52">
        <f>IF(VLOOKUP(Table91213[[#This Row],[Date]],'DB Details'!$A:$Q,9)=0,"",VLOOKUP(Table91213[[#This Row],[Date]],'DB Details'!$A:$Q,9))</f>
        <v>50</v>
      </c>
      <c r="J118" s="52">
        <f>IF(VLOOKUP(Table91213[[#This Row],[Date]],'DB Details'!$A:$Q,10)=0,"",VLOOKUP(Table91213[[#This Row],[Date]],'DB Details'!$A:$Q,10))</f>
        <v>52.2</v>
      </c>
      <c r="K118" s="52">
        <f>IF(VLOOKUP(Table91213[[#This Row],[Date]],'DB Details'!$A:$Q,11)=0,"",VLOOKUP(Table91213[[#This Row],[Date]],'DB Details'!$A:$Q,11))</f>
        <v>58.5</v>
      </c>
      <c r="L118" s="50">
        <f>IF(VLOOKUP(Table91213[[#This Row],[Date]],'DB Details'!$A:$Q,12)=0,"",VLOOKUP(Table91213[[#This Row],[Date]],'DB Details'!$A:$Q,12))</f>
        <v>54.5</v>
      </c>
    </row>
    <row r="119" spans="1:12" x14ac:dyDescent="0.2">
      <c r="A119" s="53">
        <v>39052</v>
      </c>
      <c r="B119" s="50">
        <f>IF(VLOOKUP(Table91213[[#This Row],[Date]],'DB Details'!$A:$Q,2)=0,"",VLOOKUP(Table91213[[#This Row],[Date]],'DB Details'!$A:$Q,2))</f>
        <v>54.8</v>
      </c>
      <c r="C119" s="51">
        <f>IF(VLOOKUP(Table91213[[#This Row],[Date]],'DB Details'!$A:$Q,3)=0,"",VLOOKUP(Table91213[[#This Row],[Date]],'DB Details'!$A:$Q,3))</f>
        <v>62</v>
      </c>
      <c r="D119" s="51">
        <f>IF(VLOOKUP(Table91213[[#This Row],[Date]],'DB Details'!$A:$Q,4)=0,"",VLOOKUP(Table91213[[#This Row],[Date]],'DB Details'!$A:$Q,4))</f>
        <v>48</v>
      </c>
      <c r="E119" s="52">
        <f>IF(VLOOKUP(Table91213[[#This Row],[Date]],'DB Details'!$A:$Q,5)=0,"",VLOOKUP(Table91213[[#This Row],[Date]],'DB Details'!$A:$Q,5))</f>
        <v>60.5</v>
      </c>
      <c r="F119" s="51">
        <f>IF(VLOOKUP(Table91213[[#This Row],[Date]],'DB Details'!$A:$Q,6)=0,"",VLOOKUP(Table91213[[#This Row],[Date]],'DB Details'!$A:$Q,6))</f>
        <v>56.1</v>
      </c>
      <c r="G119" s="52">
        <f>IF(VLOOKUP(Table91213[[#This Row],[Date]],'DB Details'!$A:$Q,7)=0,"",VLOOKUP(Table91213[[#This Row],[Date]],'DB Details'!$A:$Q,7))</f>
        <v>63.5</v>
      </c>
      <c r="H119" s="52">
        <f>IF(VLOOKUP(Table91213[[#This Row],[Date]],'DB Details'!$A:$Q,8)=0,"",VLOOKUP(Table91213[[#This Row],[Date]],'DB Details'!$A:$Q,8))</f>
        <v>53.5</v>
      </c>
      <c r="I119" s="52">
        <f>IF(VLOOKUP(Table91213[[#This Row],[Date]],'DB Details'!$A:$Q,9)=0,"",VLOOKUP(Table91213[[#This Row],[Date]],'DB Details'!$A:$Q,9))</f>
        <v>51</v>
      </c>
      <c r="J119" s="52">
        <f>IF(VLOOKUP(Table91213[[#This Row],[Date]],'DB Details'!$A:$Q,10)=0,"",VLOOKUP(Table91213[[#This Row],[Date]],'DB Details'!$A:$Q,10))</f>
        <v>52.7</v>
      </c>
      <c r="K119" s="52">
        <f>IF(VLOOKUP(Table91213[[#This Row],[Date]],'DB Details'!$A:$Q,11)=0,"",VLOOKUP(Table91213[[#This Row],[Date]],'DB Details'!$A:$Q,11))</f>
        <v>61.5</v>
      </c>
      <c r="L119" s="50">
        <f>IF(VLOOKUP(Table91213[[#This Row],[Date]],'DB Details'!$A:$Q,12)=0,"",VLOOKUP(Table91213[[#This Row],[Date]],'DB Details'!$A:$Q,12))</f>
        <v>53.7</v>
      </c>
    </row>
    <row r="120" spans="1:12" x14ac:dyDescent="0.2">
      <c r="A120" s="53">
        <v>39083</v>
      </c>
      <c r="B120" s="50">
        <f>IF(VLOOKUP(Table91213[[#This Row],[Date]],'DB Details'!$A:$Q,2)=0,"",VLOOKUP(Table91213[[#This Row],[Date]],'DB Details'!$A:$Q,2))</f>
        <v>55.6</v>
      </c>
      <c r="C120" s="51">
        <f>IF(VLOOKUP(Table91213[[#This Row],[Date]],'DB Details'!$A:$Q,3)=0,"",VLOOKUP(Table91213[[#This Row],[Date]],'DB Details'!$A:$Q,3))</f>
        <v>52</v>
      </c>
      <c r="D120" s="51">
        <f>IF(VLOOKUP(Table91213[[#This Row],[Date]],'DB Details'!$A:$Q,4)=0,"",VLOOKUP(Table91213[[#This Row],[Date]],'DB Details'!$A:$Q,4))</f>
        <v>49</v>
      </c>
      <c r="E120" s="52">
        <f>IF(VLOOKUP(Table91213[[#This Row],[Date]],'DB Details'!$A:$Q,5)=0,"",VLOOKUP(Table91213[[#This Row],[Date]],'DB Details'!$A:$Q,5))</f>
        <v>57.5</v>
      </c>
      <c r="F120" s="51">
        <f>IF(VLOOKUP(Table91213[[#This Row],[Date]],'DB Details'!$A:$Q,6)=0,"",VLOOKUP(Table91213[[#This Row],[Date]],'DB Details'!$A:$Q,6))</f>
        <v>58.3</v>
      </c>
      <c r="G120" s="52">
        <f>IF(VLOOKUP(Table91213[[#This Row],[Date]],'DB Details'!$A:$Q,7)=0,"",VLOOKUP(Table91213[[#This Row],[Date]],'DB Details'!$A:$Q,7))</f>
        <v>65.5</v>
      </c>
      <c r="H120" s="52">
        <f>IF(VLOOKUP(Table91213[[#This Row],[Date]],'DB Details'!$A:$Q,8)=0,"",VLOOKUP(Table91213[[#This Row],[Date]],'DB Details'!$A:$Q,8))</f>
        <v>47</v>
      </c>
      <c r="I120" s="52">
        <f>IF(VLOOKUP(Table91213[[#This Row],[Date]],'DB Details'!$A:$Q,9)=0,"",VLOOKUP(Table91213[[#This Row],[Date]],'DB Details'!$A:$Q,9))</f>
        <v>53.5</v>
      </c>
      <c r="J120" s="52">
        <f>IF(VLOOKUP(Table91213[[#This Row],[Date]],'DB Details'!$A:$Q,10)=0,"",VLOOKUP(Table91213[[#This Row],[Date]],'DB Details'!$A:$Q,10))</f>
        <v>54.8</v>
      </c>
      <c r="K120" s="52">
        <f>IF(VLOOKUP(Table91213[[#This Row],[Date]],'DB Details'!$A:$Q,11)=0,"",VLOOKUP(Table91213[[#This Row],[Date]],'DB Details'!$A:$Q,11))</f>
        <v>55</v>
      </c>
      <c r="L120" s="50">
        <f>IF(VLOOKUP(Table91213[[#This Row],[Date]],'DB Details'!$A:$Q,12)=0,"",VLOOKUP(Table91213[[#This Row],[Date]],'DB Details'!$A:$Q,12))</f>
        <v>55.4</v>
      </c>
    </row>
    <row r="121" spans="1:12" x14ac:dyDescent="0.2">
      <c r="A121" s="53">
        <v>39114</v>
      </c>
      <c r="B121" s="50">
        <f>IF(VLOOKUP(Table91213[[#This Row],[Date]],'DB Details'!$A:$Q,2)=0,"",VLOOKUP(Table91213[[#This Row],[Date]],'DB Details'!$A:$Q,2))</f>
        <v>55.7</v>
      </c>
      <c r="C121" s="51">
        <f>IF(VLOOKUP(Table91213[[#This Row],[Date]],'DB Details'!$A:$Q,3)=0,"",VLOOKUP(Table91213[[#This Row],[Date]],'DB Details'!$A:$Q,3))</f>
        <v>54</v>
      </c>
      <c r="D121" s="51">
        <f>IF(VLOOKUP(Table91213[[#This Row],[Date]],'DB Details'!$A:$Q,4)=0,"",VLOOKUP(Table91213[[#This Row],[Date]],'DB Details'!$A:$Q,4))</f>
        <v>47</v>
      </c>
      <c r="E121" s="52">
        <f>IF(VLOOKUP(Table91213[[#This Row],[Date]],'DB Details'!$A:$Q,5)=0,"",VLOOKUP(Table91213[[#This Row],[Date]],'DB Details'!$A:$Q,5))</f>
        <v>57</v>
      </c>
      <c r="F121" s="51">
        <f>IF(VLOOKUP(Table91213[[#This Row],[Date]],'DB Details'!$A:$Q,6)=0,"",VLOOKUP(Table91213[[#This Row],[Date]],'DB Details'!$A:$Q,6))</f>
        <v>56</v>
      </c>
      <c r="G121" s="52">
        <f>IF(VLOOKUP(Table91213[[#This Row],[Date]],'DB Details'!$A:$Q,7)=0,"",VLOOKUP(Table91213[[#This Row],[Date]],'DB Details'!$A:$Q,7))</f>
        <v>61.5</v>
      </c>
      <c r="H121" s="52">
        <f>IF(VLOOKUP(Table91213[[#This Row],[Date]],'DB Details'!$A:$Q,8)=0,"",VLOOKUP(Table91213[[#This Row],[Date]],'DB Details'!$A:$Q,8))</f>
        <v>50.5</v>
      </c>
      <c r="I121" s="52">
        <f>IF(VLOOKUP(Table91213[[#This Row],[Date]],'DB Details'!$A:$Q,9)=0,"",VLOOKUP(Table91213[[#This Row],[Date]],'DB Details'!$A:$Q,9))</f>
        <v>52.5</v>
      </c>
      <c r="J121" s="52">
        <f>IF(VLOOKUP(Table91213[[#This Row],[Date]],'DB Details'!$A:$Q,10)=0,"",VLOOKUP(Table91213[[#This Row],[Date]],'DB Details'!$A:$Q,10))</f>
        <v>52.7</v>
      </c>
      <c r="K121" s="52">
        <f>IF(VLOOKUP(Table91213[[#This Row],[Date]],'DB Details'!$A:$Q,11)=0,"",VLOOKUP(Table91213[[#This Row],[Date]],'DB Details'!$A:$Q,11))</f>
        <v>59</v>
      </c>
      <c r="L121" s="50">
        <f>IF(VLOOKUP(Table91213[[#This Row],[Date]],'DB Details'!$A:$Q,12)=0,"",VLOOKUP(Table91213[[#This Row],[Date]],'DB Details'!$A:$Q,12))</f>
        <v>54.2</v>
      </c>
    </row>
    <row r="122" spans="1:12" x14ac:dyDescent="0.2">
      <c r="A122" s="53">
        <v>39142</v>
      </c>
      <c r="B122" s="50">
        <f>IF(VLOOKUP(Table91213[[#This Row],[Date]],'DB Details'!$A:$Q,2)=0,"",VLOOKUP(Table91213[[#This Row],[Date]],'DB Details'!$A:$Q,2))</f>
        <v>53.2</v>
      </c>
      <c r="C122" s="51">
        <f>IF(VLOOKUP(Table91213[[#This Row],[Date]],'DB Details'!$A:$Q,3)=0,"",VLOOKUP(Table91213[[#This Row],[Date]],'DB Details'!$A:$Q,3))</f>
        <v>50</v>
      </c>
      <c r="D122" s="51">
        <f>IF(VLOOKUP(Table91213[[#This Row],[Date]],'DB Details'!$A:$Q,4)=0,"",VLOOKUP(Table91213[[#This Row],[Date]],'DB Details'!$A:$Q,4))</f>
        <v>52.5</v>
      </c>
      <c r="E122" s="52">
        <f>IF(VLOOKUP(Table91213[[#This Row],[Date]],'DB Details'!$A:$Q,5)=0,"",VLOOKUP(Table91213[[#This Row],[Date]],'DB Details'!$A:$Q,5))</f>
        <v>64.2</v>
      </c>
      <c r="F122" s="51">
        <f>IF(VLOOKUP(Table91213[[#This Row],[Date]],'DB Details'!$A:$Q,6)=0,"",VLOOKUP(Table91213[[#This Row],[Date]],'DB Details'!$A:$Q,6))</f>
        <v>52.8</v>
      </c>
      <c r="G122" s="52">
        <f>IF(VLOOKUP(Table91213[[#This Row],[Date]],'DB Details'!$A:$Q,7)=0,"",VLOOKUP(Table91213[[#This Row],[Date]],'DB Details'!$A:$Q,7))</f>
        <v>63</v>
      </c>
      <c r="H122" s="52">
        <f>IF(VLOOKUP(Table91213[[#This Row],[Date]],'DB Details'!$A:$Q,8)=0,"",VLOOKUP(Table91213[[#This Row],[Date]],'DB Details'!$A:$Q,8))</f>
        <v>52</v>
      </c>
      <c r="I122" s="52">
        <f>IF(VLOOKUP(Table91213[[#This Row],[Date]],'DB Details'!$A:$Q,9)=0,"",VLOOKUP(Table91213[[#This Row],[Date]],'DB Details'!$A:$Q,9))</f>
        <v>50</v>
      </c>
      <c r="J122" s="52">
        <f>IF(VLOOKUP(Table91213[[#This Row],[Date]],'DB Details'!$A:$Q,10)=0,"",VLOOKUP(Table91213[[#This Row],[Date]],'DB Details'!$A:$Q,10))</f>
        <v>51.9</v>
      </c>
      <c r="K122" s="52">
        <f>IF(VLOOKUP(Table91213[[#This Row],[Date]],'DB Details'!$A:$Q,11)=0,"",VLOOKUP(Table91213[[#This Row],[Date]],'DB Details'!$A:$Q,11))</f>
        <v>48.5</v>
      </c>
      <c r="L122" s="50">
        <f>IF(VLOOKUP(Table91213[[#This Row],[Date]],'DB Details'!$A:$Q,12)=0,"",VLOOKUP(Table91213[[#This Row],[Date]],'DB Details'!$A:$Q,12))</f>
        <v>52.1</v>
      </c>
    </row>
    <row r="123" spans="1:12" x14ac:dyDescent="0.2">
      <c r="A123" s="53">
        <v>39173</v>
      </c>
      <c r="B123" s="50">
        <f>IF(VLOOKUP(Table91213[[#This Row],[Date]],'DB Details'!$A:$Q,2)=0,"",VLOOKUP(Table91213[[#This Row],[Date]],'DB Details'!$A:$Q,2))</f>
        <v>54.9</v>
      </c>
      <c r="C123" s="51">
        <f>IF(VLOOKUP(Table91213[[#This Row],[Date]],'DB Details'!$A:$Q,3)=0,"",VLOOKUP(Table91213[[#This Row],[Date]],'DB Details'!$A:$Q,3))</f>
        <v>52.5</v>
      </c>
      <c r="D123" s="51">
        <f>IF(VLOOKUP(Table91213[[#This Row],[Date]],'DB Details'!$A:$Q,4)=0,"",VLOOKUP(Table91213[[#This Row],[Date]],'DB Details'!$A:$Q,4))</f>
        <v>50</v>
      </c>
      <c r="E123" s="52">
        <f>IF(VLOOKUP(Table91213[[#This Row],[Date]],'DB Details'!$A:$Q,5)=0,"",VLOOKUP(Table91213[[#This Row],[Date]],'DB Details'!$A:$Q,5))</f>
        <v>63.2</v>
      </c>
      <c r="F123" s="51">
        <f>IF(VLOOKUP(Table91213[[#This Row],[Date]],'DB Details'!$A:$Q,6)=0,"",VLOOKUP(Table91213[[#This Row],[Date]],'DB Details'!$A:$Q,6))</f>
        <v>56.1</v>
      </c>
      <c r="G123" s="52">
        <f>IF(VLOOKUP(Table91213[[#This Row],[Date]],'DB Details'!$A:$Q,7)=0,"",VLOOKUP(Table91213[[#This Row],[Date]],'DB Details'!$A:$Q,7))</f>
        <v>60.5</v>
      </c>
      <c r="H123" s="52">
        <f>IF(VLOOKUP(Table91213[[#This Row],[Date]],'DB Details'!$A:$Q,8)=0,"",VLOOKUP(Table91213[[#This Row],[Date]],'DB Details'!$A:$Q,8))</f>
        <v>52</v>
      </c>
      <c r="I123" s="52">
        <f>IF(VLOOKUP(Table91213[[#This Row],[Date]],'DB Details'!$A:$Q,9)=0,"",VLOOKUP(Table91213[[#This Row],[Date]],'DB Details'!$A:$Q,9))</f>
        <v>51</v>
      </c>
      <c r="J123" s="52">
        <f>IF(VLOOKUP(Table91213[[#This Row],[Date]],'DB Details'!$A:$Q,10)=0,"",VLOOKUP(Table91213[[#This Row],[Date]],'DB Details'!$A:$Q,10))</f>
        <v>51.1</v>
      </c>
      <c r="K123" s="52">
        <f>IF(VLOOKUP(Table91213[[#This Row],[Date]],'DB Details'!$A:$Q,11)=0,"",VLOOKUP(Table91213[[#This Row],[Date]],'DB Details'!$A:$Q,11))</f>
        <v>55.5</v>
      </c>
      <c r="L123" s="50">
        <f>IF(VLOOKUP(Table91213[[#This Row],[Date]],'DB Details'!$A:$Q,12)=0,"",VLOOKUP(Table91213[[#This Row],[Date]],'DB Details'!$A:$Q,12))</f>
        <v>53.4</v>
      </c>
    </row>
    <row r="124" spans="1:12" x14ac:dyDescent="0.2">
      <c r="A124" s="53">
        <v>39203</v>
      </c>
      <c r="B124" s="50">
        <f>IF(VLOOKUP(Table91213[[#This Row],[Date]],'DB Details'!$A:$Q,2)=0,"",VLOOKUP(Table91213[[#This Row],[Date]],'DB Details'!$A:$Q,2))</f>
        <v>57.1</v>
      </c>
      <c r="C124" s="51">
        <f>IF(VLOOKUP(Table91213[[#This Row],[Date]],'DB Details'!$A:$Q,3)=0,"",VLOOKUP(Table91213[[#This Row],[Date]],'DB Details'!$A:$Q,3))</f>
        <v>55.5</v>
      </c>
      <c r="D124" s="51">
        <f>IF(VLOOKUP(Table91213[[#This Row],[Date]],'DB Details'!$A:$Q,4)=0,"",VLOOKUP(Table91213[[#This Row],[Date]],'DB Details'!$A:$Q,4))</f>
        <v>48</v>
      </c>
      <c r="E124" s="52">
        <f>IF(VLOOKUP(Table91213[[#This Row],[Date]],'DB Details'!$A:$Q,5)=0,"",VLOOKUP(Table91213[[#This Row],[Date]],'DB Details'!$A:$Q,5))</f>
        <v>62.8</v>
      </c>
      <c r="F124" s="51">
        <f>IF(VLOOKUP(Table91213[[#This Row],[Date]],'DB Details'!$A:$Q,6)=0,"",VLOOKUP(Table91213[[#This Row],[Date]],'DB Details'!$A:$Q,6))</f>
        <v>58.1</v>
      </c>
      <c r="G124" s="52">
        <f>IF(VLOOKUP(Table91213[[#This Row],[Date]],'DB Details'!$A:$Q,7)=0,"",VLOOKUP(Table91213[[#This Row],[Date]],'DB Details'!$A:$Q,7))</f>
        <v>61</v>
      </c>
      <c r="H124" s="52">
        <f>IF(VLOOKUP(Table91213[[#This Row],[Date]],'DB Details'!$A:$Q,8)=0,"",VLOOKUP(Table91213[[#This Row],[Date]],'DB Details'!$A:$Q,8))</f>
        <v>61</v>
      </c>
      <c r="I124" s="52">
        <f>IF(VLOOKUP(Table91213[[#This Row],[Date]],'DB Details'!$A:$Q,9)=0,"",VLOOKUP(Table91213[[#This Row],[Date]],'DB Details'!$A:$Q,9))</f>
        <v>49.5</v>
      </c>
      <c r="J124" s="52">
        <f>IF(VLOOKUP(Table91213[[#This Row],[Date]],'DB Details'!$A:$Q,10)=0,"",VLOOKUP(Table91213[[#This Row],[Date]],'DB Details'!$A:$Q,10))</f>
        <v>52.2</v>
      </c>
      <c r="K124" s="52">
        <f>IF(VLOOKUP(Table91213[[#This Row],[Date]],'DB Details'!$A:$Q,11)=0,"",VLOOKUP(Table91213[[#This Row],[Date]],'DB Details'!$A:$Q,11))</f>
        <v>66</v>
      </c>
      <c r="L124" s="50">
        <f>IF(VLOOKUP(Table91213[[#This Row],[Date]],'DB Details'!$A:$Q,12)=0,"",VLOOKUP(Table91213[[#This Row],[Date]],'DB Details'!$A:$Q,12))</f>
        <v>54.3</v>
      </c>
    </row>
    <row r="125" spans="1:12" x14ac:dyDescent="0.2">
      <c r="A125" s="53">
        <v>39234</v>
      </c>
      <c r="B125" s="50">
        <f>IF(VLOOKUP(Table91213[[#This Row],[Date]],'DB Details'!$A:$Q,2)=0,"",VLOOKUP(Table91213[[#This Row],[Date]],'DB Details'!$A:$Q,2))</f>
        <v>57.2</v>
      </c>
      <c r="C125" s="51">
        <f>IF(VLOOKUP(Table91213[[#This Row],[Date]],'DB Details'!$A:$Q,3)=0,"",VLOOKUP(Table91213[[#This Row],[Date]],'DB Details'!$A:$Q,3))</f>
        <v>57.5</v>
      </c>
      <c r="D125" s="51">
        <f>IF(VLOOKUP(Table91213[[#This Row],[Date]],'DB Details'!$A:$Q,4)=0,"",VLOOKUP(Table91213[[#This Row],[Date]],'DB Details'!$A:$Q,4))</f>
        <v>46.5</v>
      </c>
      <c r="E125" s="52">
        <f>IF(VLOOKUP(Table91213[[#This Row],[Date]],'DB Details'!$A:$Q,5)=0,"",VLOOKUP(Table91213[[#This Row],[Date]],'DB Details'!$A:$Q,5))</f>
        <v>61.6</v>
      </c>
      <c r="F125" s="51">
        <f>IF(VLOOKUP(Table91213[[#This Row],[Date]],'DB Details'!$A:$Q,6)=0,"",VLOOKUP(Table91213[[#This Row],[Date]],'DB Details'!$A:$Q,6))</f>
        <v>60.1</v>
      </c>
      <c r="G125" s="52">
        <f>IF(VLOOKUP(Table91213[[#This Row],[Date]],'DB Details'!$A:$Q,7)=0,"",VLOOKUP(Table91213[[#This Row],[Date]],'DB Details'!$A:$Q,7))</f>
        <v>60.5</v>
      </c>
      <c r="H125" s="52">
        <f>IF(VLOOKUP(Table91213[[#This Row],[Date]],'DB Details'!$A:$Q,8)=0,"",VLOOKUP(Table91213[[#This Row],[Date]],'DB Details'!$A:$Q,8))</f>
        <v>52.5</v>
      </c>
      <c r="I125" s="52">
        <f>IF(VLOOKUP(Table91213[[#This Row],[Date]],'DB Details'!$A:$Q,9)=0,"",VLOOKUP(Table91213[[#This Row],[Date]],'DB Details'!$A:$Q,9))</f>
        <v>50.5</v>
      </c>
      <c r="J125" s="52">
        <f>IF(VLOOKUP(Table91213[[#This Row],[Date]],'DB Details'!$A:$Q,10)=0,"",VLOOKUP(Table91213[[#This Row],[Date]],'DB Details'!$A:$Q,10))</f>
        <v>53.3</v>
      </c>
      <c r="K125" s="52">
        <f>IF(VLOOKUP(Table91213[[#This Row],[Date]],'DB Details'!$A:$Q,11)=0,"",VLOOKUP(Table91213[[#This Row],[Date]],'DB Details'!$A:$Q,11))</f>
        <v>59</v>
      </c>
      <c r="L125" s="50">
        <f>IF(VLOOKUP(Table91213[[#This Row],[Date]],'DB Details'!$A:$Q,12)=0,"",VLOOKUP(Table91213[[#This Row],[Date]],'DB Details'!$A:$Q,12))</f>
        <v>54.9</v>
      </c>
    </row>
    <row r="126" spans="1:12" x14ac:dyDescent="0.2">
      <c r="A126" s="53">
        <v>39264</v>
      </c>
      <c r="B126" s="50">
        <f>IF(VLOOKUP(Table91213[[#This Row],[Date]],'DB Details'!$A:$Q,2)=0,"",VLOOKUP(Table91213[[#This Row],[Date]],'DB Details'!$A:$Q,2))</f>
        <v>54.5</v>
      </c>
      <c r="C126" s="51">
        <f>IF(VLOOKUP(Table91213[[#This Row],[Date]],'DB Details'!$A:$Q,3)=0,"",VLOOKUP(Table91213[[#This Row],[Date]],'DB Details'!$A:$Q,3))</f>
        <v>54.5</v>
      </c>
      <c r="D126" s="51">
        <f>IF(VLOOKUP(Table91213[[#This Row],[Date]],'DB Details'!$A:$Q,4)=0,"",VLOOKUP(Table91213[[#This Row],[Date]],'DB Details'!$A:$Q,4))</f>
        <v>53</v>
      </c>
      <c r="E126" s="52">
        <f>IF(VLOOKUP(Table91213[[#This Row],[Date]],'DB Details'!$A:$Q,5)=0,"",VLOOKUP(Table91213[[#This Row],[Date]],'DB Details'!$A:$Q,5))</f>
        <v>59.7</v>
      </c>
      <c r="F126" s="51">
        <f>IF(VLOOKUP(Table91213[[#This Row],[Date]],'DB Details'!$A:$Q,6)=0,"",VLOOKUP(Table91213[[#This Row],[Date]],'DB Details'!$A:$Q,6))</f>
        <v>57.1</v>
      </c>
      <c r="G126" s="52">
        <f>IF(VLOOKUP(Table91213[[#This Row],[Date]],'DB Details'!$A:$Q,7)=0,"",VLOOKUP(Table91213[[#This Row],[Date]],'DB Details'!$A:$Q,7))</f>
        <v>65</v>
      </c>
      <c r="H126" s="52">
        <f>IF(VLOOKUP(Table91213[[#This Row],[Date]],'DB Details'!$A:$Q,8)=0,"",VLOOKUP(Table91213[[#This Row],[Date]],'DB Details'!$A:$Q,8))</f>
        <v>55</v>
      </c>
      <c r="I126" s="52">
        <f>IF(VLOOKUP(Table91213[[#This Row],[Date]],'DB Details'!$A:$Q,9)=0,"",VLOOKUP(Table91213[[#This Row],[Date]],'DB Details'!$A:$Q,9))</f>
        <v>51.5</v>
      </c>
      <c r="J126" s="52">
        <f>IF(VLOOKUP(Table91213[[#This Row],[Date]],'DB Details'!$A:$Q,10)=0,"",VLOOKUP(Table91213[[#This Row],[Date]],'DB Details'!$A:$Q,10))</f>
        <v>51.1</v>
      </c>
      <c r="K126" s="52">
        <f>IF(VLOOKUP(Table91213[[#This Row],[Date]],'DB Details'!$A:$Q,11)=0,"",VLOOKUP(Table91213[[#This Row],[Date]],'DB Details'!$A:$Q,11))</f>
        <v>52.5</v>
      </c>
      <c r="L126" s="50">
        <f>IF(VLOOKUP(Table91213[[#This Row],[Date]],'DB Details'!$A:$Q,12)=0,"",VLOOKUP(Table91213[[#This Row],[Date]],'DB Details'!$A:$Q,12))</f>
        <v>53.6</v>
      </c>
    </row>
    <row r="127" spans="1:12" x14ac:dyDescent="0.2">
      <c r="A127" s="53">
        <v>39295</v>
      </c>
      <c r="B127" s="50">
        <f>IF(VLOOKUP(Table91213[[#This Row],[Date]],'DB Details'!$A:$Q,2)=0,"",VLOOKUP(Table91213[[#This Row],[Date]],'DB Details'!$A:$Q,2))</f>
        <v>56.7</v>
      </c>
      <c r="C127" s="51">
        <f>IF(VLOOKUP(Table91213[[#This Row],[Date]],'DB Details'!$A:$Q,3)=0,"",VLOOKUP(Table91213[[#This Row],[Date]],'DB Details'!$A:$Q,3))</f>
        <v>55</v>
      </c>
      <c r="D127" s="51">
        <f>IF(VLOOKUP(Table91213[[#This Row],[Date]],'DB Details'!$A:$Q,4)=0,"",VLOOKUP(Table91213[[#This Row],[Date]],'DB Details'!$A:$Q,4))</f>
        <v>58.6</v>
      </c>
      <c r="E127" s="52">
        <f>IF(VLOOKUP(Table91213[[#This Row],[Date]],'DB Details'!$A:$Q,5)=0,"",VLOOKUP(Table91213[[#This Row],[Date]],'DB Details'!$A:$Q,5))</f>
        <v>60</v>
      </c>
      <c r="F127" s="51">
        <f>IF(VLOOKUP(Table91213[[#This Row],[Date]],'DB Details'!$A:$Q,6)=0,"",VLOOKUP(Table91213[[#This Row],[Date]],'DB Details'!$A:$Q,6))</f>
        <v>55.7</v>
      </c>
      <c r="G127" s="52">
        <f>IF(VLOOKUP(Table91213[[#This Row],[Date]],'DB Details'!$A:$Q,7)=0,"",VLOOKUP(Table91213[[#This Row],[Date]],'DB Details'!$A:$Q,7))</f>
        <v>61.5</v>
      </c>
      <c r="H127" s="52">
        <f>IF(VLOOKUP(Table91213[[#This Row],[Date]],'DB Details'!$A:$Q,8)=0,"",VLOOKUP(Table91213[[#This Row],[Date]],'DB Details'!$A:$Q,8))</f>
        <v>57</v>
      </c>
      <c r="I127" s="52">
        <f>IF(VLOOKUP(Table91213[[#This Row],[Date]],'DB Details'!$A:$Q,9)=0,"",VLOOKUP(Table91213[[#This Row],[Date]],'DB Details'!$A:$Q,9))</f>
        <v>50.5</v>
      </c>
      <c r="J127" s="52">
        <f>IF(VLOOKUP(Table91213[[#This Row],[Date]],'DB Details'!$A:$Q,10)=0,"",VLOOKUP(Table91213[[#This Row],[Date]],'DB Details'!$A:$Q,10))</f>
        <v>48.3</v>
      </c>
      <c r="K127" s="52">
        <f>IF(VLOOKUP(Table91213[[#This Row],[Date]],'DB Details'!$A:$Q,11)=0,"",VLOOKUP(Table91213[[#This Row],[Date]],'DB Details'!$A:$Q,11))</f>
        <v>53.5</v>
      </c>
      <c r="L127" s="50">
        <f>IF(VLOOKUP(Table91213[[#This Row],[Date]],'DB Details'!$A:$Q,12)=0,"",VLOOKUP(Table91213[[#This Row],[Date]],'DB Details'!$A:$Q,12))</f>
        <v>52.7</v>
      </c>
    </row>
    <row r="128" spans="1:12" x14ac:dyDescent="0.2">
      <c r="A128" s="53">
        <v>39326</v>
      </c>
      <c r="B128" s="50">
        <f>IF(VLOOKUP(Table91213[[#This Row],[Date]],'DB Details'!$A:$Q,2)=0,"",VLOOKUP(Table91213[[#This Row],[Date]],'DB Details'!$A:$Q,2))</f>
        <v>52.6</v>
      </c>
      <c r="C128" s="51">
        <f>IF(VLOOKUP(Table91213[[#This Row],[Date]],'DB Details'!$A:$Q,3)=0,"",VLOOKUP(Table91213[[#This Row],[Date]],'DB Details'!$A:$Q,3))</f>
        <v>51</v>
      </c>
      <c r="D128" s="51">
        <f>IF(VLOOKUP(Table91213[[#This Row],[Date]],'DB Details'!$A:$Q,4)=0,"",VLOOKUP(Table91213[[#This Row],[Date]],'DB Details'!$A:$Q,4))</f>
        <v>47</v>
      </c>
      <c r="E128" s="52">
        <f>IF(VLOOKUP(Table91213[[#This Row],[Date]],'DB Details'!$A:$Q,5)=0,"",VLOOKUP(Table91213[[#This Row],[Date]],'DB Details'!$A:$Q,5))</f>
        <v>66.7</v>
      </c>
      <c r="F128" s="51">
        <f>IF(VLOOKUP(Table91213[[#This Row],[Date]],'DB Details'!$A:$Q,6)=0,"",VLOOKUP(Table91213[[#This Row],[Date]],'DB Details'!$A:$Q,6))</f>
        <v>54.2</v>
      </c>
      <c r="G128" s="52">
        <f>IF(VLOOKUP(Table91213[[#This Row],[Date]],'DB Details'!$A:$Q,7)=0,"",VLOOKUP(Table91213[[#This Row],[Date]],'DB Details'!$A:$Q,7))</f>
        <v>62</v>
      </c>
      <c r="H128" s="52">
        <f>IF(VLOOKUP(Table91213[[#This Row],[Date]],'DB Details'!$A:$Q,8)=0,"",VLOOKUP(Table91213[[#This Row],[Date]],'DB Details'!$A:$Q,8))</f>
        <v>50</v>
      </c>
      <c r="I128" s="52">
        <f>IF(VLOOKUP(Table91213[[#This Row],[Date]],'DB Details'!$A:$Q,9)=0,"",VLOOKUP(Table91213[[#This Row],[Date]],'DB Details'!$A:$Q,9))</f>
        <v>50.5</v>
      </c>
      <c r="J128" s="52">
        <f>IF(VLOOKUP(Table91213[[#This Row],[Date]],'DB Details'!$A:$Q,10)=0,"",VLOOKUP(Table91213[[#This Row],[Date]],'DB Details'!$A:$Q,10))</f>
        <v>52.5</v>
      </c>
      <c r="K128" s="52">
        <f>IF(VLOOKUP(Table91213[[#This Row],[Date]],'DB Details'!$A:$Q,11)=0,"",VLOOKUP(Table91213[[#This Row],[Date]],'DB Details'!$A:$Q,11))</f>
        <v>50</v>
      </c>
      <c r="L128" s="50">
        <f>IF(VLOOKUP(Table91213[[#This Row],[Date]],'DB Details'!$A:$Q,12)=0,"",VLOOKUP(Table91213[[#This Row],[Date]],'DB Details'!$A:$Q,12))</f>
        <v>52.6</v>
      </c>
    </row>
    <row r="129" spans="1:12" x14ac:dyDescent="0.2">
      <c r="A129" s="53">
        <v>39356</v>
      </c>
      <c r="B129" s="50">
        <f>IF(VLOOKUP(Table91213[[#This Row],[Date]],'DB Details'!$A:$Q,2)=0,"",VLOOKUP(Table91213[[#This Row],[Date]],'DB Details'!$A:$Q,2))</f>
        <v>55.3</v>
      </c>
      <c r="C129" s="51">
        <f>IF(VLOOKUP(Table91213[[#This Row],[Date]],'DB Details'!$A:$Q,3)=0,"",VLOOKUP(Table91213[[#This Row],[Date]],'DB Details'!$A:$Q,3))</f>
        <v>55.5</v>
      </c>
      <c r="D129" s="51">
        <f>IF(VLOOKUP(Table91213[[#This Row],[Date]],'DB Details'!$A:$Q,4)=0,"",VLOOKUP(Table91213[[#This Row],[Date]],'DB Details'!$A:$Q,4))</f>
        <v>43.5</v>
      </c>
      <c r="E129" s="52">
        <f>IF(VLOOKUP(Table91213[[#This Row],[Date]],'DB Details'!$A:$Q,5)=0,"",VLOOKUP(Table91213[[#This Row],[Date]],'DB Details'!$A:$Q,5))</f>
        <v>66.2</v>
      </c>
      <c r="F129" s="51">
        <f>IF(VLOOKUP(Table91213[[#This Row],[Date]],'DB Details'!$A:$Q,6)=0,"",VLOOKUP(Table91213[[#This Row],[Date]],'DB Details'!$A:$Q,6))</f>
        <v>55.1</v>
      </c>
      <c r="G129" s="52">
        <f>IF(VLOOKUP(Table91213[[#This Row],[Date]],'DB Details'!$A:$Q,7)=0,"",VLOOKUP(Table91213[[#This Row],[Date]],'DB Details'!$A:$Q,7))</f>
        <v>60</v>
      </c>
      <c r="H129" s="52">
        <f>IF(VLOOKUP(Table91213[[#This Row],[Date]],'DB Details'!$A:$Q,8)=0,"",VLOOKUP(Table91213[[#This Row],[Date]],'DB Details'!$A:$Q,8))</f>
        <v>49.5</v>
      </c>
      <c r="I129" s="52">
        <f>IF(VLOOKUP(Table91213[[#This Row],[Date]],'DB Details'!$A:$Q,9)=0,"",VLOOKUP(Table91213[[#This Row],[Date]],'DB Details'!$A:$Q,9))</f>
        <v>50</v>
      </c>
      <c r="J129" s="52">
        <f>IF(VLOOKUP(Table91213[[#This Row],[Date]],'DB Details'!$A:$Q,10)=0,"",VLOOKUP(Table91213[[#This Row],[Date]],'DB Details'!$A:$Q,10))</f>
        <v>53.6</v>
      </c>
      <c r="K129" s="52">
        <f>IF(VLOOKUP(Table91213[[#This Row],[Date]],'DB Details'!$A:$Q,11)=0,"",VLOOKUP(Table91213[[#This Row],[Date]],'DB Details'!$A:$Q,11))</f>
        <v>56</v>
      </c>
      <c r="L129" s="50">
        <f>IF(VLOOKUP(Table91213[[#This Row],[Date]],'DB Details'!$A:$Q,12)=0,"",VLOOKUP(Table91213[[#This Row],[Date]],'DB Details'!$A:$Q,12))</f>
        <v>53.6</v>
      </c>
    </row>
    <row r="130" spans="1:12" x14ac:dyDescent="0.2">
      <c r="A130" s="53">
        <v>39387</v>
      </c>
      <c r="B130" s="50">
        <f>IF(VLOOKUP(Table91213[[#This Row],[Date]],'DB Details'!$A:$Q,2)=0,"",VLOOKUP(Table91213[[#This Row],[Date]],'DB Details'!$A:$Q,2))</f>
        <v>51.9</v>
      </c>
      <c r="C130" s="51">
        <f>IF(VLOOKUP(Table91213[[#This Row],[Date]],'DB Details'!$A:$Q,3)=0,"",VLOOKUP(Table91213[[#This Row],[Date]],'DB Details'!$A:$Q,3))</f>
        <v>49.5</v>
      </c>
      <c r="D130" s="51">
        <f>IF(VLOOKUP(Table91213[[#This Row],[Date]],'DB Details'!$A:$Q,4)=0,"",VLOOKUP(Table91213[[#This Row],[Date]],'DB Details'!$A:$Q,4))</f>
        <v>48.5</v>
      </c>
      <c r="E130" s="52">
        <f>IF(VLOOKUP(Table91213[[#This Row],[Date]],'DB Details'!$A:$Q,5)=0,"",VLOOKUP(Table91213[[#This Row],[Date]],'DB Details'!$A:$Q,5))</f>
        <v>75.3</v>
      </c>
      <c r="F130" s="51">
        <f>IF(VLOOKUP(Table91213[[#This Row],[Date]],'DB Details'!$A:$Q,6)=0,"",VLOOKUP(Table91213[[#This Row],[Date]],'DB Details'!$A:$Q,6))</f>
        <v>55.7</v>
      </c>
      <c r="G130" s="52">
        <f>IF(VLOOKUP(Table91213[[#This Row],[Date]],'DB Details'!$A:$Q,7)=0,"",VLOOKUP(Table91213[[#This Row],[Date]],'DB Details'!$A:$Q,7))</f>
        <v>61.5</v>
      </c>
      <c r="H130" s="52">
        <f>IF(VLOOKUP(Table91213[[#This Row],[Date]],'DB Details'!$A:$Q,8)=0,"",VLOOKUP(Table91213[[#This Row],[Date]],'DB Details'!$A:$Q,8))</f>
        <v>50.5</v>
      </c>
      <c r="I130" s="52">
        <f>IF(VLOOKUP(Table91213[[#This Row],[Date]],'DB Details'!$A:$Q,9)=0,"",VLOOKUP(Table91213[[#This Row],[Date]],'DB Details'!$A:$Q,9))</f>
        <v>51.5</v>
      </c>
      <c r="J130" s="52">
        <f>IF(VLOOKUP(Table91213[[#This Row],[Date]],'DB Details'!$A:$Q,10)=0,"",VLOOKUP(Table91213[[#This Row],[Date]],'DB Details'!$A:$Q,10))</f>
        <v>51.6</v>
      </c>
      <c r="K130" s="52">
        <f>IF(VLOOKUP(Table91213[[#This Row],[Date]],'DB Details'!$A:$Q,11)=0,"",VLOOKUP(Table91213[[#This Row],[Date]],'DB Details'!$A:$Q,11))</f>
        <v>55.5</v>
      </c>
      <c r="L130" s="50">
        <f>IF(VLOOKUP(Table91213[[#This Row],[Date]],'DB Details'!$A:$Q,12)=0,"",VLOOKUP(Table91213[[#This Row],[Date]],'DB Details'!$A:$Q,12))</f>
        <v>52.8</v>
      </c>
    </row>
    <row r="131" spans="1:12" x14ac:dyDescent="0.2">
      <c r="A131" s="53">
        <v>39417</v>
      </c>
      <c r="B131" s="50">
        <f>IF(VLOOKUP(Table91213[[#This Row],[Date]],'DB Details'!$A:$Q,2)=0,"",VLOOKUP(Table91213[[#This Row],[Date]],'DB Details'!$A:$Q,2))</f>
        <v>52.5</v>
      </c>
      <c r="C131" s="51">
        <f>IF(VLOOKUP(Table91213[[#This Row],[Date]],'DB Details'!$A:$Q,3)=0,"",VLOOKUP(Table91213[[#This Row],[Date]],'DB Details'!$A:$Q,3))</f>
        <v>50.5</v>
      </c>
      <c r="D131" s="51">
        <f>IF(VLOOKUP(Table91213[[#This Row],[Date]],'DB Details'!$A:$Q,4)=0,"",VLOOKUP(Table91213[[#This Row],[Date]],'DB Details'!$A:$Q,4))</f>
        <v>49</v>
      </c>
      <c r="E131" s="52">
        <f>IF(VLOOKUP(Table91213[[#This Row],[Date]],'DB Details'!$A:$Q,5)=0,"",VLOOKUP(Table91213[[#This Row],[Date]],'DB Details'!$A:$Q,5))</f>
        <v>72</v>
      </c>
      <c r="F131" s="51">
        <f>IF(VLOOKUP(Table91213[[#This Row],[Date]],'DB Details'!$A:$Q,6)=0,"",VLOOKUP(Table91213[[#This Row],[Date]],'DB Details'!$A:$Q,6))</f>
        <v>53.2</v>
      </c>
      <c r="G131" s="52">
        <f>IF(VLOOKUP(Table91213[[#This Row],[Date]],'DB Details'!$A:$Q,7)=0,"",VLOOKUP(Table91213[[#This Row],[Date]],'DB Details'!$A:$Q,7))</f>
        <v>64.5</v>
      </c>
      <c r="H131" s="52">
        <f>IF(VLOOKUP(Table91213[[#This Row],[Date]],'DB Details'!$A:$Q,8)=0,"",VLOOKUP(Table91213[[#This Row],[Date]],'DB Details'!$A:$Q,8))</f>
        <v>50.5</v>
      </c>
      <c r="I131" s="52">
        <f>IF(VLOOKUP(Table91213[[#This Row],[Date]],'DB Details'!$A:$Q,9)=0,"",VLOOKUP(Table91213[[#This Row],[Date]],'DB Details'!$A:$Q,9))</f>
        <v>52.5</v>
      </c>
      <c r="J131" s="52">
        <f>IF(VLOOKUP(Table91213[[#This Row],[Date]],'DB Details'!$A:$Q,10)=0,"",VLOOKUP(Table91213[[#This Row],[Date]],'DB Details'!$A:$Q,10))</f>
        <v>51.8</v>
      </c>
      <c r="K131" s="52">
        <f>IF(VLOOKUP(Table91213[[#This Row],[Date]],'DB Details'!$A:$Q,11)=0,"",VLOOKUP(Table91213[[#This Row],[Date]],'DB Details'!$A:$Q,11))</f>
        <v>50</v>
      </c>
      <c r="L131" s="50">
        <f>IF(VLOOKUP(Table91213[[#This Row],[Date]],'DB Details'!$A:$Q,12)=0,"",VLOOKUP(Table91213[[#This Row],[Date]],'DB Details'!$A:$Q,12))</f>
        <v>52.5</v>
      </c>
    </row>
    <row r="132" spans="1:12" x14ac:dyDescent="0.2">
      <c r="A132" s="53">
        <v>39448</v>
      </c>
      <c r="B132" s="50">
        <f>IF(VLOOKUP(Table91213[[#This Row],[Date]],'DB Details'!$A:$Q,2)=0,"",VLOOKUP(Table91213[[#This Row],[Date]],'DB Details'!$A:$Q,2))</f>
        <v>43.3</v>
      </c>
      <c r="C132" s="51">
        <f>IF(VLOOKUP(Table91213[[#This Row],[Date]],'DB Details'!$A:$Q,3)=0,"",VLOOKUP(Table91213[[#This Row],[Date]],'DB Details'!$A:$Q,3))</f>
        <v>41.5</v>
      </c>
      <c r="D132" s="51">
        <f>IF(VLOOKUP(Table91213[[#This Row],[Date]],'DB Details'!$A:$Q,4)=0,"",VLOOKUP(Table91213[[#This Row],[Date]],'DB Details'!$A:$Q,4))</f>
        <v>46</v>
      </c>
      <c r="E132" s="52">
        <f>IF(VLOOKUP(Table91213[[#This Row],[Date]],'DB Details'!$A:$Q,5)=0,"",VLOOKUP(Table91213[[#This Row],[Date]],'DB Details'!$A:$Q,5))</f>
        <v>71.599999999999994</v>
      </c>
      <c r="F132" s="51">
        <f>IF(VLOOKUP(Table91213[[#This Row],[Date]],'DB Details'!$A:$Q,6)=0,"",VLOOKUP(Table91213[[#This Row],[Date]],'DB Details'!$A:$Q,6))</f>
        <v>41.9</v>
      </c>
      <c r="G132" s="52">
        <f>IF(VLOOKUP(Table91213[[#This Row],[Date]],'DB Details'!$A:$Q,7)=0,"",VLOOKUP(Table91213[[#This Row],[Date]],'DB Details'!$A:$Q,7))</f>
        <v>57</v>
      </c>
      <c r="H132" s="52">
        <f>IF(VLOOKUP(Table91213[[#This Row],[Date]],'DB Details'!$A:$Q,8)=0,"",VLOOKUP(Table91213[[#This Row],[Date]],'DB Details'!$A:$Q,8))</f>
        <v>44.5</v>
      </c>
      <c r="I132" s="52">
        <f>IF(VLOOKUP(Table91213[[#This Row],[Date]],'DB Details'!$A:$Q,9)=0,"",VLOOKUP(Table91213[[#This Row],[Date]],'DB Details'!$A:$Q,9))</f>
        <v>49</v>
      </c>
      <c r="J132" s="52">
        <f>IF(VLOOKUP(Table91213[[#This Row],[Date]],'DB Details'!$A:$Q,10)=0,"",VLOOKUP(Table91213[[#This Row],[Date]],'DB Details'!$A:$Q,10))</f>
        <v>45.7</v>
      </c>
      <c r="K132" s="52">
        <f>IF(VLOOKUP(Table91213[[#This Row],[Date]],'DB Details'!$A:$Q,11)=0,"",VLOOKUP(Table91213[[#This Row],[Date]],'DB Details'!$A:$Q,11))</f>
        <v>52</v>
      </c>
      <c r="L132" s="50">
        <f>IF(VLOOKUP(Table91213[[#This Row],[Date]],'DB Details'!$A:$Q,12)=0,"",VLOOKUP(Table91213[[#This Row],[Date]],'DB Details'!$A:$Q,12))</f>
        <v>44.8</v>
      </c>
    </row>
    <row r="133" spans="1:12" x14ac:dyDescent="0.2">
      <c r="A133" s="53">
        <v>39479</v>
      </c>
      <c r="B133" s="50">
        <f>IF(VLOOKUP(Table91213[[#This Row],[Date]],'DB Details'!$A:$Q,2)=0,"",VLOOKUP(Table91213[[#This Row],[Date]],'DB Details'!$A:$Q,2))</f>
        <v>50.1</v>
      </c>
      <c r="C133" s="51">
        <f>IF(VLOOKUP(Table91213[[#This Row],[Date]],'DB Details'!$A:$Q,3)=0,"",VLOOKUP(Table91213[[#This Row],[Date]],'DB Details'!$A:$Q,3))</f>
        <v>49</v>
      </c>
      <c r="D133" s="51">
        <f>IF(VLOOKUP(Table91213[[#This Row],[Date]],'DB Details'!$A:$Q,4)=0,"",VLOOKUP(Table91213[[#This Row],[Date]],'DB Details'!$A:$Q,4))</f>
        <v>49.5</v>
      </c>
      <c r="E133" s="52">
        <f>IF(VLOOKUP(Table91213[[#This Row],[Date]],'DB Details'!$A:$Q,5)=0,"",VLOOKUP(Table91213[[#This Row],[Date]],'DB Details'!$A:$Q,5))</f>
        <v>71.7</v>
      </c>
      <c r="F133" s="51">
        <f>IF(VLOOKUP(Table91213[[#This Row],[Date]],'DB Details'!$A:$Q,6)=0,"",VLOOKUP(Table91213[[#This Row],[Date]],'DB Details'!$A:$Q,6))</f>
        <v>52.2</v>
      </c>
      <c r="G133" s="52">
        <f>IF(VLOOKUP(Table91213[[#This Row],[Date]],'DB Details'!$A:$Q,7)=0,"",VLOOKUP(Table91213[[#This Row],[Date]],'DB Details'!$A:$Q,7))</f>
        <v>60.5</v>
      </c>
      <c r="H133" s="52">
        <f>IF(VLOOKUP(Table91213[[#This Row],[Date]],'DB Details'!$A:$Q,8)=0,"",VLOOKUP(Table91213[[#This Row],[Date]],'DB Details'!$A:$Q,8))</f>
        <v>50</v>
      </c>
      <c r="I133" s="52">
        <f>IF(VLOOKUP(Table91213[[#This Row],[Date]],'DB Details'!$A:$Q,9)=0,"",VLOOKUP(Table91213[[#This Row],[Date]],'DB Details'!$A:$Q,9))</f>
        <v>50</v>
      </c>
      <c r="J133" s="52">
        <f>IF(VLOOKUP(Table91213[[#This Row],[Date]],'DB Details'!$A:$Q,10)=0,"",VLOOKUP(Table91213[[#This Row],[Date]],'DB Details'!$A:$Q,10))</f>
        <v>47.3</v>
      </c>
      <c r="K133" s="52">
        <f>IF(VLOOKUP(Table91213[[#This Row],[Date]],'DB Details'!$A:$Q,11)=0,"",VLOOKUP(Table91213[[#This Row],[Date]],'DB Details'!$A:$Q,11))</f>
        <v>46.5</v>
      </c>
      <c r="L133" s="50">
        <f>IF(VLOOKUP(Table91213[[#This Row],[Date]],'DB Details'!$A:$Q,12)=0,"",VLOOKUP(Table91213[[#This Row],[Date]],'DB Details'!$A:$Q,12))</f>
        <v>49.9</v>
      </c>
    </row>
    <row r="134" spans="1:12" x14ac:dyDescent="0.2">
      <c r="A134" s="53">
        <v>39508</v>
      </c>
      <c r="B134" s="50">
        <f>IF(VLOOKUP(Table91213[[#This Row],[Date]],'DB Details'!$A:$Q,2)=0,"",VLOOKUP(Table91213[[#This Row],[Date]],'DB Details'!$A:$Q,2))</f>
        <v>49.3</v>
      </c>
      <c r="C134" s="51">
        <f>IF(VLOOKUP(Table91213[[#This Row],[Date]],'DB Details'!$A:$Q,3)=0,"",VLOOKUP(Table91213[[#This Row],[Date]],'DB Details'!$A:$Q,3))</f>
        <v>54.5</v>
      </c>
      <c r="D134" s="51">
        <f>IF(VLOOKUP(Table91213[[#This Row],[Date]],'DB Details'!$A:$Q,4)=0,"",VLOOKUP(Table91213[[#This Row],[Date]],'DB Details'!$A:$Q,4))</f>
        <v>47.5</v>
      </c>
      <c r="E134" s="52">
        <f>IF(VLOOKUP(Table91213[[#This Row],[Date]],'DB Details'!$A:$Q,5)=0,"",VLOOKUP(Table91213[[#This Row],[Date]],'DB Details'!$A:$Q,5))</f>
        <v>72.7</v>
      </c>
      <c r="F134" s="51">
        <f>IF(VLOOKUP(Table91213[[#This Row],[Date]],'DB Details'!$A:$Q,6)=0,"",VLOOKUP(Table91213[[#This Row],[Date]],'DB Details'!$A:$Q,6))</f>
        <v>51.7</v>
      </c>
      <c r="G134" s="52">
        <f>IF(VLOOKUP(Table91213[[#This Row],[Date]],'DB Details'!$A:$Q,7)=0,"",VLOOKUP(Table91213[[#This Row],[Date]],'DB Details'!$A:$Q,7))</f>
        <v>60.5</v>
      </c>
      <c r="H134" s="52">
        <f>IF(VLOOKUP(Table91213[[#This Row],[Date]],'DB Details'!$A:$Q,8)=0,"",VLOOKUP(Table91213[[#This Row],[Date]],'DB Details'!$A:$Q,8))</f>
        <v>51.5</v>
      </c>
      <c r="I134" s="52">
        <f>IF(VLOOKUP(Table91213[[#This Row],[Date]],'DB Details'!$A:$Q,9)=0,"",VLOOKUP(Table91213[[#This Row],[Date]],'DB Details'!$A:$Q,9))</f>
        <v>49</v>
      </c>
      <c r="J134" s="52">
        <f>IF(VLOOKUP(Table91213[[#This Row],[Date]],'DB Details'!$A:$Q,10)=0,"",VLOOKUP(Table91213[[#This Row],[Date]],'DB Details'!$A:$Q,10))</f>
        <v>47.4</v>
      </c>
      <c r="K134" s="52">
        <f>IF(VLOOKUP(Table91213[[#This Row],[Date]],'DB Details'!$A:$Q,11)=0,"",VLOOKUP(Table91213[[#This Row],[Date]],'DB Details'!$A:$Q,11))</f>
        <v>55</v>
      </c>
      <c r="L134" s="50">
        <f>IF(VLOOKUP(Table91213[[#This Row],[Date]],'DB Details'!$A:$Q,12)=0,"",VLOOKUP(Table91213[[#This Row],[Date]],'DB Details'!$A:$Q,12))</f>
        <v>49.4</v>
      </c>
    </row>
    <row r="135" spans="1:12" x14ac:dyDescent="0.2">
      <c r="A135" s="53">
        <v>39539</v>
      </c>
      <c r="B135" s="50">
        <f>IF(VLOOKUP(Table91213[[#This Row],[Date]],'DB Details'!$A:$Q,2)=0,"",VLOOKUP(Table91213[[#This Row],[Date]],'DB Details'!$A:$Q,2))</f>
        <v>50.3</v>
      </c>
      <c r="C135" s="51">
        <f>IF(VLOOKUP(Table91213[[#This Row],[Date]],'DB Details'!$A:$Q,3)=0,"",VLOOKUP(Table91213[[#This Row],[Date]],'DB Details'!$A:$Q,3))</f>
        <v>50</v>
      </c>
      <c r="D135" s="51">
        <f>IF(VLOOKUP(Table91213[[#This Row],[Date]],'DB Details'!$A:$Q,4)=0,"",VLOOKUP(Table91213[[#This Row],[Date]],'DB Details'!$A:$Q,4))</f>
        <v>50</v>
      </c>
      <c r="E135" s="52">
        <f>IF(VLOOKUP(Table91213[[#This Row],[Date]],'DB Details'!$A:$Q,5)=0,"",VLOOKUP(Table91213[[#This Row],[Date]],'DB Details'!$A:$Q,5))</f>
        <v>71.900000000000006</v>
      </c>
      <c r="F135" s="51">
        <f>IF(VLOOKUP(Table91213[[#This Row],[Date]],'DB Details'!$A:$Q,6)=0,"",VLOOKUP(Table91213[[#This Row],[Date]],'DB Details'!$A:$Q,6))</f>
        <v>51.1</v>
      </c>
      <c r="G135" s="52">
        <f>IF(VLOOKUP(Table91213[[#This Row],[Date]],'DB Details'!$A:$Q,7)=0,"",VLOOKUP(Table91213[[#This Row],[Date]],'DB Details'!$A:$Q,7))</f>
        <v>63</v>
      </c>
      <c r="H135" s="52">
        <f>IF(VLOOKUP(Table91213[[#This Row],[Date]],'DB Details'!$A:$Q,8)=0,"",VLOOKUP(Table91213[[#This Row],[Date]],'DB Details'!$A:$Q,8))</f>
        <v>47</v>
      </c>
      <c r="I135" s="52">
        <f>IF(VLOOKUP(Table91213[[#This Row],[Date]],'DB Details'!$A:$Q,9)=0,"",VLOOKUP(Table91213[[#This Row],[Date]],'DB Details'!$A:$Q,9))</f>
        <v>56</v>
      </c>
      <c r="J135" s="52">
        <f>IF(VLOOKUP(Table91213[[#This Row],[Date]],'DB Details'!$A:$Q,10)=0,"",VLOOKUP(Table91213[[#This Row],[Date]],'DB Details'!$A:$Q,10))</f>
        <v>49.7</v>
      </c>
      <c r="K135" s="52">
        <f>IF(VLOOKUP(Table91213[[#This Row],[Date]],'DB Details'!$A:$Q,11)=0,"",VLOOKUP(Table91213[[#This Row],[Date]],'DB Details'!$A:$Q,11))</f>
        <v>48.5</v>
      </c>
      <c r="L135" s="50">
        <f>IF(VLOOKUP(Table91213[[#This Row],[Date]],'DB Details'!$A:$Q,12)=0,"",VLOOKUP(Table91213[[#This Row],[Date]],'DB Details'!$A:$Q,12))</f>
        <v>51.9</v>
      </c>
    </row>
    <row r="136" spans="1:12" x14ac:dyDescent="0.2">
      <c r="A136" s="53">
        <v>39569</v>
      </c>
      <c r="B136" s="50">
        <f>IF(VLOOKUP(Table91213[[#This Row],[Date]],'DB Details'!$A:$Q,2)=0,"",VLOOKUP(Table91213[[#This Row],[Date]],'DB Details'!$A:$Q,2))</f>
        <v>54.2</v>
      </c>
      <c r="C136" s="51">
        <f>IF(VLOOKUP(Table91213[[#This Row],[Date]],'DB Details'!$A:$Q,3)=0,"",VLOOKUP(Table91213[[#This Row],[Date]],'DB Details'!$A:$Q,3))</f>
        <v>48</v>
      </c>
      <c r="D136" s="51">
        <f>IF(VLOOKUP(Table91213[[#This Row],[Date]],'DB Details'!$A:$Q,4)=0,"",VLOOKUP(Table91213[[#This Row],[Date]],'DB Details'!$A:$Q,4))</f>
        <v>49</v>
      </c>
      <c r="E136" s="52">
        <f>IF(VLOOKUP(Table91213[[#This Row],[Date]],'DB Details'!$A:$Q,5)=0,"",VLOOKUP(Table91213[[#This Row],[Date]],'DB Details'!$A:$Q,5))</f>
        <v>75.2</v>
      </c>
      <c r="F136" s="51">
        <f>IF(VLOOKUP(Table91213[[#This Row],[Date]],'DB Details'!$A:$Q,6)=0,"",VLOOKUP(Table91213[[#This Row],[Date]],'DB Details'!$A:$Q,6))</f>
        <v>53.3</v>
      </c>
      <c r="G136" s="52">
        <f>IF(VLOOKUP(Table91213[[#This Row],[Date]],'DB Details'!$A:$Q,7)=0,"",VLOOKUP(Table91213[[#This Row],[Date]],'DB Details'!$A:$Q,7))</f>
        <v>66.5</v>
      </c>
      <c r="H136" s="52">
        <f>IF(VLOOKUP(Table91213[[#This Row],[Date]],'DB Details'!$A:$Q,8)=0,"",VLOOKUP(Table91213[[#This Row],[Date]],'DB Details'!$A:$Q,8))</f>
        <v>54</v>
      </c>
      <c r="I136" s="52">
        <f>IF(VLOOKUP(Table91213[[#This Row],[Date]],'DB Details'!$A:$Q,9)=0,"",VLOOKUP(Table91213[[#This Row],[Date]],'DB Details'!$A:$Q,9))</f>
        <v>51</v>
      </c>
      <c r="J136" s="52">
        <f>IF(VLOOKUP(Table91213[[#This Row],[Date]],'DB Details'!$A:$Q,10)=0,"",VLOOKUP(Table91213[[#This Row],[Date]],'DB Details'!$A:$Q,10))</f>
        <v>47.2</v>
      </c>
      <c r="K136" s="52">
        <f>IF(VLOOKUP(Table91213[[#This Row],[Date]],'DB Details'!$A:$Q,11)=0,"",VLOOKUP(Table91213[[#This Row],[Date]],'DB Details'!$A:$Q,11))</f>
        <v>54</v>
      </c>
      <c r="L136" s="50">
        <f>IF(VLOOKUP(Table91213[[#This Row],[Date]],'DB Details'!$A:$Q,12)=0,"",VLOOKUP(Table91213[[#This Row],[Date]],'DB Details'!$A:$Q,12))</f>
        <v>51.5</v>
      </c>
    </row>
    <row r="137" spans="1:12" x14ac:dyDescent="0.2">
      <c r="A137" s="53">
        <v>39600</v>
      </c>
      <c r="B137" s="50">
        <f>IF(VLOOKUP(Table91213[[#This Row],[Date]],'DB Details'!$A:$Q,2)=0,"",VLOOKUP(Table91213[[#This Row],[Date]],'DB Details'!$A:$Q,2))</f>
        <v>49.2</v>
      </c>
      <c r="C137" s="51">
        <f>IF(VLOOKUP(Table91213[[#This Row],[Date]],'DB Details'!$A:$Q,3)=0,"",VLOOKUP(Table91213[[#This Row],[Date]],'DB Details'!$A:$Q,3))</f>
        <v>50.5</v>
      </c>
      <c r="D137" s="51">
        <f>IF(VLOOKUP(Table91213[[#This Row],[Date]],'DB Details'!$A:$Q,4)=0,"",VLOOKUP(Table91213[[#This Row],[Date]],'DB Details'!$A:$Q,4))</f>
        <v>49</v>
      </c>
      <c r="E137" s="52">
        <f>IF(VLOOKUP(Table91213[[#This Row],[Date]],'DB Details'!$A:$Q,5)=0,"",VLOOKUP(Table91213[[#This Row],[Date]],'DB Details'!$A:$Q,5))</f>
        <v>79.599999999999994</v>
      </c>
      <c r="F137" s="51">
        <f>IF(VLOOKUP(Table91213[[#This Row],[Date]],'DB Details'!$A:$Q,6)=0,"",VLOOKUP(Table91213[[#This Row],[Date]],'DB Details'!$A:$Q,6))</f>
        <v>50.2</v>
      </c>
      <c r="G137" s="52">
        <f>IF(VLOOKUP(Table91213[[#This Row],[Date]],'DB Details'!$A:$Q,7)=0,"",VLOOKUP(Table91213[[#This Row],[Date]],'DB Details'!$A:$Q,7))</f>
        <v>60</v>
      </c>
      <c r="H137" s="52">
        <f>IF(VLOOKUP(Table91213[[#This Row],[Date]],'DB Details'!$A:$Q,8)=0,"",VLOOKUP(Table91213[[#This Row],[Date]],'DB Details'!$A:$Q,8))</f>
        <v>53</v>
      </c>
      <c r="I137" s="52">
        <f>IF(VLOOKUP(Table91213[[#This Row],[Date]],'DB Details'!$A:$Q,9)=0,"",VLOOKUP(Table91213[[#This Row],[Date]],'DB Details'!$A:$Q,9))</f>
        <v>50.5</v>
      </c>
      <c r="J137" s="52">
        <f>IF(VLOOKUP(Table91213[[#This Row],[Date]],'DB Details'!$A:$Q,10)=0,"",VLOOKUP(Table91213[[#This Row],[Date]],'DB Details'!$A:$Q,10))</f>
        <v>43.4</v>
      </c>
      <c r="K137" s="52">
        <f>IF(VLOOKUP(Table91213[[#This Row],[Date]],'DB Details'!$A:$Q,11)=0,"",VLOOKUP(Table91213[[#This Row],[Date]],'DB Details'!$A:$Q,11))</f>
        <v>52</v>
      </c>
      <c r="L137" s="50">
        <f>IF(VLOOKUP(Table91213[[#This Row],[Date]],'DB Details'!$A:$Q,12)=0,"",VLOOKUP(Table91213[[#This Row],[Date]],'DB Details'!$A:$Q,12))</f>
        <v>48.1</v>
      </c>
    </row>
    <row r="138" spans="1:12" x14ac:dyDescent="0.2">
      <c r="A138" s="53">
        <v>39630</v>
      </c>
      <c r="B138" s="50">
        <f>IF(VLOOKUP(Table91213[[#This Row],[Date]],'DB Details'!$A:$Q,2)=0,"",VLOOKUP(Table91213[[#This Row],[Date]],'DB Details'!$A:$Q,2))</f>
        <v>49</v>
      </c>
      <c r="C138" s="51">
        <f>IF(VLOOKUP(Table91213[[#This Row],[Date]],'DB Details'!$A:$Q,3)=0,"",VLOOKUP(Table91213[[#This Row],[Date]],'DB Details'!$A:$Q,3))</f>
        <v>49</v>
      </c>
      <c r="D138" s="51">
        <f>IF(VLOOKUP(Table91213[[#This Row],[Date]],'DB Details'!$A:$Q,4)=0,"",VLOOKUP(Table91213[[#This Row],[Date]],'DB Details'!$A:$Q,4))</f>
        <v>52</v>
      </c>
      <c r="E138" s="52">
        <f>IF(VLOOKUP(Table91213[[#This Row],[Date]],'DB Details'!$A:$Q,5)=0,"",VLOOKUP(Table91213[[#This Row],[Date]],'DB Details'!$A:$Q,5))</f>
        <v>77.400000000000006</v>
      </c>
      <c r="F138" s="51">
        <f>IF(VLOOKUP(Table91213[[#This Row],[Date]],'DB Details'!$A:$Q,6)=0,"",VLOOKUP(Table91213[[#This Row],[Date]],'DB Details'!$A:$Q,6))</f>
        <v>51</v>
      </c>
      <c r="G138" s="52">
        <f>IF(VLOOKUP(Table91213[[#This Row],[Date]],'DB Details'!$A:$Q,7)=0,"",VLOOKUP(Table91213[[#This Row],[Date]],'DB Details'!$A:$Q,7))</f>
        <v>62.5</v>
      </c>
      <c r="H138" s="52">
        <f>IF(VLOOKUP(Table91213[[#This Row],[Date]],'DB Details'!$A:$Q,8)=0,"",VLOOKUP(Table91213[[#This Row],[Date]],'DB Details'!$A:$Q,8))</f>
        <v>54.5</v>
      </c>
      <c r="I138" s="52">
        <f>IF(VLOOKUP(Table91213[[#This Row],[Date]],'DB Details'!$A:$Q,9)=0,"",VLOOKUP(Table91213[[#This Row],[Date]],'DB Details'!$A:$Q,9))</f>
        <v>53.5</v>
      </c>
      <c r="J138" s="52">
        <f>IF(VLOOKUP(Table91213[[#This Row],[Date]],'DB Details'!$A:$Q,10)=0,"",VLOOKUP(Table91213[[#This Row],[Date]],'DB Details'!$A:$Q,10))</f>
        <v>46.3</v>
      </c>
      <c r="K138" s="52">
        <f>IF(VLOOKUP(Table91213[[#This Row],[Date]],'DB Details'!$A:$Q,11)=0,"",VLOOKUP(Table91213[[#This Row],[Date]],'DB Details'!$A:$Q,11))</f>
        <v>47.5</v>
      </c>
      <c r="L138" s="50">
        <f>IF(VLOOKUP(Table91213[[#This Row],[Date]],'DB Details'!$A:$Q,12)=0,"",VLOOKUP(Table91213[[#This Row],[Date]],'DB Details'!$A:$Q,12))</f>
        <v>50.1</v>
      </c>
    </row>
    <row r="139" spans="1:12" x14ac:dyDescent="0.2">
      <c r="A139" s="53">
        <v>39661</v>
      </c>
      <c r="B139" s="50">
        <f>IF(VLOOKUP(Table91213[[#This Row],[Date]],'DB Details'!$A:$Q,2)=0,"",VLOOKUP(Table91213[[#This Row],[Date]],'DB Details'!$A:$Q,2))</f>
        <v>50.7</v>
      </c>
      <c r="C139" s="51">
        <f>IF(VLOOKUP(Table91213[[#This Row],[Date]],'DB Details'!$A:$Q,3)=0,"",VLOOKUP(Table91213[[#This Row],[Date]],'DB Details'!$A:$Q,3))</f>
        <v>46</v>
      </c>
      <c r="D139" s="51">
        <f>IF(VLOOKUP(Table91213[[#This Row],[Date]],'DB Details'!$A:$Q,4)=0,"",VLOOKUP(Table91213[[#This Row],[Date]],'DB Details'!$A:$Q,4))</f>
        <v>49</v>
      </c>
      <c r="E139" s="52">
        <f>IF(VLOOKUP(Table91213[[#This Row],[Date]],'DB Details'!$A:$Q,5)=0,"",VLOOKUP(Table91213[[#This Row],[Date]],'DB Details'!$A:$Q,5))</f>
        <v>72.400000000000006</v>
      </c>
      <c r="F139" s="51">
        <f>IF(VLOOKUP(Table91213[[#This Row],[Date]],'DB Details'!$A:$Q,6)=0,"",VLOOKUP(Table91213[[#This Row],[Date]],'DB Details'!$A:$Q,6))</f>
        <v>51.1</v>
      </c>
      <c r="G139" s="52">
        <f>IF(VLOOKUP(Table91213[[#This Row],[Date]],'DB Details'!$A:$Q,7)=0,"",VLOOKUP(Table91213[[#This Row],[Date]],'DB Details'!$A:$Q,7))</f>
        <v>66</v>
      </c>
      <c r="H139" s="52">
        <f>IF(VLOOKUP(Table91213[[#This Row],[Date]],'DB Details'!$A:$Q,8)=0,"",VLOOKUP(Table91213[[#This Row],[Date]],'DB Details'!$A:$Q,8))</f>
        <v>53.5</v>
      </c>
      <c r="I139" s="52">
        <f>IF(VLOOKUP(Table91213[[#This Row],[Date]],'DB Details'!$A:$Q,9)=0,"",VLOOKUP(Table91213[[#This Row],[Date]],'DB Details'!$A:$Q,9))</f>
        <v>55.5</v>
      </c>
      <c r="J139" s="52">
        <f>IF(VLOOKUP(Table91213[[#This Row],[Date]],'DB Details'!$A:$Q,10)=0,"",VLOOKUP(Table91213[[#This Row],[Date]],'DB Details'!$A:$Q,10))</f>
        <v>45.2</v>
      </c>
      <c r="K139" s="52">
        <f>IF(VLOOKUP(Table91213[[#This Row],[Date]],'DB Details'!$A:$Q,11)=0,"",VLOOKUP(Table91213[[#This Row],[Date]],'DB Details'!$A:$Q,11))</f>
        <v>44.5</v>
      </c>
      <c r="L139" s="50">
        <f>IF(VLOOKUP(Table91213[[#This Row],[Date]],'DB Details'!$A:$Q,12)=0,"",VLOOKUP(Table91213[[#This Row],[Date]],'DB Details'!$A:$Q,12))</f>
        <v>50.6</v>
      </c>
    </row>
    <row r="140" spans="1:12" x14ac:dyDescent="0.2">
      <c r="A140" s="53">
        <v>39692</v>
      </c>
      <c r="B140" s="50">
        <f>IF(VLOOKUP(Table91213[[#This Row],[Date]],'DB Details'!$A:$Q,2)=0,"",VLOOKUP(Table91213[[#This Row],[Date]],'DB Details'!$A:$Q,2))</f>
        <v>49.5</v>
      </c>
      <c r="C140" s="51">
        <f>IF(VLOOKUP(Table91213[[#This Row],[Date]],'DB Details'!$A:$Q,3)=0,"",VLOOKUP(Table91213[[#This Row],[Date]],'DB Details'!$A:$Q,3))</f>
        <v>47.5</v>
      </c>
      <c r="D140" s="51">
        <f>IF(VLOOKUP(Table91213[[#This Row],[Date]],'DB Details'!$A:$Q,4)=0,"",VLOOKUP(Table91213[[#This Row],[Date]],'DB Details'!$A:$Q,4))</f>
        <v>46.5</v>
      </c>
      <c r="E140" s="52">
        <f>IF(VLOOKUP(Table91213[[#This Row],[Date]],'DB Details'!$A:$Q,5)=0,"",VLOOKUP(Table91213[[#This Row],[Date]],'DB Details'!$A:$Q,5))</f>
        <v>71.900000000000006</v>
      </c>
      <c r="F140" s="51">
        <f>IF(VLOOKUP(Table91213[[#This Row],[Date]],'DB Details'!$A:$Q,6)=0,"",VLOOKUP(Table91213[[#This Row],[Date]],'DB Details'!$A:$Q,6))</f>
        <v>50.4</v>
      </c>
      <c r="G140" s="52">
        <f>IF(VLOOKUP(Table91213[[#This Row],[Date]],'DB Details'!$A:$Q,7)=0,"",VLOOKUP(Table91213[[#This Row],[Date]],'DB Details'!$A:$Q,7))</f>
        <v>62.5</v>
      </c>
      <c r="H140" s="52">
        <f>IF(VLOOKUP(Table91213[[#This Row],[Date]],'DB Details'!$A:$Q,8)=0,"",VLOOKUP(Table91213[[#This Row],[Date]],'DB Details'!$A:$Q,8))</f>
        <v>45.5</v>
      </c>
      <c r="I140" s="52">
        <f>IF(VLOOKUP(Table91213[[#This Row],[Date]],'DB Details'!$A:$Q,9)=0,"",VLOOKUP(Table91213[[#This Row],[Date]],'DB Details'!$A:$Q,9))</f>
        <v>53.5</v>
      </c>
      <c r="J140" s="52">
        <f>IF(VLOOKUP(Table91213[[#This Row],[Date]],'DB Details'!$A:$Q,10)=0,"",VLOOKUP(Table91213[[#This Row],[Date]],'DB Details'!$A:$Q,10))</f>
        <v>44.3</v>
      </c>
      <c r="K140" s="52">
        <f>IF(VLOOKUP(Table91213[[#This Row],[Date]],'DB Details'!$A:$Q,11)=0,"",VLOOKUP(Table91213[[#This Row],[Date]],'DB Details'!$A:$Q,11))</f>
        <v>50.5</v>
      </c>
      <c r="L140" s="50">
        <f>IF(VLOOKUP(Table91213[[#This Row],[Date]],'DB Details'!$A:$Q,12)=0,"",VLOOKUP(Table91213[[#This Row],[Date]],'DB Details'!$A:$Q,12))</f>
        <v>49.4</v>
      </c>
    </row>
    <row r="141" spans="1:12" x14ac:dyDescent="0.2">
      <c r="A141" s="53">
        <v>39722</v>
      </c>
      <c r="B141" s="50">
        <f>IF(VLOOKUP(Table91213[[#This Row],[Date]],'DB Details'!$A:$Q,2)=0,"",VLOOKUP(Table91213[[#This Row],[Date]],'DB Details'!$A:$Q,2))</f>
        <v>44.1</v>
      </c>
      <c r="C141" s="51">
        <f>IF(VLOOKUP(Table91213[[#This Row],[Date]],'DB Details'!$A:$Q,3)=0,"",VLOOKUP(Table91213[[#This Row],[Date]],'DB Details'!$A:$Q,3))</f>
        <v>52</v>
      </c>
      <c r="D141" s="51">
        <f>IF(VLOOKUP(Table91213[[#This Row],[Date]],'DB Details'!$A:$Q,4)=0,"",VLOOKUP(Table91213[[#This Row],[Date]],'DB Details'!$A:$Q,4))</f>
        <v>44</v>
      </c>
      <c r="E141" s="52">
        <f>IF(VLOOKUP(Table91213[[#This Row],[Date]],'DB Details'!$A:$Q,5)=0,"",VLOOKUP(Table91213[[#This Row],[Date]],'DB Details'!$A:$Q,5))</f>
        <v>53.9</v>
      </c>
      <c r="F141" s="51">
        <f>IF(VLOOKUP(Table91213[[#This Row],[Date]],'DB Details'!$A:$Q,6)=0,"",VLOOKUP(Table91213[[#This Row],[Date]],'DB Details'!$A:$Q,6))</f>
        <v>43.8</v>
      </c>
      <c r="G141" s="52">
        <f>IF(VLOOKUP(Table91213[[#This Row],[Date]],'DB Details'!$A:$Q,7)=0,"",VLOOKUP(Table91213[[#This Row],[Date]],'DB Details'!$A:$Q,7))</f>
        <v>67.5</v>
      </c>
      <c r="H141" s="52">
        <f>IF(VLOOKUP(Table91213[[#This Row],[Date]],'DB Details'!$A:$Q,8)=0,"",VLOOKUP(Table91213[[#This Row],[Date]],'DB Details'!$A:$Q,8))</f>
        <v>48</v>
      </c>
      <c r="I141" s="52">
        <f>IF(VLOOKUP(Table91213[[#This Row],[Date]],'DB Details'!$A:$Q,9)=0,"",VLOOKUP(Table91213[[#This Row],[Date]],'DB Details'!$A:$Q,9))</f>
        <v>48</v>
      </c>
      <c r="J141" s="52">
        <f>IF(VLOOKUP(Table91213[[#This Row],[Date]],'DB Details'!$A:$Q,10)=0,"",VLOOKUP(Table91213[[#This Row],[Date]],'DB Details'!$A:$Q,10))</f>
        <v>42.8</v>
      </c>
      <c r="K141" s="52">
        <f>IF(VLOOKUP(Table91213[[#This Row],[Date]],'DB Details'!$A:$Q,11)=0,"",VLOOKUP(Table91213[[#This Row],[Date]],'DB Details'!$A:$Q,11))</f>
        <v>50</v>
      </c>
      <c r="L141" s="50">
        <f>IF(VLOOKUP(Table91213[[#This Row],[Date]],'DB Details'!$A:$Q,12)=0,"",VLOOKUP(Table91213[[#This Row],[Date]],'DB Details'!$A:$Q,12))</f>
        <v>44.7</v>
      </c>
    </row>
    <row r="142" spans="1:12" x14ac:dyDescent="0.2">
      <c r="A142" s="53">
        <v>39753</v>
      </c>
      <c r="B142" s="50">
        <f>IF(VLOOKUP(Table91213[[#This Row],[Date]],'DB Details'!$A:$Q,2)=0,"",VLOOKUP(Table91213[[#This Row],[Date]],'DB Details'!$A:$Q,2))</f>
        <v>35.299999999999997</v>
      </c>
      <c r="C142" s="51">
        <f>IF(VLOOKUP(Table91213[[#This Row],[Date]],'DB Details'!$A:$Q,3)=0,"",VLOOKUP(Table91213[[#This Row],[Date]],'DB Details'!$A:$Q,3))</f>
        <v>40</v>
      </c>
      <c r="D142" s="51">
        <f>IF(VLOOKUP(Table91213[[#This Row],[Date]],'DB Details'!$A:$Q,4)=0,"",VLOOKUP(Table91213[[#This Row],[Date]],'DB Details'!$A:$Q,4))</f>
        <v>39.5</v>
      </c>
      <c r="E142" s="52">
        <f>IF(VLOOKUP(Table91213[[#This Row],[Date]],'DB Details'!$A:$Q,5)=0,"",VLOOKUP(Table91213[[#This Row],[Date]],'DB Details'!$A:$Q,5))</f>
        <v>37.4</v>
      </c>
      <c r="F142" s="51">
        <f>IF(VLOOKUP(Table91213[[#This Row],[Date]],'DB Details'!$A:$Q,6)=0,"",VLOOKUP(Table91213[[#This Row],[Date]],'DB Details'!$A:$Q,6))</f>
        <v>34.200000000000003</v>
      </c>
      <c r="G142" s="52">
        <f>IF(VLOOKUP(Table91213[[#This Row],[Date]],'DB Details'!$A:$Q,7)=0,"",VLOOKUP(Table91213[[#This Row],[Date]],'DB Details'!$A:$Q,7))</f>
        <v>65</v>
      </c>
      <c r="H142" s="52">
        <f>IF(VLOOKUP(Table91213[[#This Row],[Date]],'DB Details'!$A:$Q,8)=0,"",VLOOKUP(Table91213[[#This Row],[Date]],'DB Details'!$A:$Q,8))</f>
        <v>46</v>
      </c>
      <c r="I142" s="52">
        <f>IF(VLOOKUP(Table91213[[#This Row],[Date]],'DB Details'!$A:$Q,9)=0,"",VLOOKUP(Table91213[[#This Row],[Date]],'DB Details'!$A:$Q,9))</f>
        <v>49.5</v>
      </c>
      <c r="J142" s="52">
        <f>IF(VLOOKUP(Table91213[[#This Row],[Date]],'DB Details'!$A:$Q,10)=0,"",VLOOKUP(Table91213[[#This Row],[Date]],'DB Details'!$A:$Q,10))</f>
        <v>31.5</v>
      </c>
      <c r="K142" s="52">
        <f>IF(VLOOKUP(Table91213[[#This Row],[Date]],'DB Details'!$A:$Q,11)=0,"",VLOOKUP(Table91213[[#This Row],[Date]],'DB Details'!$A:$Q,11))</f>
        <v>34.5</v>
      </c>
      <c r="L142" s="50">
        <f>IF(VLOOKUP(Table91213[[#This Row],[Date]],'DB Details'!$A:$Q,12)=0,"",VLOOKUP(Table91213[[#This Row],[Date]],'DB Details'!$A:$Q,12))</f>
        <v>37.799999999999997</v>
      </c>
    </row>
    <row r="143" spans="1:12" x14ac:dyDescent="0.2">
      <c r="A143" s="53">
        <v>39783</v>
      </c>
      <c r="B143" s="50">
        <f>IF(VLOOKUP(Table91213[[#This Row],[Date]],'DB Details'!$A:$Q,2)=0,"",VLOOKUP(Table91213[[#This Row],[Date]],'DB Details'!$A:$Q,2))</f>
        <v>38.700000000000003</v>
      </c>
      <c r="C143" s="51">
        <f>IF(VLOOKUP(Table91213[[#This Row],[Date]],'DB Details'!$A:$Q,3)=0,"",VLOOKUP(Table91213[[#This Row],[Date]],'DB Details'!$A:$Q,3))</f>
        <v>32.5</v>
      </c>
      <c r="D143" s="51">
        <f>IF(VLOOKUP(Table91213[[#This Row],[Date]],'DB Details'!$A:$Q,4)=0,"",VLOOKUP(Table91213[[#This Row],[Date]],'DB Details'!$A:$Q,4))</f>
        <v>42.5</v>
      </c>
      <c r="E143" s="52">
        <f>IF(VLOOKUP(Table91213[[#This Row],[Date]],'DB Details'!$A:$Q,5)=0,"",VLOOKUP(Table91213[[#This Row],[Date]],'DB Details'!$A:$Q,5))</f>
        <v>36.1</v>
      </c>
      <c r="F143" s="51">
        <f>IF(VLOOKUP(Table91213[[#This Row],[Date]],'DB Details'!$A:$Q,6)=0,"",VLOOKUP(Table91213[[#This Row],[Date]],'DB Details'!$A:$Q,6))</f>
        <v>38.299999999999997</v>
      </c>
      <c r="G143" s="52">
        <f>IF(VLOOKUP(Table91213[[#This Row],[Date]],'DB Details'!$A:$Q,7)=0,"",VLOOKUP(Table91213[[#This Row],[Date]],'DB Details'!$A:$Q,7))</f>
        <v>65.5</v>
      </c>
      <c r="H143" s="52">
        <f>IF(VLOOKUP(Table91213[[#This Row],[Date]],'DB Details'!$A:$Q,8)=0,"",VLOOKUP(Table91213[[#This Row],[Date]],'DB Details'!$A:$Q,8))</f>
        <v>49</v>
      </c>
      <c r="I143" s="52">
        <f>IF(VLOOKUP(Table91213[[#This Row],[Date]],'DB Details'!$A:$Q,9)=0,"",VLOOKUP(Table91213[[#This Row],[Date]],'DB Details'!$A:$Q,9))</f>
        <v>48</v>
      </c>
      <c r="J143" s="52">
        <f>IF(VLOOKUP(Table91213[[#This Row],[Date]],'DB Details'!$A:$Q,10)=0,"",VLOOKUP(Table91213[[#This Row],[Date]],'DB Details'!$A:$Q,10))</f>
        <v>34.9</v>
      </c>
      <c r="K143" s="52">
        <f>IF(VLOOKUP(Table91213[[#This Row],[Date]],'DB Details'!$A:$Q,11)=0,"",VLOOKUP(Table91213[[#This Row],[Date]],'DB Details'!$A:$Q,11))</f>
        <v>39.5</v>
      </c>
      <c r="L143" s="50">
        <f>IF(VLOOKUP(Table91213[[#This Row],[Date]],'DB Details'!$A:$Q,12)=0,"",VLOOKUP(Table91213[[#This Row],[Date]],'DB Details'!$A:$Q,12))</f>
        <v>40</v>
      </c>
    </row>
    <row r="144" spans="1:12" x14ac:dyDescent="0.2">
      <c r="A144" s="53">
        <v>39814</v>
      </c>
      <c r="B144" s="50">
        <f>IF(VLOOKUP(Table91213[[#This Row],[Date]],'DB Details'!$A:$Q,2)=0,"",VLOOKUP(Table91213[[#This Row],[Date]],'DB Details'!$A:$Q,2))</f>
        <v>40.700000000000003</v>
      </c>
      <c r="C144" s="51">
        <f>IF(VLOOKUP(Table91213[[#This Row],[Date]],'DB Details'!$A:$Q,3)=0,"",VLOOKUP(Table91213[[#This Row],[Date]],'DB Details'!$A:$Q,3))</f>
        <v>40.5</v>
      </c>
      <c r="D144" s="51">
        <f>IF(VLOOKUP(Table91213[[#This Row],[Date]],'DB Details'!$A:$Q,4)=0,"",VLOOKUP(Table91213[[#This Row],[Date]],'DB Details'!$A:$Q,4))</f>
        <v>37.5</v>
      </c>
      <c r="E144" s="52">
        <f>IF(VLOOKUP(Table91213[[#This Row],[Date]],'DB Details'!$A:$Q,5)=0,"",VLOOKUP(Table91213[[#This Row],[Date]],'DB Details'!$A:$Q,5))</f>
        <v>41.7</v>
      </c>
      <c r="F144" s="51">
        <f>IF(VLOOKUP(Table91213[[#This Row],[Date]],'DB Details'!$A:$Q,6)=0,"",VLOOKUP(Table91213[[#This Row],[Date]],'DB Details'!$A:$Q,6))</f>
        <v>44.1</v>
      </c>
      <c r="G144" s="52">
        <f>IF(VLOOKUP(Table91213[[#This Row],[Date]],'DB Details'!$A:$Q,7)=0,"",VLOOKUP(Table91213[[#This Row],[Date]],'DB Details'!$A:$Q,7))</f>
        <v>62.5</v>
      </c>
      <c r="H144" s="52">
        <f>IF(VLOOKUP(Table91213[[#This Row],[Date]],'DB Details'!$A:$Q,8)=0,"",VLOOKUP(Table91213[[#This Row],[Date]],'DB Details'!$A:$Q,8))</f>
        <v>41.5</v>
      </c>
      <c r="I144" s="52">
        <f>IF(VLOOKUP(Table91213[[#This Row],[Date]],'DB Details'!$A:$Q,9)=0,"",VLOOKUP(Table91213[[#This Row],[Date]],'DB Details'!$A:$Q,9))</f>
        <v>51.5</v>
      </c>
      <c r="J144" s="52">
        <f>IF(VLOOKUP(Table91213[[#This Row],[Date]],'DB Details'!$A:$Q,10)=0,"",VLOOKUP(Table91213[[#This Row],[Date]],'DB Details'!$A:$Q,10))</f>
        <v>36.200000000000003</v>
      </c>
      <c r="K144" s="52">
        <f>IF(VLOOKUP(Table91213[[#This Row],[Date]],'DB Details'!$A:$Q,11)=0,"",VLOOKUP(Table91213[[#This Row],[Date]],'DB Details'!$A:$Q,11))</f>
        <v>39</v>
      </c>
      <c r="L144" s="50">
        <f>IF(VLOOKUP(Table91213[[#This Row],[Date]],'DB Details'!$A:$Q,12)=0,"",VLOOKUP(Table91213[[#This Row],[Date]],'DB Details'!$A:$Q,12))</f>
        <v>43</v>
      </c>
    </row>
    <row r="145" spans="1:12" x14ac:dyDescent="0.2">
      <c r="A145" s="53">
        <v>39845</v>
      </c>
      <c r="B145" s="50">
        <f>IF(VLOOKUP(Table91213[[#This Row],[Date]],'DB Details'!$A:$Q,2)=0,"",VLOOKUP(Table91213[[#This Row],[Date]],'DB Details'!$A:$Q,2))</f>
        <v>40.4</v>
      </c>
      <c r="C145" s="51">
        <f>IF(VLOOKUP(Table91213[[#This Row],[Date]],'DB Details'!$A:$Q,3)=0,"",VLOOKUP(Table91213[[#This Row],[Date]],'DB Details'!$A:$Q,3))</f>
        <v>39</v>
      </c>
      <c r="D145" s="51">
        <f>IF(VLOOKUP(Table91213[[#This Row],[Date]],'DB Details'!$A:$Q,4)=0,"",VLOOKUP(Table91213[[#This Row],[Date]],'DB Details'!$A:$Q,4))</f>
        <v>36.5</v>
      </c>
      <c r="E145" s="52">
        <f>IF(VLOOKUP(Table91213[[#This Row],[Date]],'DB Details'!$A:$Q,5)=0,"",VLOOKUP(Table91213[[#This Row],[Date]],'DB Details'!$A:$Q,5))</f>
        <v>48.6</v>
      </c>
      <c r="F145" s="51">
        <f>IF(VLOOKUP(Table91213[[#This Row],[Date]],'DB Details'!$A:$Q,6)=0,"",VLOOKUP(Table91213[[#This Row],[Date]],'DB Details'!$A:$Q,6))</f>
        <v>40.6</v>
      </c>
      <c r="G145" s="52">
        <f>IF(VLOOKUP(Table91213[[#This Row],[Date]],'DB Details'!$A:$Q,7)=0,"",VLOOKUP(Table91213[[#This Row],[Date]],'DB Details'!$A:$Q,7))</f>
        <v>66.5</v>
      </c>
      <c r="H145" s="52">
        <f>IF(VLOOKUP(Table91213[[#This Row],[Date]],'DB Details'!$A:$Q,8)=0,"",VLOOKUP(Table91213[[#This Row],[Date]],'DB Details'!$A:$Q,8))</f>
        <v>39</v>
      </c>
      <c r="I145" s="52">
        <f>IF(VLOOKUP(Table91213[[#This Row],[Date]],'DB Details'!$A:$Q,9)=0,"",VLOOKUP(Table91213[[#This Row],[Date]],'DB Details'!$A:$Q,9))</f>
        <v>48</v>
      </c>
      <c r="J145" s="52">
        <f>IF(VLOOKUP(Table91213[[#This Row],[Date]],'DB Details'!$A:$Q,10)=0,"",VLOOKUP(Table91213[[#This Row],[Date]],'DB Details'!$A:$Q,10))</f>
        <v>37</v>
      </c>
      <c r="K145" s="52">
        <f>IF(VLOOKUP(Table91213[[#This Row],[Date]],'DB Details'!$A:$Q,11)=0,"",VLOOKUP(Table91213[[#This Row],[Date]],'DB Details'!$A:$Q,11))</f>
        <v>40</v>
      </c>
      <c r="L145" s="50">
        <f>IF(VLOOKUP(Table91213[[#This Row],[Date]],'DB Details'!$A:$Q,12)=0,"",VLOOKUP(Table91213[[#This Row],[Date]],'DB Details'!$A:$Q,12))</f>
        <v>41.6</v>
      </c>
    </row>
    <row r="146" spans="1:12" x14ac:dyDescent="0.2">
      <c r="A146" s="53">
        <v>39873</v>
      </c>
      <c r="B146" s="50">
        <f>IF(VLOOKUP(Table91213[[#This Row],[Date]],'DB Details'!$A:$Q,2)=0,"",VLOOKUP(Table91213[[#This Row],[Date]],'DB Details'!$A:$Q,2))</f>
        <v>37.200000000000003</v>
      </c>
      <c r="C146" s="51">
        <f>IF(VLOOKUP(Table91213[[#This Row],[Date]],'DB Details'!$A:$Q,3)=0,"",VLOOKUP(Table91213[[#This Row],[Date]],'DB Details'!$A:$Q,3))</f>
        <v>37</v>
      </c>
      <c r="D146" s="51">
        <f>IF(VLOOKUP(Table91213[[#This Row],[Date]],'DB Details'!$A:$Q,4)=0,"",VLOOKUP(Table91213[[#This Row],[Date]],'DB Details'!$A:$Q,4))</f>
        <v>41</v>
      </c>
      <c r="E146" s="52">
        <f>IF(VLOOKUP(Table91213[[#This Row],[Date]],'DB Details'!$A:$Q,5)=0,"",VLOOKUP(Table91213[[#This Row],[Date]],'DB Details'!$A:$Q,5))</f>
        <v>40</v>
      </c>
      <c r="F146" s="51">
        <f>IF(VLOOKUP(Table91213[[#This Row],[Date]],'DB Details'!$A:$Q,6)=0,"",VLOOKUP(Table91213[[#This Row],[Date]],'DB Details'!$A:$Q,6))</f>
        <v>42.8</v>
      </c>
      <c r="G146" s="52">
        <f>IF(VLOOKUP(Table91213[[#This Row],[Date]],'DB Details'!$A:$Q,7)=0,"",VLOOKUP(Table91213[[#This Row],[Date]],'DB Details'!$A:$Q,7))</f>
        <v>60</v>
      </c>
      <c r="H146" s="52">
        <f>IF(VLOOKUP(Table91213[[#This Row],[Date]],'DB Details'!$A:$Q,8)=0,"",VLOOKUP(Table91213[[#This Row],[Date]],'DB Details'!$A:$Q,8))</f>
        <v>40</v>
      </c>
      <c r="I146" s="52">
        <f>IF(VLOOKUP(Table91213[[#This Row],[Date]],'DB Details'!$A:$Q,9)=0,"",VLOOKUP(Table91213[[#This Row],[Date]],'DB Details'!$A:$Q,9))</f>
        <v>48</v>
      </c>
      <c r="J146" s="52">
        <f>IF(VLOOKUP(Table91213[[#This Row],[Date]],'DB Details'!$A:$Q,10)=0,"",VLOOKUP(Table91213[[#This Row],[Date]],'DB Details'!$A:$Q,10))</f>
        <v>31.9</v>
      </c>
      <c r="K146" s="52">
        <f>IF(VLOOKUP(Table91213[[#This Row],[Date]],'DB Details'!$A:$Q,11)=0,"",VLOOKUP(Table91213[[#This Row],[Date]],'DB Details'!$A:$Q,11))</f>
        <v>39</v>
      </c>
      <c r="L146" s="50">
        <f>IF(VLOOKUP(Table91213[[#This Row],[Date]],'DB Details'!$A:$Q,12)=0,"",VLOOKUP(Table91213[[#This Row],[Date]],'DB Details'!$A:$Q,12))</f>
        <v>40.1</v>
      </c>
    </row>
    <row r="147" spans="1:12" x14ac:dyDescent="0.2">
      <c r="A147" s="53">
        <v>39904</v>
      </c>
      <c r="B147" s="50">
        <f>IF(VLOOKUP(Table91213[[#This Row],[Date]],'DB Details'!$A:$Q,2)=0,"",VLOOKUP(Table91213[[#This Row],[Date]],'DB Details'!$A:$Q,2))</f>
        <v>46.8</v>
      </c>
      <c r="C147" s="51">
        <f>IF(VLOOKUP(Table91213[[#This Row],[Date]],'DB Details'!$A:$Q,3)=0,"",VLOOKUP(Table91213[[#This Row],[Date]],'DB Details'!$A:$Q,3))</f>
        <v>48.5</v>
      </c>
      <c r="D147" s="51">
        <f>IF(VLOOKUP(Table91213[[#This Row],[Date]],'DB Details'!$A:$Q,4)=0,"",VLOOKUP(Table91213[[#This Row],[Date]],'DB Details'!$A:$Q,4))</f>
        <v>44</v>
      </c>
      <c r="E147" s="52">
        <f>IF(VLOOKUP(Table91213[[#This Row],[Date]],'DB Details'!$A:$Q,5)=0,"",VLOOKUP(Table91213[[#This Row],[Date]],'DB Details'!$A:$Q,5))</f>
        <v>39.9</v>
      </c>
      <c r="F147" s="51">
        <f>IF(VLOOKUP(Table91213[[#This Row],[Date]],'DB Details'!$A:$Q,6)=0,"",VLOOKUP(Table91213[[#This Row],[Date]],'DB Details'!$A:$Q,6))</f>
        <v>45</v>
      </c>
      <c r="G147" s="52">
        <f>IF(VLOOKUP(Table91213[[#This Row],[Date]],'DB Details'!$A:$Q,7)=0,"",VLOOKUP(Table91213[[#This Row],[Date]],'DB Details'!$A:$Q,7))</f>
        <v>62.5</v>
      </c>
      <c r="H147" s="52">
        <f>IF(VLOOKUP(Table91213[[#This Row],[Date]],'DB Details'!$A:$Q,8)=0,"",VLOOKUP(Table91213[[#This Row],[Date]],'DB Details'!$A:$Q,8))</f>
        <v>43</v>
      </c>
      <c r="I147" s="52">
        <f>IF(VLOOKUP(Table91213[[#This Row],[Date]],'DB Details'!$A:$Q,9)=0,"",VLOOKUP(Table91213[[#This Row],[Date]],'DB Details'!$A:$Q,9))</f>
        <v>45.5</v>
      </c>
      <c r="J147" s="52">
        <f>IF(VLOOKUP(Table91213[[#This Row],[Date]],'DB Details'!$A:$Q,10)=0,"",VLOOKUP(Table91213[[#This Row],[Date]],'DB Details'!$A:$Q,10))</f>
        <v>36.299999999999997</v>
      </c>
      <c r="K147" s="52">
        <f>IF(VLOOKUP(Table91213[[#This Row],[Date]],'DB Details'!$A:$Q,11)=0,"",VLOOKUP(Table91213[[#This Row],[Date]],'DB Details'!$A:$Q,11))</f>
        <v>48.5</v>
      </c>
      <c r="L147" s="50">
        <f>IF(VLOOKUP(Table91213[[#This Row],[Date]],'DB Details'!$A:$Q,12)=0,"",VLOOKUP(Table91213[[#This Row],[Date]],'DB Details'!$A:$Q,12))</f>
        <v>43.7</v>
      </c>
    </row>
    <row r="148" spans="1:12" x14ac:dyDescent="0.2">
      <c r="A148" s="53">
        <v>39934</v>
      </c>
      <c r="B148" s="50">
        <f>IF(VLOOKUP(Table91213[[#This Row],[Date]],'DB Details'!$A:$Q,2)=0,"",VLOOKUP(Table91213[[#This Row],[Date]],'DB Details'!$A:$Q,2))</f>
        <v>45.9</v>
      </c>
      <c r="C148" s="51">
        <f>IF(VLOOKUP(Table91213[[#This Row],[Date]],'DB Details'!$A:$Q,3)=0,"",VLOOKUP(Table91213[[#This Row],[Date]],'DB Details'!$A:$Q,3))</f>
        <v>46</v>
      </c>
      <c r="D148" s="51">
        <f>IF(VLOOKUP(Table91213[[#This Row],[Date]],'DB Details'!$A:$Q,4)=0,"",VLOOKUP(Table91213[[#This Row],[Date]],'DB Details'!$A:$Q,4))</f>
        <v>40</v>
      </c>
      <c r="E148" s="52">
        <f>IF(VLOOKUP(Table91213[[#This Row],[Date]],'DB Details'!$A:$Q,5)=0,"",VLOOKUP(Table91213[[#This Row],[Date]],'DB Details'!$A:$Q,5))</f>
        <v>47.1</v>
      </c>
      <c r="F148" s="51">
        <f>IF(VLOOKUP(Table91213[[#This Row],[Date]],'DB Details'!$A:$Q,6)=0,"",VLOOKUP(Table91213[[#This Row],[Date]],'DB Details'!$A:$Q,6))</f>
        <v>43.1</v>
      </c>
      <c r="G148" s="52">
        <f>IF(VLOOKUP(Table91213[[#This Row],[Date]],'DB Details'!$A:$Q,7)=0,"",VLOOKUP(Table91213[[#This Row],[Date]],'DB Details'!$A:$Q,7))</f>
        <v>62.5</v>
      </c>
      <c r="H148" s="52">
        <f>IF(VLOOKUP(Table91213[[#This Row],[Date]],'DB Details'!$A:$Q,8)=0,"",VLOOKUP(Table91213[[#This Row],[Date]],'DB Details'!$A:$Q,8))</f>
        <v>47</v>
      </c>
      <c r="I148" s="52">
        <f>IF(VLOOKUP(Table91213[[#This Row],[Date]],'DB Details'!$A:$Q,9)=0,"",VLOOKUP(Table91213[[#This Row],[Date]],'DB Details'!$A:$Q,9))</f>
        <v>50</v>
      </c>
      <c r="J148" s="52">
        <f>IF(VLOOKUP(Table91213[[#This Row],[Date]],'DB Details'!$A:$Q,10)=0,"",VLOOKUP(Table91213[[#This Row],[Date]],'DB Details'!$A:$Q,10))</f>
        <v>37.9</v>
      </c>
      <c r="K148" s="52">
        <f>IF(VLOOKUP(Table91213[[#This Row],[Date]],'DB Details'!$A:$Q,11)=0,"",VLOOKUP(Table91213[[#This Row],[Date]],'DB Details'!$A:$Q,11))</f>
        <v>47</v>
      </c>
      <c r="L148" s="50">
        <f>IF(VLOOKUP(Table91213[[#This Row],[Date]],'DB Details'!$A:$Q,12)=0,"",VLOOKUP(Table91213[[#This Row],[Date]],'DB Details'!$A:$Q,12))</f>
        <v>44.4</v>
      </c>
    </row>
    <row r="149" spans="1:12" x14ac:dyDescent="0.2">
      <c r="A149" s="53">
        <v>39965</v>
      </c>
      <c r="B149" s="50">
        <f>IF(VLOOKUP(Table91213[[#This Row],[Date]],'DB Details'!$A:$Q,2)=0,"",VLOOKUP(Table91213[[#This Row],[Date]],'DB Details'!$A:$Q,2))</f>
        <v>49.6</v>
      </c>
      <c r="C149" s="51">
        <f>IF(VLOOKUP(Table91213[[#This Row],[Date]],'DB Details'!$A:$Q,3)=0,"",VLOOKUP(Table91213[[#This Row],[Date]],'DB Details'!$A:$Q,3))</f>
        <v>47</v>
      </c>
      <c r="D149" s="51">
        <f>IF(VLOOKUP(Table91213[[#This Row],[Date]],'DB Details'!$A:$Q,4)=0,"",VLOOKUP(Table91213[[#This Row],[Date]],'DB Details'!$A:$Q,4))</f>
        <v>46</v>
      </c>
      <c r="E149" s="52">
        <f>IF(VLOOKUP(Table91213[[#This Row],[Date]],'DB Details'!$A:$Q,5)=0,"",VLOOKUP(Table91213[[#This Row],[Date]],'DB Details'!$A:$Q,5))</f>
        <v>52.9</v>
      </c>
      <c r="F149" s="51">
        <f>IF(VLOOKUP(Table91213[[#This Row],[Date]],'DB Details'!$A:$Q,6)=0,"",VLOOKUP(Table91213[[#This Row],[Date]],'DB Details'!$A:$Q,6))</f>
        <v>50.1</v>
      </c>
      <c r="G149" s="52">
        <f>IF(VLOOKUP(Table91213[[#This Row],[Date]],'DB Details'!$A:$Q,7)=0,"",VLOOKUP(Table91213[[#This Row],[Date]],'DB Details'!$A:$Q,7))</f>
        <v>67</v>
      </c>
      <c r="H149" s="52">
        <f>IF(VLOOKUP(Table91213[[#This Row],[Date]],'DB Details'!$A:$Q,8)=0,"",VLOOKUP(Table91213[[#This Row],[Date]],'DB Details'!$A:$Q,8))</f>
        <v>45</v>
      </c>
      <c r="I149" s="52">
        <f>IF(VLOOKUP(Table91213[[#This Row],[Date]],'DB Details'!$A:$Q,9)=0,"",VLOOKUP(Table91213[[#This Row],[Date]],'DB Details'!$A:$Q,9))</f>
        <v>46</v>
      </c>
      <c r="J149" s="52">
        <f>IF(VLOOKUP(Table91213[[#This Row],[Date]],'DB Details'!$A:$Q,10)=0,"",VLOOKUP(Table91213[[#This Row],[Date]],'DB Details'!$A:$Q,10))</f>
        <v>41.5</v>
      </c>
      <c r="K149" s="52">
        <f>IF(VLOOKUP(Table91213[[#This Row],[Date]],'DB Details'!$A:$Q,11)=0,"",VLOOKUP(Table91213[[#This Row],[Date]],'DB Details'!$A:$Q,11))</f>
        <v>54.5</v>
      </c>
      <c r="L149" s="50">
        <f>IF(VLOOKUP(Table91213[[#This Row],[Date]],'DB Details'!$A:$Q,12)=0,"",VLOOKUP(Table91213[[#This Row],[Date]],'DB Details'!$A:$Q,12))</f>
        <v>46.4</v>
      </c>
    </row>
    <row r="150" spans="1:12" x14ac:dyDescent="0.2">
      <c r="A150" s="53">
        <v>39995</v>
      </c>
      <c r="B150" s="50">
        <f>IF(VLOOKUP(Table91213[[#This Row],[Date]],'DB Details'!$A:$Q,2)=0,"",VLOOKUP(Table91213[[#This Row],[Date]],'DB Details'!$A:$Q,2))</f>
        <v>49.7</v>
      </c>
      <c r="C150" s="51">
        <f>IF(VLOOKUP(Table91213[[#This Row],[Date]],'DB Details'!$A:$Q,3)=0,"",VLOOKUP(Table91213[[#This Row],[Date]],'DB Details'!$A:$Q,3))</f>
        <v>45</v>
      </c>
      <c r="D150" s="51">
        <f>IF(VLOOKUP(Table91213[[#This Row],[Date]],'DB Details'!$A:$Q,4)=0,"",VLOOKUP(Table91213[[#This Row],[Date]],'DB Details'!$A:$Q,4))</f>
        <v>42</v>
      </c>
      <c r="E150" s="52">
        <f>IF(VLOOKUP(Table91213[[#This Row],[Date]],'DB Details'!$A:$Q,5)=0,"",VLOOKUP(Table91213[[#This Row],[Date]],'DB Details'!$A:$Q,5))</f>
        <v>41.5</v>
      </c>
      <c r="F150" s="51">
        <f>IF(VLOOKUP(Table91213[[#This Row],[Date]],'DB Details'!$A:$Q,6)=0,"",VLOOKUP(Table91213[[#This Row],[Date]],'DB Details'!$A:$Q,6))</f>
        <v>47</v>
      </c>
      <c r="G150" s="52">
        <f>IF(VLOOKUP(Table91213[[#This Row],[Date]],'DB Details'!$A:$Q,7)=0,"",VLOOKUP(Table91213[[#This Row],[Date]],'DB Details'!$A:$Q,7))</f>
        <v>62.5</v>
      </c>
      <c r="H150" s="52">
        <f>IF(VLOOKUP(Table91213[[#This Row],[Date]],'DB Details'!$A:$Q,8)=0,"",VLOOKUP(Table91213[[#This Row],[Date]],'DB Details'!$A:$Q,8))</f>
        <v>47</v>
      </c>
      <c r="I150" s="52">
        <f>IF(VLOOKUP(Table91213[[#This Row],[Date]],'DB Details'!$A:$Q,9)=0,"",VLOOKUP(Table91213[[#This Row],[Date]],'DB Details'!$A:$Q,9))</f>
        <v>50</v>
      </c>
      <c r="J150" s="52">
        <f>IF(VLOOKUP(Table91213[[#This Row],[Date]],'DB Details'!$A:$Q,10)=0,"",VLOOKUP(Table91213[[#This Row],[Date]],'DB Details'!$A:$Q,10))</f>
        <v>41.3</v>
      </c>
      <c r="K150" s="52">
        <f>IF(VLOOKUP(Table91213[[#This Row],[Date]],'DB Details'!$A:$Q,11)=0,"",VLOOKUP(Table91213[[#This Row],[Date]],'DB Details'!$A:$Q,11))</f>
        <v>47.5</v>
      </c>
      <c r="L150" s="50">
        <f>IF(VLOOKUP(Table91213[[#This Row],[Date]],'DB Details'!$A:$Q,12)=0,"",VLOOKUP(Table91213[[#This Row],[Date]],'DB Details'!$A:$Q,12))</f>
        <v>47.1</v>
      </c>
    </row>
    <row r="151" spans="1:12" x14ac:dyDescent="0.2">
      <c r="A151" s="53">
        <v>40026</v>
      </c>
      <c r="B151" s="50">
        <f>IF(VLOOKUP(Table91213[[#This Row],[Date]],'DB Details'!$A:$Q,2)=0,"",VLOOKUP(Table91213[[#This Row],[Date]],'DB Details'!$A:$Q,2))</f>
        <v>51.7</v>
      </c>
      <c r="C151" s="51">
        <f>IF(VLOOKUP(Table91213[[#This Row],[Date]],'DB Details'!$A:$Q,3)=0,"",VLOOKUP(Table91213[[#This Row],[Date]],'DB Details'!$A:$Q,3))</f>
        <v>49</v>
      </c>
      <c r="D151" s="51">
        <f>IF(VLOOKUP(Table91213[[#This Row],[Date]],'DB Details'!$A:$Q,4)=0,"",VLOOKUP(Table91213[[#This Row],[Date]],'DB Details'!$A:$Q,4))</f>
        <v>41</v>
      </c>
      <c r="E151" s="52">
        <f>IF(VLOOKUP(Table91213[[#This Row],[Date]],'DB Details'!$A:$Q,5)=0,"",VLOOKUP(Table91213[[#This Row],[Date]],'DB Details'!$A:$Q,5))</f>
        <v>60.8</v>
      </c>
      <c r="F151" s="51">
        <f>IF(VLOOKUP(Table91213[[#This Row],[Date]],'DB Details'!$A:$Q,6)=0,"",VLOOKUP(Table91213[[#This Row],[Date]],'DB Details'!$A:$Q,6))</f>
        <v>52.1</v>
      </c>
      <c r="G151" s="52">
        <f>IF(VLOOKUP(Table91213[[#This Row],[Date]],'DB Details'!$A:$Q,7)=0,"",VLOOKUP(Table91213[[#This Row],[Date]],'DB Details'!$A:$Q,7))</f>
        <v>67.5</v>
      </c>
      <c r="H151" s="52">
        <f>IF(VLOOKUP(Table91213[[#This Row],[Date]],'DB Details'!$A:$Q,8)=0,"",VLOOKUP(Table91213[[#This Row],[Date]],'DB Details'!$A:$Q,8))</f>
        <v>43</v>
      </c>
      <c r="I151" s="52">
        <f>IF(VLOOKUP(Table91213[[#This Row],[Date]],'DB Details'!$A:$Q,9)=0,"",VLOOKUP(Table91213[[#This Row],[Date]],'DB Details'!$A:$Q,9))</f>
        <v>49</v>
      </c>
      <c r="J151" s="52">
        <f>IF(VLOOKUP(Table91213[[#This Row],[Date]],'DB Details'!$A:$Q,10)=0,"",VLOOKUP(Table91213[[#This Row],[Date]],'DB Details'!$A:$Q,10))</f>
        <v>43.4</v>
      </c>
      <c r="K151" s="52">
        <f>IF(VLOOKUP(Table91213[[#This Row],[Date]],'DB Details'!$A:$Q,11)=0,"",VLOOKUP(Table91213[[#This Row],[Date]],'DB Details'!$A:$Q,11))</f>
        <v>54</v>
      </c>
      <c r="L151" s="50">
        <f>IF(VLOOKUP(Table91213[[#This Row],[Date]],'DB Details'!$A:$Q,12)=0,"",VLOOKUP(Table91213[[#This Row],[Date]],'DB Details'!$A:$Q,12))</f>
        <v>48.9</v>
      </c>
    </row>
    <row r="152" spans="1:12" x14ac:dyDescent="0.2">
      <c r="A152" s="53">
        <v>40057</v>
      </c>
      <c r="B152" s="50">
        <f>IF(VLOOKUP(Table91213[[#This Row],[Date]],'DB Details'!$A:$Q,2)=0,"",VLOOKUP(Table91213[[#This Row],[Date]],'DB Details'!$A:$Q,2))</f>
        <v>53.3</v>
      </c>
      <c r="C152" s="51">
        <f>IF(VLOOKUP(Table91213[[#This Row],[Date]],'DB Details'!$A:$Q,3)=0,"",VLOOKUP(Table91213[[#This Row],[Date]],'DB Details'!$A:$Q,3))</f>
        <v>51.5</v>
      </c>
      <c r="D152" s="51">
        <f>IF(VLOOKUP(Table91213[[#This Row],[Date]],'DB Details'!$A:$Q,4)=0,"",VLOOKUP(Table91213[[#This Row],[Date]],'DB Details'!$A:$Q,4))</f>
        <v>51.5</v>
      </c>
      <c r="E152" s="52">
        <f>IF(VLOOKUP(Table91213[[#This Row],[Date]],'DB Details'!$A:$Q,5)=0,"",VLOOKUP(Table91213[[#This Row],[Date]],'DB Details'!$A:$Q,5))</f>
        <v>49.6</v>
      </c>
      <c r="F152" s="51">
        <f>IF(VLOOKUP(Table91213[[#This Row],[Date]],'DB Details'!$A:$Q,6)=0,"",VLOOKUP(Table91213[[#This Row],[Date]],'DB Details'!$A:$Q,6))</f>
        <v>53.8</v>
      </c>
      <c r="G152" s="52">
        <f>IF(VLOOKUP(Table91213[[#This Row],[Date]],'DB Details'!$A:$Q,7)=0,"",VLOOKUP(Table91213[[#This Row],[Date]],'DB Details'!$A:$Q,7))</f>
        <v>62</v>
      </c>
      <c r="H152" s="52">
        <f>IF(VLOOKUP(Table91213[[#This Row],[Date]],'DB Details'!$A:$Q,8)=0,"",VLOOKUP(Table91213[[#This Row],[Date]],'DB Details'!$A:$Q,8))</f>
        <v>47.5</v>
      </c>
      <c r="I152" s="52">
        <f>IF(VLOOKUP(Table91213[[#This Row],[Date]],'DB Details'!$A:$Q,9)=0,"",VLOOKUP(Table91213[[#This Row],[Date]],'DB Details'!$A:$Q,9))</f>
        <v>50</v>
      </c>
      <c r="J152" s="52">
        <f>IF(VLOOKUP(Table91213[[#This Row],[Date]],'DB Details'!$A:$Q,10)=0,"",VLOOKUP(Table91213[[#This Row],[Date]],'DB Details'!$A:$Q,10))</f>
        <v>44.7</v>
      </c>
      <c r="K152" s="52">
        <f>IF(VLOOKUP(Table91213[[#This Row],[Date]],'DB Details'!$A:$Q,11)=0,"",VLOOKUP(Table91213[[#This Row],[Date]],'DB Details'!$A:$Q,11))</f>
        <v>48.5</v>
      </c>
      <c r="L152" s="50">
        <f>IF(VLOOKUP(Table91213[[#This Row],[Date]],'DB Details'!$A:$Q,12)=0,"",VLOOKUP(Table91213[[#This Row],[Date]],'DB Details'!$A:$Q,12))</f>
        <v>50.1</v>
      </c>
    </row>
    <row r="153" spans="1:12" x14ac:dyDescent="0.2">
      <c r="A153" s="53">
        <v>40087</v>
      </c>
      <c r="B153" s="50">
        <f>IF(VLOOKUP(Table91213[[#This Row],[Date]],'DB Details'!$A:$Q,2)=0,"",VLOOKUP(Table91213[[#This Row],[Date]],'DB Details'!$A:$Q,2))</f>
        <v>55.4</v>
      </c>
      <c r="C153" s="51">
        <f>IF(VLOOKUP(Table91213[[#This Row],[Date]],'DB Details'!$A:$Q,3)=0,"",VLOOKUP(Table91213[[#This Row],[Date]],'DB Details'!$A:$Q,3))</f>
        <v>46</v>
      </c>
      <c r="D153" s="51">
        <f>IF(VLOOKUP(Table91213[[#This Row],[Date]],'DB Details'!$A:$Q,4)=0,"",VLOOKUP(Table91213[[#This Row],[Date]],'DB Details'!$A:$Q,4))</f>
        <v>53.5</v>
      </c>
      <c r="E153" s="52">
        <f>IF(VLOOKUP(Table91213[[#This Row],[Date]],'DB Details'!$A:$Q,5)=0,"",VLOOKUP(Table91213[[#This Row],[Date]],'DB Details'!$A:$Q,5))</f>
        <v>53.5</v>
      </c>
      <c r="F153" s="51">
        <f>IF(VLOOKUP(Table91213[[#This Row],[Date]],'DB Details'!$A:$Q,6)=0,"",VLOOKUP(Table91213[[#This Row],[Date]],'DB Details'!$A:$Q,6))</f>
        <v>55</v>
      </c>
      <c r="G153" s="52">
        <f>IF(VLOOKUP(Table91213[[#This Row],[Date]],'DB Details'!$A:$Q,7)=0,"",VLOOKUP(Table91213[[#This Row],[Date]],'DB Details'!$A:$Q,7))</f>
        <v>63.5</v>
      </c>
      <c r="H153" s="52">
        <f>IF(VLOOKUP(Table91213[[#This Row],[Date]],'DB Details'!$A:$Q,8)=0,"",VLOOKUP(Table91213[[#This Row],[Date]],'DB Details'!$A:$Q,8))</f>
        <v>43</v>
      </c>
      <c r="I153" s="52">
        <f>IF(VLOOKUP(Table91213[[#This Row],[Date]],'DB Details'!$A:$Q,9)=0,"",VLOOKUP(Table91213[[#This Row],[Date]],'DB Details'!$A:$Q,9))</f>
        <v>50.5</v>
      </c>
      <c r="J153" s="52">
        <f>IF(VLOOKUP(Table91213[[#This Row],[Date]],'DB Details'!$A:$Q,10)=0,"",VLOOKUP(Table91213[[#This Row],[Date]],'DB Details'!$A:$Q,10))</f>
        <v>42.6</v>
      </c>
      <c r="K153" s="52">
        <f>IF(VLOOKUP(Table91213[[#This Row],[Date]],'DB Details'!$A:$Q,11)=0,"",VLOOKUP(Table91213[[#This Row],[Date]],'DB Details'!$A:$Q,11))</f>
        <v>53.5</v>
      </c>
      <c r="L153" s="50">
        <f>IF(VLOOKUP(Table91213[[#This Row],[Date]],'DB Details'!$A:$Q,12)=0,"",VLOOKUP(Table91213[[#This Row],[Date]],'DB Details'!$A:$Q,12))</f>
        <v>51</v>
      </c>
    </row>
    <row r="154" spans="1:12" x14ac:dyDescent="0.2">
      <c r="A154" s="53">
        <v>40118</v>
      </c>
      <c r="B154" s="50">
        <f>IF(VLOOKUP(Table91213[[#This Row],[Date]],'DB Details'!$A:$Q,2)=0,"",VLOOKUP(Table91213[[#This Row],[Date]],'DB Details'!$A:$Q,2))</f>
        <v>54.9</v>
      </c>
      <c r="C154" s="51">
        <f>IF(VLOOKUP(Table91213[[#This Row],[Date]],'DB Details'!$A:$Q,3)=0,"",VLOOKUP(Table91213[[#This Row],[Date]],'DB Details'!$A:$Q,3))</f>
        <v>46</v>
      </c>
      <c r="D154" s="51">
        <f>IF(VLOOKUP(Table91213[[#This Row],[Date]],'DB Details'!$A:$Q,4)=0,"",VLOOKUP(Table91213[[#This Row],[Date]],'DB Details'!$A:$Q,4))</f>
        <v>48.5</v>
      </c>
      <c r="E154" s="52">
        <f>IF(VLOOKUP(Table91213[[#This Row],[Date]],'DB Details'!$A:$Q,5)=0,"",VLOOKUP(Table91213[[#This Row],[Date]],'DB Details'!$A:$Q,5))</f>
        <v>58.9</v>
      </c>
      <c r="F154" s="51">
        <f>IF(VLOOKUP(Table91213[[#This Row],[Date]],'DB Details'!$A:$Q,6)=0,"",VLOOKUP(Table91213[[#This Row],[Date]],'DB Details'!$A:$Q,6))</f>
        <v>50.9</v>
      </c>
      <c r="G154" s="52">
        <f>IF(VLOOKUP(Table91213[[#This Row],[Date]],'DB Details'!$A:$Q,7)=0,"",VLOOKUP(Table91213[[#This Row],[Date]],'DB Details'!$A:$Q,7))</f>
        <v>61.5</v>
      </c>
      <c r="H154" s="52">
        <f>IF(VLOOKUP(Table91213[[#This Row],[Date]],'DB Details'!$A:$Q,8)=0,"",VLOOKUP(Table91213[[#This Row],[Date]],'DB Details'!$A:$Q,8))</f>
        <v>45.5</v>
      </c>
      <c r="I154" s="52">
        <f>IF(VLOOKUP(Table91213[[#This Row],[Date]],'DB Details'!$A:$Q,9)=0,"",VLOOKUP(Table91213[[#This Row],[Date]],'DB Details'!$A:$Q,9))</f>
        <v>48.5</v>
      </c>
      <c r="J154" s="52">
        <f>IF(VLOOKUP(Table91213[[#This Row],[Date]],'DB Details'!$A:$Q,10)=0,"",VLOOKUP(Table91213[[#This Row],[Date]],'DB Details'!$A:$Q,10))</f>
        <v>42.8</v>
      </c>
      <c r="K154" s="52">
        <f>IF(VLOOKUP(Table91213[[#This Row],[Date]],'DB Details'!$A:$Q,11)=0,"",VLOOKUP(Table91213[[#This Row],[Date]],'DB Details'!$A:$Q,11))</f>
        <v>54.5</v>
      </c>
      <c r="L154" s="50">
        <f>IF(VLOOKUP(Table91213[[#This Row],[Date]],'DB Details'!$A:$Q,12)=0,"",VLOOKUP(Table91213[[#This Row],[Date]],'DB Details'!$A:$Q,12))</f>
        <v>49.5</v>
      </c>
    </row>
    <row r="155" spans="1:12" x14ac:dyDescent="0.2">
      <c r="A155" s="53">
        <v>40148</v>
      </c>
      <c r="B155" s="50">
        <f>IF(VLOOKUP(Table91213[[#This Row],[Date]],'DB Details'!$A:$Q,2)=0,"",VLOOKUP(Table91213[[#This Row],[Date]],'DB Details'!$A:$Q,2))</f>
        <v>51.6</v>
      </c>
      <c r="C155" s="51">
        <f>IF(VLOOKUP(Table91213[[#This Row],[Date]],'DB Details'!$A:$Q,3)=0,"",VLOOKUP(Table91213[[#This Row],[Date]],'DB Details'!$A:$Q,3))</f>
        <v>52.5</v>
      </c>
      <c r="D155" s="51">
        <f>IF(VLOOKUP(Table91213[[#This Row],[Date]],'DB Details'!$A:$Q,4)=0,"",VLOOKUP(Table91213[[#This Row],[Date]],'DB Details'!$A:$Q,4))</f>
        <v>48</v>
      </c>
      <c r="E155" s="52">
        <f>IF(VLOOKUP(Table91213[[#This Row],[Date]],'DB Details'!$A:$Q,5)=0,"",VLOOKUP(Table91213[[#This Row],[Date]],'DB Details'!$A:$Q,5))</f>
        <v>58.9</v>
      </c>
      <c r="F155" s="51">
        <f>IF(VLOOKUP(Table91213[[#This Row],[Date]],'DB Details'!$A:$Q,6)=0,"",VLOOKUP(Table91213[[#This Row],[Date]],'DB Details'!$A:$Q,6))</f>
        <v>53</v>
      </c>
      <c r="G155" s="52">
        <f>IF(VLOOKUP(Table91213[[#This Row],[Date]],'DB Details'!$A:$Q,7)=0,"",VLOOKUP(Table91213[[#This Row],[Date]],'DB Details'!$A:$Q,7))</f>
        <v>61</v>
      </c>
      <c r="H155" s="52">
        <f>IF(VLOOKUP(Table91213[[#This Row],[Date]],'DB Details'!$A:$Q,8)=0,"",VLOOKUP(Table91213[[#This Row],[Date]],'DB Details'!$A:$Q,8))</f>
        <v>51.5</v>
      </c>
      <c r="I155" s="52">
        <f>IF(VLOOKUP(Table91213[[#This Row],[Date]],'DB Details'!$A:$Q,9)=0,"",VLOOKUP(Table91213[[#This Row],[Date]],'DB Details'!$A:$Q,9))</f>
        <v>50.5</v>
      </c>
      <c r="J155" s="52">
        <f>IF(VLOOKUP(Table91213[[#This Row],[Date]],'DB Details'!$A:$Q,10)=0,"",VLOOKUP(Table91213[[#This Row],[Date]],'DB Details'!$A:$Q,10))</f>
        <v>44.6</v>
      </c>
      <c r="K155" s="52">
        <f>IF(VLOOKUP(Table91213[[#This Row],[Date]],'DB Details'!$A:$Q,11)=0,"",VLOOKUP(Table91213[[#This Row],[Date]],'DB Details'!$A:$Q,11))</f>
        <v>46</v>
      </c>
      <c r="L155" s="50">
        <f>IF(VLOOKUP(Table91213[[#This Row],[Date]],'DB Details'!$A:$Q,12)=0,"",VLOOKUP(Table91213[[#This Row],[Date]],'DB Details'!$A:$Q,12))</f>
        <v>49.7</v>
      </c>
    </row>
    <row r="156" spans="1:12" x14ac:dyDescent="0.2">
      <c r="A156" s="53">
        <v>40179</v>
      </c>
      <c r="B156" s="50">
        <f>IF(VLOOKUP(Table91213[[#This Row],[Date]],'DB Details'!$A:$Q,2)=0,"",VLOOKUP(Table91213[[#This Row],[Date]],'DB Details'!$A:$Q,2))</f>
        <v>52.9</v>
      </c>
      <c r="C156" s="51">
        <f>IF(VLOOKUP(Table91213[[#This Row],[Date]],'DB Details'!$A:$Q,3)=0,"",VLOOKUP(Table91213[[#This Row],[Date]],'DB Details'!$A:$Q,3))</f>
        <v>47</v>
      </c>
      <c r="D156" s="51">
        <f>IF(VLOOKUP(Table91213[[#This Row],[Date]],'DB Details'!$A:$Q,4)=0,"",VLOOKUP(Table91213[[#This Row],[Date]],'DB Details'!$A:$Q,4))</f>
        <v>45.5</v>
      </c>
      <c r="E156" s="52">
        <f>IF(VLOOKUP(Table91213[[#This Row],[Date]],'DB Details'!$A:$Q,5)=0,"",VLOOKUP(Table91213[[#This Row],[Date]],'DB Details'!$A:$Q,5))</f>
        <v>59.4</v>
      </c>
      <c r="F156" s="51">
        <f>IF(VLOOKUP(Table91213[[#This Row],[Date]],'DB Details'!$A:$Q,6)=0,"",VLOOKUP(Table91213[[#This Row],[Date]],'DB Details'!$A:$Q,6))</f>
        <v>51.5</v>
      </c>
      <c r="G156" s="52">
        <f>IF(VLOOKUP(Table91213[[#This Row],[Date]],'DB Details'!$A:$Q,7)=0,"",VLOOKUP(Table91213[[#This Row],[Date]],'DB Details'!$A:$Q,7))</f>
        <v>64.5</v>
      </c>
      <c r="H156" s="52">
        <f>IF(VLOOKUP(Table91213[[#This Row],[Date]],'DB Details'!$A:$Q,8)=0,"",VLOOKUP(Table91213[[#This Row],[Date]],'DB Details'!$A:$Q,8))</f>
        <v>46.5</v>
      </c>
      <c r="I156" s="52">
        <f>IF(VLOOKUP(Table91213[[#This Row],[Date]],'DB Details'!$A:$Q,9)=0,"",VLOOKUP(Table91213[[#This Row],[Date]],'DB Details'!$A:$Q,9))</f>
        <v>50.5</v>
      </c>
      <c r="J156" s="52">
        <f>IF(VLOOKUP(Table91213[[#This Row],[Date]],'DB Details'!$A:$Q,10)=0,"",VLOOKUP(Table91213[[#This Row],[Date]],'DB Details'!$A:$Q,10))</f>
        <v>44.8</v>
      </c>
      <c r="K156" s="52">
        <f>IF(VLOOKUP(Table91213[[#This Row],[Date]],'DB Details'!$A:$Q,11)=0,"",VLOOKUP(Table91213[[#This Row],[Date]],'DB Details'!$A:$Q,11))</f>
        <v>46</v>
      </c>
      <c r="L156" s="50">
        <f>IF(VLOOKUP(Table91213[[#This Row],[Date]],'DB Details'!$A:$Q,12)=0,"",VLOOKUP(Table91213[[#This Row],[Date]],'DB Details'!$A:$Q,12))</f>
        <v>50</v>
      </c>
    </row>
    <row r="157" spans="1:12" x14ac:dyDescent="0.2">
      <c r="A157" s="53">
        <v>40210</v>
      </c>
      <c r="B157" s="50">
        <f>IF(VLOOKUP(Table91213[[#This Row],[Date]],'DB Details'!$A:$Q,2)=0,"",VLOOKUP(Table91213[[#This Row],[Date]],'DB Details'!$A:$Q,2))</f>
        <v>53.4</v>
      </c>
      <c r="C157" s="51">
        <f>IF(VLOOKUP(Table91213[[#This Row],[Date]],'DB Details'!$A:$Q,3)=0,"",VLOOKUP(Table91213[[#This Row],[Date]],'DB Details'!$A:$Q,3))</f>
        <v>48.5</v>
      </c>
      <c r="D157" s="51">
        <f>IF(VLOOKUP(Table91213[[#This Row],[Date]],'DB Details'!$A:$Q,4)=0,"",VLOOKUP(Table91213[[#This Row],[Date]],'DB Details'!$A:$Q,4))</f>
        <v>46</v>
      </c>
      <c r="E157" s="52">
        <f>IF(VLOOKUP(Table91213[[#This Row],[Date]],'DB Details'!$A:$Q,5)=0,"",VLOOKUP(Table91213[[#This Row],[Date]],'DB Details'!$A:$Q,5))</f>
        <v>58.7</v>
      </c>
      <c r="F157" s="51">
        <f>IF(VLOOKUP(Table91213[[#This Row],[Date]],'DB Details'!$A:$Q,6)=0,"",VLOOKUP(Table91213[[#This Row],[Date]],'DB Details'!$A:$Q,6))</f>
        <v>53</v>
      </c>
      <c r="G157" s="52">
        <f>IF(VLOOKUP(Table91213[[#This Row],[Date]],'DB Details'!$A:$Q,7)=0,"",VLOOKUP(Table91213[[#This Row],[Date]],'DB Details'!$A:$Q,7))</f>
        <v>60</v>
      </c>
      <c r="H157" s="52">
        <f>IF(VLOOKUP(Table91213[[#This Row],[Date]],'DB Details'!$A:$Q,8)=0,"",VLOOKUP(Table91213[[#This Row],[Date]],'DB Details'!$A:$Q,8))</f>
        <v>45</v>
      </c>
      <c r="I157" s="52">
        <f>IF(VLOOKUP(Table91213[[#This Row],[Date]],'DB Details'!$A:$Q,9)=0,"",VLOOKUP(Table91213[[#This Row],[Date]],'DB Details'!$A:$Q,9))</f>
        <v>53.5</v>
      </c>
      <c r="J157" s="52">
        <f>IF(VLOOKUP(Table91213[[#This Row],[Date]],'DB Details'!$A:$Q,10)=0,"",VLOOKUP(Table91213[[#This Row],[Date]],'DB Details'!$A:$Q,10))</f>
        <v>46</v>
      </c>
      <c r="K157" s="52">
        <f>IF(VLOOKUP(Table91213[[#This Row],[Date]],'DB Details'!$A:$Q,11)=0,"",VLOOKUP(Table91213[[#This Row],[Date]],'DB Details'!$A:$Q,11))</f>
        <v>47</v>
      </c>
      <c r="L157" s="50">
        <f>IF(VLOOKUP(Table91213[[#This Row],[Date]],'DB Details'!$A:$Q,12)=0,"",VLOOKUP(Table91213[[#This Row],[Date]],'DB Details'!$A:$Q,12))</f>
        <v>51.7</v>
      </c>
    </row>
    <row r="158" spans="1:12" x14ac:dyDescent="0.2">
      <c r="A158" s="53">
        <v>40238</v>
      </c>
      <c r="B158" s="50">
        <f>IF(VLOOKUP(Table91213[[#This Row],[Date]],'DB Details'!$A:$Q,2)=0,"",VLOOKUP(Table91213[[#This Row],[Date]],'DB Details'!$A:$Q,2))</f>
        <v>58.1</v>
      </c>
      <c r="C158" s="51">
        <f>IF(VLOOKUP(Table91213[[#This Row],[Date]],'DB Details'!$A:$Q,3)=0,"",VLOOKUP(Table91213[[#This Row],[Date]],'DB Details'!$A:$Q,3))</f>
        <v>51</v>
      </c>
      <c r="D158" s="51">
        <f>IF(VLOOKUP(Table91213[[#This Row],[Date]],'DB Details'!$A:$Q,4)=0,"",VLOOKUP(Table91213[[#This Row],[Date]],'DB Details'!$A:$Q,4))</f>
        <v>55.5</v>
      </c>
      <c r="E158" s="52">
        <f>IF(VLOOKUP(Table91213[[#This Row],[Date]],'DB Details'!$A:$Q,5)=0,"",VLOOKUP(Table91213[[#This Row],[Date]],'DB Details'!$A:$Q,5))</f>
        <v>60.9</v>
      </c>
      <c r="F158" s="51">
        <f>IF(VLOOKUP(Table91213[[#This Row],[Date]],'DB Details'!$A:$Q,6)=0,"",VLOOKUP(Table91213[[#This Row],[Date]],'DB Details'!$A:$Q,6))</f>
        <v>57.7</v>
      </c>
      <c r="G158" s="52">
        <f>IF(VLOOKUP(Table91213[[#This Row],[Date]],'DB Details'!$A:$Q,7)=0,"",VLOOKUP(Table91213[[#This Row],[Date]],'DB Details'!$A:$Q,7))</f>
        <v>52.5</v>
      </c>
      <c r="H158" s="52">
        <f>IF(VLOOKUP(Table91213[[#This Row],[Date]],'DB Details'!$A:$Q,8)=0,"",VLOOKUP(Table91213[[#This Row],[Date]],'DB Details'!$A:$Q,8))</f>
        <v>46.5</v>
      </c>
      <c r="I158" s="52">
        <f>IF(VLOOKUP(Table91213[[#This Row],[Date]],'DB Details'!$A:$Q,9)=0,"",VLOOKUP(Table91213[[#This Row],[Date]],'DB Details'!$A:$Q,9))</f>
        <v>49.5</v>
      </c>
      <c r="J158" s="52">
        <f>IF(VLOOKUP(Table91213[[#This Row],[Date]],'DB Details'!$A:$Q,10)=0,"",VLOOKUP(Table91213[[#This Row],[Date]],'DB Details'!$A:$Q,10))</f>
        <v>47.4</v>
      </c>
      <c r="K158" s="52">
        <f>IF(VLOOKUP(Table91213[[#This Row],[Date]],'DB Details'!$A:$Q,11)=0,"",VLOOKUP(Table91213[[#This Row],[Date]],'DB Details'!$A:$Q,11))</f>
        <v>57.5</v>
      </c>
      <c r="L158" s="50">
        <f>IF(VLOOKUP(Table91213[[#This Row],[Date]],'DB Details'!$A:$Q,12)=0,"",VLOOKUP(Table91213[[#This Row],[Date]],'DB Details'!$A:$Q,12))</f>
        <v>53.3</v>
      </c>
    </row>
    <row r="159" spans="1:12" x14ac:dyDescent="0.2">
      <c r="A159" s="53">
        <v>40269</v>
      </c>
      <c r="B159" s="50">
        <f>IF(VLOOKUP(Table91213[[#This Row],[Date]],'DB Details'!$A:$Q,2)=0,"",VLOOKUP(Table91213[[#This Row],[Date]],'DB Details'!$A:$Q,2))</f>
        <v>58.1</v>
      </c>
      <c r="C159" s="51">
        <f>IF(VLOOKUP(Table91213[[#This Row],[Date]],'DB Details'!$A:$Q,3)=0,"",VLOOKUP(Table91213[[#This Row],[Date]],'DB Details'!$A:$Q,3))</f>
        <v>56.5</v>
      </c>
      <c r="D159" s="51">
        <f>IF(VLOOKUP(Table91213[[#This Row],[Date]],'DB Details'!$A:$Q,4)=0,"",VLOOKUP(Table91213[[#This Row],[Date]],'DB Details'!$A:$Q,4))</f>
        <v>49.5</v>
      </c>
      <c r="E159" s="52">
        <f>IF(VLOOKUP(Table91213[[#This Row],[Date]],'DB Details'!$A:$Q,5)=0,"",VLOOKUP(Table91213[[#This Row],[Date]],'DB Details'!$A:$Q,5))</f>
        <v>63.8</v>
      </c>
      <c r="F159" s="51">
        <f>IF(VLOOKUP(Table91213[[#This Row],[Date]],'DB Details'!$A:$Q,6)=0,"",VLOOKUP(Table91213[[#This Row],[Date]],'DB Details'!$A:$Q,6))</f>
        <v>59.8</v>
      </c>
      <c r="G159" s="52">
        <f>IF(VLOOKUP(Table91213[[#This Row],[Date]],'DB Details'!$A:$Q,7)=0,"",VLOOKUP(Table91213[[#This Row],[Date]],'DB Details'!$A:$Q,7))</f>
        <v>53.5</v>
      </c>
      <c r="H159" s="52">
        <f>IF(VLOOKUP(Table91213[[#This Row],[Date]],'DB Details'!$A:$Q,8)=0,"",VLOOKUP(Table91213[[#This Row],[Date]],'DB Details'!$A:$Q,8))</f>
        <v>54.5</v>
      </c>
      <c r="I159" s="52">
        <f>IF(VLOOKUP(Table91213[[#This Row],[Date]],'DB Details'!$A:$Q,9)=0,"",VLOOKUP(Table91213[[#This Row],[Date]],'DB Details'!$A:$Q,9))</f>
        <v>53.5</v>
      </c>
      <c r="J159" s="52">
        <f>IF(VLOOKUP(Table91213[[#This Row],[Date]],'DB Details'!$A:$Q,10)=0,"",VLOOKUP(Table91213[[#This Row],[Date]],'DB Details'!$A:$Q,10))</f>
        <v>49.3</v>
      </c>
      <c r="K159" s="52">
        <f>IF(VLOOKUP(Table91213[[#This Row],[Date]],'DB Details'!$A:$Q,11)=0,"",VLOOKUP(Table91213[[#This Row],[Date]],'DB Details'!$A:$Q,11))</f>
        <v>57</v>
      </c>
      <c r="L159" s="50">
        <f>IF(VLOOKUP(Table91213[[#This Row],[Date]],'DB Details'!$A:$Q,12)=0,"",VLOOKUP(Table91213[[#This Row],[Date]],'DB Details'!$A:$Q,12))</f>
        <v>55.3</v>
      </c>
    </row>
    <row r="160" spans="1:12" x14ac:dyDescent="0.2">
      <c r="A160" s="53">
        <v>40299</v>
      </c>
      <c r="B160" s="50">
        <f>IF(VLOOKUP(Table91213[[#This Row],[Date]],'DB Details'!$A:$Q,2)=0,"",VLOOKUP(Table91213[[#This Row],[Date]],'DB Details'!$A:$Q,2))</f>
        <v>57.9</v>
      </c>
      <c r="C160" s="51">
        <f>IF(VLOOKUP(Table91213[[#This Row],[Date]],'DB Details'!$A:$Q,3)=0,"",VLOOKUP(Table91213[[#This Row],[Date]],'DB Details'!$A:$Q,3))</f>
        <v>56.5</v>
      </c>
      <c r="D160" s="51">
        <f>IF(VLOOKUP(Table91213[[#This Row],[Date]],'DB Details'!$A:$Q,4)=0,"",VLOOKUP(Table91213[[#This Row],[Date]],'DB Details'!$A:$Q,4))</f>
        <v>56</v>
      </c>
      <c r="E160" s="52">
        <f>IF(VLOOKUP(Table91213[[#This Row],[Date]],'DB Details'!$A:$Q,5)=0,"",VLOOKUP(Table91213[[#This Row],[Date]],'DB Details'!$A:$Q,5))</f>
        <v>60.8</v>
      </c>
      <c r="F160" s="51">
        <f>IF(VLOOKUP(Table91213[[#This Row],[Date]],'DB Details'!$A:$Q,6)=0,"",VLOOKUP(Table91213[[#This Row],[Date]],'DB Details'!$A:$Q,6))</f>
        <v>61.3</v>
      </c>
      <c r="G160" s="52">
        <f>IF(VLOOKUP(Table91213[[#This Row],[Date]],'DB Details'!$A:$Q,7)=0,"",VLOOKUP(Table91213[[#This Row],[Date]],'DB Details'!$A:$Q,7))</f>
        <v>60.5</v>
      </c>
      <c r="H160" s="52">
        <f>IF(VLOOKUP(Table91213[[#This Row],[Date]],'DB Details'!$A:$Q,8)=0,"",VLOOKUP(Table91213[[#This Row],[Date]],'DB Details'!$A:$Q,8))</f>
        <v>62.5</v>
      </c>
      <c r="I160" s="52">
        <f>IF(VLOOKUP(Table91213[[#This Row],[Date]],'DB Details'!$A:$Q,9)=0,"",VLOOKUP(Table91213[[#This Row],[Date]],'DB Details'!$A:$Q,9))</f>
        <v>53</v>
      </c>
      <c r="J160" s="52">
        <f>IF(VLOOKUP(Table91213[[#This Row],[Date]],'DB Details'!$A:$Q,10)=0,"",VLOOKUP(Table91213[[#This Row],[Date]],'DB Details'!$A:$Q,10))</f>
        <v>49.6</v>
      </c>
      <c r="K160" s="52">
        <f>IF(VLOOKUP(Table91213[[#This Row],[Date]],'DB Details'!$A:$Q,11)=0,"",VLOOKUP(Table91213[[#This Row],[Date]],'DB Details'!$A:$Q,11))</f>
        <v>53.5</v>
      </c>
      <c r="L160" s="50">
        <f>IF(VLOOKUP(Table91213[[#This Row],[Date]],'DB Details'!$A:$Q,12)=0,"",VLOOKUP(Table91213[[#This Row],[Date]],'DB Details'!$A:$Q,12))</f>
        <v>55.5</v>
      </c>
    </row>
    <row r="161" spans="1:12" x14ac:dyDescent="0.2">
      <c r="A161" s="53">
        <v>40330</v>
      </c>
      <c r="B161" s="50">
        <f>IF(VLOOKUP(Table91213[[#This Row],[Date]],'DB Details'!$A:$Q,2)=0,"",VLOOKUP(Table91213[[#This Row],[Date]],'DB Details'!$A:$Q,2))</f>
        <v>56.6</v>
      </c>
      <c r="C161" s="51">
        <f>IF(VLOOKUP(Table91213[[#This Row],[Date]],'DB Details'!$A:$Q,3)=0,"",VLOOKUP(Table91213[[#This Row],[Date]],'DB Details'!$A:$Q,3))</f>
        <v>48</v>
      </c>
      <c r="D161" s="51">
        <f>IF(VLOOKUP(Table91213[[#This Row],[Date]],'DB Details'!$A:$Q,4)=0,"",VLOOKUP(Table91213[[#This Row],[Date]],'DB Details'!$A:$Q,4))</f>
        <v>55.5</v>
      </c>
      <c r="E161" s="52">
        <f>IF(VLOOKUP(Table91213[[#This Row],[Date]],'DB Details'!$A:$Q,5)=0,"",VLOOKUP(Table91213[[#This Row],[Date]],'DB Details'!$A:$Q,5))</f>
        <v>56.7</v>
      </c>
      <c r="F161" s="51">
        <f>IF(VLOOKUP(Table91213[[#This Row],[Date]],'DB Details'!$A:$Q,6)=0,"",VLOOKUP(Table91213[[#This Row],[Date]],'DB Details'!$A:$Q,6))</f>
        <v>59.4</v>
      </c>
      <c r="G161" s="52">
        <f>IF(VLOOKUP(Table91213[[#This Row],[Date]],'DB Details'!$A:$Q,7)=0,"",VLOOKUP(Table91213[[#This Row],[Date]],'DB Details'!$A:$Q,7))</f>
        <v>59</v>
      </c>
      <c r="H161" s="52">
        <f>IF(VLOOKUP(Table91213[[#This Row],[Date]],'DB Details'!$A:$Q,8)=0,"",VLOOKUP(Table91213[[#This Row],[Date]],'DB Details'!$A:$Q,8))</f>
        <v>58.5</v>
      </c>
      <c r="I161" s="52">
        <f>IF(VLOOKUP(Table91213[[#This Row],[Date]],'DB Details'!$A:$Q,9)=0,"",VLOOKUP(Table91213[[#This Row],[Date]],'DB Details'!$A:$Q,9))</f>
        <v>53</v>
      </c>
      <c r="J161" s="52">
        <f>IF(VLOOKUP(Table91213[[#This Row],[Date]],'DB Details'!$A:$Q,10)=0,"",VLOOKUP(Table91213[[#This Row],[Date]],'DB Details'!$A:$Q,10))</f>
        <v>48.5</v>
      </c>
      <c r="K161" s="52">
        <f>IF(VLOOKUP(Table91213[[#This Row],[Date]],'DB Details'!$A:$Q,11)=0,"",VLOOKUP(Table91213[[#This Row],[Date]],'DB Details'!$A:$Q,11))</f>
        <v>48</v>
      </c>
      <c r="L161" s="50">
        <f>IF(VLOOKUP(Table91213[[#This Row],[Date]],'DB Details'!$A:$Q,12)=0,"",VLOOKUP(Table91213[[#This Row],[Date]],'DB Details'!$A:$Q,12))</f>
        <v>54.4</v>
      </c>
    </row>
    <row r="162" spans="1:12" x14ac:dyDescent="0.2">
      <c r="A162" s="53">
        <v>40360</v>
      </c>
      <c r="B162" s="50">
        <f>IF(VLOOKUP(Table91213[[#This Row],[Date]],'DB Details'!$A:$Q,2)=0,"",VLOOKUP(Table91213[[#This Row],[Date]],'DB Details'!$A:$Q,2))</f>
        <v>58.2</v>
      </c>
      <c r="C162" s="51">
        <f>IF(VLOOKUP(Table91213[[#This Row],[Date]],'DB Details'!$A:$Q,3)=0,"",VLOOKUP(Table91213[[#This Row],[Date]],'DB Details'!$A:$Q,3))</f>
        <v>48</v>
      </c>
      <c r="D162" s="51">
        <f>IF(VLOOKUP(Table91213[[#This Row],[Date]],'DB Details'!$A:$Q,4)=0,"",VLOOKUP(Table91213[[#This Row],[Date]],'DB Details'!$A:$Q,4))</f>
        <v>52</v>
      </c>
      <c r="E162" s="52">
        <f>IF(VLOOKUP(Table91213[[#This Row],[Date]],'DB Details'!$A:$Q,5)=0,"",VLOOKUP(Table91213[[#This Row],[Date]],'DB Details'!$A:$Q,5))</f>
        <v>56.1</v>
      </c>
      <c r="F162" s="51">
        <f>IF(VLOOKUP(Table91213[[#This Row],[Date]],'DB Details'!$A:$Q,6)=0,"",VLOOKUP(Table91213[[#This Row],[Date]],'DB Details'!$A:$Q,6))</f>
        <v>57.4</v>
      </c>
      <c r="G162" s="52">
        <f>IF(VLOOKUP(Table91213[[#This Row],[Date]],'DB Details'!$A:$Q,7)=0,"",VLOOKUP(Table91213[[#This Row],[Date]],'DB Details'!$A:$Q,7))</f>
        <v>59</v>
      </c>
      <c r="H162" s="52">
        <f>IF(VLOOKUP(Table91213[[#This Row],[Date]],'DB Details'!$A:$Q,8)=0,"",VLOOKUP(Table91213[[#This Row],[Date]],'DB Details'!$A:$Q,8))</f>
        <v>55.5</v>
      </c>
      <c r="I162" s="52">
        <f>IF(VLOOKUP(Table91213[[#This Row],[Date]],'DB Details'!$A:$Q,9)=0,"",VLOOKUP(Table91213[[#This Row],[Date]],'DB Details'!$A:$Q,9))</f>
        <v>52</v>
      </c>
      <c r="J162" s="52">
        <f>IF(VLOOKUP(Table91213[[#This Row],[Date]],'DB Details'!$A:$Q,10)=0,"",VLOOKUP(Table91213[[#This Row],[Date]],'DB Details'!$A:$Q,10))</f>
        <v>50.7</v>
      </c>
      <c r="K162" s="52">
        <f>IF(VLOOKUP(Table91213[[#This Row],[Date]],'DB Details'!$A:$Q,11)=0,"",VLOOKUP(Table91213[[#This Row],[Date]],'DB Details'!$A:$Q,11))</f>
        <v>52</v>
      </c>
      <c r="L162" s="50">
        <f>IF(VLOOKUP(Table91213[[#This Row],[Date]],'DB Details'!$A:$Q,12)=0,"",VLOOKUP(Table91213[[#This Row],[Date]],'DB Details'!$A:$Q,12))</f>
        <v>54.6</v>
      </c>
    </row>
    <row r="163" spans="1:12" x14ac:dyDescent="0.2">
      <c r="A163" s="53">
        <v>40391</v>
      </c>
      <c r="B163" s="50">
        <f>IF(VLOOKUP(Table91213[[#This Row],[Date]],'DB Details'!$A:$Q,2)=0,"",VLOOKUP(Table91213[[#This Row],[Date]],'DB Details'!$A:$Q,2))</f>
        <v>54.4</v>
      </c>
      <c r="C163" s="51">
        <f>IF(VLOOKUP(Table91213[[#This Row],[Date]],'DB Details'!$A:$Q,3)=0,"",VLOOKUP(Table91213[[#This Row],[Date]],'DB Details'!$A:$Q,3))</f>
        <v>50.5</v>
      </c>
      <c r="D163" s="51">
        <f>IF(VLOOKUP(Table91213[[#This Row],[Date]],'DB Details'!$A:$Q,4)=0,"",VLOOKUP(Table91213[[#This Row],[Date]],'DB Details'!$A:$Q,4))</f>
        <v>50.5</v>
      </c>
      <c r="E163" s="52">
        <f>IF(VLOOKUP(Table91213[[#This Row],[Date]],'DB Details'!$A:$Q,5)=0,"",VLOOKUP(Table91213[[#This Row],[Date]],'DB Details'!$A:$Q,5))</f>
        <v>59.2</v>
      </c>
      <c r="F163" s="51">
        <f>IF(VLOOKUP(Table91213[[#This Row],[Date]],'DB Details'!$A:$Q,6)=0,"",VLOOKUP(Table91213[[#This Row],[Date]],'DB Details'!$A:$Q,6))</f>
        <v>55.8</v>
      </c>
      <c r="G163" s="52">
        <f>IF(VLOOKUP(Table91213[[#This Row],[Date]],'DB Details'!$A:$Q,7)=0,"",VLOOKUP(Table91213[[#This Row],[Date]],'DB Details'!$A:$Q,7))</f>
        <v>60</v>
      </c>
      <c r="H163" s="52">
        <f>IF(VLOOKUP(Table91213[[#This Row],[Date]],'DB Details'!$A:$Q,8)=0,"",VLOOKUP(Table91213[[#This Row],[Date]],'DB Details'!$A:$Q,8))</f>
        <v>53.5</v>
      </c>
      <c r="I163" s="52">
        <f>IF(VLOOKUP(Table91213[[#This Row],[Date]],'DB Details'!$A:$Q,9)=0,"",VLOOKUP(Table91213[[#This Row],[Date]],'DB Details'!$A:$Q,9))</f>
        <v>51</v>
      </c>
      <c r="J163" s="52">
        <f>IF(VLOOKUP(Table91213[[#This Row],[Date]],'DB Details'!$A:$Q,10)=0,"",VLOOKUP(Table91213[[#This Row],[Date]],'DB Details'!$A:$Q,10))</f>
        <v>48.9</v>
      </c>
      <c r="K163" s="52">
        <f>IF(VLOOKUP(Table91213[[#This Row],[Date]],'DB Details'!$A:$Q,11)=0,"",VLOOKUP(Table91213[[#This Row],[Date]],'DB Details'!$A:$Q,11))</f>
        <v>46.5</v>
      </c>
      <c r="L163" s="50">
        <f>IF(VLOOKUP(Table91213[[#This Row],[Date]],'DB Details'!$A:$Q,12)=0,"",VLOOKUP(Table91213[[#This Row],[Date]],'DB Details'!$A:$Q,12))</f>
        <v>52.4</v>
      </c>
    </row>
    <row r="164" spans="1:12" x14ac:dyDescent="0.2">
      <c r="A164" s="53">
        <v>40422</v>
      </c>
      <c r="B164" s="50">
        <f>IF(VLOOKUP(Table91213[[#This Row],[Date]],'DB Details'!$A:$Q,2)=0,"",VLOOKUP(Table91213[[#This Row],[Date]],'DB Details'!$A:$Q,2))</f>
        <v>54.3</v>
      </c>
      <c r="C164" s="51">
        <f>IF(VLOOKUP(Table91213[[#This Row],[Date]],'DB Details'!$A:$Q,3)=0,"",VLOOKUP(Table91213[[#This Row],[Date]],'DB Details'!$A:$Q,3))</f>
        <v>53</v>
      </c>
      <c r="D164" s="51">
        <f>IF(VLOOKUP(Table91213[[#This Row],[Date]],'DB Details'!$A:$Q,4)=0,"",VLOOKUP(Table91213[[#This Row],[Date]],'DB Details'!$A:$Q,4))</f>
        <v>48</v>
      </c>
      <c r="E164" s="52">
        <f>IF(VLOOKUP(Table91213[[#This Row],[Date]],'DB Details'!$A:$Q,5)=0,"",VLOOKUP(Table91213[[#This Row],[Date]],'DB Details'!$A:$Q,5))</f>
        <v>59.5</v>
      </c>
      <c r="F164" s="51">
        <f>IF(VLOOKUP(Table91213[[#This Row],[Date]],'DB Details'!$A:$Q,6)=0,"",VLOOKUP(Table91213[[#This Row],[Date]],'DB Details'!$A:$Q,6))</f>
        <v>53.3</v>
      </c>
      <c r="G164" s="52">
        <f>IF(VLOOKUP(Table91213[[#This Row],[Date]],'DB Details'!$A:$Q,7)=0,"",VLOOKUP(Table91213[[#This Row],[Date]],'DB Details'!$A:$Q,7))</f>
        <v>59.5</v>
      </c>
      <c r="H164" s="52">
        <f>IF(VLOOKUP(Table91213[[#This Row],[Date]],'DB Details'!$A:$Q,8)=0,"",VLOOKUP(Table91213[[#This Row],[Date]],'DB Details'!$A:$Q,8))</f>
        <v>47</v>
      </c>
      <c r="I164" s="52">
        <f>IF(VLOOKUP(Table91213[[#This Row],[Date]],'DB Details'!$A:$Q,9)=0,"",VLOOKUP(Table91213[[#This Row],[Date]],'DB Details'!$A:$Q,9))</f>
        <v>55</v>
      </c>
      <c r="J164" s="52">
        <f>IF(VLOOKUP(Table91213[[#This Row],[Date]],'DB Details'!$A:$Q,10)=0,"",VLOOKUP(Table91213[[#This Row],[Date]],'DB Details'!$A:$Q,10))</f>
        <v>51.5</v>
      </c>
      <c r="K164" s="52">
        <f>IF(VLOOKUP(Table91213[[#This Row],[Date]],'DB Details'!$A:$Q,11)=0,"",VLOOKUP(Table91213[[#This Row],[Date]],'DB Details'!$A:$Q,11))</f>
        <v>58</v>
      </c>
      <c r="L164" s="50">
        <f>IF(VLOOKUP(Table91213[[#This Row],[Date]],'DB Details'!$A:$Q,12)=0,"",VLOOKUP(Table91213[[#This Row],[Date]],'DB Details'!$A:$Q,12))</f>
        <v>53.3</v>
      </c>
    </row>
    <row r="165" spans="1:12" x14ac:dyDescent="0.2">
      <c r="A165" s="53">
        <v>40452</v>
      </c>
      <c r="B165" s="50">
        <f>IF(VLOOKUP(Table91213[[#This Row],[Date]],'DB Details'!$A:$Q,2)=0,"",VLOOKUP(Table91213[[#This Row],[Date]],'DB Details'!$A:$Q,2))</f>
        <v>58.3</v>
      </c>
      <c r="C165" s="51">
        <f>IF(VLOOKUP(Table91213[[#This Row],[Date]],'DB Details'!$A:$Q,3)=0,"",VLOOKUP(Table91213[[#This Row],[Date]],'DB Details'!$A:$Q,3))</f>
        <v>54</v>
      </c>
      <c r="D165" s="51">
        <f>IF(VLOOKUP(Table91213[[#This Row],[Date]],'DB Details'!$A:$Q,4)=0,"",VLOOKUP(Table91213[[#This Row],[Date]],'DB Details'!$A:$Q,4))</f>
        <v>52</v>
      </c>
      <c r="E165" s="52">
        <f>IF(VLOOKUP(Table91213[[#This Row],[Date]],'DB Details'!$A:$Q,5)=0,"",VLOOKUP(Table91213[[#This Row],[Date]],'DB Details'!$A:$Q,5))</f>
        <v>68.2</v>
      </c>
      <c r="F165" s="51">
        <f>IF(VLOOKUP(Table91213[[#This Row],[Date]],'DB Details'!$A:$Q,6)=0,"",VLOOKUP(Table91213[[#This Row],[Date]],'DB Details'!$A:$Q,6))</f>
        <v>59.7</v>
      </c>
      <c r="G165" s="52">
        <f>IF(VLOOKUP(Table91213[[#This Row],[Date]],'DB Details'!$A:$Q,7)=0,"",VLOOKUP(Table91213[[#This Row],[Date]],'DB Details'!$A:$Q,7))</f>
        <v>61.5</v>
      </c>
      <c r="H165" s="52">
        <f>IF(VLOOKUP(Table91213[[#This Row],[Date]],'DB Details'!$A:$Q,8)=0,"",VLOOKUP(Table91213[[#This Row],[Date]],'DB Details'!$A:$Q,8))</f>
        <v>47.5</v>
      </c>
      <c r="I165" s="52">
        <f>IF(VLOOKUP(Table91213[[#This Row],[Date]],'DB Details'!$A:$Q,9)=0,"",VLOOKUP(Table91213[[#This Row],[Date]],'DB Details'!$A:$Q,9))</f>
        <v>51</v>
      </c>
      <c r="J165" s="52">
        <f>IF(VLOOKUP(Table91213[[#This Row],[Date]],'DB Details'!$A:$Q,10)=0,"",VLOOKUP(Table91213[[#This Row],[Date]],'DB Details'!$A:$Q,10))</f>
        <v>52.1</v>
      </c>
      <c r="K165" s="52">
        <f>IF(VLOOKUP(Table91213[[#This Row],[Date]],'DB Details'!$A:$Q,11)=0,"",VLOOKUP(Table91213[[#This Row],[Date]],'DB Details'!$A:$Q,11))</f>
        <v>55.5</v>
      </c>
      <c r="L165" s="50">
        <f>IF(VLOOKUP(Table91213[[#This Row],[Date]],'DB Details'!$A:$Q,12)=0,"",VLOOKUP(Table91213[[#This Row],[Date]],'DB Details'!$A:$Q,12))</f>
        <v>55.3</v>
      </c>
    </row>
    <row r="166" spans="1:12" x14ac:dyDescent="0.2">
      <c r="A166" s="53">
        <v>40483</v>
      </c>
      <c r="B166" s="50">
        <f>IF(VLOOKUP(Table91213[[#This Row],[Date]],'DB Details'!$A:$Q,2)=0,"",VLOOKUP(Table91213[[#This Row],[Date]],'DB Details'!$A:$Q,2))</f>
        <v>58.4</v>
      </c>
      <c r="C166" s="51">
        <f>IF(VLOOKUP(Table91213[[#This Row],[Date]],'DB Details'!$A:$Q,3)=0,"",VLOOKUP(Table91213[[#This Row],[Date]],'DB Details'!$A:$Q,3))</f>
        <v>54.5</v>
      </c>
      <c r="D166" s="51">
        <f>IF(VLOOKUP(Table91213[[#This Row],[Date]],'DB Details'!$A:$Q,4)=0,"",VLOOKUP(Table91213[[#This Row],[Date]],'DB Details'!$A:$Q,4))</f>
        <v>51.5</v>
      </c>
      <c r="E166" s="52">
        <f>IF(VLOOKUP(Table91213[[#This Row],[Date]],'DB Details'!$A:$Q,5)=0,"",VLOOKUP(Table91213[[#This Row],[Date]],'DB Details'!$A:$Q,5))</f>
        <v>65.599999999999994</v>
      </c>
      <c r="F166" s="51">
        <f>IF(VLOOKUP(Table91213[[#This Row],[Date]],'DB Details'!$A:$Q,6)=0,"",VLOOKUP(Table91213[[#This Row],[Date]],'DB Details'!$A:$Q,6))</f>
        <v>59.1</v>
      </c>
      <c r="G166" s="52">
        <f>IF(VLOOKUP(Table91213[[#This Row],[Date]],'DB Details'!$A:$Q,7)=0,"",VLOOKUP(Table91213[[#This Row],[Date]],'DB Details'!$A:$Q,7))</f>
        <v>60</v>
      </c>
      <c r="H166" s="52">
        <f>IF(VLOOKUP(Table91213[[#This Row],[Date]],'DB Details'!$A:$Q,8)=0,"",VLOOKUP(Table91213[[#This Row],[Date]],'DB Details'!$A:$Q,8))</f>
        <v>51.5</v>
      </c>
      <c r="I166" s="52">
        <f>IF(VLOOKUP(Table91213[[#This Row],[Date]],'DB Details'!$A:$Q,9)=0,"",VLOOKUP(Table91213[[#This Row],[Date]],'DB Details'!$A:$Q,9))</f>
        <v>52.5</v>
      </c>
      <c r="J166" s="52">
        <f>IF(VLOOKUP(Table91213[[#This Row],[Date]],'DB Details'!$A:$Q,10)=0,"",VLOOKUP(Table91213[[#This Row],[Date]],'DB Details'!$A:$Q,10))</f>
        <v>56.6</v>
      </c>
      <c r="K166" s="52">
        <f>IF(VLOOKUP(Table91213[[#This Row],[Date]],'DB Details'!$A:$Q,11)=0,"",VLOOKUP(Table91213[[#This Row],[Date]],'DB Details'!$A:$Q,11))</f>
        <v>59.5</v>
      </c>
      <c r="L166" s="50">
        <f>IF(VLOOKUP(Table91213[[#This Row],[Date]],'DB Details'!$A:$Q,12)=0,"",VLOOKUP(Table91213[[#This Row],[Date]],'DB Details'!$A:$Q,12))</f>
        <v>56.4</v>
      </c>
    </row>
    <row r="167" spans="1:12" x14ac:dyDescent="0.2">
      <c r="A167" s="53">
        <v>40513</v>
      </c>
      <c r="B167" s="50">
        <f>IF(VLOOKUP(Table91213[[#This Row],[Date]],'DB Details'!$A:$Q,2)=0,"",VLOOKUP(Table91213[[#This Row],[Date]],'DB Details'!$A:$Q,2))</f>
        <v>62.1</v>
      </c>
      <c r="C167" s="51">
        <f>IF(VLOOKUP(Table91213[[#This Row],[Date]],'DB Details'!$A:$Q,3)=0,"",VLOOKUP(Table91213[[#This Row],[Date]],'DB Details'!$A:$Q,3))</f>
        <v>51</v>
      </c>
      <c r="D167" s="51">
        <f>IF(VLOOKUP(Table91213[[#This Row],[Date]],'DB Details'!$A:$Q,4)=0,"",VLOOKUP(Table91213[[#This Row],[Date]],'DB Details'!$A:$Q,4))</f>
        <v>48.5</v>
      </c>
      <c r="E167" s="52">
        <f>IF(VLOOKUP(Table91213[[#This Row],[Date]],'DB Details'!$A:$Q,5)=0,"",VLOOKUP(Table91213[[#This Row],[Date]],'DB Details'!$A:$Q,5))</f>
        <v>69.3</v>
      </c>
      <c r="F167" s="51">
        <f>IF(VLOOKUP(Table91213[[#This Row],[Date]],'DB Details'!$A:$Q,6)=0,"",VLOOKUP(Table91213[[#This Row],[Date]],'DB Details'!$A:$Q,6))</f>
        <v>62.2</v>
      </c>
      <c r="G167" s="52">
        <f>IF(VLOOKUP(Table91213[[#This Row],[Date]],'DB Details'!$A:$Q,7)=0,"",VLOOKUP(Table91213[[#This Row],[Date]],'DB Details'!$A:$Q,7))</f>
        <v>61.5</v>
      </c>
      <c r="H167" s="52">
        <f>IF(VLOOKUP(Table91213[[#This Row],[Date]],'DB Details'!$A:$Q,8)=0,"",VLOOKUP(Table91213[[#This Row],[Date]],'DB Details'!$A:$Q,8))</f>
        <v>52.5</v>
      </c>
      <c r="I167" s="52">
        <f>IF(VLOOKUP(Table91213[[#This Row],[Date]],'DB Details'!$A:$Q,9)=0,"",VLOOKUP(Table91213[[#This Row],[Date]],'DB Details'!$A:$Q,9))</f>
        <v>51.5</v>
      </c>
      <c r="J167" s="52">
        <f>IF(VLOOKUP(Table91213[[#This Row],[Date]],'DB Details'!$A:$Q,10)=0,"",VLOOKUP(Table91213[[#This Row],[Date]],'DB Details'!$A:$Q,10))</f>
        <v>52.2</v>
      </c>
      <c r="K167" s="52">
        <f>IF(VLOOKUP(Table91213[[#This Row],[Date]],'DB Details'!$A:$Q,11)=0,"",VLOOKUP(Table91213[[#This Row],[Date]],'DB Details'!$A:$Q,11))</f>
        <v>56</v>
      </c>
      <c r="L167" s="50">
        <f>IF(VLOOKUP(Table91213[[#This Row],[Date]],'DB Details'!$A:$Q,12)=0,"",VLOOKUP(Table91213[[#This Row],[Date]],'DB Details'!$A:$Q,12))</f>
        <v>56.9</v>
      </c>
    </row>
    <row r="168" spans="1:12" x14ac:dyDescent="0.2">
      <c r="A168" s="53">
        <v>40544</v>
      </c>
      <c r="B168" s="50">
        <f>IF(VLOOKUP(Table91213[[#This Row],[Date]],'DB Details'!$A:$Q,2)=0,"",VLOOKUP(Table91213[[#This Row],[Date]],'DB Details'!$A:$Q,2))</f>
        <v>63</v>
      </c>
      <c r="C168" s="51">
        <f>IF(VLOOKUP(Table91213[[#This Row],[Date]],'DB Details'!$A:$Q,3)=0,"",VLOOKUP(Table91213[[#This Row],[Date]],'DB Details'!$A:$Q,3))</f>
        <v>53.5</v>
      </c>
      <c r="D168" s="51">
        <f>IF(VLOOKUP(Table91213[[#This Row],[Date]],'DB Details'!$A:$Q,4)=0,"",VLOOKUP(Table91213[[#This Row],[Date]],'DB Details'!$A:$Q,4))</f>
        <v>50.5</v>
      </c>
      <c r="E168" s="52">
        <f>IF(VLOOKUP(Table91213[[#This Row],[Date]],'DB Details'!$A:$Q,5)=0,"",VLOOKUP(Table91213[[#This Row],[Date]],'DB Details'!$A:$Q,5))</f>
        <v>70</v>
      </c>
      <c r="F168" s="51">
        <f>IF(VLOOKUP(Table91213[[#This Row],[Date]],'DB Details'!$A:$Q,6)=0,"",VLOOKUP(Table91213[[#This Row],[Date]],'DB Details'!$A:$Q,6))</f>
        <v>61.6</v>
      </c>
      <c r="G168" s="52">
        <f>IF(VLOOKUP(Table91213[[#This Row],[Date]],'DB Details'!$A:$Q,7)=0,"",VLOOKUP(Table91213[[#This Row],[Date]],'DB Details'!$A:$Q,7))</f>
        <v>60</v>
      </c>
      <c r="H168" s="52">
        <f>IF(VLOOKUP(Table91213[[#This Row],[Date]],'DB Details'!$A:$Q,8)=0,"",VLOOKUP(Table91213[[#This Row],[Date]],'DB Details'!$A:$Q,8))</f>
        <v>49</v>
      </c>
      <c r="I168" s="52">
        <f>IF(VLOOKUP(Table91213[[#This Row],[Date]],'DB Details'!$A:$Q,9)=0,"",VLOOKUP(Table91213[[#This Row],[Date]],'DB Details'!$A:$Q,9))</f>
        <v>53.5</v>
      </c>
      <c r="J168" s="52">
        <f>IF(VLOOKUP(Table91213[[#This Row],[Date]],'DB Details'!$A:$Q,10)=0,"",VLOOKUP(Table91213[[#This Row],[Date]],'DB Details'!$A:$Q,10))</f>
        <v>52.1</v>
      </c>
      <c r="K168" s="52">
        <f>IF(VLOOKUP(Table91213[[#This Row],[Date]],'DB Details'!$A:$Q,11)=0,"",VLOOKUP(Table91213[[#This Row],[Date]],'DB Details'!$A:$Q,11))</f>
        <v>53.5</v>
      </c>
      <c r="L168" s="50">
        <f>IF(VLOOKUP(Table91213[[#This Row],[Date]],'DB Details'!$A:$Q,12)=0,"",VLOOKUP(Table91213[[#This Row],[Date]],'DB Details'!$A:$Q,12))</f>
        <v>57.6</v>
      </c>
    </row>
    <row r="169" spans="1:12" x14ac:dyDescent="0.2">
      <c r="A169" s="53">
        <v>40575</v>
      </c>
      <c r="B169" s="50">
        <f>IF(VLOOKUP(Table91213[[#This Row],[Date]],'DB Details'!$A:$Q,2)=0,"",VLOOKUP(Table91213[[#This Row],[Date]],'DB Details'!$A:$Q,2))</f>
        <v>61.9</v>
      </c>
      <c r="C169" s="51">
        <f>IF(VLOOKUP(Table91213[[#This Row],[Date]],'DB Details'!$A:$Q,3)=0,"",VLOOKUP(Table91213[[#This Row],[Date]],'DB Details'!$A:$Q,3))</f>
        <v>53.5</v>
      </c>
      <c r="D169" s="51">
        <f>IF(VLOOKUP(Table91213[[#This Row],[Date]],'DB Details'!$A:$Q,4)=0,"",VLOOKUP(Table91213[[#This Row],[Date]],'DB Details'!$A:$Q,4))</f>
        <v>52</v>
      </c>
      <c r="E169" s="52">
        <f>IF(VLOOKUP(Table91213[[#This Row],[Date]],'DB Details'!$A:$Q,5)=0,"",VLOOKUP(Table91213[[#This Row],[Date]],'DB Details'!$A:$Q,5))</f>
        <v>70.900000000000006</v>
      </c>
      <c r="F169" s="51">
        <f>IF(VLOOKUP(Table91213[[#This Row],[Date]],'DB Details'!$A:$Q,6)=0,"",VLOOKUP(Table91213[[#This Row],[Date]],'DB Details'!$A:$Q,6))</f>
        <v>63.3</v>
      </c>
      <c r="G169" s="52">
        <f>IF(VLOOKUP(Table91213[[#This Row],[Date]],'DB Details'!$A:$Q,7)=0,"",VLOOKUP(Table91213[[#This Row],[Date]],'DB Details'!$A:$Q,7))</f>
        <v>57.5</v>
      </c>
      <c r="H169" s="52">
        <f>IF(VLOOKUP(Table91213[[#This Row],[Date]],'DB Details'!$A:$Q,8)=0,"",VLOOKUP(Table91213[[#This Row],[Date]],'DB Details'!$A:$Q,8))</f>
        <v>55.5</v>
      </c>
      <c r="I169" s="52">
        <f>IF(VLOOKUP(Table91213[[#This Row],[Date]],'DB Details'!$A:$Q,9)=0,"",VLOOKUP(Table91213[[#This Row],[Date]],'DB Details'!$A:$Q,9))</f>
        <v>52</v>
      </c>
      <c r="J169" s="52">
        <f>IF(VLOOKUP(Table91213[[#This Row],[Date]],'DB Details'!$A:$Q,10)=0,"",VLOOKUP(Table91213[[#This Row],[Date]],'DB Details'!$A:$Q,10))</f>
        <v>53.6</v>
      </c>
      <c r="K169" s="52">
        <f>IF(VLOOKUP(Table91213[[#This Row],[Date]],'DB Details'!$A:$Q,11)=0,"",VLOOKUP(Table91213[[#This Row],[Date]],'DB Details'!$A:$Q,11))</f>
        <v>56.5</v>
      </c>
      <c r="L169" s="50">
        <f>IF(VLOOKUP(Table91213[[#This Row],[Date]],'DB Details'!$A:$Q,12)=0,"",VLOOKUP(Table91213[[#This Row],[Date]],'DB Details'!$A:$Q,12))</f>
        <v>58</v>
      </c>
    </row>
    <row r="170" spans="1:12" x14ac:dyDescent="0.2">
      <c r="A170" s="53">
        <v>40603</v>
      </c>
      <c r="B170" s="50">
        <f>IF(VLOOKUP(Table91213[[#This Row],[Date]],'DB Details'!$A:$Q,2)=0,"",VLOOKUP(Table91213[[#This Row],[Date]],'DB Details'!$A:$Q,2))</f>
        <v>59.5</v>
      </c>
      <c r="C170" s="51">
        <f>IF(VLOOKUP(Table91213[[#This Row],[Date]],'DB Details'!$A:$Q,3)=0,"",VLOOKUP(Table91213[[#This Row],[Date]],'DB Details'!$A:$Q,3))</f>
        <v>50</v>
      </c>
      <c r="D170" s="51">
        <f>IF(VLOOKUP(Table91213[[#This Row],[Date]],'DB Details'!$A:$Q,4)=0,"",VLOOKUP(Table91213[[#This Row],[Date]],'DB Details'!$A:$Q,4))</f>
        <v>56</v>
      </c>
      <c r="E170" s="52">
        <f>IF(VLOOKUP(Table91213[[#This Row],[Date]],'DB Details'!$A:$Q,5)=0,"",VLOOKUP(Table91213[[#This Row],[Date]],'DB Details'!$A:$Q,5))</f>
        <v>70.900000000000006</v>
      </c>
      <c r="F170" s="51">
        <f>IF(VLOOKUP(Table91213[[#This Row],[Date]],'DB Details'!$A:$Q,6)=0,"",VLOOKUP(Table91213[[#This Row],[Date]],'DB Details'!$A:$Q,6))</f>
        <v>58.2</v>
      </c>
      <c r="G170" s="52">
        <f>IF(VLOOKUP(Table91213[[#This Row],[Date]],'DB Details'!$A:$Q,7)=0,"",VLOOKUP(Table91213[[#This Row],[Date]],'DB Details'!$A:$Q,7))</f>
        <v>67</v>
      </c>
      <c r="H170" s="52">
        <f>IF(VLOOKUP(Table91213[[#This Row],[Date]],'DB Details'!$A:$Q,8)=0,"",VLOOKUP(Table91213[[#This Row],[Date]],'DB Details'!$A:$Q,8))</f>
        <v>55.5</v>
      </c>
      <c r="I170" s="52">
        <f>IF(VLOOKUP(Table91213[[#This Row],[Date]],'DB Details'!$A:$Q,9)=0,"",VLOOKUP(Table91213[[#This Row],[Date]],'DB Details'!$A:$Q,9))</f>
        <v>51.5</v>
      </c>
      <c r="J170" s="52">
        <f>IF(VLOOKUP(Table91213[[#This Row],[Date]],'DB Details'!$A:$Q,10)=0,"",VLOOKUP(Table91213[[#This Row],[Date]],'DB Details'!$A:$Q,10))</f>
        <v>52.9</v>
      </c>
      <c r="K170" s="52">
        <f>IF(VLOOKUP(Table91213[[#This Row],[Date]],'DB Details'!$A:$Q,11)=0,"",VLOOKUP(Table91213[[#This Row],[Date]],'DB Details'!$A:$Q,11))</f>
        <v>59</v>
      </c>
      <c r="L170" s="50">
        <f>IF(VLOOKUP(Table91213[[#This Row],[Date]],'DB Details'!$A:$Q,12)=0,"",VLOOKUP(Table91213[[#This Row],[Date]],'DB Details'!$A:$Q,12))</f>
        <v>55.8</v>
      </c>
    </row>
    <row r="171" spans="1:12" x14ac:dyDescent="0.2">
      <c r="A171" s="53">
        <v>40634</v>
      </c>
      <c r="B171" s="50">
        <f>IF(VLOOKUP(Table91213[[#This Row],[Date]],'DB Details'!$A:$Q,2)=0,"",VLOOKUP(Table91213[[#This Row],[Date]],'DB Details'!$A:$Q,2))</f>
        <v>56.3</v>
      </c>
      <c r="C171" s="51">
        <f>IF(VLOOKUP(Table91213[[#This Row],[Date]],'DB Details'!$A:$Q,3)=0,"",VLOOKUP(Table91213[[#This Row],[Date]],'DB Details'!$A:$Q,3))</f>
        <v>57</v>
      </c>
      <c r="D171" s="51">
        <f>IF(VLOOKUP(Table91213[[#This Row],[Date]],'DB Details'!$A:$Q,4)=0,"",VLOOKUP(Table91213[[#This Row],[Date]],'DB Details'!$A:$Q,4))</f>
        <v>55.5</v>
      </c>
      <c r="E171" s="52">
        <f>IF(VLOOKUP(Table91213[[#This Row],[Date]],'DB Details'!$A:$Q,5)=0,"",VLOOKUP(Table91213[[#This Row],[Date]],'DB Details'!$A:$Q,5))</f>
        <v>71</v>
      </c>
      <c r="F171" s="51">
        <f>IF(VLOOKUP(Table91213[[#This Row],[Date]],'DB Details'!$A:$Q,6)=0,"",VLOOKUP(Table91213[[#This Row],[Date]],'DB Details'!$A:$Q,6))</f>
        <v>56.9</v>
      </c>
      <c r="G171" s="52">
        <f>IF(VLOOKUP(Table91213[[#This Row],[Date]],'DB Details'!$A:$Q,7)=0,"",VLOOKUP(Table91213[[#This Row],[Date]],'DB Details'!$A:$Q,7))</f>
        <v>57.5</v>
      </c>
      <c r="H171" s="52">
        <f>IF(VLOOKUP(Table91213[[#This Row],[Date]],'DB Details'!$A:$Q,8)=0,"",VLOOKUP(Table91213[[#This Row],[Date]],'DB Details'!$A:$Q,8))</f>
        <v>55.5</v>
      </c>
      <c r="I171" s="52">
        <f>IF(VLOOKUP(Table91213[[#This Row],[Date]],'DB Details'!$A:$Q,9)=0,"",VLOOKUP(Table91213[[#This Row],[Date]],'DB Details'!$A:$Q,9))</f>
        <v>53</v>
      </c>
      <c r="J171" s="52">
        <f>IF(VLOOKUP(Table91213[[#This Row],[Date]],'DB Details'!$A:$Q,10)=0,"",VLOOKUP(Table91213[[#This Row],[Date]],'DB Details'!$A:$Q,10))</f>
        <v>53.6</v>
      </c>
      <c r="K171" s="52">
        <f>IF(VLOOKUP(Table91213[[#This Row],[Date]],'DB Details'!$A:$Q,11)=0,"",VLOOKUP(Table91213[[#This Row],[Date]],'DB Details'!$A:$Q,11))</f>
        <v>53.5</v>
      </c>
      <c r="L171" s="50">
        <f>IF(VLOOKUP(Table91213[[#This Row],[Date]],'DB Details'!$A:$Q,12)=0,"",VLOOKUP(Table91213[[#This Row],[Date]],'DB Details'!$A:$Q,12))</f>
        <v>55.2</v>
      </c>
    </row>
    <row r="172" spans="1:12" x14ac:dyDescent="0.2">
      <c r="A172" s="53">
        <v>40664</v>
      </c>
      <c r="B172" s="50">
        <f>IF(VLOOKUP(Table91213[[#This Row],[Date]],'DB Details'!$A:$Q,2)=0,"",VLOOKUP(Table91213[[#This Row],[Date]],'DB Details'!$A:$Q,2))</f>
        <v>56</v>
      </c>
      <c r="C172" s="51">
        <f>IF(VLOOKUP(Table91213[[#This Row],[Date]],'DB Details'!$A:$Q,3)=0,"",VLOOKUP(Table91213[[#This Row],[Date]],'DB Details'!$A:$Q,3))</f>
        <v>50.5</v>
      </c>
      <c r="D172" s="51">
        <f>IF(VLOOKUP(Table91213[[#This Row],[Date]],'DB Details'!$A:$Q,4)=0,"",VLOOKUP(Table91213[[#This Row],[Date]],'DB Details'!$A:$Q,4))</f>
        <v>55</v>
      </c>
      <c r="E172" s="52">
        <f>IF(VLOOKUP(Table91213[[#This Row],[Date]],'DB Details'!$A:$Q,5)=0,"",VLOOKUP(Table91213[[#This Row],[Date]],'DB Details'!$A:$Q,5))</f>
        <v>70.3</v>
      </c>
      <c r="F172" s="51">
        <f>IF(VLOOKUP(Table91213[[#This Row],[Date]],'DB Details'!$A:$Q,6)=0,"",VLOOKUP(Table91213[[#This Row],[Date]],'DB Details'!$A:$Q,6))</f>
        <v>55</v>
      </c>
      <c r="G172" s="52">
        <f>IF(VLOOKUP(Table91213[[#This Row],[Date]],'DB Details'!$A:$Q,7)=0,"",VLOOKUP(Table91213[[#This Row],[Date]],'DB Details'!$A:$Q,7))</f>
        <v>55</v>
      </c>
      <c r="H172" s="52">
        <f>IF(VLOOKUP(Table91213[[#This Row],[Date]],'DB Details'!$A:$Q,8)=0,"",VLOOKUP(Table91213[[#This Row],[Date]],'DB Details'!$A:$Q,8))</f>
        <v>55</v>
      </c>
      <c r="I172" s="52">
        <f>IF(VLOOKUP(Table91213[[#This Row],[Date]],'DB Details'!$A:$Q,9)=0,"",VLOOKUP(Table91213[[#This Row],[Date]],'DB Details'!$A:$Q,9))</f>
        <v>54</v>
      </c>
      <c r="J172" s="52">
        <f>IF(VLOOKUP(Table91213[[#This Row],[Date]],'DB Details'!$A:$Q,10)=0,"",VLOOKUP(Table91213[[#This Row],[Date]],'DB Details'!$A:$Q,10))</f>
        <v>54.4</v>
      </c>
      <c r="K172" s="52">
        <f>IF(VLOOKUP(Table91213[[#This Row],[Date]],'DB Details'!$A:$Q,11)=0,"",VLOOKUP(Table91213[[#This Row],[Date]],'DB Details'!$A:$Q,11))</f>
        <v>57</v>
      </c>
      <c r="L172" s="50">
        <f>IF(VLOOKUP(Table91213[[#This Row],[Date]],'DB Details'!$A:$Q,12)=0,"",VLOOKUP(Table91213[[#This Row],[Date]],'DB Details'!$A:$Q,12))</f>
        <v>55</v>
      </c>
    </row>
    <row r="173" spans="1:12" x14ac:dyDescent="0.2">
      <c r="A173" s="53">
        <v>40695</v>
      </c>
      <c r="B173" s="50">
        <f>IF(VLOOKUP(Table91213[[#This Row],[Date]],'DB Details'!$A:$Q,2)=0,"",VLOOKUP(Table91213[[#This Row],[Date]],'DB Details'!$A:$Q,2))</f>
        <v>55.4</v>
      </c>
      <c r="C173" s="51">
        <f>IF(VLOOKUP(Table91213[[#This Row],[Date]],'DB Details'!$A:$Q,3)=0,"",VLOOKUP(Table91213[[#This Row],[Date]],'DB Details'!$A:$Q,3))</f>
        <v>46.5</v>
      </c>
      <c r="D173" s="51">
        <f>IF(VLOOKUP(Table91213[[#This Row],[Date]],'DB Details'!$A:$Q,4)=0,"",VLOOKUP(Table91213[[#This Row],[Date]],'DB Details'!$A:$Q,4))</f>
        <v>48.5</v>
      </c>
      <c r="E173" s="52">
        <f>IF(VLOOKUP(Table91213[[#This Row],[Date]],'DB Details'!$A:$Q,5)=0,"",VLOOKUP(Table91213[[#This Row],[Date]],'DB Details'!$A:$Q,5))</f>
        <v>62.4</v>
      </c>
      <c r="F173" s="51">
        <f>IF(VLOOKUP(Table91213[[#This Row],[Date]],'DB Details'!$A:$Q,6)=0,"",VLOOKUP(Table91213[[#This Row],[Date]],'DB Details'!$A:$Q,6))</f>
        <v>55.7</v>
      </c>
      <c r="G173" s="52">
        <f>IF(VLOOKUP(Table91213[[#This Row],[Date]],'DB Details'!$A:$Q,7)=0,"",VLOOKUP(Table91213[[#This Row],[Date]],'DB Details'!$A:$Q,7))</f>
        <v>58.5</v>
      </c>
      <c r="H173" s="52">
        <f>IF(VLOOKUP(Table91213[[#This Row],[Date]],'DB Details'!$A:$Q,8)=0,"",VLOOKUP(Table91213[[#This Row],[Date]],'DB Details'!$A:$Q,8))</f>
        <v>53.5</v>
      </c>
      <c r="I173" s="52">
        <f>IF(VLOOKUP(Table91213[[#This Row],[Date]],'DB Details'!$A:$Q,9)=0,"",VLOOKUP(Table91213[[#This Row],[Date]],'DB Details'!$A:$Q,9))</f>
        <v>52</v>
      </c>
      <c r="J173" s="52">
        <f>IF(VLOOKUP(Table91213[[#This Row],[Date]],'DB Details'!$A:$Q,10)=0,"",VLOOKUP(Table91213[[#This Row],[Date]],'DB Details'!$A:$Q,10))</f>
        <v>52.9</v>
      </c>
      <c r="K173" s="52">
        <f>IF(VLOOKUP(Table91213[[#This Row],[Date]],'DB Details'!$A:$Q,11)=0,"",VLOOKUP(Table91213[[#This Row],[Date]],'DB Details'!$A:$Q,11))</f>
        <v>57</v>
      </c>
      <c r="L173" s="50">
        <f>IF(VLOOKUP(Table91213[[#This Row],[Date]],'DB Details'!$A:$Q,12)=0,"",VLOOKUP(Table91213[[#This Row],[Date]],'DB Details'!$A:$Q,12))</f>
        <v>54.2</v>
      </c>
    </row>
    <row r="174" spans="1:12" x14ac:dyDescent="0.2">
      <c r="A174" s="53">
        <v>40725</v>
      </c>
      <c r="B174" s="50">
        <f>IF(VLOOKUP(Table91213[[#This Row],[Date]],'DB Details'!$A:$Q,2)=0,"",VLOOKUP(Table91213[[#This Row],[Date]],'DB Details'!$A:$Q,2))</f>
        <v>53.7</v>
      </c>
      <c r="C174" s="51">
        <f>IF(VLOOKUP(Table91213[[#This Row],[Date]],'DB Details'!$A:$Q,3)=0,"",VLOOKUP(Table91213[[#This Row],[Date]],'DB Details'!$A:$Q,3))</f>
        <v>47.5</v>
      </c>
      <c r="D174" s="51">
        <f>IF(VLOOKUP(Table91213[[#This Row],[Date]],'DB Details'!$A:$Q,4)=0,"",VLOOKUP(Table91213[[#This Row],[Date]],'DB Details'!$A:$Q,4))</f>
        <v>44</v>
      </c>
      <c r="E174" s="52">
        <f>IF(VLOOKUP(Table91213[[#This Row],[Date]],'DB Details'!$A:$Q,5)=0,"",VLOOKUP(Table91213[[#This Row],[Date]],'DB Details'!$A:$Q,5))</f>
        <v>60.7</v>
      </c>
      <c r="F174" s="51">
        <f>IF(VLOOKUP(Table91213[[#This Row],[Date]],'DB Details'!$A:$Q,6)=0,"",VLOOKUP(Table91213[[#This Row],[Date]],'DB Details'!$A:$Q,6))</f>
        <v>56.6</v>
      </c>
      <c r="G174" s="52">
        <f>IF(VLOOKUP(Table91213[[#This Row],[Date]],'DB Details'!$A:$Q,7)=0,"",VLOOKUP(Table91213[[#This Row],[Date]],'DB Details'!$A:$Q,7))</f>
        <v>59.5</v>
      </c>
      <c r="H174" s="52">
        <f>IF(VLOOKUP(Table91213[[#This Row],[Date]],'DB Details'!$A:$Q,8)=0,"",VLOOKUP(Table91213[[#This Row],[Date]],'DB Details'!$A:$Q,8))</f>
        <v>56.5</v>
      </c>
      <c r="I174" s="52">
        <f>IF(VLOOKUP(Table91213[[#This Row],[Date]],'DB Details'!$A:$Q,9)=0,"",VLOOKUP(Table91213[[#This Row],[Date]],'DB Details'!$A:$Q,9))</f>
        <v>50.5</v>
      </c>
      <c r="J174" s="52">
        <f>IF(VLOOKUP(Table91213[[#This Row],[Date]],'DB Details'!$A:$Q,10)=0,"",VLOOKUP(Table91213[[#This Row],[Date]],'DB Details'!$A:$Q,10))</f>
        <v>53.3</v>
      </c>
      <c r="K174" s="52">
        <f>IF(VLOOKUP(Table91213[[#This Row],[Date]],'DB Details'!$A:$Q,11)=0,"",VLOOKUP(Table91213[[#This Row],[Date]],'DB Details'!$A:$Q,11))</f>
        <v>49</v>
      </c>
      <c r="L174" s="50">
        <f>IF(VLOOKUP(Table91213[[#This Row],[Date]],'DB Details'!$A:$Q,12)=0,"",VLOOKUP(Table91213[[#This Row],[Date]],'DB Details'!$A:$Q,12))</f>
        <v>53.5</v>
      </c>
    </row>
    <row r="175" spans="1:12" x14ac:dyDescent="0.2">
      <c r="A175" s="53">
        <v>40756</v>
      </c>
      <c r="B175" s="50">
        <f>IF(VLOOKUP(Table91213[[#This Row],[Date]],'DB Details'!$A:$Q,2)=0,"",VLOOKUP(Table91213[[#This Row],[Date]],'DB Details'!$A:$Q,2))</f>
        <v>53.9</v>
      </c>
      <c r="C175" s="51">
        <f>IF(VLOOKUP(Table91213[[#This Row],[Date]],'DB Details'!$A:$Q,3)=0,"",VLOOKUP(Table91213[[#This Row],[Date]],'DB Details'!$A:$Q,3))</f>
        <v>53.5</v>
      </c>
      <c r="D175" s="51">
        <f>IF(VLOOKUP(Table91213[[#This Row],[Date]],'DB Details'!$A:$Q,4)=0,"",VLOOKUP(Table91213[[#This Row],[Date]],'DB Details'!$A:$Q,4))</f>
        <v>47.5</v>
      </c>
      <c r="E175" s="52">
        <f>IF(VLOOKUP(Table91213[[#This Row],[Date]],'DB Details'!$A:$Q,5)=0,"",VLOOKUP(Table91213[[#This Row],[Date]],'DB Details'!$A:$Q,5))</f>
        <v>61.3</v>
      </c>
      <c r="F175" s="51">
        <f>IF(VLOOKUP(Table91213[[#This Row],[Date]],'DB Details'!$A:$Q,6)=0,"",VLOOKUP(Table91213[[#This Row],[Date]],'DB Details'!$A:$Q,6))</f>
        <v>56.5</v>
      </c>
      <c r="G175" s="52">
        <f>IF(VLOOKUP(Table91213[[#This Row],[Date]],'DB Details'!$A:$Q,7)=0,"",VLOOKUP(Table91213[[#This Row],[Date]],'DB Details'!$A:$Q,7))</f>
        <v>56</v>
      </c>
      <c r="H175" s="52">
        <f>IF(VLOOKUP(Table91213[[#This Row],[Date]],'DB Details'!$A:$Q,8)=0,"",VLOOKUP(Table91213[[#This Row],[Date]],'DB Details'!$A:$Q,8))</f>
        <v>53.5</v>
      </c>
      <c r="I175" s="52">
        <f>IF(VLOOKUP(Table91213[[#This Row],[Date]],'DB Details'!$A:$Q,9)=0,"",VLOOKUP(Table91213[[#This Row],[Date]],'DB Details'!$A:$Q,9))</f>
        <v>53</v>
      </c>
      <c r="J175" s="52">
        <f>IF(VLOOKUP(Table91213[[#This Row],[Date]],'DB Details'!$A:$Q,10)=0,"",VLOOKUP(Table91213[[#This Row],[Date]],'DB Details'!$A:$Q,10))</f>
        <v>51.9</v>
      </c>
      <c r="K175" s="52">
        <f>IF(VLOOKUP(Table91213[[#This Row],[Date]],'DB Details'!$A:$Q,11)=0,"",VLOOKUP(Table91213[[#This Row],[Date]],'DB Details'!$A:$Q,11))</f>
        <v>56.5</v>
      </c>
      <c r="L175" s="50">
        <f>IF(VLOOKUP(Table91213[[#This Row],[Date]],'DB Details'!$A:$Q,12)=0,"",VLOOKUP(Table91213[[#This Row],[Date]],'DB Details'!$A:$Q,12))</f>
        <v>53.5</v>
      </c>
    </row>
    <row r="176" spans="1:12" x14ac:dyDescent="0.2">
      <c r="A176" s="53">
        <v>40787</v>
      </c>
      <c r="B176" s="50">
        <f>IF(VLOOKUP(Table91213[[#This Row],[Date]],'DB Details'!$A:$Q,2)=0,"",VLOOKUP(Table91213[[#This Row],[Date]],'DB Details'!$A:$Q,2))</f>
        <v>54.6</v>
      </c>
      <c r="C176" s="51">
        <f>IF(VLOOKUP(Table91213[[#This Row],[Date]],'DB Details'!$A:$Q,3)=0,"",VLOOKUP(Table91213[[#This Row],[Date]],'DB Details'!$A:$Q,3))</f>
        <v>47.5</v>
      </c>
      <c r="D176" s="51">
        <f>IF(VLOOKUP(Table91213[[#This Row],[Date]],'DB Details'!$A:$Q,4)=0,"",VLOOKUP(Table91213[[#This Row],[Date]],'DB Details'!$A:$Q,4))</f>
        <v>52.5</v>
      </c>
      <c r="E176" s="52">
        <f>IF(VLOOKUP(Table91213[[#This Row],[Date]],'DB Details'!$A:$Q,5)=0,"",VLOOKUP(Table91213[[#This Row],[Date]],'DB Details'!$A:$Q,5))</f>
        <v>60.9</v>
      </c>
      <c r="F176" s="51">
        <f>IF(VLOOKUP(Table91213[[#This Row],[Date]],'DB Details'!$A:$Q,6)=0,"",VLOOKUP(Table91213[[#This Row],[Date]],'DB Details'!$A:$Q,6))</f>
        <v>56.8</v>
      </c>
      <c r="G176" s="52">
        <f>IF(VLOOKUP(Table91213[[#This Row],[Date]],'DB Details'!$A:$Q,7)=0,"",VLOOKUP(Table91213[[#This Row],[Date]],'DB Details'!$A:$Q,7))</f>
        <v>59</v>
      </c>
      <c r="H176" s="52">
        <f>IF(VLOOKUP(Table91213[[#This Row],[Date]],'DB Details'!$A:$Q,8)=0,"",VLOOKUP(Table91213[[#This Row],[Date]],'DB Details'!$A:$Q,8))</f>
        <v>51.5</v>
      </c>
      <c r="I176" s="52">
        <f>IF(VLOOKUP(Table91213[[#This Row],[Date]],'DB Details'!$A:$Q,9)=0,"",VLOOKUP(Table91213[[#This Row],[Date]],'DB Details'!$A:$Q,9))</f>
        <v>49.5</v>
      </c>
      <c r="J176" s="52">
        <f>IF(VLOOKUP(Table91213[[#This Row],[Date]],'DB Details'!$A:$Q,10)=0,"",VLOOKUP(Table91213[[#This Row],[Date]],'DB Details'!$A:$Q,10))</f>
        <v>49.4</v>
      </c>
      <c r="K176" s="52">
        <f>IF(VLOOKUP(Table91213[[#This Row],[Date]],'DB Details'!$A:$Q,11)=0,"",VLOOKUP(Table91213[[#This Row],[Date]],'DB Details'!$A:$Q,11))</f>
        <v>52</v>
      </c>
      <c r="L176" s="50">
        <f>IF(VLOOKUP(Table91213[[#This Row],[Date]],'DB Details'!$A:$Q,12)=0,"",VLOOKUP(Table91213[[#This Row],[Date]],'DB Details'!$A:$Q,12))</f>
        <v>52.3</v>
      </c>
    </row>
    <row r="177" spans="1:12" x14ac:dyDescent="0.2">
      <c r="A177" s="53">
        <v>40817</v>
      </c>
      <c r="B177" s="50">
        <f>IF(VLOOKUP(Table91213[[#This Row],[Date]],'DB Details'!$A:$Q,2)=0,"",VLOOKUP(Table91213[[#This Row],[Date]],'DB Details'!$A:$Q,2))</f>
        <v>53.4</v>
      </c>
      <c r="C177" s="51">
        <f>IF(VLOOKUP(Table91213[[#This Row],[Date]],'DB Details'!$A:$Q,3)=0,"",VLOOKUP(Table91213[[#This Row],[Date]],'DB Details'!$A:$Q,3))</f>
        <v>48</v>
      </c>
      <c r="D177" s="51">
        <f>IF(VLOOKUP(Table91213[[#This Row],[Date]],'DB Details'!$A:$Q,4)=0,"",VLOOKUP(Table91213[[#This Row],[Date]],'DB Details'!$A:$Q,4))</f>
        <v>47</v>
      </c>
      <c r="E177" s="52">
        <f>IF(VLOOKUP(Table91213[[#This Row],[Date]],'DB Details'!$A:$Q,5)=0,"",VLOOKUP(Table91213[[#This Row],[Date]],'DB Details'!$A:$Q,5))</f>
        <v>57.7</v>
      </c>
      <c r="F177" s="51">
        <f>IF(VLOOKUP(Table91213[[#This Row],[Date]],'DB Details'!$A:$Q,6)=0,"",VLOOKUP(Table91213[[#This Row],[Date]],'DB Details'!$A:$Q,6))</f>
        <v>53.9</v>
      </c>
      <c r="G177" s="52">
        <f>IF(VLOOKUP(Table91213[[#This Row],[Date]],'DB Details'!$A:$Q,7)=0,"",VLOOKUP(Table91213[[#This Row],[Date]],'DB Details'!$A:$Q,7))</f>
        <v>57.5</v>
      </c>
      <c r="H177" s="52">
        <f>IF(VLOOKUP(Table91213[[#This Row],[Date]],'DB Details'!$A:$Q,8)=0,"",VLOOKUP(Table91213[[#This Row],[Date]],'DB Details'!$A:$Q,8))</f>
        <v>45.5</v>
      </c>
      <c r="I177" s="52">
        <f>IF(VLOOKUP(Table91213[[#This Row],[Date]],'DB Details'!$A:$Q,9)=0,"",VLOOKUP(Table91213[[#This Row],[Date]],'DB Details'!$A:$Q,9))</f>
        <v>52</v>
      </c>
      <c r="J177" s="52">
        <f>IF(VLOOKUP(Table91213[[#This Row],[Date]],'DB Details'!$A:$Q,10)=0,"",VLOOKUP(Table91213[[#This Row],[Date]],'DB Details'!$A:$Q,10))</f>
        <v>52.3</v>
      </c>
      <c r="K177" s="52">
        <f>IF(VLOOKUP(Table91213[[#This Row],[Date]],'DB Details'!$A:$Q,11)=0,"",VLOOKUP(Table91213[[#This Row],[Date]],'DB Details'!$A:$Q,11))</f>
        <v>54</v>
      </c>
      <c r="L177" s="50">
        <f>IF(VLOOKUP(Table91213[[#This Row],[Date]],'DB Details'!$A:$Q,12)=0,"",VLOOKUP(Table91213[[#This Row],[Date]],'DB Details'!$A:$Q,12))</f>
        <v>52.8</v>
      </c>
    </row>
    <row r="178" spans="1:12" x14ac:dyDescent="0.2">
      <c r="A178" s="53">
        <v>40848</v>
      </c>
      <c r="B178" s="50">
        <f>IF(VLOOKUP(Table91213[[#This Row],[Date]],'DB Details'!$A:$Q,2)=0,"",VLOOKUP(Table91213[[#This Row],[Date]],'DB Details'!$A:$Q,2))</f>
        <v>53.4</v>
      </c>
      <c r="C178" s="51">
        <f>IF(VLOOKUP(Table91213[[#This Row],[Date]],'DB Details'!$A:$Q,3)=0,"",VLOOKUP(Table91213[[#This Row],[Date]],'DB Details'!$A:$Q,3))</f>
        <v>48.5</v>
      </c>
      <c r="D178" s="51">
        <f>IF(VLOOKUP(Table91213[[#This Row],[Date]],'DB Details'!$A:$Q,4)=0,"",VLOOKUP(Table91213[[#This Row],[Date]],'DB Details'!$A:$Q,4))</f>
        <v>48</v>
      </c>
      <c r="E178" s="52">
        <f>IF(VLOOKUP(Table91213[[#This Row],[Date]],'DB Details'!$A:$Q,5)=0,"",VLOOKUP(Table91213[[#This Row],[Date]],'DB Details'!$A:$Q,5))</f>
        <v>63.4</v>
      </c>
      <c r="F178" s="51">
        <f>IF(VLOOKUP(Table91213[[#This Row],[Date]],'DB Details'!$A:$Q,6)=0,"",VLOOKUP(Table91213[[#This Row],[Date]],'DB Details'!$A:$Q,6))</f>
        <v>56.1</v>
      </c>
      <c r="G178" s="52">
        <f>IF(VLOOKUP(Table91213[[#This Row],[Date]],'DB Details'!$A:$Q,7)=0,"",VLOOKUP(Table91213[[#This Row],[Date]],'DB Details'!$A:$Q,7))</f>
        <v>63</v>
      </c>
      <c r="H178" s="52">
        <f>IF(VLOOKUP(Table91213[[#This Row],[Date]],'DB Details'!$A:$Q,8)=0,"",VLOOKUP(Table91213[[#This Row],[Date]],'DB Details'!$A:$Q,8))</f>
        <v>52.5</v>
      </c>
      <c r="I178" s="52">
        <f>IF(VLOOKUP(Table91213[[#This Row],[Date]],'DB Details'!$A:$Q,9)=0,"",VLOOKUP(Table91213[[#This Row],[Date]],'DB Details'!$A:$Q,9))</f>
        <v>50</v>
      </c>
      <c r="J178" s="52">
        <f>IF(VLOOKUP(Table91213[[#This Row],[Date]],'DB Details'!$A:$Q,10)=0,"",VLOOKUP(Table91213[[#This Row],[Date]],'DB Details'!$A:$Q,10))</f>
        <v>53.1</v>
      </c>
      <c r="K178" s="52">
        <f>IF(VLOOKUP(Table91213[[#This Row],[Date]],'DB Details'!$A:$Q,11)=0,"",VLOOKUP(Table91213[[#This Row],[Date]],'DB Details'!$A:$Q,11))</f>
        <v>55.5</v>
      </c>
      <c r="L178" s="50">
        <f>IF(VLOOKUP(Table91213[[#This Row],[Date]],'DB Details'!$A:$Q,12)=0,"",VLOOKUP(Table91213[[#This Row],[Date]],'DB Details'!$A:$Q,12))</f>
        <v>52.9</v>
      </c>
    </row>
    <row r="179" spans="1:12" x14ac:dyDescent="0.2">
      <c r="A179" s="53">
        <v>40878</v>
      </c>
      <c r="B179" s="50">
        <f>IF(VLOOKUP(Table91213[[#This Row],[Date]],'DB Details'!$A:$Q,2)=0,"",VLOOKUP(Table91213[[#This Row],[Date]],'DB Details'!$A:$Q,2))</f>
        <v>54.1</v>
      </c>
      <c r="C179" s="51">
        <f>IF(VLOOKUP(Table91213[[#This Row],[Date]],'DB Details'!$A:$Q,3)=0,"",VLOOKUP(Table91213[[#This Row],[Date]],'DB Details'!$A:$Q,3))</f>
        <v>54</v>
      </c>
      <c r="D179" s="51">
        <f>IF(VLOOKUP(Table91213[[#This Row],[Date]],'DB Details'!$A:$Q,4)=0,"",VLOOKUP(Table91213[[#This Row],[Date]],'DB Details'!$A:$Q,4))</f>
        <v>45.5</v>
      </c>
      <c r="E179" s="52">
        <f>IF(VLOOKUP(Table91213[[#This Row],[Date]],'DB Details'!$A:$Q,5)=0,"",VLOOKUP(Table91213[[#This Row],[Date]],'DB Details'!$A:$Q,5))</f>
        <v>62.2</v>
      </c>
      <c r="F179" s="51">
        <f>IF(VLOOKUP(Table91213[[#This Row],[Date]],'DB Details'!$A:$Q,6)=0,"",VLOOKUP(Table91213[[#This Row],[Date]],'DB Details'!$A:$Q,6))</f>
        <v>55.6</v>
      </c>
      <c r="G179" s="52">
        <f>IF(VLOOKUP(Table91213[[#This Row],[Date]],'DB Details'!$A:$Q,7)=0,"",VLOOKUP(Table91213[[#This Row],[Date]],'DB Details'!$A:$Q,7))</f>
        <v>59.5</v>
      </c>
      <c r="H179" s="52">
        <f>IF(VLOOKUP(Table91213[[#This Row],[Date]],'DB Details'!$A:$Q,8)=0,"",VLOOKUP(Table91213[[#This Row],[Date]],'DB Details'!$A:$Q,8))</f>
        <v>48.5</v>
      </c>
      <c r="I179" s="52">
        <f>IF(VLOOKUP(Table91213[[#This Row],[Date]],'DB Details'!$A:$Q,9)=0,"",VLOOKUP(Table91213[[#This Row],[Date]],'DB Details'!$A:$Q,9))</f>
        <v>51.5</v>
      </c>
      <c r="J179" s="52">
        <f>IF(VLOOKUP(Table91213[[#This Row],[Date]],'DB Details'!$A:$Q,10)=0,"",VLOOKUP(Table91213[[#This Row],[Date]],'DB Details'!$A:$Q,10))</f>
        <v>49</v>
      </c>
      <c r="K179" s="52">
        <f>IF(VLOOKUP(Table91213[[#This Row],[Date]],'DB Details'!$A:$Q,11)=0,"",VLOOKUP(Table91213[[#This Row],[Date]],'DB Details'!$A:$Q,11))</f>
        <v>51</v>
      </c>
      <c r="L179" s="50">
        <f>IF(VLOOKUP(Table91213[[#This Row],[Date]],'DB Details'!$A:$Q,12)=0,"",VLOOKUP(Table91213[[#This Row],[Date]],'DB Details'!$A:$Q,12))</f>
        <v>52.6</v>
      </c>
    </row>
    <row r="180" spans="1:12" x14ac:dyDescent="0.2">
      <c r="A180" s="53">
        <v>40909</v>
      </c>
      <c r="B180" s="50">
        <f>IF(VLOOKUP(Table91213[[#This Row],[Date]],'DB Details'!$A:$Q,2)=0,"",VLOOKUP(Table91213[[#This Row],[Date]],'DB Details'!$A:$Q,2))</f>
        <v>59.5</v>
      </c>
      <c r="C180" s="51">
        <f>IF(VLOOKUP(Table91213[[#This Row],[Date]],'DB Details'!$A:$Q,3)=0,"",VLOOKUP(Table91213[[#This Row],[Date]],'DB Details'!$A:$Q,3))</f>
        <v>55</v>
      </c>
      <c r="D180" s="51">
        <f>IF(VLOOKUP(Table91213[[#This Row],[Date]],'DB Details'!$A:$Q,4)=0,"",VLOOKUP(Table91213[[#This Row],[Date]],'DB Details'!$A:$Q,4))</f>
        <v>49.5</v>
      </c>
      <c r="E180" s="52">
        <f>IF(VLOOKUP(Table91213[[#This Row],[Date]],'DB Details'!$A:$Q,5)=0,"",VLOOKUP(Table91213[[#This Row],[Date]],'DB Details'!$A:$Q,5))</f>
        <v>61.4</v>
      </c>
      <c r="F180" s="51">
        <f>IF(VLOOKUP(Table91213[[#This Row],[Date]],'DB Details'!$A:$Q,6)=0,"",VLOOKUP(Table91213[[#This Row],[Date]],'DB Details'!$A:$Q,6))</f>
        <v>58.7</v>
      </c>
      <c r="G180" s="52">
        <f>IF(VLOOKUP(Table91213[[#This Row],[Date]],'DB Details'!$A:$Q,7)=0,"",VLOOKUP(Table91213[[#This Row],[Date]],'DB Details'!$A:$Q,7))</f>
        <v>58.5</v>
      </c>
      <c r="H180" s="52">
        <f>IF(VLOOKUP(Table91213[[#This Row],[Date]],'DB Details'!$A:$Q,8)=0,"",VLOOKUP(Table91213[[#This Row],[Date]],'DB Details'!$A:$Q,8))</f>
        <v>47</v>
      </c>
      <c r="I180" s="52">
        <f>IF(VLOOKUP(Table91213[[#This Row],[Date]],'DB Details'!$A:$Q,9)=0,"",VLOOKUP(Table91213[[#This Row],[Date]],'DB Details'!$A:$Q,9))</f>
        <v>51</v>
      </c>
      <c r="J180" s="52">
        <f>IF(VLOOKUP(Table91213[[#This Row],[Date]],'DB Details'!$A:$Q,10)=0,"",VLOOKUP(Table91213[[#This Row],[Date]],'DB Details'!$A:$Q,10))</f>
        <v>54.9</v>
      </c>
      <c r="K180" s="52">
        <f>IF(VLOOKUP(Table91213[[#This Row],[Date]],'DB Details'!$A:$Q,11)=0,"",VLOOKUP(Table91213[[#This Row],[Date]],'DB Details'!$A:$Q,11))</f>
        <v>56.5</v>
      </c>
      <c r="L180" s="50">
        <f>IF(VLOOKUP(Table91213[[#This Row],[Date]],'DB Details'!$A:$Q,12)=0,"",VLOOKUP(Table91213[[#This Row],[Date]],'DB Details'!$A:$Q,12))</f>
        <v>56</v>
      </c>
    </row>
    <row r="181" spans="1:12" x14ac:dyDescent="0.2">
      <c r="A181" s="53">
        <v>40940</v>
      </c>
      <c r="B181" s="50">
        <f>IF(VLOOKUP(Table91213[[#This Row],[Date]],'DB Details'!$A:$Q,2)=0,"",VLOOKUP(Table91213[[#This Row],[Date]],'DB Details'!$A:$Q,2))</f>
        <v>59.9</v>
      </c>
      <c r="C181" s="51">
        <f>IF(VLOOKUP(Table91213[[#This Row],[Date]],'DB Details'!$A:$Q,3)=0,"",VLOOKUP(Table91213[[#This Row],[Date]],'DB Details'!$A:$Q,3))</f>
        <v>52</v>
      </c>
      <c r="D181" s="51">
        <f>IF(VLOOKUP(Table91213[[#This Row],[Date]],'DB Details'!$A:$Q,4)=0,"",VLOOKUP(Table91213[[#This Row],[Date]],'DB Details'!$A:$Q,4))</f>
        <v>53</v>
      </c>
      <c r="E181" s="52">
        <f>IF(VLOOKUP(Table91213[[#This Row],[Date]],'DB Details'!$A:$Q,5)=0,"",VLOOKUP(Table91213[[#This Row],[Date]],'DB Details'!$A:$Q,5))</f>
        <v>67.400000000000006</v>
      </c>
      <c r="F181" s="51">
        <f>IF(VLOOKUP(Table91213[[#This Row],[Date]],'DB Details'!$A:$Q,6)=0,"",VLOOKUP(Table91213[[#This Row],[Date]],'DB Details'!$A:$Q,6))</f>
        <v>59.9</v>
      </c>
      <c r="G181" s="52">
        <f>IF(VLOOKUP(Table91213[[#This Row],[Date]],'DB Details'!$A:$Q,7)=0,"",VLOOKUP(Table91213[[#This Row],[Date]],'DB Details'!$A:$Q,7))</f>
        <v>61.5</v>
      </c>
      <c r="H181" s="52">
        <f>IF(VLOOKUP(Table91213[[#This Row],[Date]],'DB Details'!$A:$Q,8)=0,"",VLOOKUP(Table91213[[#This Row],[Date]],'DB Details'!$A:$Q,8))</f>
        <v>53.5</v>
      </c>
      <c r="I181" s="52">
        <f>IF(VLOOKUP(Table91213[[#This Row],[Date]],'DB Details'!$A:$Q,9)=0,"",VLOOKUP(Table91213[[#This Row],[Date]],'DB Details'!$A:$Q,9))</f>
        <v>49.5</v>
      </c>
      <c r="J181" s="52">
        <f>IF(VLOOKUP(Table91213[[#This Row],[Date]],'DB Details'!$A:$Q,10)=0,"",VLOOKUP(Table91213[[#This Row],[Date]],'DB Details'!$A:$Q,10))</f>
        <v>53.2</v>
      </c>
      <c r="K181" s="52">
        <f>IF(VLOOKUP(Table91213[[#This Row],[Date]],'DB Details'!$A:$Q,11)=0,"",VLOOKUP(Table91213[[#This Row],[Date]],'DB Details'!$A:$Q,11))</f>
        <v>54.5</v>
      </c>
      <c r="L181" s="50">
        <f>IF(VLOOKUP(Table91213[[#This Row],[Date]],'DB Details'!$A:$Q,12)=0,"",VLOOKUP(Table91213[[#This Row],[Date]],'DB Details'!$A:$Q,12))</f>
        <v>56</v>
      </c>
    </row>
    <row r="182" spans="1:12" x14ac:dyDescent="0.2">
      <c r="A182" s="53">
        <v>40969</v>
      </c>
      <c r="B182" s="50">
        <f>IF(VLOOKUP(Table91213[[#This Row],[Date]],'DB Details'!$A:$Q,2)=0,"",VLOOKUP(Table91213[[#This Row],[Date]],'DB Details'!$A:$Q,2))</f>
        <v>57.9</v>
      </c>
      <c r="C182" s="51">
        <f>IF(VLOOKUP(Table91213[[#This Row],[Date]],'DB Details'!$A:$Q,3)=0,"",VLOOKUP(Table91213[[#This Row],[Date]],'DB Details'!$A:$Q,3))</f>
        <v>56</v>
      </c>
      <c r="D182" s="51">
        <f>IF(VLOOKUP(Table91213[[#This Row],[Date]],'DB Details'!$A:$Q,4)=0,"",VLOOKUP(Table91213[[#This Row],[Date]],'DB Details'!$A:$Q,4))</f>
        <v>49.5</v>
      </c>
      <c r="E182" s="52">
        <f>IF(VLOOKUP(Table91213[[#This Row],[Date]],'DB Details'!$A:$Q,5)=0,"",VLOOKUP(Table91213[[#This Row],[Date]],'DB Details'!$A:$Q,5))</f>
        <v>65</v>
      </c>
      <c r="F182" s="51">
        <f>IF(VLOOKUP(Table91213[[#This Row],[Date]],'DB Details'!$A:$Q,6)=0,"",VLOOKUP(Table91213[[#This Row],[Date]],'DB Details'!$A:$Q,6))</f>
        <v>58.5</v>
      </c>
      <c r="G182" s="52">
        <f>IF(VLOOKUP(Table91213[[#This Row],[Date]],'DB Details'!$A:$Q,7)=0,"",VLOOKUP(Table91213[[#This Row],[Date]],'DB Details'!$A:$Q,7))</f>
        <v>58.5</v>
      </c>
      <c r="H182" s="52">
        <f>IF(VLOOKUP(Table91213[[#This Row],[Date]],'DB Details'!$A:$Q,8)=0,"",VLOOKUP(Table91213[[#This Row],[Date]],'DB Details'!$A:$Q,8))</f>
        <v>54</v>
      </c>
      <c r="I182" s="52">
        <f>IF(VLOOKUP(Table91213[[#This Row],[Date]],'DB Details'!$A:$Q,9)=0,"",VLOOKUP(Table91213[[#This Row],[Date]],'DB Details'!$A:$Q,9))</f>
        <v>49.5</v>
      </c>
      <c r="J182" s="52">
        <f>IF(VLOOKUP(Table91213[[#This Row],[Date]],'DB Details'!$A:$Q,10)=0,"",VLOOKUP(Table91213[[#This Row],[Date]],'DB Details'!$A:$Q,10))</f>
        <v>55.2</v>
      </c>
      <c r="K182" s="52">
        <f>IF(VLOOKUP(Table91213[[#This Row],[Date]],'DB Details'!$A:$Q,11)=0,"",VLOOKUP(Table91213[[#This Row],[Date]],'DB Details'!$A:$Q,11))</f>
        <v>52.5</v>
      </c>
      <c r="L182" s="50">
        <f>IF(VLOOKUP(Table91213[[#This Row],[Date]],'DB Details'!$A:$Q,12)=0,"",VLOOKUP(Table91213[[#This Row],[Date]],'DB Details'!$A:$Q,12))</f>
        <v>55.6</v>
      </c>
    </row>
    <row r="183" spans="1:12" x14ac:dyDescent="0.2">
      <c r="A183" s="53">
        <v>41000</v>
      </c>
      <c r="B183" s="50">
        <f>IF(VLOOKUP(Table91213[[#This Row],[Date]],'DB Details'!$A:$Q,2)=0,"",VLOOKUP(Table91213[[#This Row],[Date]],'DB Details'!$A:$Q,2))</f>
        <v>55.1</v>
      </c>
      <c r="C183" s="51">
        <f>IF(VLOOKUP(Table91213[[#This Row],[Date]],'DB Details'!$A:$Q,3)=0,"",VLOOKUP(Table91213[[#This Row],[Date]],'DB Details'!$A:$Q,3))</f>
        <v>56.5</v>
      </c>
      <c r="D183" s="51">
        <f>IF(VLOOKUP(Table91213[[#This Row],[Date]],'DB Details'!$A:$Q,4)=0,"",VLOOKUP(Table91213[[#This Row],[Date]],'DB Details'!$A:$Q,4))</f>
        <v>53</v>
      </c>
      <c r="E183" s="52">
        <f>IF(VLOOKUP(Table91213[[#This Row],[Date]],'DB Details'!$A:$Q,5)=0,"",VLOOKUP(Table91213[[#This Row],[Date]],'DB Details'!$A:$Q,5))</f>
        <v>56.6</v>
      </c>
      <c r="F183" s="51">
        <f>IF(VLOOKUP(Table91213[[#This Row],[Date]],'DB Details'!$A:$Q,6)=0,"",VLOOKUP(Table91213[[#This Row],[Date]],'DB Details'!$A:$Q,6))</f>
        <v>56</v>
      </c>
      <c r="G183" s="52">
        <f>IF(VLOOKUP(Table91213[[#This Row],[Date]],'DB Details'!$A:$Q,7)=0,"",VLOOKUP(Table91213[[#This Row],[Date]],'DB Details'!$A:$Q,7))</f>
        <v>61</v>
      </c>
      <c r="H183" s="52">
        <f>IF(VLOOKUP(Table91213[[#This Row],[Date]],'DB Details'!$A:$Q,8)=0,"",VLOOKUP(Table91213[[#This Row],[Date]],'DB Details'!$A:$Q,8))</f>
        <v>54</v>
      </c>
      <c r="I183" s="52">
        <f>IF(VLOOKUP(Table91213[[#This Row],[Date]],'DB Details'!$A:$Q,9)=0,"",VLOOKUP(Table91213[[#This Row],[Date]],'DB Details'!$A:$Q,9))</f>
        <v>51.5</v>
      </c>
      <c r="J183" s="52">
        <f>IF(VLOOKUP(Table91213[[#This Row],[Date]],'DB Details'!$A:$Q,10)=0,"",VLOOKUP(Table91213[[#This Row],[Date]],'DB Details'!$A:$Q,10))</f>
        <v>54.5</v>
      </c>
      <c r="K183" s="52">
        <f>IF(VLOOKUP(Table91213[[#This Row],[Date]],'DB Details'!$A:$Q,11)=0,"",VLOOKUP(Table91213[[#This Row],[Date]],'DB Details'!$A:$Q,11))</f>
        <v>58</v>
      </c>
      <c r="L183" s="50">
        <f>IF(VLOOKUP(Table91213[[#This Row],[Date]],'DB Details'!$A:$Q,12)=0,"",VLOOKUP(Table91213[[#This Row],[Date]],'DB Details'!$A:$Q,12))</f>
        <v>54.4</v>
      </c>
    </row>
    <row r="184" spans="1:12" x14ac:dyDescent="0.2">
      <c r="A184" s="53">
        <v>41030</v>
      </c>
      <c r="B184" s="50">
        <f>IF(VLOOKUP(Table91213[[#This Row],[Date]],'DB Details'!$A:$Q,2)=0,"",VLOOKUP(Table91213[[#This Row],[Date]],'DB Details'!$A:$Q,2))</f>
        <v>55.6</v>
      </c>
      <c r="C184" s="51">
        <f>IF(VLOOKUP(Table91213[[#This Row],[Date]],'DB Details'!$A:$Q,3)=0,"",VLOOKUP(Table91213[[#This Row],[Date]],'DB Details'!$A:$Q,3))</f>
        <v>53</v>
      </c>
      <c r="D184" s="51">
        <f>IF(VLOOKUP(Table91213[[#This Row],[Date]],'DB Details'!$A:$Q,4)=0,"",VLOOKUP(Table91213[[#This Row],[Date]],'DB Details'!$A:$Q,4))</f>
        <v>53</v>
      </c>
      <c r="E184" s="52">
        <f>IF(VLOOKUP(Table91213[[#This Row],[Date]],'DB Details'!$A:$Q,5)=0,"",VLOOKUP(Table91213[[#This Row],[Date]],'DB Details'!$A:$Q,5))</f>
        <v>52.8</v>
      </c>
      <c r="F184" s="51">
        <f>IF(VLOOKUP(Table91213[[#This Row],[Date]],'DB Details'!$A:$Q,6)=0,"",VLOOKUP(Table91213[[#This Row],[Date]],'DB Details'!$A:$Q,6))</f>
        <v>56.4</v>
      </c>
      <c r="G184" s="52">
        <f>IF(VLOOKUP(Table91213[[#This Row],[Date]],'DB Details'!$A:$Q,7)=0,"",VLOOKUP(Table91213[[#This Row],[Date]],'DB Details'!$A:$Q,7))</f>
        <v>63</v>
      </c>
      <c r="H184" s="52">
        <f>IF(VLOOKUP(Table91213[[#This Row],[Date]],'DB Details'!$A:$Q,8)=0,"",VLOOKUP(Table91213[[#This Row],[Date]],'DB Details'!$A:$Q,8))</f>
        <v>56</v>
      </c>
      <c r="I184" s="52">
        <f>IF(VLOOKUP(Table91213[[#This Row],[Date]],'DB Details'!$A:$Q,9)=0,"",VLOOKUP(Table91213[[#This Row],[Date]],'DB Details'!$A:$Q,9))</f>
        <v>53</v>
      </c>
      <c r="J184" s="52">
        <f>IF(VLOOKUP(Table91213[[#This Row],[Date]],'DB Details'!$A:$Q,10)=0,"",VLOOKUP(Table91213[[#This Row],[Date]],'DB Details'!$A:$Q,10))</f>
        <v>51.9</v>
      </c>
      <c r="K184" s="52">
        <f>IF(VLOOKUP(Table91213[[#This Row],[Date]],'DB Details'!$A:$Q,11)=0,"",VLOOKUP(Table91213[[#This Row],[Date]],'DB Details'!$A:$Q,11))</f>
        <v>53</v>
      </c>
      <c r="L184" s="50">
        <f>IF(VLOOKUP(Table91213[[#This Row],[Date]],'DB Details'!$A:$Q,12)=0,"",VLOOKUP(Table91213[[#This Row],[Date]],'DB Details'!$A:$Q,12))</f>
        <v>54.5</v>
      </c>
    </row>
    <row r="185" spans="1:12" x14ac:dyDescent="0.2">
      <c r="A185" s="53">
        <v>41061</v>
      </c>
      <c r="B185" s="50">
        <f>IF(VLOOKUP(Table91213[[#This Row],[Date]],'DB Details'!$A:$Q,2)=0,"",VLOOKUP(Table91213[[#This Row],[Date]],'DB Details'!$A:$Q,2))</f>
        <v>55.7</v>
      </c>
      <c r="C185" s="51">
        <f>IF(VLOOKUP(Table91213[[#This Row],[Date]],'DB Details'!$A:$Q,3)=0,"",VLOOKUP(Table91213[[#This Row],[Date]],'DB Details'!$A:$Q,3))</f>
        <v>53.5</v>
      </c>
      <c r="D185" s="51">
        <f>IF(VLOOKUP(Table91213[[#This Row],[Date]],'DB Details'!$A:$Q,4)=0,"",VLOOKUP(Table91213[[#This Row],[Date]],'DB Details'!$A:$Q,4))</f>
        <v>47.5</v>
      </c>
      <c r="E185" s="52">
        <f>IF(VLOOKUP(Table91213[[#This Row],[Date]],'DB Details'!$A:$Q,5)=0,"",VLOOKUP(Table91213[[#This Row],[Date]],'DB Details'!$A:$Q,5))</f>
        <v>49.7</v>
      </c>
      <c r="F185" s="51">
        <f>IF(VLOOKUP(Table91213[[#This Row],[Date]],'DB Details'!$A:$Q,6)=0,"",VLOOKUP(Table91213[[#This Row],[Date]],'DB Details'!$A:$Q,6))</f>
        <v>53.6</v>
      </c>
      <c r="G185" s="52">
        <f>IF(VLOOKUP(Table91213[[#This Row],[Date]],'DB Details'!$A:$Q,7)=0,"",VLOOKUP(Table91213[[#This Row],[Date]],'DB Details'!$A:$Q,7))</f>
        <v>64.5</v>
      </c>
      <c r="H185" s="52">
        <f>IF(VLOOKUP(Table91213[[#This Row],[Date]],'DB Details'!$A:$Q,8)=0,"",VLOOKUP(Table91213[[#This Row],[Date]],'DB Details'!$A:$Q,8))</f>
        <v>53</v>
      </c>
      <c r="I185" s="52">
        <f>IF(VLOOKUP(Table91213[[#This Row],[Date]],'DB Details'!$A:$Q,9)=0,"",VLOOKUP(Table91213[[#This Row],[Date]],'DB Details'!$A:$Q,9))</f>
        <v>51</v>
      </c>
      <c r="J185" s="52">
        <f>IF(VLOOKUP(Table91213[[#This Row],[Date]],'DB Details'!$A:$Q,10)=0,"",VLOOKUP(Table91213[[#This Row],[Date]],'DB Details'!$A:$Q,10))</f>
        <v>52.5</v>
      </c>
      <c r="K185" s="52">
        <f>IF(VLOOKUP(Table91213[[#This Row],[Date]],'DB Details'!$A:$Q,11)=0,"",VLOOKUP(Table91213[[#This Row],[Date]],'DB Details'!$A:$Q,11))</f>
        <v>49.5</v>
      </c>
      <c r="L185" s="50">
        <f>IF(VLOOKUP(Table91213[[#This Row],[Date]],'DB Details'!$A:$Q,12)=0,"",VLOOKUP(Table91213[[#This Row],[Date]],'DB Details'!$A:$Q,12))</f>
        <v>53.7</v>
      </c>
    </row>
    <row r="186" spans="1:12" x14ac:dyDescent="0.2">
      <c r="A186" s="53">
        <v>41091</v>
      </c>
      <c r="B186" s="50">
        <f>IF(VLOOKUP(Table91213[[#This Row],[Date]],'DB Details'!$A:$Q,2)=0,"",VLOOKUP(Table91213[[#This Row],[Date]],'DB Details'!$A:$Q,2))</f>
        <v>54.3</v>
      </c>
      <c r="C186" s="51">
        <f>IF(VLOOKUP(Table91213[[#This Row],[Date]],'DB Details'!$A:$Q,3)=0,"",VLOOKUP(Table91213[[#This Row],[Date]],'DB Details'!$A:$Q,3))</f>
        <v>44.5</v>
      </c>
      <c r="D186" s="51">
        <f>IF(VLOOKUP(Table91213[[#This Row],[Date]],'DB Details'!$A:$Q,4)=0,"",VLOOKUP(Table91213[[#This Row],[Date]],'DB Details'!$A:$Q,4))</f>
        <v>44.5</v>
      </c>
      <c r="E186" s="52">
        <f>IF(VLOOKUP(Table91213[[#This Row],[Date]],'DB Details'!$A:$Q,5)=0,"",VLOOKUP(Table91213[[#This Row],[Date]],'DB Details'!$A:$Q,5))</f>
        <v>54.8</v>
      </c>
      <c r="F186" s="51">
        <f>IF(VLOOKUP(Table91213[[#This Row],[Date]],'DB Details'!$A:$Q,6)=0,"",VLOOKUP(Table91213[[#This Row],[Date]],'DB Details'!$A:$Q,6))</f>
        <v>56.2</v>
      </c>
      <c r="G186" s="52">
        <f>IF(VLOOKUP(Table91213[[#This Row],[Date]],'DB Details'!$A:$Q,7)=0,"",VLOOKUP(Table91213[[#This Row],[Date]],'DB Details'!$A:$Q,7))</f>
        <v>59</v>
      </c>
      <c r="H186" s="52">
        <f>IF(VLOOKUP(Table91213[[#This Row],[Date]],'DB Details'!$A:$Q,8)=0,"",VLOOKUP(Table91213[[#This Row],[Date]],'DB Details'!$A:$Q,8))</f>
        <v>54.5</v>
      </c>
      <c r="I186" s="52">
        <f>IF(VLOOKUP(Table91213[[#This Row],[Date]],'DB Details'!$A:$Q,9)=0,"",VLOOKUP(Table91213[[#This Row],[Date]],'DB Details'!$A:$Q,9))</f>
        <v>49.5</v>
      </c>
      <c r="J186" s="52">
        <f>IF(VLOOKUP(Table91213[[#This Row],[Date]],'DB Details'!$A:$Q,10)=0,"",VLOOKUP(Table91213[[#This Row],[Date]],'DB Details'!$A:$Q,10))</f>
        <v>50.3</v>
      </c>
      <c r="K186" s="52">
        <f>IF(VLOOKUP(Table91213[[#This Row],[Date]],'DB Details'!$A:$Q,11)=0,"",VLOOKUP(Table91213[[#This Row],[Date]],'DB Details'!$A:$Q,11))</f>
        <v>51</v>
      </c>
      <c r="L186" s="50">
        <f>IF(VLOOKUP(Table91213[[#This Row],[Date]],'DB Details'!$A:$Q,12)=0,"",VLOOKUP(Table91213[[#This Row],[Date]],'DB Details'!$A:$Q,12))</f>
        <v>52.4</v>
      </c>
    </row>
    <row r="187" spans="1:12" x14ac:dyDescent="0.2">
      <c r="A187" s="53">
        <v>41122</v>
      </c>
      <c r="B187" s="50">
        <f>IF(VLOOKUP(Table91213[[#This Row],[Date]],'DB Details'!$A:$Q,2)=0,"",VLOOKUP(Table91213[[#This Row],[Date]],'DB Details'!$A:$Q,2))</f>
        <v>53.6</v>
      </c>
      <c r="C187" s="51">
        <f>IF(VLOOKUP(Table91213[[#This Row],[Date]],'DB Details'!$A:$Q,3)=0,"",VLOOKUP(Table91213[[#This Row],[Date]],'DB Details'!$A:$Q,3))</f>
        <v>49.5</v>
      </c>
      <c r="D187" s="51">
        <f>IF(VLOOKUP(Table91213[[#This Row],[Date]],'DB Details'!$A:$Q,4)=0,"",VLOOKUP(Table91213[[#This Row],[Date]],'DB Details'!$A:$Q,4))</f>
        <v>50.5</v>
      </c>
      <c r="E187" s="52">
        <f>IF(VLOOKUP(Table91213[[#This Row],[Date]],'DB Details'!$A:$Q,5)=0,"",VLOOKUP(Table91213[[#This Row],[Date]],'DB Details'!$A:$Q,5))</f>
        <v>61.8</v>
      </c>
      <c r="F187" s="51">
        <f>IF(VLOOKUP(Table91213[[#This Row],[Date]],'DB Details'!$A:$Q,6)=0,"",VLOOKUP(Table91213[[#This Row],[Date]],'DB Details'!$A:$Q,6))</f>
        <v>55.3</v>
      </c>
      <c r="G187" s="52">
        <f>IF(VLOOKUP(Table91213[[#This Row],[Date]],'DB Details'!$A:$Q,7)=0,"",VLOOKUP(Table91213[[#This Row],[Date]],'DB Details'!$A:$Q,7))</f>
        <v>67</v>
      </c>
      <c r="H187" s="52">
        <f>IF(VLOOKUP(Table91213[[#This Row],[Date]],'DB Details'!$A:$Q,8)=0,"",VLOOKUP(Table91213[[#This Row],[Date]],'DB Details'!$A:$Q,8))</f>
        <v>52.5</v>
      </c>
      <c r="I187" s="52">
        <f>IF(VLOOKUP(Table91213[[#This Row],[Date]],'DB Details'!$A:$Q,9)=0,"",VLOOKUP(Table91213[[#This Row],[Date]],'DB Details'!$A:$Q,9))</f>
        <v>51.5</v>
      </c>
      <c r="J187" s="52">
        <f>IF(VLOOKUP(Table91213[[#This Row],[Date]],'DB Details'!$A:$Q,10)=0,"",VLOOKUP(Table91213[[#This Row],[Date]],'DB Details'!$A:$Q,10))</f>
        <v>53.3</v>
      </c>
      <c r="K187" s="52">
        <f>IF(VLOOKUP(Table91213[[#This Row],[Date]],'DB Details'!$A:$Q,11)=0,"",VLOOKUP(Table91213[[#This Row],[Date]],'DB Details'!$A:$Q,11))</f>
        <v>52</v>
      </c>
      <c r="L187" s="50">
        <f>IF(VLOOKUP(Table91213[[#This Row],[Date]],'DB Details'!$A:$Q,12)=0,"",VLOOKUP(Table91213[[#This Row],[Date]],'DB Details'!$A:$Q,12))</f>
        <v>52.9</v>
      </c>
    </row>
    <row r="188" spans="1:12" x14ac:dyDescent="0.2">
      <c r="A188" s="53">
        <v>41153</v>
      </c>
      <c r="B188" s="50">
        <f>IF(VLOOKUP(Table91213[[#This Row],[Date]],'DB Details'!$A:$Q,2)=0,"",VLOOKUP(Table91213[[#This Row],[Date]],'DB Details'!$A:$Q,2))</f>
        <v>55.6</v>
      </c>
      <c r="C188" s="51">
        <f>IF(VLOOKUP(Table91213[[#This Row],[Date]],'DB Details'!$A:$Q,3)=0,"",VLOOKUP(Table91213[[#This Row],[Date]],'DB Details'!$A:$Q,3))</f>
        <v>50</v>
      </c>
      <c r="D188" s="51">
        <f>IF(VLOOKUP(Table91213[[#This Row],[Date]],'DB Details'!$A:$Q,4)=0,"",VLOOKUP(Table91213[[#This Row],[Date]],'DB Details'!$A:$Q,4))</f>
        <v>48</v>
      </c>
      <c r="E188" s="52">
        <f>IF(VLOOKUP(Table91213[[#This Row],[Date]],'DB Details'!$A:$Q,5)=0,"",VLOOKUP(Table91213[[#This Row],[Date]],'DB Details'!$A:$Q,5))</f>
        <v>65.900000000000006</v>
      </c>
      <c r="F188" s="51">
        <f>IF(VLOOKUP(Table91213[[#This Row],[Date]],'DB Details'!$A:$Q,6)=0,"",VLOOKUP(Table91213[[#This Row],[Date]],'DB Details'!$A:$Q,6))</f>
        <v>60.2</v>
      </c>
      <c r="G188" s="52">
        <f>IF(VLOOKUP(Table91213[[#This Row],[Date]],'DB Details'!$A:$Q,7)=0,"",VLOOKUP(Table91213[[#This Row],[Date]],'DB Details'!$A:$Q,7))</f>
        <v>65</v>
      </c>
      <c r="H188" s="52">
        <f>IF(VLOOKUP(Table91213[[#This Row],[Date]],'DB Details'!$A:$Q,8)=0,"",VLOOKUP(Table91213[[#This Row],[Date]],'DB Details'!$A:$Q,8))</f>
        <v>48.5</v>
      </c>
      <c r="I188" s="52">
        <f>IF(VLOOKUP(Table91213[[#This Row],[Date]],'DB Details'!$A:$Q,9)=0,"",VLOOKUP(Table91213[[#This Row],[Date]],'DB Details'!$A:$Q,9))</f>
        <v>51.5</v>
      </c>
      <c r="J188" s="52">
        <f>IF(VLOOKUP(Table91213[[#This Row],[Date]],'DB Details'!$A:$Q,10)=0,"",VLOOKUP(Table91213[[#This Row],[Date]],'DB Details'!$A:$Q,10))</f>
        <v>53.2</v>
      </c>
      <c r="K188" s="52">
        <f>IF(VLOOKUP(Table91213[[#This Row],[Date]],'DB Details'!$A:$Q,11)=0,"",VLOOKUP(Table91213[[#This Row],[Date]],'DB Details'!$A:$Q,11))</f>
        <v>50.5</v>
      </c>
      <c r="L188" s="50">
        <f>IF(VLOOKUP(Table91213[[#This Row],[Date]],'DB Details'!$A:$Q,12)=0,"",VLOOKUP(Table91213[[#This Row],[Date]],'DB Details'!$A:$Q,12))</f>
        <v>54.6</v>
      </c>
    </row>
    <row r="189" spans="1:12" x14ac:dyDescent="0.2">
      <c r="A189" s="53">
        <v>41183</v>
      </c>
      <c r="B189" s="50">
        <f>IF(VLOOKUP(Table91213[[#This Row],[Date]],'DB Details'!$A:$Q,2)=0,"",VLOOKUP(Table91213[[#This Row],[Date]],'DB Details'!$A:$Q,2))</f>
        <v>55.5</v>
      </c>
      <c r="C189" s="51">
        <f>IF(VLOOKUP(Table91213[[#This Row],[Date]],'DB Details'!$A:$Q,3)=0,"",VLOOKUP(Table91213[[#This Row],[Date]],'DB Details'!$A:$Q,3))</f>
        <v>49.5</v>
      </c>
      <c r="D189" s="51">
        <f>IF(VLOOKUP(Table91213[[#This Row],[Date]],'DB Details'!$A:$Q,4)=0,"",VLOOKUP(Table91213[[#This Row],[Date]],'DB Details'!$A:$Q,4))</f>
        <v>49</v>
      </c>
      <c r="E189" s="52">
        <f>IF(VLOOKUP(Table91213[[#This Row],[Date]],'DB Details'!$A:$Q,5)=0,"",VLOOKUP(Table91213[[#This Row],[Date]],'DB Details'!$A:$Q,5))</f>
        <v>61.7</v>
      </c>
      <c r="F189" s="51">
        <f>IF(VLOOKUP(Table91213[[#This Row],[Date]],'DB Details'!$A:$Q,6)=0,"",VLOOKUP(Table91213[[#This Row],[Date]],'DB Details'!$A:$Q,6))</f>
        <v>56.1</v>
      </c>
      <c r="G189" s="52">
        <f>IF(VLOOKUP(Table91213[[#This Row],[Date]],'DB Details'!$A:$Q,7)=0,"",VLOOKUP(Table91213[[#This Row],[Date]],'DB Details'!$A:$Q,7))</f>
        <v>64</v>
      </c>
      <c r="H189" s="52">
        <f>IF(VLOOKUP(Table91213[[#This Row],[Date]],'DB Details'!$A:$Q,8)=0,"",VLOOKUP(Table91213[[#This Row],[Date]],'DB Details'!$A:$Q,8))</f>
        <v>46.5</v>
      </c>
      <c r="I189" s="52">
        <f>IF(VLOOKUP(Table91213[[#This Row],[Date]],'DB Details'!$A:$Q,9)=0,"",VLOOKUP(Table91213[[#This Row],[Date]],'DB Details'!$A:$Q,9))</f>
        <v>51.5</v>
      </c>
      <c r="J189" s="52">
        <f>IF(VLOOKUP(Table91213[[#This Row],[Date]],'DB Details'!$A:$Q,10)=0,"",VLOOKUP(Table91213[[#This Row],[Date]],'DB Details'!$A:$Q,10))</f>
        <v>54.7</v>
      </c>
      <c r="K189" s="52">
        <f>IF(VLOOKUP(Table91213[[#This Row],[Date]],'DB Details'!$A:$Q,11)=0,"",VLOOKUP(Table91213[[#This Row],[Date]],'DB Details'!$A:$Q,11))</f>
        <v>47.5</v>
      </c>
      <c r="L189" s="50">
        <f>IF(VLOOKUP(Table91213[[#This Row],[Date]],'DB Details'!$A:$Q,12)=0,"",VLOOKUP(Table91213[[#This Row],[Date]],'DB Details'!$A:$Q,12))</f>
        <v>54.2</v>
      </c>
    </row>
    <row r="190" spans="1:12" x14ac:dyDescent="0.2">
      <c r="A190" s="53">
        <v>41214</v>
      </c>
      <c r="B190" s="50">
        <f>IF(VLOOKUP(Table91213[[#This Row],[Date]],'DB Details'!$A:$Q,2)=0,"",VLOOKUP(Table91213[[#This Row],[Date]],'DB Details'!$A:$Q,2))</f>
        <v>57.1</v>
      </c>
      <c r="C190" s="51">
        <f>IF(VLOOKUP(Table91213[[#This Row],[Date]],'DB Details'!$A:$Q,3)=0,"",VLOOKUP(Table91213[[#This Row],[Date]],'DB Details'!$A:$Q,3))</f>
        <v>55.5</v>
      </c>
      <c r="D190" s="51">
        <f>IF(VLOOKUP(Table91213[[#This Row],[Date]],'DB Details'!$A:$Q,4)=0,"",VLOOKUP(Table91213[[#This Row],[Date]],'DB Details'!$A:$Q,4))</f>
        <v>53.5</v>
      </c>
      <c r="E190" s="52">
        <f>IF(VLOOKUP(Table91213[[#This Row],[Date]],'DB Details'!$A:$Q,5)=0,"",VLOOKUP(Table91213[[#This Row],[Date]],'DB Details'!$A:$Q,5))</f>
        <v>57.9</v>
      </c>
      <c r="F190" s="51">
        <f>IF(VLOOKUP(Table91213[[#This Row],[Date]],'DB Details'!$A:$Q,6)=0,"",VLOOKUP(Table91213[[#This Row],[Date]],'DB Details'!$A:$Q,6))</f>
        <v>60.9</v>
      </c>
      <c r="G190" s="52">
        <f>IF(VLOOKUP(Table91213[[#This Row],[Date]],'DB Details'!$A:$Q,7)=0,"",VLOOKUP(Table91213[[#This Row],[Date]],'DB Details'!$A:$Q,7))</f>
        <v>62.5</v>
      </c>
      <c r="H190" s="52">
        <f>IF(VLOOKUP(Table91213[[#This Row],[Date]],'DB Details'!$A:$Q,8)=0,"",VLOOKUP(Table91213[[#This Row],[Date]],'DB Details'!$A:$Q,8))</f>
        <v>47</v>
      </c>
      <c r="I190" s="52">
        <f>IF(VLOOKUP(Table91213[[#This Row],[Date]],'DB Details'!$A:$Q,9)=0,"",VLOOKUP(Table91213[[#This Row],[Date]],'DB Details'!$A:$Q,9))</f>
        <v>49</v>
      </c>
      <c r="J190" s="52">
        <f>IF(VLOOKUP(Table91213[[#This Row],[Date]],'DB Details'!$A:$Q,10)=0,"",VLOOKUP(Table91213[[#This Row],[Date]],'DB Details'!$A:$Q,10))</f>
        <v>53.3</v>
      </c>
      <c r="K190" s="52">
        <f>IF(VLOOKUP(Table91213[[#This Row],[Date]],'DB Details'!$A:$Q,11)=0,"",VLOOKUP(Table91213[[#This Row],[Date]],'DB Details'!$A:$Q,11))</f>
        <v>48</v>
      </c>
      <c r="L190" s="50">
        <f>IF(VLOOKUP(Table91213[[#This Row],[Date]],'DB Details'!$A:$Q,12)=0,"",VLOOKUP(Table91213[[#This Row],[Date]],'DB Details'!$A:$Q,12))</f>
        <v>54.8</v>
      </c>
    </row>
    <row r="191" spans="1:12" x14ac:dyDescent="0.2">
      <c r="A191" s="53">
        <v>41244</v>
      </c>
      <c r="B191" s="50">
        <f>IF(VLOOKUP(Table91213[[#This Row],[Date]],'DB Details'!$A:$Q,2)=0,"",VLOOKUP(Table91213[[#This Row],[Date]],'DB Details'!$A:$Q,2))</f>
        <v>58.8</v>
      </c>
      <c r="C191" s="51">
        <f>IF(VLOOKUP(Table91213[[#This Row],[Date]],'DB Details'!$A:$Q,3)=0,"",VLOOKUP(Table91213[[#This Row],[Date]],'DB Details'!$A:$Q,3))</f>
        <v>49</v>
      </c>
      <c r="D191" s="51">
        <f>IF(VLOOKUP(Table91213[[#This Row],[Date]],'DB Details'!$A:$Q,4)=0,"",VLOOKUP(Table91213[[#This Row],[Date]],'DB Details'!$A:$Q,4))</f>
        <v>49.5</v>
      </c>
      <c r="E191" s="52">
        <f>IF(VLOOKUP(Table91213[[#This Row],[Date]],'DB Details'!$A:$Q,5)=0,"",VLOOKUP(Table91213[[#This Row],[Date]],'DB Details'!$A:$Q,5))</f>
        <v>56.9</v>
      </c>
      <c r="F191" s="51">
        <f>IF(VLOOKUP(Table91213[[#This Row],[Date]],'DB Details'!$A:$Q,6)=0,"",VLOOKUP(Table91213[[#This Row],[Date]],'DB Details'!$A:$Q,6))</f>
        <v>60</v>
      </c>
      <c r="G191" s="52">
        <f>IF(VLOOKUP(Table91213[[#This Row],[Date]],'DB Details'!$A:$Q,7)=0,"",VLOOKUP(Table91213[[#This Row],[Date]],'DB Details'!$A:$Q,7))</f>
        <v>58</v>
      </c>
      <c r="H191" s="52">
        <f>IF(VLOOKUP(Table91213[[#This Row],[Date]],'DB Details'!$A:$Q,8)=0,"",VLOOKUP(Table91213[[#This Row],[Date]],'DB Details'!$A:$Q,8))</f>
        <v>50</v>
      </c>
      <c r="I191" s="52">
        <f>IF(VLOOKUP(Table91213[[#This Row],[Date]],'DB Details'!$A:$Q,9)=0,"",VLOOKUP(Table91213[[#This Row],[Date]],'DB Details'!$A:$Q,9))</f>
        <v>48.5</v>
      </c>
      <c r="J191" s="52">
        <f>IF(VLOOKUP(Table91213[[#This Row],[Date]],'DB Details'!$A:$Q,10)=0,"",VLOOKUP(Table91213[[#This Row],[Date]],'DB Details'!$A:$Q,10))</f>
        <v>55.2</v>
      </c>
      <c r="K191" s="52">
        <f>IF(VLOOKUP(Table91213[[#This Row],[Date]],'DB Details'!$A:$Q,11)=0,"",VLOOKUP(Table91213[[#This Row],[Date]],'DB Details'!$A:$Q,11))</f>
        <v>49.5</v>
      </c>
      <c r="L191" s="50">
        <f>IF(VLOOKUP(Table91213[[#This Row],[Date]],'DB Details'!$A:$Q,12)=0,"",VLOOKUP(Table91213[[#This Row],[Date]],'DB Details'!$A:$Q,12))</f>
        <v>55.6</v>
      </c>
    </row>
    <row r="192" spans="1:12" x14ac:dyDescent="0.2">
      <c r="A192" s="53">
        <v>41275</v>
      </c>
      <c r="B192" s="50">
        <f>IF(VLOOKUP(Table91213[[#This Row],[Date]],'DB Details'!$A:$Q,2)=0,"",VLOOKUP(Table91213[[#This Row],[Date]],'DB Details'!$A:$Q,2))</f>
        <v>56.7</v>
      </c>
      <c r="C192" s="51">
        <f>IF(VLOOKUP(Table91213[[#This Row],[Date]],'DB Details'!$A:$Q,3)=0,"",VLOOKUP(Table91213[[#This Row],[Date]],'DB Details'!$A:$Q,3))</f>
        <v>51</v>
      </c>
      <c r="D192" s="51">
        <f>IF(VLOOKUP(Table91213[[#This Row],[Date]],'DB Details'!$A:$Q,4)=0,"",VLOOKUP(Table91213[[#This Row],[Date]],'DB Details'!$A:$Q,4))</f>
        <v>49</v>
      </c>
      <c r="E192" s="52">
        <f>IF(VLOOKUP(Table91213[[#This Row],[Date]],'DB Details'!$A:$Q,5)=0,"",VLOOKUP(Table91213[[#This Row],[Date]],'DB Details'!$A:$Q,5))</f>
        <v>57.4</v>
      </c>
      <c r="F192" s="51">
        <f>IF(VLOOKUP(Table91213[[#This Row],[Date]],'DB Details'!$A:$Q,6)=0,"",VLOOKUP(Table91213[[#This Row],[Date]],'DB Details'!$A:$Q,6))</f>
        <v>56.4</v>
      </c>
      <c r="G192" s="52">
        <f>IF(VLOOKUP(Table91213[[#This Row],[Date]],'DB Details'!$A:$Q,7)=0,"",VLOOKUP(Table91213[[#This Row],[Date]],'DB Details'!$A:$Q,7))</f>
        <v>64</v>
      </c>
      <c r="H192" s="52">
        <f>IF(VLOOKUP(Table91213[[#This Row],[Date]],'DB Details'!$A:$Q,8)=0,"",VLOOKUP(Table91213[[#This Row],[Date]],'DB Details'!$A:$Q,8))</f>
        <v>47</v>
      </c>
      <c r="I192" s="52">
        <f>IF(VLOOKUP(Table91213[[#This Row],[Date]],'DB Details'!$A:$Q,9)=0,"",VLOOKUP(Table91213[[#This Row],[Date]],'DB Details'!$A:$Q,9))</f>
        <v>52.5</v>
      </c>
      <c r="J192" s="52">
        <f>IF(VLOOKUP(Table91213[[#This Row],[Date]],'DB Details'!$A:$Q,10)=0,"",VLOOKUP(Table91213[[#This Row],[Date]],'DB Details'!$A:$Q,10))</f>
        <v>55.6</v>
      </c>
      <c r="K192" s="52">
        <f>IF(VLOOKUP(Table91213[[#This Row],[Date]],'DB Details'!$A:$Q,11)=0,"",VLOOKUP(Table91213[[#This Row],[Date]],'DB Details'!$A:$Q,11))</f>
        <v>55.5</v>
      </c>
      <c r="L192" s="50">
        <f>IF(VLOOKUP(Table91213[[#This Row],[Date]],'DB Details'!$A:$Q,12)=0,"",VLOOKUP(Table91213[[#This Row],[Date]],'DB Details'!$A:$Q,12))</f>
        <v>55.3</v>
      </c>
    </row>
    <row r="193" spans="1:12" x14ac:dyDescent="0.2">
      <c r="A193" s="53">
        <v>41306</v>
      </c>
      <c r="B193" s="50">
        <f>IF(VLOOKUP(Table91213[[#This Row],[Date]],'DB Details'!$A:$Q,2)=0,"",VLOOKUP(Table91213[[#This Row],[Date]],'DB Details'!$A:$Q,2))</f>
        <v>58.9</v>
      </c>
      <c r="C193" s="51">
        <f>IF(VLOOKUP(Table91213[[#This Row],[Date]],'DB Details'!$A:$Q,3)=0,"",VLOOKUP(Table91213[[#This Row],[Date]],'DB Details'!$A:$Q,3))</f>
        <v>52.5</v>
      </c>
      <c r="D193" s="51">
        <f>IF(VLOOKUP(Table91213[[#This Row],[Date]],'DB Details'!$A:$Q,4)=0,"",VLOOKUP(Table91213[[#This Row],[Date]],'DB Details'!$A:$Q,4))</f>
        <v>54.5</v>
      </c>
      <c r="E193" s="52">
        <f>IF(VLOOKUP(Table91213[[#This Row],[Date]],'DB Details'!$A:$Q,5)=0,"",VLOOKUP(Table91213[[#This Row],[Date]],'DB Details'!$A:$Q,5))</f>
        <v>61</v>
      </c>
      <c r="F193" s="51">
        <f>IF(VLOOKUP(Table91213[[#This Row],[Date]],'DB Details'!$A:$Q,6)=0,"",VLOOKUP(Table91213[[#This Row],[Date]],'DB Details'!$A:$Q,6))</f>
        <v>56.3</v>
      </c>
      <c r="G193" s="52">
        <f>IF(VLOOKUP(Table91213[[#This Row],[Date]],'DB Details'!$A:$Q,7)=0,"",VLOOKUP(Table91213[[#This Row],[Date]],'DB Details'!$A:$Q,7))</f>
        <v>62.5</v>
      </c>
      <c r="H193" s="52">
        <f>IF(VLOOKUP(Table91213[[#This Row],[Date]],'DB Details'!$A:$Q,8)=0,"",VLOOKUP(Table91213[[#This Row],[Date]],'DB Details'!$A:$Q,8))</f>
        <v>54</v>
      </c>
      <c r="I193" s="52">
        <f>IF(VLOOKUP(Table91213[[#This Row],[Date]],'DB Details'!$A:$Q,9)=0,"",VLOOKUP(Table91213[[#This Row],[Date]],'DB Details'!$A:$Q,9))</f>
        <v>51.5</v>
      </c>
      <c r="J193" s="52">
        <f>IF(VLOOKUP(Table91213[[#This Row],[Date]],'DB Details'!$A:$Q,10)=0,"",VLOOKUP(Table91213[[#This Row],[Date]],'DB Details'!$A:$Q,10))</f>
        <v>55.5</v>
      </c>
      <c r="K193" s="52">
        <f>IF(VLOOKUP(Table91213[[#This Row],[Date]],'DB Details'!$A:$Q,11)=0,"",VLOOKUP(Table91213[[#This Row],[Date]],'DB Details'!$A:$Q,11))</f>
        <v>60.5</v>
      </c>
      <c r="L193" s="50">
        <f>IF(VLOOKUP(Table91213[[#This Row],[Date]],'DB Details'!$A:$Q,12)=0,"",VLOOKUP(Table91213[[#This Row],[Date]],'DB Details'!$A:$Q,12))</f>
        <v>56.1</v>
      </c>
    </row>
    <row r="194" spans="1:12" x14ac:dyDescent="0.2">
      <c r="A194" s="53">
        <v>41334</v>
      </c>
      <c r="B194" s="50">
        <f>IF(VLOOKUP(Table91213[[#This Row],[Date]],'DB Details'!$A:$Q,2)=0,"",VLOOKUP(Table91213[[#This Row],[Date]],'DB Details'!$A:$Q,2))</f>
        <v>56.5</v>
      </c>
      <c r="C194" s="51">
        <f>IF(VLOOKUP(Table91213[[#This Row],[Date]],'DB Details'!$A:$Q,3)=0,"",VLOOKUP(Table91213[[#This Row],[Date]],'DB Details'!$A:$Q,3))</f>
        <v>57.5</v>
      </c>
      <c r="D194" s="51">
        <f>IF(VLOOKUP(Table91213[[#This Row],[Date]],'DB Details'!$A:$Q,4)=0,"",VLOOKUP(Table91213[[#This Row],[Date]],'DB Details'!$A:$Q,4))</f>
        <v>54.5</v>
      </c>
      <c r="E194" s="52">
        <f>IF(VLOOKUP(Table91213[[#This Row],[Date]],'DB Details'!$A:$Q,5)=0,"",VLOOKUP(Table91213[[#This Row],[Date]],'DB Details'!$A:$Q,5))</f>
        <v>56.2</v>
      </c>
      <c r="F194" s="51">
        <f>IF(VLOOKUP(Table91213[[#This Row],[Date]],'DB Details'!$A:$Q,6)=0,"",VLOOKUP(Table91213[[#This Row],[Date]],'DB Details'!$A:$Q,6))</f>
        <v>56.6</v>
      </c>
      <c r="G194" s="52">
        <f>IF(VLOOKUP(Table91213[[#This Row],[Date]],'DB Details'!$A:$Q,7)=0,"",VLOOKUP(Table91213[[#This Row],[Date]],'DB Details'!$A:$Q,7))</f>
        <v>59.5</v>
      </c>
      <c r="H194" s="52">
        <f>IF(VLOOKUP(Table91213[[#This Row],[Date]],'DB Details'!$A:$Q,8)=0,"",VLOOKUP(Table91213[[#This Row],[Date]],'DB Details'!$A:$Q,8))</f>
        <v>51.5</v>
      </c>
      <c r="I194" s="52">
        <f>IF(VLOOKUP(Table91213[[#This Row],[Date]],'DB Details'!$A:$Q,9)=0,"",VLOOKUP(Table91213[[#This Row],[Date]],'DB Details'!$A:$Q,9))</f>
        <v>53</v>
      </c>
      <c r="J194" s="52">
        <f>IF(VLOOKUP(Table91213[[#This Row],[Date]],'DB Details'!$A:$Q,10)=0,"",VLOOKUP(Table91213[[#This Row],[Date]],'DB Details'!$A:$Q,10))</f>
        <v>53.2</v>
      </c>
      <c r="K194" s="52">
        <f>IF(VLOOKUP(Table91213[[#This Row],[Date]],'DB Details'!$A:$Q,11)=0,"",VLOOKUP(Table91213[[#This Row],[Date]],'DB Details'!$A:$Q,11))</f>
        <v>56.5</v>
      </c>
      <c r="L194" s="50">
        <f>IF(VLOOKUP(Table91213[[#This Row],[Date]],'DB Details'!$A:$Q,12)=0,"",VLOOKUP(Table91213[[#This Row],[Date]],'DB Details'!$A:$Q,12))</f>
        <v>55.2</v>
      </c>
    </row>
    <row r="195" spans="1:12" x14ac:dyDescent="0.2">
      <c r="A195" s="53">
        <v>41365</v>
      </c>
      <c r="B195" s="50">
        <f>IF(VLOOKUP(Table91213[[#This Row],[Date]],'DB Details'!$A:$Q,2)=0,"",VLOOKUP(Table91213[[#This Row],[Date]],'DB Details'!$A:$Q,2))</f>
        <v>55.4</v>
      </c>
      <c r="C195" s="51">
        <f>IF(VLOOKUP(Table91213[[#This Row],[Date]],'DB Details'!$A:$Q,3)=0,"",VLOOKUP(Table91213[[#This Row],[Date]],'DB Details'!$A:$Q,3))</f>
        <v>58.5</v>
      </c>
      <c r="D195" s="51">
        <f>IF(VLOOKUP(Table91213[[#This Row],[Date]],'DB Details'!$A:$Q,4)=0,"",VLOOKUP(Table91213[[#This Row],[Date]],'DB Details'!$A:$Q,4))</f>
        <v>51.5</v>
      </c>
      <c r="E195" s="52">
        <f>IF(VLOOKUP(Table91213[[#This Row],[Date]],'DB Details'!$A:$Q,5)=0,"",VLOOKUP(Table91213[[#This Row],[Date]],'DB Details'!$A:$Q,5))</f>
        <v>52.7</v>
      </c>
      <c r="F195" s="51">
        <f>IF(VLOOKUP(Table91213[[#This Row],[Date]],'DB Details'!$A:$Q,6)=0,"",VLOOKUP(Table91213[[#This Row],[Date]],'DB Details'!$A:$Q,6))</f>
        <v>55.9</v>
      </c>
      <c r="G195" s="52">
        <f>IF(VLOOKUP(Table91213[[#This Row],[Date]],'DB Details'!$A:$Q,7)=0,"",VLOOKUP(Table91213[[#This Row],[Date]],'DB Details'!$A:$Q,7))</f>
        <v>60.5</v>
      </c>
      <c r="H195" s="52">
        <f>IF(VLOOKUP(Table91213[[#This Row],[Date]],'DB Details'!$A:$Q,8)=0,"",VLOOKUP(Table91213[[#This Row],[Date]],'DB Details'!$A:$Q,8))</f>
        <v>56</v>
      </c>
      <c r="I195" s="52">
        <f>IF(VLOOKUP(Table91213[[#This Row],[Date]],'DB Details'!$A:$Q,9)=0,"",VLOOKUP(Table91213[[#This Row],[Date]],'DB Details'!$A:$Q,9))</f>
        <v>51</v>
      </c>
      <c r="J195" s="52">
        <f>IF(VLOOKUP(Table91213[[#This Row],[Date]],'DB Details'!$A:$Q,10)=0,"",VLOOKUP(Table91213[[#This Row],[Date]],'DB Details'!$A:$Q,10))</f>
        <v>52.6</v>
      </c>
      <c r="K195" s="52">
        <f>IF(VLOOKUP(Table91213[[#This Row],[Date]],'DB Details'!$A:$Q,11)=0,"",VLOOKUP(Table91213[[#This Row],[Date]],'DB Details'!$A:$Q,11))</f>
        <v>53.5</v>
      </c>
      <c r="L195" s="50">
        <f>IF(VLOOKUP(Table91213[[#This Row],[Date]],'DB Details'!$A:$Q,12)=0,"",VLOOKUP(Table91213[[#This Row],[Date]],'DB Details'!$A:$Q,12))</f>
        <v>53.9</v>
      </c>
    </row>
    <row r="196" spans="1:12" x14ac:dyDescent="0.2">
      <c r="A196" s="53">
        <v>41395</v>
      </c>
      <c r="B196" s="50">
        <f>IF(VLOOKUP(Table91213[[#This Row],[Date]],'DB Details'!$A:$Q,2)=0,"",VLOOKUP(Table91213[[#This Row],[Date]],'DB Details'!$A:$Q,2))</f>
        <v>56.1</v>
      </c>
      <c r="C196" s="51">
        <f>IF(VLOOKUP(Table91213[[#This Row],[Date]],'DB Details'!$A:$Q,3)=0,"",VLOOKUP(Table91213[[#This Row],[Date]],'DB Details'!$A:$Q,3))</f>
        <v>49.5</v>
      </c>
      <c r="D196" s="51">
        <f>IF(VLOOKUP(Table91213[[#This Row],[Date]],'DB Details'!$A:$Q,4)=0,"",VLOOKUP(Table91213[[#This Row],[Date]],'DB Details'!$A:$Q,4))</f>
        <v>51.5</v>
      </c>
      <c r="E196" s="52">
        <f>IF(VLOOKUP(Table91213[[#This Row],[Date]],'DB Details'!$A:$Q,5)=0,"",VLOOKUP(Table91213[[#This Row],[Date]],'DB Details'!$A:$Q,5))</f>
        <v>52.6</v>
      </c>
      <c r="F196" s="51">
        <f>IF(VLOOKUP(Table91213[[#This Row],[Date]],'DB Details'!$A:$Q,6)=0,"",VLOOKUP(Table91213[[#This Row],[Date]],'DB Details'!$A:$Q,6))</f>
        <v>57</v>
      </c>
      <c r="G196" s="52">
        <f>IF(VLOOKUP(Table91213[[#This Row],[Date]],'DB Details'!$A:$Q,7)=0,"",VLOOKUP(Table91213[[#This Row],[Date]],'DB Details'!$A:$Q,7))</f>
        <v>62.5</v>
      </c>
      <c r="H196" s="52">
        <f>IF(VLOOKUP(Table91213[[#This Row],[Date]],'DB Details'!$A:$Q,8)=0,"",VLOOKUP(Table91213[[#This Row],[Date]],'DB Details'!$A:$Q,8))</f>
        <v>51.5</v>
      </c>
      <c r="I196" s="52">
        <f>IF(VLOOKUP(Table91213[[#This Row],[Date]],'DB Details'!$A:$Q,9)=0,"",VLOOKUP(Table91213[[#This Row],[Date]],'DB Details'!$A:$Q,9))</f>
        <v>52</v>
      </c>
      <c r="J196" s="52">
        <f>IF(VLOOKUP(Table91213[[#This Row],[Date]],'DB Details'!$A:$Q,10)=0,"",VLOOKUP(Table91213[[#This Row],[Date]],'DB Details'!$A:$Q,10))</f>
        <v>50.3</v>
      </c>
      <c r="K196" s="52">
        <f>IF(VLOOKUP(Table91213[[#This Row],[Date]],'DB Details'!$A:$Q,11)=0,"",VLOOKUP(Table91213[[#This Row],[Date]],'DB Details'!$A:$Q,11))</f>
        <v>50</v>
      </c>
      <c r="L196" s="50">
        <f>IF(VLOOKUP(Table91213[[#This Row],[Date]],'DB Details'!$A:$Q,12)=0,"",VLOOKUP(Table91213[[#This Row],[Date]],'DB Details'!$A:$Q,12))</f>
        <v>54.4</v>
      </c>
    </row>
    <row r="197" spans="1:12" x14ac:dyDescent="0.2">
      <c r="A197" s="53">
        <v>41426</v>
      </c>
      <c r="B197" s="50">
        <f>IF(VLOOKUP(Table91213[[#This Row],[Date]],'DB Details'!$A:$Q,2)=0,"",VLOOKUP(Table91213[[#This Row],[Date]],'DB Details'!$A:$Q,2))</f>
        <v>54.1</v>
      </c>
      <c r="C197" s="51">
        <f>IF(VLOOKUP(Table91213[[#This Row],[Date]],'DB Details'!$A:$Q,3)=0,"",VLOOKUP(Table91213[[#This Row],[Date]],'DB Details'!$A:$Q,3))</f>
        <v>53.5</v>
      </c>
      <c r="D197" s="51">
        <f>IF(VLOOKUP(Table91213[[#This Row],[Date]],'DB Details'!$A:$Q,4)=0,"",VLOOKUP(Table91213[[#This Row],[Date]],'DB Details'!$A:$Q,4))</f>
        <v>52</v>
      </c>
      <c r="E197" s="52">
        <f>IF(VLOOKUP(Table91213[[#This Row],[Date]],'DB Details'!$A:$Q,5)=0,"",VLOOKUP(Table91213[[#This Row],[Date]],'DB Details'!$A:$Q,5))</f>
        <v>54.8</v>
      </c>
      <c r="F197" s="51">
        <f>IF(VLOOKUP(Table91213[[#This Row],[Date]],'DB Details'!$A:$Q,6)=0,"",VLOOKUP(Table91213[[#This Row],[Date]],'DB Details'!$A:$Q,6))</f>
        <v>53.3</v>
      </c>
      <c r="G197" s="52">
        <f>IF(VLOOKUP(Table91213[[#This Row],[Date]],'DB Details'!$A:$Q,7)=0,"",VLOOKUP(Table91213[[#This Row],[Date]],'DB Details'!$A:$Q,7))</f>
        <v>61.5</v>
      </c>
      <c r="H197" s="52">
        <f>IF(VLOOKUP(Table91213[[#This Row],[Date]],'DB Details'!$A:$Q,8)=0,"",VLOOKUP(Table91213[[#This Row],[Date]],'DB Details'!$A:$Q,8))</f>
        <v>54.5</v>
      </c>
      <c r="I197" s="52">
        <f>IF(VLOOKUP(Table91213[[#This Row],[Date]],'DB Details'!$A:$Q,9)=0,"",VLOOKUP(Table91213[[#This Row],[Date]],'DB Details'!$A:$Q,9))</f>
        <v>51.5</v>
      </c>
      <c r="J197" s="52">
        <f>IF(VLOOKUP(Table91213[[#This Row],[Date]],'DB Details'!$A:$Q,10)=0,"",VLOOKUP(Table91213[[#This Row],[Date]],'DB Details'!$A:$Q,10))</f>
        <v>54.9</v>
      </c>
      <c r="K197" s="52">
        <f>IF(VLOOKUP(Table91213[[#This Row],[Date]],'DB Details'!$A:$Q,11)=0,"",VLOOKUP(Table91213[[#This Row],[Date]],'DB Details'!$A:$Q,11))</f>
        <v>47.5</v>
      </c>
      <c r="L197" s="50">
        <f>IF(VLOOKUP(Table91213[[#This Row],[Date]],'DB Details'!$A:$Q,12)=0,"",VLOOKUP(Table91213[[#This Row],[Date]],'DB Details'!$A:$Q,12))</f>
        <v>54.1</v>
      </c>
    </row>
    <row r="198" spans="1:12" x14ac:dyDescent="0.2">
      <c r="A198" s="53">
        <v>41456</v>
      </c>
      <c r="B198" s="50">
        <f>IF(VLOOKUP(Table91213[[#This Row],[Date]],'DB Details'!$A:$Q,2)=0,"",VLOOKUP(Table91213[[#This Row],[Date]],'DB Details'!$A:$Q,2))</f>
        <v>55.3</v>
      </c>
      <c r="C198" s="51">
        <f>IF(VLOOKUP(Table91213[[#This Row],[Date]],'DB Details'!$A:$Q,3)=0,"",VLOOKUP(Table91213[[#This Row],[Date]],'DB Details'!$A:$Q,3))</f>
        <v>50.5</v>
      </c>
      <c r="D198" s="51">
        <f>IF(VLOOKUP(Table91213[[#This Row],[Date]],'DB Details'!$A:$Q,4)=0,"",VLOOKUP(Table91213[[#This Row],[Date]],'DB Details'!$A:$Q,4))</f>
        <v>46.5</v>
      </c>
      <c r="E198" s="52">
        <f>IF(VLOOKUP(Table91213[[#This Row],[Date]],'DB Details'!$A:$Q,5)=0,"",VLOOKUP(Table91213[[#This Row],[Date]],'DB Details'!$A:$Q,5))</f>
        <v>56.9</v>
      </c>
      <c r="F198" s="51">
        <f>IF(VLOOKUP(Table91213[[#This Row],[Date]],'DB Details'!$A:$Q,6)=0,"",VLOOKUP(Table91213[[#This Row],[Date]],'DB Details'!$A:$Q,6))</f>
        <v>59.5</v>
      </c>
      <c r="G198" s="52">
        <f>IF(VLOOKUP(Table91213[[#This Row],[Date]],'DB Details'!$A:$Q,7)=0,"",VLOOKUP(Table91213[[#This Row],[Date]],'DB Details'!$A:$Q,7))</f>
        <v>64</v>
      </c>
      <c r="H198" s="52">
        <f>IF(VLOOKUP(Table91213[[#This Row],[Date]],'DB Details'!$A:$Q,8)=0,"",VLOOKUP(Table91213[[#This Row],[Date]],'DB Details'!$A:$Q,8))</f>
        <v>53.5</v>
      </c>
      <c r="I198" s="52">
        <f>IF(VLOOKUP(Table91213[[#This Row],[Date]],'DB Details'!$A:$Q,9)=0,"",VLOOKUP(Table91213[[#This Row],[Date]],'DB Details'!$A:$Q,9))</f>
        <v>52.5</v>
      </c>
      <c r="J198" s="52">
        <f>IF(VLOOKUP(Table91213[[#This Row],[Date]],'DB Details'!$A:$Q,10)=0,"",VLOOKUP(Table91213[[#This Row],[Date]],'DB Details'!$A:$Q,10))</f>
        <v>53.9</v>
      </c>
      <c r="K198" s="52">
        <f>IF(VLOOKUP(Table91213[[#This Row],[Date]],'DB Details'!$A:$Q,11)=0,"",VLOOKUP(Table91213[[#This Row],[Date]],'DB Details'!$A:$Q,11))</f>
        <v>49.5</v>
      </c>
      <c r="L198" s="50">
        <f>IF(VLOOKUP(Table91213[[#This Row],[Date]],'DB Details'!$A:$Q,12)=0,"",VLOOKUP(Table91213[[#This Row],[Date]],'DB Details'!$A:$Q,12))</f>
        <v>54.9</v>
      </c>
    </row>
    <row r="199" spans="1:12" x14ac:dyDescent="0.2">
      <c r="A199" s="53">
        <v>41487</v>
      </c>
      <c r="B199" s="50">
        <f>IF(VLOOKUP(Table91213[[#This Row],[Date]],'DB Details'!$A:$Q,2)=0,"",VLOOKUP(Table91213[[#This Row],[Date]],'DB Details'!$A:$Q,2))</f>
        <v>57.8</v>
      </c>
      <c r="C199" s="51">
        <f>IF(VLOOKUP(Table91213[[#This Row],[Date]],'DB Details'!$A:$Q,3)=0,"",VLOOKUP(Table91213[[#This Row],[Date]],'DB Details'!$A:$Q,3))</f>
        <v>55</v>
      </c>
      <c r="D199" s="51">
        <f>IF(VLOOKUP(Table91213[[#This Row],[Date]],'DB Details'!$A:$Q,4)=0,"",VLOOKUP(Table91213[[#This Row],[Date]],'DB Details'!$A:$Q,4))</f>
        <v>50.5</v>
      </c>
      <c r="E199" s="52">
        <f>IF(VLOOKUP(Table91213[[#This Row],[Date]],'DB Details'!$A:$Q,5)=0,"",VLOOKUP(Table91213[[#This Row],[Date]],'DB Details'!$A:$Q,5))</f>
        <v>53.2</v>
      </c>
      <c r="F199" s="51">
        <f>IF(VLOOKUP(Table91213[[#This Row],[Date]],'DB Details'!$A:$Q,6)=0,"",VLOOKUP(Table91213[[#This Row],[Date]],'DB Details'!$A:$Q,6))</f>
        <v>61</v>
      </c>
      <c r="G199" s="52">
        <f>IF(VLOOKUP(Table91213[[#This Row],[Date]],'DB Details'!$A:$Q,7)=0,"",VLOOKUP(Table91213[[#This Row],[Date]],'DB Details'!$A:$Q,7))</f>
        <v>63.5</v>
      </c>
      <c r="H199" s="52">
        <f>IF(VLOOKUP(Table91213[[#This Row],[Date]],'DB Details'!$A:$Q,8)=0,"",VLOOKUP(Table91213[[#This Row],[Date]],'DB Details'!$A:$Q,8))</f>
        <v>56</v>
      </c>
      <c r="I199" s="52">
        <f>IF(VLOOKUP(Table91213[[#This Row],[Date]],'DB Details'!$A:$Q,9)=0,"",VLOOKUP(Table91213[[#This Row],[Date]],'DB Details'!$A:$Q,9))</f>
        <v>54.5</v>
      </c>
      <c r="J199" s="52">
        <f>IF(VLOOKUP(Table91213[[#This Row],[Date]],'DB Details'!$A:$Q,10)=0,"",VLOOKUP(Table91213[[#This Row],[Date]],'DB Details'!$A:$Q,10))</f>
        <v>56.3</v>
      </c>
      <c r="K199" s="52">
        <f>IF(VLOOKUP(Table91213[[#This Row],[Date]],'DB Details'!$A:$Q,11)=0,"",VLOOKUP(Table91213[[#This Row],[Date]],'DB Details'!$A:$Q,11))</f>
        <v>50.5</v>
      </c>
      <c r="L199" s="50">
        <f>IF(VLOOKUP(Table91213[[#This Row],[Date]],'DB Details'!$A:$Q,12)=0,"",VLOOKUP(Table91213[[#This Row],[Date]],'DB Details'!$A:$Q,12))</f>
        <v>56.6</v>
      </c>
    </row>
    <row r="200" spans="1:12" x14ac:dyDescent="0.2">
      <c r="A200" s="53">
        <v>41518</v>
      </c>
      <c r="B200" s="50">
        <f>IF(VLOOKUP(Table91213[[#This Row],[Date]],'DB Details'!$A:$Q,2)=0,"",VLOOKUP(Table91213[[#This Row],[Date]],'DB Details'!$A:$Q,2))</f>
        <v>57.1</v>
      </c>
      <c r="C200" s="51">
        <f>IF(VLOOKUP(Table91213[[#This Row],[Date]],'DB Details'!$A:$Q,3)=0,"",VLOOKUP(Table91213[[#This Row],[Date]],'DB Details'!$A:$Q,3))</f>
        <v>51.5</v>
      </c>
      <c r="D200" s="51">
        <f>IF(VLOOKUP(Table91213[[#This Row],[Date]],'DB Details'!$A:$Q,4)=0,"",VLOOKUP(Table91213[[#This Row],[Date]],'DB Details'!$A:$Q,4))</f>
        <v>50.5</v>
      </c>
      <c r="E200" s="52">
        <f>IF(VLOOKUP(Table91213[[#This Row],[Date]],'DB Details'!$A:$Q,5)=0,"",VLOOKUP(Table91213[[#This Row],[Date]],'DB Details'!$A:$Q,5))</f>
        <v>57</v>
      </c>
      <c r="F200" s="51">
        <f>IF(VLOOKUP(Table91213[[#This Row],[Date]],'DB Details'!$A:$Q,6)=0,"",VLOOKUP(Table91213[[#This Row],[Date]],'DB Details'!$A:$Q,6))</f>
        <v>55.8</v>
      </c>
      <c r="G200" s="52">
        <f>IF(VLOOKUP(Table91213[[#This Row],[Date]],'DB Details'!$A:$Q,7)=0,"",VLOOKUP(Table91213[[#This Row],[Date]],'DB Details'!$A:$Q,7))</f>
        <v>62</v>
      </c>
      <c r="H200" s="52">
        <f>IF(VLOOKUP(Table91213[[#This Row],[Date]],'DB Details'!$A:$Q,8)=0,"",VLOOKUP(Table91213[[#This Row],[Date]],'DB Details'!$A:$Q,8))</f>
        <v>54.5</v>
      </c>
      <c r="I200" s="52">
        <f>IF(VLOOKUP(Table91213[[#This Row],[Date]],'DB Details'!$A:$Q,9)=0,"",VLOOKUP(Table91213[[#This Row],[Date]],'DB Details'!$A:$Q,9))</f>
        <v>50</v>
      </c>
      <c r="J200" s="52">
        <f>IF(VLOOKUP(Table91213[[#This Row],[Date]],'DB Details'!$A:$Q,10)=0,"",VLOOKUP(Table91213[[#This Row],[Date]],'DB Details'!$A:$Q,10))</f>
        <v>54.1</v>
      </c>
      <c r="K200" s="52">
        <f>IF(VLOOKUP(Table91213[[#This Row],[Date]],'DB Details'!$A:$Q,11)=0,"",VLOOKUP(Table91213[[#This Row],[Date]],'DB Details'!$A:$Q,11))</f>
        <v>57.5</v>
      </c>
      <c r="L200" s="50">
        <f>IF(VLOOKUP(Table91213[[#This Row],[Date]],'DB Details'!$A:$Q,12)=0,"",VLOOKUP(Table91213[[#This Row],[Date]],'DB Details'!$A:$Q,12))</f>
        <v>53.6</v>
      </c>
    </row>
    <row r="201" spans="1:12" x14ac:dyDescent="0.2">
      <c r="A201" s="53">
        <v>41548</v>
      </c>
      <c r="B201" s="50">
        <f>IF(VLOOKUP(Table91213[[#This Row],[Date]],'DB Details'!$A:$Q,2)=0,"",VLOOKUP(Table91213[[#This Row],[Date]],'DB Details'!$A:$Q,2))</f>
        <v>56</v>
      </c>
      <c r="C201" s="51">
        <f>IF(VLOOKUP(Table91213[[#This Row],[Date]],'DB Details'!$A:$Q,3)=0,"",VLOOKUP(Table91213[[#This Row],[Date]],'DB Details'!$A:$Q,3))</f>
        <v>55</v>
      </c>
      <c r="D201" s="51">
        <f>IF(VLOOKUP(Table91213[[#This Row],[Date]],'DB Details'!$A:$Q,4)=0,"",VLOOKUP(Table91213[[#This Row],[Date]],'DB Details'!$A:$Q,4))</f>
        <v>50</v>
      </c>
      <c r="E201" s="52">
        <f>IF(VLOOKUP(Table91213[[#This Row],[Date]],'DB Details'!$A:$Q,5)=0,"",VLOOKUP(Table91213[[#This Row],[Date]],'DB Details'!$A:$Q,5))</f>
        <v>56.7</v>
      </c>
      <c r="F201" s="51">
        <f>IF(VLOOKUP(Table91213[[#This Row],[Date]],'DB Details'!$A:$Q,6)=0,"",VLOOKUP(Table91213[[#This Row],[Date]],'DB Details'!$A:$Q,6))</f>
        <v>58.9</v>
      </c>
      <c r="G201" s="52">
        <f>IF(VLOOKUP(Table91213[[#This Row],[Date]],'DB Details'!$A:$Q,7)=0,"",VLOOKUP(Table91213[[#This Row],[Date]],'DB Details'!$A:$Q,7))</f>
        <v>62.5</v>
      </c>
      <c r="H201" s="52">
        <f>IF(VLOOKUP(Table91213[[#This Row],[Date]],'DB Details'!$A:$Q,8)=0,"",VLOOKUP(Table91213[[#This Row],[Date]],'DB Details'!$A:$Q,8))</f>
        <v>54.5</v>
      </c>
      <c r="I201" s="52">
        <f>IF(VLOOKUP(Table91213[[#This Row],[Date]],'DB Details'!$A:$Q,9)=0,"",VLOOKUP(Table91213[[#This Row],[Date]],'DB Details'!$A:$Q,9))</f>
        <v>49</v>
      </c>
      <c r="J201" s="52">
        <f>IF(VLOOKUP(Table91213[[#This Row],[Date]],'DB Details'!$A:$Q,10)=0,"",VLOOKUP(Table91213[[#This Row],[Date]],'DB Details'!$A:$Q,10))</f>
        <v>56</v>
      </c>
      <c r="K201" s="52">
        <f>IF(VLOOKUP(Table91213[[#This Row],[Date]],'DB Details'!$A:$Q,11)=0,"",VLOOKUP(Table91213[[#This Row],[Date]],'DB Details'!$A:$Q,11))</f>
        <v>53</v>
      </c>
      <c r="L201" s="50">
        <f>IF(VLOOKUP(Table91213[[#This Row],[Date]],'DB Details'!$A:$Q,12)=0,"",VLOOKUP(Table91213[[#This Row],[Date]],'DB Details'!$A:$Q,12))</f>
        <v>54.5</v>
      </c>
    </row>
    <row r="202" spans="1:12" x14ac:dyDescent="0.2">
      <c r="A202" s="53">
        <v>41579</v>
      </c>
      <c r="B202" s="50">
        <f>IF(VLOOKUP(Table91213[[#This Row],[Date]],'DB Details'!$A:$Q,2)=0,"",VLOOKUP(Table91213[[#This Row],[Date]],'DB Details'!$A:$Q,2))</f>
        <v>55.4</v>
      </c>
      <c r="C202" s="51">
        <f>IF(VLOOKUP(Table91213[[#This Row],[Date]],'DB Details'!$A:$Q,3)=0,"",VLOOKUP(Table91213[[#This Row],[Date]],'DB Details'!$A:$Q,3))</f>
        <v>55</v>
      </c>
      <c r="D202" s="51">
        <f>IF(VLOOKUP(Table91213[[#This Row],[Date]],'DB Details'!$A:$Q,4)=0,"",VLOOKUP(Table91213[[#This Row],[Date]],'DB Details'!$A:$Q,4))</f>
        <v>49</v>
      </c>
      <c r="E202" s="52">
        <f>IF(VLOOKUP(Table91213[[#This Row],[Date]],'DB Details'!$A:$Q,5)=0,"",VLOOKUP(Table91213[[#This Row],[Date]],'DB Details'!$A:$Q,5))</f>
        <v>52.9</v>
      </c>
      <c r="F202" s="51">
        <f>IF(VLOOKUP(Table91213[[#This Row],[Date]],'DB Details'!$A:$Q,6)=0,"",VLOOKUP(Table91213[[#This Row],[Date]],'DB Details'!$A:$Q,6))</f>
        <v>55.3</v>
      </c>
      <c r="G202" s="52">
        <f>IF(VLOOKUP(Table91213[[#This Row],[Date]],'DB Details'!$A:$Q,7)=0,"",VLOOKUP(Table91213[[#This Row],[Date]],'DB Details'!$A:$Q,7))</f>
        <v>60.5</v>
      </c>
      <c r="H202" s="52">
        <f>IF(VLOOKUP(Table91213[[#This Row],[Date]],'DB Details'!$A:$Q,8)=0,"",VLOOKUP(Table91213[[#This Row],[Date]],'DB Details'!$A:$Q,8))</f>
        <v>54</v>
      </c>
      <c r="I202" s="52">
        <f>IF(VLOOKUP(Table91213[[#This Row],[Date]],'DB Details'!$A:$Q,9)=0,"",VLOOKUP(Table91213[[#This Row],[Date]],'DB Details'!$A:$Q,9))</f>
        <v>51</v>
      </c>
      <c r="J202" s="52">
        <f>IF(VLOOKUP(Table91213[[#This Row],[Date]],'DB Details'!$A:$Q,10)=0,"",VLOOKUP(Table91213[[#This Row],[Date]],'DB Details'!$A:$Q,10))</f>
        <v>54.5</v>
      </c>
      <c r="K202" s="52">
        <f>IF(VLOOKUP(Table91213[[#This Row],[Date]],'DB Details'!$A:$Q,11)=0,"",VLOOKUP(Table91213[[#This Row],[Date]],'DB Details'!$A:$Q,11))</f>
        <v>58</v>
      </c>
      <c r="L202" s="50">
        <f>IF(VLOOKUP(Table91213[[#This Row],[Date]],'DB Details'!$A:$Q,12)=0,"",VLOOKUP(Table91213[[#This Row],[Date]],'DB Details'!$A:$Q,12))</f>
        <v>53.8</v>
      </c>
    </row>
    <row r="203" spans="1:12" x14ac:dyDescent="0.2">
      <c r="A203" s="53">
        <v>41609</v>
      </c>
      <c r="B203" s="50">
        <f>IF(VLOOKUP(Table91213[[#This Row],[Date]],'DB Details'!$A:$Q,2)=0,"",VLOOKUP(Table91213[[#This Row],[Date]],'DB Details'!$A:$Q,2))</f>
        <v>50.2</v>
      </c>
      <c r="C203" s="51">
        <f>IF(VLOOKUP(Table91213[[#This Row],[Date]],'DB Details'!$A:$Q,3)=0,"",VLOOKUP(Table91213[[#This Row],[Date]],'DB Details'!$A:$Q,3))</f>
        <v>50.5</v>
      </c>
      <c r="D203" s="51">
        <f>IF(VLOOKUP(Table91213[[#This Row],[Date]],'DB Details'!$A:$Q,4)=0,"",VLOOKUP(Table91213[[#This Row],[Date]],'DB Details'!$A:$Q,4))</f>
        <v>46</v>
      </c>
      <c r="E203" s="52">
        <f>IF(VLOOKUP(Table91213[[#This Row],[Date]],'DB Details'!$A:$Q,5)=0,"",VLOOKUP(Table91213[[#This Row],[Date]],'DB Details'!$A:$Q,5))</f>
        <v>56</v>
      </c>
      <c r="F203" s="51">
        <f>IF(VLOOKUP(Table91213[[#This Row],[Date]],'DB Details'!$A:$Q,6)=0,"",VLOOKUP(Table91213[[#This Row],[Date]],'DB Details'!$A:$Q,6))</f>
        <v>54.3</v>
      </c>
      <c r="G203" s="52">
        <f>IF(VLOOKUP(Table91213[[#This Row],[Date]],'DB Details'!$A:$Q,7)=0,"",VLOOKUP(Table91213[[#This Row],[Date]],'DB Details'!$A:$Q,7))</f>
        <v>57.5</v>
      </c>
      <c r="H203" s="52">
        <f>IF(VLOOKUP(Table91213[[#This Row],[Date]],'DB Details'!$A:$Q,8)=0,"",VLOOKUP(Table91213[[#This Row],[Date]],'DB Details'!$A:$Q,8))</f>
        <v>48</v>
      </c>
      <c r="I203" s="52">
        <f>IF(VLOOKUP(Table91213[[#This Row],[Date]],'DB Details'!$A:$Q,9)=0,"",VLOOKUP(Table91213[[#This Row],[Date]],'DB Details'!$A:$Q,9))</f>
        <v>51.5</v>
      </c>
      <c r="J203" s="52">
        <f>IF(VLOOKUP(Table91213[[#This Row],[Date]],'DB Details'!$A:$Q,10)=0,"",VLOOKUP(Table91213[[#This Row],[Date]],'DB Details'!$A:$Q,10))</f>
        <v>55.6</v>
      </c>
      <c r="K203" s="52">
        <f>IF(VLOOKUP(Table91213[[#This Row],[Date]],'DB Details'!$A:$Q,11)=0,"",VLOOKUP(Table91213[[#This Row],[Date]],'DB Details'!$A:$Q,11))</f>
        <v>51.5</v>
      </c>
      <c r="L203" s="50">
        <f>IF(VLOOKUP(Table91213[[#This Row],[Date]],'DB Details'!$A:$Q,12)=0,"",VLOOKUP(Table91213[[#This Row],[Date]],'DB Details'!$A:$Q,12))</f>
        <v>52.9</v>
      </c>
    </row>
    <row r="204" spans="1:12" x14ac:dyDescent="0.2">
      <c r="A204" s="53">
        <v>41640</v>
      </c>
      <c r="B204" s="50">
        <f>IF(VLOOKUP(Table91213[[#This Row],[Date]],'DB Details'!$A:$Q,2)=0,"",VLOOKUP(Table91213[[#This Row],[Date]],'DB Details'!$A:$Q,2))</f>
        <v>52.9</v>
      </c>
      <c r="C204" s="51">
        <f>IF(VLOOKUP(Table91213[[#This Row],[Date]],'DB Details'!$A:$Q,3)=0,"",VLOOKUP(Table91213[[#This Row],[Date]],'DB Details'!$A:$Q,3))</f>
        <v>48</v>
      </c>
      <c r="D204" s="51">
        <f>IF(VLOOKUP(Table91213[[#This Row],[Date]],'DB Details'!$A:$Q,4)=0,"",VLOOKUP(Table91213[[#This Row],[Date]],'DB Details'!$A:$Q,4))</f>
        <v>49</v>
      </c>
      <c r="E204" s="52">
        <f>IF(VLOOKUP(Table91213[[#This Row],[Date]],'DB Details'!$A:$Q,5)=0,"",VLOOKUP(Table91213[[#This Row],[Date]],'DB Details'!$A:$Q,5))</f>
        <v>58.1</v>
      </c>
      <c r="F204" s="51">
        <f>IF(VLOOKUP(Table91213[[#This Row],[Date]],'DB Details'!$A:$Q,6)=0,"",VLOOKUP(Table91213[[#This Row],[Date]],'DB Details'!$A:$Q,6))</f>
        <v>56.3</v>
      </c>
      <c r="G204" s="52">
        <f>IF(VLOOKUP(Table91213[[#This Row],[Date]],'DB Details'!$A:$Q,7)=0,"",VLOOKUP(Table91213[[#This Row],[Date]],'DB Details'!$A:$Q,7))</f>
        <v>63</v>
      </c>
      <c r="H204" s="52">
        <f>IF(VLOOKUP(Table91213[[#This Row],[Date]],'DB Details'!$A:$Q,8)=0,"",VLOOKUP(Table91213[[#This Row],[Date]],'DB Details'!$A:$Q,8))</f>
        <v>50.5</v>
      </c>
      <c r="I204" s="52">
        <f>IF(VLOOKUP(Table91213[[#This Row],[Date]],'DB Details'!$A:$Q,9)=0,"",VLOOKUP(Table91213[[#This Row],[Date]],'DB Details'!$A:$Q,9))</f>
        <v>52.5</v>
      </c>
      <c r="J204" s="52">
        <f>IF(VLOOKUP(Table91213[[#This Row],[Date]],'DB Details'!$A:$Q,10)=0,"",VLOOKUP(Table91213[[#This Row],[Date]],'DB Details'!$A:$Q,10))</f>
        <v>56.4</v>
      </c>
      <c r="K204" s="52">
        <f>IF(VLOOKUP(Table91213[[#This Row],[Date]],'DB Details'!$A:$Q,11)=0,"",VLOOKUP(Table91213[[#This Row],[Date]],'DB Details'!$A:$Q,11))</f>
        <v>49</v>
      </c>
      <c r="L204" s="50">
        <f>IF(VLOOKUP(Table91213[[#This Row],[Date]],'DB Details'!$A:$Q,12)=0,"",VLOOKUP(Table91213[[#This Row],[Date]],'DB Details'!$A:$Q,12))</f>
        <v>54.7</v>
      </c>
    </row>
    <row r="205" spans="1:12" x14ac:dyDescent="0.2">
      <c r="A205" s="53">
        <v>41671</v>
      </c>
      <c r="B205" s="50">
        <f>IF(VLOOKUP(Table91213[[#This Row],[Date]],'DB Details'!$A:$Q,2)=0,"",VLOOKUP(Table91213[[#This Row],[Date]],'DB Details'!$A:$Q,2))</f>
        <v>54.4</v>
      </c>
      <c r="C205" s="51">
        <f>IF(VLOOKUP(Table91213[[#This Row],[Date]],'DB Details'!$A:$Q,3)=0,"",VLOOKUP(Table91213[[#This Row],[Date]],'DB Details'!$A:$Q,3))</f>
        <v>47</v>
      </c>
      <c r="D205" s="51">
        <f>IF(VLOOKUP(Table91213[[#This Row],[Date]],'DB Details'!$A:$Q,4)=0,"",VLOOKUP(Table91213[[#This Row],[Date]],'DB Details'!$A:$Q,4))</f>
        <v>52</v>
      </c>
      <c r="E205" s="52">
        <f>IF(VLOOKUP(Table91213[[#This Row],[Date]],'DB Details'!$A:$Q,5)=0,"",VLOOKUP(Table91213[[#This Row],[Date]],'DB Details'!$A:$Q,5))</f>
        <v>56.9</v>
      </c>
      <c r="F205" s="51">
        <f>IF(VLOOKUP(Table91213[[#This Row],[Date]],'DB Details'!$A:$Q,6)=0,"",VLOOKUP(Table91213[[#This Row],[Date]],'DB Details'!$A:$Q,6))</f>
        <v>54.6</v>
      </c>
      <c r="G205" s="52">
        <f>IF(VLOOKUP(Table91213[[#This Row],[Date]],'DB Details'!$A:$Q,7)=0,"",VLOOKUP(Table91213[[#This Row],[Date]],'DB Details'!$A:$Q,7))</f>
        <v>62</v>
      </c>
      <c r="H205" s="52">
        <f>IF(VLOOKUP(Table91213[[#This Row],[Date]],'DB Details'!$A:$Q,8)=0,"",VLOOKUP(Table91213[[#This Row],[Date]],'DB Details'!$A:$Q,8))</f>
        <v>50.5</v>
      </c>
      <c r="I205" s="52">
        <f>IF(VLOOKUP(Table91213[[#This Row],[Date]],'DB Details'!$A:$Q,9)=0,"",VLOOKUP(Table91213[[#This Row],[Date]],'DB Details'!$A:$Q,9))</f>
        <v>53</v>
      </c>
      <c r="J205" s="52">
        <f>IF(VLOOKUP(Table91213[[#This Row],[Date]],'DB Details'!$A:$Q,10)=0,"",VLOOKUP(Table91213[[#This Row],[Date]],'DB Details'!$A:$Q,10))</f>
        <v>47.5</v>
      </c>
      <c r="K205" s="52">
        <f>IF(VLOOKUP(Table91213[[#This Row],[Date]],'DB Details'!$A:$Q,11)=0,"",VLOOKUP(Table91213[[#This Row],[Date]],'DB Details'!$A:$Q,11))</f>
        <v>47.5</v>
      </c>
      <c r="L205" s="50">
        <f>IF(VLOOKUP(Table91213[[#This Row],[Date]],'DB Details'!$A:$Q,12)=0,"",VLOOKUP(Table91213[[#This Row],[Date]],'DB Details'!$A:$Q,12))</f>
        <v>53</v>
      </c>
    </row>
    <row r="206" spans="1:12" x14ac:dyDescent="0.2">
      <c r="A206" s="53">
        <v>41699</v>
      </c>
      <c r="B206" s="50">
        <f>IF(VLOOKUP(Table91213[[#This Row],[Date]],'DB Details'!$A:$Q,2)=0,"",VLOOKUP(Table91213[[#This Row],[Date]],'DB Details'!$A:$Q,2))</f>
        <v>55.3</v>
      </c>
      <c r="C206" s="51">
        <f>IF(VLOOKUP(Table91213[[#This Row],[Date]],'DB Details'!$A:$Q,3)=0,"",VLOOKUP(Table91213[[#This Row],[Date]],'DB Details'!$A:$Q,3))</f>
        <v>50.5</v>
      </c>
      <c r="D206" s="51">
        <f>IF(VLOOKUP(Table91213[[#This Row],[Date]],'DB Details'!$A:$Q,4)=0,"",VLOOKUP(Table91213[[#This Row],[Date]],'DB Details'!$A:$Q,4))</f>
        <v>51.5</v>
      </c>
      <c r="E206" s="52">
        <f>IF(VLOOKUP(Table91213[[#This Row],[Date]],'DB Details'!$A:$Q,5)=0,"",VLOOKUP(Table91213[[#This Row],[Date]],'DB Details'!$A:$Q,5))</f>
        <v>58.4</v>
      </c>
      <c r="F206" s="51">
        <f>IF(VLOOKUP(Table91213[[#This Row],[Date]],'DB Details'!$A:$Q,6)=0,"",VLOOKUP(Table91213[[#This Row],[Date]],'DB Details'!$A:$Q,6))</f>
        <v>53.4</v>
      </c>
      <c r="G206" s="52">
        <f>IF(VLOOKUP(Table91213[[#This Row],[Date]],'DB Details'!$A:$Q,7)=0,"",VLOOKUP(Table91213[[#This Row],[Date]],'DB Details'!$A:$Q,7))</f>
        <v>60.5</v>
      </c>
      <c r="H206" s="52">
        <f>IF(VLOOKUP(Table91213[[#This Row],[Date]],'DB Details'!$A:$Q,8)=0,"",VLOOKUP(Table91213[[#This Row],[Date]],'DB Details'!$A:$Q,8))</f>
        <v>48</v>
      </c>
      <c r="I206" s="52">
        <f>IF(VLOOKUP(Table91213[[#This Row],[Date]],'DB Details'!$A:$Q,9)=0,"",VLOOKUP(Table91213[[#This Row],[Date]],'DB Details'!$A:$Q,9))</f>
        <v>52</v>
      </c>
      <c r="J206" s="52">
        <f>IF(VLOOKUP(Table91213[[#This Row],[Date]],'DB Details'!$A:$Q,10)=0,"",VLOOKUP(Table91213[[#This Row],[Date]],'DB Details'!$A:$Q,10))</f>
        <v>53.6</v>
      </c>
      <c r="K206" s="52">
        <f>IF(VLOOKUP(Table91213[[#This Row],[Date]],'DB Details'!$A:$Q,11)=0,"",VLOOKUP(Table91213[[#This Row],[Date]],'DB Details'!$A:$Q,11))</f>
        <v>49.5</v>
      </c>
      <c r="L206" s="50">
        <f>IF(VLOOKUP(Table91213[[#This Row],[Date]],'DB Details'!$A:$Q,12)=0,"",VLOOKUP(Table91213[[#This Row],[Date]],'DB Details'!$A:$Q,12))</f>
        <v>54.2</v>
      </c>
    </row>
    <row r="207" spans="1:12" x14ac:dyDescent="0.2">
      <c r="A207" s="53">
        <v>41730</v>
      </c>
      <c r="B207" s="50">
        <f>IF(VLOOKUP(Table91213[[#This Row],[Date]],'DB Details'!$A:$Q,2)=0,"",VLOOKUP(Table91213[[#This Row],[Date]],'DB Details'!$A:$Q,2))</f>
        <v>58</v>
      </c>
      <c r="C207" s="51">
        <f>IF(VLOOKUP(Table91213[[#This Row],[Date]],'DB Details'!$A:$Q,3)=0,"",VLOOKUP(Table91213[[#This Row],[Date]],'DB Details'!$A:$Q,3))</f>
        <v>55.5</v>
      </c>
      <c r="D207" s="51">
        <f>IF(VLOOKUP(Table91213[[#This Row],[Date]],'DB Details'!$A:$Q,4)=0,"",VLOOKUP(Table91213[[#This Row],[Date]],'DB Details'!$A:$Q,4))</f>
        <v>49</v>
      </c>
      <c r="E207" s="52">
        <f>IF(VLOOKUP(Table91213[[#This Row],[Date]],'DB Details'!$A:$Q,5)=0,"",VLOOKUP(Table91213[[#This Row],[Date]],'DB Details'!$A:$Q,5))</f>
        <v>60.5</v>
      </c>
      <c r="F207" s="51">
        <f>IF(VLOOKUP(Table91213[[#This Row],[Date]],'DB Details'!$A:$Q,6)=0,"",VLOOKUP(Table91213[[#This Row],[Date]],'DB Details'!$A:$Q,6))</f>
        <v>60.9</v>
      </c>
      <c r="G207" s="52">
        <f>IF(VLOOKUP(Table91213[[#This Row],[Date]],'DB Details'!$A:$Q,7)=0,"",VLOOKUP(Table91213[[#This Row],[Date]],'DB Details'!$A:$Q,7))</f>
        <v>65</v>
      </c>
      <c r="H207" s="52">
        <f>IF(VLOOKUP(Table91213[[#This Row],[Date]],'DB Details'!$A:$Q,8)=0,"",VLOOKUP(Table91213[[#This Row],[Date]],'DB Details'!$A:$Q,8))</f>
        <v>55.5</v>
      </c>
      <c r="I207" s="52">
        <f>IF(VLOOKUP(Table91213[[#This Row],[Date]],'DB Details'!$A:$Q,9)=0,"",VLOOKUP(Table91213[[#This Row],[Date]],'DB Details'!$A:$Q,9))</f>
        <v>50.5</v>
      </c>
      <c r="J207" s="52">
        <f>IF(VLOOKUP(Table91213[[#This Row],[Date]],'DB Details'!$A:$Q,10)=0,"",VLOOKUP(Table91213[[#This Row],[Date]],'DB Details'!$A:$Q,10))</f>
        <v>51.3</v>
      </c>
      <c r="K207" s="52">
        <f>IF(VLOOKUP(Table91213[[#This Row],[Date]],'DB Details'!$A:$Q,11)=0,"",VLOOKUP(Table91213[[#This Row],[Date]],'DB Details'!$A:$Q,11))</f>
        <v>57</v>
      </c>
      <c r="L207" s="50">
        <f>IF(VLOOKUP(Table91213[[#This Row],[Date]],'DB Details'!$A:$Q,12)=0,"",VLOOKUP(Table91213[[#This Row],[Date]],'DB Details'!$A:$Q,12))</f>
        <v>55.2</v>
      </c>
    </row>
    <row r="208" spans="1:12" x14ac:dyDescent="0.2">
      <c r="A208" s="53">
        <v>41760</v>
      </c>
      <c r="B208" s="50">
        <f>IF(VLOOKUP(Table91213[[#This Row],[Date]],'DB Details'!$A:$Q,2)=0,"",VLOOKUP(Table91213[[#This Row],[Date]],'DB Details'!$A:$Q,2))</f>
        <v>60.2</v>
      </c>
      <c r="C208" s="51">
        <f>IF(VLOOKUP(Table91213[[#This Row],[Date]],'DB Details'!$A:$Q,3)=0,"",VLOOKUP(Table91213[[#This Row],[Date]],'DB Details'!$A:$Q,3))</f>
        <v>55.5</v>
      </c>
      <c r="D208" s="51">
        <f>IF(VLOOKUP(Table91213[[#This Row],[Date]],'DB Details'!$A:$Q,4)=0,"",VLOOKUP(Table91213[[#This Row],[Date]],'DB Details'!$A:$Q,4))</f>
        <v>54</v>
      </c>
      <c r="E208" s="52">
        <f>IF(VLOOKUP(Table91213[[#This Row],[Date]],'DB Details'!$A:$Q,5)=0,"",VLOOKUP(Table91213[[#This Row],[Date]],'DB Details'!$A:$Q,5))</f>
        <v>58.7</v>
      </c>
      <c r="F208" s="51">
        <f>IF(VLOOKUP(Table91213[[#This Row],[Date]],'DB Details'!$A:$Q,6)=0,"",VLOOKUP(Table91213[[#This Row],[Date]],'DB Details'!$A:$Q,6))</f>
        <v>62.1</v>
      </c>
      <c r="G208" s="52">
        <f>IF(VLOOKUP(Table91213[[#This Row],[Date]],'DB Details'!$A:$Q,7)=0,"",VLOOKUP(Table91213[[#This Row],[Date]],'DB Details'!$A:$Q,7))</f>
        <v>63</v>
      </c>
      <c r="H208" s="52">
        <f>IF(VLOOKUP(Table91213[[#This Row],[Date]],'DB Details'!$A:$Q,8)=0,"",VLOOKUP(Table91213[[#This Row],[Date]],'DB Details'!$A:$Q,8))</f>
        <v>55.5</v>
      </c>
      <c r="I208" s="52">
        <f>IF(VLOOKUP(Table91213[[#This Row],[Date]],'DB Details'!$A:$Q,9)=0,"",VLOOKUP(Table91213[[#This Row],[Date]],'DB Details'!$A:$Q,9))</f>
        <v>50</v>
      </c>
      <c r="J208" s="52">
        <f>IF(VLOOKUP(Table91213[[#This Row],[Date]],'DB Details'!$A:$Q,10)=0,"",VLOOKUP(Table91213[[#This Row],[Date]],'DB Details'!$A:$Q,10))</f>
        <v>52.4</v>
      </c>
      <c r="K208" s="52">
        <f>IF(VLOOKUP(Table91213[[#This Row],[Date]],'DB Details'!$A:$Q,11)=0,"",VLOOKUP(Table91213[[#This Row],[Date]],'DB Details'!$A:$Q,11))</f>
        <v>53</v>
      </c>
      <c r="L208" s="50">
        <f>IF(VLOOKUP(Table91213[[#This Row],[Date]],'DB Details'!$A:$Q,12)=0,"",VLOOKUP(Table91213[[#This Row],[Date]],'DB Details'!$A:$Q,12))</f>
        <v>56.9</v>
      </c>
    </row>
    <row r="209" spans="1:12" x14ac:dyDescent="0.2">
      <c r="A209" s="53">
        <v>41791</v>
      </c>
      <c r="B209" s="50">
        <f>IF(VLOOKUP(Table91213[[#This Row],[Date]],'DB Details'!$A:$Q,2)=0,"",VLOOKUP(Table91213[[#This Row],[Date]],'DB Details'!$A:$Q,2))</f>
        <v>60.9</v>
      </c>
      <c r="C209" s="51">
        <f>IF(VLOOKUP(Table91213[[#This Row],[Date]],'DB Details'!$A:$Q,3)=0,"",VLOOKUP(Table91213[[#This Row],[Date]],'DB Details'!$A:$Q,3))</f>
        <v>53</v>
      </c>
      <c r="D209" s="51">
        <f>IF(VLOOKUP(Table91213[[#This Row],[Date]],'DB Details'!$A:$Q,4)=0,"",VLOOKUP(Table91213[[#This Row],[Date]],'DB Details'!$A:$Q,4))</f>
        <v>53</v>
      </c>
      <c r="E209" s="52">
        <f>IF(VLOOKUP(Table91213[[#This Row],[Date]],'DB Details'!$A:$Q,5)=0,"",VLOOKUP(Table91213[[#This Row],[Date]],'DB Details'!$A:$Q,5))</f>
        <v>59.3</v>
      </c>
      <c r="F209" s="51">
        <f>IF(VLOOKUP(Table91213[[#This Row],[Date]],'DB Details'!$A:$Q,6)=0,"",VLOOKUP(Table91213[[#This Row],[Date]],'DB Details'!$A:$Q,6))</f>
        <v>57.5</v>
      </c>
      <c r="G209" s="52">
        <f>IF(VLOOKUP(Table91213[[#This Row],[Date]],'DB Details'!$A:$Q,7)=0,"",VLOOKUP(Table91213[[#This Row],[Date]],'DB Details'!$A:$Q,7))</f>
        <v>60.5</v>
      </c>
      <c r="H209" s="52">
        <f>IF(VLOOKUP(Table91213[[#This Row],[Date]],'DB Details'!$A:$Q,8)=0,"",VLOOKUP(Table91213[[#This Row],[Date]],'DB Details'!$A:$Q,8))</f>
        <v>53.5</v>
      </c>
      <c r="I209" s="52">
        <f>IF(VLOOKUP(Table91213[[#This Row],[Date]],'DB Details'!$A:$Q,9)=0,"",VLOOKUP(Table91213[[#This Row],[Date]],'DB Details'!$A:$Q,9))</f>
        <v>51</v>
      </c>
      <c r="J209" s="52">
        <f>IF(VLOOKUP(Table91213[[#This Row],[Date]],'DB Details'!$A:$Q,10)=0,"",VLOOKUP(Table91213[[#This Row],[Date]],'DB Details'!$A:$Q,10))</f>
        <v>54.4</v>
      </c>
      <c r="K209" s="52">
        <f>IF(VLOOKUP(Table91213[[#This Row],[Date]],'DB Details'!$A:$Q,11)=0,"",VLOOKUP(Table91213[[#This Row],[Date]],'DB Details'!$A:$Q,11))</f>
        <v>55</v>
      </c>
      <c r="L209" s="50">
        <f>IF(VLOOKUP(Table91213[[#This Row],[Date]],'DB Details'!$A:$Q,12)=0,"",VLOOKUP(Table91213[[#This Row],[Date]],'DB Details'!$A:$Q,12))</f>
        <v>56.6</v>
      </c>
    </row>
    <row r="210" spans="1:12" x14ac:dyDescent="0.2">
      <c r="A210" s="53">
        <v>41821</v>
      </c>
      <c r="B210" s="50">
        <f>IF(VLOOKUP(Table91213[[#This Row],[Date]],'DB Details'!$A:$Q,2)=0,"",VLOOKUP(Table91213[[#This Row],[Date]],'DB Details'!$A:$Q,2))</f>
        <v>60.7</v>
      </c>
      <c r="C210" s="51">
        <f>IF(VLOOKUP(Table91213[[#This Row],[Date]],'DB Details'!$A:$Q,3)=0,"",VLOOKUP(Table91213[[#This Row],[Date]],'DB Details'!$A:$Q,3))</f>
        <v>54.5</v>
      </c>
      <c r="D210" s="51">
        <f>IF(VLOOKUP(Table91213[[#This Row],[Date]],'DB Details'!$A:$Q,4)=0,"",VLOOKUP(Table91213[[#This Row],[Date]],'DB Details'!$A:$Q,4))</f>
        <v>53</v>
      </c>
      <c r="E210" s="52">
        <f>IF(VLOOKUP(Table91213[[#This Row],[Date]],'DB Details'!$A:$Q,5)=0,"",VLOOKUP(Table91213[[#This Row],[Date]],'DB Details'!$A:$Q,5))</f>
        <v>59.1</v>
      </c>
      <c r="F210" s="51">
        <f>IF(VLOOKUP(Table91213[[#This Row],[Date]],'DB Details'!$A:$Q,6)=0,"",VLOOKUP(Table91213[[#This Row],[Date]],'DB Details'!$A:$Q,6))</f>
        <v>62.4</v>
      </c>
      <c r="G210" s="52">
        <f>IF(VLOOKUP(Table91213[[#This Row],[Date]],'DB Details'!$A:$Q,7)=0,"",VLOOKUP(Table91213[[#This Row],[Date]],'DB Details'!$A:$Q,7))</f>
        <v>58</v>
      </c>
      <c r="H210" s="52">
        <f>IF(VLOOKUP(Table91213[[#This Row],[Date]],'DB Details'!$A:$Q,8)=0,"",VLOOKUP(Table91213[[#This Row],[Date]],'DB Details'!$A:$Q,8))</f>
        <v>51</v>
      </c>
      <c r="I210" s="52">
        <f>IF(VLOOKUP(Table91213[[#This Row],[Date]],'DB Details'!$A:$Q,9)=0,"",VLOOKUP(Table91213[[#This Row],[Date]],'DB Details'!$A:$Q,9))</f>
        <v>51.5</v>
      </c>
      <c r="J210" s="52">
        <f>IF(VLOOKUP(Table91213[[#This Row],[Date]],'DB Details'!$A:$Q,10)=0,"",VLOOKUP(Table91213[[#This Row],[Date]],'DB Details'!$A:$Q,10))</f>
        <v>56</v>
      </c>
      <c r="K210" s="52">
        <f>IF(VLOOKUP(Table91213[[#This Row],[Date]],'DB Details'!$A:$Q,11)=0,"",VLOOKUP(Table91213[[#This Row],[Date]],'DB Details'!$A:$Q,11))</f>
        <v>53</v>
      </c>
      <c r="L210" s="50">
        <f>IF(VLOOKUP(Table91213[[#This Row],[Date]],'DB Details'!$A:$Q,12)=0,"",VLOOKUP(Table91213[[#This Row],[Date]],'DB Details'!$A:$Q,12))</f>
        <v>57.1</v>
      </c>
    </row>
    <row r="211" spans="1:12" x14ac:dyDescent="0.2">
      <c r="A211" s="53">
        <v>41852</v>
      </c>
      <c r="B211" s="50">
        <f>IF(VLOOKUP(Table91213[[#This Row],[Date]],'DB Details'!$A:$Q,2)=0,"",VLOOKUP(Table91213[[#This Row],[Date]],'DB Details'!$A:$Q,2))</f>
        <v>61.4</v>
      </c>
      <c r="C211" s="51">
        <f>IF(VLOOKUP(Table91213[[#This Row],[Date]],'DB Details'!$A:$Q,3)=0,"",VLOOKUP(Table91213[[#This Row],[Date]],'DB Details'!$A:$Q,3))</f>
        <v>51</v>
      </c>
      <c r="D211" s="51">
        <f>IF(VLOOKUP(Table91213[[#This Row],[Date]],'DB Details'!$A:$Q,4)=0,"",VLOOKUP(Table91213[[#This Row],[Date]],'DB Details'!$A:$Q,4))</f>
        <v>54.5</v>
      </c>
      <c r="E211" s="52">
        <f>IF(VLOOKUP(Table91213[[#This Row],[Date]],'DB Details'!$A:$Q,5)=0,"",VLOOKUP(Table91213[[#This Row],[Date]],'DB Details'!$A:$Q,5))</f>
        <v>57.5</v>
      </c>
      <c r="F211" s="51">
        <f>IF(VLOOKUP(Table91213[[#This Row],[Date]],'DB Details'!$A:$Q,6)=0,"",VLOOKUP(Table91213[[#This Row],[Date]],'DB Details'!$A:$Q,6))</f>
        <v>65</v>
      </c>
      <c r="G211" s="52">
        <f>IF(VLOOKUP(Table91213[[#This Row],[Date]],'DB Details'!$A:$Q,7)=0,"",VLOOKUP(Table91213[[#This Row],[Date]],'DB Details'!$A:$Q,7))</f>
        <v>55</v>
      </c>
      <c r="H211" s="52">
        <f>IF(VLOOKUP(Table91213[[#This Row],[Date]],'DB Details'!$A:$Q,8)=0,"",VLOOKUP(Table91213[[#This Row],[Date]],'DB Details'!$A:$Q,8))</f>
        <v>51</v>
      </c>
      <c r="I211" s="52">
        <f>IF(VLOOKUP(Table91213[[#This Row],[Date]],'DB Details'!$A:$Q,9)=0,"",VLOOKUP(Table91213[[#This Row],[Date]],'DB Details'!$A:$Q,9))</f>
        <v>52.5</v>
      </c>
      <c r="J211" s="52">
        <f>IF(VLOOKUP(Table91213[[#This Row],[Date]],'DB Details'!$A:$Q,10)=0,"",VLOOKUP(Table91213[[#This Row],[Date]],'DB Details'!$A:$Q,10))</f>
        <v>57.1</v>
      </c>
      <c r="K211" s="52">
        <f>IF(VLOOKUP(Table91213[[#This Row],[Date]],'DB Details'!$A:$Q,11)=0,"",VLOOKUP(Table91213[[#This Row],[Date]],'DB Details'!$A:$Q,11))</f>
        <v>52.5</v>
      </c>
      <c r="L211" s="50">
        <f>IF(VLOOKUP(Table91213[[#This Row],[Date]],'DB Details'!$A:$Q,12)=0,"",VLOOKUP(Table91213[[#This Row],[Date]],'DB Details'!$A:$Q,12))</f>
        <v>58</v>
      </c>
    </row>
    <row r="212" spans="1:12" x14ac:dyDescent="0.2">
      <c r="A212" s="53">
        <v>41883</v>
      </c>
      <c r="B212" s="50">
        <f>IF(VLOOKUP(Table91213[[#This Row],[Date]],'DB Details'!$A:$Q,2)=0,"",VLOOKUP(Table91213[[#This Row],[Date]],'DB Details'!$A:$Q,2))</f>
        <v>59.9</v>
      </c>
      <c r="C212" s="51">
        <f>IF(VLOOKUP(Table91213[[#This Row],[Date]],'DB Details'!$A:$Q,3)=0,"",VLOOKUP(Table91213[[#This Row],[Date]],'DB Details'!$A:$Q,3))</f>
        <v>52.5</v>
      </c>
      <c r="D212" s="51">
        <f>IF(VLOOKUP(Table91213[[#This Row],[Date]],'DB Details'!$A:$Q,4)=0,"",VLOOKUP(Table91213[[#This Row],[Date]],'DB Details'!$A:$Q,4))</f>
        <v>52</v>
      </c>
      <c r="E212" s="52">
        <f>IF(VLOOKUP(Table91213[[#This Row],[Date]],'DB Details'!$A:$Q,5)=0,"",VLOOKUP(Table91213[[#This Row],[Date]],'DB Details'!$A:$Q,5))</f>
        <v>55.3</v>
      </c>
      <c r="F212" s="51">
        <f>IF(VLOOKUP(Table91213[[#This Row],[Date]],'DB Details'!$A:$Q,6)=0,"",VLOOKUP(Table91213[[#This Row],[Date]],'DB Details'!$A:$Q,6))</f>
        <v>62.9</v>
      </c>
      <c r="G212" s="52">
        <f>IF(VLOOKUP(Table91213[[#This Row],[Date]],'DB Details'!$A:$Q,7)=0,"",VLOOKUP(Table91213[[#This Row],[Date]],'DB Details'!$A:$Q,7))</f>
        <v>60</v>
      </c>
      <c r="H212" s="52">
        <f>IF(VLOOKUP(Table91213[[#This Row],[Date]],'DB Details'!$A:$Q,8)=0,"",VLOOKUP(Table91213[[#This Row],[Date]],'DB Details'!$A:$Q,8))</f>
        <v>52</v>
      </c>
      <c r="I212" s="52">
        <f>IF(VLOOKUP(Table91213[[#This Row],[Date]],'DB Details'!$A:$Q,9)=0,"",VLOOKUP(Table91213[[#This Row],[Date]],'DB Details'!$A:$Q,9))</f>
        <v>52</v>
      </c>
      <c r="J212" s="52">
        <f>IF(VLOOKUP(Table91213[[#This Row],[Date]],'DB Details'!$A:$Q,10)=0,"",VLOOKUP(Table91213[[#This Row],[Date]],'DB Details'!$A:$Q,10))</f>
        <v>58.5</v>
      </c>
      <c r="K212" s="52">
        <f>IF(VLOOKUP(Table91213[[#This Row],[Date]],'DB Details'!$A:$Q,11)=0,"",VLOOKUP(Table91213[[#This Row],[Date]],'DB Details'!$A:$Q,11))</f>
        <v>57.5</v>
      </c>
      <c r="L212" s="50">
        <f>IF(VLOOKUP(Table91213[[#This Row],[Date]],'DB Details'!$A:$Q,12)=0,"",VLOOKUP(Table91213[[#This Row],[Date]],'DB Details'!$A:$Q,12))</f>
        <v>57.4</v>
      </c>
    </row>
    <row r="213" spans="1:12" x14ac:dyDescent="0.2">
      <c r="A213" s="53">
        <v>41913</v>
      </c>
      <c r="B213" s="50">
        <f>IF(VLOOKUP(Table91213[[#This Row],[Date]],'DB Details'!$A:$Q,2)=0,"",VLOOKUP(Table91213[[#This Row],[Date]],'DB Details'!$A:$Q,2))</f>
        <v>58.5</v>
      </c>
      <c r="C213" s="51">
        <f>IF(VLOOKUP(Table91213[[#This Row],[Date]],'DB Details'!$A:$Q,3)=0,"",VLOOKUP(Table91213[[#This Row],[Date]],'DB Details'!$A:$Q,3))</f>
        <v>56</v>
      </c>
      <c r="D213" s="51">
        <f>IF(VLOOKUP(Table91213[[#This Row],[Date]],'DB Details'!$A:$Q,4)=0,"",VLOOKUP(Table91213[[#This Row],[Date]],'DB Details'!$A:$Q,4))</f>
        <v>51.5</v>
      </c>
      <c r="E213" s="52">
        <f>IF(VLOOKUP(Table91213[[#This Row],[Date]],'DB Details'!$A:$Q,5)=0,"",VLOOKUP(Table91213[[#This Row],[Date]],'DB Details'!$A:$Q,5))</f>
        <v>52.3</v>
      </c>
      <c r="F213" s="51">
        <f>IF(VLOOKUP(Table91213[[#This Row],[Date]],'DB Details'!$A:$Q,6)=0,"",VLOOKUP(Table91213[[#This Row],[Date]],'DB Details'!$A:$Q,6))</f>
        <v>60</v>
      </c>
      <c r="G213" s="52">
        <f>IF(VLOOKUP(Table91213[[#This Row],[Date]],'DB Details'!$A:$Q,7)=0,"",VLOOKUP(Table91213[[#This Row],[Date]],'DB Details'!$A:$Q,7))</f>
        <v>58.5</v>
      </c>
      <c r="H213" s="52">
        <f>IF(VLOOKUP(Table91213[[#This Row],[Date]],'DB Details'!$A:$Q,8)=0,"",VLOOKUP(Table91213[[#This Row],[Date]],'DB Details'!$A:$Q,8))</f>
        <v>49.5</v>
      </c>
      <c r="I213" s="52">
        <f>IF(VLOOKUP(Table91213[[#This Row],[Date]],'DB Details'!$A:$Q,9)=0,"",VLOOKUP(Table91213[[#This Row],[Date]],'DB Details'!$A:$Q,9))</f>
        <v>49.5</v>
      </c>
      <c r="J213" s="52">
        <f>IF(VLOOKUP(Table91213[[#This Row],[Date]],'DB Details'!$A:$Q,10)=0,"",VLOOKUP(Table91213[[#This Row],[Date]],'DB Details'!$A:$Q,10))</f>
        <v>59.6</v>
      </c>
      <c r="K213" s="52">
        <f>IF(VLOOKUP(Table91213[[#This Row],[Date]],'DB Details'!$A:$Q,11)=0,"",VLOOKUP(Table91213[[#This Row],[Date]],'DB Details'!$A:$Q,11))</f>
        <v>53.5</v>
      </c>
      <c r="L213" s="50">
        <f>IF(VLOOKUP(Table91213[[#This Row],[Date]],'DB Details'!$A:$Q,12)=0,"",VLOOKUP(Table91213[[#This Row],[Date]],'DB Details'!$A:$Q,12))</f>
        <v>56</v>
      </c>
    </row>
    <row r="214" spans="1:12" x14ac:dyDescent="0.2">
      <c r="A214" s="53">
        <v>41944</v>
      </c>
      <c r="B214" s="50">
        <f>IF(VLOOKUP(Table91213[[#This Row],[Date]],'DB Details'!$A:$Q,2)=0,"",VLOOKUP(Table91213[[#This Row],[Date]],'DB Details'!$A:$Q,2))</f>
        <v>61.4</v>
      </c>
      <c r="C214" s="51">
        <f>IF(VLOOKUP(Table91213[[#This Row],[Date]],'DB Details'!$A:$Q,3)=0,"",VLOOKUP(Table91213[[#This Row],[Date]],'DB Details'!$A:$Q,3))</f>
        <v>53.5</v>
      </c>
      <c r="D214" s="51">
        <f>IF(VLOOKUP(Table91213[[#This Row],[Date]],'DB Details'!$A:$Q,4)=0,"",VLOOKUP(Table91213[[#This Row],[Date]],'DB Details'!$A:$Q,4))</f>
        <v>55.5</v>
      </c>
      <c r="E214" s="52">
        <f>IF(VLOOKUP(Table91213[[#This Row],[Date]],'DB Details'!$A:$Q,5)=0,"",VLOOKUP(Table91213[[#This Row],[Date]],'DB Details'!$A:$Q,5))</f>
        <v>54.3</v>
      </c>
      <c r="F214" s="51">
        <f>IF(VLOOKUP(Table91213[[#This Row],[Date]],'DB Details'!$A:$Q,6)=0,"",VLOOKUP(Table91213[[#This Row],[Date]],'DB Details'!$A:$Q,6))</f>
        <v>64.400000000000006</v>
      </c>
      <c r="G214" s="52">
        <f>IF(VLOOKUP(Table91213[[#This Row],[Date]],'DB Details'!$A:$Q,7)=0,"",VLOOKUP(Table91213[[#This Row],[Date]],'DB Details'!$A:$Q,7))</f>
        <v>63</v>
      </c>
      <c r="H214" s="52">
        <f>IF(VLOOKUP(Table91213[[#This Row],[Date]],'DB Details'!$A:$Q,8)=0,"",VLOOKUP(Table91213[[#This Row],[Date]],'DB Details'!$A:$Q,8))</f>
        <v>55.5</v>
      </c>
      <c r="I214" s="52">
        <f>IF(VLOOKUP(Table91213[[#This Row],[Date]],'DB Details'!$A:$Q,9)=0,"",VLOOKUP(Table91213[[#This Row],[Date]],'DB Details'!$A:$Q,9))</f>
        <v>54.5</v>
      </c>
      <c r="J214" s="52">
        <f>IF(VLOOKUP(Table91213[[#This Row],[Date]],'DB Details'!$A:$Q,10)=0,"",VLOOKUP(Table91213[[#This Row],[Date]],'DB Details'!$A:$Q,10))</f>
        <v>56.7</v>
      </c>
      <c r="K214" s="52">
        <f>IF(VLOOKUP(Table91213[[#This Row],[Date]],'DB Details'!$A:$Q,11)=0,"",VLOOKUP(Table91213[[#This Row],[Date]],'DB Details'!$A:$Q,11))</f>
        <v>57</v>
      </c>
      <c r="L214" s="50">
        <f>IF(VLOOKUP(Table91213[[#This Row],[Date]],'DB Details'!$A:$Q,12)=0,"",VLOOKUP(Table91213[[#This Row],[Date]],'DB Details'!$A:$Q,12))</f>
        <v>58.7</v>
      </c>
    </row>
    <row r="215" spans="1:12" x14ac:dyDescent="0.2">
      <c r="A215" s="53">
        <v>41974</v>
      </c>
      <c r="B215" s="50">
        <f>IF(VLOOKUP(Table91213[[#This Row],[Date]],'DB Details'!$A:$Q,2)=0,"",VLOOKUP(Table91213[[#This Row],[Date]],'DB Details'!$A:$Q,2))</f>
        <v>58.7</v>
      </c>
      <c r="C215" s="51">
        <f>IF(VLOOKUP(Table91213[[#This Row],[Date]],'DB Details'!$A:$Q,3)=0,"",VLOOKUP(Table91213[[#This Row],[Date]],'DB Details'!$A:$Q,3))</f>
        <v>50</v>
      </c>
      <c r="D215" s="51">
        <f>IF(VLOOKUP(Table91213[[#This Row],[Date]],'DB Details'!$A:$Q,4)=0,"",VLOOKUP(Table91213[[#This Row],[Date]],'DB Details'!$A:$Q,4))</f>
        <v>49.5</v>
      </c>
      <c r="E215" s="52">
        <f>IF(VLOOKUP(Table91213[[#This Row],[Date]],'DB Details'!$A:$Q,5)=0,"",VLOOKUP(Table91213[[#This Row],[Date]],'DB Details'!$A:$Q,5))</f>
        <v>50.3</v>
      </c>
      <c r="F215" s="51">
        <f>IF(VLOOKUP(Table91213[[#This Row],[Date]],'DB Details'!$A:$Q,6)=0,"",VLOOKUP(Table91213[[#This Row],[Date]],'DB Details'!$A:$Q,6))</f>
        <v>57.2</v>
      </c>
      <c r="G215" s="52">
        <f>IF(VLOOKUP(Table91213[[#This Row],[Date]],'DB Details'!$A:$Q,7)=0,"",VLOOKUP(Table91213[[#This Row],[Date]],'DB Details'!$A:$Q,7))</f>
        <v>59</v>
      </c>
      <c r="H215" s="52">
        <f>IF(VLOOKUP(Table91213[[#This Row],[Date]],'DB Details'!$A:$Q,8)=0,"",VLOOKUP(Table91213[[#This Row],[Date]],'DB Details'!$A:$Q,8))</f>
        <v>50</v>
      </c>
      <c r="I215" s="52">
        <f>IF(VLOOKUP(Table91213[[#This Row],[Date]],'DB Details'!$A:$Q,9)=0,"",VLOOKUP(Table91213[[#This Row],[Date]],'DB Details'!$A:$Q,9))</f>
        <v>52.5</v>
      </c>
      <c r="J215" s="52">
        <f>IF(VLOOKUP(Table91213[[#This Row],[Date]],'DB Details'!$A:$Q,10)=0,"",VLOOKUP(Table91213[[#This Row],[Date]],'DB Details'!$A:$Q,10))</f>
        <v>56</v>
      </c>
      <c r="K215" s="52">
        <f>IF(VLOOKUP(Table91213[[#This Row],[Date]],'DB Details'!$A:$Q,11)=0,"",VLOOKUP(Table91213[[#This Row],[Date]],'DB Details'!$A:$Q,11))</f>
        <v>53.5</v>
      </c>
      <c r="L215" s="50">
        <f>IF(VLOOKUP(Table91213[[#This Row],[Date]],'DB Details'!$A:$Q,12)=0,"",VLOOKUP(Table91213[[#This Row],[Date]],'DB Details'!$A:$Q,12))</f>
        <v>56.4</v>
      </c>
    </row>
    <row r="216" spans="1:12" x14ac:dyDescent="0.2">
      <c r="A216" s="53">
        <v>42005</v>
      </c>
      <c r="B216" s="50">
        <f>IF(VLOOKUP(Table91213[[#This Row],[Date]],'DB Details'!$A:$Q,2)=0,"",VLOOKUP(Table91213[[#This Row],[Date]],'DB Details'!$A:$Q,2))</f>
        <v>60.5</v>
      </c>
      <c r="C216" s="51">
        <f>IF(VLOOKUP(Table91213[[#This Row],[Date]],'DB Details'!$A:$Q,3)=0,"",VLOOKUP(Table91213[[#This Row],[Date]],'DB Details'!$A:$Q,3))</f>
        <v>46.5</v>
      </c>
      <c r="D216" s="51">
        <f>IF(VLOOKUP(Table91213[[#This Row],[Date]],'DB Details'!$A:$Q,4)=0,"",VLOOKUP(Table91213[[#This Row],[Date]],'DB Details'!$A:$Q,4))</f>
        <v>49</v>
      </c>
      <c r="E216" s="52">
        <f>IF(VLOOKUP(Table91213[[#This Row],[Date]],'DB Details'!$A:$Q,5)=0,"",VLOOKUP(Table91213[[#This Row],[Date]],'DB Details'!$A:$Q,5))</f>
        <v>47.1</v>
      </c>
      <c r="F216" s="51">
        <f>IF(VLOOKUP(Table91213[[#This Row],[Date]],'DB Details'!$A:$Q,6)=0,"",VLOOKUP(Table91213[[#This Row],[Date]],'DB Details'!$A:$Q,6))</f>
        <v>61.5</v>
      </c>
      <c r="G216" s="52">
        <f>IF(VLOOKUP(Table91213[[#This Row],[Date]],'DB Details'!$A:$Q,7)=0,"",VLOOKUP(Table91213[[#This Row],[Date]],'DB Details'!$A:$Q,7))</f>
        <v>61.5</v>
      </c>
      <c r="H216" s="52">
        <f>IF(VLOOKUP(Table91213[[#This Row],[Date]],'DB Details'!$A:$Q,8)=0,"",VLOOKUP(Table91213[[#This Row],[Date]],'DB Details'!$A:$Q,8))</f>
        <v>52.5</v>
      </c>
      <c r="I216" s="52">
        <f>IF(VLOOKUP(Table91213[[#This Row],[Date]],'DB Details'!$A:$Q,9)=0,"",VLOOKUP(Table91213[[#This Row],[Date]],'DB Details'!$A:$Q,9))</f>
        <v>54</v>
      </c>
      <c r="J216" s="52">
        <f>IF(VLOOKUP(Table91213[[#This Row],[Date]],'DB Details'!$A:$Q,10)=0,"",VLOOKUP(Table91213[[#This Row],[Date]],'DB Details'!$A:$Q,10))</f>
        <v>51.6</v>
      </c>
      <c r="K216" s="52">
        <f>IF(VLOOKUP(Table91213[[#This Row],[Date]],'DB Details'!$A:$Q,11)=0,"",VLOOKUP(Table91213[[#This Row],[Date]],'DB Details'!$A:$Q,11))</f>
        <v>52.5</v>
      </c>
      <c r="L216" s="50">
        <f>IF(VLOOKUP(Table91213[[#This Row],[Date]],'DB Details'!$A:$Q,12)=0,"",VLOOKUP(Table91213[[#This Row],[Date]],'DB Details'!$A:$Q,12))</f>
        <v>57.3</v>
      </c>
    </row>
    <row r="217" spans="1:12" x14ac:dyDescent="0.2">
      <c r="A217" s="53">
        <v>42036</v>
      </c>
      <c r="B217" s="50">
        <f>IF(VLOOKUP(Table91213[[#This Row],[Date]],'DB Details'!$A:$Q,2)=0,"",VLOOKUP(Table91213[[#This Row],[Date]],'DB Details'!$A:$Q,2))</f>
        <v>58.8</v>
      </c>
      <c r="C217" s="51">
        <f>IF(VLOOKUP(Table91213[[#This Row],[Date]],'DB Details'!$A:$Q,3)=0,"",VLOOKUP(Table91213[[#This Row],[Date]],'DB Details'!$A:$Q,3))</f>
        <v>51</v>
      </c>
      <c r="D217" s="51">
        <f>IF(VLOOKUP(Table91213[[#This Row],[Date]],'DB Details'!$A:$Q,4)=0,"",VLOOKUP(Table91213[[#This Row],[Date]],'DB Details'!$A:$Q,4))</f>
        <v>53</v>
      </c>
      <c r="E217" s="52">
        <f>IF(VLOOKUP(Table91213[[#This Row],[Date]],'DB Details'!$A:$Q,5)=0,"",VLOOKUP(Table91213[[#This Row],[Date]],'DB Details'!$A:$Q,5))</f>
        <v>50.7</v>
      </c>
      <c r="F217" s="51">
        <f>IF(VLOOKUP(Table91213[[#This Row],[Date]],'DB Details'!$A:$Q,6)=0,"",VLOOKUP(Table91213[[#This Row],[Date]],'DB Details'!$A:$Q,6))</f>
        <v>59.4</v>
      </c>
      <c r="G217" s="52">
        <f>IF(VLOOKUP(Table91213[[#This Row],[Date]],'DB Details'!$A:$Q,7)=0,"",VLOOKUP(Table91213[[#This Row],[Date]],'DB Details'!$A:$Q,7))</f>
        <v>62</v>
      </c>
      <c r="H217" s="52">
        <f>IF(VLOOKUP(Table91213[[#This Row],[Date]],'DB Details'!$A:$Q,8)=0,"",VLOOKUP(Table91213[[#This Row],[Date]],'DB Details'!$A:$Q,8))</f>
        <v>54.5</v>
      </c>
      <c r="I217" s="52">
        <f>IF(VLOOKUP(Table91213[[#This Row],[Date]],'DB Details'!$A:$Q,9)=0,"",VLOOKUP(Table91213[[#This Row],[Date]],'DB Details'!$A:$Q,9))</f>
        <v>55</v>
      </c>
      <c r="J217" s="52">
        <f>IF(VLOOKUP(Table91213[[#This Row],[Date]],'DB Details'!$A:$Q,10)=0,"",VLOOKUP(Table91213[[#This Row],[Date]],'DB Details'!$A:$Q,10))</f>
        <v>56.4</v>
      </c>
      <c r="K217" s="52">
        <f>IF(VLOOKUP(Table91213[[#This Row],[Date]],'DB Details'!$A:$Q,11)=0,"",VLOOKUP(Table91213[[#This Row],[Date]],'DB Details'!$A:$Q,11))</f>
        <v>53</v>
      </c>
      <c r="L217" s="50">
        <f>IF(VLOOKUP(Table91213[[#This Row],[Date]],'DB Details'!$A:$Q,12)=0,"",VLOOKUP(Table91213[[#This Row],[Date]],'DB Details'!$A:$Q,12))</f>
        <v>57.6</v>
      </c>
    </row>
    <row r="218" spans="1:12" x14ac:dyDescent="0.2">
      <c r="A218" s="53">
        <v>42064</v>
      </c>
      <c r="B218" s="50">
        <f>IF(VLOOKUP(Table91213[[#This Row],[Date]],'DB Details'!$A:$Q,2)=0,"",VLOOKUP(Table91213[[#This Row],[Date]],'DB Details'!$A:$Q,2))</f>
        <v>58.9</v>
      </c>
      <c r="C218" s="51">
        <f>IF(VLOOKUP(Table91213[[#This Row],[Date]],'DB Details'!$A:$Q,3)=0,"",VLOOKUP(Table91213[[#This Row],[Date]],'DB Details'!$A:$Q,3))</f>
        <v>55.5</v>
      </c>
      <c r="D218" s="51">
        <f>IF(VLOOKUP(Table91213[[#This Row],[Date]],'DB Details'!$A:$Q,4)=0,"",VLOOKUP(Table91213[[#This Row],[Date]],'DB Details'!$A:$Q,4))</f>
        <v>53.5</v>
      </c>
      <c r="E218" s="52">
        <f>IF(VLOOKUP(Table91213[[#This Row],[Date]],'DB Details'!$A:$Q,5)=0,"",VLOOKUP(Table91213[[#This Row],[Date]],'DB Details'!$A:$Q,5))</f>
        <v>53.3</v>
      </c>
      <c r="F218" s="51">
        <f>IF(VLOOKUP(Table91213[[#This Row],[Date]],'DB Details'!$A:$Q,6)=0,"",VLOOKUP(Table91213[[#This Row],[Date]],'DB Details'!$A:$Q,6))</f>
        <v>57.5</v>
      </c>
      <c r="G218" s="52">
        <f>IF(VLOOKUP(Table91213[[#This Row],[Date]],'DB Details'!$A:$Q,7)=0,"",VLOOKUP(Table91213[[#This Row],[Date]],'DB Details'!$A:$Q,7))</f>
        <v>61</v>
      </c>
      <c r="H218" s="52">
        <f>IF(VLOOKUP(Table91213[[#This Row],[Date]],'DB Details'!$A:$Q,8)=0,"",VLOOKUP(Table91213[[#This Row],[Date]],'DB Details'!$A:$Q,8))</f>
        <v>49.5</v>
      </c>
      <c r="I218" s="52">
        <f>IF(VLOOKUP(Table91213[[#This Row],[Date]],'DB Details'!$A:$Q,9)=0,"",VLOOKUP(Table91213[[#This Row],[Date]],'DB Details'!$A:$Q,9))</f>
        <v>54</v>
      </c>
      <c r="J218" s="52">
        <f>IF(VLOOKUP(Table91213[[#This Row],[Date]],'DB Details'!$A:$Q,10)=0,"",VLOOKUP(Table91213[[#This Row],[Date]],'DB Details'!$A:$Q,10))</f>
        <v>56.6</v>
      </c>
      <c r="K218" s="52">
        <f>IF(VLOOKUP(Table91213[[#This Row],[Date]],'DB Details'!$A:$Q,11)=0,"",VLOOKUP(Table91213[[#This Row],[Date]],'DB Details'!$A:$Q,11))</f>
        <v>59</v>
      </c>
      <c r="L218" s="50">
        <f>IF(VLOOKUP(Table91213[[#This Row],[Date]],'DB Details'!$A:$Q,12)=0,"",VLOOKUP(Table91213[[#This Row],[Date]],'DB Details'!$A:$Q,12))</f>
        <v>57.5</v>
      </c>
    </row>
    <row r="219" spans="1:12" x14ac:dyDescent="0.2">
      <c r="A219" s="53">
        <v>42095</v>
      </c>
      <c r="B219" s="50">
        <f>IF(VLOOKUP(Table91213[[#This Row],[Date]],'DB Details'!$A:$Q,2)=0,"",VLOOKUP(Table91213[[#This Row],[Date]],'DB Details'!$A:$Q,2))</f>
        <v>58.7</v>
      </c>
      <c r="C219" s="51">
        <f>IF(VLOOKUP(Table91213[[#This Row],[Date]],'DB Details'!$A:$Q,3)=0,"",VLOOKUP(Table91213[[#This Row],[Date]],'DB Details'!$A:$Q,3))</f>
        <v>51.5</v>
      </c>
      <c r="D219" s="51">
        <f>IF(VLOOKUP(Table91213[[#This Row],[Date]],'DB Details'!$A:$Q,4)=0,"",VLOOKUP(Table91213[[#This Row],[Date]],'DB Details'!$A:$Q,4))</f>
        <v>54.5</v>
      </c>
      <c r="E219" s="52">
        <f>IF(VLOOKUP(Table91213[[#This Row],[Date]],'DB Details'!$A:$Q,5)=0,"",VLOOKUP(Table91213[[#This Row],[Date]],'DB Details'!$A:$Q,5))</f>
        <v>50.2</v>
      </c>
      <c r="F219" s="51">
        <f>IF(VLOOKUP(Table91213[[#This Row],[Date]],'DB Details'!$A:$Q,6)=0,"",VLOOKUP(Table91213[[#This Row],[Date]],'DB Details'!$A:$Q,6))</f>
        <v>61.6</v>
      </c>
      <c r="G219" s="52">
        <f>IF(VLOOKUP(Table91213[[#This Row],[Date]],'DB Details'!$A:$Q,7)=0,"",VLOOKUP(Table91213[[#This Row],[Date]],'DB Details'!$A:$Q,7))</f>
        <v>59.5</v>
      </c>
      <c r="H219" s="52">
        <f>IF(VLOOKUP(Table91213[[#This Row],[Date]],'DB Details'!$A:$Q,8)=0,"",VLOOKUP(Table91213[[#This Row],[Date]],'DB Details'!$A:$Q,8))</f>
        <v>51</v>
      </c>
      <c r="I219" s="52">
        <f>IF(VLOOKUP(Table91213[[#This Row],[Date]],'DB Details'!$A:$Q,9)=0,"",VLOOKUP(Table91213[[#This Row],[Date]],'DB Details'!$A:$Q,9))</f>
        <v>53.5</v>
      </c>
      <c r="J219" s="52">
        <f>IF(VLOOKUP(Table91213[[#This Row],[Date]],'DB Details'!$A:$Q,10)=0,"",VLOOKUP(Table91213[[#This Row],[Date]],'DB Details'!$A:$Q,10))</f>
        <v>56.7</v>
      </c>
      <c r="K219" s="52">
        <f>IF(VLOOKUP(Table91213[[#This Row],[Date]],'DB Details'!$A:$Q,11)=0,"",VLOOKUP(Table91213[[#This Row],[Date]],'DB Details'!$A:$Q,11))</f>
        <v>48.5</v>
      </c>
      <c r="L219" s="50">
        <f>IF(VLOOKUP(Table91213[[#This Row],[Date]],'DB Details'!$A:$Q,12)=0,"",VLOOKUP(Table91213[[#This Row],[Date]],'DB Details'!$A:$Q,12))</f>
        <v>57.5</v>
      </c>
    </row>
    <row r="220" spans="1:12" x14ac:dyDescent="0.2">
      <c r="A220" s="53">
        <v>42125</v>
      </c>
      <c r="B220" s="50">
        <f>IF(VLOOKUP(Table91213[[#This Row],[Date]],'DB Details'!$A:$Q,2)=0,"",VLOOKUP(Table91213[[#This Row],[Date]],'DB Details'!$A:$Q,2))</f>
        <v>58.4</v>
      </c>
      <c r="C220" s="51">
        <f>IF(VLOOKUP(Table91213[[#This Row],[Date]],'DB Details'!$A:$Q,3)=0,"",VLOOKUP(Table91213[[#This Row],[Date]],'DB Details'!$A:$Q,3))</f>
        <v>53.5</v>
      </c>
      <c r="D220" s="51">
        <f>IF(VLOOKUP(Table91213[[#This Row],[Date]],'DB Details'!$A:$Q,4)=0,"",VLOOKUP(Table91213[[#This Row],[Date]],'DB Details'!$A:$Q,4))</f>
        <v>48.5</v>
      </c>
      <c r="E220" s="52">
        <f>IF(VLOOKUP(Table91213[[#This Row],[Date]],'DB Details'!$A:$Q,5)=0,"",VLOOKUP(Table91213[[#This Row],[Date]],'DB Details'!$A:$Q,5))</f>
        <v>54</v>
      </c>
      <c r="F220" s="51">
        <f>IF(VLOOKUP(Table91213[[#This Row],[Date]],'DB Details'!$A:$Q,6)=0,"",VLOOKUP(Table91213[[#This Row],[Date]],'DB Details'!$A:$Q,6))</f>
        <v>59.5</v>
      </c>
      <c r="G220" s="52">
        <f>IF(VLOOKUP(Table91213[[#This Row],[Date]],'DB Details'!$A:$Q,7)=0,"",VLOOKUP(Table91213[[#This Row],[Date]],'DB Details'!$A:$Q,7))</f>
        <v>59</v>
      </c>
      <c r="H220" s="52">
        <f>IF(VLOOKUP(Table91213[[#This Row],[Date]],'DB Details'!$A:$Q,8)=0,"",VLOOKUP(Table91213[[#This Row],[Date]],'DB Details'!$A:$Q,8))</f>
        <v>51</v>
      </c>
      <c r="I220" s="52">
        <f>IF(VLOOKUP(Table91213[[#This Row],[Date]],'DB Details'!$A:$Q,9)=0,"",VLOOKUP(Table91213[[#This Row],[Date]],'DB Details'!$A:$Q,9))</f>
        <v>50</v>
      </c>
      <c r="J220" s="52">
        <f>IF(VLOOKUP(Table91213[[#This Row],[Date]],'DB Details'!$A:$Q,10)=0,"",VLOOKUP(Table91213[[#This Row],[Date]],'DB Details'!$A:$Q,10))</f>
        <v>55.3</v>
      </c>
      <c r="K220" s="52">
        <f>IF(VLOOKUP(Table91213[[#This Row],[Date]],'DB Details'!$A:$Q,11)=0,"",VLOOKUP(Table91213[[#This Row],[Date]],'DB Details'!$A:$Q,11))</f>
        <v>55</v>
      </c>
      <c r="L220" s="50">
        <f>IF(VLOOKUP(Table91213[[#This Row],[Date]],'DB Details'!$A:$Q,12)=0,"",VLOOKUP(Table91213[[#This Row],[Date]],'DB Details'!$A:$Q,12))</f>
        <v>56.8</v>
      </c>
    </row>
    <row r="221" spans="1:12" x14ac:dyDescent="0.2">
      <c r="A221" s="53">
        <v>42156</v>
      </c>
      <c r="B221" s="50">
        <f>IF(VLOOKUP(Table91213[[#This Row],[Date]],'DB Details'!$A:$Q,2)=0,"",VLOOKUP(Table91213[[#This Row],[Date]],'DB Details'!$A:$Q,2))</f>
        <v>58.3</v>
      </c>
      <c r="C221" s="51">
        <f>IF(VLOOKUP(Table91213[[#This Row],[Date]],'DB Details'!$A:$Q,3)=0,"",VLOOKUP(Table91213[[#This Row],[Date]],'DB Details'!$A:$Q,3))</f>
        <v>48</v>
      </c>
      <c r="D221" s="51">
        <f>IF(VLOOKUP(Table91213[[#This Row],[Date]],'DB Details'!$A:$Q,4)=0,"",VLOOKUP(Table91213[[#This Row],[Date]],'DB Details'!$A:$Q,4))</f>
        <v>50.5</v>
      </c>
      <c r="E221" s="52">
        <f>IF(VLOOKUP(Table91213[[#This Row],[Date]],'DB Details'!$A:$Q,5)=0,"",VLOOKUP(Table91213[[#This Row],[Date]],'DB Details'!$A:$Q,5))</f>
        <v>52.3</v>
      </c>
      <c r="F221" s="51">
        <f>IF(VLOOKUP(Table91213[[#This Row],[Date]],'DB Details'!$A:$Q,6)=0,"",VLOOKUP(Table91213[[#This Row],[Date]],'DB Details'!$A:$Q,6))</f>
        <v>61.5</v>
      </c>
      <c r="G221" s="52">
        <f>IF(VLOOKUP(Table91213[[#This Row],[Date]],'DB Details'!$A:$Q,7)=0,"",VLOOKUP(Table91213[[#This Row],[Date]],'DB Details'!$A:$Q,7))</f>
        <v>65</v>
      </c>
      <c r="H221" s="52">
        <f>IF(VLOOKUP(Table91213[[#This Row],[Date]],'DB Details'!$A:$Q,8)=0,"",VLOOKUP(Table91213[[#This Row],[Date]],'DB Details'!$A:$Q,8))</f>
        <v>55</v>
      </c>
      <c r="I221" s="52">
        <f>IF(VLOOKUP(Table91213[[#This Row],[Date]],'DB Details'!$A:$Q,9)=0,"",VLOOKUP(Table91213[[#This Row],[Date]],'DB Details'!$A:$Q,9))</f>
        <v>51.5</v>
      </c>
      <c r="J221" s="52">
        <f>IF(VLOOKUP(Table91213[[#This Row],[Date]],'DB Details'!$A:$Q,10)=0,"",VLOOKUP(Table91213[[#This Row],[Date]],'DB Details'!$A:$Q,10))</f>
        <v>52.7</v>
      </c>
      <c r="K221" s="52">
        <f>IF(VLOOKUP(Table91213[[#This Row],[Date]],'DB Details'!$A:$Q,11)=0,"",VLOOKUP(Table91213[[#This Row],[Date]],'DB Details'!$A:$Q,11))</f>
        <v>52</v>
      </c>
      <c r="L221" s="50">
        <f>IF(VLOOKUP(Table91213[[#This Row],[Date]],'DB Details'!$A:$Q,12)=0,"",VLOOKUP(Table91213[[#This Row],[Date]],'DB Details'!$A:$Q,12))</f>
        <v>56</v>
      </c>
    </row>
    <row r="222" spans="1:12" x14ac:dyDescent="0.2">
      <c r="A222" s="53">
        <v>42186</v>
      </c>
      <c r="B222" s="50">
        <f>IF(VLOOKUP(Table91213[[#This Row],[Date]],'DB Details'!$A:$Q,2)=0,"",VLOOKUP(Table91213[[#This Row],[Date]],'DB Details'!$A:$Q,2))</f>
        <v>60.9</v>
      </c>
      <c r="C222" s="51">
        <f>IF(VLOOKUP(Table91213[[#This Row],[Date]],'DB Details'!$A:$Q,3)=0,"",VLOOKUP(Table91213[[#This Row],[Date]],'DB Details'!$A:$Q,3))</f>
        <v>50.5</v>
      </c>
      <c r="D222" s="51">
        <f>IF(VLOOKUP(Table91213[[#This Row],[Date]],'DB Details'!$A:$Q,4)=0,"",VLOOKUP(Table91213[[#This Row],[Date]],'DB Details'!$A:$Q,4))</f>
        <v>54</v>
      </c>
      <c r="E222" s="52">
        <f>IF(VLOOKUP(Table91213[[#This Row],[Date]],'DB Details'!$A:$Q,5)=0,"",VLOOKUP(Table91213[[#This Row],[Date]],'DB Details'!$A:$Q,5))</f>
        <v>52.8</v>
      </c>
      <c r="F222" s="51">
        <f>IF(VLOOKUP(Table91213[[#This Row],[Date]],'DB Details'!$A:$Q,6)=0,"",VLOOKUP(Table91213[[#This Row],[Date]],'DB Details'!$A:$Q,6))</f>
        <v>64.900000000000006</v>
      </c>
      <c r="G222" s="52">
        <f>IF(VLOOKUP(Table91213[[#This Row],[Date]],'DB Details'!$A:$Q,7)=0,"",VLOOKUP(Table91213[[#This Row],[Date]],'DB Details'!$A:$Q,7))</f>
        <v>63.5</v>
      </c>
      <c r="H222" s="52">
        <f>IF(VLOOKUP(Table91213[[#This Row],[Date]],'DB Details'!$A:$Q,8)=0,"",VLOOKUP(Table91213[[#This Row],[Date]],'DB Details'!$A:$Q,8))</f>
        <v>57</v>
      </c>
      <c r="I222" s="52">
        <f>IF(VLOOKUP(Table91213[[#This Row],[Date]],'DB Details'!$A:$Q,9)=0,"",VLOOKUP(Table91213[[#This Row],[Date]],'DB Details'!$A:$Q,9))</f>
        <v>53</v>
      </c>
      <c r="J222" s="52">
        <f>IF(VLOOKUP(Table91213[[#This Row],[Date]],'DB Details'!$A:$Q,10)=0,"",VLOOKUP(Table91213[[#This Row],[Date]],'DB Details'!$A:$Q,10))</f>
        <v>59.6</v>
      </c>
      <c r="K222" s="52">
        <f>IF(VLOOKUP(Table91213[[#This Row],[Date]],'DB Details'!$A:$Q,11)=0,"",VLOOKUP(Table91213[[#This Row],[Date]],'DB Details'!$A:$Q,11))</f>
        <v>56.5</v>
      </c>
      <c r="L222" s="50">
        <f>IF(VLOOKUP(Table91213[[#This Row],[Date]],'DB Details'!$A:$Q,12)=0,"",VLOOKUP(Table91213[[#This Row],[Date]],'DB Details'!$A:$Q,12))</f>
        <v>59.3</v>
      </c>
    </row>
    <row r="223" spans="1:12" x14ac:dyDescent="0.2">
      <c r="A223" s="53">
        <v>42217</v>
      </c>
      <c r="B223" s="50">
        <f>IF(VLOOKUP(Table91213[[#This Row],[Date]],'DB Details'!$A:$Q,2)=0,"",VLOOKUP(Table91213[[#This Row],[Date]],'DB Details'!$A:$Q,2))</f>
        <v>62.7</v>
      </c>
      <c r="C223" s="51">
        <f>IF(VLOOKUP(Table91213[[#This Row],[Date]],'DB Details'!$A:$Q,3)=0,"",VLOOKUP(Table91213[[#This Row],[Date]],'DB Details'!$A:$Q,3))</f>
        <v>51.5</v>
      </c>
      <c r="D223" s="51">
        <f>IF(VLOOKUP(Table91213[[#This Row],[Date]],'DB Details'!$A:$Q,4)=0,"",VLOOKUP(Table91213[[#This Row],[Date]],'DB Details'!$A:$Q,4))</f>
        <v>56.5</v>
      </c>
      <c r="E223" s="52">
        <f>IF(VLOOKUP(Table91213[[#This Row],[Date]],'DB Details'!$A:$Q,5)=0,"",VLOOKUP(Table91213[[#This Row],[Date]],'DB Details'!$A:$Q,5))</f>
        <v>50.9</v>
      </c>
      <c r="F223" s="51">
        <f>IF(VLOOKUP(Table91213[[#This Row],[Date]],'DB Details'!$A:$Q,6)=0,"",VLOOKUP(Table91213[[#This Row],[Date]],'DB Details'!$A:$Q,6))</f>
        <v>63.9</v>
      </c>
      <c r="G223" s="52">
        <f>IF(VLOOKUP(Table91213[[#This Row],[Date]],'DB Details'!$A:$Q,7)=0,"",VLOOKUP(Table91213[[#This Row],[Date]],'DB Details'!$A:$Q,7))</f>
        <v>69</v>
      </c>
      <c r="H223" s="52">
        <f>IF(VLOOKUP(Table91213[[#This Row],[Date]],'DB Details'!$A:$Q,8)=0,"",VLOOKUP(Table91213[[#This Row],[Date]],'DB Details'!$A:$Q,8))</f>
        <v>54.5</v>
      </c>
      <c r="I223" s="52">
        <f>IF(VLOOKUP(Table91213[[#This Row],[Date]],'DB Details'!$A:$Q,9)=0,"",VLOOKUP(Table91213[[#This Row],[Date]],'DB Details'!$A:$Q,9))</f>
        <v>52.5</v>
      </c>
      <c r="J223" s="52">
        <f>IF(VLOOKUP(Table91213[[#This Row],[Date]],'DB Details'!$A:$Q,10)=0,"",VLOOKUP(Table91213[[#This Row],[Date]],'DB Details'!$A:$Q,10))</f>
        <v>56</v>
      </c>
      <c r="K223" s="52">
        <f>IF(VLOOKUP(Table91213[[#This Row],[Date]],'DB Details'!$A:$Q,11)=0,"",VLOOKUP(Table91213[[#This Row],[Date]],'DB Details'!$A:$Q,11))</f>
        <v>52</v>
      </c>
      <c r="L223" s="50">
        <f>IF(VLOOKUP(Table91213[[#This Row],[Date]],'DB Details'!$A:$Q,12)=0,"",VLOOKUP(Table91213[[#This Row],[Date]],'DB Details'!$A:$Q,12))</f>
        <v>58.4</v>
      </c>
    </row>
    <row r="224" spans="1:12" x14ac:dyDescent="0.2">
      <c r="A224" s="53">
        <v>42248</v>
      </c>
      <c r="B224" s="50">
        <f>IF(VLOOKUP(Table91213[[#This Row],[Date]],'DB Details'!$A:$Q,2)=0,"",VLOOKUP(Table91213[[#This Row],[Date]],'DB Details'!$A:$Q,2))</f>
        <v>56</v>
      </c>
      <c r="C224" s="51">
        <f>IF(VLOOKUP(Table91213[[#This Row],[Date]],'DB Details'!$A:$Q,3)=0,"",VLOOKUP(Table91213[[#This Row],[Date]],'DB Details'!$A:$Q,3))</f>
        <v>53</v>
      </c>
      <c r="D224" s="51">
        <f>IF(VLOOKUP(Table91213[[#This Row],[Date]],'DB Details'!$A:$Q,4)=0,"",VLOOKUP(Table91213[[#This Row],[Date]],'DB Details'!$A:$Q,4))</f>
        <v>54.5</v>
      </c>
      <c r="E224" s="52">
        <f>IF(VLOOKUP(Table91213[[#This Row],[Date]],'DB Details'!$A:$Q,5)=0,"",VLOOKUP(Table91213[[#This Row],[Date]],'DB Details'!$A:$Q,5))</f>
        <v>48.7</v>
      </c>
      <c r="F224" s="51">
        <f>IF(VLOOKUP(Table91213[[#This Row],[Date]],'DB Details'!$A:$Q,6)=0,"",VLOOKUP(Table91213[[#This Row],[Date]],'DB Details'!$A:$Q,6))</f>
        <v>60.2</v>
      </c>
      <c r="G224" s="52">
        <f>IF(VLOOKUP(Table91213[[#This Row],[Date]],'DB Details'!$A:$Q,7)=0,"",VLOOKUP(Table91213[[#This Row],[Date]],'DB Details'!$A:$Q,7))</f>
        <v>65</v>
      </c>
      <c r="H224" s="52">
        <f>IF(VLOOKUP(Table91213[[#This Row],[Date]],'DB Details'!$A:$Q,8)=0,"",VLOOKUP(Table91213[[#This Row],[Date]],'DB Details'!$A:$Q,8))</f>
        <v>51</v>
      </c>
      <c r="I224" s="52">
        <f>IF(VLOOKUP(Table91213[[#This Row],[Date]],'DB Details'!$A:$Q,9)=0,"",VLOOKUP(Table91213[[#This Row],[Date]],'DB Details'!$A:$Q,9))</f>
        <v>52.5</v>
      </c>
      <c r="J224" s="52">
        <f>IF(VLOOKUP(Table91213[[#This Row],[Date]],'DB Details'!$A:$Q,10)=0,"",VLOOKUP(Table91213[[#This Row],[Date]],'DB Details'!$A:$Q,10))</f>
        <v>58.3</v>
      </c>
      <c r="K224" s="52">
        <f>IF(VLOOKUP(Table91213[[#This Row],[Date]],'DB Details'!$A:$Q,11)=0,"",VLOOKUP(Table91213[[#This Row],[Date]],'DB Details'!$A:$Q,11))</f>
        <v>52.5</v>
      </c>
      <c r="L224" s="50">
        <f>IF(VLOOKUP(Table91213[[#This Row],[Date]],'DB Details'!$A:$Q,12)=0,"",VLOOKUP(Table91213[[#This Row],[Date]],'DB Details'!$A:$Q,12))</f>
        <v>56.1</v>
      </c>
    </row>
    <row r="225" spans="1:12" x14ac:dyDescent="0.2">
      <c r="A225" s="53">
        <v>42278</v>
      </c>
      <c r="B225" s="50">
        <f>IF(VLOOKUP(Table91213[[#This Row],[Date]],'DB Details'!$A:$Q,2)=0,"",VLOOKUP(Table91213[[#This Row],[Date]],'DB Details'!$A:$Q,2))</f>
        <v>61</v>
      </c>
      <c r="C225" s="51">
        <f>IF(VLOOKUP(Table91213[[#This Row],[Date]],'DB Details'!$A:$Q,3)=0,"",VLOOKUP(Table91213[[#This Row],[Date]],'DB Details'!$A:$Q,3))</f>
        <v>54.5</v>
      </c>
      <c r="D225" s="51">
        <f>IF(VLOOKUP(Table91213[[#This Row],[Date]],'DB Details'!$A:$Q,4)=0,"",VLOOKUP(Table91213[[#This Row],[Date]],'DB Details'!$A:$Q,4))</f>
        <v>54.5</v>
      </c>
      <c r="E225" s="52">
        <f>IF(VLOOKUP(Table91213[[#This Row],[Date]],'DB Details'!$A:$Q,5)=0,"",VLOOKUP(Table91213[[#This Row],[Date]],'DB Details'!$A:$Q,5))</f>
        <v>48.4</v>
      </c>
      <c r="F225" s="51">
        <f>IF(VLOOKUP(Table91213[[#This Row],[Date]],'DB Details'!$A:$Q,6)=0,"",VLOOKUP(Table91213[[#This Row],[Date]],'DB Details'!$A:$Q,6))</f>
        <v>63</v>
      </c>
      <c r="G225" s="52">
        <f>IF(VLOOKUP(Table91213[[#This Row],[Date]],'DB Details'!$A:$Q,7)=0,"",VLOOKUP(Table91213[[#This Row],[Date]],'DB Details'!$A:$Q,7))</f>
        <v>63</v>
      </c>
      <c r="H225" s="52">
        <f>IF(VLOOKUP(Table91213[[#This Row],[Date]],'DB Details'!$A:$Q,8)=0,"",VLOOKUP(Table91213[[#This Row],[Date]],'DB Details'!$A:$Q,8))</f>
        <v>52.5</v>
      </c>
      <c r="I225" s="52">
        <f>IF(VLOOKUP(Table91213[[#This Row],[Date]],'DB Details'!$A:$Q,9)=0,"",VLOOKUP(Table91213[[#This Row],[Date]],'DB Details'!$A:$Q,9))</f>
        <v>52</v>
      </c>
      <c r="J225" s="52">
        <f>IF(VLOOKUP(Table91213[[#This Row],[Date]],'DB Details'!$A:$Q,10)=0,"",VLOOKUP(Table91213[[#This Row],[Date]],'DB Details'!$A:$Q,10))</f>
        <v>59.2</v>
      </c>
      <c r="K225" s="52">
        <f>IF(VLOOKUP(Table91213[[#This Row],[Date]],'DB Details'!$A:$Q,11)=0,"",VLOOKUP(Table91213[[#This Row],[Date]],'DB Details'!$A:$Q,11))</f>
        <v>54.5</v>
      </c>
      <c r="L225" s="50">
        <f>IF(VLOOKUP(Table91213[[#This Row],[Date]],'DB Details'!$A:$Q,12)=0,"",VLOOKUP(Table91213[[#This Row],[Date]],'DB Details'!$A:$Q,12))</f>
        <v>57.9</v>
      </c>
    </row>
    <row r="226" spans="1:12" x14ac:dyDescent="0.2">
      <c r="A226" s="53">
        <v>42309</v>
      </c>
      <c r="B226" s="50">
        <f>IF(VLOOKUP(Table91213[[#This Row],[Date]],'DB Details'!$A:$Q,2)=0,"",VLOOKUP(Table91213[[#This Row],[Date]],'DB Details'!$A:$Q,2))</f>
        <v>58.2</v>
      </c>
      <c r="C226" s="51">
        <f>IF(VLOOKUP(Table91213[[#This Row],[Date]],'DB Details'!$A:$Q,3)=0,"",VLOOKUP(Table91213[[#This Row],[Date]],'DB Details'!$A:$Q,3))</f>
        <v>51</v>
      </c>
      <c r="D226" s="51">
        <f>IF(VLOOKUP(Table91213[[#This Row],[Date]],'DB Details'!$A:$Q,4)=0,"",VLOOKUP(Table91213[[#This Row],[Date]],'DB Details'!$A:$Q,4))</f>
        <v>51.5</v>
      </c>
      <c r="E226" s="52">
        <f>IF(VLOOKUP(Table91213[[#This Row],[Date]],'DB Details'!$A:$Q,5)=0,"",VLOOKUP(Table91213[[#This Row],[Date]],'DB Details'!$A:$Q,5))</f>
        <v>49.1</v>
      </c>
      <c r="F226" s="51">
        <f>IF(VLOOKUP(Table91213[[#This Row],[Date]],'DB Details'!$A:$Q,6)=0,"",VLOOKUP(Table91213[[#This Row],[Date]],'DB Details'!$A:$Q,6))</f>
        <v>58.2</v>
      </c>
      <c r="G226" s="52">
        <f>IF(VLOOKUP(Table91213[[#This Row],[Date]],'DB Details'!$A:$Q,7)=0,"",VLOOKUP(Table91213[[#This Row],[Date]],'DB Details'!$A:$Q,7))</f>
        <v>63.5</v>
      </c>
      <c r="H226" s="52">
        <f>IF(VLOOKUP(Table91213[[#This Row],[Date]],'DB Details'!$A:$Q,8)=0,"",VLOOKUP(Table91213[[#This Row],[Date]],'DB Details'!$A:$Q,8))</f>
        <v>54.5</v>
      </c>
      <c r="I226" s="52">
        <f>IF(VLOOKUP(Table91213[[#This Row],[Date]],'DB Details'!$A:$Q,9)=0,"",VLOOKUP(Table91213[[#This Row],[Date]],'DB Details'!$A:$Q,9))</f>
        <v>53</v>
      </c>
      <c r="J226" s="52">
        <f>IF(VLOOKUP(Table91213[[#This Row],[Date]],'DB Details'!$A:$Q,10)=0,"",VLOOKUP(Table91213[[#This Row],[Date]],'DB Details'!$A:$Q,10))</f>
        <v>55</v>
      </c>
      <c r="K226" s="52">
        <f>IF(VLOOKUP(Table91213[[#This Row],[Date]],'DB Details'!$A:$Q,11)=0,"",VLOOKUP(Table91213[[#This Row],[Date]],'DB Details'!$A:$Q,11))</f>
        <v>49.5</v>
      </c>
      <c r="L226" s="50">
        <f>IF(VLOOKUP(Table91213[[#This Row],[Date]],'DB Details'!$A:$Q,12)=0,"",VLOOKUP(Table91213[[#This Row],[Date]],'DB Details'!$A:$Q,12))</f>
        <v>55.8</v>
      </c>
    </row>
    <row r="227" spans="1:12" x14ac:dyDescent="0.2">
      <c r="A227" s="53">
        <v>42339</v>
      </c>
      <c r="B227" s="50">
        <f>IF(VLOOKUP(Table91213[[#This Row],[Date]],'DB Details'!$A:$Q,2)=0,"",VLOOKUP(Table91213[[#This Row],[Date]],'DB Details'!$A:$Q,2))</f>
        <v>57.9</v>
      </c>
      <c r="C227" s="51">
        <f>IF(VLOOKUP(Table91213[[#This Row],[Date]],'DB Details'!$A:$Q,3)=0,"",VLOOKUP(Table91213[[#This Row],[Date]],'DB Details'!$A:$Q,3))</f>
        <v>49</v>
      </c>
      <c r="D227" s="51">
        <f>IF(VLOOKUP(Table91213[[#This Row],[Date]],'DB Details'!$A:$Q,4)=0,"",VLOOKUP(Table91213[[#This Row],[Date]],'DB Details'!$A:$Q,4))</f>
        <v>50</v>
      </c>
      <c r="E227" s="52">
        <f>IF(VLOOKUP(Table91213[[#This Row],[Date]],'DB Details'!$A:$Q,5)=0,"",VLOOKUP(Table91213[[#This Row],[Date]],'DB Details'!$A:$Q,5))</f>
        <v>50.1</v>
      </c>
      <c r="F227" s="51">
        <f>IF(VLOOKUP(Table91213[[#This Row],[Date]],'DB Details'!$A:$Q,6)=0,"",VLOOKUP(Table91213[[#This Row],[Date]],'DB Details'!$A:$Q,6))</f>
        <v>58.7</v>
      </c>
      <c r="G227" s="52">
        <f>IF(VLOOKUP(Table91213[[#This Row],[Date]],'DB Details'!$A:$Q,7)=0,"",VLOOKUP(Table91213[[#This Row],[Date]],'DB Details'!$A:$Q,7))</f>
        <v>64.5</v>
      </c>
      <c r="H227" s="52">
        <f>IF(VLOOKUP(Table91213[[#This Row],[Date]],'DB Details'!$A:$Q,8)=0,"",VLOOKUP(Table91213[[#This Row],[Date]],'DB Details'!$A:$Q,8))</f>
        <v>53</v>
      </c>
      <c r="I227" s="52">
        <f>IF(VLOOKUP(Table91213[[#This Row],[Date]],'DB Details'!$A:$Q,9)=0,"",VLOOKUP(Table91213[[#This Row],[Date]],'DB Details'!$A:$Q,9))</f>
        <v>48.5</v>
      </c>
      <c r="J227" s="52">
        <f>IF(VLOOKUP(Table91213[[#This Row],[Date]],'DB Details'!$A:$Q,10)=0,"",VLOOKUP(Table91213[[#This Row],[Date]],'DB Details'!$A:$Q,10))</f>
        <v>55.7</v>
      </c>
      <c r="K227" s="52">
        <f>IF(VLOOKUP(Table91213[[#This Row],[Date]],'DB Details'!$A:$Q,11)=0,"",VLOOKUP(Table91213[[#This Row],[Date]],'DB Details'!$A:$Q,11))</f>
        <v>53.5</v>
      </c>
      <c r="L227" s="50">
        <f>IF(VLOOKUP(Table91213[[#This Row],[Date]],'DB Details'!$A:$Q,12)=0,"",VLOOKUP(Table91213[[#This Row],[Date]],'DB Details'!$A:$Q,12))</f>
        <v>55.3</v>
      </c>
    </row>
    <row r="228" spans="1:12" x14ac:dyDescent="0.2">
      <c r="A228" s="53">
        <v>42370</v>
      </c>
      <c r="B228" s="50">
        <f>IF(VLOOKUP(Table91213[[#This Row],[Date]],'DB Details'!$A:$Q,2)=0,"",VLOOKUP(Table91213[[#This Row],[Date]],'DB Details'!$A:$Q,2))</f>
        <v>57</v>
      </c>
      <c r="C228" s="51">
        <f>IF(VLOOKUP(Table91213[[#This Row],[Date]],'DB Details'!$A:$Q,3)=0,"",VLOOKUP(Table91213[[#This Row],[Date]],'DB Details'!$A:$Q,3))</f>
        <v>46</v>
      </c>
      <c r="D228" s="51">
        <f>IF(VLOOKUP(Table91213[[#This Row],[Date]],'DB Details'!$A:$Q,4)=0,"",VLOOKUP(Table91213[[#This Row],[Date]],'DB Details'!$A:$Q,4))</f>
        <v>52</v>
      </c>
      <c r="E228" s="52">
        <f>IF(VLOOKUP(Table91213[[#This Row],[Date]],'DB Details'!$A:$Q,5)=0,"",VLOOKUP(Table91213[[#This Row],[Date]],'DB Details'!$A:$Q,5))</f>
        <v>47.3</v>
      </c>
      <c r="F228" s="51">
        <f>IF(VLOOKUP(Table91213[[#This Row],[Date]],'DB Details'!$A:$Q,6)=0,"",VLOOKUP(Table91213[[#This Row],[Date]],'DB Details'!$A:$Q,6))</f>
        <v>53.9</v>
      </c>
      <c r="G228" s="52">
        <f>IF(VLOOKUP(Table91213[[#This Row],[Date]],'DB Details'!$A:$Q,7)=0,"",VLOOKUP(Table91213[[#This Row],[Date]],'DB Details'!$A:$Q,7))</f>
        <v>61.5</v>
      </c>
      <c r="H228" s="52">
        <f>IF(VLOOKUP(Table91213[[#This Row],[Date]],'DB Details'!$A:$Q,8)=0,"",VLOOKUP(Table91213[[#This Row],[Date]],'DB Details'!$A:$Q,8))</f>
        <v>51.5</v>
      </c>
      <c r="I228" s="52">
        <f>IF(VLOOKUP(Table91213[[#This Row],[Date]],'DB Details'!$A:$Q,9)=0,"",VLOOKUP(Table91213[[#This Row],[Date]],'DB Details'!$A:$Q,9))</f>
        <v>51.5</v>
      </c>
      <c r="J228" s="52">
        <f>IF(VLOOKUP(Table91213[[#This Row],[Date]],'DB Details'!$A:$Q,10)=0,"",VLOOKUP(Table91213[[#This Row],[Date]],'DB Details'!$A:$Q,10))</f>
        <v>52.1</v>
      </c>
      <c r="K228" s="52">
        <f>IF(VLOOKUP(Table91213[[#This Row],[Date]],'DB Details'!$A:$Q,11)=0,"",VLOOKUP(Table91213[[#This Row],[Date]],'DB Details'!$A:$Q,11))</f>
        <v>45.5</v>
      </c>
      <c r="L228" s="50">
        <f>IF(VLOOKUP(Table91213[[#This Row],[Date]],'DB Details'!$A:$Q,12)=0,"",VLOOKUP(Table91213[[#This Row],[Date]],'DB Details'!$A:$Q,12))</f>
        <v>54</v>
      </c>
    </row>
    <row r="229" spans="1:12" x14ac:dyDescent="0.2">
      <c r="A229" s="53">
        <v>42401</v>
      </c>
      <c r="B229" s="50">
        <f>IF(VLOOKUP(Table91213[[#This Row],[Date]],'DB Details'!$A:$Q,2)=0,"",VLOOKUP(Table91213[[#This Row],[Date]],'DB Details'!$A:$Q,2))</f>
        <v>56.8</v>
      </c>
      <c r="C229" s="51">
        <f>IF(VLOOKUP(Table91213[[#This Row],[Date]],'DB Details'!$A:$Q,3)=0,"",VLOOKUP(Table91213[[#This Row],[Date]],'DB Details'!$A:$Q,3))</f>
        <v>55.5</v>
      </c>
      <c r="D229" s="51">
        <f>IF(VLOOKUP(Table91213[[#This Row],[Date]],'DB Details'!$A:$Q,4)=0,"",VLOOKUP(Table91213[[#This Row],[Date]],'DB Details'!$A:$Q,4))</f>
        <v>52</v>
      </c>
      <c r="E229" s="52">
        <f>IF(VLOOKUP(Table91213[[#This Row],[Date]],'DB Details'!$A:$Q,5)=0,"",VLOOKUP(Table91213[[#This Row],[Date]],'DB Details'!$A:$Q,5))</f>
        <v>45.6</v>
      </c>
      <c r="F229" s="51">
        <f>IF(VLOOKUP(Table91213[[#This Row],[Date]],'DB Details'!$A:$Q,6)=0,"",VLOOKUP(Table91213[[#This Row],[Date]],'DB Details'!$A:$Q,6))</f>
        <v>57.8</v>
      </c>
      <c r="G229" s="52">
        <f>IF(VLOOKUP(Table91213[[#This Row],[Date]],'DB Details'!$A:$Q,7)=0,"",VLOOKUP(Table91213[[#This Row],[Date]],'DB Details'!$A:$Q,7))</f>
        <v>62</v>
      </c>
      <c r="H229" s="52">
        <f>IF(VLOOKUP(Table91213[[#This Row],[Date]],'DB Details'!$A:$Q,8)=0,"",VLOOKUP(Table91213[[#This Row],[Date]],'DB Details'!$A:$Q,8))</f>
        <v>52.5</v>
      </c>
      <c r="I229" s="52">
        <f>IF(VLOOKUP(Table91213[[#This Row],[Date]],'DB Details'!$A:$Q,9)=0,"",VLOOKUP(Table91213[[#This Row],[Date]],'DB Details'!$A:$Q,9))</f>
        <v>50.5</v>
      </c>
      <c r="J229" s="52">
        <f>IF(VLOOKUP(Table91213[[#This Row],[Date]],'DB Details'!$A:$Q,10)=0,"",VLOOKUP(Table91213[[#This Row],[Date]],'DB Details'!$A:$Q,10))</f>
        <v>49.7</v>
      </c>
      <c r="K229" s="52">
        <f>IF(VLOOKUP(Table91213[[#This Row],[Date]],'DB Details'!$A:$Q,11)=0,"",VLOOKUP(Table91213[[#This Row],[Date]],'DB Details'!$A:$Q,11))</f>
        <v>53.5</v>
      </c>
      <c r="L229" s="50">
        <f>IF(VLOOKUP(Table91213[[#This Row],[Date]],'DB Details'!$A:$Q,12)=0,"",VLOOKUP(Table91213[[#This Row],[Date]],'DB Details'!$A:$Q,12))</f>
        <v>54</v>
      </c>
    </row>
    <row r="230" spans="1:12" x14ac:dyDescent="0.2">
      <c r="A230" s="53">
        <v>42430</v>
      </c>
      <c r="B230" s="50">
        <f>IF(VLOOKUP(Table91213[[#This Row],[Date]],'DB Details'!$A:$Q,2)=0,"",VLOOKUP(Table91213[[#This Row],[Date]],'DB Details'!$A:$Q,2))</f>
        <v>57.4</v>
      </c>
      <c r="C230" s="51">
        <f>IF(VLOOKUP(Table91213[[#This Row],[Date]],'DB Details'!$A:$Q,3)=0,"",VLOOKUP(Table91213[[#This Row],[Date]],'DB Details'!$A:$Q,3))</f>
        <v>53</v>
      </c>
      <c r="D230" s="51">
        <f>IF(VLOOKUP(Table91213[[#This Row],[Date]],'DB Details'!$A:$Q,4)=0,"",VLOOKUP(Table91213[[#This Row],[Date]],'DB Details'!$A:$Q,4))</f>
        <v>52</v>
      </c>
      <c r="E230" s="52">
        <f>IF(VLOOKUP(Table91213[[#This Row],[Date]],'DB Details'!$A:$Q,5)=0,"",VLOOKUP(Table91213[[#This Row],[Date]],'DB Details'!$A:$Q,5))</f>
        <v>50.4</v>
      </c>
      <c r="F230" s="51">
        <f>IF(VLOOKUP(Table91213[[#This Row],[Date]],'DB Details'!$A:$Q,6)=0,"",VLOOKUP(Table91213[[#This Row],[Date]],'DB Details'!$A:$Q,6))</f>
        <v>59.8</v>
      </c>
      <c r="G230" s="52">
        <f>IF(VLOOKUP(Table91213[[#This Row],[Date]],'DB Details'!$A:$Q,7)=0,"",VLOOKUP(Table91213[[#This Row],[Date]],'DB Details'!$A:$Q,7))</f>
        <v>62.5</v>
      </c>
      <c r="H230" s="52">
        <f>IF(VLOOKUP(Table91213[[#This Row],[Date]],'DB Details'!$A:$Q,8)=0,"",VLOOKUP(Table91213[[#This Row],[Date]],'DB Details'!$A:$Q,8))</f>
        <v>52.5</v>
      </c>
      <c r="I230" s="52">
        <f>IF(VLOOKUP(Table91213[[#This Row],[Date]],'DB Details'!$A:$Q,9)=0,"",VLOOKUP(Table91213[[#This Row],[Date]],'DB Details'!$A:$Q,9))</f>
        <v>51</v>
      </c>
      <c r="J230" s="52">
        <f>IF(VLOOKUP(Table91213[[#This Row],[Date]],'DB Details'!$A:$Q,10)=0,"",VLOOKUP(Table91213[[#This Row],[Date]],'DB Details'!$A:$Q,10))</f>
        <v>50.3</v>
      </c>
      <c r="K230" s="52">
        <f>IF(VLOOKUP(Table91213[[#This Row],[Date]],'DB Details'!$A:$Q,11)=0,"",VLOOKUP(Table91213[[#This Row],[Date]],'DB Details'!$A:$Q,11))</f>
        <v>58.5</v>
      </c>
      <c r="L230" s="50">
        <f>IF(VLOOKUP(Table91213[[#This Row],[Date]],'DB Details'!$A:$Q,12)=0,"",VLOOKUP(Table91213[[#This Row],[Date]],'DB Details'!$A:$Q,12))</f>
        <v>55.2</v>
      </c>
    </row>
    <row r="231" spans="1:12" x14ac:dyDescent="0.2">
      <c r="A231" s="53">
        <v>42461</v>
      </c>
      <c r="B231" s="50">
        <f>IF(VLOOKUP(Table91213[[#This Row],[Date]],'DB Details'!$A:$Q,2)=0,"",VLOOKUP(Table91213[[#This Row],[Date]],'DB Details'!$A:$Q,2))</f>
        <v>59.5</v>
      </c>
      <c r="C231" s="51">
        <f>IF(VLOOKUP(Table91213[[#This Row],[Date]],'DB Details'!$A:$Q,3)=0,"",VLOOKUP(Table91213[[#This Row],[Date]],'DB Details'!$A:$Q,3))</f>
        <v>54</v>
      </c>
      <c r="D231" s="51">
        <f>IF(VLOOKUP(Table91213[[#This Row],[Date]],'DB Details'!$A:$Q,4)=0,"",VLOOKUP(Table91213[[#This Row],[Date]],'DB Details'!$A:$Q,4))</f>
        <v>51.5</v>
      </c>
      <c r="E231" s="52">
        <f>IF(VLOOKUP(Table91213[[#This Row],[Date]],'DB Details'!$A:$Q,5)=0,"",VLOOKUP(Table91213[[#This Row],[Date]],'DB Details'!$A:$Q,5))</f>
        <v>53.6</v>
      </c>
      <c r="F231" s="51">
        <f>IF(VLOOKUP(Table91213[[#This Row],[Date]],'DB Details'!$A:$Q,6)=0,"",VLOOKUP(Table91213[[#This Row],[Date]],'DB Details'!$A:$Q,6))</f>
        <v>58.8</v>
      </c>
      <c r="G231" s="52">
        <f>IF(VLOOKUP(Table91213[[#This Row],[Date]],'DB Details'!$A:$Q,7)=0,"",VLOOKUP(Table91213[[#This Row],[Date]],'DB Details'!$A:$Q,7))</f>
        <v>61</v>
      </c>
      <c r="H231" s="52">
        <f>IF(VLOOKUP(Table91213[[#This Row],[Date]],'DB Details'!$A:$Q,8)=0,"",VLOOKUP(Table91213[[#This Row],[Date]],'DB Details'!$A:$Q,8))</f>
        <v>54</v>
      </c>
      <c r="I231" s="52">
        <f>IF(VLOOKUP(Table91213[[#This Row],[Date]],'DB Details'!$A:$Q,9)=0,"",VLOOKUP(Table91213[[#This Row],[Date]],'DB Details'!$A:$Q,9))</f>
        <v>51</v>
      </c>
      <c r="J231" s="52">
        <f>IF(VLOOKUP(Table91213[[#This Row],[Date]],'DB Details'!$A:$Q,10)=0,"",VLOOKUP(Table91213[[#This Row],[Date]],'DB Details'!$A:$Q,10))</f>
        <v>53</v>
      </c>
      <c r="K231" s="52">
        <f>IF(VLOOKUP(Table91213[[#This Row],[Date]],'DB Details'!$A:$Q,11)=0,"",VLOOKUP(Table91213[[#This Row],[Date]],'DB Details'!$A:$Q,11))</f>
        <v>56.5</v>
      </c>
      <c r="L231" s="50">
        <f>IF(VLOOKUP(Table91213[[#This Row],[Date]],'DB Details'!$A:$Q,12)=0,"",VLOOKUP(Table91213[[#This Row],[Date]],'DB Details'!$A:$Q,12))</f>
        <v>55.6</v>
      </c>
    </row>
    <row r="232" spans="1:12" x14ac:dyDescent="0.2">
      <c r="A232" s="53">
        <v>42491</v>
      </c>
      <c r="B232" s="50">
        <f>IF(VLOOKUP(Table91213[[#This Row],[Date]],'DB Details'!$A:$Q,2)=0,"",VLOOKUP(Table91213[[#This Row],[Date]],'DB Details'!$A:$Q,2))</f>
        <v>54.8</v>
      </c>
      <c r="C232" s="51">
        <f>IF(VLOOKUP(Table91213[[#This Row],[Date]],'DB Details'!$A:$Q,3)=0,"",VLOOKUP(Table91213[[#This Row],[Date]],'DB Details'!$A:$Q,3))</f>
        <v>53.5</v>
      </c>
      <c r="D232" s="51">
        <f>IF(VLOOKUP(Table91213[[#This Row],[Date]],'DB Details'!$A:$Q,4)=0,"",VLOOKUP(Table91213[[#This Row],[Date]],'DB Details'!$A:$Q,4))</f>
        <v>50</v>
      </c>
      <c r="E232" s="52">
        <f>IF(VLOOKUP(Table91213[[#This Row],[Date]],'DB Details'!$A:$Q,5)=0,"",VLOOKUP(Table91213[[#This Row],[Date]],'DB Details'!$A:$Q,5))</f>
        <v>55.5</v>
      </c>
      <c r="F232" s="51">
        <f>IF(VLOOKUP(Table91213[[#This Row],[Date]],'DB Details'!$A:$Q,6)=0,"",VLOOKUP(Table91213[[#This Row],[Date]],'DB Details'!$A:$Q,6))</f>
        <v>55.1</v>
      </c>
      <c r="G232" s="52">
        <f>IF(VLOOKUP(Table91213[[#This Row],[Date]],'DB Details'!$A:$Q,7)=0,"",VLOOKUP(Table91213[[#This Row],[Date]],'DB Details'!$A:$Q,7))</f>
        <v>60</v>
      </c>
      <c r="H232" s="52">
        <f>IF(VLOOKUP(Table91213[[#This Row],[Date]],'DB Details'!$A:$Q,8)=0,"",VLOOKUP(Table91213[[#This Row],[Date]],'DB Details'!$A:$Q,8))</f>
        <v>54</v>
      </c>
      <c r="I232" s="52">
        <f>IF(VLOOKUP(Table91213[[#This Row],[Date]],'DB Details'!$A:$Q,9)=0,"",VLOOKUP(Table91213[[#This Row],[Date]],'DB Details'!$A:$Q,9))</f>
        <v>52.5</v>
      </c>
      <c r="J232" s="52">
        <f>IF(VLOOKUP(Table91213[[#This Row],[Date]],'DB Details'!$A:$Q,10)=0,"",VLOOKUP(Table91213[[#This Row],[Date]],'DB Details'!$A:$Q,10))</f>
        <v>49.7</v>
      </c>
      <c r="K232" s="52">
        <f>IF(VLOOKUP(Table91213[[#This Row],[Date]],'DB Details'!$A:$Q,11)=0,"",VLOOKUP(Table91213[[#This Row],[Date]],'DB Details'!$A:$Q,11))</f>
        <v>49</v>
      </c>
      <c r="L232" s="50">
        <f>IF(VLOOKUP(Table91213[[#This Row],[Date]],'DB Details'!$A:$Q,12)=0,"",VLOOKUP(Table91213[[#This Row],[Date]],'DB Details'!$A:$Q,12))</f>
        <v>53.8</v>
      </c>
    </row>
    <row r="233" spans="1:12" x14ac:dyDescent="0.2">
      <c r="A233" s="53">
        <v>42522</v>
      </c>
      <c r="B233" s="50">
        <f>IF(VLOOKUP(Table91213[[#This Row],[Date]],'DB Details'!$A:$Q,2)=0,"",VLOOKUP(Table91213[[#This Row],[Date]],'DB Details'!$A:$Q,2))</f>
        <v>58.9</v>
      </c>
      <c r="C233" s="51">
        <f>IF(VLOOKUP(Table91213[[#This Row],[Date]],'DB Details'!$A:$Q,3)=0,"",VLOOKUP(Table91213[[#This Row],[Date]],'DB Details'!$A:$Q,3))</f>
        <v>54</v>
      </c>
      <c r="D233" s="51">
        <f>IF(VLOOKUP(Table91213[[#This Row],[Date]],'DB Details'!$A:$Q,4)=0,"",VLOOKUP(Table91213[[#This Row],[Date]],'DB Details'!$A:$Q,4))</f>
        <v>47.5</v>
      </c>
      <c r="E233" s="52">
        <f>IF(VLOOKUP(Table91213[[#This Row],[Date]],'DB Details'!$A:$Q,5)=0,"",VLOOKUP(Table91213[[#This Row],[Date]],'DB Details'!$A:$Q,5))</f>
        <v>55.7</v>
      </c>
      <c r="F233" s="51">
        <f>IF(VLOOKUP(Table91213[[#This Row],[Date]],'DB Details'!$A:$Q,6)=0,"",VLOOKUP(Table91213[[#This Row],[Date]],'DB Details'!$A:$Q,6))</f>
        <v>59.5</v>
      </c>
      <c r="G233" s="52">
        <f>IF(VLOOKUP(Table91213[[#This Row],[Date]],'DB Details'!$A:$Q,7)=0,"",VLOOKUP(Table91213[[#This Row],[Date]],'DB Details'!$A:$Q,7))</f>
        <v>62.5</v>
      </c>
      <c r="H233" s="52">
        <f>IF(VLOOKUP(Table91213[[#This Row],[Date]],'DB Details'!$A:$Q,8)=0,"",VLOOKUP(Table91213[[#This Row],[Date]],'DB Details'!$A:$Q,8))</f>
        <v>55.5</v>
      </c>
      <c r="I233" s="52">
        <f>IF(VLOOKUP(Table91213[[#This Row],[Date]],'DB Details'!$A:$Q,9)=0,"",VLOOKUP(Table91213[[#This Row],[Date]],'DB Details'!$A:$Q,9))</f>
        <v>54</v>
      </c>
      <c r="J233" s="52">
        <f>IF(VLOOKUP(Table91213[[#This Row],[Date]],'DB Details'!$A:$Q,10)=0,"",VLOOKUP(Table91213[[#This Row],[Date]],'DB Details'!$A:$Q,10))</f>
        <v>52.7</v>
      </c>
      <c r="K233" s="52">
        <f>IF(VLOOKUP(Table91213[[#This Row],[Date]],'DB Details'!$A:$Q,11)=0,"",VLOOKUP(Table91213[[#This Row],[Date]],'DB Details'!$A:$Q,11))</f>
        <v>53</v>
      </c>
      <c r="L233" s="50">
        <f>IF(VLOOKUP(Table91213[[#This Row],[Date]],'DB Details'!$A:$Q,12)=0,"",VLOOKUP(Table91213[[#This Row],[Date]],'DB Details'!$A:$Q,12))</f>
        <v>56</v>
      </c>
    </row>
    <row r="234" spans="1:12" x14ac:dyDescent="0.2">
      <c r="A234" s="53">
        <v>42552</v>
      </c>
      <c r="B234" s="50">
        <f>IF(VLOOKUP(Table91213[[#This Row],[Date]],'DB Details'!$A:$Q,2)=0,"",VLOOKUP(Table91213[[#This Row],[Date]],'DB Details'!$A:$Q,2))</f>
        <v>58.5</v>
      </c>
      <c r="C234" s="51">
        <f>IF(VLOOKUP(Table91213[[#This Row],[Date]],'DB Details'!$A:$Q,3)=0,"",VLOOKUP(Table91213[[#This Row],[Date]],'DB Details'!$A:$Q,3))</f>
        <v>53</v>
      </c>
      <c r="D234" s="51">
        <f>IF(VLOOKUP(Table91213[[#This Row],[Date]],'DB Details'!$A:$Q,4)=0,"",VLOOKUP(Table91213[[#This Row],[Date]],'DB Details'!$A:$Q,4))</f>
        <v>51</v>
      </c>
      <c r="E234" s="52">
        <f>IF(VLOOKUP(Table91213[[#This Row],[Date]],'DB Details'!$A:$Q,5)=0,"",VLOOKUP(Table91213[[#This Row],[Date]],'DB Details'!$A:$Q,5))</f>
        <v>52.7</v>
      </c>
      <c r="F234" s="51">
        <f>IF(VLOOKUP(Table91213[[#This Row],[Date]],'DB Details'!$A:$Q,6)=0,"",VLOOKUP(Table91213[[#This Row],[Date]],'DB Details'!$A:$Q,6))</f>
        <v>59.3</v>
      </c>
      <c r="G234" s="52">
        <f>IF(VLOOKUP(Table91213[[#This Row],[Date]],'DB Details'!$A:$Q,7)=0,"",VLOOKUP(Table91213[[#This Row],[Date]],'DB Details'!$A:$Q,7))</f>
        <v>63</v>
      </c>
      <c r="H234" s="52">
        <f>IF(VLOOKUP(Table91213[[#This Row],[Date]],'DB Details'!$A:$Q,8)=0,"",VLOOKUP(Table91213[[#This Row],[Date]],'DB Details'!$A:$Q,8))</f>
        <v>54</v>
      </c>
      <c r="I234" s="52">
        <f>IF(VLOOKUP(Table91213[[#This Row],[Date]],'DB Details'!$A:$Q,9)=0,"",VLOOKUP(Table91213[[#This Row],[Date]],'DB Details'!$A:$Q,9))</f>
        <v>51</v>
      </c>
      <c r="J234" s="52">
        <f>IF(VLOOKUP(Table91213[[#This Row],[Date]],'DB Details'!$A:$Q,10)=0,"",VLOOKUP(Table91213[[#This Row],[Date]],'DB Details'!$A:$Q,10))</f>
        <v>51.4</v>
      </c>
      <c r="K234" s="52">
        <f>IF(VLOOKUP(Table91213[[#This Row],[Date]],'DB Details'!$A:$Q,11)=0,"",VLOOKUP(Table91213[[#This Row],[Date]],'DB Details'!$A:$Q,11))</f>
        <v>55.5</v>
      </c>
      <c r="L234" s="50">
        <f>IF(VLOOKUP(Table91213[[#This Row],[Date]],'DB Details'!$A:$Q,12)=0,"",VLOOKUP(Table91213[[#This Row],[Date]],'DB Details'!$A:$Q,12))</f>
        <v>55.2</v>
      </c>
    </row>
    <row r="235" spans="1:12" x14ac:dyDescent="0.2">
      <c r="A235" s="53">
        <v>42583</v>
      </c>
      <c r="B235" s="50">
        <f>IF(VLOOKUP(Table91213[[#This Row],[Date]],'DB Details'!$A:$Q,2)=0,"",VLOOKUP(Table91213[[#This Row],[Date]],'DB Details'!$A:$Q,2))</f>
        <v>52</v>
      </c>
      <c r="C235" s="51">
        <f>IF(VLOOKUP(Table91213[[#This Row],[Date]],'DB Details'!$A:$Q,3)=0,"",VLOOKUP(Table91213[[#This Row],[Date]],'DB Details'!$A:$Q,3))</f>
        <v>50.5</v>
      </c>
      <c r="D235" s="51">
        <f>IF(VLOOKUP(Table91213[[#This Row],[Date]],'DB Details'!$A:$Q,4)=0,"",VLOOKUP(Table91213[[#This Row],[Date]],'DB Details'!$A:$Q,4))</f>
        <v>49.5</v>
      </c>
      <c r="E235" s="52">
        <f>IF(VLOOKUP(Table91213[[#This Row],[Date]],'DB Details'!$A:$Q,5)=0,"",VLOOKUP(Table91213[[#This Row],[Date]],'DB Details'!$A:$Q,5))</f>
        <v>52</v>
      </c>
      <c r="F235" s="51">
        <f>IF(VLOOKUP(Table91213[[#This Row],[Date]],'DB Details'!$A:$Q,6)=0,"",VLOOKUP(Table91213[[#This Row],[Date]],'DB Details'!$A:$Q,6))</f>
        <v>51.8</v>
      </c>
      <c r="G235" s="52">
        <f>IF(VLOOKUP(Table91213[[#This Row],[Date]],'DB Details'!$A:$Q,7)=0,"",VLOOKUP(Table91213[[#This Row],[Date]],'DB Details'!$A:$Q,7))</f>
        <v>64</v>
      </c>
      <c r="H235" s="52">
        <f>IF(VLOOKUP(Table91213[[#This Row],[Date]],'DB Details'!$A:$Q,8)=0,"",VLOOKUP(Table91213[[#This Row],[Date]],'DB Details'!$A:$Q,8))</f>
        <v>48</v>
      </c>
      <c r="I235" s="52">
        <f>IF(VLOOKUP(Table91213[[#This Row],[Date]],'DB Details'!$A:$Q,9)=0,"",VLOOKUP(Table91213[[#This Row],[Date]],'DB Details'!$A:$Q,9))</f>
        <v>51.5</v>
      </c>
      <c r="J235" s="52">
        <f>IF(VLOOKUP(Table91213[[#This Row],[Date]],'DB Details'!$A:$Q,10)=0,"",VLOOKUP(Table91213[[#This Row],[Date]],'DB Details'!$A:$Q,10))</f>
        <v>50.7</v>
      </c>
      <c r="K235" s="52">
        <f>IF(VLOOKUP(Table91213[[#This Row],[Date]],'DB Details'!$A:$Q,11)=0,"",VLOOKUP(Table91213[[#This Row],[Date]],'DB Details'!$A:$Q,11))</f>
        <v>46.5</v>
      </c>
      <c r="L235" s="50">
        <f>IF(VLOOKUP(Table91213[[#This Row],[Date]],'DB Details'!$A:$Q,12)=0,"",VLOOKUP(Table91213[[#This Row],[Date]],'DB Details'!$A:$Q,12))</f>
        <v>51.6</v>
      </c>
    </row>
    <row r="236" spans="1:12" x14ac:dyDescent="0.2">
      <c r="A236" s="53">
        <v>42614</v>
      </c>
      <c r="B236" s="50">
        <f>IF(VLOOKUP(Table91213[[#This Row],[Date]],'DB Details'!$A:$Q,2)=0,"",VLOOKUP(Table91213[[#This Row],[Date]],'DB Details'!$A:$Q,2))</f>
        <v>59.6</v>
      </c>
      <c r="C236" s="51">
        <f>IF(VLOOKUP(Table91213[[#This Row],[Date]],'DB Details'!$A:$Q,3)=0,"",VLOOKUP(Table91213[[#This Row],[Date]],'DB Details'!$A:$Q,3))</f>
        <v>51</v>
      </c>
      <c r="D236" s="51">
        <f>IF(VLOOKUP(Table91213[[#This Row],[Date]],'DB Details'!$A:$Q,4)=0,"",VLOOKUP(Table91213[[#This Row],[Date]],'DB Details'!$A:$Q,4))</f>
        <v>52</v>
      </c>
      <c r="E236" s="52">
        <f>IF(VLOOKUP(Table91213[[#This Row],[Date]],'DB Details'!$A:$Q,5)=0,"",VLOOKUP(Table91213[[#This Row],[Date]],'DB Details'!$A:$Q,5))</f>
        <v>53.4</v>
      </c>
      <c r="F236" s="51">
        <f>IF(VLOOKUP(Table91213[[#This Row],[Date]],'DB Details'!$A:$Q,6)=0,"",VLOOKUP(Table91213[[#This Row],[Date]],'DB Details'!$A:$Q,6))</f>
        <v>60.3</v>
      </c>
      <c r="G236" s="52">
        <f>IF(VLOOKUP(Table91213[[#This Row],[Date]],'DB Details'!$A:$Q,7)=0,"",VLOOKUP(Table91213[[#This Row],[Date]],'DB Details'!$A:$Q,7))</f>
        <v>64.5</v>
      </c>
      <c r="H236" s="52">
        <f>IF(VLOOKUP(Table91213[[#This Row],[Date]],'DB Details'!$A:$Q,8)=0,"",VLOOKUP(Table91213[[#This Row],[Date]],'DB Details'!$A:$Q,8))</f>
        <v>51.5</v>
      </c>
      <c r="I236" s="52">
        <f>IF(VLOOKUP(Table91213[[#This Row],[Date]],'DB Details'!$A:$Q,9)=0,"",VLOOKUP(Table91213[[#This Row],[Date]],'DB Details'!$A:$Q,9))</f>
        <v>51</v>
      </c>
      <c r="J236" s="52">
        <f>IF(VLOOKUP(Table91213[[#This Row],[Date]],'DB Details'!$A:$Q,10)=0,"",VLOOKUP(Table91213[[#This Row],[Date]],'DB Details'!$A:$Q,10))</f>
        <v>57.2</v>
      </c>
      <c r="K236" s="52">
        <f>IF(VLOOKUP(Table91213[[#This Row],[Date]],'DB Details'!$A:$Q,11)=0,"",VLOOKUP(Table91213[[#This Row],[Date]],'DB Details'!$A:$Q,11))</f>
        <v>56.5</v>
      </c>
      <c r="L236" s="50">
        <f>IF(VLOOKUP(Table91213[[#This Row],[Date]],'DB Details'!$A:$Q,12)=0,"",VLOOKUP(Table91213[[#This Row],[Date]],'DB Details'!$A:$Q,12))</f>
        <v>56.3</v>
      </c>
    </row>
    <row r="237" spans="1:12" x14ac:dyDescent="0.2">
      <c r="A237" s="53">
        <v>42644</v>
      </c>
      <c r="B237" s="50">
        <f>IF(VLOOKUP(Table91213[[#This Row],[Date]],'DB Details'!$A:$Q,2)=0,"",VLOOKUP(Table91213[[#This Row],[Date]],'DB Details'!$A:$Q,2))</f>
        <v>57.7</v>
      </c>
      <c r="C237" s="51">
        <f>IF(VLOOKUP(Table91213[[#This Row],[Date]],'DB Details'!$A:$Q,3)=0,"",VLOOKUP(Table91213[[#This Row],[Date]],'DB Details'!$A:$Q,3))</f>
        <v>53</v>
      </c>
      <c r="D237" s="51">
        <f>IF(VLOOKUP(Table91213[[#This Row],[Date]],'DB Details'!$A:$Q,4)=0,"",VLOOKUP(Table91213[[#This Row],[Date]],'DB Details'!$A:$Q,4))</f>
        <v>52</v>
      </c>
      <c r="E237" s="52">
        <f>IF(VLOOKUP(Table91213[[#This Row],[Date]],'DB Details'!$A:$Q,5)=0,"",VLOOKUP(Table91213[[#This Row],[Date]],'DB Details'!$A:$Q,5))</f>
        <v>54.9</v>
      </c>
      <c r="F237" s="51">
        <f>IF(VLOOKUP(Table91213[[#This Row],[Date]],'DB Details'!$A:$Q,6)=0,"",VLOOKUP(Table91213[[#This Row],[Date]],'DB Details'!$A:$Q,6))</f>
        <v>57.7</v>
      </c>
      <c r="G237" s="52">
        <f>IF(VLOOKUP(Table91213[[#This Row],[Date]],'DB Details'!$A:$Q,7)=0,"",VLOOKUP(Table91213[[#This Row],[Date]],'DB Details'!$A:$Q,7))</f>
        <v>62</v>
      </c>
      <c r="H237" s="52">
        <f>IF(VLOOKUP(Table91213[[#This Row],[Date]],'DB Details'!$A:$Q,8)=0,"",VLOOKUP(Table91213[[#This Row],[Date]],'DB Details'!$A:$Q,8))</f>
        <v>52</v>
      </c>
      <c r="I237" s="52">
        <f>IF(VLOOKUP(Table91213[[#This Row],[Date]],'DB Details'!$A:$Q,9)=0,"",VLOOKUP(Table91213[[#This Row],[Date]],'DB Details'!$A:$Q,9))</f>
        <v>50.5</v>
      </c>
      <c r="J237" s="52">
        <f>IF(VLOOKUP(Table91213[[#This Row],[Date]],'DB Details'!$A:$Q,10)=0,"",VLOOKUP(Table91213[[#This Row],[Date]],'DB Details'!$A:$Q,10))</f>
        <v>53.1</v>
      </c>
      <c r="K237" s="52">
        <f>IF(VLOOKUP(Table91213[[#This Row],[Date]],'DB Details'!$A:$Q,11)=0,"",VLOOKUP(Table91213[[#This Row],[Date]],'DB Details'!$A:$Q,11))</f>
        <v>55.5</v>
      </c>
      <c r="L237" s="50">
        <f>IF(VLOOKUP(Table91213[[#This Row],[Date]],'DB Details'!$A:$Q,12)=0,"",VLOOKUP(Table91213[[#This Row],[Date]],'DB Details'!$A:$Q,12))</f>
        <v>54.4</v>
      </c>
    </row>
    <row r="238" spans="1:12" x14ac:dyDescent="0.2">
      <c r="A238" s="53">
        <v>42675</v>
      </c>
      <c r="B238" s="50">
        <f>IF(VLOOKUP(Table91213[[#This Row],[Date]],'DB Details'!$A:$Q,2)=0,"",VLOOKUP(Table91213[[#This Row],[Date]],'DB Details'!$A:$Q,2))</f>
        <v>57.4</v>
      </c>
      <c r="C238" s="51">
        <f>IF(VLOOKUP(Table91213[[#This Row],[Date]],'DB Details'!$A:$Q,3)=0,"",VLOOKUP(Table91213[[#This Row],[Date]],'DB Details'!$A:$Q,3))</f>
        <v>54</v>
      </c>
      <c r="D238" s="51">
        <f>IF(VLOOKUP(Table91213[[#This Row],[Date]],'DB Details'!$A:$Q,4)=0,"",VLOOKUP(Table91213[[#This Row],[Date]],'DB Details'!$A:$Q,4))</f>
        <v>51</v>
      </c>
      <c r="E238" s="52">
        <f>IF(VLOOKUP(Table91213[[#This Row],[Date]],'DB Details'!$A:$Q,5)=0,"",VLOOKUP(Table91213[[#This Row],[Date]],'DB Details'!$A:$Q,5))</f>
        <v>55</v>
      </c>
      <c r="F238" s="51">
        <f>IF(VLOOKUP(Table91213[[#This Row],[Date]],'DB Details'!$A:$Q,6)=0,"",VLOOKUP(Table91213[[#This Row],[Date]],'DB Details'!$A:$Q,6))</f>
        <v>61.7</v>
      </c>
      <c r="G238" s="52">
        <f>IF(VLOOKUP(Table91213[[#This Row],[Date]],'DB Details'!$A:$Q,7)=0,"",VLOOKUP(Table91213[[#This Row],[Date]],'DB Details'!$A:$Q,7))</f>
        <v>60.5</v>
      </c>
      <c r="H238" s="52">
        <f>IF(VLOOKUP(Table91213[[#This Row],[Date]],'DB Details'!$A:$Q,8)=0,"",VLOOKUP(Table91213[[#This Row],[Date]],'DB Details'!$A:$Q,8))</f>
        <v>51.5</v>
      </c>
      <c r="I238" s="52">
        <f>IF(VLOOKUP(Table91213[[#This Row],[Date]],'DB Details'!$A:$Q,9)=0,"",VLOOKUP(Table91213[[#This Row],[Date]],'DB Details'!$A:$Q,9))</f>
        <v>52</v>
      </c>
      <c r="J238" s="52">
        <f>IF(VLOOKUP(Table91213[[#This Row],[Date]],'DB Details'!$A:$Q,10)=0,"",VLOOKUP(Table91213[[#This Row],[Date]],'DB Details'!$A:$Q,10))</f>
        <v>58.2</v>
      </c>
      <c r="K238" s="52">
        <f>IF(VLOOKUP(Table91213[[#This Row],[Date]],'DB Details'!$A:$Q,11)=0,"",VLOOKUP(Table91213[[#This Row],[Date]],'DB Details'!$A:$Q,11))</f>
        <v>57</v>
      </c>
      <c r="L238" s="50">
        <f>IF(VLOOKUP(Table91213[[#This Row],[Date]],'DB Details'!$A:$Q,12)=0,"",VLOOKUP(Table91213[[#This Row],[Date]],'DB Details'!$A:$Q,12))</f>
        <v>56.2</v>
      </c>
    </row>
    <row r="239" spans="1:12" x14ac:dyDescent="0.2">
      <c r="A239" s="53">
        <v>42705</v>
      </c>
      <c r="B239" s="50">
        <f>IF(VLOOKUP(Table91213[[#This Row],[Date]],'DB Details'!$A:$Q,2)=0,"",VLOOKUP(Table91213[[#This Row],[Date]],'DB Details'!$A:$Q,2))</f>
        <v>60.7</v>
      </c>
      <c r="C239" s="51">
        <f>IF(VLOOKUP(Table91213[[#This Row],[Date]],'DB Details'!$A:$Q,3)=0,"",VLOOKUP(Table91213[[#This Row],[Date]],'DB Details'!$A:$Q,3))</f>
        <v>50</v>
      </c>
      <c r="D239" s="51">
        <f>IF(VLOOKUP(Table91213[[#This Row],[Date]],'DB Details'!$A:$Q,4)=0,"",VLOOKUP(Table91213[[#This Row],[Date]],'DB Details'!$A:$Q,4))</f>
        <v>48</v>
      </c>
      <c r="E239" s="52">
        <f>IF(VLOOKUP(Table91213[[#This Row],[Date]],'DB Details'!$A:$Q,5)=0,"",VLOOKUP(Table91213[[#This Row],[Date]],'DB Details'!$A:$Q,5))</f>
        <v>55.4</v>
      </c>
      <c r="F239" s="51">
        <f>IF(VLOOKUP(Table91213[[#This Row],[Date]],'DB Details'!$A:$Q,6)=0,"",VLOOKUP(Table91213[[#This Row],[Date]],'DB Details'!$A:$Q,6))</f>
        <v>61.4</v>
      </c>
      <c r="G239" s="52">
        <f>IF(VLOOKUP(Table91213[[#This Row],[Date]],'DB Details'!$A:$Q,7)=0,"",VLOOKUP(Table91213[[#This Row],[Date]],'DB Details'!$A:$Q,7))</f>
        <v>61.5</v>
      </c>
      <c r="H239" s="52">
        <f>IF(VLOOKUP(Table91213[[#This Row],[Date]],'DB Details'!$A:$Q,8)=0,"",VLOOKUP(Table91213[[#This Row],[Date]],'DB Details'!$A:$Q,8))</f>
        <v>52</v>
      </c>
      <c r="I239" s="52">
        <f>IF(VLOOKUP(Table91213[[#This Row],[Date]],'DB Details'!$A:$Q,9)=0,"",VLOOKUP(Table91213[[#This Row],[Date]],'DB Details'!$A:$Q,9))</f>
        <v>52</v>
      </c>
      <c r="J239" s="52">
        <f>IF(VLOOKUP(Table91213[[#This Row],[Date]],'DB Details'!$A:$Q,10)=0,"",VLOOKUP(Table91213[[#This Row],[Date]],'DB Details'!$A:$Q,10))</f>
        <v>53.8</v>
      </c>
      <c r="K239" s="52">
        <f>IF(VLOOKUP(Table91213[[#This Row],[Date]],'DB Details'!$A:$Q,11)=0,"",VLOOKUP(Table91213[[#This Row],[Date]],'DB Details'!$A:$Q,11))</f>
        <v>53</v>
      </c>
      <c r="L239" s="50">
        <f>IF(VLOOKUP(Table91213[[#This Row],[Date]],'DB Details'!$A:$Q,12)=0,"",VLOOKUP(Table91213[[#This Row],[Date]],'DB Details'!$A:$Q,12))</f>
        <v>56.7</v>
      </c>
    </row>
    <row r="240" spans="1:12" x14ac:dyDescent="0.2">
      <c r="A240" s="53">
        <v>42736</v>
      </c>
      <c r="B240" s="50">
        <f>IF(VLOOKUP(Table91213[[#This Row],[Date]],'DB Details'!$A:$Q,2)=0,"",VLOOKUP(Table91213[[#This Row],[Date]],'DB Details'!$A:$Q,2))</f>
        <v>58.6</v>
      </c>
      <c r="C240" s="51">
        <f>IF(VLOOKUP(Table91213[[#This Row],[Date]],'DB Details'!$A:$Q,3)=0,"",VLOOKUP(Table91213[[#This Row],[Date]],'DB Details'!$A:$Q,3))</f>
        <v>54</v>
      </c>
      <c r="D240" s="51">
        <f>IF(VLOOKUP(Table91213[[#This Row],[Date]],'DB Details'!$A:$Q,4)=0,"",VLOOKUP(Table91213[[#This Row],[Date]],'DB Details'!$A:$Q,4))</f>
        <v>50</v>
      </c>
      <c r="E240" s="52">
        <f>IF(VLOOKUP(Table91213[[#This Row],[Date]],'DB Details'!$A:$Q,5)=0,"",VLOOKUP(Table91213[[#This Row],[Date]],'DB Details'!$A:$Q,5))</f>
        <v>57.5</v>
      </c>
      <c r="F240" s="51">
        <f>IF(VLOOKUP(Table91213[[#This Row],[Date]],'DB Details'!$A:$Q,6)=0,"",VLOOKUP(Table91213[[#This Row],[Date]],'DB Details'!$A:$Q,6))</f>
        <v>60.3</v>
      </c>
      <c r="G240" s="52">
        <f>IF(VLOOKUP(Table91213[[#This Row],[Date]],'DB Details'!$A:$Q,7)=0,"",VLOOKUP(Table91213[[#This Row],[Date]],'DB Details'!$A:$Q,7))</f>
        <v>62</v>
      </c>
      <c r="H240" s="52">
        <f>IF(VLOOKUP(Table91213[[#This Row],[Date]],'DB Details'!$A:$Q,8)=0,"",VLOOKUP(Table91213[[#This Row],[Date]],'DB Details'!$A:$Q,8))</f>
        <v>48</v>
      </c>
      <c r="I240" s="52">
        <f>IF(VLOOKUP(Table91213[[#This Row],[Date]],'DB Details'!$A:$Q,9)=0,"",VLOOKUP(Table91213[[#This Row],[Date]],'DB Details'!$A:$Q,9))</f>
        <v>52.5</v>
      </c>
      <c r="J240" s="52">
        <f>IF(VLOOKUP(Table91213[[#This Row],[Date]],'DB Details'!$A:$Q,10)=0,"",VLOOKUP(Table91213[[#This Row],[Date]],'DB Details'!$A:$Q,10))</f>
        <v>54.7</v>
      </c>
      <c r="K240" s="52">
        <f>IF(VLOOKUP(Table91213[[#This Row],[Date]],'DB Details'!$A:$Q,11)=0,"",VLOOKUP(Table91213[[#This Row],[Date]],'DB Details'!$A:$Q,11))</f>
        <v>48</v>
      </c>
      <c r="L240" s="50">
        <f>IF(VLOOKUP(Table91213[[#This Row],[Date]],'DB Details'!$A:$Q,12)=0,"",VLOOKUP(Table91213[[#This Row],[Date]],'DB Details'!$A:$Q,12))</f>
        <v>56.8</v>
      </c>
    </row>
    <row r="241" spans="1:12" x14ac:dyDescent="0.2">
      <c r="A241" s="53">
        <v>42767</v>
      </c>
      <c r="B241" s="50">
        <f>IF(VLOOKUP(Table91213[[#This Row],[Date]],'DB Details'!$A:$Q,2)=0,"",VLOOKUP(Table91213[[#This Row],[Date]],'DB Details'!$A:$Q,2))</f>
        <v>61.2</v>
      </c>
      <c r="C241" s="51">
        <f>IF(VLOOKUP(Table91213[[#This Row],[Date]],'DB Details'!$A:$Q,3)=0,"",VLOOKUP(Table91213[[#This Row],[Date]],'DB Details'!$A:$Q,3))</f>
        <v>51</v>
      </c>
      <c r="D241" s="51">
        <f>IF(VLOOKUP(Table91213[[#This Row],[Date]],'DB Details'!$A:$Q,4)=0,"",VLOOKUP(Table91213[[#This Row],[Date]],'DB Details'!$A:$Q,4))</f>
        <v>54</v>
      </c>
      <c r="E241" s="52">
        <f>IF(VLOOKUP(Table91213[[#This Row],[Date]],'DB Details'!$A:$Q,5)=0,"",VLOOKUP(Table91213[[#This Row],[Date]],'DB Details'!$A:$Q,5))</f>
        <v>57.1</v>
      </c>
      <c r="F241" s="51">
        <f>IF(VLOOKUP(Table91213[[#This Row],[Date]],'DB Details'!$A:$Q,6)=0,"",VLOOKUP(Table91213[[#This Row],[Date]],'DB Details'!$A:$Q,6))</f>
        <v>63.6</v>
      </c>
      <c r="G241" s="52">
        <f>IF(VLOOKUP(Table91213[[#This Row],[Date]],'DB Details'!$A:$Q,7)=0,"",VLOOKUP(Table91213[[#This Row],[Date]],'DB Details'!$A:$Q,7))</f>
        <v>64.5</v>
      </c>
      <c r="H241" s="52">
        <f>IF(VLOOKUP(Table91213[[#This Row],[Date]],'DB Details'!$A:$Q,8)=0,"",VLOOKUP(Table91213[[#This Row],[Date]],'DB Details'!$A:$Q,8))</f>
        <v>52</v>
      </c>
      <c r="I241" s="52">
        <f>IF(VLOOKUP(Table91213[[#This Row],[Date]],'DB Details'!$A:$Q,9)=0,"",VLOOKUP(Table91213[[#This Row],[Date]],'DB Details'!$A:$Q,9))</f>
        <v>50.5</v>
      </c>
      <c r="J241" s="52">
        <f>IF(VLOOKUP(Table91213[[#This Row],[Date]],'DB Details'!$A:$Q,10)=0,"",VLOOKUP(Table91213[[#This Row],[Date]],'DB Details'!$A:$Q,10))</f>
        <v>55.2</v>
      </c>
      <c r="K241" s="52">
        <f>IF(VLOOKUP(Table91213[[#This Row],[Date]],'DB Details'!$A:$Q,11)=0,"",VLOOKUP(Table91213[[#This Row],[Date]],'DB Details'!$A:$Q,11))</f>
        <v>57</v>
      </c>
      <c r="L241" s="50">
        <f>IF(VLOOKUP(Table91213[[#This Row],[Date]],'DB Details'!$A:$Q,12)=0,"",VLOOKUP(Table91213[[#This Row],[Date]],'DB Details'!$A:$Q,12))</f>
        <v>57.4</v>
      </c>
    </row>
    <row r="242" spans="1:12" x14ac:dyDescent="0.2">
      <c r="A242" s="53">
        <v>42795</v>
      </c>
      <c r="B242" s="50">
        <f>IF(VLOOKUP(Table91213[[#This Row],[Date]],'DB Details'!$A:$Q,2)=0,"",VLOOKUP(Table91213[[#This Row],[Date]],'DB Details'!$A:$Q,2))</f>
        <v>58.9</v>
      </c>
      <c r="C242" s="51">
        <f>IF(VLOOKUP(Table91213[[#This Row],[Date]],'DB Details'!$A:$Q,3)=0,"",VLOOKUP(Table91213[[#This Row],[Date]],'DB Details'!$A:$Q,3))</f>
        <v>56.5</v>
      </c>
      <c r="D242" s="51">
        <f>IF(VLOOKUP(Table91213[[#This Row],[Date]],'DB Details'!$A:$Q,4)=0,"",VLOOKUP(Table91213[[#This Row],[Date]],'DB Details'!$A:$Q,4))</f>
        <v>53</v>
      </c>
      <c r="E242" s="52">
        <f>IF(VLOOKUP(Table91213[[#This Row],[Date]],'DB Details'!$A:$Q,5)=0,"",VLOOKUP(Table91213[[#This Row],[Date]],'DB Details'!$A:$Q,5))</f>
        <v>54.3</v>
      </c>
      <c r="F242" s="51">
        <f>IF(VLOOKUP(Table91213[[#This Row],[Date]],'DB Details'!$A:$Q,6)=0,"",VLOOKUP(Table91213[[#This Row],[Date]],'DB Details'!$A:$Q,6))</f>
        <v>58.9</v>
      </c>
      <c r="G242" s="52">
        <f>IF(VLOOKUP(Table91213[[#This Row],[Date]],'DB Details'!$A:$Q,7)=0,"",VLOOKUP(Table91213[[#This Row],[Date]],'DB Details'!$A:$Q,7))</f>
        <v>65</v>
      </c>
      <c r="H242" s="52">
        <f>IF(VLOOKUP(Table91213[[#This Row],[Date]],'DB Details'!$A:$Q,8)=0,"",VLOOKUP(Table91213[[#This Row],[Date]],'DB Details'!$A:$Q,8))</f>
        <v>48.5</v>
      </c>
      <c r="I242" s="52">
        <f>IF(VLOOKUP(Table91213[[#This Row],[Date]],'DB Details'!$A:$Q,9)=0,"",VLOOKUP(Table91213[[#This Row],[Date]],'DB Details'!$A:$Q,9))</f>
        <v>51.5</v>
      </c>
      <c r="J242" s="52">
        <f>IF(VLOOKUP(Table91213[[#This Row],[Date]],'DB Details'!$A:$Q,10)=0,"",VLOOKUP(Table91213[[#This Row],[Date]],'DB Details'!$A:$Q,10))</f>
        <v>51.6</v>
      </c>
      <c r="K242" s="52">
        <f>IF(VLOOKUP(Table91213[[#This Row],[Date]],'DB Details'!$A:$Q,11)=0,"",VLOOKUP(Table91213[[#This Row],[Date]],'DB Details'!$A:$Q,11))</f>
        <v>62.5</v>
      </c>
      <c r="L242" s="50">
        <f>IF(VLOOKUP(Table91213[[#This Row],[Date]],'DB Details'!$A:$Q,12)=0,"",VLOOKUP(Table91213[[#This Row],[Date]],'DB Details'!$A:$Q,12))</f>
        <v>55.6</v>
      </c>
    </row>
    <row r="243" spans="1:12" x14ac:dyDescent="0.2">
      <c r="A243" s="53">
        <v>42826</v>
      </c>
      <c r="B243" s="50">
        <f>IF(VLOOKUP(Table91213[[#This Row],[Date]],'DB Details'!$A:$Q,2)=0,"",VLOOKUP(Table91213[[#This Row],[Date]],'DB Details'!$A:$Q,2))</f>
        <v>63.2</v>
      </c>
      <c r="C243" s="51">
        <f>IF(VLOOKUP(Table91213[[#This Row],[Date]],'DB Details'!$A:$Q,3)=0,"",VLOOKUP(Table91213[[#This Row],[Date]],'DB Details'!$A:$Q,3))</f>
        <v>53</v>
      </c>
      <c r="D243" s="51">
        <f>IF(VLOOKUP(Table91213[[#This Row],[Date]],'DB Details'!$A:$Q,4)=0,"",VLOOKUP(Table91213[[#This Row],[Date]],'DB Details'!$A:$Q,4))</f>
        <v>53.5</v>
      </c>
      <c r="E243" s="52">
        <f>IF(VLOOKUP(Table91213[[#This Row],[Date]],'DB Details'!$A:$Q,5)=0,"",VLOOKUP(Table91213[[#This Row],[Date]],'DB Details'!$A:$Q,5))</f>
        <v>58</v>
      </c>
      <c r="F243" s="51">
        <f>IF(VLOOKUP(Table91213[[#This Row],[Date]],'DB Details'!$A:$Q,6)=0,"",VLOOKUP(Table91213[[#This Row],[Date]],'DB Details'!$A:$Q,6))</f>
        <v>62.4</v>
      </c>
      <c r="G243" s="52">
        <f>IF(VLOOKUP(Table91213[[#This Row],[Date]],'DB Details'!$A:$Q,7)=0,"",VLOOKUP(Table91213[[#This Row],[Date]],'DB Details'!$A:$Q,7))</f>
        <v>60</v>
      </c>
      <c r="H243" s="52">
        <f>IF(VLOOKUP(Table91213[[#This Row],[Date]],'DB Details'!$A:$Q,8)=0,"",VLOOKUP(Table91213[[#This Row],[Date]],'DB Details'!$A:$Q,8))</f>
        <v>52.5</v>
      </c>
      <c r="I243" s="52">
        <f>IF(VLOOKUP(Table91213[[#This Row],[Date]],'DB Details'!$A:$Q,9)=0,"",VLOOKUP(Table91213[[#This Row],[Date]],'DB Details'!$A:$Q,9))</f>
        <v>53</v>
      </c>
      <c r="J243" s="52">
        <f>IF(VLOOKUP(Table91213[[#This Row],[Date]],'DB Details'!$A:$Q,10)=0,"",VLOOKUP(Table91213[[#This Row],[Date]],'DB Details'!$A:$Q,10))</f>
        <v>51.4</v>
      </c>
      <c r="K243" s="52">
        <f>IF(VLOOKUP(Table91213[[#This Row],[Date]],'DB Details'!$A:$Q,11)=0,"",VLOOKUP(Table91213[[#This Row],[Date]],'DB Details'!$A:$Q,11))</f>
        <v>65.5</v>
      </c>
      <c r="L243" s="50">
        <f>IF(VLOOKUP(Table91213[[#This Row],[Date]],'DB Details'!$A:$Q,12)=0,"",VLOOKUP(Table91213[[#This Row],[Date]],'DB Details'!$A:$Q,12))</f>
        <v>57.3</v>
      </c>
    </row>
    <row r="244" spans="1:12" x14ac:dyDescent="0.2">
      <c r="A244" s="53">
        <v>42856</v>
      </c>
      <c r="B244" s="50">
        <f>IF(VLOOKUP(Table91213[[#This Row],[Date]],'DB Details'!$A:$Q,2)=0,"",VLOOKUP(Table91213[[#This Row],[Date]],'DB Details'!$A:$Q,2))</f>
        <v>57.7</v>
      </c>
      <c r="C244" s="51">
        <f>IF(VLOOKUP(Table91213[[#This Row],[Date]],'DB Details'!$A:$Q,3)=0,"",VLOOKUP(Table91213[[#This Row],[Date]],'DB Details'!$A:$Q,3))</f>
        <v>48.5</v>
      </c>
      <c r="D244" s="51">
        <f>IF(VLOOKUP(Table91213[[#This Row],[Date]],'DB Details'!$A:$Q,4)=0,"",VLOOKUP(Table91213[[#This Row],[Date]],'DB Details'!$A:$Q,4))</f>
        <v>57</v>
      </c>
      <c r="E244" s="52">
        <f>IF(VLOOKUP(Table91213[[#This Row],[Date]],'DB Details'!$A:$Q,5)=0,"",VLOOKUP(Table91213[[#This Row],[Date]],'DB Details'!$A:$Q,5))</f>
        <v>50.1</v>
      </c>
      <c r="F244" s="51">
        <f>IF(VLOOKUP(Table91213[[#This Row],[Date]],'DB Details'!$A:$Q,6)=0,"",VLOOKUP(Table91213[[#This Row],[Date]],'DB Details'!$A:$Q,6))</f>
        <v>60.7</v>
      </c>
      <c r="G244" s="52">
        <f>IF(VLOOKUP(Table91213[[#This Row],[Date]],'DB Details'!$A:$Q,7)=0,"",VLOOKUP(Table91213[[#This Row],[Date]],'DB Details'!$A:$Q,7))</f>
        <v>63</v>
      </c>
      <c r="H244" s="52">
        <f>IF(VLOOKUP(Table91213[[#This Row],[Date]],'DB Details'!$A:$Q,8)=0,"",VLOOKUP(Table91213[[#This Row],[Date]],'DB Details'!$A:$Q,8))</f>
        <v>54</v>
      </c>
      <c r="I244" s="52">
        <f>IF(VLOOKUP(Table91213[[#This Row],[Date]],'DB Details'!$A:$Q,9)=0,"",VLOOKUP(Table91213[[#This Row],[Date]],'DB Details'!$A:$Q,9))</f>
        <v>51.5</v>
      </c>
      <c r="J244" s="52">
        <f>IF(VLOOKUP(Table91213[[#This Row],[Date]],'DB Details'!$A:$Q,10)=0,"",VLOOKUP(Table91213[[#This Row],[Date]],'DB Details'!$A:$Q,10))</f>
        <v>57.8</v>
      </c>
      <c r="K244" s="52">
        <f>IF(VLOOKUP(Table91213[[#This Row],[Date]],'DB Details'!$A:$Q,11)=0,"",VLOOKUP(Table91213[[#This Row],[Date]],'DB Details'!$A:$Q,11))</f>
        <v>54.5</v>
      </c>
      <c r="L244" s="50">
        <f>IF(VLOOKUP(Table91213[[#This Row],[Date]],'DB Details'!$A:$Q,12)=0,"",VLOOKUP(Table91213[[#This Row],[Date]],'DB Details'!$A:$Q,12))</f>
        <v>57.1</v>
      </c>
    </row>
    <row r="245" spans="1:12" x14ac:dyDescent="0.2">
      <c r="A245" s="53">
        <v>42887</v>
      </c>
      <c r="B245" s="50">
        <f>IF(VLOOKUP(Table91213[[#This Row],[Date]],'DB Details'!$A:$Q,2)=0,"",VLOOKUP(Table91213[[#This Row],[Date]],'DB Details'!$A:$Q,2))</f>
        <v>60.5</v>
      </c>
      <c r="C245" s="51">
        <f>IF(VLOOKUP(Table91213[[#This Row],[Date]],'DB Details'!$A:$Q,3)=0,"",VLOOKUP(Table91213[[#This Row],[Date]],'DB Details'!$A:$Q,3))</f>
        <v>51</v>
      </c>
      <c r="D245" s="51">
        <f>IF(VLOOKUP(Table91213[[#This Row],[Date]],'DB Details'!$A:$Q,4)=0,"",VLOOKUP(Table91213[[#This Row],[Date]],'DB Details'!$A:$Q,4))</f>
        <v>52.5</v>
      </c>
      <c r="E245" s="52">
        <f>IF(VLOOKUP(Table91213[[#This Row],[Date]],'DB Details'!$A:$Q,5)=0,"",VLOOKUP(Table91213[[#This Row],[Date]],'DB Details'!$A:$Q,5))</f>
        <v>53.3</v>
      </c>
      <c r="F245" s="51">
        <f>IF(VLOOKUP(Table91213[[#This Row],[Date]],'DB Details'!$A:$Q,6)=0,"",VLOOKUP(Table91213[[#This Row],[Date]],'DB Details'!$A:$Q,6))</f>
        <v>60.8</v>
      </c>
      <c r="G245" s="52">
        <f>IF(VLOOKUP(Table91213[[#This Row],[Date]],'DB Details'!$A:$Q,7)=0,"",VLOOKUP(Table91213[[#This Row],[Date]],'DB Details'!$A:$Q,7))</f>
        <v>62</v>
      </c>
      <c r="H245" s="52">
        <f>IF(VLOOKUP(Table91213[[#This Row],[Date]],'DB Details'!$A:$Q,8)=0,"",VLOOKUP(Table91213[[#This Row],[Date]],'DB Details'!$A:$Q,8))</f>
        <v>57.5</v>
      </c>
      <c r="I245" s="52">
        <f>IF(VLOOKUP(Table91213[[#This Row],[Date]],'DB Details'!$A:$Q,9)=0,"",VLOOKUP(Table91213[[#This Row],[Date]],'DB Details'!$A:$Q,9))</f>
        <v>52.5</v>
      </c>
      <c r="J245" s="52">
        <f>IF(VLOOKUP(Table91213[[#This Row],[Date]],'DB Details'!$A:$Q,10)=0,"",VLOOKUP(Table91213[[#This Row],[Date]],'DB Details'!$A:$Q,10))</f>
        <v>55.8</v>
      </c>
      <c r="K245" s="52">
        <f>IF(VLOOKUP(Table91213[[#This Row],[Date]],'DB Details'!$A:$Q,11)=0,"",VLOOKUP(Table91213[[#This Row],[Date]],'DB Details'!$A:$Q,11))</f>
        <v>55</v>
      </c>
      <c r="L245" s="50">
        <f>IF(VLOOKUP(Table91213[[#This Row],[Date]],'DB Details'!$A:$Q,12)=0,"",VLOOKUP(Table91213[[#This Row],[Date]],'DB Details'!$A:$Q,12))</f>
        <v>57.2</v>
      </c>
    </row>
    <row r="246" spans="1:12" x14ac:dyDescent="0.2">
      <c r="A246" s="53">
        <v>42917</v>
      </c>
      <c r="B246" s="50">
        <f>IF(VLOOKUP(Table91213[[#This Row],[Date]],'DB Details'!$A:$Q,2)=0,"",VLOOKUP(Table91213[[#This Row],[Date]],'DB Details'!$A:$Q,2))</f>
        <v>55.1</v>
      </c>
      <c r="C246" s="51">
        <f>IF(VLOOKUP(Table91213[[#This Row],[Date]],'DB Details'!$A:$Q,3)=0,"",VLOOKUP(Table91213[[#This Row],[Date]],'DB Details'!$A:$Q,3))</f>
        <v>51.5</v>
      </c>
      <c r="D246" s="51">
        <f>IF(VLOOKUP(Table91213[[#This Row],[Date]],'DB Details'!$A:$Q,4)=0,"",VLOOKUP(Table91213[[#This Row],[Date]],'DB Details'!$A:$Q,4))</f>
        <v>52</v>
      </c>
      <c r="E246" s="52">
        <f>IF(VLOOKUP(Table91213[[#This Row],[Date]],'DB Details'!$A:$Q,5)=0,"",VLOOKUP(Table91213[[#This Row],[Date]],'DB Details'!$A:$Q,5))</f>
        <v>56.4</v>
      </c>
      <c r="F246" s="51">
        <f>IF(VLOOKUP(Table91213[[#This Row],[Date]],'DB Details'!$A:$Q,6)=0,"",VLOOKUP(Table91213[[#This Row],[Date]],'DB Details'!$A:$Q,6))</f>
        <v>55.9</v>
      </c>
      <c r="G246" s="52">
        <f>IF(VLOOKUP(Table91213[[#This Row],[Date]],'DB Details'!$A:$Q,7)=0,"",VLOOKUP(Table91213[[#This Row],[Date]],'DB Details'!$A:$Q,7))</f>
        <v>67.5</v>
      </c>
      <c r="H246" s="52">
        <f>IF(VLOOKUP(Table91213[[#This Row],[Date]],'DB Details'!$A:$Q,8)=0,"",VLOOKUP(Table91213[[#This Row],[Date]],'DB Details'!$A:$Q,8))</f>
        <v>56.5</v>
      </c>
      <c r="I246" s="52">
        <f>IF(VLOOKUP(Table91213[[#This Row],[Date]],'DB Details'!$A:$Q,9)=0,"",VLOOKUP(Table91213[[#This Row],[Date]],'DB Details'!$A:$Q,9))</f>
        <v>51</v>
      </c>
      <c r="J246" s="52">
        <f>IF(VLOOKUP(Table91213[[#This Row],[Date]],'DB Details'!$A:$Q,10)=0,"",VLOOKUP(Table91213[[#This Row],[Date]],'DB Details'!$A:$Q,10))</f>
        <v>53.6</v>
      </c>
      <c r="K246" s="52">
        <f>IF(VLOOKUP(Table91213[[#This Row],[Date]],'DB Details'!$A:$Q,11)=0,"",VLOOKUP(Table91213[[#This Row],[Date]],'DB Details'!$A:$Q,11))</f>
        <v>53</v>
      </c>
      <c r="L246" s="50">
        <f>IF(VLOOKUP(Table91213[[#This Row],[Date]],'DB Details'!$A:$Q,12)=0,"",VLOOKUP(Table91213[[#This Row],[Date]],'DB Details'!$A:$Q,12))</f>
        <v>54.3</v>
      </c>
    </row>
    <row r="247" spans="1:12" x14ac:dyDescent="0.2">
      <c r="A247" s="53">
        <v>42948</v>
      </c>
      <c r="B247" s="50">
        <f>IF(VLOOKUP(Table91213[[#This Row],[Date]],'DB Details'!$A:$Q,2)=0,"",VLOOKUP(Table91213[[#This Row],[Date]],'DB Details'!$A:$Q,2))</f>
        <v>57.1</v>
      </c>
      <c r="C247" s="51">
        <f>IF(VLOOKUP(Table91213[[#This Row],[Date]],'DB Details'!$A:$Q,3)=0,"",VLOOKUP(Table91213[[#This Row],[Date]],'DB Details'!$A:$Q,3))</f>
        <v>50.5</v>
      </c>
      <c r="D247" s="51">
        <f>IF(VLOOKUP(Table91213[[#This Row],[Date]],'DB Details'!$A:$Q,4)=0,"",VLOOKUP(Table91213[[#This Row],[Date]],'DB Details'!$A:$Q,4))</f>
        <v>53.5</v>
      </c>
      <c r="E247" s="52">
        <f>IF(VLOOKUP(Table91213[[#This Row],[Date]],'DB Details'!$A:$Q,5)=0,"",VLOOKUP(Table91213[[#This Row],[Date]],'DB Details'!$A:$Q,5))</f>
        <v>58.1</v>
      </c>
      <c r="F247" s="51">
        <f>IF(VLOOKUP(Table91213[[#This Row],[Date]],'DB Details'!$A:$Q,6)=0,"",VLOOKUP(Table91213[[#This Row],[Date]],'DB Details'!$A:$Q,6))</f>
        <v>57.5</v>
      </c>
      <c r="G247" s="52">
        <f>IF(VLOOKUP(Table91213[[#This Row],[Date]],'DB Details'!$A:$Q,7)=0,"",VLOOKUP(Table91213[[#This Row],[Date]],'DB Details'!$A:$Q,7))</f>
        <v>61</v>
      </c>
      <c r="H247" s="52">
        <f>IF(VLOOKUP(Table91213[[#This Row],[Date]],'DB Details'!$A:$Q,8)=0,"",VLOOKUP(Table91213[[#This Row],[Date]],'DB Details'!$A:$Q,8))</f>
        <v>53.5</v>
      </c>
      <c r="I247" s="52">
        <f>IF(VLOOKUP(Table91213[[#This Row],[Date]],'DB Details'!$A:$Q,9)=0,"",VLOOKUP(Table91213[[#This Row],[Date]],'DB Details'!$A:$Q,9))</f>
        <v>50.5</v>
      </c>
      <c r="J247" s="52">
        <f>IF(VLOOKUP(Table91213[[#This Row],[Date]],'DB Details'!$A:$Q,10)=0,"",VLOOKUP(Table91213[[#This Row],[Date]],'DB Details'!$A:$Q,10))</f>
        <v>56.2</v>
      </c>
      <c r="K247" s="52">
        <f>IF(VLOOKUP(Table91213[[#This Row],[Date]],'DB Details'!$A:$Q,11)=0,"",VLOOKUP(Table91213[[#This Row],[Date]],'DB Details'!$A:$Q,11))</f>
        <v>55</v>
      </c>
      <c r="L247" s="50">
        <f>IF(VLOOKUP(Table91213[[#This Row],[Date]],'DB Details'!$A:$Q,12)=0,"",VLOOKUP(Table91213[[#This Row],[Date]],'DB Details'!$A:$Q,12))</f>
        <v>55.2</v>
      </c>
    </row>
    <row r="248" spans="1:12" x14ac:dyDescent="0.2">
      <c r="A248" s="53">
        <v>42979</v>
      </c>
      <c r="B248" s="50">
        <f>IF(VLOOKUP(Table91213[[#This Row],[Date]],'DB Details'!$A:$Q,2)=0,"",VLOOKUP(Table91213[[#This Row],[Date]],'DB Details'!$A:$Q,2))</f>
        <v>63</v>
      </c>
      <c r="C248" s="51">
        <f>IF(VLOOKUP(Table91213[[#This Row],[Date]],'DB Details'!$A:$Q,3)=0,"",VLOOKUP(Table91213[[#This Row],[Date]],'DB Details'!$A:$Q,3))</f>
        <v>52</v>
      </c>
      <c r="D248" s="51">
        <f>IF(VLOOKUP(Table91213[[#This Row],[Date]],'DB Details'!$A:$Q,4)=0,"",VLOOKUP(Table91213[[#This Row],[Date]],'DB Details'!$A:$Q,4))</f>
        <v>56</v>
      </c>
      <c r="E248" s="52">
        <f>IF(VLOOKUP(Table91213[[#This Row],[Date]],'DB Details'!$A:$Q,5)=0,"",VLOOKUP(Table91213[[#This Row],[Date]],'DB Details'!$A:$Q,5))</f>
        <v>65.900000000000006</v>
      </c>
      <c r="F248" s="51">
        <f>IF(VLOOKUP(Table91213[[#This Row],[Date]],'DB Details'!$A:$Q,6)=0,"",VLOOKUP(Table91213[[#This Row],[Date]],'DB Details'!$A:$Q,6))</f>
        <v>61.3</v>
      </c>
      <c r="G248" s="52">
        <f>IF(VLOOKUP(Table91213[[#This Row],[Date]],'DB Details'!$A:$Q,7)=0,"",VLOOKUP(Table91213[[#This Row],[Date]],'DB Details'!$A:$Q,7))</f>
        <v>58.5</v>
      </c>
      <c r="H248" s="52">
        <f>IF(VLOOKUP(Table91213[[#This Row],[Date]],'DB Details'!$A:$Q,8)=0,"",VLOOKUP(Table91213[[#This Row],[Date]],'DB Details'!$A:$Q,8))</f>
        <v>51.5</v>
      </c>
      <c r="I248" s="52">
        <f>IF(VLOOKUP(Table91213[[#This Row],[Date]],'DB Details'!$A:$Q,9)=0,"",VLOOKUP(Table91213[[#This Row],[Date]],'DB Details'!$A:$Q,9))</f>
        <v>58</v>
      </c>
      <c r="J248" s="52">
        <f>IF(VLOOKUP(Table91213[[#This Row],[Date]],'DB Details'!$A:$Q,10)=0,"",VLOOKUP(Table91213[[#This Row],[Date]],'DB Details'!$A:$Q,10))</f>
        <v>56.8</v>
      </c>
      <c r="K248" s="52">
        <f>IF(VLOOKUP(Table91213[[#This Row],[Date]],'DB Details'!$A:$Q,11)=0,"",VLOOKUP(Table91213[[#This Row],[Date]],'DB Details'!$A:$Q,11))</f>
        <v>56</v>
      </c>
      <c r="L248" s="50">
        <f>IF(VLOOKUP(Table91213[[#This Row],[Date]],'DB Details'!$A:$Q,12)=0,"",VLOOKUP(Table91213[[#This Row],[Date]],'DB Details'!$A:$Q,12))</f>
        <v>59.4</v>
      </c>
    </row>
    <row r="249" spans="1:12" x14ac:dyDescent="0.2">
      <c r="A249" s="53">
        <v>43009</v>
      </c>
      <c r="B249" s="50">
        <f>IF(VLOOKUP(Table91213[[#This Row],[Date]],'DB Details'!$A:$Q,2)=0,"",VLOOKUP(Table91213[[#This Row],[Date]],'DB Details'!$A:$Q,2))</f>
        <v>62.8</v>
      </c>
      <c r="C249" s="51">
        <f>IF(VLOOKUP(Table91213[[#This Row],[Date]],'DB Details'!$A:$Q,3)=0,"",VLOOKUP(Table91213[[#This Row],[Date]],'DB Details'!$A:$Q,3))</f>
        <v>52</v>
      </c>
      <c r="D249" s="51">
        <f>IF(VLOOKUP(Table91213[[#This Row],[Date]],'DB Details'!$A:$Q,4)=0,"",VLOOKUP(Table91213[[#This Row],[Date]],'DB Details'!$A:$Q,4))</f>
        <v>53.5</v>
      </c>
      <c r="E249" s="52">
        <f>IF(VLOOKUP(Table91213[[#This Row],[Date]],'DB Details'!$A:$Q,5)=0,"",VLOOKUP(Table91213[[#This Row],[Date]],'DB Details'!$A:$Q,5))</f>
        <v>61.5</v>
      </c>
      <c r="F249" s="51">
        <f>IF(VLOOKUP(Table91213[[#This Row],[Date]],'DB Details'!$A:$Q,6)=0,"",VLOOKUP(Table91213[[#This Row],[Date]],'DB Details'!$A:$Q,6))</f>
        <v>62.2</v>
      </c>
      <c r="G249" s="52">
        <f>IF(VLOOKUP(Table91213[[#This Row],[Date]],'DB Details'!$A:$Q,7)=0,"",VLOOKUP(Table91213[[#This Row],[Date]],'DB Details'!$A:$Q,7))</f>
        <v>61</v>
      </c>
      <c r="H249" s="52">
        <f>IF(VLOOKUP(Table91213[[#This Row],[Date]],'DB Details'!$A:$Q,8)=0,"",VLOOKUP(Table91213[[#This Row],[Date]],'DB Details'!$A:$Q,8))</f>
        <v>52.5</v>
      </c>
      <c r="I249" s="52">
        <f>IF(VLOOKUP(Table91213[[#This Row],[Date]],'DB Details'!$A:$Q,9)=0,"",VLOOKUP(Table91213[[#This Row],[Date]],'DB Details'!$A:$Q,9))</f>
        <v>58</v>
      </c>
      <c r="J249" s="52">
        <f>IF(VLOOKUP(Table91213[[#This Row],[Date]],'DB Details'!$A:$Q,10)=0,"",VLOOKUP(Table91213[[#This Row],[Date]],'DB Details'!$A:$Q,10))</f>
        <v>57.5</v>
      </c>
      <c r="K249" s="52">
        <f>IF(VLOOKUP(Table91213[[#This Row],[Date]],'DB Details'!$A:$Q,11)=0,"",VLOOKUP(Table91213[[#This Row],[Date]],'DB Details'!$A:$Q,11))</f>
        <v>60</v>
      </c>
      <c r="L249" s="50">
        <f>IF(VLOOKUP(Table91213[[#This Row],[Date]],'DB Details'!$A:$Q,12)=0,"",VLOOKUP(Table91213[[#This Row],[Date]],'DB Details'!$A:$Q,12))</f>
        <v>59.8</v>
      </c>
    </row>
    <row r="250" spans="1:12" x14ac:dyDescent="0.2">
      <c r="A250" s="53">
        <v>43040</v>
      </c>
      <c r="B250" s="50">
        <f>IF(VLOOKUP(Table91213[[#This Row],[Date]],'DB Details'!$A:$Q,2)=0,"",VLOOKUP(Table91213[[#This Row],[Date]],'DB Details'!$A:$Q,2))</f>
        <v>58.7</v>
      </c>
      <c r="C250" s="51">
        <f>IF(VLOOKUP(Table91213[[#This Row],[Date]],'DB Details'!$A:$Q,3)=0,"",VLOOKUP(Table91213[[#This Row],[Date]],'DB Details'!$A:$Q,3))</f>
        <v>52.5</v>
      </c>
      <c r="D250" s="51">
        <f>IF(VLOOKUP(Table91213[[#This Row],[Date]],'DB Details'!$A:$Q,4)=0,"",VLOOKUP(Table91213[[#This Row],[Date]],'DB Details'!$A:$Q,4))</f>
        <v>51.5</v>
      </c>
      <c r="E250" s="52">
        <f>IF(VLOOKUP(Table91213[[#This Row],[Date]],'DB Details'!$A:$Q,5)=0,"",VLOOKUP(Table91213[[#This Row],[Date]],'DB Details'!$A:$Q,5))</f>
        <v>60.1</v>
      </c>
      <c r="F250" s="51">
        <f>IF(VLOOKUP(Table91213[[#This Row],[Date]],'DB Details'!$A:$Q,6)=0,"",VLOOKUP(Table91213[[#This Row],[Date]],'DB Details'!$A:$Q,6))</f>
        <v>61.4</v>
      </c>
      <c r="G250" s="52">
        <f>IF(VLOOKUP(Table91213[[#This Row],[Date]],'DB Details'!$A:$Q,7)=0,"",VLOOKUP(Table91213[[#This Row],[Date]],'DB Details'!$A:$Q,7))</f>
        <v>56</v>
      </c>
      <c r="H250" s="52">
        <f>IF(VLOOKUP(Table91213[[#This Row],[Date]],'DB Details'!$A:$Q,8)=0,"",VLOOKUP(Table91213[[#This Row],[Date]],'DB Details'!$A:$Q,8))</f>
        <v>54.5</v>
      </c>
      <c r="I250" s="52">
        <f>IF(VLOOKUP(Table91213[[#This Row],[Date]],'DB Details'!$A:$Q,9)=0,"",VLOOKUP(Table91213[[#This Row],[Date]],'DB Details'!$A:$Q,9))</f>
        <v>54</v>
      </c>
      <c r="J250" s="52">
        <f>IF(VLOOKUP(Table91213[[#This Row],[Date]],'DB Details'!$A:$Q,10)=0,"",VLOOKUP(Table91213[[#This Row],[Date]],'DB Details'!$A:$Q,10))</f>
        <v>55.3</v>
      </c>
      <c r="K250" s="52">
        <f>IF(VLOOKUP(Table91213[[#This Row],[Date]],'DB Details'!$A:$Q,11)=0,"",VLOOKUP(Table91213[[#This Row],[Date]],'DB Details'!$A:$Q,11))</f>
        <v>57</v>
      </c>
      <c r="L250" s="50">
        <f>IF(VLOOKUP(Table91213[[#This Row],[Date]],'DB Details'!$A:$Q,12)=0,"",VLOOKUP(Table91213[[#This Row],[Date]],'DB Details'!$A:$Q,12))</f>
        <v>57.3</v>
      </c>
    </row>
    <row r="251" spans="1:12" x14ac:dyDescent="0.2">
      <c r="A251" s="53">
        <v>43070</v>
      </c>
      <c r="B251" s="50">
        <f>IF(VLOOKUP(Table91213[[#This Row],[Date]],'DB Details'!$A:$Q,2)=0,"",VLOOKUP(Table91213[[#This Row],[Date]],'DB Details'!$A:$Q,2))</f>
        <v>54.3</v>
      </c>
      <c r="C251" s="51">
        <f>IF(VLOOKUP(Table91213[[#This Row],[Date]],'DB Details'!$A:$Q,3)=0,"",VLOOKUP(Table91213[[#This Row],[Date]],'DB Details'!$A:$Q,3))</f>
        <v>52.5</v>
      </c>
      <c r="D251" s="51">
        <f>IF(VLOOKUP(Table91213[[#This Row],[Date]],'DB Details'!$A:$Q,4)=0,"",VLOOKUP(Table91213[[#This Row],[Date]],'DB Details'!$A:$Q,4))</f>
        <v>50</v>
      </c>
      <c r="E251" s="52">
        <f>IF(VLOOKUP(Table91213[[#This Row],[Date]],'DB Details'!$A:$Q,5)=0,"",VLOOKUP(Table91213[[#This Row],[Date]],'DB Details'!$A:$Q,5))</f>
        <v>59.9</v>
      </c>
      <c r="F251" s="51">
        <f>IF(VLOOKUP(Table91213[[#This Row],[Date]],'DB Details'!$A:$Q,6)=0,"",VLOOKUP(Table91213[[#This Row],[Date]],'DB Details'!$A:$Q,6))</f>
        <v>57.3</v>
      </c>
      <c r="G251" s="52">
        <f>IF(VLOOKUP(Table91213[[#This Row],[Date]],'DB Details'!$A:$Q,7)=0,"",VLOOKUP(Table91213[[#This Row],[Date]],'DB Details'!$A:$Q,7))</f>
        <v>62.5</v>
      </c>
      <c r="H251" s="52">
        <f>IF(VLOOKUP(Table91213[[#This Row],[Date]],'DB Details'!$A:$Q,8)=0,"",VLOOKUP(Table91213[[#This Row],[Date]],'DB Details'!$A:$Q,8))</f>
        <v>53.5</v>
      </c>
      <c r="I251" s="52">
        <f>IF(VLOOKUP(Table91213[[#This Row],[Date]],'DB Details'!$A:$Q,9)=0,"",VLOOKUP(Table91213[[#This Row],[Date]],'DB Details'!$A:$Q,9))</f>
        <v>55.5</v>
      </c>
      <c r="J251" s="52">
        <f>IF(VLOOKUP(Table91213[[#This Row],[Date]],'DB Details'!$A:$Q,10)=0,"",VLOOKUP(Table91213[[#This Row],[Date]],'DB Details'!$A:$Q,10))</f>
        <v>56.3</v>
      </c>
      <c r="K251" s="52">
        <f>IF(VLOOKUP(Table91213[[#This Row],[Date]],'DB Details'!$A:$Q,11)=0,"",VLOOKUP(Table91213[[#This Row],[Date]],'DB Details'!$A:$Q,11))</f>
        <v>56.5</v>
      </c>
      <c r="L251" s="50">
        <f>IF(VLOOKUP(Table91213[[#This Row],[Date]],'DB Details'!$A:$Q,12)=0,"",VLOOKUP(Table91213[[#This Row],[Date]],'DB Details'!$A:$Q,12))</f>
        <v>56</v>
      </c>
    </row>
    <row r="252" spans="1:12" x14ac:dyDescent="0.2">
      <c r="A252" s="53">
        <v>43101</v>
      </c>
      <c r="B252" s="50">
        <f>IF(VLOOKUP(Table91213[[#This Row],[Date]],'DB Details'!$A:$Q,2)=0,"",VLOOKUP(Table91213[[#This Row],[Date]],'DB Details'!$A:$Q,2))</f>
        <v>62.7</v>
      </c>
      <c r="C252" s="51">
        <f>IF(VLOOKUP(Table91213[[#This Row],[Date]],'DB Details'!$A:$Q,3)=0,"",VLOOKUP(Table91213[[#This Row],[Date]],'DB Details'!$A:$Q,3))</f>
        <v>54</v>
      </c>
      <c r="D252" s="51">
        <f>IF(VLOOKUP(Table91213[[#This Row],[Date]],'DB Details'!$A:$Q,4)=0,"",VLOOKUP(Table91213[[#This Row],[Date]],'DB Details'!$A:$Q,4))</f>
        <v>50.5</v>
      </c>
      <c r="E252" s="52">
        <f>IF(VLOOKUP(Table91213[[#This Row],[Date]],'DB Details'!$A:$Q,5)=0,"",VLOOKUP(Table91213[[#This Row],[Date]],'DB Details'!$A:$Q,5))</f>
        <v>61.9</v>
      </c>
      <c r="F252" s="51">
        <f>IF(VLOOKUP(Table91213[[#This Row],[Date]],'DB Details'!$A:$Q,6)=0,"",VLOOKUP(Table91213[[#This Row],[Date]],'DB Details'!$A:$Q,6))</f>
        <v>59.8</v>
      </c>
      <c r="G252" s="52">
        <f>IF(VLOOKUP(Table91213[[#This Row],[Date]],'DB Details'!$A:$Q,7)=0,"",VLOOKUP(Table91213[[#This Row],[Date]],'DB Details'!$A:$Q,7))</f>
        <v>61</v>
      </c>
      <c r="H252" s="52">
        <f>IF(VLOOKUP(Table91213[[#This Row],[Date]],'DB Details'!$A:$Q,8)=0,"",VLOOKUP(Table91213[[#This Row],[Date]],'DB Details'!$A:$Q,8))</f>
        <v>49</v>
      </c>
      <c r="I252" s="52">
        <f>IF(VLOOKUP(Table91213[[#This Row],[Date]],'DB Details'!$A:$Q,9)=0,"",VLOOKUP(Table91213[[#This Row],[Date]],'DB Details'!$A:$Q,9))</f>
        <v>55.5</v>
      </c>
      <c r="J252" s="52">
        <f>IF(VLOOKUP(Table91213[[#This Row],[Date]],'DB Details'!$A:$Q,10)=0,"",VLOOKUP(Table91213[[#This Row],[Date]],'DB Details'!$A:$Q,10))</f>
        <v>61.6</v>
      </c>
      <c r="K252" s="52">
        <f>IF(VLOOKUP(Table91213[[#This Row],[Date]],'DB Details'!$A:$Q,11)=0,"",VLOOKUP(Table91213[[#This Row],[Date]],'DB Details'!$A:$Q,11))</f>
        <v>58</v>
      </c>
      <c r="L252" s="50">
        <f>IF(VLOOKUP(Table91213[[#This Row],[Date]],'DB Details'!$A:$Q,12)=0,"",VLOOKUP(Table91213[[#This Row],[Date]],'DB Details'!$A:$Q,12))</f>
        <v>59.9</v>
      </c>
    </row>
    <row r="253" spans="1:12" x14ac:dyDescent="0.2">
      <c r="A253" s="53">
        <v>43132</v>
      </c>
      <c r="B253" s="50">
        <f>IF(VLOOKUP(Table91213[[#This Row],[Date]],'DB Details'!$A:$Q,2)=0,"",VLOOKUP(Table91213[[#This Row],[Date]],'DB Details'!$A:$Q,2))</f>
        <v>64.8</v>
      </c>
      <c r="C253" s="51">
        <f>IF(VLOOKUP(Table91213[[#This Row],[Date]],'DB Details'!$A:$Q,3)=0,"",VLOOKUP(Table91213[[#This Row],[Date]],'DB Details'!$A:$Q,3))</f>
        <v>50</v>
      </c>
      <c r="D253" s="51">
        <f>IF(VLOOKUP(Table91213[[#This Row],[Date]],'DB Details'!$A:$Q,4)=0,"",VLOOKUP(Table91213[[#This Row],[Date]],'DB Details'!$A:$Q,4))</f>
        <v>56</v>
      </c>
      <c r="E253" s="52">
        <f>IF(VLOOKUP(Table91213[[#This Row],[Date]],'DB Details'!$A:$Q,5)=0,"",VLOOKUP(Table91213[[#This Row],[Date]],'DB Details'!$A:$Q,5))</f>
        <v>61</v>
      </c>
      <c r="F253" s="51">
        <f>IF(VLOOKUP(Table91213[[#This Row],[Date]],'DB Details'!$A:$Q,6)=0,"",VLOOKUP(Table91213[[#This Row],[Date]],'DB Details'!$A:$Q,6))</f>
        <v>62.8</v>
      </c>
      <c r="G253" s="52">
        <f>IF(VLOOKUP(Table91213[[#This Row],[Date]],'DB Details'!$A:$Q,7)=0,"",VLOOKUP(Table91213[[#This Row],[Date]],'DB Details'!$A:$Q,7))</f>
        <v>61</v>
      </c>
      <c r="H253" s="52">
        <f>IF(VLOOKUP(Table91213[[#This Row],[Date]],'DB Details'!$A:$Q,8)=0,"",VLOOKUP(Table91213[[#This Row],[Date]],'DB Details'!$A:$Q,8))</f>
        <v>53.5</v>
      </c>
      <c r="I253" s="52">
        <f>IF(VLOOKUP(Table91213[[#This Row],[Date]],'DB Details'!$A:$Q,9)=0,"",VLOOKUP(Table91213[[#This Row],[Date]],'DB Details'!$A:$Q,9))</f>
        <v>55.5</v>
      </c>
      <c r="J253" s="52">
        <f>IF(VLOOKUP(Table91213[[#This Row],[Date]],'DB Details'!$A:$Q,10)=0,"",VLOOKUP(Table91213[[#This Row],[Date]],'DB Details'!$A:$Q,10))</f>
        <v>55</v>
      </c>
      <c r="K253" s="52">
        <f>IF(VLOOKUP(Table91213[[#This Row],[Date]],'DB Details'!$A:$Q,11)=0,"",VLOOKUP(Table91213[[#This Row],[Date]],'DB Details'!$A:$Q,11))</f>
        <v>59.5</v>
      </c>
      <c r="L253" s="50">
        <f>IF(VLOOKUP(Table91213[[#This Row],[Date]],'DB Details'!$A:$Q,12)=0,"",VLOOKUP(Table91213[[#This Row],[Date]],'DB Details'!$A:$Q,12))</f>
        <v>59.5</v>
      </c>
    </row>
    <row r="254" spans="1:12" x14ac:dyDescent="0.2">
      <c r="A254" s="53">
        <v>43160</v>
      </c>
      <c r="B254" s="50">
        <f>IF(VLOOKUP(Table91213[[#This Row],[Date]],'DB Details'!$A:$Q,2)=0,"",VLOOKUP(Table91213[[#This Row],[Date]],'DB Details'!$A:$Q,2))</f>
        <v>59.5</v>
      </c>
      <c r="C254" s="51">
        <f>IF(VLOOKUP(Table91213[[#This Row],[Date]],'DB Details'!$A:$Q,3)=0,"",VLOOKUP(Table91213[[#This Row],[Date]],'DB Details'!$A:$Q,3))</f>
        <v>55</v>
      </c>
      <c r="D254" s="51">
        <f>IF(VLOOKUP(Table91213[[#This Row],[Date]],'DB Details'!$A:$Q,4)=0,"",VLOOKUP(Table91213[[#This Row],[Date]],'DB Details'!$A:$Q,4))</f>
        <v>56.5</v>
      </c>
      <c r="E254" s="52">
        <f>IF(VLOOKUP(Table91213[[#This Row],[Date]],'DB Details'!$A:$Q,5)=0,"",VLOOKUP(Table91213[[#This Row],[Date]],'DB Details'!$A:$Q,5))</f>
        <v>61.5</v>
      </c>
      <c r="F254" s="51">
        <f>IF(VLOOKUP(Table91213[[#This Row],[Date]],'DB Details'!$A:$Q,6)=0,"",VLOOKUP(Table91213[[#This Row],[Date]],'DB Details'!$A:$Q,6))</f>
        <v>60.6</v>
      </c>
      <c r="G254" s="52">
        <f>IF(VLOOKUP(Table91213[[#This Row],[Date]],'DB Details'!$A:$Q,7)=0,"",VLOOKUP(Table91213[[#This Row],[Date]],'DB Details'!$A:$Q,7))</f>
        <v>58.5</v>
      </c>
      <c r="H254" s="52">
        <f>IF(VLOOKUP(Table91213[[#This Row],[Date]],'DB Details'!$A:$Q,8)=0,"",VLOOKUP(Table91213[[#This Row],[Date]],'DB Details'!$A:$Q,8))</f>
        <v>53.5</v>
      </c>
      <c r="I254" s="52">
        <f>IF(VLOOKUP(Table91213[[#This Row],[Date]],'DB Details'!$A:$Q,9)=0,"",VLOOKUP(Table91213[[#This Row],[Date]],'DB Details'!$A:$Q,9))</f>
        <v>58.5</v>
      </c>
      <c r="J254" s="52">
        <f>IF(VLOOKUP(Table91213[[#This Row],[Date]],'DB Details'!$A:$Q,10)=0,"",VLOOKUP(Table91213[[#This Row],[Date]],'DB Details'!$A:$Q,10))</f>
        <v>56.6</v>
      </c>
      <c r="K254" s="52">
        <f>IF(VLOOKUP(Table91213[[#This Row],[Date]],'DB Details'!$A:$Q,11)=0,"",VLOOKUP(Table91213[[#This Row],[Date]],'DB Details'!$A:$Q,11))</f>
        <v>58</v>
      </c>
      <c r="L254" s="50">
        <f>IF(VLOOKUP(Table91213[[#This Row],[Date]],'DB Details'!$A:$Q,12)=0,"",VLOOKUP(Table91213[[#This Row],[Date]],'DB Details'!$A:$Q,12))</f>
        <v>58.8</v>
      </c>
    </row>
    <row r="255" spans="1:12" x14ac:dyDescent="0.2">
      <c r="A255" s="53">
        <v>43191</v>
      </c>
      <c r="B255" s="50">
        <f>IF(VLOOKUP(Table91213[[#This Row],[Date]],'DB Details'!$A:$Q,2)=0,"",VLOOKUP(Table91213[[#This Row],[Date]],'DB Details'!$A:$Q,2))</f>
        <v>60</v>
      </c>
      <c r="C255" s="51">
        <f>IF(VLOOKUP(Table91213[[#This Row],[Date]],'DB Details'!$A:$Q,3)=0,"",VLOOKUP(Table91213[[#This Row],[Date]],'DB Details'!$A:$Q,3))</f>
        <v>54.5</v>
      </c>
      <c r="D255" s="51">
        <f>IF(VLOOKUP(Table91213[[#This Row],[Date]],'DB Details'!$A:$Q,4)=0,"",VLOOKUP(Table91213[[#This Row],[Date]],'DB Details'!$A:$Q,4))</f>
        <v>52</v>
      </c>
      <c r="E255" s="52">
        <f>IF(VLOOKUP(Table91213[[#This Row],[Date]],'DB Details'!$A:$Q,5)=0,"",VLOOKUP(Table91213[[#This Row],[Date]],'DB Details'!$A:$Q,5))</f>
        <v>61.8</v>
      </c>
      <c r="F255" s="51">
        <f>IF(VLOOKUP(Table91213[[#This Row],[Date]],'DB Details'!$A:$Q,6)=0,"",VLOOKUP(Table91213[[#This Row],[Date]],'DB Details'!$A:$Q,6))</f>
        <v>59.1</v>
      </c>
      <c r="G255" s="52">
        <f>IF(VLOOKUP(Table91213[[#This Row],[Date]],'DB Details'!$A:$Q,7)=0,"",VLOOKUP(Table91213[[#This Row],[Date]],'DB Details'!$A:$Q,7))</f>
        <v>60</v>
      </c>
      <c r="H255" s="52">
        <f>IF(VLOOKUP(Table91213[[#This Row],[Date]],'DB Details'!$A:$Q,8)=0,"",VLOOKUP(Table91213[[#This Row],[Date]],'DB Details'!$A:$Q,8))</f>
        <v>57</v>
      </c>
      <c r="I255" s="52">
        <f>IF(VLOOKUP(Table91213[[#This Row],[Date]],'DB Details'!$A:$Q,9)=0,"",VLOOKUP(Table91213[[#This Row],[Date]],'DB Details'!$A:$Q,9))</f>
        <v>54.5</v>
      </c>
      <c r="J255" s="52">
        <f>IF(VLOOKUP(Table91213[[#This Row],[Date]],'DB Details'!$A:$Q,10)=0,"",VLOOKUP(Table91213[[#This Row],[Date]],'DB Details'!$A:$Q,10))</f>
        <v>53.6</v>
      </c>
      <c r="K255" s="52">
        <f>IF(VLOOKUP(Table91213[[#This Row],[Date]],'DB Details'!$A:$Q,11)=0,"",VLOOKUP(Table91213[[#This Row],[Date]],'DB Details'!$A:$Q,11))</f>
        <v>61.5</v>
      </c>
      <c r="L255" s="50">
        <f>IF(VLOOKUP(Table91213[[#This Row],[Date]],'DB Details'!$A:$Q,12)=0,"",VLOOKUP(Table91213[[#This Row],[Date]],'DB Details'!$A:$Q,12))</f>
        <v>56.8</v>
      </c>
    </row>
    <row r="256" spans="1:12" x14ac:dyDescent="0.2">
      <c r="A256" s="53">
        <v>43221</v>
      </c>
      <c r="B256" s="50">
        <f>IF(VLOOKUP(Table91213[[#This Row],[Date]],'DB Details'!$A:$Q,2)=0,"",VLOOKUP(Table91213[[#This Row],[Date]],'DB Details'!$A:$Q,2))</f>
        <v>60.5</v>
      </c>
      <c r="C256" s="51">
        <f>IF(VLOOKUP(Table91213[[#This Row],[Date]],'DB Details'!$A:$Q,3)=0,"",VLOOKUP(Table91213[[#This Row],[Date]],'DB Details'!$A:$Q,3))</f>
        <v>54</v>
      </c>
      <c r="D256" s="51">
        <f>IF(VLOOKUP(Table91213[[#This Row],[Date]],'DB Details'!$A:$Q,4)=0,"",VLOOKUP(Table91213[[#This Row],[Date]],'DB Details'!$A:$Q,4))</f>
        <v>60.5</v>
      </c>
      <c r="E256" s="52">
        <f>IF(VLOOKUP(Table91213[[#This Row],[Date]],'DB Details'!$A:$Q,5)=0,"",VLOOKUP(Table91213[[#This Row],[Date]],'DB Details'!$A:$Q,5))</f>
        <v>64.3</v>
      </c>
      <c r="F256" s="51">
        <f>IF(VLOOKUP(Table91213[[#This Row],[Date]],'DB Details'!$A:$Q,6)=0,"",VLOOKUP(Table91213[[#This Row],[Date]],'DB Details'!$A:$Q,6))</f>
        <v>61.3</v>
      </c>
      <c r="G256" s="52">
        <f>IF(VLOOKUP(Table91213[[#This Row],[Date]],'DB Details'!$A:$Q,7)=0,"",VLOOKUP(Table91213[[#This Row],[Date]],'DB Details'!$A:$Q,7))</f>
        <v>61</v>
      </c>
      <c r="H256" s="52">
        <f>IF(VLOOKUP(Table91213[[#This Row],[Date]],'DB Details'!$A:$Q,8)=0,"",VLOOKUP(Table91213[[#This Row],[Date]],'DB Details'!$A:$Q,8))</f>
        <v>57.5</v>
      </c>
      <c r="I256" s="52">
        <f>IF(VLOOKUP(Table91213[[#This Row],[Date]],'DB Details'!$A:$Q,9)=0,"",VLOOKUP(Table91213[[#This Row],[Date]],'DB Details'!$A:$Q,9))</f>
        <v>58.5</v>
      </c>
      <c r="J256" s="52">
        <f>IF(VLOOKUP(Table91213[[#This Row],[Date]],'DB Details'!$A:$Q,10)=0,"",VLOOKUP(Table91213[[#This Row],[Date]],'DB Details'!$A:$Q,10))</f>
        <v>54.1</v>
      </c>
      <c r="K256" s="52">
        <f>IF(VLOOKUP(Table91213[[#This Row],[Date]],'DB Details'!$A:$Q,11)=0,"",VLOOKUP(Table91213[[#This Row],[Date]],'DB Details'!$A:$Q,11))</f>
        <v>57.5</v>
      </c>
      <c r="L256" s="50">
        <f>IF(VLOOKUP(Table91213[[#This Row],[Date]],'DB Details'!$A:$Q,12)=0,"",VLOOKUP(Table91213[[#This Row],[Date]],'DB Details'!$A:$Q,12))</f>
        <v>58.6</v>
      </c>
    </row>
    <row r="257" spans="1:12" x14ac:dyDescent="0.2">
      <c r="A257" s="53">
        <v>43252</v>
      </c>
      <c r="B257" s="50">
        <f>IF(VLOOKUP(Table91213[[#This Row],[Date]],'DB Details'!$A:$Q,2)=0,"",VLOOKUP(Table91213[[#This Row],[Date]],'DB Details'!$A:$Q,2))</f>
        <v>63.2</v>
      </c>
      <c r="C257" s="51">
        <f>IF(VLOOKUP(Table91213[[#This Row],[Date]],'DB Details'!$A:$Q,3)=0,"",VLOOKUP(Table91213[[#This Row],[Date]],'DB Details'!$A:$Q,3))</f>
        <v>51.5</v>
      </c>
      <c r="D257" s="51">
        <f>IF(VLOOKUP(Table91213[[#This Row],[Date]],'DB Details'!$A:$Q,4)=0,"",VLOOKUP(Table91213[[#This Row],[Date]],'DB Details'!$A:$Q,4))</f>
        <v>56.5</v>
      </c>
      <c r="E257" s="52">
        <f>IF(VLOOKUP(Table91213[[#This Row],[Date]],'DB Details'!$A:$Q,5)=0,"",VLOOKUP(Table91213[[#This Row],[Date]],'DB Details'!$A:$Q,5))</f>
        <v>60.7</v>
      </c>
      <c r="F257" s="51">
        <f>IF(VLOOKUP(Table91213[[#This Row],[Date]],'DB Details'!$A:$Q,6)=0,"",VLOOKUP(Table91213[[#This Row],[Date]],'DB Details'!$A:$Q,6))</f>
        <v>63.9</v>
      </c>
      <c r="G257" s="52">
        <f>IF(VLOOKUP(Table91213[[#This Row],[Date]],'DB Details'!$A:$Q,7)=0,"",VLOOKUP(Table91213[[#This Row],[Date]],'DB Details'!$A:$Q,7))</f>
        <v>57.5</v>
      </c>
      <c r="H257" s="52">
        <f>IF(VLOOKUP(Table91213[[#This Row],[Date]],'DB Details'!$A:$Q,8)=0,"",VLOOKUP(Table91213[[#This Row],[Date]],'DB Details'!$A:$Q,8))</f>
        <v>53.5</v>
      </c>
      <c r="I257" s="52">
        <f>IF(VLOOKUP(Table91213[[#This Row],[Date]],'DB Details'!$A:$Q,9)=0,"",VLOOKUP(Table91213[[#This Row],[Date]],'DB Details'!$A:$Q,9))</f>
        <v>55.5</v>
      </c>
      <c r="J257" s="52">
        <f>IF(VLOOKUP(Table91213[[#This Row],[Date]],'DB Details'!$A:$Q,10)=0,"",VLOOKUP(Table91213[[#This Row],[Date]],'DB Details'!$A:$Q,10))</f>
        <v>53.6</v>
      </c>
      <c r="K257" s="52">
        <f>IF(VLOOKUP(Table91213[[#This Row],[Date]],'DB Details'!$A:$Q,11)=0,"",VLOOKUP(Table91213[[#This Row],[Date]],'DB Details'!$A:$Q,11))</f>
        <v>60.5</v>
      </c>
      <c r="L257" s="50">
        <f>IF(VLOOKUP(Table91213[[#This Row],[Date]],'DB Details'!$A:$Q,12)=0,"",VLOOKUP(Table91213[[#This Row],[Date]],'DB Details'!$A:$Q,12))</f>
        <v>59.1</v>
      </c>
    </row>
    <row r="258" spans="1:12" x14ac:dyDescent="0.2">
      <c r="A258" s="53">
        <v>43282</v>
      </c>
      <c r="B258" s="50">
        <f>IF(VLOOKUP(Table91213[[#This Row],[Date]],'DB Details'!$A:$Q,2)=0,"",VLOOKUP(Table91213[[#This Row],[Date]],'DB Details'!$A:$Q,2))</f>
        <v>57</v>
      </c>
      <c r="C258" s="51">
        <f>IF(VLOOKUP(Table91213[[#This Row],[Date]],'DB Details'!$A:$Q,3)=0,"",VLOOKUP(Table91213[[#This Row],[Date]],'DB Details'!$A:$Q,3))</f>
        <v>52.5</v>
      </c>
      <c r="D258" s="51">
        <f>IF(VLOOKUP(Table91213[[#This Row],[Date]],'DB Details'!$A:$Q,4)=0,"",VLOOKUP(Table91213[[#This Row],[Date]],'DB Details'!$A:$Q,4))</f>
        <v>51.5</v>
      </c>
      <c r="E258" s="52">
        <f>IF(VLOOKUP(Table91213[[#This Row],[Date]],'DB Details'!$A:$Q,5)=0,"",VLOOKUP(Table91213[[#This Row],[Date]],'DB Details'!$A:$Q,5))</f>
        <v>63.4</v>
      </c>
      <c r="F258" s="51">
        <f>IF(VLOOKUP(Table91213[[#This Row],[Date]],'DB Details'!$A:$Q,6)=0,"",VLOOKUP(Table91213[[#This Row],[Date]],'DB Details'!$A:$Q,6))</f>
        <v>56.5</v>
      </c>
      <c r="G258" s="52">
        <f>IF(VLOOKUP(Table91213[[#This Row],[Date]],'DB Details'!$A:$Q,7)=0,"",VLOOKUP(Table91213[[#This Row],[Date]],'DB Details'!$A:$Q,7))</f>
        <v>58</v>
      </c>
      <c r="H258" s="52">
        <f>IF(VLOOKUP(Table91213[[#This Row],[Date]],'DB Details'!$A:$Q,8)=0,"",VLOOKUP(Table91213[[#This Row],[Date]],'DB Details'!$A:$Q,8))</f>
        <v>53.5</v>
      </c>
      <c r="I258" s="52">
        <f>IF(VLOOKUP(Table91213[[#This Row],[Date]],'DB Details'!$A:$Q,9)=0,"",VLOOKUP(Table91213[[#This Row],[Date]],'DB Details'!$A:$Q,9))</f>
        <v>53</v>
      </c>
      <c r="J258" s="52">
        <f>IF(VLOOKUP(Table91213[[#This Row],[Date]],'DB Details'!$A:$Q,10)=0,"",VLOOKUP(Table91213[[#This Row],[Date]],'DB Details'!$A:$Q,10))</f>
        <v>56.1</v>
      </c>
      <c r="K258" s="52">
        <f>IF(VLOOKUP(Table91213[[#This Row],[Date]],'DB Details'!$A:$Q,11)=0,"",VLOOKUP(Table91213[[#This Row],[Date]],'DB Details'!$A:$Q,11))</f>
        <v>58</v>
      </c>
      <c r="L258" s="50">
        <f>IF(VLOOKUP(Table91213[[#This Row],[Date]],'DB Details'!$A:$Q,12)=0,"",VLOOKUP(Table91213[[#This Row],[Date]],'DB Details'!$A:$Q,12))</f>
        <v>55.7</v>
      </c>
    </row>
    <row r="259" spans="1:12" x14ac:dyDescent="0.2">
      <c r="A259" s="53">
        <v>43313</v>
      </c>
      <c r="B259" s="50">
        <f>IF(VLOOKUP(Table91213[[#This Row],[Date]],'DB Details'!$A:$Q,2)=0,"",VLOOKUP(Table91213[[#This Row],[Date]],'DB Details'!$A:$Q,2))</f>
        <v>60.4</v>
      </c>
      <c r="C259" s="51">
        <f>IF(VLOOKUP(Table91213[[#This Row],[Date]],'DB Details'!$A:$Q,3)=0,"",VLOOKUP(Table91213[[#This Row],[Date]],'DB Details'!$A:$Q,3))</f>
        <v>52</v>
      </c>
      <c r="D259" s="51">
        <f>IF(VLOOKUP(Table91213[[#This Row],[Date]],'DB Details'!$A:$Q,4)=0,"",VLOOKUP(Table91213[[#This Row],[Date]],'DB Details'!$A:$Q,4))</f>
        <v>56.5</v>
      </c>
      <c r="E259" s="52">
        <f>IF(VLOOKUP(Table91213[[#This Row],[Date]],'DB Details'!$A:$Q,5)=0,"",VLOOKUP(Table91213[[#This Row],[Date]],'DB Details'!$A:$Q,5))</f>
        <v>62.8</v>
      </c>
      <c r="F259" s="51">
        <f>IF(VLOOKUP(Table91213[[#This Row],[Date]],'DB Details'!$A:$Q,6)=0,"",VLOOKUP(Table91213[[#This Row],[Date]],'DB Details'!$A:$Q,6))</f>
        <v>60.7</v>
      </c>
      <c r="G259" s="52">
        <f>IF(VLOOKUP(Table91213[[#This Row],[Date]],'DB Details'!$A:$Q,7)=0,"",VLOOKUP(Table91213[[#This Row],[Date]],'DB Details'!$A:$Q,7))</f>
        <v>59.5</v>
      </c>
      <c r="H259" s="52">
        <f>IF(VLOOKUP(Table91213[[#This Row],[Date]],'DB Details'!$A:$Q,8)=0,"",VLOOKUP(Table91213[[#This Row],[Date]],'DB Details'!$A:$Q,8))</f>
        <v>53.5</v>
      </c>
      <c r="I259" s="52">
        <f>IF(VLOOKUP(Table91213[[#This Row],[Date]],'DB Details'!$A:$Q,9)=0,"",VLOOKUP(Table91213[[#This Row],[Date]],'DB Details'!$A:$Q,9))</f>
        <v>56</v>
      </c>
      <c r="J259" s="52">
        <f>IF(VLOOKUP(Table91213[[#This Row],[Date]],'DB Details'!$A:$Q,10)=0,"",VLOOKUP(Table91213[[#This Row],[Date]],'DB Details'!$A:$Q,10))</f>
        <v>56.7</v>
      </c>
      <c r="K259" s="52">
        <f>IF(VLOOKUP(Table91213[[#This Row],[Date]],'DB Details'!$A:$Q,11)=0,"",VLOOKUP(Table91213[[#This Row],[Date]],'DB Details'!$A:$Q,11))</f>
        <v>60.5</v>
      </c>
      <c r="L259" s="50">
        <f>IF(VLOOKUP(Table91213[[#This Row],[Date]],'DB Details'!$A:$Q,12)=0,"",VLOOKUP(Table91213[[#This Row],[Date]],'DB Details'!$A:$Q,12))</f>
        <v>58.5</v>
      </c>
    </row>
    <row r="260" spans="1:12" x14ac:dyDescent="0.2">
      <c r="A260" s="53">
        <v>43344</v>
      </c>
      <c r="B260" s="50">
        <f>IF(VLOOKUP(Table91213[[#This Row],[Date]],'DB Details'!$A:$Q,2)=0,"",VLOOKUP(Table91213[[#This Row],[Date]],'DB Details'!$A:$Q,2))</f>
        <v>61.6</v>
      </c>
      <c r="C260" s="51">
        <f>IF(VLOOKUP(Table91213[[#This Row],[Date]],'DB Details'!$A:$Q,3)=0,"",VLOOKUP(Table91213[[#This Row],[Date]],'DB Details'!$A:$Q,3))</f>
        <v>55</v>
      </c>
      <c r="D260" s="51">
        <f>IF(VLOOKUP(Table91213[[#This Row],[Date]],'DB Details'!$A:$Q,4)=0,"",VLOOKUP(Table91213[[#This Row],[Date]],'DB Details'!$A:$Q,4))</f>
        <v>58.5</v>
      </c>
      <c r="E260" s="52">
        <f>IF(VLOOKUP(Table91213[[#This Row],[Date]],'DB Details'!$A:$Q,5)=0,"",VLOOKUP(Table91213[[#This Row],[Date]],'DB Details'!$A:$Q,5))</f>
        <v>64.2</v>
      </c>
      <c r="F260" s="51">
        <f>IF(VLOOKUP(Table91213[[#This Row],[Date]],'DB Details'!$A:$Q,6)=0,"",VLOOKUP(Table91213[[#This Row],[Date]],'DB Details'!$A:$Q,6))</f>
        <v>65.2</v>
      </c>
      <c r="G260" s="52">
        <f>IF(VLOOKUP(Table91213[[#This Row],[Date]],'DB Details'!$A:$Q,7)=0,"",VLOOKUP(Table91213[[#This Row],[Date]],'DB Details'!$A:$Q,7))</f>
        <v>59.5</v>
      </c>
      <c r="H260" s="52">
        <f>IF(VLOOKUP(Table91213[[#This Row],[Date]],'DB Details'!$A:$Q,8)=0,"",VLOOKUP(Table91213[[#This Row],[Date]],'DB Details'!$A:$Q,8))</f>
        <v>54.5</v>
      </c>
      <c r="I260" s="52">
        <f>IF(VLOOKUP(Table91213[[#This Row],[Date]],'DB Details'!$A:$Q,9)=0,"",VLOOKUP(Table91213[[#This Row],[Date]],'DB Details'!$A:$Q,9))</f>
        <v>57</v>
      </c>
      <c r="J260" s="52">
        <f>IF(VLOOKUP(Table91213[[#This Row],[Date]],'DB Details'!$A:$Q,10)=0,"",VLOOKUP(Table91213[[#This Row],[Date]],'DB Details'!$A:$Q,10))</f>
        <v>62.4</v>
      </c>
      <c r="K260" s="52">
        <f>IF(VLOOKUP(Table91213[[#This Row],[Date]],'DB Details'!$A:$Q,11)=0,"",VLOOKUP(Table91213[[#This Row],[Date]],'DB Details'!$A:$Q,11))</f>
        <v>61</v>
      </c>
      <c r="L260" s="50">
        <f>IF(VLOOKUP(Table91213[[#This Row],[Date]],'DB Details'!$A:$Q,12)=0,"",VLOOKUP(Table91213[[#This Row],[Date]],'DB Details'!$A:$Q,12))</f>
        <v>61.6</v>
      </c>
    </row>
    <row r="261" spans="1:12" x14ac:dyDescent="0.2">
      <c r="A261" s="53">
        <v>43374</v>
      </c>
      <c r="B261" s="50">
        <f>IF(VLOOKUP(Table91213[[#This Row],[Date]],'DB Details'!$A:$Q,2)=0,"",VLOOKUP(Table91213[[#This Row],[Date]],'DB Details'!$A:$Q,2))</f>
        <v>61.5</v>
      </c>
      <c r="C261" s="51">
        <f>IF(VLOOKUP(Table91213[[#This Row],[Date]],'DB Details'!$A:$Q,3)=0,"",VLOOKUP(Table91213[[#This Row],[Date]],'DB Details'!$A:$Q,3))</f>
        <v>51</v>
      </c>
      <c r="D261" s="51">
        <f>IF(VLOOKUP(Table91213[[#This Row],[Date]],'DB Details'!$A:$Q,4)=0,"",VLOOKUP(Table91213[[#This Row],[Date]],'DB Details'!$A:$Q,4))</f>
        <v>53.5</v>
      </c>
      <c r="E261" s="52">
        <f>IF(VLOOKUP(Table91213[[#This Row],[Date]],'DB Details'!$A:$Q,5)=0,"",VLOOKUP(Table91213[[#This Row],[Date]],'DB Details'!$A:$Q,5))</f>
        <v>61.7</v>
      </c>
      <c r="F261" s="51">
        <f>IF(VLOOKUP(Table91213[[#This Row],[Date]],'DB Details'!$A:$Q,6)=0,"",VLOOKUP(Table91213[[#This Row],[Date]],'DB Details'!$A:$Q,6))</f>
        <v>62.5</v>
      </c>
      <c r="G261" s="52">
        <f>IF(VLOOKUP(Table91213[[#This Row],[Date]],'DB Details'!$A:$Q,7)=0,"",VLOOKUP(Table91213[[#This Row],[Date]],'DB Details'!$A:$Q,7))</f>
        <v>62</v>
      </c>
      <c r="H261" s="52">
        <f>IF(VLOOKUP(Table91213[[#This Row],[Date]],'DB Details'!$A:$Q,8)=0,"",VLOOKUP(Table91213[[#This Row],[Date]],'DB Details'!$A:$Q,8))</f>
        <v>56</v>
      </c>
      <c r="I261" s="52">
        <f>IF(VLOOKUP(Table91213[[#This Row],[Date]],'DB Details'!$A:$Q,9)=0,"",VLOOKUP(Table91213[[#This Row],[Date]],'DB Details'!$A:$Q,9))</f>
        <v>57.5</v>
      </c>
      <c r="J261" s="52">
        <f>IF(VLOOKUP(Table91213[[#This Row],[Date]],'DB Details'!$A:$Q,10)=0,"",VLOOKUP(Table91213[[#This Row],[Date]],'DB Details'!$A:$Q,10))</f>
        <v>59.7</v>
      </c>
      <c r="K261" s="52">
        <f>IF(VLOOKUP(Table91213[[#This Row],[Date]],'DB Details'!$A:$Q,11)=0,"",VLOOKUP(Table91213[[#This Row],[Date]],'DB Details'!$A:$Q,11))</f>
        <v>61</v>
      </c>
      <c r="L261" s="50">
        <f>IF(VLOOKUP(Table91213[[#This Row],[Date]],'DB Details'!$A:$Q,12)=0,"",VLOOKUP(Table91213[[#This Row],[Date]],'DB Details'!$A:$Q,12))</f>
        <v>60.3</v>
      </c>
    </row>
    <row r="262" spans="1:12" x14ac:dyDescent="0.2">
      <c r="A262" s="53">
        <v>43405</v>
      </c>
      <c r="B262" s="50">
        <f>IF(VLOOKUP(Table91213[[#This Row],[Date]],'DB Details'!$A:$Q,2)=0,"",VLOOKUP(Table91213[[#This Row],[Date]],'DB Details'!$A:$Q,2))</f>
        <v>62.5</v>
      </c>
      <c r="C262" s="51">
        <f>IF(VLOOKUP(Table91213[[#This Row],[Date]],'DB Details'!$A:$Q,3)=0,"",VLOOKUP(Table91213[[#This Row],[Date]],'DB Details'!$A:$Q,3))</f>
        <v>54.5</v>
      </c>
      <c r="D262" s="51">
        <f>IF(VLOOKUP(Table91213[[#This Row],[Date]],'DB Details'!$A:$Q,4)=0,"",VLOOKUP(Table91213[[#This Row],[Date]],'DB Details'!$A:$Q,4))</f>
        <v>55.5</v>
      </c>
      <c r="E262" s="52">
        <f>IF(VLOOKUP(Table91213[[#This Row],[Date]],'DB Details'!$A:$Q,5)=0,"",VLOOKUP(Table91213[[#This Row],[Date]],'DB Details'!$A:$Q,5))</f>
        <v>64.3</v>
      </c>
      <c r="F262" s="51">
        <f>IF(VLOOKUP(Table91213[[#This Row],[Date]],'DB Details'!$A:$Q,6)=0,"",VLOOKUP(Table91213[[#This Row],[Date]],'DB Details'!$A:$Q,6))</f>
        <v>65.2</v>
      </c>
      <c r="G262" s="52">
        <f>IF(VLOOKUP(Table91213[[#This Row],[Date]],'DB Details'!$A:$Q,7)=0,"",VLOOKUP(Table91213[[#This Row],[Date]],'DB Details'!$A:$Q,7))</f>
        <v>60</v>
      </c>
      <c r="H262" s="52">
        <f>IF(VLOOKUP(Table91213[[#This Row],[Date]],'DB Details'!$A:$Q,8)=0,"",VLOOKUP(Table91213[[#This Row],[Date]],'DB Details'!$A:$Q,8))</f>
        <v>57.5</v>
      </c>
      <c r="I262" s="52">
        <f>IF(VLOOKUP(Table91213[[#This Row],[Date]],'DB Details'!$A:$Q,9)=0,"",VLOOKUP(Table91213[[#This Row],[Date]],'DB Details'!$A:$Q,9))</f>
        <v>56.5</v>
      </c>
      <c r="J262" s="52">
        <f>IF(VLOOKUP(Table91213[[#This Row],[Date]],'DB Details'!$A:$Q,10)=0,"",VLOOKUP(Table91213[[#This Row],[Date]],'DB Details'!$A:$Q,10))</f>
        <v>58.4</v>
      </c>
      <c r="K262" s="52">
        <f>IF(VLOOKUP(Table91213[[#This Row],[Date]],'DB Details'!$A:$Q,11)=0,"",VLOOKUP(Table91213[[#This Row],[Date]],'DB Details'!$A:$Q,11))</f>
        <v>57.5</v>
      </c>
      <c r="L262" s="50">
        <f>IF(VLOOKUP(Table91213[[#This Row],[Date]],'DB Details'!$A:$Q,12)=0,"",VLOOKUP(Table91213[[#This Row],[Date]],'DB Details'!$A:$Q,12))</f>
        <v>60.7</v>
      </c>
    </row>
    <row r="263" spans="1:12" x14ac:dyDescent="0.2">
      <c r="A263" s="53">
        <v>43435</v>
      </c>
      <c r="B263" s="50">
        <f>IF(VLOOKUP(Table91213[[#This Row],[Date]],'DB Details'!$A:$Q,2)=0,"",VLOOKUP(Table91213[[#This Row],[Date]],'DB Details'!$A:$Q,2))</f>
        <v>62.7</v>
      </c>
      <c r="C263" s="51">
        <f>IF(VLOOKUP(Table91213[[#This Row],[Date]],'DB Details'!$A:$Q,3)=0,"",VLOOKUP(Table91213[[#This Row],[Date]],'DB Details'!$A:$Q,3))</f>
        <v>53.5</v>
      </c>
      <c r="D263" s="51">
        <f>IF(VLOOKUP(Table91213[[#This Row],[Date]],'DB Details'!$A:$Q,4)=0,"",VLOOKUP(Table91213[[#This Row],[Date]],'DB Details'!$A:$Q,4))</f>
        <v>50.5</v>
      </c>
      <c r="E263" s="52">
        <f>IF(VLOOKUP(Table91213[[#This Row],[Date]],'DB Details'!$A:$Q,5)=0,"",VLOOKUP(Table91213[[#This Row],[Date]],'DB Details'!$A:$Q,5))</f>
        <v>57.6</v>
      </c>
      <c r="F263" s="51">
        <f>IF(VLOOKUP(Table91213[[#This Row],[Date]],'DB Details'!$A:$Q,6)=0,"",VLOOKUP(Table91213[[#This Row],[Date]],'DB Details'!$A:$Q,6))</f>
        <v>59.9</v>
      </c>
      <c r="G263" s="52">
        <f>IF(VLOOKUP(Table91213[[#This Row],[Date]],'DB Details'!$A:$Q,7)=0,"",VLOOKUP(Table91213[[#This Row],[Date]],'DB Details'!$A:$Q,7))</f>
        <v>59</v>
      </c>
      <c r="H263" s="52">
        <f>IF(VLOOKUP(Table91213[[#This Row],[Date]],'DB Details'!$A:$Q,8)=0,"",VLOOKUP(Table91213[[#This Row],[Date]],'DB Details'!$A:$Q,8))</f>
        <v>51.5</v>
      </c>
      <c r="I263" s="52">
        <f>IF(VLOOKUP(Table91213[[#This Row],[Date]],'DB Details'!$A:$Q,9)=0,"",VLOOKUP(Table91213[[#This Row],[Date]],'DB Details'!$A:$Q,9))</f>
        <v>51.5</v>
      </c>
      <c r="J263" s="52">
        <f>IF(VLOOKUP(Table91213[[#This Row],[Date]],'DB Details'!$A:$Q,10)=0,"",VLOOKUP(Table91213[[#This Row],[Date]],'DB Details'!$A:$Q,10))</f>
        <v>56.3</v>
      </c>
      <c r="K263" s="52">
        <f>IF(VLOOKUP(Table91213[[#This Row],[Date]],'DB Details'!$A:$Q,11)=0,"",VLOOKUP(Table91213[[#This Row],[Date]],'DB Details'!$A:$Q,11))</f>
        <v>59.5</v>
      </c>
      <c r="L263" s="50">
        <f>IF(VLOOKUP(Table91213[[#This Row],[Date]],'DB Details'!$A:$Q,12)=0,"",VLOOKUP(Table91213[[#This Row],[Date]],'DB Details'!$A:$Q,12))</f>
        <v>57.6</v>
      </c>
    </row>
    <row r="264" spans="1:12" x14ac:dyDescent="0.2">
      <c r="A264" s="53">
        <v>43466</v>
      </c>
      <c r="B264" s="50">
        <f>IF(VLOOKUP(Table91213[[#This Row],[Date]],'DB Details'!$A:$Q,2)=0,"",VLOOKUP(Table91213[[#This Row],[Date]],'DB Details'!$A:$Q,2))</f>
        <v>57.7</v>
      </c>
      <c r="C264" s="51">
        <f>IF(VLOOKUP(Table91213[[#This Row],[Date]],'DB Details'!$A:$Q,3)=0,"",VLOOKUP(Table91213[[#This Row],[Date]],'DB Details'!$A:$Q,3))</f>
        <v>52</v>
      </c>
      <c r="D264" s="51">
        <f>IF(VLOOKUP(Table91213[[#This Row],[Date]],'DB Details'!$A:$Q,4)=0,"",VLOOKUP(Table91213[[#This Row],[Date]],'DB Details'!$A:$Q,4))</f>
        <v>52.5</v>
      </c>
      <c r="E264" s="52">
        <f>IF(VLOOKUP(Table91213[[#This Row],[Date]],'DB Details'!$A:$Q,5)=0,"",VLOOKUP(Table91213[[#This Row],[Date]],'DB Details'!$A:$Q,5))</f>
        <v>59.4</v>
      </c>
      <c r="F264" s="51">
        <f>IF(VLOOKUP(Table91213[[#This Row],[Date]],'DB Details'!$A:$Q,6)=0,"",VLOOKUP(Table91213[[#This Row],[Date]],'DB Details'!$A:$Q,6))</f>
        <v>59.7</v>
      </c>
      <c r="G264" s="52">
        <f>IF(VLOOKUP(Table91213[[#This Row],[Date]],'DB Details'!$A:$Q,7)=0,"",VLOOKUP(Table91213[[#This Row],[Date]],'DB Details'!$A:$Q,7))</f>
        <v>60.5</v>
      </c>
      <c r="H264" s="52">
        <f>IF(VLOOKUP(Table91213[[#This Row],[Date]],'DB Details'!$A:$Q,8)=0,"",VLOOKUP(Table91213[[#This Row],[Date]],'DB Details'!$A:$Q,8))</f>
        <v>49</v>
      </c>
      <c r="I264" s="52">
        <f>IF(VLOOKUP(Table91213[[#This Row],[Date]],'DB Details'!$A:$Q,9)=0,"",VLOOKUP(Table91213[[#This Row],[Date]],'DB Details'!$A:$Q,9))</f>
        <v>51.5</v>
      </c>
      <c r="J264" s="52">
        <f>IF(VLOOKUP(Table91213[[#This Row],[Date]],'DB Details'!$A:$Q,10)=0,"",VLOOKUP(Table91213[[#This Row],[Date]],'DB Details'!$A:$Q,10))</f>
        <v>57.8</v>
      </c>
      <c r="K264" s="52">
        <f>IF(VLOOKUP(Table91213[[#This Row],[Date]],'DB Details'!$A:$Q,11)=0,"",VLOOKUP(Table91213[[#This Row],[Date]],'DB Details'!$A:$Q,11))</f>
        <v>50.5</v>
      </c>
      <c r="L264" s="50">
        <f>IF(VLOOKUP(Table91213[[#This Row],[Date]],'DB Details'!$A:$Q,12)=0,"",VLOOKUP(Table91213[[#This Row],[Date]],'DB Details'!$A:$Q,12))</f>
        <v>56.7</v>
      </c>
    </row>
    <row r="265" spans="1:12" x14ac:dyDescent="0.2">
      <c r="A265" s="53">
        <v>43497</v>
      </c>
      <c r="B265" s="50">
        <f>IF(VLOOKUP(Table91213[[#This Row],[Date]],'DB Details'!$A:$Q,2)=0,"",VLOOKUP(Table91213[[#This Row],[Date]],'DB Details'!$A:$Q,2))</f>
        <v>65.2</v>
      </c>
      <c r="C265" s="51">
        <f>IF(VLOOKUP(Table91213[[#This Row],[Date]],'DB Details'!$A:$Q,3)=0,"",VLOOKUP(Table91213[[#This Row],[Date]],'DB Details'!$A:$Q,3))</f>
        <v>48.5</v>
      </c>
      <c r="D265" s="51">
        <f>IF(VLOOKUP(Table91213[[#This Row],[Date]],'DB Details'!$A:$Q,4)=0,"",VLOOKUP(Table91213[[#This Row],[Date]],'DB Details'!$A:$Q,4))</f>
        <v>55.5</v>
      </c>
      <c r="E265" s="52">
        <f>IF(VLOOKUP(Table91213[[#This Row],[Date]],'DB Details'!$A:$Q,5)=0,"",VLOOKUP(Table91213[[#This Row],[Date]],'DB Details'!$A:$Q,5))</f>
        <v>54.4</v>
      </c>
      <c r="F265" s="51">
        <f>IF(VLOOKUP(Table91213[[#This Row],[Date]],'DB Details'!$A:$Q,6)=0,"",VLOOKUP(Table91213[[#This Row],[Date]],'DB Details'!$A:$Q,6))</f>
        <v>64.7</v>
      </c>
      <c r="G265" s="52">
        <f>IF(VLOOKUP(Table91213[[#This Row],[Date]],'DB Details'!$A:$Q,7)=0,"",VLOOKUP(Table91213[[#This Row],[Date]],'DB Details'!$A:$Q,7))</f>
        <v>59</v>
      </c>
      <c r="H265" s="52">
        <f>IF(VLOOKUP(Table91213[[#This Row],[Date]],'DB Details'!$A:$Q,8)=0,"",VLOOKUP(Table91213[[#This Row],[Date]],'DB Details'!$A:$Q,8))</f>
        <v>51</v>
      </c>
      <c r="I265" s="52">
        <f>IF(VLOOKUP(Table91213[[#This Row],[Date]],'DB Details'!$A:$Q,9)=0,"",VLOOKUP(Table91213[[#This Row],[Date]],'DB Details'!$A:$Q,9))</f>
        <v>53.5</v>
      </c>
      <c r="J265" s="52">
        <f>IF(VLOOKUP(Table91213[[#This Row],[Date]],'DB Details'!$A:$Q,10)=0,"",VLOOKUP(Table91213[[#This Row],[Date]],'DB Details'!$A:$Q,10))</f>
        <v>55.2</v>
      </c>
      <c r="K265" s="52">
        <f>IF(VLOOKUP(Table91213[[#This Row],[Date]],'DB Details'!$A:$Q,11)=0,"",VLOOKUP(Table91213[[#This Row],[Date]],'DB Details'!$A:$Q,11))</f>
        <v>55</v>
      </c>
      <c r="L265" s="50">
        <f>IF(VLOOKUP(Table91213[[#This Row],[Date]],'DB Details'!$A:$Q,12)=0,"",VLOOKUP(Table91213[[#This Row],[Date]],'DB Details'!$A:$Q,12))</f>
        <v>59.7</v>
      </c>
    </row>
    <row r="266" spans="1:12" x14ac:dyDescent="0.2">
      <c r="A266" s="53">
        <v>43525</v>
      </c>
      <c r="B266" s="50">
        <f>IF(VLOOKUP(Table91213[[#This Row],[Date]],'DB Details'!$A:$Q,2)=0,"",VLOOKUP(Table91213[[#This Row],[Date]],'DB Details'!$A:$Q,2))</f>
        <v>59</v>
      </c>
      <c r="C266" s="51">
        <f>IF(VLOOKUP(Table91213[[#This Row],[Date]],'DB Details'!$A:$Q,3)=0,"",VLOOKUP(Table91213[[#This Row],[Date]],'DB Details'!$A:$Q,3))</f>
        <v>51.5</v>
      </c>
      <c r="D266" s="51">
        <f>IF(VLOOKUP(Table91213[[#This Row],[Date]],'DB Details'!$A:$Q,4)=0,"",VLOOKUP(Table91213[[#This Row],[Date]],'DB Details'!$A:$Q,4))</f>
        <v>56.5</v>
      </c>
      <c r="E266" s="52">
        <f>IF(VLOOKUP(Table91213[[#This Row],[Date]],'DB Details'!$A:$Q,5)=0,"",VLOOKUP(Table91213[[#This Row],[Date]],'DB Details'!$A:$Q,5))</f>
        <v>58.7</v>
      </c>
      <c r="F266" s="51">
        <f>IF(VLOOKUP(Table91213[[#This Row],[Date]],'DB Details'!$A:$Q,6)=0,"",VLOOKUP(Table91213[[#This Row],[Date]],'DB Details'!$A:$Q,6))</f>
        <v>57.4</v>
      </c>
      <c r="G266" s="52">
        <f>IF(VLOOKUP(Table91213[[#This Row],[Date]],'DB Details'!$A:$Q,7)=0,"",VLOOKUP(Table91213[[#This Row],[Date]],'DB Details'!$A:$Q,7))</f>
        <v>62.5</v>
      </c>
      <c r="H266" s="52">
        <f>IF(VLOOKUP(Table91213[[#This Row],[Date]],'DB Details'!$A:$Q,8)=0,"",VLOOKUP(Table91213[[#This Row],[Date]],'DB Details'!$A:$Q,8))</f>
        <v>50</v>
      </c>
      <c r="I266" s="52">
        <f>IF(VLOOKUP(Table91213[[#This Row],[Date]],'DB Details'!$A:$Q,9)=0,"",VLOOKUP(Table91213[[#This Row],[Date]],'DB Details'!$A:$Q,9))</f>
        <v>52</v>
      </c>
      <c r="J266" s="52">
        <f>IF(VLOOKUP(Table91213[[#This Row],[Date]],'DB Details'!$A:$Q,10)=0,"",VLOOKUP(Table91213[[#This Row],[Date]],'DB Details'!$A:$Q,10))</f>
        <v>55.9</v>
      </c>
      <c r="K266" s="52">
        <f>IF(VLOOKUP(Table91213[[#This Row],[Date]],'DB Details'!$A:$Q,11)=0,"",VLOOKUP(Table91213[[#This Row],[Date]],'DB Details'!$A:$Q,11))</f>
        <v>52.5</v>
      </c>
      <c r="L266" s="50">
        <f>IF(VLOOKUP(Table91213[[#This Row],[Date]],'DB Details'!$A:$Q,12)=0,"",VLOOKUP(Table91213[[#This Row],[Date]],'DB Details'!$A:$Q,12))</f>
        <v>56.1</v>
      </c>
    </row>
    <row r="267" spans="1:12" x14ac:dyDescent="0.2">
      <c r="A267" s="53">
        <v>43556</v>
      </c>
      <c r="B267" s="50">
        <f>IF(VLOOKUP(Table91213[[#This Row],[Date]],'DB Details'!$A:$Q,2)=0,"",VLOOKUP(Table91213[[#This Row],[Date]],'DB Details'!$A:$Q,2))</f>
        <v>58.1</v>
      </c>
      <c r="C267" s="51">
        <f>IF(VLOOKUP(Table91213[[#This Row],[Date]],'DB Details'!$A:$Q,3)=0,"",VLOOKUP(Table91213[[#This Row],[Date]],'DB Details'!$A:$Q,3))</f>
        <v>55</v>
      </c>
      <c r="D267" s="51">
        <f>IF(VLOOKUP(Table91213[[#This Row],[Date]],'DB Details'!$A:$Q,4)=0,"",VLOOKUP(Table91213[[#This Row],[Date]],'DB Details'!$A:$Q,4))</f>
        <v>55</v>
      </c>
      <c r="E267" s="52">
        <f>IF(VLOOKUP(Table91213[[#This Row],[Date]],'DB Details'!$A:$Q,5)=0,"",VLOOKUP(Table91213[[#This Row],[Date]],'DB Details'!$A:$Q,5))</f>
        <v>55.7</v>
      </c>
      <c r="F267" s="51">
        <f>IF(VLOOKUP(Table91213[[#This Row],[Date]],'DB Details'!$A:$Q,6)=0,"",VLOOKUP(Table91213[[#This Row],[Date]],'DB Details'!$A:$Q,6))</f>
        <v>59.5</v>
      </c>
      <c r="G267" s="52">
        <f>IF(VLOOKUP(Table91213[[#This Row],[Date]],'DB Details'!$A:$Q,7)=0,"",VLOOKUP(Table91213[[#This Row],[Date]],'DB Details'!$A:$Q,7))</f>
        <v>60</v>
      </c>
      <c r="H267" s="52">
        <f>IF(VLOOKUP(Table91213[[#This Row],[Date]],'DB Details'!$A:$Q,8)=0,"",VLOOKUP(Table91213[[#This Row],[Date]],'DB Details'!$A:$Q,8))</f>
        <v>51.5</v>
      </c>
      <c r="I267" s="52">
        <f>IF(VLOOKUP(Table91213[[#This Row],[Date]],'DB Details'!$A:$Q,9)=0,"",VLOOKUP(Table91213[[#This Row],[Date]],'DB Details'!$A:$Q,9))</f>
        <v>50.5</v>
      </c>
      <c r="J267" s="52">
        <f>IF(VLOOKUP(Table91213[[#This Row],[Date]],'DB Details'!$A:$Q,10)=0,"",VLOOKUP(Table91213[[#This Row],[Date]],'DB Details'!$A:$Q,10))</f>
        <v>53.7</v>
      </c>
      <c r="K267" s="52">
        <f>IF(VLOOKUP(Table91213[[#This Row],[Date]],'DB Details'!$A:$Q,11)=0,"",VLOOKUP(Table91213[[#This Row],[Date]],'DB Details'!$A:$Q,11))</f>
        <v>57</v>
      </c>
      <c r="L267" s="50">
        <f>IF(VLOOKUP(Table91213[[#This Row],[Date]],'DB Details'!$A:$Q,12)=0,"",VLOOKUP(Table91213[[#This Row],[Date]],'DB Details'!$A:$Q,12))</f>
        <v>55.5</v>
      </c>
    </row>
    <row r="268" spans="1:12" x14ac:dyDescent="0.2">
      <c r="A268" s="53">
        <v>43586</v>
      </c>
      <c r="B268" s="50">
        <f>IF(VLOOKUP(Table91213[[#This Row],[Date]],'DB Details'!$A:$Q,2)=0,"",VLOOKUP(Table91213[[#This Row],[Date]],'DB Details'!$A:$Q,2))</f>
        <v>58.6</v>
      </c>
      <c r="C268" s="51">
        <f>IF(VLOOKUP(Table91213[[#This Row],[Date]],'DB Details'!$A:$Q,3)=0,"",VLOOKUP(Table91213[[#This Row],[Date]],'DB Details'!$A:$Q,3))</f>
        <v>50</v>
      </c>
      <c r="D268" s="51">
        <f>IF(VLOOKUP(Table91213[[#This Row],[Date]],'DB Details'!$A:$Q,4)=0,"",VLOOKUP(Table91213[[#This Row],[Date]],'DB Details'!$A:$Q,4))</f>
        <v>52.5</v>
      </c>
      <c r="E268" s="52">
        <f>IF(VLOOKUP(Table91213[[#This Row],[Date]],'DB Details'!$A:$Q,5)=0,"",VLOOKUP(Table91213[[#This Row],[Date]],'DB Details'!$A:$Q,5))</f>
        <v>55.4</v>
      </c>
      <c r="F268" s="51">
        <f>IF(VLOOKUP(Table91213[[#This Row],[Date]],'DB Details'!$A:$Q,6)=0,"",VLOOKUP(Table91213[[#This Row],[Date]],'DB Details'!$A:$Q,6))</f>
        <v>61.2</v>
      </c>
      <c r="G268" s="52">
        <f>IF(VLOOKUP(Table91213[[#This Row],[Date]],'DB Details'!$A:$Q,7)=0,"",VLOOKUP(Table91213[[#This Row],[Date]],'DB Details'!$A:$Q,7))</f>
        <v>58.5</v>
      </c>
      <c r="H268" s="52">
        <f>IF(VLOOKUP(Table91213[[#This Row],[Date]],'DB Details'!$A:$Q,8)=0,"",VLOOKUP(Table91213[[#This Row],[Date]],'DB Details'!$A:$Q,8))</f>
        <v>54</v>
      </c>
      <c r="I268" s="52">
        <f>IF(VLOOKUP(Table91213[[#This Row],[Date]],'DB Details'!$A:$Q,9)=0,"",VLOOKUP(Table91213[[#This Row],[Date]],'DB Details'!$A:$Q,9))</f>
        <v>49.5</v>
      </c>
      <c r="J268" s="52">
        <f>IF(VLOOKUP(Table91213[[#This Row],[Date]],'DB Details'!$A:$Q,10)=0,"",VLOOKUP(Table91213[[#This Row],[Date]],'DB Details'!$A:$Q,10))</f>
        <v>58.1</v>
      </c>
      <c r="K268" s="52">
        <f>IF(VLOOKUP(Table91213[[#This Row],[Date]],'DB Details'!$A:$Q,11)=0,"",VLOOKUP(Table91213[[#This Row],[Date]],'DB Details'!$A:$Q,11))</f>
        <v>55.5</v>
      </c>
      <c r="L268" s="50">
        <f>IF(VLOOKUP(Table91213[[#This Row],[Date]],'DB Details'!$A:$Q,12)=0,"",VLOOKUP(Table91213[[#This Row],[Date]],'DB Details'!$A:$Q,12))</f>
        <v>56.9</v>
      </c>
    </row>
    <row r="269" spans="1:12" x14ac:dyDescent="0.2">
      <c r="A269" s="53">
        <v>43617</v>
      </c>
      <c r="B269" s="50">
        <f>IF(VLOOKUP(Table91213[[#This Row],[Date]],'DB Details'!$A:$Q,2)=0,"",VLOOKUP(Table91213[[#This Row],[Date]],'DB Details'!$A:$Q,2))</f>
        <v>55.8</v>
      </c>
      <c r="C269" s="51">
        <f>IF(VLOOKUP(Table91213[[#This Row],[Date]],'DB Details'!$A:$Q,3)=0,"",VLOOKUP(Table91213[[#This Row],[Date]],'DB Details'!$A:$Q,3))</f>
        <v>50</v>
      </c>
      <c r="D269" s="51">
        <f>IF(VLOOKUP(Table91213[[#This Row],[Date]],'DB Details'!$A:$Q,4)=0,"",VLOOKUP(Table91213[[#This Row],[Date]],'DB Details'!$A:$Q,4))</f>
        <v>56</v>
      </c>
      <c r="E269" s="52">
        <f>IF(VLOOKUP(Table91213[[#This Row],[Date]],'DB Details'!$A:$Q,5)=0,"",VLOOKUP(Table91213[[#This Row],[Date]],'DB Details'!$A:$Q,5))</f>
        <v>58.9</v>
      </c>
      <c r="F269" s="51">
        <f>IF(VLOOKUP(Table91213[[#This Row],[Date]],'DB Details'!$A:$Q,6)=0,"",VLOOKUP(Table91213[[#This Row],[Date]],'DB Details'!$A:$Q,6))</f>
        <v>58.2</v>
      </c>
      <c r="G269" s="52">
        <f>IF(VLOOKUP(Table91213[[#This Row],[Date]],'DB Details'!$A:$Q,7)=0,"",VLOOKUP(Table91213[[#This Row],[Date]],'DB Details'!$A:$Q,7))</f>
        <v>58.5</v>
      </c>
      <c r="H269" s="52">
        <f>IF(VLOOKUP(Table91213[[#This Row],[Date]],'DB Details'!$A:$Q,8)=0,"",VLOOKUP(Table91213[[#This Row],[Date]],'DB Details'!$A:$Q,8))</f>
        <v>55</v>
      </c>
      <c r="I269" s="52">
        <f>IF(VLOOKUP(Table91213[[#This Row],[Date]],'DB Details'!$A:$Q,9)=0,"",VLOOKUP(Table91213[[#This Row],[Date]],'DB Details'!$A:$Q,9))</f>
        <v>51.5</v>
      </c>
      <c r="J269" s="52">
        <f>IF(VLOOKUP(Table91213[[#This Row],[Date]],'DB Details'!$A:$Q,10)=0,"",VLOOKUP(Table91213[[#This Row],[Date]],'DB Details'!$A:$Q,10))</f>
        <v>55</v>
      </c>
      <c r="K269" s="52">
        <f>IF(VLOOKUP(Table91213[[#This Row],[Date]],'DB Details'!$A:$Q,11)=0,"",VLOOKUP(Table91213[[#This Row],[Date]],'DB Details'!$A:$Q,11))</f>
        <v>55.5</v>
      </c>
      <c r="L269" s="50">
        <f>IF(VLOOKUP(Table91213[[#This Row],[Date]],'DB Details'!$A:$Q,12)=0,"",VLOOKUP(Table91213[[#This Row],[Date]],'DB Details'!$A:$Q,12))</f>
        <v>55.1</v>
      </c>
    </row>
    <row r="270" spans="1:12" x14ac:dyDescent="0.2">
      <c r="A270" s="53">
        <v>43647</v>
      </c>
      <c r="B270" s="50">
        <f>IF(VLOOKUP(Table91213[[#This Row],[Date]],'DB Details'!$A:$Q,2)=0,"",VLOOKUP(Table91213[[#This Row],[Date]],'DB Details'!$A:$Q,2))</f>
        <v>54.1</v>
      </c>
      <c r="C270" s="51">
        <f>IF(VLOOKUP(Table91213[[#This Row],[Date]],'DB Details'!$A:$Q,3)=0,"",VLOOKUP(Table91213[[#This Row],[Date]],'DB Details'!$A:$Q,3))</f>
        <v>53.5</v>
      </c>
      <c r="D270" s="51">
        <f>IF(VLOOKUP(Table91213[[#This Row],[Date]],'DB Details'!$A:$Q,4)=0,"",VLOOKUP(Table91213[[#This Row],[Date]],'DB Details'!$A:$Q,4))</f>
        <v>53.5</v>
      </c>
      <c r="E270" s="52">
        <f>IF(VLOOKUP(Table91213[[#This Row],[Date]],'DB Details'!$A:$Q,5)=0,"",VLOOKUP(Table91213[[#This Row],[Date]],'DB Details'!$A:$Q,5))</f>
        <v>56.5</v>
      </c>
      <c r="F270" s="51">
        <f>IF(VLOOKUP(Table91213[[#This Row],[Date]],'DB Details'!$A:$Q,6)=0,"",VLOOKUP(Table91213[[#This Row],[Date]],'DB Details'!$A:$Q,6))</f>
        <v>53.1</v>
      </c>
      <c r="G270" s="52">
        <f>IF(VLOOKUP(Table91213[[#This Row],[Date]],'DB Details'!$A:$Q,7)=0,"",VLOOKUP(Table91213[[#This Row],[Date]],'DB Details'!$A:$Q,7))</f>
        <v>60.5</v>
      </c>
      <c r="H270" s="52">
        <f>IF(VLOOKUP(Table91213[[#This Row],[Date]],'DB Details'!$A:$Q,8)=0,"",VLOOKUP(Table91213[[#This Row],[Date]],'DB Details'!$A:$Q,8))</f>
        <v>50</v>
      </c>
      <c r="I270" s="52">
        <f>IF(VLOOKUP(Table91213[[#This Row],[Date]],'DB Details'!$A:$Q,9)=0,"",VLOOKUP(Table91213[[#This Row],[Date]],'DB Details'!$A:$Q,9))</f>
        <v>51.5</v>
      </c>
      <c r="J270" s="52">
        <f>IF(VLOOKUP(Table91213[[#This Row],[Date]],'DB Details'!$A:$Q,10)=0,"",VLOOKUP(Table91213[[#This Row],[Date]],'DB Details'!$A:$Q,10))</f>
        <v>56.2</v>
      </c>
      <c r="K270" s="52">
        <f>IF(VLOOKUP(Table91213[[#This Row],[Date]],'DB Details'!$A:$Q,11)=0,"",VLOOKUP(Table91213[[#This Row],[Date]],'DB Details'!$A:$Q,11))</f>
        <v>53.5</v>
      </c>
      <c r="L270" s="50">
        <f>IF(VLOOKUP(Table91213[[#This Row],[Date]],'DB Details'!$A:$Q,12)=0,"",VLOOKUP(Table91213[[#This Row],[Date]],'DB Details'!$A:$Q,12))</f>
        <v>53.7</v>
      </c>
    </row>
    <row r="271" spans="1:12" x14ac:dyDescent="0.2">
      <c r="A271" s="53">
        <v>43678</v>
      </c>
      <c r="B271" s="50">
        <f>IF(VLOOKUP(Table91213[[#This Row],[Date]],'DB Details'!$A:$Q,2)=0,"",VLOOKUP(Table91213[[#This Row],[Date]],'DB Details'!$A:$Q,2))</f>
        <v>60.3</v>
      </c>
      <c r="C271" s="51">
        <f>IF(VLOOKUP(Table91213[[#This Row],[Date]],'DB Details'!$A:$Q,3)=0,"",VLOOKUP(Table91213[[#This Row],[Date]],'DB Details'!$A:$Q,3))</f>
        <v>50.5</v>
      </c>
      <c r="D271" s="51">
        <f>IF(VLOOKUP(Table91213[[#This Row],[Date]],'DB Details'!$A:$Q,4)=0,"",VLOOKUP(Table91213[[#This Row],[Date]],'DB Details'!$A:$Q,4))</f>
        <v>49</v>
      </c>
      <c r="E271" s="52">
        <f>IF(VLOOKUP(Table91213[[#This Row],[Date]],'DB Details'!$A:$Q,5)=0,"",VLOOKUP(Table91213[[#This Row],[Date]],'DB Details'!$A:$Q,5))</f>
        <v>58.2</v>
      </c>
      <c r="F271" s="51">
        <f>IF(VLOOKUP(Table91213[[#This Row],[Date]],'DB Details'!$A:$Q,6)=0,"",VLOOKUP(Table91213[[#This Row],[Date]],'DB Details'!$A:$Q,6))</f>
        <v>61.5</v>
      </c>
      <c r="G271" s="52">
        <f>IF(VLOOKUP(Table91213[[#This Row],[Date]],'DB Details'!$A:$Q,7)=0,"",VLOOKUP(Table91213[[#This Row],[Date]],'DB Details'!$A:$Q,7))</f>
        <v>56</v>
      </c>
      <c r="H271" s="52">
        <f>IF(VLOOKUP(Table91213[[#This Row],[Date]],'DB Details'!$A:$Q,8)=0,"",VLOOKUP(Table91213[[#This Row],[Date]],'DB Details'!$A:$Q,8))</f>
        <v>55</v>
      </c>
      <c r="I271" s="52">
        <f>IF(VLOOKUP(Table91213[[#This Row],[Date]],'DB Details'!$A:$Q,9)=0,"",VLOOKUP(Table91213[[#This Row],[Date]],'DB Details'!$A:$Q,9))</f>
        <v>50.5</v>
      </c>
      <c r="J271" s="52">
        <f>IF(VLOOKUP(Table91213[[#This Row],[Date]],'DB Details'!$A:$Q,10)=0,"",VLOOKUP(Table91213[[#This Row],[Date]],'DB Details'!$A:$Q,10))</f>
        <v>53.1</v>
      </c>
      <c r="K271" s="52">
        <f>IF(VLOOKUP(Table91213[[#This Row],[Date]],'DB Details'!$A:$Q,11)=0,"",VLOOKUP(Table91213[[#This Row],[Date]],'DB Details'!$A:$Q,11))</f>
        <v>50.5</v>
      </c>
      <c r="L271" s="50">
        <f>IF(VLOOKUP(Table91213[[#This Row],[Date]],'DB Details'!$A:$Q,12)=0,"",VLOOKUP(Table91213[[#This Row],[Date]],'DB Details'!$A:$Q,12))</f>
        <v>56.4</v>
      </c>
    </row>
    <row r="272" spans="1:12" x14ac:dyDescent="0.2">
      <c r="A272" s="53">
        <v>43709</v>
      </c>
      <c r="B272" s="50">
        <f>IF(VLOOKUP(Table91213[[#This Row],[Date]],'DB Details'!$A:$Q,2)=0,"",VLOOKUP(Table91213[[#This Row],[Date]],'DB Details'!$A:$Q,2))</f>
        <v>53.7</v>
      </c>
      <c r="C272" s="51">
        <f>IF(VLOOKUP(Table91213[[#This Row],[Date]],'DB Details'!$A:$Q,3)=0,"",VLOOKUP(Table91213[[#This Row],[Date]],'DB Details'!$A:$Q,3))</f>
        <v>49</v>
      </c>
      <c r="D272" s="51">
        <f>IF(VLOOKUP(Table91213[[#This Row],[Date]],'DB Details'!$A:$Q,4)=0,"",VLOOKUP(Table91213[[#This Row],[Date]],'DB Details'!$A:$Q,4))</f>
        <v>54</v>
      </c>
      <c r="E272" s="52">
        <f>IF(VLOOKUP(Table91213[[#This Row],[Date]],'DB Details'!$A:$Q,5)=0,"",VLOOKUP(Table91213[[#This Row],[Date]],'DB Details'!$A:$Q,5))</f>
        <v>60</v>
      </c>
      <c r="F272" s="51">
        <f>IF(VLOOKUP(Table91213[[#This Row],[Date]],'DB Details'!$A:$Q,6)=0,"",VLOOKUP(Table91213[[#This Row],[Date]],'DB Details'!$A:$Q,6))</f>
        <v>55.2</v>
      </c>
      <c r="G272" s="52">
        <f>IF(VLOOKUP(Table91213[[#This Row],[Date]],'DB Details'!$A:$Q,7)=0,"",VLOOKUP(Table91213[[#This Row],[Date]],'DB Details'!$A:$Q,7))</f>
        <v>58</v>
      </c>
      <c r="H272" s="52">
        <f>IF(VLOOKUP(Table91213[[#This Row],[Date]],'DB Details'!$A:$Q,8)=0,"",VLOOKUP(Table91213[[#This Row],[Date]],'DB Details'!$A:$Q,8))</f>
        <v>53</v>
      </c>
      <c r="I272" s="52">
        <f>IF(VLOOKUP(Table91213[[#This Row],[Date]],'DB Details'!$A:$Q,9)=0,"",VLOOKUP(Table91213[[#This Row],[Date]],'DB Details'!$A:$Q,9))</f>
        <v>51</v>
      </c>
      <c r="J272" s="52">
        <f>IF(VLOOKUP(Table91213[[#This Row],[Date]],'DB Details'!$A:$Q,10)=0,"",VLOOKUP(Table91213[[#This Row],[Date]],'DB Details'!$A:$Q,10))</f>
        <v>50.4</v>
      </c>
      <c r="K272" s="52">
        <f>IF(VLOOKUP(Table91213[[#This Row],[Date]],'DB Details'!$A:$Q,11)=0,"",VLOOKUP(Table91213[[#This Row],[Date]],'DB Details'!$A:$Q,11))</f>
        <v>52</v>
      </c>
      <c r="L272" s="50">
        <f>IF(VLOOKUP(Table91213[[#This Row],[Date]],'DB Details'!$A:$Q,12)=0,"",VLOOKUP(Table91213[[#This Row],[Date]],'DB Details'!$A:$Q,12))</f>
        <v>52.6</v>
      </c>
    </row>
    <row r="273" spans="1:12" x14ac:dyDescent="0.2">
      <c r="A273" s="53">
        <v>43739</v>
      </c>
      <c r="B273" s="50">
        <f>IF(VLOOKUP(Table91213[[#This Row],[Date]],'DB Details'!$A:$Q,2)=0,"",VLOOKUP(Table91213[[#This Row],[Date]],'DB Details'!$A:$Q,2))</f>
        <v>55.6</v>
      </c>
      <c r="C273" s="51">
        <f>IF(VLOOKUP(Table91213[[#This Row],[Date]],'DB Details'!$A:$Q,3)=0,"",VLOOKUP(Table91213[[#This Row],[Date]],'DB Details'!$A:$Q,3))</f>
        <v>48.5</v>
      </c>
      <c r="D273" s="51">
        <f>IF(VLOOKUP(Table91213[[#This Row],[Date]],'DB Details'!$A:$Q,4)=0,"",VLOOKUP(Table91213[[#This Row],[Date]],'DB Details'!$A:$Q,4))</f>
        <v>48.5</v>
      </c>
      <c r="E273" s="52">
        <f>IF(VLOOKUP(Table91213[[#This Row],[Date]],'DB Details'!$A:$Q,5)=0,"",VLOOKUP(Table91213[[#This Row],[Date]],'DB Details'!$A:$Q,5))</f>
        <v>56.6</v>
      </c>
      <c r="F273" s="51">
        <f>IF(VLOOKUP(Table91213[[#This Row],[Date]],'DB Details'!$A:$Q,6)=0,"",VLOOKUP(Table91213[[#This Row],[Date]],'DB Details'!$A:$Q,6))</f>
        <v>57</v>
      </c>
      <c r="G273" s="52">
        <f>IF(VLOOKUP(Table91213[[#This Row],[Date]],'DB Details'!$A:$Q,7)=0,"",VLOOKUP(Table91213[[#This Row],[Date]],'DB Details'!$A:$Q,7))</f>
        <v>57</v>
      </c>
      <c r="H273" s="52">
        <f>IF(VLOOKUP(Table91213[[#This Row],[Date]],'DB Details'!$A:$Q,8)=0,"",VLOOKUP(Table91213[[#This Row],[Date]],'DB Details'!$A:$Q,8))</f>
        <v>50.5</v>
      </c>
      <c r="I273" s="52">
        <f>IF(VLOOKUP(Table91213[[#This Row],[Date]],'DB Details'!$A:$Q,9)=0,"",VLOOKUP(Table91213[[#This Row],[Date]],'DB Details'!$A:$Q,9))</f>
        <v>52.5</v>
      </c>
      <c r="J273" s="52">
        <f>IF(VLOOKUP(Table91213[[#This Row],[Date]],'DB Details'!$A:$Q,10)=0,"",VLOOKUP(Table91213[[#This Row],[Date]],'DB Details'!$A:$Q,10))</f>
        <v>53.7</v>
      </c>
      <c r="K273" s="52">
        <f>IF(VLOOKUP(Table91213[[#This Row],[Date]],'DB Details'!$A:$Q,11)=0,"",VLOOKUP(Table91213[[#This Row],[Date]],'DB Details'!$A:$Q,11))</f>
        <v>50</v>
      </c>
      <c r="L273" s="50">
        <f>IF(VLOOKUP(Table91213[[#This Row],[Date]],'DB Details'!$A:$Q,12)=0,"",VLOOKUP(Table91213[[#This Row],[Date]],'DB Details'!$A:$Q,12))</f>
        <v>54.7</v>
      </c>
    </row>
    <row r="274" spans="1:12" x14ac:dyDescent="0.2">
      <c r="A274" s="53">
        <v>43770</v>
      </c>
      <c r="B274" s="50">
        <f>IF(VLOOKUP(Table91213[[#This Row],[Date]],'DB Details'!$A:$Q,2)=0,"",VLOOKUP(Table91213[[#This Row],[Date]],'DB Details'!$A:$Q,2))</f>
        <v>57.1</v>
      </c>
      <c r="C274" s="51">
        <f>IF(VLOOKUP(Table91213[[#This Row],[Date]],'DB Details'!$A:$Q,3)=0,"",VLOOKUP(Table91213[[#This Row],[Date]],'DB Details'!$A:$Q,3))</f>
        <v>45</v>
      </c>
      <c r="D274" s="51">
        <f>IF(VLOOKUP(Table91213[[#This Row],[Date]],'DB Details'!$A:$Q,4)=0,"",VLOOKUP(Table91213[[#This Row],[Date]],'DB Details'!$A:$Q,4))</f>
        <v>48.5</v>
      </c>
      <c r="E274" s="52">
        <f>IF(VLOOKUP(Table91213[[#This Row],[Date]],'DB Details'!$A:$Q,5)=0,"",VLOOKUP(Table91213[[#This Row],[Date]],'DB Details'!$A:$Q,5))</f>
        <v>58.5</v>
      </c>
      <c r="F274" s="51">
        <f>IF(VLOOKUP(Table91213[[#This Row],[Date]],'DB Details'!$A:$Q,6)=0,"",VLOOKUP(Table91213[[#This Row],[Date]],'DB Details'!$A:$Q,6))</f>
        <v>51.6</v>
      </c>
      <c r="G274" s="52">
        <f>IF(VLOOKUP(Table91213[[#This Row],[Date]],'DB Details'!$A:$Q,7)=0,"",VLOOKUP(Table91213[[#This Row],[Date]],'DB Details'!$A:$Q,7))</f>
        <v>58.5</v>
      </c>
      <c r="H274" s="52">
        <f>IF(VLOOKUP(Table91213[[#This Row],[Date]],'DB Details'!$A:$Q,8)=0,"",VLOOKUP(Table91213[[#This Row],[Date]],'DB Details'!$A:$Q,8))</f>
        <v>50.5</v>
      </c>
      <c r="I274" s="52">
        <f>IF(VLOOKUP(Table91213[[#This Row],[Date]],'DB Details'!$A:$Q,9)=0,"",VLOOKUP(Table91213[[#This Row],[Date]],'DB Details'!$A:$Q,9))</f>
        <v>51.5</v>
      </c>
      <c r="J274" s="52">
        <f>IF(VLOOKUP(Table91213[[#This Row],[Date]],'DB Details'!$A:$Q,10)=0,"",VLOOKUP(Table91213[[#This Row],[Date]],'DB Details'!$A:$Q,10))</f>
        <v>55.5</v>
      </c>
      <c r="K274" s="52">
        <f>IF(VLOOKUP(Table91213[[#This Row],[Date]],'DB Details'!$A:$Q,11)=0,"",VLOOKUP(Table91213[[#This Row],[Date]],'DB Details'!$A:$Q,11))</f>
        <v>52</v>
      </c>
      <c r="L274" s="50">
        <f>IF(VLOOKUP(Table91213[[#This Row],[Date]],'DB Details'!$A:$Q,12)=0,"",VLOOKUP(Table91213[[#This Row],[Date]],'DB Details'!$A:$Q,12))</f>
        <v>53.9</v>
      </c>
    </row>
    <row r="275" spans="1:12" x14ac:dyDescent="0.2">
      <c r="A275" s="53">
        <v>43800</v>
      </c>
      <c r="B275" s="50">
        <f>IF(VLOOKUP(Table91213[[#This Row],[Date]],'DB Details'!$A:$Q,2)=0,"",VLOOKUP(Table91213[[#This Row],[Date]],'DB Details'!$A:$Q,2))</f>
        <v>54.9</v>
      </c>
      <c r="C275" s="51">
        <f>IF(VLOOKUP(Table91213[[#This Row],[Date]],'DB Details'!$A:$Q,3)=0,"",VLOOKUP(Table91213[[#This Row],[Date]],'DB Details'!$A:$Q,3))</f>
        <v>48</v>
      </c>
      <c r="D275" s="51">
        <f>IF(VLOOKUP(Table91213[[#This Row],[Date]],'DB Details'!$A:$Q,4)=0,"",VLOOKUP(Table91213[[#This Row],[Date]],'DB Details'!$A:$Q,4))</f>
        <v>47.5</v>
      </c>
      <c r="E275" s="52">
        <f>IF(VLOOKUP(Table91213[[#This Row],[Date]],'DB Details'!$A:$Q,5)=0,"",VLOOKUP(Table91213[[#This Row],[Date]],'DB Details'!$A:$Q,5))</f>
        <v>58.5</v>
      </c>
      <c r="F275" s="51">
        <f>IF(VLOOKUP(Table91213[[#This Row],[Date]],'DB Details'!$A:$Q,6)=0,"",VLOOKUP(Table91213[[#This Row],[Date]],'DB Details'!$A:$Q,6))</f>
        <v>57.2</v>
      </c>
      <c r="G275" s="52">
        <f>IF(VLOOKUP(Table91213[[#This Row],[Date]],'DB Details'!$A:$Q,7)=0,"",VLOOKUP(Table91213[[#This Row],[Date]],'DB Details'!$A:$Q,7))</f>
        <v>60</v>
      </c>
      <c r="H275" s="52">
        <f>IF(VLOOKUP(Table91213[[#This Row],[Date]],'DB Details'!$A:$Q,8)=0,"",VLOOKUP(Table91213[[#This Row],[Date]],'DB Details'!$A:$Q,8))</f>
        <v>51</v>
      </c>
      <c r="I275" s="52">
        <f>IF(VLOOKUP(Table91213[[#This Row],[Date]],'DB Details'!$A:$Q,9)=0,"",VLOOKUP(Table91213[[#This Row],[Date]],'DB Details'!$A:$Q,9))</f>
        <v>52.5</v>
      </c>
      <c r="J275" s="52">
        <f>IF(VLOOKUP(Table91213[[#This Row],[Date]],'DB Details'!$A:$Q,10)=0,"",VLOOKUP(Table91213[[#This Row],[Date]],'DB Details'!$A:$Q,10))</f>
        <v>55.2</v>
      </c>
      <c r="K275" s="52">
        <f>IF(VLOOKUP(Table91213[[#This Row],[Date]],'DB Details'!$A:$Q,11)=0,"",VLOOKUP(Table91213[[#This Row],[Date]],'DB Details'!$A:$Q,11))</f>
        <v>51</v>
      </c>
      <c r="L275" s="50">
        <f>IF(VLOOKUP(Table91213[[#This Row],[Date]],'DB Details'!$A:$Q,12)=0,"",VLOOKUP(Table91213[[#This Row],[Date]],'DB Details'!$A:$Q,12))</f>
        <v>55</v>
      </c>
    </row>
    <row r="276" spans="1:12" x14ac:dyDescent="0.2">
      <c r="A276" s="53">
        <v>43831</v>
      </c>
      <c r="B276" s="50">
        <f>IF(VLOOKUP(Table91213[[#This Row],[Date]],'DB Details'!$A:$Q,2)=0,"",VLOOKUP(Table91213[[#This Row],[Date]],'DB Details'!$A:$Q,2))</f>
        <v>56.2</v>
      </c>
      <c r="C276" s="51">
        <f>IF(VLOOKUP(Table91213[[#This Row],[Date]],'DB Details'!$A:$Q,3)=0,"",VLOOKUP(Table91213[[#This Row],[Date]],'DB Details'!$A:$Q,3))</f>
        <v>55.1</v>
      </c>
      <c r="D276" s="51">
        <f>IF(VLOOKUP(Table91213[[#This Row],[Date]],'DB Details'!$A:$Q,4)=0,"",VLOOKUP(Table91213[[#This Row],[Date]],'DB Details'!$A:$Q,4))</f>
        <v>45.5</v>
      </c>
      <c r="E276" s="52">
        <f>IF(VLOOKUP(Table91213[[#This Row],[Date]],'DB Details'!$A:$Q,5)=0,"",VLOOKUP(Table91213[[#This Row],[Date]],'DB Details'!$A:$Q,5))</f>
        <v>55.5</v>
      </c>
      <c r="F276" s="51">
        <f>IF(VLOOKUP(Table91213[[#This Row],[Date]],'DB Details'!$A:$Q,6)=0,"",VLOOKUP(Table91213[[#This Row],[Date]],'DB Details'!$A:$Q,6))</f>
        <v>60.9</v>
      </c>
      <c r="G276" s="52">
        <f>IF(VLOOKUP(Table91213[[#This Row],[Date]],'DB Details'!$A:$Q,7)=0,"",VLOOKUP(Table91213[[#This Row],[Date]],'DB Details'!$A:$Q,7))</f>
        <v>54.9</v>
      </c>
      <c r="H276" s="52">
        <f>IF(VLOOKUP(Table91213[[#This Row],[Date]],'DB Details'!$A:$Q,8)=0,"",VLOOKUP(Table91213[[#This Row],[Date]],'DB Details'!$A:$Q,8))</f>
        <v>46.5</v>
      </c>
      <c r="I276" s="52">
        <f>IF(VLOOKUP(Table91213[[#This Row],[Date]],'DB Details'!$A:$Q,9)=0,"",VLOOKUP(Table91213[[#This Row],[Date]],'DB Details'!$A:$Q,9))</f>
        <v>51.7</v>
      </c>
      <c r="J276" s="52">
        <f>IF(VLOOKUP(Table91213[[#This Row],[Date]],'DB Details'!$A:$Q,10)=0,"",VLOOKUP(Table91213[[#This Row],[Date]],'DB Details'!$A:$Q,10))</f>
        <v>53.1</v>
      </c>
      <c r="K276" s="52">
        <f>IF(VLOOKUP(Table91213[[#This Row],[Date]],'DB Details'!$A:$Q,11)=0,"",VLOOKUP(Table91213[[#This Row],[Date]],'DB Details'!$A:$Q,11))</f>
        <v>50.1</v>
      </c>
      <c r="L276" s="50">
        <f>IF(VLOOKUP(Table91213[[#This Row],[Date]],'DB Details'!$A:$Q,12)=0,"",VLOOKUP(Table91213[[#This Row],[Date]],'DB Details'!$A:$Q,12))</f>
        <v>55.5</v>
      </c>
    </row>
    <row r="277" spans="1:12" x14ac:dyDescent="0.2">
      <c r="A277" s="53">
        <v>43862</v>
      </c>
      <c r="B277" s="50">
        <f>IF(VLOOKUP(Table91213[[#This Row],[Date]],'DB Details'!$A:$Q,2)=0,"",VLOOKUP(Table91213[[#This Row],[Date]],'DB Details'!$A:$Q,2))</f>
        <v>63.1</v>
      </c>
      <c r="C277" s="51">
        <f>IF(VLOOKUP(Table91213[[#This Row],[Date]],'DB Details'!$A:$Q,3)=0,"",VLOOKUP(Table91213[[#This Row],[Date]],'DB Details'!$A:$Q,3))</f>
        <v>52.6</v>
      </c>
      <c r="D277" s="51">
        <f>IF(VLOOKUP(Table91213[[#This Row],[Date]],'DB Details'!$A:$Q,4)=0,"",VLOOKUP(Table91213[[#This Row],[Date]],'DB Details'!$A:$Q,4))</f>
        <v>53.2</v>
      </c>
      <c r="E277" s="52">
        <f>IF(VLOOKUP(Table91213[[#This Row],[Date]],'DB Details'!$A:$Q,5)=0,"",VLOOKUP(Table91213[[#This Row],[Date]],'DB Details'!$A:$Q,5))</f>
        <v>50.8</v>
      </c>
      <c r="F277" s="51">
        <f>IF(VLOOKUP(Table91213[[#This Row],[Date]],'DB Details'!$A:$Q,6)=0,"",VLOOKUP(Table91213[[#This Row],[Date]],'DB Details'!$A:$Q,6))</f>
        <v>57.8</v>
      </c>
      <c r="G277" s="52">
        <f>IF(VLOOKUP(Table91213[[#This Row],[Date]],'DB Details'!$A:$Q,7)=0,"",VLOOKUP(Table91213[[#This Row],[Date]],'DB Details'!$A:$Q,7))</f>
        <v>59.3</v>
      </c>
      <c r="H277" s="52">
        <f>IF(VLOOKUP(Table91213[[#This Row],[Date]],'DB Details'!$A:$Q,8)=0,"",VLOOKUP(Table91213[[#This Row],[Date]],'DB Details'!$A:$Q,8))</f>
        <v>53.9</v>
      </c>
      <c r="I277" s="52">
        <f>IF(VLOOKUP(Table91213[[#This Row],[Date]],'DB Details'!$A:$Q,9)=0,"",VLOOKUP(Table91213[[#This Row],[Date]],'DB Details'!$A:$Q,9))</f>
        <v>52.4</v>
      </c>
      <c r="J277" s="52">
        <f>IF(VLOOKUP(Table91213[[#This Row],[Date]],'DB Details'!$A:$Q,10)=0,"",VLOOKUP(Table91213[[#This Row],[Date]],'DB Details'!$A:$Q,10))</f>
        <v>55.6</v>
      </c>
      <c r="K277" s="52">
        <f>IF(VLOOKUP(Table91213[[#This Row],[Date]],'DB Details'!$A:$Q,11)=0,"",VLOOKUP(Table91213[[#This Row],[Date]],'DB Details'!$A:$Q,11))</f>
        <v>55.6</v>
      </c>
      <c r="L277" s="50">
        <f>IF(VLOOKUP(Table91213[[#This Row],[Date]],'DB Details'!$A:$Q,12)=0,"",VLOOKUP(Table91213[[#This Row],[Date]],'DB Details'!$A:$Q,12))</f>
        <v>57.3</v>
      </c>
    </row>
    <row r="278" spans="1:12" x14ac:dyDescent="0.2">
      <c r="A278" s="53">
        <v>43891</v>
      </c>
      <c r="B278" s="50">
        <f>IF(VLOOKUP(Table91213[[#This Row],[Date]],'DB Details'!$A:$Q,2)=0,"",VLOOKUP(Table91213[[#This Row],[Date]],'DB Details'!$A:$Q,2))</f>
        <v>52.9</v>
      </c>
      <c r="C278" s="51">
        <f>IF(VLOOKUP(Table91213[[#This Row],[Date]],'DB Details'!$A:$Q,3)=0,"",VLOOKUP(Table91213[[#This Row],[Date]],'DB Details'!$A:$Q,3))</f>
        <v>40.200000000000003</v>
      </c>
      <c r="D278" s="51">
        <f>IF(VLOOKUP(Table91213[[#This Row],[Date]],'DB Details'!$A:$Q,4)=0,"",VLOOKUP(Table91213[[#This Row],[Date]],'DB Details'!$A:$Q,4))</f>
        <v>55</v>
      </c>
      <c r="E278" s="52">
        <f>IF(VLOOKUP(Table91213[[#This Row],[Date]],'DB Details'!$A:$Q,5)=0,"",VLOOKUP(Table91213[[#This Row],[Date]],'DB Details'!$A:$Q,5))</f>
        <v>50</v>
      </c>
      <c r="F278" s="51">
        <f>IF(VLOOKUP(Table91213[[#This Row],[Date]],'DB Details'!$A:$Q,6)=0,"",VLOOKUP(Table91213[[#This Row],[Date]],'DB Details'!$A:$Q,6))</f>
        <v>48</v>
      </c>
      <c r="G278" s="52">
        <f>IF(VLOOKUP(Table91213[[#This Row],[Date]],'DB Details'!$A:$Q,7)=0,"",VLOOKUP(Table91213[[#This Row],[Date]],'DB Details'!$A:$Q,7))</f>
        <v>47.8</v>
      </c>
      <c r="H278" s="52">
        <f>IF(VLOOKUP(Table91213[[#This Row],[Date]],'DB Details'!$A:$Q,8)=0,"",VLOOKUP(Table91213[[#This Row],[Date]],'DB Details'!$A:$Q,8))</f>
        <v>41.5</v>
      </c>
      <c r="I278" s="52">
        <f>IF(VLOOKUP(Table91213[[#This Row],[Date]],'DB Details'!$A:$Q,9)=0,"",VLOOKUP(Table91213[[#This Row],[Date]],'DB Details'!$A:$Q,9))</f>
        <v>62.1</v>
      </c>
      <c r="J278" s="52">
        <f>IF(VLOOKUP(Table91213[[#This Row],[Date]],'DB Details'!$A:$Q,10)=0,"",VLOOKUP(Table91213[[#This Row],[Date]],'DB Details'!$A:$Q,10))</f>
        <v>47</v>
      </c>
      <c r="K278" s="52">
        <f>IF(VLOOKUP(Table91213[[#This Row],[Date]],'DB Details'!$A:$Q,11)=0,"",VLOOKUP(Table91213[[#This Row],[Date]],'DB Details'!$A:$Q,11))</f>
        <v>45.9</v>
      </c>
      <c r="L278" s="50">
        <f>IF(VLOOKUP(Table91213[[#This Row],[Date]],'DB Details'!$A:$Q,12)=0,"",VLOOKUP(Table91213[[#This Row],[Date]],'DB Details'!$A:$Q,12))</f>
        <v>52.5</v>
      </c>
    </row>
    <row r="279" spans="1:12" x14ac:dyDescent="0.2">
      <c r="A279" s="53">
        <v>43922</v>
      </c>
      <c r="B279" s="50">
        <f>IF(VLOOKUP(Table91213[[#This Row],[Date]],'DB Details'!$A:$Q,2)=0,"",VLOOKUP(Table91213[[#This Row],[Date]],'DB Details'!$A:$Q,2))</f>
        <v>32.9</v>
      </c>
      <c r="C279" s="51">
        <f>IF(VLOOKUP(Table91213[[#This Row],[Date]],'DB Details'!$A:$Q,3)=0,"",VLOOKUP(Table91213[[#This Row],[Date]],'DB Details'!$A:$Q,3))</f>
        <v>49.3</v>
      </c>
      <c r="D279" s="51">
        <f>IF(VLOOKUP(Table91213[[#This Row],[Date]],'DB Details'!$A:$Q,4)=0,"",VLOOKUP(Table91213[[#This Row],[Date]],'DB Details'!$A:$Q,4))</f>
        <v>47.7</v>
      </c>
      <c r="E279" s="52">
        <f>IF(VLOOKUP(Table91213[[#This Row],[Date]],'DB Details'!$A:$Q,5)=0,"",VLOOKUP(Table91213[[#This Row],[Date]],'DB Details'!$A:$Q,5))</f>
        <v>55.1</v>
      </c>
      <c r="F279" s="51">
        <f>IF(VLOOKUP(Table91213[[#This Row],[Date]],'DB Details'!$A:$Q,6)=0,"",VLOOKUP(Table91213[[#This Row],[Date]],'DB Details'!$A:$Q,6))</f>
        <v>26</v>
      </c>
      <c r="G279" s="52">
        <f>IF(VLOOKUP(Table91213[[#This Row],[Date]],'DB Details'!$A:$Q,7)=0,"",VLOOKUP(Table91213[[#This Row],[Date]],'DB Details'!$A:$Q,7))</f>
        <v>62.6</v>
      </c>
      <c r="H279" s="52">
        <f>IF(VLOOKUP(Table91213[[#This Row],[Date]],'DB Details'!$A:$Q,8)=0,"",VLOOKUP(Table91213[[#This Row],[Date]],'DB Details'!$A:$Q,8))</f>
        <v>46.9</v>
      </c>
      <c r="I279" s="52">
        <f>IF(VLOOKUP(Table91213[[#This Row],[Date]],'DB Details'!$A:$Q,9)=0,"",VLOOKUP(Table91213[[#This Row],[Date]],'DB Details'!$A:$Q,9))</f>
        <v>78.3</v>
      </c>
      <c r="J279" s="52">
        <f>IF(VLOOKUP(Table91213[[#This Row],[Date]],'DB Details'!$A:$Q,10)=0,"",VLOOKUP(Table91213[[#This Row],[Date]],'DB Details'!$A:$Q,10))</f>
        <v>30</v>
      </c>
      <c r="K279" s="52">
        <f>IF(VLOOKUP(Table91213[[#This Row],[Date]],'DB Details'!$A:$Q,11)=0,"",VLOOKUP(Table91213[[#This Row],[Date]],'DB Details'!$A:$Q,11))</f>
        <v>36.299999999999997</v>
      </c>
      <c r="L279" s="50">
        <f>IF(VLOOKUP(Table91213[[#This Row],[Date]],'DB Details'!$A:$Q,12)=0,"",VLOOKUP(Table91213[[#This Row],[Date]],'DB Details'!$A:$Q,12))</f>
        <v>41.8</v>
      </c>
    </row>
    <row r="280" spans="1:12" x14ac:dyDescent="0.2">
      <c r="A280" s="53">
        <v>43952</v>
      </c>
      <c r="B280" s="50">
        <f>IF(VLOOKUP(Table91213[[#This Row],[Date]],'DB Details'!$A:$Q,2)=0,"",VLOOKUP(Table91213[[#This Row],[Date]],'DB Details'!$A:$Q,2))</f>
        <v>41.9</v>
      </c>
      <c r="C280" s="51">
        <f>IF(VLOOKUP(Table91213[[#This Row],[Date]],'DB Details'!$A:$Q,3)=0,"",VLOOKUP(Table91213[[#This Row],[Date]],'DB Details'!$A:$Q,3))</f>
        <v>43.7</v>
      </c>
      <c r="D280" s="51">
        <f>IF(VLOOKUP(Table91213[[#This Row],[Date]],'DB Details'!$A:$Q,4)=0,"",VLOOKUP(Table91213[[#This Row],[Date]],'DB Details'!$A:$Q,4))</f>
        <v>46.4</v>
      </c>
      <c r="E280" s="52">
        <f>IF(VLOOKUP(Table91213[[#This Row],[Date]],'DB Details'!$A:$Q,5)=0,"",VLOOKUP(Table91213[[#This Row],[Date]],'DB Details'!$A:$Q,5))</f>
        <v>55.6</v>
      </c>
      <c r="F280" s="51">
        <f>IF(VLOOKUP(Table91213[[#This Row],[Date]],'DB Details'!$A:$Q,6)=0,"",VLOOKUP(Table91213[[#This Row],[Date]],'DB Details'!$A:$Q,6))</f>
        <v>41</v>
      </c>
      <c r="G280" s="52">
        <f>IF(VLOOKUP(Table91213[[#This Row],[Date]],'DB Details'!$A:$Q,7)=0,"",VLOOKUP(Table91213[[#This Row],[Date]],'DB Details'!$A:$Q,7))</f>
        <v>55.1</v>
      </c>
      <c r="H280" s="52">
        <f>IF(VLOOKUP(Table91213[[#This Row],[Date]],'DB Details'!$A:$Q,8)=0,"",VLOOKUP(Table91213[[#This Row],[Date]],'DB Details'!$A:$Q,8))</f>
        <v>48</v>
      </c>
      <c r="I280" s="52">
        <f>IF(VLOOKUP(Table91213[[#This Row],[Date]],'DB Details'!$A:$Q,9)=0,"",VLOOKUP(Table91213[[#This Row],[Date]],'DB Details'!$A:$Q,9))</f>
        <v>67</v>
      </c>
      <c r="J280" s="52">
        <f>IF(VLOOKUP(Table91213[[#This Row],[Date]],'DB Details'!$A:$Q,10)=0,"",VLOOKUP(Table91213[[#This Row],[Date]],'DB Details'!$A:$Q,10))</f>
        <v>31.8</v>
      </c>
      <c r="K280" s="52">
        <f>IF(VLOOKUP(Table91213[[#This Row],[Date]],'DB Details'!$A:$Q,11)=0,"",VLOOKUP(Table91213[[#This Row],[Date]],'DB Details'!$A:$Q,11))</f>
        <v>41.5</v>
      </c>
      <c r="L280" s="50">
        <f>IF(VLOOKUP(Table91213[[#This Row],[Date]],'DB Details'!$A:$Q,12)=0,"",VLOOKUP(Table91213[[#This Row],[Date]],'DB Details'!$A:$Q,12))</f>
        <v>45.4</v>
      </c>
    </row>
    <row r="281" spans="1:12" x14ac:dyDescent="0.2">
      <c r="A281" s="53">
        <v>43983</v>
      </c>
      <c r="B281" s="50">
        <f>IF(VLOOKUP(Table91213[[#This Row],[Date]],'DB Details'!$A:$Q,2)=0,"",VLOOKUP(Table91213[[#This Row],[Date]],'DB Details'!$A:$Q,2))</f>
        <v>61.6</v>
      </c>
      <c r="C281" s="51">
        <f>IF(VLOOKUP(Table91213[[#This Row],[Date]],'DB Details'!$A:$Q,3)=0,"",VLOOKUP(Table91213[[#This Row],[Date]],'DB Details'!$A:$Q,3))</f>
        <v>52.9</v>
      </c>
      <c r="D281" s="51">
        <f>IF(VLOOKUP(Table91213[[#This Row],[Date]],'DB Details'!$A:$Q,4)=0,"",VLOOKUP(Table91213[[#This Row],[Date]],'DB Details'!$A:$Q,4))</f>
        <v>41.9</v>
      </c>
      <c r="E281" s="52">
        <f>IF(VLOOKUP(Table91213[[#This Row],[Date]],'DB Details'!$A:$Q,5)=0,"",VLOOKUP(Table91213[[#This Row],[Date]],'DB Details'!$A:$Q,5))</f>
        <v>62.4</v>
      </c>
      <c r="F281" s="51">
        <f>IF(VLOOKUP(Table91213[[#This Row],[Date]],'DB Details'!$A:$Q,6)=0,"",VLOOKUP(Table91213[[#This Row],[Date]],'DB Details'!$A:$Q,6))</f>
        <v>66</v>
      </c>
      <c r="G281" s="52">
        <f>IF(VLOOKUP(Table91213[[#This Row],[Date]],'DB Details'!$A:$Q,7)=0,"",VLOOKUP(Table91213[[#This Row],[Date]],'DB Details'!$A:$Q,7))</f>
        <v>55.9</v>
      </c>
      <c r="H281" s="52">
        <f>IF(VLOOKUP(Table91213[[#This Row],[Date]],'DB Details'!$A:$Q,8)=0,"",VLOOKUP(Table91213[[#This Row],[Date]],'DB Details'!$A:$Q,8))</f>
        <v>60.7</v>
      </c>
      <c r="I281" s="52">
        <f>IF(VLOOKUP(Table91213[[#This Row],[Date]],'DB Details'!$A:$Q,9)=0,"",VLOOKUP(Table91213[[#This Row],[Date]],'DB Details'!$A:$Q,9))</f>
        <v>57.5</v>
      </c>
      <c r="J281" s="52">
        <f>IF(VLOOKUP(Table91213[[#This Row],[Date]],'DB Details'!$A:$Q,10)=0,"",VLOOKUP(Table91213[[#This Row],[Date]],'DB Details'!$A:$Q,10))</f>
        <v>43.1</v>
      </c>
      <c r="K281" s="52">
        <f>IF(VLOOKUP(Table91213[[#This Row],[Date]],'DB Details'!$A:$Q,11)=0,"",VLOOKUP(Table91213[[#This Row],[Date]],'DB Details'!$A:$Q,11))</f>
        <v>58.9</v>
      </c>
      <c r="L281" s="50">
        <f>IF(VLOOKUP(Table91213[[#This Row],[Date]],'DB Details'!$A:$Q,12)=0,"",VLOOKUP(Table91213[[#This Row],[Date]],'DB Details'!$A:$Q,12))</f>
        <v>57.1</v>
      </c>
    </row>
    <row r="282" spans="1:12" x14ac:dyDescent="0.2">
      <c r="A282" s="53">
        <v>44013</v>
      </c>
      <c r="B282" s="50">
        <f>IF(VLOOKUP(Table91213[[#This Row],[Date]],'DB Details'!$A:$Q,2)=0,"",VLOOKUP(Table91213[[#This Row],[Date]],'DB Details'!$A:$Q,2))</f>
        <v>67.7</v>
      </c>
      <c r="C282" s="51">
        <f>IF(VLOOKUP(Table91213[[#This Row],[Date]],'DB Details'!$A:$Q,3)=0,"",VLOOKUP(Table91213[[#This Row],[Date]],'DB Details'!$A:$Q,3))</f>
        <v>46.3</v>
      </c>
      <c r="D282" s="51">
        <f>IF(VLOOKUP(Table91213[[#This Row],[Date]],'DB Details'!$A:$Q,4)=0,"",VLOOKUP(Table91213[[#This Row],[Date]],'DB Details'!$A:$Q,4))</f>
        <v>55.9</v>
      </c>
      <c r="E282" s="52">
        <f>IF(VLOOKUP(Table91213[[#This Row],[Date]],'DB Details'!$A:$Q,5)=0,"",VLOOKUP(Table91213[[#This Row],[Date]],'DB Details'!$A:$Q,5))</f>
        <v>57.6</v>
      </c>
      <c r="F282" s="51">
        <f>IF(VLOOKUP(Table91213[[#This Row],[Date]],'DB Details'!$A:$Q,6)=0,"",VLOOKUP(Table91213[[#This Row],[Date]],'DB Details'!$A:$Q,6))</f>
        <v>67.2</v>
      </c>
      <c r="G282" s="52">
        <f>IF(VLOOKUP(Table91213[[#This Row],[Date]],'DB Details'!$A:$Q,7)=0,"",VLOOKUP(Table91213[[#This Row],[Date]],'DB Details'!$A:$Q,7))</f>
        <v>50</v>
      </c>
      <c r="H282" s="52">
        <f>IF(VLOOKUP(Table91213[[#This Row],[Date]],'DB Details'!$A:$Q,8)=0,"",VLOOKUP(Table91213[[#This Row],[Date]],'DB Details'!$A:$Q,8))</f>
        <v>52</v>
      </c>
      <c r="I282" s="52">
        <f>IF(VLOOKUP(Table91213[[#This Row],[Date]],'DB Details'!$A:$Q,9)=0,"",VLOOKUP(Table91213[[#This Row],[Date]],'DB Details'!$A:$Q,9))</f>
        <v>55.2</v>
      </c>
      <c r="J282" s="52">
        <f>IF(VLOOKUP(Table91213[[#This Row],[Date]],'DB Details'!$A:$Q,10)=0,"",VLOOKUP(Table91213[[#This Row],[Date]],'DB Details'!$A:$Q,10))</f>
        <v>42.1</v>
      </c>
      <c r="K282" s="52">
        <f>IF(VLOOKUP(Table91213[[#This Row],[Date]],'DB Details'!$A:$Q,11)=0,"",VLOOKUP(Table91213[[#This Row],[Date]],'DB Details'!$A:$Q,11))</f>
        <v>49.3</v>
      </c>
      <c r="L282" s="50">
        <f>IF(VLOOKUP(Table91213[[#This Row],[Date]],'DB Details'!$A:$Q,12)=0,"",VLOOKUP(Table91213[[#This Row],[Date]],'DB Details'!$A:$Q,12))</f>
        <v>58.1</v>
      </c>
    </row>
    <row r="283" spans="1:12" x14ac:dyDescent="0.2">
      <c r="A283" s="53">
        <v>44044</v>
      </c>
      <c r="B283" s="50">
        <f>IF(VLOOKUP(Table91213[[#This Row],[Date]],'DB Details'!$A:$Q,2)=0,"",VLOOKUP(Table91213[[#This Row],[Date]],'DB Details'!$A:$Q,2))</f>
        <v>56.8</v>
      </c>
      <c r="C283" s="51">
        <f>IF(VLOOKUP(Table91213[[#This Row],[Date]],'DB Details'!$A:$Q,3)=0,"",VLOOKUP(Table91213[[#This Row],[Date]],'DB Details'!$A:$Q,3))</f>
        <v>50.8</v>
      </c>
      <c r="D283" s="51">
        <f>IF(VLOOKUP(Table91213[[#This Row],[Date]],'DB Details'!$A:$Q,4)=0,"",VLOOKUP(Table91213[[#This Row],[Date]],'DB Details'!$A:$Q,4))</f>
        <v>56.6</v>
      </c>
      <c r="E283" s="52">
        <f>IF(VLOOKUP(Table91213[[#This Row],[Date]],'DB Details'!$A:$Q,5)=0,"",VLOOKUP(Table91213[[#This Row],[Date]],'DB Details'!$A:$Q,5))</f>
        <v>64.2</v>
      </c>
      <c r="F283" s="51">
        <f>IF(VLOOKUP(Table91213[[#This Row],[Date]],'DB Details'!$A:$Q,6)=0,"",VLOOKUP(Table91213[[#This Row],[Date]],'DB Details'!$A:$Q,6))</f>
        <v>62.4</v>
      </c>
      <c r="G283" s="52">
        <f>IF(VLOOKUP(Table91213[[#This Row],[Date]],'DB Details'!$A:$Q,7)=0,"",VLOOKUP(Table91213[[#This Row],[Date]],'DB Details'!$A:$Q,7))</f>
        <v>52.5</v>
      </c>
      <c r="H283" s="52">
        <f>IF(VLOOKUP(Table91213[[#This Row],[Date]],'DB Details'!$A:$Q,8)=0,"",VLOOKUP(Table91213[[#This Row],[Date]],'DB Details'!$A:$Q,8))</f>
        <v>45.8</v>
      </c>
      <c r="I283" s="52">
        <f>IF(VLOOKUP(Table91213[[#This Row],[Date]],'DB Details'!$A:$Q,9)=0,"",VLOOKUP(Table91213[[#This Row],[Date]],'DB Details'!$A:$Q,9))</f>
        <v>60.5</v>
      </c>
      <c r="J283" s="52">
        <f>IF(VLOOKUP(Table91213[[#This Row],[Date]],'DB Details'!$A:$Q,10)=0,"",VLOOKUP(Table91213[[#This Row],[Date]],'DB Details'!$A:$Q,10))</f>
        <v>47.9</v>
      </c>
      <c r="K283" s="52">
        <f>IF(VLOOKUP(Table91213[[#This Row],[Date]],'DB Details'!$A:$Q,11)=0,"",VLOOKUP(Table91213[[#This Row],[Date]],'DB Details'!$A:$Q,11))</f>
        <v>55.8</v>
      </c>
      <c r="L283" s="50">
        <f>IF(VLOOKUP(Table91213[[#This Row],[Date]],'DB Details'!$A:$Q,12)=0,"",VLOOKUP(Table91213[[#This Row],[Date]],'DB Details'!$A:$Q,12))</f>
        <v>56.9</v>
      </c>
    </row>
    <row r="284" spans="1:12" x14ac:dyDescent="0.2">
      <c r="A284" s="53">
        <v>44075</v>
      </c>
      <c r="B284" s="50">
        <f>IF(VLOOKUP(Table91213[[#This Row],[Date]],'DB Details'!$A:$Q,2)=0,"",VLOOKUP(Table91213[[#This Row],[Date]],'DB Details'!$A:$Q,2))</f>
        <v>61.5</v>
      </c>
      <c r="C284" s="51">
        <f>IF(VLOOKUP(Table91213[[#This Row],[Date]],'DB Details'!$A:$Q,3)=0,"",VLOOKUP(Table91213[[#This Row],[Date]],'DB Details'!$A:$Q,3))</f>
        <v>46.6</v>
      </c>
      <c r="D284" s="51">
        <f>IF(VLOOKUP(Table91213[[#This Row],[Date]],'DB Details'!$A:$Q,4)=0,"",VLOOKUP(Table91213[[#This Row],[Date]],'DB Details'!$A:$Q,4))</f>
        <v>50.1</v>
      </c>
      <c r="E284" s="52">
        <f>IF(VLOOKUP(Table91213[[#This Row],[Date]],'DB Details'!$A:$Q,5)=0,"",VLOOKUP(Table91213[[#This Row],[Date]],'DB Details'!$A:$Q,5))</f>
        <v>59</v>
      </c>
      <c r="F284" s="51">
        <f>IF(VLOOKUP(Table91213[[#This Row],[Date]],'DB Details'!$A:$Q,6)=0,"",VLOOKUP(Table91213[[#This Row],[Date]],'DB Details'!$A:$Q,6))</f>
        <v>63</v>
      </c>
      <c r="G284" s="52">
        <f>IF(VLOOKUP(Table91213[[#This Row],[Date]],'DB Details'!$A:$Q,7)=0,"",VLOOKUP(Table91213[[#This Row],[Date]],'DB Details'!$A:$Q,7))</f>
        <v>55.4</v>
      </c>
      <c r="H284" s="52">
        <f>IF(VLOOKUP(Table91213[[#This Row],[Date]],'DB Details'!$A:$Q,8)=0,"",VLOOKUP(Table91213[[#This Row],[Date]],'DB Details'!$A:$Q,8))</f>
        <v>48.8</v>
      </c>
      <c r="I284" s="52">
        <f>IF(VLOOKUP(Table91213[[#This Row],[Date]],'DB Details'!$A:$Q,9)=0,"",VLOOKUP(Table91213[[#This Row],[Date]],'DB Details'!$A:$Q,9))</f>
        <v>54.9</v>
      </c>
      <c r="J284" s="52">
        <f>IF(VLOOKUP(Table91213[[#This Row],[Date]],'DB Details'!$A:$Q,10)=0,"",VLOOKUP(Table91213[[#This Row],[Date]],'DB Details'!$A:$Q,10))</f>
        <v>51.8</v>
      </c>
      <c r="K284" s="52">
        <f>IF(VLOOKUP(Table91213[[#This Row],[Date]],'DB Details'!$A:$Q,11)=0,"",VLOOKUP(Table91213[[#This Row],[Date]],'DB Details'!$A:$Q,11))</f>
        <v>52.6</v>
      </c>
      <c r="L284" s="50">
        <f>IF(VLOOKUP(Table91213[[#This Row],[Date]],'DB Details'!$A:$Q,12)=0,"",VLOOKUP(Table91213[[#This Row],[Date]],'DB Details'!$A:$Q,12))</f>
        <v>57.8</v>
      </c>
    </row>
    <row r="285" spans="1:12" x14ac:dyDescent="0.2">
      <c r="A285" s="53">
        <v>44105</v>
      </c>
      <c r="B285" s="50">
        <f>IF(VLOOKUP(Table91213[[#This Row],[Date]],'DB Details'!$A:$Q,2)=0,"",VLOOKUP(Table91213[[#This Row],[Date]],'DB Details'!$A:$Q,2))</f>
        <v>58.8</v>
      </c>
      <c r="C285" s="51">
        <f>IF(VLOOKUP(Table91213[[#This Row],[Date]],'DB Details'!$A:$Q,3)=0,"",VLOOKUP(Table91213[[#This Row],[Date]],'DB Details'!$A:$Q,3))</f>
        <v>52.5</v>
      </c>
      <c r="D285" s="51">
        <f>IF(VLOOKUP(Table91213[[#This Row],[Date]],'DB Details'!$A:$Q,4)=0,"",VLOOKUP(Table91213[[#This Row],[Date]],'DB Details'!$A:$Q,4))</f>
        <v>54.4</v>
      </c>
      <c r="E285" s="52">
        <f>IF(VLOOKUP(Table91213[[#This Row],[Date]],'DB Details'!$A:$Q,5)=0,"",VLOOKUP(Table91213[[#This Row],[Date]],'DB Details'!$A:$Q,5))</f>
        <v>63.9</v>
      </c>
      <c r="F285" s="51">
        <f>IF(VLOOKUP(Table91213[[#This Row],[Date]],'DB Details'!$A:$Q,6)=0,"",VLOOKUP(Table91213[[#This Row],[Date]],'DB Details'!$A:$Q,6))</f>
        <v>61.2</v>
      </c>
      <c r="G285" s="52">
        <f>IF(VLOOKUP(Table91213[[#This Row],[Date]],'DB Details'!$A:$Q,7)=0,"",VLOOKUP(Table91213[[#This Row],[Date]],'DB Details'!$A:$Q,7))</f>
        <v>51.1</v>
      </c>
      <c r="H285" s="52">
        <f>IF(VLOOKUP(Table91213[[#This Row],[Date]],'DB Details'!$A:$Q,8)=0,"",VLOOKUP(Table91213[[#This Row],[Date]],'DB Details'!$A:$Q,8))</f>
        <v>53.1</v>
      </c>
      <c r="I285" s="52">
        <f>IF(VLOOKUP(Table91213[[#This Row],[Date]],'DB Details'!$A:$Q,9)=0,"",VLOOKUP(Table91213[[#This Row],[Date]],'DB Details'!$A:$Q,9))</f>
        <v>56.2</v>
      </c>
      <c r="J285" s="52">
        <f>IF(VLOOKUP(Table91213[[#This Row],[Date]],'DB Details'!$A:$Q,10)=0,"",VLOOKUP(Table91213[[#This Row],[Date]],'DB Details'!$A:$Q,10))</f>
        <v>50.1</v>
      </c>
      <c r="K285" s="52">
        <f>IF(VLOOKUP(Table91213[[#This Row],[Date]],'DB Details'!$A:$Q,11)=0,"",VLOOKUP(Table91213[[#This Row],[Date]],'DB Details'!$A:$Q,11))</f>
        <v>53.7</v>
      </c>
      <c r="L285" s="50">
        <f>IF(VLOOKUP(Table91213[[#This Row],[Date]],'DB Details'!$A:$Q,12)=0,"",VLOOKUP(Table91213[[#This Row],[Date]],'DB Details'!$A:$Q,12))</f>
        <v>56.6</v>
      </c>
    </row>
    <row r="286" spans="1:12" x14ac:dyDescent="0.2">
      <c r="A286" s="53">
        <v>44136</v>
      </c>
      <c r="B286" s="50">
        <f>IF(VLOOKUP(Table91213[[#This Row],[Date]],'DB Details'!$A:$Q,2)=0,"",VLOOKUP(Table91213[[#This Row],[Date]],'DB Details'!$A:$Q,2))</f>
        <v>57.2</v>
      </c>
      <c r="C286" s="51">
        <f>IF(VLOOKUP(Table91213[[#This Row],[Date]],'DB Details'!$A:$Q,3)=0,"",VLOOKUP(Table91213[[#This Row],[Date]],'DB Details'!$A:$Q,3))</f>
        <v>55</v>
      </c>
      <c r="D286" s="51">
        <f>IF(VLOOKUP(Table91213[[#This Row],[Date]],'DB Details'!$A:$Q,4)=0,"",VLOOKUP(Table91213[[#This Row],[Date]],'DB Details'!$A:$Q,4))</f>
        <v>50.7</v>
      </c>
      <c r="E286" s="52">
        <f>IF(VLOOKUP(Table91213[[#This Row],[Date]],'DB Details'!$A:$Q,5)=0,"",VLOOKUP(Table91213[[#This Row],[Date]],'DB Details'!$A:$Q,5))</f>
        <v>66.099999999999994</v>
      </c>
      <c r="F286" s="51">
        <f>IF(VLOOKUP(Table91213[[#This Row],[Date]],'DB Details'!$A:$Q,6)=0,"",VLOOKUP(Table91213[[#This Row],[Date]],'DB Details'!$A:$Q,6))</f>
        <v>58</v>
      </c>
      <c r="G286" s="52">
        <f>IF(VLOOKUP(Table91213[[#This Row],[Date]],'DB Details'!$A:$Q,7)=0,"",VLOOKUP(Table91213[[#This Row],[Date]],'DB Details'!$A:$Q,7))</f>
        <v>49.9</v>
      </c>
      <c r="H286" s="52">
        <f>IF(VLOOKUP(Table91213[[#This Row],[Date]],'DB Details'!$A:$Q,8)=0,"",VLOOKUP(Table91213[[#This Row],[Date]],'DB Details'!$A:$Q,8))</f>
        <v>49.3</v>
      </c>
      <c r="I286" s="52">
        <f>IF(VLOOKUP(Table91213[[#This Row],[Date]],'DB Details'!$A:$Q,9)=0,"",VLOOKUP(Table91213[[#This Row],[Date]],'DB Details'!$A:$Q,9))</f>
        <v>57</v>
      </c>
      <c r="J286" s="52">
        <f>IF(VLOOKUP(Table91213[[#This Row],[Date]],'DB Details'!$A:$Q,10)=0,"",VLOOKUP(Table91213[[#This Row],[Date]],'DB Details'!$A:$Q,10))</f>
        <v>51.5</v>
      </c>
      <c r="K286" s="52">
        <f>IF(VLOOKUP(Table91213[[#This Row],[Date]],'DB Details'!$A:$Q,11)=0,"",VLOOKUP(Table91213[[#This Row],[Date]],'DB Details'!$A:$Q,11))</f>
        <v>50.4</v>
      </c>
      <c r="L286" s="50">
        <f>IF(VLOOKUP(Table91213[[#This Row],[Date]],'DB Details'!$A:$Q,12)=0,"",VLOOKUP(Table91213[[#This Row],[Date]],'DB Details'!$A:$Q,12))</f>
        <v>55.9</v>
      </c>
    </row>
    <row r="287" spans="1:12" x14ac:dyDescent="0.2">
      <c r="A287" s="53">
        <v>44166</v>
      </c>
      <c r="B287" s="50">
        <f>IF(VLOOKUP(Table91213[[#This Row],[Date]],'DB Details'!$A:$Q,2)=0,"",VLOOKUP(Table91213[[#This Row],[Date]],'DB Details'!$A:$Q,2))</f>
        <v>58.5</v>
      </c>
      <c r="C287" s="51">
        <f>IF(VLOOKUP(Table91213[[#This Row],[Date]],'DB Details'!$A:$Q,3)=0,"",VLOOKUP(Table91213[[#This Row],[Date]],'DB Details'!$A:$Q,3))</f>
        <v>51.8</v>
      </c>
      <c r="D287" s="51">
        <f>IF(VLOOKUP(Table91213[[#This Row],[Date]],'DB Details'!$A:$Q,4)=0,"",VLOOKUP(Table91213[[#This Row],[Date]],'DB Details'!$A:$Q,4))</f>
        <v>48.7</v>
      </c>
      <c r="E287" s="52">
        <f>IF(VLOOKUP(Table91213[[#This Row],[Date]],'DB Details'!$A:$Q,5)=0,"",VLOOKUP(Table91213[[#This Row],[Date]],'DB Details'!$A:$Q,5))</f>
        <v>64.8</v>
      </c>
      <c r="F287" s="51">
        <f>IF(VLOOKUP(Table91213[[#This Row],[Date]],'DB Details'!$A:$Q,6)=0,"",VLOOKUP(Table91213[[#This Row],[Date]],'DB Details'!$A:$Q,6))</f>
        <v>59.4</v>
      </c>
      <c r="G287" s="52">
        <f>IF(VLOOKUP(Table91213[[#This Row],[Date]],'DB Details'!$A:$Q,7)=0,"",VLOOKUP(Table91213[[#This Row],[Date]],'DB Details'!$A:$Q,7))</f>
        <v>47.7</v>
      </c>
      <c r="H287" s="52">
        <f>IF(VLOOKUP(Table91213[[#This Row],[Date]],'DB Details'!$A:$Q,8)=0,"",VLOOKUP(Table91213[[#This Row],[Date]],'DB Details'!$A:$Q,8))</f>
        <v>58.2</v>
      </c>
      <c r="I287" s="52">
        <f>IF(VLOOKUP(Table91213[[#This Row],[Date]],'DB Details'!$A:$Q,9)=0,"",VLOOKUP(Table91213[[#This Row],[Date]],'DB Details'!$A:$Q,9))</f>
        <v>62.8</v>
      </c>
      <c r="J287" s="52">
        <f>IF(VLOOKUP(Table91213[[#This Row],[Date]],'DB Details'!$A:$Q,10)=0,"",VLOOKUP(Table91213[[#This Row],[Date]],'DB Details'!$A:$Q,10))</f>
        <v>48.2</v>
      </c>
      <c r="K287" s="52">
        <f>IF(VLOOKUP(Table91213[[#This Row],[Date]],'DB Details'!$A:$Q,11)=0,"",VLOOKUP(Table91213[[#This Row],[Date]],'DB Details'!$A:$Q,11))</f>
        <v>57.3</v>
      </c>
      <c r="L287" s="50">
        <f>IF(VLOOKUP(Table91213[[#This Row],[Date]],'DB Details'!$A:$Q,12)=0,"",VLOOKUP(Table91213[[#This Row],[Date]],'DB Details'!$A:$Q,12))</f>
        <v>57.2</v>
      </c>
    </row>
    <row r="288" spans="1:12" x14ac:dyDescent="0.2">
      <c r="A288" s="53">
        <v>44197</v>
      </c>
      <c r="B288" s="50">
        <f>IF(VLOOKUP(Table91213[[#This Row],[Date]],'DB Details'!$A:$Q,2)=0,"",VLOOKUP(Table91213[[#This Row],[Date]],'DB Details'!$A:$Q,2))</f>
        <v>61.8</v>
      </c>
      <c r="C288" s="51">
        <f>IF(VLOOKUP(Table91213[[#This Row],[Date]],'DB Details'!$A:$Q,3)=0,"",VLOOKUP(Table91213[[#This Row],[Date]],'DB Details'!$A:$Q,3))</f>
        <v>53.5</v>
      </c>
      <c r="D288" s="51">
        <f>IF(VLOOKUP(Table91213[[#This Row],[Date]],'DB Details'!$A:$Q,4)=0,"",VLOOKUP(Table91213[[#This Row],[Date]],'DB Details'!$A:$Q,4))</f>
        <v>50.9</v>
      </c>
      <c r="E288" s="52">
        <f>IF(VLOOKUP(Table91213[[#This Row],[Date]],'DB Details'!$A:$Q,5)=0,"",VLOOKUP(Table91213[[#This Row],[Date]],'DB Details'!$A:$Q,5))</f>
        <v>64.2</v>
      </c>
      <c r="F288" s="51">
        <f>IF(VLOOKUP(Table91213[[#This Row],[Date]],'DB Details'!$A:$Q,6)=0,"",VLOOKUP(Table91213[[#This Row],[Date]],'DB Details'!$A:$Q,6))</f>
        <v>59.9</v>
      </c>
      <c r="G288" s="52">
        <f>IF(VLOOKUP(Table91213[[#This Row],[Date]],'DB Details'!$A:$Q,7)=0,"",VLOOKUP(Table91213[[#This Row],[Date]],'DB Details'!$A:$Q,7))</f>
        <v>49.7</v>
      </c>
      <c r="H288" s="52">
        <f>IF(VLOOKUP(Table91213[[#This Row],[Date]],'DB Details'!$A:$Q,8)=0,"",VLOOKUP(Table91213[[#This Row],[Date]],'DB Details'!$A:$Q,8))</f>
        <v>49.2</v>
      </c>
      <c r="I288" s="52">
        <f>IF(VLOOKUP(Table91213[[#This Row],[Date]],'DB Details'!$A:$Q,9)=0,"",VLOOKUP(Table91213[[#This Row],[Date]],'DB Details'!$A:$Q,9))</f>
        <v>57.8</v>
      </c>
      <c r="J288" s="52">
        <f>IF(VLOOKUP(Table91213[[#This Row],[Date]],'DB Details'!$A:$Q,10)=0,"",VLOOKUP(Table91213[[#This Row],[Date]],'DB Details'!$A:$Q,10))</f>
        <v>55.2</v>
      </c>
      <c r="K288" s="52">
        <f>IF(VLOOKUP(Table91213[[#This Row],[Date]],'DB Details'!$A:$Q,11)=0,"",VLOOKUP(Table91213[[#This Row],[Date]],'DB Details'!$A:$Q,11))</f>
        <v>47</v>
      </c>
      <c r="L288" s="50">
        <f>IF(VLOOKUP(Table91213[[#This Row],[Date]],'DB Details'!$A:$Q,12)=0,"",VLOOKUP(Table91213[[#This Row],[Date]],'DB Details'!$A:$Q,12))</f>
        <v>58.7</v>
      </c>
    </row>
    <row r="289" spans="1:12" x14ac:dyDescent="0.2">
      <c r="A289" s="53">
        <v>44228</v>
      </c>
      <c r="B289" s="50">
        <f>IF(VLOOKUP(Table91213[[#This Row],[Date]],'DB Details'!$A:$Q,2)=0,"",VLOOKUP(Table91213[[#This Row],[Date]],'DB Details'!$A:$Q,2))</f>
        <v>51.9</v>
      </c>
      <c r="C289" s="51">
        <f>IF(VLOOKUP(Table91213[[#This Row],[Date]],'DB Details'!$A:$Q,3)=0,"",VLOOKUP(Table91213[[#This Row],[Date]],'DB Details'!$A:$Q,3))</f>
        <v>50.5</v>
      </c>
      <c r="D289" s="51">
        <f>IF(VLOOKUP(Table91213[[#This Row],[Date]],'DB Details'!$A:$Q,4)=0,"",VLOOKUP(Table91213[[#This Row],[Date]],'DB Details'!$A:$Q,4))</f>
        <v>55.2</v>
      </c>
      <c r="E289" s="52">
        <f>IF(VLOOKUP(Table91213[[#This Row],[Date]],'DB Details'!$A:$Q,5)=0,"",VLOOKUP(Table91213[[#This Row],[Date]],'DB Details'!$A:$Q,5))</f>
        <v>71.8</v>
      </c>
      <c r="F289" s="51">
        <f>IF(VLOOKUP(Table91213[[#This Row],[Date]],'DB Details'!$A:$Q,6)=0,"",VLOOKUP(Table91213[[#This Row],[Date]],'DB Details'!$A:$Q,6))</f>
        <v>55.5</v>
      </c>
      <c r="G289" s="52">
        <f>IF(VLOOKUP(Table91213[[#This Row],[Date]],'DB Details'!$A:$Q,7)=0,"",VLOOKUP(Table91213[[#This Row],[Date]],'DB Details'!$A:$Q,7))</f>
        <v>54.3</v>
      </c>
      <c r="H289" s="52">
        <f>IF(VLOOKUP(Table91213[[#This Row],[Date]],'DB Details'!$A:$Q,8)=0,"",VLOOKUP(Table91213[[#This Row],[Date]],'DB Details'!$A:$Q,8))</f>
        <v>58.9</v>
      </c>
      <c r="I289" s="52">
        <f>IF(VLOOKUP(Table91213[[#This Row],[Date]],'DB Details'!$A:$Q,9)=0,"",VLOOKUP(Table91213[[#This Row],[Date]],'DB Details'!$A:$Q,9))</f>
        <v>60.8</v>
      </c>
      <c r="J289" s="52">
        <f>IF(VLOOKUP(Table91213[[#This Row],[Date]],'DB Details'!$A:$Q,10)=0,"",VLOOKUP(Table91213[[#This Row],[Date]],'DB Details'!$A:$Q,10))</f>
        <v>52.7</v>
      </c>
      <c r="K289" s="52">
        <f>IF(VLOOKUP(Table91213[[#This Row],[Date]],'DB Details'!$A:$Q,11)=0,"",VLOOKUP(Table91213[[#This Row],[Date]],'DB Details'!$A:$Q,11))</f>
        <v>57.6</v>
      </c>
      <c r="L289" s="50">
        <f>IF(VLOOKUP(Table91213[[#This Row],[Date]],'DB Details'!$A:$Q,12)=0,"",VLOOKUP(Table91213[[#This Row],[Date]],'DB Details'!$A:$Q,12))</f>
        <v>55.3</v>
      </c>
    </row>
    <row r="290" spans="1:12" x14ac:dyDescent="0.2">
      <c r="A290" s="53">
        <v>44256</v>
      </c>
      <c r="B290" s="50">
        <f>IF(VLOOKUP(Table91213[[#This Row],[Date]],'DB Details'!$A:$Q,2)=0,"",VLOOKUP(Table91213[[#This Row],[Date]],'DB Details'!$A:$Q,2))</f>
        <v>67.2</v>
      </c>
      <c r="C290" s="51">
        <f>IF(VLOOKUP(Table91213[[#This Row],[Date]],'DB Details'!$A:$Q,3)=0,"",VLOOKUP(Table91213[[#This Row],[Date]],'DB Details'!$A:$Q,3))</f>
        <v>74</v>
      </c>
      <c r="D290" s="51">
        <f>IF(VLOOKUP(Table91213[[#This Row],[Date]],'DB Details'!$A:$Q,4)=0,"",VLOOKUP(Table91213[[#This Row],[Date]],'DB Details'!$A:$Q,4))</f>
        <v>50.2</v>
      </c>
      <c r="E290" s="52">
        <f>IF(VLOOKUP(Table91213[[#This Row],[Date]],'DB Details'!$A:$Q,5)=0,"",VLOOKUP(Table91213[[#This Row],[Date]],'DB Details'!$A:$Q,5))</f>
        <v>74</v>
      </c>
      <c r="F290" s="51">
        <f>IF(VLOOKUP(Table91213[[#This Row],[Date]],'DB Details'!$A:$Q,6)=0,"",VLOOKUP(Table91213[[#This Row],[Date]],'DB Details'!$A:$Q,6))</f>
        <v>69.400000000000006</v>
      </c>
      <c r="G290" s="52">
        <f>IF(VLOOKUP(Table91213[[#This Row],[Date]],'DB Details'!$A:$Q,7)=0,"",VLOOKUP(Table91213[[#This Row],[Date]],'DB Details'!$A:$Q,7))</f>
        <v>52.7</v>
      </c>
      <c r="H290" s="52">
        <f>IF(VLOOKUP(Table91213[[#This Row],[Date]],'DB Details'!$A:$Q,8)=0,"",VLOOKUP(Table91213[[#This Row],[Date]],'DB Details'!$A:$Q,8))</f>
        <v>54</v>
      </c>
      <c r="I290" s="52">
        <f>IF(VLOOKUP(Table91213[[#This Row],[Date]],'DB Details'!$A:$Q,9)=0,"",VLOOKUP(Table91213[[#This Row],[Date]],'DB Details'!$A:$Q,9))</f>
        <v>61</v>
      </c>
      <c r="J290" s="52">
        <f>IF(VLOOKUP(Table91213[[#This Row],[Date]],'DB Details'!$A:$Q,10)=0,"",VLOOKUP(Table91213[[#This Row],[Date]],'DB Details'!$A:$Q,10))</f>
        <v>57.2</v>
      </c>
      <c r="K290" s="52">
        <f>IF(VLOOKUP(Table91213[[#This Row],[Date]],'DB Details'!$A:$Q,11)=0,"",VLOOKUP(Table91213[[#This Row],[Date]],'DB Details'!$A:$Q,11))</f>
        <v>55.5</v>
      </c>
      <c r="L290" s="50">
        <f>IF(VLOOKUP(Table91213[[#This Row],[Date]],'DB Details'!$A:$Q,12)=0,"",VLOOKUP(Table91213[[#This Row],[Date]],'DB Details'!$A:$Q,12))</f>
        <v>63.7</v>
      </c>
    </row>
    <row r="291" spans="1:12" x14ac:dyDescent="0.2">
      <c r="A291" s="53">
        <v>44287</v>
      </c>
      <c r="B291" s="50">
        <f>IF(VLOOKUP(Table91213[[#This Row],[Date]],'DB Details'!$A:$Q,2)=0,"",VLOOKUP(Table91213[[#This Row],[Date]],'DB Details'!$A:$Q,2))</f>
        <v>63.2</v>
      </c>
      <c r="C291" s="51">
        <f>IF(VLOOKUP(Table91213[[#This Row],[Date]],'DB Details'!$A:$Q,3)=0,"",VLOOKUP(Table91213[[#This Row],[Date]],'DB Details'!$A:$Q,3))</f>
        <v>55.7</v>
      </c>
      <c r="D291" s="51">
        <f>IF(VLOOKUP(Table91213[[#This Row],[Date]],'DB Details'!$A:$Q,4)=0,"",VLOOKUP(Table91213[[#This Row],[Date]],'DB Details'!$A:$Q,4))</f>
        <v>55.7</v>
      </c>
      <c r="E291" s="52">
        <f>IF(VLOOKUP(Table91213[[#This Row],[Date]],'DB Details'!$A:$Q,5)=0,"",VLOOKUP(Table91213[[#This Row],[Date]],'DB Details'!$A:$Q,5))</f>
        <v>76.8</v>
      </c>
      <c r="F291" s="51">
        <f>IF(VLOOKUP(Table91213[[#This Row],[Date]],'DB Details'!$A:$Q,6)=0,"",VLOOKUP(Table91213[[#This Row],[Date]],'DB Details'!$A:$Q,6))</f>
        <v>62.7</v>
      </c>
      <c r="G291" s="52">
        <f>IF(VLOOKUP(Table91213[[#This Row],[Date]],'DB Details'!$A:$Q,7)=0,"",VLOOKUP(Table91213[[#This Row],[Date]],'DB Details'!$A:$Q,7))</f>
        <v>46.8</v>
      </c>
      <c r="H291" s="52">
        <f>IF(VLOOKUP(Table91213[[#This Row],[Date]],'DB Details'!$A:$Q,8)=0,"",VLOOKUP(Table91213[[#This Row],[Date]],'DB Details'!$A:$Q,8))</f>
        <v>49.1</v>
      </c>
      <c r="I291" s="52">
        <f>IF(VLOOKUP(Table91213[[#This Row],[Date]],'DB Details'!$A:$Q,9)=0,"",VLOOKUP(Table91213[[#This Row],[Date]],'DB Details'!$A:$Q,9))</f>
        <v>66.099999999999994</v>
      </c>
      <c r="J291" s="52">
        <f>IF(VLOOKUP(Table91213[[#This Row],[Date]],'DB Details'!$A:$Q,10)=0,"",VLOOKUP(Table91213[[#This Row],[Date]],'DB Details'!$A:$Q,10))</f>
        <v>58.8</v>
      </c>
      <c r="K291" s="52">
        <f>IF(VLOOKUP(Table91213[[#This Row],[Date]],'DB Details'!$A:$Q,11)=0,"",VLOOKUP(Table91213[[#This Row],[Date]],'DB Details'!$A:$Q,11))</f>
        <v>58.6</v>
      </c>
      <c r="L291" s="50">
        <f>IF(VLOOKUP(Table91213[[#This Row],[Date]],'DB Details'!$A:$Q,12)=0,"",VLOOKUP(Table91213[[#This Row],[Date]],'DB Details'!$A:$Q,12))</f>
        <v>62.7</v>
      </c>
    </row>
    <row r="292" spans="1:12" x14ac:dyDescent="0.2">
      <c r="A292" s="53">
        <v>44317</v>
      </c>
      <c r="B292" s="50">
        <f>IF(VLOOKUP(Table91213[[#This Row],[Date]],'DB Details'!$A:$Q,2)=0,"",VLOOKUP(Table91213[[#This Row],[Date]],'DB Details'!$A:$Q,2))</f>
        <v>63.9</v>
      </c>
      <c r="C292" s="51">
        <f>IF(VLOOKUP(Table91213[[#This Row],[Date]],'DB Details'!$A:$Q,3)=0,"",VLOOKUP(Table91213[[#This Row],[Date]],'DB Details'!$A:$Q,3))</f>
        <v>50.4</v>
      </c>
      <c r="D292" s="51">
        <f>IF(VLOOKUP(Table91213[[#This Row],[Date]],'DB Details'!$A:$Q,4)=0,"",VLOOKUP(Table91213[[#This Row],[Date]],'DB Details'!$A:$Q,4))</f>
        <v>61.1</v>
      </c>
      <c r="E292" s="52">
        <f>IF(VLOOKUP(Table91213[[#This Row],[Date]],'DB Details'!$A:$Q,5)=0,"",VLOOKUP(Table91213[[#This Row],[Date]],'DB Details'!$A:$Q,5))</f>
        <v>80.599999999999994</v>
      </c>
      <c r="F292" s="51">
        <f>IF(VLOOKUP(Table91213[[#This Row],[Date]],'DB Details'!$A:$Q,6)=0,"",VLOOKUP(Table91213[[#This Row],[Date]],'DB Details'!$A:$Q,6))</f>
        <v>66.2</v>
      </c>
      <c r="G292" s="52">
        <f>IF(VLOOKUP(Table91213[[#This Row],[Date]],'DB Details'!$A:$Q,7)=0,"",VLOOKUP(Table91213[[#This Row],[Date]],'DB Details'!$A:$Q,7))</f>
        <v>40.5</v>
      </c>
      <c r="H292" s="52">
        <f>IF(VLOOKUP(Table91213[[#This Row],[Date]],'DB Details'!$A:$Q,8)=0,"",VLOOKUP(Table91213[[#This Row],[Date]],'DB Details'!$A:$Q,8))</f>
        <v>51.5</v>
      </c>
      <c r="I292" s="52">
        <f>IF(VLOOKUP(Table91213[[#This Row],[Date]],'DB Details'!$A:$Q,9)=0,"",VLOOKUP(Table91213[[#This Row],[Date]],'DB Details'!$A:$Q,9))</f>
        <v>70.400000000000006</v>
      </c>
      <c r="J292" s="52">
        <f>IF(VLOOKUP(Table91213[[#This Row],[Date]],'DB Details'!$A:$Q,10)=0,"",VLOOKUP(Table91213[[#This Row],[Date]],'DB Details'!$A:$Q,10))</f>
        <v>55.3</v>
      </c>
      <c r="K292" s="52">
        <f>IF(VLOOKUP(Table91213[[#This Row],[Date]],'DB Details'!$A:$Q,11)=0,"",VLOOKUP(Table91213[[#This Row],[Date]],'DB Details'!$A:$Q,11))</f>
        <v>60</v>
      </c>
      <c r="L292" s="50">
        <f>IF(VLOOKUP(Table91213[[#This Row],[Date]],'DB Details'!$A:$Q,12)=0,"",VLOOKUP(Table91213[[#This Row],[Date]],'DB Details'!$A:$Q,12))</f>
        <v>64</v>
      </c>
    </row>
    <row r="293" spans="1:12" x14ac:dyDescent="0.2">
      <c r="A293" s="53">
        <v>44348</v>
      </c>
      <c r="B293" s="50">
        <f>IF(VLOOKUP(Table91213[[#This Row],[Date]],'DB Details'!$A:$Q,2)=0,"",VLOOKUP(Table91213[[#This Row],[Date]],'DB Details'!$A:$Q,2))</f>
        <v>62.1</v>
      </c>
      <c r="C293" s="51">
        <f>IF(VLOOKUP(Table91213[[#This Row],[Date]],'DB Details'!$A:$Q,3)=0,"",VLOOKUP(Table91213[[#This Row],[Date]],'DB Details'!$A:$Q,3))</f>
        <v>58.2</v>
      </c>
      <c r="D293" s="51">
        <f>IF(VLOOKUP(Table91213[[#This Row],[Date]],'DB Details'!$A:$Q,4)=0,"",VLOOKUP(Table91213[[#This Row],[Date]],'DB Details'!$A:$Q,4))</f>
        <v>65.8</v>
      </c>
      <c r="E293" s="52">
        <f>IF(VLOOKUP(Table91213[[#This Row],[Date]],'DB Details'!$A:$Q,5)=0,"",VLOOKUP(Table91213[[#This Row],[Date]],'DB Details'!$A:$Q,5))</f>
        <v>79.5</v>
      </c>
      <c r="F293" s="51">
        <f>IF(VLOOKUP(Table91213[[#This Row],[Date]],'DB Details'!$A:$Q,6)=0,"",VLOOKUP(Table91213[[#This Row],[Date]],'DB Details'!$A:$Q,6))</f>
        <v>60.4</v>
      </c>
      <c r="G293" s="52">
        <f>IF(VLOOKUP(Table91213[[#This Row],[Date]],'DB Details'!$A:$Q,7)=0,"",VLOOKUP(Table91213[[#This Row],[Date]],'DB Details'!$A:$Q,7))</f>
        <v>37.200000000000003</v>
      </c>
      <c r="H293" s="52">
        <f>IF(VLOOKUP(Table91213[[#This Row],[Date]],'DB Details'!$A:$Q,8)=0,"",VLOOKUP(Table91213[[#This Row],[Date]],'DB Details'!$A:$Q,8))</f>
        <v>49.9</v>
      </c>
      <c r="I293" s="52">
        <f>IF(VLOOKUP(Table91213[[#This Row],[Date]],'DB Details'!$A:$Q,9)=0,"",VLOOKUP(Table91213[[#This Row],[Date]],'DB Details'!$A:$Q,9))</f>
        <v>68.5</v>
      </c>
      <c r="J293" s="52">
        <f>IF(VLOOKUP(Table91213[[#This Row],[Date]],'DB Details'!$A:$Q,10)=0,"",VLOOKUP(Table91213[[#This Row],[Date]],'DB Details'!$A:$Q,10))</f>
        <v>49.3</v>
      </c>
      <c r="K293" s="52">
        <f>IF(VLOOKUP(Table91213[[#This Row],[Date]],'DB Details'!$A:$Q,11)=0,"",VLOOKUP(Table91213[[#This Row],[Date]],'DB Details'!$A:$Q,11))</f>
        <v>50.7</v>
      </c>
      <c r="L293" s="50">
        <f>IF(VLOOKUP(Table91213[[#This Row],[Date]],'DB Details'!$A:$Q,12)=0,"",VLOOKUP(Table91213[[#This Row],[Date]],'DB Details'!$A:$Q,12))</f>
        <v>60.1</v>
      </c>
    </row>
    <row r="294" spans="1:12" x14ac:dyDescent="0.2">
      <c r="A294" s="53">
        <v>44378</v>
      </c>
      <c r="B294" s="50">
        <f>IF(VLOOKUP(Table91213[[#This Row],[Date]],'DB Details'!$A:$Q,2)=0,"",VLOOKUP(Table91213[[#This Row],[Date]],'DB Details'!$A:$Q,2))</f>
        <v>63.7</v>
      </c>
      <c r="C294" s="51">
        <f>IF(VLOOKUP(Table91213[[#This Row],[Date]],'DB Details'!$A:$Q,3)=0,"",VLOOKUP(Table91213[[#This Row],[Date]],'DB Details'!$A:$Q,3))</f>
        <v>51.6</v>
      </c>
      <c r="D294" s="51">
        <f>IF(VLOOKUP(Table91213[[#This Row],[Date]],'DB Details'!$A:$Q,4)=0,"",VLOOKUP(Table91213[[#This Row],[Date]],'DB Details'!$A:$Q,4))</f>
        <v>63.5</v>
      </c>
      <c r="E294" s="52">
        <f>IF(VLOOKUP(Table91213[[#This Row],[Date]],'DB Details'!$A:$Q,5)=0,"",VLOOKUP(Table91213[[#This Row],[Date]],'DB Details'!$A:$Q,5))</f>
        <v>82.3</v>
      </c>
      <c r="F294" s="51">
        <f>IF(VLOOKUP(Table91213[[#This Row],[Date]],'DB Details'!$A:$Q,6)=0,"",VLOOKUP(Table91213[[#This Row],[Date]],'DB Details'!$A:$Q,6))</f>
        <v>67</v>
      </c>
      <c r="G294" s="52">
        <f>IF(VLOOKUP(Table91213[[#This Row],[Date]],'DB Details'!$A:$Q,7)=0,"",VLOOKUP(Table91213[[#This Row],[Date]],'DB Details'!$A:$Q,7))</f>
        <v>40.299999999999997</v>
      </c>
      <c r="H294" s="52">
        <f>IF(VLOOKUP(Table91213[[#This Row],[Date]],'DB Details'!$A:$Q,8)=0,"",VLOOKUP(Table91213[[#This Row],[Date]],'DB Details'!$A:$Q,8))</f>
        <v>49.2</v>
      </c>
      <c r="I294" s="52">
        <f>IF(VLOOKUP(Table91213[[#This Row],[Date]],'DB Details'!$A:$Q,9)=0,"",VLOOKUP(Table91213[[#This Row],[Date]],'DB Details'!$A:$Q,9))</f>
        <v>72</v>
      </c>
      <c r="J294" s="52">
        <f>IF(VLOOKUP(Table91213[[#This Row],[Date]],'DB Details'!$A:$Q,10)=0,"",VLOOKUP(Table91213[[#This Row],[Date]],'DB Details'!$A:$Q,10))</f>
        <v>53.8</v>
      </c>
      <c r="K294" s="52">
        <f>IF(VLOOKUP(Table91213[[#This Row],[Date]],'DB Details'!$A:$Q,11)=0,"",VLOOKUP(Table91213[[#This Row],[Date]],'DB Details'!$A:$Q,11))</f>
        <v>65.8</v>
      </c>
      <c r="L294" s="50">
        <f>IF(VLOOKUP(Table91213[[#This Row],[Date]],'DB Details'!$A:$Q,12)=0,"",VLOOKUP(Table91213[[#This Row],[Date]],'DB Details'!$A:$Q,12))</f>
        <v>64.099999999999994</v>
      </c>
    </row>
    <row r="295" spans="1:12" x14ac:dyDescent="0.2">
      <c r="A295" s="53">
        <v>44409</v>
      </c>
      <c r="B295" s="50">
        <f>IF(VLOOKUP(Table91213[[#This Row],[Date]],'DB Details'!$A:$Q,2)=0,"",VLOOKUP(Table91213[[#This Row],[Date]],'DB Details'!$A:$Q,2))</f>
        <v>63.2</v>
      </c>
      <c r="C295" s="51">
        <f>IF(VLOOKUP(Table91213[[#This Row],[Date]],'DB Details'!$A:$Q,3)=0,"",VLOOKUP(Table91213[[#This Row],[Date]],'DB Details'!$A:$Q,3))</f>
        <v>48.7</v>
      </c>
      <c r="D295" s="51">
        <f>IF(VLOOKUP(Table91213[[#This Row],[Date]],'DB Details'!$A:$Q,4)=0,"",VLOOKUP(Table91213[[#This Row],[Date]],'DB Details'!$A:$Q,4))</f>
        <v>61.3</v>
      </c>
      <c r="E295" s="52">
        <f>IF(VLOOKUP(Table91213[[#This Row],[Date]],'DB Details'!$A:$Q,5)=0,"",VLOOKUP(Table91213[[#This Row],[Date]],'DB Details'!$A:$Q,5))</f>
        <v>75.400000000000006</v>
      </c>
      <c r="F295" s="51">
        <f>IF(VLOOKUP(Table91213[[#This Row],[Date]],'DB Details'!$A:$Q,6)=0,"",VLOOKUP(Table91213[[#This Row],[Date]],'DB Details'!$A:$Q,6))</f>
        <v>60.1</v>
      </c>
      <c r="G295" s="52">
        <f>IF(VLOOKUP(Table91213[[#This Row],[Date]],'DB Details'!$A:$Q,7)=0,"",VLOOKUP(Table91213[[#This Row],[Date]],'DB Details'!$A:$Q,7))</f>
        <v>41.4</v>
      </c>
      <c r="H295" s="52">
        <f>IF(VLOOKUP(Table91213[[#This Row],[Date]],'DB Details'!$A:$Q,8)=0,"",VLOOKUP(Table91213[[#This Row],[Date]],'DB Details'!$A:$Q,8))</f>
        <v>46.9</v>
      </c>
      <c r="I295" s="52">
        <f>IF(VLOOKUP(Table91213[[#This Row],[Date]],'DB Details'!$A:$Q,9)=0,"",VLOOKUP(Table91213[[#This Row],[Date]],'DB Details'!$A:$Q,9))</f>
        <v>69.599999999999994</v>
      </c>
      <c r="J295" s="52">
        <f>IF(VLOOKUP(Table91213[[#This Row],[Date]],'DB Details'!$A:$Q,10)=0,"",VLOOKUP(Table91213[[#This Row],[Date]],'DB Details'!$A:$Q,10))</f>
        <v>53.7</v>
      </c>
      <c r="K295" s="52">
        <f>IF(VLOOKUP(Table91213[[#This Row],[Date]],'DB Details'!$A:$Q,11)=0,"",VLOOKUP(Table91213[[#This Row],[Date]],'DB Details'!$A:$Q,11))</f>
        <v>60.6</v>
      </c>
      <c r="L295" s="50">
        <f>IF(VLOOKUP(Table91213[[#This Row],[Date]],'DB Details'!$A:$Q,12)=0,"",VLOOKUP(Table91213[[#This Row],[Date]],'DB Details'!$A:$Q,12))</f>
        <v>61.7</v>
      </c>
    </row>
    <row r="296" spans="1:12" x14ac:dyDescent="0.2">
      <c r="A296" s="53">
        <v>44440</v>
      </c>
      <c r="B296" s="50">
        <f>IF(VLOOKUP(Table91213[[#This Row],[Date]],'DB Details'!$A:$Q,2)=0,"",VLOOKUP(Table91213[[#This Row],[Date]],'DB Details'!$A:$Q,2))</f>
        <v>63.5</v>
      </c>
      <c r="C296" s="51">
        <f>IF(VLOOKUP(Table91213[[#This Row],[Date]],'DB Details'!$A:$Q,3)=0,"",VLOOKUP(Table91213[[#This Row],[Date]],'DB Details'!$A:$Q,3))</f>
        <v>47.7</v>
      </c>
      <c r="D296" s="51">
        <f>IF(VLOOKUP(Table91213[[#This Row],[Date]],'DB Details'!$A:$Q,4)=0,"",VLOOKUP(Table91213[[#This Row],[Date]],'DB Details'!$A:$Q,4))</f>
        <v>61.9</v>
      </c>
      <c r="E296" s="52">
        <f>IF(VLOOKUP(Table91213[[#This Row],[Date]],'DB Details'!$A:$Q,5)=0,"",VLOOKUP(Table91213[[#This Row],[Date]],'DB Details'!$A:$Q,5))</f>
        <v>77.5</v>
      </c>
      <c r="F296" s="51">
        <f>IF(VLOOKUP(Table91213[[#This Row],[Date]],'DB Details'!$A:$Q,6)=0,"",VLOOKUP(Table91213[[#This Row],[Date]],'DB Details'!$A:$Q,6))</f>
        <v>62.3</v>
      </c>
      <c r="G296" s="52">
        <f>IF(VLOOKUP(Table91213[[#This Row],[Date]],'DB Details'!$A:$Q,7)=0,"",VLOOKUP(Table91213[[#This Row],[Date]],'DB Details'!$A:$Q,7))</f>
        <v>46.3</v>
      </c>
      <c r="H296" s="52">
        <f>IF(VLOOKUP(Table91213[[#This Row],[Date]],'DB Details'!$A:$Q,8)=0,"",VLOOKUP(Table91213[[#This Row],[Date]],'DB Details'!$A:$Q,8))</f>
        <v>46.1</v>
      </c>
      <c r="I296" s="52">
        <f>IF(VLOOKUP(Table91213[[#This Row],[Date]],'DB Details'!$A:$Q,9)=0,"",VLOOKUP(Table91213[[#This Row],[Date]],'DB Details'!$A:$Q,9))</f>
        <v>68.8</v>
      </c>
      <c r="J296" s="52">
        <f>IF(VLOOKUP(Table91213[[#This Row],[Date]],'DB Details'!$A:$Q,10)=0,"",VLOOKUP(Table91213[[#This Row],[Date]],'DB Details'!$A:$Q,10))</f>
        <v>53</v>
      </c>
      <c r="K296" s="52">
        <f>IF(VLOOKUP(Table91213[[#This Row],[Date]],'DB Details'!$A:$Q,11)=0,"",VLOOKUP(Table91213[[#This Row],[Date]],'DB Details'!$A:$Q,11))</f>
        <v>59.5</v>
      </c>
      <c r="L296" s="50">
        <f>IF(VLOOKUP(Table91213[[#This Row],[Date]],'DB Details'!$A:$Q,12)=0,"",VLOOKUP(Table91213[[#This Row],[Date]],'DB Details'!$A:$Q,12))</f>
        <v>61.9</v>
      </c>
    </row>
    <row r="297" spans="1:12" x14ac:dyDescent="0.2">
      <c r="A297" s="53">
        <v>44470</v>
      </c>
      <c r="B297" s="50">
        <f>IF(VLOOKUP(Table91213[[#This Row],[Date]],'DB Details'!$A:$Q,2)=0,"",VLOOKUP(Table91213[[#This Row],[Date]],'DB Details'!$A:$Q,2))</f>
        <v>69.7</v>
      </c>
      <c r="C297" s="51">
        <f>IF(VLOOKUP(Table91213[[#This Row],[Date]],'DB Details'!$A:$Q,3)=0,"",VLOOKUP(Table91213[[#This Row],[Date]],'DB Details'!$A:$Q,3))</f>
        <v>53.3</v>
      </c>
      <c r="D297" s="51">
        <f>IF(VLOOKUP(Table91213[[#This Row],[Date]],'DB Details'!$A:$Q,4)=0,"",VLOOKUP(Table91213[[#This Row],[Date]],'DB Details'!$A:$Q,4))</f>
        <v>67.3</v>
      </c>
      <c r="E297" s="52">
        <f>IF(VLOOKUP(Table91213[[#This Row],[Date]],'DB Details'!$A:$Q,5)=0,"",VLOOKUP(Table91213[[#This Row],[Date]],'DB Details'!$A:$Q,5))</f>
        <v>82.9</v>
      </c>
      <c r="F297" s="51">
        <f>IF(VLOOKUP(Table91213[[#This Row],[Date]],'DB Details'!$A:$Q,6)=0,"",VLOOKUP(Table91213[[#This Row],[Date]],'DB Details'!$A:$Q,6))</f>
        <v>69.8</v>
      </c>
      <c r="G297" s="52">
        <f>IF(VLOOKUP(Table91213[[#This Row],[Date]],'DB Details'!$A:$Q,7)=0,"",VLOOKUP(Table91213[[#This Row],[Date]],'DB Details'!$A:$Q,7))</f>
        <v>37.299999999999997</v>
      </c>
      <c r="H297" s="52">
        <f>IF(VLOOKUP(Table91213[[#This Row],[Date]],'DB Details'!$A:$Q,8)=0,"",VLOOKUP(Table91213[[#This Row],[Date]],'DB Details'!$A:$Q,8))</f>
        <v>42.2</v>
      </c>
      <c r="I297" s="52">
        <f>IF(VLOOKUP(Table91213[[#This Row],[Date]],'DB Details'!$A:$Q,9)=0,"",VLOOKUP(Table91213[[#This Row],[Date]],'DB Details'!$A:$Q,9))</f>
        <v>75.7</v>
      </c>
      <c r="J297" s="52">
        <f>IF(VLOOKUP(Table91213[[#This Row],[Date]],'DB Details'!$A:$Q,10)=0,"",VLOOKUP(Table91213[[#This Row],[Date]],'DB Details'!$A:$Q,10))</f>
        <v>51.6</v>
      </c>
      <c r="K297" s="52">
        <f>IF(VLOOKUP(Table91213[[#This Row],[Date]],'DB Details'!$A:$Q,11)=0,"",VLOOKUP(Table91213[[#This Row],[Date]],'DB Details'!$A:$Q,11))</f>
        <v>62.3</v>
      </c>
      <c r="L297" s="50">
        <f>IF(VLOOKUP(Table91213[[#This Row],[Date]],'DB Details'!$A:$Q,12)=0,"",VLOOKUP(Table91213[[#This Row],[Date]],'DB Details'!$A:$Q,12))</f>
        <v>66.7</v>
      </c>
    </row>
    <row r="298" spans="1:12" x14ac:dyDescent="0.2">
      <c r="A298" s="53">
        <v>44501</v>
      </c>
      <c r="B298" s="50">
        <f>IF(VLOOKUP(Table91213[[#This Row],[Date]],'DB Details'!$A:$Q,2)=0,"",VLOOKUP(Table91213[[#This Row],[Date]],'DB Details'!$A:$Q,2))</f>
        <v>69.7</v>
      </c>
      <c r="C298" s="51">
        <f>IF(VLOOKUP(Table91213[[#This Row],[Date]],'DB Details'!$A:$Q,3)=0,"",VLOOKUP(Table91213[[#This Row],[Date]],'DB Details'!$A:$Q,3))</f>
        <v>50.5</v>
      </c>
      <c r="D298" s="51">
        <f>IF(VLOOKUP(Table91213[[#This Row],[Date]],'DB Details'!$A:$Q,4)=0,"",VLOOKUP(Table91213[[#This Row],[Date]],'DB Details'!$A:$Q,4))</f>
        <v>65.900000000000006</v>
      </c>
      <c r="E298" s="52">
        <f>IF(VLOOKUP(Table91213[[#This Row],[Date]],'DB Details'!$A:$Q,5)=0,"",VLOOKUP(Table91213[[#This Row],[Date]],'DB Details'!$A:$Q,5))</f>
        <v>82.3</v>
      </c>
      <c r="F298" s="51">
        <f>IF(VLOOKUP(Table91213[[#This Row],[Date]],'DB Details'!$A:$Q,6)=0,"",VLOOKUP(Table91213[[#This Row],[Date]],'DB Details'!$A:$Q,6))</f>
        <v>74.599999999999994</v>
      </c>
      <c r="G298" s="52">
        <f>IF(VLOOKUP(Table91213[[#This Row],[Date]],'DB Details'!$A:$Q,7)=0,"",VLOOKUP(Table91213[[#This Row],[Date]],'DB Details'!$A:$Q,7))</f>
        <v>36.4</v>
      </c>
      <c r="H298" s="52">
        <f>IF(VLOOKUP(Table91213[[#This Row],[Date]],'DB Details'!$A:$Q,8)=0,"",VLOOKUP(Table91213[[#This Row],[Date]],'DB Details'!$A:$Q,8))</f>
        <v>48.2</v>
      </c>
      <c r="I298" s="52">
        <f>IF(VLOOKUP(Table91213[[#This Row],[Date]],'DB Details'!$A:$Q,9)=0,"",VLOOKUP(Table91213[[#This Row],[Date]],'DB Details'!$A:$Q,9))</f>
        <v>75.7</v>
      </c>
      <c r="J298" s="52">
        <f>IF(VLOOKUP(Table91213[[#This Row],[Date]],'DB Details'!$A:$Q,10)=0,"",VLOOKUP(Table91213[[#This Row],[Date]],'DB Details'!$A:$Q,10))</f>
        <v>56.5</v>
      </c>
      <c r="K298" s="52">
        <f>IF(VLOOKUP(Table91213[[#This Row],[Date]],'DB Details'!$A:$Q,11)=0,"",VLOOKUP(Table91213[[#This Row],[Date]],'DB Details'!$A:$Q,11))</f>
        <v>57.9</v>
      </c>
      <c r="L298" s="50">
        <f>IF(VLOOKUP(Table91213[[#This Row],[Date]],'DB Details'!$A:$Q,12)=0,"",VLOOKUP(Table91213[[#This Row],[Date]],'DB Details'!$A:$Q,12))</f>
        <v>69.099999999999994</v>
      </c>
    </row>
    <row r="299" spans="1:12" x14ac:dyDescent="0.2">
      <c r="A299" s="53">
        <v>44531</v>
      </c>
      <c r="B299" s="50">
        <f>IF(VLOOKUP(Table91213[[#This Row],[Date]],'DB Details'!$A:$Q,2)=0,"",VLOOKUP(Table91213[[#This Row],[Date]],'DB Details'!$A:$Q,2))</f>
        <v>61.5</v>
      </c>
      <c r="C299" s="51">
        <f>IF(VLOOKUP(Table91213[[#This Row],[Date]],'DB Details'!$A:$Q,3)=0,"",VLOOKUP(Table91213[[#This Row],[Date]],'DB Details'!$A:$Q,3))</f>
        <v>55.5</v>
      </c>
      <c r="D299" s="51">
        <f>IF(VLOOKUP(Table91213[[#This Row],[Date]],'DB Details'!$A:$Q,4)=0,"",VLOOKUP(Table91213[[#This Row],[Date]],'DB Details'!$A:$Q,4))</f>
        <v>62.3</v>
      </c>
      <c r="E299" s="52">
        <f>IF(VLOOKUP(Table91213[[#This Row],[Date]],'DB Details'!$A:$Q,5)=0,"",VLOOKUP(Table91213[[#This Row],[Date]],'DB Details'!$A:$Q,5))</f>
        <v>82.5</v>
      </c>
      <c r="F299" s="51">
        <f>IF(VLOOKUP(Table91213[[#This Row],[Date]],'DB Details'!$A:$Q,6)=0,"",VLOOKUP(Table91213[[#This Row],[Date]],'DB Details'!$A:$Q,6))</f>
        <v>67.599999999999994</v>
      </c>
      <c r="G299" s="52">
        <f>IF(VLOOKUP(Table91213[[#This Row],[Date]],'DB Details'!$A:$Q,7)=0,"",VLOOKUP(Table91213[[#This Row],[Date]],'DB Details'!$A:$Q,7))</f>
        <v>38.299999999999997</v>
      </c>
      <c r="H299" s="52">
        <f>IF(VLOOKUP(Table91213[[#This Row],[Date]],'DB Details'!$A:$Q,8)=0,"",VLOOKUP(Table91213[[#This Row],[Date]],'DB Details'!$A:$Q,8))</f>
        <v>46.7</v>
      </c>
      <c r="I299" s="52">
        <f>IF(VLOOKUP(Table91213[[#This Row],[Date]],'DB Details'!$A:$Q,9)=0,"",VLOOKUP(Table91213[[#This Row],[Date]],'DB Details'!$A:$Q,9))</f>
        <v>63.9</v>
      </c>
      <c r="J299" s="52">
        <f>IF(VLOOKUP(Table91213[[#This Row],[Date]],'DB Details'!$A:$Q,10)=0,"",VLOOKUP(Table91213[[#This Row],[Date]],'DB Details'!$A:$Q,10))</f>
        <v>54.9</v>
      </c>
      <c r="K299" s="52">
        <f>IF(VLOOKUP(Table91213[[#This Row],[Date]],'DB Details'!$A:$Q,11)=0,"",VLOOKUP(Table91213[[#This Row],[Date]],'DB Details'!$A:$Q,11))</f>
        <v>61.5</v>
      </c>
      <c r="L299" s="50">
        <f>IF(VLOOKUP(Table91213[[#This Row],[Date]],'DB Details'!$A:$Q,12)=0,"",VLOOKUP(Table91213[[#This Row],[Date]],'DB Details'!$A:$Q,12))</f>
        <v>62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50" zoomScaleNormal="150" workbookViewId="0">
      <selection activeCell="U77" sqref="U77"/>
    </sheetView>
  </sheetViews>
  <sheetFormatPr baseColWidth="10" defaultColWidth="9.1640625" defaultRowHeight="15" x14ac:dyDescent="0.2"/>
  <cols>
    <col min="1" max="10" width="9.1640625" style="66" customWidth="1"/>
    <col min="11" max="16384" width="9.1640625" style="66"/>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299"/>
  <sheetViews>
    <sheetView zoomScale="170" zoomScaleNormal="170" workbookViewId="0">
      <pane ySplit="5" topLeftCell="A262" activePane="bottomLeft" state="frozen"/>
      <selection activeCell="F274" sqref="F274"/>
      <selection pane="bottomLeft" activeCell="D299" sqref="D299"/>
    </sheetView>
  </sheetViews>
  <sheetFormatPr baseColWidth="10" defaultColWidth="9.1640625" defaultRowHeight="15" x14ac:dyDescent="0.2"/>
  <cols>
    <col min="1" max="1" width="12.33203125" style="66" customWidth="1"/>
    <col min="2" max="5" width="14.6640625" style="66" customWidth="1"/>
    <col min="6" max="15" width="9.1640625" style="66" customWidth="1"/>
    <col min="16" max="16384" width="9.1640625" style="66"/>
  </cols>
  <sheetData>
    <row r="1" spans="1:5" x14ac:dyDescent="0.2">
      <c r="A1" s="28" t="s">
        <v>77</v>
      </c>
    </row>
    <row r="2" spans="1:5" ht="3.75" customHeight="1" x14ac:dyDescent="0.2"/>
    <row r="3" spans="1:5" ht="3.75" customHeight="1" x14ac:dyDescent="0.2"/>
    <row r="4" spans="1:5" ht="16" customHeight="1" thickBot="1" x14ac:dyDescent="0.25"/>
    <row r="5" spans="1:5" ht="25" customHeight="1" thickBot="1" x14ac:dyDescent="0.25">
      <c r="A5" s="55" t="s">
        <v>76</v>
      </c>
      <c r="B5" s="56" t="s">
        <v>0</v>
      </c>
      <c r="C5" s="57" t="s">
        <v>78</v>
      </c>
      <c r="D5" s="58" t="s">
        <v>79</v>
      </c>
      <c r="E5" s="59" t="s">
        <v>80</v>
      </c>
    </row>
    <row r="6" spans="1:5" x14ac:dyDescent="0.2">
      <c r="A6" s="60">
        <v>35612</v>
      </c>
      <c r="B6" s="50">
        <f>IF(VLOOKUP(Table311[[#This Row],[Date]],'DB Details'!$A:$Q,12)=0,"",VLOOKUP(Table311[[#This Row],[Date]],'DB Details'!$A:$Q,12))</f>
        <v>56.7</v>
      </c>
      <c r="C6" s="61">
        <f>IF(VLOOKUP(Table311[[#This Row],[Date]],'DB Details'!$A:$Q,16)=0,"",VLOOKUP(Table311[[#This Row],[Date]],'DB Details'!$A:$Q,16))</f>
        <v>4.6738025753933231E-2</v>
      </c>
      <c r="D6" s="61">
        <f>IF(VLOOKUP(Table311[[#This Row],[Date]],'DB Details'!$A:$Q,15)=0,"",VLOOKUP(Table311[[#This Row],[Date]],'DB Details'!$A:$Q,15))</f>
        <v>1.2507785733139491E-2</v>
      </c>
      <c r="E6" s="61">
        <f>IF(VLOOKUP(Table311[[#This Row],[Date]],'DB Details'!$A:$Q,17)=0,"",VLOOKUP(Table311[[#This Row],[Date]],'DB Details'!$A:$Q,17))</f>
        <v>5.0977662738524332E-2</v>
      </c>
    </row>
    <row r="7" spans="1:5" x14ac:dyDescent="0.2">
      <c r="A7" s="60">
        <v>35643</v>
      </c>
      <c r="B7" s="50">
        <f>IF(VLOOKUP(Table311[[#This Row],[Date]],'DB Details'!$A:$Q,12)=0,"",VLOOKUP(Table311[[#This Row],[Date]],'DB Details'!$A:$Q,12))</f>
        <v>62</v>
      </c>
      <c r="C7" s="61">
        <f>IF(VLOOKUP(Table311[[#This Row],[Date]],'DB Details'!$A:$Q,16)=0,"",VLOOKUP(Table311[[#This Row],[Date]],'DB Details'!$A:$Q,16))</f>
        <v>4.6738025753933231E-2</v>
      </c>
      <c r="D7" s="61">
        <f>IF(VLOOKUP(Table311[[#This Row],[Date]],'DB Details'!$A:$Q,15)=0,"",VLOOKUP(Table311[[#This Row],[Date]],'DB Details'!$A:$Q,15))</f>
        <v>1.2507785733139491E-2</v>
      </c>
      <c r="E7" s="61">
        <f>IF(VLOOKUP(Table311[[#This Row],[Date]],'DB Details'!$A:$Q,17)=0,"",VLOOKUP(Table311[[#This Row],[Date]],'DB Details'!$A:$Q,17))</f>
        <v>5.0977662738524332E-2</v>
      </c>
    </row>
    <row r="8" spans="1:5" x14ac:dyDescent="0.2">
      <c r="A8" s="60">
        <v>35674</v>
      </c>
      <c r="B8" s="50">
        <f>IF(VLOOKUP(Table311[[#This Row],[Date]],'DB Details'!$A:$Q,12)=0,"",VLOOKUP(Table311[[#This Row],[Date]],'DB Details'!$A:$Q,12))</f>
        <v>56.2</v>
      </c>
      <c r="C8" s="61">
        <f>IF(VLOOKUP(Table311[[#This Row],[Date]],'DB Details'!$A:$Q,16)=0,"",VLOOKUP(Table311[[#This Row],[Date]],'DB Details'!$A:$Q,16))</f>
        <v>4.6738025753933231E-2</v>
      </c>
      <c r="D8" s="61">
        <f>IF(VLOOKUP(Table311[[#This Row],[Date]],'DB Details'!$A:$Q,15)=0,"",VLOOKUP(Table311[[#This Row],[Date]],'DB Details'!$A:$Q,15))</f>
        <v>1.2507785733139491E-2</v>
      </c>
      <c r="E8" s="61">
        <f>IF(VLOOKUP(Table311[[#This Row],[Date]],'DB Details'!$A:$Q,17)=0,"",VLOOKUP(Table311[[#This Row],[Date]],'DB Details'!$A:$Q,17))</f>
        <v>5.0977662738524332E-2</v>
      </c>
    </row>
    <row r="9" spans="1:5" x14ac:dyDescent="0.2">
      <c r="A9" s="60">
        <v>35704</v>
      </c>
      <c r="B9" s="50">
        <f>IF(VLOOKUP(Table311[[#This Row],[Date]],'DB Details'!$A:$Q,12)=0,"",VLOOKUP(Table311[[#This Row],[Date]],'DB Details'!$A:$Q,12))</f>
        <v>56.6</v>
      </c>
      <c r="C9" s="61">
        <f>IF(VLOOKUP(Table311[[#This Row],[Date]],'DB Details'!$A:$Q,16)=0,"",VLOOKUP(Table311[[#This Row],[Date]],'DB Details'!$A:$Q,16))</f>
        <v>4.4876844577145122E-2</v>
      </c>
      <c r="D9" s="61">
        <f>IF(VLOOKUP(Table311[[#This Row],[Date]],'DB Details'!$A:$Q,15)=0,"",VLOOKUP(Table311[[#This Row],[Date]],'DB Details'!$A:$Q,15))</f>
        <v>8.5874356260664548E-3</v>
      </c>
      <c r="E9" s="61">
        <f>IF(VLOOKUP(Table311[[#This Row],[Date]],'DB Details'!$A:$Q,17)=0,"",VLOOKUP(Table311[[#This Row],[Date]],'DB Details'!$A:$Q,17))</f>
        <v>3.4794745335392292E-2</v>
      </c>
    </row>
    <row r="10" spans="1:5" x14ac:dyDescent="0.2">
      <c r="A10" s="60">
        <v>35735</v>
      </c>
      <c r="B10" s="50">
        <f>IF(VLOOKUP(Table311[[#This Row],[Date]],'DB Details'!$A:$Q,12)=0,"",VLOOKUP(Table311[[#This Row],[Date]],'DB Details'!$A:$Q,12))</f>
        <v>58.5</v>
      </c>
      <c r="C10" s="61">
        <f>IF(VLOOKUP(Table311[[#This Row],[Date]],'DB Details'!$A:$Q,16)=0,"",VLOOKUP(Table311[[#This Row],[Date]],'DB Details'!$A:$Q,16))</f>
        <v>4.4876844577145122E-2</v>
      </c>
      <c r="D10" s="61">
        <f>IF(VLOOKUP(Table311[[#This Row],[Date]],'DB Details'!$A:$Q,15)=0,"",VLOOKUP(Table311[[#This Row],[Date]],'DB Details'!$A:$Q,15))</f>
        <v>8.5874356260664548E-3</v>
      </c>
      <c r="E10" s="61">
        <f>IF(VLOOKUP(Table311[[#This Row],[Date]],'DB Details'!$A:$Q,17)=0,"",VLOOKUP(Table311[[#This Row],[Date]],'DB Details'!$A:$Q,17))</f>
        <v>3.4794745335392292E-2</v>
      </c>
    </row>
    <row r="11" spans="1:5" x14ac:dyDescent="0.2">
      <c r="A11" s="60">
        <v>35765</v>
      </c>
      <c r="B11" s="50">
        <f>IF(VLOOKUP(Table311[[#This Row],[Date]],'DB Details'!$A:$Q,12)=0,"",VLOOKUP(Table311[[#This Row],[Date]],'DB Details'!$A:$Q,12))</f>
        <v>55.5</v>
      </c>
      <c r="C11" s="61">
        <f>IF(VLOOKUP(Table311[[#This Row],[Date]],'DB Details'!$A:$Q,16)=0,"",VLOOKUP(Table311[[#This Row],[Date]],'DB Details'!$A:$Q,16))</f>
        <v>4.4876844577145122E-2</v>
      </c>
      <c r="D11" s="61">
        <f>IF(VLOOKUP(Table311[[#This Row],[Date]],'DB Details'!$A:$Q,15)=0,"",VLOOKUP(Table311[[#This Row],[Date]],'DB Details'!$A:$Q,15))</f>
        <v>8.5874356260664548E-3</v>
      </c>
      <c r="E11" s="61">
        <f>IF(VLOOKUP(Table311[[#This Row],[Date]],'DB Details'!$A:$Q,17)=0,"",VLOOKUP(Table311[[#This Row],[Date]],'DB Details'!$A:$Q,17))</f>
        <v>3.4794745335392292E-2</v>
      </c>
    </row>
    <row r="12" spans="1:5" x14ac:dyDescent="0.2">
      <c r="A12" s="60">
        <v>35796</v>
      </c>
      <c r="B12" s="50">
        <f>IF(VLOOKUP(Table311[[#This Row],[Date]],'DB Details'!$A:$Q,12)=0,"",VLOOKUP(Table311[[#This Row],[Date]],'DB Details'!$A:$Q,12))</f>
        <v>57</v>
      </c>
      <c r="C12" s="61">
        <f>IF(VLOOKUP(Table311[[#This Row],[Date]],'DB Details'!$A:$Q,16)=0,"",VLOOKUP(Table311[[#This Row],[Date]],'DB Details'!$A:$Q,16))</f>
        <v>4.8550058826576883E-2</v>
      </c>
      <c r="D12" s="61">
        <f>IF(VLOOKUP(Table311[[#This Row],[Date]],'DB Details'!$A:$Q,15)=0,"",VLOOKUP(Table311[[#This Row],[Date]],'DB Details'!$A:$Q,15))</f>
        <v>9.9937540103740806E-3</v>
      </c>
      <c r="E12" s="61">
        <f>IF(VLOOKUP(Table311[[#This Row],[Date]],'DB Details'!$A:$Q,17)=0,"",VLOOKUP(Table311[[#This Row],[Date]],'DB Details'!$A:$Q,17))</f>
        <v>4.0578269241347893E-2</v>
      </c>
    </row>
    <row r="13" spans="1:5" x14ac:dyDescent="0.2">
      <c r="A13" s="60">
        <v>35827</v>
      </c>
      <c r="B13" s="50">
        <f>IF(VLOOKUP(Table311[[#This Row],[Date]],'DB Details'!$A:$Q,12)=0,"",VLOOKUP(Table311[[#This Row],[Date]],'DB Details'!$A:$Q,12))</f>
        <v>56.2</v>
      </c>
      <c r="C13" s="61">
        <f>IF(VLOOKUP(Table311[[#This Row],[Date]],'DB Details'!$A:$Q,16)=0,"",VLOOKUP(Table311[[#This Row],[Date]],'DB Details'!$A:$Q,16))</f>
        <v>4.8550058826576883E-2</v>
      </c>
      <c r="D13" s="61">
        <f>IF(VLOOKUP(Table311[[#This Row],[Date]],'DB Details'!$A:$Q,15)=0,"",VLOOKUP(Table311[[#This Row],[Date]],'DB Details'!$A:$Q,15))</f>
        <v>9.9937540103740806E-3</v>
      </c>
      <c r="E13" s="61">
        <f>IF(VLOOKUP(Table311[[#This Row],[Date]],'DB Details'!$A:$Q,17)=0,"",VLOOKUP(Table311[[#This Row],[Date]],'DB Details'!$A:$Q,17))</f>
        <v>4.0578269241347893E-2</v>
      </c>
    </row>
    <row r="14" spans="1:5" x14ac:dyDescent="0.2">
      <c r="A14" s="60">
        <v>35855</v>
      </c>
      <c r="B14" s="50">
        <f>IF(VLOOKUP(Table311[[#This Row],[Date]],'DB Details'!$A:$Q,12)=0,"",VLOOKUP(Table311[[#This Row],[Date]],'DB Details'!$A:$Q,12))</f>
        <v>54.7</v>
      </c>
      <c r="C14" s="61">
        <f>IF(VLOOKUP(Table311[[#This Row],[Date]],'DB Details'!$A:$Q,16)=0,"",VLOOKUP(Table311[[#This Row],[Date]],'DB Details'!$A:$Q,16))</f>
        <v>4.8550058826576883E-2</v>
      </c>
      <c r="D14" s="61">
        <f>IF(VLOOKUP(Table311[[#This Row],[Date]],'DB Details'!$A:$Q,15)=0,"",VLOOKUP(Table311[[#This Row],[Date]],'DB Details'!$A:$Q,15))</f>
        <v>9.9937540103740806E-3</v>
      </c>
      <c r="E14" s="61">
        <f>IF(VLOOKUP(Table311[[#This Row],[Date]],'DB Details'!$A:$Q,17)=0,"",VLOOKUP(Table311[[#This Row],[Date]],'DB Details'!$A:$Q,17))</f>
        <v>4.0578269241347893E-2</v>
      </c>
    </row>
    <row r="15" spans="1:5" x14ac:dyDescent="0.2">
      <c r="A15" s="60">
        <v>35886</v>
      </c>
      <c r="B15" s="50">
        <f>IF(VLOOKUP(Table311[[#This Row],[Date]],'DB Details'!$A:$Q,12)=0,"",VLOOKUP(Table311[[#This Row],[Date]],'DB Details'!$A:$Q,12))</f>
        <v>54.9</v>
      </c>
      <c r="C15" s="61">
        <f>IF(VLOOKUP(Table311[[#This Row],[Date]],'DB Details'!$A:$Q,16)=0,"",VLOOKUP(Table311[[#This Row],[Date]],'DB Details'!$A:$Q,16))</f>
        <v>4.0957268412006649E-2</v>
      </c>
      <c r="D15" s="61">
        <f>IF(VLOOKUP(Table311[[#This Row],[Date]],'DB Details'!$A:$Q,15)=0,"",VLOOKUP(Table311[[#This Row],[Date]],'DB Details'!$A:$Q,15))</f>
        <v>9.2582050690395729E-3</v>
      </c>
      <c r="E15" s="61">
        <f>IF(VLOOKUP(Table311[[#This Row],[Date]],'DB Details'!$A:$Q,17)=0,"",VLOOKUP(Table311[[#This Row],[Date]],'DB Details'!$A:$Q,17))</f>
        <v>3.7550288034241763E-2</v>
      </c>
    </row>
    <row r="16" spans="1:5" x14ac:dyDescent="0.2">
      <c r="A16" s="60">
        <v>35916</v>
      </c>
      <c r="B16" s="50">
        <f>IF(VLOOKUP(Table311[[#This Row],[Date]],'DB Details'!$A:$Q,12)=0,"",VLOOKUP(Table311[[#This Row],[Date]],'DB Details'!$A:$Q,12))</f>
        <v>56.2</v>
      </c>
      <c r="C16" s="61">
        <f>IF(VLOOKUP(Table311[[#This Row],[Date]],'DB Details'!$A:$Q,16)=0,"",VLOOKUP(Table311[[#This Row],[Date]],'DB Details'!$A:$Q,16))</f>
        <v>4.0957268412006649E-2</v>
      </c>
      <c r="D16" s="61">
        <f>IF(VLOOKUP(Table311[[#This Row],[Date]],'DB Details'!$A:$Q,15)=0,"",VLOOKUP(Table311[[#This Row],[Date]],'DB Details'!$A:$Q,15))</f>
        <v>9.2582050690395729E-3</v>
      </c>
      <c r="E16" s="61">
        <f>IF(VLOOKUP(Table311[[#This Row],[Date]],'DB Details'!$A:$Q,17)=0,"",VLOOKUP(Table311[[#This Row],[Date]],'DB Details'!$A:$Q,17))</f>
        <v>3.7550288034241763E-2</v>
      </c>
    </row>
    <row r="17" spans="1:5" x14ac:dyDescent="0.2">
      <c r="A17" s="60">
        <v>35947</v>
      </c>
      <c r="B17" s="50">
        <f>IF(VLOOKUP(Table311[[#This Row],[Date]],'DB Details'!$A:$Q,12)=0,"",VLOOKUP(Table311[[#This Row],[Date]],'DB Details'!$A:$Q,12))</f>
        <v>55.1</v>
      </c>
      <c r="C17" s="61">
        <f>IF(VLOOKUP(Table311[[#This Row],[Date]],'DB Details'!$A:$Q,16)=0,"",VLOOKUP(Table311[[#This Row],[Date]],'DB Details'!$A:$Q,16))</f>
        <v>4.0957268412006649E-2</v>
      </c>
      <c r="D17" s="61">
        <f>IF(VLOOKUP(Table311[[#This Row],[Date]],'DB Details'!$A:$Q,15)=0,"",VLOOKUP(Table311[[#This Row],[Date]],'DB Details'!$A:$Q,15))</f>
        <v>9.2582050690395729E-3</v>
      </c>
      <c r="E17" s="61">
        <f>IF(VLOOKUP(Table311[[#This Row],[Date]],'DB Details'!$A:$Q,17)=0,"",VLOOKUP(Table311[[#This Row],[Date]],'DB Details'!$A:$Q,17))</f>
        <v>3.7550288034241763E-2</v>
      </c>
    </row>
    <row r="18" spans="1:5" x14ac:dyDescent="0.2">
      <c r="A18" s="60">
        <v>35977</v>
      </c>
      <c r="B18" s="50">
        <f>IF(VLOOKUP(Table311[[#This Row],[Date]],'DB Details'!$A:$Q,12)=0,"",VLOOKUP(Table311[[#This Row],[Date]],'DB Details'!$A:$Q,12))</f>
        <v>55.8</v>
      </c>
      <c r="C18" s="61">
        <f>IF(VLOOKUP(Table311[[#This Row],[Date]],'DB Details'!$A:$Q,16)=0,"",VLOOKUP(Table311[[#This Row],[Date]],'DB Details'!$A:$Q,16))</f>
        <v>4.0977686226798142E-2</v>
      </c>
      <c r="D18" s="61">
        <f>IF(VLOOKUP(Table311[[#This Row],[Date]],'DB Details'!$A:$Q,15)=0,"",VLOOKUP(Table311[[#This Row],[Date]],'DB Details'!$A:$Q,15))</f>
        <v>1.252764552668854E-2</v>
      </c>
      <c r="E18" s="61">
        <f>IF(VLOOKUP(Table311[[#This Row],[Date]],'DB Details'!$A:$Q,17)=0,"",VLOOKUP(Table311[[#This Row],[Date]],'DB Details'!$A:$Q,17))</f>
        <v>5.1060122602257341E-2</v>
      </c>
    </row>
    <row r="19" spans="1:5" x14ac:dyDescent="0.2">
      <c r="A19" s="60">
        <v>36008</v>
      </c>
      <c r="B19" s="50">
        <f>IF(VLOOKUP(Table311[[#This Row],[Date]],'DB Details'!$A:$Q,12)=0,"",VLOOKUP(Table311[[#This Row],[Date]],'DB Details'!$A:$Q,12))</f>
        <v>53.5</v>
      </c>
      <c r="C19" s="61">
        <f>IF(VLOOKUP(Table311[[#This Row],[Date]],'DB Details'!$A:$Q,16)=0,"",VLOOKUP(Table311[[#This Row],[Date]],'DB Details'!$A:$Q,16))</f>
        <v>4.0977686226798142E-2</v>
      </c>
      <c r="D19" s="61">
        <f>IF(VLOOKUP(Table311[[#This Row],[Date]],'DB Details'!$A:$Q,15)=0,"",VLOOKUP(Table311[[#This Row],[Date]],'DB Details'!$A:$Q,15))</f>
        <v>1.252764552668854E-2</v>
      </c>
      <c r="E19" s="61">
        <f>IF(VLOOKUP(Table311[[#This Row],[Date]],'DB Details'!$A:$Q,17)=0,"",VLOOKUP(Table311[[#This Row],[Date]],'DB Details'!$A:$Q,17))</f>
        <v>5.1060122602257341E-2</v>
      </c>
    </row>
    <row r="20" spans="1:5" x14ac:dyDescent="0.2">
      <c r="A20" s="60">
        <v>36039</v>
      </c>
      <c r="B20" s="50">
        <f>IF(VLOOKUP(Table311[[#This Row],[Date]],'DB Details'!$A:$Q,12)=0,"",VLOOKUP(Table311[[#This Row],[Date]],'DB Details'!$A:$Q,12))</f>
        <v>55</v>
      </c>
      <c r="C20" s="61">
        <f>IF(VLOOKUP(Table311[[#This Row],[Date]],'DB Details'!$A:$Q,16)=0,"",VLOOKUP(Table311[[#This Row],[Date]],'DB Details'!$A:$Q,16))</f>
        <v>4.0977686226798142E-2</v>
      </c>
      <c r="D20" s="61">
        <f>IF(VLOOKUP(Table311[[#This Row],[Date]],'DB Details'!$A:$Q,15)=0,"",VLOOKUP(Table311[[#This Row],[Date]],'DB Details'!$A:$Q,15))</f>
        <v>1.252764552668854E-2</v>
      </c>
      <c r="E20" s="61">
        <f>IF(VLOOKUP(Table311[[#This Row],[Date]],'DB Details'!$A:$Q,17)=0,"",VLOOKUP(Table311[[#This Row],[Date]],'DB Details'!$A:$Q,17))</f>
        <v>5.1060122602257341E-2</v>
      </c>
    </row>
    <row r="21" spans="1:5" x14ac:dyDescent="0.2">
      <c r="A21" s="60">
        <v>36069</v>
      </c>
      <c r="B21" s="50">
        <f>IF(VLOOKUP(Table311[[#This Row],[Date]],'DB Details'!$A:$Q,12)=0,"",VLOOKUP(Table311[[#This Row],[Date]],'DB Details'!$A:$Q,12))</f>
        <v>53.8</v>
      </c>
      <c r="C21" s="61">
        <f>IF(VLOOKUP(Table311[[#This Row],[Date]],'DB Details'!$A:$Q,16)=0,"",VLOOKUP(Table311[[#This Row],[Date]],'DB Details'!$A:$Q,16))</f>
        <v>4.8795407755980173E-2</v>
      </c>
      <c r="D21" s="61">
        <f>IF(VLOOKUP(Table311[[#This Row],[Date]],'DB Details'!$A:$Q,15)=0,"",VLOOKUP(Table311[[#This Row],[Date]],'DB Details'!$A:$Q,15))</f>
        <v>1.6161907023370281E-2</v>
      </c>
      <c r="E21" s="61">
        <f>IF(VLOOKUP(Table311[[#This Row],[Date]],'DB Details'!$A:$Q,17)=0,"",VLOOKUP(Table311[[#This Row],[Date]],'DB Details'!$A:$Q,17))</f>
        <v>6.6231826182913345E-2</v>
      </c>
    </row>
    <row r="22" spans="1:5" x14ac:dyDescent="0.2">
      <c r="A22" s="60">
        <v>36100</v>
      </c>
      <c r="B22" s="50">
        <f>IF(VLOOKUP(Table311[[#This Row],[Date]],'DB Details'!$A:$Q,12)=0,"",VLOOKUP(Table311[[#This Row],[Date]],'DB Details'!$A:$Q,12))</f>
        <v>52.6</v>
      </c>
      <c r="C22" s="61">
        <f>IF(VLOOKUP(Table311[[#This Row],[Date]],'DB Details'!$A:$Q,16)=0,"",VLOOKUP(Table311[[#This Row],[Date]],'DB Details'!$A:$Q,16))</f>
        <v>4.8795407755980173E-2</v>
      </c>
      <c r="D22" s="61">
        <f>IF(VLOOKUP(Table311[[#This Row],[Date]],'DB Details'!$A:$Q,15)=0,"",VLOOKUP(Table311[[#This Row],[Date]],'DB Details'!$A:$Q,15))</f>
        <v>1.6161907023370281E-2</v>
      </c>
      <c r="E22" s="61">
        <f>IF(VLOOKUP(Table311[[#This Row],[Date]],'DB Details'!$A:$Q,17)=0,"",VLOOKUP(Table311[[#This Row],[Date]],'DB Details'!$A:$Q,17))</f>
        <v>6.6231826182913345E-2</v>
      </c>
    </row>
    <row r="23" spans="1:5" x14ac:dyDescent="0.2">
      <c r="A23" s="60">
        <v>36130</v>
      </c>
      <c r="B23" s="50">
        <f>IF(VLOOKUP(Table311[[#This Row],[Date]],'DB Details'!$A:$Q,12)=0,"",VLOOKUP(Table311[[#This Row],[Date]],'DB Details'!$A:$Q,12))</f>
        <v>52.9</v>
      </c>
      <c r="C23" s="61">
        <f>IF(VLOOKUP(Table311[[#This Row],[Date]],'DB Details'!$A:$Q,16)=0,"",VLOOKUP(Table311[[#This Row],[Date]],'DB Details'!$A:$Q,16))</f>
        <v>4.8795407755980173E-2</v>
      </c>
      <c r="D23" s="61">
        <f>IF(VLOOKUP(Table311[[#This Row],[Date]],'DB Details'!$A:$Q,15)=0,"",VLOOKUP(Table311[[#This Row],[Date]],'DB Details'!$A:$Q,15))</f>
        <v>1.6161907023370281E-2</v>
      </c>
      <c r="E23" s="61">
        <f>IF(VLOOKUP(Table311[[#This Row],[Date]],'DB Details'!$A:$Q,17)=0,"",VLOOKUP(Table311[[#This Row],[Date]],'DB Details'!$A:$Q,17))</f>
        <v>6.6231826182913345E-2</v>
      </c>
    </row>
    <row r="24" spans="1:5" x14ac:dyDescent="0.2">
      <c r="A24" s="60">
        <v>36161</v>
      </c>
      <c r="B24" s="50">
        <f>IF(VLOOKUP(Table311[[#This Row],[Date]],'DB Details'!$A:$Q,12)=0,"",VLOOKUP(Table311[[#This Row],[Date]],'DB Details'!$A:$Q,12))</f>
        <v>55.6</v>
      </c>
      <c r="C24" s="61">
        <f>IF(VLOOKUP(Table311[[#This Row],[Date]],'DB Details'!$A:$Q,16)=0,"",VLOOKUP(Table311[[#This Row],[Date]],'DB Details'!$A:$Q,16))</f>
        <v>4.8218579316202298E-2</v>
      </c>
      <c r="D24" s="61">
        <f>IF(VLOOKUP(Table311[[#This Row],[Date]],'DB Details'!$A:$Q,15)=0,"",VLOOKUP(Table311[[#This Row],[Date]],'DB Details'!$A:$Q,15))</f>
        <v>9.438266145912767E-3</v>
      </c>
      <c r="E24" s="61">
        <f>IF(VLOOKUP(Table311[[#This Row],[Date]],'DB Details'!$A:$Q,17)=0,"",VLOOKUP(Table311[[#This Row],[Date]],'DB Details'!$A:$Q,17))</f>
        <v>3.8290920801855137E-2</v>
      </c>
    </row>
    <row r="25" spans="1:5" x14ac:dyDescent="0.2">
      <c r="A25" s="60">
        <v>36192</v>
      </c>
      <c r="B25" s="50">
        <f>IF(VLOOKUP(Table311[[#This Row],[Date]],'DB Details'!$A:$Q,12)=0,"",VLOOKUP(Table311[[#This Row],[Date]],'DB Details'!$A:$Q,12))</f>
        <v>54.4</v>
      </c>
      <c r="C25" s="61">
        <f>IF(VLOOKUP(Table311[[#This Row],[Date]],'DB Details'!$A:$Q,16)=0,"",VLOOKUP(Table311[[#This Row],[Date]],'DB Details'!$A:$Q,16))</f>
        <v>4.8218579316202298E-2</v>
      </c>
      <c r="D25" s="61">
        <f>IF(VLOOKUP(Table311[[#This Row],[Date]],'DB Details'!$A:$Q,15)=0,"",VLOOKUP(Table311[[#This Row],[Date]],'DB Details'!$A:$Q,15))</f>
        <v>9.438266145912767E-3</v>
      </c>
      <c r="E25" s="61">
        <f>IF(VLOOKUP(Table311[[#This Row],[Date]],'DB Details'!$A:$Q,17)=0,"",VLOOKUP(Table311[[#This Row],[Date]],'DB Details'!$A:$Q,17))</f>
        <v>3.8290920801855137E-2</v>
      </c>
    </row>
    <row r="26" spans="1:5" x14ac:dyDescent="0.2">
      <c r="A26" s="60">
        <v>36220</v>
      </c>
      <c r="B26" s="50">
        <f>IF(VLOOKUP(Table311[[#This Row],[Date]],'DB Details'!$A:$Q,12)=0,"",VLOOKUP(Table311[[#This Row],[Date]],'DB Details'!$A:$Q,12))</f>
        <v>55.3</v>
      </c>
      <c r="C26" s="61">
        <f>IF(VLOOKUP(Table311[[#This Row],[Date]],'DB Details'!$A:$Q,16)=0,"",VLOOKUP(Table311[[#This Row],[Date]],'DB Details'!$A:$Q,16))</f>
        <v>4.8218579316202298E-2</v>
      </c>
      <c r="D26" s="61">
        <f>IF(VLOOKUP(Table311[[#This Row],[Date]],'DB Details'!$A:$Q,15)=0,"",VLOOKUP(Table311[[#This Row],[Date]],'DB Details'!$A:$Q,15))</f>
        <v>9.438266145912767E-3</v>
      </c>
      <c r="E26" s="61">
        <f>IF(VLOOKUP(Table311[[#This Row],[Date]],'DB Details'!$A:$Q,17)=0,"",VLOOKUP(Table311[[#This Row],[Date]],'DB Details'!$A:$Q,17))</f>
        <v>3.8290920801855137E-2</v>
      </c>
    </row>
    <row r="27" spans="1:5" x14ac:dyDescent="0.2">
      <c r="A27" s="60">
        <v>36251</v>
      </c>
      <c r="B27" s="50">
        <f>IF(VLOOKUP(Table311[[#This Row],[Date]],'DB Details'!$A:$Q,12)=0,"",VLOOKUP(Table311[[#This Row],[Date]],'DB Details'!$A:$Q,12))</f>
        <v>55.5</v>
      </c>
      <c r="C27" s="61">
        <f>IF(VLOOKUP(Table311[[#This Row],[Date]],'DB Details'!$A:$Q,16)=0,"",VLOOKUP(Table311[[#This Row],[Date]],'DB Details'!$A:$Q,16))</f>
        <v>4.7275315134735367E-2</v>
      </c>
      <c r="D27" s="61">
        <f>IF(VLOOKUP(Table311[[#This Row],[Date]],'DB Details'!$A:$Q,15)=0,"",VLOOKUP(Table311[[#This Row],[Date]],'DB Details'!$A:$Q,15))</f>
        <v>8.3500002981279006E-3</v>
      </c>
      <c r="E27" s="61">
        <f>IF(VLOOKUP(Table311[[#This Row],[Date]],'DB Details'!$A:$Q,17)=0,"",VLOOKUP(Table311[[#This Row],[Date]],'DB Details'!$A:$Q,17))</f>
        <v>3.3820669815360922E-2</v>
      </c>
    </row>
    <row r="28" spans="1:5" x14ac:dyDescent="0.2">
      <c r="A28" s="60">
        <v>36281</v>
      </c>
      <c r="B28" s="50">
        <f>IF(VLOOKUP(Table311[[#This Row],[Date]],'DB Details'!$A:$Q,12)=0,"",VLOOKUP(Table311[[#This Row],[Date]],'DB Details'!$A:$Q,12))</f>
        <v>55.3</v>
      </c>
      <c r="C28" s="61">
        <f>IF(VLOOKUP(Table311[[#This Row],[Date]],'DB Details'!$A:$Q,16)=0,"",VLOOKUP(Table311[[#This Row],[Date]],'DB Details'!$A:$Q,16))</f>
        <v>4.7275315134735367E-2</v>
      </c>
      <c r="D28" s="61">
        <f>IF(VLOOKUP(Table311[[#This Row],[Date]],'DB Details'!$A:$Q,15)=0,"",VLOOKUP(Table311[[#This Row],[Date]],'DB Details'!$A:$Q,15))</f>
        <v>8.3500002981279006E-3</v>
      </c>
      <c r="E28" s="61">
        <f>IF(VLOOKUP(Table311[[#This Row],[Date]],'DB Details'!$A:$Q,17)=0,"",VLOOKUP(Table311[[#This Row],[Date]],'DB Details'!$A:$Q,17))</f>
        <v>3.3820669815360922E-2</v>
      </c>
    </row>
    <row r="29" spans="1:5" x14ac:dyDescent="0.2">
      <c r="A29" s="60">
        <v>36312</v>
      </c>
      <c r="B29" s="50">
        <f>IF(VLOOKUP(Table311[[#This Row],[Date]],'DB Details'!$A:$Q,12)=0,"",VLOOKUP(Table311[[#This Row],[Date]],'DB Details'!$A:$Q,12))</f>
        <v>56.7</v>
      </c>
      <c r="C29" s="61">
        <f>IF(VLOOKUP(Table311[[#This Row],[Date]],'DB Details'!$A:$Q,16)=0,"",VLOOKUP(Table311[[#This Row],[Date]],'DB Details'!$A:$Q,16))</f>
        <v>4.7275315134735367E-2</v>
      </c>
      <c r="D29" s="61">
        <f>IF(VLOOKUP(Table311[[#This Row],[Date]],'DB Details'!$A:$Q,15)=0,"",VLOOKUP(Table311[[#This Row],[Date]],'DB Details'!$A:$Q,15))</f>
        <v>8.3500002981279006E-3</v>
      </c>
      <c r="E29" s="61">
        <f>IF(VLOOKUP(Table311[[#This Row],[Date]],'DB Details'!$A:$Q,17)=0,"",VLOOKUP(Table311[[#This Row],[Date]],'DB Details'!$A:$Q,17))</f>
        <v>3.3820669815360922E-2</v>
      </c>
    </row>
    <row r="30" spans="1:5" x14ac:dyDescent="0.2">
      <c r="A30" s="60">
        <v>36342</v>
      </c>
      <c r="B30" s="50">
        <f>IF(VLOOKUP(Table311[[#This Row],[Date]],'DB Details'!$A:$Q,12)=0,"",VLOOKUP(Table311[[#This Row],[Date]],'DB Details'!$A:$Q,12))</f>
        <v>56.2</v>
      </c>
      <c r="C30" s="61">
        <f>IF(VLOOKUP(Table311[[#This Row],[Date]],'DB Details'!$A:$Q,16)=0,"",VLOOKUP(Table311[[#This Row],[Date]],'DB Details'!$A:$Q,16))</f>
        <v>4.8002052368625307E-2</v>
      </c>
      <c r="D30" s="61">
        <f>IF(VLOOKUP(Table311[[#This Row],[Date]],'DB Details'!$A:$Q,15)=0,"",VLOOKUP(Table311[[#This Row],[Date]],'DB Details'!$A:$Q,15))</f>
        <v>1.3230270261286141E-2</v>
      </c>
      <c r="E30" s="61">
        <f>IF(VLOOKUP(Table311[[#This Row],[Date]],'DB Details'!$A:$Q,17)=0,"",VLOOKUP(Table311[[#This Row],[Date]],'DB Details'!$A:$Q,17))</f>
        <v>5.3980615300018853E-2</v>
      </c>
    </row>
    <row r="31" spans="1:5" x14ac:dyDescent="0.2">
      <c r="A31" s="60">
        <v>36373</v>
      </c>
      <c r="B31" s="50">
        <f>IF(VLOOKUP(Table311[[#This Row],[Date]],'DB Details'!$A:$Q,12)=0,"",VLOOKUP(Table311[[#This Row],[Date]],'DB Details'!$A:$Q,12))</f>
        <v>56.4</v>
      </c>
      <c r="C31" s="61">
        <f>IF(VLOOKUP(Table311[[#This Row],[Date]],'DB Details'!$A:$Q,16)=0,"",VLOOKUP(Table311[[#This Row],[Date]],'DB Details'!$A:$Q,16))</f>
        <v>4.8002052368625307E-2</v>
      </c>
      <c r="D31" s="61">
        <f>IF(VLOOKUP(Table311[[#This Row],[Date]],'DB Details'!$A:$Q,15)=0,"",VLOOKUP(Table311[[#This Row],[Date]],'DB Details'!$A:$Q,15))</f>
        <v>1.3230270261286141E-2</v>
      </c>
      <c r="E31" s="61">
        <f>IF(VLOOKUP(Table311[[#This Row],[Date]],'DB Details'!$A:$Q,17)=0,"",VLOOKUP(Table311[[#This Row],[Date]],'DB Details'!$A:$Q,17))</f>
        <v>5.3980615300018853E-2</v>
      </c>
    </row>
    <row r="32" spans="1:5" x14ac:dyDescent="0.2">
      <c r="A32" s="60">
        <v>36404</v>
      </c>
      <c r="B32" s="50">
        <f>IF(VLOOKUP(Table311[[#This Row],[Date]],'DB Details'!$A:$Q,12)=0,"",VLOOKUP(Table311[[#This Row],[Date]],'DB Details'!$A:$Q,12))</f>
        <v>56.2</v>
      </c>
      <c r="C32" s="61">
        <f>IF(VLOOKUP(Table311[[#This Row],[Date]],'DB Details'!$A:$Q,16)=0,"",VLOOKUP(Table311[[#This Row],[Date]],'DB Details'!$A:$Q,16))</f>
        <v>4.8002052368625307E-2</v>
      </c>
      <c r="D32" s="61">
        <f>IF(VLOOKUP(Table311[[#This Row],[Date]],'DB Details'!$A:$Q,15)=0,"",VLOOKUP(Table311[[#This Row],[Date]],'DB Details'!$A:$Q,15))</f>
        <v>1.3230270261286141E-2</v>
      </c>
      <c r="E32" s="61">
        <f>IF(VLOOKUP(Table311[[#This Row],[Date]],'DB Details'!$A:$Q,17)=0,"",VLOOKUP(Table311[[#This Row],[Date]],'DB Details'!$A:$Q,17))</f>
        <v>5.3980615300018853E-2</v>
      </c>
    </row>
    <row r="33" spans="1:5" x14ac:dyDescent="0.2">
      <c r="A33" s="60">
        <v>36434</v>
      </c>
      <c r="B33" s="50">
        <f>IF(VLOOKUP(Table311[[#This Row],[Date]],'DB Details'!$A:$Q,12)=0,"",VLOOKUP(Table311[[#This Row],[Date]],'DB Details'!$A:$Q,12))</f>
        <v>57.6</v>
      </c>
      <c r="C33" s="61">
        <f>IF(VLOOKUP(Table311[[#This Row],[Date]],'DB Details'!$A:$Q,16)=0,"",VLOOKUP(Table311[[#This Row],[Date]],'DB Details'!$A:$Q,16))</f>
        <v>4.827626650330151E-2</v>
      </c>
      <c r="D33" s="61">
        <f>IF(VLOOKUP(Table311[[#This Row],[Date]],'DB Details'!$A:$Q,15)=0,"",VLOOKUP(Table311[[#This Row],[Date]],'DB Details'!$A:$Q,15))</f>
        <v>1.6427790050407821E-2</v>
      </c>
      <c r="E33" s="61">
        <f>IF(VLOOKUP(Table311[[#This Row],[Date]],'DB Details'!$A:$Q,17)=0,"",VLOOKUP(Table311[[#This Row],[Date]],'DB Details'!$A:$Q,17))</f>
        <v>6.734820036933864E-2</v>
      </c>
    </row>
    <row r="34" spans="1:5" x14ac:dyDescent="0.2">
      <c r="A34" s="60">
        <v>36465</v>
      </c>
      <c r="B34" s="50">
        <f>IF(VLOOKUP(Table311[[#This Row],[Date]],'DB Details'!$A:$Q,12)=0,"",VLOOKUP(Table311[[#This Row],[Date]],'DB Details'!$A:$Q,12))</f>
        <v>54.9</v>
      </c>
      <c r="C34" s="61">
        <f>IF(VLOOKUP(Table311[[#This Row],[Date]],'DB Details'!$A:$Q,16)=0,"",VLOOKUP(Table311[[#This Row],[Date]],'DB Details'!$A:$Q,16))</f>
        <v>4.827626650330151E-2</v>
      </c>
      <c r="D34" s="61">
        <f>IF(VLOOKUP(Table311[[#This Row],[Date]],'DB Details'!$A:$Q,15)=0,"",VLOOKUP(Table311[[#This Row],[Date]],'DB Details'!$A:$Q,15))</f>
        <v>1.6427790050407821E-2</v>
      </c>
      <c r="E34" s="61">
        <f>IF(VLOOKUP(Table311[[#This Row],[Date]],'DB Details'!$A:$Q,17)=0,"",VLOOKUP(Table311[[#This Row],[Date]],'DB Details'!$A:$Q,17))</f>
        <v>6.734820036933864E-2</v>
      </c>
    </row>
    <row r="35" spans="1:5" x14ac:dyDescent="0.2">
      <c r="A35" s="60">
        <v>36495</v>
      </c>
      <c r="B35" s="50">
        <f>IF(VLOOKUP(Table311[[#This Row],[Date]],'DB Details'!$A:$Q,12)=0,"",VLOOKUP(Table311[[#This Row],[Date]],'DB Details'!$A:$Q,12))</f>
        <v>56.9</v>
      </c>
      <c r="C35" s="61">
        <f>IF(VLOOKUP(Table311[[#This Row],[Date]],'DB Details'!$A:$Q,16)=0,"",VLOOKUP(Table311[[#This Row],[Date]],'DB Details'!$A:$Q,16))</f>
        <v>4.827626650330151E-2</v>
      </c>
      <c r="D35" s="61">
        <f>IF(VLOOKUP(Table311[[#This Row],[Date]],'DB Details'!$A:$Q,15)=0,"",VLOOKUP(Table311[[#This Row],[Date]],'DB Details'!$A:$Q,15))</f>
        <v>1.6427790050407821E-2</v>
      </c>
      <c r="E35" s="61">
        <f>IF(VLOOKUP(Table311[[#This Row],[Date]],'DB Details'!$A:$Q,17)=0,"",VLOOKUP(Table311[[#This Row],[Date]],'DB Details'!$A:$Q,17))</f>
        <v>6.734820036933864E-2</v>
      </c>
    </row>
    <row r="36" spans="1:5" x14ac:dyDescent="0.2">
      <c r="A36" s="60">
        <v>36526</v>
      </c>
      <c r="B36" s="50">
        <f>IF(VLOOKUP(Table311[[#This Row],[Date]],'DB Details'!$A:$Q,12)=0,"",VLOOKUP(Table311[[#This Row],[Date]],'DB Details'!$A:$Q,12))</f>
        <v>56.6</v>
      </c>
      <c r="C36" s="61">
        <f>IF(VLOOKUP(Table311[[#This Row],[Date]],'DB Details'!$A:$Q,16)=0,"",VLOOKUP(Table311[[#This Row],[Date]],'DB Details'!$A:$Q,16))</f>
        <v>4.225955858689924E-2</v>
      </c>
      <c r="D36" s="61">
        <f>IF(VLOOKUP(Table311[[#This Row],[Date]],'DB Details'!$A:$Q,15)=0,"",VLOOKUP(Table311[[#This Row],[Date]],'DB Details'!$A:$Q,15))</f>
        <v>3.6444736113372721E-3</v>
      </c>
      <c r="E36" s="61">
        <f>IF(VLOOKUP(Table311[[#This Row],[Date]],'DB Details'!$A:$Q,17)=0,"",VLOOKUP(Table311[[#This Row],[Date]],'DB Details'!$A:$Q,17))</f>
        <v>1.46577813755211E-2</v>
      </c>
    </row>
    <row r="37" spans="1:5" x14ac:dyDescent="0.2">
      <c r="A37" s="60">
        <v>36557</v>
      </c>
      <c r="B37" s="50">
        <f>IF(VLOOKUP(Table311[[#This Row],[Date]],'DB Details'!$A:$Q,12)=0,"",VLOOKUP(Table311[[#This Row],[Date]],'DB Details'!$A:$Q,12))</f>
        <v>56.2</v>
      </c>
      <c r="C37" s="61">
        <f>IF(VLOOKUP(Table311[[#This Row],[Date]],'DB Details'!$A:$Q,16)=0,"",VLOOKUP(Table311[[#This Row],[Date]],'DB Details'!$A:$Q,16))</f>
        <v>4.225955858689924E-2</v>
      </c>
      <c r="D37" s="61">
        <f>IF(VLOOKUP(Table311[[#This Row],[Date]],'DB Details'!$A:$Q,15)=0,"",VLOOKUP(Table311[[#This Row],[Date]],'DB Details'!$A:$Q,15))</f>
        <v>3.6444736113372721E-3</v>
      </c>
      <c r="E37" s="61">
        <f>IF(VLOOKUP(Table311[[#This Row],[Date]],'DB Details'!$A:$Q,17)=0,"",VLOOKUP(Table311[[#This Row],[Date]],'DB Details'!$A:$Q,17))</f>
        <v>1.46577813755211E-2</v>
      </c>
    </row>
    <row r="38" spans="1:5" x14ac:dyDescent="0.2">
      <c r="A38" s="60">
        <v>36586</v>
      </c>
      <c r="B38" s="50">
        <f>IF(VLOOKUP(Table311[[#This Row],[Date]],'DB Details'!$A:$Q,12)=0,"",VLOOKUP(Table311[[#This Row],[Date]],'DB Details'!$A:$Q,12))</f>
        <v>57.4</v>
      </c>
      <c r="C38" s="61">
        <f>IF(VLOOKUP(Table311[[#This Row],[Date]],'DB Details'!$A:$Q,16)=0,"",VLOOKUP(Table311[[#This Row],[Date]],'DB Details'!$A:$Q,16))</f>
        <v>4.225955858689924E-2</v>
      </c>
      <c r="D38" s="61">
        <f>IF(VLOOKUP(Table311[[#This Row],[Date]],'DB Details'!$A:$Q,15)=0,"",VLOOKUP(Table311[[#This Row],[Date]],'DB Details'!$A:$Q,15))</f>
        <v>3.6444736113372721E-3</v>
      </c>
      <c r="E38" s="61">
        <f>IF(VLOOKUP(Table311[[#This Row],[Date]],'DB Details'!$A:$Q,17)=0,"",VLOOKUP(Table311[[#This Row],[Date]],'DB Details'!$A:$Q,17))</f>
        <v>1.46577813755211E-2</v>
      </c>
    </row>
    <row r="39" spans="1:5" x14ac:dyDescent="0.2">
      <c r="A39" s="60">
        <v>36617</v>
      </c>
      <c r="B39" s="50">
        <f>IF(VLOOKUP(Table311[[#This Row],[Date]],'DB Details'!$A:$Q,12)=0,"",VLOOKUP(Table311[[#This Row],[Date]],'DB Details'!$A:$Q,12))</f>
        <v>58</v>
      </c>
      <c r="C39" s="61">
        <f>IF(VLOOKUP(Table311[[#This Row],[Date]],'DB Details'!$A:$Q,16)=0,"",VLOOKUP(Table311[[#This Row],[Date]],'DB Details'!$A:$Q,16))</f>
        <v>5.2446827688533121E-2</v>
      </c>
      <c r="D39" s="61">
        <f>IF(VLOOKUP(Table311[[#This Row],[Date]],'DB Details'!$A:$Q,15)=0,"",VLOOKUP(Table311[[#This Row],[Date]],'DB Details'!$A:$Q,15))</f>
        <v>1.820583008355766E-2</v>
      </c>
      <c r="E39" s="61">
        <f>IF(VLOOKUP(Table311[[#This Row],[Date]],'DB Details'!$A:$Q,17)=0,"",VLOOKUP(Table311[[#This Row],[Date]],'DB Details'!$A:$Q,17))</f>
        <v>7.4836281142319105E-2</v>
      </c>
    </row>
    <row r="40" spans="1:5" x14ac:dyDescent="0.2">
      <c r="A40" s="60">
        <v>36647</v>
      </c>
      <c r="B40" s="50">
        <f>IF(VLOOKUP(Table311[[#This Row],[Date]],'DB Details'!$A:$Q,12)=0,"",VLOOKUP(Table311[[#This Row],[Date]],'DB Details'!$A:$Q,12))</f>
        <v>57.7</v>
      </c>
      <c r="C40" s="61">
        <f>IF(VLOOKUP(Table311[[#This Row],[Date]],'DB Details'!$A:$Q,16)=0,"",VLOOKUP(Table311[[#This Row],[Date]],'DB Details'!$A:$Q,16))</f>
        <v>5.2446827688533121E-2</v>
      </c>
      <c r="D40" s="61">
        <f>IF(VLOOKUP(Table311[[#This Row],[Date]],'DB Details'!$A:$Q,15)=0,"",VLOOKUP(Table311[[#This Row],[Date]],'DB Details'!$A:$Q,15))</f>
        <v>1.820583008355766E-2</v>
      </c>
      <c r="E40" s="61">
        <f>IF(VLOOKUP(Table311[[#This Row],[Date]],'DB Details'!$A:$Q,17)=0,"",VLOOKUP(Table311[[#This Row],[Date]],'DB Details'!$A:$Q,17))</f>
        <v>7.4836281142319105E-2</v>
      </c>
    </row>
    <row r="41" spans="1:5" x14ac:dyDescent="0.2">
      <c r="A41" s="60">
        <v>36678</v>
      </c>
      <c r="B41" s="50">
        <f>IF(VLOOKUP(Table311[[#This Row],[Date]],'DB Details'!$A:$Q,12)=0,"",VLOOKUP(Table311[[#This Row],[Date]],'DB Details'!$A:$Q,12))</f>
        <v>56.9</v>
      </c>
      <c r="C41" s="61">
        <f>IF(VLOOKUP(Table311[[#This Row],[Date]],'DB Details'!$A:$Q,16)=0,"",VLOOKUP(Table311[[#This Row],[Date]],'DB Details'!$A:$Q,16))</f>
        <v>5.2446827688533121E-2</v>
      </c>
      <c r="D41" s="61">
        <f>IF(VLOOKUP(Table311[[#This Row],[Date]],'DB Details'!$A:$Q,15)=0,"",VLOOKUP(Table311[[#This Row],[Date]],'DB Details'!$A:$Q,15))</f>
        <v>1.820583008355766E-2</v>
      </c>
      <c r="E41" s="61">
        <f>IF(VLOOKUP(Table311[[#This Row],[Date]],'DB Details'!$A:$Q,17)=0,"",VLOOKUP(Table311[[#This Row],[Date]],'DB Details'!$A:$Q,17))</f>
        <v>7.4836281142319105E-2</v>
      </c>
    </row>
    <row r="42" spans="1:5" x14ac:dyDescent="0.2">
      <c r="A42" s="60">
        <v>36708</v>
      </c>
      <c r="B42" s="50">
        <f>IF(VLOOKUP(Table311[[#This Row],[Date]],'DB Details'!$A:$Q,12)=0,"",VLOOKUP(Table311[[#This Row],[Date]],'DB Details'!$A:$Q,12))</f>
        <v>55.3</v>
      </c>
      <c r="C42" s="61">
        <f>IF(VLOOKUP(Table311[[#This Row],[Date]],'DB Details'!$A:$Q,16)=0,"",VLOOKUP(Table311[[#This Row],[Date]],'DB Details'!$A:$Q,16))</f>
        <v>3.9740844955791207E-2</v>
      </c>
      <c r="D42" s="61">
        <f>IF(VLOOKUP(Table311[[#This Row],[Date]],'DB Details'!$A:$Q,15)=0,"",VLOOKUP(Table311[[#This Row],[Date]],'DB Details'!$A:$Q,15))</f>
        <v>9.9774128259521319E-4</v>
      </c>
      <c r="E42" s="61">
        <f>IF(VLOOKUP(Table311[[#This Row],[Date]],'DB Details'!$A:$Q,17)=0,"",VLOOKUP(Table311[[#This Row],[Date]],'DB Details'!$A:$Q,17))</f>
        <v>3.9969420303305192E-3</v>
      </c>
    </row>
    <row r="43" spans="1:5" x14ac:dyDescent="0.2">
      <c r="A43" s="60">
        <v>36739</v>
      </c>
      <c r="B43" s="50">
        <f>IF(VLOOKUP(Table311[[#This Row],[Date]],'DB Details'!$A:$Q,12)=0,"",VLOOKUP(Table311[[#This Row],[Date]],'DB Details'!$A:$Q,12))</f>
        <v>57.6</v>
      </c>
      <c r="C43" s="61">
        <f>IF(VLOOKUP(Table311[[#This Row],[Date]],'DB Details'!$A:$Q,16)=0,"",VLOOKUP(Table311[[#This Row],[Date]],'DB Details'!$A:$Q,16))</f>
        <v>3.9740844955791207E-2</v>
      </c>
      <c r="D43" s="61">
        <f>IF(VLOOKUP(Table311[[#This Row],[Date]],'DB Details'!$A:$Q,15)=0,"",VLOOKUP(Table311[[#This Row],[Date]],'DB Details'!$A:$Q,15))</f>
        <v>9.9774128259521319E-4</v>
      </c>
      <c r="E43" s="61">
        <f>IF(VLOOKUP(Table311[[#This Row],[Date]],'DB Details'!$A:$Q,17)=0,"",VLOOKUP(Table311[[#This Row],[Date]],'DB Details'!$A:$Q,17))</f>
        <v>3.9969420303305192E-3</v>
      </c>
    </row>
    <row r="44" spans="1:5" x14ac:dyDescent="0.2">
      <c r="A44" s="60">
        <v>36770</v>
      </c>
      <c r="B44" s="50">
        <f>IF(VLOOKUP(Table311[[#This Row],[Date]],'DB Details'!$A:$Q,12)=0,"",VLOOKUP(Table311[[#This Row],[Date]],'DB Details'!$A:$Q,12))</f>
        <v>56.7</v>
      </c>
      <c r="C44" s="61">
        <f>IF(VLOOKUP(Table311[[#This Row],[Date]],'DB Details'!$A:$Q,16)=0,"",VLOOKUP(Table311[[#This Row],[Date]],'DB Details'!$A:$Q,16))</f>
        <v>3.9740844955791207E-2</v>
      </c>
      <c r="D44" s="61">
        <f>IF(VLOOKUP(Table311[[#This Row],[Date]],'DB Details'!$A:$Q,15)=0,"",VLOOKUP(Table311[[#This Row],[Date]],'DB Details'!$A:$Q,15))</f>
        <v>9.9774128259521319E-4</v>
      </c>
      <c r="E44" s="61">
        <f>IF(VLOOKUP(Table311[[#This Row],[Date]],'DB Details'!$A:$Q,17)=0,"",VLOOKUP(Table311[[#This Row],[Date]],'DB Details'!$A:$Q,17))</f>
        <v>3.9969420303305192E-3</v>
      </c>
    </row>
    <row r="45" spans="1:5" x14ac:dyDescent="0.2">
      <c r="A45" s="60">
        <v>36800</v>
      </c>
      <c r="B45" s="50">
        <f>IF(VLOOKUP(Table311[[#This Row],[Date]],'DB Details'!$A:$Q,12)=0,"",VLOOKUP(Table311[[#This Row],[Date]],'DB Details'!$A:$Q,12))</f>
        <v>56.7</v>
      </c>
      <c r="C45" s="61">
        <f>IF(VLOOKUP(Table311[[#This Row],[Date]],'DB Details'!$A:$Q,16)=0,"",VLOOKUP(Table311[[#This Row],[Date]],'DB Details'!$A:$Q,16))</f>
        <v>2.9016204721172601E-2</v>
      </c>
      <c r="D45" s="61">
        <f>IF(VLOOKUP(Table311[[#This Row],[Date]],'DB Details'!$A:$Q,15)=0,"",VLOOKUP(Table311[[#This Row],[Date]],'DB Details'!$A:$Q,15))</f>
        <v>5.9436175514207554E-3</v>
      </c>
      <c r="E45" s="61">
        <f>IF(VLOOKUP(Table311[[#This Row],[Date]],'DB Details'!$A:$Q,17)=0,"",VLOOKUP(Table311[[#This Row],[Date]],'DB Details'!$A:$Q,17))</f>
        <v>2.3987270862187989E-2</v>
      </c>
    </row>
    <row r="46" spans="1:5" x14ac:dyDescent="0.2">
      <c r="A46" s="60">
        <v>36831</v>
      </c>
      <c r="B46" s="50">
        <f>IF(VLOOKUP(Table311[[#This Row],[Date]],'DB Details'!$A:$Q,12)=0,"",VLOOKUP(Table311[[#This Row],[Date]],'DB Details'!$A:$Q,12))</f>
        <v>56.2</v>
      </c>
      <c r="C46" s="61">
        <f>IF(VLOOKUP(Table311[[#This Row],[Date]],'DB Details'!$A:$Q,16)=0,"",VLOOKUP(Table311[[#This Row],[Date]],'DB Details'!$A:$Q,16))</f>
        <v>2.9016204721172601E-2</v>
      </c>
      <c r="D46" s="61">
        <f>IF(VLOOKUP(Table311[[#This Row],[Date]],'DB Details'!$A:$Q,15)=0,"",VLOOKUP(Table311[[#This Row],[Date]],'DB Details'!$A:$Q,15))</f>
        <v>5.9436175514207554E-3</v>
      </c>
      <c r="E46" s="61">
        <f>IF(VLOOKUP(Table311[[#This Row],[Date]],'DB Details'!$A:$Q,17)=0,"",VLOOKUP(Table311[[#This Row],[Date]],'DB Details'!$A:$Q,17))</f>
        <v>2.3987270862187989E-2</v>
      </c>
    </row>
    <row r="47" spans="1:5" x14ac:dyDescent="0.2">
      <c r="A47" s="60">
        <v>36861</v>
      </c>
      <c r="B47" s="50">
        <f>IF(VLOOKUP(Table311[[#This Row],[Date]],'DB Details'!$A:$Q,12)=0,"",VLOOKUP(Table311[[#This Row],[Date]],'DB Details'!$A:$Q,12))</f>
        <v>54</v>
      </c>
      <c r="C47" s="61">
        <f>IF(VLOOKUP(Table311[[#This Row],[Date]],'DB Details'!$A:$Q,16)=0,"",VLOOKUP(Table311[[#This Row],[Date]],'DB Details'!$A:$Q,16))</f>
        <v>2.9016204721172601E-2</v>
      </c>
      <c r="D47" s="61">
        <f>IF(VLOOKUP(Table311[[#This Row],[Date]],'DB Details'!$A:$Q,15)=0,"",VLOOKUP(Table311[[#This Row],[Date]],'DB Details'!$A:$Q,15))</f>
        <v>5.9436175514207554E-3</v>
      </c>
      <c r="E47" s="61">
        <f>IF(VLOOKUP(Table311[[#This Row],[Date]],'DB Details'!$A:$Q,17)=0,"",VLOOKUP(Table311[[#This Row],[Date]],'DB Details'!$A:$Q,17))</f>
        <v>2.3987270862187989E-2</v>
      </c>
    </row>
    <row r="48" spans="1:5" x14ac:dyDescent="0.2">
      <c r="A48" s="60">
        <v>36892</v>
      </c>
      <c r="B48" s="50">
        <f>IF(VLOOKUP(Table311[[#This Row],[Date]],'DB Details'!$A:$Q,12)=0,"",VLOOKUP(Table311[[#This Row],[Date]],'DB Details'!$A:$Q,12))</f>
        <v>51.6</v>
      </c>
      <c r="C48" s="61">
        <f>IF(VLOOKUP(Table311[[#This Row],[Date]],'DB Details'!$A:$Q,16)=0,"",VLOOKUP(Table311[[#This Row],[Date]],'DB Details'!$A:$Q,16))</f>
        <v>2.1955428467879849E-2</v>
      </c>
      <c r="D48" s="61">
        <f>IF(VLOOKUP(Table311[[#This Row],[Date]],'DB Details'!$A:$Q,15)=0,"",VLOOKUP(Table311[[#This Row],[Date]],'DB Details'!$A:$Q,15))</f>
        <v>-3.2422100322343338E-3</v>
      </c>
      <c r="E48" s="61">
        <f>IF(VLOOKUP(Table311[[#This Row],[Date]],'DB Details'!$A:$Q,17)=0,"",VLOOKUP(Table311[[#This Row],[Date]],'DB Details'!$A:$Q,17))</f>
        <v>-1.2905904790564421E-2</v>
      </c>
    </row>
    <row r="49" spans="1:5" x14ac:dyDescent="0.2">
      <c r="A49" s="60">
        <v>36923</v>
      </c>
      <c r="B49" s="50">
        <f>IF(VLOOKUP(Table311[[#This Row],[Date]],'DB Details'!$A:$Q,12)=0,"",VLOOKUP(Table311[[#This Row],[Date]],'DB Details'!$A:$Q,12))</f>
        <v>51.3</v>
      </c>
      <c r="C49" s="61">
        <f>IF(VLOOKUP(Table311[[#This Row],[Date]],'DB Details'!$A:$Q,16)=0,"",VLOOKUP(Table311[[#This Row],[Date]],'DB Details'!$A:$Q,16))</f>
        <v>2.1955428467879849E-2</v>
      </c>
      <c r="D49" s="61">
        <f>IF(VLOOKUP(Table311[[#This Row],[Date]],'DB Details'!$A:$Q,15)=0,"",VLOOKUP(Table311[[#This Row],[Date]],'DB Details'!$A:$Q,15))</f>
        <v>-3.2422100322343338E-3</v>
      </c>
      <c r="E49" s="61">
        <f>IF(VLOOKUP(Table311[[#This Row],[Date]],'DB Details'!$A:$Q,17)=0,"",VLOOKUP(Table311[[#This Row],[Date]],'DB Details'!$A:$Q,17))</f>
        <v>-1.2905904790564421E-2</v>
      </c>
    </row>
    <row r="50" spans="1:5" x14ac:dyDescent="0.2">
      <c r="A50" s="60">
        <v>36951</v>
      </c>
      <c r="B50" s="50">
        <f>IF(VLOOKUP(Table311[[#This Row],[Date]],'DB Details'!$A:$Q,12)=0,"",VLOOKUP(Table311[[#This Row],[Date]],'DB Details'!$A:$Q,12))</f>
        <v>50.7</v>
      </c>
      <c r="C50" s="61">
        <f>IF(VLOOKUP(Table311[[#This Row],[Date]],'DB Details'!$A:$Q,16)=0,"",VLOOKUP(Table311[[#This Row],[Date]],'DB Details'!$A:$Q,16))</f>
        <v>2.1955428467879849E-2</v>
      </c>
      <c r="D50" s="61">
        <f>IF(VLOOKUP(Table311[[#This Row],[Date]],'DB Details'!$A:$Q,15)=0,"",VLOOKUP(Table311[[#This Row],[Date]],'DB Details'!$A:$Q,15))</f>
        <v>-3.2422100322343338E-3</v>
      </c>
      <c r="E50" s="61">
        <f>IF(VLOOKUP(Table311[[#This Row],[Date]],'DB Details'!$A:$Q,17)=0,"",VLOOKUP(Table311[[#This Row],[Date]],'DB Details'!$A:$Q,17))</f>
        <v>-1.2905904790564421E-2</v>
      </c>
    </row>
    <row r="51" spans="1:5" x14ac:dyDescent="0.2">
      <c r="A51" s="60">
        <v>36982</v>
      </c>
      <c r="B51" s="50">
        <f>IF(VLOOKUP(Table311[[#This Row],[Date]],'DB Details'!$A:$Q,12)=0,"",VLOOKUP(Table311[[#This Row],[Date]],'DB Details'!$A:$Q,12))</f>
        <v>48.3</v>
      </c>
      <c r="C51" s="61">
        <f>IF(VLOOKUP(Table311[[#This Row],[Date]],'DB Details'!$A:$Q,16)=0,"",VLOOKUP(Table311[[#This Row],[Date]],'DB Details'!$A:$Q,16))</f>
        <v>9.9193295688802842E-3</v>
      </c>
      <c r="D51" s="61">
        <f>IF(VLOOKUP(Table311[[#This Row],[Date]],'DB Details'!$A:$Q,15)=0,"",VLOOKUP(Table311[[#This Row],[Date]],'DB Details'!$A:$Q,15))</f>
        <v>6.2138921486550201E-3</v>
      </c>
      <c r="E51" s="61">
        <f>IF(VLOOKUP(Table311[[#This Row],[Date]],'DB Details'!$A:$Q,17)=0,"",VLOOKUP(Table311[[#This Row],[Date]],'DB Details'!$A:$Q,17))</f>
        <v>2.508820455389205E-2</v>
      </c>
    </row>
    <row r="52" spans="1:5" x14ac:dyDescent="0.2">
      <c r="A52" s="60">
        <v>37012</v>
      </c>
      <c r="B52" s="50">
        <f>IF(VLOOKUP(Table311[[#This Row],[Date]],'DB Details'!$A:$Q,12)=0,"",VLOOKUP(Table311[[#This Row],[Date]],'DB Details'!$A:$Q,12))</f>
        <v>49</v>
      </c>
      <c r="C52" s="61">
        <f>IF(VLOOKUP(Table311[[#This Row],[Date]],'DB Details'!$A:$Q,16)=0,"",VLOOKUP(Table311[[#This Row],[Date]],'DB Details'!$A:$Q,16))</f>
        <v>9.9193295688802842E-3</v>
      </c>
      <c r="D52" s="61">
        <f>IF(VLOOKUP(Table311[[#This Row],[Date]],'DB Details'!$A:$Q,15)=0,"",VLOOKUP(Table311[[#This Row],[Date]],'DB Details'!$A:$Q,15))</f>
        <v>6.2138921486550201E-3</v>
      </c>
      <c r="E52" s="61">
        <f>IF(VLOOKUP(Table311[[#This Row],[Date]],'DB Details'!$A:$Q,17)=0,"",VLOOKUP(Table311[[#This Row],[Date]],'DB Details'!$A:$Q,17))</f>
        <v>2.508820455389205E-2</v>
      </c>
    </row>
    <row r="53" spans="1:5" x14ac:dyDescent="0.2">
      <c r="A53" s="60">
        <v>37043</v>
      </c>
      <c r="B53" s="50">
        <f>IF(VLOOKUP(Table311[[#This Row],[Date]],'DB Details'!$A:$Q,12)=0,"",VLOOKUP(Table311[[#This Row],[Date]],'DB Details'!$A:$Q,12))</f>
        <v>50.1</v>
      </c>
      <c r="C53" s="61">
        <f>IF(VLOOKUP(Table311[[#This Row],[Date]],'DB Details'!$A:$Q,16)=0,"",VLOOKUP(Table311[[#This Row],[Date]],'DB Details'!$A:$Q,16))</f>
        <v>9.9193295688802842E-3</v>
      </c>
      <c r="D53" s="61">
        <f>IF(VLOOKUP(Table311[[#This Row],[Date]],'DB Details'!$A:$Q,15)=0,"",VLOOKUP(Table311[[#This Row],[Date]],'DB Details'!$A:$Q,15))</f>
        <v>6.2138921486550201E-3</v>
      </c>
      <c r="E53" s="61">
        <f>IF(VLOOKUP(Table311[[#This Row],[Date]],'DB Details'!$A:$Q,17)=0,"",VLOOKUP(Table311[[#This Row],[Date]],'DB Details'!$A:$Q,17))</f>
        <v>2.508820455389205E-2</v>
      </c>
    </row>
    <row r="54" spans="1:5" x14ac:dyDescent="0.2">
      <c r="A54" s="60">
        <v>37073</v>
      </c>
      <c r="B54" s="50">
        <f>IF(VLOOKUP(Table311[[#This Row],[Date]],'DB Details'!$A:$Q,12)=0,"",VLOOKUP(Table311[[#This Row],[Date]],'DB Details'!$A:$Q,12))</f>
        <v>48.1</v>
      </c>
      <c r="C54" s="61">
        <f>IF(VLOOKUP(Table311[[#This Row],[Date]],'DB Details'!$A:$Q,16)=0,"",VLOOKUP(Table311[[#This Row],[Date]],'DB Details'!$A:$Q,16))</f>
        <v>4.8735236716932872E-3</v>
      </c>
      <c r="D54" s="61">
        <f>IF(VLOOKUP(Table311[[#This Row],[Date]],'DB Details'!$A:$Q,15)=0,"",VLOOKUP(Table311[[#This Row],[Date]],'DB Details'!$A:$Q,15))</f>
        <v>-4.0034901605050122E-3</v>
      </c>
      <c r="E54" s="61">
        <f>IF(VLOOKUP(Table311[[#This Row],[Date]],'DB Details'!$A:$Q,17)=0,"",VLOOKUP(Table311[[#This Row],[Date]],'DB Details'!$A:$Q,17))</f>
        <v>-1.5918049455029729E-2</v>
      </c>
    </row>
    <row r="55" spans="1:5" x14ac:dyDescent="0.2">
      <c r="A55" s="60">
        <v>37104</v>
      </c>
      <c r="B55" s="50">
        <f>IF(VLOOKUP(Table311[[#This Row],[Date]],'DB Details'!$A:$Q,12)=0,"",VLOOKUP(Table311[[#This Row],[Date]],'DB Details'!$A:$Q,12))</f>
        <v>46.9</v>
      </c>
      <c r="C55" s="61">
        <f>IF(VLOOKUP(Table311[[#This Row],[Date]],'DB Details'!$A:$Q,16)=0,"",VLOOKUP(Table311[[#This Row],[Date]],'DB Details'!$A:$Q,16))</f>
        <v>4.8735236716932872E-3</v>
      </c>
      <c r="D55" s="61">
        <f>IF(VLOOKUP(Table311[[#This Row],[Date]],'DB Details'!$A:$Q,15)=0,"",VLOOKUP(Table311[[#This Row],[Date]],'DB Details'!$A:$Q,15))</f>
        <v>-4.0034901605050122E-3</v>
      </c>
      <c r="E55" s="61">
        <f>IF(VLOOKUP(Table311[[#This Row],[Date]],'DB Details'!$A:$Q,17)=0,"",VLOOKUP(Table311[[#This Row],[Date]],'DB Details'!$A:$Q,17))</f>
        <v>-1.5918049455029729E-2</v>
      </c>
    </row>
    <row r="56" spans="1:5" x14ac:dyDescent="0.2">
      <c r="A56" s="60">
        <v>37135</v>
      </c>
      <c r="B56" s="50">
        <f>IF(VLOOKUP(Table311[[#This Row],[Date]],'DB Details'!$A:$Q,12)=0,"",VLOOKUP(Table311[[#This Row],[Date]],'DB Details'!$A:$Q,12))</f>
        <v>49.5</v>
      </c>
      <c r="C56" s="61">
        <f>IF(VLOOKUP(Table311[[#This Row],[Date]],'DB Details'!$A:$Q,16)=0,"",VLOOKUP(Table311[[#This Row],[Date]],'DB Details'!$A:$Q,16))</f>
        <v>4.8735236716932872E-3</v>
      </c>
      <c r="D56" s="61">
        <f>IF(VLOOKUP(Table311[[#This Row],[Date]],'DB Details'!$A:$Q,15)=0,"",VLOOKUP(Table311[[#This Row],[Date]],'DB Details'!$A:$Q,15))</f>
        <v>-4.0034901605050122E-3</v>
      </c>
      <c r="E56" s="61">
        <f>IF(VLOOKUP(Table311[[#This Row],[Date]],'DB Details'!$A:$Q,17)=0,"",VLOOKUP(Table311[[#This Row],[Date]],'DB Details'!$A:$Q,17))</f>
        <v>-1.5918049455029729E-2</v>
      </c>
    </row>
    <row r="57" spans="1:5" x14ac:dyDescent="0.2">
      <c r="A57" s="60">
        <v>37165</v>
      </c>
      <c r="B57" s="50">
        <f>IF(VLOOKUP(Table311[[#This Row],[Date]],'DB Details'!$A:$Q,12)=0,"",VLOOKUP(Table311[[#This Row],[Date]],'DB Details'!$A:$Q,12))</f>
        <v>44.8</v>
      </c>
      <c r="C57" s="61">
        <f>IF(VLOOKUP(Table311[[#This Row],[Date]],'DB Details'!$A:$Q,16)=0,"",VLOOKUP(Table311[[#This Row],[Date]],'DB Details'!$A:$Q,16))</f>
        <v>1.706422364229252E-3</v>
      </c>
      <c r="D57" s="61">
        <f>IF(VLOOKUP(Table311[[#This Row],[Date]],'DB Details'!$A:$Q,15)=0,"",VLOOKUP(Table311[[#This Row],[Date]],'DB Details'!$A:$Q,15))</f>
        <v>2.7731435849645621E-3</v>
      </c>
      <c r="E57" s="61">
        <f>IF(VLOOKUP(Table311[[#This Row],[Date]],'DB Details'!$A:$Q,17)=0,"",VLOOKUP(Table311[[#This Row],[Date]],'DB Details'!$A:$Q,17))</f>
        <v>1.113880165656167E-2</v>
      </c>
    </row>
    <row r="58" spans="1:5" x14ac:dyDescent="0.2">
      <c r="A58" s="60">
        <v>37196</v>
      </c>
      <c r="B58" s="50">
        <f>IF(VLOOKUP(Table311[[#This Row],[Date]],'DB Details'!$A:$Q,12)=0,"",VLOOKUP(Table311[[#This Row],[Date]],'DB Details'!$A:$Q,12))</f>
        <v>48.2</v>
      </c>
      <c r="C58" s="61">
        <f>IF(VLOOKUP(Table311[[#This Row],[Date]],'DB Details'!$A:$Q,16)=0,"",VLOOKUP(Table311[[#This Row],[Date]],'DB Details'!$A:$Q,16))</f>
        <v>1.706422364229252E-3</v>
      </c>
      <c r="D58" s="61">
        <f>IF(VLOOKUP(Table311[[#This Row],[Date]],'DB Details'!$A:$Q,15)=0,"",VLOOKUP(Table311[[#This Row],[Date]],'DB Details'!$A:$Q,15))</f>
        <v>2.7731435849645621E-3</v>
      </c>
      <c r="E58" s="61">
        <f>IF(VLOOKUP(Table311[[#This Row],[Date]],'DB Details'!$A:$Q,17)=0,"",VLOOKUP(Table311[[#This Row],[Date]],'DB Details'!$A:$Q,17))</f>
        <v>1.113880165656167E-2</v>
      </c>
    </row>
    <row r="59" spans="1:5" x14ac:dyDescent="0.2">
      <c r="A59" s="60">
        <v>37226</v>
      </c>
      <c r="B59" s="50">
        <f>IF(VLOOKUP(Table311[[#This Row],[Date]],'DB Details'!$A:$Q,12)=0,"",VLOOKUP(Table311[[#This Row],[Date]],'DB Details'!$A:$Q,12))</f>
        <v>49.7</v>
      </c>
      <c r="C59" s="61">
        <f>IF(VLOOKUP(Table311[[#This Row],[Date]],'DB Details'!$A:$Q,16)=0,"",VLOOKUP(Table311[[#This Row],[Date]],'DB Details'!$A:$Q,16))</f>
        <v>1.706422364229252E-3</v>
      </c>
      <c r="D59" s="61">
        <f>IF(VLOOKUP(Table311[[#This Row],[Date]],'DB Details'!$A:$Q,15)=0,"",VLOOKUP(Table311[[#This Row],[Date]],'DB Details'!$A:$Q,15))</f>
        <v>2.7731435849645621E-3</v>
      </c>
      <c r="E59" s="61">
        <f>IF(VLOOKUP(Table311[[#This Row],[Date]],'DB Details'!$A:$Q,17)=0,"",VLOOKUP(Table311[[#This Row],[Date]],'DB Details'!$A:$Q,17))</f>
        <v>1.113880165656167E-2</v>
      </c>
    </row>
    <row r="60" spans="1:5" x14ac:dyDescent="0.2">
      <c r="A60" s="60">
        <v>37257</v>
      </c>
      <c r="B60" s="50">
        <f>IF(VLOOKUP(Table311[[#This Row],[Date]],'DB Details'!$A:$Q,12)=0,"",VLOOKUP(Table311[[#This Row],[Date]],'DB Details'!$A:$Q,12))</f>
        <v>48.9</v>
      </c>
      <c r="C60" s="61">
        <f>IF(VLOOKUP(Table311[[#This Row],[Date]],'DB Details'!$A:$Q,16)=0,"",VLOOKUP(Table311[[#This Row],[Date]],'DB Details'!$A:$Q,16))</f>
        <v>1.3288120484284601E-2</v>
      </c>
      <c r="D60" s="61">
        <f>IF(VLOOKUP(Table311[[#This Row],[Date]],'DB Details'!$A:$Q,15)=0,"",VLOOKUP(Table311[[#This Row],[Date]],'DB Details'!$A:$Q,15))</f>
        <v>8.2822721558439595E-3</v>
      </c>
      <c r="E60" s="61">
        <f>IF(VLOOKUP(Table311[[#This Row],[Date]],'DB Details'!$A:$Q,17)=0,"",VLOOKUP(Table311[[#This Row],[Date]],'DB Details'!$A:$Q,17))</f>
        <v>3.354294204519781E-2</v>
      </c>
    </row>
    <row r="61" spans="1:5" x14ac:dyDescent="0.2">
      <c r="A61" s="60">
        <v>37288</v>
      </c>
      <c r="B61" s="50">
        <f>IF(VLOOKUP(Table311[[#This Row],[Date]],'DB Details'!$A:$Q,12)=0,"",VLOOKUP(Table311[[#This Row],[Date]],'DB Details'!$A:$Q,12))</f>
        <v>52.7</v>
      </c>
      <c r="C61" s="61">
        <f>IF(VLOOKUP(Table311[[#This Row],[Date]],'DB Details'!$A:$Q,16)=0,"",VLOOKUP(Table311[[#This Row],[Date]],'DB Details'!$A:$Q,16))</f>
        <v>1.3288120484284601E-2</v>
      </c>
      <c r="D61" s="61">
        <f>IF(VLOOKUP(Table311[[#This Row],[Date]],'DB Details'!$A:$Q,15)=0,"",VLOOKUP(Table311[[#This Row],[Date]],'DB Details'!$A:$Q,15))</f>
        <v>8.2822721558439595E-3</v>
      </c>
      <c r="E61" s="61">
        <f>IF(VLOOKUP(Table311[[#This Row],[Date]],'DB Details'!$A:$Q,17)=0,"",VLOOKUP(Table311[[#This Row],[Date]],'DB Details'!$A:$Q,17))</f>
        <v>3.354294204519781E-2</v>
      </c>
    </row>
    <row r="62" spans="1:5" x14ac:dyDescent="0.2">
      <c r="A62" s="60">
        <v>37316</v>
      </c>
      <c r="B62" s="50">
        <f>IF(VLOOKUP(Table311[[#This Row],[Date]],'DB Details'!$A:$Q,12)=0,"",VLOOKUP(Table311[[#This Row],[Date]],'DB Details'!$A:$Q,12))</f>
        <v>52.8</v>
      </c>
      <c r="C62" s="61">
        <f>IF(VLOOKUP(Table311[[#This Row],[Date]],'DB Details'!$A:$Q,16)=0,"",VLOOKUP(Table311[[#This Row],[Date]],'DB Details'!$A:$Q,16))</f>
        <v>1.3288120484284601E-2</v>
      </c>
      <c r="D62" s="61">
        <f>IF(VLOOKUP(Table311[[#This Row],[Date]],'DB Details'!$A:$Q,15)=0,"",VLOOKUP(Table311[[#This Row],[Date]],'DB Details'!$A:$Q,15))</f>
        <v>8.2822721558439595E-3</v>
      </c>
      <c r="E62" s="61">
        <f>IF(VLOOKUP(Table311[[#This Row],[Date]],'DB Details'!$A:$Q,17)=0,"",VLOOKUP(Table311[[#This Row],[Date]],'DB Details'!$A:$Q,17))</f>
        <v>3.354294204519781E-2</v>
      </c>
    </row>
    <row r="63" spans="1:5" x14ac:dyDescent="0.2">
      <c r="A63" s="60">
        <v>37347</v>
      </c>
      <c r="B63" s="50">
        <f>IF(VLOOKUP(Table311[[#This Row],[Date]],'DB Details'!$A:$Q,12)=0,"",VLOOKUP(Table311[[#This Row],[Date]],'DB Details'!$A:$Q,12))</f>
        <v>53.5</v>
      </c>
      <c r="C63" s="61">
        <f>IF(VLOOKUP(Table311[[#This Row],[Date]],'DB Details'!$A:$Q,16)=0,"",VLOOKUP(Table311[[#This Row],[Date]],'DB Details'!$A:$Q,16))</f>
        <v>1.322883902243626E-2</v>
      </c>
      <c r="D63" s="61">
        <f>IF(VLOOKUP(Table311[[#This Row],[Date]],'DB Details'!$A:$Q,15)=0,"",VLOOKUP(Table311[[#This Row],[Date]],'DB Details'!$A:$Q,15))</f>
        <v>6.1550245578357683E-3</v>
      </c>
      <c r="E63" s="61">
        <f>IF(VLOOKUP(Table311[[#This Row],[Date]],'DB Details'!$A:$Q,17)=0,"",VLOOKUP(Table311[[#This Row],[Date]],'DB Details'!$A:$Q,17))</f>
        <v>2.484833834627009E-2</v>
      </c>
    </row>
    <row r="64" spans="1:5" x14ac:dyDescent="0.2">
      <c r="A64" s="60">
        <v>37377</v>
      </c>
      <c r="B64" s="50">
        <f>IF(VLOOKUP(Table311[[#This Row],[Date]],'DB Details'!$A:$Q,12)=0,"",VLOOKUP(Table311[[#This Row],[Date]],'DB Details'!$A:$Q,12))</f>
        <v>54.8</v>
      </c>
      <c r="C64" s="61">
        <f>IF(VLOOKUP(Table311[[#This Row],[Date]],'DB Details'!$A:$Q,16)=0,"",VLOOKUP(Table311[[#This Row],[Date]],'DB Details'!$A:$Q,16))</f>
        <v>1.322883902243626E-2</v>
      </c>
      <c r="D64" s="61">
        <f>IF(VLOOKUP(Table311[[#This Row],[Date]],'DB Details'!$A:$Q,15)=0,"",VLOOKUP(Table311[[#This Row],[Date]],'DB Details'!$A:$Q,15))</f>
        <v>6.1550245578357683E-3</v>
      </c>
      <c r="E64" s="61">
        <f>IF(VLOOKUP(Table311[[#This Row],[Date]],'DB Details'!$A:$Q,17)=0,"",VLOOKUP(Table311[[#This Row],[Date]],'DB Details'!$A:$Q,17))</f>
        <v>2.484833834627009E-2</v>
      </c>
    </row>
    <row r="65" spans="1:5" x14ac:dyDescent="0.2">
      <c r="A65" s="60">
        <v>37408</v>
      </c>
      <c r="B65" s="50">
        <f>IF(VLOOKUP(Table311[[#This Row],[Date]],'DB Details'!$A:$Q,12)=0,"",VLOOKUP(Table311[[#This Row],[Date]],'DB Details'!$A:$Q,12))</f>
        <v>52.5</v>
      </c>
      <c r="C65" s="61">
        <f>IF(VLOOKUP(Table311[[#This Row],[Date]],'DB Details'!$A:$Q,16)=0,"",VLOOKUP(Table311[[#This Row],[Date]],'DB Details'!$A:$Q,16))</f>
        <v>1.322883902243626E-2</v>
      </c>
      <c r="D65" s="61">
        <f>IF(VLOOKUP(Table311[[#This Row],[Date]],'DB Details'!$A:$Q,15)=0,"",VLOOKUP(Table311[[#This Row],[Date]],'DB Details'!$A:$Q,15))</f>
        <v>6.1550245578357683E-3</v>
      </c>
      <c r="E65" s="61">
        <f>IF(VLOOKUP(Table311[[#This Row],[Date]],'DB Details'!$A:$Q,17)=0,"",VLOOKUP(Table311[[#This Row],[Date]],'DB Details'!$A:$Q,17))</f>
        <v>2.484833834627009E-2</v>
      </c>
    </row>
    <row r="66" spans="1:5" x14ac:dyDescent="0.2">
      <c r="A66" s="60">
        <v>37438</v>
      </c>
      <c r="B66" s="50">
        <f>IF(VLOOKUP(Table311[[#This Row],[Date]],'DB Details'!$A:$Q,12)=0,"",VLOOKUP(Table311[[#This Row],[Date]],'DB Details'!$A:$Q,12))</f>
        <v>50.4</v>
      </c>
      <c r="C66" s="61">
        <f>IF(VLOOKUP(Table311[[#This Row],[Date]],'DB Details'!$A:$Q,16)=0,"",VLOOKUP(Table311[[#This Row],[Date]],'DB Details'!$A:$Q,16))</f>
        <v>2.140669989799325E-2</v>
      </c>
      <c r="D66" s="61">
        <f>IF(VLOOKUP(Table311[[#This Row],[Date]],'DB Details'!$A:$Q,15)=0,"",VLOOKUP(Table311[[#This Row],[Date]],'DB Details'!$A:$Q,15))</f>
        <v>4.0352870399802624E-3</v>
      </c>
      <c r="E66" s="61">
        <f>IF(VLOOKUP(Table311[[#This Row],[Date]],'DB Details'!$A:$Q,17)=0,"",VLOOKUP(Table311[[#This Row],[Date]],'DB Details'!$A:$Q,17))</f>
        <v>1.6239112509100821E-2</v>
      </c>
    </row>
    <row r="67" spans="1:5" x14ac:dyDescent="0.2">
      <c r="A67" s="60">
        <v>37469</v>
      </c>
      <c r="B67" s="50">
        <f>IF(VLOOKUP(Table311[[#This Row],[Date]],'DB Details'!$A:$Q,12)=0,"",VLOOKUP(Table311[[#This Row],[Date]],'DB Details'!$A:$Q,12))</f>
        <v>50.9</v>
      </c>
      <c r="C67" s="61">
        <f>IF(VLOOKUP(Table311[[#This Row],[Date]],'DB Details'!$A:$Q,16)=0,"",VLOOKUP(Table311[[#This Row],[Date]],'DB Details'!$A:$Q,16))</f>
        <v>2.140669989799325E-2</v>
      </c>
      <c r="D67" s="61">
        <f>IF(VLOOKUP(Table311[[#This Row],[Date]],'DB Details'!$A:$Q,15)=0,"",VLOOKUP(Table311[[#This Row],[Date]],'DB Details'!$A:$Q,15))</f>
        <v>4.0352870399802624E-3</v>
      </c>
      <c r="E67" s="61">
        <f>IF(VLOOKUP(Table311[[#This Row],[Date]],'DB Details'!$A:$Q,17)=0,"",VLOOKUP(Table311[[#This Row],[Date]],'DB Details'!$A:$Q,17))</f>
        <v>1.6239112509100821E-2</v>
      </c>
    </row>
    <row r="68" spans="1:5" x14ac:dyDescent="0.2">
      <c r="A68" s="60">
        <v>37500</v>
      </c>
      <c r="B68" s="50">
        <f>IF(VLOOKUP(Table311[[#This Row],[Date]],'DB Details'!$A:$Q,12)=0,"",VLOOKUP(Table311[[#This Row],[Date]],'DB Details'!$A:$Q,12))</f>
        <v>52.3</v>
      </c>
      <c r="C68" s="61">
        <f>IF(VLOOKUP(Table311[[#This Row],[Date]],'DB Details'!$A:$Q,16)=0,"",VLOOKUP(Table311[[#This Row],[Date]],'DB Details'!$A:$Q,16))</f>
        <v>2.140669989799325E-2</v>
      </c>
      <c r="D68" s="61">
        <f>IF(VLOOKUP(Table311[[#This Row],[Date]],'DB Details'!$A:$Q,15)=0,"",VLOOKUP(Table311[[#This Row],[Date]],'DB Details'!$A:$Q,15))</f>
        <v>4.0352870399802624E-3</v>
      </c>
      <c r="E68" s="61">
        <f>IF(VLOOKUP(Table311[[#This Row],[Date]],'DB Details'!$A:$Q,17)=0,"",VLOOKUP(Table311[[#This Row],[Date]],'DB Details'!$A:$Q,17))</f>
        <v>1.6239112509100821E-2</v>
      </c>
    </row>
    <row r="69" spans="1:5" x14ac:dyDescent="0.2">
      <c r="A69" s="60">
        <v>37530</v>
      </c>
      <c r="B69" s="50">
        <f>IF(VLOOKUP(Table311[[#This Row],[Date]],'DB Details'!$A:$Q,12)=0,"",VLOOKUP(Table311[[#This Row],[Date]],'DB Details'!$A:$Q,12))</f>
        <v>51.4</v>
      </c>
      <c r="C69" s="61">
        <f>IF(VLOOKUP(Table311[[#This Row],[Date]],'DB Details'!$A:$Q,16)=0,"",VLOOKUP(Table311[[#This Row],[Date]],'DB Details'!$A:$Q,16))</f>
        <v>1.9912861846485559E-2</v>
      </c>
      <c r="D69" s="61">
        <f>IF(VLOOKUP(Table311[[#This Row],[Date]],'DB Details'!$A:$Q,15)=0,"",VLOOKUP(Table311[[#This Row],[Date]],'DB Details'!$A:$Q,15))</f>
        <v>1.306557670590968E-3</v>
      </c>
      <c r="E69" s="61">
        <f>IF(VLOOKUP(Table311[[#This Row],[Date]],'DB Details'!$A:$Q,17)=0,"",VLOOKUP(Table311[[#This Row],[Date]],'DB Details'!$A:$Q,17))</f>
        <v>5.2364821646193596E-3</v>
      </c>
    </row>
    <row r="70" spans="1:5" x14ac:dyDescent="0.2">
      <c r="A70" s="60">
        <v>37561</v>
      </c>
      <c r="B70" s="50">
        <f>IF(VLOOKUP(Table311[[#This Row],[Date]],'DB Details'!$A:$Q,12)=0,"",VLOOKUP(Table311[[#This Row],[Date]],'DB Details'!$A:$Q,12))</f>
        <v>52.9</v>
      </c>
      <c r="C70" s="61">
        <f>IF(VLOOKUP(Table311[[#This Row],[Date]],'DB Details'!$A:$Q,16)=0,"",VLOOKUP(Table311[[#This Row],[Date]],'DB Details'!$A:$Q,16))</f>
        <v>1.9912861846485559E-2</v>
      </c>
      <c r="D70" s="61">
        <f>IF(VLOOKUP(Table311[[#This Row],[Date]],'DB Details'!$A:$Q,15)=0,"",VLOOKUP(Table311[[#This Row],[Date]],'DB Details'!$A:$Q,15))</f>
        <v>1.306557670590968E-3</v>
      </c>
      <c r="E70" s="61">
        <f>IF(VLOOKUP(Table311[[#This Row],[Date]],'DB Details'!$A:$Q,17)=0,"",VLOOKUP(Table311[[#This Row],[Date]],'DB Details'!$A:$Q,17))</f>
        <v>5.2364821646193596E-3</v>
      </c>
    </row>
    <row r="71" spans="1:5" x14ac:dyDescent="0.2">
      <c r="A71" s="60">
        <v>37591</v>
      </c>
      <c r="B71" s="50">
        <f>IF(VLOOKUP(Table311[[#This Row],[Date]],'DB Details'!$A:$Q,12)=0,"",VLOOKUP(Table311[[#This Row],[Date]],'DB Details'!$A:$Q,12))</f>
        <v>52.3</v>
      </c>
      <c r="C71" s="61">
        <f>IF(VLOOKUP(Table311[[#This Row],[Date]],'DB Details'!$A:$Q,16)=0,"",VLOOKUP(Table311[[#This Row],[Date]],'DB Details'!$A:$Q,16))</f>
        <v>1.9912861846485559E-2</v>
      </c>
      <c r="D71" s="61">
        <f>IF(VLOOKUP(Table311[[#This Row],[Date]],'DB Details'!$A:$Q,15)=0,"",VLOOKUP(Table311[[#This Row],[Date]],'DB Details'!$A:$Q,15))</f>
        <v>1.306557670590968E-3</v>
      </c>
      <c r="E71" s="61">
        <f>IF(VLOOKUP(Table311[[#This Row],[Date]],'DB Details'!$A:$Q,17)=0,"",VLOOKUP(Table311[[#This Row],[Date]],'DB Details'!$A:$Q,17))</f>
        <v>5.2364821646193596E-3</v>
      </c>
    </row>
    <row r="72" spans="1:5" x14ac:dyDescent="0.2">
      <c r="A72" s="60">
        <v>37622</v>
      </c>
      <c r="B72" s="50">
        <f>IF(VLOOKUP(Table311[[#This Row],[Date]],'DB Details'!$A:$Q,12)=0,"",VLOOKUP(Table311[[#This Row],[Date]],'DB Details'!$A:$Q,12))</f>
        <v>53.3</v>
      </c>
      <c r="C72" s="61">
        <f>IF(VLOOKUP(Table311[[#This Row],[Date]],'DB Details'!$A:$Q,16)=0,"",VLOOKUP(Table311[[#This Row],[Date]],'DB Details'!$A:$Q,16))</f>
        <v>1.676188940425874E-2</v>
      </c>
      <c r="D72" s="61">
        <f>IF(VLOOKUP(Table311[[#This Row],[Date]],'DB Details'!$A:$Q,15)=0,"",VLOOKUP(Table311[[#This Row],[Date]],'DB Details'!$A:$Q,15))</f>
        <v>5.1672318691698346E-3</v>
      </c>
      <c r="E72" s="61">
        <f>IF(VLOOKUP(Table311[[#This Row],[Date]],'DB Details'!$A:$Q,17)=0,"",VLOOKUP(Table311[[#This Row],[Date]],'DB Details'!$A:$Q,17))</f>
        <v>2.0829681766981079E-2</v>
      </c>
    </row>
    <row r="73" spans="1:5" x14ac:dyDescent="0.2">
      <c r="A73" s="60">
        <v>37653</v>
      </c>
      <c r="B73" s="50">
        <f>IF(VLOOKUP(Table311[[#This Row],[Date]],'DB Details'!$A:$Q,12)=0,"",VLOOKUP(Table311[[#This Row],[Date]],'DB Details'!$A:$Q,12))</f>
        <v>52.6</v>
      </c>
      <c r="C73" s="61">
        <f>IF(VLOOKUP(Table311[[#This Row],[Date]],'DB Details'!$A:$Q,16)=0,"",VLOOKUP(Table311[[#This Row],[Date]],'DB Details'!$A:$Q,16))</f>
        <v>1.676188940425874E-2</v>
      </c>
      <c r="D73" s="61">
        <f>IF(VLOOKUP(Table311[[#This Row],[Date]],'DB Details'!$A:$Q,15)=0,"",VLOOKUP(Table311[[#This Row],[Date]],'DB Details'!$A:$Q,15))</f>
        <v>5.1672318691698346E-3</v>
      </c>
      <c r="E73" s="61">
        <f>IF(VLOOKUP(Table311[[#This Row],[Date]],'DB Details'!$A:$Q,17)=0,"",VLOOKUP(Table311[[#This Row],[Date]],'DB Details'!$A:$Q,17))</f>
        <v>2.0829681766981079E-2</v>
      </c>
    </row>
    <row r="74" spans="1:5" x14ac:dyDescent="0.2">
      <c r="A74" s="60">
        <v>37681</v>
      </c>
      <c r="B74" s="50">
        <f>IF(VLOOKUP(Table311[[#This Row],[Date]],'DB Details'!$A:$Q,12)=0,"",VLOOKUP(Table311[[#This Row],[Date]],'DB Details'!$A:$Q,12))</f>
        <v>49.1</v>
      </c>
      <c r="C74" s="61">
        <f>IF(VLOOKUP(Table311[[#This Row],[Date]],'DB Details'!$A:$Q,16)=0,"",VLOOKUP(Table311[[#This Row],[Date]],'DB Details'!$A:$Q,16))</f>
        <v>1.676188940425874E-2</v>
      </c>
      <c r="D74" s="61">
        <f>IF(VLOOKUP(Table311[[#This Row],[Date]],'DB Details'!$A:$Q,15)=0,"",VLOOKUP(Table311[[#This Row],[Date]],'DB Details'!$A:$Q,15))</f>
        <v>5.1672318691698346E-3</v>
      </c>
      <c r="E74" s="61">
        <f>IF(VLOOKUP(Table311[[#This Row],[Date]],'DB Details'!$A:$Q,17)=0,"",VLOOKUP(Table311[[#This Row],[Date]],'DB Details'!$A:$Q,17))</f>
        <v>2.0829681766981079E-2</v>
      </c>
    </row>
    <row r="75" spans="1:5" x14ac:dyDescent="0.2">
      <c r="A75" s="60">
        <v>37712</v>
      </c>
      <c r="B75" s="50">
        <f>IF(VLOOKUP(Table311[[#This Row],[Date]],'DB Details'!$A:$Q,12)=0,"",VLOOKUP(Table311[[#This Row],[Date]],'DB Details'!$A:$Q,12))</f>
        <v>50.1</v>
      </c>
      <c r="C75" s="61">
        <f>IF(VLOOKUP(Table311[[#This Row],[Date]],'DB Details'!$A:$Q,16)=0,"",VLOOKUP(Table311[[#This Row],[Date]],'DB Details'!$A:$Q,16))</f>
        <v>1.9569936417795909E-2</v>
      </c>
      <c r="D75" s="61">
        <f>IF(VLOOKUP(Table311[[#This Row],[Date]],'DB Details'!$A:$Q,15)=0,"",VLOOKUP(Table311[[#This Row],[Date]],'DB Details'!$A:$Q,15))</f>
        <v>8.9337780116266717E-3</v>
      </c>
      <c r="E75" s="61">
        <f>IF(VLOOKUP(Table311[[#This Row],[Date]],'DB Details'!$A:$Q,17)=0,"",VLOOKUP(Table311[[#This Row],[Date]],'DB Details'!$A:$Q,17))</f>
        <v>3.621684485857446E-2</v>
      </c>
    </row>
    <row r="76" spans="1:5" x14ac:dyDescent="0.2">
      <c r="A76" s="60">
        <v>37742</v>
      </c>
      <c r="B76" s="50">
        <f>IF(VLOOKUP(Table311[[#This Row],[Date]],'DB Details'!$A:$Q,12)=0,"",VLOOKUP(Table311[[#This Row],[Date]],'DB Details'!$A:$Q,12))</f>
        <v>52.8</v>
      </c>
      <c r="C76" s="61">
        <f>IF(VLOOKUP(Table311[[#This Row],[Date]],'DB Details'!$A:$Q,16)=0,"",VLOOKUP(Table311[[#This Row],[Date]],'DB Details'!$A:$Q,16))</f>
        <v>1.9569936417795909E-2</v>
      </c>
      <c r="D76" s="61">
        <f>IF(VLOOKUP(Table311[[#This Row],[Date]],'DB Details'!$A:$Q,15)=0,"",VLOOKUP(Table311[[#This Row],[Date]],'DB Details'!$A:$Q,15))</f>
        <v>8.9337780116266717E-3</v>
      </c>
      <c r="E76" s="61">
        <f>IF(VLOOKUP(Table311[[#This Row],[Date]],'DB Details'!$A:$Q,17)=0,"",VLOOKUP(Table311[[#This Row],[Date]],'DB Details'!$A:$Q,17))</f>
        <v>3.621684485857446E-2</v>
      </c>
    </row>
    <row r="77" spans="1:5" x14ac:dyDescent="0.2">
      <c r="A77" s="60">
        <v>37773</v>
      </c>
      <c r="B77" s="50">
        <f>IF(VLOOKUP(Table311[[#This Row],[Date]],'DB Details'!$A:$Q,12)=0,"",VLOOKUP(Table311[[#This Row],[Date]],'DB Details'!$A:$Q,12))</f>
        <v>54.3</v>
      </c>
      <c r="C77" s="61">
        <f>IF(VLOOKUP(Table311[[#This Row],[Date]],'DB Details'!$A:$Q,16)=0,"",VLOOKUP(Table311[[#This Row],[Date]],'DB Details'!$A:$Q,16))</f>
        <v>1.9569936417795909E-2</v>
      </c>
      <c r="D77" s="61">
        <f>IF(VLOOKUP(Table311[[#This Row],[Date]],'DB Details'!$A:$Q,15)=0,"",VLOOKUP(Table311[[#This Row],[Date]],'DB Details'!$A:$Q,15))</f>
        <v>8.9337780116266717E-3</v>
      </c>
      <c r="E77" s="61">
        <f>IF(VLOOKUP(Table311[[#This Row],[Date]],'DB Details'!$A:$Q,17)=0,"",VLOOKUP(Table311[[#This Row],[Date]],'DB Details'!$A:$Q,17))</f>
        <v>3.621684485857446E-2</v>
      </c>
    </row>
    <row r="78" spans="1:5" x14ac:dyDescent="0.2">
      <c r="A78" s="60">
        <v>37803</v>
      </c>
      <c r="B78" s="50">
        <f>IF(VLOOKUP(Table311[[#This Row],[Date]],'DB Details'!$A:$Q,12)=0,"",VLOOKUP(Table311[[#This Row],[Date]],'DB Details'!$A:$Q,12))</f>
        <v>57.3</v>
      </c>
      <c r="C78" s="61">
        <f>IF(VLOOKUP(Table311[[#This Row],[Date]],'DB Details'!$A:$Q,16)=0,"",VLOOKUP(Table311[[#This Row],[Date]],'DB Details'!$A:$Q,16))</f>
        <v>3.2399083015260143E-2</v>
      </c>
      <c r="D78" s="61">
        <f>IF(VLOOKUP(Table311[[#This Row],[Date]],'DB Details'!$A:$Q,15)=0,"",VLOOKUP(Table311[[#This Row],[Date]],'DB Details'!$A:$Q,15))</f>
        <v>1.666896269711016E-2</v>
      </c>
      <c r="E78" s="61">
        <f>IF(VLOOKUP(Table311[[#This Row],[Date]],'DB Details'!$A:$Q,17)=0,"",VLOOKUP(Table311[[#This Row],[Date]],'DB Details'!$A:$Q,17))</f>
        <v>6.8361580068855954E-2</v>
      </c>
    </row>
    <row r="79" spans="1:5" x14ac:dyDescent="0.2">
      <c r="A79" s="60">
        <v>37834</v>
      </c>
      <c r="B79" s="50">
        <f>IF(VLOOKUP(Table311[[#This Row],[Date]],'DB Details'!$A:$Q,12)=0,"",VLOOKUP(Table311[[#This Row],[Date]],'DB Details'!$A:$Q,12))</f>
        <v>59.1</v>
      </c>
      <c r="C79" s="61">
        <f>IF(VLOOKUP(Table311[[#This Row],[Date]],'DB Details'!$A:$Q,16)=0,"",VLOOKUP(Table311[[#This Row],[Date]],'DB Details'!$A:$Q,16))</f>
        <v>3.2399083015260143E-2</v>
      </c>
      <c r="D79" s="61">
        <f>IF(VLOOKUP(Table311[[#This Row],[Date]],'DB Details'!$A:$Q,15)=0,"",VLOOKUP(Table311[[#This Row],[Date]],'DB Details'!$A:$Q,15))</f>
        <v>1.666896269711016E-2</v>
      </c>
      <c r="E79" s="61">
        <f>IF(VLOOKUP(Table311[[#This Row],[Date]],'DB Details'!$A:$Q,17)=0,"",VLOOKUP(Table311[[#This Row],[Date]],'DB Details'!$A:$Q,17))</f>
        <v>6.8361580068855954E-2</v>
      </c>
    </row>
    <row r="80" spans="1:5" x14ac:dyDescent="0.2">
      <c r="A80" s="60">
        <v>37865</v>
      </c>
      <c r="B80" s="50">
        <f>IF(VLOOKUP(Table311[[#This Row],[Date]],'DB Details'!$A:$Q,12)=0,"",VLOOKUP(Table311[[#This Row],[Date]],'DB Details'!$A:$Q,12))</f>
        <v>57.6</v>
      </c>
      <c r="C80" s="61">
        <f>IF(VLOOKUP(Table311[[#This Row],[Date]],'DB Details'!$A:$Q,16)=0,"",VLOOKUP(Table311[[#This Row],[Date]],'DB Details'!$A:$Q,16))</f>
        <v>3.2399083015260143E-2</v>
      </c>
      <c r="D80" s="61">
        <f>IF(VLOOKUP(Table311[[#This Row],[Date]],'DB Details'!$A:$Q,15)=0,"",VLOOKUP(Table311[[#This Row],[Date]],'DB Details'!$A:$Q,15))</f>
        <v>1.666896269711016E-2</v>
      </c>
      <c r="E80" s="61">
        <f>IF(VLOOKUP(Table311[[#This Row],[Date]],'DB Details'!$A:$Q,17)=0,"",VLOOKUP(Table311[[#This Row],[Date]],'DB Details'!$A:$Q,17))</f>
        <v>6.8361580068855954E-2</v>
      </c>
    </row>
    <row r="81" spans="1:5" x14ac:dyDescent="0.2">
      <c r="A81" s="60">
        <v>37895</v>
      </c>
      <c r="B81" s="50">
        <f>IF(VLOOKUP(Table311[[#This Row],[Date]],'DB Details'!$A:$Q,12)=0,"",VLOOKUP(Table311[[#This Row],[Date]],'DB Details'!$A:$Q,12))</f>
        <v>58.7</v>
      </c>
      <c r="C81" s="61">
        <f>IF(VLOOKUP(Table311[[#This Row],[Date]],'DB Details'!$A:$Q,16)=0,"",VLOOKUP(Table311[[#This Row],[Date]],'DB Details'!$A:$Q,16))</f>
        <v>4.2950765202439317E-2</v>
      </c>
      <c r="D81" s="61">
        <f>IF(VLOOKUP(Table311[[#This Row],[Date]],'DB Details'!$A:$Q,15)=0,"",VLOOKUP(Table311[[#This Row],[Date]],'DB Details'!$A:$Q,15))</f>
        <v>1.154045727617818E-2</v>
      </c>
      <c r="E81" s="61">
        <f>IF(VLOOKUP(Table311[[#This Row],[Date]],'DB Details'!$A:$Q,17)=0,"",VLOOKUP(Table311[[#This Row],[Date]],'DB Details'!$A:$Q,17))</f>
        <v>4.6967087698897902E-2</v>
      </c>
    </row>
    <row r="82" spans="1:5" x14ac:dyDescent="0.2">
      <c r="A82" s="60">
        <v>37926</v>
      </c>
      <c r="B82" s="50">
        <f>IF(VLOOKUP(Table311[[#This Row],[Date]],'DB Details'!$A:$Q,12)=0,"",VLOOKUP(Table311[[#This Row],[Date]],'DB Details'!$A:$Q,12))</f>
        <v>57.5</v>
      </c>
      <c r="C82" s="61">
        <f>IF(VLOOKUP(Table311[[#This Row],[Date]],'DB Details'!$A:$Q,16)=0,"",VLOOKUP(Table311[[#This Row],[Date]],'DB Details'!$A:$Q,16))</f>
        <v>4.2950765202439317E-2</v>
      </c>
      <c r="D82" s="61">
        <f>IF(VLOOKUP(Table311[[#This Row],[Date]],'DB Details'!$A:$Q,15)=0,"",VLOOKUP(Table311[[#This Row],[Date]],'DB Details'!$A:$Q,15))</f>
        <v>1.154045727617818E-2</v>
      </c>
      <c r="E82" s="61">
        <f>IF(VLOOKUP(Table311[[#This Row],[Date]],'DB Details'!$A:$Q,17)=0,"",VLOOKUP(Table311[[#This Row],[Date]],'DB Details'!$A:$Q,17))</f>
        <v>4.6967087698897902E-2</v>
      </c>
    </row>
    <row r="83" spans="1:5" x14ac:dyDescent="0.2">
      <c r="A83" s="60">
        <v>37956</v>
      </c>
      <c r="B83" s="50">
        <f>IF(VLOOKUP(Table311[[#This Row],[Date]],'DB Details'!$A:$Q,12)=0,"",VLOOKUP(Table311[[#This Row],[Date]],'DB Details'!$A:$Q,12))</f>
        <v>56.8</v>
      </c>
      <c r="C83" s="61">
        <f>IF(VLOOKUP(Table311[[#This Row],[Date]],'DB Details'!$A:$Q,16)=0,"",VLOOKUP(Table311[[#This Row],[Date]],'DB Details'!$A:$Q,16))</f>
        <v>4.2950765202439317E-2</v>
      </c>
      <c r="D83" s="61">
        <f>IF(VLOOKUP(Table311[[#This Row],[Date]],'DB Details'!$A:$Q,15)=0,"",VLOOKUP(Table311[[#This Row],[Date]],'DB Details'!$A:$Q,15))</f>
        <v>1.154045727617818E-2</v>
      </c>
      <c r="E83" s="61">
        <f>IF(VLOOKUP(Table311[[#This Row],[Date]],'DB Details'!$A:$Q,17)=0,"",VLOOKUP(Table311[[#This Row],[Date]],'DB Details'!$A:$Q,17))</f>
        <v>4.6967087698897902E-2</v>
      </c>
    </row>
    <row r="84" spans="1:5" x14ac:dyDescent="0.2">
      <c r="A84" s="60">
        <v>37987</v>
      </c>
      <c r="B84" s="50">
        <f>IF(VLOOKUP(Table311[[#This Row],[Date]],'DB Details'!$A:$Q,12)=0,"",VLOOKUP(Table311[[#This Row],[Date]],'DB Details'!$A:$Q,12))</f>
        <v>61.2</v>
      </c>
      <c r="C84" s="61">
        <f>IF(VLOOKUP(Table311[[#This Row],[Date]],'DB Details'!$A:$Q,16)=0,"",VLOOKUP(Table311[[#This Row],[Date]],'DB Details'!$A:$Q,16))</f>
        <v>4.3533820862159241E-2</v>
      </c>
      <c r="D84" s="61">
        <f>IF(VLOOKUP(Table311[[#This Row],[Date]],'DB Details'!$A:$Q,15)=0,"",VLOOKUP(Table311[[#This Row],[Date]],'DB Details'!$A:$Q,15))</f>
        <v>5.7291648606975533E-3</v>
      </c>
      <c r="E84" s="61">
        <f>IF(VLOOKUP(Table311[[#This Row],[Date]],'DB Details'!$A:$Q,17)=0,"",VLOOKUP(Table311[[#This Row],[Date]],'DB Details'!$A:$Q,17))</f>
        <v>2.3114352701243179E-2</v>
      </c>
    </row>
    <row r="85" spans="1:5" x14ac:dyDescent="0.2">
      <c r="A85" s="60">
        <v>38018</v>
      </c>
      <c r="B85" s="50">
        <f>IF(VLOOKUP(Table311[[#This Row],[Date]],'DB Details'!$A:$Q,12)=0,"",VLOOKUP(Table311[[#This Row],[Date]],'DB Details'!$A:$Q,12))</f>
        <v>58</v>
      </c>
      <c r="C85" s="61">
        <f>IF(VLOOKUP(Table311[[#This Row],[Date]],'DB Details'!$A:$Q,16)=0,"",VLOOKUP(Table311[[#This Row],[Date]],'DB Details'!$A:$Q,16))</f>
        <v>4.3533820862159241E-2</v>
      </c>
      <c r="D85" s="61">
        <f>IF(VLOOKUP(Table311[[#This Row],[Date]],'DB Details'!$A:$Q,15)=0,"",VLOOKUP(Table311[[#This Row],[Date]],'DB Details'!$A:$Q,15))</f>
        <v>5.7291648606975533E-3</v>
      </c>
      <c r="E85" s="61">
        <f>IF(VLOOKUP(Table311[[#This Row],[Date]],'DB Details'!$A:$Q,17)=0,"",VLOOKUP(Table311[[#This Row],[Date]],'DB Details'!$A:$Q,17))</f>
        <v>2.3114352701243179E-2</v>
      </c>
    </row>
    <row r="86" spans="1:5" x14ac:dyDescent="0.2">
      <c r="A86" s="60">
        <v>38047</v>
      </c>
      <c r="B86" s="50">
        <f>IF(VLOOKUP(Table311[[#This Row],[Date]],'DB Details'!$A:$Q,12)=0,"",VLOOKUP(Table311[[#This Row],[Date]],'DB Details'!$A:$Q,12))</f>
        <v>58.3</v>
      </c>
      <c r="C86" s="61">
        <f>IF(VLOOKUP(Table311[[#This Row],[Date]],'DB Details'!$A:$Q,16)=0,"",VLOOKUP(Table311[[#This Row],[Date]],'DB Details'!$A:$Q,16))</f>
        <v>4.3533820862159241E-2</v>
      </c>
      <c r="D86" s="61">
        <f>IF(VLOOKUP(Table311[[#This Row],[Date]],'DB Details'!$A:$Q,15)=0,"",VLOOKUP(Table311[[#This Row],[Date]],'DB Details'!$A:$Q,15))</f>
        <v>5.7291648606975533E-3</v>
      </c>
      <c r="E86" s="61">
        <f>IF(VLOOKUP(Table311[[#This Row],[Date]],'DB Details'!$A:$Q,17)=0,"",VLOOKUP(Table311[[#This Row],[Date]],'DB Details'!$A:$Q,17))</f>
        <v>2.3114352701243179E-2</v>
      </c>
    </row>
    <row r="87" spans="1:5" x14ac:dyDescent="0.2">
      <c r="A87" s="60">
        <v>38078</v>
      </c>
      <c r="B87" s="50">
        <f>IF(VLOOKUP(Table311[[#This Row],[Date]],'DB Details'!$A:$Q,12)=0,"",VLOOKUP(Table311[[#This Row],[Date]],'DB Details'!$A:$Q,12))</f>
        <v>59.6</v>
      </c>
      <c r="C87" s="61">
        <f>IF(VLOOKUP(Table311[[#This Row],[Date]],'DB Details'!$A:$Q,16)=0,"",VLOOKUP(Table311[[#This Row],[Date]],'DB Details'!$A:$Q,16))</f>
        <v>4.2348116494544417E-2</v>
      </c>
      <c r="D87" s="61">
        <f>IF(VLOOKUP(Table311[[#This Row],[Date]],'DB Details'!$A:$Q,15)=0,"",VLOOKUP(Table311[[#This Row],[Date]],'DB Details'!$A:$Q,15))</f>
        <v>7.7873875800888301E-3</v>
      </c>
      <c r="E87" s="61">
        <f>IF(VLOOKUP(Table311[[#This Row],[Date]],'DB Details'!$A:$Q,17)=0,"",VLOOKUP(Table311[[#This Row],[Date]],'DB Details'!$A:$Q,17))</f>
        <v>3.1515303444719089E-2</v>
      </c>
    </row>
    <row r="88" spans="1:5" x14ac:dyDescent="0.2">
      <c r="A88" s="60">
        <v>38108</v>
      </c>
      <c r="B88" s="50">
        <f>IF(VLOOKUP(Table311[[#This Row],[Date]],'DB Details'!$A:$Q,12)=0,"",VLOOKUP(Table311[[#This Row],[Date]],'DB Details'!$A:$Q,12))</f>
        <v>58.5</v>
      </c>
      <c r="C88" s="61">
        <f>IF(VLOOKUP(Table311[[#This Row],[Date]],'DB Details'!$A:$Q,16)=0,"",VLOOKUP(Table311[[#This Row],[Date]],'DB Details'!$A:$Q,16))</f>
        <v>4.2348116494544417E-2</v>
      </c>
      <c r="D88" s="61">
        <f>IF(VLOOKUP(Table311[[#This Row],[Date]],'DB Details'!$A:$Q,15)=0,"",VLOOKUP(Table311[[#This Row],[Date]],'DB Details'!$A:$Q,15))</f>
        <v>7.7873875800888301E-3</v>
      </c>
      <c r="E88" s="61">
        <f>IF(VLOOKUP(Table311[[#This Row],[Date]],'DB Details'!$A:$Q,17)=0,"",VLOOKUP(Table311[[#This Row],[Date]],'DB Details'!$A:$Q,17))</f>
        <v>3.1515303444719089E-2</v>
      </c>
    </row>
    <row r="89" spans="1:5" x14ac:dyDescent="0.2">
      <c r="A89" s="60">
        <v>38139</v>
      </c>
      <c r="B89" s="50">
        <f>IF(VLOOKUP(Table311[[#This Row],[Date]],'DB Details'!$A:$Q,12)=0,"",VLOOKUP(Table311[[#This Row],[Date]],'DB Details'!$A:$Q,12))</f>
        <v>58.6</v>
      </c>
      <c r="C89" s="61">
        <f>IF(VLOOKUP(Table311[[#This Row],[Date]],'DB Details'!$A:$Q,16)=0,"",VLOOKUP(Table311[[#This Row],[Date]],'DB Details'!$A:$Q,16))</f>
        <v>4.2348116494544417E-2</v>
      </c>
      <c r="D89" s="61">
        <f>IF(VLOOKUP(Table311[[#This Row],[Date]],'DB Details'!$A:$Q,15)=0,"",VLOOKUP(Table311[[#This Row],[Date]],'DB Details'!$A:$Q,15))</f>
        <v>7.7873875800888301E-3</v>
      </c>
      <c r="E89" s="61">
        <f>IF(VLOOKUP(Table311[[#This Row],[Date]],'DB Details'!$A:$Q,17)=0,"",VLOOKUP(Table311[[#This Row],[Date]],'DB Details'!$A:$Q,17))</f>
        <v>3.1515303444719089E-2</v>
      </c>
    </row>
    <row r="90" spans="1:5" x14ac:dyDescent="0.2">
      <c r="A90" s="60">
        <v>38169</v>
      </c>
      <c r="B90" s="50">
        <f>IF(VLOOKUP(Table311[[#This Row],[Date]],'DB Details'!$A:$Q,12)=0,"",VLOOKUP(Table311[[#This Row],[Date]],'DB Details'!$A:$Q,12))</f>
        <v>58.5</v>
      </c>
      <c r="C90" s="61">
        <f>IF(VLOOKUP(Table311[[#This Row],[Date]],'DB Details'!$A:$Q,16)=0,"",VLOOKUP(Table311[[#This Row],[Date]],'DB Details'!$A:$Q,16))</f>
        <v>3.4908340686507763E-2</v>
      </c>
      <c r="D90" s="61">
        <f>IF(VLOOKUP(Table311[[#This Row],[Date]],'DB Details'!$A:$Q,15)=0,"",VLOOKUP(Table311[[#This Row],[Date]],'DB Details'!$A:$Q,15))</f>
        <v>9.4124722465944513E-3</v>
      </c>
      <c r="E90" s="61">
        <f>IF(VLOOKUP(Table311[[#This Row],[Date]],'DB Details'!$A:$Q,17)=0,"",VLOOKUP(Table311[[#This Row],[Date]],'DB Details'!$A:$Q,17))</f>
        <v>3.8184800216271693E-2</v>
      </c>
    </row>
    <row r="91" spans="1:5" x14ac:dyDescent="0.2">
      <c r="A91" s="60">
        <v>38200</v>
      </c>
      <c r="B91" s="50">
        <f>IF(VLOOKUP(Table311[[#This Row],[Date]],'DB Details'!$A:$Q,12)=0,"",VLOOKUP(Table311[[#This Row],[Date]],'DB Details'!$A:$Q,12))</f>
        <v>57.3</v>
      </c>
      <c r="C91" s="61">
        <f>IF(VLOOKUP(Table311[[#This Row],[Date]],'DB Details'!$A:$Q,16)=0,"",VLOOKUP(Table311[[#This Row],[Date]],'DB Details'!$A:$Q,16))</f>
        <v>3.4908340686507763E-2</v>
      </c>
      <c r="D91" s="61">
        <f>IF(VLOOKUP(Table311[[#This Row],[Date]],'DB Details'!$A:$Q,15)=0,"",VLOOKUP(Table311[[#This Row],[Date]],'DB Details'!$A:$Q,15))</f>
        <v>9.4124722465944513E-3</v>
      </c>
      <c r="E91" s="61">
        <f>IF(VLOOKUP(Table311[[#This Row],[Date]],'DB Details'!$A:$Q,17)=0,"",VLOOKUP(Table311[[#This Row],[Date]],'DB Details'!$A:$Q,17))</f>
        <v>3.8184800216271693E-2</v>
      </c>
    </row>
    <row r="92" spans="1:5" x14ac:dyDescent="0.2">
      <c r="A92" s="60">
        <v>38231</v>
      </c>
      <c r="B92" s="50">
        <f>IF(VLOOKUP(Table311[[#This Row],[Date]],'DB Details'!$A:$Q,12)=0,"",VLOOKUP(Table311[[#This Row],[Date]],'DB Details'!$A:$Q,12))</f>
        <v>57.9</v>
      </c>
      <c r="C92" s="61">
        <f>IF(VLOOKUP(Table311[[#This Row],[Date]],'DB Details'!$A:$Q,16)=0,"",VLOOKUP(Table311[[#This Row],[Date]],'DB Details'!$A:$Q,16))</f>
        <v>3.4908340686507763E-2</v>
      </c>
      <c r="D92" s="61">
        <f>IF(VLOOKUP(Table311[[#This Row],[Date]],'DB Details'!$A:$Q,15)=0,"",VLOOKUP(Table311[[#This Row],[Date]],'DB Details'!$A:$Q,15))</f>
        <v>9.4124722465944513E-3</v>
      </c>
      <c r="E92" s="61">
        <f>IF(VLOOKUP(Table311[[#This Row],[Date]],'DB Details'!$A:$Q,17)=0,"",VLOOKUP(Table311[[#This Row],[Date]],'DB Details'!$A:$Q,17))</f>
        <v>3.8184800216271693E-2</v>
      </c>
    </row>
    <row r="93" spans="1:5" x14ac:dyDescent="0.2">
      <c r="A93" s="60">
        <v>38261</v>
      </c>
      <c r="B93" s="50">
        <f>IF(VLOOKUP(Table311[[#This Row],[Date]],'DB Details'!$A:$Q,12)=0,"",VLOOKUP(Table311[[#This Row],[Date]],'DB Details'!$A:$Q,12))</f>
        <v>58.8</v>
      </c>
      <c r="C93" s="61">
        <f>IF(VLOOKUP(Table311[[#This Row],[Date]],'DB Details'!$A:$Q,16)=0,"",VLOOKUP(Table311[[#This Row],[Date]],'DB Details'!$A:$Q,16))</f>
        <v>3.3557659164048917E-2</v>
      </c>
      <c r="D93" s="61">
        <f>IF(VLOOKUP(Table311[[#This Row],[Date]],'DB Details'!$A:$Q,15)=0,"",VLOOKUP(Table311[[#This Row],[Date]],'DB Details'!$A:$Q,15))</f>
        <v>1.0220273689720489E-2</v>
      </c>
      <c r="E93" s="61">
        <f>IF(VLOOKUP(Table311[[#This Row],[Date]],'DB Details'!$A:$Q,17)=0,"",VLOOKUP(Table311[[#This Row],[Date]],'DB Details'!$A:$Q,17))</f>
        <v>4.1512099828914462E-2</v>
      </c>
    </row>
    <row r="94" spans="1:5" x14ac:dyDescent="0.2">
      <c r="A94" s="60">
        <v>38292</v>
      </c>
      <c r="B94" s="50">
        <f>IF(VLOOKUP(Table311[[#This Row],[Date]],'DB Details'!$A:$Q,12)=0,"",VLOOKUP(Table311[[#This Row],[Date]],'DB Details'!$A:$Q,12))</f>
        <v>58.4</v>
      </c>
      <c r="C94" s="61">
        <f>IF(VLOOKUP(Table311[[#This Row],[Date]],'DB Details'!$A:$Q,16)=0,"",VLOOKUP(Table311[[#This Row],[Date]],'DB Details'!$A:$Q,16))</f>
        <v>3.3557659164048917E-2</v>
      </c>
      <c r="D94" s="61">
        <f>IF(VLOOKUP(Table311[[#This Row],[Date]],'DB Details'!$A:$Q,15)=0,"",VLOOKUP(Table311[[#This Row],[Date]],'DB Details'!$A:$Q,15))</f>
        <v>1.0220273689720489E-2</v>
      </c>
      <c r="E94" s="61">
        <f>IF(VLOOKUP(Table311[[#This Row],[Date]],'DB Details'!$A:$Q,17)=0,"",VLOOKUP(Table311[[#This Row],[Date]],'DB Details'!$A:$Q,17))</f>
        <v>4.1512099828914462E-2</v>
      </c>
    </row>
    <row r="95" spans="1:5" x14ac:dyDescent="0.2">
      <c r="A95" s="60">
        <v>38322</v>
      </c>
      <c r="B95" s="50">
        <f>IF(VLOOKUP(Table311[[#This Row],[Date]],'DB Details'!$A:$Q,12)=0,"",VLOOKUP(Table311[[#This Row],[Date]],'DB Details'!$A:$Q,12))</f>
        <v>59.6</v>
      </c>
      <c r="C95" s="61">
        <f>IF(VLOOKUP(Table311[[#This Row],[Date]],'DB Details'!$A:$Q,16)=0,"",VLOOKUP(Table311[[#This Row],[Date]],'DB Details'!$A:$Q,16))</f>
        <v>3.3557659164048917E-2</v>
      </c>
      <c r="D95" s="61">
        <f>IF(VLOOKUP(Table311[[#This Row],[Date]],'DB Details'!$A:$Q,15)=0,"",VLOOKUP(Table311[[#This Row],[Date]],'DB Details'!$A:$Q,15))</f>
        <v>1.0220273689720489E-2</v>
      </c>
      <c r="E95" s="61">
        <f>IF(VLOOKUP(Table311[[#This Row],[Date]],'DB Details'!$A:$Q,17)=0,"",VLOOKUP(Table311[[#This Row],[Date]],'DB Details'!$A:$Q,17))</f>
        <v>4.1512099828914462E-2</v>
      </c>
    </row>
    <row r="96" spans="1:5" x14ac:dyDescent="0.2">
      <c r="A96" s="60">
        <v>38353</v>
      </c>
      <c r="B96" s="50">
        <f>IF(VLOOKUP(Table311[[#This Row],[Date]],'DB Details'!$A:$Q,12)=0,"",VLOOKUP(Table311[[#This Row],[Date]],'DB Details'!$A:$Q,12))</f>
        <v>58</v>
      </c>
      <c r="C96" s="61">
        <f>IF(VLOOKUP(Table311[[#This Row],[Date]],'DB Details'!$A:$Q,16)=0,"",VLOOKUP(Table311[[#This Row],[Date]],'DB Details'!$A:$Q,16))</f>
        <v>3.9086174408999461E-2</v>
      </c>
      <c r="D96" s="61">
        <f>IF(VLOOKUP(Table311[[#This Row],[Date]],'DB Details'!$A:$Q,15)=0,"",VLOOKUP(Table311[[#This Row],[Date]],'DB Details'!$A:$Q,15))</f>
        <v>1.110882507696538E-2</v>
      </c>
      <c r="E96" s="61">
        <f>IF(VLOOKUP(Table311[[#This Row],[Date]],'DB Details'!$A:$Q,17)=0,"",VLOOKUP(Table311[[#This Row],[Date]],'DB Details'!$A:$Q,17))</f>
        <v>4.5181235086873883E-2</v>
      </c>
    </row>
    <row r="97" spans="1:5" x14ac:dyDescent="0.2">
      <c r="A97" s="60">
        <v>38384</v>
      </c>
      <c r="B97" s="50">
        <f>IF(VLOOKUP(Table311[[#This Row],[Date]],'DB Details'!$A:$Q,12)=0,"",VLOOKUP(Table311[[#This Row],[Date]],'DB Details'!$A:$Q,12))</f>
        <v>59.4</v>
      </c>
      <c r="C97" s="61">
        <f>IF(VLOOKUP(Table311[[#This Row],[Date]],'DB Details'!$A:$Q,16)=0,"",VLOOKUP(Table311[[#This Row],[Date]],'DB Details'!$A:$Q,16))</f>
        <v>3.9086174408999461E-2</v>
      </c>
      <c r="D97" s="61">
        <f>IF(VLOOKUP(Table311[[#This Row],[Date]],'DB Details'!$A:$Q,15)=0,"",VLOOKUP(Table311[[#This Row],[Date]],'DB Details'!$A:$Q,15))</f>
        <v>1.110882507696538E-2</v>
      </c>
      <c r="E97" s="61">
        <f>IF(VLOOKUP(Table311[[#This Row],[Date]],'DB Details'!$A:$Q,17)=0,"",VLOOKUP(Table311[[#This Row],[Date]],'DB Details'!$A:$Q,17))</f>
        <v>4.5181235086873883E-2</v>
      </c>
    </row>
    <row r="98" spans="1:5" x14ac:dyDescent="0.2">
      <c r="A98" s="60">
        <v>38412</v>
      </c>
      <c r="B98" s="50">
        <f>IF(VLOOKUP(Table311[[#This Row],[Date]],'DB Details'!$A:$Q,12)=0,"",VLOOKUP(Table311[[#This Row],[Date]],'DB Details'!$A:$Q,12))</f>
        <v>58</v>
      </c>
      <c r="C98" s="61">
        <f>IF(VLOOKUP(Table311[[#This Row],[Date]],'DB Details'!$A:$Q,16)=0,"",VLOOKUP(Table311[[#This Row],[Date]],'DB Details'!$A:$Q,16))</f>
        <v>3.9086174408999461E-2</v>
      </c>
      <c r="D98" s="61">
        <f>IF(VLOOKUP(Table311[[#This Row],[Date]],'DB Details'!$A:$Q,15)=0,"",VLOOKUP(Table311[[#This Row],[Date]],'DB Details'!$A:$Q,15))</f>
        <v>1.110882507696538E-2</v>
      </c>
      <c r="E98" s="61">
        <f>IF(VLOOKUP(Table311[[#This Row],[Date]],'DB Details'!$A:$Q,17)=0,"",VLOOKUP(Table311[[#This Row],[Date]],'DB Details'!$A:$Q,17))</f>
        <v>4.5181235086873883E-2</v>
      </c>
    </row>
    <row r="99" spans="1:5" x14ac:dyDescent="0.2">
      <c r="A99" s="60">
        <v>38443</v>
      </c>
      <c r="B99" s="50">
        <f>IF(VLOOKUP(Table311[[#This Row],[Date]],'DB Details'!$A:$Q,12)=0,"",VLOOKUP(Table311[[#This Row],[Date]],'DB Details'!$A:$Q,12))</f>
        <v>55.6</v>
      </c>
      <c r="C99" s="61">
        <f>IF(VLOOKUP(Table311[[#This Row],[Date]],'DB Details'!$A:$Q,16)=0,"",VLOOKUP(Table311[[#This Row],[Date]],'DB Details'!$A:$Q,16))</f>
        <v>3.6074103661260792E-2</v>
      </c>
      <c r="D99" s="61">
        <f>IF(VLOOKUP(Table311[[#This Row],[Date]],'DB Details'!$A:$Q,15)=0,"",VLOOKUP(Table311[[#This Row],[Date]],'DB Details'!$A:$Q,15))</f>
        <v>4.8660447840531912E-3</v>
      </c>
      <c r="E99" s="61">
        <f>IF(VLOOKUP(Table311[[#This Row],[Date]],'DB Details'!$A:$Q,17)=0,"",VLOOKUP(Table311[[#This Row],[Date]],'DB Details'!$A:$Q,17))</f>
        <v>1.9606710928381729E-2</v>
      </c>
    </row>
    <row r="100" spans="1:5" x14ac:dyDescent="0.2">
      <c r="A100" s="60">
        <v>38473</v>
      </c>
      <c r="B100" s="50">
        <f>IF(VLOOKUP(Table311[[#This Row],[Date]],'DB Details'!$A:$Q,12)=0,"",VLOOKUP(Table311[[#This Row],[Date]],'DB Details'!$A:$Q,12))</f>
        <v>55.3</v>
      </c>
      <c r="C100" s="61">
        <f>IF(VLOOKUP(Table311[[#This Row],[Date]],'DB Details'!$A:$Q,16)=0,"",VLOOKUP(Table311[[#This Row],[Date]],'DB Details'!$A:$Q,16))</f>
        <v>3.6074103661260792E-2</v>
      </c>
      <c r="D100" s="61">
        <f>IF(VLOOKUP(Table311[[#This Row],[Date]],'DB Details'!$A:$Q,15)=0,"",VLOOKUP(Table311[[#This Row],[Date]],'DB Details'!$A:$Q,15))</f>
        <v>4.8660447840531912E-3</v>
      </c>
      <c r="E100" s="61">
        <f>IF(VLOOKUP(Table311[[#This Row],[Date]],'DB Details'!$A:$Q,17)=0,"",VLOOKUP(Table311[[#This Row],[Date]],'DB Details'!$A:$Q,17))</f>
        <v>1.9606710928381729E-2</v>
      </c>
    </row>
    <row r="101" spans="1:5" x14ac:dyDescent="0.2">
      <c r="A101" s="60">
        <v>38504</v>
      </c>
      <c r="B101" s="50">
        <f>IF(VLOOKUP(Table311[[#This Row],[Date]],'DB Details'!$A:$Q,12)=0,"",VLOOKUP(Table311[[#This Row],[Date]],'DB Details'!$A:$Q,12))</f>
        <v>58.1</v>
      </c>
      <c r="C101" s="61">
        <f>IF(VLOOKUP(Table311[[#This Row],[Date]],'DB Details'!$A:$Q,16)=0,"",VLOOKUP(Table311[[#This Row],[Date]],'DB Details'!$A:$Q,16))</f>
        <v>3.6074103661260792E-2</v>
      </c>
      <c r="D101" s="61">
        <f>IF(VLOOKUP(Table311[[#This Row],[Date]],'DB Details'!$A:$Q,15)=0,"",VLOOKUP(Table311[[#This Row],[Date]],'DB Details'!$A:$Q,15))</f>
        <v>4.8660447840531912E-3</v>
      </c>
      <c r="E101" s="61">
        <f>IF(VLOOKUP(Table311[[#This Row],[Date]],'DB Details'!$A:$Q,17)=0,"",VLOOKUP(Table311[[#This Row],[Date]],'DB Details'!$A:$Q,17))</f>
        <v>1.9606710928381729E-2</v>
      </c>
    </row>
    <row r="102" spans="1:5" x14ac:dyDescent="0.2">
      <c r="A102" s="60">
        <v>38534</v>
      </c>
      <c r="B102" s="50">
        <f>IF(VLOOKUP(Table311[[#This Row],[Date]],'DB Details'!$A:$Q,12)=0,"",VLOOKUP(Table311[[#This Row],[Date]],'DB Details'!$A:$Q,12))</f>
        <v>59.5</v>
      </c>
      <c r="C102" s="61">
        <f>IF(VLOOKUP(Table311[[#This Row],[Date]],'DB Details'!$A:$Q,16)=0,"",VLOOKUP(Table311[[#This Row],[Date]],'DB Details'!$A:$Q,16))</f>
        <v>3.4476745891085119E-2</v>
      </c>
      <c r="D102" s="61">
        <f>IF(VLOOKUP(Table311[[#This Row],[Date]],'DB Details'!$A:$Q,15)=0,"",VLOOKUP(Table311[[#This Row],[Date]],'DB Details'!$A:$Q,15))</f>
        <v>7.8562198027224469E-3</v>
      </c>
      <c r="E102" s="61">
        <f>IF(VLOOKUP(Table311[[#This Row],[Date]],'DB Details'!$A:$Q,17)=0,"",VLOOKUP(Table311[[#This Row],[Date]],'DB Details'!$A:$Q,17))</f>
        <v>3.1797143707306803E-2</v>
      </c>
    </row>
    <row r="103" spans="1:5" x14ac:dyDescent="0.2">
      <c r="A103" s="60">
        <v>38565</v>
      </c>
      <c r="B103" s="50">
        <f>IF(VLOOKUP(Table311[[#This Row],[Date]],'DB Details'!$A:$Q,12)=0,"",VLOOKUP(Table311[[#This Row],[Date]],'DB Details'!$A:$Q,12))</f>
        <v>61.3</v>
      </c>
      <c r="C103" s="61">
        <f>IF(VLOOKUP(Table311[[#This Row],[Date]],'DB Details'!$A:$Q,16)=0,"",VLOOKUP(Table311[[#This Row],[Date]],'DB Details'!$A:$Q,16))</f>
        <v>3.4476745891085119E-2</v>
      </c>
      <c r="D103" s="61">
        <f>IF(VLOOKUP(Table311[[#This Row],[Date]],'DB Details'!$A:$Q,15)=0,"",VLOOKUP(Table311[[#This Row],[Date]],'DB Details'!$A:$Q,15))</f>
        <v>7.8562198027224469E-3</v>
      </c>
      <c r="E103" s="61">
        <f>IF(VLOOKUP(Table311[[#This Row],[Date]],'DB Details'!$A:$Q,17)=0,"",VLOOKUP(Table311[[#This Row],[Date]],'DB Details'!$A:$Q,17))</f>
        <v>3.1797143707306803E-2</v>
      </c>
    </row>
    <row r="104" spans="1:5" x14ac:dyDescent="0.2">
      <c r="A104" s="60">
        <v>38596</v>
      </c>
      <c r="B104" s="50">
        <f>IF(VLOOKUP(Table311[[#This Row],[Date]],'DB Details'!$A:$Q,12)=0,"",VLOOKUP(Table311[[#This Row],[Date]],'DB Details'!$A:$Q,12))</f>
        <v>55.7</v>
      </c>
      <c r="C104" s="61">
        <f>IF(VLOOKUP(Table311[[#This Row],[Date]],'DB Details'!$A:$Q,16)=0,"",VLOOKUP(Table311[[#This Row],[Date]],'DB Details'!$A:$Q,16))</f>
        <v>3.4476745891085119E-2</v>
      </c>
      <c r="D104" s="61">
        <f>IF(VLOOKUP(Table311[[#This Row],[Date]],'DB Details'!$A:$Q,15)=0,"",VLOOKUP(Table311[[#This Row],[Date]],'DB Details'!$A:$Q,15))</f>
        <v>7.8562198027224469E-3</v>
      </c>
      <c r="E104" s="61">
        <f>IF(VLOOKUP(Table311[[#This Row],[Date]],'DB Details'!$A:$Q,17)=0,"",VLOOKUP(Table311[[#This Row],[Date]],'DB Details'!$A:$Q,17))</f>
        <v>3.1797143707306803E-2</v>
      </c>
    </row>
    <row r="105" spans="1:5" x14ac:dyDescent="0.2">
      <c r="A105" s="60">
        <v>38626</v>
      </c>
      <c r="B105" s="50">
        <f>IF(VLOOKUP(Table311[[#This Row],[Date]],'DB Details'!$A:$Q,12)=0,"",VLOOKUP(Table311[[#This Row],[Date]],'DB Details'!$A:$Q,12))</f>
        <v>57.4</v>
      </c>
      <c r="C105" s="61">
        <f>IF(VLOOKUP(Table311[[#This Row],[Date]],'DB Details'!$A:$Q,16)=0,"",VLOOKUP(Table311[[#This Row],[Date]],'DB Details'!$A:$Q,16))</f>
        <v>2.9826720513611439E-2</v>
      </c>
      <c r="D105" s="61">
        <f>IF(VLOOKUP(Table311[[#This Row],[Date]],'DB Details'!$A:$Q,15)=0,"",VLOOKUP(Table311[[#This Row],[Date]],'DB Details'!$A:$Q,15))</f>
        <v>5.6792823835803089E-3</v>
      </c>
      <c r="E105" s="61">
        <f>IF(VLOOKUP(Table311[[#This Row],[Date]],'DB Details'!$A:$Q,17)=0,"",VLOOKUP(Table311[[#This Row],[Date]],'DB Details'!$A:$Q,17))</f>
        <v>2.2911388788951159E-2</v>
      </c>
    </row>
    <row r="106" spans="1:5" x14ac:dyDescent="0.2">
      <c r="A106" s="60">
        <v>38657</v>
      </c>
      <c r="B106" s="50">
        <f>IF(VLOOKUP(Table311[[#This Row],[Date]],'DB Details'!$A:$Q,12)=0,"",VLOOKUP(Table311[[#This Row],[Date]],'DB Details'!$A:$Q,12))</f>
        <v>59.1</v>
      </c>
      <c r="C106" s="61">
        <f>IF(VLOOKUP(Table311[[#This Row],[Date]],'DB Details'!$A:$Q,16)=0,"",VLOOKUP(Table311[[#This Row],[Date]],'DB Details'!$A:$Q,16))</f>
        <v>2.9826720513611439E-2</v>
      </c>
      <c r="D106" s="61">
        <f>IF(VLOOKUP(Table311[[#This Row],[Date]],'DB Details'!$A:$Q,15)=0,"",VLOOKUP(Table311[[#This Row],[Date]],'DB Details'!$A:$Q,15))</f>
        <v>5.6792823835803089E-3</v>
      </c>
      <c r="E106" s="61">
        <f>IF(VLOOKUP(Table311[[#This Row],[Date]],'DB Details'!$A:$Q,17)=0,"",VLOOKUP(Table311[[#This Row],[Date]],'DB Details'!$A:$Q,17))</f>
        <v>2.2911388788951159E-2</v>
      </c>
    </row>
    <row r="107" spans="1:5" x14ac:dyDescent="0.2">
      <c r="A107" s="60">
        <v>38687</v>
      </c>
      <c r="B107" s="50">
        <f>IF(VLOOKUP(Table311[[#This Row],[Date]],'DB Details'!$A:$Q,12)=0,"",VLOOKUP(Table311[[#This Row],[Date]],'DB Details'!$A:$Q,12))</f>
        <v>59</v>
      </c>
      <c r="C107" s="61">
        <f>IF(VLOOKUP(Table311[[#This Row],[Date]],'DB Details'!$A:$Q,16)=0,"",VLOOKUP(Table311[[#This Row],[Date]],'DB Details'!$A:$Q,16))</f>
        <v>2.9826720513611439E-2</v>
      </c>
      <c r="D107" s="61">
        <f>IF(VLOOKUP(Table311[[#This Row],[Date]],'DB Details'!$A:$Q,15)=0,"",VLOOKUP(Table311[[#This Row],[Date]],'DB Details'!$A:$Q,15))</f>
        <v>5.6792823835803089E-3</v>
      </c>
      <c r="E107" s="61">
        <f>IF(VLOOKUP(Table311[[#This Row],[Date]],'DB Details'!$A:$Q,17)=0,"",VLOOKUP(Table311[[#This Row],[Date]],'DB Details'!$A:$Q,17))</f>
        <v>2.2911388788951159E-2</v>
      </c>
    </row>
    <row r="108" spans="1:5" x14ac:dyDescent="0.2">
      <c r="A108" s="60">
        <v>38718</v>
      </c>
      <c r="B108" s="50">
        <f>IF(VLOOKUP(Table311[[#This Row],[Date]],'DB Details'!$A:$Q,12)=0,"",VLOOKUP(Table311[[#This Row],[Date]],'DB Details'!$A:$Q,12))</f>
        <v>56.3</v>
      </c>
      <c r="C108" s="61">
        <f>IF(VLOOKUP(Table311[[#This Row],[Date]],'DB Details'!$A:$Q,16)=0,"",VLOOKUP(Table311[[#This Row],[Date]],'DB Details'!$A:$Q,16))</f>
        <v>3.2248575723230061E-2</v>
      </c>
      <c r="D108" s="61">
        <f>IF(VLOOKUP(Table311[[#This Row],[Date]],'DB Details'!$A:$Q,15)=0,"",VLOOKUP(Table311[[#This Row],[Date]],'DB Details'!$A:$Q,15))</f>
        <v>1.3486661199029431E-2</v>
      </c>
      <c r="E108" s="61">
        <f>IF(VLOOKUP(Table311[[#This Row],[Date]],'DB Details'!$A:$Q,17)=0,"",VLOOKUP(Table311[[#This Row],[Date]],'DB Details'!$A:$Q,17))</f>
        <v>5.5047830418741617E-2</v>
      </c>
    </row>
    <row r="109" spans="1:5" x14ac:dyDescent="0.2">
      <c r="A109" s="60">
        <v>38749</v>
      </c>
      <c r="B109" s="50">
        <f>IF(VLOOKUP(Table311[[#This Row],[Date]],'DB Details'!$A:$Q,12)=0,"",VLOOKUP(Table311[[#This Row],[Date]],'DB Details'!$A:$Q,12))</f>
        <v>57.6</v>
      </c>
      <c r="C109" s="61">
        <f>IF(VLOOKUP(Table311[[#This Row],[Date]],'DB Details'!$A:$Q,16)=0,"",VLOOKUP(Table311[[#This Row],[Date]],'DB Details'!$A:$Q,16))</f>
        <v>3.2248575723230061E-2</v>
      </c>
      <c r="D109" s="61">
        <f>IF(VLOOKUP(Table311[[#This Row],[Date]],'DB Details'!$A:$Q,15)=0,"",VLOOKUP(Table311[[#This Row],[Date]],'DB Details'!$A:$Q,15))</f>
        <v>1.3486661199029431E-2</v>
      </c>
      <c r="E109" s="61">
        <f>IF(VLOOKUP(Table311[[#This Row],[Date]],'DB Details'!$A:$Q,17)=0,"",VLOOKUP(Table311[[#This Row],[Date]],'DB Details'!$A:$Q,17))</f>
        <v>5.5047830418741617E-2</v>
      </c>
    </row>
    <row r="110" spans="1:5" x14ac:dyDescent="0.2">
      <c r="A110" s="60">
        <v>38777</v>
      </c>
      <c r="B110" s="50">
        <f>IF(VLOOKUP(Table311[[#This Row],[Date]],'DB Details'!$A:$Q,12)=0,"",VLOOKUP(Table311[[#This Row],[Date]],'DB Details'!$A:$Q,12))</f>
        <v>56.9</v>
      </c>
      <c r="C110" s="61">
        <f>IF(VLOOKUP(Table311[[#This Row],[Date]],'DB Details'!$A:$Q,16)=0,"",VLOOKUP(Table311[[#This Row],[Date]],'DB Details'!$A:$Q,16))</f>
        <v>3.2248575723230061E-2</v>
      </c>
      <c r="D110" s="61">
        <f>IF(VLOOKUP(Table311[[#This Row],[Date]],'DB Details'!$A:$Q,15)=0,"",VLOOKUP(Table311[[#This Row],[Date]],'DB Details'!$A:$Q,15))</f>
        <v>1.3486661199029431E-2</v>
      </c>
      <c r="E110" s="61">
        <f>IF(VLOOKUP(Table311[[#This Row],[Date]],'DB Details'!$A:$Q,17)=0,"",VLOOKUP(Table311[[#This Row],[Date]],'DB Details'!$A:$Q,17))</f>
        <v>5.5047830418741617E-2</v>
      </c>
    </row>
    <row r="111" spans="1:5" x14ac:dyDescent="0.2">
      <c r="A111" s="60">
        <v>38808</v>
      </c>
      <c r="B111" s="50">
        <f>IF(VLOOKUP(Table311[[#This Row],[Date]],'DB Details'!$A:$Q,12)=0,"",VLOOKUP(Table311[[#This Row],[Date]],'DB Details'!$A:$Q,12))</f>
        <v>58.4</v>
      </c>
      <c r="C111" s="61">
        <f>IF(VLOOKUP(Table311[[#This Row],[Date]],'DB Details'!$A:$Q,16)=0,"",VLOOKUP(Table311[[#This Row],[Date]],'DB Details'!$A:$Q,16))</f>
        <v>2.977269025594638E-2</v>
      </c>
      <c r="D111" s="61">
        <f>IF(VLOOKUP(Table311[[#This Row],[Date]],'DB Details'!$A:$Q,15)=0,"",VLOOKUP(Table311[[#This Row],[Date]],'DB Details'!$A:$Q,15))</f>
        <v>2.4558373055836402E-3</v>
      </c>
      <c r="E111" s="61">
        <f>IF(VLOOKUP(Table311[[#This Row],[Date]],'DB Details'!$A:$Q,17)=0,"",VLOOKUP(Table311[[#This Row],[Date]],'DB Details'!$A:$Q,17))</f>
        <v>9.8595953259017488E-3</v>
      </c>
    </row>
    <row r="112" spans="1:5" x14ac:dyDescent="0.2">
      <c r="A112" s="60">
        <v>38838</v>
      </c>
      <c r="B112" s="50">
        <f>IF(VLOOKUP(Table311[[#This Row],[Date]],'DB Details'!$A:$Q,12)=0,"",VLOOKUP(Table311[[#This Row],[Date]],'DB Details'!$A:$Q,12))</f>
        <v>57</v>
      </c>
      <c r="C112" s="61">
        <f>IF(VLOOKUP(Table311[[#This Row],[Date]],'DB Details'!$A:$Q,16)=0,"",VLOOKUP(Table311[[#This Row],[Date]],'DB Details'!$A:$Q,16))</f>
        <v>2.977269025594638E-2</v>
      </c>
      <c r="D112" s="61">
        <f>IF(VLOOKUP(Table311[[#This Row],[Date]],'DB Details'!$A:$Q,15)=0,"",VLOOKUP(Table311[[#This Row],[Date]],'DB Details'!$A:$Q,15))</f>
        <v>2.4558373055836402E-3</v>
      </c>
      <c r="E112" s="61">
        <f>IF(VLOOKUP(Table311[[#This Row],[Date]],'DB Details'!$A:$Q,17)=0,"",VLOOKUP(Table311[[#This Row],[Date]],'DB Details'!$A:$Q,17))</f>
        <v>9.8595953259017488E-3</v>
      </c>
    </row>
    <row r="113" spans="1:5" x14ac:dyDescent="0.2">
      <c r="A113" s="60">
        <v>38869</v>
      </c>
      <c r="B113" s="50">
        <f>IF(VLOOKUP(Table311[[#This Row],[Date]],'DB Details'!$A:$Q,12)=0,"",VLOOKUP(Table311[[#This Row],[Date]],'DB Details'!$A:$Q,12))</f>
        <v>55.2</v>
      </c>
      <c r="C113" s="61">
        <f>IF(VLOOKUP(Table311[[#This Row],[Date]],'DB Details'!$A:$Q,16)=0,"",VLOOKUP(Table311[[#This Row],[Date]],'DB Details'!$A:$Q,16))</f>
        <v>2.977269025594638E-2</v>
      </c>
      <c r="D113" s="61">
        <f>IF(VLOOKUP(Table311[[#This Row],[Date]],'DB Details'!$A:$Q,15)=0,"",VLOOKUP(Table311[[#This Row],[Date]],'DB Details'!$A:$Q,15))</f>
        <v>2.4558373055836402E-3</v>
      </c>
      <c r="E113" s="61">
        <f>IF(VLOOKUP(Table311[[#This Row],[Date]],'DB Details'!$A:$Q,17)=0,"",VLOOKUP(Table311[[#This Row],[Date]],'DB Details'!$A:$Q,17))</f>
        <v>9.8595953259017488E-3</v>
      </c>
    </row>
    <row r="114" spans="1:5" x14ac:dyDescent="0.2">
      <c r="A114" s="60">
        <v>38899</v>
      </c>
      <c r="B114" s="50">
        <f>IF(VLOOKUP(Table311[[#This Row],[Date]],'DB Details'!$A:$Q,12)=0,"",VLOOKUP(Table311[[#This Row],[Date]],'DB Details'!$A:$Q,12))</f>
        <v>55.6</v>
      </c>
      <c r="C114" s="61">
        <f>IF(VLOOKUP(Table311[[#This Row],[Date]],'DB Details'!$A:$Q,16)=0,"",VLOOKUP(Table311[[#This Row],[Date]],'DB Details'!$A:$Q,16))</f>
        <v>2.328291151863791E-2</v>
      </c>
      <c r="D114" s="61">
        <f>IF(VLOOKUP(Table311[[#This Row],[Date]],'DB Details'!$A:$Q,15)=0,"",VLOOKUP(Table311[[#This Row],[Date]],'DB Details'!$A:$Q,15))</f>
        <v>1.5045618810949951E-3</v>
      </c>
      <c r="E114" s="61">
        <f>IF(VLOOKUP(Table311[[#This Row],[Date]],'DB Details'!$A:$Q,17)=0,"",VLOOKUP(Table311[[#This Row],[Date]],'DB Details'!$A:$Q,17))</f>
        <v>6.0318433917740943E-3</v>
      </c>
    </row>
    <row r="115" spans="1:5" x14ac:dyDescent="0.2">
      <c r="A115" s="60">
        <v>38930</v>
      </c>
      <c r="B115" s="50">
        <f>IF(VLOOKUP(Table311[[#This Row],[Date]],'DB Details'!$A:$Q,12)=0,"",VLOOKUP(Table311[[#This Row],[Date]],'DB Details'!$A:$Q,12))</f>
        <v>53.9</v>
      </c>
      <c r="C115" s="61">
        <f>IF(VLOOKUP(Table311[[#This Row],[Date]],'DB Details'!$A:$Q,16)=0,"",VLOOKUP(Table311[[#This Row],[Date]],'DB Details'!$A:$Q,16))</f>
        <v>2.328291151863791E-2</v>
      </c>
      <c r="D115" s="61">
        <f>IF(VLOOKUP(Table311[[#This Row],[Date]],'DB Details'!$A:$Q,15)=0,"",VLOOKUP(Table311[[#This Row],[Date]],'DB Details'!$A:$Q,15))</f>
        <v>1.5045618810949951E-3</v>
      </c>
      <c r="E115" s="61">
        <f>IF(VLOOKUP(Table311[[#This Row],[Date]],'DB Details'!$A:$Q,17)=0,"",VLOOKUP(Table311[[#This Row],[Date]],'DB Details'!$A:$Q,17))</f>
        <v>6.0318433917740943E-3</v>
      </c>
    </row>
    <row r="116" spans="1:5" x14ac:dyDescent="0.2">
      <c r="A116" s="60">
        <v>38961</v>
      </c>
      <c r="B116" s="50">
        <f>IF(VLOOKUP(Table311[[#This Row],[Date]],'DB Details'!$A:$Q,12)=0,"",VLOOKUP(Table311[[#This Row],[Date]],'DB Details'!$A:$Q,12))</f>
        <v>54.5</v>
      </c>
      <c r="C116" s="61">
        <f>IF(VLOOKUP(Table311[[#This Row],[Date]],'DB Details'!$A:$Q,16)=0,"",VLOOKUP(Table311[[#This Row],[Date]],'DB Details'!$A:$Q,16))</f>
        <v>2.328291151863791E-2</v>
      </c>
      <c r="D116" s="61">
        <f>IF(VLOOKUP(Table311[[#This Row],[Date]],'DB Details'!$A:$Q,15)=0,"",VLOOKUP(Table311[[#This Row],[Date]],'DB Details'!$A:$Q,15))</f>
        <v>1.5045618810949951E-3</v>
      </c>
      <c r="E116" s="61">
        <f>IF(VLOOKUP(Table311[[#This Row],[Date]],'DB Details'!$A:$Q,17)=0,"",VLOOKUP(Table311[[#This Row],[Date]],'DB Details'!$A:$Q,17))</f>
        <v>6.0318433917740943E-3</v>
      </c>
    </row>
    <row r="117" spans="1:5" x14ac:dyDescent="0.2">
      <c r="A117" s="60">
        <v>38991</v>
      </c>
      <c r="B117" s="50">
        <f>IF(VLOOKUP(Table311[[#This Row],[Date]],'DB Details'!$A:$Q,12)=0,"",VLOOKUP(Table311[[#This Row],[Date]],'DB Details'!$A:$Q,12))</f>
        <v>54.9</v>
      </c>
      <c r="C117" s="61">
        <f>IF(VLOOKUP(Table311[[#This Row],[Date]],'DB Details'!$A:$Q,16)=0,"",VLOOKUP(Table311[[#This Row],[Date]],'DB Details'!$A:$Q,16))</f>
        <v>2.6089019835609219E-2</v>
      </c>
      <c r="D117" s="61">
        <f>IF(VLOOKUP(Table311[[#This Row],[Date]],'DB Details'!$A:$Q,15)=0,"",VLOOKUP(Table311[[#This Row],[Date]],'DB Details'!$A:$Q,15))</f>
        <v>8.4371169635735783E-3</v>
      </c>
      <c r="E117" s="61">
        <f>IF(VLOOKUP(Table311[[#This Row],[Date]],'DB Details'!$A:$Q,17)=0,"",VLOOKUP(Table311[[#This Row],[Date]],'DB Details'!$A:$Q,17))</f>
        <v>3.4177984960281238E-2</v>
      </c>
    </row>
    <row r="118" spans="1:5" x14ac:dyDescent="0.2">
      <c r="A118" s="60">
        <v>39022</v>
      </c>
      <c r="B118" s="50">
        <f>IF(VLOOKUP(Table311[[#This Row],[Date]],'DB Details'!$A:$Q,12)=0,"",VLOOKUP(Table311[[#This Row],[Date]],'DB Details'!$A:$Q,12))</f>
        <v>54.5</v>
      </c>
      <c r="C118" s="61">
        <f>IF(VLOOKUP(Table311[[#This Row],[Date]],'DB Details'!$A:$Q,16)=0,"",VLOOKUP(Table311[[#This Row],[Date]],'DB Details'!$A:$Q,16))</f>
        <v>2.6089019835609219E-2</v>
      </c>
      <c r="D118" s="61">
        <f>IF(VLOOKUP(Table311[[#This Row],[Date]],'DB Details'!$A:$Q,15)=0,"",VLOOKUP(Table311[[#This Row],[Date]],'DB Details'!$A:$Q,15))</f>
        <v>8.4371169635735783E-3</v>
      </c>
      <c r="E118" s="61">
        <f>IF(VLOOKUP(Table311[[#This Row],[Date]],'DB Details'!$A:$Q,17)=0,"",VLOOKUP(Table311[[#This Row],[Date]],'DB Details'!$A:$Q,17))</f>
        <v>3.4177984960281238E-2</v>
      </c>
    </row>
    <row r="119" spans="1:5" x14ac:dyDescent="0.2">
      <c r="A119" s="60">
        <v>39052</v>
      </c>
      <c r="B119" s="50">
        <f>IF(VLOOKUP(Table311[[#This Row],[Date]],'DB Details'!$A:$Q,12)=0,"",VLOOKUP(Table311[[#This Row],[Date]],'DB Details'!$A:$Q,12))</f>
        <v>53.7</v>
      </c>
      <c r="C119" s="61">
        <f>IF(VLOOKUP(Table311[[#This Row],[Date]],'DB Details'!$A:$Q,16)=0,"",VLOOKUP(Table311[[#This Row],[Date]],'DB Details'!$A:$Q,16))</f>
        <v>2.6089019835609219E-2</v>
      </c>
      <c r="D119" s="61">
        <f>IF(VLOOKUP(Table311[[#This Row],[Date]],'DB Details'!$A:$Q,15)=0,"",VLOOKUP(Table311[[#This Row],[Date]],'DB Details'!$A:$Q,15))</f>
        <v>8.4371169635735783E-3</v>
      </c>
      <c r="E119" s="61">
        <f>IF(VLOOKUP(Table311[[#This Row],[Date]],'DB Details'!$A:$Q,17)=0,"",VLOOKUP(Table311[[#This Row],[Date]],'DB Details'!$A:$Q,17))</f>
        <v>3.4177984960281238E-2</v>
      </c>
    </row>
    <row r="120" spans="1:5" x14ac:dyDescent="0.2">
      <c r="A120" s="60">
        <v>39083</v>
      </c>
      <c r="B120" s="50">
        <f>IF(VLOOKUP(Table311[[#This Row],[Date]],'DB Details'!$A:$Q,12)=0,"",VLOOKUP(Table311[[#This Row],[Date]],'DB Details'!$A:$Q,12))</f>
        <v>55.4</v>
      </c>
      <c r="C120" s="61">
        <f>IF(VLOOKUP(Table311[[#This Row],[Date]],'DB Details'!$A:$Q,16)=0,"",VLOOKUP(Table311[[#This Row],[Date]],'DB Details'!$A:$Q,16))</f>
        <v>1.540715325180492E-2</v>
      </c>
      <c r="D120" s="61">
        <f>IF(VLOOKUP(Table311[[#This Row],[Date]],'DB Details'!$A:$Q,15)=0,"",VLOOKUP(Table311[[#This Row],[Date]],'DB Details'!$A:$Q,15))</f>
        <v>2.9359886061897439E-3</v>
      </c>
      <c r="E120" s="61">
        <f>IF(VLOOKUP(Table311[[#This Row],[Date]],'DB Details'!$A:$Q,17)=0,"",VLOOKUP(Table311[[#This Row],[Date]],'DB Details'!$A:$Q,17))</f>
        <v>1.1795775906866529E-2</v>
      </c>
    </row>
    <row r="121" spans="1:5" x14ac:dyDescent="0.2">
      <c r="A121" s="60">
        <v>39114</v>
      </c>
      <c r="B121" s="50">
        <f>IF(VLOOKUP(Table311[[#This Row],[Date]],'DB Details'!$A:$Q,12)=0,"",VLOOKUP(Table311[[#This Row],[Date]],'DB Details'!$A:$Q,12))</f>
        <v>54.2</v>
      </c>
      <c r="C121" s="61">
        <f>IF(VLOOKUP(Table311[[#This Row],[Date]],'DB Details'!$A:$Q,16)=0,"",VLOOKUP(Table311[[#This Row],[Date]],'DB Details'!$A:$Q,16))</f>
        <v>1.540715325180492E-2</v>
      </c>
      <c r="D121" s="61">
        <f>IF(VLOOKUP(Table311[[#This Row],[Date]],'DB Details'!$A:$Q,15)=0,"",VLOOKUP(Table311[[#This Row],[Date]],'DB Details'!$A:$Q,15))</f>
        <v>2.9359886061897439E-3</v>
      </c>
      <c r="E121" s="61">
        <f>IF(VLOOKUP(Table311[[#This Row],[Date]],'DB Details'!$A:$Q,17)=0,"",VLOOKUP(Table311[[#This Row],[Date]],'DB Details'!$A:$Q,17))</f>
        <v>1.1795775906866529E-2</v>
      </c>
    </row>
    <row r="122" spans="1:5" x14ac:dyDescent="0.2">
      <c r="A122" s="60">
        <v>39142</v>
      </c>
      <c r="B122" s="50">
        <f>IF(VLOOKUP(Table311[[#This Row],[Date]],'DB Details'!$A:$Q,12)=0,"",VLOOKUP(Table311[[#This Row],[Date]],'DB Details'!$A:$Q,12))</f>
        <v>52.1</v>
      </c>
      <c r="C122" s="61">
        <f>IF(VLOOKUP(Table311[[#This Row],[Date]],'DB Details'!$A:$Q,16)=0,"",VLOOKUP(Table311[[#This Row],[Date]],'DB Details'!$A:$Q,16))</f>
        <v>1.540715325180492E-2</v>
      </c>
      <c r="D122" s="61">
        <f>IF(VLOOKUP(Table311[[#This Row],[Date]],'DB Details'!$A:$Q,15)=0,"",VLOOKUP(Table311[[#This Row],[Date]],'DB Details'!$A:$Q,15))</f>
        <v>2.9359886061897439E-3</v>
      </c>
      <c r="E122" s="61">
        <f>IF(VLOOKUP(Table311[[#This Row],[Date]],'DB Details'!$A:$Q,17)=0,"",VLOOKUP(Table311[[#This Row],[Date]],'DB Details'!$A:$Q,17))</f>
        <v>1.1795775906866529E-2</v>
      </c>
    </row>
    <row r="123" spans="1:5" x14ac:dyDescent="0.2">
      <c r="A123" s="60">
        <v>39173</v>
      </c>
      <c r="B123" s="50">
        <f>IF(VLOOKUP(Table311[[#This Row],[Date]],'DB Details'!$A:$Q,12)=0,"",VLOOKUP(Table311[[#This Row],[Date]],'DB Details'!$A:$Q,12))</f>
        <v>53.4</v>
      </c>
      <c r="C123" s="61">
        <f>IF(VLOOKUP(Table311[[#This Row],[Date]],'DB Details'!$A:$Q,16)=0,"",VLOOKUP(Table311[[#This Row],[Date]],'DB Details'!$A:$Q,16))</f>
        <v>1.938641594997887E-2</v>
      </c>
      <c r="D123" s="61">
        <f>IF(VLOOKUP(Table311[[#This Row],[Date]],'DB Details'!$A:$Q,15)=0,"",VLOOKUP(Table311[[#This Row],[Date]],'DB Details'!$A:$Q,15))</f>
        <v>6.3843453008071297E-3</v>
      </c>
      <c r="E123" s="61">
        <f>IF(VLOOKUP(Table311[[#This Row],[Date]],'DB Details'!$A:$Q,17)=0,"",VLOOKUP(Table311[[#This Row],[Date]],'DB Details'!$A:$Q,17))</f>
        <v>2.578298295432346E-2</v>
      </c>
    </row>
    <row r="124" spans="1:5" x14ac:dyDescent="0.2">
      <c r="A124" s="60">
        <v>39203</v>
      </c>
      <c r="B124" s="50">
        <f>IF(VLOOKUP(Table311[[#This Row],[Date]],'DB Details'!$A:$Q,12)=0,"",VLOOKUP(Table311[[#This Row],[Date]],'DB Details'!$A:$Q,12))</f>
        <v>54.3</v>
      </c>
      <c r="C124" s="61">
        <f>IF(VLOOKUP(Table311[[#This Row],[Date]],'DB Details'!$A:$Q,16)=0,"",VLOOKUP(Table311[[#This Row],[Date]],'DB Details'!$A:$Q,16))</f>
        <v>1.938641594997887E-2</v>
      </c>
      <c r="D124" s="61">
        <f>IF(VLOOKUP(Table311[[#This Row],[Date]],'DB Details'!$A:$Q,15)=0,"",VLOOKUP(Table311[[#This Row],[Date]],'DB Details'!$A:$Q,15))</f>
        <v>6.3843453008071297E-3</v>
      </c>
      <c r="E124" s="61">
        <f>IF(VLOOKUP(Table311[[#This Row],[Date]],'DB Details'!$A:$Q,17)=0,"",VLOOKUP(Table311[[#This Row],[Date]],'DB Details'!$A:$Q,17))</f>
        <v>2.578298295432346E-2</v>
      </c>
    </row>
    <row r="125" spans="1:5" x14ac:dyDescent="0.2">
      <c r="A125" s="60">
        <v>39234</v>
      </c>
      <c r="B125" s="50">
        <f>IF(VLOOKUP(Table311[[#This Row],[Date]],'DB Details'!$A:$Q,12)=0,"",VLOOKUP(Table311[[#This Row],[Date]],'DB Details'!$A:$Q,12))</f>
        <v>54.9</v>
      </c>
      <c r="C125" s="61">
        <f>IF(VLOOKUP(Table311[[#This Row],[Date]],'DB Details'!$A:$Q,16)=0,"",VLOOKUP(Table311[[#This Row],[Date]],'DB Details'!$A:$Q,16))</f>
        <v>1.938641594997887E-2</v>
      </c>
      <c r="D125" s="61">
        <f>IF(VLOOKUP(Table311[[#This Row],[Date]],'DB Details'!$A:$Q,15)=0,"",VLOOKUP(Table311[[#This Row],[Date]],'DB Details'!$A:$Q,15))</f>
        <v>6.3843453008071297E-3</v>
      </c>
      <c r="E125" s="61">
        <f>IF(VLOOKUP(Table311[[#This Row],[Date]],'DB Details'!$A:$Q,17)=0,"",VLOOKUP(Table311[[#This Row],[Date]],'DB Details'!$A:$Q,17))</f>
        <v>2.578298295432346E-2</v>
      </c>
    </row>
    <row r="126" spans="1:5" x14ac:dyDescent="0.2">
      <c r="A126" s="60">
        <v>39264</v>
      </c>
      <c r="B126" s="50">
        <f>IF(VLOOKUP(Table311[[#This Row],[Date]],'DB Details'!$A:$Q,12)=0,"",VLOOKUP(Table311[[#This Row],[Date]],'DB Details'!$A:$Q,12))</f>
        <v>53.6</v>
      </c>
      <c r="C126" s="61">
        <f>IF(VLOOKUP(Table311[[#This Row],[Date]],'DB Details'!$A:$Q,16)=0,"",VLOOKUP(Table311[[#This Row],[Date]],'DB Details'!$A:$Q,16))</f>
        <v>2.3985598500102932E-2</v>
      </c>
      <c r="D126" s="61">
        <f>IF(VLOOKUP(Table311[[#This Row],[Date]],'DB Details'!$A:$Q,15)=0,"",VLOOKUP(Table311[[#This Row],[Date]],'DB Details'!$A:$Q,15))</f>
        <v>6.0230665745096982E-3</v>
      </c>
      <c r="E126" s="61">
        <f>IF(VLOOKUP(Table311[[#This Row],[Date]],'DB Details'!$A:$Q,17)=0,"",VLOOKUP(Table311[[#This Row],[Date]],'DB Details'!$A:$Q,17))</f>
        <v>2.4310805602967941E-2</v>
      </c>
    </row>
    <row r="127" spans="1:5" x14ac:dyDescent="0.2">
      <c r="A127" s="60">
        <v>39295</v>
      </c>
      <c r="B127" s="50">
        <f>IF(VLOOKUP(Table311[[#This Row],[Date]],'DB Details'!$A:$Q,12)=0,"",VLOOKUP(Table311[[#This Row],[Date]],'DB Details'!$A:$Q,12))</f>
        <v>52.7</v>
      </c>
      <c r="C127" s="61">
        <f>IF(VLOOKUP(Table311[[#This Row],[Date]],'DB Details'!$A:$Q,16)=0,"",VLOOKUP(Table311[[#This Row],[Date]],'DB Details'!$A:$Q,16))</f>
        <v>2.3985598500102932E-2</v>
      </c>
      <c r="D127" s="61">
        <f>IF(VLOOKUP(Table311[[#This Row],[Date]],'DB Details'!$A:$Q,15)=0,"",VLOOKUP(Table311[[#This Row],[Date]],'DB Details'!$A:$Q,15))</f>
        <v>6.0230665745096982E-3</v>
      </c>
      <c r="E127" s="61">
        <f>IF(VLOOKUP(Table311[[#This Row],[Date]],'DB Details'!$A:$Q,17)=0,"",VLOOKUP(Table311[[#This Row],[Date]],'DB Details'!$A:$Q,17))</f>
        <v>2.4310805602967941E-2</v>
      </c>
    </row>
    <row r="128" spans="1:5" x14ac:dyDescent="0.2">
      <c r="A128" s="60">
        <v>39326</v>
      </c>
      <c r="B128" s="50">
        <f>IF(VLOOKUP(Table311[[#This Row],[Date]],'DB Details'!$A:$Q,12)=0,"",VLOOKUP(Table311[[#This Row],[Date]],'DB Details'!$A:$Q,12))</f>
        <v>52.6</v>
      </c>
      <c r="C128" s="61">
        <f>IF(VLOOKUP(Table311[[#This Row],[Date]],'DB Details'!$A:$Q,16)=0,"",VLOOKUP(Table311[[#This Row],[Date]],'DB Details'!$A:$Q,16))</f>
        <v>2.3985598500102932E-2</v>
      </c>
      <c r="D128" s="61">
        <f>IF(VLOOKUP(Table311[[#This Row],[Date]],'DB Details'!$A:$Q,15)=0,"",VLOOKUP(Table311[[#This Row],[Date]],'DB Details'!$A:$Q,15))</f>
        <v>6.0230665745096982E-3</v>
      </c>
      <c r="E128" s="61">
        <f>IF(VLOOKUP(Table311[[#This Row],[Date]],'DB Details'!$A:$Q,17)=0,"",VLOOKUP(Table311[[#This Row],[Date]],'DB Details'!$A:$Q,17))</f>
        <v>2.4310805602967941E-2</v>
      </c>
    </row>
    <row r="129" spans="1:5" x14ac:dyDescent="0.2">
      <c r="A129" s="60">
        <v>39356</v>
      </c>
      <c r="B129" s="50">
        <f>IF(VLOOKUP(Table311[[#This Row],[Date]],'DB Details'!$A:$Q,12)=0,"",VLOOKUP(Table311[[#This Row],[Date]],'DB Details'!$A:$Q,12))</f>
        <v>53.6</v>
      </c>
      <c r="C129" s="61">
        <f>IF(VLOOKUP(Table311[[#This Row],[Date]],'DB Details'!$A:$Q,16)=0,"",VLOOKUP(Table311[[#This Row],[Date]],'DB Details'!$A:$Q,16))</f>
        <v>2.1608832081965391E-2</v>
      </c>
      <c r="D129" s="61">
        <f>IF(VLOOKUP(Table311[[#This Row],[Date]],'DB Details'!$A:$Q,15)=0,"",VLOOKUP(Table311[[#This Row],[Date]],'DB Details'!$A:$Q,15))</f>
        <v>6.0964400264045121E-3</v>
      </c>
      <c r="E129" s="61">
        <f>IF(VLOOKUP(Table311[[#This Row],[Date]],'DB Details'!$A:$Q,17)=0,"",VLOOKUP(Table311[[#This Row],[Date]],'DB Details'!$A:$Q,17))</f>
        <v>2.46096673082743E-2</v>
      </c>
    </row>
    <row r="130" spans="1:5" x14ac:dyDescent="0.2">
      <c r="A130" s="60">
        <v>39387</v>
      </c>
      <c r="B130" s="50">
        <f>IF(VLOOKUP(Table311[[#This Row],[Date]],'DB Details'!$A:$Q,12)=0,"",VLOOKUP(Table311[[#This Row],[Date]],'DB Details'!$A:$Q,12))</f>
        <v>52.8</v>
      </c>
      <c r="C130" s="61">
        <f>IF(VLOOKUP(Table311[[#This Row],[Date]],'DB Details'!$A:$Q,16)=0,"",VLOOKUP(Table311[[#This Row],[Date]],'DB Details'!$A:$Q,16))</f>
        <v>2.1608832081965391E-2</v>
      </c>
      <c r="D130" s="61">
        <f>IF(VLOOKUP(Table311[[#This Row],[Date]],'DB Details'!$A:$Q,15)=0,"",VLOOKUP(Table311[[#This Row],[Date]],'DB Details'!$A:$Q,15))</f>
        <v>6.0964400264045121E-3</v>
      </c>
      <c r="E130" s="61">
        <f>IF(VLOOKUP(Table311[[#This Row],[Date]],'DB Details'!$A:$Q,17)=0,"",VLOOKUP(Table311[[#This Row],[Date]],'DB Details'!$A:$Q,17))</f>
        <v>2.46096673082743E-2</v>
      </c>
    </row>
    <row r="131" spans="1:5" x14ac:dyDescent="0.2">
      <c r="A131" s="60">
        <v>39417</v>
      </c>
      <c r="B131" s="50">
        <f>IF(VLOOKUP(Table311[[#This Row],[Date]],'DB Details'!$A:$Q,12)=0,"",VLOOKUP(Table311[[#This Row],[Date]],'DB Details'!$A:$Q,12))</f>
        <v>52.5</v>
      </c>
      <c r="C131" s="61">
        <f>IF(VLOOKUP(Table311[[#This Row],[Date]],'DB Details'!$A:$Q,16)=0,"",VLOOKUP(Table311[[#This Row],[Date]],'DB Details'!$A:$Q,16))</f>
        <v>2.1608832081965391E-2</v>
      </c>
      <c r="D131" s="61">
        <f>IF(VLOOKUP(Table311[[#This Row],[Date]],'DB Details'!$A:$Q,15)=0,"",VLOOKUP(Table311[[#This Row],[Date]],'DB Details'!$A:$Q,15))</f>
        <v>6.0964400264045121E-3</v>
      </c>
      <c r="E131" s="61">
        <f>IF(VLOOKUP(Table311[[#This Row],[Date]],'DB Details'!$A:$Q,17)=0,"",VLOOKUP(Table311[[#This Row],[Date]],'DB Details'!$A:$Q,17))</f>
        <v>2.46096673082743E-2</v>
      </c>
    </row>
    <row r="132" spans="1:5" x14ac:dyDescent="0.2">
      <c r="A132" s="60">
        <v>39448</v>
      </c>
      <c r="B132" s="50">
        <f>IF(VLOOKUP(Table311[[#This Row],[Date]],'DB Details'!$A:$Q,12)=0,"",VLOOKUP(Table311[[#This Row],[Date]],'DB Details'!$A:$Q,12))</f>
        <v>44.8</v>
      </c>
      <c r="C132" s="61">
        <f>IF(VLOOKUP(Table311[[#This Row],[Date]],'DB Details'!$A:$Q,16)=0,"",VLOOKUP(Table311[[#This Row],[Date]],'DB Details'!$A:$Q,16))</f>
        <v>1.4468030014427379E-2</v>
      </c>
      <c r="D132" s="61">
        <f>IF(VLOOKUP(Table311[[#This Row],[Date]],'DB Details'!$A:$Q,15)=0,"",VLOOKUP(Table311[[#This Row],[Date]],'DB Details'!$A:$Q,15))</f>
        <v>-4.0742947392000926E-3</v>
      </c>
      <c r="E132" s="61">
        <f>IF(VLOOKUP(Table311[[#This Row],[Date]],'DB Details'!$A:$Q,17)=0,"",VLOOKUP(Table311[[#This Row],[Date]],'DB Details'!$A:$Q,17))</f>
        <v>-1.619784994668938E-2</v>
      </c>
    </row>
    <row r="133" spans="1:5" x14ac:dyDescent="0.2">
      <c r="A133" s="60">
        <v>39479</v>
      </c>
      <c r="B133" s="50">
        <f>IF(VLOOKUP(Table311[[#This Row],[Date]],'DB Details'!$A:$Q,12)=0,"",VLOOKUP(Table311[[#This Row],[Date]],'DB Details'!$A:$Q,12))</f>
        <v>49.9</v>
      </c>
      <c r="C133" s="61">
        <f>IF(VLOOKUP(Table311[[#This Row],[Date]],'DB Details'!$A:$Q,16)=0,"",VLOOKUP(Table311[[#This Row],[Date]],'DB Details'!$A:$Q,16))</f>
        <v>1.4468030014427379E-2</v>
      </c>
      <c r="D133" s="61">
        <f>IF(VLOOKUP(Table311[[#This Row],[Date]],'DB Details'!$A:$Q,15)=0,"",VLOOKUP(Table311[[#This Row],[Date]],'DB Details'!$A:$Q,15))</f>
        <v>-4.0742947392000926E-3</v>
      </c>
      <c r="E133" s="61">
        <f>IF(VLOOKUP(Table311[[#This Row],[Date]],'DB Details'!$A:$Q,17)=0,"",VLOOKUP(Table311[[#This Row],[Date]],'DB Details'!$A:$Q,17))</f>
        <v>-1.619784994668938E-2</v>
      </c>
    </row>
    <row r="134" spans="1:5" x14ac:dyDescent="0.2">
      <c r="A134" s="60">
        <v>39508</v>
      </c>
      <c r="B134" s="50">
        <f>IF(VLOOKUP(Table311[[#This Row],[Date]],'DB Details'!$A:$Q,12)=0,"",VLOOKUP(Table311[[#This Row],[Date]],'DB Details'!$A:$Q,12))</f>
        <v>49.4</v>
      </c>
      <c r="C134" s="61">
        <f>IF(VLOOKUP(Table311[[#This Row],[Date]],'DB Details'!$A:$Q,16)=0,"",VLOOKUP(Table311[[#This Row],[Date]],'DB Details'!$A:$Q,16))</f>
        <v>1.4468030014427379E-2</v>
      </c>
      <c r="D134" s="61">
        <f>IF(VLOOKUP(Table311[[#This Row],[Date]],'DB Details'!$A:$Q,15)=0,"",VLOOKUP(Table311[[#This Row],[Date]],'DB Details'!$A:$Q,15))</f>
        <v>-4.0742947392000926E-3</v>
      </c>
      <c r="E134" s="61">
        <f>IF(VLOOKUP(Table311[[#This Row],[Date]],'DB Details'!$A:$Q,17)=0,"",VLOOKUP(Table311[[#This Row],[Date]],'DB Details'!$A:$Q,17))</f>
        <v>-1.619784994668938E-2</v>
      </c>
    </row>
    <row r="135" spans="1:5" x14ac:dyDescent="0.2">
      <c r="A135" s="60">
        <v>39539</v>
      </c>
      <c r="B135" s="50">
        <f>IF(VLOOKUP(Table311[[#This Row],[Date]],'DB Details'!$A:$Q,12)=0,"",VLOOKUP(Table311[[#This Row],[Date]],'DB Details'!$A:$Q,12))</f>
        <v>51.9</v>
      </c>
      <c r="C135" s="61">
        <f>IF(VLOOKUP(Table311[[#This Row],[Date]],'DB Details'!$A:$Q,16)=0,"",VLOOKUP(Table311[[#This Row],[Date]],'DB Details'!$A:$Q,16))</f>
        <v>1.3801325593333859E-2</v>
      </c>
      <c r="D135" s="61">
        <f>IF(VLOOKUP(Table311[[#This Row],[Date]],'DB Details'!$A:$Q,15)=0,"",VLOOKUP(Table311[[#This Row],[Date]],'DB Details'!$A:$Q,15))</f>
        <v>5.7229534456869546E-3</v>
      </c>
      <c r="E135" s="61">
        <f>IF(VLOOKUP(Table311[[#This Row],[Date]],'DB Details'!$A:$Q,17)=0,"",VLOOKUP(Table311[[#This Row],[Date]],'DB Details'!$A:$Q,17))</f>
        <v>2.3089077789477889E-2</v>
      </c>
    </row>
    <row r="136" spans="1:5" x14ac:dyDescent="0.2">
      <c r="A136" s="60">
        <v>39569</v>
      </c>
      <c r="B136" s="50">
        <f>IF(VLOOKUP(Table311[[#This Row],[Date]],'DB Details'!$A:$Q,12)=0,"",VLOOKUP(Table311[[#This Row],[Date]],'DB Details'!$A:$Q,12))</f>
        <v>51.5</v>
      </c>
      <c r="C136" s="61">
        <f>IF(VLOOKUP(Table311[[#This Row],[Date]],'DB Details'!$A:$Q,16)=0,"",VLOOKUP(Table311[[#This Row],[Date]],'DB Details'!$A:$Q,16))</f>
        <v>1.3801325593333859E-2</v>
      </c>
      <c r="D136" s="61">
        <f>IF(VLOOKUP(Table311[[#This Row],[Date]],'DB Details'!$A:$Q,15)=0,"",VLOOKUP(Table311[[#This Row],[Date]],'DB Details'!$A:$Q,15))</f>
        <v>5.7229534456869546E-3</v>
      </c>
      <c r="E136" s="61">
        <f>IF(VLOOKUP(Table311[[#This Row],[Date]],'DB Details'!$A:$Q,17)=0,"",VLOOKUP(Table311[[#This Row],[Date]],'DB Details'!$A:$Q,17))</f>
        <v>2.3089077789477889E-2</v>
      </c>
    </row>
    <row r="137" spans="1:5" x14ac:dyDescent="0.2">
      <c r="A137" s="60">
        <v>39600</v>
      </c>
      <c r="B137" s="50">
        <f>IF(VLOOKUP(Table311[[#This Row],[Date]],'DB Details'!$A:$Q,12)=0,"",VLOOKUP(Table311[[#This Row],[Date]],'DB Details'!$A:$Q,12))</f>
        <v>48.1</v>
      </c>
      <c r="C137" s="61">
        <f>IF(VLOOKUP(Table311[[#This Row],[Date]],'DB Details'!$A:$Q,16)=0,"",VLOOKUP(Table311[[#This Row],[Date]],'DB Details'!$A:$Q,16))</f>
        <v>1.3801325593333859E-2</v>
      </c>
      <c r="D137" s="61">
        <f>IF(VLOOKUP(Table311[[#This Row],[Date]],'DB Details'!$A:$Q,15)=0,"",VLOOKUP(Table311[[#This Row],[Date]],'DB Details'!$A:$Q,15))</f>
        <v>5.7229534456869546E-3</v>
      </c>
      <c r="E137" s="61">
        <f>IF(VLOOKUP(Table311[[#This Row],[Date]],'DB Details'!$A:$Q,17)=0,"",VLOOKUP(Table311[[#This Row],[Date]],'DB Details'!$A:$Q,17))</f>
        <v>2.3089077789477889E-2</v>
      </c>
    </row>
    <row r="138" spans="1:5" x14ac:dyDescent="0.2">
      <c r="A138" s="60">
        <v>39630</v>
      </c>
      <c r="B138" s="50">
        <f>IF(VLOOKUP(Table311[[#This Row],[Date]],'DB Details'!$A:$Q,12)=0,"",VLOOKUP(Table311[[#This Row],[Date]],'DB Details'!$A:$Q,12))</f>
        <v>50.1</v>
      </c>
      <c r="C138" s="61">
        <f>IF(VLOOKUP(Table311[[#This Row],[Date]],'DB Details'!$A:$Q,16)=0,"",VLOOKUP(Table311[[#This Row],[Date]],'DB Details'!$A:$Q,16))</f>
        <v>2.4220237812272792E-3</v>
      </c>
      <c r="D138" s="61">
        <f>IF(VLOOKUP(Table311[[#This Row],[Date]],'DB Details'!$A:$Q,15)=0,"",VLOOKUP(Table311[[#This Row],[Date]],'DB Details'!$A:$Q,15))</f>
        <v>-5.2689290221545849E-3</v>
      </c>
      <c r="E138" s="61">
        <f>IF(VLOOKUP(Table311[[#This Row],[Date]],'DB Details'!$A:$Q,17)=0,"",VLOOKUP(Table311[[#This Row],[Date]],'DB Details'!$A:$Q,17))</f>
        <v>-2.0909730735542809E-2</v>
      </c>
    </row>
    <row r="139" spans="1:5" x14ac:dyDescent="0.2">
      <c r="A139" s="60">
        <v>39661</v>
      </c>
      <c r="B139" s="50">
        <f>IF(VLOOKUP(Table311[[#This Row],[Date]],'DB Details'!$A:$Q,12)=0,"",VLOOKUP(Table311[[#This Row],[Date]],'DB Details'!$A:$Q,12))</f>
        <v>50.6</v>
      </c>
      <c r="C139" s="61">
        <f>IF(VLOOKUP(Table311[[#This Row],[Date]],'DB Details'!$A:$Q,16)=0,"",VLOOKUP(Table311[[#This Row],[Date]],'DB Details'!$A:$Q,16))</f>
        <v>2.4220237812272792E-3</v>
      </c>
      <c r="D139" s="61">
        <f>IF(VLOOKUP(Table311[[#This Row],[Date]],'DB Details'!$A:$Q,15)=0,"",VLOOKUP(Table311[[#This Row],[Date]],'DB Details'!$A:$Q,15))</f>
        <v>-5.2689290221545849E-3</v>
      </c>
      <c r="E139" s="61">
        <f>IF(VLOOKUP(Table311[[#This Row],[Date]],'DB Details'!$A:$Q,17)=0,"",VLOOKUP(Table311[[#This Row],[Date]],'DB Details'!$A:$Q,17))</f>
        <v>-2.0909730735542809E-2</v>
      </c>
    </row>
    <row r="140" spans="1:5" x14ac:dyDescent="0.2">
      <c r="A140" s="60">
        <v>39692</v>
      </c>
      <c r="B140" s="50">
        <f>IF(VLOOKUP(Table311[[#This Row],[Date]],'DB Details'!$A:$Q,12)=0,"",VLOOKUP(Table311[[#This Row],[Date]],'DB Details'!$A:$Q,12))</f>
        <v>49.4</v>
      </c>
      <c r="C140" s="61">
        <f>IF(VLOOKUP(Table311[[#This Row],[Date]],'DB Details'!$A:$Q,16)=0,"",VLOOKUP(Table311[[#This Row],[Date]],'DB Details'!$A:$Q,16))</f>
        <v>2.4220237812272792E-3</v>
      </c>
      <c r="D140" s="61">
        <f>IF(VLOOKUP(Table311[[#This Row],[Date]],'DB Details'!$A:$Q,15)=0,"",VLOOKUP(Table311[[#This Row],[Date]],'DB Details'!$A:$Q,15))</f>
        <v>-5.2689290221545849E-3</v>
      </c>
      <c r="E140" s="61">
        <f>IF(VLOOKUP(Table311[[#This Row],[Date]],'DB Details'!$A:$Q,17)=0,"",VLOOKUP(Table311[[#This Row],[Date]],'DB Details'!$A:$Q,17))</f>
        <v>-2.0909730735542809E-2</v>
      </c>
    </row>
    <row r="141" spans="1:5" x14ac:dyDescent="0.2">
      <c r="A141" s="60">
        <v>39722</v>
      </c>
      <c r="B141" s="50">
        <f>IF(VLOOKUP(Table311[[#This Row],[Date]],'DB Details'!$A:$Q,12)=0,"",VLOOKUP(Table311[[#This Row],[Date]],'DB Details'!$A:$Q,12))</f>
        <v>44.7</v>
      </c>
      <c r="C141" s="61">
        <f>IF(VLOOKUP(Table311[[#This Row],[Date]],'DB Details'!$A:$Q,16)=0,"",VLOOKUP(Table311[[#This Row],[Date]],'DB Details'!$A:$Q,16))</f>
        <v>-2.5403392598762051E-2</v>
      </c>
      <c r="D141" s="61">
        <f>IF(VLOOKUP(Table311[[#This Row],[Date]],'DB Details'!$A:$Q,15)=0,"",VLOOKUP(Table311[[#This Row],[Date]],'DB Details'!$A:$Q,15))</f>
        <v>-2.1830971480936261E-2</v>
      </c>
      <c r="E141" s="61">
        <f>IF(VLOOKUP(Table311[[#This Row],[Date]],'DB Details'!$A:$Q,17)=0,"",VLOOKUP(Table311[[#This Row],[Date]],'DB Details'!$A:$Q,17))</f>
        <v>-8.4505728695347337E-2</v>
      </c>
    </row>
    <row r="142" spans="1:5" x14ac:dyDescent="0.2">
      <c r="A142" s="60">
        <v>39753</v>
      </c>
      <c r="B142" s="50">
        <f>IF(VLOOKUP(Table311[[#This Row],[Date]],'DB Details'!$A:$Q,12)=0,"",VLOOKUP(Table311[[#This Row],[Date]],'DB Details'!$A:$Q,12))</f>
        <v>37.799999999999997</v>
      </c>
      <c r="C142" s="61">
        <f>IF(VLOOKUP(Table311[[#This Row],[Date]],'DB Details'!$A:$Q,16)=0,"",VLOOKUP(Table311[[#This Row],[Date]],'DB Details'!$A:$Q,16))</f>
        <v>-2.5403392598762051E-2</v>
      </c>
      <c r="D142" s="61">
        <f>IF(VLOOKUP(Table311[[#This Row],[Date]],'DB Details'!$A:$Q,15)=0,"",VLOOKUP(Table311[[#This Row],[Date]],'DB Details'!$A:$Q,15))</f>
        <v>-2.1830971480936261E-2</v>
      </c>
      <c r="E142" s="61">
        <f>IF(VLOOKUP(Table311[[#This Row],[Date]],'DB Details'!$A:$Q,17)=0,"",VLOOKUP(Table311[[#This Row],[Date]],'DB Details'!$A:$Q,17))</f>
        <v>-8.4505728695347337E-2</v>
      </c>
    </row>
    <row r="143" spans="1:5" x14ac:dyDescent="0.2">
      <c r="A143" s="60">
        <v>39783</v>
      </c>
      <c r="B143" s="50">
        <f>IF(VLOOKUP(Table311[[#This Row],[Date]],'DB Details'!$A:$Q,12)=0,"",VLOOKUP(Table311[[#This Row],[Date]],'DB Details'!$A:$Q,12))</f>
        <v>40</v>
      </c>
      <c r="C143" s="61">
        <f>IF(VLOOKUP(Table311[[#This Row],[Date]],'DB Details'!$A:$Q,16)=0,"",VLOOKUP(Table311[[#This Row],[Date]],'DB Details'!$A:$Q,16))</f>
        <v>-2.5403392598762051E-2</v>
      </c>
      <c r="D143" s="61">
        <f>IF(VLOOKUP(Table311[[#This Row],[Date]],'DB Details'!$A:$Q,15)=0,"",VLOOKUP(Table311[[#This Row],[Date]],'DB Details'!$A:$Q,15))</f>
        <v>-2.1830971480936261E-2</v>
      </c>
      <c r="E143" s="61">
        <f>IF(VLOOKUP(Table311[[#This Row],[Date]],'DB Details'!$A:$Q,17)=0,"",VLOOKUP(Table311[[#This Row],[Date]],'DB Details'!$A:$Q,17))</f>
        <v>-8.4505728695347337E-2</v>
      </c>
    </row>
    <row r="144" spans="1:5" x14ac:dyDescent="0.2">
      <c r="A144" s="60">
        <v>39814</v>
      </c>
      <c r="B144" s="50">
        <f>IF(VLOOKUP(Table311[[#This Row],[Date]],'DB Details'!$A:$Q,12)=0,"",VLOOKUP(Table311[[#This Row],[Date]],'DB Details'!$A:$Q,12))</f>
        <v>43</v>
      </c>
      <c r="C144" s="61">
        <f>IF(VLOOKUP(Table311[[#This Row],[Date]],'DB Details'!$A:$Q,16)=0,"",VLOOKUP(Table311[[#This Row],[Date]],'DB Details'!$A:$Q,16))</f>
        <v>-3.2823924437935283E-2</v>
      </c>
      <c r="D144" s="61">
        <f>IF(VLOOKUP(Table311[[#This Row],[Date]],'DB Details'!$A:$Q,15)=0,"",VLOOKUP(Table311[[#This Row],[Date]],'DB Details'!$A:$Q,15))</f>
        <v>-1.165722530679672E-2</v>
      </c>
      <c r="E144" s="61">
        <f>IF(VLOOKUP(Table311[[#This Row],[Date]],'DB Details'!$A:$Q,17)=0,"",VLOOKUP(Table311[[#This Row],[Date]],'DB Details'!$A:$Q,17))</f>
        <v>-4.5819873793169208E-2</v>
      </c>
    </row>
    <row r="145" spans="1:5" x14ac:dyDescent="0.2">
      <c r="A145" s="60">
        <v>39845</v>
      </c>
      <c r="B145" s="50">
        <f>IF(VLOOKUP(Table311[[#This Row],[Date]],'DB Details'!$A:$Q,12)=0,"",VLOOKUP(Table311[[#This Row],[Date]],'DB Details'!$A:$Q,12))</f>
        <v>41.6</v>
      </c>
      <c r="C145" s="61">
        <f>IF(VLOOKUP(Table311[[#This Row],[Date]],'DB Details'!$A:$Q,16)=0,"",VLOOKUP(Table311[[#This Row],[Date]],'DB Details'!$A:$Q,16))</f>
        <v>-3.2823924437935283E-2</v>
      </c>
      <c r="D145" s="61">
        <f>IF(VLOOKUP(Table311[[#This Row],[Date]],'DB Details'!$A:$Q,15)=0,"",VLOOKUP(Table311[[#This Row],[Date]],'DB Details'!$A:$Q,15))</f>
        <v>-1.165722530679672E-2</v>
      </c>
      <c r="E145" s="61">
        <f>IF(VLOOKUP(Table311[[#This Row],[Date]],'DB Details'!$A:$Q,17)=0,"",VLOOKUP(Table311[[#This Row],[Date]],'DB Details'!$A:$Q,17))</f>
        <v>-4.5819873793169208E-2</v>
      </c>
    </row>
    <row r="146" spans="1:5" x14ac:dyDescent="0.2">
      <c r="A146" s="60">
        <v>39873</v>
      </c>
      <c r="B146" s="50">
        <f>IF(VLOOKUP(Table311[[#This Row],[Date]],'DB Details'!$A:$Q,12)=0,"",VLOOKUP(Table311[[#This Row],[Date]],'DB Details'!$A:$Q,12))</f>
        <v>40.1</v>
      </c>
      <c r="C146" s="61">
        <f>IF(VLOOKUP(Table311[[#This Row],[Date]],'DB Details'!$A:$Q,16)=0,"",VLOOKUP(Table311[[#This Row],[Date]],'DB Details'!$A:$Q,16))</f>
        <v>-3.2823924437935283E-2</v>
      </c>
      <c r="D146" s="61">
        <f>IF(VLOOKUP(Table311[[#This Row],[Date]],'DB Details'!$A:$Q,15)=0,"",VLOOKUP(Table311[[#This Row],[Date]],'DB Details'!$A:$Q,15))</f>
        <v>-1.165722530679672E-2</v>
      </c>
      <c r="E146" s="61">
        <f>IF(VLOOKUP(Table311[[#This Row],[Date]],'DB Details'!$A:$Q,17)=0,"",VLOOKUP(Table311[[#This Row],[Date]],'DB Details'!$A:$Q,17))</f>
        <v>-4.5819873793169208E-2</v>
      </c>
    </row>
    <row r="147" spans="1:5" x14ac:dyDescent="0.2">
      <c r="A147" s="60">
        <v>39904</v>
      </c>
      <c r="B147" s="50">
        <f>IF(VLOOKUP(Table311[[#This Row],[Date]],'DB Details'!$A:$Q,12)=0,"",VLOOKUP(Table311[[#This Row],[Date]],'DB Details'!$A:$Q,12))</f>
        <v>43.7</v>
      </c>
      <c r="C147" s="61">
        <f>IF(VLOOKUP(Table311[[#This Row],[Date]],'DB Details'!$A:$Q,16)=0,"",VLOOKUP(Table311[[#This Row],[Date]],'DB Details'!$A:$Q,16))</f>
        <v>-3.995504779306322E-2</v>
      </c>
      <c r="D147" s="61">
        <f>IF(VLOOKUP(Table311[[#This Row],[Date]],'DB Details'!$A:$Q,15)=0,"",VLOOKUP(Table311[[#This Row],[Date]],'DB Details'!$A:$Q,15))</f>
        <v>-1.692381386635996E-3</v>
      </c>
      <c r="E147" s="61">
        <f>IF(VLOOKUP(Table311[[#This Row],[Date]],'DB Details'!$A:$Q,17)=0,"",VLOOKUP(Table311[[#This Row],[Date]],'DB Details'!$A:$Q,17))</f>
        <v>-6.7523599987623362E-3</v>
      </c>
    </row>
    <row r="148" spans="1:5" x14ac:dyDescent="0.2">
      <c r="A148" s="60">
        <v>39934</v>
      </c>
      <c r="B148" s="50">
        <f>IF(VLOOKUP(Table311[[#This Row],[Date]],'DB Details'!$A:$Q,12)=0,"",VLOOKUP(Table311[[#This Row],[Date]],'DB Details'!$A:$Q,12))</f>
        <v>44.4</v>
      </c>
      <c r="C148" s="61">
        <f>IF(VLOOKUP(Table311[[#This Row],[Date]],'DB Details'!$A:$Q,16)=0,"",VLOOKUP(Table311[[#This Row],[Date]],'DB Details'!$A:$Q,16))</f>
        <v>-3.995504779306322E-2</v>
      </c>
      <c r="D148" s="61">
        <f>IF(VLOOKUP(Table311[[#This Row],[Date]],'DB Details'!$A:$Q,15)=0,"",VLOOKUP(Table311[[#This Row],[Date]],'DB Details'!$A:$Q,15))</f>
        <v>-1.692381386635996E-3</v>
      </c>
      <c r="E148" s="61">
        <f>IF(VLOOKUP(Table311[[#This Row],[Date]],'DB Details'!$A:$Q,17)=0,"",VLOOKUP(Table311[[#This Row],[Date]],'DB Details'!$A:$Q,17))</f>
        <v>-6.7523599987623362E-3</v>
      </c>
    </row>
    <row r="149" spans="1:5" x14ac:dyDescent="0.2">
      <c r="A149" s="60">
        <v>39965</v>
      </c>
      <c r="B149" s="50">
        <f>IF(VLOOKUP(Table311[[#This Row],[Date]],'DB Details'!$A:$Q,12)=0,"",VLOOKUP(Table311[[#This Row],[Date]],'DB Details'!$A:$Q,12))</f>
        <v>46.4</v>
      </c>
      <c r="C149" s="61">
        <f>IF(VLOOKUP(Table311[[#This Row],[Date]],'DB Details'!$A:$Q,16)=0,"",VLOOKUP(Table311[[#This Row],[Date]],'DB Details'!$A:$Q,16))</f>
        <v>-3.995504779306322E-2</v>
      </c>
      <c r="D149" s="61">
        <f>IF(VLOOKUP(Table311[[#This Row],[Date]],'DB Details'!$A:$Q,15)=0,"",VLOOKUP(Table311[[#This Row],[Date]],'DB Details'!$A:$Q,15))</f>
        <v>-1.692381386635996E-3</v>
      </c>
      <c r="E149" s="61">
        <f>IF(VLOOKUP(Table311[[#This Row],[Date]],'DB Details'!$A:$Q,17)=0,"",VLOOKUP(Table311[[#This Row],[Date]],'DB Details'!$A:$Q,17))</f>
        <v>-6.7523599987623362E-3</v>
      </c>
    </row>
    <row r="150" spans="1:5" x14ac:dyDescent="0.2">
      <c r="A150" s="60">
        <v>39995</v>
      </c>
      <c r="B150" s="50">
        <f>IF(VLOOKUP(Table311[[#This Row],[Date]],'DB Details'!$A:$Q,12)=0,"",VLOOKUP(Table311[[#This Row],[Date]],'DB Details'!$A:$Q,12))</f>
        <v>47.1</v>
      </c>
      <c r="C150" s="61">
        <f>IF(VLOOKUP(Table311[[#This Row],[Date]],'DB Details'!$A:$Q,16)=0,"",VLOOKUP(Table311[[#This Row],[Date]],'DB Details'!$A:$Q,16))</f>
        <v>-3.1376750032878008E-2</v>
      </c>
      <c r="D150" s="61">
        <f>IF(VLOOKUP(Table311[[#This Row],[Date]],'DB Details'!$A:$Q,15)=0,"",VLOOKUP(Table311[[#This Row],[Date]],'DB Details'!$A:$Q,15))</f>
        <v>3.6192999076888901E-3</v>
      </c>
      <c r="E150" s="61">
        <f>IF(VLOOKUP(Table311[[#This Row],[Date]],'DB Details'!$A:$Q,17)=0,"",VLOOKUP(Table311[[#This Row],[Date]],'DB Details'!$A:$Q,17))</f>
        <v>1.4555985434920871E-2</v>
      </c>
    </row>
    <row r="151" spans="1:5" x14ac:dyDescent="0.2">
      <c r="A151" s="60">
        <v>40026</v>
      </c>
      <c r="B151" s="50">
        <f>IF(VLOOKUP(Table311[[#This Row],[Date]],'DB Details'!$A:$Q,12)=0,"",VLOOKUP(Table311[[#This Row],[Date]],'DB Details'!$A:$Q,12))</f>
        <v>48.9</v>
      </c>
      <c r="C151" s="61">
        <f>IF(VLOOKUP(Table311[[#This Row],[Date]],'DB Details'!$A:$Q,16)=0,"",VLOOKUP(Table311[[#This Row],[Date]],'DB Details'!$A:$Q,16))</f>
        <v>-3.1376750032878008E-2</v>
      </c>
      <c r="D151" s="61">
        <f>IF(VLOOKUP(Table311[[#This Row],[Date]],'DB Details'!$A:$Q,15)=0,"",VLOOKUP(Table311[[#This Row],[Date]],'DB Details'!$A:$Q,15))</f>
        <v>3.6192999076888901E-3</v>
      </c>
      <c r="E151" s="61">
        <f>IF(VLOOKUP(Table311[[#This Row],[Date]],'DB Details'!$A:$Q,17)=0,"",VLOOKUP(Table311[[#This Row],[Date]],'DB Details'!$A:$Q,17))</f>
        <v>1.4555985434920871E-2</v>
      </c>
    </row>
    <row r="152" spans="1:5" x14ac:dyDescent="0.2">
      <c r="A152" s="60">
        <v>40057</v>
      </c>
      <c r="B152" s="50">
        <f>IF(VLOOKUP(Table311[[#This Row],[Date]],'DB Details'!$A:$Q,12)=0,"",VLOOKUP(Table311[[#This Row],[Date]],'DB Details'!$A:$Q,12))</f>
        <v>50.1</v>
      </c>
      <c r="C152" s="61">
        <f>IF(VLOOKUP(Table311[[#This Row],[Date]],'DB Details'!$A:$Q,16)=0,"",VLOOKUP(Table311[[#This Row],[Date]],'DB Details'!$A:$Q,16))</f>
        <v>-3.1376750032878008E-2</v>
      </c>
      <c r="D152" s="61">
        <f>IF(VLOOKUP(Table311[[#This Row],[Date]],'DB Details'!$A:$Q,15)=0,"",VLOOKUP(Table311[[#This Row],[Date]],'DB Details'!$A:$Q,15))</f>
        <v>3.6192999076888901E-3</v>
      </c>
      <c r="E152" s="61">
        <f>IF(VLOOKUP(Table311[[#This Row],[Date]],'DB Details'!$A:$Q,17)=0,"",VLOOKUP(Table311[[#This Row],[Date]],'DB Details'!$A:$Q,17))</f>
        <v>1.4555985434920871E-2</v>
      </c>
    </row>
    <row r="153" spans="1:5" x14ac:dyDescent="0.2">
      <c r="A153" s="60">
        <v>40087</v>
      </c>
      <c r="B153" s="50">
        <f>IF(VLOOKUP(Table311[[#This Row],[Date]],'DB Details'!$A:$Q,12)=0,"",VLOOKUP(Table311[[#This Row],[Date]],'DB Details'!$A:$Q,12))</f>
        <v>51</v>
      </c>
      <c r="C153" s="61">
        <f>IF(VLOOKUP(Table311[[#This Row],[Date]],'DB Details'!$A:$Q,16)=0,"",VLOOKUP(Table311[[#This Row],[Date]],'DB Details'!$A:$Q,16))</f>
        <v>8.1657583876523191E-4</v>
      </c>
      <c r="D153" s="61">
        <f>IF(VLOOKUP(Table311[[#This Row],[Date]],'DB Details'!$A:$Q,15)=0,"",VLOOKUP(Table311[[#This Row],[Date]],'DB Details'!$A:$Q,15))</f>
        <v>1.0679619498303389E-2</v>
      </c>
      <c r="E153" s="61">
        <f>IF(VLOOKUP(Table311[[#This Row],[Date]],'DB Details'!$A:$Q,17)=0,"",VLOOKUP(Table311[[#This Row],[Date]],'DB Details'!$A:$Q,17))</f>
        <v>4.34076888622974E-2</v>
      </c>
    </row>
    <row r="154" spans="1:5" x14ac:dyDescent="0.2">
      <c r="A154" s="60">
        <v>40118</v>
      </c>
      <c r="B154" s="50">
        <f>IF(VLOOKUP(Table311[[#This Row],[Date]],'DB Details'!$A:$Q,12)=0,"",VLOOKUP(Table311[[#This Row],[Date]],'DB Details'!$A:$Q,12))</f>
        <v>49.5</v>
      </c>
      <c r="C154" s="61">
        <f>IF(VLOOKUP(Table311[[#This Row],[Date]],'DB Details'!$A:$Q,16)=0,"",VLOOKUP(Table311[[#This Row],[Date]],'DB Details'!$A:$Q,16))</f>
        <v>8.1657583876523191E-4</v>
      </c>
      <c r="D154" s="61">
        <f>IF(VLOOKUP(Table311[[#This Row],[Date]],'DB Details'!$A:$Q,15)=0,"",VLOOKUP(Table311[[#This Row],[Date]],'DB Details'!$A:$Q,15))</f>
        <v>1.0679619498303389E-2</v>
      </c>
      <c r="E154" s="61">
        <f>IF(VLOOKUP(Table311[[#This Row],[Date]],'DB Details'!$A:$Q,17)=0,"",VLOOKUP(Table311[[#This Row],[Date]],'DB Details'!$A:$Q,17))</f>
        <v>4.34076888622974E-2</v>
      </c>
    </row>
    <row r="155" spans="1:5" x14ac:dyDescent="0.2">
      <c r="A155" s="60">
        <v>40148</v>
      </c>
      <c r="B155" s="50">
        <f>IF(VLOOKUP(Table311[[#This Row],[Date]],'DB Details'!$A:$Q,12)=0,"",VLOOKUP(Table311[[#This Row],[Date]],'DB Details'!$A:$Q,12))</f>
        <v>49.7</v>
      </c>
      <c r="C155" s="61">
        <f>IF(VLOOKUP(Table311[[#This Row],[Date]],'DB Details'!$A:$Q,16)=0,"",VLOOKUP(Table311[[#This Row],[Date]],'DB Details'!$A:$Q,16))</f>
        <v>8.1657583876523191E-4</v>
      </c>
      <c r="D155" s="61">
        <f>IF(VLOOKUP(Table311[[#This Row],[Date]],'DB Details'!$A:$Q,15)=0,"",VLOOKUP(Table311[[#This Row],[Date]],'DB Details'!$A:$Q,15))</f>
        <v>1.0679619498303389E-2</v>
      </c>
      <c r="E155" s="61">
        <f>IF(VLOOKUP(Table311[[#This Row],[Date]],'DB Details'!$A:$Q,17)=0,"",VLOOKUP(Table311[[#This Row],[Date]],'DB Details'!$A:$Q,17))</f>
        <v>4.34076888622974E-2</v>
      </c>
    </row>
    <row r="156" spans="1:5" x14ac:dyDescent="0.2">
      <c r="A156" s="60">
        <v>40179</v>
      </c>
      <c r="B156" s="50">
        <f>IF(VLOOKUP(Table311[[#This Row],[Date]],'DB Details'!$A:$Q,12)=0,"",VLOOKUP(Table311[[#This Row],[Date]],'DB Details'!$A:$Q,12))</f>
        <v>50</v>
      </c>
      <c r="C156" s="61">
        <f>IF(VLOOKUP(Table311[[#This Row],[Date]],'DB Details'!$A:$Q,16)=0,"",VLOOKUP(Table311[[#This Row],[Date]],'DB Details'!$A:$Q,16))</f>
        <v>1.768457232028358E-2</v>
      </c>
      <c r="D156" s="61">
        <f>IF(VLOOKUP(Table311[[#This Row],[Date]],'DB Details'!$A:$Q,15)=0,"",VLOOKUP(Table311[[#This Row],[Date]],'DB Details'!$A:$Q,15))</f>
        <v>5.0005348148190604E-3</v>
      </c>
      <c r="E156" s="61">
        <f>IF(VLOOKUP(Table311[[#This Row],[Date]],'DB Details'!$A:$Q,17)=0,"",VLOOKUP(Table311[[#This Row],[Date]],'DB Details'!$A:$Q,17))</f>
        <v>2.0152672135610231E-2</v>
      </c>
    </row>
    <row r="157" spans="1:5" x14ac:dyDescent="0.2">
      <c r="A157" s="60">
        <v>40210</v>
      </c>
      <c r="B157" s="50">
        <f>IF(VLOOKUP(Table311[[#This Row],[Date]],'DB Details'!$A:$Q,12)=0,"",VLOOKUP(Table311[[#This Row],[Date]],'DB Details'!$A:$Q,12))</f>
        <v>51.7</v>
      </c>
      <c r="C157" s="61">
        <f>IF(VLOOKUP(Table311[[#This Row],[Date]],'DB Details'!$A:$Q,16)=0,"",VLOOKUP(Table311[[#This Row],[Date]],'DB Details'!$A:$Q,16))</f>
        <v>1.768457232028358E-2</v>
      </c>
      <c r="D157" s="61">
        <f>IF(VLOOKUP(Table311[[#This Row],[Date]],'DB Details'!$A:$Q,15)=0,"",VLOOKUP(Table311[[#This Row],[Date]],'DB Details'!$A:$Q,15))</f>
        <v>5.0005348148190604E-3</v>
      </c>
      <c r="E157" s="61">
        <f>IF(VLOOKUP(Table311[[#This Row],[Date]],'DB Details'!$A:$Q,17)=0,"",VLOOKUP(Table311[[#This Row],[Date]],'DB Details'!$A:$Q,17))</f>
        <v>2.0152672135610231E-2</v>
      </c>
    </row>
    <row r="158" spans="1:5" x14ac:dyDescent="0.2">
      <c r="A158" s="60">
        <v>40238</v>
      </c>
      <c r="B158" s="50">
        <f>IF(VLOOKUP(Table311[[#This Row],[Date]],'DB Details'!$A:$Q,12)=0,"",VLOOKUP(Table311[[#This Row],[Date]],'DB Details'!$A:$Q,12))</f>
        <v>53.3</v>
      </c>
      <c r="C158" s="61">
        <f>IF(VLOOKUP(Table311[[#This Row],[Date]],'DB Details'!$A:$Q,16)=0,"",VLOOKUP(Table311[[#This Row],[Date]],'DB Details'!$A:$Q,16))</f>
        <v>1.768457232028358E-2</v>
      </c>
      <c r="D158" s="61">
        <f>IF(VLOOKUP(Table311[[#This Row],[Date]],'DB Details'!$A:$Q,15)=0,"",VLOOKUP(Table311[[#This Row],[Date]],'DB Details'!$A:$Q,15))</f>
        <v>5.0005348148190604E-3</v>
      </c>
      <c r="E158" s="61">
        <f>IF(VLOOKUP(Table311[[#This Row],[Date]],'DB Details'!$A:$Q,17)=0,"",VLOOKUP(Table311[[#This Row],[Date]],'DB Details'!$A:$Q,17))</f>
        <v>2.0152672135610231E-2</v>
      </c>
    </row>
    <row r="159" spans="1:5" x14ac:dyDescent="0.2">
      <c r="A159" s="60">
        <v>40269</v>
      </c>
      <c r="B159" s="50">
        <f>IF(VLOOKUP(Table311[[#This Row],[Date]],'DB Details'!$A:$Q,12)=0,"",VLOOKUP(Table311[[#This Row],[Date]],'DB Details'!$A:$Q,12))</f>
        <v>55.3</v>
      </c>
      <c r="C159" s="61">
        <f>IF(VLOOKUP(Table311[[#This Row],[Date]],'DB Details'!$A:$Q,16)=0,"",VLOOKUP(Table311[[#This Row],[Date]],'DB Details'!$A:$Q,16))</f>
        <v>2.9274678447875339E-2</v>
      </c>
      <c r="D159" s="61">
        <f>IF(VLOOKUP(Table311[[#This Row],[Date]],'DB Details'!$A:$Q,15)=0,"",VLOOKUP(Table311[[#This Row],[Date]],'DB Details'!$A:$Q,15))</f>
        <v>9.6770463932624312E-3</v>
      </c>
      <c r="E159" s="61">
        <f>IF(VLOOKUP(Table311[[#This Row],[Date]],'DB Details'!$A:$Q,17)=0,"",VLOOKUP(Table311[[#This Row],[Date]],'DB Details'!$A:$Q,17))</f>
        <v>3.9273690540683408E-2</v>
      </c>
    </row>
    <row r="160" spans="1:5" x14ac:dyDescent="0.2">
      <c r="A160" s="60">
        <v>40299</v>
      </c>
      <c r="B160" s="50">
        <f>IF(VLOOKUP(Table311[[#This Row],[Date]],'DB Details'!$A:$Q,12)=0,"",VLOOKUP(Table311[[#This Row],[Date]],'DB Details'!$A:$Q,12))</f>
        <v>55.5</v>
      </c>
      <c r="C160" s="61">
        <f>IF(VLOOKUP(Table311[[#This Row],[Date]],'DB Details'!$A:$Q,16)=0,"",VLOOKUP(Table311[[#This Row],[Date]],'DB Details'!$A:$Q,16))</f>
        <v>2.9274678447875339E-2</v>
      </c>
      <c r="D160" s="61">
        <f>IF(VLOOKUP(Table311[[#This Row],[Date]],'DB Details'!$A:$Q,15)=0,"",VLOOKUP(Table311[[#This Row],[Date]],'DB Details'!$A:$Q,15))</f>
        <v>9.6770463932624312E-3</v>
      </c>
      <c r="E160" s="61">
        <f>IF(VLOOKUP(Table311[[#This Row],[Date]],'DB Details'!$A:$Q,17)=0,"",VLOOKUP(Table311[[#This Row],[Date]],'DB Details'!$A:$Q,17))</f>
        <v>3.9273690540683408E-2</v>
      </c>
    </row>
    <row r="161" spans="1:5" x14ac:dyDescent="0.2">
      <c r="A161" s="60">
        <v>40330</v>
      </c>
      <c r="B161" s="50">
        <f>IF(VLOOKUP(Table311[[#This Row],[Date]],'DB Details'!$A:$Q,12)=0,"",VLOOKUP(Table311[[#This Row],[Date]],'DB Details'!$A:$Q,12))</f>
        <v>54.4</v>
      </c>
      <c r="C161" s="61">
        <f>IF(VLOOKUP(Table311[[#This Row],[Date]],'DB Details'!$A:$Q,16)=0,"",VLOOKUP(Table311[[#This Row],[Date]],'DB Details'!$A:$Q,16))</f>
        <v>2.9274678447875339E-2</v>
      </c>
      <c r="D161" s="61">
        <f>IF(VLOOKUP(Table311[[#This Row],[Date]],'DB Details'!$A:$Q,15)=0,"",VLOOKUP(Table311[[#This Row],[Date]],'DB Details'!$A:$Q,15))</f>
        <v>9.6770463932624312E-3</v>
      </c>
      <c r="E161" s="61">
        <f>IF(VLOOKUP(Table311[[#This Row],[Date]],'DB Details'!$A:$Q,17)=0,"",VLOOKUP(Table311[[#This Row],[Date]],'DB Details'!$A:$Q,17))</f>
        <v>3.9273690540683408E-2</v>
      </c>
    </row>
    <row r="162" spans="1:5" x14ac:dyDescent="0.2">
      <c r="A162" s="60">
        <v>40360</v>
      </c>
      <c r="B162" s="50">
        <f>IF(VLOOKUP(Table311[[#This Row],[Date]],'DB Details'!$A:$Q,12)=0,"",VLOOKUP(Table311[[#This Row],[Date]],'DB Details'!$A:$Q,12))</f>
        <v>54.6</v>
      </c>
      <c r="C162" s="61">
        <f>IF(VLOOKUP(Table311[[#This Row],[Date]],'DB Details'!$A:$Q,16)=0,"",VLOOKUP(Table311[[#This Row],[Date]],'DB Details'!$A:$Q,16))</f>
        <v>3.3491938138539873E-2</v>
      </c>
      <c r="D162" s="61">
        <f>IF(VLOOKUP(Table311[[#This Row],[Date]],'DB Details'!$A:$Q,15)=0,"",VLOOKUP(Table311[[#This Row],[Date]],'DB Details'!$A:$Q,15))</f>
        <v>7.7314415030268974E-3</v>
      </c>
      <c r="E162" s="61">
        <f>IF(VLOOKUP(Table311[[#This Row],[Date]],'DB Details'!$A:$Q,17)=0,"",VLOOKUP(Table311[[#This Row],[Date]],'DB Details'!$A:$Q,17))</f>
        <v>3.128626930493783E-2</v>
      </c>
    </row>
    <row r="163" spans="1:5" x14ac:dyDescent="0.2">
      <c r="A163" s="60">
        <v>40391</v>
      </c>
      <c r="B163" s="50">
        <f>IF(VLOOKUP(Table311[[#This Row],[Date]],'DB Details'!$A:$Q,12)=0,"",VLOOKUP(Table311[[#This Row],[Date]],'DB Details'!$A:$Q,12))</f>
        <v>52.4</v>
      </c>
      <c r="C163" s="61">
        <f>IF(VLOOKUP(Table311[[#This Row],[Date]],'DB Details'!$A:$Q,16)=0,"",VLOOKUP(Table311[[#This Row],[Date]],'DB Details'!$A:$Q,16))</f>
        <v>3.3491938138539873E-2</v>
      </c>
      <c r="D163" s="61">
        <f>IF(VLOOKUP(Table311[[#This Row],[Date]],'DB Details'!$A:$Q,15)=0,"",VLOOKUP(Table311[[#This Row],[Date]],'DB Details'!$A:$Q,15))</f>
        <v>7.7314415030268974E-3</v>
      </c>
      <c r="E163" s="61">
        <f>IF(VLOOKUP(Table311[[#This Row],[Date]],'DB Details'!$A:$Q,17)=0,"",VLOOKUP(Table311[[#This Row],[Date]],'DB Details'!$A:$Q,17))</f>
        <v>3.128626930493783E-2</v>
      </c>
    </row>
    <row r="164" spans="1:5" x14ac:dyDescent="0.2">
      <c r="A164" s="60">
        <v>40422</v>
      </c>
      <c r="B164" s="50">
        <f>IF(VLOOKUP(Table311[[#This Row],[Date]],'DB Details'!$A:$Q,12)=0,"",VLOOKUP(Table311[[#This Row],[Date]],'DB Details'!$A:$Q,12))</f>
        <v>53.3</v>
      </c>
      <c r="C164" s="61">
        <f>IF(VLOOKUP(Table311[[#This Row],[Date]],'DB Details'!$A:$Q,16)=0,"",VLOOKUP(Table311[[#This Row],[Date]],'DB Details'!$A:$Q,16))</f>
        <v>3.3491938138539873E-2</v>
      </c>
      <c r="D164" s="61">
        <f>IF(VLOOKUP(Table311[[#This Row],[Date]],'DB Details'!$A:$Q,15)=0,"",VLOOKUP(Table311[[#This Row],[Date]],'DB Details'!$A:$Q,15))</f>
        <v>7.7314415030268974E-3</v>
      </c>
      <c r="E164" s="61">
        <f>IF(VLOOKUP(Table311[[#This Row],[Date]],'DB Details'!$A:$Q,17)=0,"",VLOOKUP(Table311[[#This Row],[Date]],'DB Details'!$A:$Q,17))</f>
        <v>3.128626930493783E-2</v>
      </c>
    </row>
    <row r="165" spans="1:5" x14ac:dyDescent="0.2">
      <c r="A165" s="60">
        <v>40452</v>
      </c>
      <c r="B165" s="50">
        <f>IF(VLOOKUP(Table311[[#This Row],[Date]],'DB Details'!$A:$Q,12)=0,"",VLOOKUP(Table311[[#This Row],[Date]],'DB Details'!$A:$Q,12))</f>
        <v>55.3</v>
      </c>
      <c r="C165" s="61">
        <f>IF(VLOOKUP(Table311[[#This Row],[Date]],'DB Details'!$A:$Q,16)=0,"",VLOOKUP(Table311[[#This Row],[Date]],'DB Details'!$A:$Q,16))</f>
        <v>2.7884496905064039E-2</v>
      </c>
      <c r="D165" s="61">
        <f>IF(VLOOKUP(Table311[[#This Row],[Date]],'DB Details'!$A:$Q,15)=0,"",VLOOKUP(Table311[[#This Row],[Date]],'DB Details'!$A:$Q,15))</f>
        <v>5.1959515923726638E-3</v>
      </c>
      <c r="E165" s="61">
        <f>IF(VLOOKUP(Table311[[#This Row],[Date]],'DB Details'!$A:$Q,17)=0,"",VLOOKUP(Table311[[#This Row],[Date]],'DB Details'!$A:$Q,17))</f>
        <v>2.094635569547498E-2</v>
      </c>
    </row>
    <row r="166" spans="1:5" x14ac:dyDescent="0.2">
      <c r="A166" s="60">
        <v>40483</v>
      </c>
      <c r="B166" s="50">
        <f>IF(VLOOKUP(Table311[[#This Row],[Date]],'DB Details'!$A:$Q,12)=0,"",VLOOKUP(Table311[[#This Row],[Date]],'DB Details'!$A:$Q,12))</f>
        <v>56.4</v>
      </c>
      <c r="C166" s="61">
        <f>IF(VLOOKUP(Table311[[#This Row],[Date]],'DB Details'!$A:$Q,16)=0,"",VLOOKUP(Table311[[#This Row],[Date]],'DB Details'!$A:$Q,16))</f>
        <v>2.7884496905064039E-2</v>
      </c>
      <c r="D166" s="61">
        <f>IF(VLOOKUP(Table311[[#This Row],[Date]],'DB Details'!$A:$Q,15)=0,"",VLOOKUP(Table311[[#This Row],[Date]],'DB Details'!$A:$Q,15))</f>
        <v>5.1959515923726638E-3</v>
      </c>
      <c r="E166" s="61">
        <f>IF(VLOOKUP(Table311[[#This Row],[Date]],'DB Details'!$A:$Q,17)=0,"",VLOOKUP(Table311[[#This Row],[Date]],'DB Details'!$A:$Q,17))</f>
        <v>2.094635569547498E-2</v>
      </c>
    </row>
    <row r="167" spans="1:5" x14ac:dyDescent="0.2">
      <c r="A167" s="60">
        <v>40513</v>
      </c>
      <c r="B167" s="50">
        <f>IF(VLOOKUP(Table311[[#This Row],[Date]],'DB Details'!$A:$Q,12)=0,"",VLOOKUP(Table311[[#This Row],[Date]],'DB Details'!$A:$Q,12))</f>
        <v>56.9</v>
      </c>
      <c r="C167" s="61">
        <f>IF(VLOOKUP(Table311[[#This Row],[Date]],'DB Details'!$A:$Q,16)=0,"",VLOOKUP(Table311[[#This Row],[Date]],'DB Details'!$A:$Q,16))</f>
        <v>2.7884496905064039E-2</v>
      </c>
      <c r="D167" s="61">
        <f>IF(VLOOKUP(Table311[[#This Row],[Date]],'DB Details'!$A:$Q,15)=0,"",VLOOKUP(Table311[[#This Row],[Date]],'DB Details'!$A:$Q,15))</f>
        <v>5.1959515923726638E-3</v>
      </c>
      <c r="E167" s="61">
        <f>IF(VLOOKUP(Table311[[#This Row],[Date]],'DB Details'!$A:$Q,17)=0,"",VLOOKUP(Table311[[#This Row],[Date]],'DB Details'!$A:$Q,17))</f>
        <v>2.094635569547498E-2</v>
      </c>
    </row>
    <row r="168" spans="1:5" x14ac:dyDescent="0.2">
      <c r="A168" s="60">
        <v>40544</v>
      </c>
      <c r="B168" s="50">
        <f>IF(VLOOKUP(Table311[[#This Row],[Date]],'DB Details'!$A:$Q,12)=0,"",VLOOKUP(Table311[[#This Row],[Date]],'DB Details'!$A:$Q,12))</f>
        <v>57.6</v>
      </c>
      <c r="C168" s="61">
        <f>IF(VLOOKUP(Table311[[#This Row],[Date]],'DB Details'!$A:$Q,16)=0,"",VLOOKUP(Table311[[#This Row],[Date]],'DB Details'!$A:$Q,16))</f>
        <v>2.0306081906131489E-2</v>
      </c>
      <c r="D168" s="61">
        <f>IF(VLOOKUP(Table311[[#This Row],[Date]],'DB Details'!$A:$Q,15)=0,"",VLOOKUP(Table311[[#This Row],[Date]],'DB Details'!$A:$Q,15))</f>
        <v>-2.409160681035181E-3</v>
      </c>
      <c r="E168" s="61">
        <f>IF(VLOOKUP(Table311[[#This Row],[Date]],'DB Details'!$A:$Q,17)=0,"",VLOOKUP(Table311[[#This Row],[Date]],'DB Details'!$A:$Q,17))</f>
        <v>-9.6018742909373955E-3</v>
      </c>
    </row>
    <row r="169" spans="1:5" x14ac:dyDescent="0.2">
      <c r="A169" s="60">
        <v>40575</v>
      </c>
      <c r="B169" s="50">
        <f>IF(VLOOKUP(Table311[[#This Row],[Date]],'DB Details'!$A:$Q,12)=0,"",VLOOKUP(Table311[[#This Row],[Date]],'DB Details'!$A:$Q,12))</f>
        <v>58</v>
      </c>
      <c r="C169" s="61">
        <f>IF(VLOOKUP(Table311[[#This Row],[Date]],'DB Details'!$A:$Q,16)=0,"",VLOOKUP(Table311[[#This Row],[Date]],'DB Details'!$A:$Q,16))</f>
        <v>2.0306081906131489E-2</v>
      </c>
      <c r="D169" s="61">
        <f>IF(VLOOKUP(Table311[[#This Row],[Date]],'DB Details'!$A:$Q,15)=0,"",VLOOKUP(Table311[[#This Row],[Date]],'DB Details'!$A:$Q,15))</f>
        <v>-2.409160681035181E-3</v>
      </c>
      <c r="E169" s="61">
        <f>IF(VLOOKUP(Table311[[#This Row],[Date]],'DB Details'!$A:$Q,17)=0,"",VLOOKUP(Table311[[#This Row],[Date]],'DB Details'!$A:$Q,17))</f>
        <v>-9.6018742909373955E-3</v>
      </c>
    </row>
    <row r="170" spans="1:5" x14ac:dyDescent="0.2">
      <c r="A170" s="60">
        <v>40603</v>
      </c>
      <c r="B170" s="50">
        <f>IF(VLOOKUP(Table311[[#This Row],[Date]],'DB Details'!$A:$Q,12)=0,"",VLOOKUP(Table311[[#This Row],[Date]],'DB Details'!$A:$Q,12))</f>
        <v>55.8</v>
      </c>
      <c r="C170" s="61">
        <f>IF(VLOOKUP(Table311[[#This Row],[Date]],'DB Details'!$A:$Q,16)=0,"",VLOOKUP(Table311[[#This Row],[Date]],'DB Details'!$A:$Q,16))</f>
        <v>2.0306081906131489E-2</v>
      </c>
      <c r="D170" s="61">
        <f>IF(VLOOKUP(Table311[[#This Row],[Date]],'DB Details'!$A:$Q,15)=0,"",VLOOKUP(Table311[[#This Row],[Date]],'DB Details'!$A:$Q,15))</f>
        <v>-2.409160681035181E-3</v>
      </c>
      <c r="E170" s="61">
        <f>IF(VLOOKUP(Table311[[#This Row],[Date]],'DB Details'!$A:$Q,17)=0,"",VLOOKUP(Table311[[#This Row],[Date]],'DB Details'!$A:$Q,17))</f>
        <v>-9.6018742909373955E-3</v>
      </c>
    </row>
    <row r="171" spans="1:5" x14ac:dyDescent="0.2">
      <c r="A171" s="60">
        <v>40634</v>
      </c>
      <c r="B171" s="50">
        <f>IF(VLOOKUP(Table311[[#This Row],[Date]],'DB Details'!$A:$Q,12)=0,"",VLOOKUP(Table311[[#This Row],[Date]],'DB Details'!$A:$Q,12))</f>
        <v>55.2</v>
      </c>
      <c r="C171" s="61">
        <f>IF(VLOOKUP(Table311[[#This Row],[Date]],'DB Details'!$A:$Q,16)=0,"",VLOOKUP(Table311[[#This Row],[Date]],'DB Details'!$A:$Q,16))</f>
        <v>1.7379050686072959E-2</v>
      </c>
      <c r="D171" s="61">
        <f>IF(VLOOKUP(Table311[[#This Row],[Date]],'DB Details'!$A:$Q,15)=0,"",VLOOKUP(Table311[[#This Row],[Date]],'DB Details'!$A:$Q,15))</f>
        <v>6.7805075120588752E-3</v>
      </c>
      <c r="E171" s="61">
        <f>IF(VLOOKUP(Table311[[#This Row],[Date]],'DB Details'!$A:$Q,17)=0,"",VLOOKUP(Table311[[#This Row],[Date]],'DB Details'!$A:$Q,17))</f>
        <v>2.739913079767153E-2</v>
      </c>
    </row>
    <row r="172" spans="1:5" x14ac:dyDescent="0.2">
      <c r="A172" s="60">
        <v>40664</v>
      </c>
      <c r="B172" s="50">
        <f>IF(VLOOKUP(Table311[[#This Row],[Date]],'DB Details'!$A:$Q,12)=0,"",VLOOKUP(Table311[[#This Row],[Date]],'DB Details'!$A:$Q,12))</f>
        <v>55</v>
      </c>
      <c r="C172" s="61">
        <f>IF(VLOOKUP(Table311[[#This Row],[Date]],'DB Details'!$A:$Q,16)=0,"",VLOOKUP(Table311[[#This Row],[Date]],'DB Details'!$A:$Q,16))</f>
        <v>1.7379050686072959E-2</v>
      </c>
      <c r="D172" s="61">
        <f>IF(VLOOKUP(Table311[[#This Row],[Date]],'DB Details'!$A:$Q,15)=0,"",VLOOKUP(Table311[[#This Row],[Date]],'DB Details'!$A:$Q,15))</f>
        <v>6.7805075120588752E-3</v>
      </c>
      <c r="E172" s="61">
        <f>IF(VLOOKUP(Table311[[#This Row],[Date]],'DB Details'!$A:$Q,17)=0,"",VLOOKUP(Table311[[#This Row],[Date]],'DB Details'!$A:$Q,17))</f>
        <v>2.739913079767153E-2</v>
      </c>
    </row>
    <row r="173" spans="1:5" x14ac:dyDescent="0.2">
      <c r="A173" s="60">
        <v>40695</v>
      </c>
      <c r="B173" s="50">
        <f>IF(VLOOKUP(Table311[[#This Row],[Date]],'DB Details'!$A:$Q,12)=0,"",VLOOKUP(Table311[[#This Row],[Date]],'DB Details'!$A:$Q,12))</f>
        <v>54.2</v>
      </c>
      <c r="C173" s="61">
        <f>IF(VLOOKUP(Table311[[#This Row],[Date]],'DB Details'!$A:$Q,16)=0,"",VLOOKUP(Table311[[#This Row],[Date]],'DB Details'!$A:$Q,16))</f>
        <v>1.7379050686072959E-2</v>
      </c>
      <c r="D173" s="61">
        <f>IF(VLOOKUP(Table311[[#This Row],[Date]],'DB Details'!$A:$Q,15)=0,"",VLOOKUP(Table311[[#This Row],[Date]],'DB Details'!$A:$Q,15))</f>
        <v>6.7805075120588752E-3</v>
      </c>
      <c r="E173" s="61">
        <f>IF(VLOOKUP(Table311[[#This Row],[Date]],'DB Details'!$A:$Q,17)=0,"",VLOOKUP(Table311[[#This Row],[Date]],'DB Details'!$A:$Q,17))</f>
        <v>2.739913079767153E-2</v>
      </c>
    </row>
    <row r="174" spans="1:5" x14ac:dyDescent="0.2">
      <c r="A174" s="60">
        <v>40725</v>
      </c>
      <c r="B174" s="50">
        <f>IF(VLOOKUP(Table311[[#This Row],[Date]],'DB Details'!$A:$Q,12)=0,"",VLOOKUP(Table311[[#This Row],[Date]],'DB Details'!$A:$Q,12))</f>
        <v>53.5</v>
      </c>
      <c r="C174" s="61">
        <f>IF(VLOOKUP(Table311[[#This Row],[Date]],'DB Details'!$A:$Q,16)=0,"",VLOOKUP(Table311[[#This Row],[Date]],'DB Details'!$A:$Q,16))</f>
        <v>9.1822084838616043E-3</v>
      </c>
      <c r="D174" s="61">
        <f>IF(VLOOKUP(Table311[[#This Row],[Date]],'DB Details'!$A:$Q,15)=0,"",VLOOKUP(Table311[[#This Row],[Date]],'DB Details'!$A:$Q,15))</f>
        <v>-3.8767162657507928E-4</v>
      </c>
      <c r="E174" s="61">
        <f>IF(VLOOKUP(Table311[[#This Row],[Date]],'DB Details'!$A:$Q,17)=0,"",VLOOKUP(Table311[[#This Row],[Date]],'DB Details'!$A:$Q,17))</f>
        <v>-1.5497850035888221E-3</v>
      </c>
    </row>
    <row r="175" spans="1:5" x14ac:dyDescent="0.2">
      <c r="A175" s="60">
        <v>40756</v>
      </c>
      <c r="B175" s="50">
        <f>IF(VLOOKUP(Table311[[#This Row],[Date]],'DB Details'!$A:$Q,12)=0,"",VLOOKUP(Table311[[#This Row],[Date]],'DB Details'!$A:$Q,12))</f>
        <v>53.5</v>
      </c>
      <c r="C175" s="61">
        <f>IF(VLOOKUP(Table311[[#This Row],[Date]],'DB Details'!$A:$Q,16)=0,"",VLOOKUP(Table311[[#This Row],[Date]],'DB Details'!$A:$Q,16))</f>
        <v>9.1822084838616043E-3</v>
      </c>
      <c r="D175" s="61">
        <f>IF(VLOOKUP(Table311[[#This Row],[Date]],'DB Details'!$A:$Q,15)=0,"",VLOOKUP(Table311[[#This Row],[Date]],'DB Details'!$A:$Q,15))</f>
        <v>-3.8767162657507928E-4</v>
      </c>
      <c r="E175" s="61">
        <f>IF(VLOOKUP(Table311[[#This Row],[Date]],'DB Details'!$A:$Q,17)=0,"",VLOOKUP(Table311[[#This Row],[Date]],'DB Details'!$A:$Q,17))</f>
        <v>-1.5497850035888221E-3</v>
      </c>
    </row>
    <row r="176" spans="1:5" x14ac:dyDescent="0.2">
      <c r="A176" s="60">
        <v>40787</v>
      </c>
      <c r="B176" s="50">
        <f>IF(VLOOKUP(Table311[[#This Row],[Date]],'DB Details'!$A:$Q,12)=0,"",VLOOKUP(Table311[[#This Row],[Date]],'DB Details'!$A:$Q,12))</f>
        <v>52.3</v>
      </c>
      <c r="C176" s="61">
        <f>IF(VLOOKUP(Table311[[#This Row],[Date]],'DB Details'!$A:$Q,16)=0,"",VLOOKUP(Table311[[#This Row],[Date]],'DB Details'!$A:$Q,16))</f>
        <v>9.1822084838616043E-3</v>
      </c>
      <c r="D176" s="61">
        <f>IF(VLOOKUP(Table311[[#This Row],[Date]],'DB Details'!$A:$Q,15)=0,"",VLOOKUP(Table311[[#This Row],[Date]],'DB Details'!$A:$Q,15))</f>
        <v>-3.8767162657507928E-4</v>
      </c>
      <c r="E176" s="61">
        <f>IF(VLOOKUP(Table311[[#This Row],[Date]],'DB Details'!$A:$Q,17)=0,"",VLOOKUP(Table311[[#This Row],[Date]],'DB Details'!$A:$Q,17))</f>
        <v>-1.5497850035888221E-3</v>
      </c>
    </row>
    <row r="177" spans="1:5" x14ac:dyDescent="0.2">
      <c r="A177" s="60">
        <v>40817</v>
      </c>
      <c r="B177" s="50">
        <f>IF(VLOOKUP(Table311[[#This Row],[Date]],'DB Details'!$A:$Q,12)=0,"",VLOOKUP(Table311[[#This Row],[Date]],'DB Details'!$A:$Q,12))</f>
        <v>52.8</v>
      </c>
      <c r="C177" s="61">
        <f>IF(VLOOKUP(Table311[[#This Row],[Date]],'DB Details'!$A:$Q,16)=0,"",VLOOKUP(Table311[[#This Row],[Date]],'DB Details'!$A:$Q,16))</f>
        <v>1.52269152413066E-2</v>
      </c>
      <c r="D177" s="61">
        <f>IF(VLOOKUP(Table311[[#This Row],[Date]],'DB Details'!$A:$Q,15)=0,"",VLOOKUP(Table311[[#This Row],[Date]],'DB Details'!$A:$Q,15))</f>
        <v>1.121678183498582E-2</v>
      </c>
      <c r="E177" s="61">
        <f>IF(VLOOKUP(Table311[[#This Row],[Date]],'DB Details'!$A:$Q,17)=0,"",VLOOKUP(Table311[[#This Row],[Date]],'DB Details'!$A:$Q,17))</f>
        <v>4.5627685349290507E-2</v>
      </c>
    </row>
    <row r="178" spans="1:5" x14ac:dyDescent="0.2">
      <c r="A178" s="60">
        <v>40848</v>
      </c>
      <c r="B178" s="50">
        <f>IF(VLOOKUP(Table311[[#This Row],[Date]],'DB Details'!$A:$Q,12)=0,"",VLOOKUP(Table311[[#This Row],[Date]],'DB Details'!$A:$Q,12))</f>
        <v>52.9</v>
      </c>
      <c r="C178" s="61">
        <f>IF(VLOOKUP(Table311[[#This Row],[Date]],'DB Details'!$A:$Q,16)=0,"",VLOOKUP(Table311[[#This Row],[Date]],'DB Details'!$A:$Q,16))</f>
        <v>1.52269152413066E-2</v>
      </c>
      <c r="D178" s="61">
        <f>IF(VLOOKUP(Table311[[#This Row],[Date]],'DB Details'!$A:$Q,15)=0,"",VLOOKUP(Table311[[#This Row],[Date]],'DB Details'!$A:$Q,15))</f>
        <v>1.121678183498582E-2</v>
      </c>
      <c r="E178" s="61">
        <f>IF(VLOOKUP(Table311[[#This Row],[Date]],'DB Details'!$A:$Q,17)=0,"",VLOOKUP(Table311[[#This Row],[Date]],'DB Details'!$A:$Q,17))</f>
        <v>4.5627685349290507E-2</v>
      </c>
    </row>
    <row r="179" spans="1:5" x14ac:dyDescent="0.2">
      <c r="A179" s="60">
        <v>40878</v>
      </c>
      <c r="B179" s="50">
        <f>IF(VLOOKUP(Table311[[#This Row],[Date]],'DB Details'!$A:$Q,12)=0,"",VLOOKUP(Table311[[#This Row],[Date]],'DB Details'!$A:$Q,12))</f>
        <v>52.6</v>
      </c>
      <c r="C179" s="61">
        <f>IF(VLOOKUP(Table311[[#This Row],[Date]],'DB Details'!$A:$Q,16)=0,"",VLOOKUP(Table311[[#This Row],[Date]],'DB Details'!$A:$Q,16))</f>
        <v>1.52269152413066E-2</v>
      </c>
      <c r="D179" s="61">
        <f>IF(VLOOKUP(Table311[[#This Row],[Date]],'DB Details'!$A:$Q,15)=0,"",VLOOKUP(Table311[[#This Row],[Date]],'DB Details'!$A:$Q,15))</f>
        <v>1.121678183498582E-2</v>
      </c>
      <c r="E179" s="61">
        <f>IF(VLOOKUP(Table311[[#This Row],[Date]],'DB Details'!$A:$Q,17)=0,"",VLOOKUP(Table311[[#This Row],[Date]],'DB Details'!$A:$Q,17))</f>
        <v>4.5627685349290507E-2</v>
      </c>
    </row>
    <row r="180" spans="1:5" x14ac:dyDescent="0.2">
      <c r="A180" s="60">
        <v>40909</v>
      </c>
      <c r="B180" s="50">
        <f>IF(VLOOKUP(Table311[[#This Row],[Date]],'DB Details'!$A:$Q,12)=0,"",VLOOKUP(Table311[[#This Row],[Date]],'DB Details'!$A:$Q,12))</f>
        <v>56</v>
      </c>
      <c r="C180" s="61">
        <f>IF(VLOOKUP(Table311[[#This Row],[Date]],'DB Details'!$A:$Q,16)=0,"",VLOOKUP(Table311[[#This Row],[Date]],'DB Details'!$A:$Q,16))</f>
        <v>2.6002492975388428E-2</v>
      </c>
      <c r="D180" s="61">
        <f>IF(VLOOKUP(Table311[[#This Row],[Date]],'DB Details'!$A:$Q,15)=0,"",VLOOKUP(Table311[[#This Row],[Date]],'DB Details'!$A:$Q,15))</f>
        <v>8.1792284509988062E-3</v>
      </c>
      <c r="E180" s="61">
        <f>IF(VLOOKUP(Table311[[#This Row],[Date]],'DB Details'!$A:$Q,17)=0,"",VLOOKUP(Table311[[#This Row],[Date]],'DB Details'!$A:$Q,17))</f>
        <v>3.3120505702169067E-2</v>
      </c>
    </row>
    <row r="181" spans="1:5" x14ac:dyDescent="0.2">
      <c r="A181" s="60">
        <v>40940</v>
      </c>
      <c r="B181" s="50">
        <f>IF(VLOOKUP(Table311[[#This Row],[Date]],'DB Details'!$A:$Q,12)=0,"",VLOOKUP(Table311[[#This Row],[Date]],'DB Details'!$A:$Q,12))</f>
        <v>56</v>
      </c>
      <c r="C181" s="61">
        <f>IF(VLOOKUP(Table311[[#This Row],[Date]],'DB Details'!$A:$Q,16)=0,"",VLOOKUP(Table311[[#This Row],[Date]],'DB Details'!$A:$Q,16))</f>
        <v>2.6002492975388428E-2</v>
      </c>
      <c r="D181" s="61">
        <f>IF(VLOOKUP(Table311[[#This Row],[Date]],'DB Details'!$A:$Q,15)=0,"",VLOOKUP(Table311[[#This Row],[Date]],'DB Details'!$A:$Q,15))</f>
        <v>8.1792284509988062E-3</v>
      </c>
      <c r="E181" s="61">
        <f>IF(VLOOKUP(Table311[[#This Row],[Date]],'DB Details'!$A:$Q,17)=0,"",VLOOKUP(Table311[[#This Row],[Date]],'DB Details'!$A:$Q,17))</f>
        <v>3.3120505702169067E-2</v>
      </c>
    </row>
    <row r="182" spans="1:5" x14ac:dyDescent="0.2">
      <c r="A182" s="60">
        <v>40969</v>
      </c>
      <c r="B182" s="50">
        <f>IF(VLOOKUP(Table311[[#This Row],[Date]],'DB Details'!$A:$Q,12)=0,"",VLOOKUP(Table311[[#This Row],[Date]],'DB Details'!$A:$Q,12))</f>
        <v>55.6</v>
      </c>
      <c r="C182" s="61">
        <f>IF(VLOOKUP(Table311[[#This Row],[Date]],'DB Details'!$A:$Q,16)=0,"",VLOOKUP(Table311[[#This Row],[Date]],'DB Details'!$A:$Q,16))</f>
        <v>2.6002492975388428E-2</v>
      </c>
      <c r="D182" s="61">
        <f>IF(VLOOKUP(Table311[[#This Row],[Date]],'DB Details'!$A:$Q,15)=0,"",VLOOKUP(Table311[[#This Row],[Date]],'DB Details'!$A:$Q,15))</f>
        <v>8.1792284509988062E-3</v>
      </c>
      <c r="E182" s="61">
        <f>IF(VLOOKUP(Table311[[#This Row],[Date]],'DB Details'!$A:$Q,17)=0,"",VLOOKUP(Table311[[#This Row],[Date]],'DB Details'!$A:$Q,17))</f>
        <v>3.3120505702169067E-2</v>
      </c>
    </row>
    <row r="183" spans="1:5" x14ac:dyDescent="0.2">
      <c r="A183" s="60">
        <v>41000</v>
      </c>
      <c r="B183" s="50">
        <f>IF(VLOOKUP(Table311[[#This Row],[Date]],'DB Details'!$A:$Q,12)=0,"",VLOOKUP(Table311[[#This Row],[Date]],'DB Details'!$A:$Q,12))</f>
        <v>54.4</v>
      </c>
      <c r="C183" s="61">
        <f>IF(VLOOKUP(Table311[[#This Row],[Date]],'DB Details'!$A:$Q,16)=0,"",VLOOKUP(Table311[[#This Row],[Date]],'DB Details'!$A:$Q,16))</f>
        <v>2.3738163497154609E-2</v>
      </c>
      <c r="D183" s="61">
        <f>IF(VLOOKUP(Table311[[#This Row],[Date]],'DB Details'!$A:$Q,15)=0,"",VLOOKUP(Table311[[#This Row],[Date]],'DB Details'!$A:$Q,15))</f>
        <v>4.5585998686771077E-3</v>
      </c>
      <c r="E183" s="61">
        <f>IF(VLOOKUP(Table311[[#This Row],[Date]],'DB Details'!$A:$Q,17)=0,"",VLOOKUP(Table311[[#This Row],[Date]],'DB Details'!$A:$Q,17))</f>
        <v>1.8359463829133341E-2</v>
      </c>
    </row>
    <row r="184" spans="1:5" x14ac:dyDescent="0.2">
      <c r="A184" s="60">
        <v>41030</v>
      </c>
      <c r="B184" s="50">
        <f>IF(VLOOKUP(Table311[[#This Row],[Date]],'DB Details'!$A:$Q,12)=0,"",VLOOKUP(Table311[[#This Row],[Date]],'DB Details'!$A:$Q,12))</f>
        <v>54.5</v>
      </c>
      <c r="C184" s="61">
        <f>IF(VLOOKUP(Table311[[#This Row],[Date]],'DB Details'!$A:$Q,16)=0,"",VLOOKUP(Table311[[#This Row],[Date]],'DB Details'!$A:$Q,16))</f>
        <v>2.3738163497154609E-2</v>
      </c>
      <c r="D184" s="61">
        <f>IF(VLOOKUP(Table311[[#This Row],[Date]],'DB Details'!$A:$Q,15)=0,"",VLOOKUP(Table311[[#This Row],[Date]],'DB Details'!$A:$Q,15))</f>
        <v>4.5585998686771077E-3</v>
      </c>
      <c r="E184" s="61">
        <f>IF(VLOOKUP(Table311[[#This Row],[Date]],'DB Details'!$A:$Q,17)=0,"",VLOOKUP(Table311[[#This Row],[Date]],'DB Details'!$A:$Q,17))</f>
        <v>1.8359463829133341E-2</v>
      </c>
    </row>
    <row r="185" spans="1:5" x14ac:dyDescent="0.2">
      <c r="A185" s="60">
        <v>41061</v>
      </c>
      <c r="B185" s="50">
        <f>IF(VLOOKUP(Table311[[#This Row],[Date]],'DB Details'!$A:$Q,12)=0,"",VLOOKUP(Table311[[#This Row],[Date]],'DB Details'!$A:$Q,12))</f>
        <v>53.7</v>
      </c>
      <c r="C185" s="61">
        <f>IF(VLOOKUP(Table311[[#This Row],[Date]],'DB Details'!$A:$Q,16)=0,"",VLOOKUP(Table311[[#This Row],[Date]],'DB Details'!$A:$Q,16))</f>
        <v>2.3738163497154609E-2</v>
      </c>
      <c r="D185" s="61">
        <f>IF(VLOOKUP(Table311[[#This Row],[Date]],'DB Details'!$A:$Q,15)=0,"",VLOOKUP(Table311[[#This Row],[Date]],'DB Details'!$A:$Q,15))</f>
        <v>4.5585998686771077E-3</v>
      </c>
      <c r="E185" s="61">
        <f>IF(VLOOKUP(Table311[[#This Row],[Date]],'DB Details'!$A:$Q,17)=0,"",VLOOKUP(Table311[[#This Row],[Date]],'DB Details'!$A:$Q,17))</f>
        <v>1.8359463829133341E-2</v>
      </c>
    </row>
    <row r="186" spans="1:5" x14ac:dyDescent="0.2">
      <c r="A186" s="60">
        <v>41091</v>
      </c>
      <c r="B186" s="50">
        <f>IF(VLOOKUP(Table311[[#This Row],[Date]],'DB Details'!$A:$Q,12)=0,"",VLOOKUP(Table311[[#This Row],[Date]],'DB Details'!$A:$Q,12))</f>
        <v>52.4</v>
      </c>
      <c r="C186" s="61">
        <f>IF(VLOOKUP(Table311[[#This Row],[Date]],'DB Details'!$A:$Q,16)=0,"",VLOOKUP(Table311[[#This Row],[Date]],'DB Details'!$A:$Q,16))</f>
        <v>2.5926229770563171E-2</v>
      </c>
      <c r="D186" s="61">
        <f>IF(VLOOKUP(Table311[[#This Row],[Date]],'DB Details'!$A:$Q,15)=0,"",VLOOKUP(Table311[[#This Row],[Date]],'DB Details'!$A:$Q,15))</f>
        <v>1.748829776015621E-3</v>
      </c>
      <c r="E186" s="61">
        <f>IF(VLOOKUP(Table311[[#This Row],[Date]],'DB Details'!$A:$Q,17)=0,"",VLOOKUP(Table311[[#This Row],[Date]],'DB Details'!$A:$Q,17))</f>
        <v>7.0136909414519888E-3</v>
      </c>
    </row>
    <row r="187" spans="1:5" x14ac:dyDescent="0.2">
      <c r="A187" s="60">
        <v>41122</v>
      </c>
      <c r="B187" s="50">
        <f>IF(VLOOKUP(Table311[[#This Row],[Date]],'DB Details'!$A:$Q,12)=0,"",VLOOKUP(Table311[[#This Row],[Date]],'DB Details'!$A:$Q,12))</f>
        <v>52.9</v>
      </c>
      <c r="C187" s="61">
        <f>IF(VLOOKUP(Table311[[#This Row],[Date]],'DB Details'!$A:$Q,16)=0,"",VLOOKUP(Table311[[#This Row],[Date]],'DB Details'!$A:$Q,16))</f>
        <v>2.5926229770563171E-2</v>
      </c>
      <c r="D187" s="61">
        <f>IF(VLOOKUP(Table311[[#This Row],[Date]],'DB Details'!$A:$Q,15)=0,"",VLOOKUP(Table311[[#This Row],[Date]],'DB Details'!$A:$Q,15))</f>
        <v>1.748829776015621E-3</v>
      </c>
      <c r="E187" s="61">
        <f>IF(VLOOKUP(Table311[[#This Row],[Date]],'DB Details'!$A:$Q,17)=0,"",VLOOKUP(Table311[[#This Row],[Date]],'DB Details'!$A:$Q,17))</f>
        <v>7.0136909414519888E-3</v>
      </c>
    </row>
    <row r="188" spans="1:5" x14ac:dyDescent="0.2">
      <c r="A188" s="60">
        <v>41153</v>
      </c>
      <c r="B188" s="50">
        <f>IF(VLOOKUP(Table311[[#This Row],[Date]],'DB Details'!$A:$Q,12)=0,"",VLOOKUP(Table311[[#This Row],[Date]],'DB Details'!$A:$Q,12))</f>
        <v>54.6</v>
      </c>
      <c r="C188" s="61">
        <f>IF(VLOOKUP(Table311[[#This Row],[Date]],'DB Details'!$A:$Q,16)=0,"",VLOOKUP(Table311[[#This Row],[Date]],'DB Details'!$A:$Q,16))</f>
        <v>2.5926229770563171E-2</v>
      </c>
      <c r="D188" s="61">
        <f>IF(VLOOKUP(Table311[[#This Row],[Date]],'DB Details'!$A:$Q,15)=0,"",VLOOKUP(Table311[[#This Row],[Date]],'DB Details'!$A:$Q,15))</f>
        <v>1.748829776015621E-3</v>
      </c>
      <c r="E188" s="61">
        <f>IF(VLOOKUP(Table311[[#This Row],[Date]],'DB Details'!$A:$Q,17)=0,"",VLOOKUP(Table311[[#This Row],[Date]],'DB Details'!$A:$Q,17))</f>
        <v>7.0136909414519888E-3</v>
      </c>
    </row>
    <row r="189" spans="1:5" x14ac:dyDescent="0.2">
      <c r="A189" s="60">
        <v>41183</v>
      </c>
      <c r="B189" s="50">
        <f>IF(VLOOKUP(Table311[[#This Row],[Date]],'DB Details'!$A:$Q,12)=0,"",VLOOKUP(Table311[[#This Row],[Date]],'DB Details'!$A:$Q,12))</f>
        <v>54.2</v>
      </c>
      <c r="C189" s="61">
        <f>IF(VLOOKUP(Table311[[#This Row],[Date]],'DB Details'!$A:$Q,16)=0,"",VLOOKUP(Table311[[#This Row],[Date]],'DB Details'!$A:$Q,16))</f>
        <v>1.56606434588916E-2</v>
      </c>
      <c r="D189" s="61">
        <f>IF(VLOOKUP(Table311[[#This Row],[Date]],'DB Details'!$A:$Q,15)=0,"",VLOOKUP(Table311[[#This Row],[Date]],'DB Details'!$A:$Q,15))</f>
        <v>1.0983806746418219E-3</v>
      </c>
      <c r="E189" s="61">
        <f>IF(VLOOKUP(Table311[[#This Row],[Date]],'DB Details'!$A:$Q,17)=0,"",VLOOKUP(Table311[[#This Row],[Date]],'DB Details'!$A:$Q,17))</f>
        <v>4.4007666411833854E-3</v>
      </c>
    </row>
    <row r="190" spans="1:5" x14ac:dyDescent="0.2">
      <c r="A190" s="60">
        <v>41214</v>
      </c>
      <c r="B190" s="50">
        <f>IF(VLOOKUP(Table311[[#This Row],[Date]],'DB Details'!$A:$Q,12)=0,"",VLOOKUP(Table311[[#This Row],[Date]],'DB Details'!$A:$Q,12))</f>
        <v>54.8</v>
      </c>
      <c r="C190" s="61">
        <f>IF(VLOOKUP(Table311[[#This Row],[Date]],'DB Details'!$A:$Q,16)=0,"",VLOOKUP(Table311[[#This Row],[Date]],'DB Details'!$A:$Q,16))</f>
        <v>1.56606434588916E-2</v>
      </c>
      <c r="D190" s="61">
        <f>IF(VLOOKUP(Table311[[#This Row],[Date]],'DB Details'!$A:$Q,15)=0,"",VLOOKUP(Table311[[#This Row],[Date]],'DB Details'!$A:$Q,15))</f>
        <v>1.0983806746418219E-3</v>
      </c>
      <c r="E190" s="61">
        <f>IF(VLOOKUP(Table311[[#This Row],[Date]],'DB Details'!$A:$Q,17)=0,"",VLOOKUP(Table311[[#This Row],[Date]],'DB Details'!$A:$Q,17))</f>
        <v>4.4007666411833854E-3</v>
      </c>
    </row>
    <row r="191" spans="1:5" x14ac:dyDescent="0.2">
      <c r="A191" s="60">
        <v>41244</v>
      </c>
      <c r="B191" s="50">
        <f>IF(VLOOKUP(Table311[[#This Row],[Date]],'DB Details'!$A:$Q,12)=0,"",VLOOKUP(Table311[[#This Row],[Date]],'DB Details'!$A:$Q,12))</f>
        <v>55.6</v>
      </c>
      <c r="C191" s="61">
        <f>IF(VLOOKUP(Table311[[#This Row],[Date]],'DB Details'!$A:$Q,16)=0,"",VLOOKUP(Table311[[#This Row],[Date]],'DB Details'!$A:$Q,16))</f>
        <v>1.56606434588916E-2</v>
      </c>
      <c r="D191" s="61">
        <f>IF(VLOOKUP(Table311[[#This Row],[Date]],'DB Details'!$A:$Q,15)=0,"",VLOOKUP(Table311[[#This Row],[Date]],'DB Details'!$A:$Q,15))</f>
        <v>1.0983806746418219E-3</v>
      </c>
      <c r="E191" s="61">
        <f>IF(VLOOKUP(Table311[[#This Row],[Date]],'DB Details'!$A:$Q,17)=0,"",VLOOKUP(Table311[[#This Row],[Date]],'DB Details'!$A:$Q,17))</f>
        <v>4.4007666411833854E-3</v>
      </c>
    </row>
    <row r="192" spans="1:5" x14ac:dyDescent="0.2">
      <c r="A192" s="60">
        <v>41275</v>
      </c>
      <c r="B192" s="50">
        <f>IF(VLOOKUP(Table311[[#This Row],[Date]],'DB Details'!$A:$Q,12)=0,"",VLOOKUP(Table311[[#This Row],[Date]],'DB Details'!$A:$Q,12))</f>
        <v>55.3</v>
      </c>
      <c r="C192" s="61">
        <f>IF(VLOOKUP(Table311[[#This Row],[Date]],'DB Details'!$A:$Q,16)=0,"",VLOOKUP(Table311[[#This Row],[Date]],'DB Details'!$A:$Q,16))</f>
        <v>1.6163010952802859E-2</v>
      </c>
      <c r="D192" s="61">
        <f>IF(VLOOKUP(Table311[[#This Row],[Date]],'DB Details'!$A:$Q,15)=0,"",VLOOKUP(Table311[[#This Row],[Date]],'DB Details'!$A:$Q,15))</f>
        <v>8.6778954769115967E-3</v>
      </c>
      <c r="E192" s="61">
        <f>IF(VLOOKUP(Table311[[#This Row],[Date]],'DB Details'!$A:$Q,17)=0,"",VLOOKUP(Table311[[#This Row],[Date]],'DB Details'!$A:$Q,17))</f>
        <v>3.5166036783941028E-2</v>
      </c>
    </row>
    <row r="193" spans="1:5" x14ac:dyDescent="0.2">
      <c r="A193" s="60">
        <v>41306</v>
      </c>
      <c r="B193" s="50">
        <f>IF(VLOOKUP(Table311[[#This Row],[Date]],'DB Details'!$A:$Q,12)=0,"",VLOOKUP(Table311[[#This Row],[Date]],'DB Details'!$A:$Q,12))</f>
        <v>56.1</v>
      </c>
      <c r="C193" s="61">
        <f>IF(VLOOKUP(Table311[[#This Row],[Date]],'DB Details'!$A:$Q,16)=0,"",VLOOKUP(Table311[[#This Row],[Date]],'DB Details'!$A:$Q,16))</f>
        <v>1.6163010952802859E-2</v>
      </c>
      <c r="D193" s="61">
        <f>IF(VLOOKUP(Table311[[#This Row],[Date]],'DB Details'!$A:$Q,15)=0,"",VLOOKUP(Table311[[#This Row],[Date]],'DB Details'!$A:$Q,15))</f>
        <v>8.6778954769115967E-3</v>
      </c>
      <c r="E193" s="61">
        <f>IF(VLOOKUP(Table311[[#This Row],[Date]],'DB Details'!$A:$Q,17)=0,"",VLOOKUP(Table311[[#This Row],[Date]],'DB Details'!$A:$Q,17))</f>
        <v>3.5166036783941028E-2</v>
      </c>
    </row>
    <row r="194" spans="1:5" x14ac:dyDescent="0.2">
      <c r="A194" s="60">
        <v>41334</v>
      </c>
      <c r="B194" s="50">
        <f>IF(VLOOKUP(Table311[[#This Row],[Date]],'DB Details'!$A:$Q,12)=0,"",VLOOKUP(Table311[[#This Row],[Date]],'DB Details'!$A:$Q,12))</f>
        <v>55.2</v>
      </c>
      <c r="C194" s="61">
        <f>IF(VLOOKUP(Table311[[#This Row],[Date]],'DB Details'!$A:$Q,16)=0,"",VLOOKUP(Table311[[#This Row],[Date]],'DB Details'!$A:$Q,16))</f>
        <v>1.6163010952802859E-2</v>
      </c>
      <c r="D194" s="61">
        <f>IF(VLOOKUP(Table311[[#This Row],[Date]],'DB Details'!$A:$Q,15)=0,"",VLOOKUP(Table311[[#This Row],[Date]],'DB Details'!$A:$Q,15))</f>
        <v>8.6778954769115967E-3</v>
      </c>
      <c r="E194" s="61">
        <f>IF(VLOOKUP(Table311[[#This Row],[Date]],'DB Details'!$A:$Q,17)=0,"",VLOOKUP(Table311[[#This Row],[Date]],'DB Details'!$A:$Q,17))</f>
        <v>3.5166036783941028E-2</v>
      </c>
    </row>
    <row r="195" spans="1:5" x14ac:dyDescent="0.2">
      <c r="A195" s="60">
        <v>41365</v>
      </c>
      <c r="B195" s="50">
        <f>IF(VLOOKUP(Table311[[#This Row],[Date]],'DB Details'!$A:$Q,12)=0,"",VLOOKUP(Table311[[#This Row],[Date]],'DB Details'!$A:$Q,12))</f>
        <v>53.9</v>
      </c>
      <c r="C195" s="61">
        <f>IF(VLOOKUP(Table311[[#This Row],[Date]],'DB Details'!$A:$Q,16)=0,"",VLOOKUP(Table311[[#This Row],[Date]],'DB Details'!$A:$Q,16))</f>
        <v>1.2961704903847749E-2</v>
      </c>
      <c r="D195" s="61">
        <f>IF(VLOOKUP(Table311[[#This Row],[Date]],'DB Details'!$A:$Q,15)=0,"",VLOOKUP(Table311[[#This Row],[Date]],'DB Details'!$A:$Q,15))</f>
        <v>1.393852197657185E-3</v>
      </c>
      <c r="E195" s="61">
        <f>IF(VLOOKUP(Table311[[#This Row],[Date]],'DB Details'!$A:$Q,17)=0,"",VLOOKUP(Table311[[#This Row],[Date]],'DB Details'!$A:$Q,17))</f>
        <v>5.5870765701340197E-3</v>
      </c>
    </row>
    <row r="196" spans="1:5" x14ac:dyDescent="0.2">
      <c r="A196" s="60">
        <v>41395</v>
      </c>
      <c r="B196" s="50">
        <f>IF(VLOOKUP(Table311[[#This Row],[Date]],'DB Details'!$A:$Q,12)=0,"",VLOOKUP(Table311[[#This Row],[Date]],'DB Details'!$A:$Q,12))</f>
        <v>54.4</v>
      </c>
      <c r="C196" s="61">
        <f>IF(VLOOKUP(Table311[[#This Row],[Date]],'DB Details'!$A:$Q,16)=0,"",VLOOKUP(Table311[[#This Row],[Date]],'DB Details'!$A:$Q,16))</f>
        <v>1.2961704903847749E-2</v>
      </c>
      <c r="D196" s="61">
        <f>IF(VLOOKUP(Table311[[#This Row],[Date]],'DB Details'!$A:$Q,15)=0,"",VLOOKUP(Table311[[#This Row],[Date]],'DB Details'!$A:$Q,15))</f>
        <v>1.393852197657185E-3</v>
      </c>
      <c r="E196" s="61">
        <f>IF(VLOOKUP(Table311[[#This Row],[Date]],'DB Details'!$A:$Q,17)=0,"",VLOOKUP(Table311[[#This Row],[Date]],'DB Details'!$A:$Q,17))</f>
        <v>5.5870765701340197E-3</v>
      </c>
    </row>
    <row r="197" spans="1:5" x14ac:dyDescent="0.2">
      <c r="A197" s="60">
        <v>41426</v>
      </c>
      <c r="B197" s="50">
        <f>IF(VLOOKUP(Table311[[#This Row],[Date]],'DB Details'!$A:$Q,12)=0,"",VLOOKUP(Table311[[#This Row],[Date]],'DB Details'!$A:$Q,12))</f>
        <v>54.1</v>
      </c>
      <c r="C197" s="61">
        <f>IF(VLOOKUP(Table311[[#This Row],[Date]],'DB Details'!$A:$Q,16)=0,"",VLOOKUP(Table311[[#This Row],[Date]],'DB Details'!$A:$Q,16))</f>
        <v>1.2961704903847749E-2</v>
      </c>
      <c r="D197" s="61">
        <f>IF(VLOOKUP(Table311[[#This Row],[Date]],'DB Details'!$A:$Q,15)=0,"",VLOOKUP(Table311[[#This Row],[Date]],'DB Details'!$A:$Q,15))</f>
        <v>1.393852197657185E-3</v>
      </c>
      <c r="E197" s="61">
        <f>IF(VLOOKUP(Table311[[#This Row],[Date]],'DB Details'!$A:$Q,17)=0,"",VLOOKUP(Table311[[#This Row],[Date]],'DB Details'!$A:$Q,17))</f>
        <v>5.5870765701340197E-3</v>
      </c>
    </row>
    <row r="198" spans="1:5" x14ac:dyDescent="0.2">
      <c r="A198" s="60">
        <v>41456</v>
      </c>
      <c r="B198" s="50">
        <f>IF(VLOOKUP(Table311[[#This Row],[Date]],'DB Details'!$A:$Q,12)=0,"",VLOOKUP(Table311[[#This Row],[Date]],'DB Details'!$A:$Q,12))</f>
        <v>54.9</v>
      </c>
      <c r="C198" s="61">
        <f>IF(VLOOKUP(Table311[[#This Row],[Date]],'DB Details'!$A:$Q,16)=0,"",VLOOKUP(Table311[[#This Row],[Date]],'DB Details'!$A:$Q,16))</f>
        <v>1.919844620038217E-2</v>
      </c>
      <c r="D198" s="61">
        <f>IF(VLOOKUP(Table311[[#This Row],[Date]],'DB Details'!$A:$Q,15)=0,"",VLOOKUP(Table311[[#This Row],[Date]],'DB Details'!$A:$Q,15))</f>
        <v>7.9165341079500094E-3</v>
      </c>
      <c r="E198" s="61">
        <f>IF(VLOOKUP(Table311[[#This Row],[Date]],'DB Details'!$A:$Q,17)=0,"",VLOOKUP(Table311[[#This Row],[Date]],'DB Details'!$A:$Q,17))</f>
        <v>3.2044153997870417E-2</v>
      </c>
    </row>
    <row r="199" spans="1:5" x14ac:dyDescent="0.2">
      <c r="A199" s="60">
        <v>41487</v>
      </c>
      <c r="B199" s="50">
        <f>IF(VLOOKUP(Table311[[#This Row],[Date]],'DB Details'!$A:$Q,12)=0,"",VLOOKUP(Table311[[#This Row],[Date]],'DB Details'!$A:$Q,12))</f>
        <v>56.6</v>
      </c>
      <c r="C199" s="61">
        <f>IF(VLOOKUP(Table311[[#This Row],[Date]],'DB Details'!$A:$Q,16)=0,"",VLOOKUP(Table311[[#This Row],[Date]],'DB Details'!$A:$Q,16))</f>
        <v>1.919844620038217E-2</v>
      </c>
      <c r="D199" s="61">
        <f>IF(VLOOKUP(Table311[[#This Row],[Date]],'DB Details'!$A:$Q,15)=0,"",VLOOKUP(Table311[[#This Row],[Date]],'DB Details'!$A:$Q,15))</f>
        <v>7.9165341079500094E-3</v>
      </c>
      <c r="E199" s="61">
        <f>IF(VLOOKUP(Table311[[#This Row],[Date]],'DB Details'!$A:$Q,17)=0,"",VLOOKUP(Table311[[#This Row],[Date]],'DB Details'!$A:$Q,17))</f>
        <v>3.2044153997870417E-2</v>
      </c>
    </row>
    <row r="200" spans="1:5" x14ac:dyDescent="0.2">
      <c r="A200" s="60">
        <v>41518</v>
      </c>
      <c r="B200" s="50">
        <f>IF(VLOOKUP(Table311[[#This Row],[Date]],'DB Details'!$A:$Q,12)=0,"",VLOOKUP(Table311[[#This Row],[Date]],'DB Details'!$A:$Q,12))</f>
        <v>53.6</v>
      </c>
      <c r="C200" s="61">
        <f>IF(VLOOKUP(Table311[[#This Row],[Date]],'DB Details'!$A:$Q,16)=0,"",VLOOKUP(Table311[[#This Row],[Date]],'DB Details'!$A:$Q,16))</f>
        <v>1.919844620038217E-2</v>
      </c>
      <c r="D200" s="61">
        <f>IF(VLOOKUP(Table311[[#This Row],[Date]],'DB Details'!$A:$Q,15)=0,"",VLOOKUP(Table311[[#This Row],[Date]],'DB Details'!$A:$Q,15))</f>
        <v>7.9165341079500094E-3</v>
      </c>
      <c r="E200" s="61">
        <f>IF(VLOOKUP(Table311[[#This Row],[Date]],'DB Details'!$A:$Q,17)=0,"",VLOOKUP(Table311[[#This Row],[Date]],'DB Details'!$A:$Q,17))</f>
        <v>3.2044153997870417E-2</v>
      </c>
    </row>
    <row r="201" spans="1:5" x14ac:dyDescent="0.2">
      <c r="A201" s="60">
        <v>41548</v>
      </c>
      <c r="B201" s="50">
        <f>IF(VLOOKUP(Table311[[#This Row],[Date]],'DB Details'!$A:$Q,12)=0,"",VLOOKUP(Table311[[#This Row],[Date]],'DB Details'!$A:$Q,12))</f>
        <v>54.5</v>
      </c>
      <c r="C201" s="61">
        <f>IF(VLOOKUP(Table311[[#This Row],[Date]],'DB Details'!$A:$Q,16)=0,"",VLOOKUP(Table311[[#This Row],[Date]],'DB Details'!$A:$Q,16))</f>
        <v>2.532049777807217E-2</v>
      </c>
      <c r="D201" s="61">
        <f>IF(VLOOKUP(Table311[[#This Row],[Date]],'DB Details'!$A:$Q,15)=0,"",VLOOKUP(Table311[[#This Row],[Date]],'DB Details'!$A:$Q,15))</f>
        <v>7.1117100156356649E-3</v>
      </c>
      <c r="E201" s="61">
        <f>IF(VLOOKUP(Table311[[#This Row],[Date]],'DB Details'!$A:$Q,17)=0,"",VLOOKUP(Table311[[#This Row],[Date]],'DB Details'!$A:$Q,17))</f>
        <v>2.875173987590807E-2</v>
      </c>
    </row>
    <row r="202" spans="1:5" x14ac:dyDescent="0.2">
      <c r="A202" s="60">
        <v>41579</v>
      </c>
      <c r="B202" s="50">
        <f>IF(VLOOKUP(Table311[[#This Row],[Date]],'DB Details'!$A:$Q,12)=0,"",VLOOKUP(Table311[[#This Row],[Date]],'DB Details'!$A:$Q,12))</f>
        <v>53.8</v>
      </c>
      <c r="C202" s="61">
        <f>IF(VLOOKUP(Table311[[#This Row],[Date]],'DB Details'!$A:$Q,16)=0,"",VLOOKUP(Table311[[#This Row],[Date]],'DB Details'!$A:$Q,16))</f>
        <v>2.532049777807217E-2</v>
      </c>
      <c r="D202" s="61">
        <f>IF(VLOOKUP(Table311[[#This Row],[Date]],'DB Details'!$A:$Q,15)=0,"",VLOOKUP(Table311[[#This Row],[Date]],'DB Details'!$A:$Q,15))</f>
        <v>7.1117100156356649E-3</v>
      </c>
      <c r="E202" s="61">
        <f>IF(VLOOKUP(Table311[[#This Row],[Date]],'DB Details'!$A:$Q,17)=0,"",VLOOKUP(Table311[[#This Row],[Date]],'DB Details'!$A:$Q,17))</f>
        <v>2.875173987590807E-2</v>
      </c>
    </row>
    <row r="203" spans="1:5" x14ac:dyDescent="0.2">
      <c r="A203" s="60">
        <v>41609</v>
      </c>
      <c r="B203" s="50">
        <f>IF(VLOOKUP(Table311[[#This Row],[Date]],'DB Details'!$A:$Q,12)=0,"",VLOOKUP(Table311[[#This Row],[Date]],'DB Details'!$A:$Q,12))</f>
        <v>52.9</v>
      </c>
      <c r="C203" s="61">
        <f>IF(VLOOKUP(Table311[[#This Row],[Date]],'DB Details'!$A:$Q,16)=0,"",VLOOKUP(Table311[[#This Row],[Date]],'DB Details'!$A:$Q,16))</f>
        <v>2.532049777807217E-2</v>
      </c>
      <c r="D203" s="61">
        <f>IF(VLOOKUP(Table311[[#This Row],[Date]],'DB Details'!$A:$Q,15)=0,"",VLOOKUP(Table311[[#This Row],[Date]],'DB Details'!$A:$Q,15))</f>
        <v>7.1117100156356649E-3</v>
      </c>
      <c r="E203" s="61">
        <f>IF(VLOOKUP(Table311[[#This Row],[Date]],'DB Details'!$A:$Q,17)=0,"",VLOOKUP(Table311[[#This Row],[Date]],'DB Details'!$A:$Q,17))</f>
        <v>2.875173987590807E-2</v>
      </c>
    </row>
    <row r="204" spans="1:5" x14ac:dyDescent="0.2">
      <c r="A204" s="60">
        <v>41640</v>
      </c>
      <c r="B204" s="50">
        <f>IF(VLOOKUP(Table311[[#This Row],[Date]],'DB Details'!$A:$Q,12)=0,"",VLOOKUP(Table311[[#This Row],[Date]],'DB Details'!$A:$Q,12))</f>
        <v>54.7</v>
      </c>
      <c r="C204" s="61">
        <f>IF(VLOOKUP(Table311[[#This Row],[Date]],'DB Details'!$A:$Q,16)=0,"",VLOOKUP(Table311[[#This Row],[Date]],'DB Details'!$A:$Q,16))</f>
        <v>1.294055859309538E-2</v>
      </c>
      <c r="D204" s="61">
        <f>IF(VLOOKUP(Table311[[#This Row],[Date]],'DB Details'!$A:$Q,15)=0,"",VLOOKUP(Table311[[#This Row],[Date]],'DB Details'!$A:$Q,15))</f>
        <v>-3.5010973651269459E-3</v>
      </c>
      <c r="E204" s="61">
        <f>IF(VLOOKUP(Table311[[#This Row],[Date]],'DB Details'!$A:$Q,17)=0,"",VLOOKUP(Table311[[#This Row],[Date]],'DB Details'!$A:$Q,17))</f>
        <v>-1.393101487505966E-2</v>
      </c>
    </row>
    <row r="205" spans="1:5" x14ac:dyDescent="0.2">
      <c r="A205" s="60">
        <v>41671</v>
      </c>
      <c r="B205" s="50">
        <f>IF(VLOOKUP(Table311[[#This Row],[Date]],'DB Details'!$A:$Q,12)=0,"",VLOOKUP(Table311[[#This Row],[Date]],'DB Details'!$A:$Q,12))</f>
        <v>53</v>
      </c>
      <c r="C205" s="61">
        <f>IF(VLOOKUP(Table311[[#This Row],[Date]],'DB Details'!$A:$Q,16)=0,"",VLOOKUP(Table311[[#This Row],[Date]],'DB Details'!$A:$Q,16))</f>
        <v>1.294055859309538E-2</v>
      </c>
      <c r="D205" s="61">
        <f>IF(VLOOKUP(Table311[[#This Row],[Date]],'DB Details'!$A:$Q,15)=0,"",VLOOKUP(Table311[[#This Row],[Date]],'DB Details'!$A:$Q,15))</f>
        <v>-3.5010973651269459E-3</v>
      </c>
      <c r="E205" s="61">
        <f>IF(VLOOKUP(Table311[[#This Row],[Date]],'DB Details'!$A:$Q,17)=0,"",VLOOKUP(Table311[[#This Row],[Date]],'DB Details'!$A:$Q,17))</f>
        <v>-1.393101487505966E-2</v>
      </c>
    </row>
    <row r="206" spans="1:5" x14ac:dyDescent="0.2">
      <c r="A206" s="60">
        <v>41699</v>
      </c>
      <c r="B206" s="50">
        <f>IF(VLOOKUP(Table311[[#This Row],[Date]],'DB Details'!$A:$Q,12)=0,"",VLOOKUP(Table311[[#This Row],[Date]],'DB Details'!$A:$Q,12))</f>
        <v>54.2</v>
      </c>
      <c r="C206" s="61">
        <f>IF(VLOOKUP(Table311[[#This Row],[Date]],'DB Details'!$A:$Q,16)=0,"",VLOOKUP(Table311[[#This Row],[Date]],'DB Details'!$A:$Q,16))</f>
        <v>1.294055859309538E-2</v>
      </c>
      <c r="D206" s="61">
        <f>IF(VLOOKUP(Table311[[#This Row],[Date]],'DB Details'!$A:$Q,15)=0,"",VLOOKUP(Table311[[#This Row],[Date]],'DB Details'!$A:$Q,15))</f>
        <v>-3.5010973651269459E-3</v>
      </c>
      <c r="E206" s="61">
        <f>IF(VLOOKUP(Table311[[#This Row],[Date]],'DB Details'!$A:$Q,17)=0,"",VLOOKUP(Table311[[#This Row],[Date]],'DB Details'!$A:$Q,17))</f>
        <v>-1.393101487505966E-2</v>
      </c>
    </row>
    <row r="207" spans="1:5" x14ac:dyDescent="0.2">
      <c r="A207" s="60">
        <v>41730</v>
      </c>
      <c r="B207" s="50">
        <f>IF(VLOOKUP(Table311[[#This Row],[Date]],'DB Details'!$A:$Q,12)=0,"",VLOOKUP(Table311[[#This Row],[Date]],'DB Details'!$A:$Q,12))</f>
        <v>55.2</v>
      </c>
      <c r="C207" s="61">
        <f>IF(VLOOKUP(Table311[[#This Row],[Date]],'DB Details'!$A:$Q,16)=0,"",VLOOKUP(Table311[[#This Row],[Date]],'DB Details'!$A:$Q,16))</f>
        <v>2.45199916765882E-2</v>
      </c>
      <c r="D207" s="61">
        <f>IF(VLOOKUP(Table311[[#This Row],[Date]],'DB Details'!$A:$Q,15)=0,"",VLOOKUP(Table311[[#This Row],[Date]],'DB Details'!$A:$Q,15))</f>
        <v>1.2841289071790579E-2</v>
      </c>
      <c r="E207" s="61">
        <f>IF(VLOOKUP(Table311[[#This Row],[Date]],'DB Details'!$A:$Q,17)=0,"",VLOOKUP(Table311[[#This Row],[Date]],'DB Details'!$A:$Q,17))</f>
        <v>5.2363045756652182E-2</v>
      </c>
    </row>
    <row r="208" spans="1:5" x14ac:dyDescent="0.2">
      <c r="A208" s="60">
        <v>41760</v>
      </c>
      <c r="B208" s="50">
        <f>IF(VLOOKUP(Table311[[#This Row],[Date]],'DB Details'!$A:$Q,12)=0,"",VLOOKUP(Table311[[#This Row],[Date]],'DB Details'!$A:$Q,12))</f>
        <v>56.9</v>
      </c>
      <c r="C208" s="61">
        <f>IF(VLOOKUP(Table311[[#This Row],[Date]],'DB Details'!$A:$Q,16)=0,"",VLOOKUP(Table311[[#This Row],[Date]],'DB Details'!$A:$Q,16))</f>
        <v>2.45199916765882E-2</v>
      </c>
      <c r="D208" s="61">
        <f>IF(VLOOKUP(Table311[[#This Row],[Date]],'DB Details'!$A:$Q,15)=0,"",VLOOKUP(Table311[[#This Row],[Date]],'DB Details'!$A:$Q,15))</f>
        <v>1.2841289071790579E-2</v>
      </c>
      <c r="E208" s="61">
        <f>IF(VLOOKUP(Table311[[#This Row],[Date]],'DB Details'!$A:$Q,17)=0,"",VLOOKUP(Table311[[#This Row],[Date]],'DB Details'!$A:$Q,17))</f>
        <v>5.2363045756652182E-2</v>
      </c>
    </row>
    <row r="209" spans="1:5" x14ac:dyDescent="0.2">
      <c r="A209" s="60">
        <v>41791</v>
      </c>
      <c r="B209" s="50">
        <f>IF(VLOOKUP(Table311[[#This Row],[Date]],'DB Details'!$A:$Q,12)=0,"",VLOOKUP(Table311[[#This Row],[Date]],'DB Details'!$A:$Q,12))</f>
        <v>56.6</v>
      </c>
      <c r="C209" s="61">
        <f>IF(VLOOKUP(Table311[[#This Row],[Date]],'DB Details'!$A:$Q,16)=0,"",VLOOKUP(Table311[[#This Row],[Date]],'DB Details'!$A:$Q,16))</f>
        <v>2.45199916765882E-2</v>
      </c>
      <c r="D209" s="61">
        <f>IF(VLOOKUP(Table311[[#This Row],[Date]],'DB Details'!$A:$Q,15)=0,"",VLOOKUP(Table311[[#This Row],[Date]],'DB Details'!$A:$Q,15))</f>
        <v>1.2841289071790579E-2</v>
      </c>
      <c r="E209" s="61">
        <f>IF(VLOOKUP(Table311[[#This Row],[Date]],'DB Details'!$A:$Q,17)=0,"",VLOOKUP(Table311[[#This Row],[Date]],'DB Details'!$A:$Q,17))</f>
        <v>5.2363045756652182E-2</v>
      </c>
    </row>
    <row r="210" spans="1:5" x14ac:dyDescent="0.2">
      <c r="A210" s="60">
        <v>41821</v>
      </c>
      <c r="B210" s="50">
        <f>IF(VLOOKUP(Table311[[#This Row],[Date]],'DB Details'!$A:$Q,12)=0,"",VLOOKUP(Table311[[#This Row],[Date]],'DB Details'!$A:$Q,12))</f>
        <v>57.1</v>
      </c>
      <c r="C210" s="61">
        <f>IF(VLOOKUP(Table311[[#This Row],[Date]],'DB Details'!$A:$Q,16)=0,"",VLOOKUP(Table311[[#This Row],[Date]],'DB Details'!$A:$Q,16))</f>
        <v>2.831456925846958E-2</v>
      </c>
      <c r="D210" s="61">
        <f>IF(VLOOKUP(Table311[[#This Row],[Date]],'DB Details'!$A:$Q,15)=0,"",VLOOKUP(Table311[[#This Row],[Date]],'DB Details'!$A:$Q,15))</f>
        <v>1.1649616444854689E-2</v>
      </c>
      <c r="E210" s="61">
        <f>IF(VLOOKUP(Table311[[#This Row],[Date]],'DB Details'!$A:$Q,17)=0,"",VLOOKUP(Table311[[#This Row],[Date]],'DB Details'!$A:$Q,17))</f>
        <v>4.7419089621299371E-2</v>
      </c>
    </row>
    <row r="211" spans="1:5" x14ac:dyDescent="0.2">
      <c r="A211" s="60">
        <v>41852</v>
      </c>
      <c r="B211" s="50">
        <f>IF(VLOOKUP(Table311[[#This Row],[Date]],'DB Details'!$A:$Q,12)=0,"",VLOOKUP(Table311[[#This Row],[Date]],'DB Details'!$A:$Q,12))</f>
        <v>58</v>
      </c>
      <c r="C211" s="61">
        <f>IF(VLOOKUP(Table311[[#This Row],[Date]],'DB Details'!$A:$Q,16)=0,"",VLOOKUP(Table311[[#This Row],[Date]],'DB Details'!$A:$Q,16))</f>
        <v>2.831456925846958E-2</v>
      </c>
      <c r="D211" s="61">
        <f>IF(VLOOKUP(Table311[[#This Row],[Date]],'DB Details'!$A:$Q,15)=0,"",VLOOKUP(Table311[[#This Row],[Date]],'DB Details'!$A:$Q,15))</f>
        <v>1.1649616444854689E-2</v>
      </c>
      <c r="E211" s="61">
        <f>IF(VLOOKUP(Table311[[#This Row],[Date]],'DB Details'!$A:$Q,17)=0,"",VLOOKUP(Table311[[#This Row],[Date]],'DB Details'!$A:$Q,17))</f>
        <v>4.7419089621299371E-2</v>
      </c>
    </row>
    <row r="212" spans="1:5" x14ac:dyDescent="0.2">
      <c r="A212" s="60">
        <v>41883</v>
      </c>
      <c r="B212" s="50">
        <f>IF(VLOOKUP(Table311[[#This Row],[Date]],'DB Details'!$A:$Q,12)=0,"",VLOOKUP(Table311[[#This Row],[Date]],'DB Details'!$A:$Q,12))</f>
        <v>57.4</v>
      </c>
      <c r="C212" s="61">
        <f>IF(VLOOKUP(Table311[[#This Row],[Date]],'DB Details'!$A:$Q,16)=0,"",VLOOKUP(Table311[[#This Row],[Date]],'DB Details'!$A:$Q,16))</f>
        <v>2.831456925846958E-2</v>
      </c>
      <c r="D212" s="61">
        <f>IF(VLOOKUP(Table311[[#This Row],[Date]],'DB Details'!$A:$Q,15)=0,"",VLOOKUP(Table311[[#This Row],[Date]],'DB Details'!$A:$Q,15))</f>
        <v>1.1649616444854689E-2</v>
      </c>
      <c r="E212" s="61">
        <f>IF(VLOOKUP(Table311[[#This Row],[Date]],'DB Details'!$A:$Q,17)=0,"",VLOOKUP(Table311[[#This Row],[Date]],'DB Details'!$A:$Q,17))</f>
        <v>4.7419089621299371E-2</v>
      </c>
    </row>
    <row r="213" spans="1:5" x14ac:dyDescent="0.2">
      <c r="A213" s="60">
        <v>41913</v>
      </c>
      <c r="B213" s="50">
        <f>IF(VLOOKUP(Table311[[#This Row],[Date]],'DB Details'!$A:$Q,12)=0,"",VLOOKUP(Table311[[#This Row],[Date]],'DB Details'!$A:$Q,12))</f>
        <v>56</v>
      </c>
      <c r="C213" s="61">
        <f>IF(VLOOKUP(Table311[[#This Row],[Date]],'DB Details'!$A:$Q,16)=0,"",VLOOKUP(Table311[[#This Row],[Date]],'DB Details'!$A:$Q,16))</f>
        <v>2.5637596662669859E-2</v>
      </c>
      <c r="D213" s="61">
        <f>IF(VLOOKUP(Table311[[#This Row],[Date]],'DB Details'!$A:$Q,15)=0,"",VLOOKUP(Table311[[#This Row],[Date]],'DB Details'!$A:$Q,15))</f>
        <v>4.4899340248851054E-3</v>
      </c>
      <c r="E213" s="61">
        <f>IF(VLOOKUP(Table311[[#This Row],[Date]],'DB Details'!$A:$Q,17)=0,"",VLOOKUP(Table311[[#This Row],[Date]],'DB Details'!$A:$Q,17))</f>
        <v>1.808105561066875E-2</v>
      </c>
    </row>
    <row r="214" spans="1:5" x14ac:dyDescent="0.2">
      <c r="A214" s="60">
        <v>41944</v>
      </c>
      <c r="B214" s="50">
        <f>IF(VLOOKUP(Table311[[#This Row],[Date]],'DB Details'!$A:$Q,12)=0,"",VLOOKUP(Table311[[#This Row],[Date]],'DB Details'!$A:$Q,12))</f>
        <v>58.7</v>
      </c>
      <c r="C214" s="61">
        <f>IF(VLOOKUP(Table311[[#This Row],[Date]],'DB Details'!$A:$Q,16)=0,"",VLOOKUP(Table311[[#This Row],[Date]],'DB Details'!$A:$Q,16))</f>
        <v>2.5637596662669859E-2</v>
      </c>
      <c r="D214" s="61">
        <f>IF(VLOOKUP(Table311[[#This Row],[Date]],'DB Details'!$A:$Q,15)=0,"",VLOOKUP(Table311[[#This Row],[Date]],'DB Details'!$A:$Q,15))</f>
        <v>4.4899340248851054E-3</v>
      </c>
      <c r="E214" s="61">
        <f>IF(VLOOKUP(Table311[[#This Row],[Date]],'DB Details'!$A:$Q,17)=0,"",VLOOKUP(Table311[[#This Row],[Date]],'DB Details'!$A:$Q,17))</f>
        <v>1.808105561066875E-2</v>
      </c>
    </row>
    <row r="215" spans="1:5" x14ac:dyDescent="0.2">
      <c r="A215" s="60">
        <v>41974</v>
      </c>
      <c r="B215" s="50">
        <f>IF(VLOOKUP(Table311[[#This Row],[Date]],'DB Details'!$A:$Q,12)=0,"",VLOOKUP(Table311[[#This Row],[Date]],'DB Details'!$A:$Q,12))</f>
        <v>56.4</v>
      </c>
      <c r="C215" s="61">
        <f>IF(VLOOKUP(Table311[[#This Row],[Date]],'DB Details'!$A:$Q,16)=0,"",VLOOKUP(Table311[[#This Row],[Date]],'DB Details'!$A:$Q,16))</f>
        <v>2.5637596662669859E-2</v>
      </c>
      <c r="D215" s="61">
        <f>IF(VLOOKUP(Table311[[#This Row],[Date]],'DB Details'!$A:$Q,15)=0,"",VLOOKUP(Table311[[#This Row],[Date]],'DB Details'!$A:$Q,15))</f>
        <v>4.4899340248851054E-3</v>
      </c>
      <c r="E215" s="61">
        <f>IF(VLOOKUP(Table311[[#This Row],[Date]],'DB Details'!$A:$Q,17)=0,"",VLOOKUP(Table311[[#This Row],[Date]],'DB Details'!$A:$Q,17))</f>
        <v>1.808105561066875E-2</v>
      </c>
    </row>
    <row r="216" spans="1:5" x14ac:dyDescent="0.2">
      <c r="A216" s="60">
        <v>42005</v>
      </c>
      <c r="B216" s="50">
        <f>IF(VLOOKUP(Table311[[#This Row],[Date]],'DB Details'!$A:$Q,12)=0,"",VLOOKUP(Table311[[#This Row],[Date]],'DB Details'!$A:$Q,12))</f>
        <v>57.3</v>
      </c>
      <c r="C216" s="61">
        <f>IF(VLOOKUP(Table311[[#This Row],[Date]],'DB Details'!$A:$Q,16)=0,"",VLOOKUP(Table311[[#This Row],[Date]],'DB Details'!$A:$Q,16))</f>
        <v>3.7612027730824553E-2</v>
      </c>
      <c r="D216" s="61">
        <f>IF(VLOOKUP(Table311[[#This Row],[Date]],'DB Details'!$A:$Q,15)=0,"",VLOOKUP(Table311[[#This Row],[Date]],'DB Details'!$A:$Q,15))</f>
        <v>8.1331362646857273E-3</v>
      </c>
      <c r="E216" s="61">
        <f>IF(VLOOKUP(Table311[[#This Row],[Date]],'DB Details'!$A:$Q,17)=0,"",VLOOKUP(Table311[[#This Row],[Date]],'DB Details'!$A:$Q,17))</f>
        <v>3.2931588827004088E-2</v>
      </c>
    </row>
    <row r="217" spans="1:5" x14ac:dyDescent="0.2">
      <c r="A217" s="60">
        <v>42036</v>
      </c>
      <c r="B217" s="50">
        <f>IF(VLOOKUP(Table311[[#This Row],[Date]],'DB Details'!$A:$Q,12)=0,"",VLOOKUP(Table311[[#This Row],[Date]],'DB Details'!$A:$Q,12))</f>
        <v>57.6</v>
      </c>
      <c r="C217" s="61">
        <f>IF(VLOOKUP(Table311[[#This Row],[Date]],'DB Details'!$A:$Q,16)=0,"",VLOOKUP(Table311[[#This Row],[Date]],'DB Details'!$A:$Q,16))</f>
        <v>3.7612027730824553E-2</v>
      </c>
      <c r="D217" s="61">
        <f>IF(VLOOKUP(Table311[[#This Row],[Date]],'DB Details'!$A:$Q,15)=0,"",VLOOKUP(Table311[[#This Row],[Date]],'DB Details'!$A:$Q,15))</f>
        <v>8.1331362646857273E-3</v>
      </c>
      <c r="E217" s="61">
        <f>IF(VLOOKUP(Table311[[#This Row],[Date]],'DB Details'!$A:$Q,17)=0,"",VLOOKUP(Table311[[#This Row],[Date]],'DB Details'!$A:$Q,17))</f>
        <v>3.2931588827004088E-2</v>
      </c>
    </row>
    <row r="218" spans="1:5" x14ac:dyDescent="0.2">
      <c r="A218" s="60">
        <v>42064</v>
      </c>
      <c r="B218" s="50">
        <f>IF(VLOOKUP(Table311[[#This Row],[Date]],'DB Details'!$A:$Q,12)=0,"",VLOOKUP(Table311[[#This Row],[Date]],'DB Details'!$A:$Q,12))</f>
        <v>57.5</v>
      </c>
      <c r="C218" s="61">
        <f>IF(VLOOKUP(Table311[[#This Row],[Date]],'DB Details'!$A:$Q,16)=0,"",VLOOKUP(Table311[[#This Row],[Date]],'DB Details'!$A:$Q,16))</f>
        <v>3.7612027730824553E-2</v>
      </c>
      <c r="D218" s="61">
        <f>IF(VLOOKUP(Table311[[#This Row],[Date]],'DB Details'!$A:$Q,15)=0,"",VLOOKUP(Table311[[#This Row],[Date]],'DB Details'!$A:$Q,15))</f>
        <v>8.1331362646857273E-3</v>
      </c>
      <c r="E218" s="61">
        <f>IF(VLOOKUP(Table311[[#This Row],[Date]],'DB Details'!$A:$Q,17)=0,"",VLOOKUP(Table311[[#This Row],[Date]],'DB Details'!$A:$Q,17))</f>
        <v>3.2931588827004088E-2</v>
      </c>
    </row>
    <row r="219" spans="1:5" x14ac:dyDescent="0.2">
      <c r="A219" s="60">
        <v>42095</v>
      </c>
      <c r="B219" s="50">
        <f>IF(VLOOKUP(Table311[[#This Row],[Date]],'DB Details'!$A:$Q,12)=0,"",VLOOKUP(Table311[[#This Row],[Date]],'DB Details'!$A:$Q,12))</f>
        <v>57.5</v>
      </c>
      <c r="C219" s="61">
        <f>IF(VLOOKUP(Table311[[#This Row],[Date]],'DB Details'!$A:$Q,16)=0,"",VLOOKUP(Table311[[#This Row],[Date]],'DB Details'!$A:$Q,16))</f>
        <v>3.0398546748778989E-2</v>
      </c>
      <c r="D219" s="61">
        <f>IF(VLOOKUP(Table311[[#This Row],[Date]],'DB Details'!$A:$Q,15)=0,"",VLOOKUP(Table311[[#This Row],[Date]],'DB Details'!$A:$Q,15))</f>
        <v>5.800014316593537E-3</v>
      </c>
      <c r="E219" s="61">
        <f>IF(VLOOKUP(Table311[[#This Row],[Date]],'DB Details'!$A:$Q,17)=0,"",VLOOKUP(Table311[[#This Row],[Date]],'DB Details'!$A:$Q,17))</f>
        <v>2.3402679848250289E-2</v>
      </c>
    </row>
    <row r="220" spans="1:5" x14ac:dyDescent="0.2">
      <c r="A220" s="60">
        <v>42125</v>
      </c>
      <c r="B220" s="50">
        <f>IF(VLOOKUP(Table311[[#This Row],[Date]],'DB Details'!$A:$Q,12)=0,"",VLOOKUP(Table311[[#This Row],[Date]],'DB Details'!$A:$Q,12))</f>
        <v>56.8</v>
      </c>
      <c r="C220" s="61">
        <f>IF(VLOOKUP(Table311[[#This Row],[Date]],'DB Details'!$A:$Q,16)=0,"",VLOOKUP(Table311[[#This Row],[Date]],'DB Details'!$A:$Q,16))</f>
        <v>3.0398546748778989E-2</v>
      </c>
      <c r="D220" s="61">
        <f>IF(VLOOKUP(Table311[[#This Row],[Date]],'DB Details'!$A:$Q,15)=0,"",VLOOKUP(Table311[[#This Row],[Date]],'DB Details'!$A:$Q,15))</f>
        <v>5.800014316593537E-3</v>
      </c>
      <c r="E220" s="61">
        <f>IF(VLOOKUP(Table311[[#This Row],[Date]],'DB Details'!$A:$Q,17)=0,"",VLOOKUP(Table311[[#This Row],[Date]],'DB Details'!$A:$Q,17))</f>
        <v>2.3402679848250289E-2</v>
      </c>
    </row>
    <row r="221" spans="1:5" x14ac:dyDescent="0.2">
      <c r="A221" s="60">
        <v>42156</v>
      </c>
      <c r="B221" s="50">
        <f>IF(VLOOKUP(Table311[[#This Row],[Date]],'DB Details'!$A:$Q,12)=0,"",VLOOKUP(Table311[[#This Row],[Date]],'DB Details'!$A:$Q,12))</f>
        <v>56</v>
      </c>
      <c r="C221" s="61">
        <f>IF(VLOOKUP(Table311[[#This Row],[Date]],'DB Details'!$A:$Q,16)=0,"",VLOOKUP(Table311[[#This Row],[Date]],'DB Details'!$A:$Q,16))</f>
        <v>3.0398546748778989E-2</v>
      </c>
      <c r="D221" s="61">
        <f>IF(VLOOKUP(Table311[[#This Row],[Date]],'DB Details'!$A:$Q,15)=0,"",VLOOKUP(Table311[[#This Row],[Date]],'DB Details'!$A:$Q,15))</f>
        <v>5.800014316593537E-3</v>
      </c>
      <c r="E221" s="61">
        <f>IF(VLOOKUP(Table311[[#This Row],[Date]],'DB Details'!$A:$Q,17)=0,"",VLOOKUP(Table311[[#This Row],[Date]],'DB Details'!$A:$Q,17))</f>
        <v>2.3402679848250289E-2</v>
      </c>
    </row>
    <row r="222" spans="1:5" x14ac:dyDescent="0.2">
      <c r="A222" s="60">
        <v>42186</v>
      </c>
      <c r="B222" s="50">
        <f>IF(VLOOKUP(Table311[[#This Row],[Date]],'DB Details'!$A:$Q,12)=0,"",VLOOKUP(Table311[[#This Row],[Date]],'DB Details'!$A:$Q,12))</f>
        <v>59.3</v>
      </c>
      <c r="C222" s="61">
        <f>IF(VLOOKUP(Table311[[#This Row],[Date]],'DB Details'!$A:$Q,16)=0,"",VLOOKUP(Table311[[#This Row],[Date]],'DB Details'!$A:$Q,16))</f>
        <v>2.1826685112633061E-2</v>
      </c>
      <c r="D222" s="61">
        <f>IF(VLOOKUP(Table311[[#This Row],[Date]],'DB Details'!$A:$Q,15)=0,"",VLOOKUP(Table311[[#This Row],[Date]],'DB Details'!$A:$Q,15))</f>
        <v>3.233726725495796E-3</v>
      </c>
      <c r="E222" s="61">
        <f>IF(VLOOKUP(Table311[[#This Row],[Date]],'DB Details'!$A:$Q,17)=0,"",VLOOKUP(Table311[[#This Row],[Date]],'DB Details'!$A:$Q,17))</f>
        <v>1.299778420271624E-2</v>
      </c>
    </row>
    <row r="223" spans="1:5" x14ac:dyDescent="0.2">
      <c r="A223" s="60">
        <v>42217</v>
      </c>
      <c r="B223" s="50">
        <f>IF(VLOOKUP(Table311[[#This Row],[Date]],'DB Details'!$A:$Q,12)=0,"",VLOOKUP(Table311[[#This Row],[Date]],'DB Details'!$A:$Q,12))</f>
        <v>58.4</v>
      </c>
      <c r="C223" s="61">
        <f>IF(VLOOKUP(Table311[[#This Row],[Date]],'DB Details'!$A:$Q,16)=0,"",VLOOKUP(Table311[[#This Row],[Date]],'DB Details'!$A:$Q,16))</f>
        <v>2.1826685112633061E-2</v>
      </c>
      <c r="D223" s="61">
        <f>IF(VLOOKUP(Table311[[#This Row],[Date]],'DB Details'!$A:$Q,15)=0,"",VLOOKUP(Table311[[#This Row],[Date]],'DB Details'!$A:$Q,15))</f>
        <v>3.233726725495796E-3</v>
      </c>
      <c r="E223" s="61">
        <f>IF(VLOOKUP(Table311[[#This Row],[Date]],'DB Details'!$A:$Q,17)=0,"",VLOOKUP(Table311[[#This Row],[Date]],'DB Details'!$A:$Q,17))</f>
        <v>1.299778420271624E-2</v>
      </c>
    </row>
    <row r="224" spans="1:5" x14ac:dyDescent="0.2">
      <c r="A224" s="60">
        <v>42248</v>
      </c>
      <c r="B224" s="50">
        <f>IF(VLOOKUP(Table311[[#This Row],[Date]],'DB Details'!$A:$Q,12)=0,"",VLOOKUP(Table311[[#This Row],[Date]],'DB Details'!$A:$Q,12))</f>
        <v>56.1</v>
      </c>
      <c r="C224" s="61">
        <f>IF(VLOOKUP(Table311[[#This Row],[Date]],'DB Details'!$A:$Q,16)=0,"",VLOOKUP(Table311[[#This Row],[Date]],'DB Details'!$A:$Q,16))</f>
        <v>2.1826685112633061E-2</v>
      </c>
      <c r="D224" s="61">
        <f>IF(VLOOKUP(Table311[[#This Row],[Date]],'DB Details'!$A:$Q,15)=0,"",VLOOKUP(Table311[[#This Row],[Date]],'DB Details'!$A:$Q,15))</f>
        <v>3.233726725495796E-3</v>
      </c>
      <c r="E224" s="61">
        <f>IF(VLOOKUP(Table311[[#This Row],[Date]],'DB Details'!$A:$Q,17)=0,"",VLOOKUP(Table311[[#This Row],[Date]],'DB Details'!$A:$Q,17))</f>
        <v>1.299778420271624E-2</v>
      </c>
    </row>
    <row r="225" spans="1:5" x14ac:dyDescent="0.2">
      <c r="A225" s="60">
        <v>42278</v>
      </c>
      <c r="B225" s="50">
        <f>IF(VLOOKUP(Table311[[#This Row],[Date]],'DB Details'!$A:$Q,12)=0,"",VLOOKUP(Table311[[#This Row],[Date]],'DB Details'!$A:$Q,12))</f>
        <v>57.9</v>
      </c>
      <c r="C225" s="61">
        <f>IF(VLOOKUP(Table311[[#This Row],[Date]],'DB Details'!$A:$Q,16)=0,"",VLOOKUP(Table311[[#This Row],[Date]],'DB Details'!$A:$Q,16))</f>
        <v>1.874684058645722E-2</v>
      </c>
      <c r="D225" s="61">
        <f>IF(VLOOKUP(Table311[[#This Row],[Date]],'DB Details'!$A:$Q,15)=0,"",VLOOKUP(Table311[[#This Row],[Date]],'DB Details'!$A:$Q,15))</f>
        <v>1.462343465763751E-3</v>
      </c>
      <c r="E225" s="61">
        <f>IF(VLOOKUP(Table311[[#This Row],[Date]],'DB Details'!$A:$Q,17)=0,"",VLOOKUP(Table311[[#This Row],[Date]],'DB Details'!$A:$Q,17))</f>
        <v>5.8622170666831064E-3</v>
      </c>
    </row>
    <row r="226" spans="1:5" x14ac:dyDescent="0.2">
      <c r="A226" s="60">
        <v>42309</v>
      </c>
      <c r="B226" s="50">
        <f>IF(VLOOKUP(Table311[[#This Row],[Date]],'DB Details'!$A:$Q,12)=0,"",VLOOKUP(Table311[[#This Row],[Date]],'DB Details'!$A:$Q,12))</f>
        <v>55.8</v>
      </c>
      <c r="C226" s="61">
        <f>IF(VLOOKUP(Table311[[#This Row],[Date]],'DB Details'!$A:$Q,16)=0,"",VLOOKUP(Table311[[#This Row],[Date]],'DB Details'!$A:$Q,16))</f>
        <v>1.874684058645722E-2</v>
      </c>
      <c r="D226" s="61">
        <f>IF(VLOOKUP(Table311[[#This Row],[Date]],'DB Details'!$A:$Q,15)=0,"",VLOOKUP(Table311[[#This Row],[Date]],'DB Details'!$A:$Q,15))</f>
        <v>1.462343465763751E-3</v>
      </c>
      <c r="E226" s="61">
        <f>IF(VLOOKUP(Table311[[#This Row],[Date]],'DB Details'!$A:$Q,17)=0,"",VLOOKUP(Table311[[#This Row],[Date]],'DB Details'!$A:$Q,17))</f>
        <v>5.8622170666831064E-3</v>
      </c>
    </row>
    <row r="227" spans="1:5" x14ac:dyDescent="0.2">
      <c r="A227" s="60">
        <v>42339</v>
      </c>
      <c r="B227" s="50">
        <f>IF(VLOOKUP(Table311[[#This Row],[Date]],'DB Details'!$A:$Q,12)=0,"",VLOOKUP(Table311[[#This Row],[Date]],'DB Details'!$A:$Q,12))</f>
        <v>55.3</v>
      </c>
      <c r="C227" s="61">
        <f>IF(VLOOKUP(Table311[[#This Row],[Date]],'DB Details'!$A:$Q,16)=0,"",VLOOKUP(Table311[[#This Row],[Date]],'DB Details'!$A:$Q,16))</f>
        <v>1.874684058645722E-2</v>
      </c>
      <c r="D227" s="61">
        <f>IF(VLOOKUP(Table311[[#This Row],[Date]],'DB Details'!$A:$Q,15)=0,"",VLOOKUP(Table311[[#This Row],[Date]],'DB Details'!$A:$Q,15))</f>
        <v>1.462343465763751E-3</v>
      </c>
      <c r="E227" s="61">
        <f>IF(VLOOKUP(Table311[[#This Row],[Date]],'DB Details'!$A:$Q,17)=0,"",VLOOKUP(Table311[[#This Row],[Date]],'DB Details'!$A:$Q,17))</f>
        <v>5.8622170666831064E-3</v>
      </c>
    </row>
    <row r="228" spans="1:5" x14ac:dyDescent="0.2">
      <c r="A228" s="60">
        <v>42370</v>
      </c>
      <c r="B228" s="50">
        <f>IF(VLOOKUP(Table311[[#This Row],[Date]],'DB Details'!$A:$Q,12)=0,"",VLOOKUP(Table311[[#This Row],[Date]],'DB Details'!$A:$Q,12))</f>
        <v>54</v>
      </c>
      <c r="C228" s="61">
        <f>IF(VLOOKUP(Table311[[#This Row],[Date]],'DB Details'!$A:$Q,16)=0,"",VLOOKUP(Table311[[#This Row],[Date]],'DB Details'!$A:$Q,16))</f>
        <v>1.6481906030485969E-2</v>
      </c>
      <c r="D228" s="61">
        <f>IF(VLOOKUP(Table311[[#This Row],[Date]],'DB Details'!$A:$Q,15)=0,"",VLOOKUP(Table311[[#This Row],[Date]],'DB Details'!$A:$Q,15))</f>
        <v>5.8917986856350706E-3</v>
      </c>
      <c r="E228" s="61">
        <f>IF(VLOOKUP(Table311[[#This Row],[Date]],'DB Details'!$A:$Q,17)=0,"",VLOOKUP(Table311[[#This Row],[Date]],'DB Details'!$A:$Q,17))</f>
        <v>2.377629379297197E-2</v>
      </c>
    </row>
    <row r="229" spans="1:5" x14ac:dyDescent="0.2">
      <c r="A229" s="60">
        <v>42401</v>
      </c>
      <c r="B229" s="50">
        <f>IF(VLOOKUP(Table311[[#This Row],[Date]],'DB Details'!$A:$Q,12)=0,"",VLOOKUP(Table311[[#This Row],[Date]],'DB Details'!$A:$Q,12))</f>
        <v>54</v>
      </c>
      <c r="C229" s="61">
        <f>IF(VLOOKUP(Table311[[#This Row],[Date]],'DB Details'!$A:$Q,16)=0,"",VLOOKUP(Table311[[#This Row],[Date]],'DB Details'!$A:$Q,16))</f>
        <v>1.6481906030485969E-2</v>
      </c>
      <c r="D229" s="61">
        <f>IF(VLOOKUP(Table311[[#This Row],[Date]],'DB Details'!$A:$Q,15)=0,"",VLOOKUP(Table311[[#This Row],[Date]],'DB Details'!$A:$Q,15))</f>
        <v>5.8917986856350706E-3</v>
      </c>
      <c r="E229" s="61">
        <f>IF(VLOOKUP(Table311[[#This Row],[Date]],'DB Details'!$A:$Q,17)=0,"",VLOOKUP(Table311[[#This Row],[Date]],'DB Details'!$A:$Q,17))</f>
        <v>2.377629379297197E-2</v>
      </c>
    </row>
    <row r="230" spans="1:5" x14ac:dyDescent="0.2">
      <c r="A230" s="60">
        <v>42430</v>
      </c>
      <c r="B230" s="50">
        <f>IF(VLOOKUP(Table311[[#This Row],[Date]],'DB Details'!$A:$Q,12)=0,"",VLOOKUP(Table311[[#This Row],[Date]],'DB Details'!$A:$Q,12))</f>
        <v>55.2</v>
      </c>
      <c r="C230" s="61">
        <f>IF(VLOOKUP(Table311[[#This Row],[Date]],'DB Details'!$A:$Q,16)=0,"",VLOOKUP(Table311[[#This Row],[Date]],'DB Details'!$A:$Q,16))</f>
        <v>1.6481906030485969E-2</v>
      </c>
      <c r="D230" s="61">
        <f>IF(VLOOKUP(Table311[[#This Row],[Date]],'DB Details'!$A:$Q,15)=0,"",VLOOKUP(Table311[[#This Row],[Date]],'DB Details'!$A:$Q,15))</f>
        <v>5.8917986856350706E-3</v>
      </c>
      <c r="E230" s="61">
        <f>IF(VLOOKUP(Table311[[#This Row],[Date]],'DB Details'!$A:$Q,17)=0,"",VLOOKUP(Table311[[#This Row],[Date]],'DB Details'!$A:$Q,17))</f>
        <v>2.377629379297197E-2</v>
      </c>
    </row>
    <row r="231" spans="1:5" x14ac:dyDescent="0.2">
      <c r="A231" s="60">
        <v>42461</v>
      </c>
      <c r="B231" s="50">
        <f>IF(VLOOKUP(Table311[[#This Row],[Date]],'DB Details'!$A:$Q,12)=0,"",VLOOKUP(Table311[[#This Row],[Date]],'DB Details'!$A:$Q,12))</f>
        <v>55.6</v>
      </c>
      <c r="C231" s="61">
        <f>IF(VLOOKUP(Table311[[#This Row],[Date]],'DB Details'!$A:$Q,16)=0,"",VLOOKUP(Table311[[#This Row],[Date]],'DB Details'!$A:$Q,16))</f>
        <v>1.367629650405968E-2</v>
      </c>
      <c r="D231" s="61">
        <f>IF(VLOOKUP(Table311[[#This Row],[Date]],'DB Details'!$A:$Q,15)=0,"",VLOOKUP(Table311[[#This Row],[Date]],'DB Details'!$A:$Q,15))</f>
        <v>3.0238880667262818E-3</v>
      </c>
      <c r="E231" s="61">
        <f>IF(VLOOKUP(Table311[[#This Row],[Date]],'DB Details'!$A:$Q,17)=0,"",VLOOKUP(Table311[[#This Row],[Date]],'DB Details'!$A:$Q,17))</f>
        <v>1.21505263452657E-2</v>
      </c>
    </row>
    <row r="232" spans="1:5" x14ac:dyDescent="0.2">
      <c r="A232" s="60">
        <v>42491</v>
      </c>
      <c r="B232" s="50">
        <f>IF(VLOOKUP(Table311[[#This Row],[Date]],'DB Details'!$A:$Q,12)=0,"",VLOOKUP(Table311[[#This Row],[Date]],'DB Details'!$A:$Q,12))</f>
        <v>53.8</v>
      </c>
      <c r="C232" s="61">
        <f>IF(VLOOKUP(Table311[[#This Row],[Date]],'DB Details'!$A:$Q,16)=0,"",VLOOKUP(Table311[[#This Row],[Date]],'DB Details'!$A:$Q,16))</f>
        <v>1.367629650405968E-2</v>
      </c>
      <c r="D232" s="61">
        <f>IF(VLOOKUP(Table311[[#This Row],[Date]],'DB Details'!$A:$Q,15)=0,"",VLOOKUP(Table311[[#This Row],[Date]],'DB Details'!$A:$Q,15))</f>
        <v>3.0238880667262818E-3</v>
      </c>
      <c r="E232" s="61">
        <f>IF(VLOOKUP(Table311[[#This Row],[Date]],'DB Details'!$A:$Q,17)=0,"",VLOOKUP(Table311[[#This Row],[Date]],'DB Details'!$A:$Q,17))</f>
        <v>1.21505263452657E-2</v>
      </c>
    </row>
    <row r="233" spans="1:5" x14ac:dyDescent="0.2">
      <c r="A233" s="60">
        <v>42522</v>
      </c>
      <c r="B233" s="50">
        <f>IF(VLOOKUP(Table311[[#This Row],[Date]],'DB Details'!$A:$Q,12)=0,"",VLOOKUP(Table311[[#This Row],[Date]],'DB Details'!$A:$Q,12))</f>
        <v>56</v>
      </c>
      <c r="C233" s="61">
        <f>IF(VLOOKUP(Table311[[#This Row],[Date]],'DB Details'!$A:$Q,16)=0,"",VLOOKUP(Table311[[#This Row],[Date]],'DB Details'!$A:$Q,16))</f>
        <v>1.367629650405968E-2</v>
      </c>
      <c r="D233" s="61">
        <f>IF(VLOOKUP(Table311[[#This Row],[Date]],'DB Details'!$A:$Q,15)=0,"",VLOOKUP(Table311[[#This Row],[Date]],'DB Details'!$A:$Q,15))</f>
        <v>3.0238880667262818E-3</v>
      </c>
      <c r="E233" s="61">
        <f>IF(VLOOKUP(Table311[[#This Row],[Date]],'DB Details'!$A:$Q,17)=0,"",VLOOKUP(Table311[[#This Row],[Date]],'DB Details'!$A:$Q,17))</f>
        <v>1.21505263452657E-2</v>
      </c>
    </row>
    <row r="234" spans="1:5" x14ac:dyDescent="0.2">
      <c r="A234" s="60">
        <v>42552</v>
      </c>
      <c r="B234" s="50">
        <f>IF(VLOOKUP(Table311[[#This Row],[Date]],'DB Details'!$A:$Q,12)=0,"",VLOOKUP(Table311[[#This Row],[Date]],'DB Details'!$A:$Q,12))</f>
        <v>55.2</v>
      </c>
      <c r="C234" s="61">
        <f>IF(VLOOKUP(Table311[[#This Row],[Date]],'DB Details'!$A:$Q,16)=0,"",VLOOKUP(Table311[[#This Row],[Date]],'DB Details'!$A:$Q,16))</f>
        <v>1.6482633560206159E-2</v>
      </c>
      <c r="D234" s="61">
        <f>IF(VLOOKUP(Table311[[#This Row],[Date]],'DB Details'!$A:$Q,15)=0,"",VLOOKUP(Table311[[#This Row],[Date]],'DB Details'!$A:$Q,15))</f>
        <v>6.0111537926921072E-3</v>
      </c>
      <c r="E234" s="61">
        <f>IF(VLOOKUP(Table311[[#This Row],[Date]],'DB Details'!$A:$Q,17)=0,"",VLOOKUP(Table311[[#This Row],[Date]],'DB Details'!$A:$Q,17))</f>
        <v>2.426228912334993E-2</v>
      </c>
    </row>
    <row r="235" spans="1:5" x14ac:dyDescent="0.2">
      <c r="A235" s="60">
        <v>42583</v>
      </c>
      <c r="B235" s="50">
        <f>IF(VLOOKUP(Table311[[#This Row],[Date]],'DB Details'!$A:$Q,12)=0,"",VLOOKUP(Table311[[#This Row],[Date]],'DB Details'!$A:$Q,12))</f>
        <v>51.6</v>
      </c>
      <c r="C235" s="61">
        <f>IF(VLOOKUP(Table311[[#This Row],[Date]],'DB Details'!$A:$Q,16)=0,"",VLOOKUP(Table311[[#This Row],[Date]],'DB Details'!$A:$Q,16))</f>
        <v>1.6482633560206159E-2</v>
      </c>
      <c r="D235" s="61">
        <f>IF(VLOOKUP(Table311[[#This Row],[Date]],'DB Details'!$A:$Q,15)=0,"",VLOOKUP(Table311[[#This Row],[Date]],'DB Details'!$A:$Q,15))</f>
        <v>6.0111537926921072E-3</v>
      </c>
      <c r="E235" s="61">
        <f>IF(VLOOKUP(Table311[[#This Row],[Date]],'DB Details'!$A:$Q,17)=0,"",VLOOKUP(Table311[[#This Row],[Date]],'DB Details'!$A:$Q,17))</f>
        <v>2.426228912334993E-2</v>
      </c>
    </row>
    <row r="236" spans="1:5" x14ac:dyDescent="0.2">
      <c r="A236" s="60">
        <v>42614</v>
      </c>
      <c r="B236" s="50">
        <f>IF(VLOOKUP(Table311[[#This Row],[Date]],'DB Details'!$A:$Q,12)=0,"",VLOOKUP(Table311[[#This Row],[Date]],'DB Details'!$A:$Q,12))</f>
        <v>56.3</v>
      </c>
      <c r="C236" s="61">
        <f>IF(VLOOKUP(Table311[[#This Row],[Date]],'DB Details'!$A:$Q,16)=0,"",VLOOKUP(Table311[[#This Row],[Date]],'DB Details'!$A:$Q,16))</f>
        <v>1.6482633560206159E-2</v>
      </c>
      <c r="D236" s="61">
        <f>IF(VLOOKUP(Table311[[#This Row],[Date]],'DB Details'!$A:$Q,15)=0,"",VLOOKUP(Table311[[#This Row],[Date]],'DB Details'!$A:$Q,15))</f>
        <v>6.0111537926921072E-3</v>
      </c>
      <c r="E236" s="61">
        <f>IF(VLOOKUP(Table311[[#This Row],[Date]],'DB Details'!$A:$Q,17)=0,"",VLOOKUP(Table311[[#This Row],[Date]],'DB Details'!$A:$Q,17))</f>
        <v>2.426228912334993E-2</v>
      </c>
    </row>
    <row r="237" spans="1:5" x14ac:dyDescent="0.2">
      <c r="A237" s="60">
        <v>42644</v>
      </c>
      <c r="B237" s="50">
        <f>IF(VLOOKUP(Table311[[#This Row],[Date]],'DB Details'!$A:$Q,12)=0,"",VLOOKUP(Table311[[#This Row],[Date]],'DB Details'!$A:$Q,12))</f>
        <v>54.4</v>
      </c>
      <c r="C237" s="61">
        <f>IF(VLOOKUP(Table311[[#This Row],[Date]],'DB Details'!$A:$Q,16)=0,"",VLOOKUP(Table311[[#This Row],[Date]],'DB Details'!$A:$Q,16))</f>
        <v>2.0041770462427101E-2</v>
      </c>
      <c r="D237" s="61">
        <f>IF(VLOOKUP(Table311[[#This Row],[Date]],'DB Details'!$A:$Q,15)=0,"",VLOOKUP(Table311[[#This Row],[Date]],'DB Details'!$A:$Q,15))</f>
        <v>4.9688879606063626E-3</v>
      </c>
      <c r="E237" s="61">
        <f>IF(VLOOKUP(Table311[[#This Row],[Date]],'DB Details'!$A:$Q,17)=0,"",VLOOKUP(Table311[[#This Row],[Date]],'DB Details'!$A:$Q,17))</f>
        <v>2.002418226174996E-2</v>
      </c>
    </row>
    <row r="238" spans="1:5" x14ac:dyDescent="0.2">
      <c r="A238" s="60">
        <v>42675</v>
      </c>
      <c r="B238" s="50">
        <f>IF(VLOOKUP(Table311[[#This Row],[Date]],'DB Details'!$A:$Q,12)=0,"",VLOOKUP(Table311[[#This Row],[Date]],'DB Details'!$A:$Q,12))</f>
        <v>56.2</v>
      </c>
      <c r="C238" s="61">
        <f>IF(VLOOKUP(Table311[[#This Row],[Date]],'DB Details'!$A:$Q,16)=0,"",VLOOKUP(Table311[[#This Row],[Date]],'DB Details'!$A:$Q,16))</f>
        <v>2.0041770462427101E-2</v>
      </c>
      <c r="D238" s="61">
        <f>IF(VLOOKUP(Table311[[#This Row],[Date]],'DB Details'!$A:$Q,15)=0,"",VLOOKUP(Table311[[#This Row],[Date]],'DB Details'!$A:$Q,15))</f>
        <v>4.9688879606063626E-3</v>
      </c>
      <c r="E238" s="61">
        <f>IF(VLOOKUP(Table311[[#This Row],[Date]],'DB Details'!$A:$Q,17)=0,"",VLOOKUP(Table311[[#This Row],[Date]],'DB Details'!$A:$Q,17))</f>
        <v>2.002418226174996E-2</v>
      </c>
    </row>
    <row r="239" spans="1:5" x14ac:dyDescent="0.2">
      <c r="A239" s="60">
        <v>42705</v>
      </c>
      <c r="B239" s="50">
        <f>IF(VLOOKUP(Table311[[#This Row],[Date]],'DB Details'!$A:$Q,12)=0,"",VLOOKUP(Table311[[#This Row],[Date]],'DB Details'!$A:$Q,12))</f>
        <v>56.7</v>
      </c>
      <c r="C239" s="61">
        <f>IF(VLOOKUP(Table311[[#This Row],[Date]],'DB Details'!$A:$Q,16)=0,"",VLOOKUP(Table311[[#This Row],[Date]],'DB Details'!$A:$Q,16))</f>
        <v>2.0041770462427101E-2</v>
      </c>
      <c r="D239" s="61">
        <f>IF(VLOOKUP(Table311[[#This Row],[Date]],'DB Details'!$A:$Q,15)=0,"",VLOOKUP(Table311[[#This Row],[Date]],'DB Details'!$A:$Q,15))</f>
        <v>4.9688879606063626E-3</v>
      </c>
      <c r="E239" s="61">
        <f>IF(VLOOKUP(Table311[[#This Row],[Date]],'DB Details'!$A:$Q,17)=0,"",VLOOKUP(Table311[[#This Row],[Date]],'DB Details'!$A:$Q,17))</f>
        <v>2.002418226174996E-2</v>
      </c>
    </row>
    <row r="240" spans="1:5" x14ac:dyDescent="0.2">
      <c r="A240" s="60">
        <v>42736</v>
      </c>
      <c r="B240" s="50">
        <f>IF(VLOOKUP(Table311[[#This Row],[Date]],'DB Details'!$A:$Q,12)=0,"",VLOOKUP(Table311[[#This Row],[Date]],'DB Details'!$A:$Q,12))</f>
        <v>56.8</v>
      </c>
      <c r="C240" s="61">
        <f>IF(VLOOKUP(Table311[[#This Row],[Date]],'DB Details'!$A:$Q,16)=0,"",VLOOKUP(Table311[[#This Row],[Date]],'DB Details'!$A:$Q,16))</f>
        <v>1.8852788696456339E-2</v>
      </c>
      <c r="D240" s="61">
        <f>IF(VLOOKUP(Table311[[#This Row],[Date]],'DB Details'!$A:$Q,15)=0,"",VLOOKUP(Table311[[#This Row],[Date]],'DB Details'!$A:$Q,15))</f>
        <v>4.719310419164807E-3</v>
      </c>
      <c r="E240" s="61">
        <f>IF(VLOOKUP(Table311[[#This Row],[Date]],'DB Details'!$A:$Q,17)=0,"",VLOOKUP(Table311[[#This Row],[Date]],'DB Details'!$A:$Q,17))</f>
        <v>1.9011293949556581E-2</v>
      </c>
    </row>
    <row r="241" spans="1:5" x14ac:dyDescent="0.2">
      <c r="A241" s="60">
        <v>42767</v>
      </c>
      <c r="B241" s="50">
        <f>IF(VLOOKUP(Table311[[#This Row],[Date]],'DB Details'!$A:$Q,12)=0,"",VLOOKUP(Table311[[#This Row],[Date]],'DB Details'!$A:$Q,12))</f>
        <v>57.4</v>
      </c>
      <c r="C241" s="61">
        <f>IF(VLOOKUP(Table311[[#This Row],[Date]],'DB Details'!$A:$Q,16)=0,"",VLOOKUP(Table311[[#This Row],[Date]],'DB Details'!$A:$Q,16))</f>
        <v>1.8852788696456339E-2</v>
      </c>
      <c r="D241" s="61">
        <f>IF(VLOOKUP(Table311[[#This Row],[Date]],'DB Details'!$A:$Q,15)=0,"",VLOOKUP(Table311[[#This Row],[Date]],'DB Details'!$A:$Q,15))</f>
        <v>4.719310419164807E-3</v>
      </c>
      <c r="E241" s="61">
        <f>IF(VLOOKUP(Table311[[#This Row],[Date]],'DB Details'!$A:$Q,17)=0,"",VLOOKUP(Table311[[#This Row],[Date]],'DB Details'!$A:$Q,17))</f>
        <v>1.9011293949556581E-2</v>
      </c>
    </row>
    <row r="242" spans="1:5" x14ac:dyDescent="0.2">
      <c r="A242" s="60">
        <v>42795</v>
      </c>
      <c r="B242" s="50">
        <f>IF(VLOOKUP(Table311[[#This Row],[Date]],'DB Details'!$A:$Q,12)=0,"",VLOOKUP(Table311[[#This Row],[Date]],'DB Details'!$A:$Q,12))</f>
        <v>55.6</v>
      </c>
      <c r="C242" s="61">
        <f>IF(VLOOKUP(Table311[[#This Row],[Date]],'DB Details'!$A:$Q,16)=0,"",VLOOKUP(Table311[[#This Row],[Date]],'DB Details'!$A:$Q,16))</f>
        <v>1.8852788696456339E-2</v>
      </c>
      <c r="D242" s="61">
        <f>IF(VLOOKUP(Table311[[#This Row],[Date]],'DB Details'!$A:$Q,15)=0,"",VLOOKUP(Table311[[#This Row],[Date]],'DB Details'!$A:$Q,15))</f>
        <v>4.719310419164807E-3</v>
      </c>
      <c r="E242" s="61">
        <f>IF(VLOOKUP(Table311[[#This Row],[Date]],'DB Details'!$A:$Q,17)=0,"",VLOOKUP(Table311[[#This Row],[Date]],'DB Details'!$A:$Q,17))</f>
        <v>1.9011293949556581E-2</v>
      </c>
    </row>
    <row r="243" spans="1:5" x14ac:dyDescent="0.2">
      <c r="A243" s="60">
        <v>42826</v>
      </c>
      <c r="B243" s="50">
        <f>IF(VLOOKUP(Table311[[#This Row],[Date]],'DB Details'!$A:$Q,12)=0,"",VLOOKUP(Table311[[#This Row],[Date]],'DB Details'!$A:$Q,12))</f>
        <v>57.3</v>
      </c>
      <c r="C243" s="61">
        <f>IF(VLOOKUP(Table311[[#This Row],[Date]],'DB Details'!$A:$Q,16)=0,"",VLOOKUP(Table311[[#This Row],[Date]],'DB Details'!$A:$Q,16))</f>
        <v>2.1467165829075641E-2</v>
      </c>
      <c r="D243" s="61">
        <f>IF(VLOOKUP(Table311[[#This Row],[Date]],'DB Details'!$A:$Q,15)=0,"",VLOOKUP(Table311[[#This Row],[Date]],'DB Details'!$A:$Q,15))</f>
        <v>5.5976482267073562E-3</v>
      </c>
      <c r="E243" s="61">
        <f>IF(VLOOKUP(Table311[[#This Row],[Date]],'DB Details'!$A:$Q,17)=0,"",VLOOKUP(Table311[[#This Row],[Date]],'DB Details'!$A:$Q,17))</f>
        <v>2.2579297461999829E-2</v>
      </c>
    </row>
    <row r="244" spans="1:5" x14ac:dyDescent="0.2">
      <c r="A244" s="60">
        <v>42856</v>
      </c>
      <c r="B244" s="50">
        <f>IF(VLOOKUP(Table311[[#This Row],[Date]],'DB Details'!$A:$Q,12)=0,"",VLOOKUP(Table311[[#This Row],[Date]],'DB Details'!$A:$Q,12))</f>
        <v>57.1</v>
      </c>
      <c r="C244" s="61">
        <f>IF(VLOOKUP(Table311[[#This Row],[Date]],'DB Details'!$A:$Q,16)=0,"",VLOOKUP(Table311[[#This Row],[Date]],'DB Details'!$A:$Q,16))</f>
        <v>2.1467165829075641E-2</v>
      </c>
      <c r="D244" s="61">
        <f>IF(VLOOKUP(Table311[[#This Row],[Date]],'DB Details'!$A:$Q,15)=0,"",VLOOKUP(Table311[[#This Row],[Date]],'DB Details'!$A:$Q,15))</f>
        <v>5.5976482267073562E-3</v>
      </c>
      <c r="E244" s="61">
        <f>IF(VLOOKUP(Table311[[#This Row],[Date]],'DB Details'!$A:$Q,17)=0,"",VLOOKUP(Table311[[#This Row],[Date]],'DB Details'!$A:$Q,17))</f>
        <v>2.2579297461999829E-2</v>
      </c>
    </row>
    <row r="245" spans="1:5" x14ac:dyDescent="0.2">
      <c r="A245" s="60">
        <v>42887</v>
      </c>
      <c r="B245" s="50">
        <f>IF(VLOOKUP(Table311[[#This Row],[Date]],'DB Details'!$A:$Q,12)=0,"",VLOOKUP(Table311[[#This Row],[Date]],'DB Details'!$A:$Q,12))</f>
        <v>57.2</v>
      </c>
      <c r="C245" s="61">
        <f>IF(VLOOKUP(Table311[[#This Row],[Date]],'DB Details'!$A:$Q,16)=0,"",VLOOKUP(Table311[[#This Row],[Date]],'DB Details'!$A:$Q,16))</f>
        <v>2.1467165829075641E-2</v>
      </c>
      <c r="D245" s="61">
        <f>IF(VLOOKUP(Table311[[#This Row],[Date]],'DB Details'!$A:$Q,15)=0,"",VLOOKUP(Table311[[#This Row],[Date]],'DB Details'!$A:$Q,15))</f>
        <v>5.5976482267073562E-3</v>
      </c>
      <c r="E245" s="61">
        <f>IF(VLOOKUP(Table311[[#This Row],[Date]],'DB Details'!$A:$Q,17)=0,"",VLOOKUP(Table311[[#This Row],[Date]],'DB Details'!$A:$Q,17))</f>
        <v>2.2579297461999829E-2</v>
      </c>
    </row>
    <row r="246" spans="1:5" x14ac:dyDescent="0.2">
      <c r="A246" s="60">
        <v>42917</v>
      </c>
      <c r="B246" s="50">
        <f>IF(VLOOKUP(Table311[[#This Row],[Date]],'DB Details'!$A:$Q,12)=0,"",VLOOKUP(Table311[[#This Row],[Date]],'DB Details'!$A:$Q,12))</f>
        <v>54.3</v>
      </c>
      <c r="C246" s="61">
        <f>IF(VLOOKUP(Table311[[#This Row],[Date]],'DB Details'!$A:$Q,16)=0,"",VLOOKUP(Table311[[#This Row],[Date]],'DB Details'!$A:$Q,16))</f>
        <v>2.2665646383373719E-2</v>
      </c>
      <c r="D246" s="61">
        <f>IF(VLOOKUP(Table311[[#This Row],[Date]],'DB Details'!$A:$Q,15)=0,"",VLOOKUP(Table311[[#This Row],[Date]],'DB Details'!$A:$Q,15))</f>
        <v>7.1914999120398764E-3</v>
      </c>
      <c r="E246" s="61">
        <f>IF(VLOOKUP(Table311[[#This Row],[Date]],'DB Details'!$A:$Q,17)=0,"",VLOOKUP(Table311[[#This Row],[Date]],'DB Details'!$A:$Q,17))</f>
        <v>2.9077796059291838E-2</v>
      </c>
    </row>
    <row r="247" spans="1:5" x14ac:dyDescent="0.2">
      <c r="A247" s="60">
        <v>42948</v>
      </c>
      <c r="B247" s="50">
        <f>IF(VLOOKUP(Table311[[#This Row],[Date]],'DB Details'!$A:$Q,12)=0,"",VLOOKUP(Table311[[#This Row],[Date]],'DB Details'!$A:$Q,12))</f>
        <v>55.2</v>
      </c>
      <c r="C247" s="61">
        <f>IF(VLOOKUP(Table311[[#This Row],[Date]],'DB Details'!$A:$Q,16)=0,"",VLOOKUP(Table311[[#This Row],[Date]],'DB Details'!$A:$Q,16))</f>
        <v>2.2665646383373719E-2</v>
      </c>
      <c r="D247" s="61">
        <f>IF(VLOOKUP(Table311[[#This Row],[Date]],'DB Details'!$A:$Q,15)=0,"",VLOOKUP(Table311[[#This Row],[Date]],'DB Details'!$A:$Q,15))</f>
        <v>7.1914999120398764E-3</v>
      </c>
      <c r="E247" s="61">
        <f>IF(VLOOKUP(Table311[[#This Row],[Date]],'DB Details'!$A:$Q,17)=0,"",VLOOKUP(Table311[[#This Row],[Date]],'DB Details'!$A:$Q,17))</f>
        <v>2.9077796059291838E-2</v>
      </c>
    </row>
    <row r="248" spans="1:5" x14ac:dyDescent="0.2">
      <c r="A248" s="60">
        <v>42979</v>
      </c>
      <c r="B248" s="50">
        <f>IF(VLOOKUP(Table311[[#This Row],[Date]],'DB Details'!$A:$Q,12)=0,"",VLOOKUP(Table311[[#This Row],[Date]],'DB Details'!$A:$Q,12))</f>
        <v>59.4</v>
      </c>
      <c r="C248" s="61">
        <f>IF(VLOOKUP(Table311[[#This Row],[Date]],'DB Details'!$A:$Q,16)=0,"",VLOOKUP(Table311[[#This Row],[Date]],'DB Details'!$A:$Q,16))</f>
        <v>2.2665646383373719E-2</v>
      </c>
      <c r="D248" s="61">
        <f>IF(VLOOKUP(Table311[[#This Row],[Date]],'DB Details'!$A:$Q,15)=0,"",VLOOKUP(Table311[[#This Row],[Date]],'DB Details'!$A:$Q,15))</f>
        <v>7.1914999120398764E-3</v>
      </c>
      <c r="E248" s="61">
        <f>IF(VLOOKUP(Table311[[#This Row],[Date]],'DB Details'!$A:$Q,17)=0,"",VLOOKUP(Table311[[#This Row],[Date]],'DB Details'!$A:$Q,17))</f>
        <v>2.9077796059291838E-2</v>
      </c>
    </row>
    <row r="249" spans="1:5" x14ac:dyDescent="0.2">
      <c r="A249" s="60">
        <v>43009</v>
      </c>
      <c r="B249" s="50">
        <f>IF(VLOOKUP(Table311[[#This Row],[Date]],'DB Details'!$A:$Q,12)=0,"",VLOOKUP(Table311[[#This Row],[Date]],'DB Details'!$A:$Q,12))</f>
        <v>59.8</v>
      </c>
      <c r="C249" s="61">
        <f>IF(VLOOKUP(Table311[[#This Row],[Date]],'DB Details'!$A:$Q,16)=0,"",VLOOKUP(Table311[[#This Row],[Date]],'DB Details'!$A:$Q,16))</f>
        <v>2.7178855818590929E-2</v>
      </c>
      <c r="D249" s="61">
        <f>IF(VLOOKUP(Table311[[#This Row],[Date]],'DB Details'!$A:$Q,15)=0,"",VLOOKUP(Table311[[#This Row],[Date]],'DB Details'!$A:$Q,15))</f>
        <v>9.403998383337081E-3</v>
      </c>
      <c r="E249" s="61">
        <f>IF(VLOOKUP(Table311[[#This Row],[Date]],'DB Details'!$A:$Q,17)=0,"",VLOOKUP(Table311[[#This Row],[Date]],'DB Details'!$A:$Q,17))</f>
        <v>3.814993904506303E-2</v>
      </c>
    </row>
    <row r="250" spans="1:5" x14ac:dyDescent="0.2">
      <c r="A250" s="60">
        <v>43040</v>
      </c>
      <c r="B250" s="50">
        <f>IF(VLOOKUP(Table311[[#This Row],[Date]],'DB Details'!$A:$Q,12)=0,"",VLOOKUP(Table311[[#This Row],[Date]],'DB Details'!$A:$Q,12))</f>
        <v>57.3</v>
      </c>
      <c r="C250" s="61">
        <f>IF(VLOOKUP(Table311[[#This Row],[Date]],'DB Details'!$A:$Q,16)=0,"",VLOOKUP(Table311[[#This Row],[Date]],'DB Details'!$A:$Q,16))</f>
        <v>2.7178855818590929E-2</v>
      </c>
      <c r="D250" s="61">
        <f>IF(VLOOKUP(Table311[[#This Row],[Date]],'DB Details'!$A:$Q,15)=0,"",VLOOKUP(Table311[[#This Row],[Date]],'DB Details'!$A:$Q,15))</f>
        <v>9.403998383337081E-3</v>
      </c>
      <c r="E250" s="61">
        <f>IF(VLOOKUP(Table311[[#This Row],[Date]],'DB Details'!$A:$Q,17)=0,"",VLOOKUP(Table311[[#This Row],[Date]],'DB Details'!$A:$Q,17))</f>
        <v>3.814993904506303E-2</v>
      </c>
    </row>
    <row r="251" spans="1:5" x14ac:dyDescent="0.2">
      <c r="A251" s="60">
        <v>43070</v>
      </c>
      <c r="B251" s="50">
        <f>IF(VLOOKUP(Table311[[#This Row],[Date]],'DB Details'!$A:$Q,12)=0,"",VLOOKUP(Table311[[#This Row],[Date]],'DB Details'!$A:$Q,12))</f>
        <v>56</v>
      </c>
      <c r="C251" s="61">
        <f>IF(VLOOKUP(Table311[[#This Row],[Date]],'DB Details'!$A:$Q,16)=0,"",VLOOKUP(Table311[[#This Row],[Date]],'DB Details'!$A:$Q,16))</f>
        <v>2.7178855818590929E-2</v>
      </c>
      <c r="D251" s="61">
        <f>IF(VLOOKUP(Table311[[#This Row],[Date]],'DB Details'!$A:$Q,15)=0,"",VLOOKUP(Table311[[#This Row],[Date]],'DB Details'!$A:$Q,15))</f>
        <v>9.403998383337081E-3</v>
      </c>
      <c r="E251" s="61">
        <f>IF(VLOOKUP(Table311[[#This Row],[Date]],'DB Details'!$A:$Q,17)=0,"",VLOOKUP(Table311[[#This Row],[Date]],'DB Details'!$A:$Q,17))</f>
        <v>3.814993904506303E-2</v>
      </c>
    </row>
    <row r="252" spans="1:5" x14ac:dyDescent="0.2">
      <c r="A252" s="60">
        <v>43101</v>
      </c>
      <c r="B252" s="50">
        <f>IF(VLOOKUP(Table311[[#This Row],[Date]],'DB Details'!$A:$Q,12)=0,"",VLOOKUP(Table311[[#This Row],[Date]],'DB Details'!$A:$Q,12))</f>
        <v>59.9</v>
      </c>
      <c r="C252" s="61">
        <f>IF(VLOOKUP(Table311[[#This Row],[Date]],'DB Details'!$A:$Q,16)=0,"",VLOOKUP(Table311[[#This Row],[Date]],'DB Details'!$A:$Q,16))</f>
        <v>3.0153118831413011E-2</v>
      </c>
      <c r="D252" s="61">
        <f>IF(VLOOKUP(Table311[[#This Row],[Date]],'DB Details'!$A:$Q,15)=0,"",VLOOKUP(Table311[[#This Row],[Date]],'DB Details'!$A:$Q,15))</f>
        <v>7.6285403612729556E-3</v>
      </c>
      <c r="E252" s="61">
        <f>IF(VLOOKUP(Table311[[#This Row],[Date]],'DB Details'!$A:$Q,17)=0,"",VLOOKUP(Table311[[#This Row],[Date]],'DB Details'!$A:$Q,17))</f>
        <v>3.0865108360243591E-2</v>
      </c>
    </row>
    <row r="253" spans="1:5" x14ac:dyDescent="0.2">
      <c r="A253" s="60">
        <v>43132</v>
      </c>
      <c r="B253" s="50">
        <f>IF(VLOOKUP(Table311[[#This Row],[Date]],'DB Details'!$A:$Q,12)=0,"",VLOOKUP(Table311[[#This Row],[Date]],'DB Details'!$A:$Q,12))</f>
        <v>59.5</v>
      </c>
      <c r="C253" s="61">
        <f>IF(VLOOKUP(Table311[[#This Row],[Date]],'DB Details'!$A:$Q,16)=0,"",VLOOKUP(Table311[[#This Row],[Date]],'DB Details'!$A:$Q,16))</f>
        <v>3.0153118831413011E-2</v>
      </c>
      <c r="D253" s="61">
        <f>IF(VLOOKUP(Table311[[#This Row],[Date]],'DB Details'!$A:$Q,15)=0,"",VLOOKUP(Table311[[#This Row],[Date]],'DB Details'!$A:$Q,15))</f>
        <v>7.6285403612729556E-3</v>
      </c>
      <c r="E253" s="61">
        <f>IF(VLOOKUP(Table311[[#This Row],[Date]],'DB Details'!$A:$Q,17)=0,"",VLOOKUP(Table311[[#This Row],[Date]],'DB Details'!$A:$Q,17))</f>
        <v>3.0865108360243591E-2</v>
      </c>
    </row>
    <row r="254" spans="1:5" x14ac:dyDescent="0.2">
      <c r="A254" s="60">
        <v>43160</v>
      </c>
      <c r="B254" s="50">
        <f>IF(VLOOKUP(Table311[[#This Row],[Date]],'DB Details'!$A:$Q,12)=0,"",VLOOKUP(Table311[[#This Row],[Date]],'DB Details'!$A:$Q,12))</f>
        <v>58.8</v>
      </c>
      <c r="C254" s="61">
        <f>IF(VLOOKUP(Table311[[#This Row],[Date]],'DB Details'!$A:$Q,16)=0,"",VLOOKUP(Table311[[#This Row],[Date]],'DB Details'!$A:$Q,16))</f>
        <v>3.0153118831413011E-2</v>
      </c>
      <c r="D254" s="61">
        <f>IF(VLOOKUP(Table311[[#This Row],[Date]],'DB Details'!$A:$Q,15)=0,"",VLOOKUP(Table311[[#This Row],[Date]],'DB Details'!$A:$Q,15))</f>
        <v>7.6285403612729556E-3</v>
      </c>
      <c r="E254" s="61">
        <f>IF(VLOOKUP(Table311[[#This Row],[Date]],'DB Details'!$A:$Q,17)=0,"",VLOOKUP(Table311[[#This Row],[Date]],'DB Details'!$A:$Q,17))</f>
        <v>3.0865108360243591E-2</v>
      </c>
    </row>
    <row r="255" spans="1:5" x14ac:dyDescent="0.2">
      <c r="A255" s="60">
        <v>43191</v>
      </c>
      <c r="B255" s="50">
        <f>IF(VLOOKUP(Table311[[#This Row],[Date]],'DB Details'!$A:$Q,12)=0,"",VLOOKUP(Table311[[#This Row],[Date]],'DB Details'!$A:$Q,12))</f>
        <v>56.8</v>
      </c>
      <c r="C255" s="61">
        <f>IF(VLOOKUP(Table311[[#This Row],[Date]],'DB Details'!$A:$Q,16)=0,"",VLOOKUP(Table311[[#This Row],[Date]],'DB Details'!$A:$Q,16))</f>
        <v>3.296152283055629E-2</v>
      </c>
      <c r="D255" s="61">
        <f>IF(VLOOKUP(Table311[[#This Row],[Date]],'DB Details'!$A:$Q,15)=0,"",VLOOKUP(Table311[[#This Row],[Date]],'DB Details'!$A:$Q,15))</f>
        <v>8.339109088382559E-3</v>
      </c>
      <c r="E255" s="61">
        <f>IF(VLOOKUP(Table311[[#This Row],[Date]],'DB Details'!$A:$Q,17)=0,"",VLOOKUP(Table311[[#This Row],[Date]],'DB Details'!$A:$Q,17))</f>
        <v>3.3776005263053577E-2</v>
      </c>
    </row>
    <row r="256" spans="1:5" x14ac:dyDescent="0.2">
      <c r="A256" s="60">
        <v>43221</v>
      </c>
      <c r="B256" s="50">
        <f>IF(VLOOKUP(Table311[[#This Row],[Date]],'DB Details'!$A:$Q,12)=0,"",VLOOKUP(Table311[[#This Row],[Date]],'DB Details'!$A:$Q,12))</f>
        <v>58.6</v>
      </c>
      <c r="C256" s="61">
        <f>IF(VLOOKUP(Table311[[#This Row],[Date]],'DB Details'!$A:$Q,16)=0,"",VLOOKUP(Table311[[#This Row],[Date]],'DB Details'!$A:$Q,16))</f>
        <v>3.296152283055629E-2</v>
      </c>
      <c r="D256" s="61">
        <f>IF(VLOOKUP(Table311[[#This Row],[Date]],'DB Details'!$A:$Q,15)=0,"",VLOOKUP(Table311[[#This Row],[Date]],'DB Details'!$A:$Q,15))</f>
        <v>8.339109088382559E-3</v>
      </c>
      <c r="E256" s="61">
        <f>IF(VLOOKUP(Table311[[#This Row],[Date]],'DB Details'!$A:$Q,17)=0,"",VLOOKUP(Table311[[#This Row],[Date]],'DB Details'!$A:$Q,17))</f>
        <v>3.3776005263053577E-2</v>
      </c>
    </row>
    <row r="257" spans="1:5" x14ac:dyDescent="0.2">
      <c r="A257" s="60">
        <v>43252</v>
      </c>
      <c r="B257" s="50">
        <f>IF(VLOOKUP(Table311[[#This Row],[Date]],'DB Details'!$A:$Q,12)=0,"",VLOOKUP(Table311[[#This Row],[Date]],'DB Details'!$A:$Q,12))</f>
        <v>59.1</v>
      </c>
      <c r="C257" s="61">
        <f>IF(VLOOKUP(Table311[[#This Row],[Date]],'DB Details'!$A:$Q,16)=0,"",VLOOKUP(Table311[[#This Row],[Date]],'DB Details'!$A:$Q,16))</f>
        <v>3.296152283055629E-2</v>
      </c>
      <c r="D257" s="61">
        <f>IF(VLOOKUP(Table311[[#This Row],[Date]],'DB Details'!$A:$Q,15)=0,"",VLOOKUP(Table311[[#This Row],[Date]],'DB Details'!$A:$Q,15))</f>
        <v>8.339109088382559E-3</v>
      </c>
      <c r="E257" s="61">
        <f>IF(VLOOKUP(Table311[[#This Row],[Date]],'DB Details'!$A:$Q,17)=0,"",VLOOKUP(Table311[[#This Row],[Date]],'DB Details'!$A:$Q,17))</f>
        <v>3.3776005263053577E-2</v>
      </c>
    </row>
    <row r="258" spans="1:5" x14ac:dyDescent="0.2">
      <c r="A258" s="60">
        <v>43282</v>
      </c>
      <c r="B258" s="50">
        <f>IF(VLOOKUP(Table311[[#This Row],[Date]],'DB Details'!$A:$Q,12)=0,"",VLOOKUP(Table311[[#This Row],[Date]],'DB Details'!$A:$Q,12))</f>
        <v>55.7</v>
      </c>
      <c r="C258" s="61">
        <f>IF(VLOOKUP(Table311[[#This Row],[Date]],'DB Details'!$A:$Q,16)=0,"",VLOOKUP(Table311[[#This Row],[Date]],'DB Details'!$A:$Q,16))</f>
        <v>3.0528859123791111E-2</v>
      </c>
      <c r="D258" s="61">
        <f>IF(VLOOKUP(Table311[[#This Row],[Date]],'DB Details'!$A:$Q,15)=0,"",VLOOKUP(Table311[[#This Row],[Date]],'DB Details'!$A:$Q,15))</f>
        <v>4.819525590204151E-3</v>
      </c>
      <c r="E258" s="61">
        <f>IF(VLOOKUP(Table311[[#This Row],[Date]],'DB Details'!$A:$Q,17)=0,"",VLOOKUP(Table311[[#This Row],[Date]],'DB Details'!$A:$Q,17))</f>
        <v>1.9417917650261129E-2</v>
      </c>
    </row>
    <row r="259" spans="1:5" x14ac:dyDescent="0.2">
      <c r="A259" s="60">
        <v>43313</v>
      </c>
      <c r="B259" s="50">
        <f>IF(VLOOKUP(Table311[[#This Row],[Date]],'DB Details'!$A:$Q,12)=0,"",VLOOKUP(Table311[[#This Row],[Date]],'DB Details'!$A:$Q,12))</f>
        <v>58.5</v>
      </c>
      <c r="C259" s="61">
        <f>IF(VLOOKUP(Table311[[#This Row],[Date]],'DB Details'!$A:$Q,16)=0,"",VLOOKUP(Table311[[#This Row],[Date]],'DB Details'!$A:$Q,16))</f>
        <v>3.0528859123791111E-2</v>
      </c>
      <c r="D259" s="61">
        <f>IF(VLOOKUP(Table311[[#This Row],[Date]],'DB Details'!$A:$Q,15)=0,"",VLOOKUP(Table311[[#This Row],[Date]],'DB Details'!$A:$Q,15))</f>
        <v>4.819525590204151E-3</v>
      </c>
      <c r="E259" s="61">
        <f>IF(VLOOKUP(Table311[[#This Row],[Date]],'DB Details'!$A:$Q,17)=0,"",VLOOKUP(Table311[[#This Row],[Date]],'DB Details'!$A:$Q,17))</f>
        <v>1.9417917650261129E-2</v>
      </c>
    </row>
    <row r="260" spans="1:5" x14ac:dyDescent="0.2">
      <c r="A260" s="60">
        <v>43344</v>
      </c>
      <c r="B260" s="50">
        <f>IF(VLOOKUP(Table311[[#This Row],[Date]],'DB Details'!$A:$Q,12)=0,"",VLOOKUP(Table311[[#This Row],[Date]],'DB Details'!$A:$Q,12))</f>
        <v>61.6</v>
      </c>
      <c r="C260" s="61">
        <f>IF(VLOOKUP(Table311[[#This Row],[Date]],'DB Details'!$A:$Q,16)=0,"",VLOOKUP(Table311[[#This Row],[Date]],'DB Details'!$A:$Q,16))</f>
        <v>3.0528859123791111E-2</v>
      </c>
      <c r="D260" s="61">
        <f>IF(VLOOKUP(Table311[[#This Row],[Date]],'DB Details'!$A:$Q,15)=0,"",VLOOKUP(Table311[[#This Row],[Date]],'DB Details'!$A:$Q,15))</f>
        <v>4.819525590204151E-3</v>
      </c>
      <c r="E260" s="61">
        <f>IF(VLOOKUP(Table311[[#This Row],[Date]],'DB Details'!$A:$Q,17)=0,"",VLOOKUP(Table311[[#This Row],[Date]],'DB Details'!$A:$Q,17))</f>
        <v>1.9417917650261129E-2</v>
      </c>
    </row>
    <row r="261" spans="1:5" x14ac:dyDescent="0.2">
      <c r="A261" s="60">
        <v>43374</v>
      </c>
      <c r="B261" s="50">
        <f>IF(VLOOKUP(Table311[[#This Row],[Date]],'DB Details'!$A:$Q,12)=0,"",VLOOKUP(Table311[[#This Row],[Date]],'DB Details'!$A:$Q,12))</f>
        <v>60.3</v>
      </c>
      <c r="C261" s="61">
        <f>IF(VLOOKUP(Table311[[#This Row],[Date]],'DB Details'!$A:$Q,16)=0,"",VLOOKUP(Table311[[#This Row],[Date]],'DB Details'!$A:$Q,16))</f>
        <v>2.3206170953918571E-2</v>
      </c>
      <c r="D261" s="61">
        <f>IF(VLOOKUP(Table311[[#This Row],[Date]],'DB Details'!$A:$Q,15)=0,"",VLOOKUP(Table311[[#This Row],[Date]],'DB Details'!$A:$Q,15))</f>
        <v>2.2314183511113221E-3</v>
      </c>
      <c r="E261" s="61">
        <f>IF(VLOOKUP(Table311[[#This Row],[Date]],'DB Details'!$A:$Q,17)=0,"",VLOOKUP(Table311[[#This Row],[Date]],'DB Details'!$A:$Q,17))</f>
        <v>8.9555932393461379E-3</v>
      </c>
    </row>
    <row r="262" spans="1:5" x14ac:dyDescent="0.2">
      <c r="A262" s="60">
        <v>43405</v>
      </c>
      <c r="B262" s="50">
        <f>IF(VLOOKUP(Table311[[#This Row],[Date]],'DB Details'!$A:$Q,12)=0,"",VLOOKUP(Table311[[#This Row],[Date]],'DB Details'!$A:$Q,12))</f>
        <v>60.7</v>
      </c>
      <c r="C262" s="61">
        <f>IF(VLOOKUP(Table311[[#This Row],[Date]],'DB Details'!$A:$Q,16)=0,"",VLOOKUP(Table311[[#This Row],[Date]],'DB Details'!$A:$Q,16))</f>
        <v>2.3206170953918571E-2</v>
      </c>
      <c r="D262" s="61">
        <f>IF(VLOOKUP(Table311[[#This Row],[Date]],'DB Details'!$A:$Q,15)=0,"",VLOOKUP(Table311[[#This Row],[Date]],'DB Details'!$A:$Q,15))</f>
        <v>2.2314183511113221E-3</v>
      </c>
      <c r="E262" s="61">
        <f>IF(VLOOKUP(Table311[[#This Row],[Date]],'DB Details'!$A:$Q,17)=0,"",VLOOKUP(Table311[[#This Row],[Date]],'DB Details'!$A:$Q,17))</f>
        <v>8.9555932393461379E-3</v>
      </c>
    </row>
    <row r="263" spans="1:5" x14ac:dyDescent="0.2">
      <c r="A263" s="60">
        <v>43435</v>
      </c>
      <c r="B263" s="50">
        <f>IF(VLOOKUP(Table311[[#This Row],[Date]],'DB Details'!$A:$Q,12)=0,"",VLOOKUP(Table311[[#This Row],[Date]],'DB Details'!$A:$Q,12))</f>
        <v>57.6</v>
      </c>
      <c r="C263" s="61">
        <f>IF(VLOOKUP(Table311[[#This Row],[Date]],'DB Details'!$A:$Q,16)=0,"",VLOOKUP(Table311[[#This Row],[Date]],'DB Details'!$A:$Q,16))</f>
        <v>2.3206170953918571E-2</v>
      </c>
      <c r="D263" s="61">
        <f>IF(VLOOKUP(Table311[[#This Row],[Date]],'DB Details'!$A:$Q,15)=0,"",VLOOKUP(Table311[[#This Row],[Date]],'DB Details'!$A:$Q,15))</f>
        <v>2.2314183511113221E-3</v>
      </c>
      <c r="E263" s="61">
        <f>IF(VLOOKUP(Table311[[#This Row],[Date]],'DB Details'!$A:$Q,17)=0,"",VLOOKUP(Table311[[#This Row],[Date]],'DB Details'!$A:$Q,17))</f>
        <v>8.9555932393461379E-3</v>
      </c>
    </row>
    <row r="264" spans="1:5" x14ac:dyDescent="0.2">
      <c r="A264" s="60">
        <v>43466</v>
      </c>
      <c r="B264" s="50">
        <f>IF(VLOOKUP(Table311[[#This Row],[Date]],'DB Details'!$A:$Q,12)=0,"",VLOOKUP(Table311[[#This Row],[Date]],'DB Details'!$A:$Q,12))</f>
        <v>56.7</v>
      </c>
      <c r="C264" s="61">
        <f>IF(VLOOKUP(Table311[[#This Row],[Date]],'DB Details'!$A:$Q,16)=0,"",VLOOKUP(Table311[[#This Row],[Date]],'DB Details'!$A:$Q,16))</f>
        <v>2.1530015140813302E-2</v>
      </c>
      <c r="D264" s="61">
        <f>IF(VLOOKUP(Table311[[#This Row],[Date]],'DB Details'!$A:$Q,15)=0,"",VLOOKUP(Table311[[#This Row],[Date]],'DB Details'!$A:$Q,15))</f>
        <v>5.9779029009820791E-3</v>
      </c>
      <c r="E264" s="61">
        <f>IF(VLOOKUP(Table311[[#This Row],[Date]],'DB Details'!$A:$Q,17)=0,"",VLOOKUP(Table311[[#This Row],[Date]],'DB Details'!$A:$Q,17))</f>
        <v>2.4126879308669521E-2</v>
      </c>
    </row>
    <row r="265" spans="1:5" x14ac:dyDescent="0.2">
      <c r="A265" s="60">
        <v>43497</v>
      </c>
      <c r="B265" s="50">
        <f>IF(VLOOKUP(Table311[[#This Row],[Date]],'DB Details'!$A:$Q,12)=0,"",VLOOKUP(Table311[[#This Row],[Date]],'DB Details'!$A:$Q,12))</f>
        <v>59.7</v>
      </c>
      <c r="C265" s="61">
        <f>IF(VLOOKUP(Table311[[#This Row],[Date]],'DB Details'!$A:$Q,16)=0,"",VLOOKUP(Table311[[#This Row],[Date]],'DB Details'!$A:$Q,16))</f>
        <v>2.1530015140813302E-2</v>
      </c>
      <c r="D265" s="61">
        <f>IF(VLOOKUP(Table311[[#This Row],[Date]],'DB Details'!$A:$Q,15)=0,"",VLOOKUP(Table311[[#This Row],[Date]],'DB Details'!$A:$Q,15))</f>
        <v>5.9779029009820791E-3</v>
      </c>
      <c r="E265" s="61">
        <f>IF(VLOOKUP(Table311[[#This Row],[Date]],'DB Details'!$A:$Q,17)=0,"",VLOOKUP(Table311[[#This Row],[Date]],'DB Details'!$A:$Q,17))</f>
        <v>2.4126879308669521E-2</v>
      </c>
    </row>
    <row r="266" spans="1:5" x14ac:dyDescent="0.2">
      <c r="A266" s="60">
        <v>43525</v>
      </c>
      <c r="B266" s="50">
        <f>IF(VLOOKUP(Table311[[#This Row],[Date]],'DB Details'!$A:$Q,12)=0,"",VLOOKUP(Table311[[#This Row],[Date]],'DB Details'!$A:$Q,12))</f>
        <v>56.1</v>
      </c>
      <c r="C266" s="61">
        <f>IF(VLOOKUP(Table311[[#This Row],[Date]],'DB Details'!$A:$Q,16)=0,"",VLOOKUP(Table311[[#This Row],[Date]],'DB Details'!$A:$Q,16))</f>
        <v>2.1530015140813302E-2</v>
      </c>
      <c r="D266" s="61">
        <f>IF(VLOOKUP(Table311[[#This Row],[Date]],'DB Details'!$A:$Q,15)=0,"",VLOOKUP(Table311[[#This Row],[Date]],'DB Details'!$A:$Q,15))</f>
        <v>5.9779029009820791E-3</v>
      </c>
      <c r="E266" s="61">
        <f>IF(VLOOKUP(Table311[[#This Row],[Date]],'DB Details'!$A:$Q,17)=0,"",VLOOKUP(Table311[[#This Row],[Date]],'DB Details'!$A:$Q,17))</f>
        <v>2.4126879308669521E-2</v>
      </c>
    </row>
    <row r="267" spans="1:5" x14ac:dyDescent="0.2">
      <c r="A267" s="60">
        <v>43556</v>
      </c>
      <c r="B267" s="50">
        <f>IF(VLOOKUP(Table311[[#This Row],[Date]],'DB Details'!$A:$Q,12)=0,"",VLOOKUP(Table311[[#This Row],[Date]],'DB Details'!$A:$Q,12))</f>
        <v>55.5</v>
      </c>
      <c r="C267" s="61">
        <f>IF(VLOOKUP(Table311[[#This Row],[Date]],'DB Details'!$A:$Q,16)=0,"",VLOOKUP(Table311[[#This Row],[Date]],'DB Details'!$A:$Q,16))</f>
        <v>2.111478835615084E-2</v>
      </c>
      <c r="D267" s="61">
        <f>IF(VLOOKUP(Table311[[#This Row],[Date]],'DB Details'!$A:$Q,15)=0,"",VLOOKUP(Table311[[#This Row],[Date]],'DB Details'!$A:$Q,15))</f>
        <v>7.9292440820582337E-3</v>
      </c>
      <c r="E267" s="61">
        <f>IF(VLOOKUP(Table311[[#This Row],[Date]],'DB Details'!$A:$Q,17)=0,"",VLOOKUP(Table311[[#This Row],[Date]],'DB Details'!$A:$Q,17))</f>
        <v>3.2096211890165323E-2</v>
      </c>
    </row>
    <row r="268" spans="1:5" x14ac:dyDescent="0.2">
      <c r="A268" s="60">
        <v>43586</v>
      </c>
      <c r="B268" s="50">
        <f>IF(VLOOKUP(Table311[[#This Row],[Date]],'DB Details'!$A:$Q,12)=0,"",VLOOKUP(Table311[[#This Row],[Date]],'DB Details'!$A:$Q,12))</f>
        <v>56.9</v>
      </c>
      <c r="C268" s="61">
        <f>IF(VLOOKUP(Table311[[#This Row],[Date]],'DB Details'!$A:$Q,16)=0,"",VLOOKUP(Table311[[#This Row],[Date]],'DB Details'!$A:$Q,16))</f>
        <v>2.111478835615084E-2</v>
      </c>
      <c r="D268" s="61">
        <f>IF(VLOOKUP(Table311[[#This Row],[Date]],'DB Details'!$A:$Q,15)=0,"",VLOOKUP(Table311[[#This Row],[Date]],'DB Details'!$A:$Q,15))</f>
        <v>7.9292440820582337E-3</v>
      </c>
      <c r="E268" s="61">
        <f>IF(VLOOKUP(Table311[[#This Row],[Date]],'DB Details'!$A:$Q,17)=0,"",VLOOKUP(Table311[[#This Row],[Date]],'DB Details'!$A:$Q,17))</f>
        <v>3.2096211890165323E-2</v>
      </c>
    </row>
    <row r="269" spans="1:5" x14ac:dyDescent="0.2">
      <c r="A269" s="60">
        <v>43617</v>
      </c>
      <c r="B269" s="50">
        <f>IF(VLOOKUP(Table311[[#This Row],[Date]],'DB Details'!$A:$Q,12)=0,"",VLOOKUP(Table311[[#This Row],[Date]],'DB Details'!$A:$Q,12))</f>
        <v>55.1</v>
      </c>
      <c r="C269" s="61">
        <f>IF(VLOOKUP(Table311[[#This Row],[Date]],'DB Details'!$A:$Q,16)=0,"",VLOOKUP(Table311[[#This Row],[Date]],'DB Details'!$A:$Q,16))</f>
        <v>2.111478835615084E-2</v>
      </c>
      <c r="D269" s="61">
        <f>IF(VLOOKUP(Table311[[#This Row],[Date]],'DB Details'!$A:$Q,15)=0,"",VLOOKUP(Table311[[#This Row],[Date]],'DB Details'!$A:$Q,15))</f>
        <v>7.9292440820582337E-3</v>
      </c>
      <c r="E269" s="61">
        <f>IF(VLOOKUP(Table311[[#This Row],[Date]],'DB Details'!$A:$Q,17)=0,"",VLOOKUP(Table311[[#This Row],[Date]],'DB Details'!$A:$Q,17))</f>
        <v>3.2096211890165323E-2</v>
      </c>
    </row>
    <row r="270" spans="1:5" x14ac:dyDescent="0.2">
      <c r="A270" s="60">
        <v>43647</v>
      </c>
      <c r="B270" s="50">
        <f>IF(VLOOKUP(Table311[[#This Row],[Date]],'DB Details'!$A:$Q,12)=0,"",VLOOKUP(Table311[[#This Row],[Date]],'DB Details'!$A:$Q,12))</f>
        <v>53.7</v>
      </c>
      <c r="C270" s="61">
        <f>IF(VLOOKUP(Table311[[#This Row],[Date]],'DB Details'!$A:$Q,16)=0,"",VLOOKUP(Table311[[#This Row],[Date]],'DB Details'!$A:$Q,16))</f>
        <v>2.3183259983257681E-2</v>
      </c>
      <c r="D270" s="61">
        <f>IF(VLOOKUP(Table311[[#This Row],[Date]],'DB Details'!$A:$Q,15)=0,"",VLOOKUP(Table311[[#This Row],[Date]],'DB Details'!$A:$Q,15))</f>
        <v>6.8549879130956641E-3</v>
      </c>
      <c r="E270" s="61">
        <f>IF(VLOOKUP(Table311[[#This Row],[Date]],'DB Details'!$A:$Q,17)=0,"",VLOOKUP(Table311[[#This Row],[Date]],'DB Details'!$A:$Q,17))</f>
        <v>2.770318750334555E-2</v>
      </c>
    </row>
    <row r="271" spans="1:5" x14ac:dyDescent="0.2">
      <c r="A271" s="60">
        <v>43678</v>
      </c>
      <c r="B271" s="50">
        <f>IF(VLOOKUP(Table311[[#This Row],[Date]],'DB Details'!$A:$Q,12)=0,"",VLOOKUP(Table311[[#This Row],[Date]],'DB Details'!$A:$Q,12))</f>
        <v>56.4</v>
      </c>
      <c r="C271" s="61">
        <f>IF(VLOOKUP(Table311[[#This Row],[Date]],'DB Details'!$A:$Q,16)=0,"",VLOOKUP(Table311[[#This Row],[Date]],'DB Details'!$A:$Q,16))</f>
        <v>2.3183259983257681E-2</v>
      </c>
      <c r="D271" s="61">
        <f>IF(VLOOKUP(Table311[[#This Row],[Date]],'DB Details'!$A:$Q,15)=0,"",VLOOKUP(Table311[[#This Row],[Date]],'DB Details'!$A:$Q,15))</f>
        <v>6.8549879130956641E-3</v>
      </c>
      <c r="E271" s="61">
        <f>IF(VLOOKUP(Table311[[#This Row],[Date]],'DB Details'!$A:$Q,17)=0,"",VLOOKUP(Table311[[#This Row],[Date]],'DB Details'!$A:$Q,17))</f>
        <v>2.770318750334555E-2</v>
      </c>
    </row>
    <row r="272" spans="1:5" x14ac:dyDescent="0.2">
      <c r="A272" s="60">
        <v>43709</v>
      </c>
      <c r="B272" s="50">
        <f>IF(VLOOKUP(Table311[[#This Row],[Date]],'DB Details'!$A:$Q,12)=0,"",VLOOKUP(Table311[[#This Row],[Date]],'DB Details'!$A:$Q,12))</f>
        <v>52.6</v>
      </c>
      <c r="C272" s="61">
        <f>IF(VLOOKUP(Table311[[#This Row],[Date]],'DB Details'!$A:$Q,16)=0,"",VLOOKUP(Table311[[#This Row],[Date]],'DB Details'!$A:$Q,16))</f>
        <v>2.3183259983257681E-2</v>
      </c>
      <c r="D272" s="61">
        <f>IF(VLOOKUP(Table311[[#This Row],[Date]],'DB Details'!$A:$Q,15)=0,"",VLOOKUP(Table311[[#This Row],[Date]],'DB Details'!$A:$Q,15))</f>
        <v>6.8549879130956641E-3</v>
      </c>
      <c r="E272" s="61">
        <f>IF(VLOOKUP(Table311[[#This Row],[Date]],'DB Details'!$A:$Q,17)=0,"",VLOOKUP(Table311[[#This Row],[Date]],'DB Details'!$A:$Q,17))</f>
        <v>2.770318750334555E-2</v>
      </c>
    </row>
    <row r="273" spans="1:5" x14ac:dyDescent="0.2">
      <c r="A273" s="60">
        <v>43739</v>
      </c>
      <c r="B273" s="50">
        <f>IF(VLOOKUP(Table311[[#This Row],[Date]],'DB Details'!$A:$Q,12)=0,"",VLOOKUP(Table311[[#This Row],[Date]],'DB Details'!$A:$Q,12))</f>
        <v>54.7</v>
      </c>
      <c r="C273" s="61">
        <f>IF(VLOOKUP(Table311[[#This Row],[Date]],'DB Details'!$A:$Q,16)=0,"",VLOOKUP(Table311[[#This Row],[Date]],'DB Details'!$A:$Q,16))</f>
        <v>2.5694235346395491E-2</v>
      </c>
      <c r="D273" s="61">
        <f>IF(VLOOKUP(Table311[[#This Row],[Date]],'DB Details'!$A:$Q,15)=0,"",VLOOKUP(Table311[[#This Row],[Date]],'DB Details'!$A:$Q,15))</f>
        <v>4.690976182113644E-3</v>
      </c>
      <c r="E273" s="61">
        <f>IF(VLOOKUP(Table311[[#This Row],[Date]],'DB Details'!$A:$Q,17)=0,"",VLOOKUP(Table311[[#This Row],[Date]],'DB Details'!$A:$Q,17))</f>
        <v>1.8896349662488991E-2</v>
      </c>
    </row>
    <row r="274" spans="1:5" x14ac:dyDescent="0.2">
      <c r="A274" s="60">
        <v>43770</v>
      </c>
      <c r="B274" s="50">
        <f>IF(VLOOKUP(Table311[[#This Row],[Date]],'DB Details'!$A:$Q,12)=0,"",VLOOKUP(Table311[[#This Row],[Date]],'DB Details'!$A:$Q,12))</f>
        <v>53.9</v>
      </c>
      <c r="C274" s="61">
        <f>IF(VLOOKUP(Table311[[#This Row],[Date]],'DB Details'!$A:$Q,16)=0,"",VLOOKUP(Table311[[#This Row],[Date]],'DB Details'!$A:$Q,16))</f>
        <v>2.5694235346395491E-2</v>
      </c>
      <c r="D274" s="61">
        <f>IF(VLOOKUP(Table311[[#This Row],[Date]],'DB Details'!$A:$Q,15)=0,"",VLOOKUP(Table311[[#This Row],[Date]],'DB Details'!$A:$Q,15))</f>
        <v>4.690976182113644E-3</v>
      </c>
      <c r="E274" s="61">
        <f>IF(VLOOKUP(Table311[[#This Row],[Date]],'DB Details'!$A:$Q,17)=0,"",VLOOKUP(Table311[[#This Row],[Date]],'DB Details'!$A:$Q,17))</f>
        <v>1.8896349662488991E-2</v>
      </c>
    </row>
    <row r="275" spans="1:5" x14ac:dyDescent="0.2">
      <c r="A275" s="60">
        <v>43800</v>
      </c>
      <c r="B275" s="50">
        <f>IF(VLOOKUP(Table311[[#This Row],[Date]],'DB Details'!$A:$Q,12)=0,"",VLOOKUP(Table311[[#This Row],[Date]],'DB Details'!$A:$Q,12))</f>
        <v>55</v>
      </c>
      <c r="C275" s="61">
        <f>IF(VLOOKUP(Table311[[#This Row],[Date]],'DB Details'!$A:$Q,16)=0,"",VLOOKUP(Table311[[#This Row],[Date]],'DB Details'!$A:$Q,16))</f>
        <v>2.5694235346395491E-2</v>
      </c>
      <c r="D275" s="61">
        <f>IF(VLOOKUP(Table311[[#This Row],[Date]],'DB Details'!$A:$Q,15)=0,"",VLOOKUP(Table311[[#This Row],[Date]],'DB Details'!$A:$Q,15))</f>
        <v>4.690976182113644E-3</v>
      </c>
      <c r="E275" s="61">
        <f>IF(VLOOKUP(Table311[[#This Row],[Date]],'DB Details'!$A:$Q,17)=0,"",VLOOKUP(Table311[[#This Row],[Date]],'DB Details'!$A:$Q,17))</f>
        <v>1.8896349662488991E-2</v>
      </c>
    </row>
    <row r="276" spans="1:5" x14ac:dyDescent="0.2">
      <c r="A276" s="60">
        <v>43831</v>
      </c>
      <c r="B276" s="50">
        <f>IF(VLOOKUP(Table311[[#This Row],[Date]],'DB Details'!$A:$Q,12)=0,"",VLOOKUP(Table311[[#This Row],[Date]],'DB Details'!$A:$Q,12))</f>
        <v>55.5</v>
      </c>
      <c r="C276" s="61">
        <f>IF(VLOOKUP(Table311[[#This Row],[Date]],'DB Details'!$A:$Q,16)=0,"",VLOOKUP(Table311[[#This Row],[Date]],'DB Details'!$A:$Q,16))</f>
        <v>6.3078516417420767E-3</v>
      </c>
      <c r="D276" s="61">
        <f>IF(VLOOKUP(Table311[[#This Row],[Date]],'DB Details'!$A:$Q,15)=0,"",VLOOKUP(Table311[[#This Row],[Date]],'DB Details'!$A:$Q,15))</f>
        <v>-1.303582746034216E-2</v>
      </c>
      <c r="E276" s="61">
        <f>IF(VLOOKUP(Table311[[#This Row],[Date]],'DB Details'!$A:$Q,17)=0,"",VLOOKUP(Table311[[#This Row],[Date]],'DB Details'!$A:$Q,17))</f>
        <v>-5.1132545037274268E-2</v>
      </c>
    </row>
    <row r="277" spans="1:5" x14ac:dyDescent="0.2">
      <c r="A277" s="60">
        <v>43862</v>
      </c>
      <c r="B277" s="50">
        <f>IF(VLOOKUP(Table311[[#This Row],[Date]],'DB Details'!$A:$Q,12)=0,"",VLOOKUP(Table311[[#This Row],[Date]],'DB Details'!$A:$Q,12))</f>
        <v>57.3</v>
      </c>
      <c r="C277" s="61">
        <f>IF(VLOOKUP(Table311[[#This Row],[Date]],'DB Details'!$A:$Q,16)=0,"",VLOOKUP(Table311[[#This Row],[Date]],'DB Details'!$A:$Q,16))</f>
        <v>6.3078516417420767E-3</v>
      </c>
      <c r="D277" s="61">
        <f>IF(VLOOKUP(Table311[[#This Row],[Date]],'DB Details'!$A:$Q,15)=0,"",VLOOKUP(Table311[[#This Row],[Date]],'DB Details'!$A:$Q,15))</f>
        <v>-1.303582746034216E-2</v>
      </c>
      <c r="E277" s="61">
        <f>IF(VLOOKUP(Table311[[#This Row],[Date]],'DB Details'!$A:$Q,17)=0,"",VLOOKUP(Table311[[#This Row],[Date]],'DB Details'!$A:$Q,17))</f>
        <v>-5.1132545037274268E-2</v>
      </c>
    </row>
    <row r="278" spans="1:5" x14ac:dyDescent="0.2">
      <c r="A278" s="60">
        <v>43891</v>
      </c>
      <c r="B278" s="50">
        <f>IF(VLOOKUP(Table311[[#This Row],[Date]],'DB Details'!$A:$Q,12)=0,"",VLOOKUP(Table311[[#This Row],[Date]],'DB Details'!$A:$Q,12))</f>
        <v>52.5</v>
      </c>
      <c r="C278" s="61">
        <f>IF(VLOOKUP(Table311[[#This Row],[Date]],'DB Details'!$A:$Q,16)=0,"",VLOOKUP(Table311[[#This Row],[Date]],'DB Details'!$A:$Q,16))</f>
        <v>6.3078516417420767E-3</v>
      </c>
      <c r="D278" s="61">
        <f>IF(VLOOKUP(Table311[[#This Row],[Date]],'DB Details'!$A:$Q,15)=0,"",VLOOKUP(Table311[[#This Row],[Date]],'DB Details'!$A:$Q,15))</f>
        <v>-1.303582746034216E-2</v>
      </c>
      <c r="E278" s="61">
        <f>IF(VLOOKUP(Table311[[#This Row],[Date]],'DB Details'!$A:$Q,17)=0,"",VLOOKUP(Table311[[#This Row],[Date]],'DB Details'!$A:$Q,17))</f>
        <v>-5.1132545037274268E-2</v>
      </c>
    </row>
    <row r="279" spans="1:5" x14ac:dyDescent="0.2">
      <c r="A279" s="60">
        <v>43922</v>
      </c>
      <c r="B279" s="50">
        <f>IF(VLOOKUP(Table311[[#This Row],[Date]],'DB Details'!$A:$Q,12)=0,"",VLOOKUP(Table311[[#This Row],[Date]],'DB Details'!$A:$Q,12))</f>
        <v>41.8</v>
      </c>
      <c r="C279" s="61">
        <f>IF(VLOOKUP(Table311[[#This Row],[Date]],'DB Details'!$A:$Q,16)=0,"",VLOOKUP(Table311[[#This Row],[Date]],'DB Details'!$A:$Q,16))</f>
        <v>-9.0837374242250385E-2</v>
      </c>
      <c r="D279" s="61">
        <f>IF(VLOOKUP(Table311[[#This Row],[Date]],'DB Details'!$A:$Q,15)=0,"",VLOOKUP(Table311[[#This Row],[Date]],'DB Details'!$A:$Q,15))</f>
        <v>-8.9372505011610218E-2</v>
      </c>
      <c r="E279" s="61">
        <f>IF(VLOOKUP(Table311[[#This Row],[Date]],'DB Details'!$A:$Q,17)=0,"",VLOOKUP(Table311[[#This Row],[Date]],'DB Details'!$A:$Q,17))</f>
        <v>-0.31235698461085082</v>
      </c>
    </row>
    <row r="280" spans="1:5" x14ac:dyDescent="0.2">
      <c r="A280" s="60">
        <v>43952</v>
      </c>
      <c r="B280" s="50">
        <f>IF(VLOOKUP(Table311[[#This Row],[Date]],'DB Details'!$A:$Q,12)=0,"",VLOOKUP(Table311[[#This Row],[Date]],'DB Details'!$A:$Q,12))</f>
        <v>45.4</v>
      </c>
      <c r="C280" s="61">
        <f>IF(VLOOKUP(Table311[[#This Row],[Date]],'DB Details'!$A:$Q,16)=0,"",VLOOKUP(Table311[[#This Row],[Date]],'DB Details'!$A:$Q,16))</f>
        <v>-9.0837374242250385E-2</v>
      </c>
      <c r="D280" s="61">
        <f>IF(VLOOKUP(Table311[[#This Row],[Date]],'DB Details'!$A:$Q,15)=0,"",VLOOKUP(Table311[[#This Row],[Date]],'DB Details'!$A:$Q,15))</f>
        <v>-8.9372505011610218E-2</v>
      </c>
      <c r="E280" s="61">
        <f>IF(VLOOKUP(Table311[[#This Row],[Date]],'DB Details'!$A:$Q,17)=0,"",VLOOKUP(Table311[[#This Row],[Date]],'DB Details'!$A:$Q,17))</f>
        <v>-0.31235698461085082</v>
      </c>
    </row>
    <row r="281" spans="1:5" x14ac:dyDescent="0.2">
      <c r="A281" s="60">
        <v>43983</v>
      </c>
      <c r="B281" s="50">
        <f>IF(VLOOKUP(Table311[[#This Row],[Date]],'DB Details'!$A:$Q,12)=0,"",VLOOKUP(Table311[[#This Row],[Date]],'DB Details'!$A:$Q,12))</f>
        <v>57.1</v>
      </c>
      <c r="C281" s="61">
        <f>IF(VLOOKUP(Table311[[#This Row],[Date]],'DB Details'!$A:$Q,16)=0,"",VLOOKUP(Table311[[#This Row],[Date]],'DB Details'!$A:$Q,16))</f>
        <v>-9.0837374242250385E-2</v>
      </c>
      <c r="D281" s="61">
        <f>IF(VLOOKUP(Table311[[#This Row],[Date]],'DB Details'!$A:$Q,15)=0,"",VLOOKUP(Table311[[#This Row],[Date]],'DB Details'!$A:$Q,15))</f>
        <v>-8.9372505011610218E-2</v>
      </c>
      <c r="E281" s="61">
        <f>IF(VLOOKUP(Table311[[#This Row],[Date]],'DB Details'!$A:$Q,17)=0,"",VLOOKUP(Table311[[#This Row],[Date]],'DB Details'!$A:$Q,17))</f>
        <v>-0.31235698461085082</v>
      </c>
    </row>
    <row r="282" spans="1:5" x14ac:dyDescent="0.2">
      <c r="A282" s="60">
        <v>44013</v>
      </c>
      <c r="B282" s="50">
        <f>IF(VLOOKUP(Table311[[#This Row],[Date]],'DB Details'!$A:$Q,12)=0,"",VLOOKUP(Table311[[#This Row],[Date]],'DB Details'!$A:$Q,12))</f>
        <v>58.1</v>
      </c>
      <c r="C282" s="61">
        <f>IF(VLOOKUP(Table311[[#This Row],[Date]],'DB Details'!$A:$Q,16)=0,"",VLOOKUP(Table311[[#This Row],[Date]],'DB Details'!$A:$Q,16))</f>
        <v>-2.8875059888336659E-2</v>
      </c>
      <c r="D282" s="61">
        <f>IF(VLOOKUP(Table311[[#This Row],[Date]],'DB Details'!$A:$Q,15)=0,"",VLOOKUP(Table311[[#This Row],[Date]],'DB Details'!$A:$Q,15))</f>
        <v>7.547534636423657E-2</v>
      </c>
      <c r="E282" s="61">
        <f>IF(VLOOKUP(Table311[[#This Row],[Date]],'DB Details'!$A:$Q,17)=0,"",VLOOKUP(Table311[[#This Row],[Date]],'DB Details'!$A:$Q,17))</f>
        <v>0.33783279300793229</v>
      </c>
    </row>
    <row r="283" spans="1:5" x14ac:dyDescent="0.2">
      <c r="A283" s="60">
        <v>44044</v>
      </c>
      <c r="B283" s="50">
        <f>IF(VLOOKUP(Table311[[#This Row],[Date]],'DB Details'!$A:$Q,12)=0,"",VLOOKUP(Table311[[#This Row],[Date]],'DB Details'!$A:$Q,12))</f>
        <v>56.9</v>
      </c>
      <c r="C283" s="61">
        <f>IF(VLOOKUP(Table311[[#This Row],[Date]],'DB Details'!$A:$Q,16)=0,"",VLOOKUP(Table311[[#This Row],[Date]],'DB Details'!$A:$Q,16))</f>
        <v>-2.8875059888336659E-2</v>
      </c>
      <c r="D283" s="61">
        <f>IF(VLOOKUP(Table311[[#This Row],[Date]],'DB Details'!$A:$Q,15)=0,"",VLOOKUP(Table311[[#This Row],[Date]],'DB Details'!$A:$Q,15))</f>
        <v>7.547534636423657E-2</v>
      </c>
      <c r="E283" s="61">
        <f>IF(VLOOKUP(Table311[[#This Row],[Date]],'DB Details'!$A:$Q,17)=0,"",VLOOKUP(Table311[[#This Row],[Date]],'DB Details'!$A:$Q,17))</f>
        <v>0.33783279300793229</v>
      </c>
    </row>
    <row r="284" spans="1:5" x14ac:dyDescent="0.2">
      <c r="A284" s="60">
        <v>44075</v>
      </c>
      <c r="B284" s="50">
        <f>IF(VLOOKUP(Table311[[#This Row],[Date]],'DB Details'!$A:$Q,12)=0,"",VLOOKUP(Table311[[#This Row],[Date]],'DB Details'!$A:$Q,12))</f>
        <v>57.8</v>
      </c>
      <c r="C284" s="61">
        <f>IF(VLOOKUP(Table311[[#This Row],[Date]],'DB Details'!$A:$Q,16)=0,"",VLOOKUP(Table311[[#This Row],[Date]],'DB Details'!$A:$Q,16))</f>
        <v>-2.8875059888336659E-2</v>
      </c>
      <c r="D284" s="61">
        <f>IF(VLOOKUP(Table311[[#This Row],[Date]],'DB Details'!$A:$Q,15)=0,"",VLOOKUP(Table311[[#This Row],[Date]],'DB Details'!$A:$Q,15))</f>
        <v>7.547534636423657E-2</v>
      </c>
      <c r="E284" s="61">
        <f>IF(VLOOKUP(Table311[[#This Row],[Date]],'DB Details'!$A:$Q,17)=0,"",VLOOKUP(Table311[[#This Row],[Date]],'DB Details'!$A:$Q,17))</f>
        <v>0.33783279300793229</v>
      </c>
    </row>
    <row r="285" spans="1:5" x14ac:dyDescent="0.2">
      <c r="A285" s="60">
        <v>44105</v>
      </c>
      <c r="B285" s="50">
        <f>IF(VLOOKUP(Table311[[#This Row],[Date]],'DB Details'!$A:$Q,12)=0,"",VLOOKUP(Table311[[#This Row],[Date]],'DB Details'!$A:$Q,12))</f>
        <v>56.6</v>
      </c>
      <c r="C285" s="61">
        <f>IF(VLOOKUP(Table311[[#This Row],[Date]],'DB Details'!$A:$Q,16)=0,"",VLOOKUP(Table311[[#This Row],[Date]],'DB Details'!$A:$Q,16))</f>
        <v>-2.2629152430098401E-2</v>
      </c>
      <c r="D285" s="61">
        <f>IF(VLOOKUP(Table311[[#This Row],[Date]],'DB Details'!$A:$Q,15)=0,"",VLOOKUP(Table311[[#This Row],[Date]],'DB Details'!$A:$Q,15))</f>
        <v>1.115276765936578E-2</v>
      </c>
      <c r="E285" s="61">
        <f>IF(VLOOKUP(Table311[[#This Row],[Date]],'DB Details'!$A:$Q,17)=0,"",VLOOKUP(Table311[[#This Row],[Date]],'DB Details'!$A:$Q,17))</f>
        <v>4.536294038119415E-2</v>
      </c>
    </row>
    <row r="286" spans="1:5" x14ac:dyDescent="0.2">
      <c r="A286" s="60">
        <v>44136</v>
      </c>
      <c r="B286" s="50">
        <f>IF(VLOOKUP(Table311[[#This Row],[Date]],'DB Details'!$A:$Q,12)=0,"",VLOOKUP(Table311[[#This Row],[Date]],'DB Details'!$A:$Q,12))</f>
        <v>55.9</v>
      </c>
      <c r="C286" s="61">
        <f>IF(VLOOKUP(Table311[[#This Row],[Date]],'DB Details'!$A:$Q,16)=0,"",VLOOKUP(Table311[[#This Row],[Date]],'DB Details'!$A:$Q,16))</f>
        <v>-2.2629152430098401E-2</v>
      </c>
      <c r="D286" s="61">
        <f>IF(VLOOKUP(Table311[[#This Row],[Date]],'DB Details'!$A:$Q,15)=0,"",VLOOKUP(Table311[[#This Row],[Date]],'DB Details'!$A:$Q,15))</f>
        <v>1.115276765936578E-2</v>
      </c>
      <c r="E286" s="61">
        <f>IF(VLOOKUP(Table311[[#This Row],[Date]],'DB Details'!$A:$Q,17)=0,"",VLOOKUP(Table311[[#This Row],[Date]],'DB Details'!$A:$Q,17))</f>
        <v>4.536294038119415E-2</v>
      </c>
    </row>
    <row r="287" spans="1:5" x14ac:dyDescent="0.2">
      <c r="A287" s="60">
        <v>44166</v>
      </c>
      <c r="B287" s="50">
        <f>IF(VLOOKUP(Table311[[#This Row],[Date]],'DB Details'!$A:$Q,12)=0,"",VLOOKUP(Table311[[#This Row],[Date]],'DB Details'!$A:$Q,12))</f>
        <v>57.2</v>
      </c>
      <c r="C287" s="61">
        <f>IF(VLOOKUP(Table311[[#This Row],[Date]],'DB Details'!$A:$Q,16)=0,"",VLOOKUP(Table311[[#This Row],[Date]],'DB Details'!$A:$Q,16))</f>
        <v>-2.2629152430098401E-2</v>
      </c>
      <c r="D287" s="61">
        <f>IF(VLOOKUP(Table311[[#This Row],[Date]],'DB Details'!$A:$Q,15)=0,"",VLOOKUP(Table311[[#This Row],[Date]],'DB Details'!$A:$Q,15))</f>
        <v>1.115276765936578E-2</v>
      </c>
      <c r="E287" s="61">
        <f>IF(VLOOKUP(Table311[[#This Row],[Date]],'DB Details'!$A:$Q,17)=0,"",VLOOKUP(Table311[[#This Row],[Date]],'DB Details'!$A:$Q,17))</f>
        <v>4.536294038119415E-2</v>
      </c>
    </row>
    <row r="288" spans="1:5" x14ac:dyDescent="0.2">
      <c r="A288" s="60">
        <v>44197</v>
      </c>
      <c r="B288" s="50">
        <f>IF(VLOOKUP(Table311[[#This Row],[Date]],'DB Details'!$A:$Q,12)=0,"",VLOOKUP(Table311[[#This Row],[Date]],'DB Details'!$A:$Q,12))</f>
        <v>58.7</v>
      </c>
      <c r="C288" s="61">
        <f>IF(VLOOKUP(Table311[[#This Row],[Date]],'DB Details'!$A:$Q,16)=0,"",VLOOKUP(Table311[[#This Row],[Date]],'DB Details'!$A:$Q,16))</f>
        <v>5.4697680328273934E-3</v>
      </c>
      <c r="D288" s="61">
        <f>IF(VLOOKUP(Table311[[#This Row],[Date]],'DB Details'!$A:$Q,15)=0,"",VLOOKUP(Table311[[#This Row],[Date]],'DB Details'!$A:$Q,15))</f>
        <v>1.533889627211066E-2</v>
      </c>
      <c r="E288" s="61">
        <f>IF(VLOOKUP(Table311[[#This Row],[Date]],'DB Details'!$A:$Q,17)=0,"",VLOOKUP(Table311[[#This Row],[Date]],'DB Details'!$A:$Q,17))</f>
        <v>6.278176672776592E-2</v>
      </c>
    </row>
    <row r="289" spans="1:5" x14ac:dyDescent="0.2">
      <c r="A289" s="60">
        <v>44228</v>
      </c>
      <c r="B289" s="50">
        <f>IF(VLOOKUP(Table311[[#This Row],[Date]],'DB Details'!$A:$Q,12)=0,"",VLOOKUP(Table311[[#This Row],[Date]],'DB Details'!$A:$Q,12))</f>
        <v>55.3</v>
      </c>
      <c r="C289" s="61">
        <f>IF(VLOOKUP(Table311[[#This Row],[Date]],'DB Details'!$A:$Q,16)=0,"",VLOOKUP(Table311[[#This Row],[Date]],'DB Details'!$A:$Q,16))</f>
        <v>5.4697680328273934E-3</v>
      </c>
      <c r="D289" s="61">
        <f>IF(VLOOKUP(Table311[[#This Row],[Date]],'DB Details'!$A:$Q,15)=0,"",VLOOKUP(Table311[[#This Row],[Date]],'DB Details'!$A:$Q,15))</f>
        <v>1.533889627211066E-2</v>
      </c>
      <c r="E289" s="61">
        <f>IF(VLOOKUP(Table311[[#This Row],[Date]],'DB Details'!$A:$Q,17)=0,"",VLOOKUP(Table311[[#This Row],[Date]],'DB Details'!$A:$Q,17))</f>
        <v>6.278176672776592E-2</v>
      </c>
    </row>
    <row r="290" spans="1:5" x14ac:dyDescent="0.2">
      <c r="A290" s="60">
        <v>44256</v>
      </c>
      <c r="B290" s="50">
        <f>IF(VLOOKUP(Table311[[#This Row],[Date]],'DB Details'!$A:$Q,12)=0,"",VLOOKUP(Table311[[#This Row],[Date]],'DB Details'!$A:$Q,12))</f>
        <v>63.7</v>
      </c>
      <c r="C290" s="61">
        <f>IF(VLOOKUP(Table311[[#This Row],[Date]],'DB Details'!$A:$Q,16)=0,"",VLOOKUP(Table311[[#This Row],[Date]],'DB Details'!$A:$Q,16))</f>
        <v>5.4697680328273934E-3</v>
      </c>
      <c r="D290" s="61">
        <f>IF(VLOOKUP(Table311[[#This Row],[Date]],'DB Details'!$A:$Q,15)=0,"",VLOOKUP(Table311[[#This Row],[Date]],'DB Details'!$A:$Q,15))</f>
        <v>1.533889627211066E-2</v>
      </c>
      <c r="E290" s="61">
        <f>IF(VLOOKUP(Table311[[#This Row],[Date]],'DB Details'!$A:$Q,17)=0,"",VLOOKUP(Table311[[#This Row],[Date]],'DB Details'!$A:$Q,17))</f>
        <v>6.278176672776592E-2</v>
      </c>
    </row>
    <row r="291" spans="1:5" x14ac:dyDescent="0.2">
      <c r="A291" s="60">
        <v>44287</v>
      </c>
      <c r="B291" s="50">
        <f>IF(VLOOKUP(Table311[[#This Row],[Date]],'DB Details'!$A:$Q,12)=0,"",VLOOKUP(Table311[[#This Row],[Date]],'DB Details'!$A:$Q,12))</f>
        <v>62.7</v>
      </c>
      <c r="C291" s="61">
        <f>IF(VLOOKUP(Table311[[#This Row],[Date]],'DB Details'!$A:$Q,16)=0,"",VLOOKUP(Table311[[#This Row],[Date]],'DB Details'!$A:$Q,16))</f>
        <v>0.12226677108077</v>
      </c>
      <c r="D291" s="61">
        <f>IF(VLOOKUP(Table311[[#This Row],[Date]],'DB Details'!$A:$Q,15)=0,"",VLOOKUP(Table311[[#This Row],[Date]],'DB Details'!$A:$Q,15))</f>
        <v>1.6407465395443108E-2</v>
      </c>
      <c r="E291" s="61">
        <f>IF(VLOOKUP(Table311[[#This Row],[Date]],'DB Details'!$A:$Q,17)=0,"",VLOOKUP(Table311[[#This Row],[Date]],'DB Details'!$A:$Q,17))</f>
        <v>6.7262831458960726E-2</v>
      </c>
    </row>
    <row r="292" spans="1:5" x14ac:dyDescent="0.2">
      <c r="A292" s="60">
        <v>44317</v>
      </c>
      <c r="B292" s="50">
        <f>IF(VLOOKUP(Table311[[#This Row],[Date]],'DB Details'!$A:$Q,12)=0,"",VLOOKUP(Table311[[#This Row],[Date]],'DB Details'!$A:$Q,12))</f>
        <v>64</v>
      </c>
      <c r="C292" s="61">
        <f>IF(VLOOKUP(Table311[[#This Row],[Date]],'DB Details'!$A:$Q,16)=0,"",VLOOKUP(Table311[[#This Row],[Date]],'DB Details'!$A:$Q,16))</f>
        <v>0.12226677108077</v>
      </c>
      <c r="D292" s="61">
        <f>IF(VLOOKUP(Table311[[#This Row],[Date]],'DB Details'!$A:$Q,15)=0,"",VLOOKUP(Table311[[#This Row],[Date]],'DB Details'!$A:$Q,15))</f>
        <v>1.6407465395443108E-2</v>
      </c>
      <c r="E292" s="61">
        <f>IF(VLOOKUP(Table311[[#This Row],[Date]],'DB Details'!$A:$Q,17)=0,"",VLOOKUP(Table311[[#This Row],[Date]],'DB Details'!$A:$Q,17))</f>
        <v>6.7262831458960726E-2</v>
      </c>
    </row>
    <row r="293" spans="1:5" x14ac:dyDescent="0.2">
      <c r="A293" s="60">
        <v>44348</v>
      </c>
      <c r="B293" s="50">
        <f>IF(VLOOKUP(Table311[[#This Row],[Date]],'DB Details'!$A:$Q,12)=0,"",VLOOKUP(Table311[[#This Row],[Date]],'DB Details'!$A:$Q,12))</f>
        <v>60.1</v>
      </c>
      <c r="C293" s="61">
        <f>IF(VLOOKUP(Table311[[#This Row],[Date]],'DB Details'!$A:$Q,16)=0,"",VLOOKUP(Table311[[#This Row],[Date]],'DB Details'!$A:$Q,16))</f>
        <v>0.12226677108077</v>
      </c>
      <c r="D293" s="61">
        <f>IF(VLOOKUP(Table311[[#This Row],[Date]],'DB Details'!$A:$Q,15)=0,"",VLOOKUP(Table311[[#This Row],[Date]],'DB Details'!$A:$Q,15))</f>
        <v>1.6407465395443108E-2</v>
      </c>
      <c r="E293" s="61">
        <f>IF(VLOOKUP(Table311[[#This Row],[Date]],'DB Details'!$A:$Q,17)=0,"",VLOOKUP(Table311[[#This Row],[Date]],'DB Details'!$A:$Q,17))</f>
        <v>6.7262831458960726E-2</v>
      </c>
    </row>
    <row r="294" spans="1:5" x14ac:dyDescent="0.2">
      <c r="A294" s="60">
        <v>44378</v>
      </c>
      <c r="B294" s="50">
        <f>IF(VLOOKUP(Table311[[#This Row],[Date]],'DB Details'!$A:$Q,12)=0,"",VLOOKUP(Table311[[#This Row],[Date]],'DB Details'!$A:$Q,12))</f>
        <v>64.099999999999994</v>
      </c>
      <c r="C294" s="61">
        <f>IF(VLOOKUP(Table311[[#This Row],[Date]],'DB Details'!$A:$Q,16)=0,"",VLOOKUP(Table311[[#This Row],[Date]],'DB Details'!$A:$Q,16))</f>
        <v>4.9465555692882128E-2</v>
      </c>
      <c r="D294" s="61">
        <f>IF(VLOOKUP(Table311[[#This Row],[Date]],'DB Details'!$A:$Q,15)=0,"",VLOOKUP(Table311[[#This Row],[Date]],'DB Details'!$A:$Q,15))</f>
        <v>5.7094811059921454E-3</v>
      </c>
      <c r="E294" s="61">
        <f>IF(VLOOKUP(Table311[[#This Row],[Date]],'DB Details'!$A:$Q,17)=0,"",VLOOKUP(Table311[[#This Row],[Date]],'DB Details'!$A:$Q,17))</f>
        <v>2.303425900825307E-2</v>
      </c>
    </row>
    <row r="295" spans="1:5" x14ac:dyDescent="0.2">
      <c r="A295" s="60">
        <v>44409</v>
      </c>
      <c r="B295" s="50">
        <f>IF(VLOOKUP(Table311[[#This Row],[Date]],'DB Details'!$A:$Q,12)=0,"",VLOOKUP(Table311[[#This Row],[Date]],'DB Details'!$A:$Q,12))</f>
        <v>61.7</v>
      </c>
      <c r="C295" s="61">
        <f>IF(VLOOKUP(Table311[[#This Row],[Date]],'DB Details'!$A:$Q,16)=0,"",VLOOKUP(Table311[[#This Row],[Date]],'DB Details'!$A:$Q,16))</f>
        <v>4.9465555692882128E-2</v>
      </c>
      <c r="D295" s="61">
        <f>IF(VLOOKUP(Table311[[#This Row],[Date]],'DB Details'!$A:$Q,15)=0,"",VLOOKUP(Table311[[#This Row],[Date]],'DB Details'!$A:$Q,15))</f>
        <v>5.7094811059921454E-3</v>
      </c>
      <c r="E295" s="61">
        <f>IF(VLOOKUP(Table311[[#This Row],[Date]],'DB Details'!$A:$Q,17)=0,"",VLOOKUP(Table311[[#This Row],[Date]],'DB Details'!$A:$Q,17))</f>
        <v>2.303425900825307E-2</v>
      </c>
    </row>
    <row r="296" spans="1:5" x14ac:dyDescent="0.2">
      <c r="A296" s="60">
        <v>44440</v>
      </c>
      <c r="B296" s="50">
        <f>IF(VLOOKUP(Table311[[#This Row],[Date]],'DB Details'!$A:$Q,12)=0,"",VLOOKUP(Table311[[#This Row],[Date]],'DB Details'!$A:$Q,12))</f>
        <v>61.9</v>
      </c>
      <c r="C296" s="61">
        <f>IF(VLOOKUP(Table311[[#This Row],[Date]],'DB Details'!$A:$Q,16)=0,"",VLOOKUP(Table311[[#This Row],[Date]],'DB Details'!$A:$Q,16))</f>
        <v>4.9465555692882128E-2</v>
      </c>
      <c r="D296" s="61">
        <f>IF(VLOOKUP(Table311[[#This Row],[Date]],'DB Details'!$A:$Q,15)=0,"",VLOOKUP(Table311[[#This Row],[Date]],'DB Details'!$A:$Q,15))</f>
        <v>5.7094811059921454E-3</v>
      </c>
      <c r="E296" s="61">
        <f>IF(VLOOKUP(Table311[[#This Row],[Date]],'DB Details'!$A:$Q,17)=0,"",VLOOKUP(Table311[[#This Row],[Date]],'DB Details'!$A:$Q,17))</f>
        <v>2.303425900825307E-2</v>
      </c>
    </row>
    <row r="297" spans="1:5" x14ac:dyDescent="0.2">
      <c r="A297" s="60">
        <v>44470</v>
      </c>
      <c r="B297" s="50">
        <f>IF(VLOOKUP(Table311[[#This Row],[Date]],'DB Details'!$A:$Q,12)=0,"",VLOOKUP(Table311[[#This Row],[Date]],'DB Details'!$A:$Q,12))</f>
        <v>66.7</v>
      </c>
      <c r="C297" s="61">
        <f>IF(VLOOKUP(Table311[[#This Row],[Date]],'DB Details'!$A:$Q,16)=0,"",VLOOKUP(Table311[[#This Row],[Date]],'DB Details'!$A:$Q,16))</f>
        <v>5.5317363621841711E-2</v>
      </c>
      <c r="D297" s="61">
        <f>IF(VLOOKUP(Table311[[#This Row],[Date]],'DB Details'!$A:$Q,15)=0,"",VLOOKUP(Table311[[#This Row],[Date]],'DB Details'!$A:$Q,15))</f>
        <v>1.6790943920683761E-2</v>
      </c>
      <c r="E297" s="61">
        <f>IF(VLOOKUP(Table311[[#This Row],[Date]],'DB Details'!$A:$Q,17)=0,"",VLOOKUP(Table311[[#This Row],[Date]],'DB Details'!$A:$Q,17))</f>
        <v>6.8874405829691066E-2</v>
      </c>
    </row>
    <row r="298" spans="1:5" x14ac:dyDescent="0.2">
      <c r="A298" s="60">
        <v>44501</v>
      </c>
      <c r="B298" s="50">
        <f>IF(VLOOKUP(Table311[[#This Row],[Date]],'DB Details'!$A:$Q,12)=0,"",VLOOKUP(Table311[[#This Row],[Date]],'DB Details'!$A:$Q,12))</f>
        <v>69.099999999999994</v>
      </c>
      <c r="C298" s="61">
        <f>IF(VLOOKUP(Table311[[#This Row],[Date]],'DB Details'!$A:$Q,16)=0,"",VLOOKUP(Table311[[#This Row],[Date]],'DB Details'!$A:$Q,16))</f>
        <v>5.5317363621841711E-2</v>
      </c>
      <c r="D298" s="61">
        <f>IF(VLOOKUP(Table311[[#This Row],[Date]],'DB Details'!$A:$Q,15)=0,"",VLOOKUP(Table311[[#This Row],[Date]],'DB Details'!$A:$Q,15))</f>
        <v>1.6790943920683761E-2</v>
      </c>
      <c r="E298" s="61">
        <f>IF(VLOOKUP(Table311[[#This Row],[Date]],'DB Details'!$A:$Q,17)=0,"",VLOOKUP(Table311[[#This Row],[Date]],'DB Details'!$A:$Q,17))</f>
        <v>6.8874405829691066E-2</v>
      </c>
    </row>
    <row r="299" spans="1:5" x14ac:dyDescent="0.2">
      <c r="A299" s="60">
        <v>44531</v>
      </c>
      <c r="B299" s="50">
        <f>IF(VLOOKUP(Table311[[#This Row],[Date]],'DB Details'!$A:$Q,12)=0,"",VLOOKUP(Table311[[#This Row],[Date]],'DB Details'!$A:$Q,12))</f>
        <v>62</v>
      </c>
      <c r="C299" s="61">
        <f>IF(VLOOKUP(Table311[[#This Row],[Date]],'DB Details'!$A:$Q,16)=0,"",VLOOKUP(Table311[[#This Row],[Date]],'DB Details'!$A:$Q,16))</f>
        <v>5.5317363621841711E-2</v>
      </c>
      <c r="D299" s="61">
        <f>IF(VLOOKUP(Table311[[#This Row],[Date]],'DB Details'!$A:$Q,15)=0,"",VLOOKUP(Table311[[#This Row],[Date]],'DB Details'!$A:$Q,15))</f>
        <v>1.6790943920683761E-2</v>
      </c>
      <c r="E299" s="61">
        <f>IF(VLOOKUP(Table311[[#This Row],[Date]],'DB Details'!$A:$Q,17)=0,"",VLOOKUP(Table311[[#This Row],[Date]],'DB Details'!$A:$Q,17))</f>
        <v>6.8874405829691066E-2</v>
      </c>
    </row>
  </sheetData>
  <conditionalFormatting sqref="B156:B299">
    <cfRule type="colorScale" priority="2">
      <colorScale>
        <cfvo type="min"/>
        <cfvo type="percentile" val="50"/>
        <cfvo type="max"/>
        <color rgb="FFF8696B"/>
        <color rgb="FFFFEB84"/>
        <color rgb="FF63BE7B"/>
      </colorScale>
    </cfRule>
  </conditionalFormatting>
  <conditionalFormatting sqref="E156:E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299"/>
  <sheetViews>
    <sheetView zoomScale="190" zoomScaleNormal="190" workbookViewId="0">
      <pane ySplit="5" topLeftCell="A273" activePane="bottomLeft" state="frozen"/>
      <selection activeCell="P256" sqref="P256"/>
      <selection pane="bottomLeft" activeCell="K285" sqref="K285"/>
    </sheetView>
  </sheetViews>
  <sheetFormatPr baseColWidth="10" defaultColWidth="9.1640625" defaultRowHeight="15" x14ac:dyDescent="0.2"/>
  <cols>
    <col min="1" max="1" width="18.33203125" style="66" customWidth="1"/>
    <col min="2" max="3" width="11" style="66" customWidth="1"/>
    <col min="4" max="6" width="9.1640625" style="66" customWidth="1"/>
    <col min="7" max="7" width="12.83203125" style="66" customWidth="1"/>
    <col min="8" max="8" width="14.5" style="66" customWidth="1"/>
    <col min="9" max="9" width="9.1640625" style="66" customWidth="1"/>
    <col min="10" max="10" width="14.83203125" style="66" customWidth="1"/>
    <col min="11" max="20" width="9.1640625" style="66" customWidth="1"/>
    <col min="21" max="16384" width="9.1640625" style="66"/>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62" t="s">
        <v>76</v>
      </c>
      <c r="B5" s="63" t="s">
        <v>0</v>
      </c>
      <c r="C5" s="64" t="s">
        <v>81</v>
      </c>
    </row>
    <row r="6" spans="1:9" x14ac:dyDescent="0.2">
      <c r="A6" s="49">
        <v>35612</v>
      </c>
      <c r="B6" s="54">
        <f>IF(VLOOKUP(Table9[[#This Row],[Date]],'DB Details'!$A:$Q,12)=0,"",VLOOKUP(Table9[[#This Row],[Date]],'DB Details'!$A:$Q,12))</f>
        <v>56.7</v>
      </c>
      <c r="C6" s="54"/>
    </row>
    <row r="7" spans="1:9" x14ac:dyDescent="0.2">
      <c r="A7" s="53">
        <v>35643</v>
      </c>
      <c r="B7" s="54">
        <f>IF(VLOOKUP(Table9[[#This Row],[Date]],'DB Details'!$A:$Q,12)=0,"",VLOOKUP(Table9[[#This Row],[Date]],'DB Details'!$A:$Q,12))</f>
        <v>62</v>
      </c>
      <c r="C7" s="54">
        <f>Table9[[#This Row],[ISM Services]]-B6</f>
        <v>5.2999999999999972</v>
      </c>
    </row>
    <row r="8" spans="1:9" x14ac:dyDescent="0.2">
      <c r="A8" s="49">
        <v>35674</v>
      </c>
      <c r="B8" s="54">
        <f>IF(VLOOKUP(Table9[[#This Row],[Date]],'DB Details'!$A:$Q,12)=0,"",VLOOKUP(Table9[[#This Row],[Date]],'DB Details'!$A:$Q,12))</f>
        <v>56.2</v>
      </c>
      <c r="C8" s="54">
        <f>Table9[[#This Row],[ISM Services]]-B7</f>
        <v>-5.7999999999999972</v>
      </c>
    </row>
    <row r="9" spans="1:9" x14ac:dyDescent="0.2">
      <c r="A9" s="53">
        <v>35704</v>
      </c>
      <c r="B9" s="54">
        <f>IF(VLOOKUP(Table9[[#This Row],[Date]],'DB Details'!$A:$Q,12)=0,"",VLOOKUP(Table9[[#This Row],[Date]],'DB Details'!$A:$Q,12))</f>
        <v>56.6</v>
      </c>
      <c r="C9" s="54">
        <f>Table9[[#This Row],[ISM Services]]-B8</f>
        <v>0.39999999999999858</v>
      </c>
    </row>
    <row r="10" spans="1:9" x14ac:dyDescent="0.2">
      <c r="A10" s="49">
        <v>35735</v>
      </c>
      <c r="B10" s="54">
        <f>IF(VLOOKUP(Table9[[#This Row],[Date]],'DB Details'!$A:$Q,12)=0,"",VLOOKUP(Table9[[#This Row],[Date]],'DB Details'!$A:$Q,12))</f>
        <v>58.5</v>
      </c>
      <c r="C10" s="54">
        <f>Table9[[#This Row],[ISM Services]]-B9</f>
        <v>1.8999999999999986</v>
      </c>
    </row>
    <row r="11" spans="1:9" x14ac:dyDescent="0.2">
      <c r="A11" s="53">
        <v>35765</v>
      </c>
      <c r="B11" s="54">
        <f>IF(VLOOKUP(Table9[[#This Row],[Date]],'DB Details'!$A:$Q,12)=0,"",VLOOKUP(Table9[[#This Row],[Date]],'DB Details'!$A:$Q,12))</f>
        <v>55.5</v>
      </c>
      <c r="C11" s="54">
        <f>Table9[[#This Row],[ISM Services]]-B10</f>
        <v>-3</v>
      </c>
    </row>
    <row r="12" spans="1:9" x14ac:dyDescent="0.2">
      <c r="A12" s="49">
        <v>35796</v>
      </c>
      <c r="B12" s="54">
        <f>IF(VLOOKUP(Table9[[#This Row],[Date]],'DB Details'!$A:$Q,12)=0,"",VLOOKUP(Table9[[#This Row],[Date]],'DB Details'!$A:$Q,12))</f>
        <v>57</v>
      </c>
      <c r="C12" s="54">
        <f>Table9[[#This Row],[ISM Services]]-B11</f>
        <v>1.5</v>
      </c>
    </row>
    <row r="13" spans="1:9" x14ac:dyDescent="0.2">
      <c r="A13" s="53">
        <v>35827</v>
      </c>
      <c r="B13" s="54">
        <f>IF(VLOOKUP(Table9[[#This Row],[Date]],'DB Details'!$A:$Q,12)=0,"",VLOOKUP(Table9[[#This Row],[Date]],'DB Details'!$A:$Q,12))</f>
        <v>56.2</v>
      </c>
      <c r="C13" s="54">
        <f>Table9[[#This Row],[ISM Services]]-B12</f>
        <v>-0.79999999999999716</v>
      </c>
    </row>
    <row r="14" spans="1:9" x14ac:dyDescent="0.2">
      <c r="A14" s="49">
        <v>35855</v>
      </c>
      <c r="B14" s="54">
        <f>IF(VLOOKUP(Table9[[#This Row],[Date]],'DB Details'!$A:$Q,12)=0,"",VLOOKUP(Table9[[#This Row],[Date]],'DB Details'!$A:$Q,12))</f>
        <v>54.7</v>
      </c>
      <c r="C14" s="54">
        <f>Table9[[#This Row],[ISM Services]]-B13</f>
        <v>-1.5</v>
      </c>
    </row>
    <row r="15" spans="1:9" x14ac:dyDescent="0.2">
      <c r="A15" s="53">
        <v>35886</v>
      </c>
      <c r="B15" s="54">
        <f>IF(VLOOKUP(Table9[[#This Row],[Date]],'DB Details'!$A:$Q,12)=0,"",VLOOKUP(Table9[[#This Row],[Date]],'DB Details'!$A:$Q,12))</f>
        <v>54.9</v>
      </c>
      <c r="C15" s="54">
        <f>Table9[[#This Row],[ISM Services]]-B14</f>
        <v>0.19999999999999574</v>
      </c>
    </row>
    <row r="16" spans="1:9" x14ac:dyDescent="0.2">
      <c r="A16" s="53">
        <v>35916</v>
      </c>
      <c r="B16" s="54">
        <f>IF(VLOOKUP(Table9[[#This Row],[Date]],'DB Details'!$A:$Q,12)=0,"",VLOOKUP(Table9[[#This Row],[Date]],'DB Details'!$A:$Q,12))</f>
        <v>56.2</v>
      </c>
      <c r="C16" s="54">
        <f>Table9[[#This Row],[ISM Services]]-B15</f>
        <v>1.3000000000000043</v>
      </c>
    </row>
    <row r="17" spans="1:3" x14ac:dyDescent="0.2">
      <c r="A17" s="53">
        <v>35947</v>
      </c>
      <c r="B17" s="54">
        <f>IF(VLOOKUP(Table9[[#This Row],[Date]],'DB Details'!$A:$Q,12)=0,"",VLOOKUP(Table9[[#This Row],[Date]],'DB Details'!$A:$Q,12))</f>
        <v>55.1</v>
      </c>
      <c r="C17" s="54">
        <f>Table9[[#This Row],[ISM Services]]-B16</f>
        <v>-1.1000000000000014</v>
      </c>
    </row>
    <row r="18" spans="1:3" x14ac:dyDescent="0.2">
      <c r="A18" s="53">
        <v>35977</v>
      </c>
      <c r="B18" s="54">
        <f>IF(VLOOKUP(Table9[[#This Row],[Date]],'DB Details'!$A:$Q,12)=0,"",VLOOKUP(Table9[[#This Row],[Date]],'DB Details'!$A:$Q,12))</f>
        <v>55.8</v>
      </c>
      <c r="C18" s="54">
        <f>Table9[[#This Row],[ISM Services]]-B17</f>
        <v>0.69999999999999574</v>
      </c>
    </row>
    <row r="19" spans="1:3" x14ac:dyDescent="0.2">
      <c r="A19" s="53">
        <v>36008</v>
      </c>
      <c r="B19" s="54">
        <f>IF(VLOOKUP(Table9[[#This Row],[Date]],'DB Details'!$A:$Q,12)=0,"",VLOOKUP(Table9[[#This Row],[Date]],'DB Details'!$A:$Q,12))</f>
        <v>53.5</v>
      </c>
      <c r="C19" s="54">
        <f>Table9[[#This Row],[ISM Services]]-B18</f>
        <v>-2.2999999999999972</v>
      </c>
    </row>
    <row r="20" spans="1:3" x14ac:dyDescent="0.2">
      <c r="A20" s="53">
        <v>36039</v>
      </c>
      <c r="B20" s="54">
        <f>IF(VLOOKUP(Table9[[#This Row],[Date]],'DB Details'!$A:$Q,12)=0,"",VLOOKUP(Table9[[#This Row],[Date]],'DB Details'!$A:$Q,12))</f>
        <v>55</v>
      </c>
      <c r="C20" s="54">
        <f>Table9[[#This Row],[ISM Services]]-B19</f>
        <v>1.5</v>
      </c>
    </row>
    <row r="21" spans="1:3" x14ac:dyDescent="0.2">
      <c r="A21" s="53">
        <v>36069</v>
      </c>
      <c r="B21" s="54">
        <f>IF(VLOOKUP(Table9[[#This Row],[Date]],'DB Details'!$A:$Q,12)=0,"",VLOOKUP(Table9[[#This Row],[Date]],'DB Details'!$A:$Q,12))</f>
        <v>53.8</v>
      </c>
      <c r="C21" s="54">
        <f>Table9[[#This Row],[ISM Services]]-B20</f>
        <v>-1.2000000000000028</v>
      </c>
    </row>
    <row r="22" spans="1:3" x14ac:dyDescent="0.2">
      <c r="A22" s="53">
        <v>36100</v>
      </c>
      <c r="B22" s="54">
        <f>IF(VLOOKUP(Table9[[#This Row],[Date]],'DB Details'!$A:$Q,12)=0,"",VLOOKUP(Table9[[#This Row],[Date]],'DB Details'!$A:$Q,12))</f>
        <v>52.6</v>
      </c>
      <c r="C22" s="54">
        <f>Table9[[#This Row],[ISM Services]]-B21</f>
        <v>-1.1999999999999957</v>
      </c>
    </row>
    <row r="23" spans="1:3" x14ac:dyDescent="0.2">
      <c r="A23" s="53">
        <v>36130</v>
      </c>
      <c r="B23" s="54">
        <f>IF(VLOOKUP(Table9[[#This Row],[Date]],'DB Details'!$A:$Q,12)=0,"",VLOOKUP(Table9[[#This Row],[Date]],'DB Details'!$A:$Q,12))</f>
        <v>52.9</v>
      </c>
      <c r="C23" s="54">
        <f>Table9[[#This Row],[ISM Services]]-B22</f>
        <v>0.29999999999999716</v>
      </c>
    </row>
    <row r="24" spans="1:3" x14ac:dyDescent="0.2">
      <c r="A24" s="53">
        <v>36161</v>
      </c>
      <c r="B24" s="54">
        <f>IF(VLOOKUP(Table9[[#This Row],[Date]],'DB Details'!$A:$Q,12)=0,"",VLOOKUP(Table9[[#This Row],[Date]],'DB Details'!$A:$Q,12))</f>
        <v>55.6</v>
      </c>
      <c r="C24" s="54">
        <f>Table9[[#This Row],[ISM Services]]-B23</f>
        <v>2.7000000000000028</v>
      </c>
    </row>
    <row r="25" spans="1:3" x14ac:dyDescent="0.2">
      <c r="A25" s="53">
        <v>36192</v>
      </c>
      <c r="B25" s="54">
        <f>IF(VLOOKUP(Table9[[#This Row],[Date]],'DB Details'!$A:$Q,12)=0,"",VLOOKUP(Table9[[#This Row],[Date]],'DB Details'!$A:$Q,12))</f>
        <v>54.4</v>
      </c>
      <c r="C25" s="54">
        <f>Table9[[#This Row],[ISM Services]]-B24</f>
        <v>-1.2000000000000028</v>
      </c>
    </row>
    <row r="26" spans="1:3" x14ac:dyDescent="0.2">
      <c r="A26" s="53">
        <v>36220</v>
      </c>
      <c r="B26" s="54">
        <f>IF(VLOOKUP(Table9[[#This Row],[Date]],'DB Details'!$A:$Q,12)=0,"",VLOOKUP(Table9[[#This Row],[Date]],'DB Details'!$A:$Q,12))</f>
        <v>55.3</v>
      </c>
      <c r="C26" s="54">
        <f>Table9[[#This Row],[ISM Services]]-B25</f>
        <v>0.89999999999999858</v>
      </c>
    </row>
    <row r="27" spans="1:3" x14ac:dyDescent="0.2">
      <c r="A27" s="53">
        <v>36251</v>
      </c>
      <c r="B27" s="54">
        <f>IF(VLOOKUP(Table9[[#This Row],[Date]],'DB Details'!$A:$Q,12)=0,"",VLOOKUP(Table9[[#This Row],[Date]],'DB Details'!$A:$Q,12))</f>
        <v>55.5</v>
      </c>
      <c r="C27" s="54">
        <f>Table9[[#This Row],[ISM Services]]-B26</f>
        <v>0.20000000000000284</v>
      </c>
    </row>
    <row r="28" spans="1:3" x14ac:dyDescent="0.2">
      <c r="A28" s="53">
        <v>36281</v>
      </c>
      <c r="B28" s="54">
        <f>IF(VLOOKUP(Table9[[#This Row],[Date]],'DB Details'!$A:$Q,12)=0,"",VLOOKUP(Table9[[#This Row],[Date]],'DB Details'!$A:$Q,12))</f>
        <v>55.3</v>
      </c>
      <c r="C28" s="54">
        <f>Table9[[#This Row],[ISM Services]]-B27</f>
        <v>-0.20000000000000284</v>
      </c>
    </row>
    <row r="29" spans="1:3" x14ac:dyDescent="0.2">
      <c r="A29" s="53">
        <v>36312</v>
      </c>
      <c r="B29" s="54">
        <f>IF(VLOOKUP(Table9[[#This Row],[Date]],'DB Details'!$A:$Q,12)=0,"",VLOOKUP(Table9[[#This Row],[Date]],'DB Details'!$A:$Q,12))</f>
        <v>56.7</v>
      </c>
      <c r="C29" s="54">
        <f>Table9[[#This Row],[ISM Services]]-B28</f>
        <v>1.4000000000000057</v>
      </c>
    </row>
    <row r="30" spans="1:3" x14ac:dyDescent="0.2">
      <c r="A30" s="53">
        <v>36342</v>
      </c>
      <c r="B30" s="54">
        <f>IF(VLOOKUP(Table9[[#This Row],[Date]],'DB Details'!$A:$Q,12)=0,"",VLOOKUP(Table9[[#This Row],[Date]],'DB Details'!$A:$Q,12))</f>
        <v>56.2</v>
      </c>
      <c r="C30" s="54">
        <f>Table9[[#This Row],[ISM Services]]-B29</f>
        <v>-0.5</v>
      </c>
    </row>
    <row r="31" spans="1:3" x14ac:dyDescent="0.2">
      <c r="A31" s="53">
        <v>36373</v>
      </c>
      <c r="B31" s="54">
        <f>IF(VLOOKUP(Table9[[#This Row],[Date]],'DB Details'!$A:$Q,12)=0,"",VLOOKUP(Table9[[#This Row],[Date]],'DB Details'!$A:$Q,12))</f>
        <v>56.4</v>
      </c>
      <c r="C31" s="54">
        <f>Table9[[#This Row],[ISM Services]]-B30</f>
        <v>0.19999999999999574</v>
      </c>
    </row>
    <row r="32" spans="1:3" x14ac:dyDescent="0.2">
      <c r="A32" s="53">
        <v>36404</v>
      </c>
      <c r="B32" s="54">
        <f>IF(VLOOKUP(Table9[[#This Row],[Date]],'DB Details'!$A:$Q,12)=0,"",VLOOKUP(Table9[[#This Row],[Date]],'DB Details'!$A:$Q,12))</f>
        <v>56.2</v>
      </c>
      <c r="C32" s="54">
        <f>Table9[[#This Row],[ISM Services]]-B31</f>
        <v>-0.19999999999999574</v>
      </c>
    </row>
    <row r="33" spans="1:3" x14ac:dyDescent="0.2">
      <c r="A33" s="53">
        <v>36434</v>
      </c>
      <c r="B33" s="54">
        <f>IF(VLOOKUP(Table9[[#This Row],[Date]],'DB Details'!$A:$Q,12)=0,"",VLOOKUP(Table9[[#This Row],[Date]],'DB Details'!$A:$Q,12))</f>
        <v>57.6</v>
      </c>
      <c r="C33" s="54">
        <f>Table9[[#This Row],[ISM Services]]-B32</f>
        <v>1.3999999999999986</v>
      </c>
    </row>
    <row r="34" spans="1:3" x14ac:dyDescent="0.2">
      <c r="A34" s="53">
        <v>36465</v>
      </c>
      <c r="B34" s="54">
        <f>IF(VLOOKUP(Table9[[#This Row],[Date]],'DB Details'!$A:$Q,12)=0,"",VLOOKUP(Table9[[#This Row],[Date]],'DB Details'!$A:$Q,12))</f>
        <v>54.9</v>
      </c>
      <c r="C34" s="54">
        <f>Table9[[#This Row],[ISM Services]]-B33</f>
        <v>-2.7000000000000028</v>
      </c>
    </row>
    <row r="35" spans="1:3" x14ac:dyDescent="0.2">
      <c r="A35" s="53">
        <v>36495</v>
      </c>
      <c r="B35" s="54">
        <f>IF(VLOOKUP(Table9[[#This Row],[Date]],'DB Details'!$A:$Q,12)=0,"",VLOOKUP(Table9[[#This Row],[Date]],'DB Details'!$A:$Q,12))</f>
        <v>56.9</v>
      </c>
      <c r="C35" s="54">
        <f>Table9[[#This Row],[ISM Services]]-B34</f>
        <v>2</v>
      </c>
    </row>
    <row r="36" spans="1:3" x14ac:dyDescent="0.2">
      <c r="A36" s="53">
        <v>36526</v>
      </c>
      <c r="B36" s="54">
        <f>IF(VLOOKUP(Table9[[#This Row],[Date]],'DB Details'!$A:$Q,12)=0,"",VLOOKUP(Table9[[#This Row],[Date]],'DB Details'!$A:$Q,12))</f>
        <v>56.6</v>
      </c>
      <c r="C36" s="54">
        <f>Table9[[#This Row],[ISM Services]]-B35</f>
        <v>-0.29999999999999716</v>
      </c>
    </row>
    <row r="37" spans="1:3" x14ac:dyDescent="0.2">
      <c r="A37" s="53">
        <v>36557</v>
      </c>
      <c r="B37" s="54">
        <f>IF(VLOOKUP(Table9[[#This Row],[Date]],'DB Details'!$A:$Q,12)=0,"",VLOOKUP(Table9[[#This Row],[Date]],'DB Details'!$A:$Q,12))</f>
        <v>56.2</v>
      </c>
      <c r="C37" s="54">
        <f>Table9[[#This Row],[ISM Services]]-B36</f>
        <v>-0.39999999999999858</v>
      </c>
    </row>
    <row r="38" spans="1:3" x14ac:dyDescent="0.2">
      <c r="A38" s="53">
        <v>36586</v>
      </c>
      <c r="B38" s="54">
        <f>IF(VLOOKUP(Table9[[#This Row],[Date]],'DB Details'!$A:$Q,12)=0,"",VLOOKUP(Table9[[#This Row],[Date]],'DB Details'!$A:$Q,12))</f>
        <v>57.4</v>
      </c>
      <c r="C38" s="54">
        <f>Table9[[#This Row],[ISM Services]]-B37</f>
        <v>1.1999999999999957</v>
      </c>
    </row>
    <row r="39" spans="1:3" x14ac:dyDescent="0.2">
      <c r="A39" s="53">
        <v>36617</v>
      </c>
      <c r="B39" s="54">
        <f>IF(VLOOKUP(Table9[[#This Row],[Date]],'DB Details'!$A:$Q,12)=0,"",VLOOKUP(Table9[[#This Row],[Date]],'DB Details'!$A:$Q,12))</f>
        <v>58</v>
      </c>
      <c r="C39" s="54">
        <f>Table9[[#This Row],[ISM Services]]-B38</f>
        <v>0.60000000000000142</v>
      </c>
    </row>
    <row r="40" spans="1:3" x14ac:dyDescent="0.2">
      <c r="A40" s="53">
        <v>36647</v>
      </c>
      <c r="B40" s="54">
        <f>IF(VLOOKUP(Table9[[#This Row],[Date]],'DB Details'!$A:$Q,12)=0,"",VLOOKUP(Table9[[#This Row],[Date]],'DB Details'!$A:$Q,12))</f>
        <v>57.7</v>
      </c>
      <c r="C40" s="54">
        <f>Table9[[#This Row],[ISM Services]]-B39</f>
        <v>-0.29999999999999716</v>
      </c>
    </row>
    <row r="41" spans="1:3" x14ac:dyDescent="0.2">
      <c r="A41" s="53">
        <v>36678</v>
      </c>
      <c r="B41" s="54">
        <f>IF(VLOOKUP(Table9[[#This Row],[Date]],'DB Details'!$A:$Q,12)=0,"",VLOOKUP(Table9[[#This Row],[Date]],'DB Details'!$A:$Q,12))</f>
        <v>56.9</v>
      </c>
      <c r="C41" s="54">
        <f>Table9[[#This Row],[ISM Services]]-B40</f>
        <v>-0.80000000000000426</v>
      </c>
    </row>
    <row r="42" spans="1:3" x14ac:dyDescent="0.2">
      <c r="A42" s="53">
        <v>36708</v>
      </c>
      <c r="B42" s="54">
        <f>IF(VLOOKUP(Table9[[#This Row],[Date]],'DB Details'!$A:$Q,12)=0,"",VLOOKUP(Table9[[#This Row],[Date]],'DB Details'!$A:$Q,12))</f>
        <v>55.3</v>
      </c>
      <c r="C42" s="54">
        <f>Table9[[#This Row],[ISM Services]]-B41</f>
        <v>-1.6000000000000014</v>
      </c>
    </row>
    <row r="43" spans="1:3" x14ac:dyDescent="0.2">
      <c r="A43" s="53">
        <v>36739</v>
      </c>
      <c r="B43" s="54">
        <f>IF(VLOOKUP(Table9[[#This Row],[Date]],'DB Details'!$A:$Q,12)=0,"",VLOOKUP(Table9[[#This Row],[Date]],'DB Details'!$A:$Q,12))</f>
        <v>57.6</v>
      </c>
      <c r="C43" s="54">
        <f>Table9[[#This Row],[ISM Services]]-B42</f>
        <v>2.3000000000000043</v>
      </c>
    </row>
    <row r="44" spans="1:3" x14ac:dyDescent="0.2">
      <c r="A44" s="53">
        <v>36770</v>
      </c>
      <c r="B44" s="54">
        <f>IF(VLOOKUP(Table9[[#This Row],[Date]],'DB Details'!$A:$Q,12)=0,"",VLOOKUP(Table9[[#This Row],[Date]],'DB Details'!$A:$Q,12))</f>
        <v>56.7</v>
      </c>
      <c r="C44" s="54">
        <f>Table9[[#This Row],[ISM Services]]-B43</f>
        <v>-0.89999999999999858</v>
      </c>
    </row>
    <row r="45" spans="1:3" x14ac:dyDescent="0.2">
      <c r="A45" s="53">
        <v>36800</v>
      </c>
      <c r="B45" s="54">
        <f>IF(VLOOKUP(Table9[[#This Row],[Date]],'DB Details'!$A:$Q,12)=0,"",VLOOKUP(Table9[[#This Row],[Date]],'DB Details'!$A:$Q,12))</f>
        <v>56.7</v>
      </c>
      <c r="C45" s="54">
        <f>Table9[[#This Row],[ISM Services]]-B44</f>
        <v>0</v>
      </c>
    </row>
    <row r="46" spans="1:3" x14ac:dyDescent="0.2">
      <c r="A46" s="53">
        <v>36831</v>
      </c>
      <c r="B46" s="54">
        <f>IF(VLOOKUP(Table9[[#This Row],[Date]],'DB Details'!$A:$Q,12)=0,"",VLOOKUP(Table9[[#This Row],[Date]],'DB Details'!$A:$Q,12))</f>
        <v>56.2</v>
      </c>
      <c r="C46" s="54">
        <f>Table9[[#This Row],[ISM Services]]-B45</f>
        <v>-0.5</v>
      </c>
    </row>
    <row r="47" spans="1:3" x14ac:dyDescent="0.2">
      <c r="A47" s="53">
        <v>36861</v>
      </c>
      <c r="B47" s="54">
        <f>IF(VLOOKUP(Table9[[#This Row],[Date]],'DB Details'!$A:$Q,12)=0,"",VLOOKUP(Table9[[#This Row],[Date]],'DB Details'!$A:$Q,12))</f>
        <v>54</v>
      </c>
      <c r="C47" s="54">
        <f>Table9[[#This Row],[ISM Services]]-B46</f>
        <v>-2.2000000000000028</v>
      </c>
    </row>
    <row r="48" spans="1:3" x14ac:dyDescent="0.2">
      <c r="A48" s="53">
        <v>36892</v>
      </c>
      <c r="B48" s="54">
        <f>IF(VLOOKUP(Table9[[#This Row],[Date]],'DB Details'!$A:$Q,12)=0,"",VLOOKUP(Table9[[#This Row],[Date]],'DB Details'!$A:$Q,12))</f>
        <v>51.6</v>
      </c>
      <c r="C48" s="54">
        <f>Table9[[#This Row],[ISM Services]]-B47</f>
        <v>-2.3999999999999986</v>
      </c>
    </row>
    <row r="49" spans="1:3" x14ac:dyDescent="0.2">
      <c r="A49" s="53">
        <v>36923</v>
      </c>
      <c r="B49" s="54">
        <f>IF(VLOOKUP(Table9[[#This Row],[Date]],'DB Details'!$A:$Q,12)=0,"",VLOOKUP(Table9[[#This Row],[Date]],'DB Details'!$A:$Q,12))</f>
        <v>51.3</v>
      </c>
      <c r="C49" s="54">
        <f>Table9[[#This Row],[ISM Services]]-B48</f>
        <v>-0.30000000000000426</v>
      </c>
    </row>
    <row r="50" spans="1:3" x14ac:dyDescent="0.2">
      <c r="A50" s="53">
        <v>36951</v>
      </c>
      <c r="B50" s="54">
        <f>IF(VLOOKUP(Table9[[#This Row],[Date]],'DB Details'!$A:$Q,12)=0,"",VLOOKUP(Table9[[#This Row],[Date]],'DB Details'!$A:$Q,12))</f>
        <v>50.7</v>
      </c>
      <c r="C50" s="54">
        <f>Table9[[#This Row],[ISM Services]]-B49</f>
        <v>-0.59999999999999432</v>
      </c>
    </row>
    <row r="51" spans="1:3" x14ac:dyDescent="0.2">
      <c r="A51" s="53">
        <v>36982</v>
      </c>
      <c r="B51" s="54">
        <f>IF(VLOOKUP(Table9[[#This Row],[Date]],'DB Details'!$A:$Q,12)=0,"",VLOOKUP(Table9[[#This Row],[Date]],'DB Details'!$A:$Q,12))</f>
        <v>48.3</v>
      </c>
      <c r="C51" s="54">
        <f>Table9[[#This Row],[ISM Services]]-B50</f>
        <v>-2.4000000000000057</v>
      </c>
    </row>
    <row r="52" spans="1:3" x14ac:dyDescent="0.2">
      <c r="A52" s="53">
        <v>37012</v>
      </c>
      <c r="B52" s="54">
        <f>IF(VLOOKUP(Table9[[#This Row],[Date]],'DB Details'!$A:$Q,12)=0,"",VLOOKUP(Table9[[#This Row],[Date]],'DB Details'!$A:$Q,12))</f>
        <v>49</v>
      </c>
      <c r="C52" s="54">
        <f>Table9[[#This Row],[ISM Services]]-B51</f>
        <v>0.70000000000000284</v>
      </c>
    </row>
    <row r="53" spans="1:3" x14ac:dyDescent="0.2">
      <c r="A53" s="53">
        <v>37043</v>
      </c>
      <c r="B53" s="54">
        <f>IF(VLOOKUP(Table9[[#This Row],[Date]],'DB Details'!$A:$Q,12)=0,"",VLOOKUP(Table9[[#This Row],[Date]],'DB Details'!$A:$Q,12))</f>
        <v>50.1</v>
      </c>
      <c r="C53" s="54">
        <f>Table9[[#This Row],[ISM Services]]-B52</f>
        <v>1.1000000000000014</v>
      </c>
    </row>
    <row r="54" spans="1:3" x14ac:dyDescent="0.2">
      <c r="A54" s="53">
        <v>37073</v>
      </c>
      <c r="B54" s="54">
        <f>IF(VLOOKUP(Table9[[#This Row],[Date]],'DB Details'!$A:$Q,12)=0,"",VLOOKUP(Table9[[#This Row],[Date]],'DB Details'!$A:$Q,12))</f>
        <v>48.1</v>
      </c>
      <c r="C54" s="54">
        <f>Table9[[#This Row],[ISM Services]]-B53</f>
        <v>-2</v>
      </c>
    </row>
    <row r="55" spans="1:3" x14ac:dyDescent="0.2">
      <c r="A55" s="53">
        <v>37104</v>
      </c>
      <c r="B55" s="54">
        <f>IF(VLOOKUP(Table9[[#This Row],[Date]],'DB Details'!$A:$Q,12)=0,"",VLOOKUP(Table9[[#This Row],[Date]],'DB Details'!$A:$Q,12))</f>
        <v>46.9</v>
      </c>
      <c r="C55" s="54">
        <f>Table9[[#This Row],[ISM Services]]-B54</f>
        <v>-1.2000000000000028</v>
      </c>
    </row>
    <row r="56" spans="1:3" x14ac:dyDescent="0.2">
      <c r="A56" s="53">
        <v>37135</v>
      </c>
      <c r="B56" s="54">
        <f>IF(VLOOKUP(Table9[[#This Row],[Date]],'DB Details'!$A:$Q,12)=0,"",VLOOKUP(Table9[[#This Row],[Date]],'DB Details'!$A:$Q,12))</f>
        <v>49.5</v>
      </c>
      <c r="C56" s="54">
        <f>Table9[[#This Row],[ISM Services]]-B55</f>
        <v>2.6000000000000014</v>
      </c>
    </row>
    <row r="57" spans="1:3" x14ac:dyDescent="0.2">
      <c r="A57" s="53">
        <v>37165</v>
      </c>
      <c r="B57" s="54">
        <f>IF(VLOOKUP(Table9[[#This Row],[Date]],'DB Details'!$A:$Q,12)=0,"",VLOOKUP(Table9[[#This Row],[Date]],'DB Details'!$A:$Q,12))</f>
        <v>44.8</v>
      </c>
      <c r="C57" s="54">
        <f>Table9[[#This Row],[ISM Services]]-B56</f>
        <v>-4.7000000000000028</v>
      </c>
    </row>
    <row r="58" spans="1:3" x14ac:dyDescent="0.2">
      <c r="A58" s="53">
        <v>37196</v>
      </c>
      <c r="B58" s="54">
        <f>IF(VLOOKUP(Table9[[#This Row],[Date]],'DB Details'!$A:$Q,12)=0,"",VLOOKUP(Table9[[#This Row],[Date]],'DB Details'!$A:$Q,12))</f>
        <v>48.2</v>
      </c>
      <c r="C58" s="54">
        <f>Table9[[#This Row],[ISM Services]]-B57</f>
        <v>3.4000000000000057</v>
      </c>
    </row>
    <row r="59" spans="1:3" x14ac:dyDescent="0.2">
      <c r="A59" s="53">
        <v>37226</v>
      </c>
      <c r="B59" s="54">
        <f>IF(VLOOKUP(Table9[[#This Row],[Date]],'DB Details'!$A:$Q,12)=0,"",VLOOKUP(Table9[[#This Row],[Date]],'DB Details'!$A:$Q,12))</f>
        <v>49.7</v>
      </c>
      <c r="C59" s="54">
        <f>Table9[[#This Row],[ISM Services]]-B58</f>
        <v>1.5</v>
      </c>
    </row>
    <row r="60" spans="1:3" x14ac:dyDescent="0.2">
      <c r="A60" s="53">
        <v>37257</v>
      </c>
      <c r="B60" s="54">
        <f>IF(VLOOKUP(Table9[[#This Row],[Date]],'DB Details'!$A:$Q,12)=0,"",VLOOKUP(Table9[[#This Row],[Date]],'DB Details'!$A:$Q,12))</f>
        <v>48.9</v>
      </c>
      <c r="C60" s="54">
        <f>Table9[[#This Row],[ISM Services]]-B59</f>
        <v>-0.80000000000000426</v>
      </c>
    </row>
    <row r="61" spans="1:3" x14ac:dyDescent="0.2">
      <c r="A61" s="53">
        <v>37288</v>
      </c>
      <c r="B61" s="54">
        <f>IF(VLOOKUP(Table9[[#This Row],[Date]],'DB Details'!$A:$Q,12)=0,"",VLOOKUP(Table9[[#This Row],[Date]],'DB Details'!$A:$Q,12))</f>
        <v>52.7</v>
      </c>
      <c r="C61" s="54">
        <f>Table9[[#This Row],[ISM Services]]-B60</f>
        <v>3.8000000000000043</v>
      </c>
    </row>
    <row r="62" spans="1:3" x14ac:dyDescent="0.2">
      <c r="A62" s="53">
        <v>37316</v>
      </c>
      <c r="B62" s="54">
        <f>IF(VLOOKUP(Table9[[#This Row],[Date]],'DB Details'!$A:$Q,12)=0,"",VLOOKUP(Table9[[#This Row],[Date]],'DB Details'!$A:$Q,12))</f>
        <v>52.8</v>
      </c>
      <c r="C62" s="54">
        <f>Table9[[#This Row],[ISM Services]]-B61</f>
        <v>9.9999999999994316E-2</v>
      </c>
    </row>
    <row r="63" spans="1:3" x14ac:dyDescent="0.2">
      <c r="A63" s="53">
        <v>37347</v>
      </c>
      <c r="B63" s="54">
        <f>IF(VLOOKUP(Table9[[#This Row],[Date]],'DB Details'!$A:$Q,12)=0,"",VLOOKUP(Table9[[#This Row],[Date]],'DB Details'!$A:$Q,12))</f>
        <v>53.5</v>
      </c>
      <c r="C63" s="54">
        <f>Table9[[#This Row],[ISM Services]]-B62</f>
        <v>0.70000000000000284</v>
      </c>
    </row>
    <row r="64" spans="1:3" x14ac:dyDescent="0.2">
      <c r="A64" s="53">
        <v>37377</v>
      </c>
      <c r="B64" s="54">
        <f>IF(VLOOKUP(Table9[[#This Row],[Date]],'DB Details'!$A:$Q,12)=0,"",VLOOKUP(Table9[[#This Row],[Date]],'DB Details'!$A:$Q,12))</f>
        <v>54.8</v>
      </c>
      <c r="C64" s="54">
        <f>Table9[[#This Row],[ISM Services]]-B63</f>
        <v>1.2999999999999972</v>
      </c>
    </row>
    <row r="65" spans="1:3" x14ac:dyDescent="0.2">
      <c r="A65" s="53">
        <v>37408</v>
      </c>
      <c r="B65" s="54">
        <f>IF(VLOOKUP(Table9[[#This Row],[Date]],'DB Details'!$A:$Q,12)=0,"",VLOOKUP(Table9[[#This Row],[Date]],'DB Details'!$A:$Q,12))</f>
        <v>52.5</v>
      </c>
      <c r="C65" s="54">
        <f>Table9[[#This Row],[ISM Services]]-B64</f>
        <v>-2.2999999999999972</v>
      </c>
    </row>
    <row r="66" spans="1:3" x14ac:dyDescent="0.2">
      <c r="A66" s="53">
        <v>37438</v>
      </c>
      <c r="B66" s="54">
        <f>IF(VLOOKUP(Table9[[#This Row],[Date]],'DB Details'!$A:$Q,12)=0,"",VLOOKUP(Table9[[#This Row],[Date]],'DB Details'!$A:$Q,12))</f>
        <v>50.4</v>
      </c>
      <c r="C66" s="54">
        <f>Table9[[#This Row],[ISM Services]]-B65</f>
        <v>-2.1000000000000014</v>
      </c>
    </row>
    <row r="67" spans="1:3" x14ac:dyDescent="0.2">
      <c r="A67" s="53">
        <v>37469</v>
      </c>
      <c r="B67" s="54">
        <f>IF(VLOOKUP(Table9[[#This Row],[Date]],'DB Details'!$A:$Q,12)=0,"",VLOOKUP(Table9[[#This Row],[Date]],'DB Details'!$A:$Q,12))</f>
        <v>50.9</v>
      </c>
      <c r="C67" s="54">
        <f>Table9[[#This Row],[ISM Services]]-B66</f>
        <v>0.5</v>
      </c>
    </row>
    <row r="68" spans="1:3" x14ac:dyDescent="0.2">
      <c r="A68" s="53">
        <v>37500</v>
      </c>
      <c r="B68" s="54">
        <f>IF(VLOOKUP(Table9[[#This Row],[Date]],'DB Details'!$A:$Q,12)=0,"",VLOOKUP(Table9[[#This Row],[Date]],'DB Details'!$A:$Q,12))</f>
        <v>52.3</v>
      </c>
      <c r="C68" s="54">
        <f>Table9[[#This Row],[ISM Services]]-B67</f>
        <v>1.3999999999999986</v>
      </c>
    </row>
    <row r="69" spans="1:3" x14ac:dyDescent="0.2">
      <c r="A69" s="53">
        <v>37530</v>
      </c>
      <c r="B69" s="54">
        <f>IF(VLOOKUP(Table9[[#This Row],[Date]],'DB Details'!$A:$Q,12)=0,"",VLOOKUP(Table9[[#This Row],[Date]],'DB Details'!$A:$Q,12))</f>
        <v>51.4</v>
      </c>
      <c r="C69" s="54">
        <f>Table9[[#This Row],[ISM Services]]-B68</f>
        <v>-0.89999999999999858</v>
      </c>
    </row>
    <row r="70" spans="1:3" x14ac:dyDescent="0.2">
      <c r="A70" s="53">
        <v>37561</v>
      </c>
      <c r="B70" s="54">
        <f>IF(VLOOKUP(Table9[[#This Row],[Date]],'DB Details'!$A:$Q,12)=0,"",VLOOKUP(Table9[[#This Row],[Date]],'DB Details'!$A:$Q,12))</f>
        <v>52.9</v>
      </c>
      <c r="C70" s="54">
        <f>Table9[[#This Row],[ISM Services]]-B69</f>
        <v>1.5</v>
      </c>
    </row>
    <row r="71" spans="1:3" x14ac:dyDescent="0.2">
      <c r="A71" s="53">
        <v>37591</v>
      </c>
      <c r="B71" s="54">
        <f>IF(VLOOKUP(Table9[[#This Row],[Date]],'DB Details'!$A:$Q,12)=0,"",VLOOKUP(Table9[[#This Row],[Date]],'DB Details'!$A:$Q,12))</f>
        <v>52.3</v>
      </c>
      <c r="C71" s="54">
        <f>Table9[[#This Row],[ISM Services]]-B70</f>
        <v>-0.60000000000000142</v>
      </c>
    </row>
    <row r="72" spans="1:3" x14ac:dyDescent="0.2">
      <c r="A72" s="53">
        <v>37622</v>
      </c>
      <c r="B72" s="54">
        <f>IF(VLOOKUP(Table9[[#This Row],[Date]],'DB Details'!$A:$Q,12)=0,"",VLOOKUP(Table9[[#This Row],[Date]],'DB Details'!$A:$Q,12))</f>
        <v>53.3</v>
      </c>
      <c r="C72" s="54">
        <f>Table9[[#This Row],[ISM Services]]-B71</f>
        <v>1</v>
      </c>
    </row>
    <row r="73" spans="1:3" x14ac:dyDescent="0.2">
      <c r="A73" s="53">
        <v>37653</v>
      </c>
      <c r="B73" s="54">
        <f>IF(VLOOKUP(Table9[[#This Row],[Date]],'DB Details'!$A:$Q,12)=0,"",VLOOKUP(Table9[[#This Row],[Date]],'DB Details'!$A:$Q,12))</f>
        <v>52.6</v>
      </c>
      <c r="C73" s="54">
        <f>Table9[[#This Row],[ISM Services]]-B72</f>
        <v>-0.69999999999999574</v>
      </c>
    </row>
    <row r="74" spans="1:3" x14ac:dyDescent="0.2">
      <c r="A74" s="53">
        <v>37681</v>
      </c>
      <c r="B74" s="54">
        <f>IF(VLOOKUP(Table9[[#This Row],[Date]],'DB Details'!$A:$Q,12)=0,"",VLOOKUP(Table9[[#This Row],[Date]],'DB Details'!$A:$Q,12))</f>
        <v>49.1</v>
      </c>
      <c r="C74" s="54">
        <f>Table9[[#This Row],[ISM Services]]-B73</f>
        <v>-3.5</v>
      </c>
    </row>
    <row r="75" spans="1:3" x14ac:dyDescent="0.2">
      <c r="A75" s="53">
        <v>37712</v>
      </c>
      <c r="B75" s="54">
        <f>IF(VLOOKUP(Table9[[#This Row],[Date]],'DB Details'!$A:$Q,12)=0,"",VLOOKUP(Table9[[#This Row],[Date]],'DB Details'!$A:$Q,12))</f>
        <v>50.1</v>
      </c>
      <c r="C75" s="54">
        <f>Table9[[#This Row],[ISM Services]]-B74</f>
        <v>1</v>
      </c>
    </row>
    <row r="76" spans="1:3" x14ac:dyDescent="0.2">
      <c r="A76" s="53">
        <v>37742</v>
      </c>
      <c r="B76" s="54">
        <f>IF(VLOOKUP(Table9[[#This Row],[Date]],'DB Details'!$A:$Q,12)=0,"",VLOOKUP(Table9[[#This Row],[Date]],'DB Details'!$A:$Q,12))</f>
        <v>52.8</v>
      </c>
      <c r="C76" s="54">
        <f>Table9[[#This Row],[ISM Services]]-B75</f>
        <v>2.6999999999999957</v>
      </c>
    </row>
    <row r="77" spans="1:3" x14ac:dyDescent="0.2">
      <c r="A77" s="53">
        <v>37773</v>
      </c>
      <c r="B77" s="54">
        <f>IF(VLOOKUP(Table9[[#This Row],[Date]],'DB Details'!$A:$Q,12)=0,"",VLOOKUP(Table9[[#This Row],[Date]],'DB Details'!$A:$Q,12))</f>
        <v>54.3</v>
      </c>
      <c r="C77" s="54">
        <f>Table9[[#This Row],[ISM Services]]-B76</f>
        <v>1.5</v>
      </c>
    </row>
    <row r="78" spans="1:3" x14ac:dyDescent="0.2">
      <c r="A78" s="53">
        <v>37803</v>
      </c>
      <c r="B78" s="54">
        <f>IF(VLOOKUP(Table9[[#This Row],[Date]],'DB Details'!$A:$Q,12)=0,"",VLOOKUP(Table9[[#This Row],[Date]],'DB Details'!$A:$Q,12))</f>
        <v>57.3</v>
      </c>
      <c r="C78" s="54">
        <f>Table9[[#This Row],[ISM Services]]-B77</f>
        <v>3</v>
      </c>
    </row>
    <row r="79" spans="1:3" x14ac:dyDescent="0.2">
      <c r="A79" s="53">
        <v>37834</v>
      </c>
      <c r="B79" s="54">
        <f>IF(VLOOKUP(Table9[[#This Row],[Date]],'DB Details'!$A:$Q,12)=0,"",VLOOKUP(Table9[[#This Row],[Date]],'DB Details'!$A:$Q,12))</f>
        <v>59.1</v>
      </c>
      <c r="C79" s="54">
        <f>Table9[[#This Row],[ISM Services]]-B78</f>
        <v>1.8000000000000043</v>
      </c>
    </row>
    <row r="80" spans="1:3" x14ac:dyDescent="0.2">
      <c r="A80" s="53">
        <v>37865</v>
      </c>
      <c r="B80" s="54">
        <f>IF(VLOOKUP(Table9[[#This Row],[Date]],'DB Details'!$A:$Q,12)=0,"",VLOOKUP(Table9[[#This Row],[Date]],'DB Details'!$A:$Q,12))</f>
        <v>57.6</v>
      </c>
      <c r="C80" s="54">
        <f>Table9[[#This Row],[ISM Services]]-B79</f>
        <v>-1.5</v>
      </c>
    </row>
    <row r="81" spans="1:3" x14ac:dyDescent="0.2">
      <c r="A81" s="53">
        <v>37895</v>
      </c>
      <c r="B81" s="54">
        <f>IF(VLOOKUP(Table9[[#This Row],[Date]],'DB Details'!$A:$Q,12)=0,"",VLOOKUP(Table9[[#This Row],[Date]],'DB Details'!$A:$Q,12))</f>
        <v>58.7</v>
      </c>
      <c r="C81" s="54">
        <f>Table9[[#This Row],[ISM Services]]-B80</f>
        <v>1.1000000000000014</v>
      </c>
    </row>
    <row r="82" spans="1:3" x14ac:dyDescent="0.2">
      <c r="A82" s="53">
        <v>37926</v>
      </c>
      <c r="B82" s="54">
        <f>IF(VLOOKUP(Table9[[#This Row],[Date]],'DB Details'!$A:$Q,12)=0,"",VLOOKUP(Table9[[#This Row],[Date]],'DB Details'!$A:$Q,12))</f>
        <v>57.5</v>
      </c>
      <c r="C82" s="54">
        <f>Table9[[#This Row],[ISM Services]]-B81</f>
        <v>-1.2000000000000028</v>
      </c>
    </row>
    <row r="83" spans="1:3" x14ac:dyDescent="0.2">
      <c r="A83" s="53">
        <v>37956</v>
      </c>
      <c r="B83" s="54">
        <f>IF(VLOOKUP(Table9[[#This Row],[Date]],'DB Details'!$A:$Q,12)=0,"",VLOOKUP(Table9[[#This Row],[Date]],'DB Details'!$A:$Q,12))</f>
        <v>56.8</v>
      </c>
      <c r="C83" s="54">
        <f>Table9[[#This Row],[ISM Services]]-B82</f>
        <v>-0.70000000000000284</v>
      </c>
    </row>
    <row r="84" spans="1:3" x14ac:dyDescent="0.2">
      <c r="A84" s="53">
        <v>37987</v>
      </c>
      <c r="B84" s="54">
        <f>IF(VLOOKUP(Table9[[#This Row],[Date]],'DB Details'!$A:$Q,12)=0,"",VLOOKUP(Table9[[#This Row],[Date]],'DB Details'!$A:$Q,12))</f>
        <v>61.2</v>
      </c>
      <c r="C84" s="54">
        <f>Table9[[#This Row],[ISM Services]]-B83</f>
        <v>4.4000000000000057</v>
      </c>
    </row>
    <row r="85" spans="1:3" x14ac:dyDescent="0.2">
      <c r="A85" s="53">
        <v>38018</v>
      </c>
      <c r="B85" s="54">
        <f>IF(VLOOKUP(Table9[[#This Row],[Date]],'DB Details'!$A:$Q,12)=0,"",VLOOKUP(Table9[[#This Row],[Date]],'DB Details'!$A:$Q,12))</f>
        <v>58</v>
      </c>
      <c r="C85" s="54">
        <f>Table9[[#This Row],[ISM Services]]-B84</f>
        <v>-3.2000000000000028</v>
      </c>
    </row>
    <row r="86" spans="1:3" x14ac:dyDescent="0.2">
      <c r="A86" s="53">
        <v>38047</v>
      </c>
      <c r="B86" s="54">
        <f>IF(VLOOKUP(Table9[[#This Row],[Date]],'DB Details'!$A:$Q,12)=0,"",VLOOKUP(Table9[[#This Row],[Date]],'DB Details'!$A:$Q,12))</f>
        <v>58.3</v>
      </c>
      <c r="C86" s="54">
        <f>Table9[[#This Row],[ISM Services]]-B85</f>
        <v>0.29999999999999716</v>
      </c>
    </row>
    <row r="87" spans="1:3" x14ac:dyDescent="0.2">
      <c r="A87" s="53">
        <v>38078</v>
      </c>
      <c r="B87" s="54">
        <f>IF(VLOOKUP(Table9[[#This Row],[Date]],'DB Details'!$A:$Q,12)=0,"",VLOOKUP(Table9[[#This Row],[Date]],'DB Details'!$A:$Q,12))</f>
        <v>59.6</v>
      </c>
      <c r="C87" s="54">
        <f>Table9[[#This Row],[ISM Services]]-B86</f>
        <v>1.3000000000000043</v>
      </c>
    </row>
    <row r="88" spans="1:3" x14ac:dyDescent="0.2">
      <c r="A88" s="53">
        <v>38108</v>
      </c>
      <c r="B88" s="54">
        <f>IF(VLOOKUP(Table9[[#This Row],[Date]],'DB Details'!$A:$Q,12)=0,"",VLOOKUP(Table9[[#This Row],[Date]],'DB Details'!$A:$Q,12))</f>
        <v>58.5</v>
      </c>
      <c r="C88" s="54">
        <f>Table9[[#This Row],[ISM Services]]-B87</f>
        <v>-1.1000000000000014</v>
      </c>
    </row>
    <row r="89" spans="1:3" x14ac:dyDescent="0.2">
      <c r="A89" s="53">
        <v>38139</v>
      </c>
      <c r="B89" s="54">
        <f>IF(VLOOKUP(Table9[[#This Row],[Date]],'DB Details'!$A:$Q,12)=0,"",VLOOKUP(Table9[[#This Row],[Date]],'DB Details'!$A:$Q,12))</f>
        <v>58.6</v>
      </c>
      <c r="C89" s="54">
        <f>Table9[[#This Row],[ISM Services]]-B88</f>
        <v>0.10000000000000142</v>
      </c>
    </row>
    <row r="90" spans="1:3" x14ac:dyDescent="0.2">
      <c r="A90" s="53">
        <v>38169</v>
      </c>
      <c r="B90" s="54">
        <f>IF(VLOOKUP(Table9[[#This Row],[Date]],'DB Details'!$A:$Q,12)=0,"",VLOOKUP(Table9[[#This Row],[Date]],'DB Details'!$A:$Q,12))</f>
        <v>58.5</v>
      </c>
      <c r="C90" s="54">
        <f>Table9[[#This Row],[ISM Services]]-B89</f>
        <v>-0.10000000000000142</v>
      </c>
    </row>
    <row r="91" spans="1:3" x14ac:dyDescent="0.2">
      <c r="A91" s="53">
        <v>38200</v>
      </c>
      <c r="B91" s="54">
        <f>IF(VLOOKUP(Table9[[#This Row],[Date]],'DB Details'!$A:$Q,12)=0,"",VLOOKUP(Table9[[#This Row],[Date]],'DB Details'!$A:$Q,12))</f>
        <v>57.3</v>
      </c>
      <c r="C91" s="54">
        <f>Table9[[#This Row],[ISM Services]]-B90</f>
        <v>-1.2000000000000028</v>
      </c>
    </row>
    <row r="92" spans="1:3" x14ac:dyDescent="0.2">
      <c r="A92" s="53">
        <v>38231</v>
      </c>
      <c r="B92" s="54">
        <f>IF(VLOOKUP(Table9[[#This Row],[Date]],'DB Details'!$A:$Q,12)=0,"",VLOOKUP(Table9[[#This Row],[Date]],'DB Details'!$A:$Q,12))</f>
        <v>57.9</v>
      </c>
      <c r="C92" s="54">
        <f>Table9[[#This Row],[ISM Services]]-B91</f>
        <v>0.60000000000000142</v>
      </c>
    </row>
    <row r="93" spans="1:3" x14ac:dyDescent="0.2">
      <c r="A93" s="53">
        <v>38261</v>
      </c>
      <c r="B93" s="54">
        <f>IF(VLOOKUP(Table9[[#This Row],[Date]],'DB Details'!$A:$Q,12)=0,"",VLOOKUP(Table9[[#This Row],[Date]],'DB Details'!$A:$Q,12))</f>
        <v>58.8</v>
      </c>
      <c r="C93" s="54">
        <f>Table9[[#This Row],[ISM Services]]-B92</f>
        <v>0.89999999999999858</v>
      </c>
    </row>
    <row r="94" spans="1:3" x14ac:dyDescent="0.2">
      <c r="A94" s="53">
        <v>38292</v>
      </c>
      <c r="B94" s="54">
        <f>IF(VLOOKUP(Table9[[#This Row],[Date]],'DB Details'!$A:$Q,12)=0,"",VLOOKUP(Table9[[#This Row],[Date]],'DB Details'!$A:$Q,12))</f>
        <v>58.4</v>
      </c>
      <c r="C94" s="54">
        <f>Table9[[#This Row],[ISM Services]]-B93</f>
        <v>-0.39999999999999858</v>
      </c>
    </row>
    <row r="95" spans="1:3" x14ac:dyDescent="0.2">
      <c r="A95" s="53">
        <v>38322</v>
      </c>
      <c r="B95" s="54">
        <f>IF(VLOOKUP(Table9[[#This Row],[Date]],'DB Details'!$A:$Q,12)=0,"",VLOOKUP(Table9[[#This Row],[Date]],'DB Details'!$A:$Q,12))</f>
        <v>59.6</v>
      </c>
      <c r="C95" s="54">
        <f>Table9[[#This Row],[ISM Services]]-B94</f>
        <v>1.2000000000000028</v>
      </c>
    </row>
    <row r="96" spans="1:3" x14ac:dyDescent="0.2">
      <c r="A96" s="53">
        <v>38353</v>
      </c>
      <c r="B96" s="54">
        <f>IF(VLOOKUP(Table9[[#This Row],[Date]],'DB Details'!$A:$Q,12)=0,"",VLOOKUP(Table9[[#This Row],[Date]],'DB Details'!$A:$Q,12))</f>
        <v>58</v>
      </c>
      <c r="C96" s="54">
        <f>Table9[[#This Row],[ISM Services]]-B95</f>
        <v>-1.6000000000000014</v>
      </c>
    </row>
    <row r="97" spans="1:3" x14ac:dyDescent="0.2">
      <c r="A97" s="53">
        <v>38384</v>
      </c>
      <c r="B97" s="54">
        <f>IF(VLOOKUP(Table9[[#This Row],[Date]],'DB Details'!$A:$Q,12)=0,"",VLOOKUP(Table9[[#This Row],[Date]],'DB Details'!$A:$Q,12))</f>
        <v>59.4</v>
      </c>
      <c r="C97" s="54">
        <f>Table9[[#This Row],[ISM Services]]-B96</f>
        <v>1.3999999999999986</v>
      </c>
    </row>
    <row r="98" spans="1:3" x14ac:dyDescent="0.2">
      <c r="A98" s="53">
        <v>38412</v>
      </c>
      <c r="B98" s="54">
        <f>IF(VLOOKUP(Table9[[#This Row],[Date]],'DB Details'!$A:$Q,12)=0,"",VLOOKUP(Table9[[#This Row],[Date]],'DB Details'!$A:$Q,12))</f>
        <v>58</v>
      </c>
      <c r="C98" s="54">
        <f>Table9[[#This Row],[ISM Services]]-B97</f>
        <v>-1.3999999999999986</v>
      </c>
    </row>
    <row r="99" spans="1:3" x14ac:dyDescent="0.2">
      <c r="A99" s="53">
        <v>38443</v>
      </c>
      <c r="B99" s="54">
        <f>IF(VLOOKUP(Table9[[#This Row],[Date]],'DB Details'!$A:$Q,12)=0,"",VLOOKUP(Table9[[#This Row],[Date]],'DB Details'!$A:$Q,12))</f>
        <v>55.6</v>
      </c>
      <c r="C99" s="54">
        <f>Table9[[#This Row],[ISM Services]]-B98</f>
        <v>-2.3999999999999986</v>
      </c>
    </row>
    <row r="100" spans="1:3" x14ac:dyDescent="0.2">
      <c r="A100" s="53">
        <v>38473</v>
      </c>
      <c r="B100" s="54">
        <f>IF(VLOOKUP(Table9[[#This Row],[Date]],'DB Details'!$A:$Q,12)=0,"",VLOOKUP(Table9[[#This Row],[Date]],'DB Details'!$A:$Q,12))</f>
        <v>55.3</v>
      </c>
      <c r="C100" s="54">
        <f>Table9[[#This Row],[ISM Services]]-B99</f>
        <v>-0.30000000000000426</v>
      </c>
    </row>
    <row r="101" spans="1:3" x14ac:dyDescent="0.2">
      <c r="A101" s="53">
        <v>38504</v>
      </c>
      <c r="B101" s="54">
        <f>IF(VLOOKUP(Table9[[#This Row],[Date]],'DB Details'!$A:$Q,12)=0,"",VLOOKUP(Table9[[#This Row],[Date]],'DB Details'!$A:$Q,12))</f>
        <v>58.1</v>
      </c>
      <c r="C101" s="54">
        <f>Table9[[#This Row],[ISM Services]]-B100</f>
        <v>2.8000000000000043</v>
      </c>
    </row>
    <row r="102" spans="1:3" x14ac:dyDescent="0.2">
      <c r="A102" s="53">
        <v>38534</v>
      </c>
      <c r="B102" s="54">
        <f>IF(VLOOKUP(Table9[[#This Row],[Date]],'DB Details'!$A:$Q,12)=0,"",VLOOKUP(Table9[[#This Row],[Date]],'DB Details'!$A:$Q,12))</f>
        <v>59.5</v>
      </c>
      <c r="C102" s="54">
        <f>Table9[[#This Row],[ISM Services]]-B101</f>
        <v>1.3999999999999986</v>
      </c>
    </row>
    <row r="103" spans="1:3" x14ac:dyDescent="0.2">
      <c r="A103" s="53">
        <v>38565</v>
      </c>
      <c r="B103" s="54">
        <f>IF(VLOOKUP(Table9[[#This Row],[Date]],'DB Details'!$A:$Q,12)=0,"",VLOOKUP(Table9[[#This Row],[Date]],'DB Details'!$A:$Q,12))</f>
        <v>61.3</v>
      </c>
      <c r="C103" s="54">
        <f>Table9[[#This Row],[ISM Services]]-B102</f>
        <v>1.7999999999999972</v>
      </c>
    </row>
    <row r="104" spans="1:3" x14ac:dyDescent="0.2">
      <c r="A104" s="53">
        <v>38596</v>
      </c>
      <c r="B104" s="54">
        <f>IF(VLOOKUP(Table9[[#This Row],[Date]],'DB Details'!$A:$Q,12)=0,"",VLOOKUP(Table9[[#This Row],[Date]],'DB Details'!$A:$Q,12))</f>
        <v>55.7</v>
      </c>
      <c r="C104" s="54">
        <f>Table9[[#This Row],[ISM Services]]-B103</f>
        <v>-5.5999999999999943</v>
      </c>
    </row>
    <row r="105" spans="1:3" x14ac:dyDescent="0.2">
      <c r="A105" s="53">
        <v>38626</v>
      </c>
      <c r="B105" s="54">
        <f>IF(VLOOKUP(Table9[[#This Row],[Date]],'DB Details'!$A:$Q,12)=0,"",VLOOKUP(Table9[[#This Row],[Date]],'DB Details'!$A:$Q,12))</f>
        <v>57.4</v>
      </c>
      <c r="C105" s="54">
        <f>Table9[[#This Row],[ISM Services]]-B104</f>
        <v>1.6999999999999957</v>
      </c>
    </row>
    <row r="106" spans="1:3" x14ac:dyDescent="0.2">
      <c r="A106" s="53">
        <v>38657</v>
      </c>
      <c r="B106" s="54">
        <f>IF(VLOOKUP(Table9[[#This Row],[Date]],'DB Details'!$A:$Q,12)=0,"",VLOOKUP(Table9[[#This Row],[Date]],'DB Details'!$A:$Q,12))</f>
        <v>59.1</v>
      </c>
      <c r="C106" s="54">
        <f>Table9[[#This Row],[ISM Services]]-B105</f>
        <v>1.7000000000000028</v>
      </c>
    </row>
    <row r="107" spans="1:3" x14ac:dyDescent="0.2">
      <c r="A107" s="53">
        <v>38687</v>
      </c>
      <c r="B107" s="54">
        <f>IF(VLOOKUP(Table9[[#This Row],[Date]],'DB Details'!$A:$Q,12)=0,"",VLOOKUP(Table9[[#This Row],[Date]],'DB Details'!$A:$Q,12))</f>
        <v>59</v>
      </c>
      <c r="C107" s="54">
        <f>Table9[[#This Row],[ISM Services]]-B106</f>
        <v>-0.10000000000000142</v>
      </c>
    </row>
    <row r="108" spans="1:3" x14ac:dyDescent="0.2">
      <c r="A108" s="53">
        <v>38718</v>
      </c>
      <c r="B108" s="54">
        <f>IF(VLOOKUP(Table9[[#This Row],[Date]],'DB Details'!$A:$Q,12)=0,"",VLOOKUP(Table9[[#This Row],[Date]],'DB Details'!$A:$Q,12))</f>
        <v>56.3</v>
      </c>
      <c r="C108" s="54">
        <f>Table9[[#This Row],[ISM Services]]-B107</f>
        <v>-2.7000000000000028</v>
      </c>
    </row>
    <row r="109" spans="1:3" x14ac:dyDescent="0.2">
      <c r="A109" s="53">
        <v>38749</v>
      </c>
      <c r="B109" s="54">
        <f>IF(VLOOKUP(Table9[[#This Row],[Date]],'DB Details'!$A:$Q,12)=0,"",VLOOKUP(Table9[[#This Row],[Date]],'DB Details'!$A:$Q,12))</f>
        <v>57.6</v>
      </c>
      <c r="C109" s="54">
        <f>Table9[[#This Row],[ISM Services]]-B108</f>
        <v>1.3000000000000043</v>
      </c>
    </row>
    <row r="110" spans="1:3" x14ac:dyDescent="0.2">
      <c r="A110" s="53">
        <v>38777</v>
      </c>
      <c r="B110" s="54">
        <f>IF(VLOOKUP(Table9[[#This Row],[Date]],'DB Details'!$A:$Q,12)=0,"",VLOOKUP(Table9[[#This Row],[Date]],'DB Details'!$A:$Q,12))</f>
        <v>56.9</v>
      </c>
      <c r="C110" s="54">
        <f>Table9[[#This Row],[ISM Services]]-B109</f>
        <v>-0.70000000000000284</v>
      </c>
    </row>
    <row r="111" spans="1:3" x14ac:dyDescent="0.2">
      <c r="A111" s="53">
        <v>38808</v>
      </c>
      <c r="B111" s="54">
        <f>IF(VLOOKUP(Table9[[#This Row],[Date]],'DB Details'!$A:$Q,12)=0,"",VLOOKUP(Table9[[#This Row],[Date]],'DB Details'!$A:$Q,12))</f>
        <v>58.4</v>
      </c>
      <c r="C111" s="54">
        <f>Table9[[#This Row],[ISM Services]]-B110</f>
        <v>1.5</v>
      </c>
    </row>
    <row r="112" spans="1:3" x14ac:dyDescent="0.2">
      <c r="A112" s="53">
        <v>38838</v>
      </c>
      <c r="B112" s="54">
        <f>IF(VLOOKUP(Table9[[#This Row],[Date]],'DB Details'!$A:$Q,12)=0,"",VLOOKUP(Table9[[#This Row],[Date]],'DB Details'!$A:$Q,12))</f>
        <v>57</v>
      </c>
      <c r="C112" s="54">
        <f>Table9[[#This Row],[ISM Services]]-B111</f>
        <v>-1.3999999999999986</v>
      </c>
    </row>
    <row r="113" spans="1:3" x14ac:dyDescent="0.2">
      <c r="A113" s="53">
        <v>38869</v>
      </c>
      <c r="B113" s="54">
        <f>IF(VLOOKUP(Table9[[#This Row],[Date]],'DB Details'!$A:$Q,12)=0,"",VLOOKUP(Table9[[#This Row],[Date]],'DB Details'!$A:$Q,12))</f>
        <v>55.2</v>
      </c>
      <c r="C113" s="54">
        <f>Table9[[#This Row],[ISM Services]]-B112</f>
        <v>-1.7999999999999972</v>
      </c>
    </row>
    <row r="114" spans="1:3" x14ac:dyDescent="0.2">
      <c r="A114" s="53">
        <v>38899</v>
      </c>
      <c r="B114" s="54">
        <f>IF(VLOOKUP(Table9[[#This Row],[Date]],'DB Details'!$A:$Q,12)=0,"",VLOOKUP(Table9[[#This Row],[Date]],'DB Details'!$A:$Q,12))</f>
        <v>55.6</v>
      </c>
      <c r="C114" s="54">
        <f>Table9[[#This Row],[ISM Services]]-B113</f>
        <v>0.39999999999999858</v>
      </c>
    </row>
    <row r="115" spans="1:3" x14ac:dyDescent="0.2">
      <c r="A115" s="53">
        <v>38930</v>
      </c>
      <c r="B115" s="54">
        <f>IF(VLOOKUP(Table9[[#This Row],[Date]],'DB Details'!$A:$Q,12)=0,"",VLOOKUP(Table9[[#This Row],[Date]],'DB Details'!$A:$Q,12))</f>
        <v>53.9</v>
      </c>
      <c r="C115" s="54">
        <f>Table9[[#This Row],[ISM Services]]-B114</f>
        <v>-1.7000000000000028</v>
      </c>
    </row>
    <row r="116" spans="1:3" x14ac:dyDescent="0.2">
      <c r="A116" s="53">
        <v>38961</v>
      </c>
      <c r="B116" s="54">
        <f>IF(VLOOKUP(Table9[[#This Row],[Date]],'DB Details'!$A:$Q,12)=0,"",VLOOKUP(Table9[[#This Row],[Date]],'DB Details'!$A:$Q,12))</f>
        <v>54.5</v>
      </c>
      <c r="C116" s="54">
        <f>Table9[[#This Row],[ISM Services]]-B115</f>
        <v>0.60000000000000142</v>
      </c>
    </row>
    <row r="117" spans="1:3" x14ac:dyDescent="0.2">
      <c r="A117" s="53">
        <v>38991</v>
      </c>
      <c r="B117" s="54">
        <f>IF(VLOOKUP(Table9[[#This Row],[Date]],'DB Details'!$A:$Q,12)=0,"",VLOOKUP(Table9[[#This Row],[Date]],'DB Details'!$A:$Q,12))</f>
        <v>54.9</v>
      </c>
      <c r="C117" s="54">
        <f>Table9[[#This Row],[ISM Services]]-B116</f>
        <v>0.39999999999999858</v>
      </c>
    </row>
    <row r="118" spans="1:3" x14ac:dyDescent="0.2">
      <c r="A118" s="53">
        <v>39022</v>
      </c>
      <c r="B118" s="54">
        <f>IF(VLOOKUP(Table9[[#This Row],[Date]],'DB Details'!$A:$Q,12)=0,"",VLOOKUP(Table9[[#This Row],[Date]],'DB Details'!$A:$Q,12))</f>
        <v>54.5</v>
      </c>
      <c r="C118" s="54">
        <f>Table9[[#This Row],[ISM Services]]-B117</f>
        <v>-0.39999999999999858</v>
      </c>
    </row>
    <row r="119" spans="1:3" x14ac:dyDescent="0.2">
      <c r="A119" s="53">
        <v>39052</v>
      </c>
      <c r="B119" s="54">
        <f>IF(VLOOKUP(Table9[[#This Row],[Date]],'DB Details'!$A:$Q,12)=0,"",VLOOKUP(Table9[[#This Row],[Date]],'DB Details'!$A:$Q,12))</f>
        <v>53.7</v>
      </c>
      <c r="C119" s="54">
        <f>Table9[[#This Row],[ISM Services]]-B118</f>
        <v>-0.79999999999999716</v>
      </c>
    </row>
    <row r="120" spans="1:3" x14ac:dyDescent="0.2">
      <c r="A120" s="53">
        <v>39083</v>
      </c>
      <c r="B120" s="54">
        <f>IF(VLOOKUP(Table9[[#This Row],[Date]],'DB Details'!$A:$Q,12)=0,"",VLOOKUP(Table9[[#This Row],[Date]],'DB Details'!$A:$Q,12))</f>
        <v>55.4</v>
      </c>
      <c r="C120" s="54">
        <f>Table9[[#This Row],[ISM Services]]-B119</f>
        <v>1.6999999999999957</v>
      </c>
    </row>
    <row r="121" spans="1:3" x14ac:dyDescent="0.2">
      <c r="A121" s="53">
        <v>39114</v>
      </c>
      <c r="B121" s="54">
        <f>IF(VLOOKUP(Table9[[#This Row],[Date]],'DB Details'!$A:$Q,12)=0,"",VLOOKUP(Table9[[#This Row],[Date]],'DB Details'!$A:$Q,12))</f>
        <v>54.2</v>
      </c>
      <c r="C121" s="54">
        <f>Table9[[#This Row],[ISM Services]]-B120</f>
        <v>-1.1999999999999957</v>
      </c>
    </row>
    <row r="122" spans="1:3" x14ac:dyDescent="0.2">
      <c r="A122" s="53">
        <v>39142</v>
      </c>
      <c r="B122" s="54">
        <f>IF(VLOOKUP(Table9[[#This Row],[Date]],'DB Details'!$A:$Q,12)=0,"",VLOOKUP(Table9[[#This Row],[Date]],'DB Details'!$A:$Q,12))</f>
        <v>52.1</v>
      </c>
      <c r="C122" s="54">
        <f>Table9[[#This Row],[ISM Services]]-B121</f>
        <v>-2.1000000000000014</v>
      </c>
    </row>
    <row r="123" spans="1:3" x14ac:dyDescent="0.2">
      <c r="A123" s="53">
        <v>39173</v>
      </c>
      <c r="B123" s="54">
        <f>IF(VLOOKUP(Table9[[#This Row],[Date]],'DB Details'!$A:$Q,12)=0,"",VLOOKUP(Table9[[#This Row],[Date]],'DB Details'!$A:$Q,12))</f>
        <v>53.4</v>
      </c>
      <c r="C123" s="54">
        <f>Table9[[#This Row],[ISM Services]]-B122</f>
        <v>1.2999999999999972</v>
      </c>
    </row>
    <row r="124" spans="1:3" x14ac:dyDescent="0.2">
      <c r="A124" s="53">
        <v>39203</v>
      </c>
      <c r="B124" s="54">
        <f>IF(VLOOKUP(Table9[[#This Row],[Date]],'DB Details'!$A:$Q,12)=0,"",VLOOKUP(Table9[[#This Row],[Date]],'DB Details'!$A:$Q,12))</f>
        <v>54.3</v>
      </c>
      <c r="C124" s="54">
        <f>Table9[[#This Row],[ISM Services]]-B123</f>
        <v>0.89999999999999858</v>
      </c>
    </row>
    <row r="125" spans="1:3" x14ac:dyDescent="0.2">
      <c r="A125" s="53">
        <v>39234</v>
      </c>
      <c r="B125" s="54">
        <f>IF(VLOOKUP(Table9[[#This Row],[Date]],'DB Details'!$A:$Q,12)=0,"",VLOOKUP(Table9[[#This Row],[Date]],'DB Details'!$A:$Q,12))</f>
        <v>54.9</v>
      </c>
      <c r="C125" s="54">
        <f>Table9[[#This Row],[ISM Services]]-B124</f>
        <v>0.60000000000000142</v>
      </c>
    </row>
    <row r="126" spans="1:3" x14ac:dyDescent="0.2">
      <c r="A126" s="53">
        <v>39264</v>
      </c>
      <c r="B126" s="54">
        <f>IF(VLOOKUP(Table9[[#This Row],[Date]],'DB Details'!$A:$Q,12)=0,"",VLOOKUP(Table9[[#This Row],[Date]],'DB Details'!$A:$Q,12))</f>
        <v>53.6</v>
      </c>
      <c r="C126" s="54">
        <f>Table9[[#This Row],[ISM Services]]-B125</f>
        <v>-1.2999999999999972</v>
      </c>
    </row>
    <row r="127" spans="1:3" x14ac:dyDescent="0.2">
      <c r="A127" s="53">
        <v>39295</v>
      </c>
      <c r="B127" s="54">
        <f>IF(VLOOKUP(Table9[[#This Row],[Date]],'DB Details'!$A:$Q,12)=0,"",VLOOKUP(Table9[[#This Row],[Date]],'DB Details'!$A:$Q,12))</f>
        <v>52.7</v>
      </c>
      <c r="C127" s="54">
        <f>Table9[[#This Row],[ISM Services]]-B126</f>
        <v>-0.89999999999999858</v>
      </c>
    </row>
    <row r="128" spans="1:3" x14ac:dyDescent="0.2">
      <c r="A128" s="53">
        <v>39326</v>
      </c>
      <c r="B128" s="54">
        <f>IF(VLOOKUP(Table9[[#This Row],[Date]],'DB Details'!$A:$Q,12)=0,"",VLOOKUP(Table9[[#This Row],[Date]],'DB Details'!$A:$Q,12))</f>
        <v>52.6</v>
      </c>
      <c r="C128" s="54">
        <f>Table9[[#This Row],[ISM Services]]-B127</f>
        <v>-0.10000000000000142</v>
      </c>
    </row>
    <row r="129" spans="1:3" x14ac:dyDescent="0.2">
      <c r="A129" s="53">
        <v>39356</v>
      </c>
      <c r="B129" s="54">
        <f>IF(VLOOKUP(Table9[[#This Row],[Date]],'DB Details'!$A:$Q,12)=0,"",VLOOKUP(Table9[[#This Row],[Date]],'DB Details'!$A:$Q,12))</f>
        <v>53.6</v>
      </c>
      <c r="C129" s="54">
        <f>Table9[[#This Row],[ISM Services]]-B128</f>
        <v>1</v>
      </c>
    </row>
    <row r="130" spans="1:3" x14ac:dyDescent="0.2">
      <c r="A130" s="53">
        <v>39387</v>
      </c>
      <c r="B130" s="54">
        <f>IF(VLOOKUP(Table9[[#This Row],[Date]],'DB Details'!$A:$Q,12)=0,"",VLOOKUP(Table9[[#This Row],[Date]],'DB Details'!$A:$Q,12))</f>
        <v>52.8</v>
      </c>
      <c r="C130" s="54">
        <f>Table9[[#This Row],[ISM Services]]-B129</f>
        <v>-0.80000000000000426</v>
      </c>
    </row>
    <row r="131" spans="1:3" x14ac:dyDescent="0.2">
      <c r="A131" s="53">
        <v>39417</v>
      </c>
      <c r="B131" s="54">
        <f>IF(VLOOKUP(Table9[[#This Row],[Date]],'DB Details'!$A:$Q,12)=0,"",VLOOKUP(Table9[[#This Row],[Date]],'DB Details'!$A:$Q,12))</f>
        <v>52.5</v>
      </c>
      <c r="C131" s="54">
        <f>Table9[[#This Row],[ISM Services]]-B130</f>
        <v>-0.29999999999999716</v>
      </c>
    </row>
    <row r="132" spans="1:3" x14ac:dyDescent="0.2">
      <c r="A132" s="53">
        <v>39448</v>
      </c>
      <c r="B132" s="54">
        <f>IF(VLOOKUP(Table9[[#This Row],[Date]],'DB Details'!$A:$Q,12)=0,"",VLOOKUP(Table9[[#This Row],[Date]],'DB Details'!$A:$Q,12))</f>
        <v>44.8</v>
      </c>
      <c r="C132" s="54">
        <f>Table9[[#This Row],[ISM Services]]-B131</f>
        <v>-7.7000000000000028</v>
      </c>
    </row>
    <row r="133" spans="1:3" x14ac:dyDescent="0.2">
      <c r="A133" s="53">
        <v>39479</v>
      </c>
      <c r="B133" s="54">
        <f>IF(VLOOKUP(Table9[[#This Row],[Date]],'DB Details'!$A:$Q,12)=0,"",VLOOKUP(Table9[[#This Row],[Date]],'DB Details'!$A:$Q,12))</f>
        <v>49.9</v>
      </c>
      <c r="C133" s="54">
        <f>Table9[[#This Row],[ISM Services]]-B132</f>
        <v>5.1000000000000014</v>
      </c>
    </row>
    <row r="134" spans="1:3" x14ac:dyDescent="0.2">
      <c r="A134" s="53">
        <v>39508</v>
      </c>
      <c r="B134" s="54">
        <f>IF(VLOOKUP(Table9[[#This Row],[Date]],'DB Details'!$A:$Q,12)=0,"",VLOOKUP(Table9[[#This Row],[Date]],'DB Details'!$A:$Q,12))</f>
        <v>49.4</v>
      </c>
      <c r="C134" s="54">
        <f>Table9[[#This Row],[ISM Services]]-B133</f>
        <v>-0.5</v>
      </c>
    </row>
    <row r="135" spans="1:3" x14ac:dyDescent="0.2">
      <c r="A135" s="53">
        <v>39539</v>
      </c>
      <c r="B135" s="54">
        <f>IF(VLOOKUP(Table9[[#This Row],[Date]],'DB Details'!$A:$Q,12)=0,"",VLOOKUP(Table9[[#This Row],[Date]],'DB Details'!$A:$Q,12))</f>
        <v>51.9</v>
      </c>
      <c r="C135" s="54">
        <f>Table9[[#This Row],[ISM Services]]-B134</f>
        <v>2.5</v>
      </c>
    </row>
    <row r="136" spans="1:3" x14ac:dyDescent="0.2">
      <c r="A136" s="53">
        <v>39569</v>
      </c>
      <c r="B136" s="54">
        <f>IF(VLOOKUP(Table9[[#This Row],[Date]],'DB Details'!$A:$Q,12)=0,"",VLOOKUP(Table9[[#This Row],[Date]],'DB Details'!$A:$Q,12))</f>
        <v>51.5</v>
      </c>
      <c r="C136" s="54">
        <f>Table9[[#This Row],[ISM Services]]-B135</f>
        <v>-0.39999999999999858</v>
      </c>
    </row>
    <row r="137" spans="1:3" x14ac:dyDescent="0.2">
      <c r="A137" s="53">
        <v>39600</v>
      </c>
      <c r="B137" s="54">
        <f>IF(VLOOKUP(Table9[[#This Row],[Date]],'DB Details'!$A:$Q,12)=0,"",VLOOKUP(Table9[[#This Row],[Date]],'DB Details'!$A:$Q,12))</f>
        <v>48.1</v>
      </c>
      <c r="C137" s="54">
        <f>Table9[[#This Row],[ISM Services]]-B136</f>
        <v>-3.3999999999999986</v>
      </c>
    </row>
    <row r="138" spans="1:3" x14ac:dyDescent="0.2">
      <c r="A138" s="53">
        <v>39630</v>
      </c>
      <c r="B138" s="54">
        <f>IF(VLOOKUP(Table9[[#This Row],[Date]],'DB Details'!$A:$Q,12)=0,"",VLOOKUP(Table9[[#This Row],[Date]],'DB Details'!$A:$Q,12))</f>
        <v>50.1</v>
      </c>
      <c r="C138" s="54">
        <f>Table9[[#This Row],[ISM Services]]-B137</f>
        <v>2</v>
      </c>
    </row>
    <row r="139" spans="1:3" x14ac:dyDescent="0.2">
      <c r="A139" s="53">
        <v>39661</v>
      </c>
      <c r="B139" s="54">
        <f>IF(VLOOKUP(Table9[[#This Row],[Date]],'DB Details'!$A:$Q,12)=0,"",VLOOKUP(Table9[[#This Row],[Date]],'DB Details'!$A:$Q,12))</f>
        <v>50.6</v>
      </c>
      <c r="C139" s="54">
        <f>Table9[[#This Row],[ISM Services]]-B138</f>
        <v>0.5</v>
      </c>
    </row>
    <row r="140" spans="1:3" x14ac:dyDescent="0.2">
      <c r="A140" s="53">
        <v>39692</v>
      </c>
      <c r="B140" s="54">
        <f>IF(VLOOKUP(Table9[[#This Row],[Date]],'DB Details'!$A:$Q,12)=0,"",VLOOKUP(Table9[[#This Row],[Date]],'DB Details'!$A:$Q,12))</f>
        <v>49.4</v>
      </c>
      <c r="C140" s="54">
        <f>Table9[[#This Row],[ISM Services]]-B139</f>
        <v>-1.2000000000000028</v>
      </c>
    </row>
    <row r="141" spans="1:3" x14ac:dyDescent="0.2">
      <c r="A141" s="53">
        <v>39722</v>
      </c>
      <c r="B141" s="54">
        <f>IF(VLOOKUP(Table9[[#This Row],[Date]],'DB Details'!$A:$Q,12)=0,"",VLOOKUP(Table9[[#This Row],[Date]],'DB Details'!$A:$Q,12))</f>
        <v>44.7</v>
      </c>
      <c r="C141" s="54">
        <f>Table9[[#This Row],[ISM Services]]-B140</f>
        <v>-4.6999999999999957</v>
      </c>
    </row>
    <row r="142" spans="1:3" x14ac:dyDescent="0.2">
      <c r="A142" s="53">
        <v>39753</v>
      </c>
      <c r="B142" s="54">
        <f>IF(VLOOKUP(Table9[[#This Row],[Date]],'DB Details'!$A:$Q,12)=0,"",VLOOKUP(Table9[[#This Row],[Date]],'DB Details'!$A:$Q,12))</f>
        <v>37.799999999999997</v>
      </c>
      <c r="C142" s="54">
        <f>Table9[[#This Row],[ISM Services]]-B141</f>
        <v>-6.9000000000000057</v>
      </c>
    </row>
    <row r="143" spans="1:3" x14ac:dyDescent="0.2">
      <c r="A143" s="53">
        <v>39783</v>
      </c>
      <c r="B143" s="54">
        <f>IF(VLOOKUP(Table9[[#This Row],[Date]],'DB Details'!$A:$Q,12)=0,"",VLOOKUP(Table9[[#This Row],[Date]],'DB Details'!$A:$Q,12))</f>
        <v>40</v>
      </c>
      <c r="C143" s="54">
        <f>Table9[[#This Row],[ISM Services]]-B142</f>
        <v>2.2000000000000028</v>
      </c>
    </row>
    <row r="144" spans="1:3" x14ac:dyDescent="0.2">
      <c r="A144" s="53">
        <v>39814</v>
      </c>
      <c r="B144" s="54">
        <f>IF(VLOOKUP(Table9[[#This Row],[Date]],'DB Details'!$A:$Q,12)=0,"",VLOOKUP(Table9[[#This Row],[Date]],'DB Details'!$A:$Q,12))</f>
        <v>43</v>
      </c>
      <c r="C144" s="54">
        <f>Table9[[#This Row],[ISM Services]]-B143</f>
        <v>3</v>
      </c>
    </row>
    <row r="145" spans="1:3" x14ac:dyDescent="0.2">
      <c r="A145" s="53">
        <v>39845</v>
      </c>
      <c r="B145" s="54">
        <f>IF(VLOOKUP(Table9[[#This Row],[Date]],'DB Details'!$A:$Q,12)=0,"",VLOOKUP(Table9[[#This Row],[Date]],'DB Details'!$A:$Q,12))</f>
        <v>41.6</v>
      </c>
      <c r="C145" s="54">
        <f>Table9[[#This Row],[ISM Services]]-B144</f>
        <v>-1.3999999999999986</v>
      </c>
    </row>
    <row r="146" spans="1:3" x14ac:dyDescent="0.2">
      <c r="A146" s="53">
        <v>39873</v>
      </c>
      <c r="B146" s="54">
        <f>IF(VLOOKUP(Table9[[#This Row],[Date]],'DB Details'!$A:$Q,12)=0,"",VLOOKUP(Table9[[#This Row],[Date]],'DB Details'!$A:$Q,12))</f>
        <v>40.1</v>
      </c>
      <c r="C146" s="54">
        <f>Table9[[#This Row],[ISM Services]]-B145</f>
        <v>-1.5</v>
      </c>
    </row>
    <row r="147" spans="1:3" x14ac:dyDescent="0.2">
      <c r="A147" s="53">
        <v>39904</v>
      </c>
      <c r="B147" s="54">
        <f>IF(VLOOKUP(Table9[[#This Row],[Date]],'DB Details'!$A:$Q,12)=0,"",VLOOKUP(Table9[[#This Row],[Date]],'DB Details'!$A:$Q,12))</f>
        <v>43.7</v>
      </c>
      <c r="C147" s="54">
        <f>Table9[[#This Row],[ISM Services]]-B146</f>
        <v>3.6000000000000014</v>
      </c>
    </row>
    <row r="148" spans="1:3" x14ac:dyDescent="0.2">
      <c r="A148" s="53">
        <v>39934</v>
      </c>
      <c r="B148" s="54">
        <f>IF(VLOOKUP(Table9[[#This Row],[Date]],'DB Details'!$A:$Q,12)=0,"",VLOOKUP(Table9[[#This Row],[Date]],'DB Details'!$A:$Q,12))</f>
        <v>44.4</v>
      </c>
      <c r="C148" s="54">
        <f>Table9[[#This Row],[ISM Services]]-B147</f>
        <v>0.69999999999999574</v>
      </c>
    </row>
    <row r="149" spans="1:3" x14ac:dyDescent="0.2">
      <c r="A149" s="53">
        <v>39965</v>
      </c>
      <c r="B149" s="54">
        <f>IF(VLOOKUP(Table9[[#This Row],[Date]],'DB Details'!$A:$Q,12)=0,"",VLOOKUP(Table9[[#This Row],[Date]],'DB Details'!$A:$Q,12))</f>
        <v>46.4</v>
      </c>
      <c r="C149" s="54">
        <f>Table9[[#This Row],[ISM Services]]-B148</f>
        <v>2</v>
      </c>
    </row>
    <row r="150" spans="1:3" x14ac:dyDescent="0.2">
      <c r="A150" s="53">
        <v>39995</v>
      </c>
      <c r="B150" s="54">
        <f>IF(VLOOKUP(Table9[[#This Row],[Date]],'DB Details'!$A:$Q,12)=0,"",VLOOKUP(Table9[[#This Row],[Date]],'DB Details'!$A:$Q,12))</f>
        <v>47.1</v>
      </c>
      <c r="C150" s="54">
        <f>Table9[[#This Row],[ISM Services]]-B149</f>
        <v>0.70000000000000284</v>
      </c>
    </row>
    <row r="151" spans="1:3" x14ac:dyDescent="0.2">
      <c r="A151" s="53">
        <v>40026</v>
      </c>
      <c r="B151" s="54">
        <f>IF(VLOOKUP(Table9[[#This Row],[Date]],'DB Details'!$A:$Q,12)=0,"",VLOOKUP(Table9[[#This Row],[Date]],'DB Details'!$A:$Q,12))</f>
        <v>48.9</v>
      </c>
      <c r="C151" s="54">
        <f>Table9[[#This Row],[ISM Services]]-B150</f>
        <v>1.7999999999999972</v>
      </c>
    </row>
    <row r="152" spans="1:3" x14ac:dyDescent="0.2">
      <c r="A152" s="53">
        <v>40057</v>
      </c>
      <c r="B152" s="54">
        <f>IF(VLOOKUP(Table9[[#This Row],[Date]],'DB Details'!$A:$Q,12)=0,"",VLOOKUP(Table9[[#This Row],[Date]],'DB Details'!$A:$Q,12))</f>
        <v>50.1</v>
      </c>
      <c r="C152" s="54">
        <f>Table9[[#This Row],[ISM Services]]-B151</f>
        <v>1.2000000000000028</v>
      </c>
    </row>
    <row r="153" spans="1:3" x14ac:dyDescent="0.2">
      <c r="A153" s="53">
        <v>40087</v>
      </c>
      <c r="B153" s="54">
        <f>IF(VLOOKUP(Table9[[#This Row],[Date]],'DB Details'!$A:$Q,12)=0,"",VLOOKUP(Table9[[#This Row],[Date]],'DB Details'!$A:$Q,12))</f>
        <v>51</v>
      </c>
      <c r="C153" s="54">
        <f>Table9[[#This Row],[ISM Services]]-B152</f>
        <v>0.89999999999999858</v>
      </c>
    </row>
    <row r="154" spans="1:3" x14ac:dyDescent="0.2">
      <c r="A154" s="53">
        <v>40118</v>
      </c>
      <c r="B154" s="54">
        <f>IF(VLOOKUP(Table9[[#This Row],[Date]],'DB Details'!$A:$Q,12)=0,"",VLOOKUP(Table9[[#This Row],[Date]],'DB Details'!$A:$Q,12))</f>
        <v>49.5</v>
      </c>
      <c r="C154" s="54">
        <f>Table9[[#This Row],[ISM Services]]-B153</f>
        <v>-1.5</v>
      </c>
    </row>
    <row r="155" spans="1:3" x14ac:dyDescent="0.2">
      <c r="A155" s="53">
        <v>40148</v>
      </c>
      <c r="B155" s="54">
        <f>IF(VLOOKUP(Table9[[#This Row],[Date]],'DB Details'!$A:$Q,12)=0,"",VLOOKUP(Table9[[#This Row],[Date]],'DB Details'!$A:$Q,12))</f>
        <v>49.7</v>
      </c>
      <c r="C155" s="54">
        <f>Table9[[#This Row],[ISM Services]]-B154</f>
        <v>0.20000000000000284</v>
      </c>
    </row>
    <row r="156" spans="1:3" x14ac:dyDescent="0.2">
      <c r="A156" s="53">
        <v>40179</v>
      </c>
      <c r="B156" s="54">
        <f>IF(VLOOKUP(Table9[[#This Row],[Date]],'DB Details'!$A:$Q,12)=0,"",VLOOKUP(Table9[[#This Row],[Date]],'DB Details'!$A:$Q,12))</f>
        <v>50</v>
      </c>
      <c r="C156" s="54">
        <f>Table9[[#This Row],[ISM Services]]-B155</f>
        <v>0.29999999999999716</v>
      </c>
    </row>
    <row r="157" spans="1:3" x14ac:dyDescent="0.2">
      <c r="A157" s="53">
        <v>40210</v>
      </c>
      <c r="B157" s="54">
        <f>IF(VLOOKUP(Table9[[#This Row],[Date]],'DB Details'!$A:$Q,12)=0,"",VLOOKUP(Table9[[#This Row],[Date]],'DB Details'!$A:$Q,12))</f>
        <v>51.7</v>
      </c>
      <c r="C157" s="54">
        <f>Table9[[#This Row],[ISM Services]]-B156</f>
        <v>1.7000000000000028</v>
      </c>
    </row>
    <row r="158" spans="1:3" x14ac:dyDescent="0.2">
      <c r="A158" s="53">
        <v>40238</v>
      </c>
      <c r="B158" s="54">
        <f>IF(VLOOKUP(Table9[[#This Row],[Date]],'DB Details'!$A:$Q,12)=0,"",VLOOKUP(Table9[[#This Row],[Date]],'DB Details'!$A:$Q,12))</f>
        <v>53.3</v>
      </c>
      <c r="C158" s="54">
        <f>Table9[[#This Row],[ISM Services]]-B157</f>
        <v>1.5999999999999943</v>
      </c>
    </row>
    <row r="159" spans="1:3" x14ac:dyDescent="0.2">
      <c r="A159" s="53">
        <v>40269</v>
      </c>
      <c r="B159" s="54">
        <f>IF(VLOOKUP(Table9[[#This Row],[Date]],'DB Details'!$A:$Q,12)=0,"",VLOOKUP(Table9[[#This Row],[Date]],'DB Details'!$A:$Q,12))</f>
        <v>55.3</v>
      </c>
      <c r="C159" s="54">
        <f>Table9[[#This Row],[ISM Services]]-B158</f>
        <v>2</v>
      </c>
    </row>
    <row r="160" spans="1:3" x14ac:dyDescent="0.2">
      <c r="A160" s="53">
        <v>40299</v>
      </c>
      <c r="B160" s="54">
        <f>IF(VLOOKUP(Table9[[#This Row],[Date]],'DB Details'!$A:$Q,12)=0,"",VLOOKUP(Table9[[#This Row],[Date]],'DB Details'!$A:$Q,12))</f>
        <v>55.5</v>
      </c>
      <c r="C160" s="54">
        <f>Table9[[#This Row],[ISM Services]]-B159</f>
        <v>0.20000000000000284</v>
      </c>
    </row>
    <row r="161" spans="1:3" x14ac:dyDescent="0.2">
      <c r="A161" s="53">
        <v>40330</v>
      </c>
      <c r="B161" s="54">
        <f>IF(VLOOKUP(Table9[[#This Row],[Date]],'DB Details'!$A:$Q,12)=0,"",VLOOKUP(Table9[[#This Row],[Date]],'DB Details'!$A:$Q,12))</f>
        <v>54.4</v>
      </c>
      <c r="C161" s="54">
        <f>Table9[[#This Row],[ISM Services]]-B160</f>
        <v>-1.1000000000000014</v>
      </c>
    </row>
    <row r="162" spans="1:3" x14ac:dyDescent="0.2">
      <c r="A162" s="53">
        <v>40360</v>
      </c>
      <c r="B162" s="54">
        <f>IF(VLOOKUP(Table9[[#This Row],[Date]],'DB Details'!$A:$Q,12)=0,"",VLOOKUP(Table9[[#This Row],[Date]],'DB Details'!$A:$Q,12))</f>
        <v>54.6</v>
      </c>
      <c r="C162" s="54">
        <f>Table9[[#This Row],[ISM Services]]-B161</f>
        <v>0.20000000000000284</v>
      </c>
    </row>
    <row r="163" spans="1:3" x14ac:dyDescent="0.2">
      <c r="A163" s="53">
        <v>40391</v>
      </c>
      <c r="B163" s="54">
        <f>IF(VLOOKUP(Table9[[#This Row],[Date]],'DB Details'!$A:$Q,12)=0,"",VLOOKUP(Table9[[#This Row],[Date]],'DB Details'!$A:$Q,12))</f>
        <v>52.4</v>
      </c>
      <c r="C163" s="54">
        <f>Table9[[#This Row],[ISM Services]]-B162</f>
        <v>-2.2000000000000028</v>
      </c>
    </row>
    <row r="164" spans="1:3" x14ac:dyDescent="0.2">
      <c r="A164" s="53">
        <v>40422</v>
      </c>
      <c r="B164" s="54">
        <f>IF(VLOOKUP(Table9[[#This Row],[Date]],'DB Details'!$A:$Q,12)=0,"",VLOOKUP(Table9[[#This Row],[Date]],'DB Details'!$A:$Q,12))</f>
        <v>53.3</v>
      </c>
      <c r="C164" s="54">
        <f>Table9[[#This Row],[ISM Services]]-B163</f>
        <v>0.89999999999999858</v>
      </c>
    </row>
    <row r="165" spans="1:3" x14ac:dyDescent="0.2">
      <c r="A165" s="53">
        <v>40452</v>
      </c>
      <c r="B165" s="54">
        <f>IF(VLOOKUP(Table9[[#This Row],[Date]],'DB Details'!$A:$Q,12)=0,"",VLOOKUP(Table9[[#This Row],[Date]],'DB Details'!$A:$Q,12))</f>
        <v>55.3</v>
      </c>
      <c r="C165" s="54">
        <f>Table9[[#This Row],[ISM Services]]-B164</f>
        <v>2</v>
      </c>
    </row>
    <row r="166" spans="1:3" x14ac:dyDescent="0.2">
      <c r="A166" s="53">
        <v>40483</v>
      </c>
      <c r="B166" s="54">
        <f>IF(VLOOKUP(Table9[[#This Row],[Date]],'DB Details'!$A:$Q,12)=0,"",VLOOKUP(Table9[[#This Row],[Date]],'DB Details'!$A:$Q,12))</f>
        <v>56.4</v>
      </c>
      <c r="C166" s="54">
        <f>Table9[[#This Row],[ISM Services]]-B165</f>
        <v>1.1000000000000014</v>
      </c>
    </row>
    <row r="167" spans="1:3" x14ac:dyDescent="0.2">
      <c r="A167" s="53">
        <v>40513</v>
      </c>
      <c r="B167" s="54">
        <f>IF(VLOOKUP(Table9[[#This Row],[Date]],'DB Details'!$A:$Q,12)=0,"",VLOOKUP(Table9[[#This Row],[Date]],'DB Details'!$A:$Q,12))</f>
        <v>56.9</v>
      </c>
      <c r="C167" s="54">
        <f>Table9[[#This Row],[ISM Services]]-B166</f>
        <v>0.5</v>
      </c>
    </row>
    <row r="168" spans="1:3" x14ac:dyDescent="0.2">
      <c r="A168" s="53">
        <v>40544</v>
      </c>
      <c r="B168" s="54">
        <f>IF(VLOOKUP(Table9[[#This Row],[Date]],'DB Details'!$A:$Q,12)=0,"",VLOOKUP(Table9[[#This Row],[Date]],'DB Details'!$A:$Q,12))</f>
        <v>57.6</v>
      </c>
      <c r="C168" s="54">
        <f>Table9[[#This Row],[ISM Services]]-B167</f>
        <v>0.70000000000000284</v>
      </c>
    </row>
    <row r="169" spans="1:3" x14ac:dyDescent="0.2">
      <c r="A169" s="53">
        <v>40575</v>
      </c>
      <c r="B169" s="54">
        <f>IF(VLOOKUP(Table9[[#This Row],[Date]],'DB Details'!$A:$Q,12)=0,"",VLOOKUP(Table9[[#This Row],[Date]],'DB Details'!$A:$Q,12))</f>
        <v>58</v>
      </c>
      <c r="C169" s="54">
        <f>Table9[[#This Row],[ISM Services]]-B168</f>
        <v>0.39999999999999858</v>
      </c>
    </row>
    <row r="170" spans="1:3" x14ac:dyDescent="0.2">
      <c r="A170" s="53">
        <v>40603</v>
      </c>
      <c r="B170" s="54">
        <f>IF(VLOOKUP(Table9[[#This Row],[Date]],'DB Details'!$A:$Q,12)=0,"",VLOOKUP(Table9[[#This Row],[Date]],'DB Details'!$A:$Q,12))</f>
        <v>55.8</v>
      </c>
      <c r="C170" s="54">
        <f>Table9[[#This Row],[ISM Services]]-B169</f>
        <v>-2.2000000000000028</v>
      </c>
    </row>
    <row r="171" spans="1:3" x14ac:dyDescent="0.2">
      <c r="A171" s="53">
        <v>40634</v>
      </c>
      <c r="B171" s="54">
        <f>IF(VLOOKUP(Table9[[#This Row],[Date]],'DB Details'!$A:$Q,12)=0,"",VLOOKUP(Table9[[#This Row],[Date]],'DB Details'!$A:$Q,12))</f>
        <v>55.2</v>
      </c>
      <c r="C171" s="54">
        <f>Table9[[#This Row],[ISM Services]]-B170</f>
        <v>-0.59999999999999432</v>
      </c>
    </row>
    <row r="172" spans="1:3" x14ac:dyDescent="0.2">
      <c r="A172" s="53">
        <v>40664</v>
      </c>
      <c r="B172" s="54">
        <f>IF(VLOOKUP(Table9[[#This Row],[Date]],'DB Details'!$A:$Q,12)=0,"",VLOOKUP(Table9[[#This Row],[Date]],'DB Details'!$A:$Q,12))</f>
        <v>55</v>
      </c>
      <c r="C172" s="54">
        <f>Table9[[#This Row],[ISM Services]]-B171</f>
        <v>-0.20000000000000284</v>
      </c>
    </row>
    <row r="173" spans="1:3" x14ac:dyDescent="0.2">
      <c r="A173" s="53">
        <v>40695</v>
      </c>
      <c r="B173" s="54">
        <f>IF(VLOOKUP(Table9[[#This Row],[Date]],'DB Details'!$A:$Q,12)=0,"",VLOOKUP(Table9[[#This Row],[Date]],'DB Details'!$A:$Q,12))</f>
        <v>54.2</v>
      </c>
      <c r="C173" s="54">
        <f>Table9[[#This Row],[ISM Services]]-B172</f>
        <v>-0.79999999999999716</v>
      </c>
    </row>
    <row r="174" spans="1:3" x14ac:dyDescent="0.2">
      <c r="A174" s="53">
        <v>40725</v>
      </c>
      <c r="B174" s="54">
        <f>IF(VLOOKUP(Table9[[#This Row],[Date]],'DB Details'!$A:$Q,12)=0,"",VLOOKUP(Table9[[#This Row],[Date]],'DB Details'!$A:$Q,12))</f>
        <v>53.5</v>
      </c>
      <c r="C174" s="54">
        <f>Table9[[#This Row],[ISM Services]]-B173</f>
        <v>-0.70000000000000284</v>
      </c>
    </row>
    <row r="175" spans="1:3" x14ac:dyDescent="0.2">
      <c r="A175" s="53">
        <v>40756</v>
      </c>
      <c r="B175" s="54">
        <f>IF(VLOOKUP(Table9[[#This Row],[Date]],'DB Details'!$A:$Q,12)=0,"",VLOOKUP(Table9[[#This Row],[Date]],'DB Details'!$A:$Q,12))</f>
        <v>53.5</v>
      </c>
      <c r="C175" s="54">
        <f>Table9[[#This Row],[ISM Services]]-B174</f>
        <v>0</v>
      </c>
    </row>
    <row r="176" spans="1:3" x14ac:dyDescent="0.2">
      <c r="A176" s="53">
        <v>40787</v>
      </c>
      <c r="B176" s="54">
        <f>IF(VLOOKUP(Table9[[#This Row],[Date]],'DB Details'!$A:$Q,12)=0,"",VLOOKUP(Table9[[#This Row],[Date]],'DB Details'!$A:$Q,12))</f>
        <v>52.3</v>
      </c>
      <c r="C176" s="54">
        <f>Table9[[#This Row],[ISM Services]]-B175</f>
        <v>-1.2000000000000028</v>
      </c>
    </row>
    <row r="177" spans="1:3" x14ac:dyDescent="0.2">
      <c r="A177" s="53">
        <v>40817</v>
      </c>
      <c r="B177" s="54">
        <f>IF(VLOOKUP(Table9[[#This Row],[Date]],'DB Details'!$A:$Q,12)=0,"",VLOOKUP(Table9[[#This Row],[Date]],'DB Details'!$A:$Q,12))</f>
        <v>52.8</v>
      </c>
      <c r="C177" s="54">
        <f>Table9[[#This Row],[ISM Services]]-B176</f>
        <v>0.5</v>
      </c>
    </row>
    <row r="178" spans="1:3" x14ac:dyDescent="0.2">
      <c r="A178" s="53">
        <v>40848</v>
      </c>
      <c r="B178" s="54">
        <f>IF(VLOOKUP(Table9[[#This Row],[Date]],'DB Details'!$A:$Q,12)=0,"",VLOOKUP(Table9[[#This Row],[Date]],'DB Details'!$A:$Q,12))</f>
        <v>52.9</v>
      </c>
      <c r="C178" s="54">
        <f>Table9[[#This Row],[ISM Services]]-B177</f>
        <v>0.10000000000000142</v>
      </c>
    </row>
    <row r="179" spans="1:3" x14ac:dyDescent="0.2">
      <c r="A179" s="53">
        <v>40878</v>
      </c>
      <c r="B179" s="54">
        <f>IF(VLOOKUP(Table9[[#This Row],[Date]],'DB Details'!$A:$Q,12)=0,"",VLOOKUP(Table9[[#This Row],[Date]],'DB Details'!$A:$Q,12))</f>
        <v>52.6</v>
      </c>
      <c r="C179" s="54">
        <f>Table9[[#This Row],[ISM Services]]-B178</f>
        <v>-0.29999999999999716</v>
      </c>
    </row>
    <row r="180" spans="1:3" x14ac:dyDescent="0.2">
      <c r="A180" s="53">
        <v>40909</v>
      </c>
      <c r="B180" s="54">
        <f>IF(VLOOKUP(Table9[[#This Row],[Date]],'DB Details'!$A:$Q,12)=0,"",VLOOKUP(Table9[[#This Row],[Date]],'DB Details'!$A:$Q,12))</f>
        <v>56</v>
      </c>
      <c r="C180" s="54">
        <f>Table9[[#This Row],[ISM Services]]-B179</f>
        <v>3.3999999999999986</v>
      </c>
    </row>
    <row r="181" spans="1:3" x14ac:dyDescent="0.2">
      <c r="A181" s="53">
        <v>40940</v>
      </c>
      <c r="B181" s="54">
        <f>IF(VLOOKUP(Table9[[#This Row],[Date]],'DB Details'!$A:$Q,12)=0,"",VLOOKUP(Table9[[#This Row],[Date]],'DB Details'!$A:$Q,12))</f>
        <v>56</v>
      </c>
      <c r="C181" s="54">
        <f>Table9[[#This Row],[ISM Services]]-B180</f>
        <v>0</v>
      </c>
    </row>
    <row r="182" spans="1:3" x14ac:dyDescent="0.2">
      <c r="A182" s="53">
        <v>40969</v>
      </c>
      <c r="B182" s="54">
        <f>IF(VLOOKUP(Table9[[#This Row],[Date]],'DB Details'!$A:$Q,12)=0,"",VLOOKUP(Table9[[#This Row],[Date]],'DB Details'!$A:$Q,12))</f>
        <v>55.6</v>
      </c>
      <c r="C182" s="54">
        <f>Table9[[#This Row],[ISM Services]]-B181</f>
        <v>-0.39999999999999858</v>
      </c>
    </row>
    <row r="183" spans="1:3" x14ac:dyDescent="0.2">
      <c r="A183" s="53">
        <v>41000</v>
      </c>
      <c r="B183" s="54">
        <f>IF(VLOOKUP(Table9[[#This Row],[Date]],'DB Details'!$A:$Q,12)=0,"",VLOOKUP(Table9[[#This Row],[Date]],'DB Details'!$A:$Q,12))</f>
        <v>54.4</v>
      </c>
      <c r="C183" s="54">
        <f>Table9[[#This Row],[ISM Services]]-B182</f>
        <v>-1.2000000000000028</v>
      </c>
    </row>
    <row r="184" spans="1:3" x14ac:dyDescent="0.2">
      <c r="A184" s="53">
        <v>41030</v>
      </c>
      <c r="B184" s="54">
        <f>IF(VLOOKUP(Table9[[#This Row],[Date]],'DB Details'!$A:$Q,12)=0,"",VLOOKUP(Table9[[#This Row],[Date]],'DB Details'!$A:$Q,12))</f>
        <v>54.5</v>
      </c>
      <c r="C184" s="54">
        <f>Table9[[#This Row],[ISM Services]]-B183</f>
        <v>0.10000000000000142</v>
      </c>
    </row>
    <row r="185" spans="1:3" x14ac:dyDescent="0.2">
      <c r="A185" s="53">
        <v>41061</v>
      </c>
      <c r="B185" s="54">
        <f>IF(VLOOKUP(Table9[[#This Row],[Date]],'DB Details'!$A:$Q,12)=0,"",VLOOKUP(Table9[[#This Row],[Date]],'DB Details'!$A:$Q,12))</f>
        <v>53.7</v>
      </c>
      <c r="C185" s="54">
        <f>Table9[[#This Row],[ISM Services]]-B184</f>
        <v>-0.79999999999999716</v>
      </c>
    </row>
    <row r="186" spans="1:3" x14ac:dyDescent="0.2">
      <c r="A186" s="53">
        <v>41091</v>
      </c>
      <c r="B186" s="54">
        <f>IF(VLOOKUP(Table9[[#This Row],[Date]],'DB Details'!$A:$Q,12)=0,"",VLOOKUP(Table9[[#This Row],[Date]],'DB Details'!$A:$Q,12))</f>
        <v>52.4</v>
      </c>
      <c r="C186" s="54">
        <f>Table9[[#This Row],[ISM Services]]-B185</f>
        <v>-1.3000000000000043</v>
      </c>
    </row>
    <row r="187" spans="1:3" x14ac:dyDescent="0.2">
      <c r="A187" s="53">
        <v>41122</v>
      </c>
      <c r="B187" s="54">
        <f>IF(VLOOKUP(Table9[[#This Row],[Date]],'DB Details'!$A:$Q,12)=0,"",VLOOKUP(Table9[[#This Row],[Date]],'DB Details'!$A:$Q,12))</f>
        <v>52.9</v>
      </c>
      <c r="C187" s="54">
        <f>Table9[[#This Row],[ISM Services]]-B186</f>
        <v>0.5</v>
      </c>
    </row>
    <row r="188" spans="1:3" x14ac:dyDescent="0.2">
      <c r="A188" s="53">
        <v>41153</v>
      </c>
      <c r="B188" s="54">
        <f>IF(VLOOKUP(Table9[[#This Row],[Date]],'DB Details'!$A:$Q,12)=0,"",VLOOKUP(Table9[[#This Row],[Date]],'DB Details'!$A:$Q,12))</f>
        <v>54.6</v>
      </c>
      <c r="C188" s="54">
        <f>Table9[[#This Row],[ISM Services]]-B187</f>
        <v>1.7000000000000028</v>
      </c>
    </row>
    <row r="189" spans="1:3" x14ac:dyDescent="0.2">
      <c r="A189" s="53">
        <v>41183</v>
      </c>
      <c r="B189" s="54">
        <f>IF(VLOOKUP(Table9[[#This Row],[Date]],'DB Details'!$A:$Q,12)=0,"",VLOOKUP(Table9[[#This Row],[Date]],'DB Details'!$A:$Q,12))</f>
        <v>54.2</v>
      </c>
      <c r="C189" s="54">
        <f>Table9[[#This Row],[ISM Services]]-B188</f>
        <v>-0.39999999999999858</v>
      </c>
    </row>
    <row r="190" spans="1:3" x14ac:dyDescent="0.2">
      <c r="A190" s="53">
        <v>41214</v>
      </c>
      <c r="B190" s="54">
        <f>IF(VLOOKUP(Table9[[#This Row],[Date]],'DB Details'!$A:$Q,12)=0,"",VLOOKUP(Table9[[#This Row],[Date]],'DB Details'!$A:$Q,12))</f>
        <v>54.8</v>
      </c>
      <c r="C190" s="54">
        <f>Table9[[#This Row],[ISM Services]]-B189</f>
        <v>0.59999999999999432</v>
      </c>
    </row>
    <row r="191" spans="1:3" x14ac:dyDescent="0.2">
      <c r="A191" s="53">
        <v>41244</v>
      </c>
      <c r="B191" s="54">
        <f>IF(VLOOKUP(Table9[[#This Row],[Date]],'DB Details'!$A:$Q,12)=0,"",VLOOKUP(Table9[[#This Row],[Date]],'DB Details'!$A:$Q,12))</f>
        <v>55.6</v>
      </c>
      <c r="C191" s="54">
        <f>Table9[[#This Row],[ISM Services]]-B190</f>
        <v>0.80000000000000426</v>
      </c>
    </row>
    <row r="192" spans="1:3" x14ac:dyDescent="0.2">
      <c r="A192" s="53">
        <v>41275</v>
      </c>
      <c r="B192" s="54">
        <f>IF(VLOOKUP(Table9[[#This Row],[Date]],'DB Details'!$A:$Q,12)=0,"",VLOOKUP(Table9[[#This Row],[Date]],'DB Details'!$A:$Q,12))</f>
        <v>55.3</v>
      </c>
      <c r="C192" s="54">
        <f>Table9[[#This Row],[ISM Services]]-B191</f>
        <v>-0.30000000000000426</v>
      </c>
    </row>
    <row r="193" spans="1:3" x14ac:dyDescent="0.2">
      <c r="A193" s="53">
        <v>41306</v>
      </c>
      <c r="B193" s="54">
        <f>IF(VLOOKUP(Table9[[#This Row],[Date]],'DB Details'!$A:$Q,12)=0,"",VLOOKUP(Table9[[#This Row],[Date]],'DB Details'!$A:$Q,12))</f>
        <v>56.1</v>
      </c>
      <c r="C193" s="54">
        <f>Table9[[#This Row],[ISM Services]]-B192</f>
        <v>0.80000000000000426</v>
      </c>
    </row>
    <row r="194" spans="1:3" x14ac:dyDescent="0.2">
      <c r="A194" s="53">
        <v>41334</v>
      </c>
      <c r="B194" s="54">
        <f>IF(VLOOKUP(Table9[[#This Row],[Date]],'DB Details'!$A:$Q,12)=0,"",VLOOKUP(Table9[[#This Row],[Date]],'DB Details'!$A:$Q,12))</f>
        <v>55.2</v>
      </c>
      <c r="C194" s="54">
        <f>Table9[[#This Row],[ISM Services]]-B193</f>
        <v>-0.89999999999999858</v>
      </c>
    </row>
    <row r="195" spans="1:3" x14ac:dyDescent="0.2">
      <c r="A195" s="53">
        <v>41365</v>
      </c>
      <c r="B195" s="54">
        <f>IF(VLOOKUP(Table9[[#This Row],[Date]],'DB Details'!$A:$Q,12)=0,"",VLOOKUP(Table9[[#This Row],[Date]],'DB Details'!$A:$Q,12))</f>
        <v>53.9</v>
      </c>
      <c r="C195" s="54">
        <f>Table9[[#This Row],[ISM Services]]-B194</f>
        <v>-1.3000000000000043</v>
      </c>
    </row>
    <row r="196" spans="1:3" x14ac:dyDescent="0.2">
      <c r="A196" s="53">
        <v>41395</v>
      </c>
      <c r="B196" s="54">
        <f>IF(VLOOKUP(Table9[[#This Row],[Date]],'DB Details'!$A:$Q,12)=0,"",VLOOKUP(Table9[[#This Row],[Date]],'DB Details'!$A:$Q,12))</f>
        <v>54.4</v>
      </c>
      <c r="C196" s="54">
        <f>Table9[[#This Row],[ISM Services]]-B195</f>
        <v>0.5</v>
      </c>
    </row>
    <row r="197" spans="1:3" x14ac:dyDescent="0.2">
      <c r="A197" s="53">
        <v>41426</v>
      </c>
      <c r="B197" s="54">
        <f>IF(VLOOKUP(Table9[[#This Row],[Date]],'DB Details'!$A:$Q,12)=0,"",VLOOKUP(Table9[[#This Row],[Date]],'DB Details'!$A:$Q,12))</f>
        <v>54.1</v>
      </c>
      <c r="C197" s="54">
        <f>Table9[[#This Row],[ISM Services]]-B196</f>
        <v>-0.29999999999999716</v>
      </c>
    </row>
    <row r="198" spans="1:3" x14ac:dyDescent="0.2">
      <c r="A198" s="53">
        <v>41456</v>
      </c>
      <c r="B198" s="54">
        <f>IF(VLOOKUP(Table9[[#This Row],[Date]],'DB Details'!$A:$Q,12)=0,"",VLOOKUP(Table9[[#This Row],[Date]],'DB Details'!$A:$Q,12))</f>
        <v>54.9</v>
      </c>
      <c r="C198" s="54">
        <f>Table9[[#This Row],[ISM Services]]-B197</f>
        <v>0.79999999999999716</v>
      </c>
    </row>
    <row r="199" spans="1:3" x14ac:dyDescent="0.2">
      <c r="A199" s="53">
        <v>41487</v>
      </c>
      <c r="B199" s="54">
        <f>IF(VLOOKUP(Table9[[#This Row],[Date]],'DB Details'!$A:$Q,12)=0,"",VLOOKUP(Table9[[#This Row],[Date]],'DB Details'!$A:$Q,12))</f>
        <v>56.6</v>
      </c>
      <c r="C199" s="54">
        <f>Table9[[#This Row],[ISM Services]]-B198</f>
        <v>1.7000000000000028</v>
      </c>
    </row>
    <row r="200" spans="1:3" x14ac:dyDescent="0.2">
      <c r="A200" s="53">
        <v>41518</v>
      </c>
      <c r="B200" s="54">
        <f>IF(VLOOKUP(Table9[[#This Row],[Date]],'DB Details'!$A:$Q,12)=0,"",VLOOKUP(Table9[[#This Row],[Date]],'DB Details'!$A:$Q,12))</f>
        <v>53.6</v>
      </c>
      <c r="C200" s="54">
        <f>Table9[[#This Row],[ISM Services]]-B199</f>
        <v>-3</v>
      </c>
    </row>
    <row r="201" spans="1:3" x14ac:dyDescent="0.2">
      <c r="A201" s="53">
        <v>41548</v>
      </c>
      <c r="B201" s="54">
        <f>IF(VLOOKUP(Table9[[#This Row],[Date]],'DB Details'!$A:$Q,12)=0,"",VLOOKUP(Table9[[#This Row],[Date]],'DB Details'!$A:$Q,12))</f>
        <v>54.5</v>
      </c>
      <c r="C201" s="54">
        <f>Table9[[#This Row],[ISM Services]]-B200</f>
        <v>0.89999999999999858</v>
      </c>
    </row>
    <row r="202" spans="1:3" x14ac:dyDescent="0.2">
      <c r="A202" s="53">
        <v>41579</v>
      </c>
      <c r="B202" s="54">
        <f>IF(VLOOKUP(Table9[[#This Row],[Date]],'DB Details'!$A:$Q,12)=0,"",VLOOKUP(Table9[[#This Row],[Date]],'DB Details'!$A:$Q,12))</f>
        <v>53.8</v>
      </c>
      <c r="C202" s="54">
        <f>Table9[[#This Row],[ISM Services]]-B201</f>
        <v>-0.70000000000000284</v>
      </c>
    </row>
    <row r="203" spans="1:3" x14ac:dyDescent="0.2">
      <c r="A203" s="53">
        <v>41609</v>
      </c>
      <c r="B203" s="54">
        <f>IF(VLOOKUP(Table9[[#This Row],[Date]],'DB Details'!$A:$Q,12)=0,"",VLOOKUP(Table9[[#This Row],[Date]],'DB Details'!$A:$Q,12))</f>
        <v>52.9</v>
      </c>
      <c r="C203" s="54">
        <f>Table9[[#This Row],[ISM Services]]-B202</f>
        <v>-0.89999999999999858</v>
      </c>
    </row>
    <row r="204" spans="1:3" x14ac:dyDescent="0.2">
      <c r="A204" s="53">
        <v>41640</v>
      </c>
      <c r="B204" s="54">
        <f>IF(VLOOKUP(Table9[[#This Row],[Date]],'DB Details'!$A:$Q,12)=0,"",VLOOKUP(Table9[[#This Row],[Date]],'DB Details'!$A:$Q,12))</f>
        <v>54.7</v>
      </c>
      <c r="C204" s="54">
        <f>Table9[[#This Row],[ISM Services]]-B203</f>
        <v>1.8000000000000043</v>
      </c>
    </row>
    <row r="205" spans="1:3" x14ac:dyDescent="0.2">
      <c r="A205" s="53">
        <v>41671</v>
      </c>
      <c r="B205" s="54">
        <f>IF(VLOOKUP(Table9[[#This Row],[Date]],'DB Details'!$A:$Q,12)=0,"",VLOOKUP(Table9[[#This Row],[Date]],'DB Details'!$A:$Q,12))</f>
        <v>53</v>
      </c>
      <c r="C205" s="54">
        <f>Table9[[#This Row],[ISM Services]]-B204</f>
        <v>-1.7000000000000028</v>
      </c>
    </row>
    <row r="206" spans="1:3" x14ac:dyDescent="0.2">
      <c r="A206" s="53">
        <v>41699</v>
      </c>
      <c r="B206" s="54">
        <f>IF(VLOOKUP(Table9[[#This Row],[Date]],'DB Details'!$A:$Q,12)=0,"",VLOOKUP(Table9[[#This Row],[Date]],'DB Details'!$A:$Q,12))</f>
        <v>54.2</v>
      </c>
      <c r="C206" s="54">
        <f>Table9[[#This Row],[ISM Services]]-B205</f>
        <v>1.2000000000000028</v>
      </c>
    </row>
    <row r="207" spans="1:3" x14ac:dyDescent="0.2">
      <c r="A207" s="53">
        <v>41730</v>
      </c>
      <c r="B207" s="54">
        <f>IF(VLOOKUP(Table9[[#This Row],[Date]],'DB Details'!$A:$Q,12)=0,"",VLOOKUP(Table9[[#This Row],[Date]],'DB Details'!$A:$Q,12))</f>
        <v>55.2</v>
      </c>
      <c r="C207" s="54">
        <f>Table9[[#This Row],[ISM Services]]-B206</f>
        <v>1</v>
      </c>
    </row>
    <row r="208" spans="1:3" x14ac:dyDescent="0.2">
      <c r="A208" s="53">
        <v>41760</v>
      </c>
      <c r="B208" s="54">
        <f>IF(VLOOKUP(Table9[[#This Row],[Date]],'DB Details'!$A:$Q,12)=0,"",VLOOKUP(Table9[[#This Row],[Date]],'DB Details'!$A:$Q,12))</f>
        <v>56.9</v>
      </c>
      <c r="C208" s="54">
        <f>Table9[[#This Row],[ISM Services]]-B207</f>
        <v>1.6999999999999957</v>
      </c>
    </row>
    <row r="209" spans="1:3" x14ac:dyDescent="0.2">
      <c r="A209" s="53">
        <v>41791</v>
      </c>
      <c r="B209" s="54">
        <f>IF(VLOOKUP(Table9[[#This Row],[Date]],'DB Details'!$A:$Q,12)=0,"",VLOOKUP(Table9[[#This Row],[Date]],'DB Details'!$A:$Q,12))</f>
        <v>56.6</v>
      </c>
      <c r="C209" s="54">
        <f>Table9[[#This Row],[ISM Services]]-B208</f>
        <v>-0.29999999999999716</v>
      </c>
    </row>
    <row r="210" spans="1:3" x14ac:dyDescent="0.2">
      <c r="A210" s="53">
        <v>41821</v>
      </c>
      <c r="B210" s="54">
        <f>IF(VLOOKUP(Table9[[#This Row],[Date]],'DB Details'!$A:$Q,12)=0,"",VLOOKUP(Table9[[#This Row],[Date]],'DB Details'!$A:$Q,12))</f>
        <v>57.1</v>
      </c>
      <c r="C210" s="54">
        <f>Table9[[#This Row],[ISM Services]]-B209</f>
        <v>0.5</v>
      </c>
    </row>
    <row r="211" spans="1:3" x14ac:dyDescent="0.2">
      <c r="A211" s="53">
        <v>41852</v>
      </c>
      <c r="B211" s="54">
        <f>IF(VLOOKUP(Table9[[#This Row],[Date]],'DB Details'!$A:$Q,12)=0,"",VLOOKUP(Table9[[#This Row],[Date]],'DB Details'!$A:$Q,12))</f>
        <v>58</v>
      </c>
      <c r="C211" s="54">
        <f>Table9[[#This Row],[ISM Services]]-B210</f>
        <v>0.89999999999999858</v>
      </c>
    </row>
    <row r="212" spans="1:3" x14ac:dyDescent="0.2">
      <c r="A212" s="53">
        <v>41883</v>
      </c>
      <c r="B212" s="54">
        <f>IF(VLOOKUP(Table9[[#This Row],[Date]],'DB Details'!$A:$Q,12)=0,"",VLOOKUP(Table9[[#This Row],[Date]],'DB Details'!$A:$Q,12))</f>
        <v>57.4</v>
      </c>
      <c r="C212" s="54">
        <f>Table9[[#This Row],[ISM Services]]-B211</f>
        <v>-0.60000000000000142</v>
      </c>
    </row>
    <row r="213" spans="1:3" x14ac:dyDescent="0.2">
      <c r="A213" s="53">
        <v>41913</v>
      </c>
      <c r="B213" s="54">
        <f>IF(VLOOKUP(Table9[[#This Row],[Date]],'DB Details'!$A:$Q,12)=0,"",VLOOKUP(Table9[[#This Row],[Date]],'DB Details'!$A:$Q,12))</f>
        <v>56</v>
      </c>
      <c r="C213" s="54">
        <f>Table9[[#This Row],[ISM Services]]-B212</f>
        <v>-1.3999999999999986</v>
      </c>
    </row>
    <row r="214" spans="1:3" x14ac:dyDescent="0.2">
      <c r="A214" s="53">
        <v>41944</v>
      </c>
      <c r="B214" s="54">
        <f>IF(VLOOKUP(Table9[[#This Row],[Date]],'DB Details'!$A:$Q,12)=0,"",VLOOKUP(Table9[[#This Row],[Date]],'DB Details'!$A:$Q,12))</f>
        <v>58.7</v>
      </c>
      <c r="C214" s="54">
        <f>Table9[[#This Row],[ISM Services]]-B213</f>
        <v>2.7000000000000028</v>
      </c>
    </row>
    <row r="215" spans="1:3" x14ac:dyDescent="0.2">
      <c r="A215" s="53">
        <v>41974</v>
      </c>
      <c r="B215" s="54">
        <f>IF(VLOOKUP(Table9[[#This Row],[Date]],'DB Details'!$A:$Q,12)=0,"",VLOOKUP(Table9[[#This Row],[Date]],'DB Details'!$A:$Q,12))</f>
        <v>56.4</v>
      </c>
      <c r="C215" s="54">
        <f>Table9[[#This Row],[ISM Services]]-B214</f>
        <v>-2.3000000000000043</v>
      </c>
    </row>
    <row r="216" spans="1:3" x14ac:dyDescent="0.2">
      <c r="A216" s="53">
        <v>42005</v>
      </c>
      <c r="B216" s="54">
        <f>IF(VLOOKUP(Table9[[#This Row],[Date]],'DB Details'!$A:$Q,12)=0,"",VLOOKUP(Table9[[#This Row],[Date]],'DB Details'!$A:$Q,12))</f>
        <v>57.3</v>
      </c>
      <c r="C216" s="54">
        <f>Table9[[#This Row],[ISM Services]]-B215</f>
        <v>0.89999999999999858</v>
      </c>
    </row>
    <row r="217" spans="1:3" x14ac:dyDescent="0.2">
      <c r="A217" s="53">
        <v>42036</v>
      </c>
      <c r="B217" s="54">
        <f>IF(VLOOKUP(Table9[[#This Row],[Date]],'DB Details'!$A:$Q,12)=0,"",VLOOKUP(Table9[[#This Row],[Date]],'DB Details'!$A:$Q,12))</f>
        <v>57.6</v>
      </c>
      <c r="C217" s="54">
        <f>Table9[[#This Row],[ISM Services]]-B216</f>
        <v>0.30000000000000426</v>
      </c>
    </row>
    <row r="218" spans="1:3" x14ac:dyDescent="0.2">
      <c r="A218" s="53">
        <v>42064</v>
      </c>
      <c r="B218" s="54">
        <f>IF(VLOOKUP(Table9[[#This Row],[Date]],'DB Details'!$A:$Q,12)=0,"",VLOOKUP(Table9[[#This Row],[Date]],'DB Details'!$A:$Q,12))</f>
        <v>57.5</v>
      </c>
      <c r="C218" s="54">
        <f>Table9[[#This Row],[ISM Services]]-B217</f>
        <v>-0.10000000000000142</v>
      </c>
    </row>
    <row r="219" spans="1:3" x14ac:dyDescent="0.2">
      <c r="A219" s="53">
        <v>42095</v>
      </c>
      <c r="B219" s="54">
        <f>IF(VLOOKUP(Table9[[#This Row],[Date]],'DB Details'!$A:$Q,12)=0,"",VLOOKUP(Table9[[#This Row],[Date]],'DB Details'!$A:$Q,12))</f>
        <v>57.5</v>
      </c>
      <c r="C219" s="54">
        <f>Table9[[#This Row],[ISM Services]]-B218</f>
        <v>0</v>
      </c>
    </row>
    <row r="220" spans="1:3" x14ac:dyDescent="0.2">
      <c r="A220" s="53">
        <v>42125</v>
      </c>
      <c r="B220" s="54">
        <f>IF(VLOOKUP(Table9[[#This Row],[Date]],'DB Details'!$A:$Q,12)=0,"",VLOOKUP(Table9[[#This Row],[Date]],'DB Details'!$A:$Q,12))</f>
        <v>56.8</v>
      </c>
      <c r="C220" s="54">
        <f>Table9[[#This Row],[ISM Services]]-B219</f>
        <v>-0.70000000000000284</v>
      </c>
    </row>
    <row r="221" spans="1:3" x14ac:dyDescent="0.2">
      <c r="A221" s="53">
        <v>42156</v>
      </c>
      <c r="B221" s="54">
        <f>IF(VLOOKUP(Table9[[#This Row],[Date]],'DB Details'!$A:$Q,12)=0,"",VLOOKUP(Table9[[#This Row],[Date]],'DB Details'!$A:$Q,12))</f>
        <v>56</v>
      </c>
      <c r="C221" s="54">
        <f>Table9[[#This Row],[ISM Services]]-B220</f>
        <v>-0.79999999999999716</v>
      </c>
    </row>
    <row r="222" spans="1:3" x14ac:dyDescent="0.2">
      <c r="A222" s="53">
        <v>42186</v>
      </c>
      <c r="B222" s="54">
        <f>IF(VLOOKUP(Table9[[#This Row],[Date]],'DB Details'!$A:$Q,12)=0,"",VLOOKUP(Table9[[#This Row],[Date]],'DB Details'!$A:$Q,12))</f>
        <v>59.3</v>
      </c>
      <c r="C222" s="54">
        <f>Table9[[#This Row],[ISM Services]]-B221</f>
        <v>3.2999999999999972</v>
      </c>
    </row>
    <row r="223" spans="1:3" x14ac:dyDescent="0.2">
      <c r="A223" s="53">
        <v>42217</v>
      </c>
      <c r="B223" s="54">
        <f>IF(VLOOKUP(Table9[[#This Row],[Date]],'DB Details'!$A:$Q,12)=0,"",VLOOKUP(Table9[[#This Row],[Date]],'DB Details'!$A:$Q,12))</f>
        <v>58.4</v>
      </c>
      <c r="C223" s="54">
        <f>Table9[[#This Row],[ISM Services]]-B222</f>
        <v>-0.89999999999999858</v>
      </c>
    </row>
    <row r="224" spans="1:3" x14ac:dyDescent="0.2">
      <c r="A224" s="53">
        <v>42248</v>
      </c>
      <c r="B224" s="54">
        <f>IF(VLOOKUP(Table9[[#This Row],[Date]],'DB Details'!$A:$Q,12)=0,"",VLOOKUP(Table9[[#This Row],[Date]],'DB Details'!$A:$Q,12))</f>
        <v>56.1</v>
      </c>
      <c r="C224" s="54">
        <f>Table9[[#This Row],[ISM Services]]-B223</f>
        <v>-2.2999999999999972</v>
      </c>
    </row>
    <row r="225" spans="1:3" x14ac:dyDescent="0.2">
      <c r="A225" s="53">
        <v>42278</v>
      </c>
      <c r="B225" s="54">
        <f>IF(VLOOKUP(Table9[[#This Row],[Date]],'DB Details'!$A:$Q,12)=0,"",VLOOKUP(Table9[[#This Row],[Date]],'DB Details'!$A:$Q,12))</f>
        <v>57.9</v>
      </c>
      <c r="C225" s="54">
        <f>Table9[[#This Row],[ISM Services]]-B224</f>
        <v>1.7999999999999972</v>
      </c>
    </row>
    <row r="226" spans="1:3" x14ac:dyDescent="0.2">
      <c r="A226" s="53">
        <v>42309</v>
      </c>
      <c r="B226" s="54">
        <f>IF(VLOOKUP(Table9[[#This Row],[Date]],'DB Details'!$A:$Q,12)=0,"",VLOOKUP(Table9[[#This Row],[Date]],'DB Details'!$A:$Q,12))</f>
        <v>55.8</v>
      </c>
      <c r="C226" s="54">
        <f>Table9[[#This Row],[ISM Services]]-B225</f>
        <v>-2.1000000000000014</v>
      </c>
    </row>
    <row r="227" spans="1:3" x14ac:dyDescent="0.2">
      <c r="A227" s="53">
        <v>42339</v>
      </c>
      <c r="B227" s="54">
        <f>IF(VLOOKUP(Table9[[#This Row],[Date]],'DB Details'!$A:$Q,12)=0,"",VLOOKUP(Table9[[#This Row],[Date]],'DB Details'!$A:$Q,12))</f>
        <v>55.3</v>
      </c>
      <c r="C227" s="54">
        <f>Table9[[#This Row],[ISM Services]]-B226</f>
        <v>-0.5</v>
      </c>
    </row>
    <row r="228" spans="1:3" x14ac:dyDescent="0.2">
      <c r="A228" s="53">
        <v>42370</v>
      </c>
      <c r="B228" s="54">
        <f>IF(VLOOKUP(Table9[[#This Row],[Date]],'DB Details'!$A:$Q,12)=0,"",VLOOKUP(Table9[[#This Row],[Date]],'DB Details'!$A:$Q,12))</f>
        <v>54</v>
      </c>
      <c r="C228" s="54">
        <f>Table9[[#This Row],[ISM Services]]-B227</f>
        <v>-1.2999999999999972</v>
      </c>
    </row>
    <row r="229" spans="1:3" x14ac:dyDescent="0.2">
      <c r="A229" s="53">
        <v>42401</v>
      </c>
      <c r="B229" s="54">
        <f>IF(VLOOKUP(Table9[[#This Row],[Date]],'DB Details'!$A:$Q,12)=0,"",VLOOKUP(Table9[[#This Row],[Date]],'DB Details'!$A:$Q,12))</f>
        <v>54</v>
      </c>
      <c r="C229" s="54">
        <f>Table9[[#This Row],[ISM Services]]-B228</f>
        <v>0</v>
      </c>
    </row>
    <row r="230" spans="1:3" x14ac:dyDescent="0.2">
      <c r="A230" s="53">
        <v>42430</v>
      </c>
      <c r="B230" s="54">
        <f>IF(VLOOKUP(Table9[[#This Row],[Date]],'DB Details'!$A:$Q,12)=0,"",VLOOKUP(Table9[[#This Row],[Date]],'DB Details'!$A:$Q,12))</f>
        <v>55.2</v>
      </c>
      <c r="C230" s="54">
        <f>Table9[[#This Row],[ISM Services]]-B229</f>
        <v>1.2000000000000028</v>
      </c>
    </row>
    <row r="231" spans="1:3" x14ac:dyDescent="0.2">
      <c r="A231" s="53">
        <v>42461</v>
      </c>
      <c r="B231" s="54">
        <f>IF(VLOOKUP(Table9[[#This Row],[Date]],'DB Details'!$A:$Q,12)=0,"",VLOOKUP(Table9[[#This Row],[Date]],'DB Details'!$A:$Q,12))</f>
        <v>55.6</v>
      </c>
      <c r="C231" s="54">
        <f>Table9[[#This Row],[ISM Services]]-B230</f>
        <v>0.39999999999999858</v>
      </c>
    </row>
    <row r="232" spans="1:3" x14ac:dyDescent="0.2">
      <c r="A232" s="53">
        <v>42491</v>
      </c>
      <c r="B232" s="54">
        <f>IF(VLOOKUP(Table9[[#This Row],[Date]],'DB Details'!$A:$Q,12)=0,"",VLOOKUP(Table9[[#This Row],[Date]],'DB Details'!$A:$Q,12))</f>
        <v>53.8</v>
      </c>
      <c r="C232" s="54">
        <f>Table9[[#This Row],[ISM Services]]-B231</f>
        <v>-1.8000000000000043</v>
      </c>
    </row>
    <row r="233" spans="1:3" x14ac:dyDescent="0.2">
      <c r="A233" s="53">
        <v>42522</v>
      </c>
      <c r="B233" s="54">
        <f>IF(VLOOKUP(Table9[[#This Row],[Date]],'DB Details'!$A:$Q,12)=0,"",VLOOKUP(Table9[[#This Row],[Date]],'DB Details'!$A:$Q,12))</f>
        <v>56</v>
      </c>
      <c r="C233" s="54">
        <f>Table9[[#This Row],[ISM Services]]-B232</f>
        <v>2.2000000000000028</v>
      </c>
    </row>
    <row r="234" spans="1:3" x14ac:dyDescent="0.2">
      <c r="A234" s="53">
        <v>42552</v>
      </c>
      <c r="B234" s="54">
        <f>IF(VLOOKUP(Table9[[#This Row],[Date]],'DB Details'!$A:$Q,12)=0,"",VLOOKUP(Table9[[#This Row],[Date]],'DB Details'!$A:$Q,12))</f>
        <v>55.2</v>
      </c>
      <c r="C234" s="54">
        <f>Table9[[#This Row],[ISM Services]]-B233</f>
        <v>-0.79999999999999716</v>
      </c>
    </row>
    <row r="235" spans="1:3" x14ac:dyDescent="0.2">
      <c r="A235" s="53">
        <v>42583</v>
      </c>
      <c r="B235" s="54">
        <f>IF(VLOOKUP(Table9[[#This Row],[Date]],'DB Details'!$A:$Q,12)=0,"",VLOOKUP(Table9[[#This Row],[Date]],'DB Details'!$A:$Q,12))</f>
        <v>51.6</v>
      </c>
      <c r="C235" s="54">
        <f>Table9[[#This Row],[ISM Services]]-B234</f>
        <v>-3.6000000000000014</v>
      </c>
    </row>
    <row r="236" spans="1:3" x14ac:dyDescent="0.2">
      <c r="A236" s="53">
        <v>42614</v>
      </c>
      <c r="B236" s="54">
        <f>IF(VLOOKUP(Table9[[#This Row],[Date]],'DB Details'!$A:$Q,12)=0,"",VLOOKUP(Table9[[#This Row],[Date]],'DB Details'!$A:$Q,12))</f>
        <v>56.3</v>
      </c>
      <c r="C236" s="54">
        <f>Table9[[#This Row],[ISM Services]]-B235</f>
        <v>4.6999999999999957</v>
      </c>
    </row>
    <row r="237" spans="1:3" x14ac:dyDescent="0.2">
      <c r="A237" s="53">
        <v>42644</v>
      </c>
      <c r="B237" s="54">
        <f>IF(VLOOKUP(Table9[[#This Row],[Date]],'DB Details'!$A:$Q,12)=0,"",VLOOKUP(Table9[[#This Row],[Date]],'DB Details'!$A:$Q,12))</f>
        <v>54.4</v>
      </c>
      <c r="C237" s="54">
        <f>Table9[[#This Row],[ISM Services]]-B236</f>
        <v>-1.8999999999999986</v>
      </c>
    </row>
    <row r="238" spans="1:3" x14ac:dyDescent="0.2">
      <c r="A238" s="53">
        <v>42675</v>
      </c>
      <c r="B238" s="54">
        <f>IF(VLOOKUP(Table9[[#This Row],[Date]],'DB Details'!$A:$Q,12)=0,"",VLOOKUP(Table9[[#This Row],[Date]],'DB Details'!$A:$Q,12))</f>
        <v>56.2</v>
      </c>
      <c r="C238" s="54">
        <f>Table9[[#This Row],[ISM Services]]-B237</f>
        <v>1.8000000000000043</v>
      </c>
    </row>
    <row r="239" spans="1:3" x14ac:dyDescent="0.2">
      <c r="A239" s="53">
        <v>42705</v>
      </c>
      <c r="B239" s="54">
        <f>IF(VLOOKUP(Table9[[#This Row],[Date]],'DB Details'!$A:$Q,12)=0,"",VLOOKUP(Table9[[#This Row],[Date]],'DB Details'!$A:$Q,12))</f>
        <v>56.7</v>
      </c>
      <c r="C239" s="54">
        <f>Table9[[#This Row],[ISM Services]]-B238</f>
        <v>0.5</v>
      </c>
    </row>
    <row r="240" spans="1:3" x14ac:dyDescent="0.2">
      <c r="A240" s="53">
        <v>42736</v>
      </c>
      <c r="B240" s="54">
        <f>IF(VLOOKUP(Table9[[#This Row],[Date]],'DB Details'!$A:$Q,12)=0,"",VLOOKUP(Table9[[#This Row],[Date]],'DB Details'!$A:$Q,12))</f>
        <v>56.8</v>
      </c>
      <c r="C240" s="54">
        <f>Table9[[#This Row],[ISM Services]]-B239</f>
        <v>9.9999999999994316E-2</v>
      </c>
    </row>
    <row r="241" spans="1:10" x14ac:dyDescent="0.2">
      <c r="A241" s="53">
        <v>42767</v>
      </c>
      <c r="B241" s="54">
        <f>IF(VLOOKUP(Table9[[#This Row],[Date]],'DB Details'!$A:$Q,12)=0,"",VLOOKUP(Table9[[#This Row],[Date]],'DB Details'!$A:$Q,12))</f>
        <v>57.4</v>
      </c>
      <c r="C241" s="54">
        <f>Table9[[#This Row],[ISM Services]]-B240</f>
        <v>0.60000000000000142</v>
      </c>
    </row>
    <row r="242" spans="1:10" x14ac:dyDescent="0.2">
      <c r="A242" s="53">
        <v>42795</v>
      </c>
      <c r="B242" s="54">
        <f>IF(VLOOKUP(Table9[[#This Row],[Date]],'DB Details'!$A:$Q,12)=0,"",VLOOKUP(Table9[[#This Row],[Date]],'DB Details'!$A:$Q,12))</f>
        <v>55.6</v>
      </c>
      <c r="C242" s="54">
        <f>Table9[[#This Row],[ISM Services]]-B241</f>
        <v>-1.7999999999999972</v>
      </c>
    </row>
    <row r="243" spans="1:10" x14ac:dyDescent="0.2">
      <c r="A243" s="53">
        <v>42826</v>
      </c>
      <c r="B243" s="54">
        <f>IF(VLOOKUP(Table9[[#This Row],[Date]],'DB Details'!$A:$Q,12)=0,"",VLOOKUP(Table9[[#This Row],[Date]],'DB Details'!$A:$Q,12))</f>
        <v>57.3</v>
      </c>
      <c r="C243" s="54">
        <f>Table9[[#This Row],[ISM Services]]-B242</f>
        <v>1.6999999999999957</v>
      </c>
    </row>
    <row r="244" spans="1:10" x14ac:dyDescent="0.2">
      <c r="A244" s="53">
        <v>42856</v>
      </c>
      <c r="B244" s="54">
        <f>IF(VLOOKUP(Table9[[#This Row],[Date]],'DB Details'!$A:$Q,12)=0,"",VLOOKUP(Table9[[#This Row],[Date]],'DB Details'!$A:$Q,12))</f>
        <v>57.1</v>
      </c>
      <c r="C244" s="54">
        <f>Table9[[#This Row],[ISM Services]]-B243</f>
        <v>-0.19999999999999574</v>
      </c>
    </row>
    <row r="245" spans="1:10" x14ac:dyDescent="0.2">
      <c r="A245" s="53">
        <v>42887</v>
      </c>
      <c r="B245" s="54">
        <f>IF(VLOOKUP(Table9[[#This Row],[Date]],'DB Details'!$A:$Q,12)=0,"",VLOOKUP(Table9[[#This Row],[Date]],'DB Details'!$A:$Q,12))</f>
        <v>57.2</v>
      </c>
      <c r="C245" s="54">
        <f>Table9[[#This Row],[ISM Services]]-B244</f>
        <v>0.10000000000000142</v>
      </c>
    </row>
    <row r="246" spans="1:10" x14ac:dyDescent="0.2">
      <c r="A246" s="53">
        <v>42917</v>
      </c>
      <c r="B246" s="54">
        <f>IF(VLOOKUP(Table9[[#This Row],[Date]],'DB Details'!$A:$Q,12)=0,"",VLOOKUP(Table9[[#This Row],[Date]],'DB Details'!$A:$Q,12))</f>
        <v>54.3</v>
      </c>
      <c r="C246" s="54">
        <f>Table9[[#This Row],[ISM Services]]-B245</f>
        <v>-2.9000000000000057</v>
      </c>
      <c r="J246" s="35"/>
    </row>
    <row r="247" spans="1:10" x14ac:dyDescent="0.2">
      <c r="A247" s="53">
        <v>42948</v>
      </c>
      <c r="B247" s="54">
        <f>IF(VLOOKUP(Table9[[#This Row],[Date]],'DB Details'!$A:$Q,12)=0,"",VLOOKUP(Table9[[#This Row],[Date]],'DB Details'!$A:$Q,12))</f>
        <v>55.2</v>
      </c>
      <c r="C247" s="54">
        <f>Table9[[#This Row],[ISM Services]]-B246</f>
        <v>0.90000000000000568</v>
      </c>
      <c r="J247" s="35"/>
    </row>
    <row r="248" spans="1:10" x14ac:dyDescent="0.2">
      <c r="A248" s="53">
        <v>42979</v>
      </c>
      <c r="B248" s="54">
        <f>IF(VLOOKUP(Table9[[#This Row],[Date]],'DB Details'!$A:$Q,12)=0,"",VLOOKUP(Table9[[#This Row],[Date]],'DB Details'!$A:$Q,12))</f>
        <v>59.4</v>
      </c>
      <c r="C248" s="54">
        <f>Table9[[#This Row],[ISM Services]]-B247</f>
        <v>4.1999999999999957</v>
      </c>
      <c r="J248" s="35"/>
    </row>
    <row r="249" spans="1:10" x14ac:dyDescent="0.2">
      <c r="A249" s="53">
        <v>43009</v>
      </c>
      <c r="B249" s="54">
        <f>IF(VLOOKUP(Table9[[#This Row],[Date]],'DB Details'!$A:$Q,12)=0,"",VLOOKUP(Table9[[#This Row],[Date]],'DB Details'!$A:$Q,12))</f>
        <v>59.8</v>
      </c>
      <c r="C249" s="54">
        <f>Table9[[#This Row],[ISM Services]]-B248</f>
        <v>0.39999999999999858</v>
      </c>
      <c r="J249" s="35"/>
    </row>
    <row r="250" spans="1:10" x14ac:dyDescent="0.2">
      <c r="A250" s="53">
        <v>43040</v>
      </c>
      <c r="B250" s="54">
        <f>IF(VLOOKUP(Table9[[#This Row],[Date]],'DB Details'!$A:$Q,12)=0,"",VLOOKUP(Table9[[#This Row],[Date]],'DB Details'!$A:$Q,12))</f>
        <v>57.3</v>
      </c>
      <c r="C250" s="54">
        <f>Table9[[#This Row],[ISM Services]]-B249</f>
        <v>-2.5</v>
      </c>
      <c r="J250" s="35"/>
    </row>
    <row r="251" spans="1:10" x14ac:dyDescent="0.2">
      <c r="A251" s="53">
        <v>43070</v>
      </c>
      <c r="B251" s="54">
        <f>IF(VLOOKUP(Table9[[#This Row],[Date]],'DB Details'!$A:$Q,12)=0,"",VLOOKUP(Table9[[#This Row],[Date]],'DB Details'!$A:$Q,12))</f>
        <v>56</v>
      </c>
      <c r="C251" s="54">
        <f>Table9[[#This Row],[ISM Services]]-B250</f>
        <v>-1.2999999999999972</v>
      </c>
      <c r="J251" s="35"/>
    </row>
    <row r="252" spans="1:10" x14ac:dyDescent="0.2">
      <c r="A252" s="53">
        <v>43101</v>
      </c>
      <c r="B252" s="54">
        <f>IF(VLOOKUP(Table9[[#This Row],[Date]],'DB Details'!$A:$Q,12)=0,"",VLOOKUP(Table9[[#This Row],[Date]],'DB Details'!$A:$Q,12))</f>
        <v>59.9</v>
      </c>
      <c r="C252" s="54">
        <f>Table9[[#This Row],[ISM Services]]-B251</f>
        <v>3.8999999999999986</v>
      </c>
      <c r="J252" s="35"/>
    </row>
    <row r="253" spans="1:10" x14ac:dyDescent="0.2">
      <c r="A253" s="53">
        <v>43132</v>
      </c>
      <c r="B253" s="54">
        <f>IF(VLOOKUP(Table9[[#This Row],[Date]],'DB Details'!$A:$Q,12)=0,"",VLOOKUP(Table9[[#This Row],[Date]],'DB Details'!$A:$Q,12))</f>
        <v>59.5</v>
      </c>
      <c r="C253" s="54">
        <f>Table9[[#This Row],[ISM Services]]-B252</f>
        <v>-0.39999999999999858</v>
      </c>
      <c r="J253" s="35"/>
    </row>
    <row r="254" spans="1:10" x14ac:dyDescent="0.2">
      <c r="A254" s="53">
        <v>43160</v>
      </c>
      <c r="B254" s="54">
        <f>IF(VLOOKUP(Table9[[#This Row],[Date]],'DB Details'!$A:$Q,12)=0,"",VLOOKUP(Table9[[#This Row],[Date]],'DB Details'!$A:$Q,12))</f>
        <v>58.8</v>
      </c>
      <c r="C254" s="54">
        <f>Table9[[#This Row],[ISM Services]]-B253</f>
        <v>-0.70000000000000284</v>
      </c>
      <c r="J254" s="35"/>
    </row>
    <row r="255" spans="1:10" x14ac:dyDescent="0.2">
      <c r="A255" s="53">
        <v>43191</v>
      </c>
      <c r="B255" s="54">
        <f>IF(VLOOKUP(Table9[[#This Row],[Date]],'DB Details'!$A:$Q,12)=0,"",VLOOKUP(Table9[[#This Row],[Date]],'DB Details'!$A:$Q,12))</f>
        <v>56.8</v>
      </c>
      <c r="C255" s="54">
        <f>Table9[[#This Row],[ISM Services]]-B254</f>
        <v>-2</v>
      </c>
      <c r="J255" s="35"/>
    </row>
    <row r="256" spans="1:10" x14ac:dyDescent="0.2">
      <c r="A256" s="53">
        <v>43221</v>
      </c>
      <c r="B256" s="54">
        <f>IF(VLOOKUP(Table9[[#This Row],[Date]],'DB Details'!$A:$Q,12)=0,"",VLOOKUP(Table9[[#This Row],[Date]],'DB Details'!$A:$Q,12))</f>
        <v>58.6</v>
      </c>
      <c r="C256" s="54">
        <f>Table9[[#This Row],[ISM Services]]-B255</f>
        <v>1.8000000000000043</v>
      </c>
      <c r="J256" s="35"/>
    </row>
    <row r="257" spans="1:10" x14ac:dyDescent="0.2">
      <c r="A257" s="53">
        <v>43252</v>
      </c>
      <c r="B257" s="54">
        <f>IF(VLOOKUP(Table9[[#This Row],[Date]],'DB Details'!$A:$Q,12)=0,"",VLOOKUP(Table9[[#This Row],[Date]],'DB Details'!$A:$Q,12))</f>
        <v>59.1</v>
      </c>
      <c r="C257" s="54">
        <f>Table9[[#This Row],[ISM Services]]-B256</f>
        <v>0.5</v>
      </c>
      <c r="J257" s="35"/>
    </row>
    <row r="258" spans="1:10" x14ac:dyDescent="0.2">
      <c r="A258" s="53">
        <v>43282</v>
      </c>
      <c r="B258" s="54">
        <f>IF(VLOOKUP(Table9[[#This Row],[Date]],'DB Details'!$A:$Q,12)=0,"",VLOOKUP(Table9[[#This Row],[Date]],'DB Details'!$A:$Q,12))</f>
        <v>55.7</v>
      </c>
      <c r="C258" s="54">
        <f>Table9[[#This Row],[ISM Services]]-B257</f>
        <v>-3.3999999999999986</v>
      </c>
      <c r="J258" s="35"/>
    </row>
    <row r="259" spans="1:10" x14ac:dyDescent="0.2">
      <c r="A259" s="53">
        <v>43313</v>
      </c>
      <c r="B259" s="54">
        <f>IF(VLOOKUP(Table9[[#This Row],[Date]],'DB Details'!$A:$Q,12)=0,"",VLOOKUP(Table9[[#This Row],[Date]],'DB Details'!$A:$Q,12))</f>
        <v>58.5</v>
      </c>
      <c r="C259" s="54">
        <f>Table9[[#This Row],[ISM Services]]-B258</f>
        <v>2.7999999999999972</v>
      </c>
      <c r="J259" s="35"/>
    </row>
    <row r="260" spans="1:10" x14ac:dyDescent="0.2">
      <c r="A260" s="53">
        <v>43344</v>
      </c>
      <c r="B260" s="54">
        <f>IF(VLOOKUP(Table9[[#This Row],[Date]],'DB Details'!$A:$Q,12)=0,"",VLOOKUP(Table9[[#This Row],[Date]],'DB Details'!$A:$Q,12))</f>
        <v>61.6</v>
      </c>
      <c r="C260" s="54">
        <f>Table9[[#This Row],[ISM Services]]-B259</f>
        <v>3.1000000000000014</v>
      </c>
      <c r="J260" s="35"/>
    </row>
    <row r="261" spans="1:10" x14ac:dyDescent="0.2">
      <c r="A261" s="53">
        <v>43374</v>
      </c>
      <c r="B261" s="54">
        <f>IF(VLOOKUP(Table9[[#This Row],[Date]],'DB Details'!$A:$Q,12)=0,"",VLOOKUP(Table9[[#This Row],[Date]],'DB Details'!$A:$Q,12))</f>
        <v>60.3</v>
      </c>
      <c r="C261" s="54">
        <f>Table9[[#This Row],[ISM Services]]-B260</f>
        <v>-1.3000000000000043</v>
      </c>
      <c r="J261" s="35"/>
    </row>
    <row r="262" spans="1:10" x14ac:dyDescent="0.2">
      <c r="A262" s="53">
        <v>43405</v>
      </c>
      <c r="B262" s="54">
        <f>IF(VLOOKUP(Table9[[#This Row],[Date]],'DB Details'!$A:$Q,12)=0,"",VLOOKUP(Table9[[#This Row],[Date]],'DB Details'!$A:$Q,12))</f>
        <v>60.7</v>
      </c>
      <c r="C262" s="54">
        <f>Table9[[#This Row],[ISM Services]]-B261</f>
        <v>0.40000000000000568</v>
      </c>
      <c r="J262" s="35"/>
    </row>
    <row r="263" spans="1:10" x14ac:dyDescent="0.2">
      <c r="A263" s="53">
        <v>43435</v>
      </c>
      <c r="B263" s="54">
        <f>IF(VLOOKUP(Table9[[#This Row],[Date]],'DB Details'!$A:$Q,12)=0,"",VLOOKUP(Table9[[#This Row],[Date]],'DB Details'!$A:$Q,12))</f>
        <v>57.6</v>
      </c>
      <c r="C263" s="54">
        <f>Table9[[#This Row],[ISM Services]]-B262</f>
        <v>-3.1000000000000014</v>
      </c>
      <c r="J263" s="35"/>
    </row>
    <row r="264" spans="1:10" x14ac:dyDescent="0.2">
      <c r="A264" s="53">
        <v>43466</v>
      </c>
      <c r="B264" s="54">
        <f>IF(VLOOKUP(Table9[[#This Row],[Date]],'DB Details'!$A:$Q,12)=0,"",VLOOKUP(Table9[[#This Row],[Date]],'DB Details'!$A:$Q,12))</f>
        <v>56.7</v>
      </c>
      <c r="C264" s="54">
        <f>Table9[[#This Row],[ISM Services]]-B263</f>
        <v>-0.89999999999999858</v>
      </c>
      <c r="J264" s="35"/>
    </row>
    <row r="265" spans="1:10" x14ac:dyDescent="0.2">
      <c r="A265" s="53">
        <v>43497</v>
      </c>
      <c r="B265" s="54">
        <f>IF(VLOOKUP(Table9[[#This Row],[Date]],'DB Details'!$A:$Q,12)=0,"",VLOOKUP(Table9[[#This Row],[Date]],'DB Details'!$A:$Q,12))</f>
        <v>59.7</v>
      </c>
      <c r="C265" s="54">
        <f>Table9[[#This Row],[ISM Services]]-B264</f>
        <v>3</v>
      </c>
      <c r="J265" s="35"/>
    </row>
    <row r="266" spans="1:10" x14ac:dyDescent="0.2">
      <c r="A266" s="53">
        <v>43525</v>
      </c>
      <c r="B266" s="54">
        <f>IF(VLOOKUP(Table9[[#This Row],[Date]],'DB Details'!$A:$Q,12)=0,"",VLOOKUP(Table9[[#This Row],[Date]],'DB Details'!$A:$Q,12))</f>
        <v>56.1</v>
      </c>
      <c r="C266" s="54">
        <f>Table9[[#This Row],[ISM Services]]-B265</f>
        <v>-3.6000000000000014</v>
      </c>
      <c r="J266" s="35"/>
    </row>
    <row r="267" spans="1:10" x14ac:dyDescent="0.2">
      <c r="A267" s="53">
        <v>43556</v>
      </c>
      <c r="B267" s="54">
        <f>IF(VLOOKUP(Table9[[#This Row],[Date]],'DB Details'!$A:$Q,12)=0,"",VLOOKUP(Table9[[#This Row],[Date]],'DB Details'!$A:$Q,12))</f>
        <v>55.5</v>
      </c>
      <c r="C267" s="54">
        <f>Table9[[#This Row],[ISM Services]]-B266</f>
        <v>-0.60000000000000142</v>
      </c>
      <c r="J267" s="35"/>
    </row>
    <row r="268" spans="1:10" x14ac:dyDescent="0.2">
      <c r="A268" s="53">
        <v>43586</v>
      </c>
      <c r="B268" s="54">
        <f>IF(VLOOKUP(Table9[[#This Row],[Date]],'DB Details'!$A:$Q,12)=0,"",VLOOKUP(Table9[[#This Row],[Date]],'DB Details'!$A:$Q,12))</f>
        <v>56.9</v>
      </c>
      <c r="C268" s="54">
        <f>Table9[[#This Row],[ISM Services]]-B267</f>
        <v>1.3999999999999986</v>
      </c>
      <c r="J268" s="35"/>
    </row>
    <row r="269" spans="1:10" x14ac:dyDescent="0.2">
      <c r="A269" s="53">
        <v>43617</v>
      </c>
      <c r="B269" s="54">
        <f>IF(VLOOKUP(Table9[[#This Row],[Date]],'DB Details'!$A:$Q,12)=0,"",VLOOKUP(Table9[[#This Row],[Date]],'DB Details'!$A:$Q,12))</f>
        <v>55.1</v>
      </c>
      <c r="C269" s="54">
        <f>Table9[[#This Row],[ISM Services]]-B268</f>
        <v>-1.7999999999999972</v>
      </c>
      <c r="J269" s="35"/>
    </row>
    <row r="270" spans="1:10" x14ac:dyDescent="0.2">
      <c r="A270" s="53">
        <v>43647</v>
      </c>
      <c r="B270" s="54">
        <f>IF(VLOOKUP(Table9[[#This Row],[Date]],'DB Details'!$A:$Q,12)=0,"",VLOOKUP(Table9[[#This Row],[Date]],'DB Details'!$A:$Q,12))</f>
        <v>53.7</v>
      </c>
      <c r="C270" s="54">
        <f>Table9[[#This Row],[ISM Services]]-B269</f>
        <v>-1.3999999999999986</v>
      </c>
      <c r="J270" s="35"/>
    </row>
    <row r="271" spans="1:10" x14ac:dyDescent="0.2">
      <c r="A271" s="53">
        <v>43678</v>
      </c>
      <c r="B271" s="54">
        <f>IF(VLOOKUP(Table9[[#This Row],[Date]],'DB Details'!$A:$Q,12)=0,"",VLOOKUP(Table9[[#This Row],[Date]],'DB Details'!$A:$Q,12))</f>
        <v>56.4</v>
      </c>
      <c r="C271" s="54">
        <f>Table9[[#This Row],[ISM Services]]-B270</f>
        <v>2.6999999999999957</v>
      </c>
      <c r="J271" s="35"/>
    </row>
    <row r="272" spans="1:10" x14ac:dyDescent="0.2">
      <c r="A272" s="53">
        <v>43709</v>
      </c>
      <c r="B272" s="54">
        <f>IF(VLOOKUP(Table9[[#This Row],[Date]],'DB Details'!$A:$Q,12)=0,"",VLOOKUP(Table9[[#This Row],[Date]],'DB Details'!$A:$Q,12))</f>
        <v>52.6</v>
      </c>
      <c r="C272" s="54">
        <f>Table9[[#This Row],[ISM Services]]-B271</f>
        <v>-3.7999999999999972</v>
      </c>
    </row>
    <row r="273" spans="1:3" x14ac:dyDescent="0.2">
      <c r="A273" s="53">
        <v>43739</v>
      </c>
      <c r="B273" s="54">
        <f>IF(VLOOKUP(Table9[[#This Row],[Date]],'DB Details'!$A:$Q,12)=0,"",VLOOKUP(Table9[[#This Row],[Date]],'DB Details'!$A:$Q,12))</f>
        <v>54.7</v>
      </c>
      <c r="C273" s="54">
        <f>Table9[[#This Row],[ISM Services]]-B272</f>
        <v>2.1000000000000014</v>
      </c>
    </row>
    <row r="274" spans="1:3" x14ac:dyDescent="0.2">
      <c r="A274" s="53">
        <v>43770</v>
      </c>
      <c r="B274" s="54">
        <f>IF(VLOOKUP(Table9[[#This Row],[Date]],'DB Details'!$A:$Q,12)=0,"",VLOOKUP(Table9[[#This Row],[Date]],'DB Details'!$A:$Q,12))</f>
        <v>53.9</v>
      </c>
      <c r="C274" s="54">
        <f>Table9[[#This Row],[ISM Services]]-B273</f>
        <v>-0.80000000000000426</v>
      </c>
    </row>
    <row r="275" spans="1:3" x14ac:dyDescent="0.2">
      <c r="A275" s="53">
        <v>43800</v>
      </c>
      <c r="B275" s="54">
        <f>IF(VLOOKUP(Table9[[#This Row],[Date]],'DB Details'!$A:$Q,12)=0,"",VLOOKUP(Table9[[#This Row],[Date]],'DB Details'!$A:$Q,12))</f>
        <v>55</v>
      </c>
      <c r="C275" s="54">
        <f>Table9[[#This Row],[ISM Services]]-B274</f>
        <v>1.1000000000000014</v>
      </c>
    </row>
    <row r="276" spans="1:3" x14ac:dyDescent="0.2">
      <c r="A276" s="53">
        <v>43831</v>
      </c>
      <c r="B276" s="54">
        <f>IF(VLOOKUP(Table9[[#This Row],[Date]],'DB Details'!$A:$Q,12)=0,"",VLOOKUP(Table9[[#This Row],[Date]],'DB Details'!$A:$Q,12))</f>
        <v>55.5</v>
      </c>
      <c r="C276" s="54">
        <f>Table9[[#This Row],[ISM Services]]-B275</f>
        <v>0.5</v>
      </c>
    </row>
    <row r="277" spans="1:3" x14ac:dyDescent="0.2">
      <c r="A277" s="53">
        <v>43862</v>
      </c>
      <c r="B277" s="54">
        <f>IF(VLOOKUP(Table9[[#This Row],[Date]],'DB Details'!$A:$Q,12)=0,"",VLOOKUP(Table9[[#This Row],[Date]],'DB Details'!$A:$Q,12))</f>
        <v>57.3</v>
      </c>
      <c r="C277" s="54">
        <f>Table9[[#This Row],[ISM Services]]-B276</f>
        <v>1.7999999999999972</v>
      </c>
    </row>
    <row r="278" spans="1:3" x14ac:dyDescent="0.2">
      <c r="A278" s="53">
        <v>43891</v>
      </c>
      <c r="B278" s="54">
        <f>IF(VLOOKUP(Table9[[#This Row],[Date]],'DB Details'!$A:$Q,12)=0,"",VLOOKUP(Table9[[#This Row],[Date]],'DB Details'!$A:$Q,12))</f>
        <v>52.5</v>
      </c>
      <c r="C278" s="54">
        <f>Table9[[#This Row],[ISM Services]]-B277</f>
        <v>-4.7999999999999972</v>
      </c>
    </row>
    <row r="279" spans="1:3" x14ac:dyDescent="0.2">
      <c r="A279" s="53">
        <v>43922</v>
      </c>
      <c r="B279" s="54">
        <f>IF(VLOOKUP(Table9[[#This Row],[Date]],'DB Details'!$A:$Q,12)=0,"",VLOOKUP(Table9[[#This Row],[Date]],'DB Details'!$A:$Q,12))</f>
        <v>41.8</v>
      </c>
      <c r="C279" s="54">
        <f>Table9[[#This Row],[ISM Services]]-B278</f>
        <v>-10.700000000000003</v>
      </c>
    </row>
    <row r="280" spans="1:3" x14ac:dyDescent="0.2">
      <c r="A280" s="53">
        <v>43952</v>
      </c>
      <c r="B280" s="54">
        <f>IF(VLOOKUP(Table9[[#This Row],[Date]],'DB Details'!$A:$Q,12)=0,"",VLOOKUP(Table9[[#This Row],[Date]],'DB Details'!$A:$Q,12))</f>
        <v>45.4</v>
      </c>
      <c r="C280" s="54">
        <f>Table9[[#This Row],[ISM Services]]-B279</f>
        <v>3.6000000000000014</v>
      </c>
    </row>
    <row r="281" spans="1:3" x14ac:dyDescent="0.2">
      <c r="A281" s="53">
        <v>43983</v>
      </c>
      <c r="B281" s="54">
        <f>IF(VLOOKUP(Table9[[#This Row],[Date]],'DB Details'!$A:$Q,12)=0,"",VLOOKUP(Table9[[#This Row],[Date]],'DB Details'!$A:$Q,12))</f>
        <v>57.1</v>
      </c>
      <c r="C281" s="54">
        <f>Table9[[#This Row],[ISM Services]]-B280</f>
        <v>11.700000000000003</v>
      </c>
    </row>
    <row r="282" spans="1:3" x14ac:dyDescent="0.2">
      <c r="A282" s="53">
        <v>44013</v>
      </c>
      <c r="B282" s="54">
        <f>IF(VLOOKUP(Table9[[#This Row],[Date]],'DB Details'!$A:$Q,12)=0,"",VLOOKUP(Table9[[#This Row],[Date]],'DB Details'!$A:$Q,12))</f>
        <v>58.1</v>
      </c>
      <c r="C282" s="54">
        <f>Table9[[#This Row],[ISM Services]]-B281</f>
        <v>1</v>
      </c>
    </row>
    <row r="283" spans="1:3" x14ac:dyDescent="0.2">
      <c r="A283" s="53">
        <v>44044</v>
      </c>
      <c r="B283" s="54">
        <f>IF(VLOOKUP(Table9[[#This Row],[Date]],'DB Details'!$A:$Q,12)=0,"",VLOOKUP(Table9[[#This Row],[Date]],'DB Details'!$A:$Q,12))</f>
        <v>56.9</v>
      </c>
      <c r="C283" s="54">
        <f>Table9[[#This Row],[ISM Services]]-B282</f>
        <v>-1.2000000000000028</v>
      </c>
    </row>
    <row r="284" spans="1:3" x14ac:dyDescent="0.2">
      <c r="A284" s="53">
        <v>44075</v>
      </c>
      <c r="B284" s="54">
        <f>IF(VLOOKUP(Table9[[#This Row],[Date]],'DB Details'!$A:$Q,12)=0,"",VLOOKUP(Table9[[#This Row],[Date]],'DB Details'!$A:$Q,12))</f>
        <v>57.8</v>
      </c>
      <c r="C284" s="54">
        <f>Table9[[#This Row],[ISM Services]]-B283</f>
        <v>0.89999999999999858</v>
      </c>
    </row>
    <row r="285" spans="1:3" x14ac:dyDescent="0.2">
      <c r="A285" s="53">
        <v>44105</v>
      </c>
      <c r="B285" s="54">
        <f>IF(VLOOKUP(Table9[[#This Row],[Date]],'DB Details'!$A:$Q,12)=0,"",VLOOKUP(Table9[[#This Row],[Date]],'DB Details'!$A:$Q,12))</f>
        <v>56.6</v>
      </c>
      <c r="C285" s="54">
        <f>Table9[[#This Row],[ISM Services]]-B284</f>
        <v>-1.1999999999999957</v>
      </c>
    </row>
    <row r="286" spans="1:3" x14ac:dyDescent="0.2">
      <c r="A286" s="53">
        <v>44136</v>
      </c>
      <c r="B286" s="54">
        <f>IF(VLOOKUP(Table9[[#This Row],[Date]],'DB Details'!$A:$Q,12)=0,"",VLOOKUP(Table9[[#This Row],[Date]],'DB Details'!$A:$Q,12))</f>
        <v>55.9</v>
      </c>
      <c r="C286" s="54">
        <f>Table9[[#This Row],[ISM Services]]-B285</f>
        <v>-0.70000000000000284</v>
      </c>
    </row>
    <row r="287" spans="1:3" x14ac:dyDescent="0.2">
      <c r="A287" s="53">
        <v>44166</v>
      </c>
      <c r="B287" s="54">
        <f>IF(VLOOKUP(Table9[[#This Row],[Date]],'DB Details'!$A:$Q,12)=0,"",VLOOKUP(Table9[[#This Row],[Date]],'DB Details'!$A:$Q,12))</f>
        <v>57.2</v>
      </c>
      <c r="C287" s="54">
        <f>Table9[[#This Row],[ISM Services]]-B286</f>
        <v>1.3000000000000043</v>
      </c>
    </row>
    <row r="288" spans="1:3" x14ac:dyDescent="0.2">
      <c r="A288" s="53">
        <v>44197</v>
      </c>
      <c r="B288" s="54">
        <f>IF(VLOOKUP(Table9[[#This Row],[Date]],'DB Details'!$A:$Q,12)=0,"",VLOOKUP(Table9[[#This Row],[Date]],'DB Details'!$A:$Q,12))</f>
        <v>58.7</v>
      </c>
      <c r="C288" s="54">
        <f>Table9[[#This Row],[ISM Services]]-B287</f>
        <v>1.5</v>
      </c>
    </row>
    <row r="289" spans="1:3" x14ac:dyDescent="0.2">
      <c r="A289" s="53">
        <v>44228</v>
      </c>
      <c r="B289" s="54">
        <f>IF(VLOOKUP(Table9[[#This Row],[Date]],'DB Details'!$A:$Q,12)=0,"",VLOOKUP(Table9[[#This Row],[Date]],'DB Details'!$A:$Q,12))</f>
        <v>55.3</v>
      </c>
      <c r="C289" s="54">
        <f>Table9[[#This Row],[ISM Services]]-B288</f>
        <v>-3.4000000000000057</v>
      </c>
    </row>
    <row r="290" spans="1:3" x14ac:dyDescent="0.2">
      <c r="A290" s="53">
        <v>44256</v>
      </c>
      <c r="B290" s="54">
        <f>IF(VLOOKUP(Table9[[#This Row],[Date]],'DB Details'!$A:$Q,12)=0,"",VLOOKUP(Table9[[#This Row],[Date]],'DB Details'!$A:$Q,12))</f>
        <v>63.7</v>
      </c>
      <c r="C290" s="54">
        <f>Table9[[#This Row],[ISM Services]]-B289</f>
        <v>8.4000000000000057</v>
      </c>
    </row>
    <row r="291" spans="1:3" x14ac:dyDescent="0.2">
      <c r="A291" s="53">
        <v>44287</v>
      </c>
      <c r="B291" s="54">
        <f>IF(VLOOKUP(Table9[[#This Row],[Date]],'DB Details'!$A:$Q,12)=0,"",VLOOKUP(Table9[[#This Row],[Date]],'DB Details'!$A:$Q,12))</f>
        <v>62.7</v>
      </c>
      <c r="C291" s="54">
        <f>Table9[[#This Row],[ISM Services]]-B290</f>
        <v>-1</v>
      </c>
    </row>
    <row r="292" spans="1:3" x14ac:dyDescent="0.2">
      <c r="A292" s="53">
        <v>44317</v>
      </c>
      <c r="B292" s="54">
        <f>IF(VLOOKUP(Table9[[#This Row],[Date]],'DB Details'!$A:$Q,12)=0,"",VLOOKUP(Table9[[#This Row],[Date]],'DB Details'!$A:$Q,12))</f>
        <v>64</v>
      </c>
      <c r="C292" s="54">
        <f>Table9[[#This Row],[ISM Services]]-B291</f>
        <v>1.2999999999999972</v>
      </c>
    </row>
    <row r="293" spans="1:3" x14ac:dyDescent="0.2">
      <c r="A293" s="53">
        <v>44348</v>
      </c>
      <c r="B293" s="54">
        <f>IF(VLOOKUP(Table9[[#This Row],[Date]],'DB Details'!$A:$Q,12)=0,"",VLOOKUP(Table9[[#This Row],[Date]],'DB Details'!$A:$Q,12))</f>
        <v>60.1</v>
      </c>
      <c r="C293" s="54">
        <f>Table9[[#This Row],[ISM Services]]-B292</f>
        <v>-3.8999999999999986</v>
      </c>
    </row>
    <row r="294" spans="1:3" x14ac:dyDescent="0.2">
      <c r="A294" s="53">
        <v>44378</v>
      </c>
      <c r="B294" s="54">
        <f>IF(VLOOKUP(Table9[[#This Row],[Date]],'DB Details'!$A:$Q,12)=0,"",VLOOKUP(Table9[[#This Row],[Date]],'DB Details'!$A:$Q,12))</f>
        <v>64.099999999999994</v>
      </c>
      <c r="C294" s="54">
        <f>Table9[[#This Row],[ISM Services]]-B293</f>
        <v>3.9999999999999929</v>
      </c>
    </row>
    <row r="295" spans="1:3" x14ac:dyDescent="0.2">
      <c r="A295" s="53">
        <v>44409</v>
      </c>
      <c r="B295" s="54">
        <f>IF(VLOOKUP(Table9[[#This Row],[Date]],'DB Details'!$A:$Q,12)=0,"",VLOOKUP(Table9[[#This Row],[Date]],'DB Details'!$A:$Q,12))</f>
        <v>61.7</v>
      </c>
      <c r="C295" s="54">
        <f>Table9[[#This Row],[ISM Services]]-B294</f>
        <v>-2.3999999999999915</v>
      </c>
    </row>
    <row r="296" spans="1:3" x14ac:dyDescent="0.2">
      <c r="A296" s="53">
        <v>44440</v>
      </c>
      <c r="B296" s="54">
        <f>IF(VLOOKUP(Table9[[#This Row],[Date]],'DB Details'!$A:$Q,12)=0,"",VLOOKUP(Table9[[#This Row],[Date]],'DB Details'!$A:$Q,12))</f>
        <v>61.9</v>
      </c>
      <c r="C296" s="54">
        <f>Table9[[#This Row],[ISM Services]]-B295</f>
        <v>0.19999999999999574</v>
      </c>
    </row>
    <row r="297" spans="1:3" x14ac:dyDescent="0.2">
      <c r="A297" s="53">
        <v>44470</v>
      </c>
      <c r="B297" s="54">
        <f>IF(VLOOKUP(Table9[[#This Row],[Date]],'DB Details'!$A:$Q,12)=0,"",VLOOKUP(Table9[[#This Row],[Date]],'DB Details'!$A:$Q,12))</f>
        <v>66.7</v>
      </c>
      <c r="C297" s="54">
        <f>Table9[[#This Row],[ISM Services]]-B296</f>
        <v>4.8000000000000043</v>
      </c>
    </row>
    <row r="298" spans="1:3" x14ac:dyDescent="0.2">
      <c r="A298" s="53">
        <v>44501</v>
      </c>
      <c r="B298" s="54">
        <f>IF(VLOOKUP(Table9[[#This Row],[Date]],'DB Details'!$A:$Q,12)=0,"",VLOOKUP(Table9[[#This Row],[Date]],'DB Details'!$A:$Q,12))</f>
        <v>69.099999999999994</v>
      </c>
      <c r="C298" s="54">
        <f>Table9[[#This Row],[ISM Services]]-B297</f>
        <v>2.3999999999999915</v>
      </c>
    </row>
    <row r="299" spans="1:3" x14ac:dyDescent="0.2">
      <c r="A299" s="53">
        <v>44531</v>
      </c>
      <c r="B299" s="54">
        <f>IF(VLOOKUP(Table9[[#This Row],[Date]],'DB Details'!$A:$Q,12)=0,"",VLOOKUP(Table9[[#This Row],[Date]],'DB Details'!$A:$Q,12))</f>
        <v>62</v>
      </c>
      <c r="C299" s="54">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C389"/>
  <sheetViews>
    <sheetView zoomScale="170" zoomScaleNormal="170" workbookViewId="0">
      <pane ySplit="1" topLeftCell="A2" activePane="bottomLeft" state="frozen"/>
      <selection activeCell="B18" sqref="B18:F18"/>
      <selection pane="bottomLeft" activeCell="B18" sqref="B18:F18"/>
    </sheetView>
  </sheetViews>
  <sheetFormatPr baseColWidth="10" defaultRowHeight="15" x14ac:dyDescent="0.2"/>
  <cols>
    <col min="3" max="3" width="149.5" style="65" customWidth="1"/>
  </cols>
  <sheetData>
    <row r="1" spans="1:3" x14ac:dyDescent="0.2">
      <c r="A1" t="s">
        <v>11</v>
      </c>
      <c r="B1" t="s">
        <v>76</v>
      </c>
      <c r="C1" t="s">
        <v>10</v>
      </c>
    </row>
    <row r="2" spans="1:3" x14ac:dyDescent="0.2">
      <c r="A2" t="s">
        <v>17</v>
      </c>
      <c r="B2" s="69">
        <v>44531</v>
      </c>
      <c r="C2" t="s">
        <v>82</v>
      </c>
    </row>
    <row r="3" spans="1:3" x14ac:dyDescent="0.2">
      <c r="A3" t="s">
        <v>17</v>
      </c>
      <c r="B3" s="69">
        <v>44531</v>
      </c>
      <c r="C3" t="s">
        <v>83</v>
      </c>
    </row>
    <row r="4" spans="1:3" x14ac:dyDescent="0.2">
      <c r="A4" t="s">
        <v>17</v>
      </c>
      <c r="B4" s="69">
        <v>44531</v>
      </c>
      <c r="C4" t="s">
        <v>83</v>
      </c>
    </row>
    <row r="5" spans="1:3" x14ac:dyDescent="0.2">
      <c r="A5" t="s">
        <v>17</v>
      </c>
      <c r="B5" s="69">
        <v>44531</v>
      </c>
      <c r="C5" t="s">
        <v>83</v>
      </c>
    </row>
    <row r="6" spans="1:3" x14ac:dyDescent="0.2">
      <c r="A6" t="s">
        <v>17</v>
      </c>
      <c r="B6" s="69">
        <v>44501</v>
      </c>
      <c r="C6" t="s">
        <v>84</v>
      </c>
    </row>
    <row r="7" spans="1:3" x14ac:dyDescent="0.2">
      <c r="A7" t="s">
        <v>17</v>
      </c>
      <c r="B7" s="69">
        <v>44470</v>
      </c>
      <c r="C7" t="s">
        <v>85</v>
      </c>
    </row>
    <row r="8" spans="1:3" x14ac:dyDescent="0.2">
      <c r="A8" t="s">
        <v>17</v>
      </c>
      <c r="B8" s="69">
        <v>44440</v>
      </c>
      <c r="C8" t="s">
        <v>86</v>
      </c>
    </row>
    <row r="9" spans="1:3" x14ac:dyDescent="0.2">
      <c r="A9" t="s">
        <v>17</v>
      </c>
      <c r="B9" s="69">
        <v>44409</v>
      </c>
      <c r="C9" t="s">
        <v>87</v>
      </c>
    </row>
    <row r="10" spans="1:3" x14ac:dyDescent="0.2">
      <c r="A10" t="s">
        <v>17</v>
      </c>
      <c r="B10" s="69">
        <v>44378</v>
      </c>
      <c r="C10" t="s">
        <v>88</v>
      </c>
    </row>
    <row r="11" spans="1:3" x14ac:dyDescent="0.2">
      <c r="A11" t="s">
        <v>17</v>
      </c>
      <c r="B11" s="69">
        <v>44348</v>
      </c>
      <c r="C11" t="s">
        <v>89</v>
      </c>
    </row>
    <row r="12" spans="1:3" x14ac:dyDescent="0.2">
      <c r="A12" t="s">
        <v>17</v>
      </c>
      <c r="B12" s="69">
        <v>44317</v>
      </c>
      <c r="C12" t="s">
        <v>90</v>
      </c>
    </row>
    <row r="13" spans="1:3" x14ac:dyDescent="0.2">
      <c r="A13" t="s">
        <v>17</v>
      </c>
      <c r="B13" s="69">
        <v>44287</v>
      </c>
      <c r="C13" t="s">
        <v>91</v>
      </c>
    </row>
    <row r="14" spans="1:3" x14ac:dyDescent="0.2">
      <c r="A14" t="s">
        <v>17</v>
      </c>
      <c r="B14" s="69">
        <v>44228</v>
      </c>
      <c r="C14" t="s">
        <v>92</v>
      </c>
    </row>
    <row r="15" spans="1:3" x14ac:dyDescent="0.2">
      <c r="A15" t="s">
        <v>17</v>
      </c>
      <c r="B15" s="69">
        <v>44197</v>
      </c>
      <c r="C15" t="s">
        <v>93</v>
      </c>
    </row>
    <row r="16" spans="1:3" x14ac:dyDescent="0.2">
      <c r="A16" t="s">
        <v>17</v>
      </c>
      <c r="B16" s="69">
        <v>44166</v>
      </c>
      <c r="C16" t="s">
        <v>94</v>
      </c>
    </row>
    <row r="17" spans="1:3" x14ac:dyDescent="0.2">
      <c r="A17" t="s">
        <v>17</v>
      </c>
      <c r="B17" s="69">
        <v>44136</v>
      </c>
      <c r="C17" t="s">
        <v>95</v>
      </c>
    </row>
    <row r="18" spans="1:3" x14ac:dyDescent="0.2">
      <c r="A18" t="s">
        <v>17</v>
      </c>
      <c r="B18" s="69">
        <v>44105</v>
      </c>
      <c r="C18" t="s">
        <v>96</v>
      </c>
    </row>
    <row r="19" spans="1:3" x14ac:dyDescent="0.2">
      <c r="A19" t="s">
        <v>17</v>
      </c>
      <c r="B19" s="69">
        <v>44044</v>
      </c>
      <c r="C19" t="s">
        <v>97</v>
      </c>
    </row>
    <row r="20" spans="1:3" x14ac:dyDescent="0.2">
      <c r="A20" t="s">
        <v>17</v>
      </c>
      <c r="B20" s="69">
        <v>43983</v>
      </c>
      <c r="C20" t="s">
        <v>98</v>
      </c>
    </row>
    <row r="21" spans="1:3" x14ac:dyDescent="0.2">
      <c r="A21" t="s">
        <v>17</v>
      </c>
      <c r="B21" s="69">
        <v>43952</v>
      </c>
      <c r="C21" t="s">
        <v>99</v>
      </c>
    </row>
    <row r="22" spans="1:3" x14ac:dyDescent="0.2">
      <c r="A22" t="s">
        <v>17</v>
      </c>
      <c r="B22" s="69">
        <v>43922</v>
      </c>
      <c r="C22" t="s">
        <v>100</v>
      </c>
    </row>
    <row r="23" spans="1:3" x14ac:dyDescent="0.2">
      <c r="A23" t="s">
        <v>17</v>
      </c>
      <c r="B23" s="69">
        <v>43891</v>
      </c>
      <c r="C23" t="s">
        <v>101</v>
      </c>
    </row>
    <row r="24" spans="1:3" x14ac:dyDescent="0.2">
      <c r="A24" t="s">
        <v>17</v>
      </c>
      <c r="B24" s="69">
        <v>43831</v>
      </c>
      <c r="C24" t="s">
        <v>102</v>
      </c>
    </row>
    <row r="25" spans="1:3" x14ac:dyDescent="0.2">
      <c r="A25" t="s">
        <v>17</v>
      </c>
      <c r="B25" s="69">
        <v>43800</v>
      </c>
      <c r="C25" t="s">
        <v>103</v>
      </c>
    </row>
    <row r="26" spans="1:3" x14ac:dyDescent="0.2">
      <c r="A26" t="s">
        <v>17</v>
      </c>
      <c r="B26" s="69">
        <v>43739</v>
      </c>
      <c r="C26" t="s">
        <v>104</v>
      </c>
    </row>
    <row r="27" spans="1:3" x14ac:dyDescent="0.2">
      <c r="A27" t="s">
        <v>17</v>
      </c>
      <c r="B27" s="69">
        <v>43709</v>
      </c>
      <c r="C27" t="s">
        <v>105</v>
      </c>
    </row>
    <row r="28" spans="1:3" x14ac:dyDescent="0.2">
      <c r="A28" t="s">
        <v>17</v>
      </c>
      <c r="B28" s="69">
        <v>43678</v>
      </c>
      <c r="C28" t="s">
        <v>106</v>
      </c>
    </row>
    <row r="29" spans="1:3" x14ac:dyDescent="0.2">
      <c r="A29" t="s">
        <v>17</v>
      </c>
      <c r="B29" s="69">
        <v>43647</v>
      </c>
      <c r="C29" t="s">
        <v>107</v>
      </c>
    </row>
    <row r="30" spans="1:3" x14ac:dyDescent="0.2">
      <c r="A30" t="s">
        <v>17</v>
      </c>
      <c r="B30" s="69">
        <v>43586</v>
      </c>
      <c r="C30" t="s">
        <v>108</v>
      </c>
    </row>
    <row r="31" spans="1:3" x14ac:dyDescent="0.2">
      <c r="A31" t="s">
        <v>17</v>
      </c>
      <c r="B31" s="69">
        <v>43556</v>
      </c>
      <c r="C31" t="s">
        <v>109</v>
      </c>
    </row>
    <row r="32" spans="1:3" x14ac:dyDescent="0.2">
      <c r="A32" t="s">
        <v>17</v>
      </c>
      <c r="B32" s="69">
        <v>43525</v>
      </c>
      <c r="C32" t="s">
        <v>110</v>
      </c>
    </row>
    <row r="33" spans="1:3" x14ac:dyDescent="0.2">
      <c r="A33" t="s">
        <v>17</v>
      </c>
      <c r="B33" s="69">
        <v>43497</v>
      </c>
      <c r="C33" t="s">
        <v>111</v>
      </c>
    </row>
    <row r="34" spans="1:3" x14ac:dyDescent="0.2">
      <c r="A34" t="s">
        <v>47</v>
      </c>
      <c r="B34" s="69">
        <v>44531</v>
      </c>
      <c r="C34" t="s">
        <v>112</v>
      </c>
    </row>
    <row r="35" spans="1:3" x14ac:dyDescent="0.2">
      <c r="A35" t="s">
        <v>47</v>
      </c>
      <c r="B35" s="69">
        <v>44531</v>
      </c>
      <c r="C35" t="s">
        <v>113</v>
      </c>
    </row>
    <row r="36" spans="1:3" x14ac:dyDescent="0.2">
      <c r="A36" t="s">
        <v>47</v>
      </c>
      <c r="B36" s="69">
        <v>44531</v>
      </c>
      <c r="C36" t="s">
        <v>113</v>
      </c>
    </row>
    <row r="37" spans="1:3" x14ac:dyDescent="0.2">
      <c r="A37" t="s">
        <v>47</v>
      </c>
      <c r="B37" s="69">
        <v>44531</v>
      </c>
      <c r="C37" t="s">
        <v>113</v>
      </c>
    </row>
    <row r="38" spans="1:3" x14ac:dyDescent="0.2">
      <c r="A38" t="s">
        <v>47</v>
      </c>
      <c r="B38" s="69">
        <v>44501</v>
      </c>
      <c r="C38" t="s">
        <v>114</v>
      </c>
    </row>
    <row r="39" spans="1:3" x14ac:dyDescent="0.2">
      <c r="A39" t="s">
        <v>47</v>
      </c>
      <c r="B39" s="69">
        <v>44470</v>
      </c>
      <c r="C39" t="s">
        <v>115</v>
      </c>
    </row>
    <row r="40" spans="1:3" x14ac:dyDescent="0.2">
      <c r="A40" t="s">
        <v>47</v>
      </c>
      <c r="B40" s="69">
        <v>44409</v>
      </c>
      <c r="C40" t="s">
        <v>116</v>
      </c>
    </row>
    <row r="41" spans="1:3" x14ac:dyDescent="0.2">
      <c r="A41" t="s">
        <v>47</v>
      </c>
      <c r="B41" s="69">
        <v>44378</v>
      </c>
      <c r="C41" t="s">
        <v>117</v>
      </c>
    </row>
    <row r="42" spans="1:3" x14ac:dyDescent="0.2">
      <c r="A42" t="s">
        <v>47</v>
      </c>
      <c r="B42" s="69">
        <v>44317</v>
      </c>
      <c r="C42" t="s">
        <v>118</v>
      </c>
    </row>
    <row r="43" spans="1:3" x14ac:dyDescent="0.2">
      <c r="A43" t="s">
        <v>47</v>
      </c>
      <c r="B43" s="69">
        <v>44287</v>
      </c>
      <c r="C43" t="s">
        <v>119</v>
      </c>
    </row>
    <row r="44" spans="1:3" x14ac:dyDescent="0.2">
      <c r="A44" t="s">
        <v>47</v>
      </c>
      <c r="B44" s="69">
        <v>44075</v>
      </c>
      <c r="C44" t="s">
        <v>120</v>
      </c>
    </row>
    <row r="45" spans="1:3" x14ac:dyDescent="0.2">
      <c r="A45" t="s">
        <v>47</v>
      </c>
      <c r="B45" s="69">
        <v>43983</v>
      </c>
      <c r="C45" t="s">
        <v>121</v>
      </c>
    </row>
    <row r="46" spans="1:3" x14ac:dyDescent="0.2">
      <c r="A46" t="s">
        <v>47</v>
      </c>
      <c r="B46" s="69">
        <v>43952</v>
      </c>
      <c r="C46" t="s">
        <v>122</v>
      </c>
    </row>
    <row r="47" spans="1:3" x14ac:dyDescent="0.2">
      <c r="A47" t="s">
        <v>47</v>
      </c>
      <c r="B47" s="69">
        <v>43922</v>
      </c>
      <c r="C47" t="s">
        <v>123</v>
      </c>
    </row>
    <row r="48" spans="1:3" x14ac:dyDescent="0.2">
      <c r="A48" t="s">
        <v>47</v>
      </c>
      <c r="B48" s="69">
        <v>43770</v>
      </c>
      <c r="C48" t="s">
        <v>124</v>
      </c>
    </row>
    <row r="49" spans="1:3" x14ac:dyDescent="0.2">
      <c r="A49" t="s">
        <v>47</v>
      </c>
      <c r="B49" s="69">
        <v>43709</v>
      </c>
      <c r="C49" t="s">
        <v>125</v>
      </c>
    </row>
    <row r="50" spans="1:3" x14ac:dyDescent="0.2">
      <c r="A50" t="s">
        <v>47</v>
      </c>
      <c r="B50" s="69">
        <v>43678</v>
      </c>
      <c r="C50" t="s">
        <v>126</v>
      </c>
    </row>
    <row r="51" spans="1:3" x14ac:dyDescent="0.2">
      <c r="A51" t="s">
        <v>47</v>
      </c>
      <c r="B51" s="69">
        <v>43617</v>
      </c>
      <c r="C51" t="s">
        <v>127</v>
      </c>
    </row>
    <row r="52" spans="1:3" x14ac:dyDescent="0.2">
      <c r="A52" t="s">
        <v>47</v>
      </c>
      <c r="B52" s="69">
        <v>43556</v>
      </c>
      <c r="C52" t="s">
        <v>128</v>
      </c>
    </row>
    <row r="53" spans="1:3" x14ac:dyDescent="0.2">
      <c r="A53" t="s">
        <v>36</v>
      </c>
      <c r="B53" s="69">
        <v>44501</v>
      </c>
      <c r="C53" t="s">
        <v>129</v>
      </c>
    </row>
    <row r="54" spans="1:3" x14ac:dyDescent="0.2">
      <c r="A54" t="s">
        <v>36</v>
      </c>
      <c r="B54" s="69">
        <v>44348</v>
      </c>
      <c r="C54" t="s">
        <v>130</v>
      </c>
    </row>
    <row r="55" spans="1:3" x14ac:dyDescent="0.2">
      <c r="A55" t="s">
        <v>36</v>
      </c>
      <c r="B55" s="69">
        <v>44317</v>
      </c>
      <c r="C55" t="s">
        <v>131</v>
      </c>
    </row>
    <row r="56" spans="1:3" x14ac:dyDescent="0.2">
      <c r="A56" t="s">
        <v>36</v>
      </c>
      <c r="B56" s="69">
        <v>44256</v>
      </c>
      <c r="C56" t="s">
        <v>132</v>
      </c>
    </row>
    <row r="57" spans="1:3" x14ac:dyDescent="0.2">
      <c r="A57" t="s">
        <v>36</v>
      </c>
      <c r="B57" s="69">
        <v>44228</v>
      </c>
      <c r="C57" t="s">
        <v>133</v>
      </c>
    </row>
    <row r="58" spans="1:3" x14ac:dyDescent="0.2">
      <c r="A58" t="s">
        <v>36</v>
      </c>
      <c r="B58" s="69">
        <v>43709</v>
      </c>
      <c r="C58" t="s">
        <v>134</v>
      </c>
    </row>
    <row r="59" spans="1:3" x14ac:dyDescent="0.2">
      <c r="A59" t="s">
        <v>36</v>
      </c>
      <c r="B59" s="69">
        <v>43586</v>
      </c>
      <c r="C59" t="s">
        <v>135</v>
      </c>
    </row>
    <row r="60" spans="1:3" x14ac:dyDescent="0.2">
      <c r="A60" t="s">
        <v>22</v>
      </c>
      <c r="B60" s="69">
        <v>44531</v>
      </c>
      <c r="C60" t="s">
        <v>136</v>
      </c>
    </row>
    <row r="61" spans="1:3" x14ac:dyDescent="0.2">
      <c r="A61" t="s">
        <v>22</v>
      </c>
      <c r="B61" s="69">
        <v>44531</v>
      </c>
      <c r="C61" t="s">
        <v>137</v>
      </c>
    </row>
    <row r="62" spans="1:3" x14ac:dyDescent="0.2">
      <c r="A62" t="s">
        <v>22</v>
      </c>
      <c r="B62" s="69">
        <v>44531</v>
      </c>
      <c r="C62" t="s">
        <v>137</v>
      </c>
    </row>
    <row r="63" spans="1:3" x14ac:dyDescent="0.2">
      <c r="A63" t="s">
        <v>22</v>
      </c>
      <c r="B63" s="69">
        <v>44531</v>
      </c>
      <c r="C63" t="s">
        <v>137</v>
      </c>
    </row>
    <row r="64" spans="1:3" x14ac:dyDescent="0.2">
      <c r="A64" t="s">
        <v>22</v>
      </c>
      <c r="B64" s="69">
        <v>44501</v>
      </c>
      <c r="C64" t="s">
        <v>138</v>
      </c>
    </row>
    <row r="65" spans="1:3" x14ac:dyDescent="0.2">
      <c r="A65" t="s">
        <v>22</v>
      </c>
      <c r="B65" s="69">
        <v>44470</v>
      </c>
      <c r="C65" t="s">
        <v>139</v>
      </c>
    </row>
    <row r="66" spans="1:3" x14ac:dyDescent="0.2">
      <c r="A66" t="s">
        <v>22</v>
      </c>
      <c r="B66" s="69">
        <v>44440</v>
      </c>
      <c r="C66" t="s">
        <v>140</v>
      </c>
    </row>
    <row r="67" spans="1:3" x14ac:dyDescent="0.2">
      <c r="A67" t="s">
        <v>22</v>
      </c>
      <c r="B67" s="69">
        <v>44409</v>
      </c>
      <c r="C67" t="s">
        <v>141</v>
      </c>
    </row>
    <row r="68" spans="1:3" x14ac:dyDescent="0.2">
      <c r="A68" t="s">
        <v>22</v>
      </c>
      <c r="B68" s="69">
        <v>44378</v>
      </c>
      <c r="C68" t="s">
        <v>142</v>
      </c>
    </row>
    <row r="69" spans="1:3" x14ac:dyDescent="0.2">
      <c r="A69" t="s">
        <v>22</v>
      </c>
      <c r="B69" s="69">
        <v>44348</v>
      </c>
      <c r="C69" t="s">
        <v>143</v>
      </c>
    </row>
    <row r="70" spans="1:3" x14ac:dyDescent="0.2">
      <c r="A70" t="s">
        <v>22</v>
      </c>
      <c r="B70" s="69">
        <v>44317</v>
      </c>
      <c r="C70" t="s">
        <v>144</v>
      </c>
    </row>
    <row r="71" spans="1:3" x14ac:dyDescent="0.2">
      <c r="A71" t="s">
        <v>22</v>
      </c>
      <c r="B71" s="69">
        <v>44287</v>
      </c>
      <c r="C71" t="s">
        <v>145</v>
      </c>
    </row>
    <row r="72" spans="1:3" x14ac:dyDescent="0.2">
      <c r="A72" t="s">
        <v>22</v>
      </c>
      <c r="B72" s="69">
        <v>44256</v>
      </c>
      <c r="C72" t="s">
        <v>146</v>
      </c>
    </row>
    <row r="73" spans="1:3" x14ac:dyDescent="0.2">
      <c r="A73" t="s">
        <v>22</v>
      </c>
      <c r="B73" s="69">
        <v>44228</v>
      </c>
      <c r="C73" t="s">
        <v>147</v>
      </c>
    </row>
    <row r="74" spans="1:3" x14ac:dyDescent="0.2">
      <c r="A74" t="s">
        <v>22</v>
      </c>
      <c r="B74" s="69">
        <v>44197</v>
      </c>
      <c r="C74" t="s">
        <v>148</v>
      </c>
    </row>
    <row r="75" spans="1:3" x14ac:dyDescent="0.2">
      <c r="A75" t="s">
        <v>22</v>
      </c>
      <c r="B75" s="69">
        <v>44166</v>
      </c>
      <c r="C75" t="s">
        <v>149</v>
      </c>
    </row>
    <row r="76" spans="1:3" x14ac:dyDescent="0.2">
      <c r="A76" t="s">
        <v>22</v>
      </c>
      <c r="B76" s="69">
        <v>44136</v>
      </c>
      <c r="C76" t="s">
        <v>150</v>
      </c>
    </row>
    <row r="77" spans="1:3" x14ac:dyDescent="0.2">
      <c r="A77" t="s">
        <v>22</v>
      </c>
      <c r="B77" s="69">
        <v>44105</v>
      </c>
      <c r="C77" t="s">
        <v>151</v>
      </c>
    </row>
    <row r="78" spans="1:3" x14ac:dyDescent="0.2">
      <c r="A78" t="s">
        <v>22</v>
      </c>
      <c r="B78" s="69">
        <v>44075</v>
      </c>
      <c r="C78" t="s">
        <v>152</v>
      </c>
    </row>
    <row r="79" spans="1:3" x14ac:dyDescent="0.2">
      <c r="A79" t="s">
        <v>22</v>
      </c>
      <c r="B79" s="69">
        <v>44044</v>
      </c>
      <c r="C79" t="s">
        <v>153</v>
      </c>
    </row>
    <row r="80" spans="1:3" x14ac:dyDescent="0.2">
      <c r="A80" t="s">
        <v>22</v>
      </c>
      <c r="B80" s="69">
        <v>43983</v>
      </c>
      <c r="C80" t="s">
        <v>154</v>
      </c>
    </row>
    <row r="81" spans="1:3" x14ac:dyDescent="0.2">
      <c r="A81" t="s">
        <v>22</v>
      </c>
      <c r="B81" s="69">
        <v>43952</v>
      </c>
      <c r="C81" t="s">
        <v>155</v>
      </c>
    </row>
    <row r="82" spans="1:3" x14ac:dyDescent="0.2">
      <c r="A82" t="s">
        <v>22</v>
      </c>
      <c r="B82" s="69">
        <v>43922</v>
      </c>
      <c r="C82" t="s">
        <v>156</v>
      </c>
    </row>
    <row r="83" spans="1:3" x14ac:dyDescent="0.2">
      <c r="A83" t="s">
        <v>22</v>
      </c>
      <c r="B83" s="69">
        <v>43891</v>
      </c>
      <c r="C83" t="s">
        <v>157</v>
      </c>
    </row>
    <row r="84" spans="1:3" x14ac:dyDescent="0.2">
      <c r="A84" t="s">
        <v>22</v>
      </c>
      <c r="B84" s="69">
        <v>43862</v>
      </c>
      <c r="C84" t="s">
        <v>158</v>
      </c>
    </row>
    <row r="85" spans="1:3" x14ac:dyDescent="0.2">
      <c r="A85" t="s">
        <v>22</v>
      </c>
      <c r="B85" s="69">
        <v>43831</v>
      </c>
      <c r="C85" t="s">
        <v>159</v>
      </c>
    </row>
    <row r="86" spans="1:3" x14ac:dyDescent="0.2">
      <c r="A86" t="s">
        <v>22</v>
      </c>
      <c r="B86" s="69">
        <v>43800</v>
      </c>
      <c r="C86" t="s">
        <v>160</v>
      </c>
    </row>
    <row r="87" spans="1:3" x14ac:dyDescent="0.2">
      <c r="A87" t="s">
        <v>22</v>
      </c>
      <c r="B87" s="69">
        <v>43770</v>
      </c>
      <c r="C87" t="s">
        <v>161</v>
      </c>
    </row>
    <row r="88" spans="1:3" x14ac:dyDescent="0.2">
      <c r="A88" t="s">
        <v>22</v>
      </c>
      <c r="B88" s="69">
        <v>43739</v>
      </c>
      <c r="C88" t="s">
        <v>162</v>
      </c>
    </row>
    <row r="89" spans="1:3" x14ac:dyDescent="0.2">
      <c r="A89" t="s">
        <v>22</v>
      </c>
      <c r="B89" s="69">
        <v>43709</v>
      </c>
      <c r="C89" t="s">
        <v>163</v>
      </c>
    </row>
    <row r="90" spans="1:3" x14ac:dyDescent="0.2">
      <c r="A90" t="s">
        <v>22</v>
      </c>
      <c r="B90" s="69">
        <v>43678</v>
      </c>
      <c r="C90" t="s">
        <v>164</v>
      </c>
    </row>
    <row r="91" spans="1:3" x14ac:dyDescent="0.2">
      <c r="A91" t="s">
        <v>22</v>
      </c>
      <c r="B91" s="69">
        <v>43647</v>
      </c>
      <c r="C91" t="s">
        <v>165</v>
      </c>
    </row>
    <row r="92" spans="1:3" x14ac:dyDescent="0.2">
      <c r="A92" t="s">
        <v>22</v>
      </c>
      <c r="B92" s="69">
        <v>43617</v>
      </c>
      <c r="C92" t="s">
        <v>166</v>
      </c>
    </row>
    <row r="93" spans="1:3" x14ac:dyDescent="0.2">
      <c r="A93" t="s">
        <v>22</v>
      </c>
      <c r="B93" s="69">
        <v>43586</v>
      </c>
      <c r="C93" t="s">
        <v>167</v>
      </c>
    </row>
    <row r="94" spans="1:3" x14ac:dyDescent="0.2">
      <c r="A94" t="s">
        <v>22</v>
      </c>
      <c r="B94" s="69">
        <v>43556</v>
      </c>
      <c r="C94" t="s">
        <v>168</v>
      </c>
    </row>
    <row r="95" spans="1:3" x14ac:dyDescent="0.2">
      <c r="A95" t="s">
        <v>22</v>
      </c>
      <c r="B95" s="69">
        <v>43525</v>
      </c>
      <c r="C95" t="s">
        <v>169</v>
      </c>
    </row>
    <row r="96" spans="1:3" x14ac:dyDescent="0.2">
      <c r="A96" t="s">
        <v>22</v>
      </c>
      <c r="B96" s="69">
        <v>43497</v>
      </c>
      <c r="C96" t="s">
        <v>170</v>
      </c>
    </row>
    <row r="97" spans="1:3" x14ac:dyDescent="0.2">
      <c r="A97" t="s">
        <v>22</v>
      </c>
      <c r="B97" s="69">
        <v>43466</v>
      </c>
      <c r="C97" t="s">
        <v>171</v>
      </c>
    </row>
    <row r="98" spans="1:3" x14ac:dyDescent="0.2">
      <c r="A98" t="s">
        <v>46</v>
      </c>
      <c r="B98" s="69">
        <v>44501</v>
      </c>
      <c r="C98" t="s">
        <v>172</v>
      </c>
    </row>
    <row r="99" spans="1:3" x14ac:dyDescent="0.2">
      <c r="A99" t="s">
        <v>46</v>
      </c>
      <c r="B99" s="69">
        <v>44470</v>
      </c>
      <c r="C99" t="s">
        <v>173</v>
      </c>
    </row>
    <row r="100" spans="1:3" x14ac:dyDescent="0.2">
      <c r="A100" t="s">
        <v>46</v>
      </c>
      <c r="B100" s="69">
        <v>44440</v>
      </c>
      <c r="C100" t="s">
        <v>174</v>
      </c>
    </row>
    <row r="101" spans="1:3" x14ac:dyDescent="0.2">
      <c r="A101" t="s">
        <v>46</v>
      </c>
      <c r="B101" s="69">
        <v>44409</v>
      </c>
      <c r="C101" t="s">
        <v>175</v>
      </c>
    </row>
    <row r="102" spans="1:3" x14ac:dyDescent="0.2">
      <c r="A102" t="s">
        <v>46</v>
      </c>
      <c r="B102" s="69">
        <v>44348</v>
      </c>
      <c r="C102" t="s">
        <v>176</v>
      </c>
    </row>
    <row r="103" spans="1:3" x14ac:dyDescent="0.2">
      <c r="A103" t="s">
        <v>46</v>
      </c>
      <c r="B103" s="69">
        <v>44287</v>
      </c>
      <c r="C103" t="s">
        <v>177</v>
      </c>
    </row>
    <row r="104" spans="1:3" x14ac:dyDescent="0.2">
      <c r="A104" t="s">
        <v>46</v>
      </c>
      <c r="B104" s="69">
        <v>44256</v>
      </c>
      <c r="C104" t="s">
        <v>178</v>
      </c>
    </row>
    <row r="105" spans="1:3" x14ac:dyDescent="0.2">
      <c r="A105" t="s">
        <v>46</v>
      </c>
      <c r="B105" s="69">
        <v>44228</v>
      </c>
      <c r="C105" t="s">
        <v>179</v>
      </c>
    </row>
    <row r="106" spans="1:3" x14ac:dyDescent="0.2">
      <c r="A106" t="s">
        <v>46</v>
      </c>
      <c r="B106" s="69">
        <v>44197</v>
      </c>
      <c r="C106" t="s">
        <v>180</v>
      </c>
    </row>
    <row r="107" spans="1:3" x14ac:dyDescent="0.2">
      <c r="A107" t="s">
        <v>46</v>
      </c>
      <c r="B107" s="69">
        <v>44166</v>
      </c>
      <c r="C107" t="s">
        <v>181</v>
      </c>
    </row>
    <row r="108" spans="1:3" x14ac:dyDescent="0.2">
      <c r="A108" t="s">
        <v>46</v>
      </c>
      <c r="B108" s="69">
        <v>44136</v>
      </c>
      <c r="C108" t="s">
        <v>182</v>
      </c>
    </row>
    <row r="109" spans="1:3" x14ac:dyDescent="0.2">
      <c r="A109" t="s">
        <v>46</v>
      </c>
      <c r="B109" s="69">
        <v>44105</v>
      </c>
      <c r="C109" t="s">
        <v>183</v>
      </c>
    </row>
    <row r="110" spans="1:3" x14ac:dyDescent="0.2">
      <c r="A110" t="s">
        <v>46</v>
      </c>
      <c r="B110" s="69">
        <v>44075</v>
      </c>
      <c r="C110" t="s">
        <v>184</v>
      </c>
    </row>
    <row r="111" spans="1:3" x14ac:dyDescent="0.2">
      <c r="A111" t="s">
        <v>46</v>
      </c>
      <c r="B111" s="69">
        <v>44044</v>
      </c>
      <c r="C111" t="s">
        <v>185</v>
      </c>
    </row>
    <row r="112" spans="1:3" x14ac:dyDescent="0.2">
      <c r="A112" t="s">
        <v>46</v>
      </c>
      <c r="B112" s="69">
        <v>44013</v>
      </c>
      <c r="C112" t="s">
        <v>186</v>
      </c>
    </row>
    <row r="113" spans="1:3" x14ac:dyDescent="0.2">
      <c r="A113" t="s">
        <v>46</v>
      </c>
      <c r="B113" s="69">
        <v>43983</v>
      </c>
      <c r="C113" t="s">
        <v>187</v>
      </c>
    </row>
    <row r="114" spans="1:3" x14ac:dyDescent="0.2">
      <c r="A114" t="s">
        <v>46</v>
      </c>
      <c r="B114" s="69">
        <v>43952</v>
      </c>
      <c r="C114" t="s">
        <v>188</v>
      </c>
    </row>
    <row r="115" spans="1:3" x14ac:dyDescent="0.2">
      <c r="A115" t="s">
        <v>46</v>
      </c>
      <c r="B115" s="69">
        <v>43922</v>
      </c>
      <c r="C115" t="s">
        <v>189</v>
      </c>
    </row>
    <row r="116" spans="1:3" x14ac:dyDescent="0.2">
      <c r="A116" t="s">
        <v>46</v>
      </c>
      <c r="B116" s="69">
        <v>43891</v>
      </c>
      <c r="C116" t="s">
        <v>190</v>
      </c>
    </row>
    <row r="117" spans="1:3" x14ac:dyDescent="0.2">
      <c r="A117" t="s">
        <v>43</v>
      </c>
      <c r="B117" s="69">
        <v>44531</v>
      </c>
      <c r="C117" t="s">
        <v>191</v>
      </c>
    </row>
    <row r="118" spans="1:3" x14ac:dyDescent="0.2">
      <c r="A118" t="s">
        <v>43</v>
      </c>
      <c r="B118" s="69">
        <v>44531</v>
      </c>
      <c r="C118" t="s">
        <v>192</v>
      </c>
    </row>
    <row r="119" spans="1:3" x14ac:dyDescent="0.2">
      <c r="A119" t="s">
        <v>43</v>
      </c>
      <c r="B119" s="69">
        <v>44531</v>
      </c>
      <c r="C119" t="s">
        <v>192</v>
      </c>
    </row>
    <row r="120" spans="1:3" x14ac:dyDescent="0.2">
      <c r="A120" t="s">
        <v>43</v>
      </c>
      <c r="B120" s="69">
        <v>44531</v>
      </c>
      <c r="C120" t="s">
        <v>192</v>
      </c>
    </row>
    <row r="121" spans="1:3" x14ac:dyDescent="0.2">
      <c r="A121" t="s">
        <v>43</v>
      </c>
      <c r="B121" s="69">
        <v>44501</v>
      </c>
      <c r="C121" t="s">
        <v>193</v>
      </c>
    </row>
    <row r="122" spans="1:3" x14ac:dyDescent="0.2">
      <c r="A122" t="s">
        <v>43</v>
      </c>
      <c r="B122" s="69">
        <v>44440</v>
      </c>
      <c r="C122" t="s">
        <v>194</v>
      </c>
    </row>
    <row r="123" spans="1:3" x14ac:dyDescent="0.2">
      <c r="A123" t="s">
        <v>43</v>
      </c>
      <c r="B123" s="69">
        <v>44348</v>
      </c>
      <c r="C123" t="s">
        <v>195</v>
      </c>
    </row>
    <row r="124" spans="1:3" x14ac:dyDescent="0.2">
      <c r="A124" t="s">
        <v>43</v>
      </c>
      <c r="B124" s="69">
        <v>44317</v>
      </c>
      <c r="C124" t="s">
        <v>196</v>
      </c>
    </row>
    <row r="125" spans="1:3" x14ac:dyDescent="0.2">
      <c r="A125" t="s">
        <v>43</v>
      </c>
      <c r="B125" s="69">
        <v>44287</v>
      </c>
      <c r="C125" t="s">
        <v>197</v>
      </c>
    </row>
    <row r="126" spans="1:3" x14ac:dyDescent="0.2">
      <c r="A126" t="s">
        <v>43</v>
      </c>
      <c r="B126" s="69">
        <v>44256</v>
      </c>
      <c r="C126" t="s">
        <v>198</v>
      </c>
    </row>
    <row r="127" spans="1:3" x14ac:dyDescent="0.2">
      <c r="A127" t="s">
        <v>43</v>
      </c>
      <c r="B127" s="69">
        <v>44228</v>
      </c>
      <c r="C127" t="s">
        <v>199</v>
      </c>
    </row>
    <row r="128" spans="1:3" x14ac:dyDescent="0.2">
      <c r="A128" t="s">
        <v>43</v>
      </c>
      <c r="B128" s="69">
        <v>44197</v>
      </c>
      <c r="C128" t="s">
        <v>200</v>
      </c>
    </row>
    <row r="129" spans="1:3" x14ac:dyDescent="0.2">
      <c r="A129" t="s">
        <v>43</v>
      </c>
      <c r="B129" s="69">
        <v>44136</v>
      </c>
      <c r="C129" t="s">
        <v>201</v>
      </c>
    </row>
    <row r="130" spans="1:3" x14ac:dyDescent="0.2">
      <c r="A130" t="s">
        <v>43</v>
      </c>
      <c r="B130" s="69">
        <v>44105</v>
      </c>
      <c r="C130" t="s">
        <v>202</v>
      </c>
    </row>
    <row r="131" spans="1:3" x14ac:dyDescent="0.2">
      <c r="A131" t="s">
        <v>43</v>
      </c>
      <c r="B131" s="69">
        <v>44075</v>
      </c>
      <c r="C131" t="s">
        <v>203</v>
      </c>
    </row>
    <row r="132" spans="1:3" x14ac:dyDescent="0.2">
      <c r="A132" t="s">
        <v>43</v>
      </c>
      <c r="B132" s="69">
        <v>44044</v>
      </c>
      <c r="C132" t="s">
        <v>204</v>
      </c>
    </row>
    <row r="133" spans="1:3" x14ac:dyDescent="0.2">
      <c r="A133" t="s">
        <v>43</v>
      </c>
      <c r="B133" s="69">
        <v>44013</v>
      </c>
      <c r="C133" t="s">
        <v>205</v>
      </c>
    </row>
    <row r="134" spans="1:3" x14ac:dyDescent="0.2">
      <c r="A134" t="s">
        <v>43</v>
      </c>
      <c r="B134" s="69">
        <v>43983</v>
      </c>
      <c r="C134" t="s">
        <v>206</v>
      </c>
    </row>
    <row r="135" spans="1:3" x14ac:dyDescent="0.2">
      <c r="A135" t="s">
        <v>43</v>
      </c>
      <c r="B135" s="69">
        <v>43952</v>
      </c>
      <c r="C135" t="s">
        <v>207</v>
      </c>
    </row>
    <row r="136" spans="1:3" x14ac:dyDescent="0.2">
      <c r="A136" t="s">
        <v>43</v>
      </c>
      <c r="B136" s="69">
        <v>43922</v>
      </c>
      <c r="C136" t="s">
        <v>208</v>
      </c>
    </row>
    <row r="137" spans="1:3" x14ac:dyDescent="0.2">
      <c r="A137" t="s">
        <v>43</v>
      </c>
      <c r="B137" s="69">
        <v>43862</v>
      </c>
      <c r="C137" t="s">
        <v>209</v>
      </c>
    </row>
    <row r="138" spans="1:3" x14ac:dyDescent="0.2">
      <c r="A138" t="s">
        <v>43</v>
      </c>
      <c r="B138" s="69">
        <v>43831</v>
      </c>
      <c r="C138" t="s">
        <v>210</v>
      </c>
    </row>
    <row r="139" spans="1:3" x14ac:dyDescent="0.2">
      <c r="A139" t="s">
        <v>43</v>
      </c>
      <c r="B139" s="69">
        <v>43770</v>
      </c>
      <c r="C139" t="s">
        <v>211</v>
      </c>
    </row>
    <row r="140" spans="1:3" x14ac:dyDescent="0.2">
      <c r="A140" t="s">
        <v>43</v>
      </c>
      <c r="B140" s="69">
        <v>43739</v>
      </c>
      <c r="C140" t="s">
        <v>212</v>
      </c>
    </row>
    <row r="141" spans="1:3" x14ac:dyDescent="0.2">
      <c r="A141" t="s">
        <v>43</v>
      </c>
      <c r="B141" s="69">
        <v>43709</v>
      </c>
      <c r="C141" t="s">
        <v>213</v>
      </c>
    </row>
    <row r="142" spans="1:3" x14ac:dyDescent="0.2">
      <c r="A142" t="s">
        <v>43</v>
      </c>
      <c r="B142" s="69">
        <v>43678</v>
      </c>
      <c r="C142" t="s">
        <v>214</v>
      </c>
    </row>
    <row r="143" spans="1:3" x14ac:dyDescent="0.2">
      <c r="A143" t="s">
        <v>43</v>
      </c>
      <c r="B143" s="69">
        <v>43586</v>
      </c>
      <c r="C143" t="s">
        <v>215</v>
      </c>
    </row>
    <row r="144" spans="1:3" x14ac:dyDescent="0.2">
      <c r="A144" t="s">
        <v>43</v>
      </c>
      <c r="B144" s="69">
        <v>43497</v>
      </c>
      <c r="C144" t="s">
        <v>216</v>
      </c>
    </row>
    <row r="145" spans="1:3" x14ac:dyDescent="0.2">
      <c r="A145" t="s">
        <v>34</v>
      </c>
      <c r="B145" s="69">
        <v>44531</v>
      </c>
      <c r="C145" t="s">
        <v>217</v>
      </c>
    </row>
    <row r="146" spans="1:3" x14ac:dyDescent="0.2">
      <c r="A146" t="s">
        <v>34</v>
      </c>
      <c r="B146" s="69">
        <v>44501</v>
      </c>
      <c r="C146" t="s">
        <v>218</v>
      </c>
    </row>
    <row r="147" spans="1:3" x14ac:dyDescent="0.2">
      <c r="A147" t="s">
        <v>34</v>
      </c>
      <c r="B147" s="69">
        <v>44470</v>
      </c>
      <c r="C147" t="s">
        <v>219</v>
      </c>
    </row>
    <row r="148" spans="1:3" x14ac:dyDescent="0.2">
      <c r="A148" t="s">
        <v>34</v>
      </c>
      <c r="B148" s="69">
        <v>44440</v>
      </c>
      <c r="C148" t="s">
        <v>220</v>
      </c>
    </row>
    <row r="149" spans="1:3" x14ac:dyDescent="0.2">
      <c r="A149" t="s">
        <v>34</v>
      </c>
      <c r="B149" s="69">
        <v>44409</v>
      </c>
      <c r="C149" t="s">
        <v>221</v>
      </c>
    </row>
    <row r="150" spans="1:3" x14ac:dyDescent="0.2">
      <c r="A150" t="s">
        <v>34</v>
      </c>
      <c r="B150" s="69">
        <v>44378</v>
      </c>
      <c r="C150" t="s">
        <v>222</v>
      </c>
    </row>
    <row r="151" spans="1:3" x14ac:dyDescent="0.2">
      <c r="A151" t="s">
        <v>34</v>
      </c>
      <c r="B151" s="69">
        <v>44348</v>
      </c>
      <c r="C151" t="s">
        <v>223</v>
      </c>
    </row>
    <row r="152" spans="1:3" x14ac:dyDescent="0.2">
      <c r="A152" t="s">
        <v>34</v>
      </c>
      <c r="B152" s="69">
        <v>44317</v>
      </c>
      <c r="C152" t="s">
        <v>224</v>
      </c>
    </row>
    <row r="153" spans="1:3" x14ac:dyDescent="0.2">
      <c r="A153" t="s">
        <v>34</v>
      </c>
      <c r="B153" s="69">
        <v>44287</v>
      </c>
      <c r="C153" t="s">
        <v>225</v>
      </c>
    </row>
    <row r="154" spans="1:3" x14ac:dyDescent="0.2">
      <c r="A154" t="s">
        <v>34</v>
      </c>
      <c r="B154" s="69">
        <v>44256</v>
      </c>
      <c r="C154" t="s">
        <v>226</v>
      </c>
    </row>
    <row r="155" spans="1:3" x14ac:dyDescent="0.2">
      <c r="A155" t="s">
        <v>34</v>
      </c>
      <c r="B155" s="69">
        <v>44228</v>
      </c>
      <c r="C155" t="s">
        <v>227</v>
      </c>
    </row>
    <row r="156" spans="1:3" x14ac:dyDescent="0.2">
      <c r="A156" t="s">
        <v>34</v>
      </c>
      <c r="B156" s="69">
        <v>44197</v>
      </c>
      <c r="C156" t="s">
        <v>228</v>
      </c>
    </row>
    <row r="157" spans="1:3" x14ac:dyDescent="0.2">
      <c r="A157" t="s">
        <v>34</v>
      </c>
      <c r="B157" s="69">
        <v>44166</v>
      </c>
      <c r="C157" t="s">
        <v>229</v>
      </c>
    </row>
    <row r="158" spans="1:3" x14ac:dyDescent="0.2">
      <c r="A158" t="s">
        <v>34</v>
      </c>
      <c r="B158" s="69">
        <v>44105</v>
      </c>
      <c r="C158" t="s">
        <v>230</v>
      </c>
    </row>
    <row r="159" spans="1:3" x14ac:dyDescent="0.2">
      <c r="A159" t="s">
        <v>34</v>
      </c>
      <c r="B159" s="69">
        <v>44105</v>
      </c>
      <c r="C159" t="s">
        <v>231</v>
      </c>
    </row>
    <row r="160" spans="1:3" x14ac:dyDescent="0.2">
      <c r="A160" t="s">
        <v>34</v>
      </c>
      <c r="B160" s="69">
        <v>44075</v>
      </c>
      <c r="C160" t="s">
        <v>232</v>
      </c>
    </row>
    <row r="161" spans="1:3" x14ac:dyDescent="0.2">
      <c r="A161" t="s">
        <v>34</v>
      </c>
      <c r="B161" s="69">
        <v>44044</v>
      </c>
      <c r="C161" t="s">
        <v>233</v>
      </c>
    </row>
    <row r="162" spans="1:3" x14ac:dyDescent="0.2">
      <c r="A162" t="s">
        <v>34</v>
      </c>
      <c r="B162" s="69">
        <v>44013</v>
      </c>
      <c r="C162" t="s">
        <v>234</v>
      </c>
    </row>
    <row r="163" spans="1:3" x14ac:dyDescent="0.2">
      <c r="A163" t="s">
        <v>34</v>
      </c>
      <c r="B163" s="69">
        <v>43983</v>
      </c>
      <c r="C163" t="s">
        <v>235</v>
      </c>
    </row>
    <row r="164" spans="1:3" x14ac:dyDescent="0.2">
      <c r="A164" t="s">
        <v>34</v>
      </c>
      <c r="B164" s="69">
        <v>43952</v>
      </c>
      <c r="C164" t="s">
        <v>236</v>
      </c>
    </row>
    <row r="165" spans="1:3" x14ac:dyDescent="0.2">
      <c r="A165" t="s">
        <v>34</v>
      </c>
      <c r="B165" s="69">
        <v>43922</v>
      </c>
      <c r="C165" t="s">
        <v>237</v>
      </c>
    </row>
    <row r="166" spans="1:3" x14ac:dyDescent="0.2">
      <c r="A166" t="s">
        <v>34</v>
      </c>
      <c r="B166" s="69">
        <v>43891</v>
      </c>
      <c r="C166" t="s">
        <v>238</v>
      </c>
    </row>
    <row r="167" spans="1:3" x14ac:dyDescent="0.2">
      <c r="A167" t="s">
        <v>34</v>
      </c>
      <c r="B167" s="69">
        <v>43862</v>
      </c>
      <c r="C167" t="s">
        <v>239</v>
      </c>
    </row>
    <row r="168" spans="1:3" x14ac:dyDescent="0.2">
      <c r="A168" t="s">
        <v>34</v>
      </c>
      <c r="B168" s="69">
        <v>43831</v>
      </c>
      <c r="C168" t="s">
        <v>240</v>
      </c>
    </row>
    <row r="169" spans="1:3" x14ac:dyDescent="0.2">
      <c r="A169" t="s">
        <v>34</v>
      </c>
      <c r="B169" s="69">
        <v>43770</v>
      </c>
      <c r="C169" t="s">
        <v>241</v>
      </c>
    </row>
    <row r="170" spans="1:3" x14ac:dyDescent="0.2">
      <c r="A170" t="s">
        <v>34</v>
      </c>
      <c r="B170" s="69">
        <v>43709</v>
      </c>
      <c r="C170" t="s">
        <v>242</v>
      </c>
    </row>
    <row r="171" spans="1:3" x14ac:dyDescent="0.2">
      <c r="A171" t="s">
        <v>34</v>
      </c>
      <c r="B171" s="69">
        <v>43647</v>
      </c>
      <c r="C171" t="s">
        <v>243</v>
      </c>
    </row>
    <row r="172" spans="1:3" x14ac:dyDescent="0.2">
      <c r="A172" t="s">
        <v>34</v>
      </c>
      <c r="B172" s="69">
        <v>43617</v>
      </c>
      <c r="C172" t="s">
        <v>244</v>
      </c>
    </row>
    <row r="173" spans="1:3" x14ac:dyDescent="0.2">
      <c r="A173" t="s">
        <v>34</v>
      </c>
      <c r="B173" s="69">
        <v>43586</v>
      </c>
      <c r="C173" t="s">
        <v>245</v>
      </c>
    </row>
    <row r="174" spans="1:3" x14ac:dyDescent="0.2">
      <c r="A174" t="s">
        <v>34</v>
      </c>
      <c r="B174" s="69">
        <v>43556</v>
      </c>
      <c r="C174" t="s">
        <v>246</v>
      </c>
    </row>
    <row r="175" spans="1:3" x14ac:dyDescent="0.2">
      <c r="A175" t="s">
        <v>34</v>
      </c>
      <c r="B175" s="69">
        <v>43525</v>
      </c>
      <c r="C175" t="s">
        <v>247</v>
      </c>
    </row>
    <row r="176" spans="1:3" x14ac:dyDescent="0.2">
      <c r="A176" t="s">
        <v>34</v>
      </c>
      <c r="B176" s="69">
        <v>43497</v>
      </c>
      <c r="C176" t="s">
        <v>248</v>
      </c>
    </row>
    <row r="177" spans="1:3" x14ac:dyDescent="0.2">
      <c r="A177" t="s">
        <v>44</v>
      </c>
      <c r="B177" s="69">
        <v>44531</v>
      </c>
      <c r="C177" t="s">
        <v>249</v>
      </c>
    </row>
    <row r="178" spans="1:3" x14ac:dyDescent="0.2">
      <c r="A178" t="s">
        <v>44</v>
      </c>
      <c r="B178" s="69">
        <v>44531</v>
      </c>
      <c r="C178" t="s">
        <v>250</v>
      </c>
    </row>
    <row r="179" spans="1:3" x14ac:dyDescent="0.2">
      <c r="A179" t="s">
        <v>44</v>
      </c>
      <c r="B179" s="69">
        <v>44531</v>
      </c>
      <c r="C179" t="s">
        <v>250</v>
      </c>
    </row>
    <row r="180" spans="1:3" x14ac:dyDescent="0.2">
      <c r="A180" t="s">
        <v>44</v>
      </c>
      <c r="B180" s="69">
        <v>44531</v>
      </c>
      <c r="C180" t="s">
        <v>250</v>
      </c>
    </row>
    <row r="181" spans="1:3" x14ac:dyDescent="0.2">
      <c r="A181" t="s">
        <v>44</v>
      </c>
      <c r="B181" s="69">
        <v>44470</v>
      </c>
      <c r="C181" t="s">
        <v>251</v>
      </c>
    </row>
    <row r="182" spans="1:3" x14ac:dyDescent="0.2">
      <c r="A182" t="s">
        <v>44</v>
      </c>
      <c r="B182" s="69">
        <v>44440</v>
      </c>
      <c r="C182" t="s">
        <v>252</v>
      </c>
    </row>
    <row r="183" spans="1:3" x14ac:dyDescent="0.2">
      <c r="A183" t="s">
        <v>44</v>
      </c>
      <c r="B183" s="69">
        <v>44409</v>
      </c>
      <c r="C183" t="s">
        <v>253</v>
      </c>
    </row>
    <row r="184" spans="1:3" x14ac:dyDescent="0.2">
      <c r="A184" t="s">
        <v>44</v>
      </c>
      <c r="B184" s="69">
        <v>44348</v>
      </c>
      <c r="C184" t="s">
        <v>254</v>
      </c>
    </row>
    <row r="185" spans="1:3" x14ac:dyDescent="0.2">
      <c r="A185" t="s">
        <v>44</v>
      </c>
      <c r="B185" s="69">
        <v>44287</v>
      </c>
      <c r="C185" t="s">
        <v>255</v>
      </c>
    </row>
    <row r="186" spans="1:3" x14ac:dyDescent="0.2">
      <c r="A186" t="s">
        <v>44</v>
      </c>
      <c r="B186" s="69">
        <v>44256</v>
      </c>
      <c r="C186" t="s">
        <v>256</v>
      </c>
    </row>
    <row r="187" spans="1:3" x14ac:dyDescent="0.2">
      <c r="A187" t="s">
        <v>44</v>
      </c>
      <c r="B187" s="69">
        <v>44228</v>
      </c>
      <c r="C187" t="s">
        <v>257</v>
      </c>
    </row>
    <row r="188" spans="1:3" x14ac:dyDescent="0.2">
      <c r="A188" t="s">
        <v>44</v>
      </c>
      <c r="B188" s="69">
        <v>44197</v>
      </c>
      <c r="C188" t="s">
        <v>258</v>
      </c>
    </row>
    <row r="189" spans="1:3" x14ac:dyDescent="0.2">
      <c r="A189" t="s">
        <v>44</v>
      </c>
      <c r="B189" s="69">
        <v>44136</v>
      </c>
      <c r="C189" t="s">
        <v>259</v>
      </c>
    </row>
    <row r="190" spans="1:3" x14ac:dyDescent="0.2">
      <c r="A190" t="s">
        <v>44</v>
      </c>
      <c r="B190" s="69">
        <v>44105</v>
      </c>
      <c r="C190" t="s">
        <v>260</v>
      </c>
    </row>
    <row r="191" spans="1:3" x14ac:dyDescent="0.2">
      <c r="A191" t="s">
        <v>44</v>
      </c>
      <c r="B191" s="69">
        <v>44044</v>
      </c>
      <c r="C191" t="s">
        <v>261</v>
      </c>
    </row>
    <row r="192" spans="1:3" x14ac:dyDescent="0.2">
      <c r="A192" t="s">
        <v>44</v>
      </c>
      <c r="B192" s="69">
        <v>43983</v>
      </c>
      <c r="C192" t="s">
        <v>262</v>
      </c>
    </row>
    <row r="193" spans="1:3" x14ac:dyDescent="0.2">
      <c r="A193" t="s">
        <v>44</v>
      </c>
      <c r="B193" s="69">
        <v>43952</v>
      </c>
      <c r="C193" t="s">
        <v>263</v>
      </c>
    </row>
    <row r="194" spans="1:3" x14ac:dyDescent="0.2">
      <c r="A194" t="s">
        <v>44</v>
      </c>
      <c r="B194" s="69">
        <v>43891</v>
      </c>
      <c r="C194" t="s">
        <v>264</v>
      </c>
    </row>
    <row r="195" spans="1:3" x14ac:dyDescent="0.2">
      <c r="A195" t="s">
        <v>44</v>
      </c>
      <c r="B195" s="69">
        <v>43800</v>
      </c>
      <c r="C195" t="s">
        <v>265</v>
      </c>
    </row>
    <row r="196" spans="1:3" x14ac:dyDescent="0.2">
      <c r="A196" t="s">
        <v>44</v>
      </c>
      <c r="B196" s="69">
        <v>43709</v>
      </c>
      <c r="C196" t="s">
        <v>266</v>
      </c>
    </row>
    <row r="197" spans="1:3" x14ac:dyDescent="0.2">
      <c r="A197" t="s">
        <v>44</v>
      </c>
      <c r="B197" s="69">
        <v>43647</v>
      </c>
      <c r="C197" t="s">
        <v>267</v>
      </c>
    </row>
    <row r="198" spans="1:3" x14ac:dyDescent="0.2">
      <c r="A198" t="s">
        <v>44</v>
      </c>
      <c r="B198" s="69">
        <v>43586</v>
      </c>
      <c r="C198" t="s">
        <v>268</v>
      </c>
    </row>
    <row r="199" spans="1:3" x14ac:dyDescent="0.2">
      <c r="A199" t="s">
        <v>28</v>
      </c>
      <c r="B199" s="69">
        <v>44501</v>
      </c>
      <c r="C199" t="s">
        <v>269</v>
      </c>
    </row>
    <row r="200" spans="1:3" x14ac:dyDescent="0.2">
      <c r="A200" t="s">
        <v>28</v>
      </c>
      <c r="B200" s="69">
        <v>44470</v>
      </c>
      <c r="C200" t="s">
        <v>270</v>
      </c>
    </row>
    <row r="201" spans="1:3" x14ac:dyDescent="0.2">
      <c r="A201" t="s">
        <v>28</v>
      </c>
      <c r="B201" s="69">
        <v>44440</v>
      </c>
      <c r="C201" t="s">
        <v>271</v>
      </c>
    </row>
    <row r="202" spans="1:3" x14ac:dyDescent="0.2">
      <c r="A202" t="s">
        <v>28</v>
      </c>
      <c r="B202" s="69">
        <v>44409</v>
      </c>
      <c r="C202" t="s">
        <v>272</v>
      </c>
    </row>
    <row r="203" spans="1:3" x14ac:dyDescent="0.2">
      <c r="A203" t="s">
        <v>28</v>
      </c>
      <c r="B203" s="69">
        <v>44378</v>
      </c>
      <c r="C203" t="s">
        <v>273</v>
      </c>
    </row>
    <row r="204" spans="1:3" x14ac:dyDescent="0.2">
      <c r="A204" t="s">
        <v>28</v>
      </c>
      <c r="B204" s="69">
        <v>44317</v>
      </c>
      <c r="C204" t="s">
        <v>274</v>
      </c>
    </row>
    <row r="205" spans="1:3" x14ac:dyDescent="0.2">
      <c r="A205" t="s">
        <v>28</v>
      </c>
      <c r="B205" s="69">
        <v>44136</v>
      </c>
      <c r="C205" t="s">
        <v>275</v>
      </c>
    </row>
    <row r="206" spans="1:3" x14ac:dyDescent="0.2">
      <c r="A206" t="s">
        <v>28</v>
      </c>
      <c r="B206" s="69">
        <v>44136</v>
      </c>
      <c r="C206" t="s">
        <v>276</v>
      </c>
    </row>
    <row r="207" spans="1:3" x14ac:dyDescent="0.2">
      <c r="A207" t="s">
        <v>28</v>
      </c>
      <c r="B207" s="69">
        <v>44013</v>
      </c>
      <c r="C207" t="s">
        <v>277</v>
      </c>
    </row>
    <row r="208" spans="1:3" x14ac:dyDescent="0.2">
      <c r="A208" t="s">
        <v>28</v>
      </c>
      <c r="B208" s="69">
        <v>43922</v>
      </c>
      <c r="C208" t="s">
        <v>278</v>
      </c>
    </row>
    <row r="209" spans="1:3" x14ac:dyDescent="0.2">
      <c r="A209" t="s">
        <v>28</v>
      </c>
      <c r="B209" s="69">
        <v>43891</v>
      </c>
      <c r="C209" t="s">
        <v>279</v>
      </c>
    </row>
    <row r="210" spans="1:3" x14ac:dyDescent="0.2">
      <c r="A210" t="s">
        <v>28</v>
      </c>
      <c r="B210" s="69">
        <v>43862</v>
      </c>
      <c r="C210" t="s">
        <v>280</v>
      </c>
    </row>
    <row r="211" spans="1:3" x14ac:dyDescent="0.2">
      <c r="A211" t="s">
        <v>28</v>
      </c>
      <c r="B211" s="69">
        <v>43831</v>
      </c>
      <c r="C211" t="s">
        <v>281</v>
      </c>
    </row>
    <row r="212" spans="1:3" x14ac:dyDescent="0.2">
      <c r="A212" t="s">
        <v>28</v>
      </c>
      <c r="B212" s="69">
        <v>43800</v>
      </c>
      <c r="C212" t="s">
        <v>282</v>
      </c>
    </row>
    <row r="213" spans="1:3" x14ac:dyDescent="0.2">
      <c r="A213" t="s">
        <v>28</v>
      </c>
      <c r="B213" s="69">
        <v>43770</v>
      </c>
      <c r="C213" t="s">
        <v>283</v>
      </c>
    </row>
    <row r="214" spans="1:3" x14ac:dyDescent="0.2">
      <c r="A214" t="s">
        <v>28</v>
      </c>
      <c r="B214" s="69">
        <v>43709</v>
      </c>
      <c r="C214" t="s">
        <v>284</v>
      </c>
    </row>
    <row r="215" spans="1:3" x14ac:dyDescent="0.2">
      <c r="A215" t="s">
        <v>28</v>
      </c>
      <c r="B215" s="69">
        <v>43678</v>
      </c>
      <c r="C215" t="s">
        <v>285</v>
      </c>
    </row>
    <row r="216" spans="1:3" x14ac:dyDescent="0.2">
      <c r="A216" t="s">
        <v>28</v>
      </c>
      <c r="B216" s="69">
        <v>43647</v>
      </c>
      <c r="C216" t="s">
        <v>286</v>
      </c>
    </row>
    <row r="217" spans="1:3" x14ac:dyDescent="0.2">
      <c r="A217" t="s">
        <v>28</v>
      </c>
      <c r="B217" s="69">
        <v>43617</v>
      </c>
      <c r="C217" t="s">
        <v>287</v>
      </c>
    </row>
    <row r="218" spans="1:3" x14ac:dyDescent="0.2">
      <c r="A218" t="s">
        <v>28</v>
      </c>
      <c r="B218" s="69">
        <v>43556</v>
      </c>
      <c r="C218" t="s">
        <v>288</v>
      </c>
    </row>
    <row r="219" spans="1:3" x14ac:dyDescent="0.2">
      <c r="A219" t="s">
        <v>28</v>
      </c>
      <c r="B219" s="69">
        <v>43525</v>
      </c>
      <c r="C219" t="s">
        <v>289</v>
      </c>
    </row>
    <row r="220" spans="1:3" x14ac:dyDescent="0.2">
      <c r="A220" t="s">
        <v>28</v>
      </c>
      <c r="B220" s="69">
        <v>43497</v>
      </c>
      <c r="C220" t="s">
        <v>290</v>
      </c>
    </row>
    <row r="221" spans="1:3" x14ac:dyDescent="0.2">
      <c r="A221" t="s">
        <v>28</v>
      </c>
      <c r="B221" s="69">
        <v>43466</v>
      </c>
      <c r="C221" t="s">
        <v>291</v>
      </c>
    </row>
    <row r="222" spans="1:3" x14ac:dyDescent="0.2">
      <c r="A222" t="s">
        <v>48</v>
      </c>
      <c r="B222" s="69">
        <v>44409</v>
      </c>
      <c r="C222" t="s">
        <v>292</v>
      </c>
    </row>
    <row r="223" spans="1:3" x14ac:dyDescent="0.2">
      <c r="A223" t="s">
        <v>48</v>
      </c>
      <c r="B223" s="69">
        <v>44348</v>
      </c>
      <c r="C223" t="s">
        <v>293</v>
      </c>
    </row>
    <row r="224" spans="1:3" x14ac:dyDescent="0.2">
      <c r="A224" t="s">
        <v>48</v>
      </c>
      <c r="B224" s="69">
        <v>44317</v>
      </c>
      <c r="C224" t="s">
        <v>294</v>
      </c>
    </row>
    <row r="225" spans="1:3" x14ac:dyDescent="0.2">
      <c r="A225" t="s">
        <v>48</v>
      </c>
      <c r="B225" s="69">
        <v>44256</v>
      </c>
      <c r="C225" t="s">
        <v>295</v>
      </c>
    </row>
    <row r="226" spans="1:3" x14ac:dyDescent="0.2">
      <c r="A226" t="s">
        <v>48</v>
      </c>
      <c r="B226" s="69">
        <v>44197</v>
      </c>
      <c r="C226" t="s">
        <v>296</v>
      </c>
    </row>
    <row r="227" spans="1:3" x14ac:dyDescent="0.2">
      <c r="A227" t="s">
        <v>48</v>
      </c>
      <c r="B227" s="69">
        <v>44136</v>
      </c>
      <c r="C227" t="s">
        <v>297</v>
      </c>
    </row>
    <row r="228" spans="1:3" x14ac:dyDescent="0.2">
      <c r="A228" t="s">
        <v>48</v>
      </c>
      <c r="B228" s="69">
        <v>44075</v>
      </c>
      <c r="C228" t="s">
        <v>298</v>
      </c>
    </row>
    <row r="229" spans="1:3" x14ac:dyDescent="0.2">
      <c r="A229" t="s">
        <v>48</v>
      </c>
      <c r="B229" s="69">
        <v>43983</v>
      </c>
      <c r="C229" t="s">
        <v>299</v>
      </c>
    </row>
    <row r="230" spans="1:3" x14ac:dyDescent="0.2">
      <c r="A230" t="s">
        <v>48</v>
      </c>
      <c r="B230" s="69">
        <v>43891</v>
      </c>
      <c r="C230" t="s">
        <v>300</v>
      </c>
    </row>
    <row r="231" spans="1:3" x14ac:dyDescent="0.2">
      <c r="A231" t="s">
        <v>48</v>
      </c>
      <c r="B231" s="69">
        <v>43862</v>
      </c>
      <c r="C231" t="s">
        <v>301</v>
      </c>
    </row>
    <row r="232" spans="1:3" x14ac:dyDescent="0.2">
      <c r="A232" t="s">
        <v>48</v>
      </c>
      <c r="B232" s="69">
        <v>43800</v>
      </c>
      <c r="C232" t="s">
        <v>302</v>
      </c>
    </row>
    <row r="233" spans="1:3" x14ac:dyDescent="0.2">
      <c r="A233" t="s">
        <v>48</v>
      </c>
      <c r="B233" s="69">
        <v>43739</v>
      </c>
      <c r="C233" t="s">
        <v>303</v>
      </c>
    </row>
    <row r="234" spans="1:3" x14ac:dyDescent="0.2">
      <c r="A234" t="s">
        <v>48</v>
      </c>
      <c r="B234" s="69">
        <v>43647</v>
      </c>
      <c r="C234" t="s">
        <v>304</v>
      </c>
    </row>
    <row r="235" spans="1:3" x14ac:dyDescent="0.2">
      <c r="A235" t="s">
        <v>48</v>
      </c>
      <c r="B235" s="69">
        <v>43586</v>
      </c>
      <c r="C235" t="s">
        <v>305</v>
      </c>
    </row>
    <row r="236" spans="1:3" x14ac:dyDescent="0.2">
      <c r="A236" t="s">
        <v>48</v>
      </c>
      <c r="B236" s="69">
        <v>43556</v>
      </c>
      <c r="C236" t="s">
        <v>306</v>
      </c>
    </row>
    <row r="237" spans="1:3" x14ac:dyDescent="0.2">
      <c r="A237" t="s">
        <v>48</v>
      </c>
      <c r="B237" s="69">
        <v>43525</v>
      </c>
      <c r="C237" t="s">
        <v>307</v>
      </c>
    </row>
    <row r="238" spans="1:3" x14ac:dyDescent="0.2">
      <c r="A238" t="s">
        <v>48</v>
      </c>
      <c r="B238" s="69">
        <v>43497</v>
      </c>
      <c r="C238" t="s">
        <v>308</v>
      </c>
    </row>
    <row r="239" spans="1:3" x14ac:dyDescent="0.2">
      <c r="A239" t="s">
        <v>32</v>
      </c>
      <c r="B239" s="69">
        <v>44531</v>
      </c>
      <c r="C239" t="s">
        <v>309</v>
      </c>
    </row>
    <row r="240" spans="1:3" x14ac:dyDescent="0.2">
      <c r="A240" t="s">
        <v>32</v>
      </c>
      <c r="B240" s="69">
        <v>44197</v>
      </c>
      <c r="C240" t="s">
        <v>310</v>
      </c>
    </row>
    <row r="241" spans="1:3" x14ac:dyDescent="0.2">
      <c r="A241" t="s">
        <v>32</v>
      </c>
      <c r="B241" s="69">
        <v>43983</v>
      </c>
      <c r="C241" t="s">
        <v>311</v>
      </c>
    </row>
    <row r="242" spans="1:3" x14ac:dyDescent="0.2">
      <c r="A242" t="s">
        <v>32</v>
      </c>
      <c r="B242" s="69">
        <v>43770</v>
      </c>
      <c r="C242" t="s">
        <v>312</v>
      </c>
    </row>
    <row r="243" spans="1:3" x14ac:dyDescent="0.2">
      <c r="A243" t="s">
        <v>32</v>
      </c>
      <c r="B243" s="69"/>
      <c r="C243" t="s">
        <v>313</v>
      </c>
    </row>
    <row r="244" spans="1:3" x14ac:dyDescent="0.2">
      <c r="A244" t="s">
        <v>40</v>
      </c>
      <c r="B244" s="69">
        <v>44531</v>
      </c>
      <c r="C244" t="s">
        <v>314</v>
      </c>
    </row>
    <row r="245" spans="1:3" x14ac:dyDescent="0.2">
      <c r="A245" t="s">
        <v>40</v>
      </c>
      <c r="B245" s="69">
        <v>44531</v>
      </c>
      <c r="C245" t="s">
        <v>315</v>
      </c>
    </row>
    <row r="246" spans="1:3" x14ac:dyDescent="0.2">
      <c r="A246" t="s">
        <v>40</v>
      </c>
      <c r="B246" s="69">
        <v>44531</v>
      </c>
      <c r="C246" t="s">
        <v>315</v>
      </c>
    </row>
    <row r="247" spans="1:3" x14ac:dyDescent="0.2">
      <c r="A247" t="s">
        <v>40</v>
      </c>
      <c r="B247" s="69">
        <v>44531</v>
      </c>
      <c r="C247" t="s">
        <v>315</v>
      </c>
    </row>
    <row r="248" spans="1:3" x14ac:dyDescent="0.2">
      <c r="A248" t="s">
        <v>40</v>
      </c>
      <c r="B248" s="69">
        <v>44470</v>
      </c>
      <c r="C248" t="s">
        <v>316</v>
      </c>
    </row>
    <row r="249" spans="1:3" x14ac:dyDescent="0.2">
      <c r="A249" t="s">
        <v>40</v>
      </c>
      <c r="B249" s="69">
        <v>44440</v>
      </c>
      <c r="C249" t="s">
        <v>317</v>
      </c>
    </row>
    <row r="250" spans="1:3" x14ac:dyDescent="0.2">
      <c r="A250" t="s">
        <v>40</v>
      </c>
      <c r="B250" s="69">
        <v>44409</v>
      </c>
      <c r="C250" t="s">
        <v>318</v>
      </c>
    </row>
    <row r="251" spans="1:3" x14ac:dyDescent="0.2">
      <c r="A251" t="s">
        <v>40</v>
      </c>
      <c r="B251" s="69">
        <v>44378</v>
      </c>
      <c r="C251" t="s">
        <v>319</v>
      </c>
    </row>
    <row r="252" spans="1:3" x14ac:dyDescent="0.2">
      <c r="A252" t="s">
        <v>40</v>
      </c>
      <c r="B252" s="69">
        <v>44317</v>
      </c>
      <c r="C252" t="s">
        <v>320</v>
      </c>
    </row>
    <row r="253" spans="1:3" x14ac:dyDescent="0.2">
      <c r="A253" t="s">
        <v>40</v>
      </c>
      <c r="B253" s="69">
        <v>44287</v>
      </c>
      <c r="C253" t="s">
        <v>321</v>
      </c>
    </row>
    <row r="254" spans="1:3" x14ac:dyDescent="0.2">
      <c r="A254" t="s">
        <v>40</v>
      </c>
      <c r="B254" s="69">
        <v>44256</v>
      </c>
      <c r="C254" t="s">
        <v>322</v>
      </c>
    </row>
    <row r="255" spans="1:3" x14ac:dyDescent="0.2">
      <c r="A255" t="s">
        <v>40</v>
      </c>
      <c r="B255" s="69">
        <v>44228</v>
      </c>
      <c r="C255" t="s">
        <v>323</v>
      </c>
    </row>
    <row r="256" spans="1:3" x14ac:dyDescent="0.2">
      <c r="A256" t="s">
        <v>40</v>
      </c>
      <c r="B256" s="69">
        <v>44166</v>
      </c>
      <c r="C256" t="s">
        <v>324</v>
      </c>
    </row>
    <row r="257" spans="1:3" x14ac:dyDescent="0.2">
      <c r="A257" t="s">
        <v>40</v>
      </c>
      <c r="B257" s="69">
        <v>44136</v>
      </c>
      <c r="C257" t="s">
        <v>325</v>
      </c>
    </row>
    <row r="258" spans="1:3" x14ac:dyDescent="0.2">
      <c r="A258" t="s">
        <v>40</v>
      </c>
      <c r="B258" s="69">
        <v>44105</v>
      </c>
      <c r="C258" t="s">
        <v>326</v>
      </c>
    </row>
    <row r="259" spans="1:3" x14ac:dyDescent="0.2">
      <c r="A259" t="s">
        <v>40</v>
      </c>
      <c r="B259" s="69">
        <v>44075</v>
      </c>
      <c r="C259" t="s">
        <v>327</v>
      </c>
    </row>
    <row r="260" spans="1:3" x14ac:dyDescent="0.2">
      <c r="A260" t="s">
        <v>40</v>
      </c>
      <c r="B260" s="69">
        <v>44044</v>
      </c>
      <c r="C260" t="s">
        <v>328</v>
      </c>
    </row>
    <row r="261" spans="1:3" x14ac:dyDescent="0.2">
      <c r="A261" t="s">
        <v>40</v>
      </c>
      <c r="B261" s="69">
        <v>44013</v>
      </c>
      <c r="C261" t="s">
        <v>329</v>
      </c>
    </row>
    <row r="262" spans="1:3" x14ac:dyDescent="0.2">
      <c r="A262" t="s">
        <v>40</v>
      </c>
      <c r="B262" s="69">
        <v>43862</v>
      </c>
      <c r="C262" t="s">
        <v>330</v>
      </c>
    </row>
    <row r="263" spans="1:3" x14ac:dyDescent="0.2">
      <c r="A263" t="s">
        <v>40</v>
      </c>
      <c r="B263" s="69">
        <v>43800</v>
      </c>
      <c r="C263" t="s">
        <v>331</v>
      </c>
    </row>
    <row r="264" spans="1:3" x14ac:dyDescent="0.2">
      <c r="A264" t="s">
        <v>40</v>
      </c>
      <c r="B264" s="69">
        <v>43770</v>
      </c>
      <c r="C264" t="s">
        <v>332</v>
      </c>
    </row>
    <row r="265" spans="1:3" x14ac:dyDescent="0.2">
      <c r="A265" t="s">
        <v>40</v>
      </c>
      <c r="B265" s="69">
        <v>43739</v>
      </c>
      <c r="C265" t="s">
        <v>333</v>
      </c>
    </row>
    <row r="266" spans="1:3" x14ac:dyDescent="0.2">
      <c r="A266" t="s">
        <v>40</v>
      </c>
      <c r="B266" s="69">
        <v>43678</v>
      </c>
      <c r="C266" t="s">
        <v>334</v>
      </c>
    </row>
    <row r="267" spans="1:3" x14ac:dyDescent="0.2">
      <c r="A267" t="s">
        <v>40</v>
      </c>
      <c r="B267" s="69">
        <v>43647</v>
      </c>
      <c r="C267" t="s">
        <v>335</v>
      </c>
    </row>
    <row r="268" spans="1:3" x14ac:dyDescent="0.2">
      <c r="A268" t="s">
        <v>40</v>
      </c>
      <c r="B268" s="69">
        <v>43617</v>
      </c>
      <c r="C268" t="s">
        <v>336</v>
      </c>
    </row>
    <row r="269" spans="1:3" x14ac:dyDescent="0.2">
      <c r="A269" t="s">
        <v>40</v>
      </c>
      <c r="B269" s="69">
        <v>43556</v>
      </c>
      <c r="C269" t="s">
        <v>337</v>
      </c>
    </row>
    <row r="270" spans="1:3" x14ac:dyDescent="0.2">
      <c r="A270" t="s">
        <v>40</v>
      </c>
      <c r="B270" s="69">
        <v>43525</v>
      </c>
      <c r="C270" t="s">
        <v>338</v>
      </c>
    </row>
    <row r="271" spans="1:3" x14ac:dyDescent="0.2">
      <c r="A271" t="s">
        <v>40</v>
      </c>
      <c r="B271" s="69">
        <v>43466</v>
      </c>
      <c r="C271" t="s">
        <v>339</v>
      </c>
    </row>
    <row r="272" spans="1:3" x14ac:dyDescent="0.2">
      <c r="A272" t="s">
        <v>42</v>
      </c>
      <c r="B272" s="69">
        <v>44501</v>
      </c>
      <c r="C272" t="s">
        <v>340</v>
      </c>
    </row>
    <row r="273" spans="1:3" x14ac:dyDescent="0.2">
      <c r="A273" t="s">
        <v>42</v>
      </c>
      <c r="B273" s="69">
        <v>44470</v>
      </c>
      <c r="C273" t="s">
        <v>341</v>
      </c>
    </row>
    <row r="274" spans="1:3" x14ac:dyDescent="0.2">
      <c r="A274" t="s">
        <v>42</v>
      </c>
      <c r="B274" s="69">
        <v>44440</v>
      </c>
      <c r="C274" t="s">
        <v>342</v>
      </c>
    </row>
    <row r="275" spans="1:3" x14ac:dyDescent="0.2">
      <c r="A275" t="s">
        <v>42</v>
      </c>
      <c r="B275" s="69">
        <v>44409</v>
      </c>
      <c r="C275" t="s">
        <v>343</v>
      </c>
    </row>
    <row r="276" spans="1:3" x14ac:dyDescent="0.2">
      <c r="A276" t="s">
        <v>42</v>
      </c>
      <c r="B276" s="69">
        <v>44378</v>
      </c>
      <c r="C276" t="s">
        <v>344</v>
      </c>
    </row>
    <row r="277" spans="1:3" x14ac:dyDescent="0.2">
      <c r="A277" t="s">
        <v>42</v>
      </c>
      <c r="B277" s="69">
        <v>44287</v>
      </c>
      <c r="C277" t="s">
        <v>345</v>
      </c>
    </row>
    <row r="278" spans="1:3" x14ac:dyDescent="0.2">
      <c r="A278" t="s">
        <v>42</v>
      </c>
      <c r="B278" s="69">
        <v>44197</v>
      </c>
      <c r="C278" t="s">
        <v>346</v>
      </c>
    </row>
    <row r="279" spans="1:3" x14ac:dyDescent="0.2">
      <c r="A279" t="s">
        <v>42</v>
      </c>
      <c r="B279" s="69">
        <v>44013</v>
      </c>
      <c r="C279" t="s">
        <v>347</v>
      </c>
    </row>
    <row r="280" spans="1:3" x14ac:dyDescent="0.2">
      <c r="A280" t="s">
        <v>42</v>
      </c>
      <c r="B280" s="69">
        <v>43952</v>
      </c>
      <c r="C280" t="s">
        <v>348</v>
      </c>
    </row>
    <row r="281" spans="1:3" x14ac:dyDescent="0.2">
      <c r="A281" t="s">
        <v>42</v>
      </c>
      <c r="B281" s="69">
        <v>43891</v>
      </c>
      <c r="C281" t="s">
        <v>349</v>
      </c>
    </row>
    <row r="282" spans="1:3" x14ac:dyDescent="0.2">
      <c r="A282" t="s">
        <v>42</v>
      </c>
      <c r="B282" s="69">
        <v>43800</v>
      </c>
      <c r="C282" t="s">
        <v>350</v>
      </c>
    </row>
    <row r="283" spans="1:3" x14ac:dyDescent="0.2">
      <c r="A283" t="s">
        <v>42</v>
      </c>
      <c r="B283" s="69">
        <v>43739</v>
      </c>
      <c r="C283" t="s">
        <v>351</v>
      </c>
    </row>
    <row r="284" spans="1:3" x14ac:dyDescent="0.2">
      <c r="A284" t="s">
        <v>42</v>
      </c>
      <c r="B284" s="69">
        <v>43617</v>
      </c>
      <c r="C284" t="s">
        <v>352</v>
      </c>
    </row>
    <row r="285" spans="1:3" x14ac:dyDescent="0.2">
      <c r="A285" t="s">
        <v>42</v>
      </c>
      <c r="B285" s="69">
        <v>43617</v>
      </c>
      <c r="C285" t="s">
        <v>353</v>
      </c>
    </row>
    <row r="286" spans="1:3" x14ac:dyDescent="0.2">
      <c r="A286" t="s">
        <v>42</v>
      </c>
      <c r="B286" s="69">
        <v>43586</v>
      </c>
      <c r="C286" t="s">
        <v>354</v>
      </c>
    </row>
    <row r="287" spans="1:3" x14ac:dyDescent="0.2">
      <c r="A287" t="s">
        <v>42</v>
      </c>
      <c r="B287" s="69">
        <v>43556</v>
      </c>
      <c r="C287" t="s">
        <v>355</v>
      </c>
    </row>
    <row r="288" spans="1:3" x14ac:dyDescent="0.2">
      <c r="A288" t="s">
        <v>42</v>
      </c>
      <c r="B288" s="69">
        <v>43525</v>
      </c>
      <c r="C288" t="s">
        <v>356</v>
      </c>
    </row>
    <row r="289" spans="1:3" x14ac:dyDescent="0.2">
      <c r="A289" t="s">
        <v>42</v>
      </c>
      <c r="B289" s="69">
        <v>43466</v>
      </c>
      <c r="C289" t="s">
        <v>357</v>
      </c>
    </row>
    <row r="290" spans="1:3" x14ac:dyDescent="0.2">
      <c r="A290" t="s">
        <v>45</v>
      </c>
      <c r="B290" s="69">
        <v>44470</v>
      </c>
      <c r="C290" t="s">
        <v>358</v>
      </c>
    </row>
    <row r="291" spans="1:3" x14ac:dyDescent="0.2">
      <c r="A291" t="s">
        <v>45</v>
      </c>
      <c r="B291" s="69">
        <v>44440</v>
      </c>
      <c r="C291" t="s">
        <v>359</v>
      </c>
    </row>
    <row r="292" spans="1:3" x14ac:dyDescent="0.2">
      <c r="A292" t="s">
        <v>45</v>
      </c>
      <c r="B292" s="69">
        <v>44409</v>
      </c>
      <c r="C292" t="s">
        <v>360</v>
      </c>
    </row>
    <row r="293" spans="1:3" x14ac:dyDescent="0.2">
      <c r="A293" t="s">
        <v>45</v>
      </c>
      <c r="B293" s="69">
        <v>44378</v>
      </c>
      <c r="C293" t="s">
        <v>361</v>
      </c>
    </row>
    <row r="294" spans="1:3" x14ac:dyDescent="0.2">
      <c r="A294" t="s">
        <v>45</v>
      </c>
      <c r="B294" s="69">
        <v>44317</v>
      </c>
      <c r="C294" t="s">
        <v>362</v>
      </c>
    </row>
    <row r="295" spans="1:3" x14ac:dyDescent="0.2">
      <c r="A295" t="s">
        <v>45</v>
      </c>
      <c r="B295" s="69">
        <v>44287</v>
      </c>
      <c r="C295" t="s">
        <v>363</v>
      </c>
    </row>
    <row r="296" spans="1:3" x14ac:dyDescent="0.2">
      <c r="A296" t="s">
        <v>45</v>
      </c>
      <c r="B296" s="69">
        <v>44256</v>
      </c>
      <c r="C296" t="s">
        <v>364</v>
      </c>
    </row>
    <row r="297" spans="1:3" x14ac:dyDescent="0.2">
      <c r="A297" t="s">
        <v>45</v>
      </c>
      <c r="B297" s="69">
        <v>44166</v>
      </c>
      <c r="C297" t="s">
        <v>365</v>
      </c>
    </row>
    <row r="298" spans="1:3" x14ac:dyDescent="0.2">
      <c r="A298" t="s">
        <v>45</v>
      </c>
      <c r="B298" s="69">
        <v>44013</v>
      </c>
      <c r="C298" t="s">
        <v>366</v>
      </c>
    </row>
    <row r="299" spans="1:3" x14ac:dyDescent="0.2">
      <c r="A299" t="s">
        <v>45</v>
      </c>
      <c r="B299" s="69">
        <v>43983</v>
      </c>
      <c r="C299" t="s">
        <v>367</v>
      </c>
    </row>
    <row r="300" spans="1:3" x14ac:dyDescent="0.2">
      <c r="A300" t="s">
        <v>45</v>
      </c>
      <c r="B300" s="69">
        <v>43862</v>
      </c>
      <c r="C300" t="s">
        <v>368</v>
      </c>
    </row>
    <row r="301" spans="1:3" x14ac:dyDescent="0.2">
      <c r="A301" t="s">
        <v>45</v>
      </c>
      <c r="B301" s="69">
        <v>43831</v>
      </c>
      <c r="C301" t="s">
        <v>369</v>
      </c>
    </row>
    <row r="302" spans="1:3" x14ac:dyDescent="0.2">
      <c r="A302" t="s">
        <v>45</v>
      </c>
      <c r="B302" s="69">
        <v>43739</v>
      </c>
      <c r="C302" t="s">
        <v>370</v>
      </c>
    </row>
    <row r="303" spans="1:3" x14ac:dyDescent="0.2">
      <c r="A303" t="s">
        <v>45</v>
      </c>
      <c r="B303" s="69">
        <v>43678</v>
      </c>
      <c r="C303" t="s">
        <v>371</v>
      </c>
    </row>
    <row r="304" spans="1:3" x14ac:dyDescent="0.2">
      <c r="A304" t="s">
        <v>45</v>
      </c>
      <c r="B304" s="69">
        <v>43525</v>
      </c>
      <c r="C304" t="s">
        <v>372</v>
      </c>
    </row>
    <row r="305" spans="1:3" x14ac:dyDescent="0.2">
      <c r="A305" t="s">
        <v>45</v>
      </c>
      <c r="B305" s="69">
        <v>43466</v>
      </c>
      <c r="C305" t="s">
        <v>373</v>
      </c>
    </row>
    <row r="306" spans="1:3" x14ac:dyDescent="0.2">
      <c r="A306" t="s">
        <v>30</v>
      </c>
      <c r="B306" s="69">
        <v>44531</v>
      </c>
      <c r="C306" t="s">
        <v>374</v>
      </c>
    </row>
    <row r="307" spans="1:3" x14ac:dyDescent="0.2">
      <c r="A307" t="s">
        <v>30</v>
      </c>
      <c r="B307" s="69">
        <v>44531</v>
      </c>
      <c r="C307" t="s">
        <v>375</v>
      </c>
    </row>
    <row r="308" spans="1:3" x14ac:dyDescent="0.2">
      <c r="A308" t="s">
        <v>30</v>
      </c>
      <c r="B308" s="69">
        <v>44531</v>
      </c>
      <c r="C308" t="s">
        <v>375</v>
      </c>
    </row>
    <row r="309" spans="1:3" x14ac:dyDescent="0.2">
      <c r="A309" t="s">
        <v>30</v>
      </c>
      <c r="B309" s="69">
        <v>44531</v>
      </c>
      <c r="C309" t="s">
        <v>375</v>
      </c>
    </row>
    <row r="310" spans="1:3" x14ac:dyDescent="0.2">
      <c r="A310" t="s">
        <v>30</v>
      </c>
      <c r="B310" s="69">
        <v>44501</v>
      </c>
      <c r="C310" t="s">
        <v>376</v>
      </c>
    </row>
    <row r="311" spans="1:3" x14ac:dyDescent="0.2">
      <c r="A311" t="s">
        <v>30</v>
      </c>
      <c r="B311" s="69">
        <v>44440</v>
      </c>
      <c r="C311" t="s">
        <v>377</v>
      </c>
    </row>
    <row r="312" spans="1:3" x14ac:dyDescent="0.2">
      <c r="A312" t="s">
        <v>30</v>
      </c>
      <c r="B312" s="69">
        <v>44409</v>
      </c>
      <c r="C312" t="s">
        <v>378</v>
      </c>
    </row>
    <row r="313" spans="1:3" x14ac:dyDescent="0.2">
      <c r="A313" t="s">
        <v>30</v>
      </c>
      <c r="B313" s="69">
        <v>44378</v>
      </c>
      <c r="C313" t="s">
        <v>379</v>
      </c>
    </row>
    <row r="314" spans="1:3" x14ac:dyDescent="0.2">
      <c r="A314" t="s">
        <v>30</v>
      </c>
      <c r="B314" s="69">
        <v>44348</v>
      </c>
      <c r="C314" t="s">
        <v>380</v>
      </c>
    </row>
    <row r="315" spans="1:3" x14ac:dyDescent="0.2">
      <c r="A315" t="s">
        <v>30</v>
      </c>
      <c r="B315" s="69">
        <v>44317</v>
      </c>
      <c r="C315" t="s">
        <v>381</v>
      </c>
    </row>
    <row r="316" spans="1:3" x14ac:dyDescent="0.2">
      <c r="A316" t="s">
        <v>30</v>
      </c>
      <c r="B316" s="69">
        <v>44256</v>
      </c>
      <c r="C316" t="s">
        <v>382</v>
      </c>
    </row>
    <row r="317" spans="1:3" x14ac:dyDescent="0.2">
      <c r="A317" t="s">
        <v>30</v>
      </c>
      <c r="B317" s="69">
        <v>44228</v>
      </c>
      <c r="C317" t="s">
        <v>383</v>
      </c>
    </row>
    <row r="318" spans="1:3" x14ac:dyDescent="0.2">
      <c r="A318" t="s">
        <v>30</v>
      </c>
      <c r="B318" s="69">
        <v>44197</v>
      </c>
      <c r="C318" t="s">
        <v>384</v>
      </c>
    </row>
    <row r="319" spans="1:3" x14ac:dyDescent="0.2">
      <c r="A319" t="s">
        <v>30</v>
      </c>
      <c r="B319" s="69">
        <v>44136</v>
      </c>
      <c r="C319" t="s">
        <v>385</v>
      </c>
    </row>
    <row r="320" spans="1:3" x14ac:dyDescent="0.2">
      <c r="A320" t="s">
        <v>30</v>
      </c>
      <c r="B320" s="69">
        <v>44105</v>
      </c>
      <c r="C320" t="s">
        <v>386</v>
      </c>
    </row>
    <row r="321" spans="1:3" x14ac:dyDescent="0.2">
      <c r="A321" t="s">
        <v>30</v>
      </c>
      <c r="B321" s="69">
        <v>44075</v>
      </c>
      <c r="C321" t="s">
        <v>387</v>
      </c>
    </row>
    <row r="322" spans="1:3" x14ac:dyDescent="0.2">
      <c r="A322" t="s">
        <v>30</v>
      </c>
      <c r="B322" s="69">
        <v>44044</v>
      </c>
      <c r="C322" t="s">
        <v>388</v>
      </c>
    </row>
    <row r="323" spans="1:3" x14ac:dyDescent="0.2">
      <c r="A323" t="s">
        <v>30</v>
      </c>
      <c r="B323" s="69">
        <v>44013</v>
      </c>
      <c r="C323" t="s">
        <v>389</v>
      </c>
    </row>
    <row r="324" spans="1:3" x14ac:dyDescent="0.2">
      <c r="A324" t="s">
        <v>30</v>
      </c>
      <c r="B324" s="69">
        <v>43952</v>
      </c>
      <c r="C324" t="s">
        <v>390</v>
      </c>
    </row>
    <row r="325" spans="1:3" x14ac:dyDescent="0.2">
      <c r="A325" t="s">
        <v>30</v>
      </c>
      <c r="B325" s="69">
        <v>43922</v>
      </c>
      <c r="C325" t="s">
        <v>391</v>
      </c>
    </row>
    <row r="326" spans="1:3" x14ac:dyDescent="0.2">
      <c r="A326" t="s">
        <v>30</v>
      </c>
      <c r="B326" s="69">
        <v>43891</v>
      </c>
      <c r="C326" t="s">
        <v>392</v>
      </c>
    </row>
    <row r="327" spans="1:3" x14ac:dyDescent="0.2">
      <c r="A327" t="s">
        <v>30</v>
      </c>
      <c r="B327" s="69">
        <v>43862</v>
      </c>
      <c r="C327" t="s">
        <v>393</v>
      </c>
    </row>
    <row r="328" spans="1:3" x14ac:dyDescent="0.2">
      <c r="A328" t="s">
        <v>30</v>
      </c>
      <c r="B328" s="69">
        <v>43800</v>
      </c>
      <c r="C328" t="s">
        <v>394</v>
      </c>
    </row>
    <row r="329" spans="1:3" x14ac:dyDescent="0.2">
      <c r="A329" t="s">
        <v>30</v>
      </c>
      <c r="B329" s="69">
        <v>43709</v>
      </c>
      <c r="C329" t="s">
        <v>395</v>
      </c>
    </row>
    <row r="330" spans="1:3" x14ac:dyDescent="0.2">
      <c r="A330" t="s">
        <v>30</v>
      </c>
      <c r="B330" s="69">
        <v>43678</v>
      </c>
      <c r="C330" t="s">
        <v>396</v>
      </c>
    </row>
    <row r="331" spans="1:3" x14ac:dyDescent="0.2">
      <c r="A331" t="s">
        <v>30</v>
      </c>
      <c r="B331" s="69">
        <v>43647</v>
      </c>
      <c r="C331" t="s">
        <v>397</v>
      </c>
    </row>
    <row r="332" spans="1:3" x14ac:dyDescent="0.2">
      <c r="A332" t="s">
        <v>30</v>
      </c>
      <c r="B332" s="69">
        <v>43617</v>
      </c>
      <c r="C332" t="s">
        <v>398</v>
      </c>
    </row>
    <row r="333" spans="1:3" x14ac:dyDescent="0.2">
      <c r="A333" t="s">
        <v>30</v>
      </c>
      <c r="B333" s="69">
        <v>43586</v>
      </c>
      <c r="C333" t="s">
        <v>399</v>
      </c>
    </row>
    <row r="334" spans="1:3" x14ac:dyDescent="0.2">
      <c r="A334" t="s">
        <v>30</v>
      </c>
      <c r="B334" s="69">
        <v>43556</v>
      </c>
      <c r="C334" t="s">
        <v>400</v>
      </c>
    </row>
    <row r="335" spans="1:3" x14ac:dyDescent="0.2">
      <c r="A335" t="s">
        <v>30</v>
      </c>
      <c r="B335" s="69">
        <v>43497</v>
      </c>
      <c r="C335" t="s">
        <v>401</v>
      </c>
    </row>
    <row r="336" spans="1:3" x14ac:dyDescent="0.2">
      <c r="A336" t="s">
        <v>30</v>
      </c>
      <c r="B336" s="69">
        <v>43466</v>
      </c>
      <c r="C336" t="s">
        <v>402</v>
      </c>
    </row>
    <row r="337" spans="1:3" x14ac:dyDescent="0.2">
      <c r="A337" t="s">
        <v>25</v>
      </c>
      <c r="B337" s="69">
        <v>44501</v>
      </c>
      <c r="C337" t="s">
        <v>403</v>
      </c>
    </row>
    <row r="338" spans="1:3" x14ac:dyDescent="0.2">
      <c r="A338" t="s">
        <v>25</v>
      </c>
      <c r="B338" s="69">
        <v>44348</v>
      </c>
      <c r="C338" t="s">
        <v>404</v>
      </c>
    </row>
    <row r="339" spans="1:3" x14ac:dyDescent="0.2">
      <c r="A339" t="s">
        <v>25</v>
      </c>
      <c r="B339" s="69">
        <v>44348</v>
      </c>
      <c r="C339" t="s">
        <v>405</v>
      </c>
    </row>
    <row r="340" spans="1:3" x14ac:dyDescent="0.2">
      <c r="A340" t="s">
        <v>25</v>
      </c>
      <c r="B340" s="69">
        <v>44166</v>
      </c>
      <c r="C340" t="s">
        <v>406</v>
      </c>
    </row>
    <row r="341" spans="1:3" x14ac:dyDescent="0.2">
      <c r="A341" t="s">
        <v>25</v>
      </c>
      <c r="B341" s="69">
        <v>43862</v>
      </c>
      <c r="C341" t="s">
        <v>407</v>
      </c>
    </row>
    <row r="342" spans="1:3" x14ac:dyDescent="0.2">
      <c r="A342" t="s">
        <v>25</v>
      </c>
      <c r="B342" s="69">
        <v>43770</v>
      </c>
      <c r="C342" t="s">
        <v>408</v>
      </c>
    </row>
    <row r="343" spans="1:3" x14ac:dyDescent="0.2">
      <c r="A343" t="s">
        <v>25</v>
      </c>
      <c r="B343" s="69">
        <v>43739</v>
      </c>
      <c r="C343" t="s">
        <v>409</v>
      </c>
    </row>
    <row r="344" spans="1:3" x14ac:dyDescent="0.2">
      <c r="A344" t="s">
        <v>25</v>
      </c>
      <c r="B344" s="69">
        <v>43678</v>
      </c>
      <c r="C344" t="s">
        <v>410</v>
      </c>
    </row>
    <row r="345" spans="1:3" x14ac:dyDescent="0.2">
      <c r="A345" t="s">
        <v>25</v>
      </c>
      <c r="B345" s="69">
        <v>43617</v>
      </c>
      <c r="C345" t="s">
        <v>411</v>
      </c>
    </row>
    <row r="346" spans="1:3" x14ac:dyDescent="0.2">
      <c r="A346" t="s">
        <v>25</v>
      </c>
      <c r="B346" s="69">
        <v>43525</v>
      </c>
      <c r="C346" t="s">
        <v>412</v>
      </c>
    </row>
    <row r="347" spans="1:3" x14ac:dyDescent="0.2">
      <c r="A347" t="s">
        <v>25</v>
      </c>
      <c r="B347" s="69">
        <v>43466</v>
      </c>
      <c r="C347" t="s">
        <v>413</v>
      </c>
    </row>
    <row r="348" spans="1:3" x14ac:dyDescent="0.2">
      <c r="A348" t="s">
        <v>38</v>
      </c>
      <c r="B348" s="69">
        <v>44531</v>
      </c>
      <c r="C348" t="s">
        <v>414</v>
      </c>
    </row>
    <row r="349" spans="1:3" x14ac:dyDescent="0.2">
      <c r="A349" t="s">
        <v>38</v>
      </c>
      <c r="B349" s="69">
        <v>44531</v>
      </c>
      <c r="C349" t="s">
        <v>415</v>
      </c>
    </row>
    <row r="350" spans="1:3" x14ac:dyDescent="0.2">
      <c r="A350" t="s">
        <v>38</v>
      </c>
      <c r="B350" s="69">
        <v>44531</v>
      </c>
      <c r="C350" t="s">
        <v>415</v>
      </c>
    </row>
    <row r="351" spans="1:3" x14ac:dyDescent="0.2">
      <c r="A351" t="s">
        <v>38</v>
      </c>
      <c r="B351" s="69">
        <v>44531</v>
      </c>
      <c r="C351" t="s">
        <v>415</v>
      </c>
    </row>
    <row r="352" spans="1:3" x14ac:dyDescent="0.2">
      <c r="A352" t="s">
        <v>38</v>
      </c>
      <c r="B352" s="69">
        <v>44287</v>
      </c>
      <c r="C352" t="s">
        <v>416</v>
      </c>
    </row>
    <row r="353" spans="1:3" x14ac:dyDescent="0.2">
      <c r="A353" t="s">
        <v>38</v>
      </c>
      <c r="B353" s="69">
        <v>44287</v>
      </c>
      <c r="C353" t="s">
        <v>417</v>
      </c>
    </row>
    <row r="354" spans="1:3" x14ac:dyDescent="0.2">
      <c r="A354" t="s">
        <v>38</v>
      </c>
      <c r="B354" s="69">
        <v>44228</v>
      </c>
      <c r="C354" t="s">
        <v>418</v>
      </c>
    </row>
    <row r="355" spans="1:3" x14ac:dyDescent="0.2">
      <c r="A355" t="s">
        <v>38</v>
      </c>
      <c r="B355" s="69">
        <v>44197</v>
      </c>
      <c r="C355" t="s">
        <v>419</v>
      </c>
    </row>
    <row r="356" spans="1:3" x14ac:dyDescent="0.2">
      <c r="A356" t="s">
        <v>38</v>
      </c>
      <c r="B356" s="69">
        <v>44166</v>
      </c>
      <c r="C356" t="s">
        <v>420</v>
      </c>
    </row>
    <row r="357" spans="1:3" x14ac:dyDescent="0.2">
      <c r="A357" t="s">
        <v>38</v>
      </c>
      <c r="B357" s="69">
        <v>44013</v>
      </c>
      <c r="C357" t="s">
        <v>421</v>
      </c>
    </row>
    <row r="358" spans="1:3" x14ac:dyDescent="0.2">
      <c r="A358" t="s">
        <v>38</v>
      </c>
      <c r="B358" s="69">
        <v>43800</v>
      </c>
      <c r="C358" t="s">
        <v>422</v>
      </c>
    </row>
    <row r="359" spans="1:3" x14ac:dyDescent="0.2">
      <c r="A359" t="s">
        <v>38</v>
      </c>
      <c r="B359" s="69">
        <v>43586</v>
      </c>
      <c r="C359" t="s">
        <v>423</v>
      </c>
    </row>
    <row r="360" spans="1:3" x14ac:dyDescent="0.2">
      <c r="A360" t="s">
        <v>38</v>
      </c>
      <c r="B360" s="69">
        <v>43497</v>
      </c>
      <c r="C360" t="s">
        <v>424</v>
      </c>
    </row>
    <row r="361" spans="1:3" x14ac:dyDescent="0.2">
      <c r="A361" t="s">
        <v>19</v>
      </c>
      <c r="B361" s="69">
        <v>44531</v>
      </c>
      <c r="C361" t="s">
        <v>425</v>
      </c>
    </row>
    <row r="362" spans="1:3" x14ac:dyDescent="0.2">
      <c r="A362" t="s">
        <v>19</v>
      </c>
      <c r="B362" s="69">
        <v>44531</v>
      </c>
      <c r="C362" t="s">
        <v>426</v>
      </c>
    </row>
    <row r="363" spans="1:3" x14ac:dyDescent="0.2">
      <c r="A363" t="s">
        <v>19</v>
      </c>
      <c r="B363" s="69">
        <v>44531</v>
      </c>
      <c r="C363" t="s">
        <v>426</v>
      </c>
    </row>
    <row r="364" spans="1:3" x14ac:dyDescent="0.2">
      <c r="A364" t="s">
        <v>19</v>
      </c>
      <c r="B364" s="69">
        <v>44531</v>
      </c>
      <c r="C364" t="s">
        <v>426</v>
      </c>
    </row>
    <row r="365" spans="1:3" x14ac:dyDescent="0.2">
      <c r="A365" t="s">
        <v>19</v>
      </c>
      <c r="B365" s="69">
        <v>44501</v>
      </c>
      <c r="C365" t="s">
        <v>427</v>
      </c>
    </row>
    <row r="366" spans="1:3" x14ac:dyDescent="0.2">
      <c r="A366" t="s">
        <v>19</v>
      </c>
      <c r="B366" s="69">
        <v>44470</v>
      </c>
      <c r="C366" t="s">
        <v>428</v>
      </c>
    </row>
    <row r="367" spans="1:3" x14ac:dyDescent="0.2">
      <c r="A367" t="s">
        <v>19</v>
      </c>
      <c r="B367" s="69">
        <v>44440</v>
      </c>
      <c r="C367" t="s">
        <v>429</v>
      </c>
    </row>
    <row r="368" spans="1:3" x14ac:dyDescent="0.2">
      <c r="A368" t="s">
        <v>19</v>
      </c>
      <c r="B368" s="69">
        <v>44409</v>
      </c>
      <c r="C368" t="s">
        <v>430</v>
      </c>
    </row>
    <row r="369" spans="1:3" x14ac:dyDescent="0.2">
      <c r="A369" t="s">
        <v>19</v>
      </c>
      <c r="B369" s="69">
        <v>44378</v>
      </c>
      <c r="C369" t="s">
        <v>431</v>
      </c>
    </row>
    <row r="370" spans="1:3" x14ac:dyDescent="0.2">
      <c r="A370" t="s">
        <v>19</v>
      </c>
      <c r="B370" s="69">
        <v>44348</v>
      </c>
      <c r="C370" t="s">
        <v>432</v>
      </c>
    </row>
    <row r="371" spans="1:3" x14ac:dyDescent="0.2">
      <c r="A371" t="s">
        <v>19</v>
      </c>
      <c r="B371" s="69">
        <v>44317</v>
      </c>
      <c r="C371" t="s">
        <v>433</v>
      </c>
    </row>
    <row r="372" spans="1:3" x14ac:dyDescent="0.2">
      <c r="A372" t="s">
        <v>19</v>
      </c>
      <c r="B372" s="69">
        <v>44287</v>
      </c>
      <c r="C372" t="s">
        <v>434</v>
      </c>
    </row>
    <row r="373" spans="1:3" x14ac:dyDescent="0.2">
      <c r="A373" t="s">
        <v>19</v>
      </c>
      <c r="B373" s="69">
        <v>44256</v>
      </c>
      <c r="C373" t="s">
        <v>435</v>
      </c>
    </row>
    <row r="374" spans="1:3" x14ac:dyDescent="0.2">
      <c r="A374" t="s">
        <v>19</v>
      </c>
      <c r="B374" s="69">
        <v>44228</v>
      </c>
      <c r="C374" t="s">
        <v>436</v>
      </c>
    </row>
    <row r="375" spans="1:3" x14ac:dyDescent="0.2">
      <c r="A375" t="s">
        <v>19</v>
      </c>
      <c r="B375" s="69">
        <v>44197</v>
      </c>
      <c r="C375" t="s">
        <v>437</v>
      </c>
    </row>
    <row r="376" spans="1:3" x14ac:dyDescent="0.2">
      <c r="A376" t="s">
        <v>19</v>
      </c>
      <c r="B376" s="69">
        <v>44166</v>
      </c>
      <c r="C376" t="s">
        <v>438</v>
      </c>
    </row>
    <row r="377" spans="1:3" x14ac:dyDescent="0.2">
      <c r="A377" t="s">
        <v>19</v>
      </c>
      <c r="B377" s="69">
        <v>44105</v>
      </c>
      <c r="C377" t="s">
        <v>439</v>
      </c>
    </row>
    <row r="378" spans="1:3" x14ac:dyDescent="0.2">
      <c r="A378" t="s">
        <v>19</v>
      </c>
      <c r="B378" s="69">
        <v>44044</v>
      </c>
      <c r="C378" t="s">
        <v>440</v>
      </c>
    </row>
    <row r="379" spans="1:3" x14ac:dyDescent="0.2">
      <c r="A379" t="s">
        <v>19</v>
      </c>
      <c r="B379" s="69">
        <v>44044</v>
      </c>
      <c r="C379" t="s">
        <v>441</v>
      </c>
    </row>
    <row r="380" spans="1:3" x14ac:dyDescent="0.2">
      <c r="A380" t="s">
        <v>19</v>
      </c>
      <c r="B380" s="69">
        <v>43952</v>
      </c>
      <c r="C380" t="s">
        <v>442</v>
      </c>
    </row>
    <row r="381" spans="1:3" x14ac:dyDescent="0.2">
      <c r="A381" t="s">
        <v>19</v>
      </c>
      <c r="B381" s="69">
        <v>43922</v>
      </c>
      <c r="C381" t="s">
        <v>443</v>
      </c>
    </row>
    <row r="382" spans="1:3" x14ac:dyDescent="0.2">
      <c r="A382" t="s">
        <v>19</v>
      </c>
      <c r="B382" s="69">
        <v>43831</v>
      </c>
      <c r="C382" t="s">
        <v>444</v>
      </c>
    </row>
    <row r="383" spans="1:3" x14ac:dyDescent="0.2">
      <c r="A383" t="s">
        <v>19</v>
      </c>
      <c r="B383" s="69">
        <v>43800</v>
      </c>
      <c r="C383" t="s">
        <v>445</v>
      </c>
    </row>
    <row r="384" spans="1:3" x14ac:dyDescent="0.2">
      <c r="A384" t="s">
        <v>19</v>
      </c>
      <c r="B384" s="69">
        <v>43739</v>
      </c>
      <c r="C384" t="s">
        <v>446</v>
      </c>
    </row>
    <row r="385" spans="1:3" x14ac:dyDescent="0.2">
      <c r="A385" t="s">
        <v>19</v>
      </c>
      <c r="B385" s="69">
        <v>43647</v>
      </c>
      <c r="C385" t="s">
        <v>447</v>
      </c>
    </row>
    <row r="386" spans="1:3" x14ac:dyDescent="0.2">
      <c r="A386" t="s">
        <v>19</v>
      </c>
      <c r="B386" s="69">
        <v>43617</v>
      </c>
      <c r="C386" t="s">
        <v>448</v>
      </c>
    </row>
    <row r="387" spans="1:3" x14ac:dyDescent="0.2">
      <c r="A387" t="s">
        <v>19</v>
      </c>
      <c r="B387" s="69">
        <v>43556</v>
      </c>
      <c r="C387" t="s">
        <v>449</v>
      </c>
    </row>
    <row r="388" spans="1:3" x14ac:dyDescent="0.2">
      <c r="A388" t="s">
        <v>19</v>
      </c>
      <c r="B388" s="69">
        <v>43497</v>
      </c>
      <c r="C388" t="s">
        <v>450</v>
      </c>
    </row>
    <row r="389" spans="1:3" x14ac:dyDescent="0.2">
      <c r="A389" t="s">
        <v>19</v>
      </c>
      <c r="B389" s="69">
        <v>43466</v>
      </c>
      <c r="C389" t="s">
        <v>451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2022-01-30T15:23:26Z</dcterms:modified>
</cp:coreProperties>
</file>