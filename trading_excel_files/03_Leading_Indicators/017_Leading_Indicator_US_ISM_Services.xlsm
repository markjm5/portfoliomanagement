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D5493B9-8F02-D949-903B-A4BE9842EE95}" xr6:coauthVersionLast="47" xr6:coauthVersionMax="47" xr10:uidLastSave="{00000000-0000-0000-0000-000000000000}"/>
  <bookViews>
    <workbookView xWindow="-37580" yWindow="3180" windowWidth="37580" windowHeight="25620" activeTab="8"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H6" i="9" l="1"/>
  <c r="AH7" i="9"/>
  <c r="AH8" i="9"/>
  <c r="AH9" i="9"/>
  <c r="AH10" i="9"/>
  <c r="AH11" i="9"/>
  <c r="AH12" i="9"/>
  <c r="AH13" i="9"/>
  <c r="AH14" i="9"/>
  <c r="AH15" i="9"/>
  <c r="AH16" i="9"/>
  <c r="AH17" i="9"/>
  <c r="AH18" i="9"/>
  <c r="AH19" i="9"/>
  <c r="AH20" i="9"/>
  <c r="AH21" i="9"/>
  <c r="AH22" i="9"/>
  <c r="AH23" i="9"/>
  <c r="AH28" i="9"/>
  <c r="AH29" i="9"/>
  <c r="AH30" i="9"/>
  <c r="AH31" i="9"/>
  <c r="AH32" i="9"/>
  <c r="AH33" i="9"/>
  <c r="AH34" i="9"/>
  <c r="AH35" i="9"/>
  <c r="AH36" i="9"/>
  <c r="AH37" i="9"/>
  <c r="AH38" i="9"/>
  <c r="AH39" i="9"/>
  <c r="AH40" i="9"/>
  <c r="AH41" i="9"/>
  <c r="AH42" i="9"/>
  <c r="AH43" i="9"/>
  <c r="AH44" i="9"/>
  <c r="AH45" i="9"/>
  <c r="AH50" i="9"/>
  <c r="AH51" i="9"/>
  <c r="AH52" i="9"/>
  <c r="AH53" i="9"/>
  <c r="AH54" i="9"/>
  <c r="AH55" i="9"/>
  <c r="AH56" i="9"/>
  <c r="AH57" i="9"/>
  <c r="AH58" i="9"/>
  <c r="AH59" i="9"/>
  <c r="AH60" i="9"/>
  <c r="AH61" i="9"/>
  <c r="AH62" i="9"/>
  <c r="AH63" i="9"/>
  <c r="AH64" i="9"/>
  <c r="AH65" i="9"/>
  <c r="AH66" i="9"/>
  <c r="AH67" i="9"/>
  <c r="B306" i="13"/>
  <c r="B305" i="13"/>
  <c r="C306" i="13" s="1"/>
  <c r="B304" i="13"/>
  <c r="C305" i="13" s="1"/>
  <c r="C303" i="13"/>
  <c r="B303" i="13"/>
  <c r="B302" i="13"/>
  <c r="B301" i="13"/>
  <c r="C302" i="13" s="1"/>
  <c r="B300" i="13"/>
  <c r="C301" i="13" s="1"/>
  <c r="C299" i="13"/>
  <c r="B299" i="13"/>
  <c r="B298" i="13"/>
  <c r="B297" i="13"/>
  <c r="C298" i="13" s="1"/>
  <c r="B296" i="13"/>
  <c r="C297" i="13" s="1"/>
  <c r="C295" i="13"/>
  <c r="B295" i="13"/>
  <c r="B294" i="13"/>
  <c r="B293" i="13"/>
  <c r="C294" i="13" s="1"/>
  <c r="B292" i="13"/>
  <c r="C293" i="13" s="1"/>
  <c r="C291" i="13"/>
  <c r="B291" i="13"/>
  <c r="B290" i="13"/>
  <c r="B289" i="13"/>
  <c r="C290" i="13" s="1"/>
  <c r="B288" i="13"/>
  <c r="C289" i="13" s="1"/>
  <c r="C287" i="13"/>
  <c r="B287" i="13"/>
  <c r="B286" i="13"/>
  <c r="B285" i="13"/>
  <c r="C286" i="13" s="1"/>
  <c r="B284" i="13"/>
  <c r="C285" i="13" s="1"/>
  <c r="C283" i="13"/>
  <c r="B283" i="13"/>
  <c r="B282" i="13"/>
  <c r="B281" i="13"/>
  <c r="C282" i="13" s="1"/>
  <c r="B280" i="13"/>
  <c r="C281" i="13" s="1"/>
  <c r="C279" i="13"/>
  <c r="B279" i="13"/>
  <c r="B278" i="13"/>
  <c r="B277" i="13"/>
  <c r="C278" i="13" s="1"/>
  <c r="B276" i="13"/>
  <c r="C277" i="13" s="1"/>
  <c r="C275" i="13"/>
  <c r="B275" i="13"/>
  <c r="B274" i="13"/>
  <c r="B273" i="13"/>
  <c r="C274" i="13" s="1"/>
  <c r="B272" i="13"/>
  <c r="C273" i="13" s="1"/>
  <c r="C271" i="13"/>
  <c r="B271" i="13"/>
  <c r="B270" i="13"/>
  <c r="B269" i="13"/>
  <c r="C270" i="13" s="1"/>
  <c r="B268" i="13"/>
  <c r="C269" i="13" s="1"/>
  <c r="C267" i="13"/>
  <c r="B267" i="13"/>
  <c r="B266" i="13"/>
  <c r="B265" i="13"/>
  <c r="C266" i="13" s="1"/>
  <c r="B264" i="13"/>
  <c r="C265" i="13" s="1"/>
  <c r="C263" i="13"/>
  <c r="B263" i="13"/>
  <c r="B262" i="13"/>
  <c r="B261" i="13"/>
  <c r="C262" i="13" s="1"/>
  <c r="B260" i="13"/>
  <c r="C261" i="13" s="1"/>
  <c r="C259" i="13"/>
  <c r="B259" i="13"/>
  <c r="B258" i="13"/>
  <c r="B257" i="13"/>
  <c r="C258" i="13" s="1"/>
  <c r="B256" i="13"/>
  <c r="C257" i="13" s="1"/>
  <c r="C255" i="13"/>
  <c r="B255" i="13"/>
  <c r="B254" i="13"/>
  <c r="B253" i="13"/>
  <c r="C254" i="13" s="1"/>
  <c r="B252" i="13"/>
  <c r="C253" i="13" s="1"/>
  <c r="C251" i="13"/>
  <c r="B251" i="13"/>
  <c r="B250" i="13"/>
  <c r="B249" i="13"/>
  <c r="C250" i="13" s="1"/>
  <c r="B248" i="13"/>
  <c r="C249" i="13" s="1"/>
  <c r="C247" i="13"/>
  <c r="B247" i="13"/>
  <c r="B246" i="13"/>
  <c r="B245" i="13"/>
  <c r="C246" i="13" s="1"/>
  <c r="B244" i="13"/>
  <c r="C245" i="13" s="1"/>
  <c r="C243" i="13"/>
  <c r="B243" i="13"/>
  <c r="B242" i="13"/>
  <c r="B241" i="13"/>
  <c r="C242" i="13" s="1"/>
  <c r="B240" i="13"/>
  <c r="C241" i="13" s="1"/>
  <c r="C239" i="13"/>
  <c r="B239" i="13"/>
  <c r="B238" i="13"/>
  <c r="B237" i="13"/>
  <c r="C238" i="13" s="1"/>
  <c r="B236" i="13"/>
  <c r="C237" i="13" s="1"/>
  <c r="C235" i="13"/>
  <c r="B235" i="13"/>
  <c r="B234" i="13"/>
  <c r="B233" i="13"/>
  <c r="C234" i="13" s="1"/>
  <c r="B232" i="13"/>
  <c r="C233" i="13" s="1"/>
  <c r="C231" i="13"/>
  <c r="B231" i="13"/>
  <c r="B230" i="13"/>
  <c r="B229" i="13"/>
  <c r="C230" i="13" s="1"/>
  <c r="B228" i="13"/>
  <c r="C229" i="13" s="1"/>
  <c r="C227" i="13"/>
  <c r="B227" i="13"/>
  <c r="B226" i="13"/>
  <c r="B225" i="13"/>
  <c r="C226" i="13" s="1"/>
  <c r="B224" i="13"/>
  <c r="C225" i="13" s="1"/>
  <c r="C223" i="13"/>
  <c r="B223" i="13"/>
  <c r="B222" i="13"/>
  <c r="B221" i="13"/>
  <c r="C222" i="13" s="1"/>
  <c r="B220" i="13"/>
  <c r="C221" i="13" s="1"/>
  <c r="C219" i="13"/>
  <c r="B219" i="13"/>
  <c r="B218" i="13"/>
  <c r="B217" i="13"/>
  <c r="C218" i="13" s="1"/>
  <c r="B216" i="13"/>
  <c r="C217" i="13" s="1"/>
  <c r="C215" i="13"/>
  <c r="B215" i="13"/>
  <c r="B214" i="13"/>
  <c r="B213" i="13"/>
  <c r="C214" i="13" s="1"/>
  <c r="B212" i="13"/>
  <c r="C213" i="13" s="1"/>
  <c r="C211" i="13"/>
  <c r="B211" i="13"/>
  <c r="B210" i="13"/>
  <c r="B209" i="13"/>
  <c r="C210" i="13" s="1"/>
  <c r="B208" i="13"/>
  <c r="C209" i="13" s="1"/>
  <c r="C207" i="13"/>
  <c r="B207" i="13"/>
  <c r="B206" i="13"/>
  <c r="B205" i="13"/>
  <c r="C206" i="13" s="1"/>
  <c r="B204" i="13"/>
  <c r="C205" i="13" s="1"/>
  <c r="C203" i="13"/>
  <c r="B203" i="13"/>
  <c r="B202" i="13"/>
  <c r="B201" i="13"/>
  <c r="C202" i="13" s="1"/>
  <c r="B200" i="13"/>
  <c r="C201" i="13" s="1"/>
  <c r="C199" i="13"/>
  <c r="B199" i="13"/>
  <c r="B198" i="13"/>
  <c r="B197" i="13"/>
  <c r="C198" i="13" s="1"/>
  <c r="B196" i="13"/>
  <c r="C197" i="13" s="1"/>
  <c r="C195" i="13"/>
  <c r="B195" i="13"/>
  <c r="B194" i="13"/>
  <c r="B193" i="13"/>
  <c r="C194" i="13" s="1"/>
  <c r="B192" i="13"/>
  <c r="C193" i="13" s="1"/>
  <c r="C191" i="13"/>
  <c r="B191" i="13"/>
  <c r="B190" i="13"/>
  <c r="B189" i="13"/>
  <c r="C190" i="13" s="1"/>
  <c r="B188" i="13"/>
  <c r="C189" i="13" s="1"/>
  <c r="C187" i="13"/>
  <c r="B187" i="13"/>
  <c r="C188" i="13" s="1"/>
  <c r="B186" i="13"/>
  <c r="B185" i="13"/>
  <c r="C186" i="13" s="1"/>
  <c r="B184" i="13"/>
  <c r="C185" i="13" s="1"/>
  <c r="C183" i="13"/>
  <c r="B183" i="13"/>
  <c r="C184" i="13" s="1"/>
  <c r="B182" i="13"/>
  <c r="B181" i="13"/>
  <c r="C182" i="13" s="1"/>
  <c r="B180" i="13"/>
  <c r="C181" i="13" s="1"/>
  <c r="C179" i="13"/>
  <c r="B179" i="13"/>
  <c r="C180" i="13" s="1"/>
  <c r="B178" i="13"/>
  <c r="B177" i="13"/>
  <c r="C178" i="13" s="1"/>
  <c r="B176" i="13"/>
  <c r="C177" i="13" s="1"/>
  <c r="C175" i="13"/>
  <c r="B175" i="13"/>
  <c r="C176" i="13" s="1"/>
  <c r="B174" i="13"/>
  <c r="B173" i="13"/>
  <c r="C174" i="13" s="1"/>
  <c r="B172" i="13"/>
  <c r="C173" i="13" s="1"/>
  <c r="C171" i="13"/>
  <c r="B171" i="13"/>
  <c r="C172" i="13" s="1"/>
  <c r="B170" i="13"/>
  <c r="B169" i="13"/>
  <c r="C170" i="13" s="1"/>
  <c r="B168" i="13"/>
  <c r="C169" i="13" s="1"/>
  <c r="C167" i="13"/>
  <c r="B167" i="13"/>
  <c r="C168" i="13" s="1"/>
  <c r="B166" i="13"/>
  <c r="B165" i="13"/>
  <c r="C166" i="13" s="1"/>
  <c r="B164" i="13"/>
  <c r="C165" i="13" s="1"/>
  <c r="C163" i="13"/>
  <c r="B163" i="13"/>
  <c r="C164" i="13" s="1"/>
  <c r="B162" i="13"/>
  <c r="B161" i="13"/>
  <c r="C162" i="13" s="1"/>
  <c r="B160" i="13"/>
  <c r="C161" i="13" s="1"/>
  <c r="C159" i="13"/>
  <c r="B159" i="13"/>
  <c r="C160" i="13" s="1"/>
  <c r="B158" i="13"/>
  <c r="B157" i="13"/>
  <c r="C158" i="13" s="1"/>
  <c r="B156" i="13"/>
  <c r="C157" i="13" s="1"/>
  <c r="C155" i="13"/>
  <c r="B155" i="13"/>
  <c r="C156" i="13" s="1"/>
  <c r="B154" i="13"/>
  <c r="B153" i="13"/>
  <c r="C154" i="13" s="1"/>
  <c r="B152" i="13"/>
  <c r="C153" i="13" s="1"/>
  <c r="C151" i="13"/>
  <c r="B151" i="13"/>
  <c r="C152" i="13" s="1"/>
  <c r="B150" i="13"/>
  <c r="B149" i="13"/>
  <c r="C150" i="13" s="1"/>
  <c r="B148" i="13"/>
  <c r="C149" i="13" s="1"/>
  <c r="C147" i="13"/>
  <c r="B147" i="13"/>
  <c r="C148" i="13" s="1"/>
  <c r="B146" i="13"/>
  <c r="B145" i="13"/>
  <c r="C146" i="13" s="1"/>
  <c r="B144" i="13"/>
  <c r="C145" i="13" s="1"/>
  <c r="C143" i="13"/>
  <c r="B143" i="13"/>
  <c r="C144" i="13" s="1"/>
  <c r="B142" i="13"/>
  <c r="B141" i="13"/>
  <c r="C142" i="13" s="1"/>
  <c r="B140" i="13"/>
  <c r="C141" i="13" s="1"/>
  <c r="C139" i="13"/>
  <c r="B139" i="13"/>
  <c r="C140" i="13" s="1"/>
  <c r="B138" i="13"/>
  <c r="B137" i="13"/>
  <c r="C138" i="13" s="1"/>
  <c r="B136" i="13"/>
  <c r="C137" i="13" s="1"/>
  <c r="C135" i="13"/>
  <c r="B135" i="13"/>
  <c r="C136" i="13" s="1"/>
  <c r="B134" i="13"/>
  <c r="B133" i="13"/>
  <c r="C134" i="13" s="1"/>
  <c r="B132" i="13"/>
  <c r="C133" i="13" s="1"/>
  <c r="C131" i="13"/>
  <c r="B131" i="13"/>
  <c r="C132" i="13" s="1"/>
  <c r="B130" i="13"/>
  <c r="B129" i="13"/>
  <c r="C130" i="13" s="1"/>
  <c r="B128" i="13"/>
  <c r="C129" i="13" s="1"/>
  <c r="C127" i="13"/>
  <c r="B127" i="13"/>
  <c r="C128" i="13" s="1"/>
  <c r="B126" i="13"/>
  <c r="B125" i="13"/>
  <c r="C126" i="13" s="1"/>
  <c r="B124" i="13"/>
  <c r="C125" i="13" s="1"/>
  <c r="C123" i="13"/>
  <c r="B123" i="13"/>
  <c r="C124" i="13" s="1"/>
  <c r="B122" i="13"/>
  <c r="B121" i="13"/>
  <c r="C122" i="13" s="1"/>
  <c r="B120" i="13"/>
  <c r="C121" i="13" s="1"/>
  <c r="C119" i="13"/>
  <c r="B119" i="13"/>
  <c r="C120" i="13" s="1"/>
  <c r="B118" i="13"/>
  <c r="B117" i="13"/>
  <c r="C118" i="13" s="1"/>
  <c r="B116" i="13"/>
  <c r="C117" i="13" s="1"/>
  <c r="C115" i="13"/>
  <c r="B115" i="13"/>
  <c r="C116" i="13" s="1"/>
  <c r="B114" i="13"/>
  <c r="B113" i="13"/>
  <c r="C114" i="13" s="1"/>
  <c r="B112" i="13"/>
  <c r="C113" i="13" s="1"/>
  <c r="C111" i="13"/>
  <c r="B111" i="13"/>
  <c r="C112" i="13" s="1"/>
  <c r="B110" i="13"/>
  <c r="B109" i="13"/>
  <c r="C110" i="13" s="1"/>
  <c r="B108" i="13"/>
  <c r="C109" i="13" s="1"/>
  <c r="B107" i="13"/>
  <c r="C108" i="13" s="1"/>
  <c r="B106" i="13"/>
  <c r="B105" i="13"/>
  <c r="C106" i="13" s="1"/>
  <c r="B104" i="13"/>
  <c r="C105" i="13" s="1"/>
  <c r="B103" i="13"/>
  <c r="C104" i="13" s="1"/>
  <c r="B102" i="13"/>
  <c r="B101" i="13"/>
  <c r="C102" i="13" s="1"/>
  <c r="B100" i="13"/>
  <c r="C101" i="13" s="1"/>
  <c r="B99" i="13"/>
  <c r="C100" i="13" s="1"/>
  <c r="B98" i="13"/>
  <c r="B97" i="13"/>
  <c r="C98" i="13" s="1"/>
  <c r="B96" i="13"/>
  <c r="C97" i="13" s="1"/>
  <c r="B95" i="13"/>
  <c r="C96" i="13" s="1"/>
  <c r="B94" i="13"/>
  <c r="B93" i="13"/>
  <c r="C94" i="13" s="1"/>
  <c r="B92" i="13"/>
  <c r="C93" i="13" s="1"/>
  <c r="B91" i="13"/>
  <c r="C92" i="13" s="1"/>
  <c r="B90" i="13"/>
  <c r="B89" i="13"/>
  <c r="C90" i="13" s="1"/>
  <c r="B88" i="13"/>
  <c r="C89" i="13" s="1"/>
  <c r="B87" i="13"/>
  <c r="C88" i="13" s="1"/>
  <c r="B86" i="13"/>
  <c r="B85" i="13"/>
  <c r="C86" i="13" s="1"/>
  <c r="B84" i="13"/>
  <c r="C85" i="13" s="1"/>
  <c r="B83" i="13"/>
  <c r="C84" i="13" s="1"/>
  <c r="B82" i="13"/>
  <c r="B81" i="13"/>
  <c r="C82" i="13" s="1"/>
  <c r="B80" i="13"/>
  <c r="C81" i="13" s="1"/>
  <c r="B79" i="13"/>
  <c r="C80" i="13" s="1"/>
  <c r="B78" i="13"/>
  <c r="B77" i="13"/>
  <c r="C78" i="13" s="1"/>
  <c r="B76" i="13"/>
  <c r="C77" i="13" s="1"/>
  <c r="B75" i="13"/>
  <c r="C76" i="13" s="1"/>
  <c r="B74" i="13"/>
  <c r="B73" i="13"/>
  <c r="C74" i="13" s="1"/>
  <c r="B72" i="13"/>
  <c r="C73" i="13" s="1"/>
  <c r="B71" i="13"/>
  <c r="C72" i="13" s="1"/>
  <c r="B70" i="13"/>
  <c r="B69" i="13"/>
  <c r="C70" i="13" s="1"/>
  <c r="B68" i="13"/>
  <c r="C69" i="13" s="1"/>
  <c r="B67" i="13"/>
  <c r="C68" i="13" s="1"/>
  <c r="B66" i="13"/>
  <c r="B65" i="13"/>
  <c r="C66" i="13" s="1"/>
  <c r="B64" i="13"/>
  <c r="C65" i="13" s="1"/>
  <c r="B63" i="13"/>
  <c r="C64" i="13" s="1"/>
  <c r="B62" i="13"/>
  <c r="B61" i="13"/>
  <c r="C62" i="13" s="1"/>
  <c r="B60" i="13"/>
  <c r="C61" i="13" s="1"/>
  <c r="B59" i="13"/>
  <c r="C60" i="13" s="1"/>
  <c r="B58" i="13"/>
  <c r="B57" i="13"/>
  <c r="C58" i="13" s="1"/>
  <c r="B56" i="13"/>
  <c r="C57" i="13" s="1"/>
  <c r="B55" i="13"/>
  <c r="C56" i="13" s="1"/>
  <c r="B54" i="13"/>
  <c r="B53" i="13"/>
  <c r="C54" i="13" s="1"/>
  <c r="B52" i="13"/>
  <c r="C53" i="13" s="1"/>
  <c r="B51" i="13"/>
  <c r="C52" i="13" s="1"/>
  <c r="B50" i="13"/>
  <c r="B49" i="13"/>
  <c r="C50" i="13" s="1"/>
  <c r="B48" i="13"/>
  <c r="C49" i="13" s="1"/>
  <c r="B47" i="13"/>
  <c r="C48" i="13" s="1"/>
  <c r="B46" i="13"/>
  <c r="B45" i="13"/>
  <c r="C46" i="13" s="1"/>
  <c r="B44" i="13"/>
  <c r="C45" i="13" s="1"/>
  <c r="B43" i="13"/>
  <c r="C44" i="13" s="1"/>
  <c r="B42" i="13"/>
  <c r="B41" i="13"/>
  <c r="C42" i="13" s="1"/>
  <c r="B40" i="13"/>
  <c r="C41" i="13" s="1"/>
  <c r="B39" i="13"/>
  <c r="C40" i="13" s="1"/>
  <c r="B38" i="13"/>
  <c r="B37" i="13"/>
  <c r="C38" i="13" s="1"/>
  <c r="B36" i="13"/>
  <c r="C37" i="13" s="1"/>
  <c r="B35" i="13"/>
  <c r="C36" i="13" s="1"/>
  <c r="B34" i="13"/>
  <c r="B33" i="13"/>
  <c r="C34" i="13" s="1"/>
  <c r="B32" i="13"/>
  <c r="C33" i="13" s="1"/>
  <c r="B31" i="13"/>
  <c r="C32" i="13" s="1"/>
  <c r="B30" i="13"/>
  <c r="B29" i="13"/>
  <c r="C30" i="13" s="1"/>
  <c r="B28" i="13"/>
  <c r="C29" i="13" s="1"/>
  <c r="B27" i="13"/>
  <c r="C28" i="13" s="1"/>
  <c r="B26" i="13"/>
  <c r="B25" i="13"/>
  <c r="C26" i="13" s="1"/>
  <c r="B24" i="13"/>
  <c r="C25" i="13" s="1"/>
  <c r="B23" i="13"/>
  <c r="C24" i="13" s="1"/>
  <c r="B22" i="13"/>
  <c r="B21" i="13"/>
  <c r="C22" i="13" s="1"/>
  <c r="B20" i="13"/>
  <c r="C21" i="13" s="1"/>
  <c r="B19" i="13"/>
  <c r="C20" i="13" s="1"/>
  <c r="B18" i="13"/>
  <c r="B17" i="13"/>
  <c r="C18" i="13" s="1"/>
  <c r="B16" i="13"/>
  <c r="C17" i="13" s="1"/>
  <c r="B15" i="13"/>
  <c r="C16" i="13" s="1"/>
  <c r="B14" i="13"/>
  <c r="B13" i="13"/>
  <c r="C14" i="13" s="1"/>
  <c r="B12" i="13"/>
  <c r="C13" i="13" s="1"/>
  <c r="B11" i="13"/>
  <c r="C12" i="13" s="1"/>
  <c r="B10" i="13"/>
  <c r="B9" i="13"/>
  <c r="C10" i="13" s="1"/>
  <c r="B8" i="13"/>
  <c r="C9" i="13" s="1"/>
  <c r="B7" i="13"/>
  <c r="C8" i="13" s="1"/>
  <c r="B6" i="13"/>
  <c r="E306" i="12"/>
  <c r="D306" i="12"/>
  <c r="C306" i="12"/>
  <c r="B306" i="12"/>
  <c r="E305" i="12"/>
  <c r="D305" i="12"/>
  <c r="C305" i="12"/>
  <c r="B305" i="12"/>
  <c r="E304" i="12"/>
  <c r="D304" i="12"/>
  <c r="C304" i="12"/>
  <c r="B304" i="12"/>
  <c r="E303" i="12"/>
  <c r="D303" i="12"/>
  <c r="C303" i="12"/>
  <c r="B303" i="12"/>
  <c r="E302" i="12"/>
  <c r="D302" i="12"/>
  <c r="C302" i="12"/>
  <c r="B302" i="12"/>
  <c r="E301" i="12"/>
  <c r="D301" i="12"/>
  <c r="C301" i="12"/>
  <c r="B301" i="12"/>
  <c r="E300" i="12"/>
  <c r="D300" i="12"/>
  <c r="C300" i="12"/>
  <c r="B300" i="12"/>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306" i="10"/>
  <c r="K306" i="10"/>
  <c r="J306" i="10"/>
  <c r="I306" i="10"/>
  <c r="H306" i="10"/>
  <c r="G306" i="10"/>
  <c r="F306" i="10"/>
  <c r="E306" i="10"/>
  <c r="D306" i="10"/>
  <c r="C306" i="10"/>
  <c r="B306" i="10"/>
  <c r="L305" i="10"/>
  <c r="K305" i="10"/>
  <c r="J305" i="10"/>
  <c r="I305" i="10"/>
  <c r="H305" i="10"/>
  <c r="G305" i="10"/>
  <c r="F305" i="10"/>
  <c r="E305" i="10"/>
  <c r="D305" i="10"/>
  <c r="C305" i="10"/>
  <c r="B305" i="10"/>
  <c r="L304" i="10"/>
  <c r="K304" i="10"/>
  <c r="J304" i="10"/>
  <c r="I304" i="10"/>
  <c r="H304" i="10"/>
  <c r="G304" i="10"/>
  <c r="F304" i="10"/>
  <c r="E304" i="10"/>
  <c r="D304" i="10"/>
  <c r="C304" i="10"/>
  <c r="B304" i="10"/>
  <c r="L303" i="10"/>
  <c r="K303" i="10"/>
  <c r="J303" i="10"/>
  <c r="I303" i="10"/>
  <c r="H303" i="10"/>
  <c r="G303" i="10"/>
  <c r="F303" i="10"/>
  <c r="E303" i="10"/>
  <c r="D303" i="10"/>
  <c r="C303" i="10"/>
  <c r="B303" i="10"/>
  <c r="L302" i="10"/>
  <c r="K302" i="10"/>
  <c r="J302" i="10"/>
  <c r="I302" i="10"/>
  <c r="H302" i="10"/>
  <c r="G302" i="10"/>
  <c r="F302" i="10"/>
  <c r="E302" i="10"/>
  <c r="D302" i="10"/>
  <c r="C302" i="10"/>
  <c r="B302" i="10"/>
  <c r="L301" i="10"/>
  <c r="K301" i="10"/>
  <c r="J301" i="10"/>
  <c r="I301" i="10"/>
  <c r="H301" i="10"/>
  <c r="G301" i="10"/>
  <c r="F301" i="10"/>
  <c r="E301" i="10"/>
  <c r="D301" i="10"/>
  <c r="C301" i="10"/>
  <c r="B301" i="10"/>
  <c r="L300" i="10"/>
  <c r="K300" i="10"/>
  <c r="J300" i="10"/>
  <c r="I300" i="10"/>
  <c r="H300" i="10"/>
  <c r="G300" i="10"/>
  <c r="F300" i="10"/>
  <c r="E300" i="10"/>
  <c r="D300" i="10"/>
  <c r="C300" i="10"/>
  <c r="B300" i="10"/>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J67" i="9"/>
  <c r="AG67" i="9"/>
  <c r="AF67" i="9"/>
  <c r="AE67" i="9"/>
  <c r="AK67" i="9" s="1"/>
  <c r="AD67" i="9"/>
  <c r="AC67" i="9"/>
  <c r="AB67" i="9"/>
  <c r="AA67" i="9"/>
  <c r="Z67" i="9"/>
  <c r="Y67" i="9"/>
  <c r="X67" i="9"/>
  <c r="W67" i="9"/>
  <c r="V67" i="9"/>
  <c r="U67" i="9"/>
  <c r="T67" i="9"/>
  <c r="S67" i="9"/>
  <c r="R67" i="9"/>
  <c r="Q67" i="9"/>
  <c r="P67" i="9"/>
  <c r="O67" i="9"/>
  <c r="N67" i="9"/>
  <c r="M67" i="9"/>
  <c r="L67" i="9"/>
  <c r="K67" i="9"/>
  <c r="J67" i="9"/>
  <c r="I67" i="9"/>
  <c r="H67" i="9"/>
  <c r="G67" i="9"/>
  <c r="F67" i="9"/>
  <c r="E67" i="9"/>
  <c r="D67" i="9"/>
  <c r="C67" i="9"/>
  <c r="AG66" i="9"/>
  <c r="AF66" i="9"/>
  <c r="AE66" i="9"/>
  <c r="AK66" i="9" s="1"/>
  <c r="AD66" i="9"/>
  <c r="AC66" i="9"/>
  <c r="AB66" i="9"/>
  <c r="AL66" i="9" s="1"/>
  <c r="AA66" i="9"/>
  <c r="Z66" i="9"/>
  <c r="Y66" i="9"/>
  <c r="X66" i="9"/>
  <c r="W66" i="9"/>
  <c r="V66" i="9"/>
  <c r="U66" i="9"/>
  <c r="T66" i="9"/>
  <c r="S66" i="9"/>
  <c r="R66" i="9"/>
  <c r="Q66" i="9"/>
  <c r="P66" i="9"/>
  <c r="O66" i="9"/>
  <c r="N66" i="9"/>
  <c r="M66" i="9"/>
  <c r="L66" i="9"/>
  <c r="K66" i="9"/>
  <c r="J66" i="9"/>
  <c r="I66" i="9"/>
  <c r="H66" i="9"/>
  <c r="G66" i="9"/>
  <c r="F66" i="9"/>
  <c r="E66" i="9"/>
  <c r="D66" i="9"/>
  <c r="C66" i="9"/>
  <c r="AG65" i="9"/>
  <c r="AF65" i="9"/>
  <c r="AE65" i="9"/>
  <c r="AD65" i="9"/>
  <c r="AC65" i="9"/>
  <c r="AB65" i="9"/>
  <c r="AA65" i="9"/>
  <c r="Z65" i="9"/>
  <c r="Y65" i="9"/>
  <c r="X65" i="9"/>
  <c r="W65" i="9"/>
  <c r="V65" i="9"/>
  <c r="U65" i="9"/>
  <c r="T65" i="9"/>
  <c r="S65" i="9"/>
  <c r="R65" i="9"/>
  <c r="Q65" i="9"/>
  <c r="P65" i="9"/>
  <c r="O65" i="9"/>
  <c r="N65" i="9"/>
  <c r="M65" i="9"/>
  <c r="L65" i="9"/>
  <c r="K65" i="9"/>
  <c r="J65" i="9"/>
  <c r="I65" i="9"/>
  <c r="H65" i="9"/>
  <c r="G65" i="9"/>
  <c r="F65" i="9"/>
  <c r="E65" i="9"/>
  <c r="D65" i="9"/>
  <c r="C65" i="9"/>
  <c r="AG64" i="9"/>
  <c r="AJ64" i="9" s="1"/>
  <c r="AF64" i="9"/>
  <c r="AE64" i="9"/>
  <c r="AK64" i="9" s="1"/>
  <c r="AD64" i="9"/>
  <c r="AC64" i="9"/>
  <c r="AB64" i="9"/>
  <c r="AA64" i="9"/>
  <c r="Z64" i="9"/>
  <c r="Y64" i="9"/>
  <c r="X64" i="9"/>
  <c r="W64" i="9"/>
  <c r="V64" i="9"/>
  <c r="U64" i="9"/>
  <c r="T64" i="9"/>
  <c r="S64" i="9"/>
  <c r="R64" i="9"/>
  <c r="Q64" i="9"/>
  <c r="P64" i="9"/>
  <c r="O64" i="9"/>
  <c r="N64" i="9"/>
  <c r="M64" i="9"/>
  <c r="L64" i="9"/>
  <c r="K64" i="9"/>
  <c r="J64" i="9"/>
  <c r="I64" i="9"/>
  <c r="H64" i="9"/>
  <c r="G64" i="9"/>
  <c r="F64" i="9"/>
  <c r="E64" i="9"/>
  <c r="D64" i="9"/>
  <c r="C64" i="9"/>
  <c r="AG63" i="9"/>
  <c r="AJ63" i="9" s="1"/>
  <c r="AF63" i="9"/>
  <c r="AE63" i="9"/>
  <c r="AK63" i="9" s="1"/>
  <c r="AD63" i="9"/>
  <c r="AC63" i="9"/>
  <c r="AB63" i="9"/>
  <c r="AA63" i="9"/>
  <c r="Z63" i="9"/>
  <c r="Y63" i="9"/>
  <c r="X63" i="9"/>
  <c r="W63" i="9"/>
  <c r="V63" i="9"/>
  <c r="U63" i="9"/>
  <c r="T63" i="9"/>
  <c r="S63" i="9"/>
  <c r="R63" i="9"/>
  <c r="Q63" i="9"/>
  <c r="P63" i="9"/>
  <c r="O63" i="9"/>
  <c r="N63" i="9"/>
  <c r="M63" i="9"/>
  <c r="L63" i="9"/>
  <c r="K63" i="9"/>
  <c r="J63" i="9"/>
  <c r="I63" i="9"/>
  <c r="H63" i="9"/>
  <c r="G63" i="9"/>
  <c r="F63" i="9"/>
  <c r="E63" i="9"/>
  <c r="D63" i="9"/>
  <c r="C63" i="9"/>
  <c r="AG62" i="9"/>
  <c r="AF62" i="9"/>
  <c r="AE62" i="9"/>
  <c r="AK62" i="9" s="1"/>
  <c r="AD62" i="9"/>
  <c r="AC62" i="9"/>
  <c r="AB62" i="9"/>
  <c r="AA62" i="9"/>
  <c r="Z62" i="9"/>
  <c r="Y62" i="9"/>
  <c r="X62" i="9"/>
  <c r="W62" i="9"/>
  <c r="V62" i="9"/>
  <c r="U62" i="9"/>
  <c r="T62" i="9"/>
  <c r="S62" i="9"/>
  <c r="R62" i="9"/>
  <c r="Q62" i="9"/>
  <c r="P62" i="9"/>
  <c r="O62" i="9"/>
  <c r="N62" i="9"/>
  <c r="M62" i="9"/>
  <c r="L62" i="9"/>
  <c r="K62" i="9"/>
  <c r="J62" i="9"/>
  <c r="I62" i="9"/>
  <c r="H62" i="9"/>
  <c r="G62" i="9"/>
  <c r="F62" i="9"/>
  <c r="E62" i="9"/>
  <c r="D62" i="9"/>
  <c r="C62" i="9"/>
  <c r="AG61" i="9"/>
  <c r="AF61" i="9"/>
  <c r="AE61" i="9"/>
  <c r="AD61" i="9"/>
  <c r="AC61" i="9"/>
  <c r="AB61" i="9"/>
  <c r="AA61" i="9"/>
  <c r="Z61" i="9"/>
  <c r="Y61" i="9"/>
  <c r="X61" i="9"/>
  <c r="W61" i="9"/>
  <c r="V61" i="9"/>
  <c r="U61" i="9"/>
  <c r="T61" i="9"/>
  <c r="S61" i="9"/>
  <c r="R61" i="9"/>
  <c r="Q61" i="9"/>
  <c r="P61" i="9"/>
  <c r="O61" i="9"/>
  <c r="N61" i="9"/>
  <c r="M61" i="9"/>
  <c r="L61" i="9"/>
  <c r="K61" i="9"/>
  <c r="J61" i="9"/>
  <c r="I61" i="9"/>
  <c r="H61" i="9"/>
  <c r="G61" i="9"/>
  <c r="F61" i="9"/>
  <c r="E61" i="9"/>
  <c r="D61" i="9"/>
  <c r="C61" i="9"/>
  <c r="AG60" i="9"/>
  <c r="AJ60" i="9" s="1"/>
  <c r="AF60" i="9"/>
  <c r="AE60" i="9"/>
  <c r="AD60" i="9"/>
  <c r="AC60" i="9"/>
  <c r="AB60" i="9"/>
  <c r="AA60" i="9"/>
  <c r="Z60" i="9"/>
  <c r="Y60" i="9"/>
  <c r="X60" i="9"/>
  <c r="W60" i="9"/>
  <c r="V60" i="9"/>
  <c r="U60" i="9"/>
  <c r="T60" i="9"/>
  <c r="S60" i="9"/>
  <c r="R60" i="9"/>
  <c r="Q60" i="9"/>
  <c r="P60" i="9"/>
  <c r="O60" i="9"/>
  <c r="N60" i="9"/>
  <c r="M60" i="9"/>
  <c r="L60" i="9"/>
  <c r="K60" i="9"/>
  <c r="J60" i="9"/>
  <c r="I60" i="9"/>
  <c r="H60" i="9"/>
  <c r="G60" i="9"/>
  <c r="F60" i="9"/>
  <c r="E60" i="9"/>
  <c r="D60" i="9"/>
  <c r="C60" i="9"/>
  <c r="AG59" i="9"/>
  <c r="AF59" i="9"/>
  <c r="AE59" i="9"/>
  <c r="AD59" i="9"/>
  <c r="AC59" i="9"/>
  <c r="AB59" i="9"/>
  <c r="AL59" i="9" s="1"/>
  <c r="AA59" i="9"/>
  <c r="Z59" i="9"/>
  <c r="Y59" i="9"/>
  <c r="X59" i="9"/>
  <c r="W59" i="9"/>
  <c r="V59" i="9"/>
  <c r="U59" i="9"/>
  <c r="T59" i="9"/>
  <c r="S59" i="9"/>
  <c r="R59" i="9"/>
  <c r="Q59" i="9"/>
  <c r="P59" i="9"/>
  <c r="O59" i="9"/>
  <c r="N59" i="9"/>
  <c r="M59" i="9"/>
  <c r="L59" i="9"/>
  <c r="K59" i="9"/>
  <c r="J59" i="9"/>
  <c r="I59" i="9"/>
  <c r="H59" i="9"/>
  <c r="G59" i="9"/>
  <c r="F59" i="9"/>
  <c r="E59" i="9"/>
  <c r="D59" i="9"/>
  <c r="C59" i="9"/>
  <c r="AG58" i="9"/>
  <c r="AF58" i="9"/>
  <c r="AE58" i="9"/>
  <c r="AD58" i="9"/>
  <c r="AC58" i="9"/>
  <c r="AB58" i="9"/>
  <c r="AA58" i="9"/>
  <c r="Z58" i="9"/>
  <c r="Y58" i="9"/>
  <c r="X58" i="9"/>
  <c r="W58" i="9"/>
  <c r="V58" i="9"/>
  <c r="U58" i="9"/>
  <c r="T58" i="9"/>
  <c r="S58" i="9"/>
  <c r="R58" i="9"/>
  <c r="Q58" i="9"/>
  <c r="P58" i="9"/>
  <c r="O58" i="9"/>
  <c r="N58" i="9"/>
  <c r="M58" i="9"/>
  <c r="L58" i="9"/>
  <c r="K58" i="9"/>
  <c r="J58" i="9"/>
  <c r="I58" i="9"/>
  <c r="H58" i="9"/>
  <c r="G58" i="9"/>
  <c r="F58" i="9"/>
  <c r="E58" i="9"/>
  <c r="D58" i="9"/>
  <c r="C58" i="9"/>
  <c r="AG57" i="9"/>
  <c r="AF57" i="9"/>
  <c r="AE57" i="9"/>
  <c r="AD57" i="9"/>
  <c r="AC57" i="9"/>
  <c r="AB57" i="9"/>
  <c r="AA57" i="9"/>
  <c r="Z57" i="9"/>
  <c r="Y57" i="9"/>
  <c r="X57" i="9"/>
  <c r="W57" i="9"/>
  <c r="V57" i="9"/>
  <c r="U57" i="9"/>
  <c r="T57" i="9"/>
  <c r="S57" i="9"/>
  <c r="R57" i="9"/>
  <c r="Q57" i="9"/>
  <c r="P57" i="9"/>
  <c r="O57" i="9"/>
  <c r="N57" i="9"/>
  <c r="M57" i="9"/>
  <c r="L57" i="9"/>
  <c r="K57" i="9"/>
  <c r="J57" i="9"/>
  <c r="I57" i="9"/>
  <c r="H57" i="9"/>
  <c r="G57" i="9"/>
  <c r="F57" i="9"/>
  <c r="E57" i="9"/>
  <c r="D57" i="9"/>
  <c r="C57" i="9"/>
  <c r="AK56" i="9"/>
  <c r="AG56" i="9"/>
  <c r="AJ56" i="9" s="1"/>
  <c r="AF56" i="9"/>
  <c r="AE56" i="9"/>
  <c r="AD56" i="9"/>
  <c r="AC56" i="9"/>
  <c r="AB56" i="9"/>
  <c r="AA56" i="9"/>
  <c r="Z56" i="9"/>
  <c r="Y56" i="9"/>
  <c r="X56" i="9"/>
  <c r="W56" i="9"/>
  <c r="V56" i="9"/>
  <c r="U56" i="9"/>
  <c r="T56" i="9"/>
  <c r="S56" i="9"/>
  <c r="R56" i="9"/>
  <c r="Q56" i="9"/>
  <c r="P56" i="9"/>
  <c r="O56" i="9"/>
  <c r="N56" i="9"/>
  <c r="M56" i="9"/>
  <c r="L56" i="9"/>
  <c r="K56" i="9"/>
  <c r="J56" i="9"/>
  <c r="I56" i="9"/>
  <c r="H56" i="9"/>
  <c r="G56" i="9"/>
  <c r="F56" i="9"/>
  <c r="E56" i="9"/>
  <c r="D56" i="9"/>
  <c r="C56" i="9"/>
  <c r="AG55" i="9"/>
  <c r="AF55" i="9"/>
  <c r="AE55" i="9"/>
  <c r="AK55" i="9" s="1"/>
  <c r="AD55" i="9"/>
  <c r="AC55" i="9"/>
  <c r="AB55" i="9"/>
  <c r="AL55" i="9" s="1"/>
  <c r="AA55" i="9"/>
  <c r="Z55" i="9"/>
  <c r="Y55" i="9"/>
  <c r="X55" i="9"/>
  <c r="W55" i="9"/>
  <c r="V55" i="9"/>
  <c r="U55" i="9"/>
  <c r="T55" i="9"/>
  <c r="S55" i="9"/>
  <c r="R55" i="9"/>
  <c r="Q55" i="9"/>
  <c r="P55" i="9"/>
  <c r="O55" i="9"/>
  <c r="N55" i="9"/>
  <c r="M55" i="9"/>
  <c r="L55" i="9"/>
  <c r="K55" i="9"/>
  <c r="J55" i="9"/>
  <c r="I55" i="9"/>
  <c r="H55" i="9"/>
  <c r="G55" i="9"/>
  <c r="F55" i="9"/>
  <c r="E55" i="9"/>
  <c r="D55" i="9"/>
  <c r="C55" i="9"/>
  <c r="AG54" i="9"/>
  <c r="AF54" i="9"/>
  <c r="AE54" i="9"/>
  <c r="AK54" i="9" s="1"/>
  <c r="AD54" i="9"/>
  <c r="AC54" i="9"/>
  <c r="AB54" i="9"/>
  <c r="AA54" i="9"/>
  <c r="Z54" i="9"/>
  <c r="Y54" i="9"/>
  <c r="X54" i="9"/>
  <c r="W54" i="9"/>
  <c r="V54" i="9"/>
  <c r="U54" i="9"/>
  <c r="T54" i="9"/>
  <c r="S54" i="9"/>
  <c r="R54" i="9"/>
  <c r="Q54" i="9"/>
  <c r="P54" i="9"/>
  <c r="O54" i="9"/>
  <c r="N54" i="9"/>
  <c r="M54" i="9"/>
  <c r="L54" i="9"/>
  <c r="K54" i="9"/>
  <c r="J54" i="9"/>
  <c r="I54" i="9"/>
  <c r="H54" i="9"/>
  <c r="G54" i="9"/>
  <c r="F54" i="9"/>
  <c r="E54" i="9"/>
  <c r="D54" i="9"/>
  <c r="C54" i="9"/>
  <c r="AG53" i="9"/>
  <c r="AF53" i="9"/>
  <c r="AE53" i="9"/>
  <c r="AD53" i="9"/>
  <c r="AC53" i="9"/>
  <c r="AB53" i="9"/>
  <c r="AA53" i="9"/>
  <c r="Z53" i="9"/>
  <c r="Y53" i="9"/>
  <c r="X53" i="9"/>
  <c r="W53" i="9"/>
  <c r="V53" i="9"/>
  <c r="U53" i="9"/>
  <c r="T53" i="9"/>
  <c r="S53" i="9"/>
  <c r="R53" i="9"/>
  <c r="Q53" i="9"/>
  <c r="P53" i="9"/>
  <c r="O53" i="9"/>
  <c r="N53" i="9"/>
  <c r="M53" i="9"/>
  <c r="L53" i="9"/>
  <c r="K53" i="9"/>
  <c r="J53" i="9"/>
  <c r="I53" i="9"/>
  <c r="H53" i="9"/>
  <c r="G53" i="9"/>
  <c r="F53" i="9"/>
  <c r="E53" i="9"/>
  <c r="D53" i="9"/>
  <c r="C53" i="9"/>
  <c r="AG52" i="9"/>
  <c r="AF52" i="9"/>
  <c r="AE52" i="9"/>
  <c r="AD52" i="9"/>
  <c r="AC52" i="9"/>
  <c r="AB52" i="9"/>
  <c r="AA52" i="9"/>
  <c r="Z52" i="9"/>
  <c r="Y52" i="9"/>
  <c r="X52" i="9"/>
  <c r="W52" i="9"/>
  <c r="V52" i="9"/>
  <c r="U52" i="9"/>
  <c r="T52" i="9"/>
  <c r="S52" i="9"/>
  <c r="R52" i="9"/>
  <c r="Q52" i="9"/>
  <c r="P52" i="9"/>
  <c r="O52" i="9"/>
  <c r="N52" i="9"/>
  <c r="M52" i="9"/>
  <c r="L52" i="9"/>
  <c r="K52" i="9"/>
  <c r="J52" i="9"/>
  <c r="I52" i="9"/>
  <c r="H52" i="9"/>
  <c r="G52" i="9"/>
  <c r="F52" i="9"/>
  <c r="E52" i="9"/>
  <c r="D52" i="9"/>
  <c r="C52" i="9"/>
  <c r="AG51" i="9"/>
  <c r="AF51" i="9"/>
  <c r="AE51" i="9"/>
  <c r="AD51" i="9"/>
  <c r="AC51" i="9"/>
  <c r="AB51" i="9"/>
  <c r="AA51" i="9"/>
  <c r="Z51" i="9"/>
  <c r="Y51" i="9"/>
  <c r="X51" i="9"/>
  <c r="W51" i="9"/>
  <c r="V51" i="9"/>
  <c r="U51" i="9"/>
  <c r="T51" i="9"/>
  <c r="S51" i="9"/>
  <c r="R51" i="9"/>
  <c r="Q51" i="9"/>
  <c r="P51" i="9"/>
  <c r="O51" i="9"/>
  <c r="N51" i="9"/>
  <c r="M51" i="9"/>
  <c r="L51" i="9"/>
  <c r="K51" i="9"/>
  <c r="J51" i="9"/>
  <c r="I51" i="9"/>
  <c r="H51" i="9"/>
  <c r="G51" i="9"/>
  <c r="F51" i="9"/>
  <c r="E51" i="9"/>
  <c r="D51" i="9"/>
  <c r="C51" i="9"/>
  <c r="AG50" i="9"/>
  <c r="AF50" i="9"/>
  <c r="AE50" i="9"/>
  <c r="AK50" i="9" s="1"/>
  <c r="AD50" i="9"/>
  <c r="AC50" i="9"/>
  <c r="AB50" i="9"/>
  <c r="AA50" i="9"/>
  <c r="Z50" i="9"/>
  <c r="Y50" i="9"/>
  <c r="X50" i="9"/>
  <c r="W50" i="9"/>
  <c r="V50" i="9"/>
  <c r="U50" i="9"/>
  <c r="T50" i="9"/>
  <c r="S50" i="9"/>
  <c r="R50" i="9"/>
  <c r="Q50" i="9"/>
  <c r="P50" i="9"/>
  <c r="O50" i="9"/>
  <c r="N50" i="9"/>
  <c r="M50" i="9"/>
  <c r="L50" i="9"/>
  <c r="K50" i="9"/>
  <c r="J50" i="9"/>
  <c r="I50" i="9"/>
  <c r="H50" i="9"/>
  <c r="G50" i="9"/>
  <c r="F50" i="9"/>
  <c r="E50" i="9"/>
  <c r="D50" i="9"/>
  <c r="C50" i="9"/>
  <c r="AG45" i="9"/>
  <c r="AJ45" i="9" s="1"/>
  <c r="AF45" i="9"/>
  <c r="AE45" i="9"/>
  <c r="AK45" i="9" s="1"/>
  <c r="AD45" i="9"/>
  <c r="AC45" i="9"/>
  <c r="AB45" i="9"/>
  <c r="AA45" i="9"/>
  <c r="Z45" i="9"/>
  <c r="Y45" i="9"/>
  <c r="X45" i="9"/>
  <c r="W45" i="9"/>
  <c r="V45" i="9"/>
  <c r="U45" i="9"/>
  <c r="T45" i="9"/>
  <c r="S45" i="9"/>
  <c r="R45" i="9"/>
  <c r="Q45" i="9"/>
  <c r="P45" i="9"/>
  <c r="O45" i="9"/>
  <c r="N45" i="9"/>
  <c r="M45" i="9"/>
  <c r="L45" i="9"/>
  <c r="K45" i="9"/>
  <c r="J45" i="9"/>
  <c r="I45" i="9"/>
  <c r="H45" i="9"/>
  <c r="G45" i="9"/>
  <c r="F45" i="9"/>
  <c r="E45" i="9"/>
  <c r="D45" i="9"/>
  <c r="C45" i="9"/>
  <c r="AG44" i="9"/>
  <c r="AF44" i="9"/>
  <c r="AE44" i="9"/>
  <c r="AK44" i="9" s="1"/>
  <c r="AD44" i="9"/>
  <c r="AC44" i="9"/>
  <c r="AB44" i="9"/>
  <c r="AA44" i="9"/>
  <c r="Z44" i="9"/>
  <c r="Y44" i="9"/>
  <c r="X44" i="9"/>
  <c r="W44" i="9"/>
  <c r="V44" i="9"/>
  <c r="U44" i="9"/>
  <c r="T44" i="9"/>
  <c r="S44" i="9"/>
  <c r="R44" i="9"/>
  <c r="Q44" i="9"/>
  <c r="P44" i="9"/>
  <c r="O44" i="9"/>
  <c r="N44" i="9"/>
  <c r="M44" i="9"/>
  <c r="L44" i="9"/>
  <c r="K44" i="9"/>
  <c r="J44" i="9"/>
  <c r="I44" i="9"/>
  <c r="H44" i="9"/>
  <c r="G44" i="9"/>
  <c r="F44" i="9"/>
  <c r="E44" i="9"/>
  <c r="D44" i="9"/>
  <c r="C44" i="9"/>
  <c r="AG43" i="9"/>
  <c r="AF43" i="9"/>
  <c r="AE43" i="9"/>
  <c r="AK43" i="9" s="1"/>
  <c r="AD43" i="9"/>
  <c r="AC43" i="9"/>
  <c r="AB43" i="9"/>
  <c r="AA43" i="9"/>
  <c r="Z43" i="9"/>
  <c r="Y43" i="9"/>
  <c r="X43" i="9"/>
  <c r="W43" i="9"/>
  <c r="V43" i="9"/>
  <c r="U43" i="9"/>
  <c r="T43" i="9"/>
  <c r="S43" i="9"/>
  <c r="R43" i="9"/>
  <c r="Q43" i="9"/>
  <c r="P43" i="9"/>
  <c r="O43" i="9"/>
  <c r="N43" i="9"/>
  <c r="M43" i="9"/>
  <c r="L43" i="9"/>
  <c r="K43" i="9"/>
  <c r="J43" i="9"/>
  <c r="I43" i="9"/>
  <c r="H43" i="9"/>
  <c r="G43" i="9"/>
  <c r="F43" i="9"/>
  <c r="E43" i="9"/>
  <c r="D43" i="9"/>
  <c r="C43" i="9"/>
  <c r="AG42" i="9"/>
  <c r="AJ42" i="9" s="1"/>
  <c r="AF42" i="9"/>
  <c r="AE42" i="9"/>
  <c r="AD42" i="9"/>
  <c r="AC42" i="9"/>
  <c r="AB42" i="9"/>
  <c r="AA42" i="9"/>
  <c r="Z42" i="9"/>
  <c r="Y42" i="9"/>
  <c r="X42" i="9"/>
  <c r="W42" i="9"/>
  <c r="V42" i="9"/>
  <c r="U42" i="9"/>
  <c r="T42" i="9"/>
  <c r="S42" i="9"/>
  <c r="R42" i="9"/>
  <c r="Q42" i="9"/>
  <c r="P42" i="9"/>
  <c r="O42" i="9"/>
  <c r="N42" i="9"/>
  <c r="M42" i="9"/>
  <c r="L42" i="9"/>
  <c r="K42" i="9"/>
  <c r="J42" i="9"/>
  <c r="I42" i="9"/>
  <c r="H42" i="9"/>
  <c r="G42" i="9"/>
  <c r="F42" i="9"/>
  <c r="E42" i="9"/>
  <c r="D42" i="9"/>
  <c r="C42" i="9"/>
  <c r="AJ41" i="9"/>
  <c r="AG41" i="9"/>
  <c r="AF41" i="9"/>
  <c r="AE41" i="9"/>
  <c r="AK41" i="9" s="1"/>
  <c r="AD41" i="9"/>
  <c r="AC41" i="9"/>
  <c r="AB41" i="9"/>
  <c r="AA41" i="9"/>
  <c r="Z41" i="9"/>
  <c r="Y41" i="9"/>
  <c r="X41" i="9"/>
  <c r="W41" i="9"/>
  <c r="V41" i="9"/>
  <c r="U41" i="9"/>
  <c r="T41" i="9"/>
  <c r="S41" i="9"/>
  <c r="R41" i="9"/>
  <c r="Q41" i="9"/>
  <c r="P41" i="9"/>
  <c r="O41" i="9"/>
  <c r="N41" i="9"/>
  <c r="M41" i="9"/>
  <c r="L41" i="9"/>
  <c r="K41" i="9"/>
  <c r="J41" i="9"/>
  <c r="I41" i="9"/>
  <c r="H41" i="9"/>
  <c r="G41" i="9"/>
  <c r="F41" i="9"/>
  <c r="E41" i="9"/>
  <c r="D41" i="9"/>
  <c r="C41" i="9"/>
  <c r="AG40" i="9"/>
  <c r="AF40" i="9"/>
  <c r="AE40" i="9"/>
  <c r="AK40" i="9" s="1"/>
  <c r="AD40" i="9"/>
  <c r="AL40" i="9" s="1"/>
  <c r="AC40" i="9"/>
  <c r="AB40" i="9"/>
  <c r="AA40" i="9"/>
  <c r="Z40" i="9"/>
  <c r="Y40" i="9"/>
  <c r="X40" i="9"/>
  <c r="W40" i="9"/>
  <c r="V40" i="9"/>
  <c r="U40" i="9"/>
  <c r="T40" i="9"/>
  <c r="S40" i="9"/>
  <c r="R40" i="9"/>
  <c r="Q40" i="9"/>
  <c r="P40" i="9"/>
  <c r="O40" i="9"/>
  <c r="N40" i="9"/>
  <c r="M40" i="9"/>
  <c r="L40" i="9"/>
  <c r="K40" i="9"/>
  <c r="J40" i="9"/>
  <c r="I40" i="9"/>
  <c r="H40" i="9"/>
  <c r="G40" i="9"/>
  <c r="F40" i="9"/>
  <c r="E40" i="9"/>
  <c r="D40" i="9"/>
  <c r="C40" i="9"/>
  <c r="AG39" i="9"/>
  <c r="AJ39" i="9" s="1"/>
  <c r="AF39" i="9"/>
  <c r="AE39" i="9"/>
  <c r="AD39" i="9"/>
  <c r="AC39" i="9"/>
  <c r="AB39" i="9"/>
  <c r="AA39" i="9"/>
  <c r="Z39" i="9"/>
  <c r="Y39" i="9"/>
  <c r="X39" i="9"/>
  <c r="W39" i="9"/>
  <c r="V39" i="9"/>
  <c r="U39" i="9"/>
  <c r="T39" i="9"/>
  <c r="S39" i="9"/>
  <c r="R39" i="9"/>
  <c r="Q39" i="9"/>
  <c r="P39" i="9"/>
  <c r="O39" i="9"/>
  <c r="N39" i="9"/>
  <c r="M39" i="9"/>
  <c r="L39" i="9"/>
  <c r="K39" i="9"/>
  <c r="J39" i="9"/>
  <c r="I39" i="9"/>
  <c r="H39" i="9"/>
  <c r="G39" i="9"/>
  <c r="F39" i="9"/>
  <c r="E39" i="9"/>
  <c r="D39" i="9"/>
  <c r="C39" i="9"/>
  <c r="AG38" i="9"/>
  <c r="AF38" i="9"/>
  <c r="AE38" i="9"/>
  <c r="AD38" i="9"/>
  <c r="AC38" i="9"/>
  <c r="AB38" i="9"/>
  <c r="AA38" i="9"/>
  <c r="Z38" i="9"/>
  <c r="Y38" i="9"/>
  <c r="X38" i="9"/>
  <c r="W38" i="9"/>
  <c r="V38" i="9"/>
  <c r="U38" i="9"/>
  <c r="T38" i="9"/>
  <c r="S38" i="9"/>
  <c r="R38" i="9"/>
  <c r="Q38" i="9"/>
  <c r="P38" i="9"/>
  <c r="O38" i="9"/>
  <c r="N38" i="9"/>
  <c r="M38" i="9"/>
  <c r="L38" i="9"/>
  <c r="K38" i="9"/>
  <c r="J38" i="9"/>
  <c r="I38" i="9"/>
  <c r="H38" i="9"/>
  <c r="G38" i="9"/>
  <c r="F38" i="9"/>
  <c r="E38" i="9"/>
  <c r="D38" i="9"/>
  <c r="C38" i="9"/>
  <c r="AG37" i="9"/>
  <c r="AJ37" i="9" s="1"/>
  <c r="AF37" i="9"/>
  <c r="AE37" i="9"/>
  <c r="AK37" i="9" s="1"/>
  <c r="AD37" i="9"/>
  <c r="AC37" i="9"/>
  <c r="AB37" i="9"/>
  <c r="AA37" i="9"/>
  <c r="Z37" i="9"/>
  <c r="Y37" i="9"/>
  <c r="X37" i="9"/>
  <c r="W37" i="9"/>
  <c r="V37" i="9"/>
  <c r="U37" i="9"/>
  <c r="T37" i="9"/>
  <c r="S37" i="9"/>
  <c r="R37" i="9"/>
  <c r="Q37" i="9"/>
  <c r="P37" i="9"/>
  <c r="O37" i="9"/>
  <c r="N37" i="9"/>
  <c r="M37" i="9"/>
  <c r="L37" i="9"/>
  <c r="K37" i="9"/>
  <c r="J37" i="9"/>
  <c r="I37" i="9"/>
  <c r="H37" i="9"/>
  <c r="G37" i="9"/>
  <c r="F37" i="9"/>
  <c r="E37" i="9"/>
  <c r="D37" i="9"/>
  <c r="C37" i="9"/>
  <c r="AG36" i="9"/>
  <c r="AF36" i="9"/>
  <c r="AE36" i="9"/>
  <c r="AD36" i="9"/>
  <c r="AC36" i="9"/>
  <c r="AB36" i="9"/>
  <c r="AA36" i="9"/>
  <c r="Z36" i="9"/>
  <c r="Y36" i="9"/>
  <c r="X36" i="9"/>
  <c r="W36" i="9"/>
  <c r="V36" i="9"/>
  <c r="U36" i="9"/>
  <c r="T36" i="9"/>
  <c r="S36" i="9"/>
  <c r="R36" i="9"/>
  <c r="Q36" i="9"/>
  <c r="P36" i="9"/>
  <c r="O36" i="9"/>
  <c r="N36" i="9"/>
  <c r="M36" i="9"/>
  <c r="L36" i="9"/>
  <c r="K36" i="9"/>
  <c r="J36" i="9"/>
  <c r="I36" i="9"/>
  <c r="H36" i="9"/>
  <c r="G36" i="9"/>
  <c r="F36" i="9"/>
  <c r="E36" i="9"/>
  <c r="D36" i="9"/>
  <c r="C36" i="9"/>
  <c r="AG35" i="9"/>
  <c r="AF35" i="9"/>
  <c r="AE35" i="9"/>
  <c r="AK35" i="9" s="1"/>
  <c r="AD35" i="9"/>
  <c r="AC35" i="9"/>
  <c r="AB35" i="9"/>
  <c r="AL35" i="9" s="1"/>
  <c r="AA35" i="9"/>
  <c r="Z35" i="9"/>
  <c r="Y35" i="9"/>
  <c r="X35" i="9"/>
  <c r="W35" i="9"/>
  <c r="V35" i="9"/>
  <c r="U35" i="9"/>
  <c r="T35" i="9"/>
  <c r="S35" i="9"/>
  <c r="R35" i="9"/>
  <c r="Q35" i="9"/>
  <c r="P35" i="9"/>
  <c r="O35" i="9"/>
  <c r="N35" i="9"/>
  <c r="M35" i="9"/>
  <c r="L35" i="9"/>
  <c r="K35" i="9"/>
  <c r="J35" i="9"/>
  <c r="I35" i="9"/>
  <c r="H35" i="9"/>
  <c r="G35" i="9"/>
  <c r="F35" i="9"/>
  <c r="E35" i="9"/>
  <c r="D35" i="9"/>
  <c r="C35" i="9"/>
  <c r="AG34" i="9"/>
  <c r="AF34" i="9"/>
  <c r="AE34" i="9"/>
  <c r="AD34" i="9"/>
  <c r="AC34" i="9"/>
  <c r="AB34" i="9"/>
  <c r="AA34" i="9"/>
  <c r="Z34" i="9"/>
  <c r="Y34" i="9"/>
  <c r="X34" i="9"/>
  <c r="W34" i="9"/>
  <c r="V34" i="9"/>
  <c r="U34" i="9"/>
  <c r="T34" i="9"/>
  <c r="S34" i="9"/>
  <c r="R34" i="9"/>
  <c r="Q34" i="9"/>
  <c r="P34" i="9"/>
  <c r="O34" i="9"/>
  <c r="N34" i="9"/>
  <c r="M34" i="9"/>
  <c r="L34" i="9"/>
  <c r="K34" i="9"/>
  <c r="J34" i="9"/>
  <c r="I34" i="9"/>
  <c r="H34" i="9"/>
  <c r="G34" i="9"/>
  <c r="F34" i="9"/>
  <c r="E34" i="9"/>
  <c r="D34" i="9"/>
  <c r="C34" i="9"/>
  <c r="AK33" i="9"/>
  <c r="AG33" i="9"/>
  <c r="AJ33" i="9" s="1"/>
  <c r="AF33" i="9"/>
  <c r="AE33" i="9"/>
  <c r="AD33" i="9"/>
  <c r="AC33" i="9"/>
  <c r="AB33" i="9"/>
  <c r="AA33" i="9"/>
  <c r="Z33" i="9"/>
  <c r="Y33" i="9"/>
  <c r="X33" i="9"/>
  <c r="W33" i="9"/>
  <c r="V33" i="9"/>
  <c r="U33" i="9"/>
  <c r="T33" i="9"/>
  <c r="S33" i="9"/>
  <c r="R33" i="9"/>
  <c r="Q33" i="9"/>
  <c r="P33" i="9"/>
  <c r="O33" i="9"/>
  <c r="N33" i="9"/>
  <c r="M33" i="9"/>
  <c r="L33" i="9"/>
  <c r="K33" i="9"/>
  <c r="J33" i="9"/>
  <c r="I33" i="9"/>
  <c r="H33" i="9"/>
  <c r="G33" i="9"/>
  <c r="F33" i="9"/>
  <c r="E33" i="9"/>
  <c r="D33" i="9"/>
  <c r="C33" i="9"/>
  <c r="AG32" i="9"/>
  <c r="AJ32" i="9" s="1"/>
  <c r="AF32" i="9"/>
  <c r="AE32" i="9"/>
  <c r="AK32" i="9" s="1"/>
  <c r="AD32" i="9"/>
  <c r="AC32" i="9"/>
  <c r="AB32" i="9"/>
  <c r="AA32" i="9"/>
  <c r="Z32" i="9"/>
  <c r="Y32" i="9"/>
  <c r="X32" i="9"/>
  <c r="W32" i="9"/>
  <c r="V32" i="9"/>
  <c r="U32" i="9"/>
  <c r="T32" i="9"/>
  <c r="S32" i="9"/>
  <c r="R32" i="9"/>
  <c r="Q32" i="9"/>
  <c r="P32" i="9"/>
  <c r="O32" i="9"/>
  <c r="N32" i="9"/>
  <c r="M32" i="9"/>
  <c r="L32" i="9"/>
  <c r="K32" i="9"/>
  <c r="J32" i="9"/>
  <c r="I32" i="9"/>
  <c r="H32" i="9"/>
  <c r="G32" i="9"/>
  <c r="F32" i="9"/>
  <c r="E32" i="9"/>
  <c r="D32" i="9"/>
  <c r="C32" i="9"/>
  <c r="AG31" i="9"/>
  <c r="AJ31" i="9" s="1"/>
  <c r="AF31" i="9"/>
  <c r="AE31" i="9"/>
  <c r="AD31" i="9"/>
  <c r="AC31" i="9"/>
  <c r="AB31" i="9"/>
  <c r="AA31" i="9"/>
  <c r="Z31" i="9"/>
  <c r="Y31" i="9"/>
  <c r="X31" i="9"/>
  <c r="W31" i="9"/>
  <c r="V31" i="9"/>
  <c r="U31" i="9"/>
  <c r="T31" i="9"/>
  <c r="S31" i="9"/>
  <c r="R31" i="9"/>
  <c r="Q31" i="9"/>
  <c r="P31" i="9"/>
  <c r="O31" i="9"/>
  <c r="N31" i="9"/>
  <c r="M31" i="9"/>
  <c r="L31" i="9"/>
  <c r="K31" i="9"/>
  <c r="J31" i="9"/>
  <c r="I31" i="9"/>
  <c r="H31" i="9"/>
  <c r="G31" i="9"/>
  <c r="F31" i="9"/>
  <c r="E31" i="9"/>
  <c r="D31" i="9"/>
  <c r="C31" i="9"/>
  <c r="AG30" i="9"/>
  <c r="AF30" i="9"/>
  <c r="AK30" i="9" s="1"/>
  <c r="AE30" i="9"/>
  <c r="AD30" i="9"/>
  <c r="AC30" i="9"/>
  <c r="AB30" i="9"/>
  <c r="AA30" i="9"/>
  <c r="Z30" i="9"/>
  <c r="Y30" i="9"/>
  <c r="X30" i="9"/>
  <c r="W30" i="9"/>
  <c r="V30" i="9"/>
  <c r="U30" i="9"/>
  <c r="T30" i="9"/>
  <c r="S30" i="9"/>
  <c r="R30" i="9"/>
  <c r="Q30" i="9"/>
  <c r="P30" i="9"/>
  <c r="O30" i="9"/>
  <c r="N30" i="9"/>
  <c r="M30" i="9"/>
  <c r="L30" i="9"/>
  <c r="K30" i="9"/>
  <c r="J30" i="9"/>
  <c r="I30" i="9"/>
  <c r="H30" i="9"/>
  <c r="G30" i="9"/>
  <c r="F30" i="9"/>
  <c r="E30" i="9"/>
  <c r="D30" i="9"/>
  <c r="C30" i="9"/>
  <c r="AG29" i="9"/>
  <c r="AJ29" i="9" s="1"/>
  <c r="AF29" i="9"/>
  <c r="AE29" i="9"/>
  <c r="AK29" i="9" s="1"/>
  <c r="AD29" i="9"/>
  <c r="AC29" i="9"/>
  <c r="AB29" i="9"/>
  <c r="AA29" i="9"/>
  <c r="Z29" i="9"/>
  <c r="Y29" i="9"/>
  <c r="X29" i="9"/>
  <c r="W29" i="9"/>
  <c r="V29" i="9"/>
  <c r="U29" i="9"/>
  <c r="T29" i="9"/>
  <c r="S29" i="9"/>
  <c r="R29" i="9"/>
  <c r="Q29" i="9"/>
  <c r="P29" i="9"/>
  <c r="O29" i="9"/>
  <c r="N29" i="9"/>
  <c r="M29" i="9"/>
  <c r="L29" i="9"/>
  <c r="K29" i="9"/>
  <c r="J29" i="9"/>
  <c r="I29" i="9"/>
  <c r="H29" i="9"/>
  <c r="G29" i="9"/>
  <c r="F29" i="9"/>
  <c r="E29" i="9"/>
  <c r="D29" i="9"/>
  <c r="C29" i="9"/>
  <c r="AG28" i="9"/>
  <c r="AJ28" i="9" s="1"/>
  <c r="AF28" i="9"/>
  <c r="AE28" i="9"/>
  <c r="AD28" i="9"/>
  <c r="AC28" i="9"/>
  <c r="AB28" i="9"/>
  <c r="AA28" i="9"/>
  <c r="Z28" i="9"/>
  <c r="Y28" i="9"/>
  <c r="X28" i="9"/>
  <c r="W28" i="9"/>
  <c r="V28" i="9"/>
  <c r="U28" i="9"/>
  <c r="T28" i="9"/>
  <c r="S28" i="9"/>
  <c r="R28" i="9"/>
  <c r="Q28" i="9"/>
  <c r="P28" i="9"/>
  <c r="O28" i="9"/>
  <c r="N28" i="9"/>
  <c r="M28" i="9"/>
  <c r="L28" i="9"/>
  <c r="K28" i="9"/>
  <c r="J28" i="9"/>
  <c r="I28" i="9"/>
  <c r="H28" i="9"/>
  <c r="G28" i="9"/>
  <c r="F28" i="9"/>
  <c r="E28" i="9"/>
  <c r="D28" i="9"/>
  <c r="C28" i="9"/>
  <c r="AG23" i="9"/>
  <c r="AF23" i="9"/>
  <c r="AE23" i="9"/>
  <c r="AD23" i="9"/>
  <c r="AC23" i="9"/>
  <c r="AB23" i="9"/>
  <c r="AA23" i="9"/>
  <c r="Z23" i="9"/>
  <c r="Y23" i="9"/>
  <c r="X23" i="9"/>
  <c r="W23" i="9"/>
  <c r="V23" i="9"/>
  <c r="U23" i="9"/>
  <c r="T23" i="9"/>
  <c r="S23" i="9"/>
  <c r="R23" i="9"/>
  <c r="Q23" i="9"/>
  <c r="P23" i="9"/>
  <c r="O23" i="9"/>
  <c r="N23" i="9"/>
  <c r="M23" i="9"/>
  <c r="L23" i="9"/>
  <c r="K23" i="9"/>
  <c r="J23" i="9"/>
  <c r="I23" i="9"/>
  <c r="H23" i="9"/>
  <c r="G23" i="9"/>
  <c r="F23" i="9"/>
  <c r="E23" i="9"/>
  <c r="D23" i="9"/>
  <c r="C23" i="9"/>
  <c r="AG22" i="9"/>
  <c r="AF22" i="9"/>
  <c r="AE22" i="9"/>
  <c r="AK22" i="9" s="1"/>
  <c r="AD22" i="9"/>
  <c r="AC22" i="9"/>
  <c r="AB22" i="9"/>
  <c r="AA22" i="9"/>
  <c r="Z22" i="9"/>
  <c r="Y22" i="9"/>
  <c r="X22" i="9"/>
  <c r="W22" i="9"/>
  <c r="V22" i="9"/>
  <c r="U22" i="9"/>
  <c r="T22" i="9"/>
  <c r="S22" i="9"/>
  <c r="R22" i="9"/>
  <c r="Q22" i="9"/>
  <c r="P22" i="9"/>
  <c r="O22" i="9"/>
  <c r="N22" i="9"/>
  <c r="M22" i="9"/>
  <c r="L22" i="9"/>
  <c r="K22" i="9"/>
  <c r="J22" i="9"/>
  <c r="I22" i="9"/>
  <c r="H22" i="9"/>
  <c r="G22" i="9"/>
  <c r="F22" i="9"/>
  <c r="E22" i="9"/>
  <c r="D22" i="9"/>
  <c r="C22" i="9"/>
  <c r="AG21" i="9"/>
  <c r="AJ21" i="9" s="1"/>
  <c r="AF21" i="9"/>
  <c r="AE21" i="9"/>
  <c r="AK21" i="9" s="1"/>
  <c r="AD21" i="9"/>
  <c r="AC21" i="9"/>
  <c r="AB21" i="9"/>
  <c r="AA21" i="9"/>
  <c r="Z21" i="9"/>
  <c r="Y21" i="9"/>
  <c r="X21" i="9"/>
  <c r="W21" i="9"/>
  <c r="V21" i="9"/>
  <c r="U21" i="9"/>
  <c r="T21" i="9"/>
  <c r="S21" i="9"/>
  <c r="R21" i="9"/>
  <c r="Q21" i="9"/>
  <c r="P21" i="9"/>
  <c r="O21" i="9"/>
  <c r="N21" i="9"/>
  <c r="M21" i="9"/>
  <c r="L21" i="9"/>
  <c r="K21" i="9"/>
  <c r="J21" i="9"/>
  <c r="I21" i="9"/>
  <c r="H21" i="9"/>
  <c r="G21" i="9"/>
  <c r="F21" i="9"/>
  <c r="E21" i="9"/>
  <c r="D21" i="9"/>
  <c r="C21" i="9"/>
  <c r="AG20" i="9"/>
  <c r="AF20" i="9"/>
  <c r="AE20" i="9"/>
  <c r="AK20" i="9" s="1"/>
  <c r="AD20" i="9"/>
  <c r="AC20" i="9"/>
  <c r="AB20" i="9"/>
  <c r="AA20" i="9"/>
  <c r="Z20" i="9"/>
  <c r="Y20" i="9"/>
  <c r="X20" i="9"/>
  <c r="W20" i="9"/>
  <c r="V20" i="9"/>
  <c r="U20" i="9"/>
  <c r="T20" i="9"/>
  <c r="S20" i="9"/>
  <c r="R20" i="9"/>
  <c r="Q20" i="9"/>
  <c r="P20" i="9"/>
  <c r="O20" i="9"/>
  <c r="N20" i="9"/>
  <c r="M20" i="9"/>
  <c r="L20" i="9"/>
  <c r="K20" i="9"/>
  <c r="J20" i="9"/>
  <c r="I20" i="9"/>
  <c r="H20" i="9"/>
  <c r="G20" i="9"/>
  <c r="F20" i="9"/>
  <c r="E20" i="9"/>
  <c r="D20" i="9"/>
  <c r="C20"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E19" i="9"/>
  <c r="D19" i="9"/>
  <c r="C19" i="9"/>
  <c r="AG18" i="9"/>
  <c r="AJ18" i="9" s="1"/>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E18" i="9"/>
  <c r="D18" i="9"/>
  <c r="C18" i="9"/>
  <c r="AG17" i="9"/>
  <c r="AJ17" i="9" s="1"/>
  <c r="AF17" i="9"/>
  <c r="AE17" i="9"/>
  <c r="AK17" i="9" s="1"/>
  <c r="AD17" i="9"/>
  <c r="AC17" i="9"/>
  <c r="AB17" i="9"/>
  <c r="AA17" i="9"/>
  <c r="Z17" i="9"/>
  <c r="Y17" i="9"/>
  <c r="X17" i="9"/>
  <c r="W17" i="9"/>
  <c r="V17" i="9"/>
  <c r="U17" i="9"/>
  <c r="T17" i="9"/>
  <c r="S17" i="9"/>
  <c r="R17" i="9"/>
  <c r="Q17" i="9"/>
  <c r="P17" i="9"/>
  <c r="O17" i="9"/>
  <c r="N17" i="9"/>
  <c r="M17" i="9"/>
  <c r="L17" i="9"/>
  <c r="K17" i="9"/>
  <c r="J17" i="9"/>
  <c r="I17" i="9"/>
  <c r="H17" i="9"/>
  <c r="G17" i="9"/>
  <c r="F17" i="9"/>
  <c r="E17" i="9"/>
  <c r="D17" i="9"/>
  <c r="C17" i="9"/>
  <c r="AG16" i="9"/>
  <c r="AF16" i="9"/>
  <c r="AE16" i="9"/>
  <c r="AK16" i="9" s="1"/>
  <c r="AD16" i="9"/>
  <c r="AC16" i="9"/>
  <c r="AB16" i="9"/>
  <c r="AA16" i="9"/>
  <c r="Z16" i="9"/>
  <c r="Y16" i="9"/>
  <c r="X16" i="9"/>
  <c r="W16" i="9"/>
  <c r="V16" i="9"/>
  <c r="U16" i="9"/>
  <c r="T16" i="9"/>
  <c r="S16" i="9"/>
  <c r="R16" i="9"/>
  <c r="Q16" i="9"/>
  <c r="P16" i="9"/>
  <c r="O16" i="9"/>
  <c r="N16" i="9"/>
  <c r="M16" i="9"/>
  <c r="L16" i="9"/>
  <c r="K16" i="9"/>
  <c r="J16" i="9"/>
  <c r="I16" i="9"/>
  <c r="H16" i="9"/>
  <c r="G16" i="9"/>
  <c r="F16" i="9"/>
  <c r="E16" i="9"/>
  <c r="D16" i="9"/>
  <c r="C16" i="9"/>
  <c r="AG15" i="9"/>
  <c r="AF15" i="9"/>
  <c r="AE15" i="9"/>
  <c r="AK15" i="9" s="1"/>
  <c r="AD15" i="9"/>
  <c r="AC15" i="9"/>
  <c r="AB15" i="9"/>
  <c r="AA15" i="9"/>
  <c r="Z15" i="9"/>
  <c r="Y15" i="9"/>
  <c r="X15" i="9"/>
  <c r="W15" i="9"/>
  <c r="V15" i="9"/>
  <c r="U15" i="9"/>
  <c r="T15" i="9"/>
  <c r="S15" i="9"/>
  <c r="R15" i="9"/>
  <c r="Q15" i="9"/>
  <c r="P15" i="9"/>
  <c r="O15" i="9"/>
  <c r="N15" i="9"/>
  <c r="M15" i="9"/>
  <c r="L15" i="9"/>
  <c r="K15" i="9"/>
  <c r="J15" i="9"/>
  <c r="I15" i="9"/>
  <c r="H15" i="9"/>
  <c r="G15" i="9"/>
  <c r="F15" i="9"/>
  <c r="E15" i="9"/>
  <c r="D15" i="9"/>
  <c r="C15" i="9"/>
  <c r="AJ14" i="9"/>
  <c r="AG14" i="9"/>
  <c r="AF14" i="9"/>
  <c r="AE14" i="9"/>
  <c r="AK14" i="9" s="1"/>
  <c r="AD14" i="9"/>
  <c r="AC14" i="9"/>
  <c r="AB14" i="9"/>
  <c r="AA14" i="9"/>
  <c r="Z14" i="9"/>
  <c r="Y14" i="9"/>
  <c r="X14" i="9"/>
  <c r="W14" i="9"/>
  <c r="V14" i="9"/>
  <c r="U14" i="9"/>
  <c r="T14" i="9"/>
  <c r="S14" i="9"/>
  <c r="R14" i="9"/>
  <c r="Q14" i="9"/>
  <c r="P14" i="9"/>
  <c r="O14" i="9"/>
  <c r="N14" i="9"/>
  <c r="M14" i="9"/>
  <c r="L14" i="9"/>
  <c r="K14" i="9"/>
  <c r="J14" i="9"/>
  <c r="I14" i="9"/>
  <c r="H14" i="9"/>
  <c r="G14" i="9"/>
  <c r="F14" i="9"/>
  <c r="E14" i="9"/>
  <c r="D14" i="9"/>
  <c r="C14" i="9"/>
  <c r="AG13" i="9"/>
  <c r="AK13" i="9" s="1"/>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E13" i="9"/>
  <c r="D13" i="9"/>
  <c r="C13" i="9"/>
  <c r="AG12" i="9"/>
  <c r="AJ12" i="9" s="1"/>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E12" i="9"/>
  <c r="D12" i="9"/>
  <c r="C12" i="9"/>
  <c r="AG11" i="9"/>
  <c r="AK11" i="9" s="1"/>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E11" i="9"/>
  <c r="D11" i="9"/>
  <c r="C11" i="9"/>
  <c r="AG10" i="9"/>
  <c r="AJ10" i="9" s="1"/>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E10" i="9"/>
  <c r="D10" i="9"/>
  <c r="C10" i="9"/>
  <c r="AG9" i="9"/>
  <c r="AF9" i="9"/>
  <c r="AE9" i="9"/>
  <c r="AD9" i="9"/>
  <c r="AC9" i="9"/>
  <c r="AB9" i="9"/>
  <c r="AL9" i="9" s="1"/>
  <c r="AA9" i="9"/>
  <c r="Z9" i="9"/>
  <c r="Y9" i="9"/>
  <c r="X9" i="9"/>
  <c r="W9" i="9"/>
  <c r="V9" i="9"/>
  <c r="U9" i="9"/>
  <c r="T9" i="9"/>
  <c r="S9" i="9"/>
  <c r="R9" i="9"/>
  <c r="Q9" i="9"/>
  <c r="P9" i="9"/>
  <c r="O9" i="9"/>
  <c r="N9" i="9"/>
  <c r="M9" i="9"/>
  <c r="L9" i="9"/>
  <c r="K9" i="9"/>
  <c r="J9" i="9"/>
  <c r="I9" i="9"/>
  <c r="H9" i="9"/>
  <c r="G9" i="9"/>
  <c r="F9" i="9"/>
  <c r="E9" i="9"/>
  <c r="D9" i="9"/>
  <c r="C9" i="9"/>
  <c r="AG8" i="9"/>
  <c r="AF8" i="9"/>
  <c r="AE8" i="9"/>
  <c r="AD8" i="9"/>
  <c r="AC8" i="9"/>
  <c r="AB8" i="9"/>
  <c r="AL8" i="9" s="1"/>
  <c r="AA8" i="9"/>
  <c r="Z8" i="9"/>
  <c r="Y8" i="9"/>
  <c r="X8" i="9"/>
  <c r="W8" i="9"/>
  <c r="V8" i="9"/>
  <c r="U8" i="9"/>
  <c r="T8" i="9"/>
  <c r="S8" i="9"/>
  <c r="R8" i="9"/>
  <c r="Q8" i="9"/>
  <c r="P8" i="9"/>
  <c r="O8" i="9"/>
  <c r="N8" i="9"/>
  <c r="M8" i="9"/>
  <c r="L8" i="9"/>
  <c r="K8" i="9"/>
  <c r="J8" i="9"/>
  <c r="I8" i="9"/>
  <c r="H8" i="9"/>
  <c r="G8" i="9"/>
  <c r="F8" i="9"/>
  <c r="E8" i="9"/>
  <c r="D8" i="9"/>
  <c r="C8" i="9"/>
  <c r="AG7" i="9"/>
  <c r="AJ7" i="9" s="1"/>
  <c r="AF7" i="9"/>
  <c r="AE7" i="9"/>
  <c r="AD7" i="9"/>
  <c r="AC7" i="9"/>
  <c r="AB7" i="9"/>
  <c r="AL7" i="9" s="1"/>
  <c r="AA7" i="9"/>
  <c r="Z7" i="9"/>
  <c r="Y7" i="9"/>
  <c r="X7" i="9"/>
  <c r="W7" i="9"/>
  <c r="V7" i="9"/>
  <c r="U7" i="9"/>
  <c r="T7" i="9"/>
  <c r="S7" i="9"/>
  <c r="R7" i="9"/>
  <c r="Q7" i="9"/>
  <c r="P7" i="9"/>
  <c r="O7" i="9"/>
  <c r="N7" i="9"/>
  <c r="M7" i="9"/>
  <c r="L7" i="9"/>
  <c r="K7" i="9"/>
  <c r="J7" i="9"/>
  <c r="I7" i="9"/>
  <c r="H7" i="9"/>
  <c r="G7" i="9"/>
  <c r="F7" i="9"/>
  <c r="E7" i="9"/>
  <c r="D7" i="9"/>
  <c r="C7" i="9"/>
  <c r="AG6" i="9"/>
  <c r="AJ6" i="9" s="1"/>
  <c r="AF6" i="9"/>
  <c r="AE6" i="9"/>
  <c r="AD6" i="9"/>
  <c r="AC6" i="9"/>
  <c r="AB6" i="9"/>
  <c r="AA6" i="9"/>
  <c r="Z6" i="9"/>
  <c r="Y6" i="9"/>
  <c r="X6" i="9"/>
  <c r="W6" i="9"/>
  <c r="V6" i="9"/>
  <c r="U6" i="9"/>
  <c r="T6" i="9"/>
  <c r="S6" i="9"/>
  <c r="R6" i="9"/>
  <c r="Q6" i="9"/>
  <c r="P6" i="9"/>
  <c r="O6" i="9"/>
  <c r="N6" i="9"/>
  <c r="M6" i="9"/>
  <c r="L6" i="9"/>
  <c r="K6" i="9"/>
  <c r="J6" i="9"/>
  <c r="I6" i="9"/>
  <c r="H6" i="9"/>
  <c r="G6" i="9"/>
  <c r="F6" i="9"/>
  <c r="E6" i="9"/>
  <c r="D6" i="9"/>
  <c r="C6" i="9"/>
  <c r="V11" i="8"/>
  <c r="V10" i="8"/>
  <c r="V9" i="8" s="1"/>
  <c r="V8" i="8" s="1"/>
  <c r="V7" i="8" s="1"/>
  <c r="V6" i="8" s="1"/>
  <c r="V5" i="8" s="1"/>
  <c r="V4" i="8" s="1"/>
  <c r="A10" i="8"/>
  <c r="L2" i="8"/>
  <c r="L1" i="8"/>
  <c r="A11" i="8" s="1"/>
  <c r="V11" i="7"/>
  <c r="V10" i="7"/>
  <c r="V9" i="7" s="1"/>
  <c r="V8" i="7" s="1"/>
  <c r="V7" i="7" s="1"/>
  <c r="V6" i="7" s="1"/>
  <c r="V5" i="7" s="1"/>
  <c r="V4" i="7" s="1"/>
  <c r="L2" i="7"/>
  <c r="L1" i="7"/>
  <c r="A11" i="7" s="1"/>
  <c r="V11" i="6"/>
  <c r="U11" i="6"/>
  <c r="U10" i="6" s="1"/>
  <c r="U9" i="6" s="1"/>
  <c r="U8" i="6" s="1"/>
  <c r="U7" i="6" s="1"/>
  <c r="U6" i="6" s="1"/>
  <c r="U5" i="6" s="1"/>
  <c r="U4" i="6" s="1"/>
  <c r="A11" i="6"/>
  <c r="V10" i="6"/>
  <c r="A10" i="6"/>
  <c r="V9" i="6"/>
  <c r="V8" i="6" s="1"/>
  <c r="V7" i="6" s="1"/>
  <c r="V6" i="6" s="1"/>
  <c r="V5" i="6" s="1"/>
  <c r="V4" i="6" s="1"/>
  <c r="Q22" i="1"/>
  <c r="P22" i="1"/>
  <c r="R22" i="1" s="1"/>
  <c r="R21" i="1"/>
  <c r="Q21" i="1"/>
  <c r="P21" i="1"/>
  <c r="P20" i="1"/>
  <c r="Q19" i="1"/>
  <c r="P19" i="1"/>
  <c r="R19" i="1" s="1"/>
  <c r="Q18" i="1"/>
  <c r="P18" i="1"/>
  <c r="R18" i="1" s="1"/>
  <c r="P17" i="1"/>
  <c r="R17" i="1" s="1"/>
  <c r="Q16" i="1"/>
  <c r="P16" i="1"/>
  <c r="R16" i="1" s="1"/>
  <c r="Q15" i="1"/>
  <c r="P15" i="1"/>
  <c r="R15" i="1" s="1"/>
  <c r="P14" i="1"/>
  <c r="Q13" i="1"/>
  <c r="P13" i="1"/>
  <c r="R13" i="1" s="1"/>
  <c r="Q12" i="1"/>
  <c r="R12" i="1" s="1"/>
  <c r="P12" i="1"/>
  <c r="Q10" i="1"/>
  <c r="Q17" i="1" s="1"/>
  <c r="AJ9" i="9" l="1"/>
  <c r="AL16" i="9"/>
  <c r="AL17" i="9"/>
  <c r="AL12" i="9"/>
  <c r="AL13" i="9"/>
  <c r="AK23" i="9"/>
  <c r="AL37" i="9"/>
  <c r="AK52" i="9"/>
  <c r="AJ54" i="9"/>
  <c r="AL36" i="9"/>
  <c r="AJ52" i="9"/>
  <c r="AL56" i="9"/>
  <c r="AL58" i="9"/>
  <c r="AJ20" i="9"/>
  <c r="AJ23" i="9"/>
  <c r="AK6" i="9"/>
  <c r="AK10" i="9"/>
  <c r="AJ16" i="9"/>
  <c r="AJ19" i="9"/>
  <c r="AJ22" i="9"/>
  <c r="AL32" i="9"/>
  <c r="AK39" i="9"/>
  <c r="AJ44" i="9"/>
  <c r="AK51" i="9"/>
  <c r="AK60" i="9"/>
  <c r="AJ62" i="9"/>
  <c r="AJ66" i="9"/>
  <c r="AK28" i="9"/>
  <c r="AL33" i="9"/>
  <c r="AK9" i="9"/>
  <c r="AJ15" i="9"/>
  <c r="AL28" i="9"/>
  <c r="AL29" i="9"/>
  <c r="AK36" i="9"/>
  <c r="AJ40" i="9"/>
  <c r="AJ43" i="9"/>
  <c r="AJ65" i="9"/>
  <c r="AL21" i="9"/>
  <c r="AL30" i="9"/>
  <c r="AK38" i="9"/>
  <c r="AL45" i="9"/>
  <c r="AL63" i="9"/>
  <c r="AK8" i="9"/>
  <c r="AK12" i="9"/>
  <c r="AJ36" i="9"/>
  <c r="AL44" i="9"/>
  <c r="AL51" i="9"/>
  <c r="AJ59" i="9"/>
  <c r="AL62" i="9"/>
  <c r="AL64" i="9"/>
  <c r="AK7" i="9"/>
  <c r="AJ8" i="9"/>
  <c r="AL20" i="9"/>
  <c r="AK31" i="9"/>
  <c r="AK34" i="9"/>
  <c r="AJ35" i="9"/>
  <c r="AL41" i="9"/>
  <c r="AK53" i="9"/>
  <c r="AJ55" i="9"/>
  <c r="AL67" i="9"/>
  <c r="R10" i="6"/>
  <c r="S11" i="6"/>
  <c r="J11" i="6"/>
  <c r="H11" i="6"/>
  <c r="R11" i="6"/>
  <c r="F11" i="6"/>
  <c r="P11" i="6"/>
  <c r="G11" i="6"/>
  <c r="O11" i="6"/>
  <c r="C10" i="6"/>
  <c r="L10" i="6"/>
  <c r="N11" i="6"/>
  <c r="E11" i="6"/>
  <c r="K10" i="6"/>
  <c r="B10" i="6"/>
  <c r="M11" i="6"/>
  <c r="D11" i="6"/>
  <c r="L11" i="6"/>
  <c r="C11" i="6"/>
  <c r="K11" i="6"/>
  <c r="B11" i="6"/>
  <c r="Q10" i="6"/>
  <c r="G10" i="6"/>
  <c r="U11" i="8"/>
  <c r="U10" i="8" s="1"/>
  <c r="U9" i="8" s="1"/>
  <c r="U8" i="8" s="1"/>
  <c r="U7" i="8" s="1"/>
  <c r="U6" i="8" s="1"/>
  <c r="U5" i="8" s="1"/>
  <c r="U4" i="8" s="1"/>
  <c r="K11" i="8" s="1"/>
  <c r="AL38" i="9"/>
  <c r="AJ57" i="9"/>
  <c r="AK57" i="9"/>
  <c r="I10" i="6"/>
  <c r="L10" i="8"/>
  <c r="AJ13" i="9"/>
  <c r="AL22" i="9"/>
  <c r="AL23" i="9"/>
  <c r="AL31" i="9"/>
  <c r="AL34" i="9"/>
  <c r="P10" i="6"/>
  <c r="H10" i="6"/>
  <c r="J10" i="6"/>
  <c r="S10" i="6"/>
  <c r="A10" i="7"/>
  <c r="B11" i="8"/>
  <c r="AL10" i="9"/>
  <c r="AL11" i="9"/>
  <c r="AK18" i="9"/>
  <c r="AK19" i="9"/>
  <c r="I11" i="8"/>
  <c r="AK42" i="9"/>
  <c r="AJ50" i="9"/>
  <c r="AL50" i="9"/>
  <c r="AL54" i="9"/>
  <c r="D10" i="6"/>
  <c r="M10" i="6"/>
  <c r="A9" i="8"/>
  <c r="AL6" i="9"/>
  <c r="AL14" i="9"/>
  <c r="AL15" i="9"/>
  <c r="AJ38" i="9"/>
  <c r="R14" i="1"/>
  <c r="R11" i="8"/>
  <c r="AJ34" i="9"/>
  <c r="AL43" i="9"/>
  <c r="A9" i="6"/>
  <c r="E10" i="6"/>
  <c r="N10" i="6"/>
  <c r="Q14" i="1"/>
  <c r="Q20" i="1"/>
  <c r="R20" i="1" s="1"/>
  <c r="F10" i="6"/>
  <c r="O10" i="6"/>
  <c r="Q11" i="6"/>
  <c r="U11" i="7"/>
  <c r="U10" i="7" s="1"/>
  <c r="U9" i="7" s="1"/>
  <c r="U8" i="7" s="1"/>
  <c r="U7" i="7" s="1"/>
  <c r="U6" i="7" s="1"/>
  <c r="U5" i="7" s="1"/>
  <c r="U4" i="7" s="1"/>
  <c r="O11" i="7" s="1"/>
  <c r="G11" i="8"/>
  <c r="AJ11" i="9"/>
  <c r="AL18" i="9"/>
  <c r="AL19" i="9"/>
  <c r="AJ30" i="9"/>
  <c r="AL39" i="9"/>
  <c r="AL42" i="9"/>
  <c r="AJ58" i="9"/>
  <c r="AK58" i="9"/>
  <c r="AK59" i="9"/>
  <c r="I11" i="6"/>
  <c r="AJ53" i="9"/>
  <c r="AJ61" i="9"/>
  <c r="AK65" i="9"/>
  <c r="AL52" i="9"/>
  <c r="AL60" i="9"/>
  <c r="AL53" i="9"/>
  <c r="AL61" i="9"/>
  <c r="AJ51" i="9"/>
  <c r="AK61" i="9"/>
  <c r="AL65" i="9"/>
  <c r="AL57" i="9"/>
  <c r="C7" i="13"/>
  <c r="C11" i="13"/>
  <c r="C15" i="13"/>
  <c r="C19" i="13"/>
  <c r="C23" i="13"/>
  <c r="C27" i="13"/>
  <c r="C31" i="13"/>
  <c r="C35" i="13"/>
  <c r="C39" i="13"/>
  <c r="C43" i="13"/>
  <c r="C47" i="13"/>
  <c r="C51" i="13"/>
  <c r="C55" i="13"/>
  <c r="C59" i="13"/>
  <c r="C63" i="13"/>
  <c r="C67" i="13"/>
  <c r="C71" i="13"/>
  <c r="C75" i="13"/>
  <c r="C79" i="13"/>
  <c r="C83" i="13"/>
  <c r="C87" i="13"/>
  <c r="C91" i="13"/>
  <c r="C95" i="13"/>
  <c r="C99" i="13"/>
  <c r="C103" i="13"/>
  <c r="C107" i="13"/>
  <c r="C192" i="13"/>
  <c r="C196" i="13"/>
  <c r="C200" i="13"/>
  <c r="C204" i="13"/>
  <c r="C208" i="13"/>
  <c r="C212" i="13"/>
  <c r="C216" i="13"/>
  <c r="C220" i="13"/>
  <c r="C224" i="13"/>
  <c r="C228" i="13"/>
  <c r="C232" i="13"/>
  <c r="C236" i="13"/>
  <c r="C240" i="13"/>
  <c r="C244" i="13"/>
  <c r="C248" i="13"/>
  <c r="C252" i="13"/>
  <c r="C256" i="13"/>
  <c r="C260" i="13"/>
  <c r="C264" i="13"/>
  <c r="C268" i="13"/>
  <c r="C272" i="13"/>
  <c r="C276" i="13"/>
  <c r="C280" i="13"/>
  <c r="C284" i="13"/>
  <c r="C288" i="13"/>
  <c r="C292" i="13"/>
  <c r="C296" i="13"/>
  <c r="C300" i="13"/>
  <c r="C304" i="13"/>
  <c r="S11" i="7" l="1"/>
  <c r="S10" i="8"/>
  <c r="O11" i="8"/>
  <c r="H11" i="8"/>
  <c r="C10" i="8"/>
  <c r="M11" i="7"/>
  <c r="K10" i="8"/>
  <c r="Z10" i="6"/>
  <c r="Y10" i="6"/>
  <c r="K11" i="7"/>
  <c r="I10" i="8"/>
  <c r="E11" i="8"/>
  <c r="P11" i="7"/>
  <c r="M11" i="8"/>
  <c r="F11" i="7"/>
  <c r="N11" i="7"/>
  <c r="D11" i="7"/>
  <c r="G10" i="8"/>
  <c r="B11" i="7"/>
  <c r="J11" i="7"/>
  <c r="R10" i="8"/>
  <c r="G11" i="7"/>
  <c r="C11" i="8"/>
  <c r="E11" i="7"/>
  <c r="H10" i="8"/>
  <c r="Z11" i="6"/>
  <c r="Y11" i="6"/>
  <c r="O9" i="6"/>
  <c r="G9" i="6"/>
  <c r="K9" i="6"/>
  <c r="B9" i="6"/>
  <c r="J9" i="6"/>
  <c r="Q9" i="6"/>
  <c r="S9" i="6"/>
  <c r="H9" i="6"/>
  <c r="R9" i="6"/>
  <c r="I9" i="6"/>
  <c r="P9" i="6"/>
  <c r="F9" i="6"/>
  <c r="N9" i="6"/>
  <c r="E9" i="6"/>
  <c r="A8" i="6"/>
  <c r="M9" i="6"/>
  <c r="D9" i="6"/>
  <c r="L9" i="6"/>
  <c r="C9" i="6"/>
  <c r="F10" i="8"/>
  <c r="I11" i="7"/>
  <c r="N10" i="8"/>
  <c r="P10" i="7"/>
  <c r="H10" i="7"/>
  <c r="O10" i="7"/>
  <c r="F10" i="7"/>
  <c r="E10" i="7"/>
  <c r="L10" i="7"/>
  <c r="N10" i="7"/>
  <c r="A9" i="7"/>
  <c r="M10" i="7"/>
  <c r="D10" i="7"/>
  <c r="C10" i="7"/>
  <c r="K10" i="7"/>
  <c r="B10" i="7"/>
  <c r="S10" i="7"/>
  <c r="J10" i="7"/>
  <c r="R10" i="7"/>
  <c r="I10" i="7"/>
  <c r="Q10" i="7"/>
  <c r="G10" i="7"/>
  <c r="P10" i="8"/>
  <c r="N9" i="8"/>
  <c r="O9" i="8"/>
  <c r="G9" i="8"/>
  <c r="L9" i="8"/>
  <c r="C9" i="8"/>
  <c r="I9" i="8"/>
  <c r="K9" i="8"/>
  <c r="B9" i="8"/>
  <c r="J9" i="8"/>
  <c r="S9" i="8"/>
  <c r="R9" i="8"/>
  <c r="H9" i="8"/>
  <c r="Q9" i="8"/>
  <c r="F9" i="8"/>
  <c r="P9" i="8"/>
  <c r="E9" i="8"/>
  <c r="A8" i="8"/>
  <c r="M9" i="8"/>
  <c r="D9" i="8"/>
  <c r="Q11" i="7"/>
  <c r="D10" i="8"/>
  <c r="O10" i="8"/>
  <c r="S11" i="8"/>
  <c r="R11" i="7"/>
  <c r="P11" i="8"/>
  <c r="L11" i="7"/>
  <c r="H11" i="7"/>
  <c r="Q10" i="8"/>
  <c r="E10" i="8"/>
  <c r="N11" i="8"/>
  <c r="D11" i="8"/>
  <c r="C11" i="7"/>
  <c r="L11" i="8"/>
  <c r="J10" i="8"/>
  <c r="F11" i="8"/>
  <c r="Q11" i="8"/>
  <c r="M10" i="8"/>
  <c r="B10" i="8"/>
  <c r="J11" i="8"/>
  <c r="Z11" i="8" l="1"/>
  <c r="Z9" i="6"/>
  <c r="Y9" i="6"/>
  <c r="Z10" i="7"/>
  <c r="Y10" i="7"/>
  <c r="Z10" i="8"/>
  <c r="Y10" i="8"/>
  <c r="Z9" i="8"/>
  <c r="Y9" i="8"/>
  <c r="N8" i="8"/>
  <c r="F8" i="8"/>
  <c r="Q8" i="8"/>
  <c r="H8" i="8"/>
  <c r="G8" i="8"/>
  <c r="P8" i="8"/>
  <c r="M8" i="8"/>
  <c r="O8" i="8"/>
  <c r="E8" i="8"/>
  <c r="A7" i="8"/>
  <c r="D8" i="8"/>
  <c r="L8" i="8"/>
  <c r="C8" i="8"/>
  <c r="K8" i="8"/>
  <c r="B8" i="8"/>
  <c r="S8" i="8"/>
  <c r="J8" i="8"/>
  <c r="R8" i="8"/>
  <c r="I8" i="8"/>
  <c r="Z11" i="7"/>
  <c r="Y11" i="7"/>
  <c r="Y11" i="8"/>
  <c r="N8" i="6"/>
  <c r="F8" i="6"/>
  <c r="P8" i="6"/>
  <c r="G8" i="6"/>
  <c r="E8" i="6"/>
  <c r="O8" i="6"/>
  <c r="A7" i="6"/>
  <c r="L8" i="6"/>
  <c r="C8" i="6"/>
  <c r="M8" i="6"/>
  <c r="D8" i="6"/>
  <c r="K8" i="6"/>
  <c r="B8" i="6"/>
  <c r="S8" i="6"/>
  <c r="J8" i="6"/>
  <c r="R8" i="6"/>
  <c r="I8" i="6"/>
  <c r="Q8" i="6"/>
  <c r="H8" i="6"/>
  <c r="O9" i="7"/>
  <c r="G9" i="7"/>
  <c r="K9" i="7"/>
  <c r="B9" i="7"/>
  <c r="Q9" i="7"/>
  <c r="S9" i="7"/>
  <c r="J9" i="7"/>
  <c r="R9" i="7"/>
  <c r="I9" i="7"/>
  <c r="H9" i="7"/>
  <c r="P9" i="7"/>
  <c r="F9" i="7"/>
  <c r="N9" i="7"/>
  <c r="E9" i="7"/>
  <c r="A8" i="7"/>
  <c r="M9" i="7"/>
  <c r="D9" i="7"/>
  <c r="L9" i="7"/>
  <c r="C9" i="7"/>
  <c r="N8" i="7" l="1"/>
  <c r="F8" i="7"/>
  <c r="P8" i="7"/>
  <c r="G8" i="7"/>
  <c r="O8" i="7"/>
  <c r="A7" i="7"/>
  <c r="L8" i="7"/>
  <c r="E8" i="7"/>
  <c r="C8" i="7"/>
  <c r="M8" i="7"/>
  <c r="D8" i="7"/>
  <c r="K8" i="7"/>
  <c r="B8" i="7"/>
  <c r="S8" i="7"/>
  <c r="J8" i="7"/>
  <c r="R8" i="7"/>
  <c r="I8" i="7"/>
  <c r="Q8" i="7"/>
  <c r="H8" i="7"/>
  <c r="Y8" i="8"/>
  <c r="Z8" i="8"/>
  <c r="Z9" i="7"/>
  <c r="Y9" i="7"/>
  <c r="M7" i="6"/>
  <c r="E7" i="6"/>
  <c r="K7" i="6"/>
  <c r="B7" i="6"/>
  <c r="H7" i="6"/>
  <c r="S7" i="6"/>
  <c r="J7" i="6"/>
  <c r="R7" i="6"/>
  <c r="I7" i="6"/>
  <c r="Q7" i="6"/>
  <c r="P7" i="6"/>
  <c r="G7" i="6"/>
  <c r="O7" i="6"/>
  <c r="F7" i="6"/>
  <c r="A6" i="6"/>
  <c r="N7" i="6"/>
  <c r="D7" i="6"/>
  <c r="L7" i="6"/>
  <c r="C7" i="6"/>
  <c r="Y8" i="6"/>
  <c r="Z8" i="6"/>
  <c r="M7" i="8"/>
  <c r="E7" i="8"/>
  <c r="L7" i="8"/>
  <c r="C7" i="8"/>
  <c r="K7" i="8"/>
  <c r="B7" i="8"/>
  <c r="R7" i="8"/>
  <c r="I7" i="8"/>
  <c r="S7" i="8"/>
  <c r="J7" i="8"/>
  <c r="Q7" i="8"/>
  <c r="H7" i="8"/>
  <c r="P7" i="8"/>
  <c r="G7" i="8"/>
  <c r="O7" i="8"/>
  <c r="F7" i="8"/>
  <c r="A6" i="8"/>
  <c r="N7" i="8"/>
  <c r="D7" i="8"/>
  <c r="M7" i="7" l="1"/>
  <c r="E7" i="7"/>
  <c r="K7" i="7"/>
  <c r="B7" i="7"/>
  <c r="S7" i="7"/>
  <c r="J7" i="7"/>
  <c r="R7" i="7"/>
  <c r="I7" i="7"/>
  <c r="H7" i="7"/>
  <c r="Q7" i="7"/>
  <c r="P7" i="7"/>
  <c r="G7" i="7"/>
  <c r="O7" i="7"/>
  <c r="F7" i="7"/>
  <c r="A6" i="7"/>
  <c r="N7" i="7"/>
  <c r="D7" i="7"/>
  <c r="L7" i="7"/>
  <c r="C7" i="7"/>
  <c r="L6" i="6"/>
  <c r="D6" i="6"/>
  <c r="P6" i="6"/>
  <c r="G6" i="6"/>
  <c r="O6" i="6"/>
  <c r="F6" i="6"/>
  <c r="M6" i="6"/>
  <c r="C6" i="6"/>
  <c r="N6" i="6"/>
  <c r="E6" i="6"/>
  <c r="K6" i="6"/>
  <c r="B6" i="6"/>
  <c r="S6" i="6"/>
  <c r="J6" i="6"/>
  <c r="R6" i="6"/>
  <c r="I6" i="6"/>
  <c r="Q6" i="6"/>
  <c r="H6" i="6"/>
  <c r="Y8" i="7"/>
  <c r="Z8" i="7"/>
  <c r="L6" i="8"/>
  <c r="D6" i="8"/>
  <c r="Q6" i="8"/>
  <c r="H6" i="8"/>
  <c r="P6" i="8"/>
  <c r="E6" i="8"/>
  <c r="G6" i="8"/>
  <c r="O6" i="8"/>
  <c r="F6" i="8"/>
  <c r="N6" i="8"/>
  <c r="M6" i="8"/>
  <c r="C6" i="8"/>
  <c r="K6" i="8"/>
  <c r="B6" i="8"/>
  <c r="S6" i="8"/>
  <c r="J6" i="8"/>
  <c r="R6" i="8"/>
  <c r="I6" i="8"/>
  <c r="Z7" i="6"/>
  <c r="Y7" i="6"/>
  <c r="Y7" i="8"/>
  <c r="Z7" i="8"/>
  <c r="L6" i="7" l="1"/>
  <c r="D6" i="7"/>
  <c r="P6" i="7"/>
  <c r="G6" i="7"/>
  <c r="F6" i="7"/>
  <c r="O6" i="7"/>
  <c r="M6" i="7"/>
  <c r="N6" i="7"/>
  <c r="E6" i="7"/>
  <c r="C6" i="7"/>
  <c r="K6" i="7"/>
  <c r="B6" i="7"/>
  <c r="S6" i="7"/>
  <c r="J6" i="7"/>
  <c r="R6" i="7"/>
  <c r="I6" i="7"/>
  <c r="Q6" i="7"/>
  <c r="H6" i="7"/>
  <c r="Z7" i="7"/>
  <c r="Y7" i="7"/>
  <c r="Z6" i="6"/>
  <c r="Y6" i="6"/>
  <c r="Z6" i="8"/>
  <c r="Y6" i="8"/>
  <c r="Y6" i="7" l="1"/>
  <c r="Z6" i="7"/>
</calcChain>
</file>

<file path=xl/sharedStrings.xml><?xml version="1.0" encoding="utf-8"?>
<sst xmlns="http://schemas.openxmlformats.org/spreadsheetml/2006/main" count="1144" uniqueCount="515">
  <si>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</si>
  <si>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</si>
  <si>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</si>
  <si>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</si>
  <si>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</si>
  <si>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</si>
  <si>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</si>
  <si>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</si>
  <si>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</si>
  <si>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</si>
  <si>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</si>
  <si>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</si>
  <si>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</si>
  <si>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</si>
  <si>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</si>
  <si>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</si>
  <si>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</si>
  <si>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ISM Services</t>
  </si>
  <si>
    <t>Mining</t>
  </si>
  <si>
    <t>Update month + Number Sectors</t>
  </si>
  <si>
    <t>New Orders</t>
  </si>
  <si>
    <t>Management of Companies &amp; Support Services</t>
  </si>
  <si>
    <t>Update Industry Comments</t>
  </si>
  <si>
    <t>Imports</t>
  </si>
  <si>
    <t>Other Services</t>
  </si>
  <si>
    <t>Update data in different ISM and Details</t>
  </si>
  <si>
    <t>Backlog Of Orders</t>
  </si>
  <si>
    <t>Wholesale Trade</t>
  </si>
  <si>
    <t>Prices</t>
  </si>
  <si>
    <t>Utilities</t>
  </si>
  <si>
    <t>Business Activity</t>
  </si>
  <si>
    <t>Arts, Entertainment &amp; Reaction</t>
  </si>
  <si>
    <t>Inventory Sentiment</t>
  </si>
  <si>
    <t>Construction</t>
  </si>
  <si>
    <t>Inventories</t>
  </si>
  <si>
    <t>Educational Services</t>
  </si>
  <si>
    <t>Deliveries</t>
  </si>
  <si>
    <t>Information</t>
  </si>
  <si>
    <t>Employment</t>
  </si>
  <si>
    <t>Transportation &amp; Warehousing</t>
  </si>
  <si>
    <t>Exports</t>
  </si>
  <si>
    <t>Public Administration</t>
  </si>
  <si>
    <t>Real Estate, Rental &amp; Leasing</t>
  </si>
  <si>
    <t>Retail Trade</t>
  </si>
  <si>
    <t>Finance &amp; Insurance</t>
  </si>
  <si>
    <t>Health Care &amp; Social Assistance</t>
  </si>
  <si>
    <t>Professional, Scientific &amp; Technical Services</t>
  </si>
  <si>
    <t>Agriculture, Forestry, Fishing &amp; Hunting</t>
  </si>
  <si>
    <t>DATE</t>
  </si>
  <si>
    <t>Arts, Entertainment &amp; Recreation</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</si>
  <si>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</si>
  <si>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</si>
  <si>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</si>
  <si>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</si>
  <si>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</si>
  <si>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</si>
  <si>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</si>
  <si>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</si>
  <si>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</si>
  <si>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</si>
  <si>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</si>
  <si>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</si>
  <si>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</si>
  <si>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</si>
  <si>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</si>
  <si>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</si>
  <si>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GDPC1_QoQ</t>
  </si>
  <si>
    <t>GDPC1_QoQ_ANNUALIZED</t>
  </si>
  <si>
    <t>GDPC1_YoY</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</si>
  <si>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</si>
  <si>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</si>
  <si>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</si>
  <si>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</si>
  <si>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</si>
  <si>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</si>
  <si>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</si>
  <si>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</si>
  <si>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</si>
  <si>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</si>
  <si>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</si>
  <si>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</si>
  <si>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</si>
  <si>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</si>
  <si>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</si>
  <si>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</si>
  <si>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“Starting to see some cost pressures relief; the overall supply environment is healthy.”</t>
  </si>
  <si>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</si>
  <si>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</si>
  <si>
    <t>“Supply chain improving, with more reliability of supplier deliveries. Inflationary pressures increased on goods and services. Employment also improving in most markets. Fewer daily fires and more planning time.”</t>
  </si>
  <si>
    <t>“Pricing pressures and product availability issues continue to be extremely problematic.”</t>
  </si>
  <si>
    <t>“Supply chain challenges continue at about the same levels as last month. Employment has improved as COVID-19 cases are declining. Restaurant sales have improved since Valentine’s Day, with mask and vaccine verification mandates being dropped.”</t>
  </si>
  <si>
    <t>“Raw material increases, labor shortages, wage increases and transportation issues are still the primary issues affecting our operations and pricing.”</t>
  </si>
  <si>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</si>
  <si>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</si>
  <si>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</si>
  <si>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</si>
  <si>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</si>
  <si>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</si>
  <si>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</si>
  <si>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</si>
  <si>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</si>
  <si>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</si>
  <si>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</si>
  <si>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</si>
  <si>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</si>
  <si>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</si>
  <si>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</si>
  <si>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</si>
  <si>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</si>
  <si>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</si>
  <si>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</si>
  <si>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</si>
  <si>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</si>
  <si>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</si>
  <si>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</si>
  <si>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</si>
  <si>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</si>
  <si>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</si>
  <si>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</si>
  <si>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</si>
  <si>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</si>
  <si>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</si>
  <si>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“Grain and fertilizer prices are near all-time highs, resulting in decreased purchasing.”</t>
  </si>
  <si>
    <t>“Supply chain challenges continue to result in lower inventories of products and higher costs. The challenges are at the highest point since COVID-19 began.”</t>
  </si>
  <si>
    <t>“Challenging operating conditions remain the same to start the new year. Our biggest service providers seem to be rebounding from labor shortages or are managing their way through them. We will be forced to upgrade some equipment that is less reliant on labor.”</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</si>
  <si>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</si>
  <si>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</si>
  <si>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</si>
  <si>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</si>
  <si>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</si>
  <si>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</si>
  <si>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</si>
  <si>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</si>
  <si>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</si>
  <si>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</si>
  <si>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</si>
  <si>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</si>
  <si>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</si>
  <si>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</si>
  <si>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</si>
  <si>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</si>
  <si>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“We are projecting 2022 to be busier than 2021. Our business volume should begin to increase significantly in March.”</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</si>
  <si>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</si>
  <si>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</si>
  <si>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</si>
  <si>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</si>
  <si>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</si>
  <si>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</si>
  <si>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</si>
  <si>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“Some pullback on projects by clients, but activity is still strong for our company. This has alleviated some labor availability issues. Generally, there has been improvement in lead times and prices, but still longer and higher, respectively, than in 2021.”</t>
  </si>
  <si>
    <t>“Interest rates have significantly impacted the homebuilding market. Cancellation rates have increased, as homebuyers can no longer afford the monthly payment. Traffic to our communities is down. Inflation has sidelined many would-be buyers.”</t>
  </si>
  <si>
    <t>“(Interest) rate increases have slowed sales but have not helped with supply challenges yet.”</t>
  </si>
  <si>
    <t>“Demand seems to be very high for all of the high-voltage electric products we purchase. Lead times are quadruple what they normally are.”</t>
  </si>
  <si>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</si>
  <si>
    <t>“Costs have escalated to what we believe are unsustainable levels. Available labor is nonexistent, so we have cut staffing and are taking on fewer projects temporarily in an attempt to reduce cost. Outsourcing where possible. We are not optimistic at this time.”</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</si>
  <si>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</si>
  <si>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</si>
  <si>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</si>
  <si>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</si>
  <si>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</si>
  <si>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</si>
  <si>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</si>
  <si>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</si>
  <si>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</si>
  <si>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</si>
  <si>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</si>
  <si>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</si>
  <si>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</si>
  <si>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</si>
  <si>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</si>
  <si>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</si>
  <si>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</si>
  <si>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</si>
  <si>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</si>
  <si>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</si>
  <si>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</si>
  <si>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</si>
  <si>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</si>
  <si>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</si>
  <si>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</si>
  <si>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</si>
  <si>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</si>
  <si>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</si>
  <si>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</si>
  <si>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</si>
  <si>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</si>
  <si>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</si>
  <si>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</si>
  <si>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</si>
  <si>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</si>
  <si>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</si>
  <si>
    <t>“Strengthening market overall and signs of improvement. Increased prices putting a strain on fixed budgets. There has been a shift from driving down costs to securing continuity of supply. Higher education is growing, with an increase in applicants.”</t>
  </si>
  <si>
    <t>“While activity dropped 2 percent from the previous month, activity volume was 47 percent higher compared to May 2021.”</t>
  </si>
  <si>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</si>
  <si>
    <t>“Large construction projects have been mostly constrained due to continued supply chain issues and large cost increases. Continued shortages in account management continue to be a source of frustration for day-to-day operations and service.”</t>
  </si>
  <si>
    <t>“Labor and inflation continue to push costs higher across the board for food and food-service supplies.”</t>
  </si>
  <si>
    <t>“Inflation is contributing to budget constraints, supply chain restraints and labor shortages.”</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</si>
  <si>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</si>
  <si>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</si>
  <si>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</si>
  <si>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</si>
  <si>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</si>
  <si>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</si>
  <si>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</si>
  <si>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</si>
  <si>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</si>
  <si>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</si>
  <si>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</si>
  <si>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</si>
  <si>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</si>
  <si>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</si>
  <si>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</si>
  <si>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</si>
  <si>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</si>
  <si>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</si>
  <si>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</si>
  <si>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“Employee turnover within our company and with our suppliers is causing delays in decisions and orders.”</t>
  </si>
  <si>
    <t>“Business activity is increasing, but professional labor continues to be in short supply. Virtual work is preferred by clients.”</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</si>
  <si>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</si>
  <si>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</si>
  <si>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</si>
  <si>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</si>
  <si>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</si>
  <si>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</si>
  <si>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</si>
  <si>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</si>
  <si>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</si>
  <si>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</si>
  <si>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</si>
  <si>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</si>
  <si>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</si>
  <si>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</si>
  <si>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</si>
  <si>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</si>
  <si>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</si>
  <si>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</si>
  <si>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</si>
  <si>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</si>
  <si>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</si>
  <si>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</si>
  <si>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</si>
  <si>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</si>
  <si>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</si>
  <si>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“Business continues to remain below pre-pandemic levels. (Patient) census and visits have increased but seem to have plateaued in the last six-month period.”</t>
  </si>
  <si>
    <t>“The shutdowns in China due to the zero-COVID policy have adversely impacted our supply chain.”</t>
  </si>
  <si>
    <t>“Restrictions lifted as COVID-19 case volumes drop, allowing for more elective procedures and reduction in (average) length of stay. Freight costs are rising.”</t>
  </si>
  <si>
    <t>“Supply chain disruptions are still a problem due to reduced allocations and manufacturer back orders. Demand continues to outpace manufacturing capacity.”</t>
  </si>
  <si>
    <t>“As the COVID-19 surge starts to loosen its grip, we are planning to resume elective surgeries soon. Demand is still high, as these procedures were delayed while the surge was occurring.”</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</si>
  <si>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</si>
  <si>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</si>
  <si>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</si>
  <si>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</si>
  <si>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</si>
  <si>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</si>
  <si>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</si>
  <si>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</si>
  <si>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</si>
  <si>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</si>
  <si>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</si>
  <si>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</si>
  <si>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</si>
  <si>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</si>
  <si>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</si>
  <si>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</si>
  <si>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</si>
  <si>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</si>
  <si>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</si>
  <si>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</si>
  <si>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</si>
  <si>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</si>
  <si>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</si>
  <si>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</si>
  <si>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</si>
  <si>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</si>
  <si>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</si>
  <si>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</si>
  <si>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</si>
  <si>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</si>
  <si>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</si>
  <si>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“Demand has softened across consumer product lines, channels and brands over the last year, to levels below those forecast earlier this year. Adjusting all outlooks down for the rest of year. The (Shanghai) omicron slowdown had an impact, but activity is slowly coming back.”</t>
  </si>
  <si>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</si>
  <si>
    <t>“Overall business has softened.”</t>
  </si>
  <si>
    <t>“Energy costs are putting a pinch on all suppliers. We have received many surcharge notices.”</t>
  </si>
  <si>
    <t>“Business has flattened but holding steady.”</t>
  </si>
  <si>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</si>
  <si>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</si>
  <si>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</si>
  <si>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</si>
  <si>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</si>
  <si>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</si>
  <si>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</si>
  <si>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</si>
  <si>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</si>
  <si>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</si>
  <si>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</si>
  <si>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</si>
  <si>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</si>
  <si>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</si>
  <si>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</si>
  <si>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</si>
  <si>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</si>
  <si>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</si>
  <si>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</si>
  <si>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</si>
  <si>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“The supply chain challenges affect a portion of our buys as they include products and components made outside of the U.S. that are subject to shipping delays and other issues.”</t>
  </si>
  <si>
    <t>“Can feel the economy weakening. Clients are making appropriate moves in anticipation of a recession.”</t>
  </si>
  <si>
    <t>“Unstable prices on various commodities are making budgetary planning difficult. We are maintaining a cautious approach due to energy costs continuing to increase.”</t>
  </si>
  <si>
    <t>“Business remains strong, only dampened by shortages in labor, increased material costs and lengthy lead times.”</t>
  </si>
  <si>
    <t>“Concerns over inflation and rising energy prices are causing our company to take a cautious approach, especially related to planned capital expenditures.”</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</si>
  <si>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</si>
  <si>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</si>
  <si>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</si>
  <si>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</si>
  <si>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</si>
  <si>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</si>
  <si>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</si>
  <si>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</si>
  <si>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</si>
  <si>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</si>
  <si>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</si>
  <si>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</si>
  <si>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</si>
  <si>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</si>
  <si>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</si>
  <si>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</si>
  <si>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</si>
  <si>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</si>
  <si>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</si>
  <si>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</si>
  <si>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</si>
  <si>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</si>
  <si>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“Energy services sector demand and activity remains strong.”</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</si>
  <si>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</si>
  <si>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</si>
  <si>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</si>
  <si>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</si>
  <si>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</si>
  <si>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</si>
  <si>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</si>
  <si>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</si>
  <si>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</si>
  <si>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</si>
  <si>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</si>
  <si>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</si>
  <si>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</si>
  <si>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</si>
  <si>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</si>
  <si>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</si>
  <si>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</si>
  <si>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“Downturn in business in the last month due to outbreak in COVID-19 cases.”</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</si>
  <si>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</si>
  <si>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</si>
  <si>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</si>
  <si>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</si>
  <si>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“COVID-19 still affecting many businesses. Also, there is a labor shortage.”</t>
  </si>
  <si>
    <t>“Hiring demand remains robust in most industry sectors. Tech has had a slowdown in hiring and layoffs. It’s still a candidate’s market, as the number of job openings across all skill levels and positions remains far greater than the number of candidates for those roles.”</t>
  </si>
  <si>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</si>
  <si>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</si>
  <si>
    <t>“Blood shortages are causing issues in the emergency rooms.”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</si>
  <si>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</si>
  <si>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</si>
  <si>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</si>
  <si>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</si>
  <si>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</si>
  <si>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</si>
  <si>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</si>
  <si>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</si>
  <si>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</si>
  <si>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</si>
  <si>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</si>
  <si>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</si>
  <si>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</si>
  <si>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</si>
  <si>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</si>
  <si>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</si>
  <si>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</si>
  <si>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</si>
  <si>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</si>
  <si>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</si>
  <si>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</si>
  <si>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</si>
  <si>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</si>
  <si>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</si>
  <si>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</si>
  <si>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“Lingering concerns about inflation and price increases. Still having difficulties hiring staff to fill many positions.”</t>
  </si>
  <si>
    <t>“Rising costs across the board seems to be the big focus now. Fuel and food are the most common focus but it is across the board, and there is pressure of a job market shortage for qualified workers to increase wages and other benefits.”</t>
  </si>
  <si>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</si>
  <si>
    <t>“Concerns about how the new COVID-19 subvariants and rising cases may impact staffing.”</t>
  </si>
  <si>
    <t>“Inflation, supply chain issues and access to qualified workers continue to be issues. There are still lingering effects from the pandemic, although those seem to be subsiding. The future impacts of the war in Ukraine are unclear.”</t>
  </si>
  <si>
    <t>“Long lead times for electronic components are becoming normal and expected. Chemical deliveries are often delayed due to a lack of qualified hazardous materials drivers.”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</si>
  <si>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</si>
  <si>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</si>
  <si>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</si>
  <si>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</si>
  <si>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</si>
  <si>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</si>
  <si>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</si>
  <si>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</si>
  <si>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</si>
  <si>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</si>
  <si>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</si>
  <si>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</si>
  <si>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</si>
  <si>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</si>
  <si>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</si>
  <si>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</si>
  <si>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</si>
  <si>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</si>
  <si>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</si>
  <si>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</si>
  <si>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</si>
  <si>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</si>
  <si>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</si>
  <si>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</si>
  <si>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</si>
  <si>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</si>
  <si>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</si>
  <si>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</si>
  <si>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</si>
  <si>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</si>
  <si>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</si>
  <si>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</si>
  <si>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</si>
  <si>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“No major changes. Concerns about the macroeconomic climate and consumer confidence.”</t>
  </si>
  <si>
    <t>“(We are) in inventory reduction mode, attempting to match inventory levels to current lower sales trends.”</t>
  </si>
  <si>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</si>
  <si>
    <t>“Chip shortage showing no signs of easing.”</t>
  </si>
  <si>
    <t>“Continued delays due to supply chain logistics issues; increased pricing across the board.”</t>
  </si>
  <si>
    <t>“Global supply chain issues continue to disrupt chip supply, which is suppressing production of new vehicles.”</t>
  </si>
  <si>
    <t>“Business outlook remains cautiously optimistic, although uncertainty remains concerning the impact of omicron, inflation and the lack of major improvements to supply chain issues.”</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</si>
  <si>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</si>
  <si>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</si>
  <si>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</si>
  <si>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</si>
  <si>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</si>
  <si>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</si>
  <si>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</si>
  <si>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</si>
  <si>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</si>
  <si>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</si>
  <si>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</si>
  <si>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</si>
  <si>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</si>
  <si>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</si>
  <si>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</si>
  <si>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</si>
  <si>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</si>
  <si>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</si>
  <si>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</si>
  <si>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</si>
  <si>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</si>
  <si>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</si>
  <si>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</si>
  <si>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</si>
  <si>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</si>
  <si>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</si>
  <si>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</si>
  <si>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</si>
  <si>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</si>
  <si>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</si>
  <si>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</si>
  <si>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</si>
  <si>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</si>
  <si>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</si>
  <si>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</si>
  <si>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</si>
  <si>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</si>
  <si>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</si>
  <si>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“Holding steady, but some headwinds are definitely ahead on the economic front. However, supply chain issues appear to be easing, though still not great.”</t>
  </si>
  <si>
    <t>“Despite higher inflation and energy costs, demand and business activity continue to be at record highs, with little sign of a slowdown.”</t>
  </si>
  <si>
    <t>“Exhausting. Continuous shortages, transportation delays and price increases all contribute to the destruction of historical lead times and firm commitments on delivery dates. This requires placing orders earlier and qualifying secondary sources. It is relentless.”</t>
  </si>
  <si>
    <t>“Fuel and chemicals continue to go up in price.”</t>
  </si>
  <si>
    <t>“We are still seeing raw material subcomponent shortages, transportation delays and price increases.”</t>
  </si>
  <si>
    <t>“Appear to be on the upswing from COVID-19 from an absenteeism standpoint. Still dealing with long lead times for wire, polyvinyl chloride (PVC), steel, transformers and meters. Winter weather has not had an impact on productivity levels.”</t>
  </si>
  <si>
    <t>“Business activity is very high, and we have maintained a consistent amount of back orders. Labor constraints are presenting problems throughout all areas of the business.”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</si>
  <si>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</si>
  <si>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</si>
  <si>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</si>
  <si>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</si>
  <si>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</si>
  <si>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</si>
  <si>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</si>
  <si>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</si>
  <si>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</si>
  <si>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“Business is pretty steady month to month, but we expect seasonal supply increase by September that will moderate prices.”</t>
  </si>
  <si>
    <t>“Food service remains strong. Retail is softening as the mass is overly concerned about inventory and consumer spending.”</t>
  </si>
  <si>
    <t>“National consumer and builder demand continues to drive sales domestically. COVID-19 in China continues to affect our supply chain more than the Russia-Ukraine war.”</t>
  </si>
  <si>
    <t>“Cost pressures beginning to slow demand.”</t>
  </si>
  <si>
    <t>“Constrained supply of many key product groups continues. Inflation worsening. Overall sales and profitability continue to be strong.”</t>
  </si>
  <si>
    <t>“Constrained supplies of many key product groups continue. Inflation worsening; however, sales and profitability continue to be strong.”</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</si>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</sst>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1"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2">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3" fillId="0" borderId="0" xfId="0" applyFont="1"/>
    <xf numFmtId="0" fontId="0" fillId="2" borderId="0" xfId="0" applyFill="1" applyAlignment="1">
      <alignment vertical="center"/>
    </xf>
    <xf numFmtId="0" fontId="14" fillId="2" borderId="0" xfId="0" applyFont="1" applyFill="1"/>
    <xf numFmtId="14" fontId="15" fillId="2" borderId="17" xfId="0" applyNumberFormat="1" applyFont="1" applyFill="1" applyBorder="1" applyAlignment="1">
      <alignment horizontal="center"/>
    </xf>
    <xf numFmtId="14" fontId="11" fillId="2" borderId="17" xfId="0" applyNumberFormat="1" applyFont="1" applyFill="1" applyBorder="1" applyAlignment="1">
      <alignment horizontal="center"/>
    </xf>
    <xf numFmtId="0" fontId="11" fillId="2" borderId="13" xfId="0" applyFont="1" applyFill="1" applyBorder="1" applyAlignment="1">
      <alignment horizontal="center"/>
    </xf>
    <xf numFmtId="0" fontId="11" fillId="5" borderId="1" xfId="0" applyFont="1" applyFill="1" applyBorder="1"/>
    <xf numFmtId="0" fontId="11" fillId="2" borderId="3" xfId="0" applyFont="1" applyFill="1" applyBorder="1" applyAlignment="1">
      <alignment horizontal="center"/>
    </xf>
    <xf numFmtId="0" fontId="11"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1" fillId="2" borderId="0" xfId="0" applyFont="1" applyFill="1"/>
    <xf numFmtId="0" fontId="3" fillId="2" borderId="0" xfId="0" applyFont="1" applyFill="1" applyAlignment="1">
      <alignment horizontal="center"/>
    </xf>
    <xf numFmtId="0" fontId="4" fillId="2" borderId="0" xfId="0" applyFont="1" applyFill="1"/>
    <xf numFmtId="17" fontId="17" fillId="2" borderId="4" xfId="0" applyNumberFormat="1" applyFont="1" applyFill="1" applyBorder="1" applyAlignment="1">
      <alignment horizontal="center" vertical="center"/>
    </xf>
    <xf numFmtId="17" fontId="17"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4" fillId="2" borderId="0" xfId="0" applyNumberFormat="1" applyFont="1" applyFill="1"/>
    <xf numFmtId="0" fontId="19" fillId="6" borderId="1" xfId="0" applyFont="1" applyFill="1" applyBorder="1" applyAlignment="1">
      <alignment wrapText="1"/>
    </xf>
    <xf numFmtId="0" fontId="9" fillId="2" borderId="0" xfId="2" applyFill="1"/>
    <xf numFmtId="0" fontId="11" fillId="6" borderId="2" xfId="0" applyFont="1" applyFill="1" applyBorder="1" applyAlignment="1">
      <alignment horizontal="center" wrapText="1"/>
    </xf>
    <xf numFmtId="0" fontId="11" fillId="6" borderId="15" xfId="0" applyFont="1" applyFill="1" applyBorder="1" applyAlignment="1">
      <alignment horizontal="center" wrapText="1"/>
    </xf>
    <xf numFmtId="0" fontId="11"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8" fillId="6" borderId="27" xfId="0" applyFont="1" applyFill="1" applyBorder="1" applyAlignment="1">
      <alignment horizontal="center" vertical="center"/>
    </xf>
    <xf numFmtId="164" fontId="20" fillId="6" borderId="28" xfId="0" applyNumberFormat="1" applyFont="1" applyFill="1" applyBorder="1" applyAlignment="1">
      <alignment horizontal="center" vertical="center" wrapText="1"/>
    </xf>
    <xf numFmtId="10" fontId="20" fillId="6" borderId="29" xfId="0" applyNumberFormat="1" applyFont="1" applyFill="1" applyBorder="1" applyAlignment="1">
      <alignment horizontal="center" vertical="center" wrapText="1"/>
    </xf>
    <xf numFmtId="164" fontId="20" fillId="6" borderId="29" xfId="0" applyNumberFormat="1" applyFont="1" applyFill="1" applyBorder="1" applyAlignment="1">
      <alignment horizontal="center" vertical="center" wrapText="1"/>
    </xf>
    <xf numFmtId="2" fontId="20"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1" fillId="6" borderId="11" xfId="0" applyFont="1" applyFill="1" applyBorder="1" applyAlignment="1">
      <alignment horizontal="center"/>
    </xf>
    <xf numFmtId="0" fontId="11" fillId="6" borderId="12" xfId="0" applyFont="1" applyFill="1" applyBorder="1" applyAlignment="1">
      <alignment horizontal="center"/>
    </xf>
    <xf numFmtId="0" fontId="11"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0" fillId="2" borderId="0" xfId="0" applyFill="1"/>
    <xf numFmtId="0" fontId="11" fillId="5" borderId="21" xfId="0" applyFont="1" applyFill="1" applyBorder="1" applyAlignment="1">
      <alignment horizontal="center" wrapText="1"/>
    </xf>
    <xf numFmtId="0" fontId="0" fillId="0" borderId="9" xfId="0" applyBorder="1"/>
    <xf numFmtId="0" fontId="11" fillId="5" borderId="23" xfId="0" applyFont="1" applyFill="1" applyBorder="1" applyAlignment="1">
      <alignment horizontal="center" wrapText="1"/>
    </xf>
    <xf numFmtId="0" fontId="0" fillId="0" borderId="33" xfId="0" applyBorder="1"/>
    <xf numFmtId="0" fontId="11" fillId="5" borderId="31" xfId="0" applyFont="1" applyFill="1" applyBorder="1" applyAlignment="1">
      <alignment horizontal="center"/>
    </xf>
    <xf numFmtId="0" fontId="0" fillId="0" borderId="15" xfId="0" applyBorder="1"/>
    <xf numFmtId="0" fontId="0" fillId="0" borderId="16" xfId="0" applyBorder="1"/>
    <xf numFmtId="0" fontId="11" fillId="2" borderId="10" xfId="0" applyFont="1" applyFill="1" applyBorder="1" applyAlignment="1">
      <alignment horizontal="center" vertical="center"/>
    </xf>
    <xf numFmtId="0" fontId="0" fillId="0" borderId="10" xfId="0" applyBorder="1"/>
    <xf numFmtId="0" fontId="12" fillId="2" borderId="0" xfId="0" applyFont="1" applyFill="1" applyAlignment="1">
      <alignment wrapText="1"/>
    </xf>
    <xf numFmtId="0" fontId="11" fillId="5" borderId="1" xfId="0" applyFont="1" applyFill="1" applyBorder="1" applyAlignment="1">
      <alignment horizontal="center"/>
    </xf>
    <xf numFmtId="0" fontId="0" fillId="0" borderId="8" xfId="0" applyBorder="1"/>
    <xf numFmtId="0" fontId="0" fillId="2" borderId="0" xfId="0" applyFill="1" applyAlignment="1">
      <alignment wrapText="1"/>
    </xf>
    <xf numFmtId="0" fontId="11" fillId="5" borderId="18" xfId="0" applyFont="1" applyFill="1" applyBorder="1" applyAlignment="1">
      <alignment horizontal="center" wrapText="1"/>
    </xf>
    <xf numFmtId="0" fontId="0" fillId="0" borderId="32" xfId="0" applyBorder="1"/>
    <xf numFmtId="0" fontId="16" fillId="6" borderId="31" xfId="0" applyFont="1" applyFill="1" applyBorder="1" applyAlignment="1">
      <alignment horizontal="center" vertical="center"/>
    </xf>
    <xf numFmtId="0" fontId="0" fillId="0" borderId="26" xfId="0" applyBorder="1"/>
    <xf numFmtId="0" fontId="17" fillId="2" borderId="4" xfId="0" applyFont="1" applyFill="1" applyBorder="1" applyAlignment="1">
      <alignment horizontal="center" vertical="center"/>
    </xf>
    <xf numFmtId="0" fontId="0" fillId="0" borderId="5" xfId="0" applyBorder="1"/>
    <xf numFmtId="0" fontId="14"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Services'!$B$6:$B$306</c:f>
              <c:numCache>
                <c:formatCode>General</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0-D4A1-BD40-8196-0FD51FF49952}"/>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Details!$B$6:$B$308</c:f>
              <c:numCache>
                <c:formatCode>0.00</c:formatCode>
                <c:ptCount val="303"/>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numCache>
            </c:numRef>
          </c:val>
          <c:smooth val="0"/>
          <c:extLst>
            <c:ext xmlns:c16="http://schemas.microsoft.com/office/drawing/2014/chart" uri="{C3380CC4-5D6E-409C-BE32-E72D297353CC}">
              <c16:uniqueId val="{00000000-A545-C34B-9AFD-8AA289F6B99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Sectors!$B$6:$B$11</c:f>
              <c:numCache>
                <c:formatCode>General</c:formatCode>
                <c:ptCount val="6"/>
                <c:pt idx="0">
                  <c:v>1</c:v>
                </c:pt>
                <c:pt idx="1">
                  <c:v>5</c:v>
                </c:pt>
                <c:pt idx="2">
                  <c:v>3</c:v>
                </c:pt>
                <c:pt idx="3">
                  <c:v>6</c:v>
                </c:pt>
                <c:pt idx="4">
                  <c:v>14</c:v>
                </c:pt>
                <c:pt idx="5">
                  <c:v>0</c:v>
                </c:pt>
              </c:numCache>
            </c:numRef>
          </c:val>
          <c:extLst>
            <c:ext xmlns:c16="http://schemas.microsoft.com/office/drawing/2014/chart" uri="{C3380CC4-5D6E-409C-BE32-E72D297353CC}">
              <c16:uniqueId val="{00000000-98FD-7947-8E0F-628B5A94A244}"/>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Sectors!$C$6:$C$11</c:f>
              <c:numCache>
                <c:formatCode>General</c:formatCode>
                <c:ptCount val="6"/>
                <c:pt idx="0">
                  <c:v>14</c:v>
                </c:pt>
                <c:pt idx="1">
                  <c:v>14</c:v>
                </c:pt>
                <c:pt idx="2">
                  <c:v>8</c:v>
                </c:pt>
                <c:pt idx="3">
                  <c:v>2</c:v>
                </c:pt>
                <c:pt idx="4">
                  <c:v>5</c:v>
                </c:pt>
                <c:pt idx="5">
                  <c:v>2</c:v>
                </c:pt>
              </c:numCache>
            </c:numRef>
          </c:val>
          <c:extLst>
            <c:ext xmlns:c16="http://schemas.microsoft.com/office/drawing/2014/chart" uri="{C3380CC4-5D6E-409C-BE32-E72D297353CC}">
              <c16:uniqueId val="{00000000-9607-5848-AB2E-3FD4D82E8872}"/>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Sectors!$D$6:$D$11</c:f>
              <c:numCache>
                <c:formatCode>General</c:formatCode>
                <c:ptCount val="6"/>
                <c:pt idx="0">
                  <c:v>11</c:v>
                </c:pt>
                <c:pt idx="1">
                  <c:v>9</c:v>
                </c:pt>
                <c:pt idx="2">
                  <c:v>18</c:v>
                </c:pt>
                <c:pt idx="3">
                  <c:v>18</c:v>
                </c:pt>
                <c:pt idx="4">
                  <c:v>18</c:v>
                </c:pt>
                <c:pt idx="5">
                  <c:v>0</c:v>
                </c:pt>
              </c:numCache>
            </c:numRef>
          </c:val>
          <c:extLst>
            <c:ext xmlns:c16="http://schemas.microsoft.com/office/drawing/2014/chart" uri="{C3380CC4-5D6E-409C-BE32-E72D297353CC}">
              <c16:uniqueId val="{00000000-2727-FE46-9A5F-03F8EB4AE07C}"/>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Sectors!$E$6:$E$11</c:f>
              <c:numCache>
                <c:formatCode>General</c:formatCode>
                <c:ptCount val="6"/>
                <c:pt idx="0">
                  <c:v>5</c:v>
                </c:pt>
                <c:pt idx="1">
                  <c:v>6</c:v>
                </c:pt>
                <c:pt idx="2">
                  <c:v>2</c:v>
                </c:pt>
                <c:pt idx="3">
                  <c:v>10</c:v>
                </c:pt>
                <c:pt idx="4">
                  <c:v>2</c:v>
                </c:pt>
                <c:pt idx="5">
                  <c:v>3</c:v>
                </c:pt>
              </c:numCache>
            </c:numRef>
          </c:val>
          <c:extLst>
            <c:ext xmlns:c16="http://schemas.microsoft.com/office/drawing/2014/chart" uri="{C3380CC4-5D6E-409C-BE32-E72D297353CC}">
              <c16:uniqueId val="{00000000-7DD9-954A-8A3B-1174AF48C077}"/>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Sectors!$F$6:$F$11</c:f>
              <c:numCache>
                <c:formatCode>General</c:formatCode>
                <c:ptCount val="6"/>
                <c:pt idx="0">
                  <c:v>3</c:v>
                </c:pt>
                <c:pt idx="1">
                  <c:v>2</c:v>
                </c:pt>
                <c:pt idx="2">
                  <c:v>4</c:v>
                </c:pt>
                <c:pt idx="3">
                  <c:v>3</c:v>
                </c:pt>
                <c:pt idx="4">
                  <c:v>4</c:v>
                </c:pt>
                <c:pt idx="5">
                  <c:v>4</c:v>
                </c:pt>
              </c:numCache>
            </c:numRef>
          </c:val>
          <c:extLst>
            <c:ext xmlns:c16="http://schemas.microsoft.com/office/drawing/2014/chart" uri="{C3380CC4-5D6E-409C-BE32-E72D297353CC}">
              <c16:uniqueId val="{00000000-1757-6A49-AA8D-A7299262EB65}"/>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Sectors!$G$6:$G$11</c:f>
              <c:numCache>
                <c:formatCode>General</c:formatCode>
                <c:ptCount val="6"/>
                <c:pt idx="0">
                  <c:v>2</c:v>
                </c:pt>
                <c:pt idx="1">
                  <c:v>3</c:v>
                </c:pt>
                <c:pt idx="2">
                  <c:v>13</c:v>
                </c:pt>
                <c:pt idx="3">
                  <c:v>14</c:v>
                </c:pt>
                <c:pt idx="4">
                  <c:v>13</c:v>
                </c:pt>
                <c:pt idx="5">
                  <c:v>13</c:v>
                </c:pt>
              </c:numCache>
            </c:numRef>
          </c:val>
          <c:extLst>
            <c:ext xmlns:c16="http://schemas.microsoft.com/office/drawing/2014/chart" uri="{C3380CC4-5D6E-409C-BE32-E72D297353CC}">
              <c16:uniqueId val="{00000000-B6D0-9149-9BD8-4DB8D151F892}"/>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Sectors!$H$6:$H$11</c:f>
              <c:numCache>
                <c:formatCode>General</c:formatCode>
                <c:ptCount val="6"/>
                <c:pt idx="0">
                  <c:v>7</c:v>
                </c:pt>
                <c:pt idx="1">
                  <c:v>1</c:v>
                </c:pt>
                <c:pt idx="2">
                  <c:v>10</c:v>
                </c:pt>
                <c:pt idx="3">
                  <c:v>7</c:v>
                </c:pt>
                <c:pt idx="4">
                  <c:v>7</c:v>
                </c:pt>
                <c:pt idx="5">
                  <c:v>10</c:v>
                </c:pt>
              </c:numCache>
            </c:numRef>
          </c:val>
          <c:extLst>
            <c:ext xmlns:c16="http://schemas.microsoft.com/office/drawing/2014/chart" uri="{C3380CC4-5D6E-409C-BE32-E72D297353CC}">
              <c16:uniqueId val="{00000000-4152-A045-B005-8F7A1AFED4F1}"/>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Sectors!$I$6:$I$11</c:f>
              <c:numCache>
                <c:formatCode>General</c:formatCode>
                <c:ptCount val="6"/>
                <c:pt idx="0">
                  <c:v>6</c:v>
                </c:pt>
                <c:pt idx="1">
                  <c:v>12</c:v>
                </c:pt>
                <c:pt idx="2">
                  <c:v>16</c:v>
                </c:pt>
                <c:pt idx="3">
                  <c:v>12</c:v>
                </c:pt>
                <c:pt idx="4">
                  <c:v>8</c:v>
                </c:pt>
                <c:pt idx="5">
                  <c:v>7</c:v>
                </c:pt>
              </c:numCache>
            </c:numRef>
          </c:val>
          <c:extLst>
            <c:ext xmlns:c16="http://schemas.microsoft.com/office/drawing/2014/chart" uri="{C3380CC4-5D6E-409C-BE32-E72D297353CC}">
              <c16:uniqueId val="{00000000-640D-8942-9779-3CE8A7523008}"/>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Sectors!$J$6:$J$11</c:f>
              <c:numCache>
                <c:formatCode>General</c:formatCode>
                <c:ptCount val="6"/>
                <c:pt idx="0">
                  <c:v>9</c:v>
                </c:pt>
                <c:pt idx="1">
                  <c:v>15</c:v>
                </c:pt>
                <c:pt idx="2">
                  <c:v>6</c:v>
                </c:pt>
                <c:pt idx="3">
                  <c:v>13</c:v>
                </c:pt>
                <c:pt idx="4">
                  <c:v>16</c:v>
                </c:pt>
                <c:pt idx="5">
                  <c:v>6</c:v>
                </c:pt>
              </c:numCache>
            </c:numRef>
          </c:val>
          <c:extLst>
            <c:ext xmlns:c16="http://schemas.microsoft.com/office/drawing/2014/chart" uri="{C3380CC4-5D6E-409C-BE32-E72D297353CC}">
              <c16:uniqueId val="{00000000-60E5-C649-ADC9-E85A427DECF5}"/>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Sectors!$K$6:$K$11</c:f>
              <c:numCache>
                <c:formatCode>General</c:formatCode>
                <c:ptCount val="6"/>
                <c:pt idx="0">
                  <c:v>10</c:v>
                </c:pt>
                <c:pt idx="1">
                  <c:v>16</c:v>
                </c:pt>
                <c:pt idx="2">
                  <c:v>17</c:v>
                </c:pt>
                <c:pt idx="3">
                  <c:v>17</c:v>
                </c:pt>
                <c:pt idx="4">
                  <c:v>17</c:v>
                </c:pt>
                <c:pt idx="5">
                  <c:v>16</c:v>
                </c:pt>
              </c:numCache>
            </c:numRef>
          </c:val>
          <c:extLst>
            <c:ext xmlns:c16="http://schemas.microsoft.com/office/drawing/2014/chart" uri="{C3380CC4-5D6E-409C-BE32-E72D297353CC}">
              <c16:uniqueId val="{00000000-EFD2-FA41-AF04-989FD3D331D0}"/>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Sectors!$L$6:$L$11</c:f>
              <c:numCache>
                <c:formatCode>General</c:formatCode>
                <c:ptCount val="6"/>
                <c:pt idx="0">
                  <c:v>18</c:v>
                </c:pt>
                <c:pt idx="1">
                  <c:v>18</c:v>
                </c:pt>
                <c:pt idx="2">
                  <c:v>14</c:v>
                </c:pt>
                <c:pt idx="3">
                  <c:v>16</c:v>
                </c:pt>
                <c:pt idx="4">
                  <c:v>6</c:v>
                </c:pt>
                <c:pt idx="5">
                  <c:v>5</c:v>
                </c:pt>
              </c:numCache>
            </c:numRef>
          </c:val>
          <c:extLst>
            <c:ext xmlns:c16="http://schemas.microsoft.com/office/drawing/2014/chart" uri="{C3380CC4-5D6E-409C-BE32-E72D297353CC}">
              <c16:uniqueId val="{00000000-1BB5-9845-86D8-42B706AA8587}"/>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Sectors!$M$6:$M$11</c:f>
              <c:numCache>
                <c:formatCode>General</c:formatCode>
                <c:ptCount val="6"/>
                <c:pt idx="0">
                  <c:v>17</c:v>
                </c:pt>
                <c:pt idx="1">
                  <c:v>10</c:v>
                </c:pt>
                <c:pt idx="2">
                  <c:v>15</c:v>
                </c:pt>
                <c:pt idx="3">
                  <c:v>11</c:v>
                </c:pt>
                <c:pt idx="4">
                  <c:v>11</c:v>
                </c:pt>
                <c:pt idx="5">
                  <c:v>1</c:v>
                </c:pt>
              </c:numCache>
            </c:numRef>
          </c:val>
          <c:extLst>
            <c:ext xmlns:c16="http://schemas.microsoft.com/office/drawing/2014/chart" uri="{C3380CC4-5D6E-409C-BE32-E72D297353CC}">
              <c16:uniqueId val="{00000000-B3EF-084E-ABB1-8A17AB42DBBA}"/>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Sectors!$N$6:$N$11</c:f>
              <c:numCache>
                <c:formatCode>General</c:formatCode>
                <c:ptCount val="6"/>
                <c:pt idx="0">
                  <c:v>13</c:v>
                </c:pt>
                <c:pt idx="1">
                  <c:v>7</c:v>
                </c:pt>
                <c:pt idx="2">
                  <c:v>9</c:v>
                </c:pt>
                <c:pt idx="3">
                  <c:v>9</c:v>
                </c:pt>
                <c:pt idx="4">
                  <c:v>15</c:v>
                </c:pt>
                <c:pt idx="5">
                  <c:v>15</c:v>
                </c:pt>
              </c:numCache>
            </c:numRef>
          </c:val>
          <c:extLst>
            <c:ext xmlns:c16="http://schemas.microsoft.com/office/drawing/2014/chart" uri="{C3380CC4-5D6E-409C-BE32-E72D297353CC}">
              <c16:uniqueId val="{00000000-88F8-C54F-87FC-C5A5332D952A}"/>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Sectors!$O$6:$O$11</c:f>
              <c:numCache>
                <c:formatCode>General</c:formatCode>
                <c:ptCount val="6"/>
                <c:pt idx="0">
                  <c:v>4</c:v>
                </c:pt>
                <c:pt idx="1">
                  <c:v>4</c:v>
                </c:pt>
                <c:pt idx="2">
                  <c:v>5</c:v>
                </c:pt>
                <c:pt idx="3">
                  <c:v>4</c:v>
                </c:pt>
                <c:pt idx="4">
                  <c:v>9</c:v>
                </c:pt>
                <c:pt idx="5">
                  <c:v>8</c:v>
                </c:pt>
              </c:numCache>
            </c:numRef>
          </c:val>
          <c:extLst>
            <c:ext xmlns:c16="http://schemas.microsoft.com/office/drawing/2014/chart" uri="{C3380CC4-5D6E-409C-BE32-E72D297353CC}">
              <c16:uniqueId val="{00000000-9D08-6D45-A552-FA3CFF68F9B6}"/>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Sectors!$P$6:$P$11</c:f>
              <c:numCache>
                <c:formatCode>General</c:formatCode>
                <c:ptCount val="6"/>
                <c:pt idx="0">
                  <c:v>12</c:v>
                </c:pt>
                <c:pt idx="1">
                  <c:v>13</c:v>
                </c:pt>
                <c:pt idx="2">
                  <c:v>1</c:v>
                </c:pt>
                <c:pt idx="3">
                  <c:v>1</c:v>
                </c:pt>
                <c:pt idx="4">
                  <c:v>1</c:v>
                </c:pt>
                <c:pt idx="5">
                  <c:v>12</c:v>
                </c:pt>
              </c:numCache>
            </c:numRef>
          </c:val>
          <c:extLst>
            <c:ext xmlns:c16="http://schemas.microsoft.com/office/drawing/2014/chart" uri="{C3380CC4-5D6E-409C-BE32-E72D297353CC}">
              <c16:uniqueId val="{00000000-1A58-4943-BDEE-DFDD4D976C6F}"/>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Sectors!$Q$6:$Q$11</c:f>
              <c:numCache>
                <c:formatCode>General</c:formatCode>
                <c:ptCount val="6"/>
                <c:pt idx="0">
                  <c:v>8</c:v>
                </c:pt>
                <c:pt idx="1">
                  <c:v>11</c:v>
                </c:pt>
                <c:pt idx="2">
                  <c:v>7</c:v>
                </c:pt>
                <c:pt idx="3">
                  <c:v>5</c:v>
                </c:pt>
                <c:pt idx="4">
                  <c:v>10</c:v>
                </c:pt>
                <c:pt idx="5">
                  <c:v>14</c:v>
                </c:pt>
              </c:numCache>
            </c:numRef>
          </c:val>
          <c:extLst>
            <c:ext xmlns:c16="http://schemas.microsoft.com/office/drawing/2014/chart" uri="{C3380CC4-5D6E-409C-BE32-E72D297353CC}">
              <c16:uniqueId val="{00000000-AB7A-C241-800C-8D794184140A}"/>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Sectors!$R$6:$R$11</c:f>
              <c:numCache>
                <c:formatCode>General</c:formatCode>
                <c:ptCount val="6"/>
                <c:pt idx="0">
                  <c:v>15</c:v>
                </c:pt>
                <c:pt idx="1">
                  <c:v>8</c:v>
                </c:pt>
                <c:pt idx="2">
                  <c:v>11</c:v>
                </c:pt>
                <c:pt idx="3">
                  <c:v>8</c:v>
                </c:pt>
                <c:pt idx="4">
                  <c:v>12</c:v>
                </c:pt>
                <c:pt idx="5">
                  <c:v>11</c:v>
                </c:pt>
              </c:numCache>
            </c:numRef>
          </c:val>
          <c:extLst>
            <c:ext xmlns:c16="http://schemas.microsoft.com/office/drawing/2014/chart" uri="{C3380CC4-5D6E-409C-BE32-E72D297353CC}">
              <c16:uniqueId val="{00000000-C9B1-8847-B23E-18C1D23A89E7}"/>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44593</c:v>
                </c:pt>
                <c:pt idx="1">
                  <c:v>44621</c:v>
                </c:pt>
                <c:pt idx="2">
                  <c:v>44652</c:v>
                </c:pt>
                <c:pt idx="3">
                  <c:v>44682</c:v>
                </c:pt>
                <c:pt idx="4">
                  <c:v>44713</c:v>
                </c:pt>
                <c:pt idx="5">
                  <c:v>44743</c:v>
                </c:pt>
              </c:numCache>
            </c:numRef>
          </c:cat>
          <c:val>
            <c:numRef>
              <c:f>Sectors!$S$6:$S$11</c:f>
              <c:numCache>
                <c:formatCode>General</c:formatCode>
                <c:ptCount val="6"/>
                <c:pt idx="0">
                  <c:v>16</c:v>
                </c:pt>
                <c:pt idx="1">
                  <c:v>17</c:v>
                </c:pt>
                <c:pt idx="2">
                  <c:v>12</c:v>
                </c:pt>
                <c:pt idx="3">
                  <c:v>15</c:v>
                </c:pt>
                <c:pt idx="4">
                  <c:v>3</c:v>
                </c:pt>
                <c:pt idx="5">
                  <c:v>9</c:v>
                </c:pt>
              </c:numCache>
            </c:numRef>
          </c:val>
          <c:extLst>
            <c:ext xmlns:c16="http://schemas.microsoft.com/office/drawing/2014/chart" uri="{C3380CC4-5D6E-409C-BE32-E72D297353CC}">
              <c16:uniqueId val="{00000000-2537-4F4B-80C4-11CA6F7CAB1D}"/>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SectorsBusinessActivity!$B$6:$B$11</c:f>
              <c:numCache>
                <c:formatCode>General</c:formatCode>
                <c:ptCount val="6"/>
                <c:pt idx="0">
                  <c:v>2</c:v>
                </c:pt>
                <c:pt idx="1">
                  <c:v>0</c:v>
                </c:pt>
                <c:pt idx="2">
                  <c:v>0</c:v>
                </c:pt>
                <c:pt idx="3">
                  <c:v>-2</c:v>
                </c:pt>
                <c:pt idx="4">
                  <c:v>0</c:v>
                </c:pt>
                <c:pt idx="5">
                  <c:v>-2</c:v>
                </c:pt>
              </c:numCache>
            </c:numRef>
          </c:val>
          <c:extLst>
            <c:ext xmlns:c16="http://schemas.microsoft.com/office/drawing/2014/chart" uri="{C3380CC4-5D6E-409C-BE32-E72D297353CC}">
              <c16:uniqueId val="{00000000-44D1-414A-BC6E-F47A262C5CAD}"/>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SectorsBusinessActivity!$C$6:$C$11</c:f>
              <c:numCache>
                <c:formatCode>General</c:formatCode>
                <c:ptCount val="6"/>
                <c:pt idx="0">
                  <c:v>5</c:v>
                </c:pt>
                <c:pt idx="1">
                  <c:v>9</c:v>
                </c:pt>
                <c:pt idx="2">
                  <c:v>9</c:v>
                </c:pt>
                <c:pt idx="3">
                  <c:v>7</c:v>
                </c:pt>
                <c:pt idx="4">
                  <c:v>8</c:v>
                </c:pt>
                <c:pt idx="5">
                  <c:v>8</c:v>
                </c:pt>
              </c:numCache>
            </c:numRef>
          </c:val>
          <c:extLst>
            <c:ext xmlns:c16="http://schemas.microsoft.com/office/drawing/2014/chart" uri="{C3380CC4-5D6E-409C-BE32-E72D297353CC}">
              <c16:uniqueId val="{00000000-7BD6-ED4F-A612-6660ABE997DE}"/>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SectorsBusinessActivity!$D$6:$D$11</c:f>
              <c:numCache>
                <c:formatCode>General</c:formatCode>
                <c:ptCount val="6"/>
                <c:pt idx="0">
                  <c:v>-3</c:v>
                </c:pt>
                <c:pt idx="1">
                  <c:v>13</c:v>
                </c:pt>
                <c:pt idx="2">
                  <c:v>0</c:v>
                </c:pt>
                <c:pt idx="3">
                  <c:v>10</c:v>
                </c:pt>
                <c:pt idx="4">
                  <c:v>11</c:v>
                </c:pt>
                <c:pt idx="5">
                  <c:v>0</c:v>
                </c:pt>
              </c:numCache>
            </c:numRef>
          </c:val>
          <c:extLst>
            <c:ext xmlns:c16="http://schemas.microsoft.com/office/drawing/2014/chart" uri="{C3380CC4-5D6E-409C-BE32-E72D297353CC}">
              <c16:uniqueId val="{00000000-BFFD-A743-9AF1-2FF99F9E01ED}"/>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SectorsBusinessActivity!$E$6:$E$11</c:f>
              <c:numCache>
                <c:formatCode>General</c:formatCode>
                <c:ptCount val="6"/>
                <c:pt idx="0">
                  <c:v>3</c:v>
                </c:pt>
                <c:pt idx="1">
                  <c:v>10</c:v>
                </c:pt>
                <c:pt idx="2">
                  <c:v>2</c:v>
                </c:pt>
                <c:pt idx="3">
                  <c:v>0</c:v>
                </c:pt>
                <c:pt idx="4">
                  <c:v>13</c:v>
                </c:pt>
                <c:pt idx="5">
                  <c:v>6</c:v>
                </c:pt>
              </c:numCache>
            </c:numRef>
          </c:val>
          <c:extLst>
            <c:ext xmlns:c16="http://schemas.microsoft.com/office/drawing/2014/chart" uri="{C3380CC4-5D6E-409C-BE32-E72D297353CC}">
              <c16:uniqueId val="{00000000-CD58-8640-B84A-550F93E45092}"/>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SectorsBusinessActivity!$F$6:$F$11</c:f>
              <c:numCache>
                <c:formatCode>General</c:formatCode>
                <c:ptCount val="6"/>
                <c:pt idx="0">
                  <c:v>1</c:v>
                </c:pt>
                <c:pt idx="1">
                  <c:v>-1</c:v>
                </c:pt>
                <c:pt idx="2">
                  <c:v>4</c:v>
                </c:pt>
                <c:pt idx="3">
                  <c:v>1</c:v>
                </c:pt>
                <c:pt idx="4">
                  <c:v>4</c:v>
                </c:pt>
                <c:pt idx="5">
                  <c:v>4</c:v>
                </c:pt>
              </c:numCache>
            </c:numRef>
          </c:val>
          <c:extLst>
            <c:ext xmlns:c16="http://schemas.microsoft.com/office/drawing/2014/chart" uri="{C3380CC4-5D6E-409C-BE32-E72D297353CC}">
              <c16:uniqueId val="{00000000-5FF2-F64C-9F00-817A1E68EFA2}"/>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SectorsBusinessActivity!$G$6:$G$11</c:f>
              <c:numCache>
                <c:formatCode>General</c:formatCode>
                <c:ptCount val="6"/>
                <c:pt idx="0">
                  <c:v>-1</c:v>
                </c:pt>
                <c:pt idx="1">
                  <c:v>8</c:v>
                </c:pt>
                <c:pt idx="2">
                  <c:v>13</c:v>
                </c:pt>
                <c:pt idx="3">
                  <c:v>5</c:v>
                </c:pt>
                <c:pt idx="4">
                  <c:v>12</c:v>
                </c:pt>
                <c:pt idx="5">
                  <c:v>-3</c:v>
                </c:pt>
              </c:numCache>
            </c:numRef>
          </c:val>
          <c:extLst>
            <c:ext xmlns:c16="http://schemas.microsoft.com/office/drawing/2014/chart" uri="{C3380CC4-5D6E-409C-BE32-E72D297353CC}">
              <c16:uniqueId val="{00000000-E04A-404D-9393-89FF3CCEB9DF}"/>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SectorsBusinessActivity!$H$6:$H$11</c:f>
              <c:numCache>
                <c:formatCode>General</c:formatCode>
                <c:ptCount val="6"/>
                <c:pt idx="0">
                  <c:v>8</c:v>
                </c:pt>
                <c:pt idx="1">
                  <c:v>3</c:v>
                </c:pt>
                <c:pt idx="2">
                  <c:v>1</c:v>
                </c:pt>
                <c:pt idx="3">
                  <c:v>0</c:v>
                </c:pt>
                <c:pt idx="4">
                  <c:v>7</c:v>
                </c:pt>
                <c:pt idx="5">
                  <c:v>-1</c:v>
                </c:pt>
              </c:numCache>
            </c:numRef>
          </c:val>
          <c:extLst>
            <c:ext xmlns:c16="http://schemas.microsoft.com/office/drawing/2014/chart" uri="{C3380CC4-5D6E-409C-BE32-E72D297353CC}">
              <c16:uniqueId val="{00000000-4742-4C40-AB28-E01BB7AFC4CA}"/>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SectorsBusinessActivity!$I$6:$I$11</c:f>
              <c:numCache>
                <c:formatCode>General</c:formatCode>
                <c:ptCount val="6"/>
                <c:pt idx="0">
                  <c:v>-4</c:v>
                </c:pt>
                <c:pt idx="1">
                  <c:v>0</c:v>
                </c:pt>
                <c:pt idx="2">
                  <c:v>14</c:v>
                </c:pt>
                <c:pt idx="3">
                  <c:v>8</c:v>
                </c:pt>
                <c:pt idx="4">
                  <c:v>0</c:v>
                </c:pt>
                <c:pt idx="5">
                  <c:v>12</c:v>
                </c:pt>
              </c:numCache>
            </c:numRef>
          </c:val>
          <c:extLst>
            <c:ext xmlns:c16="http://schemas.microsoft.com/office/drawing/2014/chart" uri="{C3380CC4-5D6E-409C-BE32-E72D297353CC}">
              <c16:uniqueId val="{00000000-FFE0-E24B-8886-3CCE8A17B45B}"/>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SectorsBusinessActivity!$J$6:$J$11</c:f>
              <c:numCache>
                <c:formatCode>General</c:formatCode>
                <c:ptCount val="6"/>
                <c:pt idx="0">
                  <c:v>11</c:v>
                </c:pt>
                <c:pt idx="1">
                  <c:v>4</c:v>
                </c:pt>
                <c:pt idx="2">
                  <c:v>8</c:v>
                </c:pt>
                <c:pt idx="3">
                  <c:v>2</c:v>
                </c:pt>
                <c:pt idx="4">
                  <c:v>2</c:v>
                </c:pt>
                <c:pt idx="5">
                  <c:v>2</c:v>
                </c:pt>
              </c:numCache>
            </c:numRef>
          </c:val>
          <c:extLst>
            <c:ext xmlns:c16="http://schemas.microsoft.com/office/drawing/2014/chart" uri="{C3380CC4-5D6E-409C-BE32-E72D297353CC}">
              <c16:uniqueId val="{00000000-32C3-E747-821F-569606CEC397}"/>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SectorsBusinessActivity!$K$6:$K$11</c:f>
              <c:numCache>
                <c:formatCode>General</c:formatCode>
                <c:ptCount val="6"/>
                <c:pt idx="0">
                  <c:v>10</c:v>
                </c:pt>
                <c:pt idx="1">
                  <c:v>0</c:v>
                </c:pt>
                <c:pt idx="2">
                  <c:v>11</c:v>
                </c:pt>
                <c:pt idx="3">
                  <c:v>13</c:v>
                </c:pt>
                <c:pt idx="4">
                  <c:v>10</c:v>
                </c:pt>
                <c:pt idx="5">
                  <c:v>13</c:v>
                </c:pt>
              </c:numCache>
            </c:numRef>
          </c:val>
          <c:extLst>
            <c:ext xmlns:c16="http://schemas.microsoft.com/office/drawing/2014/chart" uri="{C3380CC4-5D6E-409C-BE32-E72D297353CC}">
              <c16:uniqueId val="{00000000-85C7-E64B-BAF1-1573B81A2FF3}"/>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SectorsBusinessActivity!$L$6:$L$11</c:f>
              <c:numCache>
                <c:formatCode>General</c:formatCode>
                <c:ptCount val="6"/>
                <c:pt idx="0">
                  <c:v>7</c:v>
                </c:pt>
                <c:pt idx="1">
                  <c:v>6</c:v>
                </c:pt>
                <c:pt idx="2">
                  <c:v>6</c:v>
                </c:pt>
                <c:pt idx="3">
                  <c:v>12</c:v>
                </c:pt>
                <c:pt idx="4">
                  <c:v>14</c:v>
                </c:pt>
                <c:pt idx="5">
                  <c:v>7</c:v>
                </c:pt>
              </c:numCache>
            </c:numRef>
          </c:val>
          <c:extLst>
            <c:ext xmlns:c16="http://schemas.microsoft.com/office/drawing/2014/chart" uri="{C3380CC4-5D6E-409C-BE32-E72D297353CC}">
              <c16:uniqueId val="{00000000-603F-3A4B-A2E9-E56C30B3798F}"/>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SectorsBusinessActivity!$M$6:$M$11</c:f>
              <c:numCache>
                <c:formatCode>General</c:formatCode>
                <c:ptCount val="6"/>
                <c:pt idx="0">
                  <c:v>9</c:v>
                </c:pt>
                <c:pt idx="1">
                  <c:v>11</c:v>
                </c:pt>
                <c:pt idx="2">
                  <c:v>3</c:v>
                </c:pt>
                <c:pt idx="3">
                  <c:v>4</c:v>
                </c:pt>
                <c:pt idx="4">
                  <c:v>6</c:v>
                </c:pt>
                <c:pt idx="5">
                  <c:v>3</c:v>
                </c:pt>
              </c:numCache>
            </c:numRef>
          </c:val>
          <c:extLst>
            <c:ext xmlns:c16="http://schemas.microsoft.com/office/drawing/2014/chart" uri="{C3380CC4-5D6E-409C-BE32-E72D297353CC}">
              <c16:uniqueId val="{00000000-2437-234A-96AE-E02AB1113789}"/>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SectorsBusinessActivity!$N$6:$N$11</c:f>
              <c:numCache>
                <c:formatCode>General</c:formatCode>
                <c:ptCount val="6"/>
                <c:pt idx="0">
                  <c:v>6</c:v>
                </c:pt>
                <c:pt idx="1">
                  <c:v>5</c:v>
                </c:pt>
                <c:pt idx="2">
                  <c:v>10</c:v>
                </c:pt>
                <c:pt idx="3">
                  <c:v>3</c:v>
                </c:pt>
                <c:pt idx="4">
                  <c:v>1</c:v>
                </c:pt>
                <c:pt idx="5">
                  <c:v>10</c:v>
                </c:pt>
              </c:numCache>
            </c:numRef>
          </c:val>
          <c:extLst>
            <c:ext xmlns:c16="http://schemas.microsoft.com/office/drawing/2014/chart" uri="{C3380CC4-5D6E-409C-BE32-E72D297353CC}">
              <c16:uniqueId val="{00000000-A2E3-0340-B241-26D6A4DBD6D1}"/>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SectorsBusinessActivity!$O$6:$O$11</c:f>
              <c:numCache>
                <c:formatCode>General</c:formatCode>
                <c:ptCount val="6"/>
                <c:pt idx="0">
                  <c:v>4</c:v>
                </c:pt>
                <c:pt idx="1">
                  <c:v>1</c:v>
                </c:pt>
                <c:pt idx="2">
                  <c:v>7</c:v>
                </c:pt>
                <c:pt idx="3">
                  <c:v>6</c:v>
                </c:pt>
                <c:pt idx="4">
                  <c:v>9</c:v>
                </c:pt>
                <c:pt idx="5">
                  <c:v>5</c:v>
                </c:pt>
              </c:numCache>
            </c:numRef>
          </c:val>
          <c:extLst>
            <c:ext xmlns:c16="http://schemas.microsoft.com/office/drawing/2014/chart" uri="{C3380CC4-5D6E-409C-BE32-E72D297353CC}">
              <c16:uniqueId val="{00000000-2470-084D-9BEB-720B24162919}"/>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SectorsBusinessActivity!$P$6:$P$11</c:f>
              <c:numCache>
                <c:formatCode>General</c:formatCode>
                <c:ptCount val="6"/>
                <c:pt idx="0">
                  <c:v>-2</c:v>
                </c:pt>
                <c:pt idx="1">
                  <c:v>-2</c:v>
                </c:pt>
                <c:pt idx="2">
                  <c:v>0</c:v>
                </c:pt>
                <c:pt idx="3">
                  <c:v>-3</c:v>
                </c:pt>
                <c:pt idx="4">
                  <c:v>0</c:v>
                </c:pt>
                <c:pt idx="5">
                  <c:v>-4</c:v>
                </c:pt>
              </c:numCache>
            </c:numRef>
          </c:val>
          <c:extLst>
            <c:ext xmlns:c16="http://schemas.microsoft.com/office/drawing/2014/chart" uri="{C3380CC4-5D6E-409C-BE32-E72D297353CC}">
              <c16:uniqueId val="{00000000-9B70-FF45-A3D1-AF766AF7D48C}"/>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SectorsBusinessActivity!$Q$6:$Q$11</c:f>
              <c:numCache>
                <c:formatCode>General</c:formatCode>
                <c:ptCount val="6"/>
                <c:pt idx="0">
                  <c:v>0</c:v>
                </c:pt>
                <c:pt idx="1">
                  <c:v>7</c:v>
                </c:pt>
                <c:pt idx="2">
                  <c:v>0</c:v>
                </c:pt>
                <c:pt idx="3">
                  <c:v>-1</c:v>
                </c:pt>
                <c:pt idx="4">
                  <c:v>3</c:v>
                </c:pt>
                <c:pt idx="5">
                  <c:v>1</c:v>
                </c:pt>
              </c:numCache>
            </c:numRef>
          </c:val>
          <c:extLst>
            <c:ext xmlns:c16="http://schemas.microsoft.com/office/drawing/2014/chart" uri="{C3380CC4-5D6E-409C-BE32-E72D297353CC}">
              <c16:uniqueId val="{00000000-09C9-7647-BACC-90110FC40649}"/>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SectorsBusinessActivity!$R$6:$R$11</c:f>
              <c:numCache>
                <c:formatCode>General</c:formatCode>
                <c:ptCount val="6"/>
                <c:pt idx="0">
                  <c:v>12</c:v>
                </c:pt>
                <c:pt idx="1">
                  <c:v>12</c:v>
                </c:pt>
                <c:pt idx="2">
                  <c:v>12</c:v>
                </c:pt>
                <c:pt idx="3">
                  <c:v>11</c:v>
                </c:pt>
                <c:pt idx="4">
                  <c:v>5</c:v>
                </c:pt>
                <c:pt idx="5">
                  <c:v>11</c:v>
                </c:pt>
              </c:numCache>
            </c:numRef>
          </c:val>
          <c:extLst>
            <c:ext xmlns:c16="http://schemas.microsoft.com/office/drawing/2014/chart" uri="{C3380CC4-5D6E-409C-BE32-E72D297353CC}">
              <c16:uniqueId val="{00000000-10EB-CC46-8926-5F779C411246}"/>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44593</c:v>
                </c:pt>
                <c:pt idx="1">
                  <c:v>44621</c:v>
                </c:pt>
                <c:pt idx="2">
                  <c:v>44652</c:v>
                </c:pt>
                <c:pt idx="3">
                  <c:v>44682</c:v>
                </c:pt>
                <c:pt idx="4">
                  <c:v>44713</c:v>
                </c:pt>
                <c:pt idx="5">
                  <c:v>44743</c:v>
                </c:pt>
              </c:numCache>
            </c:numRef>
          </c:cat>
          <c:val>
            <c:numRef>
              <c:f>SectorsBusinessActivity!$S$6:$S$11</c:f>
              <c:numCache>
                <c:formatCode>General</c:formatCode>
                <c:ptCount val="6"/>
                <c:pt idx="0">
                  <c:v>13</c:v>
                </c:pt>
                <c:pt idx="1">
                  <c:v>2</c:v>
                </c:pt>
                <c:pt idx="2">
                  <c:v>5</c:v>
                </c:pt>
                <c:pt idx="3">
                  <c:v>9</c:v>
                </c:pt>
                <c:pt idx="4">
                  <c:v>15</c:v>
                </c:pt>
                <c:pt idx="5">
                  <c:v>9</c:v>
                </c:pt>
              </c:numCache>
            </c:numRef>
          </c:val>
          <c:extLst>
            <c:ext xmlns:c16="http://schemas.microsoft.com/office/drawing/2014/chart" uri="{C3380CC4-5D6E-409C-BE32-E72D297353CC}">
              <c16:uniqueId val="{00000000-632F-B045-8A86-4438A2F213C3}"/>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SectorsNewOrders!$B$6:$B$11</c:f>
              <c:numCache>
                <c:formatCode>General</c:formatCode>
                <c:ptCount val="6"/>
                <c:pt idx="0">
                  <c:v>1</c:v>
                </c:pt>
                <c:pt idx="1">
                  <c:v>0</c:v>
                </c:pt>
                <c:pt idx="2">
                  <c:v>0</c:v>
                </c:pt>
                <c:pt idx="3">
                  <c:v>0</c:v>
                </c:pt>
                <c:pt idx="4">
                  <c:v>0</c:v>
                </c:pt>
                <c:pt idx="5">
                  <c:v>-3</c:v>
                </c:pt>
              </c:numCache>
            </c:numRef>
          </c:val>
          <c:extLst>
            <c:ext xmlns:c16="http://schemas.microsoft.com/office/drawing/2014/chart" uri="{C3380CC4-5D6E-409C-BE32-E72D297353CC}">
              <c16:uniqueId val="{00000000-CFA3-374E-820C-7DA18898DF8C}"/>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SectorsNewOrders!$C$6:$C$11</c:f>
              <c:numCache>
                <c:formatCode>General</c:formatCode>
                <c:ptCount val="6"/>
                <c:pt idx="0">
                  <c:v>8</c:v>
                </c:pt>
                <c:pt idx="1">
                  <c:v>10</c:v>
                </c:pt>
                <c:pt idx="2">
                  <c:v>13</c:v>
                </c:pt>
                <c:pt idx="3">
                  <c:v>9</c:v>
                </c:pt>
                <c:pt idx="4">
                  <c:v>6</c:v>
                </c:pt>
                <c:pt idx="5">
                  <c:v>5</c:v>
                </c:pt>
              </c:numCache>
            </c:numRef>
          </c:val>
          <c:extLst>
            <c:ext xmlns:c16="http://schemas.microsoft.com/office/drawing/2014/chart" uri="{C3380CC4-5D6E-409C-BE32-E72D297353CC}">
              <c16:uniqueId val="{00000000-EC84-404A-88AF-DB5A1ADA3477}"/>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SectorsNewOrders!$D$6:$D$11</c:f>
              <c:numCache>
                <c:formatCode>General</c:formatCode>
                <c:ptCount val="6"/>
                <c:pt idx="0">
                  <c:v>-2</c:v>
                </c:pt>
                <c:pt idx="1">
                  <c:v>15</c:v>
                </c:pt>
                <c:pt idx="2">
                  <c:v>0</c:v>
                </c:pt>
                <c:pt idx="3">
                  <c:v>14</c:v>
                </c:pt>
                <c:pt idx="4">
                  <c:v>9</c:v>
                </c:pt>
                <c:pt idx="5">
                  <c:v>0</c:v>
                </c:pt>
              </c:numCache>
            </c:numRef>
          </c:val>
          <c:extLst>
            <c:ext xmlns:c16="http://schemas.microsoft.com/office/drawing/2014/chart" uri="{C3380CC4-5D6E-409C-BE32-E72D297353CC}">
              <c16:uniqueId val="{00000000-A0E1-3240-AD41-4B732B3D29D4}"/>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SectorsNewOrders!$E$6:$E$11</c:f>
              <c:numCache>
                <c:formatCode>General</c:formatCode>
                <c:ptCount val="6"/>
                <c:pt idx="0">
                  <c:v>0</c:v>
                </c:pt>
                <c:pt idx="1">
                  <c:v>8</c:v>
                </c:pt>
                <c:pt idx="2">
                  <c:v>2</c:v>
                </c:pt>
                <c:pt idx="3">
                  <c:v>3</c:v>
                </c:pt>
                <c:pt idx="4">
                  <c:v>10</c:v>
                </c:pt>
                <c:pt idx="5">
                  <c:v>6</c:v>
                </c:pt>
              </c:numCache>
            </c:numRef>
          </c:val>
          <c:extLst>
            <c:ext xmlns:c16="http://schemas.microsoft.com/office/drawing/2014/chart" uri="{C3380CC4-5D6E-409C-BE32-E72D297353CC}">
              <c16:uniqueId val="{00000000-AFB7-424A-84CD-85B4241C7C4E}"/>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SectorsNewOrders!$F$6:$F$11</c:f>
              <c:numCache>
                <c:formatCode>General</c:formatCode>
                <c:ptCount val="6"/>
                <c:pt idx="0">
                  <c:v>0</c:v>
                </c:pt>
                <c:pt idx="1">
                  <c:v>-1</c:v>
                </c:pt>
                <c:pt idx="2">
                  <c:v>3</c:v>
                </c:pt>
                <c:pt idx="3">
                  <c:v>2</c:v>
                </c:pt>
                <c:pt idx="4">
                  <c:v>5</c:v>
                </c:pt>
                <c:pt idx="5">
                  <c:v>1</c:v>
                </c:pt>
              </c:numCache>
            </c:numRef>
          </c:val>
          <c:extLst>
            <c:ext xmlns:c16="http://schemas.microsoft.com/office/drawing/2014/chart" uri="{C3380CC4-5D6E-409C-BE32-E72D297353CC}">
              <c16:uniqueId val="{00000000-CF61-E34F-B5B7-5B9C66319884}"/>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SectorsNewOrders!$G$6:$G$11</c:f>
              <c:numCache>
                <c:formatCode>General</c:formatCode>
                <c:ptCount val="6"/>
                <c:pt idx="0">
                  <c:v>-3</c:v>
                </c:pt>
                <c:pt idx="1">
                  <c:v>5</c:v>
                </c:pt>
                <c:pt idx="2">
                  <c:v>10</c:v>
                </c:pt>
                <c:pt idx="3">
                  <c:v>5</c:v>
                </c:pt>
                <c:pt idx="4">
                  <c:v>13</c:v>
                </c:pt>
                <c:pt idx="5">
                  <c:v>-4</c:v>
                </c:pt>
              </c:numCache>
            </c:numRef>
          </c:val>
          <c:extLst>
            <c:ext xmlns:c16="http://schemas.microsoft.com/office/drawing/2014/chart" uri="{C3380CC4-5D6E-409C-BE32-E72D297353CC}">
              <c16:uniqueId val="{00000000-EEDB-C242-B4D6-0DEDCDDC361C}"/>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SectorsNewOrders!$H$6:$H$11</c:f>
              <c:numCache>
                <c:formatCode>General</c:formatCode>
                <c:ptCount val="6"/>
                <c:pt idx="0">
                  <c:v>5</c:v>
                </c:pt>
                <c:pt idx="1">
                  <c:v>3</c:v>
                </c:pt>
                <c:pt idx="2">
                  <c:v>1</c:v>
                </c:pt>
                <c:pt idx="3">
                  <c:v>4</c:v>
                </c:pt>
                <c:pt idx="4">
                  <c:v>3</c:v>
                </c:pt>
                <c:pt idx="5">
                  <c:v>0</c:v>
                </c:pt>
              </c:numCache>
            </c:numRef>
          </c:val>
          <c:extLst>
            <c:ext xmlns:c16="http://schemas.microsoft.com/office/drawing/2014/chart" uri="{C3380CC4-5D6E-409C-BE32-E72D297353CC}">
              <c16:uniqueId val="{00000000-E8FB-1948-96E9-02576A6DB10A}"/>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SectorsNewOrders!$I$6:$I$11</c:f>
              <c:numCache>
                <c:formatCode>General</c:formatCode>
                <c:ptCount val="6"/>
                <c:pt idx="0">
                  <c:v>0</c:v>
                </c:pt>
                <c:pt idx="1">
                  <c:v>11</c:v>
                </c:pt>
                <c:pt idx="2">
                  <c:v>11</c:v>
                </c:pt>
                <c:pt idx="3">
                  <c:v>10</c:v>
                </c:pt>
                <c:pt idx="4">
                  <c:v>7</c:v>
                </c:pt>
                <c:pt idx="5">
                  <c:v>11</c:v>
                </c:pt>
              </c:numCache>
            </c:numRef>
          </c:val>
          <c:extLst>
            <c:ext xmlns:c16="http://schemas.microsoft.com/office/drawing/2014/chart" uri="{C3380CC4-5D6E-409C-BE32-E72D297353CC}">
              <c16:uniqueId val="{00000000-5639-384F-8E73-DD25EAF311F2}"/>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SectorsNewOrders!$J$6:$J$11</c:f>
              <c:numCache>
                <c:formatCode>General</c:formatCode>
                <c:ptCount val="6"/>
                <c:pt idx="0">
                  <c:v>6</c:v>
                </c:pt>
                <c:pt idx="1">
                  <c:v>1</c:v>
                </c:pt>
                <c:pt idx="2">
                  <c:v>8</c:v>
                </c:pt>
                <c:pt idx="3">
                  <c:v>6</c:v>
                </c:pt>
                <c:pt idx="4">
                  <c:v>8</c:v>
                </c:pt>
                <c:pt idx="5">
                  <c:v>7</c:v>
                </c:pt>
              </c:numCache>
            </c:numRef>
          </c:val>
          <c:extLst>
            <c:ext xmlns:c16="http://schemas.microsoft.com/office/drawing/2014/chart" uri="{C3380CC4-5D6E-409C-BE32-E72D297353CC}">
              <c16:uniqueId val="{00000000-B27B-A241-A056-C1F9193E4EF6}"/>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SectorsNewOrders!$K$6:$K$11</c:f>
              <c:numCache>
                <c:formatCode>General</c:formatCode>
                <c:ptCount val="6"/>
                <c:pt idx="0">
                  <c:v>7</c:v>
                </c:pt>
                <c:pt idx="1">
                  <c:v>9</c:v>
                </c:pt>
                <c:pt idx="2">
                  <c:v>0</c:v>
                </c:pt>
                <c:pt idx="3">
                  <c:v>12</c:v>
                </c:pt>
                <c:pt idx="4">
                  <c:v>12</c:v>
                </c:pt>
                <c:pt idx="5">
                  <c:v>10</c:v>
                </c:pt>
              </c:numCache>
            </c:numRef>
          </c:val>
          <c:extLst>
            <c:ext xmlns:c16="http://schemas.microsoft.com/office/drawing/2014/chart" uri="{C3380CC4-5D6E-409C-BE32-E72D297353CC}">
              <c16:uniqueId val="{00000000-2D6E-364C-B1EB-820702AAAFE7}"/>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SectorsNewOrders!$L$6:$L$11</c:f>
              <c:numCache>
                <c:formatCode>General</c:formatCode>
                <c:ptCount val="6"/>
                <c:pt idx="0">
                  <c:v>10</c:v>
                </c:pt>
                <c:pt idx="1">
                  <c:v>7</c:v>
                </c:pt>
                <c:pt idx="2">
                  <c:v>5</c:v>
                </c:pt>
                <c:pt idx="3">
                  <c:v>15</c:v>
                </c:pt>
                <c:pt idx="4">
                  <c:v>-2</c:v>
                </c:pt>
                <c:pt idx="5">
                  <c:v>3</c:v>
                </c:pt>
              </c:numCache>
            </c:numRef>
          </c:val>
          <c:extLst>
            <c:ext xmlns:c16="http://schemas.microsoft.com/office/drawing/2014/chart" uri="{C3380CC4-5D6E-409C-BE32-E72D297353CC}">
              <c16:uniqueId val="{00000000-EF1D-3D40-94DE-5F729A8F4A71}"/>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SectorsNewOrders!$M$6:$M$11</c:f>
              <c:numCache>
                <c:formatCode>General</c:formatCode>
                <c:ptCount val="6"/>
                <c:pt idx="0">
                  <c:v>3</c:v>
                </c:pt>
                <c:pt idx="1">
                  <c:v>13</c:v>
                </c:pt>
                <c:pt idx="2">
                  <c:v>4</c:v>
                </c:pt>
                <c:pt idx="3">
                  <c:v>7</c:v>
                </c:pt>
                <c:pt idx="4">
                  <c:v>4</c:v>
                </c:pt>
                <c:pt idx="5">
                  <c:v>-1</c:v>
                </c:pt>
              </c:numCache>
            </c:numRef>
          </c:val>
          <c:extLst>
            <c:ext xmlns:c16="http://schemas.microsoft.com/office/drawing/2014/chart" uri="{C3380CC4-5D6E-409C-BE32-E72D297353CC}">
              <c16:uniqueId val="{00000000-AA31-7240-BDF6-4B0FF4B583A5}"/>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SectorsNewOrders!$N$6:$N$11</c:f>
              <c:numCache>
                <c:formatCode>General</c:formatCode>
                <c:ptCount val="6"/>
                <c:pt idx="0">
                  <c:v>4</c:v>
                </c:pt>
                <c:pt idx="1">
                  <c:v>2</c:v>
                </c:pt>
                <c:pt idx="2">
                  <c:v>6</c:v>
                </c:pt>
                <c:pt idx="3">
                  <c:v>1</c:v>
                </c:pt>
                <c:pt idx="4">
                  <c:v>1</c:v>
                </c:pt>
                <c:pt idx="5">
                  <c:v>8</c:v>
                </c:pt>
              </c:numCache>
            </c:numRef>
          </c:val>
          <c:extLst>
            <c:ext xmlns:c16="http://schemas.microsoft.com/office/drawing/2014/chart" uri="{C3380CC4-5D6E-409C-BE32-E72D297353CC}">
              <c16:uniqueId val="{00000000-FA12-9D4C-B11E-80A73F1B4AB0}"/>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SectorsNewOrders!$O$6:$O$11</c:f>
              <c:numCache>
                <c:formatCode>General</c:formatCode>
                <c:ptCount val="6"/>
                <c:pt idx="0">
                  <c:v>2</c:v>
                </c:pt>
                <c:pt idx="1">
                  <c:v>4</c:v>
                </c:pt>
                <c:pt idx="2">
                  <c:v>7</c:v>
                </c:pt>
                <c:pt idx="3">
                  <c:v>8</c:v>
                </c:pt>
                <c:pt idx="4">
                  <c:v>2</c:v>
                </c:pt>
                <c:pt idx="5">
                  <c:v>2</c:v>
                </c:pt>
              </c:numCache>
            </c:numRef>
          </c:val>
          <c:extLst>
            <c:ext xmlns:c16="http://schemas.microsoft.com/office/drawing/2014/chart" uri="{C3380CC4-5D6E-409C-BE32-E72D297353CC}">
              <c16:uniqueId val="{00000000-2D65-294A-B723-816A809E6084}"/>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SectorsNewOrders!$P$6:$P$11</c:f>
              <c:numCache>
                <c:formatCode>General</c:formatCode>
                <c:ptCount val="6"/>
                <c:pt idx="0">
                  <c:v>0</c:v>
                </c:pt>
                <c:pt idx="1">
                  <c:v>-2</c:v>
                </c:pt>
                <c:pt idx="2">
                  <c:v>0</c:v>
                </c:pt>
                <c:pt idx="3">
                  <c:v>-2</c:v>
                </c:pt>
                <c:pt idx="4">
                  <c:v>0</c:v>
                </c:pt>
                <c:pt idx="5">
                  <c:v>-5</c:v>
                </c:pt>
              </c:numCache>
            </c:numRef>
          </c:val>
          <c:extLst>
            <c:ext xmlns:c16="http://schemas.microsoft.com/office/drawing/2014/chart" uri="{C3380CC4-5D6E-409C-BE32-E72D297353CC}">
              <c16:uniqueId val="{00000000-4E22-E343-94E9-CA36237A66AE}"/>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SectorsNewOrders!$Q$6:$Q$11</c:f>
              <c:numCache>
                <c:formatCode>General</c:formatCode>
                <c:ptCount val="6"/>
                <c:pt idx="0">
                  <c:v>-1</c:v>
                </c:pt>
                <c:pt idx="1">
                  <c:v>6</c:v>
                </c:pt>
                <c:pt idx="2">
                  <c:v>0</c:v>
                </c:pt>
                <c:pt idx="3">
                  <c:v>-1</c:v>
                </c:pt>
                <c:pt idx="4">
                  <c:v>0</c:v>
                </c:pt>
                <c:pt idx="5">
                  <c:v>-2</c:v>
                </c:pt>
              </c:numCache>
            </c:numRef>
          </c:val>
          <c:extLst>
            <c:ext xmlns:c16="http://schemas.microsoft.com/office/drawing/2014/chart" uri="{C3380CC4-5D6E-409C-BE32-E72D297353CC}">
              <c16:uniqueId val="{00000000-FAF2-EE41-95FA-0373B816BDEC}"/>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SectorsNewOrders!$R$6:$R$11</c:f>
              <c:numCache>
                <c:formatCode>General</c:formatCode>
                <c:ptCount val="6"/>
                <c:pt idx="0">
                  <c:v>9</c:v>
                </c:pt>
                <c:pt idx="1">
                  <c:v>14</c:v>
                </c:pt>
                <c:pt idx="2">
                  <c:v>9</c:v>
                </c:pt>
                <c:pt idx="3">
                  <c:v>13</c:v>
                </c:pt>
                <c:pt idx="4">
                  <c:v>-1</c:v>
                </c:pt>
                <c:pt idx="5">
                  <c:v>9</c:v>
                </c:pt>
              </c:numCache>
            </c:numRef>
          </c:val>
          <c:extLst>
            <c:ext xmlns:c16="http://schemas.microsoft.com/office/drawing/2014/chart" uri="{C3380CC4-5D6E-409C-BE32-E72D297353CC}">
              <c16:uniqueId val="{00000000-903D-834B-B2FB-EEC346CAD597}"/>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44593</c:v>
                </c:pt>
                <c:pt idx="1">
                  <c:v>44621</c:v>
                </c:pt>
                <c:pt idx="2">
                  <c:v>44652</c:v>
                </c:pt>
                <c:pt idx="3">
                  <c:v>44682</c:v>
                </c:pt>
                <c:pt idx="4">
                  <c:v>44713</c:v>
                </c:pt>
                <c:pt idx="5">
                  <c:v>44743</c:v>
                </c:pt>
              </c:numCache>
            </c:numRef>
          </c:cat>
          <c:val>
            <c:numRef>
              <c:f>SectorsNewOrders!$S$6:$S$11</c:f>
              <c:numCache>
                <c:formatCode>General</c:formatCode>
                <c:ptCount val="6"/>
                <c:pt idx="0">
                  <c:v>11</c:v>
                </c:pt>
                <c:pt idx="1">
                  <c:v>12</c:v>
                </c:pt>
                <c:pt idx="2">
                  <c:v>12</c:v>
                </c:pt>
                <c:pt idx="3">
                  <c:v>11</c:v>
                </c:pt>
                <c:pt idx="4">
                  <c:v>11</c:v>
                </c:pt>
                <c:pt idx="5">
                  <c:v>4</c:v>
                </c:pt>
              </c:numCache>
            </c:numRef>
          </c:val>
          <c:extLst>
            <c:ext xmlns:c16="http://schemas.microsoft.com/office/drawing/2014/chart" uri="{C3380CC4-5D6E-409C-BE32-E72D297353CC}">
              <c16:uniqueId val="{00000000-EA9D-1146-86D5-CED897B4B043}"/>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Details!$B$6:$B$308</c:f>
              <c:numCache>
                <c:formatCode>0.00</c:formatCode>
                <c:ptCount val="303"/>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numCache>
            </c:numRef>
          </c:val>
          <c:smooth val="0"/>
          <c:extLst>
            <c:ext xmlns:c16="http://schemas.microsoft.com/office/drawing/2014/chart" uri="{C3380CC4-5D6E-409C-BE32-E72D297353CC}">
              <c16:uniqueId val="{00000000-13EE-3F43-BCE6-6E922E4736D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Details!$B$6:$B$308</c:f>
              <c:numCache>
                <c:formatCode>0.00</c:formatCode>
                <c:ptCount val="303"/>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pt idx="294">
                  <c:v>61.7</c:v>
                </c:pt>
                <c:pt idx="295">
                  <c:v>56.1</c:v>
                </c:pt>
                <c:pt idx="296">
                  <c:v>60.1</c:v>
                </c:pt>
                <c:pt idx="297">
                  <c:v>54.6</c:v>
                </c:pt>
                <c:pt idx="298">
                  <c:v>57.6</c:v>
                </c:pt>
                <c:pt idx="299">
                  <c:v>55.6</c:v>
                </c:pt>
                <c:pt idx="300">
                  <c:v>59.9</c:v>
                </c:pt>
              </c:numCache>
            </c:numRef>
          </c:val>
          <c:smooth val="0"/>
          <c:extLst>
            <c:ext xmlns:c16="http://schemas.microsoft.com/office/drawing/2014/chart" uri="{C3380CC4-5D6E-409C-BE32-E72D297353CC}">
              <c16:uniqueId val="{00000000-506A-DB4C-B2DF-262AB995E0B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Details!$C$6:$C$308</c:f>
              <c:numCache>
                <c:formatCode>General</c:formatCode>
                <c:ptCount val="303"/>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numCache>
            </c:numRef>
          </c:val>
          <c:smooth val="0"/>
          <c:extLst>
            <c:ext xmlns:c16="http://schemas.microsoft.com/office/drawing/2014/chart" uri="{C3380CC4-5D6E-409C-BE32-E72D297353CC}">
              <c16:uniqueId val="{00000000-57B2-FE4E-B4B5-989AE0D060E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Details!$C$6:$C$308</c:f>
              <c:numCache>
                <c:formatCode>General</c:formatCode>
                <c:ptCount val="303"/>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pt idx="294">
                  <c:v>51.1</c:v>
                </c:pt>
                <c:pt idx="295">
                  <c:v>51.7</c:v>
                </c:pt>
                <c:pt idx="296">
                  <c:v>45</c:v>
                </c:pt>
                <c:pt idx="297">
                  <c:v>52.9</c:v>
                </c:pt>
                <c:pt idx="298">
                  <c:v>52.8</c:v>
                </c:pt>
                <c:pt idx="299">
                  <c:v>46.3</c:v>
                </c:pt>
                <c:pt idx="300">
                  <c:v>48</c:v>
                </c:pt>
              </c:numCache>
            </c:numRef>
          </c:val>
          <c:smooth val="0"/>
          <c:extLst>
            <c:ext xmlns:c16="http://schemas.microsoft.com/office/drawing/2014/chart" uri="{C3380CC4-5D6E-409C-BE32-E72D297353CC}">
              <c16:uniqueId val="{00000000-3FF1-CF4D-8859-167D52BB5E0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Details!$D$6:$D$308</c:f>
              <c:numCache>
                <c:formatCode>General</c:formatCode>
                <c:ptCount val="303"/>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numCache>
            </c:numRef>
          </c:val>
          <c:smooth val="0"/>
          <c:extLst>
            <c:ext xmlns:c16="http://schemas.microsoft.com/office/drawing/2014/chart" uri="{C3380CC4-5D6E-409C-BE32-E72D297353CC}">
              <c16:uniqueId val="{00000000-B348-DF41-BB74-07D1A98C983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Details!$D$6:$D$308</c:f>
              <c:numCache>
                <c:formatCode>General</c:formatCode>
                <c:ptCount val="303"/>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pt idx="294">
                  <c:v>57.4</c:v>
                </c:pt>
                <c:pt idx="295">
                  <c:v>64.2</c:v>
                </c:pt>
                <c:pt idx="296">
                  <c:v>64.5</c:v>
                </c:pt>
                <c:pt idx="297">
                  <c:v>59.4</c:v>
                </c:pt>
                <c:pt idx="298">
                  <c:v>52</c:v>
                </c:pt>
                <c:pt idx="299">
                  <c:v>60.5</c:v>
                </c:pt>
                <c:pt idx="300">
                  <c:v>58.3</c:v>
                </c:pt>
              </c:numCache>
            </c:numRef>
          </c:val>
          <c:smooth val="0"/>
          <c:extLst>
            <c:ext xmlns:c16="http://schemas.microsoft.com/office/drawing/2014/chart" uri="{C3380CC4-5D6E-409C-BE32-E72D297353CC}">
              <c16:uniqueId val="{00000000-7F0B-1B4C-A2DA-41D43637F5C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Details!$E$6:$E$308</c:f>
              <c:numCache>
                <c:formatCode>General</c:formatCode>
                <c:ptCount val="303"/>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numCache>
            </c:numRef>
          </c:val>
          <c:smooth val="0"/>
          <c:extLst>
            <c:ext xmlns:c16="http://schemas.microsoft.com/office/drawing/2014/chart" uri="{C3380CC4-5D6E-409C-BE32-E72D297353CC}">
              <c16:uniqueId val="{00000000-85FC-A749-A688-78F944430F9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Details!$E$6:$E$308</c:f>
              <c:numCache>
                <c:formatCode>General</c:formatCode>
                <c:ptCount val="303"/>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pt idx="294">
                  <c:v>82.3</c:v>
                </c:pt>
                <c:pt idx="295">
                  <c:v>83.1</c:v>
                </c:pt>
                <c:pt idx="296">
                  <c:v>83.8</c:v>
                </c:pt>
                <c:pt idx="297">
                  <c:v>84.6</c:v>
                </c:pt>
                <c:pt idx="298">
                  <c:v>82.1</c:v>
                </c:pt>
                <c:pt idx="299">
                  <c:v>80.099999999999994</c:v>
                </c:pt>
                <c:pt idx="300">
                  <c:v>72.3</c:v>
                </c:pt>
              </c:numCache>
            </c:numRef>
          </c:val>
          <c:smooth val="0"/>
          <c:extLst>
            <c:ext xmlns:c16="http://schemas.microsoft.com/office/drawing/2014/chart" uri="{C3380CC4-5D6E-409C-BE32-E72D297353CC}">
              <c16:uniqueId val="{00000000-B0D9-9E4D-994A-F8B59A4875D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Details!$F$6:$F$308</c:f>
              <c:numCache>
                <c:formatCode>General</c:formatCode>
                <c:ptCount val="303"/>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numCache>
            </c:numRef>
          </c:val>
          <c:smooth val="0"/>
          <c:extLst>
            <c:ext xmlns:c16="http://schemas.microsoft.com/office/drawing/2014/chart" uri="{C3380CC4-5D6E-409C-BE32-E72D297353CC}">
              <c16:uniqueId val="{00000000-3E1F-F445-B37D-58D5B97D1E6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Details!$F$6:$F$308</c:f>
              <c:numCache>
                <c:formatCode>General</c:formatCode>
                <c:ptCount val="303"/>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pt idx="294">
                  <c:v>59.9</c:v>
                </c:pt>
                <c:pt idx="295">
                  <c:v>55.1</c:v>
                </c:pt>
                <c:pt idx="296">
                  <c:v>55.5</c:v>
                </c:pt>
                <c:pt idx="297">
                  <c:v>59.1</c:v>
                </c:pt>
                <c:pt idx="298">
                  <c:v>54.5</c:v>
                </c:pt>
                <c:pt idx="299">
                  <c:v>56.1</c:v>
                </c:pt>
                <c:pt idx="300">
                  <c:v>59.9</c:v>
                </c:pt>
              </c:numCache>
            </c:numRef>
          </c:val>
          <c:smooth val="0"/>
          <c:extLst>
            <c:ext xmlns:c16="http://schemas.microsoft.com/office/drawing/2014/chart" uri="{C3380CC4-5D6E-409C-BE32-E72D297353CC}">
              <c16:uniqueId val="{00000000-3212-2741-B54D-8DC2824F5A7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Details!$G$6:$G$308</c:f>
              <c:numCache>
                <c:formatCode>General</c:formatCode>
                <c:ptCount val="303"/>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numCache>
            </c:numRef>
          </c:val>
          <c:smooth val="0"/>
          <c:extLst>
            <c:ext xmlns:c16="http://schemas.microsoft.com/office/drawing/2014/chart" uri="{C3380CC4-5D6E-409C-BE32-E72D297353CC}">
              <c16:uniqueId val="{00000000-FBA2-BE48-B81D-3CA2103B79C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Details!$G$6:$G$308</c:f>
              <c:numCache>
                <c:formatCode>General</c:formatCode>
                <c:ptCount val="303"/>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pt idx="294">
                  <c:v>47.5</c:v>
                </c:pt>
                <c:pt idx="295">
                  <c:v>55.3</c:v>
                </c:pt>
                <c:pt idx="296">
                  <c:v>40.200000000000003</c:v>
                </c:pt>
                <c:pt idx="297">
                  <c:v>46.7</c:v>
                </c:pt>
                <c:pt idx="298">
                  <c:v>44.5</c:v>
                </c:pt>
                <c:pt idx="299">
                  <c:v>46.2</c:v>
                </c:pt>
                <c:pt idx="300">
                  <c:v>50.1</c:v>
                </c:pt>
              </c:numCache>
            </c:numRef>
          </c:val>
          <c:smooth val="0"/>
          <c:extLst>
            <c:ext xmlns:c16="http://schemas.microsoft.com/office/drawing/2014/chart" uri="{C3380CC4-5D6E-409C-BE32-E72D297353CC}">
              <c16:uniqueId val="{00000000-84ED-FD49-9FDC-FA050B01977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Details!$H$6:$H$308</c:f>
              <c:numCache>
                <c:formatCode>General</c:formatCode>
                <c:ptCount val="303"/>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numCache>
            </c:numRef>
          </c:val>
          <c:smooth val="0"/>
          <c:extLst>
            <c:ext xmlns:c16="http://schemas.microsoft.com/office/drawing/2014/chart" uri="{C3380CC4-5D6E-409C-BE32-E72D297353CC}">
              <c16:uniqueId val="{00000000-D983-1F4D-BCAD-63CF5CC2713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Details!$H$6:$H$308</c:f>
              <c:numCache>
                <c:formatCode>General</c:formatCode>
                <c:ptCount val="303"/>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pt idx="294">
                  <c:v>49.4</c:v>
                </c:pt>
                <c:pt idx="295">
                  <c:v>50.8</c:v>
                </c:pt>
                <c:pt idx="296">
                  <c:v>51.7</c:v>
                </c:pt>
                <c:pt idx="297">
                  <c:v>52.3</c:v>
                </c:pt>
                <c:pt idx="298">
                  <c:v>51</c:v>
                </c:pt>
                <c:pt idx="299">
                  <c:v>47.5</c:v>
                </c:pt>
                <c:pt idx="300">
                  <c:v>45</c:v>
                </c:pt>
              </c:numCache>
            </c:numRef>
          </c:val>
          <c:smooth val="0"/>
          <c:extLst>
            <c:ext xmlns:c16="http://schemas.microsoft.com/office/drawing/2014/chart" uri="{C3380CC4-5D6E-409C-BE32-E72D297353CC}">
              <c16:uniqueId val="{00000000-B7D0-2D4C-AB9E-BA9D3E8B227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Details!$I$6:$I$308</c:f>
              <c:numCache>
                <c:formatCode>General</c:formatCode>
                <c:ptCount val="303"/>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numCache>
            </c:numRef>
          </c:val>
          <c:smooth val="0"/>
          <c:extLst>
            <c:ext xmlns:c16="http://schemas.microsoft.com/office/drawing/2014/chart" uri="{C3380CC4-5D6E-409C-BE32-E72D297353CC}">
              <c16:uniqueId val="{00000000-65FD-B647-8353-D10CECEB4C7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Details!$I$6:$I$308</c:f>
              <c:numCache>
                <c:formatCode>General</c:formatCode>
                <c:ptCount val="303"/>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pt idx="294">
                  <c:v>65.7</c:v>
                </c:pt>
                <c:pt idx="295">
                  <c:v>66.2</c:v>
                </c:pt>
                <c:pt idx="296">
                  <c:v>63.4</c:v>
                </c:pt>
                <c:pt idx="297">
                  <c:v>65.099999999999994</c:v>
                </c:pt>
                <c:pt idx="298">
                  <c:v>61.3</c:v>
                </c:pt>
                <c:pt idx="299">
                  <c:v>61.9</c:v>
                </c:pt>
                <c:pt idx="300">
                  <c:v>57.8</c:v>
                </c:pt>
              </c:numCache>
            </c:numRef>
          </c:val>
          <c:smooth val="0"/>
          <c:extLst>
            <c:ext xmlns:c16="http://schemas.microsoft.com/office/drawing/2014/chart" uri="{C3380CC4-5D6E-409C-BE32-E72D297353CC}">
              <c16:uniqueId val="{00000000-80F1-0F4F-91A1-EBE1199F586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Details!$J$6:$J$308</c:f>
              <c:numCache>
                <c:formatCode>General</c:formatCode>
                <c:ptCount val="303"/>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numCache>
            </c:numRef>
          </c:val>
          <c:smooth val="0"/>
          <c:extLst>
            <c:ext xmlns:c16="http://schemas.microsoft.com/office/drawing/2014/chart" uri="{C3380CC4-5D6E-409C-BE32-E72D297353CC}">
              <c16:uniqueId val="{00000000-8BDA-BC4C-B1ED-734842EF9EA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Details!$J$6:$J$308</c:f>
              <c:numCache>
                <c:formatCode>General</c:formatCode>
                <c:ptCount val="303"/>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pt idx="294">
                  <c:v>52.3</c:v>
                </c:pt>
                <c:pt idx="295">
                  <c:v>48.5</c:v>
                </c:pt>
                <c:pt idx="296">
                  <c:v>54</c:v>
                </c:pt>
                <c:pt idx="297">
                  <c:v>49.5</c:v>
                </c:pt>
                <c:pt idx="298">
                  <c:v>50.2</c:v>
                </c:pt>
                <c:pt idx="299">
                  <c:v>47.4</c:v>
                </c:pt>
                <c:pt idx="300">
                  <c:v>49.1</c:v>
                </c:pt>
              </c:numCache>
            </c:numRef>
          </c:val>
          <c:smooth val="0"/>
          <c:extLst>
            <c:ext xmlns:c16="http://schemas.microsoft.com/office/drawing/2014/chart" uri="{C3380CC4-5D6E-409C-BE32-E72D297353CC}">
              <c16:uniqueId val="{00000000-FB7B-7840-A5EB-263E403CA1A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Details!$K$6:$K$308</c:f>
              <c:numCache>
                <c:formatCode>General</c:formatCode>
                <c:ptCount val="303"/>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numCache>
            </c:numRef>
          </c:val>
          <c:smooth val="0"/>
          <c:extLst>
            <c:ext xmlns:c16="http://schemas.microsoft.com/office/drawing/2014/chart" uri="{C3380CC4-5D6E-409C-BE32-E72D297353CC}">
              <c16:uniqueId val="{00000000-00CE-5A4A-8114-A8D9FC2C713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Details!$A$6:$A$308</c:f>
              <c:numCache>
                <c:formatCode>m/d/yy</c:formatCode>
                <c:ptCount val="303"/>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Details!$K$6:$K$308</c:f>
              <c:numCache>
                <c:formatCode>General</c:formatCode>
                <c:ptCount val="303"/>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pt idx="294">
                  <c:v>45.9</c:v>
                </c:pt>
                <c:pt idx="295">
                  <c:v>53</c:v>
                </c:pt>
                <c:pt idx="296">
                  <c:v>61</c:v>
                </c:pt>
                <c:pt idx="297">
                  <c:v>58.1</c:v>
                </c:pt>
                <c:pt idx="298">
                  <c:v>60.9</c:v>
                </c:pt>
                <c:pt idx="299">
                  <c:v>57.5</c:v>
                </c:pt>
                <c:pt idx="300">
                  <c:v>59.5</c:v>
                </c:pt>
              </c:numCache>
            </c:numRef>
          </c:val>
          <c:smooth val="0"/>
          <c:extLst>
            <c:ext xmlns:c16="http://schemas.microsoft.com/office/drawing/2014/chart" uri="{C3380CC4-5D6E-409C-BE32-E72D297353CC}">
              <c16:uniqueId val="{00000000-9E33-0C4D-BBF7-47492888584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GDP'!$C$6:$C$306</c:f>
              <c:numCache>
                <c:formatCode>0.00%</c:formatCode>
                <c:ptCount val="301"/>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pt idx="294">
                  <c:v>5.5317363621841711E-2</c:v>
                </c:pt>
                <c:pt idx="295">
                  <c:v>5.5317363621841711E-2</c:v>
                </c:pt>
                <c:pt idx="296">
                  <c:v>5.5317363621841711E-2</c:v>
                </c:pt>
                <c:pt idx="297">
                  <c:v>5.5317363621841711E-2</c:v>
                </c:pt>
                <c:pt idx="298">
                  <c:v>5.5317363621841711E-2</c:v>
                </c:pt>
                <c:pt idx="299">
                  <c:v>5.5317363621841711E-2</c:v>
                </c:pt>
                <c:pt idx="300">
                  <c:v>5.5317363621841711E-2</c:v>
                </c:pt>
              </c:numCache>
            </c:numRef>
          </c:val>
          <c:extLst>
            <c:ext xmlns:c16="http://schemas.microsoft.com/office/drawing/2014/chart" uri="{C3380CC4-5D6E-409C-BE32-E72D297353CC}">
              <c16:uniqueId val="{00000000-54E7-904F-BF58-7C3098CDDA74}"/>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GDP'!$B$6:$B$306</c:f>
              <c:numCache>
                <c:formatCode>0.00</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1-54E7-904F-BF58-7C3098CDDA74}"/>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GDP'!$E$6:$E$306</c:f>
              <c:numCache>
                <c:formatCode>0.00%</c:formatCode>
                <c:ptCount val="301"/>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pt idx="294">
                  <c:v>6.8874405829691066E-2</c:v>
                </c:pt>
                <c:pt idx="295">
                  <c:v>6.8874405829691066E-2</c:v>
                </c:pt>
                <c:pt idx="296">
                  <c:v>6.8874405829691066E-2</c:v>
                </c:pt>
                <c:pt idx="297">
                  <c:v>6.8874405829691066E-2</c:v>
                </c:pt>
                <c:pt idx="298">
                  <c:v>6.8874405829691066E-2</c:v>
                </c:pt>
                <c:pt idx="299">
                  <c:v>6.8874405829691066E-2</c:v>
                </c:pt>
                <c:pt idx="300">
                  <c:v>6.8874405829691066E-2</c:v>
                </c:pt>
              </c:numCache>
            </c:numRef>
          </c:val>
          <c:extLst>
            <c:ext xmlns:c16="http://schemas.microsoft.com/office/drawing/2014/chart" uri="{C3380CC4-5D6E-409C-BE32-E72D297353CC}">
              <c16:uniqueId val="{00000000-0D37-CA46-BF46-2AEBA65A0037}"/>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 vs GDP'!$B$6:$B$306</c:f>
              <c:numCache>
                <c:formatCode>0.00</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1-0D37-CA46-BF46-2AEBA65A0037}"/>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Services'!$A$6:$A$306</c:f>
              <c:numCache>
                <c:formatCode>m/d/yy</c:formatCode>
                <c:ptCount val="301"/>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pt idx="294">
                  <c:v>44562</c:v>
                </c:pt>
                <c:pt idx="295">
                  <c:v>44593</c:v>
                </c:pt>
                <c:pt idx="296">
                  <c:v>44621</c:v>
                </c:pt>
                <c:pt idx="297">
                  <c:v>44652</c:v>
                </c:pt>
                <c:pt idx="298">
                  <c:v>44682</c:v>
                </c:pt>
                <c:pt idx="299">
                  <c:v>44713</c:v>
                </c:pt>
                <c:pt idx="300">
                  <c:v>44743</c:v>
                </c:pt>
              </c:numCache>
            </c:numRef>
          </c:cat>
          <c:val>
            <c:numRef>
              <c:f>'ISM Services'!$B$6:$B$306</c:f>
              <c:numCache>
                <c:formatCode>General</c:formatCode>
                <c:ptCount val="301"/>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pt idx="294">
                  <c:v>59.9</c:v>
                </c:pt>
                <c:pt idx="295">
                  <c:v>56.5</c:v>
                </c:pt>
                <c:pt idx="296">
                  <c:v>58.3</c:v>
                </c:pt>
                <c:pt idx="297">
                  <c:v>57.1</c:v>
                </c:pt>
                <c:pt idx="298">
                  <c:v>55.9</c:v>
                </c:pt>
                <c:pt idx="299">
                  <c:v>55.3</c:v>
                </c:pt>
                <c:pt idx="300">
                  <c:v>56.7</c:v>
                </c:pt>
              </c:numCache>
            </c:numRef>
          </c:val>
          <c:smooth val="0"/>
          <c:extLst>
            <c:ext xmlns:c16="http://schemas.microsoft.com/office/drawing/2014/chart" uri="{C3380CC4-5D6E-409C-BE32-E72D297353CC}">
              <c16:uniqueId val="{00000000-2F13-5F46-B7E8-7C2400CB486D}"/>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597460</xdr:colOff>
      <xdr:row>274</xdr:row>
      <xdr:rowOff>119530</xdr:rowOff>
    </xdr:from>
    <xdr:to>
      <xdr:col>15</xdr:col>
      <xdr:colOff>104588</xdr:colOff>
      <xdr:row>294</xdr:row>
      <xdr:rowOff>140635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600634</xdr:colOff>
      <xdr:row>295</xdr:row>
      <xdr:rowOff>24467</xdr:rowOff>
    </xdr:from>
    <xdr:to>
      <xdr:col>15</xdr:col>
      <xdr:colOff>104588</xdr:colOff>
      <xdr:row>314</xdr:row>
      <xdr:rowOff>164353</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278</xdr:row>
      <xdr:rowOff>13370</xdr:rowOff>
    </xdr:from>
    <xdr:to>
      <xdr:col>10</xdr:col>
      <xdr:colOff>327526</xdr:colOff>
      <xdr:row>299</xdr:row>
      <xdr:rowOff>20721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306" totalsRowShown="0" headerRowDxfId="134" dataDxfId="132" headerRowBorderDxfId="133">
  <autoFilter ref="A5:L306"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306" totalsRowShown="0" headerRowDxfId="119" dataDxfId="117" headerRowBorderDxfId="118" tableBorderDxfId="116" totalsRowBorderDxfId="115">
  <autoFilter ref="A5:E306"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306" totalsRowShown="0" headerRowDxfId="109" dataDxfId="107" headerRowBorderDxfId="108">
  <autoFilter ref="A5:C306"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28"/>
  <sheetViews>
    <sheetView topLeftCell="I4" zoomScale="150" zoomScaleNormal="150" workbookViewId="0">
      <selection activeCell="C362" sqref="C362"/>
    </sheetView>
  </sheetViews>
  <sheetFormatPr baseColWidth="10" defaultColWidth="9.1640625" defaultRowHeight="15" x14ac:dyDescent="0.2"/>
  <cols>
    <col min="1" max="1" width="15.6640625"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38" width="9.1640625" style="66" customWidth="1"/>
    <col min="39" max="16384" width="9.1640625" style="66"/>
  </cols>
  <sheetData>
    <row r="1" spans="2:21" ht="16" customHeight="1" thickBot="1" x14ac:dyDescent="0.25">
      <c r="B1" s="78"/>
      <c r="C1" s="79"/>
      <c r="D1" s="79"/>
      <c r="E1" s="79"/>
      <c r="F1" s="79"/>
      <c r="G1" s="79"/>
      <c r="H1" s="79"/>
      <c r="I1" s="79"/>
      <c r="J1" s="79"/>
    </row>
    <row r="3" spans="2:21" ht="227.25" customHeight="1" x14ac:dyDescent="0.2">
      <c r="B3" s="80" t="s">
        <v>0</v>
      </c>
      <c r="C3" s="70"/>
      <c r="D3" s="70"/>
      <c r="E3" s="70"/>
      <c r="F3" s="70"/>
      <c r="G3" s="70"/>
      <c r="H3" s="70"/>
      <c r="I3" s="70"/>
      <c r="J3" s="70"/>
    </row>
    <row r="4" spans="2:21" ht="24" customHeight="1" x14ac:dyDescent="0.2">
      <c r="B4" s="9" t="s">
        <v>1</v>
      </c>
      <c r="C4" s="67"/>
      <c r="D4" s="67"/>
      <c r="E4" s="67"/>
      <c r="F4" s="67"/>
      <c r="G4" s="67"/>
      <c r="H4" s="67"/>
      <c r="I4" s="67"/>
      <c r="J4" s="67"/>
    </row>
    <row r="5" spans="2:21" ht="24" customHeight="1" x14ac:dyDescent="0.2">
      <c r="B5" s="9" t="s">
        <v>2</v>
      </c>
      <c r="C5" s="67"/>
      <c r="D5" s="67"/>
      <c r="E5" s="67"/>
      <c r="F5" s="67"/>
      <c r="G5" s="67"/>
      <c r="H5" s="67"/>
      <c r="I5" s="67"/>
      <c r="J5" s="67"/>
    </row>
    <row r="6" spans="2:21" ht="16" customHeight="1" thickBot="1" x14ac:dyDescent="0.25">
      <c r="B6" s="12"/>
      <c r="C6" s="13"/>
      <c r="D6" s="13"/>
      <c r="E6" s="13"/>
    </row>
    <row r="7" spans="2:21" ht="16" customHeight="1" thickBot="1" x14ac:dyDescent="0.25">
      <c r="B7" s="81" t="s">
        <v>3</v>
      </c>
      <c r="C7" s="82"/>
      <c r="D7" s="82"/>
      <c r="E7" s="82"/>
      <c r="F7" s="82"/>
      <c r="G7" s="82"/>
      <c r="H7" s="82"/>
      <c r="I7" s="82"/>
      <c r="J7" s="72"/>
      <c r="N7" s="75" t="s">
        <v>4</v>
      </c>
      <c r="O7" s="76"/>
      <c r="P7" s="76"/>
      <c r="Q7" s="76"/>
      <c r="R7" s="76"/>
      <c r="S7" s="76"/>
      <c r="T7" s="76"/>
      <c r="U7" s="77"/>
    </row>
    <row r="8" spans="2:21" x14ac:dyDescent="0.2">
      <c r="N8" s="14" t="s">
        <v>5</v>
      </c>
      <c r="T8" s="14" t="s">
        <v>6</v>
      </c>
    </row>
    <row r="9" spans="2:21" ht="16" customHeight="1" thickBot="1" x14ac:dyDescent="0.25">
      <c r="B9" s="81" t="s">
        <v>7</v>
      </c>
      <c r="C9" s="82"/>
      <c r="D9" s="82"/>
      <c r="E9" s="82"/>
      <c r="F9" s="72"/>
      <c r="G9" s="81" t="s">
        <v>8</v>
      </c>
      <c r="H9" s="82"/>
      <c r="I9" s="82"/>
      <c r="J9" s="72"/>
    </row>
    <row r="10" spans="2:21" x14ac:dyDescent="0.2">
      <c r="P10" s="15">
        <v>44743</v>
      </c>
      <c r="Q10" s="16">
        <f>DATE(YEAR(P10),MONTH(P10)-1,DAY(P10))</f>
        <v>44713</v>
      </c>
      <c r="R10" s="17"/>
      <c r="T10" s="18" t="s">
        <v>9</v>
      </c>
      <c r="U10" s="18" t="s">
        <v>10</v>
      </c>
    </row>
    <row r="11" spans="2:21" ht="16" customHeight="1" thickBot="1" x14ac:dyDescent="0.25">
      <c r="B11" s="70" t="s">
        <v>11</v>
      </c>
      <c r="C11" s="70"/>
      <c r="D11" s="70"/>
      <c r="E11" s="70"/>
      <c r="F11" s="70"/>
      <c r="G11" s="70" t="s">
        <v>12</v>
      </c>
      <c r="H11" s="70"/>
      <c r="I11" s="70"/>
      <c r="J11" s="70"/>
      <c r="P11" s="19" t="s">
        <v>13</v>
      </c>
      <c r="Q11" s="19" t="s">
        <v>13</v>
      </c>
      <c r="R11" s="20" t="s">
        <v>14</v>
      </c>
      <c r="T11" s="21" t="s">
        <v>15</v>
      </c>
      <c r="U11" s="22">
        <v>18</v>
      </c>
    </row>
    <row r="12" spans="2:21" ht="30.75" customHeight="1" x14ac:dyDescent="0.2">
      <c r="G12" s="83" t="s">
        <v>16</v>
      </c>
      <c r="H12" s="70"/>
      <c r="I12" s="70"/>
      <c r="J12" s="70"/>
      <c r="N12" s="84" t="s">
        <v>17</v>
      </c>
      <c r="O12" s="85"/>
      <c r="P12" s="23">
        <f>VLOOKUP($P$10,Details!$A:$L,MATCH(Note!N12,Table91213[#Headers],),)</f>
        <v>56.7</v>
      </c>
      <c r="Q12" s="23">
        <f>VLOOKUP($Q$10,Details!$A:$L,MATCH(Note!N12,Table91213[#Headers],),)</f>
        <v>55.3</v>
      </c>
      <c r="R12" s="24">
        <f t="shared" ref="R12:R22" si="0">P12-Q12</f>
        <v>1.4000000000000057</v>
      </c>
      <c r="T12" s="21" t="s">
        <v>18</v>
      </c>
      <c r="U12" s="22">
        <v>17</v>
      </c>
    </row>
    <row r="13" spans="2:21" ht="15" customHeight="1" x14ac:dyDescent="0.2">
      <c r="B13" s="83" t="s">
        <v>19</v>
      </c>
      <c r="C13" s="70"/>
      <c r="D13" s="70"/>
      <c r="E13" s="70"/>
      <c r="F13" s="70"/>
      <c r="G13" s="70"/>
      <c r="H13" s="70"/>
      <c r="I13" s="70"/>
      <c r="J13" s="70"/>
      <c r="N13" s="71" t="s">
        <v>20</v>
      </c>
      <c r="O13" s="72"/>
      <c r="P13" s="68">
        <f>VLOOKUP($P$10,Details!$A:$L,MATCH(Note!N13,Table91213[#Headers],),)</f>
        <v>59.9</v>
      </c>
      <c r="Q13" s="68">
        <f>VLOOKUP($Q$10,Details!$A:$L,MATCH(Note!N13,Table91213[#Headers],),)</f>
        <v>55.6</v>
      </c>
      <c r="R13" s="25">
        <f t="shared" si="0"/>
        <v>4.2999999999999972</v>
      </c>
      <c r="T13" s="21" t="s">
        <v>21</v>
      </c>
      <c r="U13" s="22">
        <v>16</v>
      </c>
    </row>
    <row r="14" spans="2:21" x14ac:dyDescent="0.2">
      <c r="B14" s="70" t="s">
        <v>22</v>
      </c>
      <c r="C14" s="70"/>
      <c r="D14" s="70"/>
      <c r="E14" s="70"/>
      <c r="F14" s="70"/>
      <c r="N14" s="71" t="s">
        <v>23</v>
      </c>
      <c r="O14" s="72"/>
      <c r="P14" s="68">
        <f>VLOOKUP($P$10,Details!$A:$L,MATCH(Note!N14,Table91213[#Headers],),)</f>
        <v>48</v>
      </c>
      <c r="Q14" s="68">
        <f>VLOOKUP($Q$10,Details!$A:$L,MATCH(Note!N14,Table91213[#Headers],),)</f>
        <v>46.3</v>
      </c>
      <c r="R14" s="25">
        <f t="shared" si="0"/>
        <v>1.7000000000000028</v>
      </c>
      <c r="T14" s="21" t="s">
        <v>24</v>
      </c>
      <c r="U14" s="22">
        <v>15</v>
      </c>
    </row>
    <row r="15" spans="2:21" x14ac:dyDescent="0.2">
      <c r="B15" s="70" t="s">
        <v>25</v>
      </c>
      <c r="C15" s="70"/>
      <c r="D15" s="70"/>
      <c r="E15" s="70"/>
      <c r="F15" s="70"/>
      <c r="N15" s="71" t="s">
        <v>26</v>
      </c>
      <c r="O15" s="72"/>
      <c r="P15" s="68">
        <f>VLOOKUP($P$10,Details!$A:$L,MATCH(Note!N15,Table91213[#Headers],),)</f>
        <v>58.3</v>
      </c>
      <c r="Q15" s="68">
        <f>VLOOKUP($Q$10,Details!$A:$L,MATCH(Note!N15,Table91213[#Headers],),)</f>
        <v>60.5</v>
      </c>
      <c r="R15" s="25">
        <f t="shared" si="0"/>
        <v>-2.2000000000000028</v>
      </c>
      <c r="T15" s="21" t="s">
        <v>27</v>
      </c>
      <c r="U15" s="22">
        <v>14</v>
      </c>
    </row>
    <row r="16" spans="2:21" x14ac:dyDescent="0.2">
      <c r="N16" s="71" t="s">
        <v>28</v>
      </c>
      <c r="O16" s="72"/>
      <c r="P16" s="68">
        <f>VLOOKUP($P$10,Details!$A:$L,MATCH(Note!N16,Table91213[#Headers],),)</f>
        <v>72.3</v>
      </c>
      <c r="Q16" s="68">
        <f>VLOOKUP($Q$10,Details!$A:$L,MATCH(Note!N16,Table91213[#Headers],),)</f>
        <v>80.099999999999994</v>
      </c>
      <c r="R16" s="25">
        <f t="shared" si="0"/>
        <v>-7.7999999999999972</v>
      </c>
      <c r="T16" s="21" t="s">
        <v>29</v>
      </c>
      <c r="U16" s="22">
        <v>13</v>
      </c>
    </row>
    <row r="17" spans="2:21" x14ac:dyDescent="0.2">
      <c r="B17" s="70"/>
      <c r="C17" s="70"/>
      <c r="D17" s="70"/>
      <c r="E17" s="70"/>
      <c r="F17" s="70"/>
      <c r="G17" s="70"/>
      <c r="H17" s="70"/>
      <c r="I17" s="70"/>
      <c r="J17" s="70"/>
      <c r="N17" s="71" t="s">
        <v>30</v>
      </c>
      <c r="O17" s="72"/>
      <c r="P17" s="68">
        <f>VLOOKUP($P$10,Details!$A:$L,MATCH(Note!N17,Table91213[#Headers],),)</f>
        <v>59.9</v>
      </c>
      <c r="Q17" s="68">
        <f>VLOOKUP($Q$10,Details!$A:$L,MATCH(Note!N17,Table91213[#Headers],),)</f>
        <v>56.1</v>
      </c>
      <c r="R17" s="25">
        <f t="shared" si="0"/>
        <v>3.7999999999999972</v>
      </c>
      <c r="T17" s="21" t="s">
        <v>31</v>
      </c>
      <c r="U17" s="22">
        <v>12</v>
      </c>
    </row>
    <row r="18" spans="2:21" x14ac:dyDescent="0.2">
      <c r="B18" s="70"/>
      <c r="C18" s="70"/>
      <c r="D18" s="70"/>
      <c r="E18" s="70"/>
      <c r="F18" s="70"/>
      <c r="G18" s="70"/>
      <c r="H18" s="70"/>
      <c r="I18" s="70"/>
      <c r="J18" s="70"/>
      <c r="N18" s="71" t="s">
        <v>32</v>
      </c>
      <c r="O18" s="72"/>
      <c r="P18" s="68">
        <f>VLOOKUP($P$10,Details!$A:$L,MATCH(Note!N18,Table91213[#Headers],),)</f>
        <v>50.1</v>
      </c>
      <c r="Q18" s="68">
        <f>VLOOKUP($Q$10,Details!$A:$L,MATCH(Note!N18,Table91213[#Headers],),)</f>
        <v>46.2</v>
      </c>
      <c r="R18" s="25">
        <f t="shared" si="0"/>
        <v>3.8999999999999986</v>
      </c>
      <c r="T18" s="21" t="s">
        <v>33</v>
      </c>
      <c r="U18" s="22">
        <v>11</v>
      </c>
    </row>
    <row r="19" spans="2:21" x14ac:dyDescent="0.2">
      <c r="B19" s="70"/>
      <c r="C19" s="70"/>
      <c r="D19" s="70"/>
      <c r="E19" s="70"/>
      <c r="F19" s="70"/>
      <c r="G19" s="70"/>
      <c r="H19" s="70"/>
      <c r="I19" s="70"/>
      <c r="J19" s="70"/>
      <c r="N19" s="71" t="s">
        <v>34</v>
      </c>
      <c r="O19" s="72"/>
      <c r="P19" s="68">
        <f>VLOOKUP($P$10,Details!$A:$L,MATCH(Note!N19,Table91213[#Headers],),)</f>
        <v>45</v>
      </c>
      <c r="Q19" s="68">
        <f>VLOOKUP($Q$10,Details!$A:$L,MATCH(Note!N19,Table91213[#Headers],),)</f>
        <v>47.5</v>
      </c>
      <c r="R19" s="25">
        <f t="shared" si="0"/>
        <v>-2.5</v>
      </c>
      <c r="T19" s="21" t="s">
        <v>35</v>
      </c>
      <c r="U19" s="22">
        <v>10</v>
      </c>
    </row>
    <row r="20" spans="2:21" x14ac:dyDescent="0.2">
      <c r="B20" s="70"/>
      <c r="C20" s="70"/>
      <c r="D20" s="70"/>
      <c r="E20" s="70"/>
      <c r="F20" s="70"/>
      <c r="N20" s="71" t="s">
        <v>36</v>
      </c>
      <c r="O20" s="72"/>
      <c r="P20" s="68">
        <f>VLOOKUP($P$10,Details!$A:$L,MATCH(Note!N20,Table91213[#Headers],),)</f>
        <v>57.8</v>
      </c>
      <c r="Q20" s="68">
        <f>VLOOKUP($Q$10,Details!$A:$L,MATCH(Note!N20,Table91213[#Headers],),)</f>
        <v>61.9</v>
      </c>
      <c r="R20" s="25">
        <f t="shared" si="0"/>
        <v>-4.1000000000000014</v>
      </c>
      <c r="T20" s="21" t="s">
        <v>37</v>
      </c>
      <c r="U20" s="22">
        <v>9</v>
      </c>
    </row>
    <row r="21" spans="2:21" x14ac:dyDescent="0.2">
      <c r="B21" s="70"/>
      <c r="C21" s="70"/>
      <c r="D21" s="70"/>
      <c r="E21" s="70"/>
      <c r="F21" s="70"/>
      <c r="N21" s="71" t="s">
        <v>38</v>
      </c>
      <c r="O21" s="72"/>
      <c r="P21" s="68">
        <f>VLOOKUP($P$10,Details!$A:$L,MATCH(Note!N21,Table91213[#Headers],),)</f>
        <v>49.1</v>
      </c>
      <c r="Q21" s="68">
        <f>VLOOKUP($Q$10,Details!$A:$L,MATCH(Note!N21,Table91213[#Headers],),)</f>
        <v>47.4</v>
      </c>
      <c r="R21" s="25">
        <f t="shared" si="0"/>
        <v>1.7000000000000028</v>
      </c>
      <c r="T21" s="21" t="s">
        <v>39</v>
      </c>
      <c r="U21" s="22">
        <v>8</v>
      </c>
    </row>
    <row r="22" spans="2:21" ht="16" customHeight="1" thickBot="1" x14ac:dyDescent="0.25">
      <c r="N22" s="73" t="s">
        <v>40</v>
      </c>
      <c r="O22" s="74"/>
      <c r="P22" s="26">
        <f>VLOOKUP($P$10,Details!$A:$L,MATCH(Note!N22,Table91213[#Headers],),)</f>
        <v>59.5</v>
      </c>
      <c r="Q22" s="26">
        <f>VLOOKUP($Q$10,Details!$A:$L,MATCH(Note!N22,Table91213[#Headers],),)</f>
        <v>57.5</v>
      </c>
      <c r="R22" s="27">
        <f t="shared" si="0"/>
        <v>2</v>
      </c>
      <c r="T22" s="21" t="s">
        <v>41</v>
      </c>
      <c r="U22" s="22">
        <v>7</v>
      </c>
    </row>
    <row r="23" spans="2:21" x14ac:dyDescent="0.2">
      <c r="T23" s="21" t="s">
        <v>42</v>
      </c>
      <c r="U23" s="22">
        <v>6</v>
      </c>
    </row>
    <row r="24" spans="2:21" x14ac:dyDescent="0.2">
      <c r="T24" s="21" t="s">
        <v>43</v>
      </c>
      <c r="U24" s="22">
        <v>5</v>
      </c>
    </row>
    <row r="25" spans="2:21" x14ac:dyDescent="0.2">
      <c r="T25" s="21" t="s">
        <v>44</v>
      </c>
      <c r="U25" s="22">
        <v>4</v>
      </c>
    </row>
    <row r="26" spans="2:21" x14ac:dyDescent="0.2">
      <c r="T26" s="21" t="s">
        <v>45</v>
      </c>
      <c r="U26" s="22">
        <v>3</v>
      </c>
    </row>
    <row r="27" spans="2:21" x14ac:dyDescent="0.2">
      <c r="T27" s="21" t="s">
        <v>46</v>
      </c>
      <c r="U27" s="22">
        <v>2</v>
      </c>
    </row>
    <row r="28" spans="2:21" ht="30" customHeight="1" x14ac:dyDescent="0.2">
      <c r="T28" s="21" t="s">
        <v>47</v>
      </c>
      <c r="U28" s="22">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dxfId="103" priority="6" operator="lessThan">
      <formula>0</formula>
    </cfRule>
    <cfRule type="cellIs" dxfId="102" priority="7" operator="greaterThan">
      <formula>0</formula>
    </cfRule>
  </conditionalFormatting>
  <conditionalFormatting sqref="U11:U28">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4" r:id="rId1" xr:uid="{00000000-0004-0000-0000-000000000000}"/>
    <hyperlink ref="B5" r:id="rId2" xr:uid="{00000000-0004-0000-0000-000001000000}"/>
  </hyperlinks>
  <pageMargins left="0.7" right="0.7" top="0.75" bottom="0.75" header="0.3" footer="0.3"/>
  <pageSetup paperSize="9" orientation="portrait" horizontalDpi="0" verticalDpi="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33"/>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row r="26" spans="1:19" x14ac:dyDescent="0.2">
      <c r="A26" s="69">
        <v>44562</v>
      </c>
      <c r="B26">
        <v>17</v>
      </c>
      <c r="C26">
        <v>1</v>
      </c>
      <c r="D26">
        <v>5</v>
      </c>
      <c r="E26">
        <v>14</v>
      </c>
      <c r="F26">
        <v>6</v>
      </c>
      <c r="G26">
        <v>3</v>
      </c>
      <c r="H26">
        <v>12</v>
      </c>
      <c r="I26">
        <v>9</v>
      </c>
      <c r="J26">
        <v>16</v>
      </c>
      <c r="K26">
        <v>11</v>
      </c>
      <c r="L26">
        <v>7</v>
      </c>
      <c r="M26">
        <v>8</v>
      </c>
      <c r="N26">
        <v>18</v>
      </c>
      <c r="O26">
        <v>4</v>
      </c>
      <c r="P26">
        <v>2</v>
      </c>
      <c r="Q26">
        <v>15</v>
      </c>
      <c r="R26">
        <v>13</v>
      </c>
      <c r="S26">
        <v>10</v>
      </c>
    </row>
    <row r="27" spans="1:19" x14ac:dyDescent="0.2">
      <c r="A27" s="69">
        <v>44593</v>
      </c>
      <c r="B27">
        <v>11</v>
      </c>
      <c r="C27">
        <v>5</v>
      </c>
      <c r="D27">
        <v>3</v>
      </c>
      <c r="E27">
        <v>2</v>
      </c>
      <c r="F27">
        <v>7</v>
      </c>
      <c r="G27">
        <v>6</v>
      </c>
      <c r="H27">
        <v>9</v>
      </c>
      <c r="I27">
        <v>10</v>
      </c>
      <c r="J27">
        <v>18</v>
      </c>
      <c r="K27">
        <v>17</v>
      </c>
      <c r="L27">
        <v>13</v>
      </c>
      <c r="M27">
        <v>4</v>
      </c>
      <c r="N27">
        <v>12</v>
      </c>
      <c r="O27">
        <v>8</v>
      </c>
      <c r="P27">
        <v>15</v>
      </c>
      <c r="Q27">
        <v>16</v>
      </c>
      <c r="R27">
        <v>1</v>
      </c>
      <c r="S27">
        <v>14</v>
      </c>
    </row>
    <row r="28" spans="1:19" x14ac:dyDescent="0.2">
      <c r="A28" s="69">
        <v>44621</v>
      </c>
      <c r="B28">
        <v>9</v>
      </c>
      <c r="C28">
        <v>6</v>
      </c>
      <c r="D28">
        <v>2</v>
      </c>
      <c r="E28">
        <v>3</v>
      </c>
      <c r="F28">
        <v>1</v>
      </c>
      <c r="G28">
        <v>12</v>
      </c>
      <c r="H28">
        <v>15</v>
      </c>
      <c r="I28">
        <v>16</v>
      </c>
      <c r="J28">
        <v>18</v>
      </c>
      <c r="K28">
        <v>10</v>
      </c>
      <c r="L28">
        <v>7</v>
      </c>
      <c r="M28">
        <v>4</v>
      </c>
      <c r="N28">
        <v>13</v>
      </c>
      <c r="O28">
        <v>11</v>
      </c>
      <c r="P28">
        <v>8</v>
      </c>
      <c r="Q28">
        <v>17</v>
      </c>
      <c r="R28">
        <v>5</v>
      </c>
      <c r="S28">
        <v>14</v>
      </c>
    </row>
    <row r="29" spans="1:19" x14ac:dyDescent="0.2">
      <c r="A29" s="69">
        <v>44652</v>
      </c>
      <c r="B29">
        <v>18</v>
      </c>
      <c r="C29">
        <v>2</v>
      </c>
      <c r="D29">
        <v>4</v>
      </c>
      <c r="E29">
        <v>13</v>
      </c>
      <c r="F29">
        <v>10</v>
      </c>
      <c r="G29">
        <v>16</v>
      </c>
      <c r="H29">
        <v>6</v>
      </c>
      <c r="I29">
        <v>17</v>
      </c>
      <c r="J29">
        <v>14</v>
      </c>
      <c r="K29">
        <v>15</v>
      </c>
      <c r="L29">
        <v>9</v>
      </c>
      <c r="M29">
        <v>5</v>
      </c>
      <c r="N29">
        <v>1</v>
      </c>
      <c r="O29">
        <v>7</v>
      </c>
      <c r="P29">
        <v>11</v>
      </c>
      <c r="Q29">
        <v>12</v>
      </c>
      <c r="R29">
        <v>3</v>
      </c>
      <c r="S29">
        <v>8</v>
      </c>
    </row>
    <row r="30" spans="1:19" x14ac:dyDescent="0.2">
      <c r="A30" s="69">
        <v>44682</v>
      </c>
      <c r="B30">
        <v>18</v>
      </c>
      <c r="C30">
        <v>10</v>
      </c>
      <c r="D30">
        <v>3</v>
      </c>
      <c r="E30">
        <v>14</v>
      </c>
      <c r="F30">
        <v>7</v>
      </c>
      <c r="G30">
        <v>12</v>
      </c>
      <c r="H30">
        <v>13</v>
      </c>
      <c r="I30">
        <v>17</v>
      </c>
      <c r="J30">
        <v>16</v>
      </c>
      <c r="K30">
        <v>11</v>
      </c>
      <c r="L30">
        <v>9</v>
      </c>
      <c r="M30">
        <v>4</v>
      </c>
      <c r="N30">
        <v>1</v>
      </c>
      <c r="O30">
        <v>5</v>
      </c>
      <c r="P30">
        <v>8</v>
      </c>
      <c r="Q30">
        <v>15</v>
      </c>
      <c r="R30">
        <v>6</v>
      </c>
      <c r="S30">
        <v>2</v>
      </c>
    </row>
    <row r="31" spans="1:19" x14ac:dyDescent="0.2">
      <c r="A31" s="69">
        <v>44713</v>
      </c>
      <c r="B31">
        <v>18</v>
      </c>
      <c r="C31">
        <v>2</v>
      </c>
      <c r="D31">
        <v>4</v>
      </c>
      <c r="E31">
        <v>13</v>
      </c>
      <c r="F31">
        <v>7</v>
      </c>
      <c r="G31">
        <v>8</v>
      </c>
      <c r="H31">
        <v>16</v>
      </c>
      <c r="I31">
        <v>17</v>
      </c>
      <c r="J31">
        <v>6</v>
      </c>
      <c r="K31">
        <v>11</v>
      </c>
      <c r="L31">
        <v>15</v>
      </c>
      <c r="M31">
        <v>9</v>
      </c>
      <c r="N31">
        <v>1</v>
      </c>
      <c r="O31">
        <v>10</v>
      </c>
      <c r="P31">
        <v>12</v>
      </c>
      <c r="Q31">
        <v>3</v>
      </c>
      <c r="R31">
        <v>14</v>
      </c>
      <c r="S31">
        <v>5</v>
      </c>
    </row>
    <row r="32" spans="1:19" x14ac:dyDescent="0.2">
      <c r="A32" s="69">
        <v>44743</v>
      </c>
      <c r="B32">
        <v>0</v>
      </c>
      <c r="C32">
        <v>3</v>
      </c>
      <c r="D32">
        <v>4</v>
      </c>
      <c r="E32">
        <v>13</v>
      </c>
      <c r="F32">
        <v>10</v>
      </c>
      <c r="G32">
        <v>7</v>
      </c>
      <c r="H32">
        <v>6</v>
      </c>
      <c r="I32">
        <v>16</v>
      </c>
      <c r="J32">
        <v>5</v>
      </c>
      <c r="K32">
        <v>1</v>
      </c>
      <c r="L32">
        <v>15</v>
      </c>
      <c r="M32">
        <v>8</v>
      </c>
      <c r="N32">
        <v>12</v>
      </c>
      <c r="O32">
        <v>14</v>
      </c>
      <c r="P32">
        <v>11</v>
      </c>
      <c r="Q32">
        <v>9</v>
      </c>
      <c r="R32">
        <v>0</v>
      </c>
      <c r="S32">
        <v>2</v>
      </c>
    </row>
    <row r="33" spans="1:19" x14ac:dyDescent="0.2">
      <c r="A33" s="69">
        <v>44774</v>
      </c>
      <c r="B33">
        <v>15</v>
      </c>
      <c r="C33">
        <v>14</v>
      </c>
      <c r="D33">
        <v>13</v>
      </c>
      <c r="E33">
        <v>-1</v>
      </c>
      <c r="F33">
        <v>7</v>
      </c>
      <c r="G33">
        <v>16</v>
      </c>
      <c r="H33">
        <v>12</v>
      </c>
      <c r="I33">
        <v>17</v>
      </c>
      <c r="J33">
        <v>4</v>
      </c>
      <c r="K33">
        <v>2</v>
      </c>
      <c r="L33">
        <v>11</v>
      </c>
      <c r="M33">
        <v>1</v>
      </c>
      <c r="N33">
        <v>9</v>
      </c>
      <c r="O33">
        <v>5</v>
      </c>
      <c r="P33">
        <v>8</v>
      </c>
      <c r="Q33">
        <v>6</v>
      </c>
      <c r="R33">
        <v>3</v>
      </c>
      <c r="S33">
        <v>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3"/>
  <sheetViews>
    <sheetView zoomScale="150" zoomScaleNormal="150" workbookViewId="0">
      <selection activeCell="J58" sqref="J5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row r="26" spans="1:19" x14ac:dyDescent="0.2">
      <c r="A26" s="69">
        <v>44562</v>
      </c>
      <c r="B26">
        <v>-7</v>
      </c>
      <c r="C26">
        <v>0</v>
      </c>
      <c r="D26">
        <v>7</v>
      </c>
      <c r="E26">
        <v>-4</v>
      </c>
      <c r="F26">
        <v>2</v>
      </c>
      <c r="G26">
        <v>-2</v>
      </c>
      <c r="H26">
        <v>-3</v>
      </c>
      <c r="I26">
        <v>0</v>
      </c>
      <c r="J26">
        <v>6</v>
      </c>
      <c r="K26">
        <v>0</v>
      </c>
      <c r="L26">
        <v>5</v>
      </c>
      <c r="M26">
        <v>3</v>
      </c>
      <c r="N26">
        <v>-6</v>
      </c>
      <c r="O26">
        <v>-5</v>
      </c>
      <c r="P26">
        <v>-1</v>
      </c>
      <c r="Q26">
        <v>1</v>
      </c>
      <c r="R26">
        <v>8</v>
      </c>
      <c r="S26">
        <v>4</v>
      </c>
    </row>
    <row r="27" spans="1:19" x14ac:dyDescent="0.2">
      <c r="A27" s="69">
        <v>44593</v>
      </c>
      <c r="B27">
        <v>-3</v>
      </c>
      <c r="C27">
        <v>3</v>
      </c>
      <c r="D27">
        <v>1</v>
      </c>
      <c r="E27">
        <v>-1</v>
      </c>
      <c r="F27">
        <v>8</v>
      </c>
      <c r="G27">
        <v>-4</v>
      </c>
      <c r="H27">
        <v>11</v>
      </c>
      <c r="I27">
        <v>10</v>
      </c>
      <c r="J27">
        <v>7</v>
      </c>
      <c r="K27">
        <v>9</v>
      </c>
      <c r="L27">
        <v>6</v>
      </c>
      <c r="M27">
        <v>4</v>
      </c>
      <c r="N27">
        <v>-2</v>
      </c>
      <c r="O27">
        <v>0</v>
      </c>
      <c r="P27">
        <v>12</v>
      </c>
      <c r="Q27">
        <v>13</v>
      </c>
      <c r="R27">
        <v>2</v>
      </c>
      <c r="S27">
        <v>5</v>
      </c>
    </row>
    <row r="28" spans="1:19" x14ac:dyDescent="0.2">
      <c r="A28" s="69">
        <v>44621</v>
      </c>
      <c r="B28">
        <v>13</v>
      </c>
      <c r="C28">
        <v>10</v>
      </c>
      <c r="D28">
        <v>-1</v>
      </c>
      <c r="E28">
        <v>8</v>
      </c>
      <c r="F28">
        <v>3</v>
      </c>
      <c r="G28">
        <v>0</v>
      </c>
      <c r="H28">
        <v>4</v>
      </c>
      <c r="I28">
        <v>0</v>
      </c>
      <c r="J28">
        <v>6</v>
      </c>
      <c r="K28">
        <v>11</v>
      </c>
      <c r="L28">
        <v>5</v>
      </c>
      <c r="M28">
        <v>1</v>
      </c>
      <c r="N28">
        <v>-2</v>
      </c>
      <c r="O28">
        <v>7</v>
      </c>
      <c r="P28">
        <v>12</v>
      </c>
      <c r="Q28">
        <v>2</v>
      </c>
      <c r="R28">
        <v>0</v>
      </c>
      <c r="S28">
        <v>9</v>
      </c>
    </row>
    <row r="29" spans="1:19" x14ac:dyDescent="0.2">
      <c r="A29" s="69">
        <v>44652</v>
      </c>
      <c r="B29">
        <v>0</v>
      </c>
      <c r="C29">
        <v>2</v>
      </c>
      <c r="D29">
        <v>4</v>
      </c>
      <c r="E29">
        <v>13</v>
      </c>
      <c r="F29">
        <v>1</v>
      </c>
      <c r="G29">
        <v>14</v>
      </c>
      <c r="H29">
        <v>8</v>
      </c>
      <c r="I29">
        <v>11</v>
      </c>
      <c r="J29">
        <v>6</v>
      </c>
      <c r="K29">
        <v>3</v>
      </c>
      <c r="L29">
        <v>10</v>
      </c>
      <c r="M29">
        <v>7</v>
      </c>
      <c r="N29">
        <v>0</v>
      </c>
      <c r="O29">
        <v>0</v>
      </c>
      <c r="P29">
        <v>12</v>
      </c>
      <c r="Q29">
        <v>5</v>
      </c>
      <c r="R29">
        <v>0</v>
      </c>
      <c r="S29">
        <v>9</v>
      </c>
    </row>
    <row r="30" spans="1:19" x14ac:dyDescent="0.2">
      <c r="A30" s="69">
        <v>44682</v>
      </c>
      <c r="B30">
        <v>10</v>
      </c>
      <c r="C30">
        <v>0</v>
      </c>
      <c r="D30">
        <v>1</v>
      </c>
      <c r="E30">
        <v>5</v>
      </c>
      <c r="F30">
        <v>0</v>
      </c>
      <c r="G30">
        <v>8</v>
      </c>
      <c r="H30">
        <v>2</v>
      </c>
      <c r="I30">
        <v>13</v>
      </c>
      <c r="J30">
        <v>12</v>
      </c>
      <c r="K30">
        <v>4</v>
      </c>
      <c r="L30">
        <v>3</v>
      </c>
      <c r="M30">
        <v>6</v>
      </c>
      <c r="N30">
        <v>-3</v>
      </c>
      <c r="O30">
        <v>-1</v>
      </c>
      <c r="P30">
        <v>11</v>
      </c>
      <c r="Q30">
        <v>9</v>
      </c>
      <c r="R30">
        <v>-2</v>
      </c>
      <c r="S30">
        <v>7</v>
      </c>
    </row>
    <row r="31" spans="1:19" x14ac:dyDescent="0.2">
      <c r="A31" s="69">
        <v>44713</v>
      </c>
      <c r="B31">
        <v>11</v>
      </c>
      <c r="C31">
        <v>13</v>
      </c>
      <c r="D31">
        <v>4</v>
      </c>
      <c r="E31">
        <v>12</v>
      </c>
      <c r="F31">
        <v>7</v>
      </c>
      <c r="G31">
        <v>0</v>
      </c>
      <c r="H31">
        <v>2</v>
      </c>
      <c r="I31">
        <v>10</v>
      </c>
      <c r="J31">
        <v>14</v>
      </c>
      <c r="K31">
        <v>6</v>
      </c>
      <c r="L31">
        <v>1</v>
      </c>
      <c r="M31">
        <v>9</v>
      </c>
      <c r="N31">
        <v>0</v>
      </c>
      <c r="O31">
        <v>3</v>
      </c>
      <c r="P31">
        <v>5</v>
      </c>
      <c r="Q31">
        <v>15</v>
      </c>
      <c r="R31">
        <v>0</v>
      </c>
      <c r="S31">
        <v>8</v>
      </c>
    </row>
    <row r="32" spans="1:19" x14ac:dyDescent="0.2">
      <c r="A32" s="69">
        <v>44743</v>
      </c>
      <c r="B32">
        <v>0</v>
      </c>
      <c r="C32">
        <v>6</v>
      </c>
      <c r="D32">
        <v>4</v>
      </c>
      <c r="E32">
        <v>-3</v>
      </c>
      <c r="F32">
        <v>-1</v>
      </c>
      <c r="G32">
        <v>12</v>
      </c>
      <c r="H32">
        <v>2</v>
      </c>
      <c r="I32">
        <v>13</v>
      </c>
      <c r="J32">
        <v>7</v>
      </c>
      <c r="K32">
        <v>3</v>
      </c>
      <c r="L32">
        <v>10</v>
      </c>
      <c r="M32">
        <v>5</v>
      </c>
      <c r="N32">
        <v>-4</v>
      </c>
      <c r="O32">
        <v>1</v>
      </c>
      <c r="P32">
        <v>11</v>
      </c>
      <c r="Q32">
        <v>9</v>
      </c>
      <c r="R32">
        <v>-2</v>
      </c>
      <c r="S32">
        <v>8</v>
      </c>
    </row>
    <row r="33" spans="1:19" x14ac:dyDescent="0.2">
      <c r="A33" s="69">
        <v>44774</v>
      </c>
      <c r="B33">
        <v>-1</v>
      </c>
      <c r="C33">
        <v>0</v>
      </c>
      <c r="D33">
        <v>2</v>
      </c>
      <c r="E33">
        <v>-2</v>
      </c>
      <c r="F33">
        <v>1</v>
      </c>
      <c r="G33">
        <v>11</v>
      </c>
      <c r="H33">
        <v>5</v>
      </c>
      <c r="I33">
        <v>0</v>
      </c>
      <c r="J33">
        <v>7</v>
      </c>
      <c r="K33">
        <v>6</v>
      </c>
      <c r="L33">
        <v>4</v>
      </c>
      <c r="M33">
        <v>3</v>
      </c>
      <c r="N33">
        <v>-3</v>
      </c>
      <c r="O33">
        <v>9</v>
      </c>
      <c r="P33">
        <v>8</v>
      </c>
      <c r="Q33">
        <v>0</v>
      </c>
      <c r="R33">
        <v>0</v>
      </c>
      <c r="S33">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3"/>
  <sheetViews>
    <sheetView zoomScale="150" zoomScaleNormal="150" workbookViewId="0">
      <selection activeCell="K38" sqref="K38"/>
    </sheetView>
  </sheetViews>
  <sheetFormatPr baseColWidth="10" defaultRowHeight="15" x14ac:dyDescent="0.2"/>
  <sheetData>
    <row r="1" spans="1:19" x14ac:dyDescent="0.2">
      <c r="A1" t="s">
        <v>48</v>
      </c>
      <c r="B1" t="s">
        <v>49</v>
      </c>
      <c r="C1" t="s">
        <v>24</v>
      </c>
      <c r="D1" t="s">
        <v>45</v>
      </c>
      <c r="E1" t="s">
        <v>15</v>
      </c>
      <c r="F1" t="s">
        <v>44</v>
      </c>
      <c r="G1" t="s">
        <v>42</v>
      </c>
      <c r="H1" t="s">
        <v>39</v>
      </c>
      <c r="I1" t="s">
        <v>18</v>
      </c>
      <c r="J1" t="s">
        <v>33</v>
      </c>
      <c r="K1" t="s">
        <v>27</v>
      </c>
      <c r="L1" t="s">
        <v>41</v>
      </c>
      <c r="M1" t="s">
        <v>46</v>
      </c>
      <c r="N1" t="s">
        <v>47</v>
      </c>
      <c r="O1" t="s">
        <v>37</v>
      </c>
      <c r="P1" t="s">
        <v>35</v>
      </c>
      <c r="Q1" t="s">
        <v>21</v>
      </c>
      <c r="R1" t="s">
        <v>43</v>
      </c>
      <c r="S1" t="s">
        <v>29</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row r="26" spans="1:19" x14ac:dyDescent="0.2">
      <c r="A26" s="69">
        <v>44562</v>
      </c>
      <c r="B26">
        <v>-4</v>
      </c>
      <c r="C26">
        <v>0</v>
      </c>
      <c r="D26">
        <v>7</v>
      </c>
      <c r="E26">
        <v>-3</v>
      </c>
      <c r="F26">
        <v>3</v>
      </c>
      <c r="G26">
        <v>0</v>
      </c>
      <c r="H26">
        <v>2</v>
      </c>
      <c r="I26">
        <v>0</v>
      </c>
      <c r="J26">
        <v>9</v>
      </c>
      <c r="K26">
        <v>-1</v>
      </c>
      <c r="L26">
        <v>8</v>
      </c>
      <c r="M26">
        <v>4</v>
      </c>
      <c r="N26">
        <v>0</v>
      </c>
      <c r="O26">
        <v>-2</v>
      </c>
      <c r="P26">
        <v>1</v>
      </c>
      <c r="Q26">
        <v>6</v>
      </c>
      <c r="R26">
        <v>10</v>
      </c>
      <c r="S26">
        <v>5</v>
      </c>
    </row>
    <row r="27" spans="1:19" x14ac:dyDescent="0.2">
      <c r="A27" s="69">
        <v>44593</v>
      </c>
      <c r="B27">
        <v>-2</v>
      </c>
      <c r="C27">
        <v>0</v>
      </c>
      <c r="D27">
        <v>0</v>
      </c>
      <c r="E27">
        <v>-3</v>
      </c>
      <c r="F27">
        <v>5</v>
      </c>
      <c r="G27">
        <v>0</v>
      </c>
      <c r="H27">
        <v>6</v>
      </c>
      <c r="I27">
        <v>7</v>
      </c>
      <c r="J27">
        <v>10</v>
      </c>
      <c r="K27">
        <v>3</v>
      </c>
      <c r="L27">
        <v>4</v>
      </c>
      <c r="M27">
        <v>2</v>
      </c>
      <c r="N27">
        <v>0</v>
      </c>
      <c r="O27">
        <v>-1</v>
      </c>
      <c r="P27">
        <v>9</v>
      </c>
      <c r="Q27">
        <v>11</v>
      </c>
      <c r="R27">
        <v>1</v>
      </c>
      <c r="S27">
        <v>8</v>
      </c>
    </row>
    <row r="28" spans="1:19" x14ac:dyDescent="0.2">
      <c r="A28" s="69">
        <v>44621</v>
      </c>
      <c r="B28">
        <v>15</v>
      </c>
      <c r="C28">
        <v>8</v>
      </c>
      <c r="D28">
        <v>-1</v>
      </c>
      <c r="E28">
        <v>5</v>
      </c>
      <c r="F28">
        <v>3</v>
      </c>
      <c r="G28">
        <v>11</v>
      </c>
      <c r="H28">
        <v>1</v>
      </c>
      <c r="I28">
        <v>9</v>
      </c>
      <c r="J28">
        <v>7</v>
      </c>
      <c r="K28">
        <v>13</v>
      </c>
      <c r="L28">
        <v>2</v>
      </c>
      <c r="M28">
        <v>4</v>
      </c>
      <c r="N28">
        <v>-2</v>
      </c>
      <c r="O28">
        <v>6</v>
      </c>
      <c r="P28">
        <v>14</v>
      </c>
      <c r="Q28">
        <v>12</v>
      </c>
      <c r="R28">
        <v>0</v>
      </c>
      <c r="S28">
        <v>10</v>
      </c>
    </row>
    <row r="29" spans="1:19" x14ac:dyDescent="0.2">
      <c r="A29" s="69">
        <v>44652</v>
      </c>
      <c r="B29">
        <v>0</v>
      </c>
      <c r="C29">
        <v>2</v>
      </c>
      <c r="D29">
        <v>3</v>
      </c>
      <c r="E29">
        <v>10</v>
      </c>
      <c r="F29">
        <v>1</v>
      </c>
      <c r="G29">
        <v>11</v>
      </c>
      <c r="H29">
        <v>8</v>
      </c>
      <c r="I29">
        <v>0</v>
      </c>
      <c r="J29">
        <v>5</v>
      </c>
      <c r="K29">
        <v>4</v>
      </c>
      <c r="L29">
        <v>6</v>
      </c>
      <c r="M29">
        <v>7</v>
      </c>
      <c r="N29">
        <v>0</v>
      </c>
      <c r="O29">
        <v>0</v>
      </c>
      <c r="P29">
        <v>9</v>
      </c>
      <c r="Q29">
        <v>12</v>
      </c>
      <c r="R29">
        <v>0</v>
      </c>
      <c r="S29">
        <v>13</v>
      </c>
    </row>
    <row r="30" spans="1:19" x14ac:dyDescent="0.2">
      <c r="A30" s="69">
        <v>44682</v>
      </c>
      <c r="B30">
        <v>14</v>
      </c>
      <c r="C30">
        <v>3</v>
      </c>
      <c r="D30">
        <v>2</v>
      </c>
      <c r="E30">
        <v>5</v>
      </c>
      <c r="F30">
        <v>4</v>
      </c>
      <c r="G30">
        <v>10</v>
      </c>
      <c r="H30">
        <v>6</v>
      </c>
      <c r="I30">
        <v>12</v>
      </c>
      <c r="J30">
        <v>15</v>
      </c>
      <c r="K30">
        <v>7</v>
      </c>
      <c r="L30">
        <v>1</v>
      </c>
      <c r="M30">
        <v>8</v>
      </c>
      <c r="N30">
        <v>-2</v>
      </c>
      <c r="O30">
        <v>-1</v>
      </c>
      <c r="P30">
        <v>13</v>
      </c>
      <c r="Q30">
        <v>11</v>
      </c>
      <c r="R30">
        <v>0</v>
      </c>
      <c r="S30">
        <v>9</v>
      </c>
    </row>
    <row r="31" spans="1:19" x14ac:dyDescent="0.2">
      <c r="A31" s="69">
        <v>44713</v>
      </c>
      <c r="B31">
        <v>9</v>
      </c>
      <c r="C31">
        <v>10</v>
      </c>
      <c r="D31">
        <v>5</v>
      </c>
      <c r="E31">
        <v>13</v>
      </c>
      <c r="F31">
        <v>3</v>
      </c>
      <c r="G31">
        <v>7</v>
      </c>
      <c r="H31">
        <v>8</v>
      </c>
      <c r="I31">
        <v>12</v>
      </c>
      <c r="J31">
        <v>-2</v>
      </c>
      <c r="K31">
        <v>4</v>
      </c>
      <c r="L31">
        <v>1</v>
      </c>
      <c r="M31">
        <v>2</v>
      </c>
      <c r="N31">
        <v>0</v>
      </c>
      <c r="O31">
        <v>0</v>
      </c>
      <c r="P31">
        <v>-1</v>
      </c>
      <c r="Q31">
        <v>11</v>
      </c>
      <c r="R31">
        <v>0</v>
      </c>
      <c r="S31">
        <v>6</v>
      </c>
    </row>
    <row r="32" spans="1:19" x14ac:dyDescent="0.2">
      <c r="A32" s="69">
        <v>44743</v>
      </c>
      <c r="B32">
        <v>0</v>
      </c>
      <c r="C32">
        <v>6</v>
      </c>
      <c r="D32">
        <v>1</v>
      </c>
      <c r="E32">
        <v>-4</v>
      </c>
      <c r="F32">
        <v>0</v>
      </c>
      <c r="G32">
        <v>11</v>
      </c>
      <c r="H32">
        <v>7</v>
      </c>
      <c r="I32">
        <v>10</v>
      </c>
      <c r="J32">
        <v>3</v>
      </c>
      <c r="K32">
        <v>-1</v>
      </c>
      <c r="L32">
        <v>8</v>
      </c>
      <c r="M32">
        <v>2</v>
      </c>
      <c r="N32">
        <v>-5</v>
      </c>
      <c r="O32">
        <v>-2</v>
      </c>
      <c r="P32">
        <v>9</v>
      </c>
      <c r="Q32">
        <v>4</v>
      </c>
      <c r="R32">
        <v>-3</v>
      </c>
      <c r="S32">
        <v>5</v>
      </c>
    </row>
    <row r="33" spans="1:19" x14ac:dyDescent="0.2">
      <c r="A33" s="69">
        <v>44774</v>
      </c>
      <c r="B33">
        <v>0</v>
      </c>
      <c r="C33">
        <v>0</v>
      </c>
      <c r="D33">
        <v>4</v>
      </c>
      <c r="E33">
        <v>0</v>
      </c>
      <c r="F33">
        <v>2</v>
      </c>
      <c r="G33">
        <v>8</v>
      </c>
      <c r="H33">
        <v>0</v>
      </c>
      <c r="I33">
        <v>11</v>
      </c>
      <c r="J33">
        <v>0</v>
      </c>
      <c r="K33">
        <v>6</v>
      </c>
      <c r="L33">
        <v>7</v>
      </c>
      <c r="M33">
        <v>1</v>
      </c>
      <c r="N33">
        <v>-1</v>
      </c>
      <c r="O33">
        <v>10</v>
      </c>
      <c r="P33">
        <v>12</v>
      </c>
      <c r="Q33">
        <v>3</v>
      </c>
      <c r="R33">
        <v>5</v>
      </c>
      <c r="S33">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T605"/>
  <sheetViews>
    <sheetView topLeftCell="J1" zoomScale="150" zoomScaleNormal="150" workbookViewId="0">
      <pane ySplit="1" topLeftCell="A583" activePane="bottomLeft" state="frozen"/>
      <selection pane="bottomLeft" activeCell="U396" sqref="U396"/>
    </sheetView>
  </sheetViews>
  <sheetFormatPr baseColWidth="10" defaultRowHeight="15" x14ac:dyDescent="0.2"/>
  <sheetData>
    <row r="1" spans="1:20" x14ac:dyDescent="0.2">
      <c r="A1" t="s">
        <v>48</v>
      </c>
      <c r="B1" t="s">
        <v>50</v>
      </c>
      <c r="C1" t="s">
        <v>51</v>
      </c>
      <c r="D1" t="s">
        <v>52</v>
      </c>
      <c r="E1" t="s">
        <v>53</v>
      </c>
      <c r="F1" t="s">
        <v>54</v>
      </c>
      <c r="G1" t="s">
        <v>55</v>
      </c>
      <c r="H1" t="s">
        <v>56</v>
      </c>
      <c r="I1" t="s">
        <v>57</v>
      </c>
      <c r="J1" t="s">
        <v>58</v>
      </c>
      <c r="K1" t="s">
        <v>59</v>
      </c>
      <c r="L1" t="s">
        <v>60</v>
      </c>
      <c r="M1" t="s">
        <v>61</v>
      </c>
      <c r="N1" t="s">
        <v>62</v>
      </c>
      <c r="O1" t="s">
        <v>63</v>
      </c>
      <c r="P1" t="s">
        <v>64</v>
      </c>
      <c r="Q1" t="s">
        <v>65</v>
      </c>
      <c r="R1" t="s">
        <v>66</v>
      </c>
      <c r="S1" t="s">
        <v>67</v>
      </c>
      <c r="T1" t="s">
        <v>68</v>
      </c>
    </row>
    <row r="2" spans="1:20" x14ac:dyDescent="0.2">
      <c r="A2" s="69">
        <v>17168</v>
      </c>
      <c r="N2">
        <v>2034.45</v>
      </c>
    </row>
    <row r="3" spans="1:20" x14ac:dyDescent="0.2">
      <c r="A3" s="69">
        <v>17258</v>
      </c>
      <c r="N3">
        <v>2029.0239999999999</v>
      </c>
      <c r="O3">
        <v>-2.6670598933373432E-3</v>
      </c>
      <c r="Q3">
        <v>-1.0625636157316039E-2</v>
      </c>
      <c r="R3">
        <v>-2.6670598933373432E-3</v>
      </c>
      <c r="S3">
        <v>-1.0625636157316039E-2</v>
      </c>
    </row>
    <row r="4" spans="1:20" x14ac:dyDescent="0.2">
      <c r="A4" s="69">
        <v>17349</v>
      </c>
      <c r="N4">
        <v>2024.8340000000001</v>
      </c>
      <c r="O4">
        <v>-2.0650322519594781E-3</v>
      </c>
      <c r="Q4">
        <v>-8.2345780645924904E-3</v>
      </c>
      <c r="R4">
        <v>-2.0650322519594781E-3</v>
      </c>
      <c r="S4">
        <v>-8.2345780645924904E-3</v>
      </c>
    </row>
    <row r="5" spans="1:20" x14ac:dyDescent="0.2">
      <c r="A5" s="69">
        <v>17441</v>
      </c>
      <c r="N5">
        <v>2056.5079999999998</v>
      </c>
      <c r="O5">
        <v>1.5642763801872031E-2</v>
      </c>
      <c r="Q5">
        <v>6.4054602330456234E-2</v>
      </c>
      <c r="R5">
        <v>1.5642763801872031E-2</v>
      </c>
      <c r="S5">
        <v>6.4054602330456234E-2</v>
      </c>
    </row>
    <row r="6" spans="1:20" x14ac:dyDescent="0.2">
      <c r="A6" s="69">
        <v>17533</v>
      </c>
      <c r="N6">
        <v>2087.442</v>
      </c>
      <c r="O6">
        <v>1.5042003240444579E-2</v>
      </c>
      <c r="P6">
        <v>2.6047334660473331E-2</v>
      </c>
      <c r="Q6">
        <v>6.1539249051736133E-2</v>
      </c>
      <c r="R6">
        <v>1.5042003240444579E-2</v>
      </c>
      <c r="S6">
        <v>6.1539249051736133E-2</v>
      </c>
      <c r="T6">
        <v>2.6047334660473331E-2</v>
      </c>
    </row>
    <row r="7" spans="1:20" x14ac:dyDescent="0.2">
      <c r="A7" s="69">
        <v>17624</v>
      </c>
      <c r="N7">
        <v>2121.8989999999999</v>
      </c>
      <c r="O7">
        <v>1.6506805937602041E-2</v>
      </c>
      <c r="P7">
        <v>4.5773238759127553E-2</v>
      </c>
      <c r="Q7">
        <v>6.768013659057992E-2</v>
      </c>
      <c r="R7">
        <v>1.6506805937602041E-2</v>
      </c>
      <c r="S7">
        <v>6.768013659057992E-2</v>
      </c>
      <c r="T7">
        <v>4.5773238759127553E-2</v>
      </c>
    </row>
    <row r="8" spans="1:20" x14ac:dyDescent="0.2">
      <c r="A8" s="69">
        <v>17715</v>
      </c>
      <c r="N8">
        <v>2134.056</v>
      </c>
      <c r="O8">
        <v>5.7293019130506004E-3</v>
      </c>
      <c r="P8">
        <v>5.3941211970956623E-2</v>
      </c>
      <c r="Q8">
        <v>2.3114910387200819E-2</v>
      </c>
      <c r="R8">
        <v>5.7293019130506004E-3</v>
      </c>
      <c r="S8">
        <v>2.3114910387200819E-2</v>
      </c>
      <c r="T8">
        <v>5.3941211970956623E-2</v>
      </c>
    </row>
    <row r="9" spans="1:20" x14ac:dyDescent="0.2">
      <c r="A9" s="69">
        <v>17807</v>
      </c>
      <c r="N9">
        <v>2136.44</v>
      </c>
      <c r="O9">
        <v>1.117121575066453E-3</v>
      </c>
      <c r="P9">
        <v>3.8867828377035368E-2</v>
      </c>
      <c r="Q9">
        <v>4.4759796419990838E-3</v>
      </c>
      <c r="R9">
        <v>1.117121575066453E-3</v>
      </c>
      <c r="S9">
        <v>4.4759796419990838E-3</v>
      </c>
      <c r="T9">
        <v>3.8867828377035368E-2</v>
      </c>
    </row>
    <row r="10" spans="1:20" x14ac:dyDescent="0.2">
      <c r="A10" s="69">
        <v>17899</v>
      </c>
      <c r="N10">
        <v>2107.0010000000002</v>
      </c>
      <c r="O10">
        <v>-1.377946490423314E-2</v>
      </c>
      <c r="P10">
        <v>9.3698411740303182E-3</v>
      </c>
      <c r="Q10">
        <v>-5.3989047075999941E-2</v>
      </c>
      <c r="R10">
        <v>-1.377946490423314E-2</v>
      </c>
      <c r="S10">
        <v>-5.3989047075999941E-2</v>
      </c>
      <c r="T10">
        <v>9.3698411740303182E-3</v>
      </c>
    </row>
    <row r="11" spans="1:20" x14ac:dyDescent="0.2">
      <c r="A11" s="69">
        <v>17989</v>
      </c>
      <c r="N11">
        <v>2099.8139999999999</v>
      </c>
      <c r="O11">
        <v>-3.4110092971006431E-3</v>
      </c>
      <c r="P11">
        <v>-1.0408129698915939E-2</v>
      </c>
      <c r="Q11">
        <v>-1.357438589464066E-2</v>
      </c>
      <c r="R11">
        <v>-3.4110092971006431E-3</v>
      </c>
      <c r="S11">
        <v>-1.357438589464066E-2</v>
      </c>
      <c r="T11">
        <v>-1.0408129698915939E-2</v>
      </c>
    </row>
    <row r="12" spans="1:20" x14ac:dyDescent="0.2">
      <c r="A12" s="69">
        <v>18080</v>
      </c>
      <c r="N12">
        <v>2121.4929999999999</v>
      </c>
      <c r="O12">
        <v>1.0324247766707E-2</v>
      </c>
      <c r="P12">
        <v>-5.8869120585402172E-3</v>
      </c>
      <c r="Q12">
        <v>4.1940944830040523E-2</v>
      </c>
      <c r="R12">
        <v>1.0324247766707E-2</v>
      </c>
      <c r="S12">
        <v>4.1940944830040523E-2</v>
      </c>
      <c r="T12">
        <v>-5.8869120585402172E-3</v>
      </c>
    </row>
    <row r="13" spans="1:20" x14ac:dyDescent="0.2">
      <c r="A13" s="69">
        <v>18172</v>
      </c>
      <c r="N13">
        <v>2103.6880000000001</v>
      </c>
      <c r="O13">
        <v>-8.3926744042991594E-3</v>
      </c>
      <c r="P13">
        <v>-1.5330175432027089E-2</v>
      </c>
      <c r="Q13">
        <v>-3.3150435372567788E-2</v>
      </c>
      <c r="R13">
        <v>-8.3926744042991594E-3</v>
      </c>
      <c r="S13">
        <v>-3.3150435372567788E-2</v>
      </c>
      <c r="T13">
        <v>-1.5330175432027089E-2</v>
      </c>
    </row>
    <row r="14" spans="1:20" x14ac:dyDescent="0.2">
      <c r="A14" s="69">
        <v>18264</v>
      </c>
      <c r="N14">
        <v>2186.3649999999998</v>
      </c>
      <c r="O14">
        <v>3.9300979993230782E-2</v>
      </c>
      <c r="P14">
        <v>3.7666806992497658E-2</v>
      </c>
      <c r="Q14">
        <v>0.16671651982232771</v>
      </c>
      <c r="R14">
        <v>3.9300979993230782E-2</v>
      </c>
      <c r="S14">
        <v>0.16671651982232771</v>
      </c>
      <c r="T14">
        <v>3.7666806992497658E-2</v>
      </c>
    </row>
    <row r="15" spans="1:20" x14ac:dyDescent="0.2">
      <c r="A15" s="69">
        <v>18354</v>
      </c>
      <c r="N15">
        <v>2253.0450000000001</v>
      </c>
      <c r="O15">
        <v>3.0498109876438879E-2</v>
      </c>
      <c r="P15">
        <v>7.2973606233695101E-2</v>
      </c>
      <c r="Q15">
        <v>0.1276875822943975</v>
      </c>
      <c r="R15">
        <v>3.0498109876438879E-2</v>
      </c>
      <c r="S15">
        <v>0.1276875822943975</v>
      </c>
      <c r="T15">
        <v>7.2973606233695101E-2</v>
      </c>
    </row>
    <row r="16" spans="1:20" x14ac:dyDescent="0.2">
      <c r="A16" s="69">
        <v>18445</v>
      </c>
      <c r="N16">
        <v>2340.1120000000001</v>
      </c>
      <c r="O16">
        <v>3.864414603347914E-2</v>
      </c>
      <c r="P16">
        <v>0.1030495976182812</v>
      </c>
      <c r="Q16">
        <v>0.16376987446083291</v>
      </c>
      <c r="R16">
        <v>3.864414603347914E-2</v>
      </c>
      <c r="S16">
        <v>0.16376987446083291</v>
      </c>
      <c r="T16">
        <v>0.1030495976182812</v>
      </c>
    </row>
    <row r="17" spans="1:20" x14ac:dyDescent="0.2">
      <c r="A17" s="69">
        <v>18537</v>
      </c>
      <c r="N17">
        <v>2384.92</v>
      </c>
      <c r="O17">
        <v>1.9147801472750019E-2</v>
      </c>
      <c r="P17">
        <v>0.1336852232840611</v>
      </c>
      <c r="Q17">
        <v>7.8819251391700762E-2</v>
      </c>
      <c r="R17">
        <v>1.9147801472750019E-2</v>
      </c>
      <c r="S17">
        <v>7.8819251391700762E-2</v>
      </c>
      <c r="T17">
        <v>0.1336852232840611</v>
      </c>
    </row>
    <row r="18" spans="1:20" x14ac:dyDescent="0.2">
      <c r="A18" s="69">
        <v>18629</v>
      </c>
      <c r="N18">
        <v>2417.3110000000001</v>
      </c>
      <c r="O18">
        <v>1.3581587642352811E-2</v>
      </c>
      <c r="P18">
        <v>0.1056301212286148</v>
      </c>
      <c r="Q18">
        <v>5.5443162744754693E-2</v>
      </c>
      <c r="R18">
        <v>1.3581587642352811E-2</v>
      </c>
      <c r="S18">
        <v>5.5443162744754693E-2</v>
      </c>
      <c r="T18">
        <v>0.1056301212286148</v>
      </c>
    </row>
    <row r="19" spans="1:20" x14ac:dyDescent="0.2">
      <c r="A19" s="69">
        <v>18719</v>
      </c>
      <c r="N19">
        <v>2459.1959999999999</v>
      </c>
      <c r="O19">
        <v>1.7327104373413171E-2</v>
      </c>
      <c r="P19">
        <v>9.1498838238916594E-2</v>
      </c>
      <c r="Q19">
        <v>7.1130687272042525E-2</v>
      </c>
      <c r="R19">
        <v>1.7327104373413171E-2</v>
      </c>
      <c r="S19">
        <v>7.1130687272042525E-2</v>
      </c>
      <c r="T19">
        <v>9.1498838238916594E-2</v>
      </c>
    </row>
    <row r="20" spans="1:20" x14ac:dyDescent="0.2">
      <c r="A20" s="69">
        <v>18810</v>
      </c>
      <c r="N20">
        <v>2509.88</v>
      </c>
      <c r="O20">
        <v>2.0609987979811371E-2</v>
      </c>
      <c r="P20">
        <v>7.2546955017537634E-2</v>
      </c>
      <c r="Q20">
        <v>8.5023780127983395E-2</v>
      </c>
      <c r="R20">
        <v>2.0609987979811371E-2</v>
      </c>
      <c r="S20">
        <v>8.5023780127983395E-2</v>
      </c>
      <c r="T20">
        <v>7.2546955017537634E-2</v>
      </c>
    </row>
    <row r="21" spans="1:20" x14ac:dyDescent="0.2">
      <c r="A21" s="69">
        <v>18902</v>
      </c>
      <c r="N21">
        <v>2515.4079999999999</v>
      </c>
      <c r="O21">
        <v>2.202495736847894E-3</v>
      </c>
      <c r="P21">
        <v>5.4713784948761307E-2</v>
      </c>
      <c r="Q21">
        <v>8.8391316328653158E-3</v>
      </c>
      <c r="R21">
        <v>2.202495736847894E-3</v>
      </c>
      <c r="S21">
        <v>8.8391316328653158E-3</v>
      </c>
      <c r="T21">
        <v>5.4713784948761307E-2</v>
      </c>
    </row>
    <row r="22" spans="1:20" x14ac:dyDescent="0.2">
      <c r="A22" s="69">
        <v>18994</v>
      </c>
      <c r="N22">
        <v>2542.2860000000001</v>
      </c>
      <c r="O22">
        <v>1.0685344087321091E-2</v>
      </c>
      <c r="P22">
        <v>5.1700008811443751E-2</v>
      </c>
      <c r="Q22">
        <v>4.3431328919264052E-2</v>
      </c>
      <c r="R22">
        <v>1.0685344087321091E-2</v>
      </c>
      <c r="S22">
        <v>4.3431328919264052E-2</v>
      </c>
      <c r="T22">
        <v>5.1700008811443751E-2</v>
      </c>
    </row>
    <row r="23" spans="1:20" x14ac:dyDescent="0.2">
      <c r="A23" s="69">
        <v>19085</v>
      </c>
      <c r="N23">
        <v>2547.7620000000002</v>
      </c>
      <c r="O23">
        <v>2.153966941563661E-3</v>
      </c>
      <c r="P23">
        <v>3.601420952213661E-2</v>
      </c>
      <c r="Q23">
        <v>8.6437452032444018E-3</v>
      </c>
      <c r="R23">
        <v>2.153966941563661E-3</v>
      </c>
      <c r="S23">
        <v>8.6437452032444018E-3</v>
      </c>
      <c r="T23">
        <v>3.601420952213661E-2</v>
      </c>
    </row>
    <row r="24" spans="1:20" x14ac:dyDescent="0.2">
      <c r="A24" s="69">
        <v>19176</v>
      </c>
      <c r="N24">
        <v>2566.1529999999998</v>
      </c>
      <c r="O24">
        <v>7.2184921511505469E-3</v>
      </c>
      <c r="P24">
        <v>2.2420593813249911E-2</v>
      </c>
      <c r="Q24">
        <v>2.918811561848789E-2</v>
      </c>
      <c r="R24">
        <v>7.2184921511505469E-3</v>
      </c>
      <c r="S24">
        <v>2.918811561848789E-2</v>
      </c>
      <c r="T24">
        <v>2.2420593813249911E-2</v>
      </c>
    </row>
    <row r="25" spans="1:20" x14ac:dyDescent="0.2">
      <c r="A25" s="69">
        <v>19268</v>
      </c>
      <c r="N25">
        <v>2650.431</v>
      </c>
      <c r="O25">
        <v>3.2842157112222173E-2</v>
      </c>
      <c r="P25">
        <v>5.3678369473262447E-2</v>
      </c>
      <c r="Q25">
        <v>0.13798313070477031</v>
      </c>
      <c r="R25">
        <v>3.2842157112222173E-2</v>
      </c>
      <c r="S25">
        <v>0.13798313070477031</v>
      </c>
      <c r="T25">
        <v>5.3678369473262447E-2</v>
      </c>
    </row>
    <row r="26" spans="1:20" x14ac:dyDescent="0.2">
      <c r="A26" s="69">
        <v>19360</v>
      </c>
      <c r="N26">
        <v>2699.6990000000001</v>
      </c>
      <c r="O26">
        <v>1.8588674823075951E-2</v>
      </c>
      <c r="P26">
        <v>6.1917895940897291E-2</v>
      </c>
      <c r="Q26">
        <v>7.6453744115379418E-2</v>
      </c>
      <c r="R26">
        <v>1.8588674823075951E-2</v>
      </c>
      <c r="S26">
        <v>7.6453744115379418E-2</v>
      </c>
      <c r="T26">
        <v>6.1917895940897291E-2</v>
      </c>
    </row>
    <row r="27" spans="1:20" x14ac:dyDescent="0.2">
      <c r="A27" s="69">
        <v>19450</v>
      </c>
      <c r="N27">
        <v>2720.5659999999998</v>
      </c>
      <c r="O27">
        <v>7.7293802012741919E-3</v>
      </c>
      <c r="P27">
        <v>6.7825801625112397E-2</v>
      </c>
      <c r="Q27">
        <v>3.1277831399421967E-2</v>
      </c>
      <c r="R27">
        <v>7.7293802012741919E-3</v>
      </c>
      <c r="S27">
        <v>3.1277831399421967E-2</v>
      </c>
      <c r="T27">
        <v>6.7825801625112397E-2</v>
      </c>
    </row>
    <row r="28" spans="1:20" x14ac:dyDescent="0.2">
      <c r="A28" s="69">
        <v>19541</v>
      </c>
      <c r="N28">
        <v>2705.2579999999998</v>
      </c>
      <c r="O28">
        <v>-5.6267703117660051E-3</v>
      </c>
      <c r="P28">
        <v>5.4207601807062959E-2</v>
      </c>
      <c r="Q28">
        <v>-2.2317829566265272E-2</v>
      </c>
      <c r="R28">
        <v>-5.6267703117660051E-3</v>
      </c>
      <c r="S28">
        <v>-2.2317829566265272E-2</v>
      </c>
      <c r="T28">
        <v>5.4207601807062959E-2</v>
      </c>
    </row>
    <row r="29" spans="1:20" x14ac:dyDescent="0.2">
      <c r="A29" s="69">
        <v>19633</v>
      </c>
      <c r="N29">
        <v>2664.3020000000001</v>
      </c>
      <c r="O29">
        <v>-1.5139406296922391E-2</v>
      </c>
      <c r="P29">
        <v>5.2334884401820294E-3</v>
      </c>
      <c r="Q29">
        <v>-5.9196242822145077E-2</v>
      </c>
      <c r="R29">
        <v>-1.5139406296922391E-2</v>
      </c>
      <c r="S29">
        <v>-5.9196242822145077E-2</v>
      </c>
      <c r="T29">
        <v>5.2334884401820294E-3</v>
      </c>
    </row>
    <row r="30" spans="1:20" x14ac:dyDescent="0.2">
      <c r="A30" s="69">
        <v>19725</v>
      </c>
      <c r="N30">
        <v>2651.5659999999998</v>
      </c>
      <c r="O30">
        <v>-4.780238876824148E-3</v>
      </c>
      <c r="P30">
        <v>-1.7829024643117721E-2</v>
      </c>
      <c r="Q30">
        <v>-1.8984287809732381E-2</v>
      </c>
      <c r="R30">
        <v>-4.780238876824148E-3</v>
      </c>
      <c r="S30">
        <v>-1.8984287809732381E-2</v>
      </c>
      <c r="T30">
        <v>-1.7829024643117721E-2</v>
      </c>
    </row>
    <row r="31" spans="1:20" x14ac:dyDescent="0.2">
      <c r="A31" s="69">
        <v>19815</v>
      </c>
      <c r="N31">
        <v>2654.4560000000001</v>
      </c>
      <c r="O31">
        <v>1.0899219555539361E-3</v>
      </c>
      <c r="P31">
        <v>-2.430009049587464E-2</v>
      </c>
      <c r="Q31">
        <v>4.3668205818458983E-3</v>
      </c>
      <c r="R31">
        <v>1.0899219555539361E-3</v>
      </c>
      <c r="S31">
        <v>4.3668205818458983E-3</v>
      </c>
      <c r="T31">
        <v>-2.430009049587464E-2</v>
      </c>
    </row>
    <row r="32" spans="1:20" x14ac:dyDescent="0.2">
      <c r="A32" s="69">
        <v>19906</v>
      </c>
      <c r="N32">
        <v>2684.4340000000002</v>
      </c>
      <c r="O32">
        <v>1.129346276600556E-2</v>
      </c>
      <c r="P32">
        <v>-7.697602225000209E-3</v>
      </c>
      <c r="Q32">
        <v>4.5944882715464493E-2</v>
      </c>
      <c r="R32">
        <v>1.129346276600556E-2</v>
      </c>
      <c r="S32">
        <v>4.5944882715464493E-2</v>
      </c>
      <c r="T32">
        <v>-7.697602225000209E-3</v>
      </c>
    </row>
    <row r="33" spans="1:20" x14ac:dyDescent="0.2">
      <c r="A33" s="69">
        <v>19998</v>
      </c>
      <c r="N33">
        <v>2736.96</v>
      </c>
      <c r="O33">
        <v>1.9566880765181729E-2</v>
      </c>
      <c r="P33">
        <v>2.7270932499393798E-2</v>
      </c>
      <c r="Q33">
        <v>8.0594812306759467E-2</v>
      </c>
      <c r="R33">
        <v>1.9566880765181729E-2</v>
      </c>
      <c r="S33">
        <v>8.0594812306759467E-2</v>
      </c>
      <c r="T33">
        <v>2.7270932499393798E-2</v>
      </c>
    </row>
    <row r="34" spans="1:20" x14ac:dyDescent="0.2">
      <c r="A34" s="69">
        <v>20090</v>
      </c>
      <c r="N34">
        <v>2815.134</v>
      </c>
      <c r="O34">
        <v>2.85623465450719E-2</v>
      </c>
      <c r="P34">
        <v>6.1687319870597307E-2</v>
      </c>
      <c r="Q34">
        <v>0.11923810308548791</v>
      </c>
      <c r="R34">
        <v>2.85623465450719E-2</v>
      </c>
      <c r="S34">
        <v>0.11923810308548791</v>
      </c>
      <c r="T34">
        <v>6.1687319870597307E-2</v>
      </c>
    </row>
    <row r="35" spans="1:20" x14ac:dyDescent="0.2">
      <c r="A35" s="69">
        <v>20180</v>
      </c>
      <c r="N35">
        <v>2860.942</v>
      </c>
      <c r="O35">
        <v>1.6272049572063001E-2</v>
      </c>
      <c r="P35">
        <v>7.7788443281787259E-2</v>
      </c>
      <c r="Q35">
        <v>6.669418000707128E-2</v>
      </c>
      <c r="R35">
        <v>1.6272049572063001E-2</v>
      </c>
      <c r="S35">
        <v>6.669418000707128E-2</v>
      </c>
      <c r="T35">
        <v>7.7788443281787259E-2</v>
      </c>
    </row>
    <row r="36" spans="1:20" x14ac:dyDescent="0.2">
      <c r="A36" s="69">
        <v>20271</v>
      </c>
      <c r="N36">
        <v>2899.578</v>
      </c>
      <c r="O36">
        <v>1.350464287636728E-2</v>
      </c>
      <c r="P36">
        <v>8.0145013809242382E-2</v>
      </c>
      <c r="Q36">
        <v>5.5122708699020251E-2</v>
      </c>
      <c r="R36">
        <v>1.350464287636728E-2</v>
      </c>
      <c r="S36">
        <v>5.5122708699020251E-2</v>
      </c>
      <c r="T36">
        <v>8.0145013809242382E-2</v>
      </c>
    </row>
    <row r="37" spans="1:20" x14ac:dyDescent="0.2">
      <c r="A37" s="69">
        <v>20363</v>
      </c>
      <c r="N37">
        <v>2916.9850000000001</v>
      </c>
      <c r="O37">
        <v>6.0032873749215074E-3</v>
      </c>
      <c r="P37">
        <v>6.5775531977084092E-2</v>
      </c>
      <c r="Q37">
        <v>2.4230252975287799E-2</v>
      </c>
      <c r="R37">
        <v>6.0032873749215074E-3</v>
      </c>
      <c r="S37">
        <v>2.4230252975287799E-2</v>
      </c>
      <c r="T37">
        <v>6.5775531977084092E-2</v>
      </c>
    </row>
    <row r="38" spans="1:20" x14ac:dyDescent="0.2">
      <c r="A38" s="69">
        <v>20455</v>
      </c>
      <c r="N38">
        <v>2905.6559999999999</v>
      </c>
      <c r="O38">
        <v>-3.8838046818890659E-3</v>
      </c>
      <c r="P38">
        <v>3.2155485316151887E-2</v>
      </c>
      <c r="Q38">
        <v>-1.5444949199477359E-2</v>
      </c>
      <c r="R38">
        <v>-3.8838046818890659E-3</v>
      </c>
      <c r="S38">
        <v>-1.5444949199477359E-2</v>
      </c>
      <c r="T38">
        <v>3.2155485316151887E-2</v>
      </c>
    </row>
    <row r="39" spans="1:20" x14ac:dyDescent="0.2">
      <c r="A39" s="69">
        <v>20546</v>
      </c>
      <c r="N39">
        <v>2929.6660000000002</v>
      </c>
      <c r="O39">
        <v>8.2631942666303998E-3</v>
      </c>
      <c r="P39">
        <v>2.4021458666411331E-2</v>
      </c>
      <c r="Q39">
        <v>3.3464720861821728E-2</v>
      </c>
      <c r="R39">
        <v>8.2631942666303998E-3</v>
      </c>
      <c r="S39">
        <v>3.3464720861821728E-2</v>
      </c>
      <c r="T39">
        <v>2.4021458666411331E-2</v>
      </c>
    </row>
    <row r="40" spans="1:20" x14ac:dyDescent="0.2">
      <c r="A40" s="69">
        <v>20637</v>
      </c>
      <c r="N40">
        <v>2927.0340000000001</v>
      </c>
      <c r="O40">
        <v>-8.9839592636159265E-4</v>
      </c>
      <c r="P40">
        <v>9.4689641044317929E-3</v>
      </c>
      <c r="Q40">
        <v>-3.588743913787829E-3</v>
      </c>
      <c r="R40">
        <v>-8.9839592636159265E-4</v>
      </c>
      <c r="S40">
        <v>-3.588743913787829E-3</v>
      </c>
      <c r="T40">
        <v>9.4689641044317929E-3</v>
      </c>
    </row>
    <row r="41" spans="1:20" x14ac:dyDescent="0.2">
      <c r="A41" s="69">
        <v>20729</v>
      </c>
      <c r="N41">
        <v>2975.2089999999998</v>
      </c>
      <c r="O41">
        <v>1.6458640384771659E-2</v>
      </c>
      <c r="P41">
        <v>1.9960335757640061E-2</v>
      </c>
      <c r="Q41">
        <v>6.7477789695216561E-2</v>
      </c>
      <c r="R41">
        <v>1.6458640384771659E-2</v>
      </c>
      <c r="S41">
        <v>6.7477789695216561E-2</v>
      </c>
      <c r="T41">
        <v>1.9960335757640061E-2</v>
      </c>
    </row>
    <row r="42" spans="1:20" x14ac:dyDescent="0.2">
      <c r="A42" s="69">
        <v>20821</v>
      </c>
      <c r="N42">
        <v>2994.259</v>
      </c>
      <c r="O42">
        <v>6.4029115265516424E-3</v>
      </c>
      <c r="P42">
        <v>3.0493286197677931E-2</v>
      </c>
      <c r="Q42">
        <v>2.5858681450808829E-2</v>
      </c>
      <c r="R42">
        <v>6.4029115265516424E-3</v>
      </c>
      <c r="S42">
        <v>2.5858681450808829E-2</v>
      </c>
      <c r="T42">
        <v>3.0493286197677931E-2</v>
      </c>
    </row>
    <row r="43" spans="1:20" x14ac:dyDescent="0.2">
      <c r="A43" s="69">
        <v>20911</v>
      </c>
      <c r="N43">
        <v>2987.6990000000001</v>
      </c>
      <c r="O43">
        <v>-2.1908592409674459E-3</v>
      </c>
      <c r="P43">
        <v>1.9808742703093081E-2</v>
      </c>
      <c r="Q43">
        <v>-8.734679818856006E-3</v>
      </c>
      <c r="R43">
        <v>-2.1908592409674459E-3</v>
      </c>
      <c r="S43">
        <v>-8.734679818856006E-3</v>
      </c>
      <c r="T43">
        <v>1.9808742703093081E-2</v>
      </c>
    </row>
    <row r="44" spans="1:20" x14ac:dyDescent="0.2">
      <c r="A44" s="69">
        <v>21002</v>
      </c>
      <c r="N44">
        <v>3016.9789999999998</v>
      </c>
      <c r="O44">
        <v>9.8001840212149031E-3</v>
      </c>
      <c r="P44">
        <v>3.0729058835667681E-2</v>
      </c>
      <c r="Q44">
        <v>3.9780771930417069E-2</v>
      </c>
      <c r="R44">
        <v>9.8001840212149031E-3</v>
      </c>
      <c r="S44">
        <v>3.9780771930417069E-2</v>
      </c>
      <c r="T44">
        <v>3.0729058835667681E-2</v>
      </c>
    </row>
    <row r="45" spans="1:20" x14ac:dyDescent="0.2">
      <c r="A45" s="69">
        <v>21094</v>
      </c>
      <c r="N45">
        <v>2985.7750000000001</v>
      </c>
      <c r="O45">
        <v>-1.0342796552445251E-2</v>
      </c>
      <c r="P45">
        <v>3.551347149057514E-3</v>
      </c>
      <c r="Q45">
        <v>-4.0733759741440001E-2</v>
      </c>
      <c r="R45">
        <v>-1.0342796552445251E-2</v>
      </c>
      <c r="S45">
        <v>-4.0733759741440001E-2</v>
      </c>
      <c r="T45">
        <v>3.551347149057514E-3</v>
      </c>
    </row>
    <row r="46" spans="1:20" x14ac:dyDescent="0.2">
      <c r="A46" s="69">
        <v>21186</v>
      </c>
      <c r="N46">
        <v>2908.2809999999999</v>
      </c>
      <c r="O46">
        <v>-2.595440044879475E-2</v>
      </c>
      <c r="P46">
        <v>-2.8714282899375131E-2</v>
      </c>
      <c r="Q46">
        <v>-9.984529734545633E-2</v>
      </c>
      <c r="R46">
        <v>-2.595440044879475E-2</v>
      </c>
      <c r="S46">
        <v>-9.984529734545633E-2</v>
      </c>
      <c r="T46">
        <v>-2.8714282899375131E-2</v>
      </c>
    </row>
    <row r="47" spans="1:20" x14ac:dyDescent="0.2">
      <c r="A47" s="69">
        <v>21276</v>
      </c>
      <c r="N47">
        <v>2927.395</v>
      </c>
      <c r="O47">
        <v>6.5722672602819441E-3</v>
      </c>
      <c r="P47">
        <v>-2.0184094850251012E-2</v>
      </c>
      <c r="Q47">
        <v>2.654937463692297E-2</v>
      </c>
      <c r="R47">
        <v>6.5722672602819441E-3</v>
      </c>
      <c r="S47">
        <v>2.654937463692297E-2</v>
      </c>
      <c r="T47">
        <v>-2.0184094850251012E-2</v>
      </c>
    </row>
    <row r="48" spans="1:20" x14ac:dyDescent="0.2">
      <c r="A48" s="69">
        <v>21367</v>
      </c>
      <c r="N48">
        <v>2995.1120000000001</v>
      </c>
      <c r="O48">
        <v>2.3132170410894361E-2</v>
      </c>
      <c r="P48">
        <v>-7.2479788556697733E-3</v>
      </c>
      <c r="Q48">
        <v>9.5789063668671348E-2</v>
      </c>
      <c r="R48">
        <v>2.3132170410894361E-2</v>
      </c>
      <c r="S48">
        <v>9.5789063668671348E-2</v>
      </c>
      <c r="T48">
        <v>-7.2479788556697733E-3</v>
      </c>
    </row>
    <row r="49" spans="1:20" x14ac:dyDescent="0.2">
      <c r="A49" s="69">
        <v>21459</v>
      </c>
      <c r="N49">
        <v>3065.1410000000001</v>
      </c>
      <c r="O49">
        <v>2.338109559842837E-2</v>
      </c>
      <c r="P49">
        <v>2.6581373345278859E-2</v>
      </c>
      <c r="Q49">
        <v>9.6855862537051252E-2</v>
      </c>
      <c r="R49">
        <v>2.338109559842837E-2</v>
      </c>
      <c r="S49">
        <v>9.6855862537051252E-2</v>
      </c>
      <c r="T49">
        <v>2.6581373345278859E-2</v>
      </c>
    </row>
    <row r="50" spans="1:20" x14ac:dyDescent="0.2">
      <c r="A50" s="69">
        <v>21551</v>
      </c>
      <c r="N50">
        <v>3123.9780000000001</v>
      </c>
      <c r="O50">
        <v>1.91955280360675E-2</v>
      </c>
      <c r="P50">
        <v>7.4166492164959338E-2</v>
      </c>
      <c r="Q50">
        <v>7.9021349466726676E-2</v>
      </c>
      <c r="R50">
        <v>1.91955280360675E-2</v>
      </c>
      <c r="S50">
        <v>7.9021349466726676E-2</v>
      </c>
      <c r="T50">
        <v>7.4166492164959338E-2</v>
      </c>
    </row>
    <row r="51" spans="1:20" x14ac:dyDescent="0.2">
      <c r="A51" s="69">
        <v>21641</v>
      </c>
      <c r="N51">
        <v>3194.4290000000001</v>
      </c>
      <c r="O51">
        <v>2.2551695306433021E-2</v>
      </c>
      <c r="P51">
        <v>9.121898479706364E-2</v>
      </c>
      <c r="Q51">
        <v>9.3304390916545632E-2</v>
      </c>
      <c r="R51">
        <v>2.2551695306433021E-2</v>
      </c>
      <c r="S51">
        <v>9.3304390916545632E-2</v>
      </c>
      <c r="T51">
        <v>9.121898479706364E-2</v>
      </c>
    </row>
    <row r="52" spans="1:20" x14ac:dyDescent="0.2">
      <c r="A52" s="69">
        <v>21732</v>
      </c>
      <c r="N52">
        <v>3196.683</v>
      </c>
      <c r="O52">
        <v>7.0560341143907266E-4</v>
      </c>
      <c r="P52">
        <v>6.7299987446212337E-2</v>
      </c>
      <c r="Q52">
        <v>2.8254023082616708E-3</v>
      </c>
      <c r="R52">
        <v>7.0560341143907266E-4</v>
      </c>
      <c r="S52">
        <v>2.8254023082616708E-3</v>
      </c>
      <c r="T52">
        <v>6.7299987446212337E-2</v>
      </c>
    </row>
    <row r="53" spans="1:20" x14ac:dyDescent="0.2">
      <c r="A53" s="69">
        <v>21824</v>
      </c>
      <c r="N53">
        <v>3205.79</v>
      </c>
      <c r="O53">
        <v>2.8488905531139528E-3</v>
      </c>
      <c r="P53">
        <v>4.588663294771754E-2</v>
      </c>
      <c r="Q53">
        <v>1.144435183103387E-2</v>
      </c>
      <c r="R53">
        <v>2.8488905531139528E-3</v>
      </c>
      <c r="S53">
        <v>1.144435183103387E-2</v>
      </c>
      <c r="T53">
        <v>4.588663294771754E-2</v>
      </c>
    </row>
    <row r="54" spans="1:20" x14ac:dyDescent="0.2">
      <c r="A54" s="69">
        <v>21916</v>
      </c>
      <c r="N54">
        <v>3277.8470000000002</v>
      </c>
      <c r="O54">
        <v>2.2477142919530051E-2</v>
      </c>
      <c r="P54">
        <v>4.9254188089672891E-2</v>
      </c>
      <c r="Q54">
        <v>9.298558243454158E-2</v>
      </c>
      <c r="R54">
        <v>2.2477142919530051E-2</v>
      </c>
      <c r="S54">
        <v>9.298558243454158E-2</v>
      </c>
      <c r="T54">
        <v>4.9254188089672891E-2</v>
      </c>
    </row>
    <row r="55" spans="1:20" x14ac:dyDescent="0.2">
      <c r="A55" s="69">
        <v>22007</v>
      </c>
      <c r="N55">
        <v>3260.1770000000001</v>
      </c>
      <c r="O55">
        <v>-5.3907336126427109E-3</v>
      </c>
      <c r="P55">
        <v>2.0582082118588349E-2</v>
      </c>
      <c r="Q55">
        <v>-2.138920017185875E-2</v>
      </c>
      <c r="R55">
        <v>-5.3907336126427109E-3</v>
      </c>
      <c r="S55">
        <v>-2.138920017185875E-2</v>
      </c>
      <c r="T55">
        <v>2.0582082118588349E-2</v>
      </c>
    </row>
    <row r="56" spans="1:20" x14ac:dyDescent="0.2">
      <c r="A56" s="69">
        <v>22098</v>
      </c>
      <c r="N56">
        <v>3276.1329999999998</v>
      </c>
      <c r="O56">
        <v>4.8942127988755441E-3</v>
      </c>
      <c r="P56">
        <v>2.4853887607873479E-2</v>
      </c>
      <c r="Q56">
        <v>1.9721040613348121E-2</v>
      </c>
      <c r="R56">
        <v>4.8942127988755441E-3</v>
      </c>
      <c r="S56">
        <v>1.9721040613348121E-2</v>
      </c>
      <c r="T56">
        <v>2.4853887607873479E-2</v>
      </c>
    </row>
    <row r="57" spans="1:20" x14ac:dyDescent="0.2">
      <c r="A57" s="69">
        <v>22190</v>
      </c>
      <c r="N57">
        <v>3234.087</v>
      </c>
      <c r="O57">
        <v>-1.283403329474103E-2</v>
      </c>
      <c r="P57">
        <v>8.8268414337807615E-3</v>
      </c>
      <c r="Q57">
        <v>-5.0356287283370382E-2</v>
      </c>
      <c r="R57">
        <v>-1.283403329474103E-2</v>
      </c>
      <c r="S57">
        <v>-5.0356287283370382E-2</v>
      </c>
      <c r="T57">
        <v>8.8268414337807615E-3</v>
      </c>
    </row>
    <row r="58" spans="1:20" x14ac:dyDescent="0.2">
      <c r="A58" s="69">
        <v>22282</v>
      </c>
      <c r="N58">
        <v>3255.9140000000002</v>
      </c>
      <c r="O58">
        <v>6.7490454029221309E-3</v>
      </c>
      <c r="P58">
        <v>-6.6912824180018144E-3</v>
      </c>
      <c r="Q58">
        <v>2.7270711035208169E-2</v>
      </c>
      <c r="R58">
        <v>6.7490454029221309E-3</v>
      </c>
      <c r="S58">
        <v>2.7270711035208169E-2</v>
      </c>
      <c r="T58">
        <v>-6.6912824180018144E-3</v>
      </c>
    </row>
    <row r="59" spans="1:20" x14ac:dyDescent="0.2">
      <c r="A59" s="69">
        <v>22372</v>
      </c>
      <c r="N59">
        <v>3311.181</v>
      </c>
      <c r="O59">
        <v>1.697434268841248E-2</v>
      </c>
      <c r="P59">
        <v>1.564454936035679E-2</v>
      </c>
      <c r="Q59">
        <v>6.9645786784463759E-2</v>
      </c>
      <c r="R59">
        <v>1.697434268841248E-2</v>
      </c>
      <c r="S59">
        <v>6.9645786784463759E-2</v>
      </c>
      <c r="T59">
        <v>1.564454936035679E-2</v>
      </c>
    </row>
    <row r="60" spans="1:20" x14ac:dyDescent="0.2">
      <c r="A60" s="69">
        <v>22463</v>
      </c>
      <c r="N60">
        <v>3374.7420000000002</v>
      </c>
      <c r="O60">
        <v>1.9195869993213949E-2</v>
      </c>
      <c r="P60">
        <v>3.009920537414091E-2</v>
      </c>
      <c r="Q60">
        <v>7.9022797586295823E-2</v>
      </c>
      <c r="R60">
        <v>1.9195869993213949E-2</v>
      </c>
      <c r="S60">
        <v>7.9022797586295823E-2</v>
      </c>
      <c r="T60">
        <v>3.009920537414091E-2</v>
      </c>
    </row>
    <row r="61" spans="1:20" x14ac:dyDescent="0.2">
      <c r="A61" s="69">
        <v>22555</v>
      </c>
      <c r="N61">
        <v>3440.924</v>
      </c>
      <c r="O61">
        <v>1.9610980632000841E-2</v>
      </c>
      <c r="P61">
        <v>6.3955298666980812E-2</v>
      </c>
      <c r="Q61">
        <v>8.0781782598194907E-2</v>
      </c>
      <c r="R61">
        <v>1.9610980632000841E-2</v>
      </c>
      <c r="S61">
        <v>8.0781782598194907E-2</v>
      </c>
      <c r="T61">
        <v>6.3955298666980812E-2</v>
      </c>
    </row>
    <row r="62" spans="1:20" x14ac:dyDescent="0.2">
      <c r="A62" s="69">
        <v>22647</v>
      </c>
      <c r="N62">
        <v>3502.2979999999998</v>
      </c>
      <c r="O62">
        <v>1.783648810610167E-2</v>
      </c>
      <c r="P62">
        <v>7.5672760398462477E-2</v>
      </c>
      <c r="Q62">
        <v>7.3277593508693117E-2</v>
      </c>
      <c r="R62">
        <v>1.783648810610167E-2</v>
      </c>
      <c r="S62">
        <v>7.3277593508693117E-2</v>
      </c>
      <c r="T62">
        <v>7.5672760398462477E-2</v>
      </c>
    </row>
    <row r="63" spans="1:20" x14ac:dyDescent="0.2">
      <c r="A63" s="69">
        <v>22737</v>
      </c>
      <c r="N63">
        <v>3533.9470000000001</v>
      </c>
      <c r="O63">
        <v>9.0366382300993073E-3</v>
      </c>
      <c r="P63">
        <v>6.7276902108341433E-2</v>
      </c>
      <c r="Q63">
        <v>3.6639476329429772E-2</v>
      </c>
      <c r="R63">
        <v>9.0366382300993073E-3</v>
      </c>
      <c r="S63">
        <v>3.6639476329429772E-2</v>
      </c>
      <c r="T63">
        <v>6.7276902108341433E-2</v>
      </c>
    </row>
    <row r="64" spans="1:20" x14ac:dyDescent="0.2">
      <c r="A64" s="69">
        <v>22828</v>
      </c>
      <c r="N64">
        <v>3577.3620000000001</v>
      </c>
      <c r="O64">
        <v>1.228513047875363E-2</v>
      </c>
      <c r="P64">
        <v>6.0040145291106663E-2</v>
      </c>
      <c r="Q64">
        <v>5.0053507783781807E-2</v>
      </c>
      <c r="R64">
        <v>1.228513047875363E-2</v>
      </c>
      <c r="S64">
        <v>5.0053507783781807E-2</v>
      </c>
      <c r="T64">
        <v>6.0040145291106663E-2</v>
      </c>
    </row>
    <row r="65" spans="1:20" x14ac:dyDescent="0.2">
      <c r="A65" s="69">
        <v>22920</v>
      </c>
      <c r="N65">
        <v>3589.1280000000002</v>
      </c>
      <c r="O65">
        <v>3.2890157607756991E-3</v>
      </c>
      <c r="P65">
        <v>4.3070989071540139E-2</v>
      </c>
      <c r="Q65">
        <v>1.3221111225523609E-2</v>
      </c>
      <c r="R65">
        <v>3.2890157607756991E-3</v>
      </c>
      <c r="S65">
        <v>1.3221111225523609E-2</v>
      </c>
      <c r="T65">
        <v>4.3070989071540139E-2</v>
      </c>
    </row>
    <row r="66" spans="1:20" x14ac:dyDescent="0.2">
      <c r="A66" s="69">
        <v>23012</v>
      </c>
      <c r="N66">
        <v>3628.306</v>
      </c>
      <c r="O66">
        <v>1.0915743322612029E-2</v>
      </c>
      <c r="P66">
        <v>3.5978663152021979E-2</v>
      </c>
      <c r="Q66">
        <v>4.4383110795709342E-2</v>
      </c>
      <c r="R66">
        <v>1.0915743322612029E-2</v>
      </c>
      <c r="S66">
        <v>4.4383110795709342E-2</v>
      </c>
      <c r="T66">
        <v>3.5978663152021979E-2</v>
      </c>
    </row>
    <row r="67" spans="1:20" x14ac:dyDescent="0.2">
      <c r="A67" s="69">
        <v>23102</v>
      </c>
      <c r="N67">
        <v>3669.02</v>
      </c>
      <c r="O67">
        <v>1.122121452821232E-2</v>
      </c>
      <c r="P67">
        <v>3.8221569253868229E-2</v>
      </c>
      <c r="Q67">
        <v>4.5646019606860877E-2</v>
      </c>
      <c r="R67">
        <v>1.122121452821232E-2</v>
      </c>
      <c r="S67">
        <v>4.5646019606860877E-2</v>
      </c>
      <c r="T67">
        <v>3.8221569253868229E-2</v>
      </c>
    </row>
    <row r="68" spans="1:20" x14ac:dyDescent="0.2">
      <c r="A68" s="69">
        <v>23193</v>
      </c>
      <c r="N68">
        <v>3749.681</v>
      </c>
      <c r="O68">
        <v>2.1984344593379179E-2</v>
      </c>
      <c r="P68">
        <v>4.8169293462612943E-2</v>
      </c>
      <c r="Q68">
        <v>9.0879981544722765E-2</v>
      </c>
      <c r="R68">
        <v>2.1984344593379179E-2</v>
      </c>
      <c r="S68">
        <v>9.0879981544722765E-2</v>
      </c>
      <c r="T68">
        <v>4.8169293462612943E-2</v>
      </c>
    </row>
    <row r="69" spans="1:20" x14ac:dyDescent="0.2">
      <c r="A69" s="69">
        <v>23285</v>
      </c>
      <c r="N69">
        <v>3774.2640000000001</v>
      </c>
      <c r="O69">
        <v>6.5560243658060744E-3</v>
      </c>
      <c r="P69">
        <v>5.158244565253732E-2</v>
      </c>
      <c r="Q69">
        <v>2.6483115193417731E-2</v>
      </c>
      <c r="R69">
        <v>6.5560243658060744E-3</v>
      </c>
      <c r="S69">
        <v>2.6483115193417731E-2</v>
      </c>
      <c r="T69">
        <v>5.158244565253732E-2</v>
      </c>
    </row>
    <row r="70" spans="1:20" x14ac:dyDescent="0.2">
      <c r="A70" s="69">
        <v>23377</v>
      </c>
      <c r="N70">
        <v>3853.835</v>
      </c>
      <c r="O70">
        <v>2.10825209895227E-2</v>
      </c>
      <c r="P70">
        <v>6.215820826578574E-2</v>
      </c>
      <c r="Q70">
        <v>8.7034600081078217E-2</v>
      </c>
      <c r="R70">
        <v>2.10825209895227E-2</v>
      </c>
      <c r="S70">
        <v>8.7034600081078217E-2</v>
      </c>
      <c r="T70">
        <v>6.215820826578574E-2</v>
      </c>
    </row>
    <row r="71" spans="1:20" x14ac:dyDescent="0.2">
      <c r="A71" s="69">
        <v>23468</v>
      </c>
      <c r="N71">
        <v>3895.7930000000001</v>
      </c>
      <c r="O71">
        <v>1.0887336899478069E-2</v>
      </c>
      <c r="P71">
        <v>6.1807512632801168E-2</v>
      </c>
      <c r="Q71">
        <v>4.426572835975362E-2</v>
      </c>
      <c r="R71">
        <v>1.0887336899478069E-2</v>
      </c>
      <c r="S71">
        <v>4.426572835975362E-2</v>
      </c>
      <c r="T71">
        <v>6.1807512632801168E-2</v>
      </c>
    </row>
    <row r="72" spans="1:20" x14ac:dyDescent="0.2">
      <c r="A72" s="69">
        <v>23559</v>
      </c>
      <c r="N72">
        <v>3956.6570000000002</v>
      </c>
      <c r="O72">
        <v>1.5623006663855091E-2</v>
      </c>
      <c r="P72">
        <v>5.5198295535006867E-2</v>
      </c>
      <c r="Q72">
        <v>6.3971809202924224E-2</v>
      </c>
      <c r="R72">
        <v>1.5623006663855091E-2</v>
      </c>
      <c r="S72">
        <v>6.3971809202924224E-2</v>
      </c>
      <c r="T72">
        <v>5.5198295535006867E-2</v>
      </c>
    </row>
    <row r="73" spans="1:20" x14ac:dyDescent="0.2">
      <c r="A73" s="69">
        <v>23651</v>
      </c>
      <c r="N73">
        <v>3968.8780000000002</v>
      </c>
      <c r="O73">
        <v>3.0887185823790142E-3</v>
      </c>
      <c r="P73">
        <v>5.1563430645021127E-2</v>
      </c>
      <c r="Q73">
        <v>1.2412233383173101E-2</v>
      </c>
      <c r="R73">
        <v>3.0887185823790142E-3</v>
      </c>
      <c r="S73">
        <v>1.2412233383173101E-2</v>
      </c>
      <c r="T73">
        <v>5.1563430645021127E-2</v>
      </c>
    </row>
    <row r="74" spans="1:20" x14ac:dyDescent="0.2">
      <c r="A74" s="69">
        <v>23743</v>
      </c>
      <c r="N74">
        <v>4064.915</v>
      </c>
      <c r="O74">
        <v>2.419751879498433E-2</v>
      </c>
      <c r="P74">
        <v>5.4771416005096198E-2</v>
      </c>
      <c r="Q74">
        <v>0.10036021002518369</v>
      </c>
      <c r="R74">
        <v>2.419751879498433E-2</v>
      </c>
      <c r="S74">
        <v>0.10036021002518369</v>
      </c>
      <c r="T74">
        <v>5.4771416005096198E-2</v>
      </c>
    </row>
    <row r="75" spans="1:20" x14ac:dyDescent="0.2">
      <c r="A75" s="69">
        <v>23833</v>
      </c>
      <c r="N75">
        <v>4116.2669999999998</v>
      </c>
      <c r="O75">
        <v>1.2632982485488589E-2</v>
      </c>
      <c r="P75">
        <v>5.6592842586862209E-2</v>
      </c>
      <c r="Q75">
        <v>5.1497573394729379E-2</v>
      </c>
      <c r="R75">
        <v>1.2632982485488589E-2</v>
      </c>
      <c r="S75">
        <v>5.1497573394729379E-2</v>
      </c>
      <c r="T75">
        <v>5.6592842586862209E-2</v>
      </c>
    </row>
    <row r="76" spans="1:20" x14ac:dyDescent="0.2">
      <c r="A76" s="69">
        <v>23924</v>
      </c>
      <c r="N76">
        <v>4207.7820000000002</v>
      </c>
      <c r="O76">
        <v>2.2232522817397491E-2</v>
      </c>
      <c r="P76">
        <v>6.3468984043853177E-2</v>
      </c>
      <c r="Q76">
        <v>9.1940002828739154E-2</v>
      </c>
      <c r="R76">
        <v>2.2232522817397491E-2</v>
      </c>
      <c r="S76">
        <v>9.1940002828739154E-2</v>
      </c>
      <c r="T76">
        <v>6.3468984043853177E-2</v>
      </c>
    </row>
    <row r="77" spans="1:20" x14ac:dyDescent="0.2">
      <c r="A77" s="69">
        <v>24016</v>
      </c>
      <c r="N77">
        <v>4304.7309999999998</v>
      </c>
      <c r="O77">
        <v>2.3040404659747011E-2</v>
      </c>
      <c r="P77">
        <v>8.4621648738005956E-2</v>
      </c>
      <c r="Q77">
        <v>9.5395986872523153E-2</v>
      </c>
      <c r="R77">
        <v>2.3040404659747011E-2</v>
      </c>
      <c r="S77">
        <v>9.5395986872523153E-2</v>
      </c>
      <c r="T77">
        <v>8.4621648738005956E-2</v>
      </c>
    </row>
    <row r="78" spans="1:20" x14ac:dyDescent="0.2">
      <c r="A78" s="69">
        <v>24108</v>
      </c>
      <c r="N78">
        <v>4409.518</v>
      </c>
      <c r="O78">
        <v>2.4342287590095699E-2</v>
      </c>
      <c r="P78">
        <v>8.477495839396397E-2</v>
      </c>
      <c r="Q78">
        <v>0.100982479057544</v>
      </c>
      <c r="R78">
        <v>2.4342287590095699E-2</v>
      </c>
      <c r="S78">
        <v>0.100982479057544</v>
      </c>
      <c r="T78">
        <v>8.477495839396397E-2</v>
      </c>
    </row>
    <row r="79" spans="1:20" x14ac:dyDescent="0.2">
      <c r="A79" s="69">
        <v>24198</v>
      </c>
      <c r="N79">
        <v>4424.5810000000001</v>
      </c>
      <c r="O79">
        <v>3.4160196193779228E-3</v>
      </c>
      <c r="P79">
        <v>7.490136086896218E-2</v>
      </c>
      <c r="Q79">
        <v>1.373425320265032E-2</v>
      </c>
      <c r="R79">
        <v>3.4160196193779228E-3</v>
      </c>
      <c r="S79">
        <v>1.373425320265032E-2</v>
      </c>
      <c r="T79">
        <v>7.490136086896218E-2</v>
      </c>
    </row>
    <row r="80" spans="1:20" x14ac:dyDescent="0.2">
      <c r="A80" s="69">
        <v>24289</v>
      </c>
      <c r="N80">
        <v>4462.0529999999999</v>
      </c>
      <c r="O80">
        <v>8.4690505157436948E-3</v>
      </c>
      <c r="P80">
        <v>6.0428748447519318E-2</v>
      </c>
      <c r="Q80">
        <v>3.4308985871634563E-2</v>
      </c>
      <c r="R80">
        <v>8.4690505157436948E-3</v>
      </c>
      <c r="S80">
        <v>3.4308985871634563E-2</v>
      </c>
      <c r="T80">
        <v>6.0428748447519318E-2</v>
      </c>
    </row>
    <row r="81" spans="1:20" x14ac:dyDescent="0.2">
      <c r="A81" s="69">
        <v>24381</v>
      </c>
      <c r="N81">
        <v>4498.66</v>
      </c>
      <c r="O81">
        <v>8.2040710856639242E-3</v>
      </c>
      <c r="P81">
        <v>4.505020174315192E-2</v>
      </c>
      <c r="Q81">
        <v>3.3222338325639138E-2</v>
      </c>
      <c r="R81">
        <v>8.2040710856639242E-3</v>
      </c>
      <c r="S81">
        <v>3.3222338325639138E-2</v>
      </c>
      <c r="T81">
        <v>4.505020174315192E-2</v>
      </c>
    </row>
    <row r="82" spans="1:20" x14ac:dyDescent="0.2">
      <c r="A82" s="69">
        <v>24473</v>
      </c>
      <c r="N82">
        <v>4538.4979999999996</v>
      </c>
      <c r="O82">
        <v>8.8555258677027685E-3</v>
      </c>
      <c r="P82">
        <v>2.9250362511276641E-2</v>
      </c>
      <c r="Q82">
        <v>3.5895409464262729E-2</v>
      </c>
      <c r="R82">
        <v>8.8555258677027685E-3</v>
      </c>
      <c r="S82">
        <v>3.5895409464262729E-2</v>
      </c>
      <c r="T82">
        <v>2.9250362511276641E-2</v>
      </c>
    </row>
    <row r="83" spans="1:20" x14ac:dyDescent="0.2">
      <c r="A83" s="69">
        <v>24563</v>
      </c>
      <c r="N83">
        <v>4541.28</v>
      </c>
      <c r="O83">
        <v>6.1297812624356185E-4</v>
      </c>
      <c r="P83">
        <v>2.637515281107965E-2</v>
      </c>
      <c r="Q83">
        <v>2.4541678795020339E-3</v>
      </c>
      <c r="R83">
        <v>6.1297812624356185E-4</v>
      </c>
      <c r="S83">
        <v>2.4541678795020339E-3</v>
      </c>
      <c r="T83">
        <v>2.637515281107965E-2</v>
      </c>
    </row>
    <row r="84" spans="1:20" x14ac:dyDescent="0.2">
      <c r="A84" s="69">
        <v>24654</v>
      </c>
      <c r="N84">
        <v>4584.2460000000001</v>
      </c>
      <c r="O84">
        <v>9.4612091745059444E-3</v>
      </c>
      <c r="P84">
        <v>2.738492796925546E-2</v>
      </c>
      <c r="Q84">
        <v>3.8385319245969551E-2</v>
      </c>
      <c r="R84">
        <v>9.4612091745059444E-3</v>
      </c>
      <c r="S84">
        <v>3.8385319245969551E-2</v>
      </c>
      <c r="T84">
        <v>2.738492796925546E-2</v>
      </c>
    </row>
    <row r="85" spans="1:20" x14ac:dyDescent="0.2">
      <c r="A85" s="69">
        <v>24746</v>
      </c>
      <c r="N85">
        <v>4618.8119999999999</v>
      </c>
      <c r="O85">
        <v>7.5401712735310893E-3</v>
      </c>
      <c r="P85">
        <v>2.670839761173328E-2</v>
      </c>
      <c r="Q85">
        <v>3.0503528184631978E-2</v>
      </c>
      <c r="R85">
        <v>7.5401712735310893E-3</v>
      </c>
      <c r="S85">
        <v>3.0503528184631978E-2</v>
      </c>
      <c r="T85">
        <v>2.670839761173328E-2</v>
      </c>
    </row>
    <row r="86" spans="1:20" x14ac:dyDescent="0.2">
      <c r="A86" s="69">
        <v>24838</v>
      </c>
      <c r="N86">
        <v>4713.0129999999999</v>
      </c>
      <c r="O86">
        <v>2.0395071286729152E-2</v>
      </c>
      <c r="P86">
        <v>3.8452148706466398E-2</v>
      </c>
      <c r="Q86">
        <v>8.4110145813841353E-2</v>
      </c>
      <c r="R86">
        <v>2.0395071286729152E-2</v>
      </c>
      <c r="S86">
        <v>8.4110145813841353E-2</v>
      </c>
      <c r="T86">
        <v>3.8452148706466398E-2</v>
      </c>
    </row>
    <row r="87" spans="1:20" x14ac:dyDescent="0.2">
      <c r="A87" s="69">
        <v>24929</v>
      </c>
      <c r="N87">
        <v>4791.7579999999998</v>
      </c>
      <c r="O87">
        <v>1.6707995500967191E-2</v>
      </c>
      <c r="P87">
        <v>5.5155815100588403E-2</v>
      </c>
      <c r="Q87">
        <v>6.852565923772147E-2</v>
      </c>
      <c r="R87">
        <v>1.6707995500967191E-2</v>
      </c>
      <c r="S87">
        <v>6.852565923772147E-2</v>
      </c>
      <c r="T87">
        <v>5.5155815100588403E-2</v>
      </c>
    </row>
    <row r="88" spans="1:20" x14ac:dyDescent="0.2">
      <c r="A88" s="69">
        <v>25020</v>
      </c>
      <c r="N88">
        <v>4828.8919999999998</v>
      </c>
      <c r="O88">
        <v>7.7495566345378913E-3</v>
      </c>
      <c r="P88">
        <v>5.3366682329002352E-2</v>
      </c>
      <c r="Q88">
        <v>3.1360425530983838E-2</v>
      </c>
      <c r="R88">
        <v>7.7495566345378913E-3</v>
      </c>
      <c r="S88">
        <v>3.1360425530983838E-2</v>
      </c>
      <c r="T88">
        <v>5.3366682329002352E-2</v>
      </c>
    </row>
    <row r="89" spans="1:20" x14ac:dyDescent="0.2">
      <c r="A89" s="69">
        <v>25112</v>
      </c>
      <c r="N89">
        <v>4847.8850000000002</v>
      </c>
      <c r="O89">
        <v>3.9332004111917174E-3</v>
      </c>
      <c r="P89">
        <v>4.9595653600969333E-2</v>
      </c>
      <c r="Q89">
        <v>1.5825865664408582E-2</v>
      </c>
      <c r="R89">
        <v>3.9332004111917174E-3</v>
      </c>
      <c r="S89">
        <v>1.5825865664408582E-2</v>
      </c>
      <c r="T89">
        <v>4.9595653600969333E-2</v>
      </c>
    </row>
    <row r="90" spans="1:20" x14ac:dyDescent="0.2">
      <c r="A90" s="69">
        <v>25204</v>
      </c>
      <c r="N90">
        <v>4923.76</v>
      </c>
      <c r="O90">
        <v>1.565115509134396E-2</v>
      </c>
      <c r="P90">
        <v>4.4715981050763132E-2</v>
      </c>
      <c r="Q90">
        <v>6.4089767847923085E-2</v>
      </c>
      <c r="R90">
        <v>1.565115509134396E-2</v>
      </c>
      <c r="S90">
        <v>6.4089767847923085E-2</v>
      </c>
      <c r="T90">
        <v>4.4715981050763132E-2</v>
      </c>
    </row>
    <row r="91" spans="1:20" x14ac:dyDescent="0.2">
      <c r="A91" s="69">
        <v>25294</v>
      </c>
      <c r="N91">
        <v>4938.7280000000001</v>
      </c>
      <c r="O91">
        <v>3.039953206492568E-3</v>
      </c>
      <c r="P91">
        <v>3.067141537615219E-2</v>
      </c>
      <c r="Q91">
        <v>1.221537317702515E-2</v>
      </c>
      <c r="R91">
        <v>3.039953206492568E-3</v>
      </c>
      <c r="S91">
        <v>1.221537317702515E-2</v>
      </c>
      <c r="T91">
        <v>3.067141537615219E-2</v>
      </c>
    </row>
    <row r="92" spans="1:20" x14ac:dyDescent="0.2">
      <c r="A92" s="69">
        <v>25385</v>
      </c>
      <c r="N92">
        <v>4971.3490000000002</v>
      </c>
      <c r="O92">
        <v>6.6051420527715021E-3</v>
      </c>
      <c r="P92">
        <v>2.9500970408946881E-2</v>
      </c>
      <c r="Q92">
        <v>2.6683490197652041E-2</v>
      </c>
      <c r="R92">
        <v>6.6051420527715021E-3</v>
      </c>
      <c r="S92">
        <v>2.6683490197652041E-2</v>
      </c>
      <c r="T92">
        <v>2.9500970408946881E-2</v>
      </c>
    </row>
    <row r="93" spans="1:20" x14ac:dyDescent="0.2">
      <c r="A93" s="69">
        <v>25477</v>
      </c>
      <c r="N93">
        <v>4947.1040000000003</v>
      </c>
      <c r="O93">
        <v>-4.8769458752543609E-3</v>
      </c>
      <c r="P93">
        <v>2.0466450833714091E-2</v>
      </c>
      <c r="Q93">
        <v>-1.9365539313737409E-2</v>
      </c>
      <c r="R93">
        <v>-4.8769458752543609E-3</v>
      </c>
      <c r="S93">
        <v>-1.9365539313737409E-2</v>
      </c>
      <c r="T93">
        <v>2.0466450833714091E-2</v>
      </c>
    </row>
    <row r="94" spans="1:20" x14ac:dyDescent="0.2">
      <c r="A94" s="69">
        <v>25569</v>
      </c>
      <c r="N94">
        <v>4939.759</v>
      </c>
      <c r="O94">
        <v>-1.4847070124259069E-3</v>
      </c>
      <c r="P94">
        <v>3.249346028238541E-3</v>
      </c>
      <c r="Q94">
        <v>-5.9256150066525626E-3</v>
      </c>
      <c r="R94">
        <v>-1.4847070124259069E-3</v>
      </c>
      <c r="S94">
        <v>-5.9256150066525626E-3</v>
      </c>
      <c r="T94">
        <v>3.249346028238541E-3</v>
      </c>
    </row>
    <row r="95" spans="1:20" x14ac:dyDescent="0.2">
      <c r="A95" s="69">
        <v>25659</v>
      </c>
      <c r="N95">
        <v>4946.7700000000004</v>
      </c>
      <c r="O95">
        <v>1.419300010385208E-3</v>
      </c>
      <c r="P95">
        <v>1.628354507476494E-3</v>
      </c>
      <c r="Q95">
        <v>5.6892979569385096E-3</v>
      </c>
      <c r="R95">
        <v>1.419300010385208E-3</v>
      </c>
      <c r="S95">
        <v>5.6892979569385096E-3</v>
      </c>
      <c r="T95">
        <v>1.628354507476494E-3</v>
      </c>
    </row>
    <row r="96" spans="1:20" x14ac:dyDescent="0.2">
      <c r="A96" s="69">
        <v>25750</v>
      </c>
      <c r="N96">
        <v>4992.357</v>
      </c>
      <c r="O96">
        <v>9.2155083013763586E-3</v>
      </c>
      <c r="P96">
        <v>4.2258147637592551E-3</v>
      </c>
      <c r="Q96">
        <v>3.7374724507416517E-2</v>
      </c>
      <c r="R96">
        <v>9.2155083013763586E-3</v>
      </c>
      <c r="S96">
        <v>3.7374724507416517E-2</v>
      </c>
      <c r="T96">
        <v>4.2258147637592551E-3</v>
      </c>
    </row>
    <row r="97" spans="1:20" x14ac:dyDescent="0.2">
      <c r="A97" s="69">
        <v>25842</v>
      </c>
      <c r="N97">
        <v>4938.857</v>
      </c>
      <c r="O97">
        <v>-1.071638106008845E-2</v>
      </c>
      <c r="P97">
        <v>-1.667035906259561E-3</v>
      </c>
      <c r="Q97">
        <v>-4.2181388825872079E-2</v>
      </c>
      <c r="R97">
        <v>-1.071638106008845E-2</v>
      </c>
      <c r="S97">
        <v>-4.2181388825872079E-2</v>
      </c>
      <c r="T97">
        <v>-1.667035906259561E-3</v>
      </c>
    </row>
    <row r="98" spans="1:20" x14ac:dyDescent="0.2">
      <c r="A98" s="69">
        <v>25934</v>
      </c>
      <c r="N98">
        <v>5072.9960000000001</v>
      </c>
      <c r="O98">
        <v>2.7159927894247621E-2</v>
      </c>
      <c r="P98">
        <v>2.697236849004174E-2</v>
      </c>
      <c r="Q98">
        <v>0.1131463651735802</v>
      </c>
      <c r="R98">
        <v>2.7159927894247621E-2</v>
      </c>
      <c r="S98">
        <v>0.1131463651735802</v>
      </c>
      <c r="T98">
        <v>2.697236849004174E-2</v>
      </c>
    </row>
    <row r="99" spans="1:20" x14ac:dyDescent="0.2">
      <c r="A99" s="69">
        <v>26024</v>
      </c>
      <c r="N99">
        <v>5100.4470000000001</v>
      </c>
      <c r="O99">
        <v>5.4112007973197733E-3</v>
      </c>
      <c r="P99">
        <v>3.106613002019493E-2</v>
      </c>
      <c r="Q99">
        <v>2.1821124394593161E-2</v>
      </c>
      <c r="R99">
        <v>5.4112007973197733E-3</v>
      </c>
      <c r="S99">
        <v>2.1821124394593161E-2</v>
      </c>
      <c r="T99">
        <v>3.106613002019493E-2</v>
      </c>
    </row>
    <row r="100" spans="1:20" x14ac:dyDescent="0.2">
      <c r="A100" s="69">
        <v>26115</v>
      </c>
      <c r="N100">
        <v>5142.4219999999996</v>
      </c>
      <c r="O100">
        <v>8.2296708504175139E-3</v>
      </c>
      <c r="P100">
        <v>3.0058948108077931E-2</v>
      </c>
      <c r="Q100">
        <v>3.3327282382066732E-2</v>
      </c>
      <c r="R100">
        <v>8.2296708504175139E-3</v>
      </c>
      <c r="S100">
        <v>3.3327282382066732E-2</v>
      </c>
      <c r="T100">
        <v>3.0058948108077931E-2</v>
      </c>
    </row>
    <row r="101" spans="1:20" x14ac:dyDescent="0.2">
      <c r="A101" s="69">
        <v>26207</v>
      </c>
      <c r="N101">
        <v>5154.5469999999996</v>
      </c>
      <c r="O101">
        <v>2.357838388214737E-3</v>
      </c>
      <c r="P101">
        <v>4.3672048006249138E-2</v>
      </c>
      <c r="Q101">
        <v>9.464762427640272E-3</v>
      </c>
      <c r="R101">
        <v>2.357838388214737E-3</v>
      </c>
      <c r="S101">
        <v>9.464762427640272E-3</v>
      </c>
      <c r="T101">
        <v>4.3672048006249138E-2</v>
      </c>
    </row>
    <row r="102" spans="1:20" x14ac:dyDescent="0.2">
      <c r="A102" s="69">
        <v>26299</v>
      </c>
      <c r="N102">
        <v>5249.3370000000004</v>
      </c>
      <c r="O102">
        <v>1.8389588842627851E-2</v>
      </c>
      <c r="P102">
        <v>3.4760721277919467E-2</v>
      </c>
      <c r="Q102">
        <v>7.5612407343295995E-2</v>
      </c>
      <c r="R102">
        <v>1.8389588842627851E-2</v>
      </c>
      <c r="S102">
        <v>7.5612407343295995E-2</v>
      </c>
      <c r="T102">
        <v>3.4760721277919467E-2</v>
      </c>
    </row>
    <row r="103" spans="1:20" x14ac:dyDescent="0.2">
      <c r="A103" s="69">
        <v>26390</v>
      </c>
      <c r="N103">
        <v>5368.4849999999997</v>
      </c>
      <c r="O103">
        <v>2.2697723541087039E-2</v>
      </c>
      <c r="P103">
        <v>5.2551864571869791E-2</v>
      </c>
      <c r="Q103">
        <v>9.3929053762295656E-2</v>
      </c>
      <c r="R103">
        <v>2.2697723541087039E-2</v>
      </c>
      <c r="S103">
        <v>9.3929053762295656E-2</v>
      </c>
      <c r="T103">
        <v>5.2551864571869791E-2</v>
      </c>
    </row>
    <row r="104" spans="1:20" x14ac:dyDescent="0.2">
      <c r="A104" s="69">
        <v>26481</v>
      </c>
      <c r="N104">
        <v>5419.1840000000002</v>
      </c>
      <c r="O104">
        <v>9.4438188800006935E-3</v>
      </c>
      <c r="P104">
        <v>5.3819387051471212E-2</v>
      </c>
      <c r="Q104">
        <v>3.8313766779282547E-2</v>
      </c>
      <c r="R104">
        <v>9.4438188800006935E-3</v>
      </c>
      <c r="S104">
        <v>3.8313766779282547E-2</v>
      </c>
      <c r="T104">
        <v>5.3819387051471212E-2</v>
      </c>
    </row>
    <row r="105" spans="1:20" x14ac:dyDescent="0.2">
      <c r="A105" s="69">
        <v>26573</v>
      </c>
      <c r="N105">
        <v>5509.9260000000004</v>
      </c>
      <c r="O105">
        <v>1.6744587376992581E-2</v>
      </c>
      <c r="P105">
        <v>6.8944758870178285E-2</v>
      </c>
      <c r="Q105">
        <v>6.8679494830585552E-2</v>
      </c>
      <c r="R105">
        <v>1.6744587376992581E-2</v>
      </c>
      <c r="S105">
        <v>6.8679494830585552E-2</v>
      </c>
      <c r="T105">
        <v>6.8944758870178285E-2</v>
      </c>
    </row>
    <row r="106" spans="1:20" x14ac:dyDescent="0.2">
      <c r="A106" s="69">
        <v>26665</v>
      </c>
      <c r="N106">
        <v>5646.2860000000001</v>
      </c>
      <c r="O106">
        <v>2.474806376709953E-2</v>
      </c>
      <c r="P106">
        <v>7.5618882917976041E-2</v>
      </c>
      <c r="Q106">
        <v>0.1027280596009803</v>
      </c>
      <c r="R106">
        <v>2.474806376709953E-2</v>
      </c>
      <c r="S106">
        <v>0.1027280596009803</v>
      </c>
      <c r="T106">
        <v>7.5618882917976041E-2</v>
      </c>
    </row>
    <row r="107" spans="1:20" x14ac:dyDescent="0.2">
      <c r="A107" s="69">
        <v>26755</v>
      </c>
      <c r="N107">
        <v>5707.7550000000001</v>
      </c>
      <c r="O107">
        <v>1.0886625296699469E-2</v>
      </c>
      <c r="P107">
        <v>6.3196600158145266E-2</v>
      </c>
      <c r="Q107">
        <v>4.4262787966369732E-2</v>
      </c>
      <c r="R107">
        <v>1.0886625296699469E-2</v>
      </c>
      <c r="S107">
        <v>4.4262787966369732E-2</v>
      </c>
      <c r="T107">
        <v>6.3196600158145266E-2</v>
      </c>
    </row>
    <row r="108" spans="1:20" x14ac:dyDescent="0.2">
      <c r="A108" s="69">
        <v>26846</v>
      </c>
      <c r="N108">
        <v>5677.7380000000003</v>
      </c>
      <c r="O108">
        <v>-5.2589853628965894E-3</v>
      </c>
      <c r="P108">
        <v>4.7710873076094118E-2</v>
      </c>
      <c r="Q108">
        <v>-2.0870580913895931E-2</v>
      </c>
      <c r="R108">
        <v>-5.2589853628965894E-3</v>
      </c>
      <c r="S108">
        <v>-2.0870580913895931E-2</v>
      </c>
      <c r="T108">
        <v>4.7710873076094118E-2</v>
      </c>
    </row>
    <row r="109" spans="1:20" x14ac:dyDescent="0.2">
      <c r="A109" s="69">
        <v>26938</v>
      </c>
      <c r="N109">
        <v>5731.6319999999996</v>
      </c>
      <c r="O109">
        <v>9.4921604343136869E-3</v>
      </c>
      <c r="P109">
        <v>4.0237563989062503E-2</v>
      </c>
      <c r="Q109">
        <v>3.8512677530483819E-2</v>
      </c>
      <c r="R109">
        <v>9.4921604343136869E-3</v>
      </c>
      <c r="S109">
        <v>3.8512677530483819E-2</v>
      </c>
      <c r="T109">
        <v>4.0237563989062503E-2</v>
      </c>
    </row>
    <row r="110" spans="1:20" x14ac:dyDescent="0.2">
      <c r="A110" s="69">
        <v>27030</v>
      </c>
      <c r="N110">
        <v>5682.3530000000001</v>
      </c>
      <c r="O110">
        <v>-8.5977257437322464E-3</v>
      </c>
      <c r="P110">
        <v>6.3877387719998612E-3</v>
      </c>
      <c r="Q110">
        <v>-3.3949914388930691E-2</v>
      </c>
      <c r="R110">
        <v>-8.5977257437322464E-3</v>
      </c>
      <c r="S110">
        <v>-3.3949914388930691E-2</v>
      </c>
      <c r="T110">
        <v>6.3877387719998612E-3</v>
      </c>
    </row>
    <row r="111" spans="1:20" x14ac:dyDescent="0.2">
      <c r="A111" s="69">
        <v>27120</v>
      </c>
      <c r="N111">
        <v>5695.8590000000004</v>
      </c>
      <c r="O111">
        <v>2.3768322735318119E-3</v>
      </c>
      <c r="P111">
        <v>-2.0841819594568669E-3</v>
      </c>
      <c r="Q111">
        <v>9.5412788260365033E-3</v>
      </c>
      <c r="R111">
        <v>2.3768322735318119E-3</v>
      </c>
      <c r="S111">
        <v>9.5412788260365033E-3</v>
      </c>
      <c r="T111">
        <v>-2.0841819594568669E-3</v>
      </c>
    </row>
    <row r="112" spans="1:20" x14ac:dyDescent="0.2">
      <c r="A112" s="69">
        <v>27211</v>
      </c>
      <c r="N112">
        <v>5642.0249999999996</v>
      </c>
      <c r="O112">
        <v>-9.4514277828859072E-3</v>
      </c>
      <c r="P112">
        <v>-6.2900049280189829E-3</v>
      </c>
      <c r="Q112">
        <v>-3.7273103393761782E-2</v>
      </c>
      <c r="R112">
        <v>-9.4514277828859072E-3</v>
      </c>
      <c r="S112">
        <v>-3.7273103393761782E-2</v>
      </c>
      <c r="T112">
        <v>-6.2900049280189829E-3</v>
      </c>
    </row>
    <row r="113" spans="1:20" x14ac:dyDescent="0.2">
      <c r="A113" s="69">
        <v>27303</v>
      </c>
      <c r="N113">
        <v>5620.1260000000002</v>
      </c>
      <c r="O113">
        <v>-3.881407827863123E-3</v>
      </c>
      <c r="P113">
        <v>-1.945449393820109E-2</v>
      </c>
      <c r="Q113">
        <v>-1.5435473022839759E-2</v>
      </c>
      <c r="R113">
        <v>-3.881407827863123E-3</v>
      </c>
      <c r="S113">
        <v>-1.5435473022839759E-2</v>
      </c>
      <c r="T113">
        <v>-1.945449393820109E-2</v>
      </c>
    </row>
    <row r="114" spans="1:20" x14ac:dyDescent="0.2">
      <c r="A114" s="69">
        <v>27395</v>
      </c>
      <c r="N114">
        <v>5551.7129999999997</v>
      </c>
      <c r="O114">
        <v>-1.217285875797099E-2</v>
      </c>
      <c r="P114">
        <v>-2.2990475952479598E-2</v>
      </c>
      <c r="Q114">
        <v>-4.7809557156305638E-2</v>
      </c>
      <c r="R114">
        <v>-1.217285875797099E-2</v>
      </c>
      <c r="S114">
        <v>-4.7809557156305638E-2</v>
      </c>
      <c r="T114">
        <v>-2.2990475952479598E-2</v>
      </c>
    </row>
    <row r="115" spans="1:20" x14ac:dyDescent="0.2">
      <c r="A115" s="69">
        <v>27485</v>
      </c>
      <c r="N115">
        <v>5591.3819999999996</v>
      </c>
      <c r="O115">
        <v>7.1453621611923873E-3</v>
      </c>
      <c r="P115">
        <v>-1.834262400105072E-2</v>
      </c>
      <c r="Q115">
        <v>2.888924771416268E-2</v>
      </c>
      <c r="R115">
        <v>7.1453621611923873E-3</v>
      </c>
      <c r="S115">
        <v>2.888924771416268E-2</v>
      </c>
      <c r="T115">
        <v>-1.834262400105072E-2</v>
      </c>
    </row>
    <row r="116" spans="1:20" x14ac:dyDescent="0.2">
      <c r="A116" s="69">
        <v>27576</v>
      </c>
      <c r="N116">
        <v>5687.0870000000004</v>
      </c>
      <c r="O116">
        <v>1.7116519672596298E-2</v>
      </c>
      <c r="P116">
        <v>7.9868486935100094E-3</v>
      </c>
      <c r="Q116">
        <v>7.0244074865320139E-2</v>
      </c>
      <c r="R116">
        <v>1.7116519672596298E-2</v>
      </c>
      <c r="S116">
        <v>7.0244074865320139E-2</v>
      </c>
      <c r="T116">
        <v>7.9868486935100094E-3</v>
      </c>
    </row>
    <row r="117" spans="1:20" x14ac:dyDescent="0.2">
      <c r="A117" s="69">
        <v>27668</v>
      </c>
      <c r="N117">
        <v>5763.665</v>
      </c>
      <c r="O117">
        <v>1.3465241519955561E-2</v>
      </c>
      <c r="P117">
        <v>2.5540174722061351E-2</v>
      </c>
      <c r="Q117">
        <v>5.4958641008029607E-2</v>
      </c>
      <c r="R117">
        <v>1.3465241519955561E-2</v>
      </c>
      <c r="S117">
        <v>5.4958641008029607E-2</v>
      </c>
      <c r="T117">
        <v>2.5540174722061351E-2</v>
      </c>
    </row>
    <row r="118" spans="1:20" x14ac:dyDescent="0.2">
      <c r="A118" s="69">
        <v>27760</v>
      </c>
      <c r="N118">
        <v>5893.2759999999998</v>
      </c>
      <c r="O118">
        <v>2.2487601205135949E-2</v>
      </c>
      <c r="P118">
        <v>6.1523893616258638E-2</v>
      </c>
      <c r="Q118">
        <v>9.3030301011741479E-2</v>
      </c>
      <c r="R118">
        <v>2.2487601205135949E-2</v>
      </c>
      <c r="S118">
        <v>9.3030301011741479E-2</v>
      </c>
      <c r="T118">
        <v>6.1523893616258638E-2</v>
      </c>
    </row>
    <row r="119" spans="1:20" x14ac:dyDescent="0.2">
      <c r="A119" s="69">
        <v>27851</v>
      </c>
      <c r="N119">
        <v>5936.5150000000003</v>
      </c>
      <c r="O119">
        <v>7.3370057672507601E-3</v>
      </c>
      <c r="P119">
        <v>6.1725884584526818E-2</v>
      </c>
      <c r="Q119">
        <v>2.9672595741234709E-2</v>
      </c>
      <c r="R119">
        <v>7.3370057672507601E-3</v>
      </c>
      <c r="S119">
        <v>2.9672595741234709E-2</v>
      </c>
      <c r="T119">
        <v>6.1725884584526818E-2</v>
      </c>
    </row>
    <row r="120" spans="1:20" x14ac:dyDescent="0.2">
      <c r="A120" s="69">
        <v>27942</v>
      </c>
      <c r="N120">
        <v>5969.0889999999999</v>
      </c>
      <c r="O120">
        <v>5.4870576424046113E-3</v>
      </c>
      <c r="P120">
        <v>4.958636996409576E-2</v>
      </c>
      <c r="Q120">
        <v>2.2129539098495469E-2</v>
      </c>
      <c r="R120">
        <v>5.4870576424046113E-3</v>
      </c>
      <c r="S120">
        <v>2.2129539098495469E-2</v>
      </c>
      <c r="T120">
        <v>4.958636996409576E-2</v>
      </c>
    </row>
    <row r="121" spans="1:20" x14ac:dyDescent="0.2">
      <c r="A121" s="69">
        <v>28034</v>
      </c>
      <c r="N121">
        <v>6012.3559999999998</v>
      </c>
      <c r="O121">
        <v>7.2485097809732481E-3</v>
      </c>
      <c r="P121">
        <v>4.314806637790361E-2</v>
      </c>
      <c r="Q121">
        <v>2.931081062144569E-2</v>
      </c>
      <c r="R121">
        <v>7.2485097809732481E-3</v>
      </c>
      <c r="S121">
        <v>2.931081062144569E-2</v>
      </c>
      <c r="T121">
        <v>4.314806637790361E-2</v>
      </c>
    </row>
    <row r="122" spans="1:20" x14ac:dyDescent="0.2">
      <c r="A122" s="69">
        <v>28126</v>
      </c>
      <c r="N122">
        <v>6083.3909999999996</v>
      </c>
      <c r="O122">
        <v>1.1814835981102891E-2</v>
      </c>
      <c r="P122">
        <v>3.225964641737461E-2</v>
      </c>
      <c r="Q122">
        <v>4.8103502453763942E-2</v>
      </c>
      <c r="R122">
        <v>1.1814835981102891E-2</v>
      </c>
      <c r="S122">
        <v>4.8103502453763942E-2</v>
      </c>
      <c r="T122">
        <v>3.225964641737461E-2</v>
      </c>
    </row>
    <row r="123" spans="1:20" x14ac:dyDescent="0.2">
      <c r="A123" s="69">
        <v>28216</v>
      </c>
      <c r="N123">
        <v>6201.6589999999997</v>
      </c>
      <c r="O123">
        <v>1.9441130777226059E-2</v>
      </c>
      <c r="P123">
        <v>4.4663240975555407E-2</v>
      </c>
      <c r="Q123">
        <v>8.0061803046076241E-2</v>
      </c>
      <c r="R123">
        <v>1.9441130777226059E-2</v>
      </c>
      <c r="S123">
        <v>8.0061803046076241E-2</v>
      </c>
      <c r="T123">
        <v>4.4663240975555407E-2</v>
      </c>
    </row>
    <row r="124" spans="1:20" x14ac:dyDescent="0.2">
      <c r="A124" s="69">
        <v>28307</v>
      </c>
      <c r="N124">
        <v>6313.5590000000002</v>
      </c>
      <c r="O124">
        <v>1.8043558989618839E-2</v>
      </c>
      <c r="P124">
        <v>5.7708973680908472E-2</v>
      </c>
      <c r="Q124">
        <v>7.4151259847902606E-2</v>
      </c>
      <c r="R124">
        <v>1.8043558989618839E-2</v>
      </c>
      <c r="S124">
        <v>7.4151259847902606E-2</v>
      </c>
      <c r="T124">
        <v>5.7708973680908472E-2</v>
      </c>
    </row>
    <row r="125" spans="1:20" x14ac:dyDescent="0.2">
      <c r="A125" s="69">
        <v>28399</v>
      </c>
      <c r="N125">
        <v>6313.6970000000001</v>
      </c>
      <c r="O125">
        <v>2.185771923568307E-5</v>
      </c>
      <c r="P125">
        <v>5.0120285625136027E-2</v>
      </c>
      <c r="Q125">
        <v>8.7433743543918752E-5</v>
      </c>
      <c r="R125">
        <v>2.185771923568307E-5</v>
      </c>
      <c r="S125">
        <v>8.7433743543918752E-5</v>
      </c>
      <c r="T125">
        <v>5.0120285625136027E-2</v>
      </c>
    </row>
    <row r="126" spans="1:20" x14ac:dyDescent="0.2">
      <c r="A126" s="69">
        <v>28491</v>
      </c>
      <c r="N126">
        <v>6333.848</v>
      </c>
      <c r="O126">
        <v>3.191632414415807E-3</v>
      </c>
      <c r="P126">
        <v>4.1170623423679387E-2</v>
      </c>
      <c r="Q126">
        <v>1.282777891271847E-2</v>
      </c>
      <c r="R126">
        <v>3.191632414415807E-3</v>
      </c>
      <c r="S126">
        <v>1.282777891271847E-2</v>
      </c>
      <c r="T126">
        <v>4.1170623423679387E-2</v>
      </c>
    </row>
    <row r="127" spans="1:20" x14ac:dyDescent="0.2">
      <c r="A127" s="69">
        <v>28581</v>
      </c>
      <c r="N127">
        <v>6578.6049999999996</v>
      </c>
      <c r="O127">
        <v>3.8642701877278973E-2</v>
      </c>
      <c r="P127">
        <v>6.078147798838987E-2</v>
      </c>
      <c r="Q127">
        <v>0.16376340193805031</v>
      </c>
      <c r="R127">
        <v>3.8642701877278973E-2</v>
      </c>
      <c r="S127">
        <v>0.16376340193805031</v>
      </c>
      <c r="T127">
        <v>6.078147798838987E-2</v>
      </c>
    </row>
    <row r="128" spans="1:20" x14ac:dyDescent="0.2">
      <c r="A128" s="69">
        <v>28672</v>
      </c>
      <c r="N128">
        <v>6644.7539999999999</v>
      </c>
      <c r="O128">
        <v>1.0055171271113E-2</v>
      </c>
      <c r="P128">
        <v>5.2457734219320623E-2</v>
      </c>
      <c r="Q128">
        <v>4.0831400694179898E-2</v>
      </c>
      <c r="R128">
        <v>1.0055171271113E-2</v>
      </c>
      <c r="S128">
        <v>4.0831400694179898E-2</v>
      </c>
      <c r="T128">
        <v>5.2457734219320623E-2</v>
      </c>
    </row>
    <row r="129" spans="1:20" x14ac:dyDescent="0.2">
      <c r="A129" s="69">
        <v>28764</v>
      </c>
      <c r="N129">
        <v>6734.0690000000004</v>
      </c>
      <c r="O129">
        <v>1.344143063836532E-2</v>
      </c>
      <c r="P129">
        <v>6.6580958826500586E-2</v>
      </c>
      <c r="Q129">
        <v>5.4859501505211572E-2</v>
      </c>
      <c r="R129">
        <v>1.344143063836532E-2</v>
      </c>
      <c r="S129">
        <v>5.4859501505211572E-2</v>
      </c>
      <c r="T129">
        <v>6.6580958826500586E-2</v>
      </c>
    </row>
    <row r="130" spans="1:20" x14ac:dyDescent="0.2">
      <c r="A130" s="69">
        <v>28856</v>
      </c>
      <c r="N130">
        <v>6746.1760000000004</v>
      </c>
      <c r="O130">
        <v>1.797872875968448E-3</v>
      </c>
      <c r="P130">
        <v>6.509913089167918E-2</v>
      </c>
      <c r="Q130">
        <v>7.2109088409857414E-3</v>
      </c>
      <c r="R130">
        <v>1.797872875968448E-3</v>
      </c>
      <c r="S130">
        <v>7.2109088409857414E-3</v>
      </c>
      <c r="T130">
        <v>6.509913089167918E-2</v>
      </c>
    </row>
    <row r="131" spans="1:20" x14ac:dyDescent="0.2">
      <c r="A131" s="69">
        <v>28946</v>
      </c>
      <c r="N131">
        <v>6753.3890000000001</v>
      </c>
      <c r="O131">
        <v>1.069198313236971E-3</v>
      </c>
      <c r="P131">
        <v>2.6568550627374739E-2</v>
      </c>
      <c r="Q131">
        <v>4.2836572536188999E-3</v>
      </c>
      <c r="R131">
        <v>1.069198313236971E-3</v>
      </c>
      <c r="S131">
        <v>4.2836572536188999E-3</v>
      </c>
      <c r="T131">
        <v>2.6568550627374739E-2</v>
      </c>
    </row>
    <row r="132" spans="1:20" x14ac:dyDescent="0.2">
      <c r="A132" s="69">
        <v>29037</v>
      </c>
      <c r="N132">
        <v>6803.558</v>
      </c>
      <c r="O132">
        <v>7.4287146794002048E-3</v>
      </c>
      <c r="P132">
        <v>2.3899154129708951E-2</v>
      </c>
      <c r="Q132">
        <v>3.0047616412103961E-2</v>
      </c>
      <c r="R132">
        <v>7.4287146794002048E-3</v>
      </c>
      <c r="S132">
        <v>3.0047616412103961E-2</v>
      </c>
      <c r="T132">
        <v>2.3899154129708951E-2</v>
      </c>
    </row>
    <row r="133" spans="1:20" x14ac:dyDescent="0.2">
      <c r="A133" s="69">
        <v>29129</v>
      </c>
      <c r="N133">
        <v>6820.5720000000001</v>
      </c>
      <c r="O133">
        <v>2.500750342688359E-3</v>
      </c>
      <c r="P133">
        <v>1.2845576723374779E-2</v>
      </c>
      <c r="Q133">
        <v>1.0040586479814319E-2</v>
      </c>
      <c r="R133">
        <v>2.500750342688359E-3</v>
      </c>
      <c r="S133">
        <v>1.0040586479814319E-2</v>
      </c>
      <c r="T133">
        <v>1.2845576723374779E-2</v>
      </c>
    </row>
    <row r="134" spans="1:20" x14ac:dyDescent="0.2">
      <c r="A134" s="69">
        <v>29221</v>
      </c>
      <c r="N134">
        <v>6842.0240000000003</v>
      </c>
      <c r="O134">
        <v>3.1451907552622021E-3</v>
      </c>
      <c r="P134">
        <v>1.420775265869138E-2</v>
      </c>
      <c r="Q134">
        <v>1.264024091996396E-2</v>
      </c>
      <c r="R134">
        <v>3.1451907552622021E-3</v>
      </c>
      <c r="S134">
        <v>1.264024091996396E-2</v>
      </c>
      <c r="T134">
        <v>1.420775265869138E-2</v>
      </c>
    </row>
    <row r="135" spans="1:20" x14ac:dyDescent="0.2">
      <c r="A135" s="69">
        <v>29312</v>
      </c>
      <c r="N135">
        <v>6701.0460000000003</v>
      </c>
      <c r="O135">
        <v>-2.0604721643770911E-2</v>
      </c>
      <c r="P135">
        <v>-7.7506271295789192E-3</v>
      </c>
      <c r="Q135">
        <v>-7.9906370318043152E-2</v>
      </c>
      <c r="R135">
        <v>-2.0604721643770911E-2</v>
      </c>
      <c r="S135">
        <v>-7.9906370318043152E-2</v>
      </c>
      <c r="T135">
        <v>-7.7506271295789192E-3</v>
      </c>
    </row>
    <row r="136" spans="1:20" x14ac:dyDescent="0.2">
      <c r="A136" s="69">
        <v>29403</v>
      </c>
      <c r="N136">
        <v>6693.0820000000003</v>
      </c>
      <c r="O136">
        <v>-1.188471173007907E-3</v>
      </c>
      <c r="P136">
        <v>-1.6237974306972859E-2</v>
      </c>
      <c r="Q136">
        <v>-4.745416622351839E-3</v>
      </c>
      <c r="R136">
        <v>-1.188471173007907E-3</v>
      </c>
      <c r="S136">
        <v>-4.745416622351839E-3</v>
      </c>
      <c r="T136">
        <v>-1.6237974306972859E-2</v>
      </c>
    </row>
    <row r="137" spans="1:20" x14ac:dyDescent="0.2">
      <c r="A137" s="69">
        <v>29495</v>
      </c>
      <c r="N137">
        <v>6817.9030000000002</v>
      </c>
      <c r="O137">
        <v>1.8649256052742209E-2</v>
      </c>
      <c r="P137">
        <v>-3.9131615354252831E-4</v>
      </c>
      <c r="Q137">
        <v>7.6709858133567232E-2</v>
      </c>
      <c r="R137">
        <v>1.8649256052742209E-2</v>
      </c>
      <c r="S137">
        <v>7.6709858133567232E-2</v>
      </c>
      <c r="T137">
        <v>-3.9131615354252831E-4</v>
      </c>
    </row>
    <row r="138" spans="1:20" x14ac:dyDescent="0.2">
      <c r="A138" s="69">
        <v>29587</v>
      </c>
      <c r="N138">
        <v>6951.4949999999999</v>
      </c>
      <c r="O138">
        <v>1.959429460935417E-2</v>
      </c>
      <c r="P138">
        <v>1.5999797720674402E-2</v>
      </c>
      <c r="Q138">
        <v>8.0711035982251378E-2</v>
      </c>
      <c r="R138">
        <v>1.959429460935417E-2</v>
      </c>
      <c r="S138">
        <v>8.0711035982251378E-2</v>
      </c>
      <c r="T138">
        <v>1.5999797720674402E-2</v>
      </c>
    </row>
    <row r="139" spans="1:20" x14ac:dyDescent="0.2">
      <c r="A139" s="69">
        <v>29677</v>
      </c>
      <c r="N139">
        <v>6899.98</v>
      </c>
      <c r="O139">
        <v>-7.4106361293506404E-3</v>
      </c>
      <c r="P139">
        <v>2.968700707322398E-2</v>
      </c>
      <c r="Q139">
        <v>-2.931466422968176E-2</v>
      </c>
      <c r="R139">
        <v>-7.4106361293506404E-3</v>
      </c>
      <c r="S139">
        <v>-2.931466422968176E-2</v>
      </c>
      <c r="T139">
        <v>2.968700707322398E-2</v>
      </c>
    </row>
    <row r="140" spans="1:20" x14ac:dyDescent="0.2">
      <c r="A140" s="69">
        <v>29768</v>
      </c>
      <c r="N140">
        <v>6982.6090000000004</v>
      </c>
      <c r="O140">
        <v>1.1975252102180129E-2</v>
      </c>
      <c r="P140">
        <v>4.3257650212562768E-2</v>
      </c>
      <c r="Q140">
        <v>4.8768338275421819E-2</v>
      </c>
      <c r="R140">
        <v>1.1975252102180129E-2</v>
      </c>
      <c r="S140">
        <v>4.8768338275421819E-2</v>
      </c>
      <c r="T140">
        <v>4.3257650212562768E-2</v>
      </c>
    </row>
    <row r="141" spans="1:20" x14ac:dyDescent="0.2">
      <c r="A141" s="69">
        <v>29860</v>
      </c>
      <c r="N141">
        <v>6906.5290000000005</v>
      </c>
      <c r="O141">
        <v>-1.0895640870053E-2</v>
      </c>
      <c r="P141">
        <v>1.2999011572913281E-2</v>
      </c>
      <c r="Q141">
        <v>-4.2875433350734633E-2</v>
      </c>
      <c r="R141">
        <v>-1.0895640870053E-2</v>
      </c>
      <c r="S141">
        <v>-4.2875433350734633E-2</v>
      </c>
      <c r="T141">
        <v>1.2999011572913281E-2</v>
      </c>
    </row>
    <row r="142" spans="1:20" x14ac:dyDescent="0.2">
      <c r="A142" s="69">
        <v>29952</v>
      </c>
      <c r="N142">
        <v>6799.2330000000002</v>
      </c>
      <c r="O142">
        <v>-1.5535444794338851E-2</v>
      </c>
      <c r="P142">
        <v>-2.1903489824850589E-2</v>
      </c>
      <c r="Q142">
        <v>-6.0708618578961808E-2</v>
      </c>
      <c r="R142">
        <v>-1.5535444794338851E-2</v>
      </c>
      <c r="S142">
        <v>-6.0708618578961808E-2</v>
      </c>
      <c r="T142">
        <v>-2.1903489824850589E-2</v>
      </c>
    </row>
    <row r="143" spans="1:20" x14ac:dyDescent="0.2">
      <c r="A143" s="69">
        <v>30042</v>
      </c>
      <c r="N143">
        <v>6830.2510000000002</v>
      </c>
      <c r="O143">
        <v>4.5619851533253864E-3</v>
      </c>
      <c r="P143">
        <v>-1.0105681465743289E-2</v>
      </c>
      <c r="Q143">
        <v>1.8373191068485228E-2</v>
      </c>
      <c r="R143">
        <v>4.5619851533253864E-3</v>
      </c>
      <c r="S143">
        <v>1.8373191068485228E-2</v>
      </c>
      <c r="T143">
        <v>-1.0105681465743289E-2</v>
      </c>
    </row>
    <row r="144" spans="1:20" x14ac:dyDescent="0.2">
      <c r="A144" s="69">
        <v>30133</v>
      </c>
      <c r="N144">
        <v>6804.1390000000001</v>
      </c>
      <c r="O144">
        <v>-3.82299274214082E-3</v>
      </c>
      <c r="P144">
        <v>-2.5559214328054209E-2</v>
      </c>
      <c r="Q144">
        <v>-1.520450261025641E-2</v>
      </c>
      <c r="R144">
        <v>-3.82299274214082E-3</v>
      </c>
      <c r="S144">
        <v>-1.520450261025641E-2</v>
      </c>
      <c r="T144">
        <v>-2.5559214328054209E-2</v>
      </c>
    </row>
    <row r="145" spans="1:20" x14ac:dyDescent="0.2">
      <c r="A145" s="69">
        <v>30225</v>
      </c>
      <c r="N145">
        <v>6806.857</v>
      </c>
      <c r="O145">
        <v>3.9946273878294482E-4</v>
      </c>
      <c r="P145">
        <v>-1.443156178740442E-2</v>
      </c>
      <c r="Q145">
        <v>1.5988086330049891E-3</v>
      </c>
      <c r="R145">
        <v>3.9946273878294482E-4</v>
      </c>
      <c r="S145">
        <v>1.5988086330049891E-3</v>
      </c>
      <c r="T145">
        <v>-1.443156178740442E-2</v>
      </c>
    </row>
    <row r="146" spans="1:20" x14ac:dyDescent="0.2">
      <c r="A146" s="69">
        <v>30317</v>
      </c>
      <c r="N146">
        <v>6896.5609999999997</v>
      </c>
      <c r="O146">
        <v>1.317847576348375E-2</v>
      </c>
      <c r="P146">
        <v>1.431455577415857E-2</v>
      </c>
      <c r="Q146">
        <v>5.3765121497419077E-2</v>
      </c>
      <c r="R146">
        <v>1.317847576348375E-2</v>
      </c>
      <c r="S146">
        <v>5.3765121497419077E-2</v>
      </c>
      <c r="T146">
        <v>1.431455577415857E-2</v>
      </c>
    </row>
    <row r="147" spans="1:20" x14ac:dyDescent="0.2">
      <c r="A147" s="69">
        <v>30407</v>
      </c>
      <c r="N147">
        <v>7053.5</v>
      </c>
      <c r="O147">
        <v>2.275612439301274E-2</v>
      </c>
      <c r="P147">
        <v>3.2685328840770238E-2</v>
      </c>
      <c r="Q147">
        <v>9.4178949150713009E-2</v>
      </c>
      <c r="R147">
        <v>2.275612439301274E-2</v>
      </c>
      <c r="S147">
        <v>9.4178949150713009E-2</v>
      </c>
      <c r="T147">
        <v>3.2685328840770238E-2</v>
      </c>
    </row>
    <row r="148" spans="1:20" x14ac:dyDescent="0.2">
      <c r="A148" s="69">
        <v>30498</v>
      </c>
      <c r="N148">
        <v>7194.5039999999999</v>
      </c>
      <c r="O148">
        <v>1.9990642943219668E-2</v>
      </c>
      <c r="P148">
        <v>5.7371696845111453E-2</v>
      </c>
      <c r="Q148">
        <v>8.2392441412500128E-2</v>
      </c>
      <c r="R148">
        <v>1.9990642943219668E-2</v>
      </c>
      <c r="S148">
        <v>8.2392441412500128E-2</v>
      </c>
      <c r="T148">
        <v>5.7371696845111453E-2</v>
      </c>
    </row>
    <row r="149" spans="1:20" x14ac:dyDescent="0.2">
      <c r="A149" s="69">
        <v>30590</v>
      </c>
      <c r="N149">
        <v>7344.5969999999998</v>
      </c>
      <c r="O149">
        <v>2.0862174793425631E-2</v>
      </c>
      <c r="P149">
        <v>7.8999749811109563E-2</v>
      </c>
      <c r="Q149">
        <v>8.6096590027290532E-2</v>
      </c>
      <c r="R149">
        <v>2.0862174793425631E-2</v>
      </c>
      <c r="S149">
        <v>8.6096590027290532E-2</v>
      </c>
      <c r="T149">
        <v>7.8999749811109563E-2</v>
      </c>
    </row>
    <row r="150" spans="1:20" x14ac:dyDescent="0.2">
      <c r="A150" s="69">
        <v>30682</v>
      </c>
      <c r="N150">
        <v>7488.1670000000004</v>
      </c>
      <c r="O150">
        <v>1.9547702889620849E-2</v>
      </c>
      <c r="P150">
        <v>8.5782754622195131E-2</v>
      </c>
      <c r="Q150">
        <v>8.0513511399357585E-2</v>
      </c>
      <c r="R150">
        <v>1.9547702889620849E-2</v>
      </c>
      <c r="S150">
        <v>8.0513511399357585E-2</v>
      </c>
      <c r="T150">
        <v>8.5782754622195131E-2</v>
      </c>
    </row>
    <row r="151" spans="1:20" x14ac:dyDescent="0.2">
      <c r="A151" s="69">
        <v>30773</v>
      </c>
      <c r="N151">
        <v>7617.5469999999996</v>
      </c>
      <c r="O151">
        <v>1.7277926627437559E-2</v>
      </c>
      <c r="P151">
        <v>7.9966966754093649E-2</v>
      </c>
      <c r="Q151">
        <v>7.0923587812259603E-2</v>
      </c>
      <c r="R151">
        <v>1.7277926627437559E-2</v>
      </c>
      <c r="S151">
        <v>7.0923587812259603E-2</v>
      </c>
      <c r="T151">
        <v>7.9966966754093649E-2</v>
      </c>
    </row>
    <row r="152" spans="1:20" x14ac:dyDescent="0.2">
      <c r="A152" s="69">
        <v>30864</v>
      </c>
      <c r="N152">
        <v>7690.9849999999997</v>
      </c>
      <c r="O152">
        <v>9.64063628357004E-3</v>
      </c>
      <c r="P152">
        <v>6.9008370834181168E-2</v>
      </c>
      <c r="Q152">
        <v>3.9123789055161673E-2</v>
      </c>
      <c r="R152">
        <v>9.64063628357004E-3</v>
      </c>
      <c r="S152">
        <v>3.9123789055161673E-2</v>
      </c>
      <c r="T152">
        <v>6.9008370834181168E-2</v>
      </c>
    </row>
    <row r="153" spans="1:20" x14ac:dyDescent="0.2">
      <c r="A153" s="69">
        <v>30956</v>
      </c>
      <c r="N153">
        <v>7754.1170000000002</v>
      </c>
      <c r="O153">
        <v>8.208571463863279E-3</v>
      </c>
      <c r="P153">
        <v>5.5757994618356933E-2</v>
      </c>
      <c r="Q153">
        <v>3.3240786663843558E-2</v>
      </c>
      <c r="R153">
        <v>8.208571463863279E-3</v>
      </c>
      <c r="S153">
        <v>3.3240786663843558E-2</v>
      </c>
      <c r="T153">
        <v>5.5757994618356933E-2</v>
      </c>
    </row>
    <row r="154" spans="1:20" x14ac:dyDescent="0.2">
      <c r="A154" s="69">
        <v>31048</v>
      </c>
      <c r="M154">
        <v>179.6300048828125</v>
      </c>
      <c r="N154">
        <v>7829.26</v>
      </c>
      <c r="O154">
        <v>9.6907230055981904E-3</v>
      </c>
      <c r="P154">
        <v>4.5550933893434779E-2</v>
      </c>
      <c r="Q154">
        <v>3.9330001743275167E-2</v>
      </c>
      <c r="R154">
        <v>9.6907230055981904E-3</v>
      </c>
      <c r="S154">
        <v>3.9330001743275167E-2</v>
      </c>
      <c r="T154">
        <v>4.5550933893434779E-2</v>
      </c>
    </row>
    <row r="155" spans="1:20" x14ac:dyDescent="0.2">
      <c r="A155" s="69">
        <v>31079</v>
      </c>
      <c r="M155">
        <v>181.17999267578119</v>
      </c>
      <c r="O155">
        <v>9.6907230055981904E-3</v>
      </c>
      <c r="P155">
        <v>4.5550933893434779E-2</v>
      </c>
      <c r="Q155">
        <v>3.9330001743275167E-2</v>
      </c>
    </row>
    <row r="156" spans="1:20" x14ac:dyDescent="0.2">
      <c r="A156" s="69">
        <v>31107</v>
      </c>
      <c r="M156">
        <v>180.6600036621094</v>
      </c>
      <c r="O156">
        <v>9.6907230055981904E-3</v>
      </c>
      <c r="P156">
        <v>4.5550933893434779E-2</v>
      </c>
      <c r="Q156">
        <v>3.9330001743275167E-2</v>
      </c>
    </row>
    <row r="157" spans="1:20" x14ac:dyDescent="0.2">
      <c r="A157" s="69">
        <v>31138</v>
      </c>
      <c r="M157">
        <v>179.83000183105469</v>
      </c>
      <c r="N157">
        <v>7898.1940000000004</v>
      </c>
      <c r="O157">
        <v>8.8046635314193416E-3</v>
      </c>
      <c r="P157">
        <v>3.6842175046639142E-2</v>
      </c>
      <c r="Q157">
        <v>3.568652295878616E-2</v>
      </c>
      <c r="R157">
        <v>8.8046635314193416E-3</v>
      </c>
      <c r="S157">
        <v>3.568652295878616E-2</v>
      </c>
      <c r="T157">
        <v>3.6842175046639142E-2</v>
      </c>
    </row>
    <row r="158" spans="1:20" x14ac:dyDescent="0.2">
      <c r="A158" s="69">
        <v>31168</v>
      </c>
      <c r="M158">
        <v>189.55000305175781</v>
      </c>
      <c r="O158">
        <v>8.8046635314193416E-3</v>
      </c>
      <c r="P158">
        <v>3.6842175046639142E-2</v>
      </c>
      <c r="Q158">
        <v>3.568652295878616E-2</v>
      </c>
    </row>
    <row r="159" spans="1:20" x14ac:dyDescent="0.2">
      <c r="A159" s="69">
        <v>31199</v>
      </c>
      <c r="M159">
        <v>191.8500061035156</v>
      </c>
      <c r="O159">
        <v>8.8046635314193416E-3</v>
      </c>
      <c r="P159">
        <v>3.6842175046639142E-2</v>
      </c>
      <c r="Q159">
        <v>3.568652295878616E-2</v>
      </c>
    </row>
    <row r="160" spans="1:20" x14ac:dyDescent="0.2">
      <c r="A160" s="69">
        <v>31229</v>
      </c>
      <c r="M160">
        <v>190.91999816894531</v>
      </c>
      <c r="N160">
        <v>8018.8090000000002</v>
      </c>
      <c r="O160">
        <v>1.527121263417938E-2</v>
      </c>
      <c r="P160">
        <v>4.2624449274052741E-2</v>
      </c>
      <c r="Q160">
        <v>6.2498410129544053E-2</v>
      </c>
      <c r="R160">
        <v>1.527121263417938E-2</v>
      </c>
      <c r="S160">
        <v>6.2498410129544053E-2</v>
      </c>
      <c r="T160">
        <v>4.2624449274052741E-2</v>
      </c>
    </row>
    <row r="161" spans="1:20" x14ac:dyDescent="0.2">
      <c r="A161" s="69">
        <v>31260</v>
      </c>
      <c r="M161">
        <v>188.6300048828125</v>
      </c>
      <c r="O161">
        <v>1.527121263417938E-2</v>
      </c>
      <c r="P161">
        <v>4.2624449274052741E-2</v>
      </c>
      <c r="Q161">
        <v>6.2498410129544053E-2</v>
      </c>
    </row>
    <row r="162" spans="1:20" x14ac:dyDescent="0.2">
      <c r="A162" s="69">
        <v>31291</v>
      </c>
      <c r="M162">
        <v>182.08000183105469</v>
      </c>
      <c r="O162">
        <v>1.527121263417938E-2</v>
      </c>
      <c r="P162">
        <v>4.2624449274052741E-2</v>
      </c>
      <c r="Q162">
        <v>6.2498410129544053E-2</v>
      </c>
    </row>
    <row r="163" spans="1:20" x14ac:dyDescent="0.2">
      <c r="A163" s="69">
        <v>31321</v>
      </c>
      <c r="M163">
        <v>189.82000732421881</v>
      </c>
      <c r="N163">
        <v>8078.415</v>
      </c>
      <c r="O163">
        <v>7.4332734449716617E-3</v>
      </c>
      <c r="P163">
        <v>4.1822685935742232E-2</v>
      </c>
      <c r="Q163">
        <v>3.006626101659382E-2</v>
      </c>
      <c r="R163">
        <v>7.4332734449716617E-3</v>
      </c>
      <c r="S163">
        <v>3.006626101659382E-2</v>
      </c>
      <c r="T163">
        <v>4.1822685935742232E-2</v>
      </c>
    </row>
    <row r="164" spans="1:20" x14ac:dyDescent="0.2">
      <c r="A164" s="69">
        <v>31352</v>
      </c>
      <c r="M164">
        <v>202.16999816894531</v>
      </c>
      <c r="O164">
        <v>7.4332734449716617E-3</v>
      </c>
      <c r="P164">
        <v>4.1822685935742232E-2</v>
      </c>
      <c r="Q164">
        <v>3.006626101659382E-2</v>
      </c>
    </row>
    <row r="165" spans="1:20" x14ac:dyDescent="0.2">
      <c r="A165" s="69">
        <v>31382</v>
      </c>
      <c r="M165">
        <v>211.2799987792969</v>
      </c>
      <c r="O165">
        <v>7.4332734449716617E-3</v>
      </c>
      <c r="P165">
        <v>4.1822685935742232E-2</v>
      </c>
      <c r="Q165">
        <v>3.006626101659382E-2</v>
      </c>
    </row>
    <row r="166" spans="1:20" x14ac:dyDescent="0.2">
      <c r="A166" s="69">
        <v>31413</v>
      </c>
      <c r="M166">
        <v>211.7799987792969</v>
      </c>
      <c r="N166">
        <v>8153.8289999999997</v>
      </c>
      <c r="O166">
        <v>9.3352470750759607E-3</v>
      </c>
      <c r="P166">
        <v>4.1455897492227813E-2</v>
      </c>
      <c r="Q166">
        <v>3.7867131071648297E-2</v>
      </c>
      <c r="R166">
        <v>9.3352470750759607E-3</v>
      </c>
      <c r="S166">
        <v>3.7867131071648297E-2</v>
      </c>
      <c r="T166">
        <v>4.1455897492227813E-2</v>
      </c>
    </row>
    <row r="167" spans="1:20" x14ac:dyDescent="0.2">
      <c r="A167" s="69">
        <v>31444</v>
      </c>
      <c r="M167">
        <v>226.91999816894531</v>
      </c>
      <c r="O167">
        <v>9.3352470750759607E-3</v>
      </c>
      <c r="P167">
        <v>4.1455897492227813E-2</v>
      </c>
      <c r="Q167">
        <v>3.7867131071648297E-2</v>
      </c>
    </row>
    <row r="168" spans="1:20" x14ac:dyDescent="0.2">
      <c r="A168" s="69">
        <v>31472</v>
      </c>
      <c r="M168">
        <v>238.8999938964844</v>
      </c>
      <c r="O168">
        <v>9.3352470750759607E-3</v>
      </c>
      <c r="P168">
        <v>4.1455897492227813E-2</v>
      </c>
      <c r="Q168">
        <v>3.7867131071648297E-2</v>
      </c>
    </row>
    <row r="169" spans="1:20" x14ac:dyDescent="0.2">
      <c r="A169" s="69">
        <v>31503</v>
      </c>
      <c r="M169">
        <v>235.52000427246091</v>
      </c>
      <c r="N169">
        <v>8190.5519999999997</v>
      </c>
      <c r="O169">
        <v>4.5037736258633776E-3</v>
      </c>
      <c r="P169">
        <v>3.7015803866048268E-2</v>
      </c>
      <c r="Q169">
        <v>1.813716419389122E-2</v>
      </c>
      <c r="R169">
        <v>4.5037736258633776E-3</v>
      </c>
      <c r="S169">
        <v>1.813716419389122E-2</v>
      </c>
      <c r="T169">
        <v>3.7015803866048268E-2</v>
      </c>
    </row>
    <row r="170" spans="1:20" x14ac:dyDescent="0.2">
      <c r="A170" s="69">
        <v>31533</v>
      </c>
      <c r="M170">
        <v>247.3500061035156</v>
      </c>
      <c r="O170">
        <v>4.5037736258633776E-3</v>
      </c>
      <c r="P170">
        <v>3.7015803866048268E-2</v>
      </c>
      <c r="Q170">
        <v>1.813716419389122E-2</v>
      </c>
    </row>
    <row r="171" spans="1:20" x14ac:dyDescent="0.2">
      <c r="A171" s="69">
        <v>31564</v>
      </c>
      <c r="M171">
        <v>250.8399963378906</v>
      </c>
      <c r="O171">
        <v>4.5037736258633776E-3</v>
      </c>
      <c r="P171">
        <v>3.7015803866048268E-2</v>
      </c>
      <c r="Q171">
        <v>1.813716419389122E-2</v>
      </c>
    </row>
    <row r="172" spans="1:20" x14ac:dyDescent="0.2">
      <c r="A172" s="69">
        <v>31594</v>
      </c>
      <c r="M172">
        <v>236.1199951171875</v>
      </c>
      <c r="N172">
        <v>8268.9349999999995</v>
      </c>
      <c r="O172">
        <v>9.5699288643793252E-3</v>
      </c>
      <c r="P172">
        <v>3.1192412738599871E-2</v>
      </c>
      <c r="Q172">
        <v>3.8832730867670813E-2</v>
      </c>
      <c r="R172">
        <v>9.5699288643793252E-3</v>
      </c>
      <c r="S172">
        <v>3.8832730867670813E-2</v>
      </c>
      <c r="T172">
        <v>3.1192412738599871E-2</v>
      </c>
    </row>
    <row r="173" spans="1:20" x14ac:dyDescent="0.2">
      <c r="A173" s="69">
        <v>31625</v>
      </c>
      <c r="M173">
        <v>252.92999267578119</v>
      </c>
      <c r="O173">
        <v>9.5699288643793252E-3</v>
      </c>
      <c r="P173">
        <v>3.1192412738599871E-2</v>
      </c>
      <c r="Q173">
        <v>3.8832730867670813E-2</v>
      </c>
    </row>
    <row r="174" spans="1:20" x14ac:dyDescent="0.2">
      <c r="A174" s="69">
        <v>31656</v>
      </c>
      <c r="M174">
        <v>231.32000732421881</v>
      </c>
      <c r="O174">
        <v>9.5699288643793252E-3</v>
      </c>
      <c r="P174">
        <v>3.1192412738599871E-2</v>
      </c>
      <c r="Q174">
        <v>3.8832730867670813E-2</v>
      </c>
    </row>
    <row r="175" spans="1:20" x14ac:dyDescent="0.2">
      <c r="A175" s="69">
        <v>31686</v>
      </c>
      <c r="M175">
        <v>243.97999572753909</v>
      </c>
      <c r="N175">
        <v>8313.3379999999997</v>
      </c>
      <c r="O175">
        <v>5.3698571823336677E-3</v>
      </c>
      <c r="P175">
        <v>2.9080333208927719E-2</v>
      </c>
      <c r="Q175">
        <v>2.1653061124957459E-2</v>
      </c>
      <c r="R175">
        <v>5.3698571823336677E-3</v>
      </c>
      <c r="S175">
        <v>2.1653061124957459E-2</v>
      </c>
      <c r="T175">
        <v>2.9080333208927719E-2</v>
      </c>
    </row>
    <row r="176" spans="1:20" x14ac:dyDescent="0.2">
      <c r="A176" s="69">
        <v>31717</v>
      </c>
      <c r="M176">
        <v>249.2200012207031</v>
      </c>
      <c r="O176">
        <v>5.3698571823336677E-3</v>
      </c>
      <c r="P176">
        <v>2.9080333208927719E-2</v>
      </c>
      <c r="Q176">
        <v>2.1653061124957459E-2</v>
      </c>
    </row>
    <row r="177" spans="1:20" x14ac:dyDescent="0.2">
      <c r="A177" s="69">
        <v>31747</v>
      </c>
      <c r="M177">
        <v>242.16999816894531</v>
      </c>
      <c r="O177">
        <v>5.3698571823336677E-3</v>
      </c>
      <c r="P177">
        <v>2.9080333208927719E-2</v>
      </c>
      <c r="Q177">
        <v>2.1653061124957459E-2</v>
      </c>
    </row>
    <row r="178" spans="1:20" x14ac:dyDescent="0.2">
      <c r="A178" s="69">
        <v>31778</v>
      </c>
      <c r="M178">
        <v>274.07998657226562</v>
      </c>
      <c r="N178">
        <v>8375.2739999999994</v>
      </c>
      <c r="O178">
        <v>7.4501962990076546E-3</v>
      </c>
      <c r="P178">
        <v>2.7158406191741289E-2</v>
      </c>
      <c r="Q178">
        <v>3.013547493148994E-2</v>
      </c>
      <c r="R178">
        <v>7.4501962990076546E-3</v>
      </c>
      <c r="S178">
        <v>3.013547493148994E-2</v>
      </c>
      <c r="T178">
        <v>2.7158406191741289E-2</v>
      </c>
    </row>
    <row r="179" spans="1:20" x14ac:dyDescent="0.2">
      <c r="A179" s="69">
        <v>31809</v>
      </c>
      <c r="M179">
        <v>284.20001220703119</v>
      </c>
      <c r="O179">
        <v>7.4501962990076546E-3</v>
      </c>
      <c r="P179">
        <v>2.7158406191741289E-2</v>
      </c>
      <c r="Q179">
        <v>3.013547493148994E-2</v>
      </c>
    </row>
    <row r="180" spans="1:20" x14ac:dyDescent="0.2">
      <c r="A180" s="69">
        <v>31837</v>
      </c>
      <c r="M180">
        <v>291.70001220703119</v>
      </c>
      <c r="O180">
        <v>7.4501962990076546E-3</v>
      </c>
      <c r="P180">
        <v>2.7158406191741289E-2</v>
      </c>
      <c r="Q180">
        <v>3.013547493148994E-2</v>
      </c>
    </row>
    <row r="181" spans="1:20" x14ac:dyDescent="0.2">
      <c r="A181" s="69">
        <v>31868</v>
      </c>
      <c r="M181">
        <v>288.3599853515625</v>
      </c>
      <c r="N181">
        <v>8465.6299999999992</v>
      </c>
      <c r="O181">
        <v>1.078842316084223E-2</v>
      </c>
      <c r="P181">
        <v>3.3584793796559688E-2</v>
      </c>
      <c r="Q181">
        <v>4.3857069297295492E-2</v>
      </c>
      <c r="R181">
        <v>1.078842316084223E-2</v>
      </c>
      <c r="S181">
        <v>4.3857069297295492E-2</v>
      </c>
      <c r="T181">
        <v>3.3584793796559688E-2</v>
      </c>
    </row>
    <row r="182" spans="1:20" x14ac:dyDescent="0.2">
      <c r="A182" s="69">
        <v>31898</v>
      </c>
      <c r="M182">
        <v>290.10000610351562</v>
      </c>
      <c r="O182">
        <v>1.078842316084223E-2</v>
      </c>
      <c r="P182">
        <v>3.3584793796559688E-2</v>
      </c>
      <c r="Q182">
        <v>4.3857069297295492E-2</v>
      </c>
    </row>
    <row r="183" spans="1:20" x14ac:dyDescent="0.2">
      <c r="A183" s="69">
        <v>31929</v>
      </c>
      <c r="M183">
        <v>304</v>
      </c>
      <c r="O183">
        <v>1.078842316084223E-2</v>
      </c>
      <c r="P183">
        <v>3.3584793796559688E-2</v>
      </c>
      <c r="Q183">
        <v>4.3857069297295492E-2</v>
      </c>
    </row>
    <row r="184" spans="1:20" x14ac:dyDescent="0.2">
      <c r="A184" s="69">
        <v>31959</v>
      </c>
      <c r="M184">
        <v>318.66000366210938</v>
      </c>
      <c r="N184">
        <v>8539.0750000000007</v>
      </c>
      <c r="O184">
        <v>8.6756685562682911E-3</v>
      </c>
      <c r="P184">
        <v>3.2669261519167977E-2</v>
      </c>
      <c r="Q184">
        <v>3.5156895213603212E-2</v>
      </c>
      <c r="R184">
        <v>8.6756685562682911E-3</v>
      </c>
      <c r="S184">
        <v>3.5156895213603212E-2</v>
      </c>
      <c r="T184">
        <v>3.2669261519167977E-2</v>
      </c>
    </row>
    <row r="185" spans="1:20" x14ac:dyDescent="0.2">
      <c r="A185" s="69">
        <v>31990</v>
      </c>
      <c r="M185">
        <v>329.79998779296881</v>
      </c>
      <c r="O185">
        <v>8.6756685562682911E-3</v>
      </c>
      <c r="P185">
        <v>3.2669261519167977E-2</v>
      </c>
      <c r="Q185">
        <v>3.5156895213603212E-2</v>
      </c>
    </row>
    <row r="186" spans="1:20" x14ac:dyDescent="0.2">
      <c r="A186" s="69">
        <v>32021</v>
      </c>
      <c r="M186">
        <v>321.82998657226562</v>
      </c>
      <c r="O186">
        <v>8.6756685562682911E-3</v>
      </c>
      <c r="P186">
        <v>3.2669261519167977E-2</v>
      </c>
      <c r="Q186">
        <v>3.5156895213603212E-2</v>
      </c>
    </row>
    <row r="187" spans="1:20" x14ac:dyDescent="0.2">
      <c r="A187" s="69">
        <v>32051</v>
      </c>
      <c r="M187">
        <v>251.78999328613281</v>
      </c>
      <c r="N187">
        <v>8685.6939999999995</v>
      </c>
      <c r="O187">
        <v>1.7170360958300369E-2</v>
      </c>
      <c r="P187">
        <v>4.4790191376797107E-2</v>
      </c>
      <c r="Q187">
        <v>7.0470707277670686E-2</v>
      </c>
      <c r="R187">
        <v>1.7170360958300369E-2</v>
      </c>
      <c r="S187">
        <v>7.0470707277670686E-2</v>
      </c>
      <c r="T187">
        <v>4.4790191376797107E-2</v>
      </c>
    </row>
    <row r="188" spans="1:20" x14ac:dyDescent="0.2">
      <c r="A188" s="69">
        <v>32082</v>
      </c>
      <c r="M188">
        <v>230.30000305175781</v>
      </c>
      <c r="O188">
        <v>1.7170360958300369E-2</v>
      </c>
      <c r="P188">
        <v>4.4790191376797107E-2</v>
      </c>
      <c r="Q188">
        <v>7.0470707277670686E-2</v>
      </c>
    </row>
    <row r="189" spans="1:20" x14ac:dyDescent="0.2">
      <c r="A189" s="69">
        <v>32112</v>
      </c>
      <c r="M189">
        <v>247.08000183105469</v>
      </c>
      <c r="O189">
        <v>1.7170360958300369E-2</v>
      </c>
      <c r="P189">
        <v>4.4790191376797107E-2</v>
      </c>
      <c r="Q189">
        <v>7.0470707277670686E-2</v>
      </c>
    </row>
    <row r="190" spans="1:20" x14ac:dyDescent="0.2">
      <c r="A190" s="69">
        <v>32143</v>
      </c>
      <c r="M190">
        <v>257.07000732421881</v>
      </c>
      <c r="N190">
        <v>8730.5689999999995</v>
      </c>
      <c r="O190">
        <v>5.1665416718571942E-3</v>
      </c>
      <c r="P190">
        <v>4.2421895689621632E-2</v>
      </c>
      <c r="Q190">
        <v>2.0826877962181412E-2</v>
      </c>
      <c r="R190">
        <v>5.1665416718571942E-3</v>
      </c>
      <c r="S190">
        <v>2.0826877962181412E-2</v>
      </c>
      <c r="T190">
        <v>4.2421895689621632E-2</v>
      </c>
    </row>
    <row r="191" spans="1:20" x14ac:dyDescent="0.2">
      <c r="A191" s="69">
        <v>32174</v>
      </c>
      <c r="M191">
        <v>267.82000732421881</v>
      </c>
      <c r="O191">
        <v>5.1665416718571942E-3</v>
      </c>
      <c r="P191">
        <v>4.2421895689621632E-2</v>
      </c>
      <c r="Q191">
        <v>2.0826877962181412E-2</v>
      </c>
    </row>
    <row r="192" spans="1:20" x14ac:dyDescent="0.2">
      <c r="A192" s="69">
        <v>32203</v>
      </c>
      <c r="M192">
        <v>258.8900146484375</v>
      </c>
      <c r="O192">
        <v>5.1665416718571942E-3</v>
      </c>
      <c r="P192">
        <v>4.2421895689621632E-2</v>
      </c>
      <c r="Q192">
        <v>2.0826877962181412E-2</v>
      </c>
    </row>
    <row r="193" spans="1:20" x14ac:dyDescent="0.2">
      <c r="A193" s="69">
        <v>32234</v>
      </c>
      <c r="M193">
        <v>261.32998657226562</v>
      </c>
      <c r="N193">
        <v>8845.2800000000007</v>
      </c>
      <c r="O193">
        <v>1.3139006174740861E-2</v>
      </c>
      <c r="P193">
        <v>4.48460421728804E-2</v>
      </c>
      <c r="Q193">
        <v>5.3600928330452602E-2</v>
      </c>
      <c r="R193">
        <v>1.3139006174740861E-2</v>
      </c>
      <c r="S193">
        <v>5.3600928330452602E-2</v>
      </c>
      <c r="T193">
        <v>4.48460421728804E-2</v>
      </c>
    </row>
    <row r="194" spans="1:20" x14ac:dyDescent="0.2">
      <c r="A194" s="69">
        <v>32264</v>
      </c>
      <c r="M194">
        <v>262.16000366210938</v>
      </c>
      <c r="O194">
        <v>1.3139006174740861E-2</v>
      </c>
      <c r="P194">
        <v>4.48460421728804E-2</v>
      </c>
      <c r="Q194">
        <v>5.3600928330452602E-2</v>
      </c>
    </row>
    <row r="195" spans="1:20" x14ac:dyDescent="0.2">
      <c r="A195" s="69">
        <v>32295</v>
      </c>
      <c r="M195">
        <v>273.5</v>
      </c>
      <c r="O195">
        <v>1.3139006174740861E-2</v>
      </c>
      <c r="P195">
        <v>4.48460421728804E-2</v>
      </c>
      <c r="Q195">
        <v>5.3600928330452602E-2</v>
      </c>
    </row>
    <row r="196" spans="1:20" x14ac:dyDescent="0.2">
      <c r="A196" s="69">
        <v>32325</v>
      </c>
      <c r="M196">
        <v>272.01998901367188</v>
      </c>
      <c r="N196">
        <v>8897.107</v>
      </c>
      <c r="O196">
        <v>5.859283143099971E-3</v>
      </c>
      <c r="P196">
        <v>4.192866323342976E-2</v>
      </c>
      <c r="Q196">
        <v>2.364392556959816E-2</v>
      </c>
      <c r="R196">
        <v>5.859283143099971E-3</v>
      </c>
      <c r="S196">
        <v>2.364392556959816E-2</v>
      </c>
      <c r="T196">
        <v>4.192866323342976E-2</v>
      </c>
    </row>
    <row r="197" spans="1:20" x14ac:dyDescent="0.2">
      <c r="A197" s="69">
        <v>32356</v>
      </c>
      <c r="M197">
        <v>261.51998901367188</v>
      </c>
      <c r="O197">
        <v>5.859283143099971E-3</v>
      </c>
      <c r="P197">
        <v>4.192866323342976E-2</v>
      </c>
      <c r="Q197">
        <v>2.364392556959816E-2</v>
      </c>
    </row>
    <row r="198" spans="1:20" x14ac:dyDescent="0.2">
      <c r="A198" s="69">
        <v>32387</v>
      </c>
      <c r="M198">
        <v>271.91000366210938</v>
      </c>
      <c r="O198">
        <v>5.859283143099971E-3</v>
      </c>
      <c r="P198">
        <v>4.192866323342976E-2</v>
      </c>
      <c r="Q198">
        <v>2.364392556959816E-2</v>
      </c>
    </row>
    <row r="199" spans="1:20" x14ac:dyDescent="0.2">
      <c r="A199" s="69">
        <v>32417</v>
      </c>
      <c r="M199">
        <v>278.97000122070312</v>
      </c>
      <c r="N199">
        <v>9015.6610000000001</v>
      </c>
      <c r="O199">
        <v>1.3325005532697319E-2</v>
      </c>
      <c r="P199">
        <v>3.7989710436494843E-2</v>
      </c>
      <c r="Q199">
        <v>5.4374852018120423E-2</v>
      </c>
      <c r="R199">
        <v>1.3325005532697319E-2</v>
      </c>
      <c r="S199">
        <v>5.4374852018120423E-2</v>
      </c>
      <c r="T199">
        <v>3.7989710436494843E-2</v>
      </c>
    </row>
    <row r="200" spans="1:20" x14ac:dyDescent="0.2">
      <c r="A200" s="69">
        <v>32448</v>
      </c>
      <c r="M200">
        <v>273.70001220703119</v>
      </c>
      <c r="O200">
        <v>1.3325005532697319E-2</v>
      </c>
      <c r="P200">
        <v>3.7989710436494843E-2</v>
      </c>
      <c r="Q200">
        <v>5.4374852018120423E-2</v>
      </c>
    </row>
    <row r="201" spans="1:20" x14ac:dyDescent="0.2">
      <c r="A201" s="69">
        <v>32478</v>
      </c>
      <c r="M201">
        <v>277.72000122070312</v>
      </c>
      <c r="O201">
        <v>1.3325005532697319E-2</v>
      </c>
      <c r="P201">
        <v>3.7989710436494843E-2</v>
      </c>
      <c r="Q201">
        <v>5.4374852018120423E-2</v>
      </c>
    </row>
    <row r="202" spans="1:20" x14ac:dyDescent="0.2">
      <c r="A202" s="69">
        <v>32509</v>
      </c>
      <c r="M202">
        <v>297.47000122070312</v>
      </c>
      <c r="N202">
        <v>9107.3140000000003</v>
      </c>
      <c r="O202">
        <v>1.0165976737590321E-2</v>
      </c>
      <c r="P202">
        <v>4.3152399345334859E-2</v>
      </c>
      <c r="Q202">
        <v>4.1288202625324288E-2</v>
      </c>
      <c r="R202">
        <v>1.0165976737590321E-2</v>
      </c>
      <c r="S202">
        <v>4.1288202625324288E-2</v>
      </c>
      <c r="T202">
        <v>4.3152399345334859E-2</v>
      </c>
    </row>
    <row r="203" spans="1:20" x14ac:dyDescent="0.2">
      <c r="A203" s="69">
        <v>32540</v>
      </c>
      <c r="M203">
        <v>288.8599853515625</v>
      </c>
      <c r="O203">
        <v>1.0165976737590321E-2</v>
      </c>
      <c r="P203">
        <v>4.3152399345334859E-2</v>
      </c>
      <c r="Q203">
        <v>4.1288202625324288E-2</v>
      </c>
    </row>
    <row r="204" spans="1:20" x14ac:dyDescent="0.2">
      <c r="A204" s="69">
        <v>32568</v>
      </c>
      <c r="M204">
        <v>294.8699951171875</v>
      </c>
      <c r="O204">
        <v>1.0165976737590321E-2</v>
      </c>
      <c r="P204">
        <v>4.3152399345334859E-2</v>
      </c>
      <c r="Q204">
        <v>4.1288202625324288E-2</v>
      </c>
    </row>
    <row r="205" spans="1:20" x14ac:dyDescent="0.2">
      <c r="A205" s="69">
        <v>32599</v>
      </c>
      <c r="M205">
        <v>309.6400146484375</v>
      </c>
      <c r="N205">
        <v>9176.8269999999993</v>
      </c>
      <c r="O205">
        <v>7.6326565659204249E-3</v>
      </c>
      <c r="P205">
        <v>3.7482928748439691E-2</v>
      </c>
      <c r="Q205">
        <v>3.0881952971449911E-2</v>
      </c>
      <c r="R205">
        <v>7.6326565659204249E-3</v>
      </c>
      <c r="S205">
        <v>3.0881952971449911E-2</v>
      </c>
      <c r="T205">
        <v>3.7482928748439691E-2</v>
      </c>
    </row>
    <row r="206" spans="1:20" x14ac:dyDescent="0.2">
      <c r="A206" s="69">
        <v>32629</v>
      </c>
      <c r="M206">
        <v>320.51998901367188</v>
      </c>
      <c r="O206">
        <v>7.6326565659204249E-3</v>
      </c>
      <c r="P206">
        <v>3.7482928748439691E-2</v>
      </c>
      <c r="Q206">
        <v>3.0881952971449911E-2</v>
      </c>
    </row>
    <row r="207" spans="1:20" x14ac:dyDescent="0.2">
      <c r="A207" s="69">
        <v>32660</v>
      </c>
      <c r="M207">
        <v>317.98001098632812</v>
      </c>
      <c r="O207">
        <v>7.6326565659204249E-3</v>
      </c>
      <c r="P207">
        <v>3.7482928748439691E-2</v>
      </c>
      <c r="Q207">
        <v>3.0881952971449911E-2</v>
      </c>
    </row>
    <row r="208" spans="1:20" x14ac:dyDescent="0.2">
      <c r="A208" s="69">
        <v>32690</v>
      </c>
      <c r="M208">
        <v>346.07998657226562</v>
      </c>
      <c r="N208">
        <v>9244.8160000000007</v>
      </c>
      <c r="O208">
        <v>7.4087699375831543E-3</v>
      </c>
      <c r="P208">
        <v>3.9081130529283373E-2</v>
      </c>
      <c r="Q208">
        <v>2.9966048660892589E-2</v>
      </c>
      <c r="R208">
        <v>7.4087699375831543E-3</v>
      </c>
      <c r="S208">
        <v>2.9966048660892589E-2</v>
      </c>
      <c r="T208">
        <v>3.9081130529283373E-2</v>
      </c>
    </row>
    <row r="209" spans="1:20" x14ac:dyDescent="0.2">
      <c r="A209" s="69">
        <v>32721</v>
      </c>
      <c r="M209">
        <v>351.45001220703119</v>
      </c>
      <c r="O209">
        <v>7.4087699375831543E-3</v>
      </c>
      <c r="P209">
        <v>3.9081130529283373E-2</v>
      </c>
      <c r="Q209">
        <v>2.9966048660892589E-2</v>
      </c>
    </row>
    <row r="210" spans="1:20" x14ac:dyDescent="0.2">
      <c r="A210" s="69">
        <v>32752</v>
      </c>
      <c r="M210">
        <v>349.14999389648438</v>
      </c>
      <c r="O210">
        <v>7.4087699375831543E-3</v>
      </c>
      <c r="P210">
        <v>3.9081130529283373E-2</v>
      </c>
      <c r="Q210">
        <v>2.9966048660892589E-2</v>
      </c>
    </row>
    <row r="211" spans="1:20" x14ac:dyDescent="0.2">
      <c r="A211" s="69">
        <v>32782</v>
      </c>
      <c r="M211">
        <v>340.3599853515625</v>
      </c>
      <c r="N211">
        <v>9263.0329999999994</v>
      </c>
      <c r="O211">
        <v>1.9705097429736549E-3</v>
      </c>
      <c r="P211">
        <v>2.743803255246614E-2</v>
      </c>
      <c r="Q211">
        <v>7.9053670440918378E-3</v>
      </c>
      <c r="R211">
        <v>1.9705097429736549E-3</v>
      </c>
      <c r="S211">
        <v>7.9053670440918378E-3</v>
      </c>
      <c r="T211">
        <v>2.743803255246614E-2</v>
      </c>
    </row>
    <row r="212" spans="1:20" x14ac:dyDescent="0.2">
      <c r="A212" s="69">
        <v>32813</v>
      </c>
      <c r="M212">
        <v>345.989990234375</v>
      </c>
      <c r="O212">
        <v>1.9705097429736549E-3</v>
      </c>
      <c r="P212">
        <v>2.743803255246614E-2</v>
      </c>
      <c r="Q212">
        <v>7.9053670440918378E-3</v>
      </c>
    </row>
    <row r="213" spans="1:20" x14ac:dyDescent="0.2">
      <c r="A213" s="69">
        <v>32843</v>
      </c>
      <c r="M213">
        <v>353.39999389648438</v>
      </c>
      <c r="O213">
        <v>1.9705097429736549E-3</v>
      </c>
      <c r="P213">
        <v>2.743803255246614E-2</v>
      </c>
      <c r="Q213">
        <v>7.9053670440918378E-3</v>
      </c>
    </row>
    <row r="214" spans="1:20" x14ac:dyDescent="0.2">
      <c r="A214" s="69">
        <v>32874</v>
      </c>
      <c r="M214">
        <v>329.07998657226562</v>
      </c>
      <c r="N214">
        <v>9364.259</v>
      </c>
      <c r="O214">
        <v>1.092795415929108E-2</v>
      </c>
      <c r="P214">
        <v>2.8213038443606939E-2</v>
      </c>
      <c r="Q214">
        <v>4.4433572064092493E-2</v>
      </c>
      <c r="R214">
        <v>1.092795415929108E-2</v>
      </c>
      <c r="S214">
        <v>4.4433572064092493E-2</v>
      </c>
      <c r="T214">
        <v>2.8213038443606939E-2</v>
      </c>
    </row>
    <row r="215" spans="1:20" x14ac:dyDescent="0.2">
      <c r="A215" s="69">
        <v>32905</v>
      </c>
      <c r="M215">
        <v>331.8900146484375</v>
      </c>
      <c r="O215">
        <v>1.092795415929108E-2</v>
      </c>
      <c r="P215">
        <v>2.8213038443606939E-2</v>
      </c>
      <c r="Q215">
        <v>4.4433572064092493E-2</v>
      </c>
    </row>
    <row r="216" spans="1:20" x14ac:dyDescent="0.2">
      <c r="A216" s="69">
        <v>32933</v>
      </c>
      <c r="M216">
        <v>339.94000244140619</v>
      </c>
      <c r="O216">
        <v>1.092795415929108E-2</v>
      </c>
      <c r="P216">
        <v>2.8213038443606939E-2</v>
      </c>
      <c r="Q216">
        <v>4.4433572064092493E-2</v>
      </c>
    </row>
    <row r="217" spans="1:20" x14ac:dyDescent="0.2">
      <c r="A217" s="69">
        <v>32964</v>
      </c>
      <c r="M217">
        <v>330.79998779296881</v>
      </c>
      <c r="N217">
        <v>9398.2430000000004</v>
      </c>
      <c r="O217">
        <v>3.6291179045774341E-3</v>
      </c>
      <c r="P217">
        <v>2.412772955183759E-2</v>
      </c>
      <c r="Q217">
        <v>1.459568596150662E-2</v>
      </c>
      <c r="R217">
        <v>3.6291179045774341E-3</v>
      </c>
      <c r="S217">
        <v>1.459568596150662E-2</v>
      </c>
      <c r="T217">
        <v>2.412772955183759E-2</v>
      </c>
    </row>
    <row r="218" spans="1:20" x14ac:dyDescent="0.2">
      <c r="A218" s="69">
        <v>32994</v>
      </c>
      <c r="M218">
        <v>361.23001098632812</v>
      </c>
      <c r="O218">
        <v>3.6291179045774341E-3</v>
      </c>
      <c r="P218">
        <v>2.412772955183759E-2</v>
      </c>
      <c r="Q218">
        <v>1.459568596150662E-2</v>
      </c>
    </row>
    <row r="219" spans="1:20" x14ac:dyDescent="0.2">
      <c r="A219" s="69">
        <v>33025</v>
      </c>
      <c r="M219">
        <v>358.01998901367188</v>
      </c>
      <c r="O219">
        <v>3.6291179045774341E-3</v>
      </c>
      <c r="P219">
        <v>2.412772955183759E-2</v>
      </c>
      <c r="Q219">
        <v>1.459568596150662E-2</v>
      </c>
    </row>
    <row r="220" spans="1:20" x14ac:dyDescent="0.2">
      <c r="A220" s="69">
        <v>33055</v>
      </c>
      <c r="M220">
        <v>356.14999389648438</v>
      </c>
      <c r="N220">
        <v>9404.4940000000006</v>
      </c>
      <c r="O220">
        <v>6.6512432164184338E-4</v>
      </c>
      <c r="P220">
        <v>1.7272166368697859E-2</v>
      </c>
      <c r="Q220">
        <v>2.6631528059206659E-3</v>
      </c>
      <c r="R220">
        <v>6.6512432164184338E-4</v>
      </c>
      <c r="S220">
        <v>2.6631528059206659E-3</v>
      </c>
      <c r="T220">
        <v>1.7272166368697859E-2</v>
      </c>
    </row>
    <row r="221" spans="1:20" x14ac:dyDescent="0.2">
      <c r="A221" s="69">
        <v>33086</v>
      </c>
      <c r="M221">
        <v>322.55999755859381</v>
      </c>
      <c r="O221">
        <v>6.6512432164184338E-4</v>
      </c>
      <c r="P221">
        <v>1.7272166368697859E-2</v>
      </c>
      <c r="Q221">
        <v>2.6631528059206659E-3</v>
      </c>
    </row>
    <row r="222" spans="1:20" x14ac:dyDescent="0.2">
      <c r="A222" s="69">
        <v>33117</v>
      </c>
      <c r="M222">
        <v>306.04998779296881</v>
      </c>
      <c r="O222">
        <v>6.6512432164184338E-4</v>
      </c>
      <c r="P222">
        <v>1.7272166368697859E-2</v>
      </c>
      <c r="Q222">
        <v>2.6631528059206659E-3</v>
      </c>
    </row>
    <row r="223" spans="1:20" x14ac:dyDescent="0.2">
      <c r="A223" s="69">
        <v>33147</v>
      </c>
      <c r="M223">
        <v>304</v>
      </c>
      <c r="N223">
        <v>9318.8760000000002</v>
      </c>
      <c r="O223">
        <v>-9.1039454116298435E-3</v>
      </c>
      <c r="P223">
        <v>6.0285869649822858E-3</v>
      </c>
      <c r="Q223">
        <v>-3.5921502051109888E-2</v>
      </c>
      <c r="R223">
        <v>-9.1039454116298435E-3</v>
      </c>
      <c r="S223">
        <v>-3.5921502051109888E-2</v>
      </c>
      <c r="T223">
        <v>6.0285869649822858E-3</v>
      </c>
    </row>
    <row r="224" spans="1:20" x14ac:dyDescent="0.2">
      <c r="A224" s="69">
        <v>33178</v>
      </c>
      <c r="M224">
        <v>322.22000122070312</v>
      </c>
      <c r="O224">
        <v>-9.1039454116298435E-3</v>
      </c>
      <c r="P224">
        <v>6.0285869649822858E-3</v>
      </c>
      <c r="Q224">
        <v>-3.5921502051109888E-2</v>
      </c>
    </row>
    <row r="225" spans="1:20" x14ac:dyDescent="0.2">
      <c r="A225" s="69">
        <v>33208</v>
      </c>
      <c r="M225">
        <v>330.22000122070312</v>
      </c>
      <c r="O225">
        <v>-9.1039454116298435E-3</v>
      </c>
      <c r="P225">
        <v>6.0285869649822858E-3</v>
      </c>
      <c r="Q225">
        <v>-3.5921502051109888E-2</v>
      </c>
    </row>
    <row r="226" spans="1:20" x14ac:dyDescent="0.2">
      <c r="A226" s="69">
        <v>33239</v>
      </c>
      <c r="M226">
        <v>343.92999267578119</v>
      </c>
      <c r="N226">
        <v>9275.2759999999998</v>
      </c>
      <c r="O226">
        <v>-4.6786758403052431E-3</v>
      </c>
      <c r="P226">
        <v>-9.5024069710160919E-3</v>
      </c>
      <c r="Q226">
        <v>-1.858377250133569E-2</v>
      </c>
      <c r="R226">
        <v>-4.6786758403052431E-3</v>
      </c>
      <c r="S226">
        <v>-1.858377250133569E-2</v>
      </c>
      <c r="T226">
        <v>-9.5024069710160919E-3</v>
      </c>
    </row>
    <row r="227" spans="1:20" x14ac:dyDescent="0.2">
      <c r="A227" s="69">
        <v>33270</v>
      </c>
      <c r="M227">
        <v>367.07000732421881</v>
      </c>
      <c r="O227">
        <v>-4.6786758403052431E-3</v>
      </c>
      <c r="P227">
        <v>-9.5024069710160919E-3</v>
      </c>
      <c r="Q227">
        <v>-1.858377250133569E-2</v>
      </c>
    </row>
    <row r="228" spans="1:20" x14ac:dyDescent="0.2">
      <c r="A228" s="69">
        <v>33298</v>
      </c>
      <c r="M228">
        <v>375.22000122070312</v>
      </c>
      <c r="O228">
        <v>-4.6786758403052431E-3</v>
      </c>
      <c r="P228">
        <v>-9.5024069710160919E-3</v>
      </c>
      <c r="Q228">
        <v>-1.858377250133569E-2</v>
      </c>
    </row>
    <row r="229" spans="1:20" x14ac:dyDescent="0.2">
      <c r="A229" s="69">
        <v>33329</v>
      </c>
      <c r="M229">
        <v>375.33999633789062</v>
      </c>
      <c r="N229">
        <v>9347.5969999999998</v>
      </c>
      <c r="O229">
        <v>7.7971803750098564E-3</v>
      </c>
      <c r="P229">
        <v>-5.3888796022831757E-3</v>
      </c>
      <c r="Q229">
        <v>3.1555397477190723E-2</v>
      </c>
      <c r="R229">
        <v>7.7971803750098564E-3</v>
      </c>
      <c r="S229">
        <v>3.1555397477190723E-2</v>
      </c>
      <c r="T229">
        <v>-5.3888796022831757E-3</v>
      </c>
    </row>
    <row r="230" spans="1:20" x14ac:dyDescent="0.2">
      <c r="A230" s="69">
        <v>33359</v>
      </c>
      <c r="M230">
        <v>389.82998657226562</v>
      </c>
      <c r="O230">
        <v>7.7971803750098564E-3</v>
      </c>
      <c r="P230">
        <v>-5.3888796022831757E-3</v>
      </c>
      <c r="Q230">
        <v>3.1555397477190723E-2</v>
      </c>
    </row>
    <row r="231" spans="1:20" x14ac:dyDescent="0.2">
      <c r="A231" s="69">
        <v>33390</v>
      </c>
      <c r="M231">
        <v>371.16000366210938</v>
      </c>
      <c r="O231">
        <v>7.7971803750098564E-3</v>
      </c>
      <c r="P231">
        <v>-5.3888796022831757E-3</v>
      </c>
      <c r="Q231">
        <v>3.1555397477190723E-2</v>
      </c>
    </row>
    <row r="232" spans="1:20" x14ac:dyDescent="0.2">
      <c r="A232" s="69">
        <v>33420</v>
      </c>
      <c r="M232">
        <v>387.80999755859381</v>
      </c>
      <c r="N232">
        <v>9394.8340000000007</v>
      </c>
      <c r="O232">
        <v>5.0533843082881079E-3</v>
      </c>
      <c r="P232">
        <v>-1.0271685005062319E-3</v>
      </c>
      <c r="Q232">
        <v>2.0367274229972528E-2</v>
      </c>
      <c r="R232">
        <v>5.0533843082881079E-3</v>
      </c>
      <c r="S232">
        <v>2.0367274229972528E-2</v>
      </c>
      <c r="T232">
        <v>-1.0271685005062319E-3</v>
      </c>
    </row>
    <row r="233" spans="1:20" x14ac:dyDescent="0.2">
      <c r="A233" s="69">
        <v>33451</v>
      </c>
      <c r="M233">
        <v>395.42999267578119</v>
      </c>
      <c r="O233">
        <v>5.0533843082881079E-3</v>
      </c>
      <c r="P233">
        <v>-1.0271685005062319E-3</v>
      </c>
      <c r="Q233">
        <v>2.0367274229972528E-2</v>
      </c>
    </row>
    <row r="234" spans="1:20" x14ac:dyDescent="0.2">
      <c r="A234" s="69">
        <v>33482</v>
      </c>
      <c r="M234">
        <v>387.8599853515625</v>
      </c>
      <c r="O234">
        <v>5.0533843082881079E-3</v>
      </c>
      <c r="P234">
        <v>-1.0271685005062319E-3</v>
      </c>
      <c r="Q234">
        <v>2.0367274229972528E-2</v>
      </c>
    </row>
    <row r="235" spans="1:20" x14ac:dyDescent="0.2">
      <c r="A235" s="69">
        <v>33512</v>
      </c>
      <c r="M235">
        <v>392.45001220703119</v>
      </c>
      <c r="N235">
        <v>9427.5810000000001</v>
      </c>
      <c r="O235">
        <v>3.4856390224669632E-3</v>
      </c>
      <c r="P235">
        <v>1.166503342248571E-2</v>
      </c>
      <c r="Q235">
        <v>1.401562371143839E-2</v>
      </c>
      <c r="R235">
        <v>3.4856390224669632E-3</v>
      </c>
      <c r="S235">
        <v>1.401562371143839E-2</v>
      </c>
      <c r="T235">
        <v>1.166503342248571E-2</v>
      </c>
    </row>
    <row r="236" spans="1:20" x14ac:dyDescent="0.2">
      <c r="A236" s="69">
        <v>33543</v>
      </c>
      <c r="M236">
        <v>375.22000122070312</v>
      </c>
      <c r="O236">
        <v>3.4856390224669632E-3</v>
      </c>
      <c r="P236">
        <v>1.166503342248571E-2</v>
      </c>
      <c r="Q236">
        <v>1.401562371143839E-2</v>
      </c>
    </row>
    <row r="237" spans="1:20" x14ac:dyDescent="0.2">
      <c r="A237" s="69">
        <v>33573</v>
      </c>
      <c r="M237">
        <v>417.08999633789062</v>
      </c>
      <c r="O237">
        <v>3.4856390224669632E-3</v>
      </c>
      <c r="P237">
        <v>1.166503342248571E-2</v>
      </c>
      <c r="Q237">
        <v>1.401562371143839E-2</v>
      </c>
    </row>
    <row r="238" spans="1:20" x14ac:dyDescent="0.2">
      <c r="A238" s="69">
        <v>33604</v>
      </c>
      <c r="M238">
        <v>408.77999877929688</v>
      </c>
      <c r="N238">
        <v>9540.4439999999995</v>
      </c>
      <c r="O238">
        <v>1.19715757414335E-2</v>
      </c>
      <c r="P238">
        <v>2.8588691053506081E-2</v>
      </c>
      <c r="Q238">
        <v>4.8753098259492589E-2</v>
      </c>
      <c r="R238">
        <v>1.19715757414335E-2</v>
      </c>
      <c r="S238">
        <v>4.8753098259492589E-2</v>
      </c>
      <c r="T238">
        <v>2.8588691053506081E-2</v>
      </c>
    </row>
    <row r="239" spans="1:20" x14ac:dyDescent="0.2">
      <c r="A239" s="69">
        <v>33635</v>
      </c>
      <c r="M239">
        <v>412.70001220703119</v>
      </c>
      <c r="O239">
        <v>1.19715757414335E-2</v>
      </c>
      <c r="P239">
        <v>2.8588691053506081E-2</v>
      </c>
      <c r="Q239">
        <v>4.8753098259492589E-2</v>
      </c>
    </row>
    <row r="240" spans="1:20" x14ac:dyDescent="0.2">
      <c r="A240" s="69">
        <v>33664</v>
      </c>
      <c r="M240">
        <v>403.69000244140619</v>
      </c>
      <c r="O240">
        <v>1.19715757414335E-2</v>
      </c>
      <c r="P240">
        <v>2.8588691053506081E-2</v>
      </c>
      <c r="Q240">
        <v>4.8753098259492589E-2</v>
      </c>
    </row>
    <row r="241" spans="1:20" x14ac:dyDescent="0.2">
      <c r="A241" s="69">
        <v>33695</v>
      </c>
      <c r="M241">
        <v>414.95001220703119</v>
      </c>
      <c r="N241">
        <v>9643.893</v>
      </c>
      <c r="O241">
        <v>1.0843206039467399E-2</v>
      </c>
      <c r="P241">
        <v>3.1697558206670688E-2</v>
      </c>
      <c r="Q241">
        <v>4.4083388249948292E-2</v>
      </c>
      <c r="R241">
        <v>1.0843206039467399E-2</v>
      </c>
      <c r="S241">
        <v>4.4083388249948292E-2</v>
      </c>
      <c r="T241">
        <v>3.1697558206670688E-2</v>
      </c>
    </row>
    <row r="242" spans="1:20" x14ac:dyDescent="0.2">
      <c r="A242" s="69">
        <v>33725</v>
      </c>
      <c r="M242">
        <v>415.35000610351562</v>
      </c>
      <c r="O242">
        <v>1.0843206039467399E-2</v>
      </c>
      <c r="P242">
        <v>3.1697558206670688E-2</v>
      </c>
      <c r="Q242">
        <v>4.4083388249948292E-2</v>
      </c>
    </row>
    <row r="243" spans="1:20" x14ac:dyDescent="0.2">
      <c r="A243" s="69">
        <v>33756</v>
      </c>
      <c r="M243">
        <v>408.1400146484375</v>
      </c>
      <c r="O243">
        <v>1.0843206039467399E-2</v>
      </c>
      <c r="P243">
        <v>3.1697558206670688E-2</v>
      </c>
      <c r="Q243">
        <v>4.4083388249948292E-2</v>
      </c>
    </row>
    <row r="244" spans="1:20" x14ac:dyDescent="0.2">
      <c r="A244" s="69">
        <v>33786</v>
      </c>
      <c r="M244">
        <v>424.20999145507812</v>
      </c>
      <c r="N244">
        <v>9739.1849999999995</v>
      </c>
      <c r="O244">
        <v>9.8810718866332772E-3</v>
      </c>
      <c r="P244">
        <v>3.6653228785096012E-2</v>
      </c>
      <c r="Q244">
        <v>4.0113969545816142E-2</v>
      </c>
      <c r="R244">
        <v>9.8810718866332772E-3</v>
      </c>
      <c r="S244">
        <v>4.0113969545816142E-2</v>
      </c>
      <c r="T244">
        <v>3.6653228785096012E-2</v>
      </c>
    </row>
    <row r="245" spans="1:20" x14ac:dyDescent="0.2">
      <c r="A245" s="69">
        <v>33817</v>
      </c>
      <c r="M245">
        <v>414.02999877929688</v>
      </c>
      <c r="O245">
        <v>9.8810718866332772E-3</v>
      </c>
      <c r="P245">
        <v>3.6653228785096012E-2</v>
      </c>
      <c r="Q245">
        <v>4.0113969545816142E-2</v>
      </c>
    </row>
    <row r="246" spans="1:20" x14ac:dyDescent="0.2">
      <c r="A246" s="69">
        <v>33848</v>
      </c>
      <c r="M246">
        <v>417.79998779296881</v>
      </c>
      <c r="O246">
        <v>9.8810718866332772E-3</v>
      </c>
      <c r="P246">
        <v>3.6653228785096012E-2</v>
      </c>
      <c r="Q246">
        <v>4.0113969545816142E-2</v>
      </c>
    </row>
    <row r="247" spans="1:20" x14ac:dyDescent="0.2">
      <c r="A247" s="69">
        <v>33878</v>
      </c>
      <c r="M247">
        <v>418.67999267578119</v>
      </c>
      <c r="N247">
        <v>9840.7530000000006</v>
      </c>
      <c r="O247">
        <v>1.042879871365018E-2</v>
      </c>
      <c r="P247">
        <v>4.3825876436383887E-2</v>
      </c>
      <c r="Q247">
        <v>4.2372302676989992E-2</v>
      </c>
      <c r="R247">
        <v>1.042879871365018E-2</v>
      </c>
      <c r="S247">
        <v>4.2372302676989992E-2</v>
      </c>
      <c r="T247">
        <v>4.3825876436383887E-2</v>
      </c>
    </row>
    <row r="248" spans="1:20" x14ac:dyDescent="0.2">
      <c r="A248" s="69">
        <v>33909</v>
      </c>
      <c r="M248">
        <v>431.35000610351562</v>
      </c>
      <c r="O248">
        <v>1.042879871365018E-2</v>
      </c>
      <c r="P248">
        <v>4.3825876436383887E-2</v>
      </c>
      <c r="Q248">
        <v>4.2372302676989992E-2</v>
      </c>
    </row>
    <row r="249" spans="1:20" x14ac:dyDescent="0.2">
      <c r="A249" s="69">
        <v>33939</v>
      </c>
      <c r="M249">
        <v>435.70999145507812</v>
      </c>
      <c r="O249">
        <v>1.042879871365018E-2</v>
      </c>
      <c r="P249">
        <v>4.3825876436383887E-2</v>
      </c>
      <c r="Q249">
        <v>4.2372302676989992E-2</v>
      </c>
    </row>
    <row r="250" spans="1:20" x14ac:dyDescent="0.2">
      <c r="A250" s="69">
        <v>33970</v>
      </c>
      <c r="M250">
        <v>438.77999877929688</v>
      </c>
      <c r="N250">
        <v>9857.1849999999995</v>
      </c>
      <c r="O250">
        <v>1.6697909194549321E-3</v>
      </c>
      <c r="P250">
        <v>3.319981753469755E-2</v>
      </c>
      <c r="Q250">
        <v>6.6959115187377183E-3</v>
      </c>
      <c r="R250">
        <v>1.6697909194549321E-3</v>
      </c>
      <c r="S250">
        <v>6.6959115187377183E-3</v>
      </c>
      <c r="T250">
        <v>3.319981753469755E-2</v>
      </c>
    </row>
    <row r="251" spans="1:20" x14ac:dyDescent="0.2">
      <c r="A251" s="69">
        <v>34001</v>
      </c>
      <c r="M251">
        <v>443.3800048828125</v>
      </c>
      <c r="O251">
        <v>1.6697909194549321E-3</v>
      </c>
      <c r="P251">
        <v>3.319981753469755E-2</v>
      </c>
      <c r="Q251">
        <v>6.6959115187377183E-3</v>
      </c>
    </row>
    <row r="252" spans="1:20" x14ac:dyDescent="0.2">
      <c r="A252" s="69">
        <v>34029</v>
      </c>
      <c r="M252">
        <v>451.67001342773438</v>
      </c>
      <c r="O252">
        <v>1.6697909194549321E-3</v>
      </c>
      <c r="P252">
        <v>3.319981753469755E-2</v>
      </c>
      <c r="Q252">
        <v>6.6959115187377183E-3</v>
      </c>
    </row>
    <row r="253" spans="1:20" x14ac:dyDescent="0.2">
      <c r="A253" s="69">
        <v>34060</v>
      </c>
      <c r="M253">
        <v>440.19000244140619</v>
      </c>
      <c r="N253">
        <v>9914.5650000000005</v>
      </c>
      <c r="O253">
        <v>5.8211345328307244E-3</v>
      </c>
      <c r="P253">
        <v>2.806667390440774E-2</v>
      </c>
      <c r="Q253">
        <v>2.348864193376721E-2</v>
      </c>
      <c r="R253">
        <v>5.8211345328307244E-3</v>
      </c>
      <c r="S253">
        <v>2.348864193376721E-2</v>
      </c>
      <c r="T253">
        <v>2.806667390440774E-2</v>
      </c>
    </row>
    <row r="254" spans="1:20" x14ac:dyDescent="0.2">
      <c r="A254" s="69">
        <v>34090</v>
      </c>
      <c r="M254">
        <v>450.19000244140619</v>
      </c>
      <c r="O254">
        <v>5.8211345328307244E-3</v>
      </c>
      <c r="P254">
        <v>2.806667390440774E-2</v>
      </c>
      <c r="Q254">
        <v>2.348864193376721E-2</v>
      </c>
    </row>
    <row r="255" spans="1:20" x14ac:dyDescent="0.2">
      <c r="A255" s="69">
        <v>34121</v>
      </c>
      <c r="M255">
        <v>450.52999877929688</v>
      </c>
      <c r="O255">
        <v>5.8211345328307244E-3</v>
      </c>
      <c r="P255">
        <v>2.806667390440774E-2</v>
      </c>
      <c r="Q255">
        <v>2.348864193376721E-2</v>
      </c>
    </row>
    <row r="256" spans="1:20" x14ac:dyDescent="0.2">
      <c r="A256" s="69">
        <v>34151</v>
      </c>
      <c r="M256">
        <v>448.1300048828125</v>
      </c>
      <c r="N256">
        <v>9961.8729999999996</v>
      </c>
      <c r="O256">
        <v>4.771565873036193E-3</v>
      </c>
      <c r="P256">
        <v>2.2865157608157161E-2</v>
      </c>
      <c r="Q256">
        <v>1.9223305608814249E-2</v>
      </c>
      <c r="R256">
        <v>4.771565873036193E-3</v>
      </c>
      <c r="S256">
        <v>1.9223305608814249E-2</v>
      </c>
      <c r="T256">
        <v>2.2865157608157161E-2</v>
      </c>
    </row>
    <row r="257" spans="1:20" x14ac:dyDescent="0.2">
      <c r="A257" s="69">
        <v>34182</v>
      </c>
      <c r="M257">
        <v>463.55999755859381</v>
      </c>
      <c r="O257">
        <v>4.771565873036193E-3</v>
      </c>
      <c r="P257">
        <v>2.2865157608157161E-2</v>
      </c>
      <c r="Q257">
        <v>1.9223305608814249E-2</v>
      </c>
    </row>
    <row r="258" spans="1:20" x14ac:dyDescent="0.2">
      <c r="A258" s="69">
        <v>34213</v>
      </c>
      <c r="M258">
        <v>458.92999267578119</v>
      </c>
      <c r="O258">
        <v>4.771565873036193E-3</v>
      </c>
      <c r="P258">
        <v>2.2865157608157161E-2</v>
      </c>
      <c r="Q258">
        <v>1.9223305608814249E-2</v>
      </c>
    </row>
    <row r="259" spans="1:20" x14ac:dyDescent="0.2">
      <c r="A259" s="69">
        <v>34243</v>
      </c>
      <c r="M259">
        <v>467.82998657226562</v>
      </c>
      <c r="N259">
        <v>10097.361999999999</v>
      </c>
      <c r="O259">
        <v>1.360075560087943E-2</v>
      </c>
      <c r="P259">
        <v>2.6076154944646868E-2</v>
      </c>
      <c r="Q259">
        <v>5.5523003439976508E-2</v>
      </c>
      <c r="R259">
        <v>1.360075560087943E-2</v>
      </c>
      <c r="S259">
        <v>5.5523003439976508E-2</v>
      </c>
      <c r="T259">
        <v>2.6076154944646868E-2</v>
      </c>
    </row>
    <row r="260" spans="1:20" x14ac:dyDescent="0.2">
      <c r="A260" s="69">
        <v>34274</v>
      </c>
      <c r="M260">
        <v>461.79000854492188</v>
      </c>
      <c r="O260">
        <v>1.360075560087943E-2</v>
      </c>
      <c r="P260">
        <v>2.6076154944646868E-2</v>
      </c>
      <c r="Q260">
        <v>5.5523003439976508E-2</v>
      </c>
    </row>
    <row r="261" spans="1:20" x14ac:dyDescent="0.2">
      <c r="A261" s="69">
        <v>34304</v>
      </c>
      <c r="M261">
        <v>466.45001220703119</v>
      </c>
      <c r="O261">
        <v>1.360075560087943E-2</v>
      </c>
      <c r="P261">
        <v>2.6076154944646868E-2</v>
      </c>
      <c r="Q261">
        <v>5.5523003439976508E-2</v>
      </c>
    </row>
    <row r="262" spans="1:20" x14ac:dyDescent="0.2">
      <c r="A262" s="69">
        <v>34335</v>
      </c>
      <c r="M262">
        <v>481.6099853515625</v>
      </c>
      <c r="N262">
        <v>10195.338</v>
      </c>
      <c r="O262">
        <v>9.7031284012597131E-3</v>
      </c>
      <c r="P262">
        <v>3.4305230144305927E-2</v>
      </c>
      <c r="Q262">
        <v>3.9381080899375531E-2</v>
      </c>
      <c r="R262">
        <v>9.7031284012597131E-3</v>
      </c>
      <c r="S262">
        <v>3.9381080899375531E-2</v>
      </c>
      <c r="T262">
        <v>3.4305230144305927E-2</v>
      </c>
    </row>
    <row r="263" spans="1:20" x14ac:dyDescent="0.2">
      <c r="A263" s="69">
        <v>34366</v>
      </c>
      <c r="M263">
        <v>467.1400146484375</v>
      </c>
      <c r="O263">
        <v>9.7031284012597131E-3</v>
      </c>
      <c r="P263">
        <v>3.4305230144305927E-2</v>
      </c>
      <c r="Q263">
        <v>3.9381080899375531E-2</v>
      </c>
    </row>
    <row r="264" spans="1:20" x14ac:dyDescent="0.2">
      <c r="A264" s="69">
        <v>34394</v>
      </c>
      <c r="M264">
        <v>445.76998901367188</v>
      </c>
      <c r="O264">
        <v>9.7031284012597131E-3</v>
      </c>
      <c r="P264">
        <v>3.4305230144305927E-2</v>
      </c>
      <c r="Q264">
        <v>3.9381080899375531E-2</v>
      </c>
    </row>
    <row r="265" spans="1:20" x14ac:dyDescent="0.2">
      <c r="A265" s="69">
        <v>34425</v>
      </c>
      <c r="M265">
        <v>450.91000366210938</v>
      </c>
      <c r="N265">
        <v>10333.495000000001</v>
      </c>
      <c r="O265">
        <v>1.3550997524554961E-2</v>
      </c>
      <c r="P265">
        <v>4.2253997023570897E-2</v>
      </c>
      <c r="Q265">
        <v>5.5315754474926093E-2</v>
      </c>
      <c r="R265">
        <v>1.3550997524554961E-2</v>
      </c>
      <c r="S265">
        <v>5.5315754474926093E-2</v>
      </c>
      <c r="T265">
        <v>4.2253997023570897E-2</v>
      </c>
    </row>
    <row r="266" spans="1:20" x14ac:dyDescent="0.2">
      <c r="A266" s="69">
        <v>34455</v>
      </c>
      <c r="M266">
        <v>456.5</v>
      </c>
      <c r="O266">
        <v>1.3550997524554961E-2</v>
      </c>
      <c r="P266">
        <v>4.2253997023570897E-2</v>
      </c>
      <c r="Q266">
        <v>5.5315754474926093E-2</v>
      </c>
    </row>
    <row r="267" spans="1:20" x14ac:dyDescent="0.2">
      <c r="A267" s="69">
        <v>34486</v>
      </c>
      <c r="M267">
        <v>444.26998901367188</v>
      </c>
      <c r="O267">
        <v>1.3550997524554961E-2</v>
      </c>
      <c r="P267">
        <v>4.2253997023570897E-2</v>
      </c>
      <c r="Q267">
        <v>5.5315754474926093E-2</v>
      </c>
    </row>
    <row r="268" spans="1:20" x14ac:dyDescent="0.2">
      <c r="A268" s="69">
        <v>34516</v>
      </c>
      <c r="M268">
        <v>458.260009765625</v>
      </c>
      <c r="N268">
        <v>10393.897999999999</v>
      </c>
      <c r="O268">
        <v>5.8453601613005493E-3</v>
      </c>
      <c r="P268">
        <v>4.3367848596343253E-2</v>
      </c>
      <c r="Q268">
        <v>2.358725012773033E-2</v>
      </c>
      <c r="R268">
        <v>5.8453601613005493E-3</v>
      </c>
      <c r="S268">
        <v>2.358725012773033E-2</v>
      </c>
      <c r="T268">
        <v>4.3367848596343253E-2</v>
      </c>
    </row>
    <row r="269" spans="1:20" x14ac:dyDescent="0.2">
      <c r="A269" s="69">
        <v>34547</v>
      </c>
      <c r="M269">
        <v>475.489990234375</v>
      </c>
      <c r="O269">
        <v>5.8453601613005493E-3</v>
      </c>
      <c r="P269">
        <v>4.3367848596343253E-2</v>
      </c>
      <c r="Q269">
        <v>2.358725012773033E-2</v>
      </c>
    </row>
    <row r="270" spans="1:20" x14ac:dyDescent="0.2">
      <c r="A270" s="69">
        <v>34578</v>
      </c>
      <c r="M270">
        <v>462.70999145507812</v>
      </c>
      <c r="O270">
        <v>5.8453601613005493E-3</v>
      </c>
      <c r="P270">
        <v>4.3367848596343253E-2</v>
      </c>
      <c r="Q270">
        <v>2.358725012773033E-2</v>
      </c>
    </row>
    <row r="271" spans="1:20" x14ac:dyDescent="0.2">
      <c r="A271" s="69">
        <v>34608</v>
      </c>
      <c r="M271">
        <v>472.35000610351562</v>
      </c>
      <c r="N271">
        <v>10512.962</v>
      </c>
      <c r="O271">
        <v>1.1455182646587479E-2</v>
      </c>
      <c r="P271">
        <v>4.1159265162524668E-2</v>
      </c>
      <c r="Q271">
        <v>4.6614087713841679E-2</v>
      </c>
      <c r="R271">
        <v>1.1455182646587479E-2</v>
      </c>
      <c r="S271">
        <v>4.6614087713841679E-2</v>
      </c>
      <c r="T271">
        <v>4.1159265162524668E-2</v>
      </c>
    </row>
    <row r="272" spans="1:20" x14ac:dyDescent="0.2">
      <c r="A272" s="69">
        <v>34639</v>
      </c>
      <c r="M272">
        <v>453.69000244140619</v>
      </c>
      <c r="O272">
        <v>1.1455182646587479E-2</v>
      </c>
      <c r="P272">
        <v>4.1159265162524668E-2</v>
      </c>
      <c r="Q272">
        <v>4.6614087713841679E-2</v>
      </c>
    </row>
    <row r="273" spans="1:20" x14ac:dyDescent="0.2">
      <c r="A273" s="69">
        <v>34669</v>
      </c>
      <c r="M273">
        <v>459.26998901367188</v>
      </c>
      <c r="O273">
        <v>1.1455182646587479E-2</v>
      </c>
      <c r="P273">
        <v>4.1159265162524668E-2</v>
      </c>
      <c r="Q273">
        <v>4.6614087713841679E-2</v>
      </c>
    </row>
    <row r="274" spans="1:20" x14ac:dyDescent="0.2">
      <c r="A274" s="69">
        <v>34700</v>
      </c>
      <c r="M274">
        <v>470.42001342773438</v>
      </c>
      <c r="N274">
        <v>10550.251</v>
      </c>
      <c r="O274">
        <v>3.5469547022048279E-3</v>
      </c>
      <c r="P274">
        <v>3.4811302970043798E-2</v>
      </c>
      <c r="Q274">
        <v>1.426348278840983E-2</v>
      </c>
      <c r="R274">
        <v>3.5469547022048279E-3</v>
      </c>
      <c r="S274">
        <v>1.426348278840983E-2</v>
      </c>
      <c r="T274">
        <v>3.4811302970043798E-2</v>
      </c>
    </row>
    <row r="275" spans="1:20" x14ac:dyDescent="0.2">
      <c r="A275" s="69">
        <v>34731</v>
      </c>
      <c r="M275">
        <v>487.3900146484375</v>
      </c>
      <c r="O275">
        <v>3.5469547022048279E-3</v>
      </c>
      <c r="P275">
        <v>3.4811302970043798E-2</v>
      </c>
      <c r="Q275">
        <v>1.426348278840983E-2</v>
      </c>
    </row>
    <row r="276" spans="1:20" x14ac:dyDescent="0.2">
      <c r="A276" s="69">
        <v>34759</v>
      </c>
      <c r="M276">
        <v>500.70999145507812</v>
      </c>
      <c r="O276">
        <v>3.5469547022048279E-3</v>
      </c>
      <c r="P276">
        <v>3.4811302970043798E-2</v>
      </c>
      <c r="Q276">
        <v>1.426348278840983E-2</v>
      </c>
    </row>
    <row r="277" spans="1:20" x14ac:dyDescent="0.2">
      <c r="A277" s="69">
        <v>34790</v>
      </c>
      <c r="M277">
        <v>514.71002197265625</v>
      </c>
      <c r="N277">
        <v>10581.723</v>
      </c>
      <c r="O277">
        <v>2.983056990776784E-3</v>
      </c>
      <c r="P277">
        <v>2.4021688692934879E-2</v>
      </c>
      <c r="Q277">
        <v>1.198572599682368E-2</v>
      </c>
      <c r="R277">
        <v>2.983056990776784E-3</v>
      </c>
      <c r="S277">
        <v>1.198572599682368E-2</v>
      </c>
      <c r="T277">
        <v>2.4021688692934879E-2</v>
      </c>
    </row>
    <row r="278" spans="1:20" x14ac:dyDescent="0.2">
      <c r="A278" s="69">
        <v>34820</v>
      </c>
      <c r="M278">
        <v>533.4000244140625</v>
      </c>
      <c r="O278">
        <v>2.983056990776784E-3</v>
      </c>
      <c r="P278">
        <v>2.4021688692934879E-2</v>
      </c>
      <c r="Q278">
        <v>1.198572599682368E-2</v>
      </c>
    </row>
    <row r="279" spans="1:20" x14ac:dyDescent="0.2">
      <c r="A279" s="69">
        <v>34851</v>
      </c>
      <c r="M279">
        <v>544.75</v>
      </c>
      <c r="O279">
        <v>2.983056990776784E-3</v>
      </c>
      <c r="P279">
        <v>2.4021688692934879E-2</v>
      </c>
      <c r="Q279">
        <v>1.198572599682368E-2</v>
      </c>
    </row>
    <row r="280" spans="1:20" x14ac:dyDescent="0.2">
      <c r="A280" s="69">
        <v>34881</v>
      </c>
      <c r="M280">
        <v>562.05999755859375</v>
      </c>
      <c r="N280">
        <v>10671.737999999999</v>
      </c>
      <c r="O280">
        <v>8.5066486809378221E-3</v>
      </c>
      <c r="P280">
        <v>2.6731068555800739E-2</v>
      </c>
      <c r="Q280">
        <v>3.4463240659767143E-2</v>
      </c>
      <c r="R280">
        <v>8.5066486809378221E-3</v>
      </c>
      <c r="S280">
        <v>3.4463240659767143E-2</v>
      </c>
      <c r="T280">
        <v>2.6731068555800739E-2</v>
      </c>
    </row>
    <row r="281" spans="1:20" x14ac:dyDescent="0.2">
      <c r="A281" s="69">
        <v>34912</v>
      </c>
      <c r="M281">
        <v>561.8800048828125</v>
      </c>
      <c r="O281">
        <v>8.5066486809378221E-3</v>
      </c>
      <c r="P281">
        <v>2.6731068555800739E-2</v>
      </c>
      <c r="Q281">
        <v>3.4463240659767143E-2</v>
      </c>
    </row>
    <row r="282" spans="1:20" x14ac:dyDescent="0.2">
      <c r="A282" s="69">
        <v>34943</v>
      </c>
      <c r="M282">
        <v>584.40997314453125</v>
      </c>
      <c r="O282">
        <v>8.5066486809378221E-3</v>
      </c>
      <c r="P282">
        <v>2.6731068555800739E-2</v>
      </c>
      <c r="Q282">
        <v>3.4463240659767143E-2</v>
      </c>
    </row>
    <row r="283" spans="1:20" x14ac:dyDescent="0.2">
      <c r="A283" s="69">
        <v>34973</v>
      </c>
      <c r="M283">
        <v>581.5</v>
      </c>
      <c r="N283">
        <v>10744.203</v>
      </c>
      <c r="O283">
        <v>6.7903653556712273E-3</v>
      </c>
      <c r="P283">
        <v>2.1995799090684429E-2</v>
      </c>
      <c r="Q283">
        <v>2.743937030821075E-2</v>
      </c>
      <c r="R283">
        <v>6.7903653556712273E-3</v>
      </c>
      <c r="S283">
        <v>2.743937030821075E-2</v>
      </c>
      <c r="T283">
        <v>2.1995799090684429E-2</v>
      </c>
    </row>
    <row r="284" spans="1:20" x14ac:dyDescent="0.2">
      <c r="A284" s="69">
        <v>35004</v>
      </c>
      <c r="M284">
        <v>605.3699951171875</v>
      </c>
      <c r="O284">
        <v>6.7903653556712273E-3</v>
      </c>
      <c r="P284">
        <v>2.1995799090684429E-2</v>
      </c>
      <c r="Q284">
        <v>2.743937030821075E-2</v>
      </c>
    </row>
    <row r="285" spans="1:20" x14ac:dyDescent="0.2">
      <c r="A285" s="69">
        <v>35034</v>
      </c>
      <c r="M285">
        <v>615.92999267578125</v>
      </c>
      <c r="O285">
        <v>6.7903653556712273E-3</v>
      </c>
      <c r="P285">
        <v>2.1995799090684429E-2</v>
      </c>
      <c r="Q285">
        <v>2.743937030821075E-2</v>
      </c>
    </row>
    <row r="286" spans="1:20" x14ac:dyDescent="0.2">
      <c r="A286" s="69">
        <v>35065</v>
      </c>
      <c r="M286">
        <v>636.02001953125</v>
      </c>
      <c r="N286">
        <v>10824.674000000001</v>
      </c>
      <c r="O286">
        <v>7.4897132900412786E-3</v>
      </c>
      <c r="P286">
        <v>2.6011039926917438E-2</v>
      </c>
      <c r="Q286">
        <v>3.0297111703896821E-2</v>
      </c>
      <c r="R286">
        <v>7.4897132900412786E-3</v>
      </c>
      <c r="S286">
        <v>3.0297111703896821E-2</v>
      </c>
      <c r="T286">
        <v>2.6011039926917438E-2</v>
      </c>
    </row>
    <row r="287" spans="1:20" x14ac:dyDescent="0.2">
      <c r="A287" s="69">
        <v>35096</v>
      </c>
      <c r="M287">
        <v>640.42999267578125</v>
      </c>
      <c r="O287">
        <v>7.4897132900412786E-3</v>
      </c>
      <c r="P287">
        <v>2.6011039926917438E-2</v>
      </c>
      <c r="Q287">
        <v>3.0297111703896821E-2</v>
      </c>
    </row>
    <row r="288" spans="1:20" x14ac:dyDescent="0.2">
      <c r="A288" s="69">
        <v>35125</v>
      </c>
      <c r="M288">
        <v>645.5</v>
      </c>
      <c r="O288">
        <v>7.4897132900412786E-3</v>
      </c>
      <c r="P288">
        <v>2.6011039926917438E-2</v>
      </c>
      <c r="Q288">
        <v>3.0297111703896821E-2</v>
      </c>
    </row>
    <row r="289" spans="1:20" x14ac:dyDescent="0.2">
      <c r="A289" s="69">
        <v>35156</v>
      </c>
      <c r="M289">
        <v>654.16998291015625</v>
      </c>
      <c r="N289">
        <v>11005.217000000001</v>
      </c>
      <c r="O289">
        <v>1.6678839473595199E-2</v>
      </c>
      <c r="P289">
        <v>4.0021270638061553E-2</v>
      </c>
      <c r="Q289">
        <v>6.8403096521844287E-2</v>
      </c>
      <c r="R289">
        <v>1.6678839473595199E-2</v>
      </c>
      <c r="S289">
        <v>6.8403096521844287E-2</v>
      </c>
      <c r="T289">
        <v>4.0021270638061553E-2</v>
      </c>
    </row>
    <row r="290" spans="1:20" x14ac:dyDescent="0.2">
      <c r="A290" s="69">
        <v>35186</v>
      </c>
      <c r="M290">
        <v>669.1199951171875</v>
      </c>
      <c r="O290">
        <v>1.6678839473595199E-2</v>
      </c>
      <c r="P290">
        <v>4.0021270638061553E-2</v>
      </c>
      <c r="Q290">
        <v>6.8403096521844287E-2</v>
      </c>
    </row>
    <row r="291" spans="1:20" x14ac:dyDescent="0.2">
      <c r="A291" s="69">
        <v>35217</v>
      </c>
      <c r="M291">
        <v>670.6300048828125</v>
      </c>
      <c r="O291">
        <v>1.6678839473595199E-2</v>
      </c>
      <c r="P291">
        <v>4.0021270638061553E-2</v>
      </c>
      <c r="Q291">
        <v>6.8403096521844287E-2</v>
      </c>
    </row>
    <row r="292" spans="1:20" x14ac:dyDescent="0.2">
      <c r="A292" s="69">
        <v>35247</v>
      </c>
      <c r="M292">
        <v>639.95001220703125</v>
      </c>
      <c r="N292">
        <v>11103.934999999999</v>
      </c>
      <c r="O292">
        <v>8.970109358134323E-3</v>
      </c>
      <c r="P292">
        <v>4.0499213904989062E-2</v>
      </c>
      <c r="Q292">
        <v>3.6366108120872383E-2</v>
      </c>
      <c r="R292">
        <v>8.970109358134323E-3</v>
      </c>
      <c r="S292">
        <v>3.6366108120872383E-2</v>
      </c>
      <c r="T292">
        <v>4.0499213904989062E-2</v>
      </c>
    </row>
    <row r="293" spans="1:20" x14ac:dyDescent="0.2">
      <c r="A293" s="69">
        <v>35278</v>
      </c>
      <c r="M293">
        <v>651.989990234375</v>
      </c>
      <c r="O293">
        <v>8.970109358134323E-3</v>
      </c>
      <c r="P293">
        <v>4.0499213904989062E-2</v>
      </c>
      <c r="Q293">
        <v>3.6366108120872383E-2</v>
      </c>
    </row>
    <row r="294" spans="1:20" x14ac:dyDescent="0.2">
      <c r="A294" s="69">
        <v>35309</v>
      </c>
      <c r="M294">
        <v>687.33001708984375</v>
      </c>
      <c r="O294">
        <v>8.970109358134323E-3</v>
      </c>
      <c r="P294">
        <v>4.0499213904989062E-2</v>
      </c>
      <c r="Q294">
        <v>3.6366108120872383E-2</v>
      </c>
    </row>
    <row r="295" spans="1:20" x14ac:dyDescent="0.2">
      <c r="A295" s="69">
        <v>35339</v>
      </c>
      <c r="M295">
        <v>705.27001953125</v>
      </c>
      <c r="N295">
        <v>11219.237999999999</v>
      </c>
      <c r="O295">
        <v>1.0383976491216839E-2</v>
      </c>
      <c r="P295">
        <v>4.4213144520817399E-2</v>
      </c>
      <c r="Q295">
        <v>4.2187358088936922E-2</v>
      </c>
      <c r="R295">
        <v>1.0383976491216839E-2</v>
      </c>
      <c r="S295">
        <v>4.2187358088936922E-2</v>
      </c>
      <c r="T295">
        <v>4.4213144520817399E-2</v>
      </c>
    </row>
    <row r="296" spans="1:20" x14ac:dyDescent="0.2">
      <c r="A296" s="69">
        <v>35370</v>
      </c>
      <c r="M296">
        <v>757.02001953125</v>
      </c>
      <c r="O296">
        <v>1.0383976491216839E-2</v>
      </c>
      <c r="P296">
        <v>4.4213144520817399E-2</v>
      </c>
      <c r="Q296">
        <v>4.2187358088936922E-2</v>
      </c>
    </row>
    <row r="297" spans="1:20" x14ac:dyDescent="0.2">
      <c r="A297" s="69">
        <v>35400</v>
      </c>
      <c r="M297">
        <v>740.739990234375</v>
      </c>
      <c r="O297">
        <v>1.0383976491216839E-2</v>
      </c>
      <c r="P297">
        <v>4.4213144520817399E-2</v>
      </c>
      <c r="Q297">
        <v>4.2187358088936922E-2</v>
      </c>
    </row>
    <row r="298" spans="1:20" x14ac:dyDescent="0.2">
      <c r="A298" s="69">
        <v>35431</v>
      </c>
      <c r="M298">
        <v>786.15997314453125</v>
      </c>
      <c r="N298">
        <v>11291.665000000001</v>
      </c>
      <c r="O298">
        <v>6.4556077694404466E-3</v>
      </c>
      <c r="P298">
        <v>4.314134541141839E-2</v>
      </c>
      <c r="Q298">
        <v>2.6073558191095358E-2</v>
      </c>
      <c r="R298">
        <v>6.4556077694404466E-3</v>
      </c>
      <c r="S298">
        <v>2.6073558191095358E-2</v>
      </c>
      <c r="T298">
        <v>4.314134541141839E-2</v>
      </c>
    </row>
    <row r="299" spans="1:20" x14ac:dyDescent="0.2">
      <c r="A299" s="69">
        <v>35462</v>
      </c>
      <c r="M299">
        <v>790.82000732421875</v>
      </c>
      <c r="O299">
        <v>6.4556077694404466E-3</v>
      </c>
      <c r="P299">
        <v>4.314134541141839E-2</v>
      </c>
      <c r="Q299">
        <v>2.6073558191095358E-2</v>
      </c>
    </row>
    <row r="300" spans="1:20" x14ac:dyDescent="0.2">
      <c r="A300" s="69">
        <v>35490</v>
      </c>
      <c r="M300">
        <v>757.1199951171875</v>
      </c>
      <c r="O300">
        <v>6.4556077694404466E-3</v>
      </c>
      <c r="P300">
        <v>4.314134541141839E-2</v>
      </c>
      <c r="Q300">
        <v>2.6073558191095358E-2</v>
      </c>
    </row>
    <row r="301" spans="1:20" x14ac:dyDescent="0.2">
      <c r="A301" s="69">
        <v>35521</v>
      </c>
      <c r="M301">
        <v>801.34002685546875</v>
      </c>
      <c r="N301">
        <v>11479.33</v>
      </c>
      <c r="O301">
        <v>1.6619781050890112E-2</v>
      </c>
      <c r="P301">
        <v>4.3080749793484252E-2</v>
      </c>
      <c r="Q301">
        <v>6.8154865904908712E-2</v>
      </c>
      <c r="R301">
        <v>1.6619781050890112E-2</v>
      </c>
      <c r="S301">
        <v>6.8154865904908712E-2</v>
      </c>
      <c r="T301">
        <v>4.3080749793484252E-2</v>
      </c>
    </row>
    <row r="302" spans="1:20" x14ac:dyDescent="0.2">
      <c r="A302" s="69">
        <v>35551</v>
      </c>
      <c r="M302">
        <v>848.280029296875</v>
      </c>
      <c r="O302">
        <v>1.6619781050890112E-2</v>
      </c>
      <c r="P302">
        <v>4.3080749793484252E-2</v>
      </c>
      <c r="Q302">
        <v>6.8154865904908712E-2</v>
      </c>
    </row>
    <row r="303" spans="1:20" x14ac:dyDescent="0.2">
      <c r="A303" s="69">
        <v>35582</v>
      </c>
      <c r="M303">
        <v>885.1400146484375</v>
      </c>
      <c r="O303">
        <v>1.6619781050890112E-2</v>
      </c>
      <c r="P303">
        <v>4.3080749793484252E-2</v>
      </c>
      <c r="Q303">
        <v>6.8154865904908712E-2</v>
      </c>
    </row>
    <row r="304" spans="1:20"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c r="R304">
        <v>1.2507785733139491E-2</v>
      </c>
      <c r="S304">
        <v>5.0977662738524332E-2</v>
      </c>
      <c r="T304">
        <v>4.6738025753933231E-2</v>
      </c>
    </row>
    <row r="305" spans="1:20"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20"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20"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c r="R307">
        <v>8.5874356260664548E-3</v>
      </c>
      <c r="S307">
        <v>3.4794745335392292E-2</v>
      </c>
      <c r="T307">
        <v>4.4876844577145122E-2</v>
      </c>
    </row>
    <row r="308" spans="1:20"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20"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20"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c r="R310">
        <v>9.9937540103740806E-3</v>
      </c>
      <c r="S310">
        <v>4.0578269241347893E-2</v>
      </c>
      <c r="T310">
        <v>4.8550058826576883E-2</v>
      </c>
    </row>
    <row r="311" spans="1:20"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20"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20"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c r="R313">
        <v>9.2582050690395729E-3</v>
      </c>
      <c r="S313">
        <v>3.7550288034241763E-2</v>
      </c>
      <c r="T313">
        <v>4.0957268412006649E-2</v>
      </c>
    </row>
    <row r="314" spans="1:20"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20"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20"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c r="R316">
        <v>1.252764552668854E-2</v>
      </c>
      <c r="S316">
        <v>5.1060122602257341E-2</v>
      </c>
      <c r="T316">
        <v>4.0977686226798142E-2</v>
      </c>
    </row>
    <row r="317" spans="1:20"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20"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20"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c r="R319">
        <v>1.6161907023370281E-2</v>
      </c>
      <c r="S319">
        <v>6.6231826182913345E-2</v>
      </c>
      <c r="T319">
        <v>4.8795407755980173E-2</v>
      </c>
    </row>
    <row r="320" spans="1:20"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20"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20"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c r="R322">
        <v>9.438266145912767E-3</v>
      </c>
      <c r="S322">
        <v>3.8290920801855137E-2</v>
      </c>
      <c r="T322">
        <v>4.8218579316202298E-2</v>
      </c>
    </row>
    <row r="323" spans="1:20"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20"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20"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c r="R325">
        <v>8.3500002981279006E-3</v>
      </c>
      <c r="S325">
        <v>3.3820669815360922E-2</v>
      </c>
      <c r="T325">
        <v>4.7275315134735367E-2</v>
      </c>
    </row>
    <row r="326" spans="1:20"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20"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20"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c r="R328">
        <v>1.3230270261286141E-2</v>
      </c>
      <c r="S328">
        <v>5.3980615300018853E-2</v>
      </c>
      <c r="T328">
        <v>4.8002052368625307E-2</v>
      </c>
    </row>
    <row r="329" spans="1:20"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20"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20"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c r="R331">
        <v>1.6427790050407821E-2</v>
      </c>
      <c r="S331">
        <v>6.734820036933864E-2</v>
      </c>
      <c r="T331">
        <v>4.827626650330151E-2</v>
      </c>
    </row>
    <row r="332" spans="1:20"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20"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20"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c r="R334">
        <v>3.6444736113372721E-3</v>
      </c>
      <c r="S334">
        <v>1.46577813755211E-2</v>
      </c>
      <c r="T334">
        <v>4.225955858689924E-2</v>
      </c>
    </row>
    <row r="335" spans="1:20"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20"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20"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c r="R337">
        <v>1.820583008355766E-2</v>
      </c>
      <c r="S337">
        <v>7.4836281142319105E-2</v>
      </c>
      <c r="T337">
        <v>5.2446827688533121E-2</v>
      </c>
    </row>
    <row r="338" spans="1:20"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20"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20"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c r="R340">
        <v>9.9774128259521319E-4</v>
      </c>
      <c r="S340">
        <v>3.9969420303305192E-3</v>
      </c>
      <c r="T340">
        <v>3.9740844955791207E-2</v>
      </c>
    </row>
    <row r="341" spans="1:20"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20"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20"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c r="R343">
        <v>5.9436175514207554E-3</v>
      </c>
      <c r="S343">
        <v>2.3987270862187989E-2</v>
      </c>
      <c r="T343">
        <v>2.9016204721172601E-2</v>
      </c>
    </row>
    <row r="344" spans="1:20"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20"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20"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c r="R346">
        <v>-3.2422100322343338E-3</v>
      </c>
      <c r="S346">
        <v>-1.2905904790564421E-2</v>
      </c>
      <c r="T346">
        <v>2.1955428467879849E-2</v>
      </c>
    </row>
    <row r="347" spans="1:20"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20"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20"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c r="R349">
        <v>6.2138921486550201E-3</v>
      </c>
      <c r="S349">
        <v>2.508820455389205E-2</v>
      </c>
      <c r="T349">
        <v>9.9193295688802842E-3</v>
      </c>
    </row>
    <row r="350" spans="1:20"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20"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20"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c r="R352">
        <v>-4.0034901605050122E-3</v>
      </c>
      <c r="S352">
        <v>-1.5918049455029729E-2</v>
      </c>
      <c r="T352">
        <v>4.8735236716932872E-3</v>
      </c>
    </row>
    <row r="353" spans="1:20"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20"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20"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c r="R355">
        <v>2.7731435849645621E-3</v>
      </c>
      <c r="S355">
        <v>1.113880165656167E-2</v>
      </c>
      <c r="T355">
        <v>1.706422364229252E-3</v>
      </c>
    </row>
    <row r="356" spans="1:20"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20"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20"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c r="R358">
        <v>8.2822721558439595E-3</v>
      </c>
      <c r="S358">
        <v>3.354294204519781E-2</v>
      </c>
      <c r="T358">
        <v>1.3288120484284601E-2</v>
      </c>
    </row>
    <row r="359" spans="1:20"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20"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20"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c r="R361">
        <v>6.1550245578357683E-3</v>
      </c>
      <c r="S361">
        <v>2.484833834627009E-2</v>
      </c>
      <c r="T361">
        <v>1.322883902243626E-2</v>
      </c>
    </row>
    <row r="362" spans="1:20"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20"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20"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c r="R364">
        <v>4.0352870399802624E-3</v>
      </c>
      <c r="S364">
        <v>1.6239112509100821E-2</v>
      </c>
      <c r="T364">
        <v>2.140669989799325E-2</v>
      </c>
    </row>
    <row r="365" spans="1:20"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20"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20"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c r="R367">
        <v>1.306557670590968E-3</v>
      </c>
      <c r="S367">
        <v>5.2364821646193596E-3</v>
      </c>
      <c r="T367">
        <v>1.9912861846485559E-2</v>
      </c>
    </row>
    <row r="368" spans="1:20"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20"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20"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c r="R370">
        <v>5.1672318691698346E-3</v>
      </c>
      <c r="S370">
        <v>2.0829681766981079E-2</v>
      </c>
      <c r="T370">
        <v>1.676188940425874E-2</v>
      </c>
    </row>
    <row r="371" spans="1:20"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20"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20"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c r="R373">
        <v>8.9337780116266717E-3</v>
      </c>
      <c r="S373">
        <v>3.621684485857446E-2</v>
      </c>
      <c r="T373">
        <v>1.9569936417795909E-2</v>
      </c>
    </row>
    <row r="374" spans="1:20"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20"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20"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c r="R376">
        <v>1.666896269711016E-2</v>
      </c>
      <c r="S376">
        <v>6.8361580068855954E-2</v>
      </c>
      <c r="T376">
        <v>3.2399083015260143E-2</v>
      </c>
    </row>
    <row r="377" spans="1:20"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20"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20"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c r="R379">
        <v>1.154045727617818E-2</v>
      </c>
      <c r="S379">
        <v>4.6967087698897902E-2</v>
      </c>
      <c r="T379">
        <v>4.2950765202439317E-2</v>
      </c>
    </row>
    <row r="380" spans="1:20"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20"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20"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c r="R382">
        <v>5.7291648606975533E-3</v>
      </c>
      <c r="S382">
        <v>2.3114352701243179E-2</v>
      </c>
      <c r="T382">
        <v>4.3533820862159241E-2</v>
      </c>
    </row>
    <row r="383" spans="1:20"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20"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20"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c r="R385">
        <v>7.7873875800888301E-3</v>
      </c>
      <c r="S385">
        <v>3.1515303444719089E-2</v>
      </c>
      <c r="T385">
        <v>4.2348116494544417E-2</v>
      </c>
    </row>
    <row r="386" spans="1:20"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20"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20"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c r="R388">
        <v>9.4124722465944513E-3</v>
      </c>
      <c r="S388">
        <v>3.8184800216271693E-2</v>
      </c>
      <c r="T388">
        <v>3.4908340686507763E-2</v>
      </c>
    </row>
    <row r="389" spans="1:20"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20"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20"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c r="R391">
        <v>1.0220273689720489E-2</v>
      </c>
      <c r="S391">
        <v>4.1512099828914462E-2</v>
      </c>
      <c r="T391">
        <v>3.3557659164048917E-2</v>
      </c>
    </row>
    <row r="392" spans="1:20"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20"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20"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c r="R394">
        <v>1.110882507696538E-2</v>
      </c>
      <c r="S394">
        <v>4.5181235086873883E-2</v>
      </c>
      <c r="T394">
        <v>3.9086174408999461E-2</v>
      </c>
    </row>
    <row r="395" spans="1:20"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20"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20"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c r="R397">
        <v>4.8660447840531912E-3</v>
      </c>
      <c r="S397">
        <v>1.9606710928381729E-2</v>
      </c>
      <c r="T397">
        <v>3.6074103661260792E-2</v>
      </c>
    </row>
    <row r="398" spans="1:20"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20"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20"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c r="R400">
        <v>7.8562198027224469E-3</v>
      </c>
      <c r="S400">
        <v>3.1797143707306803E-2</v>
      </c>
      <c r="T400">
        <v>3.4476745891085119E-2</v>
      </c>
    </row>
    <row r="401" spans="1:20"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20"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20"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c r="R403">
        <v>5.6792823835803089E-3</v>
      </c>
      <c r="S403">
        <v>2.2911388788951159E-2</v>
      </c>
      <c r="T403">
        <v>2.9826720513611439E-2</v>
      </c>
    </row>
    <row r="404" spans="1:20"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20"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20"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c r="R406">
        <v>1.3486661199029431E-2</v>
      </c>
      <c r="S406">
        <v>5.5047830418741617E-2</v>
      </c>
      <c r="T406">
        <v>3.2248575723230061E-2</v>
      </c>
    </row>
    <row r="407" spans="1:20"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20"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20"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c r="R409">
        <v>2.4558373055836402E-3</v>
      </c>
      <c r="S409">
        <v>9.8595953259017488E-3</v>
      </c>
      <c r="T409">
        <v>2.977269025594638E-2</v>
      </c>
    </row>
    <row r="410" spans="1:20"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20"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20"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c r="R412">
        <v>1.5045618810949951E-3</v>
      </c>
      <c r="S412">
        <v>6.0318433917740943E-3</v>
      </c>
      <c r="T412">
        <v>2.328291151863791E-2</v>
      </c>
    </row>
    <row r="413" spans="1:20"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20"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20"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c r="R415">
        <v>8.4371169635735783E-3</v>
      </c>
      <c r="S415">
        <v>3.4177984960281238E-2</v>
      </c>
      <c r="T415">
        <v>2.6089019835609219E-2</v>
      </c>
    </row>
    <row r="416" spans="1:20"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20"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20"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c r="R418">
        <v>2.9359886061897439E-3</v>
      </c>
      <c r="S418">
        <v>1.1795775906866529E-2</v>
      </c>
      <c r="T418">
        <v>1.540715325180492E-2</v>
      </c>
    </row>
    <row r="419" spans="1:20"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20"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20"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c r="R421">
        <v>6.3843453008071297E-3</v>
      </c>
      <c r="S421">
        <v>2.578298295432346E-2</v>
      </c>
      <c r="T421">
        <v>1.938641594997887E-2</v>
      </c>
    </row>
    <row r="422" spans="1:20"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20"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20"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c r="R424">
        <v>6.0230665745096982E-3</v>
      </c>
      <c r="S424">
        <v>2.4310805602967941E-2</v>
      </c>
      <c r="T424">
        <v>2.3985598500102932E-2</v>
      </c>
    </row>
    <row r="425" spans="1:20"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20"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20"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c r="R427">
        <v>6.0964400264045121E-3</v>
      </c>
      <c r="S427">
        <v>2.46096673082743E-2</v>
      </c>
      <c r="T427">
        <v>2.1608832081965391E-2</v>
      </c>
    </row>
    <row r="428" spans="1:20"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20"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20"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c r="R430">
        <v>-4.0742947392000926E-3</v>
      </c>
      <c r="S430">
        <v>-1.619784994668938E-2</v>
      </c>
      <c r="T430">
        <v>1.4468030014427379E-2</v>
      </c>
    </row>
    <row r="431" spans="1:20"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20"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20"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c r="R433">
        <v>5.7229534456869546E-3</v>
      </c>
      <c r="S433">
        <v>2.3089077789477889E-2</v>
      </c>
      <c r="T433">
        <v>1.3801325593333859E-2</v>
      </c>
    </row>
    <row r="434" spans="1:20"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20"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20"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c r="R436">
        <v>-5.2689290221545849E-3</v>
      </c>
      <c r="S436">
        <v>-2.0909730735542809E-2</v>
      </c>
      <c r="T436">
        <v>2.4220237812272792E-3</v>
      </c>
    </row>
    <row r="437" spans="1:20"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20"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20"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c r="R439">
        <v>-2.1830971480936261E-2</v>
      </c>
      <c r="S439">
        <v>-8.4505728695347337E-2</v>
      </c>
      <c r="T439">
        <v>-2.5403392598762051E-2</v>
      </c>
    </row>
    <row r="440" spans="1:20"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20"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20"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c r="R442">
        <v>-1.165722530679672E-2</v>
      </c>
      <c r="S442">
        <v>-4.5819873793169208E-2</v>
      </c>
      <c r="T442">
        <v>-3.2823924437935283E-2</v>
      </c>
    </row>
    <row r="443" spans="1:20"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20"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20"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c r="R445">
        <v>-1.692381386635996E-3</v>
      </c>
      <c r="S445">
        <v>-6.7523599987623362E-3</v>
      </c>
      <c r="T445">
        <v>-3.995504779306322E-2</v>
      </c>
    </row>
    <row r="446" spans="1:20"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20"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20"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c r="R448">
        <v>3.6192999076888901E-3</v>
      </c>
      <c r="S448">
        <v>1.4555985434920871E-2</v>
      </c>
      <c r="T448">
        <v>-3.1376750032878008E-2</v>
      </c>
    </row>
    <row r="449" spans="1:20"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20"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20"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c r="R451">
        <v>1.0679619498303389E-2</v>
      </c>
      <c r="S451">
        <v>4.34076888622974E-2</v>
      </c>
      <c r="T451">
        <v>8.1657583876523191E-4</v>
      </c>
    </row>
    <row r="452" spans="1:20"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20"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20"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c r="R454">
        <v>5.0005348148190604E-3</v>
      </c>
      <c r="S454">
        <v>2.0152672135610231E-2</v>
      </c>
      <c r="T454">
        <v>1.768457232028358E-2</v>
      </c>
    </row>
    <row r="455" spans="1:20"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20"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20"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c r="R457">
        <v>9.6770463932624312E-3</v>
      </c>
      <c r="S457">
        <v>3.9273690540683408E-2</v>
      </c>
      <c r="T457">
        <v>2.9274678447875339E-2</v>
      </c>
    </row>
    <row r="458" spans="1:20"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20"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20"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c r="R460">
        <v>7.7314415030268974E-3</v>
      </c>
      <c r="S460">
        <v>3.128626930493783E-2</v>
      </c>
      <c r="T460">
        <v>3.3491938138539873E-2</v>
      </c>
    </row>
    <row r="461" spans="1:20"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20"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20"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c r="R463">
        <v>5.1959515923726638E-3</v>
      </c>
      <c r="S463">
        <v>2.094635569547498E-2</v>
      </c>
      <c r="T463">
        <v>2.7884496905064039E-2</v>
      </c>
    </row>
    <row r="464" spans="1:20"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20"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20"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c r="R466">
        <v>-2.409160681035181E-3</v>
      </c>
      <c r="S466">
        <v>-9.6018742909373955E-3</v>
      </c>
      <c r="T466">
        <v>2.0306081906131489E-2</v>
      </c>
    </row>
    <row r="467" spans="1:20"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20"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20"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c r="R469">
        <v>6.7805075120588752E-3</v>
      </c>
      <c r="S469">
        <v>2.739913079767153E-2</v>
      </c>
      <c r="T469">
        <v>1.7379050686072959E-2</v>
      </c>
    </row>
    <row r="470" spans="1:20"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20"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20"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c r="R472">
        <v>-3.8767162657507928E-4</v>
      </c>
      <c r="S472">
        <v>-1.5497850035888221E-3</v>
      </c>
      <c r="T472">
        <v>9.1822084838616043E-3</v>
      </c>
    </row>
    <row r="473" spans="1:20"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20"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20"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c r="R475">
        <v>1.121678183498582E-2</v>
      </c>
      <c r="S475">
        <v>4.5627685349290507E-2</v>
      </c>
      <c r="T475">
        <v>1.52269152413066E-2</v>
      </c>
    </row>
    <row r="476" spans="1:20"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20"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20"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c r="R478">
        <v>8.1792284509988062E-3</v>
      </c>
      <c r="S478">
        <v>3.3120505702169067E-2</v>
      </c>
      <c r="T478">
        <v>2.6002492975388428E-2</v>
      </c>
    </row>
    <row r="479" spans="1:20"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20"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20"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c r="R481">
        <v>4.5585998686771077E-3</v>
      </c>
      <c r="S481">
        <v>1.8359463829133341E-2</v>
      </c>
      <c r="T481">
        <v>2.3738163497154609E-2</v>
      </c>
    </row>
    <row r="482" spans="1:20"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20"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20"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c r="R484">
        <v>1.748829776015621E-3</v>
      </c>
      <c r="S484">
        <v>7.0136909414519888E-3</v>
      </c>
      <c r="T484">
        <v>2.5926229770563171E-2</v>
      </c>
    </row>
    <row r="485" spans="1:20"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20"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20"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c r="R487">
        <v>1.0983806746418219E-3</v>
      </c>
      <c r="S487">
        <v>4.4007666411833854E-3</v>
      </c>
      <c r="T487">
        <v>1.56606434588916E-2</v>
      </c>
    </row>
    <row r="488" spans="1:20"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20"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20"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c r="R490">
        <v>8.6778954769115967E-3</v>
      </c>
      <c r="S490">
        <v>3.5166036783941028E-2</v>
      </c>
      <c r="T490">
        <v>1.6163010952802859E-2</v>
      </c>
    </row>
    <row r="491" spans="1:20"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20"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20"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c r="R493">
        <v>1.393852197657185E-3</v>
      </c>
      <c r="S493">
        <v>5.5870765701340197E-3</v>
      </c>
      <c r="T493">
        <v>1.2961704903847749E-2</v>
      </c>
    </row>
    <row r="494" spans="1:20"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20"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20"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c r="R496">
        <v>7.9165341079500094E-3</v>
      </c>
      <c r="S496">
        <v>3.2044153997870417E-2</v>
      </c>
      <c r="T496">
        <v>1.919844620038217E-2</v>
      </c>
    </row>
    <row r="497" spans="1:20"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20"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20"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c r="R499">
        <v>7.1117100156356649E-3</v>
      </c>
      <c r="S499">
        <v>2.875173987590807E-2</v>
      </c>
      <c r="T499">
        <v>2.532049777807217E-2</v>
      </c>
    </row>
    <row r="500" spans="1:20"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20"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20"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c r="R502">
        <v>-3.5010973651269459E-3</v>
      </c>
      <c r="S502">
        <v>-1.393101487505966E-2</v>
      </c>
      <c r="T502">
        <v>1.294055859309538E-2</v>
      </c>
    </row>
    <row r="503" spans="1:20"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20"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20"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c r="R505">
        <v>1.2841289071790579E-2</v>
      </c>
      <c r="S505">
        <v>5.2363045756652182E-2</v>
      </c>
      <c r="T505">
        <v>2.45199916765882E-2</v>
      </c>
    </row>
    <row r="506" spans="1:20"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20"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20"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c r="R508">
        <v>1.1649616444854689E-2</v>
      </c>
      <c r="S508">
        <v>4.7419089621299371E-2</v>
      </c>
      <c r="T508">
        <v>2.831456925846958E-2</v>
      </c>
    </row>
    <row r="509" spans="1:20"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20"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20"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c r="R511">
        <v>4.4899340248851054E-3</v>
      </c>
      <c r="S511">
        <v>1.808105561066875E-2</v>
      </c>
      <c r="T511">
        <v>2.5637596662669859E-2</v>
      </c>
    </row>
    <row r="512" spans="1:20"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20"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20"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c r="R514">
        <v>8.1331362646857273E-3</v>
      </c>
      <c r="S514">
        <v>3.2931588827004088E-2</v>
      </c>
      <c r="T514">
        <v>3.7612027730824553E-2</v>
      </c>
    </row>
    <row r="515" spans="1:20"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20"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20"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c r="R517">
        <v>5.800014316593537E-3</v>
      </c>
      <c r="S517">
        <v>2.3402679848250289E-2</v>
      </c>
      <c r="T517">
        <v>3.0398546748778989E-2</v>
      </c>
    </row>
    <row r="518" spans="1:20"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20"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20"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c r="R520">
        <v>3.233726725495796E-3</v>
      </c>
      <c r="S520">
        <v>1.299778420271624E-2</v>
      </c>
      <c r="T520">
        <v>2.1826685112633061E-2</v>
      </c>
    </row>
    <row r="521" spans="1:20"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20"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20"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c r="R523">
        <v>1.462343465763751E-3</v>
      </c>
      <c r="S523">
        <v>5.8622170666831064E-3</v>
      </c>
      <c r="T523">
        <v>1.874684058645722E-2</v>
      </c>
    </row>
    <row r="524" spans="1:20"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20"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20"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c r="R526">
        <v>5.8917986856350706E-3</v>
      </c>
      <c r="S526">
        <v>2.377629379297197E-2</v>
      </c>
      <c r="T526">
        <v>1.6481906030485969E-2</v>
      </c>
    </row>
    <row r="527" spans="1:20"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20"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20"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c r="R529">
        <v>3.0238880667262818E-3</v>
      </c>
      <c r="S529">
        <v>1.21505263452657E-2</v>
      </c>
      <c r="T529">
        <v>1.367629650405968E-2</v>
      </c>
    </row>
    <row r="530" spans="1:20"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20"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20"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c r="R532">
        <v>6.0111537926921072E-3</v>
      </c>
      <c r="S532">
        <v>2.426228912334993E-2</v>
      </c>
      <c r="T532">
        <v>1.6482633560206159E-2</v>
      </c>
    </row>
    <row r="533" spans="1:20"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20"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20"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c r="R535">
        <v>4.9688879606063626E-3</v>
      </c>
      <c r="S535">
        <v>2.002418226174996E-2</v>
      </c>
      <c r="T535">
        <v>2.0041770462427101E-2</v>
      </c>
    </row>
    <row r="536" spans="1:20"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20"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20" x14ac:dyDescent="0.2">
      <c r="A538" s="69">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c r="R538">
        <v>4.719310419164807E-3</v>
      </c>
      <c r="S538">
        <v>1.9011293949556581E-2</v>
      </c>
      <c r="T538">
        <v>1.8852788696456339E-2</v>
      </c>
    </row>
    <row r="539" spans="1:20"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20"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20" x14ac:dyDescent="0.2">
      <c r="A541" s="69">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c r="R541">
        <v>5.5976482267073562E-3</v>
      </c>
      <c r="S541">
        <v>2.2579297461999829E-2</v>
      </c>
      <c r="T541">
        <v>2.1467165829075641E-2</v>
      </c>
    </row>
    <row r="542" spans="1:20"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20"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20" x14ac:dyDescent="0.2">
      <c r="A544" s="69">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c r="R544">
        <v>7.1914999120398764E-3</v>
      </c>
      <c r="S544">
        <v>2.9077796059291838E-2</v>
      </c>
      <c r="T544">
        <v>2.2665646383373719E-2</v>
      </c>
    </row>
    <row r="545" spans="1:20"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20"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20" x14ac:dyDescent="0.2">
      <c r="A547" s="69">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c r="R547">
        <v>9.403998383337081E-3</v>
      </c>
      <c r="S547">
        <v>3.814993904506303E-2</v>
      </c>
      <c r="T547">
        <v>2.7178855818590929E-2</v>
      </c>
    </row>
    <row r="548" spans="1:20"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20"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20" x14ac:dyDescent="0.2">
      <c r="A550" s="69">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c r="R550">
        <v>7.6285403612729556E-3</v>
      </c>
      <c r="S550">
        <v>3.0865108360243591E-2</v>
      </c>
      <c r="T550">
        <v>3.0153118831413011E-2</v>
      </c>
    </row>
    <row r="551" spans="1:20"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20"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20" x14ac:dyDescent="0.2">
      <c r="A553" s="69">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c r="R553">
        <v>8.339109088382559E-3</v>
      </c>
      <c r="S553">
        <v>3.3776005263053577E-2</v>
      </c>
      <c r="T553">
        <v>3.296152283055629E-2</v>
      </c>
    </row>
    <row r="554" spans="1:20"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20"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20" x14ac:dyDescent="0.2">
      <c r="A556" s="69">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c r="R556">
        <v>4.819525590204151E-3</v>
      </c>
      <c r="S556">
        <v>1.9417917650261129E-2</v>
      </c>
      <c r="T556">
        <v>3.0528859123791111E-2</v>
      </c>
    </row>
    <row r="557" spans="1:20"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20"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20" x14ac:dyDescent="0.2">
      <c r="A559" s="69">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c r="R559">
        <v>2.2314183511113221E-3</v>
      </c>
      <c r="S559">
        <v>8.9555932393461379E-3</v>
      </c>
      <c r="T559">
        <v>2.3206170953918571E-2</v>
      </c>
    </row>
    <row r="560" spans="1:20"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20"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20" x14ac:dyDescent="0.2">
      <c r="A562" s="69">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c r="R562">
        <v>5.9779029009820791E-3</v>
      </c>
      <c r="S562">
        <v>2.4126879308669521E-2</v>
      </c>
      <c r="T562">
        <v>2.1530015140813302E-2</v>
      </c>
    </row>
    <row r="563" spans="1:20"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20"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20" x14ac:dyDescent="0.2">
      <c r="A565" s="69">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c r="R565">
        <v>7.9292440820582337E-3</v>
      </c>
      <c r="S565">
        <v>3.2096211890165323E-2</v>
      </c>
      <c r="T565">
        <v>2.111478835615084E-2</v>
      </c>
    </row>
    <row r="566" spans="1:20"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20"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20" x14ac:dyDescent="0.2">
      <c r="A568" s="69">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c r="R568">
        <v>6.8549879130956641E-3</v>
      </c>
      <c r="S568">
        <v>2.770318750334555E-2</v>
      </c>
      <c r="T568">
        <v>2.3183259983257681E-2</v>
      </c>
    </row>
    <row r="569" spans="1:20"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20"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20" x14ac:dyDescent="0.2">
      <c r="A571" s="69">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c r="R571">
        <v>4.690976182113644E-3</v>
      </c>
      <c r="S571">
        <v>1.8896349662488991E-2</v>
      </c>
      <c r="T571">
        <v>2.5694235346395491E-2</v>
      </c>
    </row>
    <row r="572" spans="1:20"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20"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20" x14ac:dyDescent="0.2">
      <c r="A574" s="69">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c r="R574">
        <v>-1.303582746034216E-2</v>
      </c>
      <c r="S574">
        <v>-5.1132545037274268E-2</v>
      </c>
      <c r="T574">
        <v>6.3078516417420767E-3</v>
      </c>
    </row>
    <row r="575" spans="1:20"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20"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20" x14ac:dyDescent="0.2">
      <c r="A577" s="69">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c r="R577">
        <v>-8.9372505011610218E-2</v>
      </c>
      <c r="S577">
        <v>-0.31235698461085082</v>
      </c>
      <c r="T577">
        <v>-9.0837374242250385E-2</v>
      </c>
    </row>
    <row r="578" spans="1:20"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20"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20" x14ac:dyDescent="0.2">
      <c r="A580" s="69">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c r="R580">
        <v>7.547534636423657E-2</v>
      </c>
      <c r="S580">
        <v>0.33783279300793229</v>
      </c>
      <c r="T580">
        <v>-2.8875059888336659E-2</v>
      </c>
    </row>
    <row r="581" spans="1:20"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20"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20" x14ac:dyDescent="0.2">
      <c r="A583" s="69">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c r="R583">
        <v>1.115276765936578E-2</v>
      </c>
      <c r="S583">
        <v>4.536294038119415E-2</v>
      </c>
      <c r="T583">
        <v>-2.2629152430098401E-2</v>
      </c>
    </row>
    <row r="584" spans="1:20"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20"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20" x14ac:dyDescent="0.2">
      <c r="A586" s="69">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c r="R586">
        <v>1.533889627211066E-2</v>
      </c>
      <c r="S586">
        <v>6.278176672776592E-2</v>
      </c>
      <c r="T586">
        <v>5.4697680328273934E-3</v>
      </c>
    </row>
    <row r="587" spans="1:20"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20"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20" x14ac:dyDescent="0.2">
      <c r="A589" s="69">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c r="R589">
        <v>1.6407465395443108E-2</v>
      </c>
      <c r="S589">
        <v>6.7262831458960726E-2</v>
      </c>
      <c r="T589">
        <v>0.12226677108077</v>
      </c>
    </row>
    <row r="590" spans="1:20"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20"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20" x14ac:dyDescent="0.2">
      <c r="A592" s="69">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c r="R592">
        <v>5.7094811059921454E-3</v>
      </c>
      <c r="S592">
        <v>2.303425900825307E-2</v>
      </c>
      <c r="T592">
        <v>4.9465555692882128E-2</v>
      </c>
    </row>
    <row r="593" spans="1:20"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20"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20" x14ac:dyDescent="0.2">
      <c r="A595" s="69">
        <v>44470</v>
      </c>
      <c r="B595">
        <v>69.7</v>
      </c>
      <c r="C595">
        <v>53.3</v>
      </c>
      <c r="D595">
        <v>67.3</v>
      </c>
      <c r="E595">
        <v>82.9</v>
      </c>
      <c r="F595">
        <v>69.8</v>
      </c>
      <c r="G595">
        <v>37.299999999999997</v>
      </c>
      <c r="H595">
        <v>42.2</v>
      </c>
      <c r="I595">
        <v>75.7</v>
      </c>
      <c r="J595">
        <v>51.6</v>
      </c>
      <c r="K595">
        <v>62.3</v>
      </c>
      <c r="L595">
        <v>66.7</v>
      </c>
      <c r="M595">
        <v>4605.3798828125</v>
      </c>
      <c r="N595">
        <v>19806.29</v>
      </c>
      <c r="O595">
        <v>1.6790943920683761E-2</v>
      </c>
      <c r="P595">
        <v>5.5317363621841711E-2</v>
      </c>
      <c r="Q595">
        <v>6.8874405829691066E-2</v>
      </c>
      <c r="R595">
        <v>1.6807782659928411E-2</v>
      </c>
      <c r="S595">
        <v>6.894521269365228E-2</v>
      </c>
      <c r="T595">
        <v>5.5334840384407918E-2</v>
      </c>
    </row>
    <row r="596" spans="1:20"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20"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row r="598" spans="1:20" x14ac:dyDescent="0.2">
      <c r="A598" s="69">
        <v>44562</v>
      </c>
      <c r="B598">
        <v>61.7</v>
      </c>
      <c r="C598">
        <v>51.1</v>
      </c>
      <c r="D598">
        <v>57.4</v>
      </c>
      <c r="E598">
        <v>82.3</v>
      </c>
      <c r="F598">
        <v>59.9</v>
      </c>
      <c r="G598">
        <v>47.5</v>
      </c>
      <c r="H598">
        <v>49.4</v>
      </c>
      <c r="I598">
        <v>65.7</v>
      </c>
      <c r="J598">
        <v>52.3</v>
      </c>
      <c r="K598">
        <v>45.9</v>
      </c>
      <c r="L598">
        <v>59.9</v>
      </c>
      <c r="M598">
        <v>4515.5498046875</v>
      </c>
      <c r="N598">
        <v>19727.918000000001</v>
      </c>
      <c r="O598">
        <v>1.6790943920683761E-2</v>
      </c>
      <c r="P598">
        <v>5.5317363621841711E-2</v>
      </c>
      <c r="Q598">
        <v>6.8874405829691066E-2</v>
      </c>
      <c r="R598">
        <v>-3.9569247951029389E-3</v>
      </c>
      <c r="S598">
        <v>-1.573400323056107E-2</v>
      </c>
      <c r="T598">
        <v>3.5278923763051057E-2</v>
      </c>
    </row>
    <row r="599" spans="1:20" x14ac:dyDescent="0.2">
      <c r="A599" s="69">
        <v>44593</v>
      </c>
      <c r="B599">
        <v>56.1</v>
      </c>
      <c r="C599">
        <v>51.7</v>
      </c>
      <c r="D599">
        <v>64.2</v>
      </c>
      <c r="E599">
        <v>83.1</v>
      </c>
      <c r="F599">
        <v>55.1</v>
      </c>
      <c r="G599">
        <v>55.3</v>
      </c>
      <c r="H599">
        <v>50.8</v>
      </c>
      <c r="I599">
        <v>66.2</v>
      </c>
      <c r="J599">
        <v>48.5</v>
      </c>
      <c r="K599">
        <v>53</v>
      </c>
      <c r="L599">
        <v>56.5</v>
      </c>
      <c r="M599">
        <v>4373.93994140625</v>
      </c>
      <c r="O599">
        <v>1.6790943920683761E-2</v>
      </c>
      <c r="P599">
        <v>5.5317363621841711E-2</v>
      </c>
      <c r="Q599">
        <v>6.8874405829691066E-2</v>
      </c>
    </row>
    <row r="600" spans="1:20" x14ac:dyDescent="0.2">
      <c r="A600" s="69">
        <v>44621</v>
      </c>
      <c r="B600">
        <v>60.1</v>
      </c>
      <c r="C600">
        <v>45</v>
      </c>
      <c r="D600">
        <v>64.5</v>
      </c>
      <c r="E600">
        <v>83.8</v>
      </c>
      <c r="F600">
        <v>55.5</v>
      </c>
      <c r="G600">
        <v>40.200000000000003</v>
      </c>
      <c r="H600">
        <v>51.7</v>
      </c>
      <c r="I600">
        <v>63.4</v>
      </c>
      <c r="J600">
        <v>54</v>
      </c>
      <c r="K600">
        <v>61</v>
      </c>
      <c r="L600">
        <v>58.3</v>
      </c>
      <c r="M600">
        <v>4530.41015625</v>
      </c>
      <c r="O600">
        <v>1.6790943920683761E-2</v>
      </c>
      <c r="P600">
        <v>5.5317363621841711E-2</v>
      </c>
      <c r="Q600">
        <v>6.8874405829691066E-2</v>
      </c>
    </row>
    <row r="601" spans="1:20" x14ac:dyDescent="0.2">
      <c r="A601" s="69">
        <v>44652</v>
      </c>
      <c r="B601">
        <v>54.6</v>
      </c>
      <c r="C601">
        <v>52.9</v>
      </c>
      <c r="D601">
        <v>59.4</v>
      </c>
      <c r="E601">
        <v>84.6</v>
      </c>
      <c r="F601">
        <v>59.1</v>
      </c>
      <c r="G601">
        <v>46.7</v>
      </c>
      <c r="H601">
        <v>52.3</v>
      </c>
      <c r="I601">
        <v>65.099999999999994</v>
      </c>
      <c r="J601">
        <v>49.5</v>
      </c>
      <c r="K601">
        <v>58.1</v>
      </c>
      <c r="L601">
        <v>57.1</v>
      </c>
      <c r="M601">
        <v>4131.93017578125</v>
      </c>
      <c r="N601">
        <v>19699.465</v>
      </c>
      <c r="O601">
        <v>1.6790943920683761E-2</v>
      </c>
      <c r="P601">
        <v>5.5317363621841711E-2</v>
      </c>
      <c r="Q601">
        <v>6.8874405829691066E-2</v>
      </c>
      <c r="R601">
        <v>-1.442270796137805E-3</v>
      </c>
      <c r="S601">
        <v>-5.7566143104575973E-3</v>
      </c>
      <c r="T601">
        <v>1.7097774663870979E-2</v>
      </c>
    </row>
    <row r="602" spans="1:20" x14ac:dyDescent="0.2">
      <c r="A602" s="69">
        <v>44682</v>
      </c>
      <c r="B602">
        <v>57.6</v>
      </c>
      <c r="C602">
        <v>52.8</v>
      </c>
      <c r="D602">
        <v>52</v>
      </c>
      <c r="E602">
        <v>82.1</v>
      </c>
      <c r="F602">
        <v>54.5</v>
      </c>
      <c r="G602">
        <v>44.5</v>
      </c>
      <c r="H602">
        <v>51</v>
      </c>
      <c r="I602">
        <v>61.3</v>
      </c>
      <c r="J602">
        <v>50.2</v>
      </c>
      <c r="K602">
        <v>60.9</v>
      </c>
      <c r="L602">
        <v>55.9</v>
      </c>
      <c r="M602">
        <v>4132.14990234375</v>
      </c>
      <c r="O602">
        <v>1.6790943920683761E-2</v>
      </c>
      <c r="P602">
        <v>5.5317363621841711E-2</v>
      </c>
      <c r="Q602">
        <v>6.8874405829691066E-2</v>
      </c>
    </row>
    <row r="603" spans="1:20" x14ac:dyDescent="0.2">
      <c r="A603" s="69">
        <v>44713</v>
      </c>
      <c r="B603">
        <v>55.6</v>
      </c>
      <c r="C603">
        <v>46.3</v>
      </c>
      <c r="D603">
        <v>60.5</v>
      </c>
      <c r="E603">
        <v>80.099999999999994</v>
      </c>
      <c r="F603">
        <v>56.1</v>
      </c>
      <c r="G603">
        <v>46.2</v>
      </c>
      <c r="H603">
        <v>47.5</v>
      </c>
      <c r="I603">
        <v>61.9</v>
      </c>
      <c r="J603">
        <v>47.4</v>
      </c>
      <c r="K603">
        <v>57.5</v>
      </c>
      <c r="L603">
        <v>55.3</v>
      </c>
      <c r="M603">
        <v>3785.3798828125</v>
      </c>
      <c r="O603">
        <v>1.6790943920683761E-2</v>
      </c>
      <c r="P603">
        <v>5.5317363621841711E-2</v>
      </c>
      <c r="Q603">
        <v>6.8874405829691066E-2</v>
      </c>
    </row>
    <row r="604" spans="1:20" x14ac:dyDescent="0.2">
      <c r="A604" s="69">
        <v>44743</v>
      </c>
      <c r="B604">
        <v>59.9</v>
      </c>
      <c r="C604">
        <v>48</v>
      </c>
      <c r="D604">
        <v>58.3</v>
      </c>
      <c r="E604">
        <v>72.3</v>
      </c>
      <c r="F604">
        <v>59.9</v>
      </c>
      <c r="G604">
        <v>50.1</v>
      </c>
      <c r="H604">
        <v>45</v>
      </c>
      <c r="I604">
        <v>57.8</v>
      </c>
      <c r="J604">
        <v>49.1</v>
      </c>
      <c r="K604">
        <v>59.5</v>
      </c>
      <c r="L604">
        <v>56.7</v>
      </c>
      <c r="M604">
        <v>4130.2900390625</v>
      </c>
      <c r="O604">
        <v>1.6790943920683761E-2</v>
      </c>
      <c r="P604">
        <v>5.5317363621841711E-2</v>
      </c>
      <c r="Q604">
        <v>6.8874405829691066E-2</v>
      </c>
    </row>
    <row r="605" spans="1:20" x14ac:dyDescent="0.2">
      <c r="A605" s="69">
        <v>44774</v>
      </c>
      <c r="B605">
        <v>61.8</v>
      </c>
      <c r="C605">
        <v>48.2</v>
      </c>
      <c r="D605">
        <v>53.9</v>
      </c>
      <c r="E605">
        <v>71.5</v>
      </c>
      <c r="F605">
        <v>60.9</v>
      </c>
      <c r="G605">
        <v>47.1</v>
      </c>
      <c r="H605">
        <v>46.2</v>
      </c>
      <c r="I605">
        <v>54.5</v>
      </c>
      <c r="J605">
        <v>50.2</v>
      </c>
      <c r="K605">
        <v>61.9</v>
      </c>
      <c r="L605">
        <v>56.9</v>
      </c>
      <c r="M605">
        <v>3955</v>
      </c>
      <c r="O605">
        <v>1.6790943920683761E-2</v>
      </c>
      <c r="P605">
        <v>5.5317363621841711E-2</v>
      </c>
      <c r="Q605">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topLeftCell="A5" zoomScale="90" zoomScaleNormal="90" workbookViewId="0">
      <selection activeCell="AA41" sqref="AA41"/>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38" width="9.1640625" style="66" customWidth="1"/>
    <col min="39" max="16384" width="9.1640625" style="66"/>
  </cols>
  <sheetData>
    <row r="1" spans="1:26" x14ac:dyDescent="0.2">
      <c r="B1" s="14" t="s">
        <v>69</v>
      </c>
      <c r="J1" s="66" t="s">
        <v>70</v>
      </c>
      <c r="L1" s="43">
        <v>44743</v>
      </c>
      <c r="O1" s="6"/>
    </row>
    <row r="2" spans="1:26" x14ac:dyDescent="0.2">
      <c r="L2" s="14">
        <v>31</v>
      </c>
      <c r="Y2" s="7"/>
    </row>
    <row r="4" spans="1:26" x14ac:dyDescent="0.2">
      <c r="U4" s="7">
        <f t="shared" ref="U4:U10" si="0">DATE(YEAR(U5),MONTH(U5)-1,DAY(U5))</f>
        <v>44531</v>
      </c>
      <c r="V4" s="1">
        <f t="shared" ref="V4:V10" si="1">V5-1</f>
        <v>25</v>
      </c>
    </row>
    <row r="5" spans="1:26" ht="90"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44562</v>
      </c>
      <c r="V5" s="1">
        <f t="shared" si="1"/>
        <v>26</v>
      </c>
      <c r="Y5" s="66" t="s">
        <v>71</v>
      </c>
      <c r="Z5" s="66" t="s">
        <v>72</v>
      </c>
    </row>
    <row r="6" spans="1:26" x14ac:dyDescent="0.2">
      <c r="A6" s="8">
        <f>DATE(YEAR(A7),MONTH(A7)-1,DAY(A7))</f>
        <v>44593</v>
      </c>
      <c r="B6" s="38">
        <f>VLOOKUP($B$5,'Sectors Trend'!$B$6:$AL$23,VLOOKUP(A6,$U:$V,2,),)</f>
        <v>1</v>
      </c>
      <c r="C6" s="38">
        <f>VLOOKUP($C$5,'Sectors Trend'!$B$6:$AL$23,VLOOKUP(A6,$U:$V,2,),)</f>
        <v>14</v>
      </c>
      <c r="D6" s="38">
        <f>VLOOKUP($D$5,'Sectors Trend'!$B$6:$AL$23,VLOOKUP(A6,$U:$V,2,),)</f>
        <v>11</v>
      </c>
      <c r="E6" s="38">
        <f>VLOOKUP($E$5,'Sectors Trend'!$B$6:$AL$23,VLOOKUP(A6,$U:$V,2,),)</f>
        <v>5</v>
      </c>
      <c r="F6" s="38">
        <f>VLOOKUP($F$5,'Sectors Trend'!$B$6:$AL$23,VLOOKUP(A6,$U:$V,2,),)</f>
        <v>3</v>
      </c>
      <c r="G6" s="38">
        <f>VLOOKUP($G$5,'Sectors Trend'!$B$6:$AL$23,VLOOKUP(A6,$U:$V,2,),)</f>
        <v>2</v>
      </c>
      <c r="H6" s="38">
        <f>VLOOKUP($H$5,'Sectors Trend'!$B$6:$AL$23,VLOOKUP(A6,$U:$V,2,),)</f>
        <v>7</v>
      </c>
      <c r="I6" s="38">
        <f>VLOOKUP($I$5,'Sectors Trend'!$B$6:$AL$23,VLOOKUP(A6,$U:$V,2,),)</f>
        <v>6</v>
      </c>
      <c r="J6" s="38">
        <f>VLOOKUP($J$5,'Sectors Trend'!$B$6:$AL$23,VLOOKUP(A6,$U:$V,2,),)</f>
        <v>9</v>
      </c>
      <c r="K6" s="38">
        <f>VLOOKUP($K$5,'Sectors Trend'!$B$6:$AL$23,VLOOKUP(A6,$U:$V,2,),)</f>
        <v>10</v>
      </c>
      <c r="L6" s="38">
        <f>VLOOKUP($L$5,'Sectors Trend'!$B$6:$AL$23,VLOOKUP(A6,$U:$V,2,),)</f>
        <v>18</v>
      </c>
      <c r="M6" s="38">
        <f>VLOOKUP($M$5,'Sectors Trend'!$B$6:$AL$23,VLOOKUP(A6,$U:$V,2,),)</f>
        <v>17</v>
      </c>
      <c r="N6" s="38">
        <f>VLOOKUP($N$5,'Sectors Trend'!$B$6:$AL$23,VLOOKUP(A6,$U:$V,2,),)</f>
        <v>13</v>
      </c>
      <c r="O6" s="38">
        <f>VLOOKUP($O$5,'Sectors Trend'!$B$6:$AL$23,VLOOKUP(A6,$U:$V,2,),)</f>
        <v>4</v>
      </c>
      <c r="P6" s="38">
        <f>VLOOKUP($P$5,'Sectors Trend'!$B$6:$AL$23,VLOOKUP(A6,$U:$V,2,),)</f>
        <v>12</v>
      </c>
      <c r="Q6" s="38">
        <f>VLOOKUP($Q$5,'Sectors Trend'!$B$6:$AL$23,VLOOKUP(A6,$U:$V,2,),)</f>
        <v>8</v>
      </c>
      <c r="R6" s="38">
        <f>VLOOKUP($R$5,'Sectors Trend'!$B$6:$AL$23,VLOOKUP(A6,$U:$V,2,),)</f>
        <v>15</v>
      </c>
      <c r="S6" s="39">
        <f>VLOOKUP($S$5,'Sectors Trend'!$B$6:$AL$23,VLOOKUP(A6,$U:$V,2,),)</f>
        <v>16</v>
      </c>
      <c r="U6" s="7">
        <f t="shared" si="0"/>
        <v>44593</v>
      </c>
      <c r="V6" s="1">
        <f t="shared" si="1"/>
        <v>27</v>
      </c>
      <c r="Y6" s="66">
        <f t="shared" ref="Y6:Y11" si="2">MIN(B6:S6)</f>
        <v>1</v>
      </c>
      <c r="Z6" s="66">
        <f t="shared" ref="Z6:Z11" si="3">MAX(B6:S6)</f>
        <v>18</v>
      </c>
    </row>
    <row r="7" spans="1:26" x14ac:dyDescent="0.2">
      <c r="A7" s="8">
        <f>DATE(YEAR(A8),MONTH(A8)-1,DAY(A8))</f>
        <v>44621</v>
      </c>
      <c r="B7" s="5">
        <f>VLOOKUP($B$5,'Sectors Trend'!$B$6:$AL$23,VLOOKUP(A7,$U:$V,2,),)</f>
        <v>5</v>
      </c>
      <c r="C7" s="5">
        <f>VLOOKUP($C$5,'Sectors Trend'!$B$6:$AL$23,VLOOKUP(A7,$U:$V,2,),)</f>
        <v>14</v>
      </c>
      <c r="D7" s="5">
        <f>VLOOKUP($D$5,'Sectors Trend'!$B$6:$AL$23,VLOOKUP(A7,$U:$V,2,),)</f>
        <v>9</v>
      </c>
      <c r="E7" s="5">
        <f>VLOOKUP($E$5,'Sectors Trend'!$B$6:$AL$23,VLOOKUP(A7,$U:$V,2,),)</f>
        <v>6</v>
      </c>
      <c r="F7" s="5">
        <f>VLOOKUP($F$5,'Sectors Trend'!$B$6:$AL$23,VLOOKUP(A7,$U:$V,2,),)</f>
        <v>2</v>
      </c>
      <c r="G7" s="5">
        <f>VLOOKUP($G$5,'Sectors Trend'!$B$6:$AL$23,VLOOKUP(A7,$U:$V,2,),)</f>
        <v>3</v>
      </c>
      <c r="H7" s="5">
        <f>VLOOKUP($H$5,'Sectors Trend'!$B$6:$AL$23,VLOOKUP(A7,$U:$V,2,),)</f>
        <v>1</v>
      </c>
      <c r="I7" s="5">
        <f>VLOOKUP($I$5,'Sectors Trend'!$B$6:$AL$23,VLOOKUP(A7,$U:$V,2,),)</f>
        <v>12</v>
      </c>
      <c r="J7" s="5">
        <f>VLOOKUP($J$5,'Sectors Trend'!$B$6:$AL$23,VLOOKUP(A7,$U:$V,2,),)</f>
        <v>15</v>
      </c>
      <c r="K7" s="5">
        <f>VLOOKUP($K$5,'Sectors Trend'!$B$6:$AL$23,VLOOKUP(A7,$U:$V,2,),)</f>
        <v>16</v>
      </c>
      <c r="L7" s="5">
        <f>VLOOKUP($L$5,'Sectors Trend'!$B$6:$AL$23,VLOOKUP(A7,$U:$V,2,),)</f>
        <v>18</v>
      </c>
      <c r="M7" s="5">
        <f>VLOOKUP($M$5,'Sectors Trend'!$B$6:$AL$23,VLOOKUP(A7,$U:$V,2,),)</f>
        <v>10</v>
      </c>
      <c r="N7" s="5">
        <f>VLOOKUP($N$5,'Sectors Trend'!$B$6:$AL$23,VLOOKUP(A7,$U:$V,2,),)</f>
        <v>7</v>
      </c>
      <c r="O7" s="5">
        <f>VLOOKUP($O$5,'Sectors Trend'!$B$6:$AL$23,VLOOKUP(A7,$U:$V,2,),)</f>
        <v>4</v>
      </c>
      <c r="P7" s="5">
        <f>VLOOKUP($P$5,'Sectors Trend'!$B$6:$AL$23,VLOOKUP(A7,$U:$V,2,),)</f>
        <v>13</v>
      </c>
      <c r="Q7" s="5">
        <f>VLOOKUP($Q$5,'Sectors Trend'!$B$6:$AL$23,VLOOKUP(A7,$U:$V,2,),)</f>
        <v>11</v>
      </c>
      <c r="R7" s="5">
        <f>VLOOKUP($R$5,'Sectors Trend'!$B$6:$AL$23,VLOOKUP(A7,$U:$V,2,),)</f>
        <v>8</v>
      </c>
      <c r="S7" s="40">
        <f>VLOOKUP($S$5,'Sectors Trend'!$B$6:$AL$23,VLOOKUP(A7,$U:$V,2,),)</f>
        <v>17</v>
      </c>
      <c r="U7" s="7">
        <f t="shared" si="0"/>
        <v>44621</v>
      </c>
      <c r="V7" s="1">
        <f t="shared" si="1"/>
        <v>28</v>
      </c>
      <c r="Y7" s="66">
        <f t="shared" si="2"/>
        <v>1</v>
      </c>
      <c r="Z7" s="66">
        <f t="shared" si="3"/>
        <v>18</v>
      </c>
    </row>
    <row r="8" spans="1:26" x14ac:dyDescent="0.2">
      <c r="A8" s="8">
        <f>DATE(YEAR(A9),MONTH(A9)-1,DAY(A9))</f>
        <v>44652</v>
      </c>
      <c r="B8" s="5">
        <f>VLOOKUP($B$5,'Sectors Trend'!$B$6:$AL$23,VLOOKUP(A8,$U:$V,2,),)</f>
        <v>3</v>
      </c>
      <c r="C8" s="5">
        <f>VLOOKUP($C$5,'Sectors Trend'!$B$6:$AL$23,VLOOKUP(A8,$U:$V,2,),)</f>
        <v>8</v>
      </c>
      <c r="D8" s="5">
        <f>VLOOKUP($D$5,'Sectors Trend'!$B$6:$AL$23,VLOOKUP(A8,$U:$V,2,),)</f>
        <v>18</v>
      </c>
      <c r="E8" s="5">
        <f>VLOOKUP($E$5,'Sectors Trend'!$B$6:$AL$23,VLOOKUP(A8,$U:$V,2,),)</f>
        <v>2</v>
      </c>
      <c r="F8" s="5">
        <f>VLOOKUP($F$5,'Sectors Trend'!$B$6:$AL$23,VLOOKUP(A8,$U:$V,2,),)</f>
        <v>4</v>
      </c>
      <c r="G8" s="5">
        <f>VLOOKUP($G$5,'Sectors Trend'!$B$6:$AL$23,VLOOKUP(A8,$U:$V,2,),)</f>
        <v>13</v>
      </c>
      <c r="H8" s="5">
        <f>VLOOKUP($H$5,'Sectors Trend'!$B$6:$AL$23,VLOOKUP(A8,$U:$V,2,),)</f>
        <v>10</v>
      </c>
      <c r="I8" s="5">
        <f>VLOOKUP($I$5,'Sectors Trend'!$B$6:$AL$23,VLOOKUP(A8,$U:$V,2,),)</f>
        <v>16</v>
      </c>
      <c r="J8" s="5">
        <f>VLOOKUP($J$5,'Sectors Trend'!$B$6:$AL$23,VLOOKUP(A8,$U:$V,2,),)</f>
        <v>6</v>
      </c>
      <c r="K8" s="5">
        <f>VLOOKUP($K$5,'Sectors Trend'!$B$6:$AL$23,VLOOKUP(A8,$U:$V,2,),)</f>
        <v>17</v>
      </c>
      <c r="L8" s="5">
        <f>VLOOKUP($L$5,'Sectors Trend'!$B$6:$AL$23,VLOOKUP(A8,$U:$V,2,),)</f>
        <v>14</v>
      </c>
      <c r="M8" s="5">
        <f>VLOOKUP($M$5,'Sectors Trend'!$B$6:$AL$23,VLOOKUP(A8,$U:$V,2,),)</f>
        <v>15</v>
      </c>
      <c r="N8" s="5">
        <f>VLOOKUP($N$5,'Sectors Trend'!$B$6:$AL$23,VLOOKUP(A8,$U:$V,2,),)</f>
        <v>9</v>
      </c>
      <c r="O8" s="5">
        <f>VLOOKUP($O$5,'Sectors Trend'!$B$6:$AL$23,VLOOKUP(A8,$U:$V,2,),)</f>
        <v>5</v>
      </c>
      <c r="P8" s="5">
        <f>VLOOKUP($P$5,'Sectors Trend'!$B$6:$AL$23,VLOOKUP(A8,$U:$V,2,),)</f>
        <v>1</v>
      </c>
      <c r="Q8" s="5">
        <f>VLOOKUP($Q$5,'Sectors Trend'!$B$6:$AL$23,VLOOKUP(A8,$U:$V,2,),)</f>
        <v>7</v>
      </c>
      <c r="R8" s="5">
        <f>VLOOKUP($R$5,'Sectors Trend'!$B$6:$AL$23,VLOOKUP(A8,$U:$V,2,),)</f>
        <v>11</v>
      </c>
      <c r="S8" s="40">
        <f>VLOOKUP($S$5,'Sectors Trend'!$B$6:$AL$23,VLOOKUP(A8,$U:$V,2,),)</f>
        <v>12</v>
      </c>
      <c r="U8" s="7">
        <f t="shared" si="0"/>
        <v>44652</v>
      </c>
      <c r="V8" s="1">
        <f t="shared" si="1"/>
        <v>29</v>
      </c>
      <c r="Y8" s="66">
        <f t="shared" si="2"/>
        <v>1</v>
      </c>
      <c r="Z8" s="66">
        <f t="shared" si="3"/>
        <v>18</v>
      </c>
    </row>
    <row r="9" spans="1:26" x14ac:dyDescent="0.2">
      <c r="A9" s="8">
        <f>DATE(YEAR(A10),MONTH(A10)-1,DAY(A10))</f>
        <v>44682</v>
      </c>
      <c r="B9" s="5">
        <f>VLOOKUP($B$5,'Sectors Trend'!$B$6:$AL$23,VLOOKUP(A9,$U:$V,2,),)</f>
        <v>6</v>
      </c>
      <c r="C9" s="5">
        <f>VLOOKUP($C$5,'Sectors Trend'!$B$6:$AL$23,VLOOKUP(A9,$U:$V,2,),)</f>
        <v>2</v>
      </c>
      <c r="D9" s="5">
        <f>VLOOKUP($D$5,'Sectors Trend'!$B$6:$AL$23,VLOOKUP(A9,$U:$V,2,),)</f>
        <v>18</v>
      </c>
      <c r="E9" s="5">
        <f>VLOOKUP($E$5,'Sectors Trend'!$B$6:$AL$23,VLOOKUP(A9,$U:$V,2,),)</f>
        <v>10</v>
      </c>
      <c r="F9" s="5">
        <f>VLOOKUP($F$5,'Sectors Trend'!$B$6:$AL$23,VLOOKUP(A9,$U:$V,2,),)</f>
        <v>3</v>
      </c>
      <c r="G9" s="5">
        <f>VLOOKUP($G$5,'Sectors Trend'!$B$6:$AL$23,VLOOKUP(A9,$U:$V,2,),)</f>
        <v>14</v>
      </c>
      <c r="H9" s="5">
        <f>VLOOKUP($H$5,'Sectors Trend'!$B$6:$AL$23,VLOOKUP(A9,$U:$V,2,),)</f>
        <v>7</v>
      </c>
      <c r="I9" s="5">
        <f>VLOOKUP($I$5,'Sectors Trend'!$B$6:$AL$23,VLOOKUP(A9,$U:$V,2,),)</f>
        <v>12</v>
      </c>
      <c r="J9" s="5">
        <f>VLOOKUP($J$5,'Sectors Trend'!$B$6:$AL$23,VLOOKUP(A9,$U:$V,2,),)</f>
        <v>13</v>
      </c>
      <c r="K9" s="5">
        <f>VLOOKUP($K$5,'Sectors Trend'!$B$6:$AL$23,VLOOKUP(A9,$U:$V,2,),)</f>
        <v>17</v>
      </c>
      <c r="L9" s="5">
        <f>VLOOKUP($L$5,'Sectors Trend'!$B$6:$AL$23,VLOOKUP(A9,$U:$V,2,),)</f>
        <v>16</v>
      </c>
      <c r="M9" s="5">
        <f>VLOOKUP($M$5,'Sectors Trend'!$B$6:$AL$23,VLOOKUP(A9,$U:$V,2,),)</f>
        <v>11</v>
      </c>
      <c r="N9" s="5">
        <f>VLOOKUP($N$5,'Sectors Trend'!$B$6:$AL$23,VLOOKUP(A9,$U:$V,2,),)</f>
        <v>9</v>
      </c>
      <c r="O9" s="5">
        <f>VLOOKUP($O$5,'Sectors Trend'!$B$6:$AL$23,VLOOKUP(A9,$U:$V,2,),)</f>
        <v>4</v>
      </c>
      <c r="P9" s="5">
        <f>VLOOKUP($P$5,'Sectors Trend'!$B$6:$AL$23,VLOOKUP(A9,$U:$V,2,),)</f>
        <v>1</v>
      </c>
      <c r="Q9" s="5">
        <f>VLOOKUP($Q$5,'Sectors Trend'!$B$6:$AL$23,VLOOKUP(A9,$U:$V,2,),)</f>
        <v>5</v>
      </c>
      <c r="R9" s="5">
        <f>VLOOKUP($R$5,'Sectors Trend'!$B$6:$AL$23,VLOOKUP(A9,$U:$V,2,),)</f>
        <v>8</v>
      </c>
      <c r="S9" s="40">
        <f>VLOOKUP($S$5,'Sectors Trend'!$B$6:$AL$23,VLOOKUP(A9,$U:$V,2,),)</f>
        <v>15</v>
      </c>
      <c r="U9" s="7">
        <f t="shared" si="0"/>
        <v>44682</v>
      </c>
      <c r="V9" s="1">
        <f t="shared" si="1"/>
        <v>30</v>
      </c>
      <c r="Y9" s="66">
        <f t="shared" si="2"/>
        <v>1</v>
      </c>
      <c r="Z9" s="66">
        <f t="shared" si="3"/>
        <v>18</v>
      </c>
    </row>
    <row r="10" spans="1:26" x14ac:dyDescent="0.2">
      <c r="A10" s="8">
        <f>DATE(YEAR(A11),MONTH(A11)-1,DAY(A11))</f>
        <v>44713</v>
      </c>
      <c r="B10" s="5">
        <f>VLOOKUP($B$5,'Sectors Trend'!$B$6:$AL$23,VLOOKUP(A10,$U:$V,2,),)</f>
        <v>14</v>
      </c>
      <c r="C10" s="5">
        <f>VLOOKUP($C$5,'Sectors Trend'!$B$6:$AL$23,VLOOKUP(A10,$U:$V,2,),)</f>
        <v>5</v>
      </c>
      <c r="D10" s="5">
        <f>VLOOKUP($D$5,'Sectors Trend'!$B$6:$AL$23,VLOOKUP(A10,$U:$V,2,),)</f>
        <v>18</v>
      </c>
      <c r="E10" s="5">
        <f>VLOOKUP($E$5,'Sectors Trend'!$B$6:$AL$23,VLOOKUP(A10,$U:$V,2,),)</f>
        <v>2</v>
      </c>
      <c r="F10" s="5">
        <f>VLOOKUP($F$5,'Sectors Trend'!$B$6:$AL$23,VLOOKUP(A10,$U:$V,2,),)</f>
        <v>4</v>
      </c>
      <c r="G10" s="5">
        <f>VLOOKUP($G$5,'Sectors Trend'!$B$6:$AL$23,VLOOKUP(A10,$U:$V,2,),)</f>
        <v>13</v>
      </c>
      <c r="H10" s="5">
        <f>VLOOKUP($H$5,'Sectors Trend'!$B$6:$AL$23,VLOOKUP(A10,$U:$V,2,),)</f>
        <v>7</v>
      </c>
      <c r="I10" s="5">
        <f>VLOOKUP($I$5,'Sectors Trend'!$B$6:$AL$23,VLOOKUP(A10,$U:$V,2,),)</f>
        <v>8</v>
      </c>
      <c r="J10" s="5">
        <f>VLOOKUP($J$5,'Sectors Trend'!$B$6:$AL$23,VLOOKUP(A10,$U:$V,2,),)</f>
        <v>16</v>
      </c>
      <c r="K10" s="5">
        <f>VLOOKUP($K$5,'Sectors Trend'!$B$6:$AL$23,VLOOKUP(A10,$U:$V,2,),)</f>
        <v>17</v>
      </c>
      <c r="L10" s="5">
        <f>VLOOKUP($L$5,'Sectors Trend'!$B$6:$AL$23,VLOOKUP(A10,$U:$V,2,),)</f>
        <v>6</v>
      </c>
      <c r="M10" s="5">
        <f>VLOOKUP($M$5,'Sectors Trend'!$B$6:$AL$23,VLOOKUP(A10,$U:$V,2,),)</f>
        <v>11</v>
      </c>
      <c r="N10" s="5">
        <f>VLOOKUP($N$5,'Sectors Trend'!$B$6:$AL$23,VLOOKUP(A10,$U:$V,2,),)</f>
        <v>15</v>
      </c>
      <c r="O10" s="5">
        <f>VLOOKUP($O$5,'Sectors Trend'!$B$6:$AL$23,VLOOKUP(A10,$U:$V,2,),)</f>
        <v>9</v>
      </c>
      <c r="P10" s="5">
        <f>VLOOKUP($P$5,'Sectors Trend'!$B$6:$AL$23,VLOOKUP(A10,$U:$V,2,),)</f>
        <v>1</v>
      </c>
      <c r="Q10" s="5">
        <f>VLOOKUP($Q$5,'Sectors Trend'!$B$6:$AL$23,VLOOKUP(A10,$U:$V,2,),)</f>
        <v>10</v>
      </c>
      <c r="R10" s="5">
        <f>VLOOKUP($R$5,'Sectors Trend'!$B$6:$AL$23,VLOOKUP(A10,$U:$V,2,),)</f>
        <v>12</v>
      </c>
      <c r="S10" s="40">
        <f>VLOOKUP($S$5,'Sectors Trend'!$B$6:$AL$23,VLOOKUP(A10,$U:$V,2,),)</f>
        <v>3</v>
      </c>
      <c r="U10" s="7">
        <f t="shared" si="0"/>
        <v>44713</v>
      </c>
      <c r="V10" s="1">
        <f t="shared" si="1"/>
        <v>31</v>
      </c>
      <c r="Y10" s="66">
        <f t="shared" si="2"/>
        <v>1</v>
      </c>
      <c r="Z10" s="66">
        <f t="shared" si="3"/>
        <v>18</v>
      </c>
    </row>
    <row r="11" spans="1:26" ht="16" customHeight="1" thickBot="1" x14ac:dyDescent="0.25">
      <c r="A11" s="8">
        <f>L1</f>
        <v>44743</v>
      </c>
      <c r="B11" s="41">
        <f>VLOOKUP($B$5,'Sectors Trend'!$B$6:$AL$23,VLOOKUP(A11,$U:$V,2,),)</f>
        <v>0</v>
      </c>
      <c r="C11" s="41">
        <f>VLOOKUP($C$5,'Sectors Trend'!$B$6:$AL$23,VLOOKUP(A11,$U:$V,2,),)</f>
        <v>2</v>
      </c>
      <c r="D11" s="41">
        <f>VLOOKUP($D$5,'Sectors Trend'!$B$6:$AL$23,VLOOKUP(A11,$U:$V,2,),)</f>
        <v>0</v>
      </c>
      <c r="E11" s="41">
        <f>VLOOKUP($E$5,'Sectors Trend'!$B$6:$AL$23,VLOOKUP(A11,$U:$V,2,),)</f>
        <v>3</v>
      </c>
      <c r="F11" s="41">
        <f>VLOOKUP($F$5,'Sectors Trend'!$B$6:$AL$23,VLOOKUP(A11,$U:$V,2,),)</f>
        <v>4</v>
      </c>
      <c r="G11" s="41">
        <f>VLOOKUP($G$5,'Sectors Trend'!$B$6:$AL$23,VLOOKUP(A11,$U:$V,2,),)</f>
        <v>13</v>
      </c>
      <c r="H11" s="41">
        <f>VLOOKUP($H$5,'Sectors Trend'!$B$6:$AL$23,VLOOKUP(A11,$U:$V,2,),)</f>
        <v>10</v>
      </c>
      <c r="I11" s="41">
        <f>VLOOKUP($I$5,'Sectors Trend'!$B$6:$AL$23,VLOOKUP(A11,$U:$V,2,),)</f>
        <v>7</v>
      </c>
      <c r="J11" s="41">
        <f>VLOOKUP($J$5,'Sectors Trend'!$B$6:$AL$23,VLOOKUP(A11,$U:$V,2,),)</f>
        <v>6</v>
      </c>
      <c r="K11" s="41">
        <f>VLOOKUP($K$5,'Sectors Trend'!$B$6:$AL$23,VLOOKUP(A11,$U:$V,2,),)</f>
        <v>16</v>
      </c>
      <c r="L11" s="41">
        <f>VLOOKUP($L$5,'Sectors Trend'!$B$6:$AL$23,VLOOKUP(A11,$U:$V,2,),)</f>
        <v>5</v>
      </c>
      <c r="M11" s="41">
        <f>VLOOKUP($M$5,'Sectors Trend'!$B$6:$AL$23,VLOOKUP(A11,$U:$V,2,),)</f>
        <v>1</v>
      </c>
      <c r="N11" s="41">
        <f>VLOOKUP($N$5,'Sectors Trend'!$B$6:$AL$23,VLOOKUP(A11,$U:$V,2,),)</f>
        <v>15</v>
      </c>
      <c r="O11" s="41">
        <f>VLOOKUP($O$5,'Sectors Trend'!$B$6:$AL$23,VLOOKUP(A11,$U:$V,2,),)</f>
        <v>8</v>
      </c>
      <c r="P11" s="41">
        <f>VLOOKUP($P$5,'Sectors Trend'!$B$6:$AL$23,VLOOKUP(A11,$U:$V,2,),)</f>
        <v>12</v>
      </c>
      <c r="Q11" s="41">
        <f>VLOOKUP($Q$5,'Sectors Trend'!$B$6:$AL$23,VLOOKUP(A11,$U:$V,2,),)</f>
        <v>14</v>
      </c>
      <c r="R11" s="41">
        <f>VLOOKUP($R$5,'Sectors Trend'!$B$6:$AL$23,VLOOKUP(A11,$U:$V,2,),)</f>
        <v>11</v>
      </c>
      <c r="S11" s="42">
        <f>VLOOKUP($S$5,'Sectors Trend'!$B$6:$AL$23,VLOOKUP(A11,$U:$V,2,),)</f>
        <v>9</v>
      </c>
      <c r="U11" s="7">
        <f>L1</f>
        <v>44743</v>
      </c>
      <c r="V11" s="1">
        <f>L2+1</f>
        <v>32</v>
      </c>
      <c r="Y11" s="66">
        <f t="shared" si="2"/>
        <v>0</v>
      </c>
      <c r="Z11" s="66">
        <f t="shared" si="3"/>
        <v>16</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C362" sqref="C362"/>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38" width="9.1640625" style="66" customWidth="1"/>
    <col min="39" max="16384" width="9.1640625" style="66"/>
  </cols>
  <sheetData>
    <row r="1" spans="1:26" x14ac:dyDescent="0.2">
      <c r="J1" s="66" t="s">
        <v>70</v>
      </c>
      <c r="L1" s="7">
        <f>Sectors!L1</f>
        <v>44743</v>
      </c>
      <c r="O1" s="6"/>
    </row>
    <row r="2" spans="1:26" x14ac:dyDescent="0.2">
      <c r="L2" s="66">
        <f>Sectors!L2</f>
        <v>31</v>
      </c>
      <c r="Y2" s="7"/>
    </row>
    <row r="4" spans="1:26" x14ac:dyDescent="0.2">
      <c r="U4" s="7">
        <f t="shared" ref="U4:U10" si="0">DATE(YEAR(U5),MONTH(U5)-1,DAY(U5))</f>
        <v>44531</v>
      </c>
      <c r="V4" s="1">
        <f t="shared" ref="V4:V10" si="1">V5-1</f>
        <v>25</v>
      </c>
    </row>
    <row r="5" spans="1:26" ht="89.2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44562</v>
      </c>
      <c r="V5" s="1">
        <f t="shared" si="1"/>
        <v>26</v>
      </c>
      <c r="Y5" s="66" t="s">
        <v>71</v>
      </c>
      <c r="Z5" s="66" t="s">
        <v>72</v>
      </c>
    </row>
    <row r="6" spans="1:26" x14ac:dyDescent="0.2">
      <c r="A6" s="8">
        <f>DATE(YEAR(A7),MONTH(A7)-1,DAY(A7))</f>
        <v>44593</v>
      </c>
      <c r="B6" s="38">
        <f>VLOOKUP($B$5,'Sectors Trend'!$B$28:$AL$45,VLOOKUP(A6,$U:$V,2,),)</f>
        <v>2</v>
      </c>
      <c r="C6" s="38">
        <f>VLOOKUP($C$5,'Sectors Trend'!$B$28:$AL$45,VLOOKUP(A6,$U:$V,2,),)</f>
        <v>5</v>
      </c>
      <c r="D6" s="38">
        <f>VLOOKUP($D$5,'Sectors Trend'!$B$28:$AL$45,VLOOKUP(A6,$U:$V,2,),)</f>
        <v>-3</v>
      </c>
      <c r="E6" s="38">
        <f>VLOOKUP($E$5,'Sectors Trend'!$B$28:$AL$45,VLOOKUP(A6,$U:$V,2,),)</f>
        <v>3</v>
      </c>
      <c r="F6" s="38">
        <f>VLOOKUP($F$5,'Sectors Trend'!$B$28:$AL$45,VLOOKUP(A6,$U:$V,2,),)</f>
        <v>1</v>
      </c>
      <c r="G6" s="38">
        <f>VLOOKUP($G$5,'Sectors Trend'!$B$28:$AL$45,VLOOKUP(A6,$U:$V,2,),)</f>
        <v>-1</v>
      </c>
      <c r="H6" s="38">
        <f>VLOOKUP($H$5,'Sectors Trend'!$B$28:$AL$45,VLOOKUP(A6,$U:$V,2,),)</f>
        <v>8</v>
      </c>
      <c r="I6" s="38">
        <f>VLOOKUP($I$5,'Sectors Trend'!$B$28:$AL$45,VLOOKUP(A6,$U:$V,2,),)</f>
        <v>-4</v>
      </c>
      <c r="J6" s="38">
        <f>VLOOKUP($J$5,'Sectors Trend'!$B$28:$AL$45,VLOOKUP(A6,$U:$V,2,),)</f>
        <v>11</v>
      </c>
      <c r="K6" s="38">
        <f>VLOOKUP($K$5,'Sectors Trend'!$B$28:$AL$45,VLOOKUP(A6,$U:$V,2,),)</f>
        <v>10</v>
      </c>
      <c r="L6" s="38">
        <f>VLOOKUP($L$5,'Sectors Trend'!$B$28:$AL$45,VLOOKUP(A6,$U:$V,2,),)</f>
        <v>7</v>
      </c>
      <c r="M6" s="38">
        <f>VLOOKUP($M$5,'Sectors Trend'!$B$28:$AL$45,VLOOKUP(A6,$U:$V,2,),)</f>
        <v>9</v>
      </c>
      <c r="N6" s="38">
        <f>VLOOKUP($N$5,'Sectors Trend'!$B$28:$AL$45,VLOOKUP(A6,$U:$V,2,),)</f>
        <v>6</v>
      </c>
      <c r="O6" s="38">
        <f>VLOOKUP($O$5,'Sectors Trend'!$B$28:$AL$45,VLOOKUP(A6,$U:$V,2,),)</f>
        <v>4</v>
      </c>
      <c r="P6" s="38">
        <f>VLOOKUP($P$5,'Sectors Trend'!$B$28:$AL$45,VLOOKUP(A6,$U:$V,2,),)</f>
        <v>-2</v>
      </c>
      <c r="Q6" s="38">
        <f>VLOOKUP($Q$5,'Sectors Trend'!$B$28:$AL$45,VLOOKUP(A6,$U:$V,2,),)</f>
        <v>0</v>
      </c>
      <c r="R6" s="38">
        <f>VLOOKUP($R$5,'Sectors Trend'!$B$28:$AL$45,VLOOKUP(A6,$U:$V,2,),)</f>
        <v>12</v>
      </c>
      <c r="S6" s="39">
        <f>VLOOKUP($S$5,'Sectors Trend'!$B$28:$AL$45,VLOOKUP(A6,$U:$V,2,),)</f>
        <v>13</v>
      </c>
      <c r="U6" s="7">
        <f t="shared" si="0"/>
        <v>44593</v>
      </c>
      <c r="V6" s="1">
        <f t="shared" si="1"/>
        <v>27</v>
      </c>
      <c r="Y6" s="66">
        <f t="shared" ref="Y6:Y11" si="2">MIN(B6:S6)</f>
        <v>-4</v>
      </c>
      <c r="Z6" s="66">
        <f t="shared" ref="Z6:Z11" si="3">MAX(B6:S6)</f>
        <v>13</v>
      </c>
    </row>
    <row r="7" spans="1:26" x14ac:dyDescent="0.2">
      <c r="A7" s="8">
        <f>DATE(YEAR(A8),MONTH(A8)-1,DAY(A8))</f>
        <v>44621</v>
      </c>
      <c r="B7" s="5">
        <f>VLOOKUP($B$5,'Sectors Trend'!$B$28:$AL$45,VLOOKUP(A7,$U:$V,2,),)</f>
        <v>0</v>
      </c>
      <c r="C7" s="5">
        <f>VLOOKUP($C$5,'Sectors Trend'!$B$28:$AL$45,VLOOKUP(A7,$U:$V,2,),)</f>
        <v>9</v>
      </c>
      <c r="D7" s="5">
        <f>VLOOKUP($D$5,'Sectors Trend'!$B$28:$AL$45,VLOOKUP(A7,$U:$V,2,),)</f>
        <v>13</v>
      </c>
      <c r="E7" s="5">
        <f>VLOOKUP($E$5,'Sectors Trend'!$B$28:$AL$45,VLOOKUP(A7,$U:$V,2,),)</f>
        <v>10</v>
      </c>
      <c r="F7" s="5">
        <f>VLOOKUP($F$5,'Sectors Trend'!$B$28:$AL$45,VLOOKUP(A7,$U:$V,2,),)</f>
        <v>-1</v>
      </c>
      <c r="G7" s="5">
        <f>VLOOKUP($G$5,'Sectors Trend'!$B$28:$AL$45,VLOOKUP(A7,$U:$V,2,),)</f>
        <v>8</v>
      </c>
      <c r="H7" s="5">
        <f>VLOOKUP($H$5,'Sectors Trend'!$B$28:$AL$45,VLOOKUP(A7,$U:$V,2,),)</f>
        <v>3</v>
      </c>
      <c r="I7" s="5">
        <f>VLOOKUP($I$5,'Sectors Trend'!$B$28:$AL$45,VLOOKUP(A7,$U:$V,2,),)</f>
        <v>0</v>
      </c>
      <c r="J7" s="5">
        <f>VLOOKUP($J$5,'Sectors Trend'!$B$28:$AL$45,VLOOKUP(A7,$U:$V,2,),)</f>
        <v>4</v>
      </c>
      <c r="K7" s="5">
        <f>VLOOKUP($K$5,'Sectors Trend'!$B$28:$AL$45,VLOOKUP(A7,$U:$V,2,),)</f>
        <v>0</v>
      </c>
      <c r="L7" s="5">
        <f>VLOOKUP($L$5,'Sectors Trend'!$B$28:$AL$45,VLOOKUP(A7,$U:$V,2,),)</f>
        <v>6</v>
      </c>
      <c r="M7" s="5">
        <f>VLOOKUP($M$5,'Sectors Trend'!$B$28:$AL$45,VLOOKUP(A7,$U:$V,2,),)</f>
        <v>11</v>
      </c>
      <c r="N7" s="5">
        <f>VLOOKUP($N$5,'Sectors Trend'!$B$28:$AL$45,VLOOKUP(A7,$U:$V,2,),)</f>
        <v>5</v>
      </c>
      <c r="O7" s="5">
        <f>VLOOKUP($O$5,'Sectors Trend'!$B$28:$AL$45,VLOOKUP(A7,$U:$V,2,),)</f>
        <v>1</v>
      </c>
      <c r="P7" s="5">
        <f>VLOOKUP($P$5,'Sectors Trend'!$B$28:$AL$45,VLOOKUP(A7,$U:$V,2,),)</f>
        <v>-2</v>
      </c>
      <c r="Q7" s="5">
        <f>VLOOKUP($Q$5,'Sectors Trend'!$B$28:$AL$45,VLOOKUP(A7,$U:$V,2,),)</f>
        <v>7</v>
      </c>
      <c r="R7" s="5">
        <f>VLOOKUP($R$5,'Sectors Trend'!$B$28:$AL$45,VLOOKUP(A7,$U:$V,2,),)</f>
        <v>12</v>
      </c>
      <c r="S7" s="40">
        <f>VLOOKUP($S$5,'Sectors Trend'!$B$28:$AL$45,VLOOKUP(A7,$U:$V,2,),)</f>
        <v>2</v>
      </c>
      <c r="U7" s="7">
        <f t="shared" si="0"/>
        <v>44621</v>
      </c>
      <c r="V7" s="1">
        <f t="shared" si="1"/>
        <v>28</v>
      </c>
      <c r="Y7" s="66">
        <f t="shared" si="2"/>
        <v>-2</v>
      </c>
      <c r="Z7" s="66">
        <f t="shared" si="3"/>
        <v>13</v>
      </c>
    </row>
    <row r="8" spans="1:26" x14ac:dyDescent="0.2">
      <c r="A8" s="8">
        <f>DATE(YEAR(A9),MONTH(A9)-1,DAY(A9))</f>
        <v>44652</v>
      </c>
      <c r="B8" s="5">
        <f>VLOOKUP($B$5,'Sectors Trend'!$B$28:$AL$45,VLOOKUP(A8,$U:$V,2,),)</f>
        <v>0</v>
      </c>
      <c r="C8" s="5">
        <f>VLOOKUP($C$5,'Sectors Trend'!$B$28:$AL$45,VLOOKUP(A8,$U:$V,2,),)</f>
        <v>9</v>
      </c>
      <c r="D8" s="5">
        <f>VLOOKUP($D$5,'Sectors Trend'!$B$28:$AL$45,VLOOKUP(A8,$U:$V,2,),)</f>
        <v>0</v>
      </c>
      <c r="E8" s="5">
        <f>VLOOKUP($E$5,'Sectors Trend'!$B$28:$AL$45,VLOOKUP(A8,$U:$V,2,),)</f>
        <v>2</v>
      </c>
      <c r="F8" s="5">
        <f>VLOOKUP($F$5,'Sectors Trend'!$B$28:$AL$45,VLOOKUP(A8,$U:$V,2,),)</f>
        <v>4</v>
      </c>
      <c r="G8" s="5">
        <f>VLOOKUP($G$5,'Sectors Trend'!$B$28:$AL$45,VLOOKUP(A8,$U:$V,2,),)</f>
        <v>13</v>
      </c>
      <c r="H8" s="5">
        <f>VLOOKUP($H$5,'Sectors Trend'!$B$28:$AL$45,VLOOKUP(A8,$U:$V,2,),)</f>
        <v>1</v>
      </c>
      <c r="I8" s="5">
        <f>VLOOKUP($I$5,'Sectors Trend'!$B$28:$AL$45,VLOOKUP(A8,$U:$V,2,),)</f>
        <v>14</v>
      </c>
      <c r="J8" s="5">
        <f>VLOOKUP($J$5,'Sectors Trend'!$B$28:$AL$45,VLOOKUP(A8,$U:$V,2,),)</f>
        <v>8</v>
      </c>
      <c r="K8" s="5">
        <f>VLOOKUP($K$5,'Sectors Trend'!$B$28:$AL$45,VLOOKUP(A8,$U:$V,2,),)</f>
        <v>11</v>
      </c>
      <c r="L8" s="5">
        <f>VLOOKUP($L$5,'Sectors Trend'!$B$28:$AL$45,VLOOKUP(A8,$U:$V,2,),)</f>
        <v>6</v>
      </c>
      <c r="M8" s="5">
        <f>VLOOKUP($M$5,'Sectors Trend'!$B$28:$AL$45,VLOOKUP(A8,$U:$V,2,),)</f>
        <v>3</v>
      </c>
      <c r="N8" s="5">
        <f>VLOOKUP($N$5,'Sectors Trend'!$B$28:$AL$45,VLOOKUP(A8,$U:$V,2,),)</f>
        <v>10</v>
      </c>
      <c r="O8" s="5">
        <f>VLOOKUP($O$5,'Sectors Trend'!$B$28:$AL$45,VLOOKUP(A8,$U:$V,2,),)</f>
        <v>7</v>
      </c>
      <c r="P8" s="5">
        <f>VLOOKUP($P$5,'Sectors Trend'!$B$28:$AL$45,VLOOKUP(A8,$U:$V,2,),)</f>
        <v>0</v>
      </c>
      <c r="Q8" s="5">
        <f>VLOOKUP($Q$5,'Sectors Trend'!$B$28:$AL$45,VLOOKUP(A8,$U:$V,2,),)</f>
        <v>0</v>
      </c>
      <c r="R8" s="5">
        <f>VLOOKUP($R$5,'Sectors Trend'!$B$28:$AL$45,VLOOKUP(A8,$U:$V,2,),)</f>
        <v>12</v>
      </c>
      <c r="S8" s="40">
        <f>VLOOKUP($S$5,'Sectors Trend'!$B$28:$AL$45,VLOOKUP(A8,$U:$V,2,),)</f>
        <v>5</v>
      </c>
      <c r="U8" s="7">
        <f t="shared" si="0"/>
        <v>44652</v>
      </c>
      <c r="V8" s="1">
        <f t="shared" si="1"/>
        <v>29</v>
      </c>
      <c r="Y8" s="66">
        <f t="shared" si="2"/>
        <v>0</v>
      </c>
      <c r="Z8" s="66">
        <f t="shared" si="3"/>
        <v>14</v>
      </c>
    </row>
    <row r="9" spans="1:26" x14ac:dyDescent="0.2">
      <c r="A9" s="8">
        <f>DATE(YEAR(A10),MONTH(A10)-1,DAY(A10))</f>
        <v>44682</v>
      </c>
      <c r="B9" s="5">
        <f>VLOOKUP($B$5,'Sectors Trend'!$B$28:$AL$45,VLOOKUP(A9,$U:$V,2,),)</f>
        <v>-2</v>
      </c>
      <c r="C9" s="5">
        <f>VLOOKUP($C$5,'Sectors Trend'!$B$28:$AL$45,VLOOKUP(A9,$U:$V,2,),)</f>
        <v>7</v>
      </c>
      <c r="D9" s="5">
        <f>VLOOKUP($D$5,'Sectors Trend'!$B$28:$AL$45,VLOOKUP(A9,$U:$V,2,),)</f>
        <v>10</v>
      </c>
      <c r="E9" s="5">
        <f>VLOOKUP($E$5,'Sectors Trend'!$B$28:$AL$45,VLOOKUP(A9,$U:$V,2,),)</f>
        <v>0</v>
      </c>
      <c r="F9" s="5">
        <f>VLOOKUP($F$5,'Sectors Trend'!$B$28:$AL$45,VLOOKUP(A9,$U:$V,2,),)</f>
        <v>1</v>
      </c>
      <c r="G9" s="5">
        <f>VLOOKUP($G$5,'Sectors Trend'!$B$28:$AL$45,VLOOKUP(A9,$U:$V,2,),)</f>
        <v>5</v>
      </c>
      <c r="H9" s="5">
        <f>VLOOKUP($H$5,'Sectors Trend'!$B$28:$AL$45,VLOOKUP(A9,$U:$V,2,),)</f>
        <v>0</v>
      </c>
      <c r="I9" s="5">
        <f>VLOOKUP($I$5,'Sectors Trend'!$B$28:$AL$45,VLOOKUP(A9,$U:$V,2,),)</f>
        <v>8</v>
      </c>
      <c r="J9" s="5">
        <f>VLOOKUP($J$5,'Sectors Trend'!$B$28:$AL$45,VLOOKUP(A9,$U:$V,2,),)</f>
        <v>2</v>
      </c>
      <c r="K9" s="5">
        <f>VLOOKUP($K$5,'Sectors Trend'!$B$28:$AL$45,VLOOKUP(A9,$U:$V,2,),)</f>
        <v>13</v>
      </c>
      <c r="L9" s="5">
        <f>VLOOKUP($L$5,'Sectors Trend'!$B$28:$AL$45,VLOOKUP(A9,$U:$V,2,),)</f>
        <v>12</v>
      </c>
      <c r="M9" s="5">
        <f>VLOOKUP($M$5,'Sectors Trend'!$B$28:$AL$45,VLOOKUP(A9,$U:$V,2,),)</f>
        <v>4</v>
      </c>
      <c r="N9" s="5">
        <f>VLOOKUP($N$5,'Sectors Trend'!$B$28:$AL$45,VLOOKUP(A9,$U:$V,2,),)</f>
        <v>3</v>
      </c>
      <c r="O9" s="5">
        <f>VLOOKUP($O$5,'Sectors Trend'!$B$28:$AL$45,VLOOKUP(A9,$U:$V,2,),)</f>
        <v>6</v>
      </c>
      <c r="P9" s="5">
        <f>VLOOKUP($P$5,'Sectors Trend'!$B$28:$AL$45,VLOOKUP(A9,$U:$V,2,),)</f>
        <v>-3</v>
      </c>
      <c r="Q9" s="5">
        <f>VLOOKUP($Q$5,'Sectors Trend'!$B$28:$AL$45,VLOOKUP(A9,$U:$V,2,),)</f>
        <v>-1</v>
      </c>
      <c r="R9" s="5">
        <f>VLOOKUP($R$5,'Sectors Trend'!$B$28:$AL$45,VLOOKUP(A9,$U:$V,2,),)</f>
        <v>11</v>
      </c>
      <c r="S9" s="40">
        <f>VLOOKUP($S$5,'Sectors Trend'!$B$28:$AL$45,VLOOKUP(A9,$U:$V,2,),)</f>
        <v>9</v>
      </c>
      <c r="U9" s="7">
        <f t="shared" si="0"/>
        <v>44682</v>
      </c>
      <c r="V9" s="1">
        <f t="shared" si="1"/>
        <v>30</v>
      </c>
      <c r="Y9" s="66">
        <f t="shared" si="2"/>
        <v>-3</v>
      </c>
      <c r="Z9" s="66">
        <f t="shared" si="3"/>
        <v>13</v>
      </c>
    </row>
    <row r="10" spans="1:26" x14ac:dyDescent="0.2">
      <c r="A10" s="8">
        <f>DATE(YEAR(A11),MONTH(A11)-1,DAY(A11))</f>
        <v>44713</v>
      </c>
      <c r="B10" s="5">
        <f>VLOOKUP($B$5,'Sectors Trend'!$B$28:$AL$45,VLOOKUP(A10,$U:$V,2,),)</f>
        <v>0</v>
      </c>
      <c r="C10" s="5">
        <f>VLOOKUP($C$5,'Sectors Trend'!$B$28:$AL$45,VLOOKUP(A10,$U:$V,2,),)</f>
        <v>8</v>
      </c>
      <c r="D10" s="5">
        <f>VLOOKUP($D$5,'Sectors Trend'!$B$28:$AL$45,VLOOKUP(A10,$U:$V,2,),)</f>
        <v>11</v>
      </c>
      <c r="E10" s="5">
        <f>VLOOKUP($E$5,'Sectors Trend'!$B$28:$AL$45,VLOOKUP(A10,$U:$V,2,),)</f>
        <v>13</v>
      </c>
      <c r="F10" s="5">
        <f>VLOOKUP($F$5,'Sectors Trend'!$B$28:$AL$45,VLOOKUP(A10,$U:$V,2,),)</f>
        <v>4</v>
      </c>
      <c r="G10" s="5">
        <f>VLOOKUP($G$5,'Sectors Trend'!$B$28:$AL$45,VLOOKUP(A10,$U:$V,2,),)</f>
        <v>12</v>
      </c>
      <c r="H10" s="5">
        <f>VLOOKUP($H$5,'Sectors Trend'!$B$28:$AL$45,VLOOKUP(A10,$U:$V,2,),)</f>
        <v>7</v>
      </c>
      <c r="I10" s="5">
        <f>VLOOKUP($I$5,'Sectors Trend'!$B$28:$AL$45,VLOOKUP(A10,$U:$V,2,),)</f>
        <v>0</v>
      </c>
      <c r="J10" s="5">
        <f>VLOOKUP($J$5,'Sectors Trend'!$B$28:$AL$45,VLOOKUP(A10,$U:$V,2,),)</f>
        <v>2</v>
      </c>
      <c r="K10" s="5">
        <f>VLOOKUP($K$5,'Sectors Trend'!$B$28:$AL$45,VLOOKUP(A10,$U:$V,2,),)</f>
        <v>10</v>
      </c>
      <c r="L10" s="5">
        <f>VLOOKUP($L$5,'Sectors Trend'!$B$28:$AL$45,VLOOKUP(A10,$U:$V,2,),)</f>
        <v>14</v>
      </c>
      <c r="M10" s="5">
        <f>VLOOKUP($M$5,'Sectors Trend'!$B$28:$AL$45,VLOOKUP(A10,$U:$V,2,),)</f>
        <v>6</v>
      </c>
      <c r="N10" s="5">
        <f>VLOOKUP($N$5,'Sectors Trend'!$B$28:$AL$45,VLOOKUP(A10,$U:$V,2,),)</f>
        <v>1</v>
      </c>
      <c r="O10" s="5">
        <f>VLOOKUP($O$5,'Sectors Trend'!$B$28:$AL$45,VLOOKUP(A10,$U:$V,2,),)</f>
        <v>9</v>
      </c>
      <c r="P10" s="5">
        <f>VLOOKUP($P$5,'Sectors Trend'!$B$28:$AL$45,VLOOKUP(A10,$U:$V,2,),)</f>
        <v>0</v>
      </c>
      <c r="Q10" s="5">
        <f>VLOOKUP($Q$5,'Sectors Trend'!$B$28:$AL$45,VLOOKUP(A10,$U:$V,2,),)</f>
        <v>3</v>
      </c>
      <c r="R10" s="5">
        <f>VLOOKUP($R$5,'Sectors Trend'!$B$28:$AL$45,VLOOKUP(A10,$U:$V,2,),)</f>
        <v>5</v>
      </c>
      <c r="S10" s="40">
        <f>VLOOKUP($S$5,'Sectors Trend'!$B$28:$AL$45,VLOOKUP(A10,$U:$V,2,),)</f>
        <v>15</v>
      </c>
      <c r="U10" s="7">
        <f t="shared" si="0"/>
        <v>44713</v>
      </c>
      <c r="V10" s="1">
        <f t="shared" si="1"/>
        <v>31</v>
      </c>
      <c r="Y10" s="66">
        <f t="shared" si="2"/>
        <v>0</v>
      </c>
      <c r="Z10" s="66">
        <f t="shared" si="3"/>
        <v>15</v>
      </c>
    </row>
    <row r="11" spans="1:26" ht="16" customHeight="1" thickBot="1" x14ac:dyDescent="0.25">
      <c r="A11" s="8">
        <f>L1</f>
        <v>44743</v>
      </c>
      <c r="B11" s="41">
        <f>VLOOKUP($B$5,'Sectors Trend'!$B$28:$AL$45,VLOOKUP(A11,$U:$V,2,),)</f>
        <v>-2</v>
      </c>
      <c r="C11" s="41">
        <f>VLOOKUP($C$5,'Sectors Trend'!$B$28:$AL$45,VLOOKUP(A11,$U:$V,2,),)</f>
        <v>8</v>
      </c>
      <c r="D11" s="41">
        <f>VLOOKUP($D$5,'Sectors Trend'!$B$28:$AL$45,VLOOKUP(A11,$U:$V,2,),)</f>
        <v>0</v>
      </c>
      <c r="E11" s="41">
        <f>VLOOKUP($E$5,'Sectors Trend'!$B$28:$AL$45,VLOOKUP(A11,$U:$V,2,),)</f>
        <v>6</v>
      </c>
      <c r="F11" s="41">
        <f>VLOOKUP($F$5,'Sectors Trend'!$B$28:$AL$45,VLOOKUP(A11,$U:$V,2,),)</f>
        <v>4</v>
      </c>
      <c r="G11" s="41">
        <f>VLOOKUP($G$5,'Sectors Trend'!$B$28:$AL$45,VLOOKUP(A11,$U:$V,2,),)</f>
        <v>-3</v>
      </c>
      <c r="H11" s="41">
        <f>VLOOKUP($H$5,'Sectors Trend'!$B$28:$AL$45,VLOOKUP(A11,$U:$V,2,),)</f>
        <v>-1</v>
      </c>
      <c r="I11" s="41">
        <f>VLOOKUP($I$5,'Sectors Trend'!$B$28:$AL$45,VLOOKUP(A11,$U:$V,2,),)</f>
        <v>12</v>
      </c>
      <c r="J11" s="41">
        <f>VLOOKUP($J$5,'Sectors Trend'!$B$28:$AL$45,VLOOKUP(A11,$U:$V,2,),)</f>
        <v>2</v>
      </c>
      <c r="K11" s="41">
        <f>VLOOKUP($K$5,'Sectors Trend'!$B$28:$AL$45,VLOOKUP(A11,$U:$V,2,),)</f>
        <v>13</v>
      </c>
      <c r="L11" s="41">
        <f>VLOOKUP($L$5,'Sectors Trend'!$B$28:$AL$45,VLOOKUP(A11,$U:$V,2,),)</f>
        <v>7</v>
      </c>
      <c r="M11" s="41">
        <f>VLOOKUP($M$5,'Sectors Trend'!$B$28:$AL$45,VLOOKUP(A11,$U:$V,2,),)</f>
        <v>3</v>
      </c>
      <c r="N11" s="41">
        <f>VLOOKUP($N$5,'Sectors Trend'!$B$28:$AL$45,VLOOKUP(A11,$U:$V,2,),)</f>
        <v>10</v>
      </c>
      <c r="O11" s="41">
        <f>VLOOKUP($O$5,'Sectors Trend'!$B$28:$AL$45,VLOOKUP(A11,$U:$V,2,),)</f>
        <v>5</v>
      </c>
      <c r="P11" s="41">
        <f>VLOOKUP($P$5,'Sectors Trend'!$B$28:$AL$45,VLOOKUP(A11,$U:$V,2,),)</f>
        <v>-4</v>
      </c>
      <c r="Q11" s="41">
        <f>VLOOKUP($Q$5,'Sectors Trend'!$B$28:$AL$45,VLOOKUP(A11,$U:$V,2,),)</f>
        <v>1</v>
      </c>
      <c r="R11" s="41">
        <f>VLOOKUP($R$5,'Sectors Trend'!$B$28:$AL$45,VLOOKUP(A11,$U:$V,2,),)</f>
        <v>11</v>
      </c>
      <c r="S11" s="42">
        <f>VLOOKUP($S$5,'Sectors Trend'!$B$28:$AL$45,VLOOKUP(A11,$U:$V,2,),)</f>
        <v>9</v>
      </c>
      <c r="U11" s="7">
        <f>L1</f>
        <v>44743</v>
      </c>
      <c r="V11" s="1">
        <f>L2+1</f>
        <v>32</v>
      </c>
      <c r="Y11" s="66">
        <f t="shared" si="2"/>
        <v>-4</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38" width="9.1640625" style="66" customWidth="1"/>
    <col min="39" max="16384" width="9.1640625" style="66"/>
  </cols>
  <sheetData>
    <row r="1" spans="1:26" x14ac:dyDescent="0.2">
      <c r="J1" s="66" t="s">
        <v>70</v>
      </c>
      <c r="L1" s="7">
        <f>Sectors!L1</f>
        <v>44743</v>
      </c>
      <c r="O1" s="6"/>
    </row>
    <row r="2" spans="1:26" x14ac:dyDescent="0.2">
      <c r="L2" s="66">
        <f>Sectors!L2</f>
        <v>31</v>
      </c>
      <c r="Y2" s="7"/>
    </row>
    <row r="4" spans="1:26" x14ac:dyDescent="0.2">
      <c r="U4" s="7">
        <f t="shared" ref="U4:U10" si="0">DATE(YEAR(U5),MONTH(U5)-1,DAY(U5))</f>
        <v>44531</v>
      </c>
      <c r="V4" s="1">
        <f t="shared" ref="V4:V10" si="1">V5-1</f>
        <v>25</v>
      </c>
    </row>
    <row r="5" spans="1:26" ht="67.5" customHeight="1" thickBot="1" x14ac:dyDescent="0.25">
      <c r="A5" s="8"/>
      <c r="B5" s="44" t="s">
        <v>43</v>
      </c>
      <c r="C5" s="44" t="s">
        <v>29</v>
      </c>
      <c r="D5" s="44" t="s">
        <v>49</v>
      </c>
      <c r="E5" s="44" t="s">
        <v>24</v>
      </c>
      <c r="F5" s="44" t="s">
        <v>45</v>
      </c>
      <c r="G5" s="44" t="s">
        <v>15</v>
      </c>
      <c r="H5" s="44" t="s">
        <v>44</v>
      </c>
      <c r="I5" s="44" t="s">
        <v>42</v>
      </c>
      <c r="J5" s="44" t="s">
        <v>39</v>
      </c>
      <c r="K5" s="44" t="s">
        <v>18</v>
      </c>
      <c r="L5" s="44" t="s">
        <v>33</v>
      </c>
      <c r="M5" s="44" t="s">
        <v>27</v>
      </c>
      <c r="N5" s="44" t="s">
        <v>41</v>
      </c>
      <c r="O5" s="44" t="s">
        <v>46</v>
      </c>
      <c r="P5" s="44" t="s">
        <v>47</v>
      </c>
      <c r="Q5" s="44" t="s">
        <v>37</v>
      </c>
      <c r="R5" s="44" t="s">
        <v>35</v>
      </c>
      <c r="S5" s="44" t="s">
        <v>21</v>
      </c>
      <c r="U5" s="7">
        <f t="shared" si="0"/>
        <v>44562</v>
      </c>
      <c r="V5" s="1">
        <f t="shared" si="1"/>
        <v>26</v>
      </c>
      <c r="Y5" s="66" t="s">
        <v>71</v>
      </c>
      <c r="Z5" s="66" t="s">
        <v>72</v>
      </c>
    </row>
    <row r="6" spans="1:26" x14ac:dyDescent="0.2">
      <c r="A6" s="8">
        <f>DATE(YEAR(A7),MONTH(A7)-1,DAY(A7))</f>
        <v>44593</v>
      </c>
      <c r="B6" s="38">
        <f>VLOOKUP($B$5,'Sectors Trend'!$B$50:$AL$67,VLOOKUP(A6,$U:$V,2,),)</f>
        <v>1</v>
      </c>
      <c r="C6" s="38">
        <f>VLOOKUP($C$5,'Sectors Trend'!$B$50:$AL$67,VLOOKUP(A6,$U:$V,2,),)</f>
        <v>8</v>
      </c>
      <c r="D6" s="38">
        <f>VLOOKUP($D$5,'Sectors Trend'!$B$50:$AL$67,VLOOKUP(A6,$U:$V,2,),)</f>
        <v>-2</v>
      </c>
      <c r="E6" s="38">
        <f>VLOOKUP($E$5,'Sectors Trend'!$B$50:$AL$67,VLOOKUP(A6,$U:$V,2,),)</f>
        <v>0</v>
      </c>
      <c r="F6" s="38">
        <f>VLOOKUP($F$5,'Sectors Trend'!$B$50:$AL$67,VLOOKUP(A6,$U:$V,2,),)</f>
        <v>0</v>
      </c>
      <c r="G6" s="38">
        <f>VLOOKUP($G$5,'Sectors Trend'!$B$50:$AL$67,VLOOKUP(A6,$U:$V,2,),)</f>
        <v>-3</v>
      </c>
      <c r="H6" s="38">
        <f>VLOOKUP($H$5,'Sectors Trend'!$B$50:$AL$67,VLOOKUP(A6,$U:$V,2,),)</f>
        <v>5</v>
      </c>
      <c r="I6" s="38">
        <f>VLOOKUP($I$5,'Sectors Trend'!$B$50:$AL$67,VLOOKUP(A6,$U:$V,2,),)</f>
        <v>0</v>
      </c>
      <c r="J6" s="38">
        <f>VLOOKUP($J$5,'Sectors Trend'!$B$50:$AL$67,VLOOKUP(A6,$U:$V,2,),)</f>
        <v>6</v>
      </c>
      <c r="K6" s="38">
        <f>VLOOKUP($K$5,'Sectors Trend'!$B$50:$AL$67,VLOOKUP(A6,$U:$V,2,),)</f>
        <v>7</v>
      </c>
      <c r="L6" s="38">
        <f>VLOOKUP($L$5,'Sectors Trend'!$B$50:$AL$67,VLOOKUP(A6,$U:$V,2,),)</f>
        <v>10</v>
      </c>
      <c r="M6" s="38">
        <f>VLOOKUP($M$5,'Sectors Trend'!$B$50:$AL$67,VLOOKUP(A6,$U:$V,2,),)</f>
        <v>3</v>
      </c>
      <c r="N6" s="38">
        <f>VLOOKUP($N$5,'Sectors Trend'!$B$50:$AL$67,VLOOKUP(A6,$U:$V,2,),)</f>
        <v>4</v>
      </c>
      <c r="O6" s="38">
        <f>VLOOKUP($O$5,'Sectors Trend'!$B$50:$AL$67,VLOOKUP(A6,$U:$V,2,),)</f>
        <v>2</v>
      </c>
      <c r="P6" s="38">
        <f>VLOOKUP($P$5,'Sectors Trend'!$B$50:$AL$67,VLOOKUP(A6,$U:$V,2,),)</f>
        <v>0</v>
      </c>
      <c r="Q6" s="38">
        <f>VLOOKUP($Q$5,'Sectors Trend'!$B$50:$AL$67,VLOOKUP(A6,$U:$V,2,),)</f>
        <v>-1</v>
      </c>
      <c r="R6" s="38">
        <f>VLOOKUP($R$5,'Sectors Trend'!$B$50:$AL$67,VLOOKUP(A6,$U:$V,2,),)</f>
        <v>9</v>
      </c>
      <c r="S6" s="39">
        <f>VLOOKUP($S$5,'Sectors Trend'!$B$50:$AL$67,VLOOKUP(A6,$U:$V,2,),)</f>
        <v>11</v>
      </c>
      <c r="U6" s="7">
        <f t="shared" si="0"/>
        <v>44593</v>
      </c>
      <c r="V6" s="1">
        <f t="shared" si="1"/>
        <v>27</v>
      </c>
      <c r="Y6" s="66">
        <f t="shared" ref="Y6:Y11" si="2">MIN(B6:S6)</f>
        <v>-3</v>
      </c>
      <c r="Z6" s="66">
        <f t="shared" ref="Z6:Z11" si="3">MAX(B6:S6)</f>
        <v>11</v>
      </c>
    </row>
    <row r="7" spans="1:26" x14ac:dyDescent="0.2">
      <c r="A7" s="8">
        <f>DATE(YEAR(A8),MONTH(A8)-1,DAY(A8))</f>
        <v>44621</v>
      </c>
      <c r="B7" s="5">
        <f>VLOOKUP($B$5,'Sectors Trend'!$B$50:$AL$67,VLOOKUP(A7,$U:$V,2,),)</f>
        <v>0</v>
      </c>
      <c r="C7" s="5">
        <f>VLOOKUP($C$5,'Sectors Trend'!$B$50:$AL$67,VLOOKUP(A7,$U:$V,2,),)</f>
        <v>10</v>
      </c>
      <c r="D7" s="5">
        <f>VLOOKUP($D$5,'Sectors Trend'!$B$50:$AL$67,VLOOKUP(A7,$U:$V,2,),)</f>
        <v>15</v>
      </c>
      <c r="E7" s="5">
        <f>VLOOKUP($E$5,'Sectors Trend'!$B$50:$AL$67,VLOOKUP(A7,$U:$V,2,),)</f>
        <v>8</v>
      </c>
      <c r="F7" s="5">
        <f>VLOOKUP($F$5,'Sectors Trend'!$B$50:$AL$67,VLOOKUP(A7,$U:$V,2,),)</f>
        <v>-1</v>
      </c>
      <c r="G7" s="5">
        <f>VLOOKUP($G$5,'Sectors Trend'!$B$50:$AL$67,VLOOKUP(A7,$U:$V,2,),)</f>
        <v>5</v>
      </c>
      <c r="H7" s="5">
        <f>VLOOKUP($H$5,'Sectors Trend'!$B$50:$AL$67,VLOOKUP(A7,$U:$V,2,),)</f>
        <v>3</v>
      </c>
      <c r="I7" s="5">
        <f>VLOOKUP($I$5,'Sectors Trend'!$B$50:$AL$67,VLOOKUP(A7,$U:$V,2,),)</f>
        <v>11</v>
      </c>
      <c r="J7" s="5">
        <f>VLOOKUP($J$5,'Sectors Trend'!$B$50:$AL$67,VLOOKUP(A7,$U:$V,2,),)</f>
        <v>1</v>
      </c>
      <c r="K7" s="5">
        <f>VLOOKUP($K$5,'Sectors Trend'!$B$50:$AL$67,VLOOKUP(A7,$U:$V,2,),)</f>
        <v>9</v>
      </c>
      <c r="L7" s="5">
        <f>VLOOKUP($L$5,'Sectors Trend'!$B$50:$AL$67,VLOOKUP(A7,$U:$V,2,),)</f>
        <v>7</v>
      </c>
      <c r="M7" s="5">
        <f>VLOOKUP($M$5,'Sectors Trend'!$B$50:$AL$67,VLOOKUP(A7,$U:$V,2,),)</f>
        <v>13</v>
      </c>
      <c r="N7" s="5">
        <f>VLOOKUP($N$5,'Sectors Trend'!$B$50:$AL$67,VLOOKUP(A7,$U:$V,2,),)</f>
        <v>2</v>
      </c>
      <c r="O7" s="5">
        <f>VLOOKUP($O$5,'Sectors Trend'!$B$50:$AL$67,VLOOKUP(A7,$U:$V,2,),)</f>
        <v>4</v>
      </c>
      <c r="P7" s="5">
        <f>VLOOKUP($P$5,'Sectors Trend'!$B$50:$AL$67,VLOOKUP(A7,$U:$V,2,),)</f>
        <v>-2</v>
      </c>
      <c r="Q7" s="5">
        <f>VLOOKUP($Q$5,'Sectors Trend'!$B$50:$AL$67,VLOOKUP(A7,$U:$V,2,),)</f>
        <v>6</v>
      </c>
      <c r="R7" s="5">
        <f>VLOOKUP($R$5,'Sectors Trend'!$B$50:$AL$67,VLOOKUP(A7,$U:$V,2,),)</f>
        <v>14</v>
      </c>
      <c r="S7" s="40">
        <f>VLOOKUP($S$5,'Sectors Trend'!$B$50:$AL$67,VLOOKUP(A7,$U:$V,2,),)</f>
        <v>12</v>
      </c>
      <c r="U7" s="7">
        <f t="shared" si="0"/>
        <v>44621</v>
      </c>
      <c r="V7" s="1">
        <f t="shared" si="1"/>
        <v>28</v>
      </c>
      <c r="Y7" s="66">
        <f t="shared" si="2"/>
        <v>-2</v>
      </c>
      <c r="Z7" s="66">
        <f t="shared" si="3"/>
        <v>15</v>
      </c>
    </row>
    <row r="8" spans="1:26" x14ac:dyDescent="0.2">
      <c r="A8" s="8">
        <f>DATE(YEAR(A9),MONTH(A9)-1,DAY(A9))</f>
        <v>44652</v>
      </c>
      <c r="B8" s="5">
        <f>VLOOKUP($B$5,'Sectors Trend'!$B$50:$AL$67,VLOOKUP(A8,$U:$V,2,),)</f>
        <v>0</v>
      </c>
      <c r="C8" s="5">
        <f>VLOOKUP($C$5,'Sectors Trend'!$B$50:$AL$67,VLOOKUP(A8,$U:$V,2,),)</f>
        <v>13</v>
      </c>
      <c r="D8" s="5">
        <f>VLOOKUP($D$5,'Sectors Trend'!$B$50:$AL$67,VLOOKUP(A8,$U:$V,2,),)</f>
        <v>0</v>
      </c>
      <c r="E8" s="5">
        <f>VLOOKUP($E$5,'Sectors Trend'!$B$50:$AL$67,VLOOKUP(A8,$U:$V,2,),)</f>
        <v>2</v>
      </c>
      <c r="F8" s="5">
        <f>VLOOKUP($F$5,'Sectors Trend'!$B$50:$AL$67,VLOOKUP(A8,$U:$V,2,),)</f>
        <v>3</v>
      </c>
      <c r="G8" s="5">
        <f>VLOOKUP($G$5,'Sectors Trend'!$B$50:$AL$67,VLOOKUP(A8,$U:$V,2,),)</f>
        <v>10</v>
      </c>
      <c r="H8" s="5">
        <f>VLOOKUP($H$5,'Sectors Trend'!$B$50:$AL$67,VLOOKUP(A8,$U:$V,2,),)</f>
        <v>1</v>
      </c>
      <c r="I8" s="5">
        <f>VLOOKUP($I$5,'Sectors Trend'!$B$50:$AL$67,VLOOKUP(A8,$U:$V,2,),)</f>
        <v>11</v>
      </c>
      <c r="J8" s="5">
        <f>VLOOKUP($J$5,'Sectors Trend'!$B$50:$AL$67,VLOOKUP(A8,$U:$V,2,),)</f>
        <v>8</v>
      </c>
      <c r="K8" s="5">
        <f>VLOOKUP($K$5,'Sectors Trend'!$B$50:$AL$67,VLOOKUP(A8,$U:$V,2,),)</f>
        <v>0</v>
      </c>
      <c r="L8" s="5">
        <f>VLOOKUP($L$5,'Sectors Trend'!$B$50:$AL$67,VLOOKUP(A8,$U:$V,2,),)</f>
        <v>5</v>
      </c>
      <c r="M8" s="5">
        <f>VLOOKUP($M$5,'Sectors Trend'!$B$50:$AL$67,VLOOKUP(A8,$U:$V,2,),)</f>
        <v>4</v>
      </c>
      <c r="N8" s="5">
        <f>VLOOKUP($N$5,'Sectors Trend'!$B$50:$AL$67,VLOOKUP(A8,$U:$V,2,),)</f>
        <v>6</v>
      </c>
      <c r="O8" s="5">
        <f>VLOOKUP($O$5,'Sectors Trend'!$B$50:$AL$67,VLOOKUP(A8,$U:$V,2,),)</f>
        <v>7</v>
      </c>
      <c r="P8" s="5">
        <f>VLOOKUP($P$5,'Sectors Trend'!$B$50:$AL$67,VLOOKUP(A8,$U:$V,2,),)</f>
        <v>0</v>
      </c>
      <c r="Q8" s="5">
        <f>VLOOKUP($Q$5,'Sectors Trend'!$B$50:$AL$67,VLOOKUP(A8,$U:$V,2,),)</f>
        <v>0</v>
      </c>
      <c r="R8" s="5">
        <f>VLOOKUP($R$5,'Sectors Trend'!$B$50:$AL$67,VLOOKUP(A8,$U:$V,2,),)</f>
        <v>9</v>
      </c>
      <c r="S8" s="40">
        <f>VLOOKUP($S$5,'Sectors Trend'!$B$50:$AL$67,VLOOKUP(A8,$U:$V,2,),)</f>
        <v>12</v>
      </c>
      <c r="U8" s="7">
        <f t="shared" si="0"/>
        <v>44652</v>
      </c>
      <c r="V8" s="1">
        <f t="shared" si="1"/>
        <v>29</v>
      </c>
      <c r="Y8" s="66">
        <f t="shared" si="2"/>
        <v>0</v>
      </c>
      <c r="Z8" s="66">
        <f t="shared" si="3"/>
        <v>13</v>
      </c>
    </row>
    <row r="9" spans="1:26" x14ac:dyDescent="0.2">
      <c r="A9" s="8">
        <f>DATE(YEAR(A10),MONTH(A10)-1,DAY(A10))</f>
        <v>44682</v>
      </c>
      <c r="B9" s="5">
        <f>VLOOKUP($B$5,'Sectors Trend'!$B$50:$AL$67,VLOOKUP(A9,$U:$V,2,),)</f>
        <v>0</v>
      </c>
      <c r="C9" s="5">
        <f>VLOOKUP($C$5,'Sectors Trend'!$B$50:$AL$67,VLOOKUP(A9,$U:$V,2,),)</f>
        <v>9</v>
      </c>
      <c r="D9" s="5">
        <f>VLOOKUP($D$5,'Sectors Trend'!$B$50:$AL$67,VLOOKUP(A9,$U:$V,2,),)</f>
        <v>14</v>
      </c>
      <c r="E9" s="5">
        <f>VLOOKUP($E$5,'Sectors Trend'!$B$50:$AL$67,VLOOKUP(A9,$U:$V,2,),)</f>
        <v>3</v>
      </c>
      <c r="F9" s="5">
        <f>VLOOKUP($F$5,'Sectors Trend'!$B$50:$AL$67,VLOOKUP(A9,$U:$V,2,),)</f>
        <v>2</v>
      </c>
      <c r="G9" s="5">
        <f>VLOOKUP($G$5,'Sectors Trend'!$B$50:$AL$67,VLOOKUP(A9,$U:$V,2,),)</f>
        <v>5</v>
      </c>
      <c r="H9" s="5">
        <f>VLOOKUP($H$5,'Sectors Trend'!$B$50:$AL$67,VLOOKUP(A9,$U:$V,2,),)</f>
        <v>4</v>
      </c>
      <c r="I9" s="5">
        <f>VLOOKUP($I$5,'Sectors Trend'!$B$50:$AL$67,VLOOKUP(A9,$U:$V,2,),)</f>
        <v>10</v>
      </c>
      <c r="J9" s="5">
        <f>VLOOKUP($J$5,'Sectors Trend'!$B$50:$AL$67,VLOOKUP(A9,$U:$V,2,),)</f>
        <v>6</v>
      </c>
      <c r="K9" s="5">
        <f>VLOOKUP($K$5,'Sectors Trend'!$B$50:$AL$67,VLOOKUP(A9,$U:$V,2,),)</f>
        <v>12</v>
      </c>
      <c r="L9" s="5">
        <f>VLOOKUP($L$5,'Sectors Trend'!$B$50:$AL$67,VLOOKUP(A9,$U:$V,2,),)</f>
        <v>15</v>
      </c>
      <c r="M9" s="5">
        <f>VLOOKUP($M$5,'Sectors Trend'!$B$50:$AL$67,VLOOKUP(A9,$U:$V,2,),)</f>
        <v>7</v>
      </c>
      <c r="N9" s="5">
        <f>VLOOKUP($N$5,'Sectors Trend'!$B$50:$AL$67,VLOOKUP(A9,$U:$V,2,),)</f>
        <v>1</v>
      </c>
      <c r="O9" s="5">
        <f>VLOOKUP($O$5,'Sectors Trend'!$B$50:$AL$67,VLOOKUP(A9,$U:$V,2,),)</f>
        <v>8</v>
      </c>
      <c r="P9" s="5">
        <f>VLOOKUP($P$5,'Sectors Trend'!$B$50:$AL$67,VLOOKUP(A9,$U:$V,2,),)</f>
        <v>-2</v>
      </c>
      <c r="Q9" s="5">
        <f>VLOOKUP($Q$5,'Sectors Trend'!$B$50:$AL$67,VLOOKUP(A9,$U:$V,2,),)</f>
        <v>-1</v>
      </c>
      <c r="R9" s="5">
        <f>VLOOKUP($R$5,'Sectors Trend'!$B$50:$AL$67,VLOOKUP(A9,$U:$V,2,),)</f>
        <v>13</v>
      </c>
      <c r="S9" s="40">
        <f>VLOOKUP($S$5,'Sectors Trend'!$B$50:$AL$67,VLOOKUP(A9,$U:$V,2,),)</f>
        <v>11</v>
      </c>
      <c r="U9" s="7">
        <f t="shared" si="0"/>
        <v>44682</v>
      </c>
      <c r="V9" s="1">
        <f t="shared" si="1"/>
        <v>30</v>
      </c>
      <c r="Y9" s="66">
        <f t="shared" si="2"/>
        <v>-2</v>
      </c>
      <c r="Z9" s="66">
        <f t="shared" si="3"/>
        <v>15</v>
      </c>
    </row>
    <row r="10" spans="1:26" x14ac:dyDescent="0.2">
      <c r="A10" s="8">
        <f>DATE(YEAR(A11),MONTH(A11)-1,DAY(A11))</f>
        <v>44713</v>
      </c>
      <c r="B10" s="5">
        <f>VLOOKUP($B$5,'Sectors Trend'!$B$50:$AL$67,VLOOKUP(A10,$U:$V,2,),)</f>
        <v>0</v>
      </c>
      <c r="C10" s="5">
        <f>VLOOKUP($C$5,'Sectors Trend'!$B$50:$AL$67,VLOOKUP(A10,$U:$V,2,),)</f>
        <v>6</v>
      </c>
      <c r="D10" s="5">
        <f>VLOOKUP($D$5,'Sectors Trend'!$B$50:$AL$67,VLOOKUP(A10,$U:$V,2,),)</f>
        <v>9</v>
      </c>
      <c r="E10" s="5">
        <f>VLOOKUP($E$5,'Sectors Trend'!$B$50:$AL$67,VLOOKUP(A10,$U:$V,2,),)</f>
        <v>10</v>
      </c>
      <c r="F10" s="5">
        <f>VLOOKUP($F$5,'Sectors Trend'!$B$50:$AL$67,VLOOKUP(A10,$U:$V,2,),)</f>
        <v>5</v>
      </c>
      <c r="G10" s="5">
        <f>VLOOKUP($G$5,'Sectors Trend'!$B$50:$AL$67,VLOOKUP(A10,$U:$V,2,),)</f>
        <v>13</v>
      </c>
      <c r="H10" s="5">
        <f>VLOOKUP($H$5,'Sectors Trend'!$B$50:$AL$67,VLOOKUP(A10,$U:$V,2,),)</f>
        <v>3</v>
      </c>
      <c r="I10" s="5">
        <f>VLOOKUP($I$5,'Sectors Trend'!$B$50:$AL$67,VLOOKUP(A10,$U:$V,2,),)</f>
        <v>7</v>
      </c>
      <c r="J10" s="5">
        <f>VLOOKUP($J$5,'Sectors Trend'!$B$50:$AL$67,VLOOKUP(A10,$U:$V,2,),)</f>
        <v>8</v>
      </c>
      <c r="K10" s="5">
        <f>VLOOKUP($K$5,'Sectors Trend'!$B$50:$AL$67,VLOOKUP(A10,$U:$V,2,),)</f>
        <v>12</v>
      </c>
      <c r="L10" s="5">
        <f>VLOOKUP($L$5,'Sectors Trend'!$B$50:$AL$67,VLOOKUP(A10,$U:$V,2,),)</f>
        <v>-2</v>
      </c>
      <c r="M10" s="5">
        <f>VLOOKUP($M$5,'Sectors Trend'!$B$50:$AL$67,VLOOKUP(A10,$U:$V,2,),)</f>
        <v>4</v>
      </c>
      <c r="N10" s="5">
        <f>VLOOKUP($N$5,'Sectors Trend'!$B$50:$AL$67,VLOOKUP(A10,$U:$V,2,),)</f>
        <v>1</v>
      </c>
      <c r="O10" s="5">
        <f>VLOOKUP($O$5,'Sectors Trend'!$B$50:$AL$67,VLOOKUP(A10,$U:$V,2,),)</f>
        <v>2</v>
      </c>
      <c r="P10" s="5">
        <f>VLOOKUP($P$5,'Sectors Trend'!$B$50:$AL$67,VLOOKUP(A10,$U:$V,2,),)</f>
        <v>0</v>
      </c>
      <c r="Q10" s="5">
        <f>VLOOKUP($Q$5,'Sectors Trend'!$B$50:$AL$67,VLOOKUP(A10,$U:$V,2,),)</f>
        <v>0</v>
      </c>
      <c r="R10" s="5">
        <f>VLOOKUP($R$5,'Sectors Trend'!$B$50:$AL$67,VLOOKUP(A10,$U:$V,2,),)</f>
        <v>-1</v>
      </c>
      <c r="S10" s="40">
        <f>VLOOKUP($S$5,'Sectors Trend'!$B$50:$AL$67,VLOOKUP(A10,$U:$V,2,),)</f>
        <v>11</v>
      </c>
      <c r="U10" s="7">
        <f t="shared" si="0"/>
        <v>44713</v>
      </c>
      <c r="V10" s="1">
        <f t="shared" si="1"/>
        <v>31</v>
      </c>
      <c r="Y10" s="66">
        <f t="shared" si="2"/>
        <v>-2</v>
      </c>
      <c r="Z10" s="66">
        <f t="shared" si="3"/>
        <v>13</v>
      </c>
    </row>
    <row r="11" spans="1:26" ht="16" customHeight="1" thickBot="1" x14ac:dyDescent="0.25">
      <c r="A11" s="8">
        <f>L1</f>
        <v>44743</v>
      </c>
      <c r="B11" s="41">
        <f>VLOOKUP($B$5,'Sectors Trend'!$B$50:$AL$67,VLOOKUP(A11,$U:$V,2,),)</f>
        <v>-3</v>
      </c>
      <c r="C11" s="41">
        <f>VLOOKUP($C$5,'Sectors Trend'!$B$50:$AL$67,VLOOKUP(A11,$U:$V,2,),)</f>
        <v>5</v>
      </c>
      <c r="D11" s="41">
        <f>VLOOKUP($D$5,'Sectors Trend'!$B$50:$AL$67,VLOOKUP(A11,$U:$V,2,),)</f>
        <v>0</v>
      </c>
      <c r="E11" s="41">
        <f>VLOOKUP($E$5,'Sectors Trend'!$B$50:$AL$67,VLOOKUP(A11,$U:$V,2,),)</f>
        <v>6</v>
      </c>
      <c r="F11" s="41">
        <f>VLOOKUP($F$5,'Sectors Trend'!$B$50:$AL$67,VLOOKUP(A11,$U:$V,2,),)</f>
        <v>1</v>
      </c>
      <c r="G11" s="41">
        <f>VLOOKUP($G$5,'Sectors Trend'!$B$50:$AL$67,VLOOKUP(A11,$U:$V,2,),)</f>
        <v>-4</v>
      </c>
      <c r="H11" s="41">
        <f>VLOOKUP($H$5,'Sectors Trend'!$B$50:$AL$67,VLOOKUP(A11,$U:$V,2,),)</f>
        <v>0</v>
      </c>
      <c r="I11" s="41">
        <f>VLOOKUP($I$5,'Sectors Trend'!$B$50:$AL$67,VLOOKUP(A11,$U:$V,2,),)</f>
        <v>11</v>
      </c>
      <c r="J11" s="41">
        <f>VLOOKUP($J$5,'Sectors Trend'!$B$50:$AL$67,VLOOKUP(A11,$U:$V,2,),)</f>
        <v>7</v>
      </c>
      <c r="K11" s="41">
        <f>VLOOKUP($K$5,'Sectors Trend'!$B$50:$AL$67,VLOOKUP(A11,$U:$V,2,),)</f>
        <v>10</v>
      </c>
      <c r="L11" s="41">
        <f>VLOOKUP($L$5,'Sectors Trend'!$B$50:$AL$67,VLOOKUP(A11,$U:$V,2,),)</f>
        <v>3</v>
      </c>
      <c r="M11" s="41">
        <f>VLOOKUP($M$5,'Sectors Trend'!$B$50:$AL$67,VLOOKUP(A11,$U:$V,2,),)</f>
        <v>-1</v>
      </c>
      <c r="N11" s="41">
        <f>VLOOKUP($N$5,'Sectors Trend'!$B$50:$AL$67,VLOOKUP(A11,$U:$V,2,),)</f>
        <v>8</v>
      </c>
      <c r="O11" s="41">
        <f>VLOOKUP($O$5,'Sectors Trend'!$B$50:$AL$67,VLOOKUP(A11,$U:$V,2,),)</f>
        <v>2</v>
      </c>
      <c r="P11" s="41">
        <f>VLOOKUP($P$5,'Sectors Trend'!$B$50:$AL$67,VLOOKUP(A11,$U:$V,2,),)</f>
        <v>-5</v>
      </c>
      <c r="Q11" s="41">
        <f>VLOOKUP($Q$5,'Sectors Trend'!$B$50:$AL$67,VLOOKUP(A11,$U:$V,2,),)</f>
        <v>-2</v>
      </c>
      <c r="R11" s="41">
        <f>VLOOKUP($R$5,'Sectors Trend'!$B$50:$AL$67,VLOOKUP(A11,$U:$V,2,),)</f>
        <v>9</v>
      </c>
      <c r="S11" s="42">
        <f>VLOOKUP($S$5,'Sectors Trend'!$B$50:$AL$67,VLOOKUP(A11,$U:$V,2,),)</f>
        <v>4</v>
      </c>
      <c r="U11" s="7">
        <f>L1</f>
        <v>44743</v>
      </c>
      <c r="V11" s="1">
        <f>L2+1</f>
        <v>32</v>
      </c>
      <c r="Y11" s="66">
        <f t="shared" si="2"/>
        <v>-5</v>
      </c>
      <c r="Z11" s="66">
        <f t="shared" si="3"/>
        <v>11</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Q68"/>
  <sheetViews>
    <sheetView tabSelected="1" zoomScale="130" zoomScaleNormal="130" workbookViewId="0">
      <pane xSplit="2" ySplit="5" topLeftCell="Y6" activePane="bottomRight" state="frozen"/>
      <selection pane="topRight" activeCell="C1" sqref="C1"/>
      <selection pane="bottomLeft" activeCell="A6" sqref="A6"/>
      <selection pane="bottomRight" activeCell="AJ6" sqref="AJ6"/>
    </sheetView>
  </sheetViews>
  <sheetFormatPr baseColWidth="10" defaultColWidth="8.83203125" defaultRowHeight="15" x14ac:dyDescent="0.2"/>
  <cols>
    <col min="1" max="1" width="9.1640625" style="66" customWidth="1"/>
    <col min="2" max="2" width="30.5" style="66" customWidth="1"/>
    <col min="3" max="34" width="10.5" style="29" customWidth="1"/>
    <col min="35" max="38" width="10.1640625" style="66" customWidth="1"/>
    <col min="39" max="40" width="9.1640625" style="66" customWidth="1"/>
    <col min="41" max="41" width="10.6640625" style="66" bestFit="1" customWidth="1"/>
    <col min="42" max="241" width="9.1640625" style="66" customWidth="1"/>
    <col min="242" max="242" width="28.6640625" style="66" customWidth="1"/>
    <col min="243" max="243" width="9" style="66" bestFit="1" customWidth="1"/>
    <col min="244" max="244" width="5.33203125" style="66" customWidth="1"/>
    <col min="245" max="245" width="9" style="66" bestFit="1" customWidth="1"/>
    <col min="246" max="246" width="5.33203125" style="66" customWidth="1"/>
    <col min="247" max="247" width="9" style="66" bestFit="1" customWidth="1"/>
    <col min="248" max="248" width="5" style="66" customWidth="1"/>
    <col min="249" max="249" width="9" style="66" bestFit="1" customWidth="1"/>
    <col min="250" max="250" width="5.1640625" style="66" customWidth="1"/>
    <col min="251" max="251" width="9.1640625" style="66" customWidth="1"/>
    <col min="252" max="252" width="6" style="66" customWidth="1"/>
    <col min="253" max="253" width="9.1640625" style="66" customWidth="1"/>
    <col min="254" max="254" width="6" style="66" customWidth="1"/>
    <col min="255" max="256" width="10.1640625" style="66" customWidth="1"/>
    <col min="257" max="257" width="10" style="66" customWidth="1"/>
    <col min="258" max="258" width="10.33203125" style="66" customWidth="1"/>
    <col min="259" max="269" width="9.1640625" style="66" customWidth="1"/>
    <col min="270" max="270" width="11.33203125" style="66" customWidth="1"/>
    <col min="271" max="291" width="13" style="66" hidden="1" customWidth="1"/>
    <col min="292" max="497" width="9.1640625" style="66" customWidth="1"/>
    <col min="498" max="498" width="28.6640625" style="66" customWidth="1"/>
    <col min="499" max="499" width="9" style="66" bestFit="1" customWidth="1"/>
    <col min="500" max="500" width="5.33203125" style="66" customWidth="1"/>
    <col min="501" max="501" width="9" style="66" bestFit="1" customWidth="1"/>
    <col min="502" max="502" width="5.33203125" style="66" customWidth="1"/>
    <col min="503" max="503" width="9" style="66" bestFit="1" customWidth="1"/>
    <col min="504" max="504" width="5" style="66" customWidth="1"/>
    <col min="505" max="505" width="9" style="66" bestFit="1" customWidth="1"/>
    <col min="506" max="506" width="5.1640625" style="66" customWidth="1"/>
    <col min="507" max="507" width="9.1640625" style="66" customWidth="1"/>
    <col min="508" max="508" width="6" style="66" customWidth="1"/>
    <col min="509" max="509" width="9.1640625" style="66" customWidth="1"/>
    <col min="510" max="510" width="6" style="66" customWidth="1"/>
    <col min="511" max="512" width="10.1640625" style="66" customWidth="1"/>
    <col min="513" max="513" width="10" style="66" customWidth="1"/>
    <col min="514" max="514" width="10.33203125" style="66" customWidth="1"/>
    <col min="515" max="525" width="9.1640625" style="66" customWidth="1"/>
    <col min="526" max="526" width="11.33203125" style="66" customWidth="1"/>
    <col min="527" max="547" width="13" style="66" hidden="1" customWidth="1"/>
    <col min="548" max="753" width="9.1640625" style="66" customWidth="1"/>
    <col min="754" max="754" width="28.6640625" style="66" customWidth="1"/>
    <col min="755" max="755" width="9" style="66" bestFit="1" customWidth="1"/>
    <col min="756" max="756" width="5.33203125" style="66" customWidth="1"/>
    <col min="757" max="757" width="9" style="66" bestFit="1" customWidth="1"/>
    <col min="758" max="758" width="5.33203125" style="66" customWidth="1"/>
    <col min="759" max="759" width="9" style="66" bestFit="1" customWidth="1"/>
    <col min="760" max="760" width="5" style="66" customWidth="1"/>
    <col min="761" max="761" width="9" style="66" bestFit="1" customWidth="1"/>
    <col min="762" max="762" width="5.1640625" style="66" customWidth="1"/>
    <col min="763" max="763" width="9.1640625" style="66" customWidth="1"/>
    <col min="764" max="764" width="6" style="66" customWidth="1"/>
    <col min="765" max="765" width="9.1640625" style="66" customWidth="1"/>
    <col min="766" max="766" width="6" style="66" customWidth="1"/>
    <col min="767" max="768" width="10.1640625" style="66" customWidth="1"/>
    <col min="769" max="769" width="10" style="66" customWidth="1"/>
    <col min="770" max="770" width="10.33203125" style="66" customWidth="1"/>
    <col min="771" max="781" width="9.1640625" style="66" customWidth="1"/>
    <col min="782" max="782" width="11.33203125" style="66" customWidth="1"/>
    <col min="783" max="803" width="13" style="66" hidden="1" customWidth="1"/>
    <col min="804" max="1009" width="9.1640625" style="66" customWidth="1"/>
    <col min="1010" max="1010" width="28.6640625" style="66" customWidth="1"/>
    <col min="1011" max="1011" width="9" style="66" bestFit="1" customWidth="1"/>
    <col min="1012" max="1012" width="5.33203125" style="66" customWidth="1"/>
    <col min="1013" max="1013" width="9" style="66" bestFit="1" customWidth="1"/>
    <col min="1014" max="1014" width="5.33203125" style="66" customWidth="1"/>
    <col min="1015" max="1015" width="9" style="66" bestFit="1" customWidth="1"/>
    <col min="1016" max="1016" width="5" style="66" customWidth="1"/>
    <col min="1017" max="1017" width="9" style="66" bestFit="1" customWidth="1"/>
    <col min="1018" max="1018" width="5.1640625" style="66" customWidth="1"/>
    <col min="1019" max="1019" width="9.1640625" style="66" customWidth="1"/>
    <col min="1020" max="1020" width="6" style="66" customWidth="1"/>
    <col min="1021" max="1021" width="9.1640625" style="66" customWidth="1"/>
    <col min="1022" max="1022" width="6" style="66" customWidth="1"/>
    <col min="1023" max="1024" width="10.1640625" style="66" customWidth="1"/>
    <col min="1025" max="1025" width="10" style="66" customWidth="1"/>
    <col min="1026" max="1026" width="10.33203125" style="66" customWidth="1"/>
    <col min="1027" max="1037" width="9.1640625" style="66" customWidth="1"/>
    <col min="1038" max="1038" width="11.33203125" style="66" customWidth="1"/>
    <col min="1039" max="1059" width="13" style="66" hidden="1" customWidth="1"/>
    <col min="1060" max="1265" width="9.1640625" style="66" customWidth="1"/>
    <col min="1266" max="1266" width="28.6640625" style="66" customWidth="1"/>
    <col min="1267" max="1267" width="9" style="66" bestFit="1" customWidth="1"/>
    <col min="1268" max="1268" width="5.33203125" style="66" customWidth="1"/>
    <col min="1269" max="1269" width="9" style="66" bestFit="1" customWidth="1"/>
    <col min="1270" max="1270" width="5.33203125" style="66" customWidth="1"/>
    <col min="1271" max="1271" width="9" style="66" bestFit="1" customWidth="1"/>
    <col min="1272" max="1272" width="5" style="66" customWidth="1"/>
    <col min="1273" max="1273" width="9" style="66" bestFit="1" customWidth="1"/>
    <col min="1274" max="1274" width="5.1640625" style="66" customWidth="1"/>
    <col min="1275" max="1275" width="9.1640625" style="66" customWidth="1"/>
    <col min="1276" max="1276" width="6" style="66" customWidth="1"/>
    <col min="1277" max="1277" width="9.1640625" style="66" customWidth="1"/>
    <col min="1278" max="1278" width="6" style="66" customWidth="1"/>
    <col min="1279" max="1280" width="10.1640625" style="66" customWidth="1"/>
    <col min="1281" max="1281" width="10" style="66" customWidth="1"/>
    <col min="1282" max="1282" width="10.33203125" style="66" customWidth="1"/>
    <col min="1283" max="1293" width="9.1640625" style="66" customWidth="1"/>
    <col min="1294" max="1294" width="11.33203125" style="66" customWidth="1"/>
    <col min="1295" max="1315" width="13" style="66" hidden="1" customWidth="1"/>
    <col min="1316" max="1521" width="9.1640625" style="66" customWidth="1"/>
    <col min="1522" max="1522" width="28.6640625" style="66" customWidth="1"/>
    <col min="1523" max="1523" width="9" style="66" bestFit="1" customWidth="1"/>
    <col min="1524" max="1524" width="5.33203125" style="66" customWidth="1"/>
    <col min="1525" max="1525" width="9" style="66" bestFit="1" customWidth="1"/>
    <col min="1526" max="1526" width="5.33203125" style="66" customWidth="1"/>
    <col min="1527" max="1527" width="9" style="66" bestFit="1" customWidth="1"/>
    <col min="1528" max="1528" width="5" style="66" customWidth="1"/>
    <col min="1529" max="1529" width="9" style="66" bestFit="1" customWidth="1"/>
    <col min="1530" max="1530" width="5.1640625" style="66" customWidth="1"/>
    <col min="1531" max="1531" width="9.1640625" style="66" customWidth="1"/>
    <col min="1532" max="1532" width="6" style="66" customWidth="1"/>
    <col min="1533" max="1533" width="9.1640625" style="66" customWidth="1"/>
    <col min="1534" max="1534" width="6" style="66" customWidth="1"/>
    <col min="1535" max="1536" width="10.1640625" style="66" customWidth="1"/>
    <col min="1537" max="1537" width="10" style="66" customWidth="1"/>
    <col min="1538" max="1538" width="10.33203125" style="66" customWidth="1"/>
    <col min="1539" max="1549" width="9.1640625" style="66" customWidth="1"/>
    <col min="1550" max="1550" width="11.33203125" style="66" customWidth="1"/>
    <col min="1551" max="1571" width="13" style="66" hidden="1" customWidth="1"/>
    <col min="1572" max="1777" width="9.1640625" style="66" customWidth="1"/>
    <col min="1778" max="1778" width="28.6640625" style="66" customWidth="1"/>
    <col min="1779" max="1779" width="9" style="66" bestFit="1" customWidth="1"/>
    <col min="1780" max="1780" width="5.33203125" style="66" customWidth="1"/>
    <col min="1781" max="1781" width="9" style="66" bestFit="1" customWidth="1"/>
    <col min="1782" max="1782" width="5.33203125" style="66" customWidth="1"/>
    <col min="1783" max="1783" width="9" style="66" bestFit="1" customWidth="1"/>
    <col min="1784" max="1784" width="5" style="66" customWidth="1"/>
    <col min="1785" max="1785" width="9" style="66" bestFit="1" customWidth="1"/>
    <col min="1786" max="1786" width="5.1640625" style="66" customWidth="1"/>
    <col min="1787" max="1787" width="9.1640625" style="66" customWidth="1"/>
    <col min="1788" max="1788" width="6" style="66" customWidth="1"/>
    <col min="1789" max="1789" width="9.1640625" style="66" customWidth="1"/>
    <col min="1790" max="1790" width="6" style="66" customWidth="1"/>
    <col min="1791" max="1792" width="10.1640625" style="66" customWidth="1"/>
    <col min="1793" max="1793" width="10" style="66" customWidth="1"/>
    <col min="1794" max="1794" width="10.33203125" style="66" customWidth="1"/>
    <col min="1795" max="1805" width="9.1640625" style="66" customWidth="1"/>
    <col min="1806" max="1806" width="11.33203125" style="66" customWidth="1"/>
    <col min="1807" max="1827" width="13" style="66" hidden="1" customWidth="1"/>
    <col min="1828" max="2033" width="9.1640625" style="66" customWidth="1"/>
    <col min="2034" max="2034" width="28.6640625" style="66" customWidth="1"/>
    <col min="2035" max="2035" width="9" style="66" bestFit="1" customWidth="1"/>
    <col min="2036" max="2036" width="5.33203125" style="66" customWidth="1"/>
    <col min="2037" max="2037" width="9" style="66" bestFit="1" customWidth="1"/>
    <col min="2038" max="2038" width="5.33203125" style="66" customWidth="1"/>
    <col min="2039" max="2039" width="9" style="66" bestFit="1" customWidth="1"/>
    <col min="2040" max="2040" width="5" style="66" customWidth="1"/>
    <col min="2041" max="2041" width="9" style="66" bestFit="1" customWidth="1"/>
    <col min="2042" max="2042" width="5.1640625" style="66" customWidth="1"/>
    <col min="2043" max="2043" width="9.1640625" style="66" customWidth="1"/>
    <col min="2044" max="2044" width="6" style="66" customWidth="1"/>
    <col min="2045" max="2045" width="9.1640625" style="66" customWidth="1"/>
    <col min="2046" max="2046" width="6" style="66" customWidth="1"/>
    <col min="2047" max="2048" width="10.1640625" style="66" customWidth="1"/>
    <col min="2049" max="2049" width="10" style="66" customWidth="1"/>
    <col min="2050" max="2050" width="10.33203125" style="66" customWidth="1"/>
    <col min="2051" max="2061" width="9.1640625" style="66" customWidth="1"/>
    <col min="2062" max="2062" width="11.33203125" style="66" customWidth="1"/>
    <col min="2063" max="2083" width="13" style="66" hidden="1" customWidth="1"/>
    <col min="2084" max="2289" width="9.1640625" style="66" customWidth="1"/>
    <col min="2290" max="2290" width="28.6640625" style="66" customWidth="1"/>
    <col min="2291" max="2291" width="9" style="66" bestFit="1" customWidth="1"/>
    <col min="2292" max="2292" width="5.33203125" style="66" customWidth="1"/>
    <col min="2293" max="2293" width="9" style="66" bestFit="1" customWidth="1"/>
    <col min="2294" max="2294" width="5.33203125" style="66" customWidth="1"/>
    <col min="2295" max="2295" width="9" style="66" bestFit="1" customWidth="1"/>
    <col min="2296" max="2296" width="5" style="66" customWidth="1"/>
    <col min="2297" max="2297" width="9" style="66" bestFit="1" customWidth="1"/>
    <col min="2298" max="2298" width="5.1640625" style="66" customWidth="1"/>
    <col min="2299" max="2299" width="9.1640625" style="66" customWidth="1"/>
    <col min="2300" max="2300" width="6" style="66" customWidth="1"/>
    <col min="2301" max="2301" width="9.1640625" style="66" customWidth="1"/>
    <col min="2302" max="2302" width="6" style="66" customWidth="1"/>
    <col min="2303" max="2304" width="10.1640625" style="66" customWidth="1"/>
    <col min="2305" max="2305" width="10" style="66" customWidth="1"/>
    <col min="2306" max="2306" width="10.33203125" style="66" customWidth="1"/>
    <col min="2307" max="2317" width="9.1640625" style="66" customWidth="1"/>
    <col min="2318" max="2318" width="11.33203125" style="66" customWidth="1"/>
    <col min="2319" max="2339" width="13" style="66" hidden="1" customWidth="1"/>
    <col min="2340" max="2545" width="9.1640625" style="66" customWidth="1"/>
    <col min="2546" max="2546" width="28.6640625" style="66" customWidth="1"/>
    <col min="2547" max="2547" width="9" style="66" bestFit="1" customWidth="1"/>
    <col min="2548" max="2548" width="5.33203125" style="66" customWidth="1"/>
    <col min="2549" max="2549" width="9" style="66" bestFit="1" customWidth="1"/>
    <col min="2550" max="2550" width="5.33203125" style="66" customWidth="1"/>
    <col min="2551" max="2551" width="9" style="66" bestFit="1" customWidth="1"/>
    <col min="2552" max="2552" width="5" style="66" customWidth="1"/>
    <col min="2553" max="2553" width="9" style="66" bestFit="1" customWidth="1"/>
    <col min="2554" max="2554" width="5.1640625" style="66" customWidth="1"/>
    <col min="2555" max="2555" width="9.1640625" style="66" customWidth="1"/>
    <col min="2556" max="2556" width="6" style="66" customWidth="1"/>
    <col min="2557" max="2557" width="9.1640625" style="66" customWidth="1"/>
    <col min="2558" max="2558" width="6" style="66" customWidth="1"/>
    <col min="2559" max="2560" width="10.1640625" style="66" customWidth="1"/>
    <col min="2561" max="2561" width="10" style="66" customWidth="1"/>
    <col min="2562" max="2562" width="10.33203125" style="66" customWidth="1"/>
    <col min="2563" max="2573" width="9.1640625" style="66" customWidth="1"/>
    <col min="2574" max="2574" width="11.33203125" style="66" customWidth="1"/>
    <col min="2575" max="2595" width="13" style="66" hidden="1" customWidth="1"/>
    <col min="2596" max="2801" width="9.1640625" style="66" customWidth="1"/>
    <col min="2802" max="2802" width="28.6640625" style="66" customWidth="1"/>
    <col min="2803" max="2803" width="9" style="66" bestFit="1" customWidth="1"/>
    <col min="2804" max="2804" width="5.33203125" style="66" customWidth="1"/>
    <col min="2805" max="2805" width="9" style="66" bestFit="1" customWidth="1"/>
    <col min="2806" max="2806" width="5.33203125" style="66" customWidth="1"/>
    <col min="2807" max="2807" width="9" style="66" bestFit="1" customWidth="1"/>
    <col min="2808" max="2808" width="5" style="66" customWidth="1"/>
    <col min="2809" max="2809" width="9" style="66" bestFit="1" customWidth="1"/>
    <col min="2810" max="2810" width="5.1640625" style="66" customWidth="1"/>
    <col min="2811" max="2811" width="9.1640625" style="66" customWidth="1"/>
    <col min="2812" max="2812" width="6" style="66" customWidth="1"/>
    <col min="2813" max="2813" width="9.1640625" style="66" customWidth="1"/>
    <col min="2814" max="2814" width="6" style="66" customWidth="1"/>
    <col min="2815" max="2816" width="10.1640625" style="66" customWidth="1"/>
    <col min="2817" max="2817" width="10" style="66" customWidth="1"/>
    <col min="2818" max="2818" width="10.33203125" style="66" customWidth="1"/>
    <col min="2819" max="2829" width="9.1640625" style="66" customWidth="1"/>
    <col min="2830" max="2830" width="11.33203125" style="66" customWidth="1"/>
    <col min="2831" max="2851" width="13" style="66" hidden="1" customWidth="1"/>
    <col min="2852" max="3057" width="9.1640625" style="66" customWidth="1"/>
    <col min="3058" max="3058" width="28.6640625" style="66" customWidth="1"/>
    <col min="3059" max="3059" width="9" style="66" bestFit="1" customWidth="1"/>
    <col min="3060" max="3060" width="5.33203125" style="66" customWidth="1"/>
    <col min="3061" max="3061" width="9" style="66" bestFit="1" customWidth="1"/>
    <col min="3062" max="3062" width="5.33203125" style="66" customWidth="1"/>
    <col min="3063" max="3063" width="9" style="66" bestFit="1" customWidth="1"/>
    <col min="3064" max="3064" width="5" style="66" customWidth="1"/>
    <col min="3065" max="3065" width="9" style="66" bestFit="1" customWidth="1"/>
    <col min="3066" max="3066" width="5.1640625" style="66" customWidth="1"/>
    <col min="3067" max="3067" width="9.1640625" style="66" customWidth="1"/>
    <col min="3068" max="3068" width="6" style="66" customWidth="1"/>
    <col min="3069" max="3069" width="9.1640625" style="66" customWidth="1"/>
    <col min="3070" max="3070" width="6" style="66" customWidth="1"/>
    <col min="3071" max="3072" width="10.1640625" style="66" customWidth="1"/>
    <col min="3073" max="3073" width="10" style="66" customWidth="1"/>
    <col min="3074" max="3074" width="10.33203125" style="66" customWidth="1"/>
    <col min="3075" max="3085" width="9.1640625" style="66" customWidth="1"/>
    <col min="3086" max="3086" width="11.33203125" style="66" customWidth="1"/>
    <col min="3087" max="3107" width="13" style="66" hidden="1" customWidth="1"/>
    <col min="3108" max="3313" width="9.1640625" style="66" customWidth="1"/>
    <col min="3314" max="3314" width="28.6640625" style="66" customWidth="1"/>
    <col min="3315" max="3315" width="9" style="66" bestFit="1" customWidth="1"/>
    <col min="3316" max="3316" width="5.33203125" style="66" customWidth="1"/>
    <col min="3317" max="3317" width="9" style="66" bestFit="1" customWidth="1"/>
    <col min="3318" max="3318" width="5.33203125" style="66" customWidth="1"/>
    <col min="3319" max="3319" width="9" style="66" bestFit="1" customWidth="1"/>
    <col min="3320" max="3320" width="5" style="66" customWidth="1"/>
    <col min="3321" max="3321" width="9" style="66" bestFit="1" customWidth="1"/>
    <col min="3322" max="3322" width="5.1640625" style="66" customWidth="1"/>
    <col min="3323" max="3323" width="9.1640625" style="66" customWidth="1"/>
    <col min="3324" max="3324" width="6" style="66" customWidth="1"/>
    <col min="3325" max="3325" width="9.1640625" style="66" customWidth="1"/>
    <col min="3326" max="3326" width="6" style="66" customWidth="1"/>
    <col min="3327" max="3328" width="10.1640625" style="66" customWidth="1"/>
    <col min="3329" max="3329" width="10" style="66" customWidth="1"/>
    <col min="3330" max="3330" width="10.33203125" style="66" customWidth="1"/>
    <col min="3331" max="3341" width="9.1640625" style="66" customWidth="1"/>
    <col min="3342" max="3342" width="11.33203125" style="66" customWidth="1"/>
    <col min="3343" max="3363" width="13" style="66" hidden="1" customWidth="1"/>
    <col min="3364" max="3569" width="9.1640625" style="66" customWidth="1"/>
    <col min="3570" max="3570" width="28.6640625" style="66" customWidth="1"/>
    <col min="3571" max="3571" width="9" style="66" bestFit="1" customWidth="1"/>
    <col min="3572" max="3572" width="5.33203125" style="66" customWidth="1"/>
    <col min="3573" max="3573" width="9" style="66" bestFit="1" customWidth="1"/>
    <col min="3574" max="3574" width="5.33203125" style="66" customWidth="1"/>
    <col min="3575" max="3575" width="9" style="66" bestFit="1" customWidth="1"/>
    <col min="3576" max="3576" width="5" style="66" customWidth="1"/>
    <col min="3577" max="3577" width="9" style="66" bestFit="1" customWidth="1"/>
    <col min="3578" max="3578" width="5.1640625" style="66" customWidth="1"/>
    <col min="3579" max="3579" width="9.1640625" style="66" customWidth="1"/>
    <col min="3580" max="3580" width="6" style="66" customWidth="1"/>
    <col min="3581" max="3581" width="9.1640625" style="66" customWidth="1"/>
    <col min="3582" max="3582" width="6" style="66" customWidth="1"/>
    <col min="3583" max="3584" width="10.1640625" style="66" customWidth="1"/>
    <col min="3585" max="3585" width="10" style="66" customWidth="1"/>
    <col min="3586" max="3586" width="10.33203125" style="66" customWidth="1"/>
    <col min="3587" max="3597" width="9.1640625" style="66" customWidth="1"/>
    <col min="3598" max="3598" width="11.33203125" style="66" customWidth="1"/>
    <col min="3599" max="3619" width="13" style="66" hidden="1" customWidth="1"/>
    <col min="3620" max="3825" width="9.1640625" style="66" customWidth="1"/>
    <col min="3826" max="3826" width="28.6640625" style="66" customWidth="1"/>
    <col min="3827" max="3827" width="9" style="66" bestFit="1" customWidth="1"/>
    <col min="3828" max="3828" width="5.33203125" style="66" customWidth="1"/>
    <col min="3829" max="3829" width="9" style="66" bestFit="1" customWidth="1"/>
    <col min="3830" max="3830" width="5.33203125" style="66" customWidth="1"/>
    <col min="3831" max="3831" width="9" style="66" bestFit="1" customWidth="1"/>
    <col min="3832" max="3832" width="5" style="66" customWidth="1"/>
    <col min="3833" max="3833" width="9" style="66" bestFit="1" customWidth="1"/>
    <col min="3834" max="3834" width="5.1640625" style="66" customWidth="1"/>
    <col min="3835" max="3835" width="9.1640625" style="66" customWidth="1"/>
    <col min="3836" max="3836" width="6" style="66" customWidth="1"/>
    <col min="3837" max="3837" width="9.1640625" style="66" customWidth="1"/>
    <col min="3838" max="3838" width="6" style="66" customWidth="1"/>
    <col min="3839" max="3840" width="10.1640625" style="66" customWidth="1"/>
    <col min="3841" max="3841" width="10" style="66" customWidth="1"/>
    <col min="3842" max="3842" width="10.33203125" style="66" customWidth="1"/>
    <col min="3843" max="3853" width="9.1640625" style="66" customWidth="1"/>
    <col min="3854" max="3854" width="11.33203125" style="66" customWidth="1"/>
    <col min="3855" max="3875" width="13" style="66" hidden="1" customWidth="1"/>
    <col min="3876" max="4081" width="9.1640625" style="66" customWidth="1"/>
    <col min="4082" max="4082" width="28.6640625" style="66" customWidth="1"/>
    <col min="4083" max="4083" width="9" style="66" bestFit="1" customWidth="1"/>
    <col min="4084" max="4084" width="5.33203125" style="66" customWidth="1"/>
    <col min="4085" max="4085" width="9" style="66" bestFit="1" customWidth="1"/>
    <col min="4086" max="4086" width="5.33203125" style="66" customWidth="1"/>
    <col min="4087" max="4087" width="9" style="66" bestFit="1" customWidth="1"/>
    <col min="4088" max="4088" width="5" style="66" customWidth="1"/>
    <col min="4089" max="4089" width="9" style="66" bestFit="1" customWidth="1"/>
    <col min="4090" max="4090" width="5.1640625" style="66" customWidth="1"/>
    <col min="4091" max="4091" width="9.1640625" style="66" customWidth="1"/>
    <col min="4092" max="4092" width="6" style="66" customWidth="1"/>
    <col min="4093" max="4093" width="9.1640625" style="66" customWidth="1"/>
    <col min="4094" max="4094" width="6" style="66" customWidth="1"/>
    <col min="4095" max="4096" width="10.1640625" style="66" customWidth="1"/>
    <col min="4097" max="4097" width="10" style="66" customWidth="1"/>
    <col min="4098" max="4098" width="10.33203125" style="66" customWidth="1"/>
    <col min="4099" max="4109" width="9.1640625" style="66" customWidth="1"/>
    <col min="4110" max="4110" width="11.33203125" style="66" customWidth="1"/>
    <col min="4111" max="4131" width="13" style="66" hidden="1" customWidth="1"/>
    <col min="4132" max="4337" width="9.1640625" style="66" customWidth="1"/>
    <col min="4338" max="4338" width="28.6640625" style="66" customWidth="1"/>
    <col min="4339" max="4339" width="9" style="66" bestFit="1" customWidth="1"/>
    <col min="4340" max="4340" width="5.33203125" style="66" customWidth="1"/>
    <col min="4341" max="4341" width="9" style="66" bestFit="1" customWidth="1"/>
    <col min="4342" max="4342" width="5.33203125" style="66" customWidth="1"/>
    <col min="4343" max="4343" width="9" style="66" bestFit="1" customWidth="1"/>
    <col min="4344" max="4344" width="5" style="66" customWidth="1"/>
    <col min="4345" max="4345" width="9" style="66" bestFit="1" customWidth="1"/>
    <col min="4346" max="4346" width="5.1640625" style="66" customWidth="1"/>
    <col min="4347" max="4347" width="9.1640625" style="66" customWidth="1"/>
    <col min="4348" max="4348" width="6" style="66" customWidth="1"/>
    <col min="4349" max="4349" width="9.1640625" style="66" customWidth="1"/>
    <col min="4350" max="4350" width="6" style="66" customWidth="1"/>
    <col min="4351" max="4352" width="10.1640625" style="66" customWidth="1"/>
    <col min="4353" max="4353" width="10" style="66" customWidth="1"/>
    <col min="4354" max="4354" width="10.33203125" style="66" customWidth="1"/>
    <col min="4355" max="4365" width="9.1640625" style="66" customWidth="1"/>
    <col min="4366" max="4366" width="11.33203125" style="66" customWidth="1"/>
    <col min="4367" max="4387" width="13" style="66" hidden="1" customWidth="1"/>
    <col min="4388" max="4593" width="9.1640625" style="66" customWidth="1"/>
    <col min="4594" max="4594" width="28.6640625" style="66" customWidth="1"/>
    <col min="4595" max="4595" width="9" style="66" bestFit="1" customWidth="1"/>
    <col min="4596" max="4596" width="5.33203125" style="66" customWidth="1"/>
    <col min="4597" max="4597" width="9" style="66" bestFit="1" customWidth="1"/>
    <col min="4598" max="4598" width="5.33203125" style="66" customWidth="1"/>
    <col min="4599" max="4599" width="9" style="66" bestFit="1" customWidth="1"/>
    <col min="4600" max="4600" width="5" style="66" customWidth="1"/>
    <col min="4601" max="4601" width="9" style="66" bestFit="1" customWidth="1"/>
    <col min="4602" max="4602" width="5.1640625" style="66" customWidth="1"/>
    <col min="4603" max="4603" width="9.1640625" style="66" customWidth="1"/>
    <col min="4604" max="4604" width="6" style="66" customWidth="1"/>
    <col min="4605" max="4605" width="9.1640625" style="66" customWidth="1"/>
    <col min="4606" max="4606" width="6" style="66" customWidth="1"/>
    <col min="4607" max="4608" width="10.1640625" style="66" customWidth="1"/>
    <col min="4609" max="4609" width="10" style="66" customWidth="1"/>
    <col min="4610" max="4610" width="10.33203125" style="66" customWidth="1"/>
    <col min="4611" max="4621" width="9.1640625" style="66" customWidth="1"/>
    <col min="4622" max="4622" width="11.33203125" style="66" customWidth="1"/>
    <col min="4623" max="4643" width="13" style="66" hidden="1" customWidth="1"/>
    <col min="4644" max="4849" width="9.1640625" style="66" customWidth="1"/>
    <col min="4850" max="4850" width="28.6640625" style="66" customWidth="1"/>
    <col min="4851" max="4851" width="9" style="66" bestFit="1" customWidth="1"/>
    <col min="4852" max="4852" width="5.33203125" style="66" customWidth="1"/>
    <col min="4853" max="4853" width="9" style="66" bestFit="1" customWidth="1"/>
    <col min="4854" max="4854" width="5.33203125" style="66" customWidth="1"/>
    <col min="4855" max="4855" width="9" style="66" bestFit="1" customWidth="1"/>
    <col min="4856" max="4856" width="5" style="66" customWidth="1"/>
    <col min="4857" max="4857" width="9" style="66" bestFit="1" customWidth="1"/>
    <col min="4858" max="4858" width="5.1640625" style="66" customWidth="1"/>
    <col min="4859" max="4859" width="9.1640625" style="66" customWidth="1"/>
    <col min="4860" max="4860" width="6" style="66" customWidth="1"/>
    <col min="4861" max="4861" width="9.1640625" style="66" customWidth="1"/>
    <col min="4862" max="4862" width="6" style="66" customWidth="1"/>
    <col min="4863" max="4864" width="10.1640625" style="66" customWidth="1"/>
    <col min="4865" max="4865" width="10" style="66" customWidth="1"/>
    <col min="4866" max="4866" width="10.33203125" style="66" customWidth="1"/>
    <col min="4867" max="4877" width="9.1640625" style="66" customWidth="1"/>
    <col min="4878" max="4878" width="11.33203125" style="66" customWidth="1"/>
    <col min="4879" max="4899" width="13" style="66" hidden="1" customWidth="1"/>
    <col min="4900" max="5105" width="9.1640625" style="66" customWidth="1"/>
    <col min="5106" max="5106" width="28.6640625" style="66" customWidth="1"/>
    <col min="5107" max="5107" width="9" style="66" bestFit="1" customWidth="1"/>
    <col min="5108" max="5108" width="5.33203125" style="66" customWidth="1"/>
    <col min="5109" max="5109" width="9" style="66" bestFit="1" customWidth="1"/>
    <col min="5110" max="5110" width="5.33203125" style="66" customWidth="1"/>
    <col min="5111" max="5111" width="9" style="66" bestFit="1" customWidth="1"/>
    <col min="5112" max="5112" width="5" style="66" customWidth="1"/>
    <col min="5113" max="5113" width="9" style="66" bestFit="1" customWidth="1"/>
    <col min="5114" max="5114" width="5.1640625" style="66" customWidth="1"/>
    <col min="5115" max="5115" width="9.1640625" style="66" customWidth="1"/>
    <col min="5116" max="5116" width="6" style="66" customWidth="1"/>
    <col min="5117" max="5117" width="9.1640625" style="66" customWidth="1"/>
    <col min="5118" max="5118" width="6" style="66" customWidth="1"/>
    <col min="5119" max="5120" width="10.1640625" style="66" customWidth="1"/>
    <col min="5121" max="5121" width="10" style="66" customWidth="1"/>
    <col min="5122" max="5122" width="10.33203125" style="66" customWidth="1"/>
    <col min="5123" max="5133" width="9.1640625" style="66" customWidth="1"/>
    <col min="5134" max="5134" width="11.33203125" style="66" customWidth="1"/>
    <col min="5135" max="5155" width="13" style="66" hidden="1" customWidth="1"/>
    <col min="5156" max="5361" width="9.1640625" style="66" customWidth="1"/>
    <col min="5362" max="5362" width="28.6640625" style="66" customWidth="1"/>
    <col min="5363" max="5363" width="9" style="66" bestFit="1" customWidth="1"/>
    <col min="5364" max="5364" width="5.33203125" style="66" customWidth="1"/>
    <col min="5365" max="5365" width="9" style="66" bestFit="1" customWidth="1"/>
    <col min="5366" max="5366" width="5.33203125" style="66" customWidth="1"/>
    <col min="5367" max="5367" width="9" style="66" bestFit="1" customWidth="1"/>
    <col min="5368" max="5368" width="5" style="66" customWidth="1"/>
    <col min="5369" max="5369" width="9" style="66" bestFit="1" customWidth="1"/>
    <col min="5370" max="5370" width="5.1640625" style="66" customWidth="1"/>
    <col min="5371" max="5371" width="9.1640625" style="66" customWidth="1"/>
    <col min="5372" max="5372" width="6" style="66" customWidth="1"/>
    <col min="5373" max="5373" width="9.1640625" style="66" customWidth="1"/>
    <col min="5374" max="5374" width="6" style="66" customWidth="1"/>
    <col min="5375" max="5376" width="10.1640625" style="66" customWidth="1"/>
    <col min="5377" max="5377" width="10" style="66" customWidth="1"/>
    <col min="5378" max="5378" width="10.33203125" style="66" customWidth="1"/>
    <col min="5379" max="5389" width="9.1640625" style="66" customWidth="1"/>
    <col min="5390" max="5390" width="11.33203125" style="66" customWidth="1"/>
    <col min="5391" max="5411" width="13" style="66" hidden="1" customWidth="1"/>
    <col min="5412" max="5617" width="9.1640625" style="66" customWidth="1"/>
    <col min="5618" max="5618" width="28.6640625" style="66" customWidth="1"/>
    <col min="5619" max="5619" width="9" style="66" bestFit="1" customWidth="1"/>
    <col min="5620" max="5620" width="5.33203125" style="66" customWidth="1"/>
    <col min="5621" max="5621" width="9" style="66" bestFit="1" customWidth="1"/>
    <col min="5622" max="5622" width="5.33203125" style="66" customWidth="1"/>
    <col min="5623" max="5623" width="9" style="66" bestFit="1" customWidth="1"/>
    <col min="5624" max="5624" width="5" style="66" customWidth="1"/>
    <col min="5625" max="5625" width="9" style="66" bestFit="1" customWidth="1"/>
    <col min="5626" max="5626" width="5.1640625" style="66" customWidth="1"/>
    <col min="5627" max="5627" width="9.1640625" style="66" customWidth="1"/>
    <col min="5628" max="5628" width="6" style="66" customWidth="1"/>
    <col min="5629" max="5629" width="9.1640625" style="66" customWidth="1"/>
    <col min="5630" max="5630" width="6" style="66" customWidth="1"/>
    <col min="5631" max="5632" width="10.1640625" style="66" customWidth="1"/>
    <col min="5633" max="5633" width="10" style="66" customWidth="1"/>
    <col min="5634" max="5634" width="10.33203125" style="66" customWidth="1"/>
    <col min="5635" max="5645" width="9.1640625" style="66" customWidth="1"/>
    <col min="5646" max="5646" width="11.33203125" style="66" customWidth="1"/>
    <col min="5647" max="5667" width="13" style="66" hidden="1" customWidth="1"/>
    <col min="5668" max="5873" width="9.1640625" style="66" customWidth="1"/>
    <col min="5874" max="5874" width="28.6640625" style="66" customWidth="1"/>
    <col min="5875" max="5875" width="9" style="66" bestFit="1" customWidth="1"/>
    <col min="5876" max="5876" width="5.33203125" style="66" customWidth="1"/>
    <col min="5877" max="5877" width="9" style="66" bestFit="1" customWidth="1"/>
    <col min="5878" max="5878" width="5.33203125" style="66" customWidth="1"/>
    <col min="5879" max="5879" width="9" style="66" bestFit="1" customWidth="1"/>
    <col min="5880" max="5880" width="5" style="66" customWidth="1"/>
    <col min="5881" max="5881" width="9" style="66" bestFit="1" customWidth="1"/>
    <col min="5882" max="5882" width="5.1640625" style="66" customWidth="1"/>
    <col min="5883" max="5883" width="9.1640625" style="66" customWidth="1"/>
    <col min="5884" max="5884" width="6" style="66" customWidth="1"/>
    <col min="5885" max="5885" width="9.1640625" style="66" customWidth="1"/>
    <col min="5886" max="5886" width="6" style="66" customWidth="1"/>
    <col min="5887" max="5888" width="10.1640625" style="66" customWidth="1"/>
    <col min="5889" max="5889" width="10" style="66" customWidth="1"/>
    <col min="5890" max="5890" width="10.33203125" style="66" customWidth="1"/>
    <col min="5891" max="5901" width="9.1640625" style="66" customWidth="1"/>
    <col min="5902" max="5902" width="11.33203125" style="66" customWidth="1"/>
    <col min="5903" max="5923" width="13" style="66" hidden="1" customWidth="1"/>
    <col min="5924" max="6129" width="9.1640625" style="66" customWidth="1"/>
    <col min="6130" max="6130" width="28.6640625" style="66" customWidth="1"/>
    <col min="6131" max="6131" width="9" style="66" bestFit="1" customWidth="1"/>
    <col min="6132" max="6132" width="5.33203125" style="66" customWidth="1"/>
    <col min="6133" max="6133" width="9" style="66" bestFit="1" customWidth="1"/>
    <col min="6134" max="6134" width="5.33203125" style="66" customWidth="1"/>
    <col min="6135" max="6135" width="9" style="66" bestFit="1" customWidth="1"/>
    <col min="6136" max="6136" width="5" style="66" customWidth="1"/>
    <col min="6137" max="6137" width="9" style="66" bestFit="1" customWidth="1"/>
    <col min="6138" max="6138" width="5.1640625" style="66" customWidth="1"/>
    <col min="6139" max="6139" width="9.1640625" style="66" customWidth="1"/>
    <col min="6140" max="6140" width="6" style="66" customWidth="1"/>
    <col min="6141" max="6141" width="9.1640625" style="66" customWidth="1"/>
    <col min="6142" max="6142" width="6" style="66" customWidth="1"/>
    <col min="6143" max="6144" width="10.1640625" style="66" customWidth="1"/>
    <col min="6145" max="6145" width="10" style="66" customWidth="1"/>
    <col min="6146" max="6146" width="10.33203125" style="66" customWidth="1"/>
    <col min="6147" max="6157" width="9.1640625" style="66" customWidth="1"/>
    <col min="6158" max="6158" width="11.33203125" style="66" customWidth="1"/>
    <col min="6159" max="6179" width="13" style="66" hidden="1" customWidth="1"/>
    <col min="6180" max="6385" width="9.1640625" style="66" customWidth="1"/>
    <col min="6386" max="6386" width="28.6640625" style="66" customWidth="1"/>
    <col min="6387" max="6387" width="9" style="66" bestFit="1" customWidth="1"/>
    <col min="6388" max="6388" width="5.33203125" style="66" customWidth="1"/>
    <col min="6389" max="6389" width="9" style="66" bestFit="1" customWidth="1"/>
    <col min="6390" max="6390" width="5.33203125" style="66" customWidth="1"/>
    <col min="6391" max="6391" width="9" style="66" bestFit="1" customWidth="1"/>
    <col min="6392" max="6392" width="5" style="66" customWidth="1"/>
    <col min="6393" max="6393" width="9" style="66" bestFit="1" customWidth="1"/>
    <col min="6394" max="6394" width="5.1640625" style="66" customWidth="1"/>
    <col min="6395" max="6395" width="9.1640625" style="66" customWidth="1"/>
    <col min="6396" max="6396" width="6" style="66" customWidth="1"/>
    <col min="6397" max="6397" width="9.1640625" style="66" customWidth="1"/>
    <col min="6398" max="6398" width="6" style="66" customWidth="1"/>
    <col min="6399" max="6400" width="10.1640625" style="66" customWidth="1"/>
    <col min="6401" max="6401" width="10" style="66" customWidth="1"/>
    <col min="6402" max="6402" width="10.33203125" style="66" customWidth="1"/>
    <col min="6403" max="6413" width="9.1640625" style="66" customWidth="1"/>
    <col min="6414" max="6414" width="11.33203125" style="66" customWidth="1"/>
    <col min="6415" max="6435" width="13" style="66" hidden="1" customWidth="1"/>
    <col min="6436" max="6641" width="9.1640625" style="66" customWidth="1"/>
    <col min="6642" max="6642" width="28.6640625" style="66" customWidth="1"/>
    <col min="6643" max="6643" width="9" style="66" bestFit="1" customWidth="1"/>
    <col min="6644" max="6644" width="5.33203125" style="66" customWidth="1"/>
    <col min="6645" max="6645" width="9" style="66" bestFit="1" customWidth="1"/>
    <col min="6646" max="6646" width="5.33203125" style="66" customWidth="1"/>
    <col min="6647" max="6647" width="9" style="66" bestFit="1" customWidth="1"/>
    <col min="6648" max="6648" width="5" style="66" customWidth="1"/>
    <col min="6649" max="6649" width="9" style="66" bestFit="1" customWidth="1"/>
    <col min="6650" max="6650" width="5.1640625" style="66" customWidth="1"/>
    <col min="6651" max="6651" width="9.1640625" style="66" customWidth="1"/>
    <col min="6652" max="6652" width="6" style="66" customWidth="1"/>
    <col min="6653" max="6653" width="9.1640625" style="66" customWidth="1"/>
    <col min="6654" max="6654" width="6" style="66" customWidth="1"/>
    <col min="6655" max="6656" width="10.1640625" style="66" customWidth="1"/>
    <col min="6657" max="6657" width="10" style="66" customWidth="1"/>
    <col min="6658" max="6658" width="10.33203125" style="66" customWidth="1"/>
    <col min="6659" max="6669" width="9.1640625" style="66" customWidth="1"/>
    <col min="6670" max="6670" width="11.33203125" style="66" customWidth="1"/>
    <col min="6671" max="6691" width="13" style="66" hidden="1" customWidth="1"/>
    <col min="6692" max="6897" width="9.1640625" style="66" customWidth="1"/>
    <col min="6898" max="6898" width="28.6640625" style="66" customWidth="1"/>
    <col min="6899" max="6899" width="9" style="66" bestFit="1" customWidth="1"/>
    <col min="6900" max="6900" width="5.33203125" style="66" customWidth="1"/>
    <col min="6901" max="6901" width="9" style="66" bestFit="1" customWidth="1"/>
    <col min="6902" max="6902" width="5.33203125" style="66" customWidth="1"/>
    <col min="6903" max="6903" width="9" style="66" bestFit="1" customWidth="1"/>
    <col min="6904" max="6904" width="5" style="66" customWidth="1"/>
    <col min="6905" max="6905" width="9" style="66" bestFit="1" customWidth="1"/>
    <col min="6906" max="6906" width="5.1640625" style="66" customWidth="1"/>
    <col min="6907" max="6907" width="9.1640625" style="66" customWidth="1"/>
    <col min="6908" max="6908" width="6" style="66" customWidth="1"/>
    <col min="6909" max="6909" width="9.1640625" style="66" customWidth="1"/>
    <col min="6910" max="6910" width="6" style="66" customWidth="1"/>
    <col min="6911" max="6912" width="10.1640625" style="66" customWidth="1"/>
    <col min="6913" max="6913" width="10" style="66" customWidth="1"/>
    <col min="6914" max="6914" width="10.33203125" style="66" customWidth="1"/>
    <col min="6915" max="6925" width="9.1640625" style="66" customWidth="1"/>
    <col min="6926" max="6926" width="11.33203125" style="66" customWidth="1"/>
    <col min="6927" max="6947" width="13" style="66" hidden="1" customWidth="1"/>
    <col min="6948" max="7153" width="9.1640625" style="66" customWidth="1"/>
    <col min="7154" max="7154" width="28.6640625" style="66" customWidth="1"/>
    <col min="7155" max="7155" width="9" style="66" bestFit="1" customWidth="1"/>
    <col min="7156" max="7156" width="5.33203125" style="66" customWidth="1"/>
    <col min="7157" max="7157" width="9" style="66" bestFit="1" customWidth="1"/>
    <col min="7158" max="7158" width="5.33203125" style="66" customWidth="1"/>
    <col min="7159" max="7159" width="9" style="66" bestFit="1" customWidth="1"/>
    <col min="7160" max="7160" width="5" style="66" customWidth="1"/>
    <col min="7161" max="7161" width="9" style="66" bestFit="1" customWidth="1"/>
    <col min="7162" max="7162" width="5.1640625" style="66" customWidth="1"/>
    <col min="7163" max="7163" width="9.1640625" style="66" customWidth="1"/>
    <col min="7164" max="7164" width="6" style="66" customWidth="1"/>
    <col min="7165" max="7165" width="9.1640625" style="66" customWidth="1"/>
    <col min="7166" max="7166" width="6" style="66" customWidth="1"/>
    <col min="7167" max="7168" width="10.1640625" style="66" customWidth="1"/>
    <col min="7169" max="7169" width="10" style="66" customWidth="1"/>
    <col min="7170" max="7170" width="10.33203125" style="66" customWidth="1"/>
    <col min="7171" max="7181" width="9.1640625" style="66" customWidth="1"/>
    <col min="7182" max="7182" width="11.33203125" style="66" customWidth="1"/>
    <col min="7183" max="7203" width="13" style="66" hidden="1" customWidth="1"/>
    <col min="7204" max="7409" width="9.1640625" style="66" customWidth="1"/>
    <col min="7410" max="7410" width="28.6640625" style="66" customWidth="1"/>
    <col min="7411" max="7411" width="9" style="66" bestFit="1" customWidth="1"/>
    <col min="7412" max="7412" width="5.33203125" style="66" customWidth="1"/>
    <col min="7413" max="7413" width="9" style="66" bestFit="1" customWidth="1"/>
    <col min="7414" max="7414" width="5.33203125" style="66" customWidth="1"/>
    <col min="7415" max="7415" width="9" style="66" bestFit="1" customWidth="1"/>
    <col min="7416" max="7416" width="5" style="66" customWidth="1"/>
    <col min="7417" max="7417" width="9" style="66" bestFit="1" customWidth="1"/>
    <col min="7418" max="7418" width="5.1640625" style="66" customWidth="1"/>
    <col min="7419" max="7419" width="9.1640625" style="66" customWidth="1"/>
    <col min="7420" max="7420" width="6" style="66" customWidth="1"/>
    <col min="7421" max="7421" width="9.1640625" style="66" customWidth="1"/>
    <col min="7422" max="7422" width="6" style="66" customWidth="1"/>
    <col min="7423" max="7424" width="10.1640625" style="66" customWidth="1"/>
    <col min="7425" max="7425" width="10" style="66" customWidth="1"/>
    <col min="7426" max="7426" width="10.33203125" style="66" customWidth="1"/>
    <col min="7427" max="7437" width="9.1640625" style="66" customWidth="1"/>
    <col min="7438" max="7438" width="11.33203125" style="66" customWidth="1"/>
    <col min="7439" max="7459" width="13" style="66" hidden="1" customWidth="1"/>
    <col min="7460" max="7665" width="9.1640625" style="66" customWidth="1"/>
    <col min="7666" max="7666" width="28.6640625" style="66" customWidth="1"/>
    <col min="7667" max="7667" width="9" style="66" bestFit="1" customWidth="1"/>
    <col min="7668" max="7668" width="5.33203125" style="66" customWidth="1"/>
    <col min="7669" max="7669" width="9" style="66" bestFit="1" customWidth="1"/>
    <col min="7670" max="7670" width="5.33203125" style="66" customWidth="1"/>
    <col min="7671" max="7671" width="9" style="66" bestFit="1" customWidth="1"/>
    <col min="7672" max="7672" width="5" style="66" customWidth="1"/>
    <col min="7673" max="7673" width="9" style="66" bestFit="1" customWidth="1"/>
    <col min="7674" max="7674" width="5.1640625" style="66" customWidth="1"/>
    <col min="7675" max="7675" width="9.1640625" style="66" customWidth="1"/>
    <col min="7676" max="7676" width="6" style="66" customWidth="1"/>
    <col min="7677" max="7677" width="9.1640625" style="66" customWidth="1"/>
    <col min="7678" max="7678" width="6" style="66" customWidth="1"/>
    <col min="7679" max="7680" width="10.1640625" style="66" customWidth="1"/>
    <col min="7681" max="7681" width="10" style="66" customWidth="1"/>
    <col min="7682" max="7682" width="10.33203125" style="66" customWidth="1"/>
    <col min="7683" max="7693" width="9.1640625" style="66" customWidth="1"/>
    <col min="7694" max="7694" width="11.33203125" style="66" customWidth="1"/>
    <col min="7695" max="7715" width="13" style="66" hidden="1" customWidth="1"/>
    <col min="7716" max="7921" width="9.1640625" style="66" customWidth="1"/>
    <col min="7922" max="7922" width="28.6640625" style="66" customWidth="1"/>
    <col min="7923" max="7923" width="9" style="66" bestFit="1" customWidth="1"/>
    <col min="7924" max="7924" width="5.33203125" style="66" customWidth="1"/>
    <col min="7925" max="7925" width="9" style="66" bestFit="1" customWidth="1"/>
    <col min="7926" max="7926" width="5.33203125" style="66" customWidth="1"/>
    <col min="7927" max="7927" width="9" style="66" bestFit="1" customWidth="1"/>
    <col min="7928" max="7928" width="5" style="66" customWidth="1"/>
    <col min="7929" max="7929" width="9" style="66" bestFit="1" customWidth="1"/>
    <col min="7930" max="7930" width="5.1640625" style="66" customWidth="1"/>
    <col min="7931" max="7931" width="9.1640625" style="66" customWidth="1"/>
    <col min="7932" max="7932" width="6" style="66" customWidth="1"/>
    <col min="7933" max="7933" width="9.1640625" style="66" customWidth="1"/>
    <col min="7934" max="7934" width="6" style="66" customWidth="1"/>
    <col min="7935" max="7936" width="10.1640625" style="66" customWidth="1"/>
    <col min="7937" max="7937" width="10" style="66" customWidth="1"/>
    <col min="7938" max="7938" width="10.33203125" style="66" customWidth="1"/>
    <col min="7939" max="7949" width="9.1640625" style="66" customWidth="1"/>
    <col min="7950" max="7950" width="11.33203125" style="66" customWidth="1"/>
    <col min="7951" max="7971" width="13" style="66" hidden="1" customWidth="1"/>
    <col min="7972" max="8177" width="9.1640625" style="66" customWidth="1"/>
    <col min="8178" max="8178" width="28.6640625" style="66" customWidth="1"/>
    <col min="8179" max="8179" width="9" style="66" bestFit="1" customWidth="1"/>
    <col min="8180" max="8180" width="5.33203125" style="66" customWidth="1"/>
    <col min="8181" max="8181" width="9" style="66" bestFit="1" customWidth="1"/>
    <col min="8182" max="8182" width="5.33203125" style="66" customWidth="1"/>
    <col min="8183" max="8183" width="9" style="66" bestFit="1" customWidth="1"/>
    <col min="8184" max="8184" width="5" style="66" customWidth="1"/>
    <col min="8185" max="8185" width="9" style="66" bestFit="1" customWidth="1"/>
    <col min="8186" max="8186" width="5.1640625" style="66" customWidth="1"/>
    <col min="8187" max="8187" width="9.1640625" style="66" customWidth="1"/>
    <col min="8188" max="8188" width="6" style="66" customWidth="1"/>
    <col min="8189" max="8189" width="9.1640625" style="66" customWidth="1"/>
    <col min="8190" max="8190" width="6" style="66" customWidth="1"/>
    <col min="8191" max="8192" width="10.1640625" style="66" customWidth="1"/>
    <col min="8193" max="8193" width="10" style="66" customWidth="1"/>
    <col min="8194" max="8194" width="10.33203125" style="66" customWidth="1"/>
    <col min="8195" max="8205" width="9.1640625" style="66" customWidth="1"/>
    <col min="8206" max="8206" width="11.33203125" style="66" customWidth="1"/>
    <col min="8207" max="8227" width="13" style="66" hidden="1" customWidth="1"/>
    <col min="8228" max="8433" width="9.1640625" style="66" customWidth="1"/>
    <col min="8434" max="8434" width="28.6640625" style="66" customWidth="1"/>
    <col min="8435" max="8435" width="9" style="66" bestFit="1" customWidth="1"/>
    <col min="8436" max="8436" width="5.33203125" style="66" customWidth="1"/>
    <col min="8437" max="8437" width="9" style="66" bestFit="1" customWidth="1"/>
    <col min="8438" max="8438" width="5.33203125" style="66" customWidth="1"/>
    <col min="8439" max="8439" width="9" style="66" bestFit="1" customWidth="1"/>
    <col min="8440" max="8440" width="5" style="66" customWidth="1"/>
    <col min="8441" max="8441" width="9" style="66" bestFit="1" customWidth="1"/>
    <col min="8442" max="8442" width="5.1640625" style="66" customWidth="1"/>
    <col min="8443" max="8443" width="9.1640625" style="66" customWidth="1"/>
    <col min="8444" max="8444" width="6" style="66" customWidth="1"/>
    <col min="8445" max="8445" width="9.1640625" style="66" customWidth="1"/>
    <col min="8446" max="8446" width="6" style="66" customWidth="1"/>
    <col min="8447" max="8448" width="10.1640625" style="66" customWidth="1"/>
    <col min="8449" max="8449" width="10" style="66" customWidth="1"/>
    <col min="8450" max="8450" width="10.33203125" style="66" customWidth="1"/>
    <col min="8451" max="8461" width="9.1640625" style="66" customWidth="1"/>
    <col min="8462" max="8462" width="11.33203125" style="66" customWidth="1"/>
    <col min="8463" max="8483" width="13" style="66" hidden="1" customWidth="1"/>
    <col min="8484" max="8689" width="9.1640625" style="66" customWidth="1"/>
    <col min="8690" max="8690" width="28.6640625" style="66" customWidth="1"/>
    <col min="8691" max="8691" width="9" style="66" bestFit="1" customWidth="1"/>
    <col min="8692" max="8692" width="5.33203125" style="66" customWidth="1"/>
    <col min="8693" max="8693" width="9" style="66" bestFit="1" customWidth="1"/>
    <col min="8694" max="8694" width="5.33203125" style="66" customWidth="1"/>
    <col min="8695" max="8695" width="9" style="66" bestFit="1" customWidth="1"/>
    <col min="8696" max="8696" width="5" style="66" customWidth="1"/>
    <col min="8697" max="8697" width="9" style="66" bestFit="1" customWidth="1"/>
    <col min="8698" max="8698" width="5.1640625" style="66" customWidth="1"/>
    <col min="8699" max="8699" width="9.1640625" style="66" customWidth="1"/>
    <col min="8700" max="8700" width="6" style="66" customWidth="1"/>
    <col min="8701" max="8701" width="9.1640625" style="66" customWidth="1"/>
    <col min="8702" max="8702" width="6" style="66" customWidth="1"/>
    <col min="8703" max="8704" width="10.1640625" style="66" customWidth="1"/>
    <col min="8705" max="8705" width="10" style="66" customWidth="1"/>
    <col min="8706" max="8706" width="10.33203125" style="66" customWidth="1"/>
    <col min="8707" max="8717" width="9.1640625" style="66" customWidth="1"/>
    <col min="8718" max="8718" width="11.33203125" style="66" customWidth="1"/>
    <col min="8719" max="8739" width="13" style="66" hidden="1" customWidth="1"/>
    <col min="8740" max="8945" width="9.1640625" style="66" customWidth="1"/>
    <col min="8946" max="8946" width="28.6640625" style="66" customWidth="1"/>
    <col min="8947" max="8947" width="9" style="66" bestFit="1" customWidth="1"/>
    <col min="8948" max="8948" width="5.33203125" style="66" customWidth="1"/>
    <col min="8949" max="8949" width="9" style="66" bestFit="1" customWidth="1"/>
    <col min="8950" max="8950" width="5.33203125" style="66" customWidth="1"/>
    <col min="8951" max="8951" width="9" style="66" bestFit="1" customWidth="1"/>
    <col min="8952" max="8952" width="5" style="66" customWidth="1"/>
    <col min="8953" max="8953" width="9" style="66" bestFit="1" customWidth="1"/>
    <col min="8954" max="8954" width="5.1640625" style="66" customWidth="1"/>
    <col min="8955" max="8955" width="9.1640625" style="66" customWidth="1"/>
    <col min="8956" max="8956" width="6" style="66" customWidth="1"/>
    <col min="8957" max="8957" width="9.1640625" style="66" customWidth="1"/>
    <col min="8958" max="8958" width="6" style="66" customWidth="1"/>
    <col min="8959" max="8960" width="10.1640625" style="66" customWidth="1"/>
    <col min="8961" max="8961" width="10" style="66" customWidth="1"/>
    <col min="8962" max="8962" width="10.33203125" style="66" customWidth="1"/>
    <col min="8963" max="8973" width="9.1640625" style="66" customWidth="1"/>
    <col min="8974" max="8974" width="11.33203125" style="66" customWidth="1"/>
    <col min="8975" max="8995" width="13" style="66" hidden="1" customWidth="1"/>
    <col min="8996" max="9201" width="9.1640625" style="66" customWidth="1"/>
    <col min="9202" max="9202" width="28.6640625" style="66" customWidth="1"/>
    <col min="9203" max="9203" width="9" style="66" bestFit="1" customWidth="1"/>
    <col min="9204" max="9204" width="5.33203125" style="66" customWidth="1"/>
    <col min="9205" max="9205" width="9" style="66" bestFit="1" customWidth="1"/>
    <col min="9206" max="9206" width="5.33203125" style="66" customWidth="1"/>
    <col min="9207" max="9207" width="9" style="66" bestFit="1" customWidth="1"/>
    <col min="9208" max="9208" width="5" style="66" customWidth="1"/>
    <col min="9209" max="9209" width="9" style="66" bestFit="1" customWidth="1"/>
    <col min="9210" max="9210" width="5.1640625" style="66" customWidth="1"/>
    <col min="9211" max="9211" width="9.1640625" style="66" customWidth="1"/>
    <col min="9212" max="9212" width="6" style="66" customWidth="1"/>
    <col min="9213" max="9213" width="9.1640625" style="66" customWidth="1"/>
    <col min="9214" max="9214" width="6" style="66" customWidth="1"/>
    <col min="9215" max="9216" width="10.1640625" style="66" customWidth="1"/>
    <col min="9217" max="9217" width="10" style="66" customWidth="1"/>
    <col min="9218" max="9218" width="10.33203125" style="66" customWidth="1"/>
    <col min="9219" max="9229" width="9.1640625" style="66" customWidth="1"/>
    <col min="9230" max="9230" width="11.33203125" style="66" customWidth="1"/>
    <col min="9231" max="9251" width="13" style="66" hidden="1" customWidth="1"/>
    <col min="9252" max="9457" width="9.1640625" style="66" customWidth="1"/>
    <col min="9458" max="9458" width="28.6640625" style="66" customWidth="1"/>
    <col min="9459" max="9459" width="9" style="66" bestFit="1" customWidth="1"/>
    <col min="9460" max="9460" width="5.33203125" style="66" customWidth="1"/>
    <col min="9461" max="9461" width="9" style="66" bestFit="1" customWidth="1"/>
    <col min="9462" max="9462" width="5.33203125" style="66" customWidth="1"/>
    <col min="9463" max="9463" width="9" style="66" bestFit="1" customWidth="1"/>
    <col min="9464" max="9464" width="5" style="66" customWidth="1"/>
    <col min="9465" max="9465" width="9" style="66" bestFit="1" customWidth="1"/>
    <col min="9466" max="9466" width="5.1640625" style="66" customWidth="1"/>
    <col min="9467" max="9467" width="9.1640625" style="66" customWidth="1"/>
    <col min="9468" max="9468" width="6" style="66" customWidth="1"/>
    <col min="9469" max="9469" width="9.1640625" style="66" customWidth="1"/>
    <col min="9470" max="9470" width="6" style="66" customWidth="1"/>
    <col min="9471" max="9472" width="10.1640625" style="66" customWidth="1"/>
    <col min="9473" max="9473" width="10" style="66" customWidth="1"/>
    <col min="9474" max="9474" width="10.33203125" style="66" customWidth="1"/>
    <col min="9475" max="9485" width="9.1640625" style="66" customWidth="1"/>
    <col min="9486" max="9486" width="11.33203125" style="66" customWidth="1"/>
    <col min="9487" max="9507" width="13" style="66" hidden="1" customWidth="1"/>
    <col min="9508" max="9713" width="9.1640625" style="66" customWidth="1"/>
    <col min="9714" max="9714" width="28.6640625" style="66" customWidth="1"/>
    <col min="9715" max="9715" width="9" style="66" bestFit="1" customWidth="1"/>
    <col min="9716" max="9716" width="5.33203125" style="66" customWidth="1"/>
    <col min="9717" max="9717" width="9" style="66" bestFit="1" customWidth="1"/>
    <col min="9718" max="9718" width="5.33203125" style="66" customWidth="1"/>
    <col min="9719" max="9719" width="9" style="66" bestFit="1" customWidth="1"/>
    <col min="9720" max="9720" width="5" style="66" customWidth="1"/>
    <col min="9721" max="9721" width="9" style="66" bestFit="1" customWidth="1"/>
    <col min="9722" max="9722" width="5.1640625" style="66" customWidth="1"/>
    <col min="9723" max="9723" width="9.1640625" style="66" customWidth="1"/>
    <col min="9724" max="9724" width="6" style="66" customWidth="1"/>
    <col min="9725" max="9725" width="9.1640625" style="66" customWidth="1"/>
    <col min="9726" max="9726" width="6" style="66" customWidth="1"/>
    <col min="9727" max="9728" width="10.1640625" style="66" customWidth="1"/>
    <col min="9729" max="9729" width="10" style="66" customWidth="1"/>
    <col min="9730" max="9730" width="10.33203125" style="66" customWidth="1"/>
    <col min="9731" max="9741" width="9.1640625" style="66" customWidth="1"/>
    <col min="9742" max="9742" width="11.33203125" style="66" customWidth="1"/>
    <col min="9743" max="9763" width="13" style="66" hidden="1" customWidth="1"/>
    <col min="9764" max="9969" width="9.1640625" style="66" customWidth="1"/>
    <col min="9970" max="9970" width="28.6640625" style="66" customWidth="1"/>
    <col min="9971" max="9971" width="9" style="66" bestFit="1" customWidth="1"/>
    <col min="9972" max="9972" width="5.33203125" style="66" customWidth="1"/>
    <col min="9973" max="9973" width="9" style="66" bestFit="1" customWidth="1"/>
    <col min="9974" max="9974" width="5.33203125" style="66" customWidth="1"/>
    <col min="9975" max="9975" width="9" style="66" bestFit="1" customWidth="1"/>
    <col min="9976" max="9976" width="5" style="66" customWidth="1"/>
    <col min="9977" max="9977" width="9" style="66" bestFit="1" customWidth="1"/>
    <col min="9978" max="9978" width="5.1640625" style="66" customWidth="1"/>
    <col min="9979" max="9979" width="9.1640625" style="66" customWidth="1"/>
    <col min="9980" max="9980" width="6" style="66" customWidth="1"/>
    <col min="9981" max="9981" width="9.1640625" style="66" customWidth="1"/>
    <col min="9982" max="9982" width="6" style="66" customWidth="1"/>
    <col min="9983" max="9984" width="10.1640625" style="66" customWidth="1"/>
    <col min="9985" max="9985" width="10" style="66" customWidth="1"/>
    <col min="9986" max="9986" width="10.33203125" style="66" customWidth="1"/>
    <col min="9987" max="9997" width="9.1640625" style="66" customWidth="1"/>
    <col min="9998" max="9998" width="11.33203125" style="66" customWidth="1"/>
    <col min="9999" max="10019" width="13" style="66" hidden="1" customWidth="1"/>
    <col min="10020" max="10225" width="9.1640625" style="66" customWidth="1"/>
    <col min="10226" max="10226" width="28.6640625" style="66" customWidth="1"/>
    <col min="10227" max="10227" width="9" style="66" bestFit="1" customWidth="1"/>
    <col min="10228" max="10228" width="5.33203125" style="66" customWidth="1"/>
    <col min="10229" max="10229" width="9" style="66" bestFit="1" customWidth="1"/>
    <col min="10230" max="10230" width="5.33203125" style="66" customWidth="1"/>
    <col min="10231" max="10231" width="9" style="66" bestFit="1" customWidth="1"/>
    <col min="10232" max="10232" width="5" style="66" customWidth="1"/>
    <col min="10233" max="10233" width="9" style="66" bestFit="1" customWidth="1"/>
    <col min="10234" max="10234" width="5.1640625" style="66" customWidth="1"/>
    <col min="10235" max="10235" width="9.1640625" style="66" customWidth="1"/>
    <col min="10236" max="10236" width="6" style="66" customWidth="1"/>
    <col min="10237" max="10237" width="9.1640625" style="66" customWidth="1"/>
    <col min="10238" max="10238" width="6" style="66" customWidth="1"/>
    <col min="10239" max="10240" width="10.1640625" style="66" customWidth="1"/>
    <col min="10241" max="10241" width="10" style="66" customWidth="1"/>
    <col min="10242" max="10242" width="10.33203125" style="66" customWidth="1"/>
    <col min="10243" max="10253" width="9.1640625" style="66" customWidth="1"/>
    <col min="10254" max="10254" width="11.33203125" style="66" customWidth="1"/>
    <col min="10255" max="10275" width="13" style="66" hidden="1" customWidth="1"/>
    <col min="10276" max="10481" width="9.1640625" style="66" customWidth="1"/>
    <col min="10482" max="10482" width="28.6640625" style="66" customWidth="1"/>
    <col min="10483" max="10483" width="9" style="66" bestFit="1" customWidth="1"/>
    <col min="10484" max="10484" width="5.33203125" style="66" customWidth="1"/>
    <col min="10485" max="10485" width="9" style="66" bestFit="1" customWidth="1"/>
    <col min="10486" max="10486" width="5.33203125" style="66" customWidth="1"/>
    <col min="10487" max="10487" width="9" style="66" bestFit="1" customWidth="1"/>
    <col min="10488" max="10488" width="5" style="66" customWidth="1"/>
    <col min="10489" max="10489" width="9" style="66" bestFit="1" customWidth="1"/>
    <col min="10490" max="10490" width="5.1640625" style="66" customWidth="1"/>
    <col min="10491" max="10491" width="9.1640625" style="66" customWidth="1"/>
    <col min="10492" max="10492" width="6" style="66" customWidth="1"/>
    <col min="10493" max="10493" width="9.1640625" style="66" customWidth="1"/>
    <col min="10494" max="10494" width="6" style="66" customWidth="1"/>
    <col min="10495" max="10496" width="10.1640625" style="66" customWidth="1"/>
    <col min="10497" max="10497" width="10" style="66" customWidth="1"/>
    <col min="10498" max="10498" width="10.33203125" style="66" customWidth="1"/>
    <col min="10499" max="10509" width="9.1640625" style="66" customWidth="1"/>
    <col min="10510" max="10510" width="11.33203125" style="66" customWidth="1"/>
    <col min="10511" max="10531" width="13" style="66" hidden="1" customWidth="1"/>
    <col min="10532" max="10737" width="9.1640625" style="66" customWidth="1"/>
    <col min="10738" max="10738" width="28.6640625" style="66" customWidth="1"/>
    <col min="10739" max="10739" width="9" style="66" bestFit="1" customWidth="1"/>
    <col min="10740" max="10740" width="5.33203125" style="66" customWidth="1"/>
    <col min="10741" max="10741" width="9" style="66" bestFit="1" customWidth="1"/>
    <col min="10742" max="10742" width="5.33203125" style="66" customWidth="1"/>
    <col min="10743" max="10743" width="9" style="66" bestFit="1" customWidth="1"/>
    <col min="10744" max="10744" width="5" style="66" customWidth="1"/>
    <col min="10745" max="10745" width="9" style="66" bestFit="1" customWidth="1"/>
    <col min="10746" max="10746" width="5.1640625" style="66" customWidth="1"/>
    <col min="10747" max="10747" width="9.1640625" style="66" customWidth="1"/>
    <col min="10748" max="10748" width="6" style="66" customWidth="1"/>
    <col min="10749" max="10749" width="9.1640625" style="66" customWidth="1"/>
    <col min="10750" max="10750" width="6" style="66" customWidth="1"/>
    <col min="10751" max="10752" width="10.1640625" style="66" customWidth="1"/>
    <col min="10753" max="10753" width="10" style="66" customWidth="1"/>
    <col min="10754" max="10754" width="10.33203125" style="66" customWidth="1"/>
    <col min="10755" max="10765" width="9.1640625" style="66" customWidth="1"/>
    <col min="10766" max="10766" width="11.33203125" style="66" customWidth="1"/>
    <col min="10767" max="10787" width="13" style="66" hidden="1" customWidth="1"/>
    <col min="10788" max="10993" width="9.1640625" style="66" customWidth="1"/>
    <col min="10994" max="10994" width="28.6640625" style="66" customWidth="1"/>
    <col min="10995" max="10995" width="9" style="66" bestFit="1" customWidth="1"/>
    <col min="10996" max="10996" width="5.33203125" style="66" customWidth="1"/>
    <col min="10997" max="10997" width="9" style="66" bestFit="1" customWidth="1"/>
    <col min="10998" max="10998" width="5.33203125" style="66" customWidth="1"/>
    <col min="10999" max="10999" width="9" style="66" bestFit="1" customWidth="1"/>
    <col min="11000" max="11000" width="5" style="66" customWidth="1"/>
    <col min="11001" max="11001" width="9" style="66" bestFit="1" customWidth="1"/>
    <col min="11002" max="11002" width="5.1640625" style="66" customWidth="1"/>
    <col min="11003" max="11003" width="9.1640625" style="66" customWidth="1"/>
    <col min="11004" max="11004" width="6" style="66" customWidth="1"/>
    <col min="11005" max="11005" width="9.1640625" style="66" customWidth="1"/>
    <col min="11006" max="11006" width="6" style="66" customWidth="1"/>
    <col min="11007" max="11008" width="10.1640625" style="66" customWidth="1"/>
    <col min="11009" max="11009" width="10" style="66" customWidth="1"/>
    <col min="11010" max="11010" width="10.33203125" style="66" customWidth="1"/>
    <col min="11011" max="11021" width="9.1640625" style="66" customWidth="1"/>
    <col min="11022" max="11022" width="11.33203125" style="66" customWidth="1"/>
    <col min="11023" max="11043" width="13" style="66" hidden="1" customWidth="1"/>
    <col min="11044" max="11249" width="9.1640625" style="66" customWidth="1"/>
    <col min="11250" max="11250" width="28.6640625" style="66" customWidth="1"/>
    <col min="11251" max="11251" width="9" style="66" bestFit="1" customWidth="1"/>
    <col min="11252" max="11252" width="5.33203125" style="66" customWidth="1"/>
    <col min="11253" max="11253" width="9" style="66" bestFit="1" customWidth="1"/>
    <col min="11254" max="11254" width="5.33203125" style="66" customWidth="1"/>
    <col min="11255" max="11255" width="9" style="66" bestFit="1" customWidth="1"/>
    <col min="11256" max="11256" width="5" style="66" customWidth="1"/>
    <col min="11257" max="11257" width="9" style="66" bestFit="1" customWidth="1"/>
    <col min="11258" max="11258" width="5.1640625" style="66" customWidth="1"/>
    <col min="11259" max="11259" width="9.1640625" style="66" customWidth="1"/>
    <col min="11260" max="11260" width="6" style="66" customWidth="1"/>
    <col min="11261" max="11261" width="9.1640625" style="66" customWidth="1"/>
    <col min="11262" max="11262" width="6" style="66" customWidth="1"/>
    <col min="11263" max="11264" width="10.1640625" style="66" customWidth="1"/>
    <col min="11265" max="11265" width="10" style="66" customWidth="1"/>
    <col min="11266" max="11266" width="10.33203125" style="66" customWidth="1"/>
    <col min="11267" max="11277" width="9.1640625" style="66" customWidth="1"/>
    <col min="11278" max="11278" width="11.33203125" style="66" customWidth="1"/>
    <col min="11279" max="11299" width="13" style="66" hidden="1" customWidth="1"/>
    <col min="11300" max="11505" width="9.1640625" style="66" customWidth="1"/>
    <col min="11506" max="11506" width="28.6640625" style="66" customWidth="1"/>
    <col min="11507" max="11507" width="9" style="66" bestFit="1" customWidth="1"/>
    <col min="11508" max="11508" width="5.33203125" style="66" customWidth="1"/>
    <col min="11509" max="11509" width="9" style="66" bestFit="1" customWidth="1"/>
    <col min="11510" max="11510" width="5.33203125" style="66" customWidth="1"/>
    <col min="11511" max="11511" width="9" style="66" bestFit="1" customWidth="1"/>
    <col min="11512" max="11512" width="5" style="66" customWidth="1"/>
    <col min="11513" max="11513" width="9" style="66" bestFit="1" customWidth="1"/>
    <col min="11514" max="11514" width="5.1640625" style="66" customWidth="1"/>
    <col min="11515" max="11515" width="9.1640625" style="66" customWidth="1"/>
    <col min="11516" max="11516" width="6" style="66" customWidth="1"/>
    <col min="11517" max="11517" width="9.1640625" style="66" customWidth="1"/>
    <col min="11518" max="11518" width="6" style="66" customWidth="1"/>
    <col min="11519" max="11520" width="10.1640625" style="66" customWidth="1"/>
    <col min="11521" max="11521" width="10" style="66" customWidth="1"/>
    <col min="11522" max="11522" width="10.33203125" style="66" customWidth="1"/>
    <col min="11523" max="11533" width="9.1640625" style="66" customWidth="1"/>
    <col min="11534" max="11534" width="11.33203125" style="66" customWidth="1"/>
    <col min="11535" max="11555" width="13" style="66" hidden="1" customWidth="1"/>
    <col min="11556" max="11761" width="9.1640625" style="66" customWidth="1"/>
    <col min="11762" max="11762" width="28.6640625" style="66" customWidth="1"/>
    <col min="11763" max="11763" width="9" style="66" bestFit="1" customWidth="1"/>
    <col min="11764" max="11764" width="5.33203125" style="66" customWidth="1"/>
    <col min="11765" max="11765" width="9" style="66" bestFit="1" customWidth="1"/>
    <col min="11766" max="11766" width="5.33203125" style="66" customWidth="1"/>
    <col min="11767" max="11767" width="9" style="66" bestFit="1" customWidth="1"/>
    <col min="11768" max="11768" width="5" style="66" customWidth="1"/>
    <col min="11769" max="11769" width="9" style="66" bestFit="1" customWidth="1"/>
    <col min="11770" max="11770" width="5.1640625" style="66" customWidth="1"/>
    <col min="11771" max="11771" width="9.1640625" style="66" customWidth="1"/>
    <col min="11772" max="11772" width="6" style="66" customWidth="1"/>
    <col min="11773" max="11773" width="9.1640625" style="66" customWidth="1"/>
    <col min="11774" max="11774" width="6" style="66" customWidth="1"/>
    <col min="11775" max="11776" width="10.1640625" style="66" customWidth="1"/>
    <col min="11777" max="11777" width="10" style="66" customWidth="1"/>
    <col min="11778" max="11778" width="10.33203125" style="66" customWidth="1"/>
    <col min="11779" max="11789" width="9.1640625" style="66" customWidth="1"/>
    <col min="11790" max="11790" width="11.33203125" style="66" customWidth="1"/>
    <col min="11791" max="11811" width="13" style="66" hidden="1" customWidth="1"/>
    <col min="11812" max="12017" width="9.1640625" style="66" customWidth="1"/>
    <col min="12018" max="12018" width="28.6640625" style="66" customWidth="1"/>
    <col min="12019" max="12019" width="9" style="66" bestFit="1" customWidth="1"/>
    <col min="12020" max="12020" width="5.33203125" style="66" customWidth="1"/>
    <col min="12021" max="12021" width="9" style="66" bestFit="1" customWidth="1"/>
    <col min="12022" max="12022" width="5.33203125" style="66" customWidth="1"/>
    <col min="12023" max="12023" width="9" style="66" bestFit="1" customWidth="1"/>
    <col min="12024" max="12024" width="5" style="66" customWidth="1"/>
    <col min="12025" max="12025" width="9" style="66" bestFit="1" customWidth="1"/>
    <col min="12026" max="12026" width="5.1640625" style="66" customWidth="1"/>
    <col min="12027" max="12027" width="9.1640625" style="66" customWidth="1"/>
    <col min="12028" max="12028" width="6" style="66" customWidth="1"/>
    <col min="12029" max="12029" width="9.1640625" style="66" customWidth="1"/>
    <col min="12030" max="12030" width="6" style="66" customWidth="1"/>
    <col min="12031" max="12032" width="10.1640625" style="66" customWidth="1"/>
    <col min="12033" max="12033" width="10" style="66" customWidth="1"/>
    <col min="12034" max="12034" width="10.33203125" style="66" customWidth="1"/>
    <col min="12035" max="12045" width="9.1640625" style="66" customWidth="1"/>
    <col min="12046" max="12046" width="11.33203125" style="66" customWidth="1"/>
    <col min="12047" max="12067" width="13" style="66" hidden="1" customWidth="1"/>
    <col min="12068" max="12273" width="9.1640625" style="66" customWidth="1"/>
    <col min="12274" max="12274" width="28.6640625" style="66" customWidth="1"/>
    <col min="12275" max="12275" width="9" style="66" bestFit="1" customWidth="1"/>
    <col min="12276" max="12276" width="5.33203125" style="66" customWidth="1"/>
    <col min="12277" max="12277" width="9" style="66" bestFit="1" customWidth="1"/>
    <col min="12278" max="12278" width="5.33203125" style="66" customWidth="1"/>
    <col min="12279" max="12279" width="9" style="66" bestFit="1" customWidth="1"/>
    <col min="12280" max="12280" width="5" style="66" customWidth="1"/>
    <col min="12281" max="12281" width="9" style="66" bestFit="1" customWidth="1"/>
    <col min="12282" max="12282" width="5.1640625" style="66" customWidth="1"/>
    <col min="12283" max="12283" width="9.1640625" style="66" customWidth="1"/>
    <col min="12284" max="12284" width="6" style="66" customWidth="1"/>
    <col min="12285" max="12285" width="9.1640625" style="66" customWidth="1"/>
    <col min="12286" max="12286" width="6" style="66" customWidth="1"/>
    <col min="12287" max="12288" width="10.1640625" style="66" customWidth="1"/>
    <col min="12289" max="12289" width="10" style="66" customWidth="1"/>
    <col min="12290" max="12290" width="10.33203125" style="66" customWidth="1"/>
    <col min="12291" max="12301" width="9.1640625" style="66" customWidth="1"/>
    <col min="12302" max="12302" width="11.33203125" style="66" customWidth="1"/>
    <col min="12303" max="12323" width="13" style="66" hidden="1" customWidth="1"/>
    <col min="12324" max="12529" width="9.1640625" style="66" customWidth="1"/>
    <col min="12530" max="12530" width="28.6640625" style="66" customWidth="1"/>
    <col min="12531" max="12531" width="9" style="66" bestFit="1" customWidth="1"/>
    <col min="12532" max="12532" width="5.33203125" style="66" customWidth="1"/>
    <col min="12533" max="12533" width="9" style="66" bestFit="1" customWidth="1"/>
    <col min="12534" max="12534" width="5.33203125" style="66" customWidth="1"/>
    <col min="12535" max="12535" width="9" style="66" bestFit="1" customWidth="1"/>
    <col min="12536" max="12536" width="5" style="66" customWidth="1"/>
    <col min="12537" max="12537" width="9" style="66" bestFit="1" customWidth="1"/>
    <col min="12538" max="12538" width="5.1640625" style="66" customWidth="1"/>
    <col min="12539" max="12539" width="9.1640625" style="66" customWidth="1"/>
    <col min="12540" max="12540" width="6" style="66" customWidth="1"/>
    <col min="12541" max="12541" width="9.1640625" style="66" customWidth="1"/>
    <col min="12542" max="12542" width="6" style="66" customWidth="1"/>
    <col min="12543" max="12544" width="10.1640625" style="66" customWidth="1"/>
    <col min="12545" max="12545" width="10" style="66" customWidth="1"/>
    <col min="12546" max="12546" width="10.33203125" style="66" customWidth="1"/>
    <col min="12547" max="12557" width="9.1640625" style="66" customWidth="1"/>
    <col min="12558" max="12558" width="11.33203125" style="66" customWidth="1"/>
    <col min="12559" max="12579" width="13" style="66" hidden="1" customWidth="1"/>
    <col min="12580" max="12785" width="9.1640625" style="66" customWidth="1"/>
    <col min="12786" max="12786" width="28.6640625" style="66" customWidth="1"/>
    <col min="12787" max="12787" width="9" style="66" bestFit="1" customWidth="1"/>
    <col min="12788" max="12788" width="5.33203125" style="66" customWidth="1"/>
    <col min="12789" max="12789" width="9" style="66" bestFit="1" customWidth="1"/>
    <col min="12790" max="12790" width="5.33203125" style="66" customWidth="1"/>
    <col min="12791" max="12791" width="9" style="66" bestFit="1" customWidth="1"/>
    <col min="12792" max="12792" width="5" style="66" customWidth="1"/>
    <col min="12793" max="12793" width="9" style="66" bestFit="1" customWidth="1"/>
    <col min="12794" max="12794" width="5.1640625" style="66" customWidth="1"/>
    <col min="12795" max="12795" width="9.1640625" style="66" customWidth="1"/>
    <col min="12796" max="12796" width="6" style="66" customWidth="1"/>
    <col min="12797" max="12797" width="9.1640625" style="66" customWidth="1"/>
    <col min="12798" max="12798" width="6" style="66" customWidth="1"/>
    <col min="12799" max="12800" width="10.1640625" style="66" customWidth="1"/>
    <col min="12801" max="12801" width="10" style="66" customWidth="1"/>
    <col min="12802" max="12802" width="10.33203125" style="66" customWidth="1"/>
    <col min="12803" max="12813" width="9.1640625" style="66" customWidth="1"/>
    <col min="12814" max="12814" width="11.33203125" style="66" customWidth="1"/>
    <col min="12815" max="12835" width="13" style="66" hidden="1" customWidth="1"/>
    <col min="12836" max="13041" width="9.1640625" style="66" customWidth="1"/>
    <col min="13042" max="13042" width="28.6640625" style="66" customWidth="1"/>
    <col min="13043" max="13043" width="9" style="66" bestFit="1" customWidth="1"/>
    <col min="13044" max="13044" width="5.33203125" style="66" customWidth="1"/>
    <col min="13045" max="13045" width="9" style="66" bestFit="1" customWidth="1"/>
    <col min="13046" max="13046" width="5.33203125" style="66" customWidth="1"/>
    <col min="13047" max="13047" width="9" style="66" bestFit="1" customWidth="1"/>
    <col min="13048" max="13048" width="5" style="66" customWidth="1"/>
    <col min="13049" max="13049" width="9" style="66" bestFit="1" customWidth="1"/>
    <col min="13050" max="13050" width="5.1640625" style="66" customWidth="1"/>
    <col min="13051" max="13051" width="9.1640625" style="66" customWidth="1"/>
    <col min="13052" max="13052" width="6" style="66" customWidth="1"/>
    <col min="13053" max="13053" width="9.1640625" style="66" customWidth="1"/>
    <col min="13054" max="13054" width="6" style="66" customWidth="1"/>
    <col min="13055" max="13056" width="10.1640625" style="66" customWidth="1"/>
    <col min="13057" max="13057" width="10" style="66" customWidth="1"/>
    <col min="13058" max="13058" width="10.33203125" style="66" customWidth="1"/>
    <col min="13059" max="13069" width="9.1640625" style="66" customWidth="1"/>
    <col min="13070" max="13070" width="11.33203125" style="66" customWidth="1"/>
    <col min="13071" max="13091" width="13" style="66" hidden="1" customWidth="1"/>
    <col min="13092" max="13297" width="9.1640625" style="66" customWidth="1"/>
    <col min="13298" max="13298" width="28.6640625" style="66" customWidth="1"/>
    <col min="13299" max="13299" width="9" style="66" bestFit="1" customWidth="1"/>
    <col min="13300" max="13300" width="5.33203125" style="66" customWidth="1"/>
    <col min="13301" max="13301" width="9" style="66" bestFit="1" customWidth="1"/>
    <col min="13302" max="13302" width="5.33203125" style="66" customWidth="1"/>
    <col min="13303" max="13303" width="9" style="66" bestFit="1" customWidth="1"/>
    <col min="13304" max="13304" width="5" style="66" customWidth="1"/>
    <col min="13305" max="13305" width="9" style="66" bestFit="1" customWidth="1"/>
    <col min="13306" max="13306" width="5.1640625" style="66" customWidth="1"/>
    <col min="13307" max="13307" width="9.1640625" style="66" customWidth="1"/>
    <col min="13308" max="13308" width="6" style="66" customWidth="1"/>
    <col min="13309" max="13309" width="9.1640625" style="66" customWidth="1"/>
    <col min="13310" max="13310" width="6" style="66" customWidth="1"/>
    <col min="13311" max="13312" width="10.1640625" style="66" customWidth="1"/>
    <col min="13313" max="13313" width="10" style="66" customWidth="1"/>
    <col min="13314" max="13314" width="10.33203125" style="66" customWidth="1"/>
    <col min="13315" max="13325" width="9.1640625" style="66" customWidth="1"/>
    <col min="13326" max="13326" width="11.33203125" style="66" customWidth="1"/>
    <col min="13327" max="13347" width="13" style="66" hidden="1" customWidth="1"/>
    <col min="13348" max="13553" width="9.1640625" style="66" customWidth="1"/>
    <col min="13554" max="13554" width="28.6640625" style="66" customWidth="1"/>
    <col min="13555" max="13555" width="9" style="66" bestFit="1" customWidth="1"/>
    <col min="13556" max="13556" width="5.33203125" style="66" customWidth="1"/>
    <col min="13557" max="13557" width="9" style="66" bestFit="1" customWidth="1"/>
    <col min="13558" max="13558" width="5.33203125" style="66" customWidth="1"/>
    <col min="13559" max="13559" width="9" style="66" bestFit="1" customWidth="1"/>
    <col min="13560" max="13560" width="5" style="66" customWidth="1"/>
    <col min="13561" max="13561" width="9" style="66" bestFit="1" customWidth="1"/>
    <col min="13562" max="13562" width="5.1640625" style="66" customWidth="1"/>
    <col min="13563" max="13563" width="9.1640625" style="66" customWidth="1"/>
    <col min="13564" max="13564" width="6" style="66" customWidth="1"/>
    <col min="13565" max="13565" width="9.1640625" style="66" customWidth="1"/>
    <col min="13566" max="13566" width="6" style="66" customWidth="1"/>
    <col min="13567" max="13568" width="10.1640625" style="66" customWidth="1"/>
    <col min="13569" max="13569" width="10" style="66" customWidth="1"/>
    <col min="13570" max="13570" width="10.33203125" style="66" customWidth="1"/>
    <col min="13571" max="13581" width="9.1640625" style="66" customWidth="1"/>
    <col min="13582" max="13582" width="11.33203125" style="66" customWidth="1"/>
    <col min="13583" max="13603" width="13" style="66" hidden="1" customWidth="1"/>
    <col min="13604" max="13809" width="9.1640625" style="66" customWidth="1"/>
    <col min="13810" max="13810" width="28.6640625" style="66" customWidth="1"/>
    <col min="13811" max="13811" width="9" style="66" bestFit="1" customWidth="1"/>
    <col min="13812" max="13812" width="5.33203125" style="66" customWidth="1"/>
    <col min="13813" max="13813" width="9" style="66" bestFit="1" customWidth="1"/>
    <col min="13814" max="13814" width="5.33203125" style="66" customWidth="1"/>
    <col min="13815" max="13815" width="9" style="66" bestFit="1" customWidth="1"/>
    <col min="13816" max="13816" width="5" style="66" customWidth="1"/>
    <col min="13817" max="13817" width="9" style="66" bestFit="1" customWidth="1"/>
    <col min="13818" max="13818" width="5.1640625" style="66" customWidth="1"/>
    <col min="13819" max="13819" width="9.1640625" style="66" customWidth="1"/>
    <col min="13820" max="13820" width="6" style="66" customWidth="1"/>
    <col min="13821" max="13821" width="9.1640625" style="66" customWidth="1"/>
    <col min="13822" max="13822" width="6" style="66" customWidth="1"/>
    <col min="13823" max="13824" width="10.1640625" style="66" customWidth="1"/>
    <col min="13825" max="13825" width="10" style="66" customWidth="1"/>
    <col min="13826" max="13826" width="10.33203125" style="66" customWidth="1"/>
    <col min="13827" max="13837" width="9.1640625" style="66" customWidth="1"/>
    <col min="13838" max="13838" width="11.33203125" style="66" customWidth="1"/>
    <col min="13839" max="13859" width="13" style="66" hidden="1" customWidth="1"/>
    <col min="13860" max="14065" width="9.1640625" style="66" customWidth="1"/>
    <col min="14066" max="14066" width="28.6640625" style="66" customWidth="1"/>
    <col min="14067" max="14067" width="9" style="66" bestFit="1" customWidth="1"/>
    <col min="14068" max="14068" width="5.33203125" style="66" customWidth="1"/>
    <col min="14069" max="14069" width="9" style="66" bestFit="1" customWidth="1"/>
    <col min="14070" max="14070" width="5.33203125" style="66" customWidth="1"/>
    <col min="14071" max="14071" width="9" style="66" bestFit="1" customWidth="1"/>
    <col min="14072" max="14072" width="5" style="66" customWidth="1"/>
    <col min="14073" max="14073" width="9" style="66" bestFit="1" customWidth="1"/>
    <col min="14074" max="14074" width="5.1640625" style="66" customWidth="1"/>
    <col min="14075" max="14075" width="9.1640625" style="66" customWidth="1"/>
    <col min="14076" max="14076" width="6" style="66" customWidth="1"/>
    <col min="14077" max="14077" width="9.1640625" style="66" customWidth="1"/>
    <col min="14078" max="14078" width="6" style="66" customWidth="1"/>
    <col min="14079" max="14080" width="10.1640625" style="66" customWidth="1"/>
    <col min="14081" max="14081" width="10" style="66" customWidth="1"/>
    <col min="14082" max="14082" width="10.33203125" style="66" customWidth="1"/>
    <col min="14083" max="14093" width="9.1640625" style="66" customWidth="1"/>
    <col min="14094" max="14094" width="11.33203125" style="66" customWidth="1"/>
    <col min="14095" max="14115" width="13" style="66" hidden="1" customWidth="1"/>
    <col min="14116" max="14321" width="9.1640625" style="66" customWidth="1"/>
    <col min="14322" max="14322" width="28.6640625" style="66" customWidth="1"/>
    <col min="14323" max="14323" width="9" style="66" bestFit="1" customWidth="1"/>
    <col min="14324" max="14324" width="5.33203125" style="66" customWidth="1"/>
    <col min="14325" max="14325" width="9" style="66" bestFit="1" customWidth="1"/>
    <col min="14326" max="14326" width="5.33203125" style="66" customWidth="1"/>
    <col min="14327" max="14327" width="9" style="66" bestFit="1" customWidth="1"/>
    <col min="14328" max="14328" width="5" style="66" customWidth="1"/>
    <col min="14329" max="14329" width="9" style="66" bestFit="1" customWidth="1"/>
    <col min="14330" max="14330" width="5.1640625" style="66" customWidth="1"/>
    <col min="14331" max="14331" width="9.1640625" style="66" customWidth="1"/>
    <col min="14332" max="14332" width="6" style="66" customWidth="1"/>
    <col min="14333" max="14333" width="9.1640625" style="66" customWidth="1"/>
    <col min="14334" max="14334" width="6" style="66" customWidth="1"/>
    <col min="14335" max="14336" width="10.1640625" style="66" customWidth="1"/>
    <col min="14337" max="14337" width="10" style="66" customWidth="1"/>
    <col min="14338" max="14338" width="10.33203125" style="66" customWidth="1"/>
    <col min="14339" max="14349" width="9.1640625" style="66" customWidth="1"/>
    <col min="14350" max="14350" width="11.33203125" style="66" customWidth="1"/>
    <col min="14351" max="14371" width="13" style="66" hidden="1" customWidth="1"/>
    <col min="14372" max="14577" width="9.1640625" style="66" customWidth="1"/>
    <col min="14578" max="14578" width="28.6640625" style="66" customWidth="1"/>
    <col min="14579" max="14579" width="9" style="66" bestFit="1" customWidth="1"/>
    <col min="14580" max="14580" width="5.33203125" style="66" customWidth="1"/>
    <col min="14581" max="14581" width="9" style="66" bestFit="1" customWidth="1"/>
    <col min="14582" max="14582" width="5.33203125" style="66" customWidth="1"/>
    <col min="14583" max="14583" width="9" style="66" bestFit="1" customWidth="1"/>
    <col min="14584" max="14584" width="5" style="66" customWidth="1"/>
    <col min="14585" max="14585" width="9" style="66" bestFit="1" customWidth="1"/>
    <col min="14586" max="14586" width="5.1640625" style="66" customWidth="1"/>
    <col min="14587" max="14587" width="9.1640625" style="66" customWidth="1"/>
    <col min="14588" max="14588" width="6" style="66" customWidth="1"/>
    <col min="14589" max="14589" width="9.1640625" style="66" customWidth="1"/>
    <col min="14590" max="14590" width="6" style="66" customWidth="1"/>
    <col min="14591" max="14592" width="10.1640625" style="66" customWidth="1"/>
    <col min="14593" max="14593" width="10" style="66" customWidth="1"/>
    <col min="14594" max="14594" width="10.33203125" style="66" customWidth="1"/>
    <col min="14595" max="14605" width="9.1640625" style="66" customWidth="1"/>
    <col min="14606" max="14606" width="11.33203125" style="66" customWidth="1"/>
    <col min="14607" max="14627" width="13" style="66" hidden="1" customWidth="1"/>
    <col min="14628" max="14833" width="9.1640625" style="66" customWidth="1"/>
    <col min="14834" max="14834" width="28.6640625" style="66" customWidth="1"/>
    <col min="14835" max="14835" width="9" style="66" bestFit="1" customWidth="1"/>
    <col min="14836" max="14836" width="5.33203125" style="66" customWidth="1"/>
    <col min="14837" max="14837" width="9" style="66" bestFit="1" customWidth="1"/>
    <col min="14838" max="14838" width="5.33203125" style="66" customWidth="1"/>
    <col min="14839" max="14839" width="9" style="66" bestFit="1" customWidth="1"/>
    <col min="14840" max="14840" width="5" style="66" customWidth="1"/>
    <col min="14841" max="14841" width="9" style="66" bestFit="1" customWidth="1"/>
    <col min="14842" max="14842" width="5.1640625" style="66" customWidth="1"/>
    <col min="14843" max="14843" width="9.1640625" style="66" customWidth="1"/>
    <col min="14844" max="14844" width="6" style="66" customWidth="1"/>
    <col min="14845" max="14845" width="9.1640625" style="66" customWidth="1"/>
    <col min="14846" max="14846" width="6" style="66" customWidth="1"/>
    <col min="14847" max="14848" width="10.1640625" style="66" customWidth="1"/>
    <col min="14849" max="14849" width="10" style="66" customWidth="1"/>
    <col min="14850" max="14850" width="10.33203125" style="66" customWidth="1"/>
    <col min="14851" max="14861" width="9.1640625" style="66" customWidth="1"/>
    <col min="14862" max="14862" width="11.33203125" style="66" customWidth="1"/>
    <col min="14863" max="14883" width="13" style="66" hidden="1" customWidth="1"/>
    <col min="14884" max="15089" width="9.1640625" style="66" customWidth="1"/>
    <col min="15090" max="15090" width="28.6640625" style="66" customWidth="1"/>
    <col min="15091" max="15091" width="9" style="66" bestFit="1" customWidth="1"/>
    <col min="15092" max="15092" width="5.33203125" style="66" customWidth="1"/>
    <col min="15093" max="15093" width="9" style="66" bestFit="1" customWidth="1"/>
    <col min="15094" max="15094" width="5.33203125" style="66" customWidth="1"/>
    <col min="15095" max="15095" width="9" style="66" bestFit="1" customWidth="1"/>
    <col min="15096" max="15096" width="5" style="66" customWidth="1"/>
    <col min="15097" max="15097" width="9" style="66" bestFit="1" customWidth="1"/>
    <col min="15098" max="15098" width="5.1640625" style="66" customWidth="1"/>
    <col min="15099" max="15099" width="9.1640625" style="66" customWidth="1"/>
    <col min="15100" max="15100" width="6" style="66" customWidth="1"/>
    <col min="15101" max="15101" width="9.1640625" style="66" customWidth="1"/>
    <col min="15102" max="15102" width="6" style="66" customWidth="1"/>
    <col min="15103" max="15104" width="10.1640625" style="66" customWidth="1"/>
    <col min="15105" max="15105" width="10" style="66" customWidth="1"/>
    <col min="15106" max="15106" width="10.33203125" style="66" customWidth="1"/>
    <col min="15107" max="15117" width="9.1640625" style="66" customWidth="1"/>
    <col min="15118" max="15118" width="11.33203125" style="66" customWidth="1"/>
    <col min="15119" max="15139" width="13" style="66" hidden="1" customWidth="1"/>
    <col min="15140" max="15345" width="9.1640625" style="66" customWidth="1"/>
    <col min="15346" max="15346" width="28.6640625" style="66" customWidth="1"/>
    <col min="15347" max="15347" width="9" style="66" bestFit="1" customWidth="1"/>
    <col min="15348" max="15348" width="5.33203125" style="66" customWidth="1"/>
    <col min="15349" max="15349" width="9" style="66" bestFit="1" customWidth="1"/>
    <col min="15350" max="15350" width="5.33203125" style="66" customWidth="1"/>
    <col min="15351" max="15351" width="9" style="66" bestFit="1" customWidth="1"/>
    <col min="15352" max="15352" width="5" style="66" customWidth="1"/>
    <col min="15353" max="15353" width="9" style="66" bestFit="1" customWidth="1"/>
    <col min="15354" max="15354" width="5.1640625" style="66" customWidth="1"/>
    <col min="15355" max="15355" width="9.1640625" style="66" customWidth="1"/>
    <col min="15356" max="15356" width="6" style="66" customWidth="1"/>
    <col min="15357" max="15357" width="9.1640625" style="66" customWidth="1"/>
    <col min="15358" max="15358" width="6" style="66" customWidth="1"/>
    <col min="15359" max="15360" width="10.1640625" style="66" customWidth="1"/>
    <col min="15361" max="15361" width="10" style="66" customWidth="1"/>
    <col min="15362" max="15362" width="10.33203125" style="66" customWidth="1"/>
    <col min="15363" max="15373" width="9.1640625" style="66" customWidth="1"/>
    <col min="15374" max="15374" width="11.33203125" style="66" customWidth="1"/>
    <col min="15375" max="15395" width="13" style="66" hidden="1" customWidth="1"/>
    <col min="15396" max="15601" width="9.1640625" style="66" customWidth="1"/>
    <col min="15602" max="15602" width="28.6640625" style="66" customWidth="1"/>
    <col min="15603" max="15603" width="9" style="66" bestFit="1" customWidth="1"/>
    <col min="15604" max="15604" width="5.33203125" style="66" customWidth="1"/>
    <col min="15605" max="15605" width="9" style="66" bestFit="1" customWidth="1"/>
    <col min="15606" max="15606" width="5.33203125" style="66" customWidth="1"/>
    <col min="15607" max="15607" width="9" style="66" bestFit="1" customWidth="1"/>
    <col min="15608" max="15608" width="5" style="66" customWidth="1"/>
    <col min="15609" max="15609" width="9" style="66" bestFit="1" customWidth="1"/>
    <col min="15610" max="15610" width="5.1640625" style="66" customWidth="1"/>
    <col min="15611" max="15611" width="9.1640625" style="66" customWidth="1"/>
    <col min="15612" max="15612" width="6" style="66" customWidth="1"/>
    <col min="15613" max="15613" width="9.1640625" style="66" customWidth="1"/>
    <col min="15614" max="15614" width="6" style="66" customWidth="1"/>
    <col min="15615" max="15616" width="10.1640625" style="66" customWidth="1"/>
    <col min="15617" max="15617" width="10" style="66" customWidth="1"/>
    <col min="15618" max="15618" width="10.33203125" style="66" customWidth="1"/>
    <col min="15619" max="15629" width="9.1640625" style="66" customWidth="1"/>
    <col min="15630" max="15630" width="11.33203125" style="66" customWidth="1"/>
    <col min="15631" max="15651" width="13" style="66" hidden="1" customWidth="1"/>
    <col min="15652" max="15857" width="9.1640625" style="66" customWidth="1"/>
    <col min="15858" max="15858" width="28.6640625" style="66" customWidth="1"/>
    <col min="15859" max="15859" width="9" style="66" bestFit="1" customWidth="1"/>
    <col min="15860" max="15860" width="5.33203125" style="66" customWidth="1"/>
    <col min="15861" max="15861" width="9" style="66" bestFit="1" customWidth="1"/>
    <col min="15862" max="15862" width="5.33203125" style="66" customWidth="1"/>
    <col min="15863" max="15863" width="9" style="66" bestFit="1" customWidth="1"/>
    <col min="15864" max="15864" width="5" style="66" customWidth="1"/>
    <col min="15865" max="15865" width="9" style="66" bestFit="1" customWidth="1"/>
    <col min="15866" max="15866" width="5.1640625" style="66" customWidth="1"/>
    <col min="15867" max="15867" width="9.1640625" style="66" customWidth="1"/>
    <col min="15868" max="15868" width="6" style="66" customWidth="1"/>
    <col min="15869" max="15869" width="9.1640625" style="66" customWidth="1"/>
    <col min="15870" max="15870" width="6" style="66" customWidth="1"/>
    <col min="15871" max="15872" width="10.1640625" style="66" customWidth="1"/>
    <col min="15873" max="15873" width="10" style="66" customWidth="1"/>
    <col min="15874" max="15874" width="10.33203125" style="66" customWidth="1"/>
    <col min="15875" max="15885" width="9.1640625" style="66" customWidth="1"/>
    <col min="15886" max="15886" width="11.33203125" style="66" customWidth="1"/>
    <col min="15887" max="15907" width="13" style="66" hidden="1" customWidth="1"/>
    <col min="15908" max="16113" width="9.1640625" style="66" customWidth="1"/>
    <col min="16114" max="16114" width="28.6640625" style="66" customWidth="1"/>
    <col min="16115" max="16115" width="9" style="66" bestFit="1" customWidth="1"/>
    <col min="16116" max="16116" width="5.33203125" style="66" customWidth="1"/>
    <col min="16117" max="16117" width="9" style="66" bestFit="1" customWidth="1"/>
    <col min="16118" max="16118" width="5.33203125" style="66" customWidth="1"/>
    <col min="16119" max="16119" width="9" style="66" bestFit="1" customWidth="1"/>
    <col min="16120" max="16120" width="5" style="66" customWidth="1"/>
    <col min="16121" max="16121" width="9" style="66" bestFit="1" customWidth="1"/>
    <col min="16122" max="16122" width="5.1640625" style="66" customWidth="1"/>
    <col min="16123" max="16123" width="9.1640625" style="66" customWidth="1"/>
    <col min="16124" max="16124" width="6" style="66" customWidth="1"/>
    <col min="16125" max="16125" width="9.1640625" style="66" customWidth="1"/>
    <col min="16126" max="16126" width="6" style="66" customWidth="1"/>
    <col min="16127" max="16128" width="10.1640625" style="66" customWidth="1"/>
    <col min="16129" max="16129" width="10" style="66" customWidth="1"/>
    <col min="16130" max="16130" width="10.33203125" style="66" customWidth="1"/>
    <col min="16131" max="16141" width="9.1640625" style="66" customWidth="1"/>
    <col min="16142" max="16142" width="11.33203125" style="66" customWidth="1"/>
    <col min="16143" max="16163" width="13" style="66" hidden="1" customWidth="1"/>
    <col min="16164" max="16384" width="9.1640625" style="66" customWidth="1"/>
  </cols>
  <sheetData>
    <row r="1" spans="2:38" x14ac:dyDescent="0.2">
      <c r="AI1" s="14" t="s">
        <v>73</v>
      </c>
      <c r="AJ1" s="90" t="s">
        <v>74</v>
      </c>
      <c r="AK1" s="70"/>
      <c r="AL1" s="70"/>
    </row>
    <row r="2" spans="2:38" x14ac:dyDescent="0.2">
      <c r="B2" s="30"/>
    </row>
    <row r="3" spans="2:38"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K3" s="91" t="s">
        <v>75</v>
      </c>
      <c r="AL3" s="72"/>
    </row>
    <row r="4" spans="2:38" ht="16" customHeight="1" thickBot="1" x14ac:dyDescent="0.25">
      <c r="B4" s="86" t="s">
        <v>17</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31">
        <v>44562</v>
      </c>
      <c r="AB4" s="31">
        <v>44593</v>
      </c>
      <c r="AC4" s="31">
        <v>44621</v>
      </c>
      <c r="AD4" s="31">
        <v>44652</v>
      </c>
      <c r="AE4" s="31">
        <v>44682</v>
      </c>
      <c r="AF4" s="31">
        <v>44713</v>
      </c>
      <c r="AG4" s="31">
        <v>44743</v>
      </c>
      <c r="AH4" s="31">
        <v>44774</v>
      </c>
      <c r="AI4" s="10"/>
      <c r="AJ4" s="88" t="s">
        <v>76</v>
      </c>
      <c r="AK4" s="88" t="s">
        <v>77</v>
      </c>
      <c r="AL4" s="88" t="s">
        <v>78</v>
      </c>
    </row>
    <row r="5" spans="2:38" ht="16" customHeight="1" thickBot="1" x14ac:dyDescent="0.25">
      <c r="B5" s="87"/>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10"/>
      <c r="AJ5" s="89"/>
      <c r="AK5" s="89"/>
      <c r="AL5" s="89"/>
    </row>
    <row r="6" spans="2:38" x14ac:dyDescent="0.2">
      <c r="B6" s="3" t="s">
        <v>43</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2">
        <f>VLOOKUP(AA$4,'DB Services ISM'!$A:$S,MATCH($B6,'DB Services ISM'!$A$1:$S$1,0),0)</f>
        <v>13</v>
      </c>
      <c r="AB6" s="2">
        <f>VLOOKUP(AB$4,'DB Services ISM'!$A:$S,MATCH($B6,'DB Services ISM'!$A$1:$S$1,0),0)</f>
        <v>1</v>
      </c>
      <c r="AC6" s="2">
        <f>VLOOKUP(AC$4,'DB Services ISM'!$A:$S,MATCH($B6,'DB Services ISM'!$A$1:$S$1,0),0)</f>
        <v>5</v>
      </c>
      <c r="AD6" s="2">
        <f>VLOOKUP(AD$4,'DB Services ISM'!$A:$S,MATCH($B6,'DB Services ISM'!$A$1:$S$1,0),0)</f>
        <v>3</v>
      </c>
      <c r="AE6" s="2">
        <f>VLOOKUP(AE$4,'DB Services ISM'!$A:$S,MATCH($B6,'DB Services ISM'!$A$1:$S$1,0),0)</f>
        <v>6</v>
      </c>
      <c r="AF6" s="2">
        <f>VLOOKUP(AF$4,'DB Services ISM'!$A:$S,MATCH($B6,'DB Services ISM'!$A$1:$S$1,0),0)</f>
        <v>14</v>
      </c>
      <c r="AG6" s="2">
        <f>VLOOKUP(AG$4,'DB Services ISM'!$A:$S,MATCH($B6,'DB Services ISM'!$A$1:$S$1,0),0)</f>
        <v>0</v>
      </c>
      <c r="AH6" s="2">
        <f>VLOOKUP(AH$4,'DB Services ISM'!$A:$S,MATCH($B6,'DB Services ISM'!$A$1:$S$1,0),0)</f>
        <v>3</v>
      </c>
      <c r="AI6" s="33"/>
      <c r="AJ6" s="22">
        <f t="shared" ref="AJ6:AJ23" si="0">AG6-AF6</f>
        <v>-14</v>
      </c>
      <c r="AK6" s="34">
        <f t="shared" ref="AK6:AK23" si="1">AVERAGE(AE6:AG6)</f>
        <v>6.666666666666667</v>
      </c>
      <c r="AL6" s="34">
        <f t="shared" ref="AL6:AL23" si="2">AVERAGE(AB6:AG6)</f>
        <v>4.833333333333333</v>
      </c>
    </row>
    <row r="7" spans="2:38" x14ac:dyDescent="0.2">
      <c r="B7" s="3" t="s">
        <v>29</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2">
        <f>VLOOKUP(AA$4,'DB Services ISM'!$A:$S,MATCH($B7,'DB Services ISM'!$A$1:$S$1,0),0)</f>
        <v>10</v>
      </c>
      <c r="AB7" s="2">
        <f>VLOOKUP(AB$4,'DB Services ISM'!$A:$S,MATCH($B7,'DB Services ISM'!$A$1:$S$1,0),0)</f>
        <v>14</v>
      </c>
      <c r="AC7" s="2">
        <f>VLOOKUP(AC$4,'DB Services ISM'!$A:$S,MATCH($B7,'DB Services ISM'!$A$1:$S$1,0),0)</f>
        <v>14</v>
      </c>
      <c r="AD7" s="2">
        <f>VLOOKUP(AD$4,'DB Services ISM'!$A:$S,MATCH($B7,'DB Services ISM'!$A$1:$S$1,0),0)</f>
        <v>8</v>
      </c>
      <c r="AE7" s="2">
        <f>VLOOKUP(AE$4,'DB Services ISM'!$A:$S,MATCH($B7,'DB Services ISM'!$A$1:$S$1,0),0)</f>
        <v>2</v>
      </c>
      <c r="AF7" s="2">
        <f>VLOOKUP(AF$4,'DB Services ISM'!$A:$S,MATCH($B7,'DB Services ISM'!$A$1:$S$1,0),0)</f>
        <v>5</v>
      </c>
      <c r="AG7" s="2">
        <f>VLOOKUP(AG$4,'DB Services ISM'!$A:$S,MATCH($B7,'DB Services ISM'!$A$1:$S$1,0),0)</f>
        <v>2</v>
      </c>
      <c r="AH7" s="2">
        <f>VLOOKUP(AH$4,'DB Services ISM'!$A:$S,MATCH($B7,'DB Services ISM'!$A$1:$S$1,0),0)</f>
        <v>10</v>
      </c>
      <c r="AI7" s="33"/>
      <c r="AJ7" s="22">
        <f t="shared" si="0"/>
        <v>-3</v>
      </c>
      <c r="AK7" s="34">
        <f t="shared" si="1"/>
        <v>3</v>
      </c>
      <c r="AL7" s="34">
        <f t="shared" si="2"/>
        <v>7.5</v>
      </c>
    </row>
    <row r="8" spans="2:38" x14ac:dyDescent="0.2">
      <c r="B8" s="3" t="s">
        <v>49</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2">
        <f>VLOOKUP(AA$4,'DB Services ISM'!$A:$S,MATCH($B8,'DB Services ISM'!$A$1:$S$1,0),0)</f>
        <v>17</v>
      </c>
      <c r="AB8" s="2">
        <f>VLOOKUP(AB$4,'DB Services ISM'!$A:$S,MATCH($B8,'DB Services ISM'!$A$1:$S$1,0),0)</f>
        <v>11</v>
      </c>
      <c r="AC8" s="2">
        <f>VLOOKUP(AC$4,'DB Services ISM'!$A:$S,MATCH($B8,'DB Services ISM'!$A$1:$S$1,0),0)</f>
        <v>9</v>
      </c>
      <c r="AD8" s="2">
        <f>VLOOKUP(AD$4,'DB Services ISM'!$A:$S,MATCH($B8,'DB Services ISM'!$A$1:$S$1,0),0)</f>
        <v>18</v>
      </c>
      <c r="AE8" s="2">
        <f>VLOOKUP(AE$4,'DB Services ISM'!$A:$S,MATCH($B8,'DB Services ISM'!$A$1:$S$1,0),0)</f>
        <v>18</v>
      </c>
      <c r="AF8" s="2">
        <f>VLOOKUP(AF$4,'DB Services ISM'!$A:$S,MATCH($B8,'DB Services ISM'!$A$1:$S$1,0),0)</f>
        <v>18</v>
      </c>
      <c r="AG8" s="2">
        <f>VLOOKUP(AG$4,'DB Services ISM'!$A:$S,MATCH($B8,'DB Services ISM'!$A$1:$S$1,0),0)</f>
        <v>0</v>
      </c>
      <c r="AH8" s="2">
        <f>VLOOKUP(AH$4,'DB Services ISM'!$A:$S,MATCH($B8,'DB Services ISM'!$A$1:$S$1,0),0)</f>
        <v>15</v>
      </c>
      <c r="AI8" s="33"/>
      <c r="AJ8" s="22">
        <f t="shared" si="0"/>
        <v>-18</v>
      </c>
      <c r="AK8" s="34">
        <f t="shared" si="1"/>
        <v>12</v>
      </c>
      <c r="AL8" s="34">
        <f t="shared" si="2"/>
        <v>12.333333333333334</v>
      </c>
    </row>
    <row r="9" spans="2:38" x14ac:dyDescent="0.2">
      <c r="B9" s="3" t="s">
        <v>24</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2">
        <f>VLOOKUP(AA$4,'DB Services ISM'!$A:$S,MATCH($B9,'DB Services ISM'!$A$1:$S$1,0),0)</f>
        <v>1</v>
      </c>
      <c r="AB9" s="2">
        <f>VLOOKUP(AB$4,'DB Services ISM'!$A:$S,MATCH($B9,'DB Services ISM'!$A$1:$S$1,0),0)</f>
        <v>5</v>
      </c>
      <c r="AC9" s="2">
        <f>VLOOKUP(AC$4,'DB Services ISM'!$A:$S,MATCH($B9,'DB Services ISM'!$A$1:$S$1,0),0)</f>
        <v>6</v>
      </c>
      <c r="AD9" s="2">
        <f>VLOOKUP(AD$4,'DB Services ISM'!$A:$S,MATCH($B9,'DB Services ISM'!$A$1:$S$1,0),0)</f>
        <v>2</v>
      </c>
      <c r="AE9" s="2">
        <f>VLOOKUP(AE$4,'DB Services ISM'!$A:$S,MATCH($B9,'DB Services ISM'!$A$1:$S$1,0),0)</f>
        <v>10</v>
      </c>
      <c r="AF9" s="2">
        <f>VLOOKUP(AF$4,'DB Services ISM'!$A:$S,MATCH($B9,'DB Services ISM'!$A$1:$S$1,0),0)</f>
        <v>2</v>
      </c>
      <c r="AG9" s="2">
        <f>VLOOKUP(AG$4,'DB Services ISM'!$A:$S,MATCH($B9,'DB Services ISM'!$A$1:$S$1,0),0)</f>
        <v>3</v>
      </c>
      <c r="AH9" s="2">
        <f>VLOOKUP(AH$4,'DB Services ISM'!$A:$S,MATCH($B9,'DB Services ISM'!$A$1:$S$1,0),0)</f>
        <v>14</v>
      </c>
      <c r="AI9" s="33"/>
      <c r="AJ9" s="22">
        <f t="shared" si="0"/>
        <v>1</v>
      </c>
      <c r="AK9" s="34">
        <f t="shared" si="1"/>
        <v>5</v>
      </c>
      <c r="AL9" s="34">
        <f t="shared" si="2"/>
        <v>4.666666666666667</v>
      </c>
    </row>
    <row r="10" spans="2:38" x14ac:dyDescent="0.2">
      <c r="B10" s="3" t="s">
        <v>45</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2">
        <f>VLOOKUP(AA$4,'DB Services ISM'!$A:$S,MATCH($B10,'DB Services ISM'!$A$1:$S$1,0),0)</f>
        <v>5</v>
      </c>
      <c r="AB10" s="2">
        <f>VLOOKUP(AB$4,'DB Services ISM'!$A:$S,MATCH($B10,'DB Services ISM'!$A$1:$S$1,0),0)</f>
        <v>3</v>
      </c>
      <c r="AC10" s="2">
        <f>VLOOKUP(AC$4,'DB Services ISM'!$A:$S,MATCH($B10,'DB Services ISM'!$A$1:$S$1,0),0)</f>
        <v>2</v>
      </c>
      <c r="AD10" s="2">
        <f>VLOOKUP(AD$4,'DB Services ISM'!$A:$S,MATCH($B10,'DB Services ISM'!$A$1:$S$1,0),0)</f>
        <v>4</v>
      </c>
      <c r="AE10" s="2">
        <f>VLOOKUP(AE$4,'DB Services ISM'!$A:$S,MATCH($B10,'DB Services ISM'!$A$1:$S$1,0),0)</f>
        <v>3</v>
      </c>
      <c r="AF10" s="2">
        <f>VLOOKUP(AF$4,'DB Services ISM'!$A:$S,MATCH($B10,'DB Services ISM'!$A$1:$S$1,0),0)</f>
        <v>4</v>
      </c>
      <c r="AG10" s="2">
        <f>VLOOKUP(AG$4,'DB Services ISM'!$A:$S,MATCH($B10,'DB Services ISM'!$A$1:$S$1,0),0)</f>
        <v>4</v>
      </c>
      <c r="AH10" s="2">
        <f>VLOOKUP(AH$4,'DB Services ISM'!$A:$S,MATCH($B10,'DB Services ISM'!$A$1:$S$1,0),0)</f>
        <v>13</v>
      </c>
      <c r="AI10" s="33"/>
      <c r="AJ10" s="22">
        <f t="shared" si="0"/>
        <v>0</v>
      </c>
      <c r="AK10" s="34">
        <f t="shared" si="1"/>
        <v>3.6666666666666665</v>
      </c>
      <c r="AL10" s="34">
        <f t="shared" si="2"/>
        <v>3.3333333333333335</v>
      </c>
    </row>
    <row r="11" spans="2:38" x14ac:dyDescent="0.2">
      <c r="B11" s="3" t="s">
        <v>15</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2">
        <f>VLOOKUP(AA$4,'DB Services ISM'!$A:$S,MATCH($B11,'DB Services ISM'!$A$1:$S$1,0),0)</f>
        <v>14</v>
      </c>
      <c r="AB11" s="2">
        <f>VLOOKUP(AB$4,'DB Services ISM'!$A:$S,MATCH($B11,'DB Services ISM'!$A$1:$S$1,0),0)</f>
        <v>2</v>
      </c>
      <c r="AC11" s="2">
        <f>VLOOKUP(AC$4,'DB Services ISM'!$A:$S,MATCH($B11,'DB Services ISM'!$A$1:$S$1,0),0)</f>
        <v>3</v>
      </c>
      <c r="AD11" s="2">
        <f>VLOOKUP(AD$4,'DB Services ISM'!$A:$S,MATCH($B11,'DB Services ISM'!$A$1:$S$1,0),0)</f>
        <v>13</v>
      </c>
      <c r="AE11" s="2">
        <f>VLOOKUP(AE$4,'DB Services ISM'!$A:$S,MATCH($B11,'DB Services ISM'!$A$1:$S$1,0),0)</f>
        <v>14</v>
      </c>
      <c r="AF11" s="2">
        <f>VLOOKUP(AF$4,'DB Services ISM'!$A:$S,MATCH($B11,'DB Services ISM'!$A$1:$S$1,0),0)</f>
        <v>13</v>
      </c>
      <c r="AG11" s="2">
        <f>VLOOKUP(AG$4,'DB Services ISM'!$A:$S,MATCH($B11,'DB Services ISM'!$A$1:$S$1,0),0)</f>
        <v>13</v>
      </c>
      <c r="AH11" s="2">
        <f>VLOOKUP(AH$4,'DB Services ISM'!$A:$S,MATCH($B11,'DB Services ISM'!$A$1:$S$1,0),0)</f>
        <v>-1</v>
      </c>
      <c r="AI11" s="33"/>
      <c r="AJ11" s="22">
        <f t="shared" si="0"/>
        <v>0</v>
      </c>
      <c r="AK11" s="34">
        <f t="shared" si="1"/>
        <v>13.333333333333334</v>
      </c>
      <c r="AL11" s="34">
        <f t="shared" si="2"/>
        <v>9.6666666666666661</v>
      </c>
    </row>
    <row r="12" spans="2:38" x14ac:dyDescent="0.2">
      <c r="B12" s="3" t="s">
        <v>44</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2">
        <f>VLOOKUP(AA$4,'DB Services ISM'!$A:$S,MATCH($B12,'DB Services ISM'!$A$1:$S$1,0),0)</f>
        <v>6</v>
      </c>
      <c r="AB12" s="2">
        <f>VLOOKUP(AB$4,'DB Services ISM'!$A:$S,MATCH($B12,'DB Services ISM'!$A$1:$S$1,0),0)</f>
        <v>7</v>
      </c>
      <c r="AC12" s="2">
        <f>VLOOKUP(AC$4,'DB Services ISM'!$A:$S,MATCH($B12,'DB Services ISM'!$A$1:$S$1,0),0)</f>
        <v>1</v>
      </c>
      <c r="AD12" s="2">
        <f>VLOOKUP(AD$4,'DB Services ISM'!$A:$S,MATCH($B12,'DB Services ISM'!$A$1:$S$1,0),0)</f>
        <v>10</v>
      </c>
      <c r="AE12" s="2">
        <f>VLOOKUP(AE$4,'DB Services ISM'!$A:$S,MATCH($B12,'DB Services ISM'!$A$1:$S$1,0),0)</f>
        <v>7</v>
      </c>
      <c r="AF12" s="2">
        <f>VLOOKUP(AF$4,'DB Services ISM'!$A:$S,MATCH($B12,'DB Services ISM'!$A$1:$S$1,0),0)</f>
        <v>7</v>
      </c>
      <c r="AG12" s="2">
        <f>VLOOKUP(AG$4,'DB Services ISM'!$A:$S,MATCH($B12,'DB Services ISM'!$A$1:$S$1,0),0)</f>
        <v>10</v>
      </c>
      <c r="AH12" s="2">
        <f>VLOOKUP(AH$4,'DB Services ISM'!$A:$S,MATCH($B12,'DB Services ISM'!$A$1:$S$1,0),0)</f>
        <v>7</v>
      </c>
      <c r="AI12" s="33"/>
      <c r="AJ12" s="22">
        <f t="shared" si="0"/>
        <v>3</v>
      </c>
      <c r="AK12" s="34">
        <f t="shared" si="1"/>
        <v>8</v>
      </c>
      <c r="AL12" s="34">
        <f t="shared" si="2"/>
        <v>7</v>
      </c>
    </row>
    <row r="13" spans="2:38" x14ac:dyDescent="0.2">
      <c r="B13" s="3" t="s">
        <v>42</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2">
        <f>VLOOKUP(AA$4,'DB Services ISM'!$A:$S,MATCH($B13,'DB Services ISM'!$A$1:$S$1,0),0)</f>
        <v>3</v>
      </c>
      <c r="AB13" s="2">
        <f>VLOOKUP(AB$4,'DB Services ISM'!$A:$S,MATCH($B13,'DB Services ISM'!$A$1:$S$1,0),0)</f>
        <v>6</v>
      </c>
      <c r="AC13" s="2">
        <f>VLOOKUP(AC$4,'DB Services ISM'!$A:$S,MATCH($B13,'DB Services ISM'!$A$1:$S$1,0),0)</f>
        <v>12</v>
      </c>
      <c r="AD13" s="2">
        <f>VLOOKUP(AD$4,'DB Services ISM'!$A:$S,MATCH($B13,'DB Services ISM'!$A$1:$S$1,0),0)</f>
        <v>16</v>
      </c>
      <c r="AE13" s="2">
        <f>VLOOKUP(AE$4,'DB Services ISM'!$A:$S,MATCH($B13,'DB Services ISM'!$A$1:$S$1,0),0)</f>
        <v>12</v>
      </c>
      <c r="AF13" s="2">
        <f>VLOOKUP(AF$4,'DB Services ISM'!$A:$S,MATCH($B13,'DB Services ISM'!$A$1:$S$1,0),0)</f>
        <v>8</v>
      </c>
      <c r="AG13" s="2">
        <f>VLOOKUP(AG$4,'DB Services ISM'!$A:$S,MATCH($B13,'DB Services ISM'!$A$1:$S$1,0),0)</f>
        <v>7</v>
      </c>
      <c r="AH13" s="2">
        <f>VLOOKUP(AH$4,'DB Services ISM'!$A:$S,MATCH($B13,'DB Services ISM'!$A$1:$S$1,0),0)</f>
        <v>16</v>
      </c>
      <c r="AI13" s="33"/>
      <c r="AJ13" s="22">
        <f t="shared" si="0"/>
        <v>-1</v>
      </c>
      <c r="AK13" s="34">
        <f t="shared" si="1"/>
        <v>9</v>
      </c>
      <c r="AL13" s="34">
        <f t="shared" si="2"/>
        <v>10.166666666666666</v>
      </c>
    </row>
    <row r="14" spans="2:38" x14ac:dyDescent="0.2">
      <c r="B14" s="3" t="s">
        <v>39</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2">
        <f>VLOOKUP(AA$4,'DB Services ISM'!$A:$S,MATCH($B14,'DB Services ISM'!$A$1:$S$1,0),0)</f>
        <v>12</v>
      </c>
      <c r="AB14" s="2">
        <f>VLOOKUP(AB$4,'DB Services ISM'!$A:$S,MATCH($B14,'DB Services ISM'!$A$1:$S$1,0),0)</f>
        <v>9</v>
      </c>
      <c r="AC14" s="2">
        <f>VLOOKUP(AC$4,'DB Services ISM'!$A:$S,MATCH($B14,'DB Services ISM'!$A$1:$S$1,0),0)</f>
        <v>15</v>
      </c>
      <c r="AD14" s="2">
        <f>VLOOKUP(AD$4,'DB Services ISM'!$A:$S,MATCH($B14,'DB Services ISM'!$A$1:$S$1,0),0)</f>
        <v>6</v>
      </c>
      <c r="AE14" s="2">
        <f>VLOOKUP(AE$4,'DB Services ISM'!$A:$S,MATCH($B14,'DB Services ISM'!$A$1:$S$1,0),0)</f>
        <v>13</v>
      </c>
      <c r="AF14" s="2">
        <f>VLOOKUP(AF$4,'DB Services ISM'!$A:$S,MATCH($B14,'DB Services ISM'!$A$1:$S$1,0),0)</f>
        <v>16</v>
      </c>
      <c r="AG14" s="2">
        <f>VLOOKUP(AG$4,'DB Services ISM'!$A:$S,MATCH($B14,'DB Services ISM'!$A$1:$S$1,0),0)</f>
        <v>6</v>
      </c>
      <c r="AH14" s="2">
        <f>VLOOKUP(AH$4,'DB Services ISM'!$A:$S,MATCH($B14,'DB Services ISM'!$A$1:$S$1,0),0)</f>
        <v>12</v>
      </c>
      <c r="AI14" s="33"/>
      <c r="AJ14" s="22">
        <f t="shared" si="0"/>
        <v>-10</v>
      </c>
      <c r="AK14" s="34">
        <f t="shared" si="1"/>
        <v>11.666666666666666</v>
      </c>
      <c r="AL14" s="34">
        <f t="shared" si="2"/>
        <v>10.833333333333334</v>
      </c>
    </row>
    <row r="15" spans="2:38" x14ac:dyDescent="0.2">
      <c r="B15" s="3" t="s">
        <v>18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2">
        <f>VLOOKUP(AA$4,'DB Services ISM'!$A:$S,MATCH($B15,'DB Services ISM'!$A$1:$S$1,0),0)</f>
        <v>9</v>
      </c>
      <c r="AB15" s="2">
        <f>VLOOKUP(AB$4,'DB Services ISM'!$A:$S,MATCH($B15,'DB Services ISM'!$A$1:$S$1,0),0)</f>
        <v>10</v>
      </c>
      <c r="AC15" s="2">
        <f>VLOOKUP(AC$4,'DB Services ISM'!$A:$S,MATCH($B15,'DB Services ISM'!$A$1:$S$1,0),0)</f>
        <v>16</v>
      </c>
      <c r="AD15" s="2">
        <f>VLOOKUP(AD$4,'DB Services ISM'!$A:$S,MATCH($B15,'DB Services ISM'!$A$1:$S$1,0),0)</f>
        <v>17</v>
      </c>
      <c r="AE15" s="2">
        <f>VLOOKUP(AE$4,'DB Services ISM'!$A:$S,MATCH($B15,'DB Services ISM'!$A$1:$S$1,0),0)</f>
        <v>17</v>
      </c>
      <c r="AF15" s="2">
        <f>VLOOKUP(AF$4,'DB Services ISM'!$A:$S,MATCH($B15,'DB Services ISM'!$A$1:$S$1,0),0)</f>
        <v>17</v>
      </c>
      <c r="AG15" s="2">
        <f>VLOOKUP(AG$4,'DB Services ISM'!$A:$S,MATCH($B15,'DB Services ISM'!$A$1:$S$1,0),0)</f>
        <v>16</v>
      </c>
      <c r="AH15" s="2">
        <f>VLOOKUP(AH$4,'DB Services ISM'!$A:$S,MATCH($B15,'DB Services ISM'!$A$1:$S$1,0),0)</f>
        <v>17</v>
      </c>
      <c r="AI15" s="33"/>
      <c r="AJ15" s="22">
        <f t="shared" si="0"/>
        <v>-1</v>
      </c>
      <c r="AK15" s="34">
        <f t="shared" si="1"/>
        <v>16.666666666666668</v>
      </c>
      <c r="AL15" s="34">
        <f t="shared" si="2"/>
        <v>15.5</v>
      </c>
    </row>
    <row r="16" spans="2:38" x14ac:dyDescent="0.2">
      <c r="B16" s="3" t="s">
        <v>33</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2">
        <f>VLOOKUP(AA$4,'DB Services ISM'!$A:$S,MATCH($B16,'DB Services ISM'!$A$1:$S$1,0),0)</f>
        <v>16</v>
      </c>
      <c r="AB16" s="2">
        <f>VLOOKUP(AB$4,'DB Services ISM'!$A:$S,MATCH($B16,'DB Services ISM'!$A$1:$S$1,0),0)</f>
        <v>18</v>
      </c>
      <c r="AC16" s="2">
        <f>VLOOKUP(AC$4,'DB Services ISM'!$A:$S,MATCH($B16,'DB Services ISM'!$A$1:$S$1,0),0)</f>
        <v>18</v>
      </c>
      <c r="AD16" s="2">
        <f>VLOOKUP(AD$4,'DB Services ISM'!$A:$S,MATCH($B16,'DB Services ISM'!$A$1:$S$1,0),0)</f>
        <v>14</v>
      </c>
      <c r="AE16" s="2">
        <f>VLOOKUP(AE$4,'DB Services ISM'!$A:$S,MATCH($B16,'DB Services ISM'!$A$1:$S$1,0),0)</f>
        <v>16</v>
      </c>
      <c r="AF16" s="2">
        <f>VLOOKUP(AF$4,'DB Services ISM'!$A:$S,MATCH($B16,'DB Services ISM'!$A$1:$S$1,0),0)</f>
        <v>6</v>
      </c>
      <c r="AG16" s="2">
        <f>VLOOKUP(AG$4,'DB Services ISM'!$A:$S,MATCH($B16,'DB Services ISM'!$A$1:$S$1,0),0)</f>
        <v>5</v>
      </c>
      <c r="AH16" s="2">
        <f>VLOOKUP(AH$4,'DB Services ISM'!$A:$S,MATCH($B16,'DB Services ISM'!$A$1:$S$1,0),0)</f>
        <v>4</v>
      </c>
      <c r="AI16" s="33"/>
      <c r="AJ16" s="22">
        <f t="shared" si="0"/>
        <v>-1</v>
      </c>
      <c r="AK16" s="34">
        <f t="shared" si="1"/>
        <v>9</v>
      </c>
      <c r="AL16" s="34">
        <f t="shared" si="2"/>
        <v>12.833333333333334</v>
      </c>
    </row>
    <row r="17" spans="2:41" x14ac:dyDescent="0.2">
      <c r="B17" s="3" t="s">
        <v>27</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2">
        <f>VLOOKUP(AA$4,'DB Services ISM'!$A:$S,MATCH($B17,'DB Services ISM'!$A$1:$S$1,0),0)</f>
        <v>11</v>
      </c>
      <c r="AB17" s="2">
        <f>VLOOKUP(AB$4,'DB Services ISM'!$A:$S,MATCH($B17,'DB Services ISM'!$A$1:$S$1,0),0)</f>
        <v>17</v>
      </c>
      <c r="AC17" s="2">
        <f>VLOOKUP(AC$4,'DB Services ISM'!$A:$S,MATCH($B17,'DB Services ISM'!$A$1:$S$1,0),0)</f>
        <v>10</v>
      </c>
      <c r="AD17" s="2">
        <f>VLOOKUP(AD$4,'DB Services ISM'!$A:$S,MATCH($B17,'DB Services ISM'!$A$1:$S$1,0),0)</f>
        <v>15</v>
      </c>
      <c r="AE17" s="2">
        <f>VLOOKUP(AE$4,'DB Services ISM'!$A:$S,MATCH($B17,'DB Services ISM'!$A$1:$S$1,0),0)</f>
        <v>11</v>
      </c>
      <c r="AF17" s="2">
        <f>VLOOKUP(AF$4,'DB Services ISM'!$A:$S,MATCH($B17,'DB Services ISM'!$A$1:$S$1,0),0)</f>
        <v>11</v>
      </c>
      <c r="AG17" s="2">
        <f>VLOOKUP(AG$4,'DB Services ISM'!$A:$S,MATCH($B17,'DB Services ISM'!$A$1:$S$1,0),0)</f>
        <v>1</v>
      </c>
      <c r="AH17" s="2">
        <f>VLOOKUP(AH$4,'DB Services ISM'!$A:$S,MATCH($B17,'DB Services ISM'!$A$1:$S$1,0),0)</f>
        <v>2</v>
      </c>
      <c r="AI17" s="33"/>
      <c r="AJ17" s="22">
        <f t="shared" si="0"/>
        <v>-10</v>
      </c>
      <c r="AK17" s="34">
        <f t="shared" si="1"/>
        <v>7.666666666666667</v>
      </c>
      <c r="AL17" s="34">
        <f t="shared" si="2"/>
        <v>10.833333333333334</v>
      </c>
    </row>
    <row r="18" spans="2:41" x14ac:dyDescent="0.2">
      <c r="B18" s="3" t="s">
        <v>41</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2">
        <f>VLOOKUP(AA$4,'DB Services ISM'!$A:$S,MATCH($B18,'DB Services ISM'!$A$1:$S$1,0),0)</f>
        <v>7</v>
      </c>
      <c r="AB18" s="2">
        <f>VLOOKUP(AB$4,'DB Services ISM'!$A:$S,MATCH($B18,'DB Services ISM'!$A$1:$S$1,0),0)</f>
        <v>13</v>
      </c>
      <c r="AC18" s="2">
        <f>VLOOKUP(AC$4,'DB Services ISM'!$A:$S,MATCH($B18,'DB Services ISM'!$A$1:$S$1,0),0)</f>
        <v>7</v>
      </c>
      <c r="AD18" s="2">
        <f>VLOOKUP(AD$4,'DB Services ISM'!$A:$S,MATCH($B18,'DB Services ISM'!$A$1:$S$1,0),0)</f>
        <v>9</v>
      </c>
      <c r="AE18" s="2">
        <f>VLOOKUP(AE$4,'DB Services ISM'!$A:$S,MATCH($B18,'DB Services ISM'!$A$1:$S$1,0),0)</f>
        <v>9</v>
      </c>
      <c r="AF18" s="2">
        <f>VLOOKUP(AF$4,'DB Services ISM'!$A:$S,MATCH($B18,'DB Services ISM'!$A$1:$S$1,0),0)</f>
        <v>15</v>
      </c>
      <c r="AG18" s="2">
        <f>VLOOKUP(AG$4,'DB Services ISM'!$A:$S,MATCH($B18,'DB Services ISM'!$A$1:$S$1,0),0)</f>
        <v>15</v>
      </c>
      <c r="AH18" s="2">
        <f>VLOOKUP(AH$4,'DB Services ISM'!$A:$S,MATCH($B18,'DB Services ISM'!$A$1:$S$1,0),0)</f>
        <v>11</v>
      </c>
      <c r="AI18" s="33"/>
      <c r="AJ18" s="22">
        <f t="shared" si="0"/>
        <v>0</v>
      </c>
      <c r="AK18" s="34">
        <f t="shared" si="1"/>
        <v>13</v>
      </c>
      <c r="AL18" s="34">
        <f t="shared" si="2"/>
        <v>11.333333333333334</v>
      </c>
      <c r="AO18" s="35"/>
    </row>
    <row r="19" spans="2:41" x14ac:dyDescent="0.2">
      <c r="B19" s="3" t="s">
        <v>46</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2">
        <f>VLOOKUP(AA$4,'DB Services ISM'!$A:$S,MATCH($B19,'DB Services ISM'!$A$1:$S$1,0),0)</f>
        <v>8</v>
      </c>
      <c r="AB19" s="2">
        <f>VLOOKUP(AB$4,'DB Services ISM'!$A:$S,MATCH($B19,'DB Services ISM'!$A$1:$S$1,0),0)</f>
        <v>4</v>
      </c>
      <c r="AC19" s="2">
        <f>VLOOKUP(AC$4,'DB Services ISM'!$A:$S,MATCH($B19,'DB Services ISM'!$A$1:$S$1,0),0)</f>
        <v>4</v>
      </c>
      <c r="AD19" s="2">
        <f>VLOOKUP(AD$4,'DB Services ISM'!$A:$S,MATCH($B19,'DB Services ISM'!$A$1:$S$1,0),0)</f>
        <v>5</v>
      </c>
      <c r="AE19" s="2">
        <f>VLOOKUP(AE$4,'DB Services ISM'!$A:$S,MATCH($B19,'DB Services ISM'!$A$1:$S$1,0),0)</f>
        <v>4</v>
      </c>
      <c r="AF19" s="2">
        <f>VLOOKUP(AF$4,'DB Services ISM'!$A:$S,MATCH($B19,'DB Services ISM'!$A$1:$S$1,0),0)</f>
        <v>9</v>
      </c>
      <c r="AG19" s="2">
        <f>VLOOKUP(AG$4,'DB Services ISM'!$A:$S,MATCH($B19,'DB Services ISM'!$A$1:$S$1,0),0)</f>
        <v>8</v>
      </c>
      <c r="AH19" s="2">
        <f>VLOOKUP(AH$4,'DB Services ISM'!$A:$S,MATCH($B19,'DB Services ISM'!$A$1:$S$1,0),0)</f>
        <v>1</v>
      </c>
      <c r="AI19" s="33"/>
      <c r="AJ19" s="22">
        <f t="shared" si="0"/>
        <v>-1</v>
      </c>
      <c r="AK19" s="34">
        <f t="shared" si="1"/>
        <v>7</v>
      </c>
      <c r="AL19" s="34">
        <f t="shared" si="2"/>
        <v>5.666666666666667</v>
      </c>
    </row>
    <row r="20" spans="2:41"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2">
        <f>VLOOKUP(AA$4,'DB Services ISM'!$A:$S,MATCH($B20,'DB Services ISM'!$A$1:$S$1,0),0)</f>
        <v>18</v>
      </c>
      <c r="AB20" s="2">
        <f>VLOOKUP(AB$4,'DB Services ISM'!$A:$S,MATCH($B20,'DB Services ISM'!$A$1:$S$1,0),0)</f>
        <v>12</v>
      </c>
      <c r="AC20" s="2">
        <f>VLOOKUP(AC$4,'DB Services ISM'!$A:$S,MATCH($B20,'DB Services ISM'!$A$1:$S$1,0),0)</f>
        <v>13</v>
      </c>
      <c r="AD20" s="2">
        <f>VLOOKUP(AD$4,'DB Services ISM'!$A:$S,MATCH($B20,'DB Services ISM'!$A$1:$S$1,0),0)</f>
        <v>1</v>
      </c>
      <c r="AE20" s="2">
        <f>VLOOKUP(AE$4,'DB Services ISM'!$A:$S,MATCH($B20,'DB Services ISM'!$A$1:$S$1,0),0)</f>
        <v>1</v>
      </c>
      <c r="AF20" s="2">
        <f>VLOOKUP(AF$4,'DB Services ISM'!$A:$S,MATCH($B20,'DB Services ISM'!$A$1:$S$1,0),0)</f>
        <v>1</v>
      </c>
      <c r="AG20" s="2">
        <f>VLOOKUP(AG$4,'DB Services ISM'!$A:$S,MATCH($B20,'DB Services ISM'!$A$1:$S$1,0),0)</f>
        <v>12</v>
      </c>
      <c r="AH20" s="2">
        <f>VLOOKUP(AH$4,'DB Services ISM'!$A:$S,MATCH($B20,'DB Services ISM'!$A$1:$S$1,0),0)</f>
        <v>9</v>
      </c>
      <c r="AI20" s="33"/>
      <c r="AJ20" s="22">
        <f t="shared" si="0"/>
        <v>11</v>
      </c>
      <c r="AK20" s="34">
        <f t="shared" si="1"/>
        <v>4.666666666666667</v>
      </c>
      <c r="AL20" s="34">
        <f t="shared" si="2"/>
        <v>6.666666666666667</v>
      </c>
    </row>
    <row r="21" spans="2:41" x14ac:dyDescent="0.2">
      <c r="B21" s="3" t="s">
        <v>37</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2">
        <f>VLOOKUP(AA$4,'DB Services ISM'!$A:$S,MATCH($B21,'DB Services ISM'!$A$1:$S$1,0),0)</f>
        <v>4</v>
      </c>
      <c r="AB21" s="2">
        <f>VLOOKUP(AB$4,'DB Services ISM'!$A:$S,MATCH($B21,'DB Services ISM'!$A$1:$S$1,0),0)</f>
        <v>8</v>
      </c>
      <c r="AC21" s="2">
        <f>VLOOKUP(AC$4,'DB Services ISM'!$A:$S,MATCH($B21,'DB Services ISM'!$A$1:$S$1,0),0)</f>
        <v>11</v>
      </c>
      <c r="AD21" s="2">
        <f>VLOOKUP(AD$4,'DB Services ISM'!$A:$S,MATCH($B21,'DB Services ISM'!$A$1:$S$1,0),0)</f>
        <v>7</v>
      </c>
      <c r="AE21" s="2">
        <f>VLOOKUP(AE$4,'DB Services ISM'!$A:$S,MATCH($B21,'DB Services ISM'!$A$1:$S$1,0),0)</f>
        <v>5</v>
      </c>
      <c r="AF21" s="2">
        <f>VLOOKUP(AF$4,'DB Services ISM'!$A:$S,MATCH($B21,'DB Services ISM'!$A$1:$S$1,0),0)</f>
        <v>10</v>
      </c>
      <c r="AG21" s="2">
        <f>VLOOKUP(AG$4,'DB Services ISM'!$A:$S,MATCH($B21,'DB Services ISM'!$A$1:$S$1,0),0)</f>
        <v>14</v>
      </c>
      <c r="AH21" s="2">
        <f>VLOOKUP(AH$4,'DB Services ISM'!$A:$S,MATCH($B21,'DB Services ISM'!$A$1:$S$1,0),0)</f>
        <v>5</v>
      </c>
      <c r="AI21" s="33"/>
      <c r="AJ21" s="22">
        <f t="shared" si="0"/>
        <v>4</v>
      </c>
      <c r="AK21" s="34">
        <f t="shared" si="1"/>
        <v>9.6666666666666661</v>
      </c>
      <c r="AL21" s="34">
        <f t="shared" si="2"/>
        <v>9.1666666666666661</v>
      </c>
    </row>
    <row r="22" spans="2:41" x14ac:dyDescent="0.2">
      <c r="B22" s="3" t="s">
        <v>35</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2">
        <f>VLOOKUP(AA$4,'DB Services ISM'!$A:$S,MATCH($B22,'DB Services ISM'!$A$1:$S$1,0),0)</f>
        <v>2</v>
      </c>
      <c r="AB22" s="2">
        <f>VLOOKUP(AB$4,'DB Services ISM'!$A:$S,MATCH($B22,'DB Services ISM'!$A$1:$S$1,0),0)</f>
        <v>15</v>
      </c>
      <c r="AC22" s="2">
        <f>VLOOKUP(AC$4,'DB Services ISM'!$A:$S,MATCH($B22,'DB Services ISM'!$A$1:$S$1,0),0)</f>
        <v>8</v>
      </c>
      <c r="AD22" s="2">
        <f>VLOOKUP(AD$4,'DB Services ISM'!$A:$S,MATCH($B22,'DB Services ISM'!$A$1:$S$1,0),0)</f>
        <v>11</v>
      </c>
      <c r="AE22" s="2">
        <f>VLOOKUP(AE$4,'DB Services ISM'!$A:$S,MATCH($B22,'DB Services ISM'!$A$1:$S$1,0),0)</f>
        <v>8</v>
      </c>
      <c r="AF22" s="2">
        <f>VLOOKUP(AF$4,'DB Services ISM'!$A:$S,MATCH($B22,'DB Services ISM'!$A$1:$S$1,0),0)</f>
        <v>12</v>
      </c>
      <c r="AG22" s="2">
        <f>VLOOKUP(AG$4,'DB Services ISM'!$A:$S,MATCH($B22,'DB Services ISM'!$A$1:$S$1,0),0)</f>
        <v>11</v>
      </c>
      <c r="AH22" s="2">
        <f>VLOOKUP(AH$4,'DB Services ISM'!$A:$S,MATCH($B22,'DB Services ISM'!$A$1:$S$1,0),0)</f>
        <v>8</v>
      </c>
      <c r="AI22" s="33"/>
      <c r="AJ22" s="22">
        <f t="shared" si="0"/>
        <v>-1</v>
      </c>
      <c r="AK22" s="34">
        <f t="shared" si="1"/>
        <v>10.333333333333334</v>
      </c>
      <c r="AL22" s="34">
        <f t="shared" si="2"/>
        <v>10.833333333333334</v>
      </c>
    </row>
    <row r="23" spans="2:41" x14ac:dyDescent="0.2">
      <c r="B23" s="4" t="s">
        <v>21</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2">
        <f>VLOOKUP(AA$4,'DB Services ISM'!$A:$S,MATCH($B23,'DB Services ISM'!$A$1:$S$1,0),0)</f>
        <v>15</v>
      </c>
      <c r="AB23" s="2">
        <f>VLOOKUP(AB$4,'DB Services ISM'!$A:$S,MATCH($B23,'DB Services ISM'!$A$1:$S$1,0),0)</f>
        <v>16</v>
      </c>
      <c r="AC23" s="2">
        <f>VLOOKUP(AC$4,'DB Services ISM'!$A:$S,MATCH($B23,'DB Services ISM'!$A$1:$S$1,0),0)</f>
        <v>17</v>
      </c>
      <c r="AD23" s="2">
        <f>VLOOKUP(AD$4,'DB Services ISM'!$A:$S,MATCH($B23,'DB Services ISM'!$A$1:$S$1,0),0)</f>
        <v>12</v>
      </c>
      <c r="AE23" s="2">
        <f>VLOOKUP(AE$4,'DB Services ISM'!$A:$S,MATCH($B23,'DB Services ISM'!$A$1:$S$1,0),0)</f>
        <v>15</v>
      </c>
      <c r="AF23" s="2">
        <f>VLOOKUP(AF$4,'DB Services ISM'!$A:$S,MATCH($B23,'DB Services ISM'!$A$1:$S$1,0),0)</f>
        <v>3</v>
      </c>
      <c r="AG23" s="2">
        <f>VLOOKUP(AG$4,'DB Services ISM'!$A:$S,MATCH($B23,'DB Services ISM'!$A$1:$S$1,0),0)</f>
        <v>9</v>
      </c>
      <c r="AH23" s="2">
        <f>VLOOKUP(AH$4,'DB Services ISM'!$A:$S,MATCH($B23,'DB Services ISM'!$A$1:$S$1,0),0)</f>
        <v>6</v>
      </c>
      <c r="AI23" s="33"/>
      <c r="AJ23" s="22">
        <f t="shared" si="0"/>
        <v>6</v>
      </c>
      <c r="AK23" s="34">
        <f t="shared" si="1"/>
        <v>9</v>
      </c>
      <c r="AL23" s="34">
        <f t="shared" si="2"/>
        <v>12</v>
      </c>
    </row>
    <row r="24" spans="2:41"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6">
        <v>25</v>
      </c>
      <c r="AB24" s="36">
        <v>26</v>
      </c>
      <c r="AC24" s="36">
        <v>27</v>
      </c>
      <c r="AD24" s="36">
        <v>28</v>
      </c>
      <c r="AE24" s="36">
        <v>29</v>
      </c>
      <c r="AF24" s="36">
        <v>30</v>
      </c>
      <c r="AG24" s="36">
        <v>31</v>
      </c>
      <c r="AH24" s="36">
        <v>32</v>
      </c>
      <c r="AI24" s="33"/>
      <c r="AJ24" s="33"/>
      <c r="AK24" s="33"/>
      <c r="AL24" s="33"/>
    </row>
    <row r="25" spans="2:41"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7"/>
      <c r="AH25" s="37"/>
    </row>
    <row r="26" spans="2:41" ht="16" customHeight="1" thickBot="1" x14ac:dyDescent="0.25">
      <c r="B26" s="86" t="s">
        <v>30</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31">
        <v>44562</v>
      </c>
      <c r="AB26" s="31">
        <v>44593</v>
      </c>
      <c r="AC26" s="31">
        <v>44621</v>
      </c>
      <c r="AD26" s="31">
        <v>44652</v>
      </c>
      <c r="AE26" s="31">
        <v>44682</v>
      </c>
      <c r="AF26" s="31">
        <v>44713</v>
      </c>
      <c r="AG26" s="31">
        <v>44743</v>
      </c>
      <c r="AH26" s="31">
        <v>44774</v>
      </c>
      <c r="AI26" s="10"/>
      <c r="AJ26" s="88" t="s">
        <v>76</v>
      </c>
      <c r="AK26" s="88" t="s">
        <v>77</v>
      </c>
      <c r="AL26" s="88" t="s">
        <v>78</v>
      </c>
    </row>
    <row r="27" spans="2:41" ht="16" customHeight="1" thickBot="1" x14ac:dyDescent="0.25">
      <c r="B27" s="87"/>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10"/>
      <c r="AJ27" s="89"/>
      <c r="AK27" s="89"/>
      <c r="AL27" s="89"/>
    </row>
    <row r="28" spans="2:41" x14ac:dyDescent="0.2">
      <c r="B28" s="3" t="s">
        <v>29</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A28" s="2">
        <f>VLOOKUP(AA$26,'DB Business'!$A:$S,MATCH($B28,'DB Business'!$A$1:$S$1,0),0)</f>
        <v>4</v>
      </c>
      <c r="AB28" s="2">
        <f>VLOOKUP(AB$26,'DB Business'!$A:$S,MATCH($B28,'DB Business'!$A$1:$S$1,0),0)</f>
        <v>5</v>
      </c>
      <c r="AC28" s="2">
        <f>VLOOKUP(AC$26,'DB Business'!$A:$S,MATCH($B28,'DB Business'!$A$1:$S$1,0),0)</f>
        <v>9</v>
      </c>
      <c r="AD28" s="2">
        <f>VLOOKUP(AD$26,'DB Business'!$A:$S,MATCH($B28,'DB Business'!$A$1:$S$1,0),0)</f>
        <v>9</v>
      </c>
      <c r="AE28" s="2">
        <f>VLOOKUP(AE$26,'DB Business'!$A:$S,MATCH($B28,'DB Business'!$A$1:$S$1,0),0)</f>
        <v>7</v>
      </c>
      <c r="AF28" s="2">
        <f>VLOOKUP(AF$26,'DB Business'!$A:$S,MATCH($B28,'DB Business'!$A$1:$S$1,0),0)</f>
        <v>8</v>
      </c>
      <c r="AG28" s="2">
        <f>VLOOKUP(AG$26,'DB Business'!$A:$S,MATCH($B28,'DB Business'!$A$1:$S$1,0),0)</f>
        <v>8</v>
      </c>
      <c r="AH28" s="2">
        <f>VLOOKUP(AH$26,'DB Business'!$A:$S,MATCH($B28,'DB Business'!$A$1:$S$1,0),0)</f>
        <v>10</v>
      </c>
      <c r="AJ28" s="22">
        <f t="shared" ref="AJ28:AJ45" si="3">AG28-AF28</f>
        <v>0</v>
      </c>
      <c r="AK28" s="34">
        <f t="shared" ref="AK28:AK45" si="4">AVERAGE(AE28:AG28)</f>
        <v>7.666666666666667</v>
      </c>
      <c r="AL28" s="34">
        <f t="shared" ref="AL28:AL45" si="5">AVERAGE(AB28:AG28)</f>
        <v>7.666666666666667</v>
      </c>
    </row>
    <row r="29" spans="2:41" x14ac:dyDescent="0.2">
      <c r="B29" s="3" t="s">
        <v>43</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A29" s="2">
        <f>VLOOKUP(AA$26,'DB Business'!$A:$S,MATCH($B29,'DB Business'!$A$1:$S$1,0),0)</f>
        <v>8</v>
      </c>
      <c r="AB29" s="2">
        <f>VLOOKUP(AB$26,'DB Business'!$A:$S,MATCH($B29,'DB Business'!$A$1:$S$1,0),0)</f>
        <v>2</v>
      </c>
      <c r="AC29" s="2">
        <f>VLOOKUP(AC$26,'DB Business'!$A:$S,MATCH($B29,'DB Business'!$A$1:$S$1,0),0)</f>
        <v>0</v>
      </c>
      <c r="AD29" s="2">
        <f>VLOOKUP(AD$26,'DB Business'!$A:$S,MATCH($B29,'DB Business'!$A$1:$S$1,0),0)</f>
        <v>0</v>
      </c>
      <c r="AE29" s="2">
        <f>VLOOKUP(AE$26,'DB Business'!$A:$S,MATCH($B29,'DB Business'!$A$1:$S$1,0),0)</f>
        <v>-2</v>
      </c>
      <c r="AF29" s="2">
        <f>VLOOKUP(AF$26,'DB Business'!$A:$S,MATCH($B29,'DB Business'!$A$1:$S$1,0),0)</f>
        <v>0</v>
      </c>
      <c r="AG29" s="2">
        <f>VLOOKUP(AG$26,'DB Business'!$A:$S,MATCH($B29,'DB Business'!$A$1:$S$1,0),0)</f>
        <v>-2</v>
      </c>
      <c r="AH29" s="2">
        <f>VLOOKUP(AH$26,'DB Business'!$A:$S,MATCH($B29,'DB Business'!$A$1:$S$1,0),0)</f>
        <v>0</v>
      </c>
      <c r="AJ29" s="22">
        <f t="shared" si="3"/>
        <v>-2</v>
      </c>
      <c r="AK29" s="34">
        <f t="shared" si="4"/>
        <v>-1.3333333333333333</v>
      </c>
      <c r="AL29" s="34">
        <f t="shared" si="5"/>
        <v>-0.33333333333333331</v>
      </c>
    </row>
    <row r="30" spans="2:41" x14ac:dyDescent="0.2">
      <c r="B30" s="3" t="s">
        <v>49</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A30" s="2">
        <f>VLOOKUP(AA$26,'DB Business'!$A:$S,MATCH($B30,'DB Business'!$A$1:$S$1,0),0)</f>
        <v>-7</v>
      </c>
      <c r="AB30" s="2">
        <f>VLOOKUP(AB$26,'DB Business'!$A:$S,MATCH($B30,'DB Business'!$A$1:$S$1,0),0)</f>
        <v>-3</v>
      </c>
      <c r="AC30" s="2">
        <f>VLOOKUP(AC$26,'DB Business'!$A:$S,MATCH($B30,'DB Business'!$A$1:$S$1,0),0)</f>
        <v>13</v>
      </c>
      <c r="AD30" s="2">
        <f>VLOOKUP(AD$26,'DB Business'!$A:$S,MATCH($B30,'DB Business'!$A$1:$S$1,0),0)</f>
        <v>0</v>
      </c>
      <c r="AE30" s="2">
        <f>VLOOKUP(AE$26,'DB Business'!$A:$S,MATCH($B30,'DB Business'!$A$1:$S$1,0),0)</f>
        <v>10</v>
      </c>
      <c r="AF30" s="2">
        <f>VLOOKUP(AF$26,'DB Business'!$A:$S,MATCH($B30,'DB Business'!$A$1:$S$1,0),0)</f>
        <v>11</v>
      </c>
      <c r="AG30" s="2">
        <f>VLOOKUP(AG$26,'DB Business'!$A:$S,MATCH($B30,'DB Business'!$A$1:$S$1,0),0)</f>
        <v>0</v>
      </c>
      <c r="AH30" s="2">
        <f>VLOOKUP(AH$26,'DB Business'!$A:$S,MATCH($B30,'DB Business'!$A$1:$S$1,0),0)</f>
        <v>-1</v>
      </c>
      <c r="AJ30" s="22">
        <f t="shared" si="3"/>
        <v>-11</v>
      </c>
      <c r="AK30" s="34">
        <f t="shared" si="4"/>
        <v>7</v>
      </c>
      <c r="AL30" s="34">
        <f t="shared" si="5"/>
        <v>5.166666666666667</v>
      </c>
    </row>
    <row r="31" spans="2:41" x14ac:dyDescent="0.2">
      <c r="B31" s="3" t="s">
        <v>24</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A31" s="2">
        <f>VLOOKUP(AA$26,'DB Business'!$A:$S,MATCH($B31,'DB Business'!$A$1:$S$1,0),0)</f>
        <v>0</v>
      </c>
      <c r="AB31" s="2">
        <f>VLOOKUP(AB$26,'DB Business'!$A:$S,MATCH($B31,'DB Business'!$A$1:$S$1,0),0)</f>
        <v>3</v>
      </c>
      <c r="AC31" s="2">
        <f>VLOOKUP(AC$26,'DB Business'!$A:$S,MATCH($B31,'DB Business'!$A$1:$S$1,0),0)</f>
        <v>10</v>
      </c>
      <c r="AD31" s="2">
        <f>VLOOKUP(AD$26,'DB Business'!$A:$S,MATCH($B31,'DB Business'!$A$1:$S$1,0),0)</f>
        <v>2</v>
      </c>
      <c r="AE31" s="2">
        <f>VLOOKUP(AE$26,'DB Business'!$A:$S,MATCH($B31,'DB Business'!$A$1:$S$1,0),0)</f>
        <v>0</v>
      </c>
      <c r="AF31" s="2">
        <f>VLOOKUP(AF$26,'DB Business'!$A:$S,MATCH($B31,'DB Business'!$A$1:$S$1,0),0)</f>
        <v>13</v>
      </c>
      <c r="AG31" s="2">
        <f>VLOOKUP(AG$26,'DB Business'!$A:$S,MATCH($B31,'DB Business'!$A$1:$S$1,0),0)</f>
        <v>6</v>
      </c>
      <c r="AH31" s="2">
        <f>VLOOKUP(AH$26,'DB Business'!$A:$S,MATCH($B31,'DB Business'!$A$1:$S$1,0),0)</f>
        <v>0</v>
      </c>
      <c r="AJ31" s="22">
        <f t="shared" si="3"/>
        <v>-7</v>
      </c>
      <c r="AK31" s="34">
        <f t="shared" si="4"/>
        <v>6.333333333333333</v>
      </c>
      <c r="AL31" s="34">
        <f t="shared" si="5"/>
        <v>5.666666666666667</v>
      </c>
    </row>
    <row r="32" spans="2:41" x14ac:dyDescent="0.2">
      <c r="B32" s="3" t="s">
        <v>45</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A32" s="2">
        <f>VLOOKUP(AA$26,'DB Business'!$A:$S,MATCH($B32,'DB Business'!$A$1:$S$1,0),0)</f>
        <v>7</v>
      </c>
      <c r="AB32" s="2">
        <f>VLOOKUP(AB$26,'DB Business'!$A:$S,MATCH($B32,'DB Business'!$A$1:$S$1,0),0)</f>
        <v>1</v>
      </c>
      <c r="AC32" s="2">
        <f>VLOOKUP(AC$26,'DB Business'!$A:$S,MATCH($B32,'DB Business'!$A$1:$S$1,0),0)</f>
        <v>-1</v>
      </c>
      <c r="AD32" s="2">
        <f>VLOOKUP(AD$26,'DB Business'!$A:$S,MATCH($B32,'DB Business'!$A$1:$S$1,0),0)</f>
        <v>4</v>
      </c>
      <c r="AE32" s="2">
        <f>VLOOKUP(AE$26,'DB Business'!$A:$S,MATCH($B32,'DB Business'!$A$1:$S$1,0),0)</f>
        <v>1</v>
      </c>
      <c r="AF32" s="2">
        <f>VLOOKUP(AF$26,'DB Business'!$A:$S,MATCH($B32,'DB Business'!$A$1:$S$1,0),0)</f>
        <v>4</v>
      </c>
      <c r="AG32" s="2">
        <f>VLOOKUP(AG$26,'DB Business'!$A:$S,MATCH($B32,'DB Business'!$A$1:$S$1,0),0)</f>
        <v>4</v>
      </c>
      <c r="AH32" s="2">
        <f>VLOOKUP(AH$26,'DB Business'!$A:$S,MATCH($B32,'DB Business'!$A$1:$S$1,0),0)</f>
        <v>2</v>
      </c>
      <c r="AJ32" s="22">
        <f t="shared" si="3"/>
        <v>0</v>
      </c>
      <c r="AK32" s="34">
        <f t="shared" si="4"/>
        <v>3</v>
      </c>
      <c r="AL32" s="34">
        <f t="shared" si="5"/>
        <v>2.1666666666666665</v>
      </c>
    </row>
    <row r="33" spans="2:38" x14ac:dyDescent="0.2">
      <c r="B33" s="3" t="s">
        <v>15</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A33" s="2">
        <f>VLOOKUP(AA$26,'DB Business'!$A:$S,MATCH($B33,'DB Business'!$A$1:$S$1,0),0)</f>
        <v>-4</v>
      </c>
      <c r="AB33" s="2">
        <f>VLOOKUP(AB$26,'DB Business'!$A:$S,MATCH($B33,'DB Business'!$A$1:$S$1,0),0)</f>
        <v>-1</v>
      </c>
      <c r="AC33" s="2">
        <f>VLOOKUP(AC$26,'DB Business'!$A:$S,MATCH($B33,'DB Business'!$A$1:$S$1,0),0)</f>
        <v>8</v>
      </c>
      <c r="AD33" s="2">
        <f>VLOOKUP(AD$26,'DB Business'!$A:$S,MATCH($B33,'DB Business'!$A$1:$S$1,0),0)</f>
        <v>13</v>
      </c>
      <c r="AE33" s="2">
        <f>VLOOKUP(AE$26,'DB Business'!$A:$S,MATCH($B33,'DB Business'!$A$1:$S$1,0),0)</f>
        <v>5</v>
      </c>
      <c r="AF33" s="2">
        <f>VLOOKUP(AF$26,'DB Business'!$A:$S,MATCH($B33,'DB Business'!$A$1:$S$1,0),0)</f>
        <v>12</v>
      </c>
      <c r="AG33" s="2">
        <f>VLOOKUP(AG$26,'DB Business'!$A:$S,MATCH($B33,'DB Business'!$A$1:$S$1,0),0)</f>
        <v>-3</v>
      </c>
      <c r="AH33" s="2">
        <f>VLOOKUP(AH$26,'DB Business'!$A:$S,MATCH($B33,'DB Business'!$A$1:$S$1,0),0)</f>
        <v>-2</v>
      </c>
      <c r="AJ33" s="22">
        <f t="shared" si="3"/>
        <v>-15</v>
      </c>
      <c r="AK33" s="34">
        <f t="shared" si="4"/>
        <v>4.666666666666667</v>
      </c>
      <c r="AL33" s="34">
        <f t="shared" si="5"/>
        <v>5.666666666666667</v>
      </c>
    </row>
    <row r="34" spans="2:38" x14ac:dyDescent="0.2">
      <c r="B34" s="3" t="s">
        <v>39</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A34" s="2">
        <f>VLOOKUP(AA$26,'DB Business'!$A:$S,MATCH($B34,'DB Business'!$A$1:$S$1,0),0)</f>
        <v>-3</v>
      </c>
      <c r="AB34" s="2">
        <f>VLOOKUP(AB$26,'DB Business'!$A:$S,MATCH($B34,'DB Business'!$A$1:$S$1,0),0)</f>
        <v>11</v>
      </c>
      <c r="AC34" s="2">
        <f>VLOOKUP(AC$26,'DB Business'!$A:$S,MATCH($B34,'DB Business'!$A$1:$S$1,0),0)</f>
        <v>4</v>
      </c>
      <c r="AD34" s="2">
        <f>VLOOKUP(AD$26,'DB Business'!$A:$S,MATCH($B34,'DB Business'!$A$1:$S$1,0),0)</f>
        <v>8</v>
      </c>
      <c r="AE34" s="2">
        <f>VLOOKUP(AE$26,'DB Business'!$A:$S,MATCH($B34,'DB Business'!$A$1:$S$1,0),0)</f>
        <v>2</v>
      </c>
      <c r="AF34" s="2">
        <f>VLOOKUP(AF$26,'DB Business'!$A:$S,MATCH($B34,'DB Business'!$A$1:$S$1,0),0)</f>
        <v>2</v>
      </c>
      <c r="AG34" s="2">
        <f>VLOOKUP(AG$26,'DB Business'!$A:$S,MATCH($B34,'DB Business'!$A$1:$S$1,0),0)</f>
        <v>2</v>
      </c>
      <c r="AH34" s="2">
        <f>VLOOKUP(AH$26,'DB Business'!$A:$S,MATCH($B34,'DB Business'!$A$1:$S$1,0),0)</f>
        <v>5</v>
      </c>
      <c r="AJ34" s="22">
        <f t="shared" si="3"/>
        <v>0</v>
      </c>
      <c r="AK34" s="34">
        <f t="shared" si="4"/>
        <v>2</v>
      </c>
      <c r="AL34" s="34">
        <f t="shared" si="5"/>
        <v>4.833333333333333</v>
      </c>
    </row>
    <row r="35" spans="2:38" x14ac:dyDescent="0.2">
      <c r="B35" s="3" t="s">
        <v>44</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A35" s="2">
        <f>VLOOKUP(AA$26,'DB Business'!$A:$S,MATCH($B35,'DB Business'!$A$1:$S$1,0),0)</f>
        <v>2</v>
      </c>
      <c r="AB35" s="2">
        <f>VLOOKUP(AB$26,'DB Business'!$A:$S,MATCH($B35,'DB Business'!$A$1:$S$1,0),0)</f>
        <v>8</v>
      </c>
      <c r="AC35" s="2">
        <f>VLOOKUP(AC$26,'DB Business'!$A:$S,MATCH($B35,'DB Business'!$A$1:$S$1,0),0)</f>
        <v>3</v>
      </c>
      <c r="AD35" s="2">
        <f>VLOOKUP(AD$26,'DB Business'!$A:$S,MATCH($B35,'DB Business'!$A$1:$S$1,0),0)</f>
        <v>1</v>
      </c>
      <c r="AE35" s="2">
        <f>VLOOKUP(AE$26,'DB Business'!$A:$S,MATCH($B35,'DB Business'!$A$1:$S$1,0),0)</f>
        <v>0</v>
      </c>
      <c r="AF35" s="2">
        <f>VLOOKUP(AF$26,'DB Business'!$A:$S,MATCH($B35,'DB Business'!$A$1:$S$1,0),0)</f>
        <v>7</v>
      </c>
      <c r="AG35" s="2">
        <f>VLOOKUP(AG$26,'DB Business'!$A:$S,MATCH($B35,'DB Business'!$A$1:$S$1,0),0)</f>
        <v>-1</v>
      </c>
      <c r="AH35" s="2">
        <f>VLOOKUP(AH$26,'DB Business'!$A:$S,MATCH($B35,'DB Business'!$A$1:$S$1,0),0)</f>
        <v>1</v>
      </c>
      <c r="AJ35" s="22">
        <f t="shared" si="3"/>
        <v>-8</v>
      </c>
      <c r="AK35" s="34">
        <f t="shared" si="4"/>
        <v>2</v>
      </c>
      <c r="AL35" s="34">
        <f t="shared" si="5"/>
        <v>3</v>
      </c>
    </row>
    <row r="36" spans="2:38" x14ac:dyDescent="0.2">
      <c r="B36" s="3" t="s">
        <v>42</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A36" s="2">
        <f>VLOOKUP(AA$26,'DB Business'!$A:$S,MATCH($B36,'DB Business'!$A$1:$S$1,0),0)</f>
        <v>-2</v>
      </c>
      <c r="AB36" s="2">
        <f>VLOOKUP(AB$26,'DB Business'!$A:$S,MATCH($B36,'DB Business'!$A$1:$S$1,0),0)</f>
        <v>-4</v>
      </c>
      <c r="AC36" s="2">
        <f>VLOOKUP(AC$26,'DB Business'!$A:$S,MATCH($B36,'DB Business'!$A$1:$S$1,0),0)</f>
        <v>0</v>
      </c>
      <c r="AD36" s="2">
        <f>VLOOKUP(AD$26,'DB Business'!$A:$S,MATCH($B36,'DB Business'!$A$1:$S$1,0),0)</f>
        <v>14</v>
      </c>
      <c r="AE36" s="2">
        <f>VLOOKUP(AE$26,'DB Business'!$A:$S,MATCH($B36,'DB Business'!$A$1:$S$1,0),0)</f>
        <v>8</v>
      </c>
      <c r="AF36" s="2">
        <f>VLOOKUP(AF$26,'DB Business'!$A:$S,MATCH($B36,'DB Business'!$A$1:$S$1,0),0)</f>
        <v>0</v>
      </c>
      <c r="AG36" s="2">
        <f>VLOOKUP(AG$26,'DB Business'!$A:$S,MATCH($B36,'DB Business'!$A$1:$S$1,0),0)</f>
        <v>12</v>
      </c>
      <c r="AH36" s="2">
        <f>VLOOKUP(AH$26,'DB Business'!$A:$S,MATCH($B36,'DB Business'!$A$1:$S$1,0),0)</f>
        <v>11</v>
      </c>
      <c r="AJ36" s="22">
        <f t="shared" si="3"/>
        <v>12</v>
      </c>
      <c r="AK36" s="34">
        <f t="shared" si="4"/>
        <v>6.666666666666667</v>
      </c>
      <c r="AL36" s="34">
        <f t="shared" si="5"/>
        <v>5</v>
      </c>
    </row>
    <row r="37" spans="2:38" x14ac:dyDescent="0.2">
      <c r="B37" s="3" t="s">
        <v>41</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A37" s="2">
        <f>VLOOKUP(AA$26,'DB Business'!$A:$S,MATCH($B37,'DB Business'!$A$1:$S$1,0),0)</f>
        <v>5</v>
      </c>
      <c r="AB37" s="2">
        <f>VLOOKUP(AB$26,'DB Business'!$A:$S,MATCH($B37,'DB Business'!$A$1:$S$1,0),0)</f>
        <v>6</v>
      </c>
      <c r="AC37" s="2">
        <f>VLOOKUP(AC$26,'DB Business'!$A:$S,MATCH($B37,'DB Business'!$A$1:$S$1,0),0)</f>
        <v>5</v>
      </c>
      <c r="AD37" s="2">
        <f>VLOOKUP(AD$26,'DB Business'!$A:$S,MATCH($B37,'DB Business'!$A$1:$S$1,0),0)</f>
        <v>10</v>
      </c>
      <c r="AE37" s="2">
        <f>VLOOKUP(AE$26,'DB Business'!$A:$S,MATCH($B37,'DB Business'!$A$1:$S$1,0),0)</f>
        <v>3</v>
      </c>
      <c r="AF37" s="2">
        <f>VLOOKUP(AF$26,'DB Business'!$A:$S,MATCH($B37,'DB Business'!$A$1:$S$1,0),0)</f>
        <v>1</v>
      </c>
      <c r="AG37" s="2">
        <f>VLOOKUP(AG$26,'DB Business'!$A:$S,MATCH($B37,'DB Business'!$A$1:$S$1,0),0)</f>
        <v>10</v>
      </c>
      <c r="AH37" s="2">
        <f>VLOOKUP(AH$26,'DB Business'!$A:$S,MATCH($B37,'DB Business'!$A$1:$S$1,0),0)</f>
        <v>4</v>
      </c>
      <c r="AJ37" s="22">
        <f t="shared" si="3"/>
        <v>9</v>
      </c>
      <c r="AK37" s="34">
        <f t="shared" si="4"/>
        <v>4.666666666666667</v>
      </c>
      <c r="AL37" s="34">
        <f t="shared" si="5"/>
        <v>5.833333333333333</v>
      </c>
    </row>
    <row r="38" spans="2:38"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A38" s="2">
        <f>VLOOKUP(AA$26,'DB Business'!$A:$S,MATCH($B38,'DB Business'!$A$1:$S$1,0),0)</f>
        <v>-6</v>
      </c>
      <c r="AB38" s="2">
        <f>VLOOKUP(AB$26,'DB Business'!$A:$S,MATCH($B38,'DB Business'!$A$1:$S$1,0),0)</f>
        <v>-2</v>
      </c>
      <c r="AC38" s="2">
        <f>VLOOKUP(AC$26,'DB Business'!$A:$S,MATCH($B38,'DB Business'!$A$1:$S$1,0),0)</f>
        <v>-2</v>
      </c>
      <c r="AD38" s="2">
        <f>VLOOKUP(AD$26,'DB Business'!$A:$S,MATCH($B38,'DB Business'!$A$1:$S$1,0),0)</f>
        <v>0</v>
      </c>
      <c r="AE38" s="2">
        <f>VLOOKUP(AE$26,'DB Business'!$A:$S,MATCH($B38,'DB Business'!$A$1:$S$1,0),0)</f>
        <v>-3</v>
      </c>
      <c r="AF38" s="2">
        <f>VLOOKUP(AF$26,'DB Business'!$A:$S,MATCH($B38,'DB Business'!$A$1:$S$1,0),0)</f>
        <v>0</v>
      </c>
      <c r="AG38" s="2">
        <f>VLOOKUP(AG$26,'DB Business'!$A:$S,MATCH($B38,'DB Business'!$A$1:$S$1,0),0)</f>
        <v>-4</v>
      </c>
      <c r="AH38" s="2">
        <f>VLOOKUP(AH$26,'DB Business'!$A:$S,MATCH($B38,'DB Business'!$A$1:$S$1,0),0)</f>
        <v>-3</v>
      </c>
      <c r="AJ38" s="22">
        <f t="shared" si="3"/>
        <v>-4</v>
      </c>
      <c r="AK38" s="34">
        <f t="shared" si="4"/>
        <v>-2.3333333333333335</v>
      </c>
      <c r="AL38" s="34">
        <f t="shared" si="5"/>
        <v>-1.8333333333333333</v>
      </c>
    </row>
    <row r="39" spans="2:38" x14ac:dyDescent="0.2">
      <c r="B39" s="3" t="s">
        <v>33</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A39" s="2">
        <f>VLOOKUP(AA$26,'DB Business'!$A:$S,MATCH($B39,'DB Business'!$A$1:$S$1,0),0)</f>
        <v>6</v>
      </c>
      <c r="AB39" s="2">
        <f>VLOOKUP(AB$26,'DB Business'!$A:$S,MATCH($B39,'DB Business'!$A$1:$S$1,0),0)</f>
        <v>7</v>
      </c>
      <c r="AC39" s="2">
        <f>VLOOKUP(AC$26,'DB Business'!$A:$S,MATCH($B39,'DB Business'!$A$1:$S$1,0),0)</f>
        <v>6</v>
      </c>
      <c r="AD39" s="2">
        <f>VLOOKUP(AD$26,'DB Business'!$A:$S,MATCH($B39,'DB Business'!$A$1:$S$1,0),0)</f>
        <v>6</v>
      </c>
      <c r="AE39" s="2">
        <f>VLOOKUP(AE$26,'DB Business'!$A:$S,MATCH($B39,'DB Business'!$A$1:$S$1,0),0)</f>
        <v>12</v>
      </c>
      <c r="AF39" s="2">
        <f>VLOOKUP(AF$26,'DB Business'!$A:$S,MATCH($B39,'DB Business'!$A$1:$S$1,0),0)</f>
        <v>14</v>
      </c>
      <c r="AG39" s="2">
        <f>VLOOKUP(AG$26,'DB Business'!$A:$S,MATCH($B39,'DB Business'!$A$1:$S$1,0),0)</f>
        <v>7</v>
      </c>
      <c r="AH39" s="2">
        <f>VLOOKUP(AH$26,'DB Business'!$A:$S,MATCH($B39,'DB Business'!$A$1:$S$1,0),0)</f>
        <v>7</v>
      </c>
      <c r="AJ39" s="22">
        <f t="shared" si="3"/>
        <v>-7</v>
      </c>
      <c r="AK39" s="34">
        <f t="shared" si="4"/>
        <v>11</v>
      </c>
      <c r="AL39" s="34">
        <f t="shared" si="5"/>
        <v>8.6666666666666661</v>
      </c>
    </row>
    <row r="40" spans="2:38" x14ac:dyDescent="0.2">
      <c r="B40" s="3" t="s">
        <v>46</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A40" s="2">
        <f>VLOOKUP(AA$26,'DB Business'!$A:$S,MATCH($B40,'DB Business'!$A$1:$S$1,0),0)</f>
        <v>3</v>
      </c>
      <c r="AB40" s="2">
        <f>VLOOKUP(AB$26,'DB Business'!$A:$S,MATCH($B40,'DB Business'!$A$1:$S$1,0),0)</f>
        <v>4</v>
      </c>
      <c r="AC40" s="2">
        <f>VLOOKUP(AC$26,'DB Business'!$A:$S,MATCH($B40,'DB Business'!$A$1:$S$1,0),0)</f>
        <v>1</v>
      </c>
      <c r="AD40" s="2">
        <f>VLOOKUP(AD$26,'DB Business'!$A:$S,MATCH($B40,'DB Business'!$A$1:$S$1,0),0)</f>
        <v>7</v>
      </c>
      <c r="AE40" s="2">
        <f>VLOOKUP(AE$26,'DB Business'!$A:$S,MATCH($B40,'DB Business'!$A$1:$S$1,0),0)</f>
        <v>6</v>
      </c>
      <c r="AF40" s="2">
        <f>VLOOKUP(AF$26,'DB Business'!$A:$S,MATCH($B40,'DB Business'!$A$1:$S$1,0),0)</f>
        <v>9</v>
      </c>
      <c r="AG40" s="2">
        <f>VLOOKUP(AG$26,'DB Business'!$A:$S,MATCH($B40,'DB Business'!$A$1:$S$1,0),0)</f>
        <v>5</v>
      </c>
      <c r="AH40" s="2">
        <f>VLOOKUP(AH$26,'DB Business'!$A:$S,MATCH($B40,'DB Business'!$A$1:$S$1,0),0)</f>
        <v>3</v>
      </c>
      <c r="AJ40" s="22">
        <f t="shared" si="3"/>
        <v>-4</v>
      </c>
      <c r="AK40" s="34">
        <f t="shared" si="4"/>
        <v>6.666666666666667</v>
      </c>
      <c r="AL40" s="34">
        <f t="shared" si="5"/>
        <v>5.333333333333333</v>
      </c>
    </row>
    <row r="41" spans="2:38" x14ac:dyDescent="0.2">
      <c r="B41" s="3" t="s">
        <v>27</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A41" s="2">
        <f>VLOOKUP(AA$26,'DB Business'!$A:$S,MATCH($B41,'DB Business'!$A$1:$S$1,0),0)</f>
        <v>0</v>
      </c>
      <c r="AB41" s="2">
        <f>VLOOKUP(AB$26,'DB Business'!$A:$S,MATCH($B41,'DB Business'!$A$1:$S$1,0),0)</f>
        <v>9</v>
      </c>
      <c r="AC41" s="2">
        <f>VLOOKUP(AC$26,'DB Business'!$A:$S,MATCH($B41,'DB Business'!$A$1:$S$1,0),0)</f>
        <v>11</v>
      </c>
      <c r="AD41" s="2">
        <f>VLOOKUP(AD$26,'DB Business'!$A:$S,MATCH($B41,'DB Business'!$A$1:$S$1,0),0)</f>
        <v>3</v>
      </c>
      <c r="AE41" s="2">
        <f>VLOOKUP(AE$26,'DB Business'!$A:$S,MATCH($B41,'DB Business'!$A$1:$S$1,0),0)</f>
        <v>4</v>
      </c>
      <c r="AF41" s="2">
        <f>VLOOKUP(AF$26,'DB Business'!$A:$S,MATCH($B41,'DB Business'!$A$1:$S$1,0),0)</f>
        <v>6</v>
      </c>
      <c r="AG41" s="2">
        <f>VLOOKUP(AG$26,'DB Business'!$A:$S,MATCH($B41,'DB Business'!$A$1:$S$1,0),0)</f>
        <v>3</v>
      </c>
      <c r="AH41" s="2">
        <f>VLOOKUP(AH$26,'DB Business'!$A:$S,MATCH($B41,'DB Business'!$A$1:$S$1,0),0)</f>
        <v>6</v>
      </c>
      <c r="AJ41" s="22">
        <f t="shared" si="3"/>
        <v>-3</v>
      </c>
      <c r="AK41" s="34">
        <f t="shared" si="4"/>
        <v>4.333333333333333</v>
      </c>
      <c r="AL41" s="34">
        <f t="shared" si="5"/>
        <v>6</v>
      </c>
    </row>
    <row r="42" spans="2:38" x14ac:dyDescent="0.2">
      <c r="B42" s="3" t="s">
        <v>21</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A42" s="2">
        <f>VLOOKUP(AA$26,'DB Business'!$A:$S,MATCH($B42,'DB Business'!$A$1:$S$1,0),0)</f>
        <v>1</v>
      </c>
      <c r="AB42" s="2">
        <f>VLOOKUP(AB$26,'DB Business'!$A:$S,MATCH($B42,'DB Business'!$A$1:$S$1,0),0)</f>
        <v>13</v>
      </c>
      <c r="AC42" s="2">
        <f>VLOOKUP(AC$26,'DB Business'!$A:$S,MATCH($B42,'DB Business'!$A$1:$S$1,0),0)</f>
        <v>2</v>
      </c>
      <c r="AD42" s="2">
        <f>VLOOKUP(AD$26,'DB Business'!$A:$S,MATCH($B42,'DB Business'!$A$1:$S$1,0),0)</f>
        <v>5</v>
      </c>
      <c r="AE42" s="2">
        <f>VLOOKUP(AE$26,'DB Business'!$A:$S,MATCH($B42,'DB Business'!$A$1:$S$1,0),0)</f>
        <v>9</v>
      </c>
      <c r="AF42" s="2">
        <f>VLOOKUP(AF$26,'DB Business'!$A:$S,MATCH($B42,'DB Business'!$A$1:$S$1,0),0)</f>
        <v>15</v>
      </c>
      <c r="AG42" s="2">
        <f>VLOOKUP(AG$26,'DB Business'!$A:$S,MATCH($B42,'DB Business'!$A$1:$S$1,0),0)</f>
        <v>9</v>
      </c>
      <c r="AH42" s="2">
        <f>VLOOKUP(AH$26,'DB Business'!$A:$S,MATCH($B42,'DB Business'!$A$1:$S$1,0),0)</f>
        <v>0</v>
      </c>
      <c r="AJ42" s="22">
        <f t="shared" si="3"/>
        <v>-6</v>
      </c>
      <c r="AK42" s="34">
        <f t="shared" si="4"/>
        <v>11</v>
      </c>
      <c r="AL42" s="34">
        <f t="shared" si="5"/>
        <v>8.8333333333333339</v>
      </c>
    </row>
    <row r="43" spans="2:38" x14ac:dyDescent="0.2">
      <c r="B43" s="3" t="s">
        <v>18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A43" s="2">
        <f>VLOOKUP(AA$26,'DB Business'!$A:$S,MATCH($B43,'DB Business'!$A$1:$S$1,0),0)</f>
        <v>0</v>
      </c>
      <c r="AB43" s="2">
        <f>VLOOKUP(AB$26,'DB Business'!$A:$S,MATCH($B43,'DB Business'!$A$1:$S$1,0),0)</f>
        <v>10</v>
      </c>
      <c r="AC43" s="2">
        <f>VLOOKUP(AC$26,'DB Business'!$A:$S,MATCH($B43,'DB Business'!$A$1:$S$1,0),0)</f>
        <v>0</v>
      </c>
      <c r="AD43" s="2">
        <f>VLOOKUP(AD$26,'DB Business'!$A:$S,MATCH($B43,'DB Business'!$A$1:$S$1,0),0)</f>
        <v>11</v>
      </c>
      <c r="AE43" s="2">
        <f>VLOOKUP(AE$26,'DB Business'!$A:$S,MATCH($B43,'DB Business'!$A$1:$S$1,0),0)</f>
        <v>13</v>
      </c>
      <c r="AF43" s="2">
        <f>VLOOKUP(AF$26,'DB Business'!$A:$S,MATCH($B43,'DB Business'!$A$1:$S$1,0),0)</f>
        <v>10</v>
      </c>
      <c r="AG43" s="2">
        <f>VLOOKUP(AG$26,'DB Business'!$A:$S,MATCH($B43,'DB Business'!$A$1:$S$1,0),0)</f>
        <v>13</v>
      </c>
      <c r="AH43" s="2">
        <f>VLOOKUP(AH$26,'DB Business'!$A:$S,MATCH($B43,'DB Business'!$A$1:$S$1,0),0)</f>
        <v>0</v>
      </c>
      <c r="AJ43" s="22">
        <f t="shared" si="3"/>
        <v>3</v>
      </c>
      <c r="AK43" s="34">
        <f t="shared" si="4"/>
        <v>12</v>
      </c>
      <c r="AL43" s="34">
        <f t="shared" si="5"/>
        <v>9.5</v>
      </c>
    </row>
    <row r="44" spans="2:38" x14ac:dyDescent="0.2">
      <c r="B44" s="3" t="s">
        <v>37</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A44" s="2">
        <f>VLOOKUP(AA$26,'DB Business'!$A:$S,MATCH($B44,'DB Business'!$A$1:$S$1,0),0)</f>
        <v>-5</v>
      </c>
      <c r="AB44" s="2">
        <f>VLOOKUP(AB$26,'DB Business'!$A:$S,MATCH($B44,'DB Business'!$A$1:$S$1,0),0)</f>
        <v>0</v>
      </c>
      <c r="AC44" s="2">
        <f>VLOOKUP(AC$26,'DB Business'!$A:$S,MATCH($B44,'DB Business'!$A$1:$S$1,0),0)</f>
        <v>7</v>
      </c>
      <c r="AD44" s="2">
        <f>VLOOKUP(AD$26,'DB Business'!$A:$S,MATCH($B44,'DB Business'!$A$1:$S$1,0),0)</f>
        <v>0</v>
      </c>
      <c r="AE44" s="2">
        <f>VLOOKUP(AE$26,'DB Business'!$A:$S,MATCH($B44,'DB Business'!$A$1:$S$1,0),0)</f>
        <v>-1</v>
      </c>
      <c r="AF44" s="2">
        <f>VLOOKUP(AF$26,'DB Business'!$A:$S,MATCH($B44,'DB Business'!$A$1:$S$1,0),0)</f>
        <v>3</v>
      </c>
      <c r="AG44" s="2">
        <f>VLOOKUP(AG$26,'DB Business'!$A:$S,MATCH($B44,'DB Business'!$A$1:$S$1,0),0)</f>
        <v>1</v>
      </c>
      <c r="AH44" s="2">
        <f>VLOOKUP(AH$26,'DB Business'!$A:$S,MATCH($B44,'DB Business'!$A$1:$S$1,0),0)</f>
        <v>9</v>
      </c>
      <c r="AJ44" s="22">
        <f t="shared" si="3"/>
        <v>-2</v>
      </c>
      <c r="AK44" s="34">
        <f t="shared" si="4"/>
        <v>1</v>
      </c>
      <c r="AL44" s="34">
        <f t="shared" si="5"/>
        <v>1.6666666666666667</v>
      </c>
    </row>
    <row r="45" spans="2:38" x14ac:dyDescent="0.2">
      <c r="B45" s="4" t="s">
        <v>35</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A45" s="2">
        <f>VLOOKUP(AA$26,'DB Business'!$A:$S,MATCH($B45,'DB Business'!$A$1:$S$1,0),0)</f>
        <v>-1</v>
      </c>
      <c r="AB45" s="2">
        <f>VLOOKUP(AB$26,'DB Business'!$A:$S,MATCH($B45,'DB Business'!$A$1:$S$1,0),0)</f>
        <v>12</v>
      </c>
      <c r="AC45" s="2">
        <f>VLOOKUP(AC$26,'DB Business'!$A:$S,MATCH($B45,'DB Business'!$A$1:$S$1,0),0)</f>
        <v>12</v>
      </c>
      <c r="AD45" s="2">
        <f>VLOOKUP(AD$26,'DB Business'!$A:$S,MATCH($B45,'DB Business'!$A$1:$S$1,0),0)</f>
        <v>12</v>
      </c>
      <c r="AE45" s="2">
        <f>VLOOKUP(AE$26,'DB Business'!$A:$S,MATCH($B45,'DB Business'!$A$1:$S$1,0),0)</f>
        <v>11</v>
      </c>
      <c r="AF45" s="2">
        <f>VLOOKUP(AF$26,'DB Business'!$A:$S,MATCH($B45,'DB Business'!$A$1:$S$1,0),0)</f>
        <v>5</v>
      </c>
      <c r="AG45" s="2">
        <f>VLOOKUP(AG$26,'DB Business'!$A:$S,MATCH($B45,'DB Business'!$A$1:$S$1,0),0)</f>
        <v>11</v>
      </c>
      <c r="AH45" s="2">
        <f>VLOOKUP(AH$26,'DB Business'!$A:$S,MATCH($B45,'DB Business'!$A$1:$S$1,0),0)</f>
        <v>8</v>
      </c>
      <c r="AJ45" s="22">
        <f t="shared" si="3"/>
        <v>6</v>
      </c>
      <c r="AK45" s="34">
        <f t="shared" si="4"/>
        <v>9</v>
      </c>
      <c r="AL45" s="34">
        <f t="shared" si="5"/>
        <v>10.5</v>
      </c>
    </row>
    <row r="46" spans="2:38"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row>
    <row r="47" spans="2:38"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row>
    <row r="48" spans="2:38" ht="16" customHeight="1" thickBot="1" x14ac:dyDescent="0.25">
      <c r="B48" s="86" t="s">
        <v>20</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31">
        <v>44562</v>
      </c>
      <c r="AB48" s="31">
        <v>44593</v>
      </c>
      <c r="AC48" s="31">
        <v>44621</v>
      </c>
      <c r="AD48" s="31">
        <v>44652</v>
      </c>
      <c r="AE48" s="31">
        <v>44682</v>
      </c>
      <c r="AF48" s="31">
        <v>44713</v>
      </c>
      <c r="AG48" s="31">
        <v>44743</v>
      </c>
      <c r="AH48" s="31">
        <v>44774</v>
      </c>
      <c r="AI48" s="10"/>
      <c r="AJ48" s="88" t="s">
        <v>76</v>
      </c>
      <c r="AK48" s="88" t="s">
        <v>77</v>
      </c>
      <c r="AL48" s="88" t="s">
        <v>78</v>
      </c>
    </row>
    <row r="49" spans="2:38" ht="16" customHeight="1" thickBot="1" x14ac:dyDescent="0.25">
      <c r="B49" s="87"/>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10"/>
      <c r="AJ49" s="89"/>
      <c r="AK49" s="89"/>
      <c r="AL49" s="89"/>
    </row>
    <row r="50" spans="2:38" x14ac:dyDescent="0.2">
      <c r="B50" s="3" t="s">
        <v>43</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A50" s="22">
        <f>VLOOKUP(AA$48,'DB New Orders'!$A:$S,MATCH($B50,'DB New Orders'!$A$1:$S$1,0),0)</f>
        <v>10</v>
      </c>
      <c r="AB50" s="22">
        <f>VLOOKUP(AB$48,'DB New Orders'!$A:$S,MATCH($B50,'DB New Orders'!$A$1:$S$1,0),0)</f>
        <v>1</v>
      </c>
      <c r="AC50" s="22">
        <f>VLOOKUP(AC$48,'DB New Orders'!$A:$S,MATCH($B50,'DB New Orders'!$A$1:$S$1,0),0)</f>
        <v>0</v>
      </c>
      <c r="AD50" s="22">
        <f>VLOOKUP(AD$48,'DB New Orders'!$A:$S,MATCH($B50,'DB New Orders'!$A$1:$S$1,0),0)</f>
        <v>0</v>
      </c>
      <c r="AE50" s="22">
        <f>VLOOKUP(AE$48,'DB New Orders'!$A:$S,MATCH($B50,'DB New Orders'!$A$1:$S$1,0),0)</f>
        <v>0</v>
      </c>
      <c r="AF50" s="22">
        <f>VLOOKUP(AF$48,'DB New Orders'!$A:$S,MATCH($B50,'DB New Orders'!$A$1:$S$1,0),0)</f>
        <v>0</v>
      </c>
      <c r="AG50" s="22">
        <f>VLOOKUP(AG$48,'DB New Orders'!$A:$S,MATCH($B50,'DB New Orders'!$A$1:$S$1,0),0)</f>
        <v>-3</v>
      </c>
      <c r="AH50" s="22">
        <f>VLOOKUP(AH$48,'DB New Orders'!$A:$S,MATCH($B50,'DB New Orders'!$A$1:$S$1,0),0)</f>
        <v>5</v>
      </c>
      <c r="AJ50" s="22">
        <f t="shared" ref="AJ50:AJ67" si="6">AG50-AF50</f>
        <v>-3</v>
      </c>
      <c r="AK50" s="34">
        <f t="shared" ref="AK50:AK67" si="7">AVERAGE(AE50:AG50)</f>
        <v>-1</v>
      </c>
      <c r="AL50" s="34">
        <f t="shared" ref="AL50:AL67" si="8">AVERAGE(AB50:AG50)</f>
        <v>-0.33333333333333331</v>
      </c>
    </row>
    <row r="51" spans="2:38" x14ac:dyDescent="0.2">
      <c r="B51" s="3" t="s">
        <v>44</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A51" s="22">
        <f>VLOOKUP(AA$48,'DB New Orders'!$A:$S,MATCH($B51,'DB New Orders'!$A$1:$S$1,0),0)</f>
        <v>3</v>
      </c>
      <c r="AB51" s="22">
        <f>VLOOKUP(AB$48,'DB New Orders'!$A:$S,MATCH($B51,'DB New Orders'!$A$1:$S$1,0),0)</f>
        <v>5</v>
      </c>
      <c r="AC51" s="22">
        <f>VLOOKUP(AC$48,'DB New Orders'!$A:$S,MATCH($B51,'DB New Orders'!$A$1:$S$1,0),0)</f>
        <v>3</v>
      </c>
      <c r="AD51" s="22">
        <f>VLOOKUP(AD$48,'DB New Orders'!$A:$S,MATCH($B51,'DB New Orders'!$A$1:$S$1,0),0)</f>
        <v>1</v>
      </c>
      <c r="AE51" s="22">
        <f>VLOOKUP(AE$48,'DB New Orders'!$A:$S,MATCH($B51,'DB New Orders'!$A$1:$S$1,0),0)</f>
        <v>4</v>
      </c>
      <c r="AF51" s="22">
        <f>VLOOKUP(AF$48,'DB New Orders'!$A:$S,MATCH($B51,'DB New Orders'!$A$1:$S$1,0),0)</f>
        <v>3</v>
      </c>
      <c r="AG51" s="22">
        <f>VLOOKUP(AG$48,'DB New Orders'!$A:$S,MATCH($B51,'DB New Orders'!$A$1:$S$1,0),0)</f>
        <v>0</v>
      </c>
      <c r="AH51" s="22">
        <f>VLOOKUP(AH$48,'DB New Orders'!$A:$S,MATCH($B51,'DB New Orders'!$A$1:$S$1,0),0)</f>
        <v>2</v>
      </c>
      <c r="AJ51" s="22">
        <f t="shared" si="6"/>
        <v>-3</v>
      </c>
      <c r="AK51" s="34">
        <f t="shared" si="7"/>
        <v>2.3333333333333335</v>
      </c>
      <c r="AL51" s="34">
        <f t="shared" si="8"/>
        <v>2.6666666666666665</v>
      </c>
    </row>
    <row r="52" spans="2:38" x14ac:dyDescent="0.2">
      <c r="B52" s="3" t="s">
        <v>45</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A52" s="22">
        <f>VLOOKUP(AA$48,'DB New Orders'!$A:$S,MATCH($B52,'DB New Orders'!$A$1:$S$1,0),0)</f>
        <v>7</v>
      </c>
      <c r="AB52" s="22">
        <f>VLOOKUP(AB$48,'DB New Orders'!$A:$S,MATCH($B52,'DB New Orders'!$A$1:$S$1,0),0)</f>
        <v>0</v>
      </c>
      <c r="AC52" s="22">
        <f>VLOOKUP(AC$48,'DB New Orders'!$A:$S,MATCH($B52,'DB New Orders'!$A$1:$S$1,0),0)</f>
        <v>-1</v>
      </c>
      <c r="AD52" s="22">
        <f>VLOOKUP(AD$48,'DB New Orders'!$A:$S,MATCH($B52,'DB New Orders'!$A$1:$S$1,0),0)</f>
        <v>3</v>
      </c>
      <c r="AE52" s="22">
        <f>VLOOKUP(AE$48,'DB New Orders'!$A:$S,MATCH($B52,'DB New Orders'!$A$1:$S$1,0),0)</f>
        <v>2</v>
      </c>
      <c r="AF52" s="22">
        <f>VLOOKUP(AF$48,'DB New Orders'!$A:$S,MATCH($B52,'DB New Orders'!$A$1:$S$1,0),0)</f>
        <v>5</v>
      </c>
      <c r="AG52" s="22">
        <f>VLOOKUP(AG$48,'DB New Orders'!$A:$S,MATCH($B52,'DB New Orders'!$A$1:$S$1,0),0)</f>
        <v>1</v>
      </c>
      <c r="AH52" s="22">
        <f>VLOOKUP(AH$48,'DB New Orders'!$A:$S,MATCH($B52,'DB New Orders'!$A$1:$S$1,0),0)</f>
        <v>4</v>
      </c>
      <c r="AJ52" s="22">
        <f t="shared" si="6"/>
        <v>-4</v>
      </c>
      <c r="AK52" s="34">
        <f t="shared" si="7"/>
        <v>2.6666666666666665</v>
      </c>
      <c r="AL52" s="34">
        <f t="shared" si="8"/>
        <v>1.6666666666666667</v>
      </c>
    </row>
    <row r="53" spans="2:38" x14ac:dyDescent="0.2">
      <c r="B53" s="3" t="s">
        <v>29</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A53" s="22">
        <f>VLOOKUP(AA$48,'DB New Orders'!$A:$S,MATCH($B53,'DB New Orders'!$A$1:$S$1,0),0)</f>
        <v>5</v>
      </c>
      <c r="AB53" s="22">
        <f>VLOOKUP(AB$48,'DB New Orders'!$A:$S,MATCH($B53,'DB New Orders'!$A$1:$S$1,0),0)</f>
        <v>8</v>
      </c>
      <c r="AC53" s="22">
        <f>VLOOKUP(AC$48,'DB New Orders'!$A:$S,MATCH($B53,'DB New Orders'!$A$1:$S$1,0),0)</f>
        <v>10</v>
      </c>
      <c r="AD53" s="22">
        <f>VLOOKUP(AD$48,'DB New Orders'!$A:$S,MATCH($B53,'DB New Orders'!$A$1:$S$1,0),0)</f>
        <v>13</v>
      </c>
      <c r="AE53" s="22">
        <f>VLOOKUP(AE$48,'DB New Orders'!$A:$S,MATCH($B53,'DB New Orders'!$A$1:$S$1,0),0)</f>
        <v>9</v>
      </c>
      <c r="AF53" s="22">
        <f>VLOOKUP(AF$48,'DB New Orders'!$A:$S,MATCH($B53,'DB New Orders'!$A$1:$S$1,0),0)</f>
        <v>6</v>
      </c>
      <c r="AG53" s="22">
        <f>VLOOKUP(AG$48,'DB New Orders'!$A:$S,MATCH($B53,'DB New Orders'!$A$1:$S$1,0),0)</f>
        <v>5</v>
      </c>
      <c r="AH53" s="22">
        <f>VLOOKUP(AH$48,'DB New Orders'!$A:$S,MATCH($B53,'DB New Orders'!$A$1:$S$1,0),0)</f>
        <v>9</v>
      </c>
      <c r="AJ53" s="22">
        <f t="shared" si="6"/>
        <v>-1</v>
      </c>
      <c r="AK53" s="34">
        <f t="shared" si="7"/>
        <v>6.666666666666667</v>
      </c>
      <c r="AL53" s="34">
        <f t="shared" si="8"/>
        <v>8.5</v>
      </c>
    </row>
    <row r="54" spans="2:38" x14ac:dyDescent="0.2">
      <c r="B54" s="3" t="s">
        <v>24</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A54" s="22">
        <f>VLOOKUP(AA$48,'DB New Orders'!$A:$S,MATCH($B54,'DB New Orders'!$A$1:$S$1,0),0)</f>
        <v>0</v>
      </c>
      <c r="AB54" s="22">
        <f>VLOOKUP(AB$48,'DB New Orders'!$A:$S,MATCH($B54,'DB New Orders'!$A$1:$S$1,0),0)</f>
        <v>0</v>
      </c>
      <c r="AC54" s="22">
        <f>VLOOKUP(AC$48,'DB New Orders'!$A:$S,MATCH($B54,'DB New Orders'!$A$1:$S$1,0),0)</f>
        <v>8</v>
      </c>
      <c r="AD54" s="22">
        <f>VLOOKUP(AD$48,'DB New Orders'!$A:$S,MATCH($B54,'DB New Orders'!$A$1:$S$1,0),0)</f>
        <v>2</v>
      </c>
      <c r="AE54" s="22">
        <f>VLOOKUP(AE$48,'DB New Orders'!$A:$S,MATCH($B54,'DB New Orders'!$A$1:$S$1,0),0)</f>
        <v>3</v>
      </c>
      <c r="AF54" s="22">
        <f>VLOOKUP(AF$48,'DB New Orders'!$A:$S,MATCH($B54,'DB New Orders'!$A$1:$S$1,0),0)</f>
        <v>10</v>
      </c>
      <c r="AG54" s="22">
        <f>VLOOKUP(AG$48,'DB New Orders'!$A:$S,MATCH($B54,'DB New Orders'!$A$1:$S$1,0),0)</f>
        <v>6</v>
      </c>
      <c r="AH54" s="22">
        <f>VLOOKUP(AH$48,'DB New Orders'!$A:$S,MATCH($B54,'DB New Orders'!$A$1:$S$1,0),0)</f>
        <v>0</v>
      </c>
      <c r="AJ54" s="22">
        <f t="shared" si="6"/>
        <v>-4</v>
      </c>
      <c r="AK54" s="34">
        <f t="shared" si="7"/>
        <v>6.333333333333333</v>
      </c>
      <c r="AL54" s="34">
        <f t="shared" si="8"/>
        <v>4.833333333333333</v>
      </c>
    </row>
    <row r="55" spans="2:38" x14ac:dyDescent="0.2">
      <c r="B55" s="3" t="s">
        <v>42</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A55" s="22">
        <f>VLOOKUP(AA$48,'DB New Orders'!$A:$S,MATCH($B55,'DB New Orders'!$A$1:$S$1,0),0)</f>
        <v>0</v>
      </c>
      <c r="AB55" s="22">
        <f>VLOOKUP(AB$48,'DB New Orders'!$A:$S,MATCH($B55,'DB New Orders'!$A$1:$S$1,0),0)</f>
        <v>0</v>
      </c>
      <c r="AC55" s="22">
        <f>VLOOKUP(AC$48,'DB New Orders'!$A:$S,MATCH($B55,'DB New Orders'!$A$1:$S$1,0),0)</f>
        <v>11</v>
      </c>
      <c r="AD55" s="22">
        <f>VLOOKUP(AD$48,'DB New Orders'!$A:$S,MATCH($B55,'DB New Orders'!$A$1:$S$1,0),0)</f>
        <v>11</v>
      </c>
      <c r="AE55" s="22">
        <f>VLOOKUP(AE$48,'DB New Orders'!$A:$S,MATCH($B55,'DB New Orders'!$A$1:$S$1,0),0)</f>
        <v>10</v>
      </c>
      <c r="AF55" s="22">
        <f>VLOOKUP(AF$48,'DB New Orders'!$A:$S,MATCH($B55,'DB New Orders'!$A$1:$S$1,0),0)</f>
        <v>7</v>
      </c>
      <c r="AG55" s="22">
        <f>VLOOKUP(AG$48,'DB New Orders'!$A:$S,MATCH($B55,'DB New Orders'!$A$1:$S$1,0),0)</f>
        <v>11</v>
      </c>
      <c r="AH55" s="22">
        <f>VLOOKUP(AH$48,'DB New Orders'!$A:$S,MATCH($B55,'DB New Orders'!$A$1:$S$1,0),0)</f>
        <v>8</v>
      </c>
      <c r="AJ55" s="22">
        <f t="shared" si="6"/>
        <v>4</v>
      </c>
      <c r="AK55" s="34">
        <f t="shared" si="7"/>
        <v>9.3333333333333339</v>
      </c>
      <c r="AL55" s="34">
        <f t="shared" si="8"/>
        <v>8.3333333333333339</v>
      </c>
    </row>
    <row r="56" spans="2:38" x14ac:dyDescent="0.2">
      <c r="B56" s="3" t="s">
        <v>39</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A56" s="22">
        <f>VLOOKUP(AA$48,'DB New Orders'!$A:$S,MATCH($B56,'DB New Orders'!$A$1:$S$1,0),0)</f>
        <v>2</v>
      </c>
      <c r="AB56" s="22">
        <f>VLOOKUP(AB$48,'DB New Orders'!$A:$S,MATCH($B56,'DB New Orders'!$A$1:$S$1,0),0)</f>
        <v>6</v>
      </c>
      <c r="AC56" s="22">
        <f>VLOOKUP(AC$48,'DB New Orders'!$A:$S,MATCH($B56,'DB New Orders'!$A$1:$S$1,0),0)</f>
        <v>1</v>
      </c>
      <c r="AD56" s="22">
        <f>VLOOKUP(AD$48,'DB New Orders'!$A:$S,MATCH($B56,'DB New Orders'!$A$1:$S$1,0),0)</f>
        <v>8</v>
      </c>
      <c r="AE56" s="22">
        <f>VLOOKUP(AE$48,'DB New Orders'!$A:$S,MATCH($B56,'DB New Orders'!$A$1:$S$1,0),0)</f>
        <v>6</v>
      </c>
      <c r="AF56" s="22">
        <f>VLOOKUP(AF$48,'DB New Orders'!$A:$S,MATCH($B56,'DB New Orders'!$A$1:$S$1,0),0)</f>
        <v>8</v>
      </c>
      <c r="AG56" s="22">
        <f>VLOOKUP(AG$48,'DB New Orders'!$A:$S,MATCH($B56,'DB New Orders'!$A$1:$S$1,0),0)</f>
        <v>7</v>
      </c>
      <c r="AH56" s="22">
        <f>VLOOKUP(AH$48,'DB New Orders'!$A:$S,MATCH($B56,'DB New Orders'!$A$1:$S$1,0),0)</f>
        <v>0</v>
      </c>
      <c r="AJ56" s="22">
        <f t="shared" si="6"/>
        <v>-1</v>
      </c>
      <c r="AK56" s="34">
        <f t="shared" si="7"/>
        <v>7</v>
      </c>
      <c r="AL56" s="34">
        <f t="shared" si="8"/>
        <v>6</v>
      </c>
    </row>
    <row r="57" spans="2:38" x14ac:dyDescent="0.2">
      <c r="B57" s="3" t="s">
        <v>15</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A57" s="22">
        <f>VLOOKUP(AA$48,'DB New Orders'!$A:$S,MATCH($B57,'DB New Orders'!$A$1:$S$1,0),0)</f>
        <v>-3</v>
      </c>
      <c r="AB57" s="22">
        <f>VLOOKUP(AB$48,'DB New Orders'!$A:$S,MATCH($B57,'DB New Orders'!$A$1:$S$1,0),0)</f>
        <v>-3</v>
      </c>
      <c r="AC57" s="22">
        <f>VLOOKUP(AC$48,'DB New Orders'!$A:$S,MATCH($B57,'DB New Orders'!$A$1:$S$1,0),0)</f>
        <v>5</v>
      </c>
      <c r="AD57" s="22">
        <f>VLOOKUP(AD$48,'DB New Orders'!$A:$S,MATCH($B57,'DB New Orders'!$A$1:$S$1,0),0)</f>
        <v>10</v>
      </c>
      <c r="AE57" s="22">
        <f>VLOOKUP(AE$48,'DB New Orders'!$A:$S,MATCH($B57,'DB New Orders'!$A$1:$S$1,0),0)</f>
        <v>5</v>
      </c>
      <c r="AF57" s="22">
        <f>VLOOKUP(AF$48,'DB New Orders'!$A:$S,MATCH($B57,'DB New Orders'!$A$1:$S$1,0),0)</f>
        <v>13</v>
      </c>
      <c r="AG57" s="22">
        <f>VLOOKUP(AG$48,'DB New Orders'!$A:$S,MATCH($B57,'DB New Orders'!$A$1:$S$1,0),0)</f>
        <v>-4</v>
      </c>
      <c r="AH57" s="22">
        <f>VLOOKUP(AH$48,'DB New Orders'!$A:$S,MATCH($B57,'DB New Orders'!$A$1:$S$1,0),0)</f>
        <v>0</v>
      </c>
      <c r="AJ57" s="22">
        <f t="shared" si="6"/>
        <v>-17</v>
      </c>
      <c r="AK57" s="34">
        <f t="shared" si="7"/>
        <v>4.666666666666667</v>
      </c>
      <c r="AL57" s="34">
        <f t="shared" si="8"/>
        <v>4.333333333333333</v>
      </c>
    </row>
    <row r="58" spans="2:38" x14ac:dyDescent="0.2">
      <c r="B58" s="3" t="s">
        <v>33</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A58" s="22">
        <f>VLOOKUP(AA$48,'DB New Orders'!$A:$S,MATCH($B58,'DB New Orders'!$A$1:$S$1,0),0)</f>
        <v>9</v>
      </c>
      <c r="AB58" s="22">
        <f>VLOOKUP(AB$48,'DB New Orders'!$A:$S,MATCH($B58,'DB New Orders'!$A$1:$S$1,0),0)</f>
        <v>10</v>
      </c>
      <c r="AC58" s="22">
        <f>VLOOKUP(AC$48,'DB New Orders'!$A:$S,MATCH($B58,'DB New Orders'!$A$1:$S$1,0),0)</f>
        <v>7</v>
      </c>
      <c r="AD58" s="22">
        <f>VLOOKUP(AD$48,'DB New Orders'!$A:$S,MATCH($B58,'DB New Orders'!$A$1:$S$1,0),0)</f>
        <v>5</v>
      </c>
      <c r="AE58" s="22">
        <f>VLOOKUP(AE$48,'DB New Orders'!$A:$S,MATCH($B58,'DB New Orders'!$A$1:$S$1,0),0)</f>
        <v>15</v>
      </c>
      <c r="AF58" s="22">
        <f>VLOOKUP(AF$48,'DB New Orders'!$A:$S,MATCH($B58,'DB New Orders'!$A$1:$S$1,0),0)</f>
        <v>-2</v>
      </c>
      <c r="AG58" s="22">
        <f>VLOOKUP(AG$48,'DB New Orders'!$A:$S,MATCH($B58,'DB New Orders'!$A$1:$S$1,0),0)</f>
        <v>3</v>
      </c>
      <c r="AH58" s="22">
        <f>VLOOKUP(AH$48,'DB New Orders'!$A:$S,MATCH($B58,'DB New Orders'!$A$1:$S$1,0),0)</f>
        <v>0</v>
      </c>
      <c r="AJ58" s="22">
        <f t="shared" si="6"/>
        <v>5</v>
      </c>
      <c r="AK58" s="34">
        <f t="shared" si="7"/>
        <v>5.333333333333333</v>
      </c>
      <c r="AL58" s="34">
        <f t="shared" si="8"/>
        <v>6.333333333333333</v>
      </c>
    </row>
    <row r="59" spans="2:38"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A59" s="22">
        <f>VLOOKUP(AA$48,'DB New Orders'!$A:$S,MATCH($B59,'DB New Orders'!$A$1:$S$1,0),0)</f>
        <v>0</v>
      </c>
      <c r="AB59" s="22">
        <f>VLOOKUP(AB$48,'DB New Orders'!$A:$S,MATCH($B59,'DB New Orders'!$A$1:$S$1,0),0)</f>
        <v>0</v>
      </c>
      <c r="AC59" s="22">
        <f>VLOOKUP(AC$48,'DB New Orders'!$A:$S,MATCH($B59,'DB New Orders'!$A$1:$S$1,0),0)</f>
        <v>-2</v>
      </c>
      <c r="AD59" s="22">
        <f>VLOOKUP(AD$48,'DB New Orders'!$A:$S,MATCH($B59,'DB New Orders'!$A$1:$S$1,0),0)</f>
        <v>0</v>
      </c>
      <c r="AE59" s="22">
        <f>VLOOKUP(AE$48,'DB New Orders'!$A:$S,MATCH($B59,'DB New Orders'!$A$1:$S$1,0),0)</f>
        <v>-2</v>
      </c>
      <c r="AF59" s="22">
        <f>VLOOKUP(AF$48,'DB New Orders'!$A:$S,MATCH($B59,'DB New Orders'!$A$1:$S$1,0),0)</f>
        <v>0</v>
      </c>
      <c r="AG59" s="22">
        <f>VLOOKUP(AG$48,'DB New Orders'!$A:$S,MATCH($B59,'DB New Orders'!$A$1:$S$1,0),0)</f>
        <v>-5</v>
      </c>
      <c r="AH59" s="22">
        <f>VLOOKUP(AH$48,'DB New Orders'!$A:$S,MATCH($B59,'DB New Orders'!$A$1:$S$1,0),0)</f>
        <v>-1</v>
      </c>
      <c r="AJ59" s="22">
        <f t="shared" si="6"/>
        <v>-5</v>
      </c>
      <c r="AK59" s="34">
        <f t="shared" si="7"/>
        <v>-2.3333333333333335</v>
      </c>
      <c r="AL59" s="34">
        <f t="shared" si="8"/>
        <v>-1.5</v>
      </c>
    </row>
    <row r="60" spans="2:38" x14ac:dyDescent="0.2">
      <c r="B60" s="3" t="s">
        <v>49</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A60" s="22">
        <f>VLOOKUP(AA$48,'DB New Orders'!$A:$S,MATCH($B60,'DB New Orders'!$A$1:$S$1,0),0)</f>
        <v>-4</v>
      </c>
      <c r="AB60" s="22">
        <f>VLOOKUP(AB$48,'DB New Orders'!$A:$S,MATCH($B60,'DB New Orders'!$A$1:$S$1,0),0)</f>
        <v>-2</v>
      </c>
      <c r="AC60" s="22">
        <f>VLOOKUP(AC$48,'DB New Orders'!$A:$S,MATCH($B60,'DB New Orders'!$A$1:$S$1,0),0)</f>
        <v>15</v>
      </c>
      <c r="AD60" s="22">
        <f>VLOOKUP(AD$48,'DB New Orders'!$A:$S,MATCH($B60,'DB New Orders'!$A$1:$S$1,0),0)</f>
        <v>0</v>
      </c>
      <c r="AE60" s="22">
        <f>VLOOKUP(AE$48,'DB New Orders'!$A:$S,MATCH($B60,'DB New Orders'!$A$1:$S$1,0),0)</f>
        <v>14</v>
      </c>
      <c r="AF60" s="22">
        <f>VLOOKUP(AF$48,'DB New Orders'!$A:$S,MATCH($B60,'DB New Orders'!$A$1:$S$1,0),0)</f>
        <v>9</v>
      </c>
      <c r="AG60" s="22">
        <f>VLOOKUP(AG$48,'DB New Orders'!$A:$S,MATCH($B60,'DB New Orders'!$A$1:$S$1,0),0)</f>
        <v>0</v>
      </c>
      <c r="AH60" s="22">
        <f>VLOOKUP(AH$48,'DB New Orders'!$A:$S,MATCH($B60,'DB New Orders'!$A$1:$S$1,0),0)</f>
        <v>0</v>
      </c>
      <c r="AJ60" s="22">
        <f t="shared" si="6"/>
        <v>-9</v>
      </c>
      <c r="AK60" s="34">
        <f t="shared" si="7"/>
        <v>7.666666666666667</v>
      </c>
      <c r="AL60" s="34">
        <f t="shared" si="8"/>
        <v>6</v>
      </c>
    </row>
    <row r="61" spans="2:38" x14ac:dyDescent="0.2">
      <c r="B61" s="3" t="s">
        <v>18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A61" s="22">
        <f>VLOOKUP(AA$48,'DB New Orders'!$A:$S,MATCH($B61,'DB New Orders'!$A$1:$S$1,0),0)</f>
        <v>0</v>
      </c>
      <c r="AB61" s="22">
        <f>VLOOKUP(AB$48,'DB New Orders'!$A:$S,MATCH($B61,'DB New Orders'!$A$1:$S$1,0),0)</f>
        <v>7</v>
      </c>
      <c r="AC61" s="22">
        <f>VLOOKUP(AC$48,'DB New Orders'!$A:$S,MATCH($B61,'DB New Orders'!$A$1:$S$1,0),0)</f>
        <v>9</v>
      </c>
      <c r="AD61" s="22">
        <f>VLOOKUP(AD$48,'DB New Orders'!$A:$S,MATCH($B61,'DB New Orders'!$A$1:$S$1,0),0)</f>
        <v>0</v>
      </c>
      <c r="AE61" s="22">
        <f>VLOOKUP(AE$48,'DB New Orders'!$A:$S,MATCH($B61,'DB New Orders'!$A$1:$S$1,0),0)</f>
        <v>12</v>
      </c>
      <c r="AF61" s="22">
        <f>VLOOKUP(AF$48,'DB New Orders'!$A:$S,MATCH($B61,'DB New Orders'!$A$1:$S$1,0),0)</f>
        <v>12</v>
      </c>
      <c r="AG61" s="22">
        <f>VLOOKUP(AG$48,'DB New Orders'!$A:$S,MATCH($B61,'DB New Orders'!$A$1:$S$1,0),0)</f>
        <v>10</v>
      </c>
      <c r="AH61" s="22">
        <f>VLOOKUP(AH$48,'DB New Orders'!$A:$S,MATCH($B61,'DB New Orders'!$A$1:$S$1,0),0)</f>
        <v>11</v>
      </c>
      <c r="AJ61" s="22">
        <f t="shared" si="6"/>
        <v>-2</v>
      </c>
      <c r="AK61" s="34">
        <f t="shared" si="7"/>
        <v>11.333333333333334</v>
      </c>
      <c r="AL61" s="34">
        <f t="shared" si="8"/>
        <v>8.3333333333333339</v>
      </c>
    </row>
    <row r="62" spans="2:38" x14ac:dyDescent="0.2">
      <c r="B62" s="3" t="s">
        <v>46</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A62" s="22">
        <f>VLOOKUP(AA$48,'DB New Orders'!$A:$S,MATCH($B62,'DB New Orders'!$A$1:$S$1,0),0)</f>
        <v>4</v>
      </c>
      <c r="AB62" s="22">
        <f>VLOOKUP(AB$48,'DB New Orders'!$A:$S,MATCH($B62,'DB New Orders'!$A$1:$S$1,0),0)</f>
        <v>2</v>
      </c>
      <c r="AC62" s="22">
        <f>VLOOKUP(AC$48,'DB New Orders'!$A:$S,MATCH($B62,'DB New Orders'!$A$1:$S$1,0),0)</f>
        <v>4</v>
      </c>
      <c r="AD62" s="22">
        <f>VLOOKUP(AD$48,'DB New Orders'!$A:$S,MATCH($B62,'DB New Orders'!$A$1:$S$1,0),0)</f>
        <v>7</v>
      </c>
      <c r="AE62" s="22">
        <f>VLOOKUP(AE$48,'DB New Orders'!$A:$S,MATCH($B62,'DB New Orders'!$A$1:$S$1,0),0)</f>
        <v>8</v>
      </c>
      <c r="AF62" s="22">
        <f>VLOOKUP(AF$48,'DB New Orders'!$A:$S,MATCH($B62,'DB New Orders'!$A$1:$S$1,0),0)</f>
        <v>2</v>
      </c>
      <c r="AG62" s="22">
        <f>VLOOKUP(AG$48,'DB New Orders'!$A:$S,MATCH($B62,'DB New Orders'!$A$1:$S$1,0),0)</f>
        <v>2</v>
      </c>
      <c r="AH62" s="22">
        <f>VLOOKUP(AH$48,'DB New Orders'!$A:$S,MATCH($B62,'DB New Orders'!$A$1:$S$1,0),0)</f>
        <v>1</v>
      </c>
      <c r="AJ62" s="22">
        <f t="shared" si="6"/>
        <v>0</v>
      </c>
      <c r="AK62" s="34">
        <f t="shared" si="7"/>
        <v>4</v>
      </c>
      <c r="AL62" s="34">
        <f t="shared" si="8"/>
        <v>4.166666666666667</v>
      </c>
    </row>
    <row r="63" spans="2:38" x14ac:dyDescent="0.2">
      <c r="B63" s="3" t="s">
        <v>27</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A63" s="22">
        <f>VLOOKUP(AA$48,'DB New Orders'!$A:$S,MATCH($B63,'DB New Orders'!$A$1:$S$1,0),0)</f>
        <v>-1</v>
      </c>
      <c r="AB63" s="22">
        <f>VLOOKUP(AB$48,'DB New Orders'!$A:$S,MATCH($B63,'DB New Orders'!$A$1:$S$1,0),0)</f>
        <v>3</v>
      </c>
      <c r="AC63" s="22">
        <f>VLOOKUP(AC$48,'DB New Orders'!$A:$S,MATCH($B63,'DB New Orders'!$A$1:$S$1,0),0)</f>
        <v>13</v>
      </c>
      <c r="AD63" s="22">
        <f>VLOOKUP(AD$48,'DB New Orders'!$A:$S,MATCH($B63,'DB New Orders'!$A$1:$S$1,0),0)</f>
        <v>4</v>
      </c>
      <c r="AE63" s="22">
        <f>VLOOKUP(AE$48,'DB New Orders'!$A:$S,MATCH($B63,'DB New Orders'!$A$1:$S$1,0),0)</f>
        <v>7</v>
      </c>
      <c r="AF63" s="22">
        <f>VLOOKUP(AF$48,'DB New Orders'!$A:$S,MATCH($B63,'DB New Orders'!$A$1:$S$1,0),0)</f>
        <v>4</v>
      </c>
      <c r="AG63" s="22">
        <f>VLOOKUP(AG$48,'DB New Orders'!$A:$S,MATCH($B63,'DB New Orders'!$A$1:$S$1,0),0)</f>
        <v>-1</v>
      </c>
      <c r="AH63" s="22">
        <f>VLOOKUP(AH$48,'DB New Orders'!$A:$S,MATCH($B63,'DB New Orders'!$A$1:$S$1,0),0)</f>
        <v>6</v>
      </c>
      <c r="AJ63" s="22">
        <f t="shared" si="6"/>
        <v>-5</v>
      </c>
      <c r="AK63" s="34">
        <f t="shared" si="7"/>
        <v>3.3333333333333335</v>
      </c>
      <c r="AL63" s="34">
        <f t="shared" si="8"/>
        <v>5</v>
      </c>
    </row>
    <row r="64" spans="2:38" x14ac:dyDescent="0.2">
      <c r="B64" s="3" t="s">
        <v>41</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A64" s="22">
        <f>VLOOKUP(AA$48,'DB New Orders'!$A:$S,MATCH($B64,'DB New Orders'!$A$1:$S$1,0),0)</f>
        <v>8</v>
      </c>
      <c r="AB64" s="22">
        <f>VLOOKUP(AB$48,'DB New Orders'!$A:$S,MATCH($B64,'DB New Orders'!$A$1:$S$1,0),0)</f>
        <v>4</v>
      </c>
      <c r="AC64" s="22">
        <f>VLOOKUP(AC$48,'DB New Orders'!$A:$S,MATCH($B64,'DB New Orders'!$A$1:$S$1,0),0)</f>
        <v>2</v>
      </c>
      <c r="AD64" s="22">
        <f>VLOOKUP(AD$48,'DB New Orders'!$A:$S,MATCH($B64,'DB New Orders'!$A$1:$S$1,0),0)</f>
        <v>6</v>
      </c>
      <c r="AE64" s="22">
        <f>VLOOKUP(AE$48,'DB New Orders'!$A:$S,MATCH($B64,'DB New Orders'!$A$1:$S$1,0),0)</f>
        <v>1</v>
      </c>
      <c r="AF64" s="22">
        <f>VLOOKUP(AF$48,'DB New Orders'!$A:$S,MATCH($B64,'DB New Orders'!$A$1:$S$1,0),0)</f>
        <v>1</v>
      </c>
      <c r="AG64" s="22">
        <f>VLOOKUP(AG$48,'DB New Orders'!$A:$S,MATCH($B64,'DB New Orders'!$A$1:$S$1,0),0)</f>
        <v>8</v>
      </c>
      <c r="AH64" s="22">
        <f>VLOOKUP(AH$48,'DB New Orders'!$A:$S,MATCH($B64,'DB New Orders'!$A$1:$S$1,0),0)</f>
        <v>7</v>
      </c>
      <c r="AJ64" s="22">
        <f t="shared" si="6"/>
        <v>7</v>
      </c>
      <c r="AK64" s="34">
        <f t="shared" si="7"/>
        <v>3.3333333333333335</v>
      </c>
      <c r="AL64" s="34">
        <f t="shared" si="8"/>
        <v>3.6666666666666665</v>
      </c>
    </row>
    <row r="65" spans="2:38" x14ac:dyDescent="0.2">
      <c r="B65" s="3" t="s">
        <v>37</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A65" s="22">
        <f>VLOOKUP(AA$48,'DB New Orders'!$A:$S,MATCH($B65,'DB New Orders'!$A$1:$S$1,0),0)</f>
        <v>-2</v>
      </c>
      <c r="AB65" s="22">
        <f>VLOOKUP(AB$48,'DB New Orders'!$A:$S,MATCH($B65,'DB New Orders'!$A$1:$S$1,0),0)</f>
        <v>-1</v>
      </c>
      <c r="AC65" s="22">
        <f>VLOOKUP(AC$48,'DB New Orders'!$A:$S,MATCH($B65,'DB New Orders'!$A$1:$S$1,0),0)</f>
        <v>6</v>
      </c>
      <c r="AD65" s="22">
        <f>VLOOKUP(AD$48,'DB New Orders'!$A:$S,MATCH($B65,'DB New Orders'!$A$1:$S$1,0),0)</f>
        <v>0</v>
      </c>
      <c r="AE65" s="22">
        <f>VLOOKUP(AE$48,'DB New Orders'!$A:$S,MATCH($B65,'DB New Orders'!$A$1:$S$1,0),0)</f>
        <v>-1</v>
      </c>
      <c r="AF65" s="22">
        <f>VLOOKUP(AF$48,'DB New Orders'!$A:$S,MATCH($B65,'DB New Orders'!$A$1:$S$1,0),0)</f>
        <v>0</v>
      </c>
      <c r="AG65" s="22">
        <f>VLOOKUP(AG$48,'DB New Orders'!$A:$S,MATCH($B65,'DB New Orders'!$A$1:$S$1,0),0)</f>
        <v>-2</v>
      </c>
      <c r="AH65" s="22">
        <f>VLOOKUP(AH$48,'DB New Orders'!$A:$S,MATCH($B65,'DB New Orders'!$A$1:$S$1,0),0)</f>
        <v>10</v>
      </c>
      <c r="AJ65" s="22">
        <f t="shared" si="6"/>
        <v>-2</v>
      </c>
      <c r="AK65" s="34">
        <f t="shared" si="7"/>
        <v>-1</v>
      </c>
      <c r="AL65" s="34">
        <f t="shared" si="8"/>
        <v>0.33333333333333331</v>
      </c>
    </row>
    <row r="66" spans="2:38" x14ac:dyDescent="0.2">
      <c r="B66" s="3" t="s">
        <v>21</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A66" s="22">
        <f>VLOOKUP(AA$48,'DB New Orders'!$A:$S,MATCH($B66,'DB New Orders'!$A$1:$S$1,0),0)</f>
        <v>6</v>
      </c>
      <c r="AB66" s="22">
        <f>VLOOKUP(AB$48,'DB New Orders'!$A:$S,MATCH($B66,'DB New Orders'!$A$1:$S$1,0),0)</f>
        <v>11</v>
      </c>
      <c r="AC66" s="22">
        <f>VLOOKUP(AC$48,'DB New Orders'!$A:$S,MATCH($B66,'DB New Orders'!$A$1:$S$1,0),0)</f>
        <v>12</v>
      </c>
      <c r="AD66" s="22">
        <f>VLOOKUP(AD$48,'DB New Orders'!$A:$S,MATCH($B66,'DB New Orders'!$A$1:$S$1,0),0)</f>
        <v>12</v>
      </c>
      <c r="AE66" s="22">
        <f>VLOOKUP(AE$48,'DB New Orders'!$A:$S,MATCH($B66,'DB New Orders'!$A$1:$S$1,0),0)</f>
        <v>11</v>
      </c>
      <c r="AF66" s="22">
        <f>VLOOKUP(AF$48,'DB New Orders'!$A:$S,MATCH($B66,'DB New Orders'!$A$1:$S$1,0),0)</f>
        <v>11</v>
      </c>
      <c r="AG66" s="22">
        <f>VLOOKUP(AG$48,'DB New Orders'!$A:$S,MATCH($B66,'DB New Orders'!$A$1:$S$1,0),0)</f>
        <v>4</v>
      </c>
      <c r="AH66" s="22">
        <f>VLOOKUP(AH$48,'DB New Orders'!$A:$S,MATCH($B66,'DB New Orders'!$A$1:$S$1,0),0)</f>
        <v>3</v>
      </c>
      <c r="AJ66" s="22">
        <f t="shared" si="6"/>
        <v>-7</v>
      </c>
      <c r="AK66" s="34">
        <f t="shared" si="7"/>
        <v>8.6666666666666661</v>
      </c>
      <c r="AL66" s="34">
        <f t="shared" si="8"/>
        <v>10.166666666666666</v>
      </c>
    </row>
    <row r="67" spans="2:38" x14ac:dyDescent="0.2">
      <c r="B67" s="4" t="s">
        <v>35</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A67" s="22">
        <f>VLOOKUP(AA$48,'DB New Orders'!$A:$S,MATCH($B67,'DB New Orders'!$A$1:$S$1,0),0)</f>
        <v>1</v>
      </c>
      <c r="AB67" s="22">
        <f>VLOOKUP(AB$48,'DB New Orders'!$A:$S,MATCH($B67,'DB New Orders'!$A$1:$S$1,0),0)</f>
        <v>9</v>
      </c>
      <c r="AC67" s="22">
        <f>VLOOKUP(AC$48,'DB New Orders'!$A:$S,MATCH($B67,'DB New Orders'!$A$1:$S$1,0),0)</f>
        <v>14</v>
      </c>
      <c r="AD67" s="22">
        <f>VLOOKUP(AD$48,'DB New Orders'!$A:$S,MATCH($B67,'DB New Orders'!$A$1:$S$1,0),0)</f>
        <v>9</v>
      </c>
      <c r="AE67" s="22">
        <f>VLOOKUP(AE$48,'DB New Orders'!$A:$S,MATCH($B67,'DB New Orders'!$A$1:$S$1,0),0)</f>
        <v>13</v>
      </c>
      <c r="AF67" s="22">
        <f>VLOOKUP(AF$48,'DB New Orders'!$A:$S,MATCH($B67,'DB New Orders'!$A$1:$S$1,0),0)</f>
        <v>-1</v>
      </c>
      <c r="AG67" s="22">
        <f>VLOOKUP(AG$48,'DB New Orders'!$A:$S,MATCH($B67,'DB New Orders'!$A$1:$S$1,0),0)</f>
        <v>9</v>
      </c>
      <c r="AH67" s="22">
        <f>VLOOKUP(AH$48,'DB New Orders'!$A:$S,MATCH($B67,'DB New Orders'!$A$1:$S$1,0),0)</f>
        <v>12</v>
      </c>
      <c r="AJ67" s="22">
        <f t="shared" si="6"/>
        <v>10</v>
      </c>
      <c r="AK67" s="34">
        <f t="shared" si="7"/>
        <v>7</v>
      </c>
      <c r="AL67" s="34">
        <f t="shared" si="8"/>
        <v>8.8333333333333339</v>
      </c>
    </row>
    <row r="68" spans="2:38"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row>
  </sheetData>
  <mergeCells count="14">
    <mergeCell ref="B48:B49"/>
    <mergeCell ref="AJ48:AJ49"/>
    <mergeCell ref="AK48:AK49"/>
    <mergeCell ref="AL48:AL49"/>
    <mergeCell ref="AJ1:AL1"/>
    <mergeCell ref="AK3:AL3"/>
    <mergeCell ref="B4:B5"/>
    <mergeCell ref="AJ4:AJ5"/>
    <mergeCell ref="AK4:AK5"/>
    <mergeCell ref="AL4:AL5"/>
    <mergeCell ref="B26:B27"/>
    <mergeCell ref="AJ26:AJ27"/>
    <mergeCell ref="AK26:AK27"/>
    <mergeCell ref="AL26:AL27"/>
  </mergeCells>
  <conditionalFormatting sqref="AJ6:AJ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K6:AK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L6:AL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H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H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H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J28:AJ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K28:AK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L28:AL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J50:AJ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K50:AK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L50:AL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306"/>
  <sheetViews>
    <sheetView zoomScale="170" zoomScaleNormal="170" workbookViewId="0">
      <pane xSplit="1" ySplit="5" topLeftCell="B302" activePane="bottomRight" state="frozen"/>
      <selection pane="topRight" activeCell="B1" sqref="B1"/>
      <selection pane="bottomLeft" activeCell="A6" sqref="A6"/>
      <selection pane="bottomRight" activeCell="A301" sqref="A301:L306"/>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30" width="9.1640625" style="66" customWidth="1"/>
    <col min="31"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79</v>
      </c>
      <c r="B5" s="47" t="s">
        <v>20</v>
      </c>
      <c r="C5" s="47" t="s">
        <v>23</v>
      </c>
      <c r="D5" s="47" t="s">
        <v>26</v>
      </c>
      <c r="E5" s="47" t="s">
        <v>28</v>
      </c>
      <c r="F5" s="47" t="s">
        <v>30</v>
      </c>
      <c r="G5" s="47" t="s">
        <v>32</v>
      </c>
      <c r="H5" s="47" t="s">
        <v>34</v>
      </c>
      <c r="I5" s="47" t="s">
        <v>36</v>
      </c>
      <c r="J5" s="47" t="s">
        <v>38</v>
      </c>
      <c r="K5" s="47" t="s">
        <v>40</v>
      </c>
      <c r="L5" s="48" t="s">
        <v>17</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row r="300" spans="1:12" x14ac:dyDescent="0.2">
      <c r="A300" s="53">
        <v>44562</v>
      </c>
      <c r="B300" s="50">
        <f>IF(VLOOKUP(Table91213[[#This Row],[Date]],'DB Details'!$A:$Q,2)=0,"",VLOOKUP(Table91213[[#This Row],[Date]],'DB Details'!$A:$Q,2))</f>
        <v>61.7</v>
      </c>
      <c r="C300" s="51">
        <f>IF(VLOOKUP(Table91213[[#This Row],[Date]],'DB Details'!$A:$Q,3)=0,"",VLOOKUP(Table91213[[#This Row],[Date]],'DB Details'!$A:$Q,3))</f>
        <v>51.1</v>
      </c>
      <c r="D300" s="51">
        <f>IF(VLOOKUP(Table91213[[#This Row],[Date]],'DB Details'!$A:$Q,4)=0,"",VLOOKUP(Table91213[[#This Row],[Date]],'DB Details'!$A:$Q,4))</f>
        <v>57.4</v>
      </c>
      <c r="E300" s="52">
        <f>IF(VLOOKUP(Table91213[[#This Row],[Date]],'DB Details'!$A:$Q,5)=0,"",VLOOKUP(Table91213[[#This Row],[Date]],'DB Details'!$A:$Q,5))</f>
        <v>82.3</v>
      </c>
      <c r="F300" s="51">
        <f>IF(VLOOKUP(Table91213[[#This Row],[Date]],'DB Details'!$A:$Q,6)=0,"",VLOOKUP(Table91213[[#This Row],[Date]],'DB Details'!$A:$Q,6))</f>
        <v>59.9</v>
      </c>
      <c r="G300" s="52">
        <f>IF(VLOOKUP(Table91213[[#This Row],[Date]],'DB Details'!$A:$Q,7)=0,"",VLOOKUP(Table91213[[#This Row],[Date]],'DB Details'!$A:$Q,7))</f>
        <v>47.5</v>
      </c>
      <c r="H300" s="52">
        <f>IF(VLOOKUP(Table91213[[#This Row],[Date]],'DB Details'!$A:$Q,8)=0,"",VLOOKUP(Table91213[[#This Row],[Date]],'DB Details'!$A:$Q,8))</f>
        <v>49.4</v>
      </c>
      <c r="I300" s="52">
        <f>IF(VLOOKUP(Table91213[[#This Row],[Date]],'DB Details'!$A:$Q,9)=0,"",VLOOKUP(Table91213[[#This Row],[Date]],'DB Details'!$A:$Q,9))</f>
        <v>65.7</v>
      </c>
      <c r="J300" s="52">
        <f>IF(VLOOKUP(Table91213[[#This Row],[Date]],'DB Details'!$A:$Q,10)=0,"",VLOOKUP(Table91213[[#This Row],[Date]],'DB Details'!$A:$Q,10))</f>
        <v>52.3</v>
      </c>
      <c r="K300" s="52">
        <f>IF(VLOOKUP(Table91213[[#This Row],[Date]],'DB Details'!$A:$Q,11)=0,"",VLOOKUP(Table91213[[#This Row],[Date]],'DB Details'!$A:$Q,11))</f>
        <v>45.9</v>
      </c>
      <c r="L300" s="50">
        <f>IF(VLOOKUP(Table91213[[#This Row],[Date]],'DB Details'!$A:$Q,12)=0,"",VLOOKUP(Table91213[[#This Row],[Date]],'DB Details'!$A:$Q,12))</f>
        <v>59.9</v>
      </c>
    </row>
    <row r="301" spans="1:12" x14ac:dyDescent="0.2">
      <c r="A301" s="53">
        <v>44593</v>
      </c>
      <c r="B301" s="50">
        <f>IF(VLOOKUP(Table91213[[#This Row],[Date]],'DB Details'!$A:$Q,2)=0,"",VLOOKUP(Table91213[[#This Row],[Date]],'DB Details'!$A:$Q,2))</f>
        <v>56.1</v>
      </c>
      <c r="C301" s="51">
        <f>IF(VLOOKUP(Table91213[[#This Row],[Date]],'DB Details'!$A:$Q,3)=0,"",VLOOKUP(Table91213[[#This Row],[Date]],'DB Details'!$A:$Q,3))</f>
        <v>51.7</v>
      </c>
      <c r="D301" s="51">
        <f>IF(VLOOKUP(Table91213[[#This Row],[Date]],'DB Details'!$A:$Q,4)=0,"",VLOOKUP(Table91213[[#This Row],[Date]],'DB Details'!$A:$Q,4))</f>
        <v>64.2</v>
      </c>
      <c r="E301" s="52">
        <f>IF(VLOOKUP(Table91213[[#This Row],[Date]],'DB Details'!$A:$Q,5)=0,"",VLOOKUP(Table91213[[#This Row],[Date]],'DB Details'!$A:$Q,5))</f>
        <v>83.1</v>
      </c>
      <c r="F301" s="51">
        <f>IF(VLOOKUP(Table91213[[#This Row],[Date]],'DB Details'!$A:$Q,6)=0,"",VLOOKUP(Table91213[[#This Row],[Date]],'DB Details'!$A:$Q,6))</f>
        <v>55.1</v>
      </c>
      <c r="G301" s="52">
        <f>IF(VLOOKUP(Table91213[[#This Row],[Date]],'DB Details'!$A:$Q,7)=0,"",VLOOKUP(Table91213[[#This Row],[Date]],'DB Details'!$A:$Q,7))</f>
        <v>55.3</v>
      </c>
      <c r="H301" s="52">
        <f>IF(VLOOKUP(Table91213[[#This Row],[Date]],'DB Details'!$A:$Q,8)=0,"",VLOOKUP(Table91213[[#This Row],[Date]],'DB Details'!$A:$Q,8))</f>
        <v>50.8</v>
      </c>
      <c r="I301" s="52">
        <f>IF(VLOOKUP(Table91213[[#This Row],[Date]],'DB Details'!$A:$Q,9)=0,"",VLOOKUP(Table91213[[#This Row],[Date]],'DB Details'!$A:$Q,9))</f>
        <v>66.2</v>
      </c>
      <c r="J301" s="52">
        <f>IF(VLOOKUP(Table91213[[#This Row],[Date]],'DB Details'!$A:$Q,10)=0,"",VLOOKUP(Table91213[[#This Row],[Date]],'DB Details'!$A:$Q,10))</f>
        <v>48.5</v>
      </c>
      <c r="K301" s="52">
        <f>IF(VLOOKUP(Table91213[[#This Row],[Date]],'DB Details'!$A:$Q,11)=0,"",VLOOKUP(Table91213[[#This Row],[Date]],'DB Details'!$A:$Q,11))</f>
        <v>53</v>
      </c>
      <c r="L301" s="50">
        <f>IF(VLOOKUP(Table91213[[#This Row],[Date]],'DB Details'!$A:$Q,12)=0,"",VLOOKUP(Table91213[[#This Row],[Date]],'DB Details'!$A:$Q,12))</f>
        <v>56.5</v>
      </c>
    </row>
    <row r="302" spans="1:12" x14ac:dyDescent="0.2">
      <c r="A302" s="53">
        <v>44621</v>
      </c>
      <c r="B302" s="50">
        <f>IF(VLOOKUP(Table91213[[#This Row],[Date]],'DB Details'!$A:$Q,2)=0,"",VLOOKUP(Table91213[[#This Row],[Date]],'DB Details'!$A:$Q,2))</f>
        <v>60.1</v>
      </c>
      <c r="C302" s="51">
        <f>IF(VLOOKUP(Table91213[[#This Row],[Date]],'DB Details'!$A:$Q,3)=0,"",VLOOKUP(Table91213[[#This Row],[Date]],'DB Details'!$A:$Q,3))</f>
        <v>45</v>
      </c>
      <c r="D302" s="51">
        <f>IF(VLOOKUP(Table91213[[#This Row],[Date]],'DB Details'!$A:$Q,4)=0,"",VLOOKUP(Table91213[[#This Row],[Date]],'DB Details'!$A:$Q,4))</f>
        <v>64.5</v>
      </c>
      <c r="E302" s="52">
        <f>IF(VLOOKUP(Table91213[[#This Row],[Date]],'DB Details'!$A:$Q,5)=0,"",VLOOKUP(Table91213[[#This Row],[Date]],'DB Details'!$A:$Q,5))</f>
        <v>83.8</v>
      </c>
      <c r="F302" s="51">
        <f>IF(VLOOKUP(Table91213[[#This Row],[Date]],'DB Details'!$A:$Q,6)=0,"",VLOOKUP(Table91213[[#This Row],[Date]],'DB Details'!$A:$Q,6))</f>
        <v>55.5</v>
      </c>
      <c r="G302" s="52">
        <f>IF(VLOOKUP(Table91213[[#This Row],[Date]],'DB Details'!$A:$Q,7)=0,"",VLOOKUP(Table91213[[#This Row],[Date]],'DB Details'!$A:$Q,7))</f>
        <v>40.200000000000003</v>
      </c>
      <c r="H302" s="52">
        <f>IF(VLOOKUP(Table91213[[#This Row],[Date]],'DB Details'!$A:$Q,8)=0,"",VLOOKUP(Table91213[[#This Row],[Date]],'DB Details'!$A:$Q,8))</f>
        <v>51.7</v>
      </c>
      <c r="I302" s="52">
        <f>IF(VLOOKUP(Table91213[[#This Row],[Date]],'DB Details'!$A:$Q,9)=0,"",VLOOKUP(Table91213[[#This Row],[Date]],'DB Details'!$A:$Q,9))</f>
        <v>63.4</v>
      </c>
      <c r="J302" s="52">
        <f>IF(VLOOKUP(Table91213[[#This Row],[Date]],'DB Details'!$A:$Q,10)=0,"",VLOOKUP(Table91213[[#This Row],[Date]],'DB Details'!$A:$Q,10))</f>
        <v>54</v>
      </c>
      <c r="K302" s="52">
        <f>IF(VLOOKUP(Table91213[[#This Row],[Date]],'DB Details'!$A:$Q,11)=0,"",VLOOKUP(Table91213[[#This Row],[Date]],'DB Details'!$A:$Q,11))</f>
        <v>61</v>
      </c>
      <c r="L302" s="50">
        <f>IF(VLOOKUP(Table91213[[#This Row],[Date]],'DB Details'!$A:$Q,12)=0,"",VLOOKUP(Table91213[[#This Row],[Date]],'DB Details'!$A:$Q,12))</f>
        <v>58.3</v>
      </c>
    </row>
    <row r="303" spans="1:12" x14ac:dyDescent="0.2">
      <c r="A303" s="53">
        <v>44652</v>
      </c>
      <c r="B303" s="50">
        <f>IF(VLOOKUP(Table91213[[#This Row],[Date]],'DB Details'!$A:$Q,2)=0,"",VLOOKUP(Table91213[[#This Row],[Date]],'DB Details'!$A:$Q,2))</f>
        <v>54.6</v>
      </c>
      <c r="C303" s="51">
        <f>IF(VLOOKUP(Table91213[[#This Row],[Date]],'DB Details'!$A:$Q,3)=0,"",VLOOKUP(Table91213[[#This Row],[Date]],'DB Details'!$A:$Q,3))</f>
        <v>52.9</v>
      </c>
      <c r="D303" s="51">
        <f>IF(VLOOKUP(Table91213[[#This Row],[Date]],'DB Details'!$A:$Q,4)=0,"",VLOOKUP(Table91213[[#This Row],[Date]],'DB Details'!$A:$Q,4))</f>
        <v>59.4</v>
      </c>
      <c r="E303" s="52">
        <f>IF(VLOOKUP(Table91213[[#This Row],[Date]],'DB Details'!$A:$Q,5)=0,"",VLOOKUP(Table91213[[#This Row],[Date]],'DB Details'!$A:$Q,5))</f>
        <v>84.6</v>
      </c>
      <c r="F303" s="51">
        <f>IF(VLOOKUP(Table91213[[#This Row],[Date]],'DB Details'!$A:$Q,6)=0,"",VLOOKUP(Table91213[[#This Row],[Date]],'DB Details'!$A:$Q,6))</f>
        <v>59.1</v>
      </c>
      <c r="G303" s="52">
        <f>IF(VLOOKUP(Table91213[[#This Row],[Date]],'DB Details'!$A:$Q,7)=0,"",VLOOKUP(Table91213[[#This Row],[Date]],'DB Details'!$A:$Q,7))</f>
        <v>46.7</v>
      </c>
      <c r="H303" s="52">
        <f>IF(VLOOKUP(Table91213[[#This Row],[Date]],'DB Details'!$A:$Q,8)=0,"",VLOOKUP(Table91213[[#This Row],[Date]],'DB Details'!$A:$Q,8))</f>
        <v>52.3</v>
      </c>
      <c r="I303" s="52">
        <f>IF(VLOOKUP(Table91213[[#This Row],[Date]],'DB Details'!$A:$Q,9)=0,"",VLOOKUP(Table91213[[#This Row],[Date]],'DB Details'!$A:$Q,9))</f>
        <v>65.099999999999994</v>
      </c>
      <c r="J303" s="52">
        <f>IF(VLOOKUP(Table91213[[#This Row],[Date]],'DB Details'!$A:$Q,10)=0,"",VLOOKUP(Table91213[[#This Row],[Date]],'DB Details'!$A:$Q,10))</f>
        <v>49.5</v>
      </c>
      <c r="K303" s="52">
        <f>IF(VLOOKUP(Table91213[[#This Row],[Date]],'DB Details'!$A:$Q,11)=0,"",VLOOKUP(Table91213[[#This Row],[Date]],'DB Details'!$A:$Q,11))</f>
        <v>58.1</v>
      </c>
      <c r="L303" s="50">
        <f>IF(VLOOKUP(Table91213[[#This Row],[Date]],'DB Details'!$A:$Q,12)=0,"",VLOOKUP(Table91213[[#This Row],[Date]],'DB Details'!$A:$Q,12))</f>
        <v>57.1</v>
      </c>
    </row>
    <row r="304" spans="1:12" x14ac:dyDescent="0.2">
      <c r="A304" s="53">
        <v>44682</v>
      </c>
      <c r="B304" s="50">
        <f>IF(VLOOKUP(Table91213[[#This Row],[Date]],'DB Details'!$A:$Q,2)=0,"",VLOOKUP(Table91213[[#This Row],[Date]],'DB Details'!$A:$Q,2))</f>
        <v>57.6</v>
      </c>
      <c r="C304" s="51">
        <f>IF(VLOOKUP(Table91213[[#This Row],[Date]],'DB Details'!$A:$Q,3)=0,"",VLOOKUP(Table91213[[#This Row],[Date]],'DB Details'!$A:$Q,3))</f>
        <v>52.8</v>
      </c>
      <c r="D304" s="51">
        <f>IF(VLOOKUP(Table91213[[#This Row],[Date]],'DB Details'!$A:$Q,4)=0,"",VLOOKUP(Table91213[[#This Row],[Date]],'DB Details'!$A:$Q,4))</f>
        <v>52</v>
      </c>
      <c r="E304" s="52">
        <f>IF(VLOOKUP(Table91213[[#This Row],[Date]],'DB Details'!$A:$Q,5)=0,"",VLOOKUP(Table91213[[#This Row],[Date]],'DB Details'!$A:$Q,5))</f>
        <v>82.1</v>
      </c>
      <c r="F304" s="51">
        <f>IF(VLOOKUP(Table91213[[#This Row],[Date]],'DB Details'!$A:$Q,6)=0,"",VLOOKUP(Table91213[[#This Row],[Date]],'DB Details'!$A:$Q,6))</f>
        <v>54.5</v>
      </c>
      <c r="G304" s="52">
        <f>IF(VLOOKUP(Table91213[[#This Row],[Date]],'DB Details'!$A:$Q,7)=0,"",VLOOKUP(Table91213[[#This Row],[Date]],'DB Details'!$A:$Q,7))</f>
        <v>44.5</v>
      </c>
      <c r="H304" s="52">
        <f>IF(VLOOKUP(Table91213[[#This Row],[Date]],'DB Details'!$A:$Q,8)=0,"",VLOOKUP(Table91213[[#This Row],[Date]],'DB Details'!$A:$Q,8))</f>
        <v>51</v>
      </c>
      <c r="I304" s="52">
        <f>IF(VLOOKUP(Table91213[[#This Row],[Date]],'DB Details'!$A:$Q,9)=0,"",VLOOKUP(Table91213[[#This Row],[Date]],'DB Details'!$A:$Q,9))</f>
        <v>61.3</v>
      </c>
      <c r="J304" s="52">
        <f>IF(VLOOKUP(Table91213[[#This Row],[Date]],'DB Details'!$A:$Q,10)=0,"",VLOOKUP(Table91213[[#This Row],[Date]],'DB Details'!$A:$Q,10))</f>
        <v>50.2</v>
      </c>
      <c r="K304" s="52">
        <f>IF(VLOOKUP(Table91213[[#This Row],[Date]],'DB Details'!$A:$Q,11)=0,"",VLOOKUP(Table91213[[#This Row],[Date]],'DB Details'!$A:$Q,11))</f>
        <v>60.9</v>
      </c>
      <c r="L304" s="50">
        <f>IF(VLOOKUP(Table91213[[#This Row],[Date]],'DB Details'!$A:$Q,12)=0,"",VLOOKUP(Table91213[[#This Row],[Date]],'DB Details'!$A:$Q,12))</f>
        <v>55.9</v>
      </c>
    </row>
    <row r="305" spans="1:12" x14ac:dyDescent="0.2">
      <c r="A305" s="53">
        <v>44713</v>
      </c>
      <c r="B305" s="50">
        <f>IF(VLOOKUP(Table91213[[#This Row],[Date]],'DB Details'!$A:$Q,2)=0,"",VLOOKUP(Table91213[[#This Row],[Date]],'DB Details'!$A:$Q,2))</f>
        <v>55.6</v>
      </c>
      <c r="C305" s="51">
        <f>IF(VLOOKUP(Table91213[[#This Row],[Date]],'DB Details'!$A:$Q,3)=0,"",VLOOKUP(Table91213[[#This Row],[Date]],'DB Details'!$A:$Q,3))</f>
        <v>46.3</v>
      </c>
      <c r="D305" s="51">
        <f>IF(VLOOKUP(Table91213[[#This Row],[Date]],'DB Details'!$A:$Q,4)=0,"",VLOOKUP(Table91213[[#This Row],[Date]],'DB Details'!$A:$Q,4))</f>
        <v>60.5</v>
      </c>
      <c r="E305" s="52">
        <f>IF(VLOOKUP(Table91213[[#This Row],[Date]],'DB Details'!$A:$Q,5)=0,"",VLOOKUP(Table91213[[#This Row],[Date]],'DB Details'!$A:$Q,5))</f>
        <v>80.099999999999994</v>
      </c>
      <c r="F305" s="51">
        <f>IF(VLOOKUP(Table91213[[#This Row],[Date]],'DB Details'!$A:$Q,6)=0,"",VLOOKUP(Table91213[[#This Row],[Date]],'DB Details'!$A:$Q,6))</f>
        <v>56.1</v>
      </c>
      <c r="G305" s="52">
        <f>IF(VLOOKUP(Table91213[[#This Row],[Date]],'DB Details'!$A:$Q,7)=0,"",VLOOKUP(Table91213[[#This Row],[Date]],'DB Details'!$A:$Q,7))</f>
        <v>46.2</v>
      </c>
      <c r="H305" s="52">
        <f>IF(VLOOKUP(Table91213[[#This Row],[Date]],'DB Details'!$A:$Q,8)=0,"",VLOOKUP(Table91213[[#This Row],[Date]],'DB Details'!$A:$Q,8))</f>
        <v>47.5</v>
      </c>
      <c r="I305" s="52">
        <f>IF(VLOOKUP(Table91213[[#This Row],[Date]],'DB Details'!$A:$Q,9)=0,"",VLOOKUP(Table91213[[#This Row],[Date]],'DB Details'!$A:$Q,9))</f>
        <v>61.9</v>
      </c>
      <c r="J305" s="52">
        <f>IF(VLOOKUP(Table91213[[#This Row],[Date]],'DB Details'!$A:$Q,10)=0,"",VLOOKUP(Table91213[[#This Row],[Date]],'DB Details'!$A:$Q,10))</f>
        <v>47.4</v>
      </c>
      <c r="K305" s="52">
        <f>IF(VLOOKUP(Table91213[[#This Row],[Date]],'DB Details'!$A:$Q,11)=0,"",VLOOKUP(Table91213[[#This Row],[Date]],'DB Details'!$A:$Q,11))</f>
        <v>57.5</v>
      </c>
      <c r="L305" s="50">
        <f>IF(VLOOKUP(Table91213[[#This Row],[Date]],'DB Details'!$A:$Q,12)=0,"",VLOOKUP(Table91213[[#This Row],[Date]],'DB Details'!$A:$Q,12))</f>
        <v>55.3</v>
      </c>
    </row>
    <row r="306" spans="1:12" x14ac:dyDescent="0.2">
      <c r="A306" s="53">
        <v>44743</v>
      </c>
      <c r="B306" s="50">
        <f>IF(VLOOKUP(Table91213[[#This Row],[Date]],'DB Details'!$A:$Q,2)=0,"",VLOOKUP(Table91213[[#This Row],[Date]],'DB Details'!$A:$Q,2))</f>
        <v>59.9</v>
      </c>
      <c r="C306" s="51">
        <f>IF(VLOOKUP(Table91213[[#This Row],[Date]],'DB Details'!$A:$Q,3)=0,"",VLOOKUP(Table91213[[#This Row],[Date]],'DB Details'!$A:$Q,3))</f>
        <v>48</v>
      </c>
      <c r="D306" s="51">
        <f>IF(VLOOKUP(Table91213[[#This Row],[Date]],'DB Details'!$A:$Q,4)=0,"",VLOOKUP(Table91213[[#This Row],[Date]],'DB Details'!$A:$Q,4))</f>
        <v>58.3</v>
      </c>
      <c r="E306" s="52">
        <f>IF(VLOOKUP(Table91213[[#This Row],[Date]],'DB Details'!$A:$Q,5)=0,"",VLOOKUP(Table91213[[#This Row],[Date]],'DB Details'!$A:$Q,5))</f>
        <v>72.3</v>
      </c>
      <c r="F306" s="51">
        <f>IF(VLOOKUP(Table91213[[#This Row],[Date]],'DB Details'!$A:$Q,6)=0,"",VLOOKUP(Table91213[[#This Row],[Date]],'DB Details'!$A:$Q,6))</f>
        <v>59.9</v>
      </c>
      <c r="G306" s="52">
        <f>IF(VLOOKUP(Table91213[[#This Row],[Date]],'DB Details'!$A:$Q,7)=0,"",VLOOKUP(Table91213[[#This Row],[Date]],'DB Details'!$A:$Q,7))</f>
        <v>50.1</v>
      </c>
      <c r="H306" s="52">
        <f>IF(VLOOKUP(Table91213[[#This Row],[Date]],'DB Details'!$A:$Q,8)=0,"",VLOOKUP(Table91213[[#This Row],[Date]],'DB Details'!$A:$Q,8))</f>
        <v>45</v>
      </c>
      <c r="I306" s="52">
        <f>IF(VLOOKUP(Table91213[[#This Row],[Date]],'DB Details'!$A:$Q,9)=0,"",VLOOKUP(Table91213[[#This Row],[Date]],'DB Details'!$A:$Q,9))</f>
        <v>57.8</v>
      </c>
      <c r="J306" s="52">
        <f>IF(VLOOKUP(Table91213[[#This Row],[Date]],'DB Details'!$A:$Q,10)=0,"",VLOOKUP(Table91213[[#This Row],[Date]],'DB Details'!$A:$Q,10))</f>
        <v>49.1</v>
      </c>
      <c r="K306" s="52">
        <f>IF(VLOOKUP(Table91213[[#This Row],[Date]],'DB Details'!$A:$Q,11)=0,"",VLOOKUP(Table91213[[#This Row],[Date]],'DB Details'!$A:$Q,11))</f>
        <v>59.5</v>
      </c>
      <c r="L306" s="50">
        <f>IF(VLOOKUP(Table91213[[#This Row],[Date]],'DB Details'!$A:$Q,12)=0,"",VLOOKUP(Table91213[[#This Row],[Date]],'DB Details'!$A:$Q,12))</f>
        <v>56.7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topLeftCell="A40" zoomScale="150" zoomScaleNormal="150" workbookViewId="0">
      <selection activeCell="AD27" sqref="AD27"/>
    </sheetView>
  </sheetViews>
  <sheetFormatPr baseColWidth="10" defaultColWidth="9.1640625" defaultRowHeight="15" x14ac:dyDescent="0.2"/>
  <cols>
    <col min="1" max="18" width="9.1640625" style="66" customWidth="1"/>
    <col min="19"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x14ac:dyDescent="0.2"/>
  <cols>
    <col min="1" max="1" width="12.33203125" style="66" customWidth="1"/>
    <col min="2" max="5" width="14.6640625" style="66" customWidth="1"/>
    <col min="6" max="23" width="9.1640625" style="66" customWidth="1"/>
    <col min="24" max="16384" width="9.1640625" style="66"/>
  </cols>
  <sheetData>
    <row r="1" spans="1:5" x14ac:dyDescent="0.2">
      <c r="A1" s="28" t="s">
        <v>80</v>
      </c>
    </row>
    <row r="2" spans="1:5" ht="3.75" customHeight="1" x14ac:dyDescent="0.2"/>
    <row r="3" spans="1:5" ht="3.75" customHeight="1" x14ac:dyDescent="0.2"/>
    <row r="4" spans="1:5" ht="16" customHeight="1" thickBot="1" x14ac:dyDescent="0.25"/>
    <row r="5" spans="1:5" ht="25" customHeight="1" thickBot="1" x14ac:dyDescent="0.25">
      <c r="A5" s="55" t="s">
        <v>79</v>
      </c>
      <c r="B5" s="56" t="s">
        <v>17</v>
      </c>
      <c r="C5" s="57" t="s">
        <v>81</v>
      </c>
      <c r="D5" s="58" t="s">
        <v>82</v>
      </c>
      <c r="E5" s="59" t="s">
        <v>83</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row r="300" spans="1:5" x14ac:dyDescent="0.2">
      <c r="A300" s="60">
        <v>44562</v>
      </c>
      <c r="B300" s="50">
        <f>IF(VLOOKUP(Table311[[#This Row],[Date]],'DB Details'!$A:$Q,12)=0,"",VLOOKUP(Table311[[#This Row],[Date]],'DB Details'!$A:$Q,12))</f>
        <v>59.9</v>
      </c>
      <c r="C300" s="61">
        <f>IF(VLOOKUP(Table311[[#This Row],[Date]],'DB Details'!$A:$Q,16)=0,"",VLOOKUP(Table311[[#This Row],[Date]],'DB Details'!$A:$Q,16))</f>
        <v>5.5317363621841711E-2</v>
      </c>
      <c r="D300" s="61">
        <f>IF(VLOOKUP(Table311[[#This Row],[Date]],'DB Details'!$A:$Q,15)=0,"",VLOOKUP(Table311[[#This Row],[Date]],'DB Details'!$A:$Q,15))</f>
        <v>1.6790943920683761E-2</v>
      </c>
      <c r="E300" s="61">
        <f>IF(VLOOKUP(Table311[[#This Row],[Date]],'DB Details'!$A:$Q,17)=0,"",VLOOKUP(Table311[[#This Row],[Date]],'DB Details'!$A:$Q,17))</f>
        <v>6.8874405829691066E-2</v>
      </c>
    </row>
    <row r="301" spans="1:5" x14ac:dyDescent="0.2">
      <c r="A301" s="60">
        <v>44593</v>
      </c>
      <c r="B301" s="50">
        <f>IF(VLOOKUP(Table311[[#This Row],[Date]],'DB Details'!$A:$Q,12)=0,"",VLOOKUP(Table311[[#This Row],[Date]],'DB Details'!$A:$Q,12))</f>
        <v>56.5</v>
      </c>
      <c r="C301" s="61">
        <f>IF(VLOOKUP(Table311[[#This Row],[Date]],'DB Details'!$A:$Q,16)=0,"",VLOOKUP(Table311[[#This Row],[Date]],'DB Details'!$A:$Q,16))</f>
        <v>5.5317363621841711E-2</v>
      </c>
      <c r="D301" s="61">
        <f>IF(VLOOKUP(Table311[[#This Row],[Date]],'DB Details'!$A:$Q,15)=0,"",VLOOKUP(Table311[[#This Row],[Date]],'DB Details'!$A:$Q,15))</f>
        <v>1.6790943920683761E-2</v>
      </c>
      <c r="E301" s="61">
        <f>IF(VLOOKUP(Table311[[#This Row],[Date]],'DB Details'!$A:$Q,17)=0,"",VLOOKUP(Table311[[#This Row],[Date]],'DB Details'!$A:$Q,17))</f>
        <v>6.8874405829691066E-2</v>
      </c>
    </row>
    <row r="302" spans="1:5" x14ac:dyDescent="0.2">
      <c r="A302" s="60">
        <v>44621</v>
      </c>
      <c r="B302" s="50">
        <f>IF(VLOOKUP(Table311[[#This Row],[Date]],'DB Details'!$A:$Q,12)=0,"",VLOOKUP(Table311[[#This Row],[Date]],'DB Details'!$A:$Q,12))</f>
        <v>58.3</v>
      </c>
      <c r="C302" s="61">
        <f>IF(VLOOKUP(Table311[[#This Row],[Date]],'DB Details'!$A:$Q,16)=0,"",VLOOKUP(Table311[[#This Row],[Date]],'DB Details'!$A:$Q,16))</f>
        <v>5.5317363621841711E-2</v>
      </c>
      <c r="D302" s="61">
        <f>IF(VLOOKUP(Table311[[#This Row],[Date]],'DB Details'!$A:$Q,15)=0,"",VLOOKUP(Table311[[#This Row],[Date]],'DB Details'!$A:$Q,15))</f>
        <v>1.6790943920683761E-2</v>
      </c>
      <c r="E302" s="61">
        <f>IF(VLOOKUP(Table311[[#This Row],[Date]],'DB Details'!$A:$Q,17)=0,"",VLOOKUP(Table311[[#This Row],[Date]],'DB Details'!$A:$Q,17))</f>
        <v>6.8874405829691066E-2</v>
      </c>
    </row>
    <row r="303" spans="1:5" x14ac:dyDescent="0.2">
      <c r="A303" s="60">
        <v>44652</v>
      </c>
      <c r="B303" s="50">
        <f>IF(VLOOKUP(Table311[[#This Row],[Date]],'DB Details'!$A:$Q,12)=0,"",VLOOKUP(Table311[[#This Row],[Date]],'DB Details'!$A:$Q,12))</f>
        <v>57.1</v>
      </c>
      <c r="C303" s="61">
        <f>IF(VLOOKUP(Table311[[#This Row],[Date]],'DB Details'!$A:$Q,16)=0,"",VLOOKUP(Table311[[#This Row],[Date]],'DB Details'!$A:$Q,16))</f>
        <v>5.5317363621841711E-2</v>
      </c>
      <c r="D303" s="61">
        <f>IF(VLOOKUP(Table311[[#This Row],[Date]],'DB Details'!$A:$Q,15)=0,"",VLOOKUP(Table311[[#This Row],[Date]],'DB Details'!$A:$Q,15))</f>
        <v>1.6790943920683761E-2</v>
      </c>
      <c r="E303" s="61">
        <f>IF(VLOOKUP(Table311[[#This Row],[Date]],'DB Details'!$A:$Q,17)=0,"",VLOOKUP(Table311[[#This Row],[Date]],'DB Details'!$A:$Q,17))</f>
        <v>6.8874405829691066E-2</v>
      </c>
    </row>
    <row r="304" spans="1:5" x14ac:dyDescent="0.2">
      <c r="A304" s="60">
        <v>44682</v>
      </c>
      <c r="B304" s="50">
        <f>IF(VLOOKUP(Table311[[#This Row],[Date]],'DB Details'!$A:$Q,12)=0,"",VLOOKUP(Table311[[#This Row],[Date]],'DB Details'!$A:$Q,12))</f>
        <v>55.9</v>
      </c>
      <c r="C304" s="61">
        <f>IF(VLOOKUP(Table311[[#This Row],[Date]],'DB Details'!$A:$Q,16)=0,"",VLOOKUP(Table311[[#This Row],[Date]],'DB Details'!$A:$Q,16))</f>
        <v>5.5317363621841711E-2</v>
      </c>
      <c r="D304" s="61">
        <f>IF(VLOOKUP(Table311[[#This Row],[Date]],'DB Details'!$A:$Q,15)=0,"",VLOOKUP(Table311[[#This Row],[Date]],'DB Details'!$A:$Q,15))</f>
        <v>1.6790943920683761E-2</v>
      </c>
      <c r="E304" s="61">
        <f>IF(VLOOKUP(Table311[[#This Row],[Date]],'DB Details'!$A:$Q,17)=0,"",VLOOKUP(Table311[[#This Row],[Date]],'DB Details'!$A:$Q,17))</f>
        <v>6.8874405829691066E-2</v>
      </c>
    </row>
    <row r="305" spans="1:5" x14ac:dyDescent="0.2">
      <c r="A305" s="60">
        <v>44713</v>
      </c>
      <c r="B305" s="50">
        <f>IF(VLOOKUP(Table311[[#This Row],[Date]],'DB Details'!$A:$Q,12)=0,"",VLOOKUP(Table311[[#This Row],[Date]],'DB Details'!$A:$Q,12))</f>
        <v>55.3</v>
      </c>
      <c r="C305" s="61">
        <f>IF(VLOOKUP(Table311[[#This Row],[Date]],'DB Details'!$A:$Q,16)=0,"",VLOOKUP(Table311[[#This Row],[Date]],'DB Details'!$A:$Q,16))</f>
        <v>5.5317363621841711E-2</v>
      </c>
      <c r="D305" s="61">
        <f>IF(VLOOKUP(Table311[[#This Row],[Date]],'DB Details'!$A:$Q,15)=0,"",VLOOKUP(Table311[[#This Row],[Date]],'DB Details'!$A:$Q,15))</f>
        <v>1.6790943920683761E-2</v>
      </c>
      <c r="E305" s="61">
        <f>IF(VLOOKUP(Table311[[#This Row],[Date]],'DB Details'!$A:$Q,17)=0,"",VLOOKUP(Table311[[#This Row],[Date]],'DB Details'!$A:$Q,17))</f>
        <v>6.8874405829691066E-2</v>
      </c>
    </row>
    <row r="306" spans="1:5" x14ac:dyDescent="0.2">
      <c r="A306" s="60">
        <v>44743</v>
      </c>
      <c r="B306" s="50">
        <f>IF(VLOOKUP(Table311[[#This Row],[Date]],'DB Details'!$A:$Q,12)=0,"",VLOOKUP(Table311[[#This Row],[Date]],'DB Details'!$A:$Q,12))</f>
        <v>56.7</v>
      </c>
      <c r="C306" s="61">
        <f>IF(VLOOKUP(Table311[[#This Row],[Date]],'DB Details'!$A:$Q,16)=0,"",VLOOKUP(Table311[[#This Row],[Date]],'DB Details'!$A:$Q,16))</f>
        <v>5.5317363621841711E-2</v>
      </c>
      <c r="D306" s="61">
        <f>IF(VLOOKUP(Table311[[#This Row],[Date]],'DB Details'!$A:$Q,15)=0,"",VLOOKUP(Table311[[#This Row],[Date]],'DB Details'!$A:$Q,15))</f>
        <v>1.6790943920683761E-2</v>
      </c>
      <c r="E306" s="61">
        <f>IF(VLOOKUP(Table311[[#This Row],[Date]],'DB Details'!$A:$Q,17)=0,"",VLOOKUP(Table311[[#This Row],[Date]],'DB Details'!$A:$Q,17))</f>
        <v>6.8874405829691066E-2</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28" width="9.1640625" style="66" customWidth="1"/>
    <col min="29" max="16384" width="9.1640625" style="66"/>
  </cols>
  <sheetData>
    <row r="1" spans="1:9" x14ac:dyDescent="0.2">
      <c r="A1" s="28" t="s">
        <v>17</v>
      </c>
      <c r="I1" s="45"/>
    </row>
    <row r="2" spans="1:9" x14ac:dyDescent="0.2">
      <c r="B2" s="45"/>
      <c r="C2" s="45"/>
    </row>
    <row r="3" spans="1:9" x14ac:dyDescent="0.2">
      <c r="B3" s="45"/>
      <c r="C3" s="45"/>
    </row>
    <row r="4" spans="1:9" ht="16" customHeight="1" thickBot="1" x14ac:dyDescent="0.25">
      <c r="B4" s="45"/>
      <c r="C4" s="45"/>
    </row>
    <row r="5" spans="1:9" x14ac:dyDescent="0.2">
      <c r="A5" s="62" t="s">
        <v>79</v>
      </c>
      <c r="B5" s="63" t="s">
        <v>17</v>
      </c>
      <c r="C5" s="64" t="s">
        <v>84</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row r="300" spans="1:3" x14ac:dyDescent="0.2">
      <c r="A300" s="53">
        <v>44562</v>
      </c>
      <c r="B300" s="54">
        <f>IF(VLOOKUP(Table9[[#This Row],[Date]],'DB Details'!$A:$Q,12)=0,"",VLOOKUP(Table9[[#This Row],[Date]],'DB Details'!$A:$Q,12))</f>
        <v>59.9</v>
      </c>
      <c r="C300" s="54">
        <f>Table9[[#This Row],[ISM Services]]-B299</f>
        <v>-2.1000000000000014</v>
      </c>
    </row>
    <row r="301" spans="1:3" x14ac:dyDescent="0.2">
      <c r="A301" s="53">
        <v>44593</v>
      </c>
      <c r="B301" s="54">
        <f>IF(VLOOKUP(Table9[[#This Row],[Date]],'DB Details'!$A:$Q,12)=0,"",VLOOKUP(Table9[[#This Row],[Date]],'DB Details'!$A:$Q,12))</f>
        <v>56.5</v>
      </c>
      <c r="C301" s="54">
        <f>Table9[[#This Row],[ISM Services]]-B300</f>
        <v>-3.3999999999999986</v>
      </c>
    </row>
    <row r="302" spans="1:3" x14ac:dyDescent="0.2">
      <c r="A302" s="53">
        <v>44621</v>
      </c>
      <c r="B302" s="54">
        <f>IF(VLOOKUP(Table9[[#This Row],[Date]],'DB Details'!$A:$Q,12)=0,"",VLOOKUP(Table9[[#This Row],[Date]],'DB Details'!$A:$Q,12))</f>
        <v>58.3</v>
      </c>
      <c r="C302" s="54">
        <f>Table9[[#This Row],[ISM Services]]-B301</f>
        <v>1.7999999999999972</v>
      </c>
    </row>
    <row r="303" spans="1:3" x14ac:dyDescent="0.2">
      <c r="A303" s="53">
        <v>44652</v>
      </c>
      <c r="B303" s="54">
        <f>IF(VLOOKUP(Table9[[#This Row],[Date]],'DB Details'!$A:$Q,12)=0,"",VLOOKUP(Table9[[#This Row],[Date]],'DB Details'!$A:$Q,12))</f>
        <v>57.1</v>
      </c>
      <c r="C303" s="54">
        <f>Table9[[#This Row],[ISM Services]]-B302</f>
        <v>-1.1999999999999957</v>
      </c>
    </row>
    <row r="304" spans="1:3" x14ac:dyDescent="0.2">
      <c r="A304" s="53">
        <v>44682</v>
      </c>
      <c r="B304" s="54">
        <f>IF(VLOOKUP(Table9[[#This Row],[Date]],'DB Details'!$A:$Q,12)=0,"",VLOOKUP(Table9[[#This Row],[Date]],'DB Details'!$A:$Q,12))</f>
        <v>55.9</v>
      </c>
      <c r="C304" s="54">
        <f>Table9[[#This Row],[ISM Services]]-B303</f>
        <v>-1.2000000000000028</v>
      </c>
    </row>
    <row r="305" spans="1:3" x14ac:dyDescent="0.2">
      <c r="A305" s="53">
        <v>44713</v>
      </c>
      <c r="B305" s="54">
        <f>IF(VLOOKUP(Table9[[#This Row],[Date]],'DB Details'!$A:$Q,12)=0,"",VLOOKUP(Table9[[#This Row],[Date]],'DB Details'!$A:$Q,12))</f>
        <v>55.3</v>
      </c>
      <c r="C305" s="54">
        <f>Table9[[#This Row],[ISM Services]]-B304</f>
        <v>-0.60000000000000142</v>
      </c>
    </row>
    <row r="306" spans="1:3" x14ac:dyDescent="0.2">
      <c r="A306" s="53">
        <v>44743</v>
      </c>
      <c r="B306" s="54">
        <f>IF(VLOOKUP(Table9[[#This Row],[Date]],'DB Details'!$A:$Q,12)=0,"",VLOOKUP(Table9[[#This Row],[Date]],'DB Details'!$A:$Q,12))</f>
        <v>56.7</v>
      </c>
      <c r="C306" s="54">
        <f>Table9[[#This Row],[ISM Services]]-B305</f>
        <v>1.4000000000000057</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431"/>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x14ac:dyDescent="0.2"/>
  <cols>
    <col min="1" max="1" width="15.6640625" style="65" customWidth="1"/>
    <col min="3" max="3" width="149.5" style="65" customWidth="1"/>
  </cols>
  <sheetData>
    <row r="1" spans="1:3" x14ac:dyDescent="0.2">
      <c r="A1" t="s">
        <v>9</v>
      </c>
      <c r="B1" t="s">
        <v>79</v>
      </c>
      <c r="C1" t="s">
        <v>8</v>
      </c>
    </row>
    <row r="2" spans="1:3" x14ac:dyDescent="0.2">
      <c r="A2" t="s">
        <v>15</v>
      </c>
      <c r="B2" s="69">
        <v>44774</v>
      </c>
      <c r="C2" t="s">
        <v>85</v>
      </c>
    </row>
    <row r="3" spans="1:3" x14ac:dyDescent="0.2">
      <c r="A3" t="s">
        <v>15</v>
      </c>
      <c r="B3" s="69">
        <v>44743</v>
      </c>
      <c r="C3" t="s">
        <v>86</v>
      </c>
    </row>
    <row r="4" spans="1:3" x14ac:dyDescent="0.2">
      <c r="A4" t="s">
        <v>15</v>
      </c>
      <c r="B4" s="69">
        <v>44713</v>
      </c>
      <c r="C4" t="s">
        <v>87</v>
      </c>
    </row>
    <row r="5" spans="1:3" x14ac:dyDescent="0.2">
      <c r="A5" t="s">
        <v>15</v>
      </c>
      <c r="B5" s="69">
        <v>44682</v>
      </c>
      <c r="C5" t="s">
        <v>88</v>
      </c>
    </row>
    <row r="6" spans="1:3" x14ac:dyDescent="0.2">
      <c r="A6" t="s">
        <v>15</v>
      </c>
      <c r="B6" s="69">
        <v>44652</v>
      </c>
      <c r="C6" t="s">
        <v>89</v>
      </c>
    </row>
    <row r="7" spans="1:3" x14ac:dyDescent="0.2">
      <c r="A7" t="s">
        <v>15</v>
      </c>
      <c r="B7" s="69">
        <v>44621</v>
      </c>
      <c r="C7" t="s">
        <v>90</v>
      </c>
    </row>
    <row r="8" spans="1:3" x14ac:dyDescent="0.2">
      <c r="A8" t="s">
        <v>15</v>
      </c>
      <c r="B8" s="69">
        <v>44593</v>
      </c>
      <c r="C8" t="s">
        <v>91</v>
      </c>
    </row>
    <row r="9" spans="1:3" x14ac:dyDescent="0.2">
      <c r="A9" t="s">
        <v>15</v>
      </c>
      <c r="B9" s="69">
        <v>44562</v>
      </c>
      <c r="C9" t="s">
        <v>92</v>
      </c>
    </row>
    <row r="10" spans="1:3" x14ac:dyDescent="0.2">
      <c r="A10" t="s">
        <v>15</v>
      </c>
      <c r="B10" s="69">
        <v>44531</v>
      </c>
      <c r="C10" t="s">
        <v>93</v>
      </c>
    </row>
    <row r="11" spans="1:3" x14ac:dyDescent="0.2">
      <c r="A11" t="s">
        <v>15</v>
      </c>
      <c r="B11" s="69">
        <v>44501</v>
      </c>
      <c r="C11" t="s">
        <v>94</v>
      </c>
    </row>
    <row r="12" spans="1:3" x14ac:dyDescent="0.2">
      <c r="A12" t="s">
        <v>15</v>
      </c>
      <c r="B12" s="69">
        <v>44470</v>
      </c>
      <c r="C12" t="s">
        <v>95</v>
      </c>
    </row>
    <row r="13" spans="1:3" x14ac:dyDescent="0.2">
      <c r="A13" t="s">
        <v>15</v>
      </c>
      <c r="B13" s="69">
        <v>44440</v>
      </c>
      <c r="C13" t="s">
        <v>96</v>
      </c>
    </row>
    <row r="14" spans="1:3" x14ac:dyDescent="0.2">
      <c r="A14" t="s">
        <v>15</v>
      </c>
      <c r="B14" s="69">
        <v>44409</v>
      </c>
      <c r="C14" t="s">
        <v>97</v>
      </c>
    </row>
    <row r="15" spans="1:3" x14ac:dyDescent="0.2">
      <c r="A15" t="s">
        <v>15</v>
      </c>
      <c r="B15" s="69">
        <v>44378</v>
      </c>
      <c r="C15" t="s">
        <v>98</v>
      </c>
    </row>
    <row r="16" spans="1:3" x14ac:dyDescent="0.2">
      <c r="A16" t="s">
        <v>15</v>
      </c>
      <c r="B16" s="69">
        <v>44348</v>
      </c>
      <c r="C16" t="s">
        <v>99</v>
      </c>
    </row>
    <row r="17" spans="1:3" x14ac:dyDescent="0.2">
      <c r="A17" t="s">
        <v>15</v>
      </c>
      <c r="B17" s="69">
        <v>44317</v>
      </c>
      <c r="C17" t="s">
        <v>100</v>
      </c>
    </row>
    <row r="18" spans="1:3" x14ac:dyDescent="0.2">
      <c r="A18" t="s">
        <v>15</v>
      </c>
      <c r="B18" s="69">
        <v>44287</v>
      </c>
      <c r="C18" t="s">
        <v>101</v>
      </c>
    </row>
    <row r="19" spans="1:3" x14ac:dyDescent="0.2">
      <c r="A19" t="s">
        <v>15</v>
      </c>
      <c r="B19" s="69">
        <v>44228</v>
      </c>
      <c r="C19" t="s">
        <v>102</v>
      </c>
    </row>
    <row r="20" spans="1:3" x14ac:dyDescent="0.2">
      <c r="A20" t="s">
        <v>15</v>
      </c>
      <c r="B20" s="69">
        <v>44197</v>
      </c>
      <c r="C20" t="s">
        <v>103</v>
      </c>
    </row>
    <row r="21" spans="1:3" x14ac:dyDescent="0.2">
      <c r="A21" t="s">
        <v>15</v>
      </c>
      <c r="B21" s="69">
        <v>44166</v>
      </c>
      <c r="C21" t="s">
        <v>104</v>
      </c>
    </row>
    <row r="22" spans="1:3" x14ac:dyDescent="0.2">
      <c r="A22" t="s">
        <v>15</v>
      </c>
      <c r="B22" s="69">
        <v>44136</v>
      </c>
      <c r="C22" t="s">
        <v>105</v>
      </c>
    </row>
    <row r="23" spans="1:3" x14ac:dyDescent="0.2">
      <c r="A23" t="s">
        <v>15</v>
      </c>
      <c r="B23" s="69">
        <v>44105</v>
      </c>
      <c r="C23" t="s">
        <v>106</v>
      </c>
    </row>
    <row r="24" spans="1:3" x14ac:dyDescent="0.2">
      <c r="A24" t="s">
        <v>15</v>
      </c>
      <c r="B24" s="69">
        <v>44044</v>
      </c>
      <c r="C24" t="s">
        <v>107</v>
      </c>
    </row>
    <row r="25" spans="1:3" x14ac:dyDescent="0.2">
      <c r="A25" t="s">
        <v>15</v>
      </c>
      <c r="B25" s="69">
        <v>43983</v>
      </c>
      <c r="C25" t="s">
        <v>108</v>
      </c>
    </row>
    <row r="26" spans="1:3" x14ac:dyDescent="0.2">
      <c r="A26" t="s">
        <v>15</v>
      </c>
      <c r="B26" s="69">
        <v>43952</v>
      </c>
      <c r="C26" t="s">
        <v>109</v>
      </c>
    </row>
    <row r="27" spans="1:3" x14ac:dyDescent="0.2">
      <c r="A27" t="s">
        <v>15</v>
      </c>
      <c r="B27" s="69">
        <v>43922</v>
      </c>
      <c r="C27" t="s">
        <v>110</v>
      </c>
    </row>
    <row r="28" spans="1:3" x14ac:dyDescent="0.2">
      <c r="A28" t="s">
        <v>15</v>
      </c>
      <c r="B28" s="69">
        <v>43891</v>
      </c>
      <c r="C28" t="s">
        <v>111</v>
      </c>
    </row>
    <row r="29" spans="1:3" x14ac:dyDescent="0.2">
      <c r="A29" t="s">
        <v>15</v>
      </c>
      <c r="B29" s="69">
        <v>43831</v>
      </c>
      <c r="C29" t="s">
        <v>112</v>
      </c>
    </row>
    <row r="30" spans="1:3" x14ac:dyDescent="0.2">
      <c r="A30" t="s">
        <v>15</v>
      </c>
      <c r="B30" s="69">
        <v>43800</v>
      </c>
      <c r="C30" t="s">
        <v>113</v>
      </c>
    </row>
    <row r="31" spans="1:3" x14ac:dyDescent="0.2">
      <c r="A31" t="s">
        <v>15</v>
      </c>
      <c r="B31" s="69">
        <v>43739</v>
      </c>
      <c r="C31" t="s">
        <v>114</v>
      </c>
    </row>
    <row r="32" spans="1:3" x14ac:dyDescent="0.2">
      <c r="A32" t="s">
        <v>15</v>
      </c>
      <c r="B32" s="69">
        <v>43709</v>
      </c>
      <c r="C32" t="s">
        <v>115</v>
      </c>
    </row>
    <row r="33" spans="1:3" x14ac:dyDescent="0.2">
      <c r="A33" t="s">
        <v>15</v>
      </c>
      <c r="B33" s="69">
        <v>43678</v>
      </c>
      <c r="C33" t="s">
        <v>116</v>
      </c>
    </row>
    <row r="34" spans="1:3" x14ac:dyDescent="0.2">
      <c r="A34" t="s">
        <v>15</v>
      </c>
      <c r="B34" s="69">
        <v>43647</v>
      </c>
      <c r="C34" t="s">
        <v>117</v>
      </c>
    </row>
    <row r="35" spans="1:3" x14ac:dyDescent="0.2">
      <c r="A35" t="s">
        <v>15</v>
      </c>
      <c r="B35" s="69">
        <v>43586</v>
      </c>
      <c r="C35" t="s">
        <v>118</v>
      </c>
    </row>
    <row r="36" spans="1:3" x14ac:dyDescent="0.2">
      <c r="A36" t="s">
        <v>15</v>
      </c>
      <c r="B36" s="69">
        <v>43556</v>
      </c>
      <c r="C36" t="s">
        <v>119</v>
      </c>
    </row>
    <row r="37" spans="1:3" x14ac:dyDescent="0.2">
      <c r="A37" t="s">
        <v>15</v>
      </c>
      <c r="B37" s="69">
        <v>43525</v>
      </c>
      <c r="C37" t="s">
        <v>120</v>
      </c>
    </row>
    <row r="38" spans="1:3" x14ac:dyDescent="0.2">
      <c r="A38" t="s">
        <v>15</v>
      </c>
      <c r="B38" s="69">
        <v>43497</v>
      </c>
      <c r="C38" t="s">
        <v>121</v>
      </c>
    </row>
    <row r="39" spans="1:3" x14ac:dyDescent="0.2">
      <c r="A39" t="s">
        <v>47</v>
      </c>
      <c r="B39" s="69">
        <v>44621</v>
      </c>
      <c r="C39" t="s">
        <v>122</v>
      </c>
    </row>
    <row r="40" spans="1:3" x14ac:dyDescent="0.2">
      <c r="A40" t="s">
        <v>47</v>
      </c>
      <c r="B40" s="69">
        <v>44593</v>
      </c>
      <c r="C40" t="s">
        <v>123</v>
      </c>
    </row>
    <row r="41" spans="1:3" x14ac:dyDescent="0.2">
      <c r="A41" t="s">
        <v>47</v>
      </c>
      <c r="B41" s="69">
        <v>44562</v>
      </c>
      <c r="C41" t="s">
        <v>124</v>
      </c>
    </row>
    <row r="42" spans="1:3" x14ac:dyDescent="0.2">
      <c r="A42" t="s">
        <v>47</v>
      </c>
      <c r="B42" s="69">
        <v>44531</v>
      </c>
      <c r="C42" t="s">
        <v>125</v>
      </c>
    </row>
    <row r="43" spans="1:3" x14ac:dyDescent="0.2">
      <c r="A43" t="s">
        <v>47</v>
      </c>
      <c r="B43" s="69">
        <v>44501</v>
      </c>
      <c r="C43" t="s">
        <v>126</v>
      </c>
    </row>
    <row r="44" spans="1:3" x14ac:dyDescent="0.2">
      <c r="A44" t="s">
        <v>47</v>
      </c>
      <c r="B44" s="69">
        <v>44470</v>
      </c>
      <c r="C44" t="s">
        <v>127</v>
      </c>
    </row>
    <row r="45" spans="1:3" x14ac:dyDescent="0.2">
      <c r="A45" t="s">
        <v>47</v>
      </c>
      <c r="B45" s="69">
        <v>44409</v>
      </c>
      <c r="C45" t="s">
        <v>128</v>
      </c>
    </row>
    <row r="46" spans="1:3" x14ac:dyDescent="0.2">
      <c r="A46" t="s">
        <v>47</v>
      </c>
      <c r="B46" s="69">
        <v>44378</v>
      </c>
      <c r="C46" t="s">
        <v>129</v>
      </c>
    </row>
    <row r="47" spans="1:3" x14ac:dyDescent="0.2">
      <c r="A47" t="s">
        <v>47</v>
      </c>
      <c r="B47" s="69">
        <v>44317</v>
      </c>
      <c r="C47" t="s">
        <v>130</v>
      </c>
    </row>
    <row r="48" spans="1:3" x14ac:dyDescent="0.2">
      <c r="A48" t="s">
        <v>47</v>
      </c>
      <c r="B48" s="69">
        <v>44287</v>
      </c>
      <c r="C48" t="s">
        <v>131</v>
      </c>
    </row>
    <row r="49" spans="1:3" x14ac:dyDescent="0.2">
      <c r="A49" t="s">
        <v>47</v>
      </c>
      <c r="B49" s="69">
        <v>44075</v>
      </c>
      <c r="C49" t="s">
        <v>132</v>
      </c>
    </row>
    <row r="50" spans="1:3" x14ac:dyDescent="0.2">
      <c r="A50" t="s">
        <v>47</v>
      </c>
      <c r="B50" s="69">
        <v>43983</v>
      </c>
      <c r="C50" t="s">
        <v>133</v>
      </c>
    </row>
    <row r="51" spans="1:3" x14ac:dyDescent="0.2">
      <c r="A51" t="s">
        <v>47</v>
      </c>
      <c r="B51" s="69">
        <v>43952</v>
      </c>
      <c r="C51" t="s">
        <v>134</v>
      </c>
    </row>
    <row r="52" spans="1:3" x14ac:dyDescent="0.2">
      <c r="A52" t="s">
        <v>47</v>
      </c>
      <c r="B52" s="69">
        <v>43922</v>
      </c>
      <c r="C52" t="s">
        <v>135</v>
      </c>
    </row>
    <row r="53" spans="1:3" x14ac:dyDescent="0.2">
      <c r="A53" t="s">
        <v>47</v>
      </c>
      <c r="B53" s="69">
        <v>43770</v>
      </c>
      <c r="C53" t="s">
        <v>136</v>
      </c>
    </row>
    <row r="54" spans="1:3" x14ac:dyDescent="0.2">
      <c r="A54" t="s">
        <v>47</v>
      </c>
      <c r="B54" s="69">
        <v>43709</v>
      </c>
      <c r="C54" t="s">
        <v>137</v>
      </c>
    </row>
    <row r="55" spans="1:3" x14ac:dyDescent="0.2">
      <c r="A55" t="s">
        <v>47</v>
      </c>
      <c r="B55" s="69">
        <v>43678</v>
      </c>
      <c r="C55" t="s">
        <v>138</v>
      </c>
    </row>
    <row r="56" spans="1:3" x14ac:dyDescent="0.2">
      <c r="A56" t="s">
        <v>47</v>
      </c>
      <c r="B56" s="69">
        <v>43617</v>
      </c>
      <c r="C56" t="s">
        <v>139</v>
      </c>
    </row>
    <row r="57" spans="1:3" x14ac:dyDescent="0.2">
      <c r="A57" t="s">
        <v>47</v>
      </c>
      <c r="B57" s="69">
        <v>43556</v>
      </c>
      <c r="C57" t="s">
        <v>140</v>
      </c>
    </row>
    <row r="58" spans="1:3" x14ac:dyDescent="0.2">
      <c r="A58" t="s">
        <v>49</v>
      </c>
      <c r="B58" s="69">
        <v>44593</v>
      </c>
      <c r="C58" t="s">
        <v>141</v>
      </c>
    </row>
    <row r="59" spans="1:3" x14ac:dyDescent="0.2">
      <c r="A59" t="s">
        <v>49</v>
      </c>
      <c r="B59" s="69">
        <v>44501</v>
      </c>
      <c r="C59" t="s">
        <v>142</v>
      </c>
    </row>
    <row r="60" spans="1:3" x14ac:dyDescent="0.2">
      <c r="A60" t="s">
        <v>49</v>
      </c>
      <c r="B60" s="69">
        <v>44348</v>
      </c>
      <c r="C60" t="s">
        <v>143</v>
      </c>
    </row>
    <row r="61" spans="1:3" x14ac:dyDescent="0.2">
      <c r="A61" t="s">
        <v>49</v>
      </c>
      <c r="B61" s="69">
        <v>44317</v>
      </c>
      <c r="C61" t="s">
        <v>144</v>
      </c>
    </row>
    <row r="62" spans="1:3" x14ac:dyDescent="0.2">
      <c r="A62" t="s">
        <v>49</v>
      </c>
      <c r="B62" s="69">
        <v>44256</v>
      </c>
      <c r="C62" t="s">
        <v>145</v>
      </c>
    </row>
    <row r="63" spans="1:3" x14ac:dyDescent="0.2">
      <c r="A63" t="s">
        <v>49</v>
      </c>
      <c r="B63" s="69">
        <v>44228</v>
      </c>
      <c r="C63" t="s">
        <v>146</v>
      </c>
    </row>
    <row r="64" spans="1:3" x14ac:dyDescent="0.2">
      <c r="A64" t="s">
        <v>49</v>
      </c>
      <c r="B64" s="69">
        <v>43709</v>
      </c>
      <c r="C64" t="s">
        <v>147</v>
      </c>
    </row>
    <row r="65" spans="1:3" x14ac:dyDescent="0.2">
      <c r="A65" t="s">
        <v>49</v>
      </c>
      <c r="B65" s="69">
        <v>43586</v>
      </c>
      <c r="C65" t="s">
        <v>148</v>
      </c>
    </row>
    <row r="66" spans="1:3" x14ac:dyDescent="0.2">
      <c r="A66" t="s">
        <v>33</v>
      </c>
      <c r="B66" s="69">
        <v>44774</v>
      </c>
      <c r="C66" t="s">
        <v>149</v>
      </c>
    </row>
    <row r="67" spans="1:3" x14ac:dyDescent="0.2">
      <c r="A67" t="s">
        <v>33</v>
      </c>
      <c r="B67" s="69">
        <v>44743</v>
      </c>
      <c r="C67" t="s">
        <v>150</v>
      </c>
    </row>
    <row r="68" spans="1:3" x14ac:dyDescent="0.2">
      <c r="A68" t="s">
        <v>33</v>
      </c>
      <c r="B68" s="69">
        <v>44713</v>
      </c>
      <c r="C68" t="s">
        <v>151</v>
      </c>
    </row>
    <row r="69" spans="1:3" x14ac:dyDescent="0.2">
      <c r="A69" t="s">
        <v>33</v>
      </c>
      <c r="B69" s="69">
        <v>44682</v>
      </c>
      <c r="C69" t="s">
        <v>152</v>
      </c>
    </row>
    <row r="70" spans="1:3" x14ac:dyDescent="0.2">
      <c r="A70" t="s">
        <v>33</v>
      </c>
      <c r="B70" s="69">
        <v>44593</v>
      </c>
      <c r="C70" t="s">
        <v>153</v>
      </c>
    </row>
    <row r="71" spans="1:3" x14ac:dyDescent="0.2">
      <c r="A71" t="s">
        <v>33</v>
      </c>
      <c r="B71" s="69">
        <v>44562</v>
      </c>
      <c r="C71" t="s">
        <v>154</v>
      </c>
    </row>
    <row r="72" spans="1:3" x14ac:dyDescent="0.2">
      <c r="A72" t="s">
        <v>33</v>
      </c>
      <c r="B72" s="69">
        <v>44531</v>
      </c>
      <c r="C72" t="s">
        <v>155</v>
      </c>
    </row>
    <row r="73" spans="1:3" x14ac:dyDescent="0.2">
      <c r="A73" t="s">
        <v>33</v>
      </c>
      <c r="B73" s="69">
        <v>44501</v>
      </c>
      <c r="C73" t="s">
        <v>156</v>
      </c>
    </row>
    <row r="74" spans="1:3" x14ac:dyDescent="0.2">
      <c r="A74" t="s">
        <v>33</v>
      </c>
      <c r="B74" s="69">
        <v>44470</v>
      </c>
      <c r="C74" t="s">
        <v>157</v>
      </c>
    </row>
    <row r="75" spans="1:3" x14ac:dyDescent="0.2">
      <c r="A75" t="s">
        <v>33</v>
      </c>
      <c r="B75" s="69">
        <v>44440</v>
      </c>
      <c r="C75" t="s">
        <v>158</v>
      </c>
    </row>
    <row r="76" spans="1:3" x14ac:dyDescent="0.2">
      <c r="A76" t="s">
        <v>33</v>
      </c>
      <c r="B76" s="69">
        <v>44409</v>
      </c>
      <c r="C76" t="s">
        <v>159</v>
      </c>
    </row>
    <row r="77" spans="1:3" x14ac:dyDescent="0.2">
      <c r="A77" t="s">
        <v>33</v>
      </c>
      <c r="B77" s="69">
        <v>44378</v>
      </c>
      <c r="C77" t="s">
        <v>160</v>
      </c>
    </row>
    <row r="78" spans="1:3" x14ac:dyDescent="0.2">
      <c r="A78" t="s">
        <v>33</v>
      </c>
      <c r="B78" s="69">
        <v>44348</v>
      </c>
      <c r="C78" t="s">
        <v>161</v>
      </c>
    </row>
    <row r="79" spans="1:3" x14ac:dyDescent="0.2">
      <c r="A79" t="s">
        <v>33</v>
      </c>
      <c r="B79" s="69">
        <v>44317</v>
      </c>
      <c r="C79" t="s">
        <v>162</v>
      </c>
    </row>
    <row r="80" spans="1:3" x14ac:dyDescent="0.2">
      <c r="A80" t="s">
        <v>33</v>
      </c>
      <c r="B80" s="69">
        <v>44287</v>
      </c>
      <c r="C80" t="s">
        <v>163</v>
      </c>
    </row>
    <row r="81" spans="1:3" x14ac:dyDescent="0.2">
      <c r="A81" t="s">
        <v>33</v>
      </c>
      <c r="B81" s="69">
        <v>44256</v>
      </c>
      <c r="C81" t="s">
        <v>164</v>
      </c>
    </row>
    <row r="82" spans="1:3" x14ac:dyDescent="0.2">
      <c r="A82" t="s">
        <v>33</v>
      </c>
      <c r="B82" s="69">
        <v>44228</v>
      </c>
      <c r="C82" t="s">
        <v>165</v>
      </c>
    </row>
    <row r="83" spans="1:3" x14ac:dyDescent="0.2">
      <c r="A83" t="s">
        <v>33</v>
      </c>
      <c r="B83" s="69">
        <v>44197</v>
      </c>
      <c r="C83" t="s">
        <v>166</v>
      </c>
    </row>
    <row r="84" spans="1:3" x14ac:dyDescent="0.2">
      <c r="A84" t="s">
        <v>33</v>
      </c>
      <c r="B84" s="69">
        <v>44166</v>
      </c>
      <c r="C84" t="s">
        <v>167</v>
      </c>
    </row>
    <row r="85" spans="1:3" x14ac:dyDescent="0.2">
      <c r="A85" t="s">
        <v>33</v>
      </c>
      <c r="B85" s="69">
        <v>44136</v>
      </c>
      <c r="C85" t="s">
        <v>168</v>
      </c>
    </row>
    <row r="86" spans="1:3" x14ac:dyDescent="0.2">
      <c r="A86" t="s">
        <v>33</v>
      </c>
      <c r="B86" s="69">
        <v>44105</v>
      </c>
      <c r="C86" t="s">
        <v>169</v>
      </c>
    </row>
    <row r="87" spans="1:3" x14ac:dyDescent="0.2">
      <c r="A87" t="s">
        <v>33</v>
      </c>
      <c r="B87" s="69">
        <v>44075</v>
      </c>
      <c r="C87" t="s">
        <v>170</v>
      </c>
    </row>
    <row r="88" spans="1:3" x14ac:dyDescent="0.2">
      <c r="A88" t="s">
        <v>33</v>
      </c>
      <c r="B88" s="69">
        <v>44044</v>
      </c>
      <c r="C88" t="s">
        <v>171</v>
      </c>
    </row>
    <row r="89" spans="1:3" x14ac:dyDescent="0.2">
      <c r="A89" t="s">
        <v>33</v>
      </c>
      <c r="B89" s="69">
        <v>43983</v>
      </c>
      <c r="C89" t="s">
        <v>172</v>
      </c>
    </row>
    <row r="90" spans="1:3" x14ac:dyDescent="0.2">
      <c r="A90" t="s">
        <v>33</v>
      </c>
      <c r="B90" s="69">
        <v>43952</v>
      </c>
      <c r="C90" t="s">
        <v>173</v>
      </c>
    </row>
    <row r="91" spans="1:3" x14ac:dyDescent="0.2">
      <c r="A91" t="s">
        <v>33</v>
      </c>
      <c r="B91" s="69">
        <v>43922</v>
      </c>
      <c r="C91" t="s">
        <v>174</v>
      </c>
    </row>
    <row r="92" spans="1:3" x14ac:dyDescent="0.2">
      <c r="A92" t="s">
        <v>33</v>
      </c>
      <c r="B92" s="69">
        <v>43891</v>
      </c>
      <c r="C92" t="s">
        <v>175</v>
      </c>
    </row>
    <row r="93" spans="1:3" x14ac:dyDescent="0.2">
      <c r="A93" t="s">
        <v>33</v>
      </c>
      <c r="B93" s="69">
        <v>43862</v>
      </c>
      <c r="C93" t="s">
        <v>176</v>
      </c>
    </row>
    <row r="94" spans="1:3" x14ac:dyDescent="0.2">
      <c r="A94" t="s">
        <v>33</v>
      </c>
      <c r="B94" s="69">
        <v>43831</v>
      </c>
      <c r="C94" t="s">
        <v>177</v>
      </c>
    </row>
    <row r="95" spans="1:3" x14ac:dyDescent="0.2">
      <c r="A95" t="s">
        <v>33</v>
      </c>
      <c r="B95" s="69">
        <v>43800</v>
      </c>
      <c r="C95" t="s">
        <v>178</v>
      </c>
    </row>
    <row r="96" spans="1:3" x14ac:dyDescent="0.2">
      <c r="A96" t="s">
        <v>33</v>
      </c>
      <c r="B96" s="69">
        <v>43770</v>
      </c>
      <c r="C96" t="s">
        <v>179</v>
      </c>
    </row>
    <row r="97" spans="1:3" x14ac:dyDescent="0.2">
      <c r="A97" t="s">
        <v>33</v>
      </c>
      <c r="B97" s="69">
        <v>43739</v>
      </c>
      <c r="C97" t="s">
        <v>180</v>
      </c>
    </row>
    <row r="98" spans="1:3" x14ac:dyDescent="0.2">
      <c r="A98" t="s">
        <v>33</v>
      </c>
      <c r="B98" s="69">
        <v>43709</v>
      </c>
      <c r="C98" t="s">
        <v>181</v>
      </c>
    </row>
    <row r="99" spans="1:3" x14ac:dyDescent="0.2">
      <c r="A99" t="s">
        <v>33</v>
      </c>
      <c r="B99" s="69">
        <v>43678</v>
      </c>
      <c r="C99" t="s">
        <v>182</v>
      </c>
    </row>
    <row r="100" spans="1:3" x14ac:dyDescent="0.2">
      <c r="A100" t="s">
        <v>33</v>
      </c>
      <c r="B100" s="69">
        <v>43647</v>
      </c>
      <c r="C100" t="s">
        <v>183</v>
      </c>
    </row>
    <row r="101" spans="1:3" x14ac:dyDescent="0.2">
      <c r="A101" t="s">
        <v>33</v>
      </c>
      <c r="B101" s="69">
        <v>43617</v>
      </c>
      <c r="C101" t="s">
        <v>184</v>
      </c>
    </row>
    <row r="102" spans="1:3" x14ac:dyDescent="0.2">
      <c r="A102" t="s">
        <v>33</v>
      </c>
      <c r="B102" s="69">
        <v>43586</v>
      </c>
      <c r="C102" t="s">
        <v>185</v>
      </c>
    </row>
    <row r="103" spans="1:3" x14ac:dyDescent="0.2">
      <c r="A103" t="s">
        <v>33</v>
      </c>
      <c r="B103" s="69">
        <v>43556</v>
      </c>
      <c r="C103" t="s">
        <v>186</v>
      </c>
    </row>
    <row r="104" spans="1:3" x14ac:dyDescent="0.2">
      <c r="A104" t="s">
        <v>33</v>
      </c>
      <c r="B104" s="69">
        <v>43525</v>
      </c>
      <c r="C104" t="s">
        <v>187</v>
      </c>
    </row>
    <row r="105" spans="1:3" x14ac:dyDescent="0.2">
      <c r="A105" t="s">
        <v>33</v>
      </c>
      <c r="B105" s="69">
        <v>43497</v>
      </c>
      <c r="C105" t="s">
        <v>188</v>
      </c>
    </row>
    <row r="106" spans="1:3" x14ac:dyDescent="0.2">
      <c r="A106" t="s">
        <v>33</v>
      </c>
      <c r="B106" s="69">
        <v>43466</v>
      </c>
      <c r="C106" t="s">
        <v>189</v>
      </c>
    </row>
    <row r="107" spans="1:3" x14ac:dyDescent="0.2">
      <c r="A107" t="s">
        <v>35</v>
      </c>
      <c r="B107" s="69">
        <v>44774</v>
      </c>
      <c r="C107" t="s">
        <v>190</v>
      </c>
    </row>
    <row r="108" spans="1:3" x14ac:dyDescent="0.2">
      <c r="A108" t="s">
        <v>35</v>
      </c>
      <c r="B108" s="69">
        <v>44743</v>
      </c>
      <c r="C108" t="s">
        <v>191</v>
      </c>
    </row>
    <row r="109" spans="1:3" x14ac:dyDescent="0.2">
      <c r="A109" t="s">
        <v>35</v>
      </c>
      <c r="B109" s="69">
        <v>44713</v>
      </c>
      <c r="C109" t="s">
        <v>192</v>
      </c>
    </row>
    <row r="110" spans="1:3" x14ac:dyDescent="0.2">
      <c r="A110" t="s">
        <v>35</v>
      </c>
      <c r="B110" s="69">
        <v>44682</v>
      </c>
      <c r="C110" t="s">
        <v>193</v>
      </c>
    </row>
    <row r="111" spans="1:3" x14ac:dyDescent="0.2">
      <c r="A111" t="s">
        <v>35</v>
      </c>
      <c r="B111" s="69">
        <v>44652</v>
      </c>
      <c r="C111" t="s">
        <v>194</v>
      </c>
    </row>
    <row r="112" spans="1:3" x14ac:dyDescent="0.2">
      <c r="A112" t="s">
        <v>35</v>
      </c>
      <c r="B112" s="69">
        <v>44621</v>
      </c>
      <c r="C112" t="s">
        <v>195</v>
      </c>
    </row>
    <row r="113" spans="1:3" x14ac:dyDescent="0.2">
      <c r="A113" t="s">
        <v>35</v>
      </c>
      <c r="B113" s="69">
        <v>44593</v>
      </c>
      <c r="C113" t="s">
        <v>196</v>
      </c>
    </row>
    <row r="114" spans="1:3" x14ac:dyDescent="0.2">
      <c r="A114" t="s">
        <v>35</v>
      </c>
      <c r="B114" s="69">
        <v>44501</v>
      </c>
      <c r="C114" t="s">
        <v>197</v>
      </c>
    </row>
    <row r="115" spans="1:3" x14ac:dyDescent="0.2">
      <c r="A115" t="s">
        <v>35</v>
      </c>
      <c r="B115" s="69">
        <v>44470</v>
      </c>
      <c r="C115" t="s">
        <v>198</v>
      </c>
    </row>
    <row r="116" spans="1:3" x14ac:dyDescent="0.2">
      <c r="A116" t="s">
        <v>35</v>
      </c>
      <c r="B116" s="69">
        <v>44440</v>
      </c>
      <c r="C116" t="s">
        <v>199</v>
      </c>
    </row>
    <row r="117" spans="1:3" x14ac:dyDescent="0.2">
      <c r="A117" t="s">
        <v>35</v>
      </c>
      <c r="B117" s="69">
        <v>44409</v>
      </c>
      <c r="C117" t="s">
        <v>200</v>
      </c>
    </row>
    <row r="118" spans="1:3" x14ac:dyDescent="0.2">
      <c r="A118" t="s">
        <v>35</v>
      </c>
      <c r="B118" s="69">
        <v>44348</v>
      </c>
      <c r="C118" t="s">
        <v>201</v>
      </c>
    </row>
    <row r="119" spans="1:3" x14ac:dyDescent="0.2">
      <c r="A119" t="s">
        <v>35</v>
      </c>
      <c r="B119" s="69">
        <v>44287</v>
      </c>
      <c r="C119" t="s">
        <v>202</v>
      </c>
    </row>
    <row r="120" spans="1:3" x14ac:dyDescent="0.2">
      <c r="A120" t="s">
        <v>35</v>
      </c>
      <c r="B120" s="69">
        <v>44256</v>
      </c>
      <c r="C120" t="s">
        <v>203</v>
      </c>
    </row>
    <row r="121" spans="1:3" x14ac:dyDescent="0.2">
      <c r="A121" t="s">
        <v>35</v>
      </c>
      <c r="B121" s="69">
        <v>44228</v>
      </c>
      <c r="C121" t="s">
        <v>204</v>
      </c>
    </row>
    <row r="122" spans="1:3" x14ac:dyDescent="0.2">
      <c r="A122" t="s">
        <v>35</v>
      </c>
      <c r="B122" s="69">
        <v>44197</v>
      </c>
      <c r="C122" t="s">
        <v>205</v>
      </c>
    </row>
    <row r="123" spans="1:3" x14ac:dyDescent="0.2">
      <c r="A123" t="s">
        <v>35</v>
      </c>
      <c r="B123" s="69">
        <v>44166</v>
      </c>
      <c r="C123" t="s">
        <v>206</v>
      </c>
    </row>
    <row r="124" spans="1:3" x14ac:dyDescent="0.2">
      <c r="A124" t="s">
        <v>35</v>
      </c>
      <c r="B124" s="69">
        <v>44136</v>
      </c>
      <c r="C124" t="s">
        <v>207</v>
      </c>
    </row>
    <row r="125" spans="1:3" x14ac:dyDescent="0.2">
      <c r="A125" t="s">
        <v>35</v>
      </c>
      <c r="B125" s="69">
        <v>44105</v>
      </c>
      <c r="C125" t="s">
        <v>208</v>
      </c>
    </row>
    <row r="126" spans="1:3" x14ac:dyDescent="0.2">
      <c r="A126" t="s">
        <v>35</v>
      </c>
      <c r="B126" s="69">
        <v>44075</v>
      </c>
      <c r="C126" t="s">
        <v>209</v>
      </c>
    </row>
    <row r="127" spans="1:3" x14ac:dyDescent="0.2">
      <c r="A127" t="s">
        <v>35</v>
      </c>
      <c r="B127" s="69">
        <v>44044</v>
      </c>
      <c r="C127" t="s">
        <v>210</v>
      </c>
    </row>
    <row r="128" spans="1:3" x14ac:dyDescent="0.2">
      <c r="A128" t="s">
        <v>35</v>
      </c>
      <c r="B128" s="69">
        <v>44013</v>
      </c>
      <c r="C128" t="s">
        <v>211</v>
      </c>
    </row>
    <row r="129" spans="1:3" x14ac:dyDescent="0.2">
      <c r="A129" t="s">
        <v>35</v>
      </c>
      <c r="B129" s="69">
        <v>43983</v>
      </c>
      <c r="C129" t="s">
        <v>212</v>
      </c>
    </row>
    <row r="130" spans="1:3" x14ac:dyDescent="0.2">
      <c r="A130" t="s">
        <v>35</v>
      </c>
      <c r="B130" s="69">
        <v>43952</v>
      </c>
      <c r="C130" t="s">
        <v>213</v>
      </c>
    </row>
    <row r="131" spans="1:3" x14ac:dyDescent="0.2">
      <c r="A131" t="s">
        <v>35</v>
      </c>
      <c r="B131" s="69">
        <v>43922</v>
      </c>
      <c r="C131" t="s">
        <v>214</v>
      </c>
    </row>
    <row r="132" spans="1:3" x14ac:dyDescent="0.2">
      <c r="A132" t="s">
        <v>35</v>
      </c>
      <c r="B132" s="69">
        <v>43891</v>
      </c>
      <c r="C132" t="s">
        <v>215</v>
      </c>
    </row>
    <row r="133" spans="1:3" x14ac:dyDescent="0.2">
      <c r="A133" t="s">
        <v>44</v>
      </c>
      <c r="B133" s="69">
        <v>44593</v>
      </c>
      <c r="C133" t="s">
        <v>216</v>
      </c>
    </row>
    <row r="134" spans="1:3" x14ac:dyDescent="0.2">
      <c r="A134" t="s">
        <v>44</v>
      </c>
      <c r="B134" s="69">
        <v>44562</v>
      </c>
      <c r="C134" t="s">
        <v>217</v>
      </c>
    </row>
    <row r="135" spans="1:3" x14ac:dyDescent="0.2">
      <c r="A135" t="s">
        <v>44</v>
      </c>
      <c r="B135" s="69">
        <v>44531</v>
      </c>
      <c r="C135" t="s">
        <v>218</v>
      </c>
    </row>
    <row r="136" spans="1:3" x14ac:dyDescent="0.2">
      <c r="A136" t="s">
        <v>44</v>
      </c>
      <c r="B136" s="69">
        <v>44501</v>
      </c>
      <c r="C136" t="s">
        <v>219</v>
      </c>
    </row>
    <row r="137" spans="1:3" x14ac:dyDescent="0.2">
      <c r="A137" t="s">
        <v>44</v>
      </c>
      <c r="B137" s="69">
        <v>44440</v>
      </c>
      <c r="C137" t="s">
        <v>220</v>
      </c>
    </row>
    <row r="138" spans="1:3" x14ac:dyDescent="0.2">
      <c r="A138" t="s">
        <v>44</v>
      </c>
      <c r="B138" s="69">
        <v>44348</v>
      </c>
      <c r="C138" t="s">
        <v>221</v>
      </c>
    </row>
    <row r="139" spans="1:3" x14ac:dyDescent="0.2">
      <c r="A139" t="s">
        <v>44</v>
      </c>
      <c r="B139" s="69">
        <v>44317</v>
      </c>
      <c r="C139" t="s">
        <v>222</v>
      </c>
    </row>
    <row r="140" spans="1:3" x14ac:dyDescent="0.2">
      <c r="A140" t="s">
        <v>44</v>
      </c>
      <c r="B140" s="69">
        <v>44287</v>
      </c>
      <c r="C140" t="s">
        <v>223</v>
      </c>
    </row>
    <row r="141" spans="1:3" x14ac:dyDescent="0.2">
      <c r="A141" t="s">
        <v>44</v>
      </c>
      <c r="B141" s="69">
        <v>44256</v>
      </c>
      <c r="C141" t="s">
        <v>224</v>
      </c>
    </row>
    <row r="142" spans="1:3" x14ac:dyDescent="0.2">
      <c r="A142" t="s">
        <v>44</v>
      </c>
      <c r="B142" s="69">
        <v>44228</v>
      </c>
      <c r="C142" t="s">
        <v>225</v>
      </c>
    </row>
    <row r="143" spans="1:3" x14ac:dyDescent="0.2">
      <c r="A143" t="s">
        <v>44</v>
      </c>
      <c r="B143" s="69">
        <v>44197</v>
      </c>
      <c r="C143" t="s">
        <v>226</v>
      </c>
    </row>
    <row r="144" spans="1:3" x14ac:dyDescent="0.2">
      <c r="A144" t="s">
        <v>44</v>
      </c>
      <c r="B144" s="69">
        <v>44136</v>
      </c>
      <c r="C144" t="s">
        <v>227</v>
      </c>
    </row>
    <row r="145" spans="1:3" x14ac:dyDescent="0.2">
      <c r="A145" t="s">
        <v>44</v>
      </c>
      <c r="B145" s="69">
        <v>44105</v>
      </c>
      <c r="C145" t="s">
        <v>228</v>
      </c>
    </row>
    <row r="146" spans="1:3" x14ac:dyDescent="0.2">
      <c r="A146" t="s">
        <v>44</v>
      </c>
      <c r="B146" s="69">
        <v>44075</v>
      </c>
      <c r="C146" t="s">
        <v>229</v>
      </c>
    </row>
    <row r="147" spans="1:3" x14ac:dyDescent="0.2">
      <c r="A147" t="s">
        <v>44</v>
      </c>
      <c r="B147" s="69">
        <v>44044</v>
      </c>
      <c r="C147" t="s">
        <v>230</v>
      </c>
    </row>
    <row r="148" spans="1:3" x14ac:dyDescent="0.2">
      <c r="A148" t="s">
        <v>44</v>
      </c>
      <c r="B148" s="69">
        <v>44013</v>
      </c>
      <c r="C148" t="s">
        <v>231</v>
      </c>
    </row>
    <row r="149" spans="1:3" x14ac:dyDescent="0.2">
      <c r="A149" t="s">
        <v>44</v>
      </c>
      <c r="B149" s="69">
        <v>43983</v>
      </c>
      <c r="C149" t="s">
        <v>232</v>
      </c>
    </row>
    <row r="150" spans="1:3" x14ac:dyDescent="0.2">
      <c r="A150" t="s">
        <v>44</v>
      </c>
      <c r="B150" s="69">
        <v>43952</v>
      </c>
      <c r="C150" t="s">
        <v>233</v>
      </c>
    </row>
    <row r="151" spans="1:3" x14ac:dyDescent="0.2">
      <c r="A151" t="s">
        <v>44</v>
      </c>
      <c r="B151" s="69">
        <v>43922</v>
      </c>
      <c r="C151" t="s">
        <v>234</v>
      </c>
    </row>
    <row r="152" spans="1:3" x14ac:dyDescent="0.2">
      <c r="A152" t="s">
        <v>44</v>
      </c>
      <c r="B152" s="69">
        <v>43862</v>
      </c>
      <c r="C152" t="s">
        <v>235</v>
      </c>
    </row>
    <row r="153" spans="1:3" x14ac:dyDescent="0.2">
      <c r="A153" t="s">
        <v>44</v>
      </c>
      <c r="B153" s="69">
        <v>43831</v>
      </c>
      <c r="C153" t="s">
        <v>236</v>
      </c>
    </row>
    <row r="154" spans="1:3" x14ac:dyDescent="0.2">
      <c r="A154" t="s">
        <v>44</v>
      </c>
      <c r="B154" s="69">
        <v>43770</v>
      </c>
      <c r="C154" t="s">
        <v>237</v>
      </c>
    </row>
    <row r="155" spans="1:3" x14ac:dyDescent="0.2">
      <c r="A155" t="s">
        <v>44</v>
      </c>
      <c r="B155" s="69">
        <v>43739</v>
      </c>
      <c r="C155" t="s">
        <v>238</v>
      </c>
    </row>
    <row r="156" spans="1:3" x14ac:dyDescent="0.2">
      <c r="A156" t="s">
        <v>44</v>
      </c>
      <c r="B156" s="69">
        <v>43709</v>
      </c>
      <c r="C156" t="s">
        <v>239</v>
      </c>
    </row>
    <row r="157" spans="1:3" x14ac:dyDescent="0.2">
      <c r="A157" t="s">
        <v>44</v>
      </c>
      <c r="B157" s="69">
        <v>43678</v>
      </c>
      <c r="C157" t="s">
        <v>240</v>
      </c>
    </row>
    <row r="158" spans="1:3" x14ac:dyDescent="0.2">
      <c r="A158" t="s">
        <v>44</v>
      </c>
      <c r="B158" s="69">
        <v>43586</v>
      </c>
      <c r="C158" t="s">
        <v>241</v>
      </c>
    </row>
    <row r="159" spans="1:3" x14ac:dyDescent="0.2">
      <c r="A159" t="s">
        <v>44</v>
      </c>
      <c r="B159" s="69">
        <v>43497</v>
      </c>
      <c r="C159" t="s">
        <v>242</v>
      </c>
    </row>
    <row r="160" spans="1:3" x14ac:dyDescent="0.2">
      <c r="A160" t="s">
        <v>45</v>
      </c>
      <c r="B160" s="69">
        <v>44743</v>
      </c>
      <c r="C160" t="s">
        <v>243</v>
      </c>
    </row>
    <row r="161" spans="1:3" x14ac:dyDescent="0.2">
      <c r="A161" t="s">
        <v>45</v>
      </c>
      <c r="B161" s="69">
        <v>44713</v>
      </c>
      <c r="C161" t="s">
        <v>244</v>
      </c>
    </row>
    <row r="162" spans="1:3" x14ac:dyDescent="0.2">
      <c r="A162" t="s">
        <v>45</v>
      </c>
      <c r="B162" s="69">
        <v>44652</v>
      </c>
      <c r="C162" t="s">
        <v>245</v>
      </c>
    </row>
    <row r="163" spans="1:3" x14ac:dyDescent="0.2">
      <c r="A163" t="s">
        <v>45</v>
      </c>
      <c r="B163" s="69">
        <v>44621</v>
      </c>
      <c r="C163" t="s">
        <v>246</v>
      </c>
    </row>
    <row r="164" spans="1:3" x14ac:dyDescent="0.2">
      <c r="A164" t="s">
        <v>45</v>
      </c>
      <c r="B164" s="69">
        <v>44593</v>
      </c>
      <c r="C164" t="s">
        <v>247</v>
      </c>
    </row>
    <row r="165" spans="1:3" x14ac:dyDescent="0.2">
      <c r="A165" t="s">
        <v>45</v>
      </c>
      <c r="B165" s="69">
        <v>44531</v>
      </c>
      <c r="C165" t="s">
        <v>248</v>
      </c>
    </row>
    <row r="166" spans="1:3" x14ac:dyDescent="0.2">
      <c r="A166" t="s">
        <v>45</v>
      </c>
      <c r="B166" s="69">
        <v>44501</v>
      </c>
      <c r="C166" t="s">
        <v>249</v>
      </c>
    </row>
    <row r="167" spans="1:3" x14ac:dyDescent="0.2">
      <c r="A167" t="s">
        <v>45</v>
      </c>
      <c r="B167" s="69">
        <v>44470</v>
      </c>
      <c r="C167" t="s">
        <v>250</v>
      </c>
    </row>
    <row r="168" spans="1:3" x14ac:dyDescent="0.2">
      <c r="A168" t="s">
        <v>45</v>
      </c>
      <c r="B168" s="69">
        <v>44440</v>
      </c>
      <c r="C168" t="s">
        <v>251</v>
      </c>
    </row>
    <row r="169" spans="1:3" x14ac:dyDescent="0.2">
      <c r="A169" t="s">
        <v>45</v>
      </c>
      <c r="B169" s="69">
        <v>44409</v>
      </c>
      <c r="C169" t="s">
        <v>252</v>
      </c>
    </row>
    <row r="170" spans="1:3" x14ac:dyDescent="0.2">
      <c r="A170" t="s">
        <v>45</v>
      </c>
      <c r="B170" s="69">
        <v>44378</v>
      </c>
      <c r="C170" t="s">
        <v>253</v>
      </c>
    </row>
    <row r="171" spans="1:3" x14ac:dyDescent="0.2">
      <c r="A171" t="s">
        <v>45</v>
      </c>
      <c r="B171" s="69">
        <v>44348</v>
      </c>
      <c r="C171" t="s">
        <v>254</v>
      </c>
    </row>
    <row r="172" spans="1:3" x14ac:dyDescent="0.2">
      <c r="A172" t="s">
        <v>45</v>
      </c>
      <c r="B172" s="69">
        <v>44317</v>
      </c>
      <c r="C172" t="s">
        <v>255</v>
      </c>
    </row>
    <row r="173" spans="1:3" x14ac:dyDescent="0.2">
      <c r="A173" t="s">
        <v>45</v>
      </c>
      <c r="B173" s="69">
        <v>44287</v>
      </c>
      <c r="C173" t="s">
        <v>256</v>
      </c>
    </row>
    <row r="174" spans="1:3" x14ac:dyDescent="0.2">
      <c r="A174" t="s">
        <v>45</v>
      </c>
      <c r="B174" s="69">
        <v>44256</v>
      </c>
      <c r="C174" t="s">
        <v>257</v>
      </c>
    </row>
    <row r="175" spans="1:3" x14ac:dyDescent="0.2">
      <c r="A175" t="s">
        <v>45</v>
      </c>
      <c r="B175" s="69">
        <v>44228</v>
      </c>
      <c r="C175" t="s">
        <v>258</v>
      </c>
    </row>
    <row r="176" spans="1:3" x14ac:dyDescent="0.2">
      <c r="A176" t="s">
        <v>45</v>
      </c>
      <c r="B176" s="69">
        <v>44197</v>
      </c>
      <c r="C176" t="s">
        <v>259</v>
      </c>
    </row>
    <row r="177" spans="1:3" x14ac:dyDescent="0.2">
      <c r="A177" t="s">
        <v>45</v>
      </c>
      <c r="B177" s="69">
        <v>44166</v>
      </c>
      <c r="C177" t="s">
        <v>260</v>
      </c>
    </row>
    <row r="178" spans="1:3" x14ac:dyDescent="0.2">
      <c r="A178" t="s">
        <v>45</v>
      </c>
      <c r="B178" s="69">
        <v>44105</v>
      </c>
      <c r="C178" t="s">
        <v>261</v>
      </c>
    </row>
    <row r="179" spans="1:3" x14ac:dyDescent="0.2">
      <c r="A179" t="s">
        <v>45</v>
      </c>
      <c r="B179" s="69">
        <v>44075</v>
      </c>
      <c r="C179" t="s">
        <v>262</v>
      </c>
    </row>
    <row r="180" spans="1:3" x14ac:dyDescent="0.2">
      <c r="A180" t="s">
        <v>45</v>
      </c>
      <c r="B180" s="69">
        <v>44044</v>
      </c>
      <c r="C180" t="s">
        <v>263</v>
      </c>
    </row>
    <row r="181" spans="1:3" x14ac:dyDescent="0.2">
      <c r="A181" t="s">
        <v>45</v>
      </c>
      <c r="B181" s="69">
        <v>44013</v>
      </c>
      <c r="C181" t="s">
        <v>264</v>
      </c>
    </row>
    <row r="182" spans="1:3" x14ac:dyDescent="0.2">
      <c r="A182" t="s">
        <v>45</v>
      </c>
      <c r="B182" s="69">
        <v>43983</v>
      </c>
      <c r="C182" t="s">
        <v>265</v>
      </c>
    </row>
    <row r="183" spans="1:3" x14ac:dyDescent="0.2">
      <c r="A183" t="s">
        <v>45</v>
      </c>
      <c r="B183" s="69">
        <v>43952</v>
      </c>
      <c r="C183" t="s">
        <v>266</v>
      </c>
    </row>
    <row r="184" spans="1:3" x14ac:dyDescent="0.2">
      <c r="A184" t="s">
        <v>45</v>
      </c>
      <c r="B184" s="69">
        <v>43922</v>
      </c>
      <c r="C184" t="s">
        <v>267</v>
      </c>
    </row>
    <row r="185" spans="1:3" x14ac:dyDescent="0.2">
      <c r="A185" t="s">
        <v>45</v>
      </c>
      <c r="B185" s="69">
        <v>43891</v>
      </c>
      <c r="C185" t="s">
        <v>268</v>
      </c>
    </row>
    <row r="186" spans="1:3" x14ac:dyDescent="0.2">
      <c r="A186" t="s">
        <v>45</v>
      </c>
      <c r="B186" s="69">
        <v>43862</v>
      </c>
      <c r="C186" t="s">
        <v>269</v>
      </c>
    </row>
    <row r="187" spans="1:3" x14ac:dyDescent="0.2">
      <c r="A187" t="s">
        <v>45</v>
      </c>
      <c r="B187" s="69">
        <v>43831</v>
      </c>
      <c r="C187" t="s">
        <v>270</v>
      </c>
    </row>
    <row r="188" spans="1:3" x14ac:dyDescent="0.2">
      <c r="A188" t="s">
        <v>45</v>
      </c>
      <c r="B188" s="69">
        <v>43770</v>
      </c>
      <c r="C188" t="s">
        <v>271</v>
      </c>
    </row>
    <row r="189" spans="1:3" x14ac:dyDescent="0.2">
      <c r="A189" t="s">
        <v>45</v>
      </c>
      <c r="B189" s="69">
        <v>43709</v>
      </c>
      <c r="C189" t="s">
        <v>272</v>
      </c>
    </row>
    <row r="190" spans="1:3" x14ac:dyDescent="0.2">
      <c r="A190" t="s">
        <v>45</v>
      </c>
      <c r="B190" s="69">
        <v>43647</v>
      </c>
      <c r="C190" t="s">
        <v>273</v>
      </c>
    </row>
    <row r="191" spans="1:3" x14ac:dyDescent="0.2">
      <c r="A191" t="s">
        <v>45</v>
      </c>
      <c r="B191" s="69">
        <v>43617</v>
      </c>
      <c r="C191" t="s">
        <v>274</v>
      </c>
    </row>
    <row r="192" spans="1:3" x14ac:dyDescent="0.2">
      <c r="A192" t="s">
        <v>45</v>
      </c>
      <c r="B192" s="69">
        <v>43586</v>
      </c>
      <c r="C192" t="s">
        <v>275</v>
      </c>
    </row>
    <row r="193" spans="1:3" x14ac:dyDescent="0.2">
      <c r="A193" t="s">
        <v>45</v>
      </c>
      <c r="B193" s="69">
        <v>43556</v>
      </c>
      <c r="C193" t="s">
        <v>276</v>
      </c>
    </row>
    <row r="194" spans="1:3" x14ac:dyDescent="0.2">
      <c r="A194" t="s">
        <v>45</v>
      </c>
      <c r="B194" s="69">
        <v>43525</v>
      </c>
      <c r="C194" t="s">
        <v>277</v>
      </c>
    </row>
    <row r="195" spans="1:3" x14ac:dyDescent="0.2">
      <c r="A195" t="s">
        <v>45</v>
      </c>
      <c r="B195" s="69">
        <v>43497</v>
      </c>
      <c r="C195" t="s">
        <v>278</v>
      </c>
    </row>
    <row r="196" spans="1:3" x14ac:dyDescent="0.2">
      <c r="A196" t="s">
        <v>37</v>
      </c>
      <c r="B196" s="69">
        <v>44713</v>
      </c>
      <c r="C196" t="s">
        <v>279</v>
      </c>
    </row>
    <row r="197" spans="1:3" x14ac:dyDescent="0.2">
      <c r="A197" t="s">
        <v>37</v>
      </c>
      <c r="B197" s="69">
        <v>44682</v>
      </c>
      <c r="C197" t="s">
        <v>280</v>
      </c>
    </row>
    <row r="198" spans="1:3" x14ac:dyDescent="0.2">
      <c r="A198" t="s">
        <v>37</v>
      </c>
      <c r="B198" s="69">
        <v>44652</v>
      </c>
      <c r="C198" t="s">
        <v>281</v>
      </c>
    </row>
    <row r="199" spans="1:3" x14ac:dyDescent="0.2">
      <c r="A199" t="s">
        <v>37</v>
      </c>
      <c r="B199" s="69">
        <v>44621</v>
      </c>
      <c r="C199" t="s">
        <v>282</v>
      </c>
    </row>
    <row r="200" spans="1:3" x14ac:dyDescent="0.2">
      <c r="A200" t="s">
        <v>37</v>
      </c>
      <c r="B200" s="69">
        <v>44593</v>
      </c>
      <c r="C200" t="s">
        <v>283</v>
      </c>
    </row>
    <row r="201" spans="1:3" x14ac:dyDescent="0.2">
      <c r="A201" t="s">
        <v>37</v>
      </c>
      <c r="B201" s="69">
        <v>44562</v>
      </c>
      <c r="C201" t="s">
        <v>284</v>
      </c>
    </row>
    <row r="202" spans="1:3" x14ac:dyDescent="0.2">
      <c r="A202" t="s">
        <v>37</v>
      </c>
      <c r="B202" s="69">
        <v>44531</v>
      </c>
      <c r="C202" t="s">
        <v>285</v>
      </c>
    </row>
    <row r="203" spans="1:3" x14ac:dyDescent="0.2">
      <c r="A203" t="s">
        <v>37</v>
      </c>
      <c r="B203" s="69">
        <v>44470</v>
      </c>
      <c r="C203" t="s">
        <v>286</v>
      </c>
    </row>
    <row r="204" spans="1:3" x14ac:dyDescent="0.2">
      <c r="A204" t="s">
        <v>37</v>
      </c>
      <c r="B204" s="69">
        <v>44440</v>
      </c>
      <c r="C204" t="s">
        <v>287</v>
      </c>
    </row>
    <row r="205" spans="1:3" x14ac:dyDescent="0.2">
      <c r="A205" t="s">
        <v>37</v>
      </c>
      <c r="B205" s="69">
        <v>44409</v>
      </c>
      <c r="C205" t="s">
        <v>288</v>
      </c>
    </row>
    <row r="206" spans="1:3" x14ac:dyDescent="0.2">
      <c r="A206" t="s">
        <v>37</v>
      </c>
      <c r="B206" s="69">
        <v>44348</v>
      </c>
      <c r="C206" t="s">
        <v>289</v>
      </c>
    </row>
    <row r="207" spans="1:3" x14ac:dyDescent="0.2">
      <c r="A207" t="s">
        <v>37</v>
      </c>
      <c r="B207" s="69">
        <v>44287</v>
      </c>
      <c r="C207" t="s">
        <v>290</v>
      </c>
    </row>
    <row r="208" spans="1:3" x14ac:dyDescent="0.2">
      <c r="A208" t="s">
        <v>37</v>
      </c>
      <c r="B208" s="69">
        <v>44256</v>
      </c>
      <c r="C208" t="s">
        <v>291</v>
      </c>
    </row>
    <row r="209" spans="1:3" x14ac:dyDescent="0.2">
      <c r="A209" t="s">
        <v>37</v>
      </c>
      <c r="B209" s="69">
        <v>44228</v>
      </c>
      <c r="C209" t="s">
        <v>292</v>
      </c>
    </row>
    <row r="210" spans="1:3" x14ac:dyDescent="0.2">
      <c r="A210" t="s">
        <v>37</v>
      </c>
      <c r="B210" s="69">
        <v>44197</v>
      </c>
      <c r="C210" t="s">
        <v>293</v>
      </c>
    </row>
    <row r="211" spans="1:3" x14ac:dyDescent="0.2">
      <c r="A211" t="s">
        <v>37</v>
      </c>
      <c r="B211" s="69">
        <v>44136</v>
      </c>
      <c r="C211" t="s">
        <v>294</v>
      </c>
    </row>
    <row r="212" spans="1:3" x14ac:dyDescent="0.2">
      <c r="A212" t="s">
        <v>37</v>
      </c>
      <c r="B212" s="69">
        <v>44105</v>
      </c>
      <c r="C212" t="s">
        <v>295</v>
      </c>
    </row>
    <row r="213" spans="1:3" x14ac:dyDescent="0.2">
      <c r="A213" t="s">
        <v>37</v>
      </c>
      <c r="B213" s="69">
        <v>44044</v>
      </c>
      <c r="C213" t="s">
        <v>296</v>
      </c>
    </row>
    <row r="214" spans="1:3" x14ac:dyDescent="0.2">
      <c r="A214" t="s">
        <v>37</v>
      </c>
      <c r="B214" s="69">
        <v>43983</v>
      </c>
      <c r="C214" t="s">
        <v>297</v>
      </c>
    </row>
    <row r="215" spans="1:3" x14ac:dyDescent="0.2">
      <c r="A215" t="s">
        <v>37</v>
      </c>
      <c r="B215" s="69">
        <v>43952</v>
      </c>
      <c r="C215" t="s">
        <v>298</v>
      </c>
    </row>
    <row r="216" spans="1:3" x14ac:dyDescent="0.2">
      <c r="A216" t="s">
        <v>37</v>
      </c>
      <c r="B216" s="69">
        <v>43891</v>
      </c>
      <c r="C216" t="s">
        <v>299</v>
      </c>
    </row>
    <row r="217" spans="1:3" x14ac:dyDescent="0.2">
      <c r="A217" t="s">
        <v>37</v>
      </c>
      <c r="B217" s="69">
        <v>43800</v>
      </c>
      <c r="C217" t="s">
        <v>300</v>
      </c>
    </row>
    <row r="218" spans="1:3" x14ac:dyDescent="0.2">
      <c r="A218" t="s">
        <v>37</v>
      </c>
      <c r="B218" s="69">
        <v>43709</v>
      </c>
      <c r="C218" t="s">
        <v>301</v>
      </c>
    </row>
    <row r="219" spans="1:3" x14ac:dyDescent="0.2">
      <c r="A219" t="s">
        <v>37</v>
      </c>
      <c r="B219" s="69">
        <v>43647</v>
      </c>
      <c r="C219" t="s">
        <v>302</v>
      </c>
    </row>
    <row r="220" spans="1:3" x14ac:dyDescent="0.2">
      <c r="A220" t="s">
        <v>37</v>
      </c>
      <c r="B220" s="69">
        <v>43586</v>
      </c>
      <c r="C220" t="s">
        <v>303</v>
      </c>
    </row>
    <row r="221" spans="1:3" x14ac:dyDescent="0.2">
      <c r="A221" t="s">
        <v>21</v>
      </c>
      <c r="B221" s="69">
        <v>44774</v>
      </c>
      <c r="C221" t="s">
        <v>304</v>
      </c>
    </row>
    <row r="222" spans="1:3" x14ac:dyDescent="0.2">
      <c r="A222" t="s">
        <v>21</v>
      </c>
      <c r="B222" s="69">
        <v>44743</v>
      </c>
      <c r="C222" t="s">
        <v>305</v>
      </c>
    </row>
    <row r="223" spans="1:3" x14ac:dyDescent="0.2">
      <c r="A223" t="s">
        <v>21</v>
      </c>
      <c r="B223" s="69">
        <v>44682</v>
      </c>
      <c r="C223" t="s">
        <v>306</v>
      </c>
    </row>
    <row r="224" spans="1:3" x14ac:dyDescent="0.2">
      <c r="A224" t="s">
        <v>21</v>
      </c>
      <c r="B224" s="69">
        <v>44652</v>
      </c>
      <c r="C224" t="s">
        <v>307</v>
      </c>
    </row>
    <row r="225" spans="1:3" x14ac:dyDescent="0.2">
      <c r="A225" t="s">
        <v>21</v>
      </c>
      <c r="B225" s="69">
        <v>44621</v>
      </c>
      <c r="C225" t="s">
        <v>308</v>
      </c>
    </row>
    <row r="226" spans="1:3" x14ac:dyDescent="0.2">
      <c r="A226" t="s">
        <v>21</v>
      </c>
      <c r="B226" s="69">
        <v>44501</v>
      </c>
      <c r="C226" t="s">
        <v>309</v>
      </c>
    </row>
    <row r="227" spans="1:3" x14ac:dyDescent="0.2">
      <c r="A227" t="s">
        <v>21</v>
      </c>
      <c r="B227" s="69">
        <v>44470</v>
      </c>
      <c r="C227" t="s">
        <v>310</v>
      </c>
    </row>
    <row r="228" spans="1:3" x14ac:dyDescent="0.2">
      <c r="A228" t="s">
        <v>21</v>
      </c>
      <c r="B228" s="69">
        <v>44440</v>
      </c>
      <c r="C228" t="s">
        <v>311</v>
      </c>
    </row>
    <row r="229" spans="1:3" x14ac:dyDescent="0.2">
      <c r="A229" t="s">
        <v>21</v>
      </c>
      <c r="B229" s="69">
        <v>44409</v>
      </c>
      <c r="C229" t="s">
        <v>312</v>
      </c>
    </row>
    <row r="230" spans="1:3" x14ac:dyDescent="0.2">
      <c r="A230" t="s">
        <v>21</v>
      </c>
      <c r="B230" s="69">
        <v>44378</v>
      </c>
      <c r="C230" t="s">
        <v>313</v>
      </c>
    </row>
    <row r="231" spans="1:3" x14ac:dyDescent="0.2">
      <c r="A231" t="s">
        <v>21</v>
      </c>
      <c r="B231" s="69">
        <v>44317</v>
      </c>
      <c r="C231" t="s">
        <v>314</v>
      </c>
    </row>
    <row r="232" spans="1:3" x14ac:dyDescent="0.2">
      <c r="A232" t="s">
        <v>21</v>
      </c>
      <c r="B232" s="69">
        <v>44136</v>
      </c>
      <c r="C232" t="s">
        <v>315</v>
      </c>
    </row>
    <row r="233" spans="1:3" x14ac:dyDescent="0.2">
      <c r="A233" t="s">
        <v>21</v>
      </c>
      <c r="B233" s="69">
        <v>44013</v>
      </c>
      <c r="C233" t="s">
        <v>316</v>
      </c>
    </row>
    <row r="234" spans="1:3" x14ac:dyDescent="0.2">
      <c r="A234" t="s">
        <v>21</v>
      </c>
      <c r="B234" s="69">
        <v>43922</v>
      </c>
      <c r="C234" t="s">
        <v>317</v>
      </c>
    </row>
    <row r="235" spans="1:3" x14ac:dyDescent="0.2">
      <c r="A235" t="s">
        <v>21</v>
      </c>
      <c r="B235" s="69">
        <v>43891</v>
      </c>
      <c r="C235" t="s">
        <v>318</v>
      </c>
    </row>
    <row r="236" spans="1:3" x14ac:dyDescent="0.2">
      <c r="A236" t="s">
        <v>21</v>
      </c>
      <c r="B236" s="69">
        <v>43862</v>
      </c>
      <c r="C236" t="s">
        <v>319</v>
      </c>
    </row>
    <row r="237" spans="1:3" x14ac:dyDescent="0.2">
      <c r="A237" t="s">
        <v>21</v>
      </c>
      <c r="B237" s="69">
        <v>43831</v>
      </c>
      <c r="C237" t="s">
        <v>320</v>
      </c>
    </row>
    <row r="238" spans="1:3" x14ac:dyDescent="0.2">
      <c r="A238" t="s">
        <v>21</v>
      </c>
      <c r="B238" s="69">
        <v>43800</v>
      </c>
      <c r="C238" t="s">
        <v>321</v>
      </c>
    </row>
    <row r="239" spans="1:3" x14ac:dyDescent="0.2">
      <c r="A239" t="s">
        <v>21</v>
      </c>
      <c r="B239" s="69">
        <v>43770</v>
      </c>
      <c r="C239" t="s">
        <v>322</v>
      </c>
    </row>
    <row r="240" spans="1:3" x14ac:dyDescent="0.2">
      <c r="A240" t="s">
        <v>21</v>
      </c>
      <c r="B240" s="69">
        <v>43709</v>
      </c>
      <c r="C240" t="s">
        <v>323</v>
      </c>
    </row>
    <row r="241" spans="1:3" x14ac:dyDescent="0.2">
      <c r="A241" t="s">
        <v>21</v>
      </c>
      <c r="B241" s="69">
        <v>43678</v>
      </c>
      <c r="C241" t="s">
        <v>324</v>
      </c>
    </row>
    <row r="242" spans="1:3" x14ac:dyDescent="0.2">
      <c r="A242" t="s">
        <v>21</v>
      </c>
      <c r="B242" s="69">
        <v>43647</v>
      </c>
      <c r="C242" t="s">
        <v>325</v>
      </c>
    </row>
    <row r="243" spans="1:3" x14ac:dyDescent="0.2">
      <c r="A243" t="s">
        <v>21</v>
      </c>
      <c r="B243" s="69">
        <v>43617</v>
      </c>
      <c r="C243" t="s">
        <v>326</v>
      </c>
    </row>
    <row r="244" spans="1:3" x14ac:dyDescent="0.2">
      <c r="A244" t="s">
        <v>21</v>
      </c>
      <c r="B244" s="69">
        <v>43556</v>
      </c>
      <c r="C244" t="s">
        <v>327</v>
      </c>
    </row>
    <row r="245" spans="1:3" x14ac:dyDescent="0.2">
      <c r="A245" t="s">
        <v>21</v>
      </c>
      <c r="B245" s="69">
        <v>43525</v>
      </c>
      <c r="C245" t="s">
        <v>328</v>
      </c>
    </row>
    <row r="246" spans="1:3" x14ac:dyDescent="0.2">
      <c r="A246" t="s">
        <v>21</v>
      </c>
      <c r="B246" s="69">
        <v>43497</v>
      </c>
      <c r="C246" t="s">
        <v>329</v>
      </c>
    </row>
    <row r="247" spans="1:3" x14ac:dyDescent="0.2">
      <c r="A247" t="s">
        <v>21</v>
      </c>
      <c r="B247" s="69">
        <v>43466</v>
      </c>
      <c r="C247" t="s">
        <v>330</v>
      </c>
    </row>
    <row r="248" spans="1:3" x14ac:dyDescent="0.2">
      <c r="A248" t="s">
        <v>18</v>
      </c>
      <c r="B248" s="69">
        <v>44713</v>
      </c>
      <c r="C248" t="s">
        <v>331</v>
      </c>
    </row>
    <row r="249" spans="1:3" x14ac:dyDescent="0.2">
      <c r="A249" t="s">
        <v>18</v>
      </c>
      <c r="B249" s="69">
        <v>44409</v>
      </c>
      <c r="C249" t="s">
        <v>332</v>
      </c>
    </row>
    <row r="250" spans="1:3" x14ac:dyDescent="0.2">
      <c r="A250" t="s">
        <v>18</v>
      </c>
      <c r="B250" s="69">
        <v>44348</v>
      </c>
      <c r="C250" t="s">
        <v>333</v>
      </c>
    </row>
    <row r="251" spans="1:3" x14ac:dyDescent="0.2">
      <c r="A251" t="s">
        <v>18</v>
      </c>
      <c r="B251" s="69">
        <v>44317</v>
      </c>
      <c r="C251" t="s">
        <v>334</v>
      </c>
    </row>
    <row r="252" spans="1:3" x14ac:dyDescent="0.2">
      <c r="A252" t="s">
        <v>18</v>
      </c>
      <c r="B252" s="69">
        <v>44256</v>
      </c>
      <c r="C252" t="s">
        <v>335</v>
      </c>
    </row>
    <row r="253" spans="1:3" x14ac:dyDescent="0.2">
      <c r="A253" t="s">
        <v>18</v>
      </c>
      <c r="B253" s="69">
        <v>44197</v>
      </c>
      <c r="C253" t="s">
        <v>336</v>
      </c>
    </row>
    <row r="254" spans="1:3" x14ac:dyDescent="0.2">
      <c r="A254" t="s">
        <v>18</v>
      </c>
      <c r="B254" s="69">
        <v>44136</v>
      </c>
      <c r="C254" t="s">
        <v>337</v>
      </c>
    </row>
    <row r="255" spans="1:3" x14ac:dyDescent="0.2">
      <c r="A255" t="s">
        <v>18</v>
      </c>
      <c r="B255" s="69">
        <v>44075</v>
      </c>
      <c r="C255" t="s">
        <v>338</v>
      </c>
    </row>
    <row r="256" spans="1:3" x14ac:dyDescent="0.2">
      <c r="A256" t="s">
        <v>18</v>
      </c>
      <c r="B256" s="69">
        <v>43983</v>
      </c>
      <c r="C256" t="s">
        <v>339</v>
      </c>
    </row>
    <row r="257" spans="1:3" x14ac:dyDescent="0.2">
      <c r="A257" t="s">
        <v>18</v>
      </c>
      <c r="B257" s="69">
        <v>43891</v>
      </c>
      <c r="C257" t="s">
        <v>340</v>
      </c>
    </row>
    <row r="258" spans="1:3" x14ac:dyDescent="0.2">
      <c r="A258" t="s">
        <v>18</v>
      </c>
      <c r="B258" s="69">
        <v>43862</v>
      </c>
      <c r="C258" t="s">
        <v>341</v>
      </c>
    </row>
    <row r="259" spans="1:3" x14ac:dyDescent="0.2">
      <c r="A259" t="s">
        <v>18</v>
      </c>
      <c r="B259" s="69">
        <v>43800</v>
      </c>
      <c r="C259" t="s">
        <v>342</v>
      </c>
    </row>
    <row r="260" spans="1:3" x14ac:dyDescent="0.2">
      <c r="A260" t="s">
        <v>18</v>
      </c>
      <c r="B260" s="69">
        <v>43739</v>
      </c>
      <c r="C260" t="s">
        <v>343</v>
      </c>
    </row>
    <row r="261" spans="1:3" x14ac:dyDescent="0.2">
      <c r="A261" t="s">
        <v>18</v>
      </c>
      <c r="B261" s="69">
        <v>43647</v>
      </c>
      <c r="C261" t="s">
        <v>344</v>
      </c>
    </row>
    <row r="262" spans="1:3" x14ac:dyDescent="0.2">
      <c r="A262" t="s">
        <v>18</v>
      </c>
      <c r="B262" s="69">
        <v>43586</v>
      </c>
      <c r="C262" t="s">
        <v>345</v>
      </c>
    </row>
    <row r="263" spans="1:3" x14ac:dyDescent="0.2">
      <c r="A263" t="s">
        <v>18</v>
      </c>
      <c r="B263" s="69">
        <v>43556</v>
      </c>
      <c r="C263" t="s">
        <v>346</v>
      </c>
    </row>
    <row r="264" spans="1:3" x14ac:dyDescent="0.2">
      <c r="A264" t="s">
        <v>18</v>
      </c>
      <c r="B264" s="69">
        <v>43525</v>
      </c>
      <c r="C264" t="s">
        <v>347</v>
      </c>
    </row>
    <row r="265" spans="1:3" x14ac:dyDescent="0.2">
      <c r="A265" t="s">
        <v>18</v>
      </c>
      <c r="B265" s="69">
        <v>43497</v>
      </c>
      <c r="C265" t="s">
        <v>348</v>
      </c>
    </row>
    <row r="266" spans="1:3" x14ac:dyDescent="0.2">
      <c r="A266" t="s">
        <v>24</v>
      </c>
      <c r="B266" s="69">
        <v>44562</v>
      </c>
      <c r="C266" t="s">
        <v>349</v>
      </c>
    </row>
    <row r="267" spans="1:3" x14ac:dyDescent="0.2">
      <c r="A267" t="s">
        <v>24</v>
      </c>
      <c r="B267" s="69">
        <v>44531</v>
      </c>
      <c r="C267" t="s">
        <v>350</v>
      </c>
    </row>
    <row r="268" spans="1:3" x14ac:dyDescent="0.2">
      <c r="A268" t="s">
        <v>24</v>
      </c>
      <c r="B268" s="69">
        <v>44197</v>
      </c>
      <c r="C268" t="s">
        <v>351</v>
      </c>
    </row>
    <row r="269" spans="1:3" x14ac:dyDescent="0.2">
      <c r="A269" t="s">
        <v>24</v>
      </c>
      <c r="B269" s="69">
        <v>43983</v>
      </c>
      <c r="C269" t="s">
        <v>352</v>
      </c>
    </row>
    <row r="270" spans="1:3" x14ac:dyDescent="0.2">
      <c r="A270" t="s">
        <v>24</v>
      </c>
      <c r="B270" s="69">
        <v>43770</v>
      </c>
      <c r="C270" t="s">
        <v>353</v>
      </c>
    </row>
    <row r="271" spans="1:3" x14ac:dyDescent="0.2">
      <c r="A271" t="s">
        <v>46</v>
      </c>
      <c r="B271" s="69">
        <v>44774</v>
      </c>
      <c r="C271" t="s">
        <v>354</v>
      </c>
    </row>
    <row r="272" spans="1:3" x14ac:dyDescent="0.2">
      <c r="A272" t="s">
        <v>46</v>
      </c>
      <c r="B272" s="69">
        <v>44743</v>
      </c>
      <c r="C272" t="s">
        <v>355</v>
      </c>
    </row>
    <row r="273" spans="1:3" x14ac:dyDescent="0.2">
      <c r="A273" t="s">
        <v>46</v>
      </c>
      <c r="B273" s="69">
        <v>44682</v>
      </c>
      <c r="C273" t="s">
        <v>356</v>
      </c>
    </row>
    <row r="274" spans="1:3" x14ac:dyDescent="0.2">
      <c r="A274" t="s">
        <v>46</v>
      </c>
      <c r="B274" s="69">
        <v>44652</v>
      </c>
      <c r="C274" t="s">
        <v>357</v>
      </c>
    </row>
    <row r="275" spans="1:3" x14ac:dyDescent="0.2">
      <c r="A275" t="s">
        <v>46</v>
      </c>
      <c r="B275" s="69">
        <v>44562</v>
      </c>
      <c r="C275" t="s">
        <v>358</v>
      </c>
    </row>
    <row r="276" spans="1:3" x14ac:dyDescent="0.2">
      <c r="A276" t="s">
        <v>46</v>
      </c>
      <c r="B276" s="69">
        <v>44531</v>
      </c>
      <c r="C276" t="s">
        <v>359</v>
      </c>
    </row>
    <row r="277" spans="1:3" x14ac:dyDescent="0.2">
      <c r="A277" t="s">
        <v>46</v>
      </c>
      <c r="B277" s="69">
        <v>44470</v>
      </c>
      <c r="C277" t="s">
        <v>360</v>
      </c>
    </row>
    <row r="278" spans="1:3" x14ac:dyDescent="0.2">
      <c r="A278" t="s">
        <v>46</v>
      </c>
      <c r="B278" s="69">
        <v>44440</v>
      </c>
      <c r="C278" t="s">
        <v>361</v>
      </c>
    </row>
    <row r="279" spans="1:3" x14ac:dyDescent="0.2">
      <c r="A279" t="s">
        <v>46</v>
      </c>
      <c r="B279" s="69">
        <v>44409</v>
      </c>
      <c r="C279" t="s">
        <v>362</v>
      </c>
    </row>
    <row r="280" spans="1:3" x14ac:dyDescent="0.2">
      <c r="A280" t="s">
        <v>46</v>
      </c>
      <c r="B280" s="69">
        <v>44378</v>
      </c>
      <c r="C280" t="s">
        <v>363</v>
      </c>
    </row>
    <row r="281" spans="1:3" x14ac:dyDescent="0.2">
      <c r="A281" t="s">
        <v>46</v>
      </c>
      <c r="B281" s="69">
        <v>44317</v>
      </c>
      <c r="C281" t="s">
        <v>364</v>
      </c>
    </row>
    <row r="282" spans="1:3" x14ac:dyDescent="0.2">
      <c r="A282" t="s">
        <v>46</v>
      </c>
      <c r="B282" s="69">
        <v>44287</v>
      </c>
      <c r="C282" t="s">
        <v>365</v>
      </c>
    </row>
    <row r="283" spans="1:3" x14ac:dyDescent="0.2">
      <c r="A283" t="s">
        <v>46</v>
      </c>
      <c r="B283" s="69">
        <v>44256</v>
      </c>
      <c r="C283" t="s">
        <v>366</v>
      </c>
    </row>
    <row r="284" spans="1:3" x14ac:dyDescent="0.2">
      <c r="A284" t="s">
        <v>46</v>
      </c>
      <c r="B284" s="69">
        <v>44228</v>
      </c>
      <c r="C284" t="s">
        <v>367</v>
      </c>
    </row>
    <row r="285" spans="1:3" x14ac:dyDescent="0.2">
      <c r="A285" t="s">
        <v>46</v>
      </c>
      <c r="B285" s="69">
        <v>44166</v>
      </c>
      <c r="C285" t="s">
        <v>368</v>
      </c>
    </row>
    <row r="286" spans="1:3" x14ac:dyDescent="0.2">
      <c r="A286" t="s">
        <v>46</v>
      </c>
      <c r="B286" s="69">
        <v>44136</v>
      </c>
      <c r="C286" t="s">
        <v>369</v>
      </c>
    </row>
    <row r="287" spans="1:3" x14ac:dyDescent="0.2">
      <c r="A287" t="s">
        <v>46</v>
      </c>
      <c r="B287" s="69">
        <v>44105</v>
      </c>
      <c r="C287" t="s">
        <v>370</v>
      </c>
    </row>
    <row r="288" spans="1:3" x14ac:dyDescent="0.2">
      <c r="A288" t="s">
        <v>46</v>
      </c>
      <c r="B288" s="69">
        <v>44075</v>
      </c>
      <c r="C288" t="s">
        <v>371</v>
      </c>
    </row>
    <row r="289" spans="1:3" x14ac:dyDescent="0.2">
      <c r="A289" t="s">
        <v>46</v>
      </c>
      <c r="B289" s="69">
        <v>44044</v>
      </c>
      <c r="C289" t="s">
        <v>372</v>
      </c>
    </row>
    <row r="290" spans="1:3" x14ac:dyDescent="0.2">
      <c r="A290" t="s">
        <v>46</v>
      </c>
      <c r="B290" s="69">
        <v>44013</v>
      </c>
      <c r="C290" t="s">
        <v>373</v>
      </c>
    </row>
    <row r="291" spans="1:3" x14ac:dyDescent="0.2">
      <c r="A291" t="s">
        <v>46</v>
      </c>
      <c r="B291" s="69">
        <v>43862</v>
      </c>
      <c r="C291" t="s">
        <v>374</v>
      </c>
    </row>
    <row r="292" spans="1:3" x14ac:dyDescent="0.2">
      <c r="A292" t="s">
        <v>46</v>
      </c>
      <c r="B292" s="69">
        <v>43800</v>
      </c>
      <c r="C292" t="s">
        <v>375</v>
      </c>
    </row>
    <row r="293" spans="1:3" x14ac:dyDescent="0.2">
      <c r="A293" t="s">
        <v>46</v>
      </c>
      <c r="B293" s="69">
        <v>43770</v>
      </c>
      <c r="C293" t="s">
        <v>376</v>
      </c>
    </row>
    <row r="294" spans="1:3" x14ac:dyDescent="0.2">
      <c r="A294" t="s">
        <v>46</v>
      </c>
      <c r="B294" s="69">
        <v>43739</v>
      </c>
      <c r="C294" t="s">
        <v>377</v>
      </c>
    </row>
    <row r="295" spans="1:3" x14ac:dyDescent="0.2">
      <c r="A295" t="s">
        <v>46</v>
      </c>
      <c r="B295" s="69">
        <v>43678</v>
      </c>
      <c r="C295" t="s">
        <v>378</v>
      </c>
    </row>
    <row r="296" spans="1:3" x14ac:dyDescent="0.2">
      <c r="A296" t="s">
        <v>46</v>
      </c>
      <c r="B296" s="69">
        <v>43647</v>
      </c>
      <c r="C296" t="s">
        <v>379</v>
      </c>
    </row>
    <row r="297" spans="1:3" x14ac:dyDescent="0.2">
      <c r="A297" t="s">
        <v>46</v>
      </c>
      <c r="B297" s="69">
        <v>43617</v>
      </c>
      <c r="C297" t="s">
        <v>380</v>
      </c>
    </row>
    <row r="298" spans="1:3" x14ac:dyDescent="0.2">
      <c r="A298" t="s">
        <v>46</v>
      </c>
      <c r="B298" s="69">
        <v>43556</v>
      </c>
      <c r="C298" t="s">
        <v>381</v>
      </c>
    </row>
    <row r="299" spans="1:3" x14ac:dyDescent="0.2">
      <c r="A299" t="s">
        <v>46</v>
      </c>
      <c r="B299" s="69">
        <v>43525</v>
      </c>
      <c r="C299" t="s">
        <v>382</v>
      </c>
    </row>
    <row r="300" spans="1:3" x14ac:dyDescent="0.2">
      <c r="A300" t="s">
        <v>46</v>
      </c>
      <c r="B300" s="69">
        <v>43466</v>
      </c>
      <c r="C300" t="s">
        <v>383</v>
      </c>
    </row>
    <row r="301" spans="1:3" x14ac:dyDescent="0.2">
      <c r="A301" t="s">
        <v>41</v>
      </c>
      <c r="B301" s="69">
        <v>44774</v>
      </c>
      <c r="C301" t="s">
        <v>384</v>
      </c>
    </row>
    <row r="302" spans="1:3" x14ac:dyDescent="0.2">
      <c r="A302" t="s">
        <v>41</v>
      </c>
      <c r="B302" s="69">
        <v>44743</v>
      </c>
      <c r="C302" t="s">
        <v>385</v>
      </c>
    </row>
    <row r="303" spans="1:3" x14ac:dyDescent="0.2">
      <c r="A303" t="s">
        <v>41</v>
      </c>
      <c r="B303" s="69">
        <v>44713</v>
      </c>
      <c r="C303" t="s">
        <v>386</v>
      </c>
    </row>
    <row r="304" spans="1:3" x14ac:dyDescent="0.2">
      <c r="A304" t="s">
        <v>41</v>
      </c>
      <c r="B304" s="69">
        <v>44682</v>
      </c>
      <c r="C304" t="s">
        <v>387</v>
      </c>
    </row>
    <row r="305" spans="1:3" x14ac:dyDescent="0.2">
      <c r="A305" t="s">
        <v>41</v>
      </c>
      <c r="B305" s="69">
        <v>44652</v>
      </c>
      <c r="C305" t="s">
        <v>388</v>
      </c>
    </row>
    <row r="306" spans="1:3" x14ac:dyDescent="0.2">
      <c r="A306" t="s">
        <v>41</v>
      </c>
      <c r="B306" s="69">
        <v>44621</v>
      </c>
      <c r="C306" t="s">
        <v>389</v>
      </c>
    </row>
    <row r="307" spans="1:3" x14ac:dyDescent="0.2">
      <c r="A307" t="s">
        <v>41</v>
      </c>
      <c r="B307" s="69">
        <v>44501</v>
      </c>
      <c r="C307" t="s">
        <v>390</v>
      </c>
    </row>
    <row r="308" spans="1:3" x14ac:dyDescent="0.2">
      <c r="A308" t="s">
        <v>41</v>
      </c>
      <c r="B308" s="69">
        <v>44470</v>
      </c>
      <c r="C308" t="s">
        <v>391</v>
      </c>
    </row>
    <row r="309" spans="1:3" x14ac:dyDescent="0.2">
      <c r="A309" t="s">
        <v>41</v>
      </c>
      <c r="B309" s="69">
        <v>44440</v>
      </c>
      <c r="C309" t="s">
        <v>392</v>
      </c>
    </row>
    <row r="310" spans="1:3" x14ac:dyDescent="0.2">
      <c r="A310" t="s">
        <v>41</v>
      </c>
      <c r="B310" s="69">
        <v>44409</v>
      </c>
      <c r="C310" t="s">
        <v>393</v>
      </c>
    </row>
    <row r="311" spans="1:3" x14ac:dyDescent="0.2">
      <c r="A311" t="s">
        <v>41</v>
      </c>
      <c r="B311" s="69">
        <v>44378</v>
      </c>
      <c r="C311" t="s">
        <v>394</v>
      </c>
    </row>
    <row r="312" spans="1:3" x14ac:dyDescent="0.2">
      <c r="A312" t="s">
        <v>41</v>
      </c>
      <c r="B312" s="69">
        <v>44287</v>
      </c>
      <c r="C312" t="s">
        <v>395</v>
      </c>
    </row>
    <row r="313" spans="1:3" x14ac:dyDescent="0.2">
      <c r="A313" t="s">
        <v>41</v>
      </c>
      <c r="B313" s="69">
        <v>44197</v>
      </c>
      <c r="C313" t="s">
        <v>396</v>
      </c>
    </row>
    <row r="314" spans="1:3" x14ac:dyDescent="0.2">
      <c r="A314" t="s">
        <v>41</v>
      </c>
      <c r="B314" s="69">
        <v>44013</v>
      </c>
      <c r="C314" t="s">
        <v>397</v>
      </c>
    </row>
    <row r="315" spans="1:3" x14ac:dyDescent="0.2">
      <c r="A315" t="s">
        <v>41</v>
      </c>
      <c r="B315" s="69">
        <v>43952</v>
      </c>
      <c r="C315" t="s">
        <v>398</v>
      </c>
    </row>
    <row r="316" spans="1:3" x14ac:dyDescent="0.2">
      <c r="A316" t="s">
        <v>41</v>
      </c>
      <c r="B316" s="69">
        <v>43891</v>
      </c>
      <c r="C316" t="s">
        <v>399</v>
      </c>
    </row>
    <row r="317" spans="1:3" x14ac:dyDescent="0.2">
      <c r="A317" t="s">
        <v>41</v>
      </c>
      <c r="B317" s="69">
        <v>43800</v>
      </c>
      <c r="C317" t="s">
        <v>400</v>
      </c>
    </row>
    <row r="318" spans="1:3" x14ac:dyDescent="0.2">
      <c r="A318" t="s">
        <v>41</v>
      </c>
      <c r="B318" s="69">
        <v>43739</v>
      </c>
      <c r="C318" t="s">
        <v>401</v>
      </c>
    </row>
    <row r="319" spans="1:3" x14ac:dyDescent="0.2">
      <c r="A319" t="s">
        <v>41</v>
      </c>
      <c r="B319" s="69">
        <v>43617</v>
      </c>
      <c r="C319" t="s">
        <v>402</v>
      </c>
    </row>
    <row r="320" spans="1:3" x14ac:dyDescent="0.2">
      <c r="A320" t="s">
        <v>41</v>
      </c>
      <c r="B320" s="69">
        <v>43586</v>
      </c>
      <c r="C320" t="s">
        <v>403</v>
      </c>
    </row>
    <row r="321" spans="1:3" x14ac:dyDescent="0.2">
      <c r="A321" t="s">
        <v>41</v>
      </c>
      <c r="B321" s="69">
        <v>43556</v>
      </c>
      <c r="C321" t="s">
        <v>404</v>
      </c>
    </row>
    <row r="322" spans="1:3" x14ac:dyDescent="0.2">
      <c r="A322" t="s">
        <v>41</v>
      </c>
      <c r="B322" s="69">
        <v>43525</v>
      </c>
      <c r="C322" t="s">
        <v>405</v>
      </c>
    </row>
    <row r="323" spans="1:3" x14ac:dyDescent="0.2">
      <c r="A323" t="s">
        <v>41</v>
      </c>
      <c r="B323" s="69">
        <v>43466</v>
      </c>
      <c r="C323" t="s">
        <v>406</v>
      </c>
    </row>
    <row r="324" spans="1:3" x14ac:dyDescent="0.2">
      <c r="A324" t="s">
        <v>42</v>
      </c>
      <c r="B324" s="69">
        <v>44470</v>
      </c>
      <c r="C324" t="s">
        <v>407</v>
      </c>
    </row>
    <row r="325" spans="1:3" x14ac:dyDescent="0.2">
      <c r="A325" t="s">
        <v>42</v>
      </c>
      <c r="B325" s="69">
        <v>44440</v>
      </c>
      <c r="C325" t="s">
        <v>408</v>
      </c>
    </row>
    <row r="326" spans="1:3" x14ac:dyDescent="0.2">
      <c r="A326" t="s">
        <v>42</v>
      </c>
      <c r="B326" s="69">
        <v>44409</v>
      </c>
      <c r="C326" t="s">
        <v>409</v>
      </c>
    </row>
    <row r="327" spans="1:3" x14ac:dyDescent="0.2">
      <c r="A327" t="s">
        <v>42</v>
      </c>
      <c r="B327" s="69">
        <v>44378</v>
      </c>
      <c r="C327" t="s">
        <v>410</v>
      </c>
    </row>
    <row r="328" spans="1:3" x14ac:dyDescent="0.2">
      <c r="A328" t="s">
        <v>42</v>
      </c>
      <c r="B328" s="69">
        <v>44317</v>
      </c>
      <c r="C328" t="s">
        <v>411</v>
      </c>
    </row>
    <row r="329" spans="1:3" x14ac:dyDescent="0.2">
      <c r="A329" t="s">
        <v>42</v>
      </c>
      <c r="B329" s="69">
        <v>44287</v>
      </c>
      <c r="C329" t="s">
        <v>412</v>
      </c>
    </row>
    <row r="330" spans="1:3" x14ac:dyDescent="0.2">
      <c r="A330" t="s">
        <v>42</v>
      </c>
      <c r="B330" s="69">
        <v>44256</v>
      </c>
      <c r="C330" t="s">
        <v>413</v>
      </c>
    </row>
    <row r="331" spans="1:3" x14ac:dyDescent="0.2">
      <c r="A331" t="s">
        <v>42</v>
      </c>
      <c r="B331" s="69">
        <v>44166</v>
      </c>
      <c r="C331" t="s">
        <v>414</v>
      </c>
    </row>
    <row r="332" spans="1:3" x14ac:dyDescent="0.2">
      <c r="A332" t="s">
        <v>42</v>
      </c>
      <c r="B332" s="69">
        <v>44013</v>
      </c>
      <c r="C332" t="s">
        <v>415</v>
      </c>
    </row>
    <row r="333" spans="1:3" x14ac:dyDescent="0.2">
      <c r="A333" t="s">
        <v>42</v>
      </c>
      <c r="B333" s="69">
        <v>43983</v>
      </c>
      <c r="C333" t="s">
        <v>416</v>
      </c>
    </row>
    <row r="334" spans="1:3" x14ac:dyDescent="0.2">
      <c r="A334" t="s">
        <v>42</v>
      </c>
      <c r="B334" s="69">
        <v>43862</v>
      </c>
      <c r="C334" t="s">
        <v>417</v>
      </c>
    </row>
    <row r="335" spans="1:3" x14ac:dyDescent="0.2">
      <c r="A335" t="s">
        <v>42</v>
      </c>
      <c r="B335" s="69">
        <v>43831</v>
      </c>
      <c r="C335" t="s">
        <v>418</v>
      </c>
    </row>
    <row r="336" spans="1:3" x14ac:dyDescent="0.2">
      <c r="A336" t="s">
        <v>42</v>
      </c>
      <c r="B336" s="69">
        <v>43739</v>
      </c>
      <c r="C336" t="s">
        <v>419</v>
      </c>
    </row>
    <row r="337" spans="1:3" x14ac:dyDescent="0.2">
      <c r="A337" t="s">
        <v>42</v>
      </c>
      <c r="B337" s="69">
        <v>43678</v>
      </c>
      <c r="C337" t="s">
        <v>420</v>
      </c>
    </row>
    <row r="338" spans="1:3" x14ac:dyDescent="0.2">
      <c r="A338" t="s">
        <v>42</v>
      </c>
      <c r="B338" s="69">
        <v>43525</v>
      </c>
      <c r="C338" t="s">
        <v>421</v>
      </c>
    </row>
    <row r="339" spans="1:3" x14ac:dyDescent="0.2">
      <c r="A339" t="s">
        <v>42</v>
      </c>
      <c r="B339" s="69">
        <v>43466</v>
      </c>
      <c r="C339" t="s">
        <v>422</v>
      </c>
    </row>
    <row r="340" spans="1:3" x14ac:dyDescent="0.2">
      <c r="A340" t="s">
        <v>43</v>
      </c>
      <c r="B340" s="69">
        <v>44774</v>
      </c>
      <c r="C340" t="s">
        <v>423</v>
      </c>
    </row>
    <row r="341" spans="1:3" x14ac:dyDescent="0.2">
      <c r="A341" t="s">
        <v>43</v>
      </c>
      <c r="B341" s="69">
        <v>44743</v>
      </c>
      <c r="C341" t="s">
        <v>424</v>
      </c>
    </row>
    <row r="342" spans="1:3" x14ac:dyDescent="0.2">
      <c r="A342" t="s">
        <v>43</v>
      </c>
      <c r="B342" s="69">
        <v>44713</v>
      </c>
      <c r="C342" t="s">
        <v>425</v>
      </c>
    </row>
    <row r="343" spans="1:3" x14ac:dyDescent="0.2">
      <c r="A343" t="s">
        <v>43</v>
      </c>
      <c r="B343" s="69">
        <v>44682</v>
      </c>
      <c r="C343" t="s">
        <v>426</v>
      </c>
    </row>
    <row r="344" spans="1:3" x14ac:dyDescent="0.2">
      <c r="A344" t="s">
        <v>43</v>
      </c>
      <c r="B344" s="69">
        <v>44652</v>
      </c>
      <c r="C344" t="s">
        <v>427</v>
      </c>
    </row>
    <row r="345" spans="1:3" x14ac:dyDescent="0.2">
      <c r="A345" t="s">
        <v>43</v>
      </c>
      <c r="B345" s="69">
        <v>44621</v>
      </c>
      <c r="C345" t="s">
        <v>428</v>
      </c>
    </row>
    <row r="346" spans="1:3" x14ac:dyDescent="0.2">
      <c r="A346" t="s">
        <v>43</v>
      </c>
      <c r="B346" s="69">
        <v>44562</v>
      </c>
      <c r="C346" t="s">
        <v>429</v>
      </c>
    </row>
    <row r="347" spans="1:3" x14ac:dyDescent="0.2">
      <c r="A347" t="s">
        <v>43</v>
      </c>
      <c r="B347" s="69">
        <v>44531</v>
      </c>
      <c r="C347" t="s">
        <v>430</v>
      </c>
    </row>
    <row r="348" spans="1:3" x14ac:dyDescent="0.2">
      <c r="A348" t="s">
        <v>43</v>
      </c>
      <c r="B348" s="69">
        <v>44501</v>
      </c>
      <c r="C348" t="s">
        <v>431</v>
      </c>
    </row>
    <row r="349" spans="1:3" x14ac:dyDescent="0.2">
      <c r="A349" t="s">
        <v>43</v>
      </c>
      <c r="B349" s="69">
        <v>44440</v>
      </c>
      <c r="C349" t="s">
        <v>432</v>
      </c>
    </row>
    <row r="350" spans="1:3" x14ac:dyDescent="0.2">
      <c r="A350" t="s">
        <v>43</v>
      </c>
      <c r="B350" s="69">
        <v>44409</v>
      </c>
      <c r="C350" t="s">
        <v>433</v>
      </c>
    </row>
    <row r="351" spans="1:3" x14ac:dyDescent="0.2">
      <c r="A351" t="s">
        <v>43</v>
      </c>
      <c r="B351" s="69">
        <v>44378</v>
      </c>
      <c r="C351" t="s">
        <v>434</v>
      </c>
    </row>
    <row r="352" spans="1:3" x14ac:dyDescent="0.2">
      <c r="A352" t="s">
        <v>43</v>
      </c>
      <c r="B352" s="69">
        <v>44348</v>
      </c>
      <c r="C352" t="s">
        <v>435</v>
      </c>
    </row>
    <row r="353" spans="1:3" x14ac:dyDescent="0.2">
      <c r="A353" t="s">
        <v>43</v>
      </c>
      <c r="B353" s="69">
        <v>44317</v>
      </c>
      <c r="C353" t="s">
        <v>436</v>
      </c>
    </row>
    <row r="354" spans="1:3" x14ac:dyDescent="0.2">
      <c r="A354" t="s">
        <v>43</v>
      </c>
      <c r="B354" s="69">
        <v>44256</v>
      </c>
      <c r="C354" t="s">
        <v>437</v>
      </c>
    </row>
    <row r="355" spans="1:3" x14ac:dyDescent="0.2">
      <c r="A355" t="s">
        <v>43</v>
      </c>
      <c r="B355" s="69">
        <v>44228</v>
      </c>
      <c r="C355" t="s">
        <v>438</v>
      </c>
    </row>
    <row r="356" spans="1:3" x14ac:dyDescent="0.2">
      <c r="A356" t="s">
        <v>43</v>
      </c>
      <c r="B356" s="69">
        <v>44197</v>
      </c>
      <c r="C356" t="s">
        <v>439</v>
      </c>
    </row>
    <row r="357" spans="1:3" x14ac:dyDescent="0.2">
      <c r="A357" t="s">
        <v>43</v>
      </c>
      <c r="B357" s="69">
        <v>44136</v>
      </c>
      <c r="C357" t="s">
        <v>440</v>
      </c>
    </row>
    <row r="358" spans="1:3" x14ac:dyDescent="0.2">
      <c r="A358" t="s">
        <v>43</v>
      </c>
      <c r="B358" s="69">
        <v>44105</v>
      </c>
      <c r="C358" t="s">
        <v>441</v>
      </c>
    </row>
    <row r="359" spans="1:3" x14ac:dyDescent="0.2">
      <c r="A359" t="s">
        <v>43</v>
      </c>
      <c r="B359" s="69">
        <v>44075</v>
      </c>
      <c r="C359" t="s">
        <v>442</v>
      </c>
    </row>
    <row r="360" spans="1:3" x14ac:dyDescent="0.2">
      <c r="A360" t="s">
        <v>43</v>
      </c>
      <c r="B360" s="69">
        <v>44044</v>
      </c>
      <c r="C360" t="s">
        <v>443</v>
      </c>
    </row>
    <row r="361" spans="1:3" x14ac:dyDescent="0.2">
      <c r="A361" t="s">
        <v>43</v>
      </c>
      <c r="B361" s="69">
        <v>44013</v>
      </c>
      <c r="C361" t="s">
        <v>444</v>
      </c>
    </row>
    <row r="362" spans="1:3" x14ac:dyDescent="0.2">
      <c r="A362" t="s">
        <v>43</v>
      </c>
      <c r="B362" s="69">
        <v>43952</v>
      </c>
      <c r="C362" t="s">
        <v>445</v>
      </c>
    </row>
    <row r="363" spans="1:3" x14ac:dyDescent="0.2">
      <c r="A363" t="s">
        <v>43</v>
      </c>
      <c r="B363" s="69">
        <v>43922</v>
      </c>
      <c r="C363" t="s">
        <v>446</v>
      </c>
    </row>
    <row r="364" spans="1:3" x14ac:dyDescent="0.2">
      <c r="A364" t="s">
        <v>43</v>
      </c>
      <c r="B364" s="69">
        <v>43891</v>
      </c>
      <c r="C364" t="s">
        <v>447</v>
      </c>
    </row>
    <row r="365" spans="1:3" x14ac:dyDescent="0.2">
      <c r="A365" t="s">
        <v>43</v>
      </c>
      <c r="B365" s="69">
        <v>43862</v>
      </c>
      <c r="C365" t="s">
        <v>448</v>
      </c>
    </row>
    <row r="366" spans="1:3" x14ac:dyDescent="0.2">
      <c r="A366" t="s">
        <v>43</v>
      </c>
      <c r="B366" s="69">
        <v>43800</v>
      </c>
      <c r="C366" t="s">
        <v>449</v>
      </c>
    </row>
    <row r="367" spans="1:3" x14ac:dyDescent="0.2">
      <c r="A367" t="s">
        <v>43</v>
      </c>
      <c r="B367" s="69">
        <v>43709</v>
      </c>
      <c r="C367" t="s">
        <v>450</v>
      </c>
    </row>
    <row r="368" spans="1:3" x14ac:dyDescent="0.2">
      <c r="A368" t="s">
        <v>43</v>
      </c>
      <c r="B368" s="69">
        <v>43678</v>
      </c>
      <c r="C368" t="s">
        <v>451</v>
      </c>
    </row>
    <row r="369" spans="1:3" x14ac:dyDescent="0.2">
      <c r="A369" t="s">
        <v>43</v>
      </c>
      <c r="B369" s="69">
        <v>43647</v>
      </c>
      <c r="C369" t="s">
        <v>452</v>
      </c>
    </row>
    <row r="370" spans="1:3" x14ac:dyDescent="0.2">
      <c r="A370" t="s">
        <v>43</v>
      </c>
      <c r="B370" s="69">
        <v>43617</v>
      </c>
      <c r="C370" t="s">
        <v>453</v>
      </c>
    </row>
    <row r="371" spans="1:3" x14ac:dyDescent="0.2">
      <c r="A371" t="s">
        <v>43</v>
      </c>
      <c r="B371" s="69">
        <v>43586</v>
      </c>
      <c r="C371" t="s">
        <v>454</v>
      </c>
    </row>
    <row r="372" spans="1:3" x14ac:dyDescent="0.2">
      <c r="A372" t="s">
        <v>43</v>
      </c>
      <c r="B372" s="69">
        <v>43556</v>
      </c>
      <c r="C372" t="s">
        <v>455</v>
      </c>
    </row>
    <row r="373" spans="1:3" x14ac:dyDescent="0.2">
      <c r="A373" t="s">
        <v>43</v>
      </c>
      <c r="B373" s="69">
        <v>43497</v>
      </c>
      <c r="C373" t="s">
        <v>456</v>
      </c>
    </row>
    <row r="374" spans="1:3" x14ac:dyDescent="0.2">
      <c r="A374" t="s">
        <v>43</v>
      </c>
      <c r="B374" s="69">
        <v>43466</v>
      </c>
      <c r="C374" t="s">
        <v>457</v>
      </c>
    </row>
    <row r="375" spans="1:3" x14ac:dyDescent="0.2">
      <c r="A375" t="s">
        <v>39</v>
      </c>
      <c r="B375" s="69">
        <v>44501</v>
      </c>
      <c r="C375" t="s">
        <v>458</v>
      </c>
    </row>
    <row r="376" spans="1:3" x14ac:dyDescent="0.2">
      <c r="A376" t="s">
        <v>39</v>
      </c>
      <c r="B376" s="69">
        <v>44348</v>
      </c>
      <c r="C376" t="s">
        <v>459</v>
      </c>
    </row>
    <row r="377" spans="1:3" x14ac:dyDescent="0.2">
      <c r="A377" t="s">
        <v>39</v>
      </c>
      <c r="B377" s="69">
        <v>44166</v>
      </c>
      <c r="C377" t="s">
        <v>460</v>
      </c>
    </row>
    <row r="378" spans="1:3" x14ac:dyDescent="0.2">
      <c r="A378" t="s">
        <v>39</v>
      </c>
      <c r="B378" s="69">
        <v>43862</v>
      </c>
      <c r="C378" t="s">
        <v>461</v>
      </c>
    </row>
    <row r="379" spans="1:3" x14ac:dyDescent="0.2">
      <c r="A379" t="s">
        <v>39</v>
      </c>
      <c r="B379" s="69">
        <v>43770</v>
      </c>
      <c r="C379" t="s">
        <v>462</v>
      </c>
    </row>
    <row r="380" spans="1:3" x14ac:dyDescent="0.2">
      <c r="A380" t="s">
        <v>39</v>
      </c>
      <c r="B380" s="69">
        <v>43739</v>
      </c>
      <c r="C380" t="s">
        <v>463</v>
      </c>
    </row>
    <row r="381" spans="1:3" x14ac:dyDescent="0.2">
      <c r="A381" t="s">
        <v>39</v>
      </c>
      <c r="B381" s="69">
        <v>43678</v>
      </c>
      <c r="C381" t="s">
        <v>464</v>
      </c>
    </row>
    <row r="382" spans="1:3" x14ac:dyDescent="0.2">
      <c r="A382" t="s">
        <v>39</v>
      </c>
      <c r="B382" s="69">
        <v>43617</v>
      </c>
      <c r="C382" t="s">
        <v>465</v>
      </c>
    </row>
    <row r="383" spans="1:3" x14ac:dyDescent="0.2">
      <c r="A383" t="s">
        <v>39</v>
      </c>
      <c r="B383" s="69">
        <v>43525</v>
      </c>
      <c r="C383" t="s">
        <v>466</v>
      </c>
    </row>
    <row r="384" spans="1:3" x14ac:dyDescent="0.2">
      <c r="A384" t="s">
        <v>39</v>
      </c>
      <c r="B384" s="69">
        <v>43466</v>
      </c>
      <c r="C384" t="s">
        <v>467</v>
      </c>
    </row>
    <row r="385" spans="1:3" x14ac:dyDescent="0.2">
      <c r="A385" t="s">
        <v>29</v>
      </c>
      <c r="B385" s="69">
        <v>44743</v>
      </c>
      <c r="C385" t="s">
        <v>468</v>
      </c>
    </row>
    <row r="386" spans="1:3" x14ac:dyDescent="0.2">
      <c r="A386" t="s">
        <v>29</v>
      </c>
      <c r="B386" s="69">
        <v>44713</v>
      </c>
      <c r="C386" t="s">
        <v>469</v>
      </c>
    </row>
    <row r="387" spans="1:3" x14ac:dyDescent="0.2">
      <c r="A387" t="s">
        <v>29</v>
      </c>
      <c r="B387" s="69">
        <v>44682</v>
      </c>
      <c r="C387" t="s">
        <v>470</v>
      </c>
    </row>
    <row r="388" spans="1:3" x14ac:dyDescent="0.2">
      <c r="A388" t="s">
        <v>29</v>
      </c>
      <c r="B388" s="69">
        <v>44652</v>
      </c>
      <c r="C388" t="s">
        <v>471</v>
      </c>
    </row>
    <row r="389" spans="1:3" x14ac:dyDescent="0.2">
      <c r="A389" t="s">
        <v>29</v>
      </c>
      <c r="B389" s="69">
        <v>44621</v>
      </c>
      <c r="C389" t="s">
        <v>472</v>
      </c>
    </row>
    <row r="390" spans="1:3" x14ac:dyDescent="0.2">
      <c r="A390" t="s">
        <v>29</v>
      </c>
      <c r="B390" s="69">
        <v>44593</v>
      </c>
      <c r="C390" t="s">
        <v>473</v>
      </c>
    </row>
    <row r="391" spans="1:3" x14ac:dyDescent="0.2">
      <c r="A391" t="s">
        <v>29</v>
      </c>
      <c r="B391" s="69">
        <v>44562</v>
      </c>
      <c r="C391" t="s">
        <v>474</v>
      </c>
    </row>
    <row r="392" spans="1:3" x14ac:dyDescent="0.2">
      <c r="A392" t="s">
        <v>29</v>
      </c>
      <c r="B392" s="69">
        <v>44531</v>
      </c>
      <c r="C392" t="s">
        <v>475</v>
      </c>
    </row>
    <row r="393" spans="1:3" x14ac:dyDescent="0.2">
      <c r="A393" t="s">
        <v>29</v>
      </c>
      <c r="B393" s="69">
        <v>44287</v>
      </c>
      <c r="C393" t="s">
        <v>476</v>
      </c>
    </row>
    <row r="394" spans="1:3" x14ac:dyDescent="0.2">
      <c r="A394" t="s">
        <v>29</v>
      </c>
      <c r="B394" s="69">
        <v>44228</v>
      </c>
      <c r="C394" t="s">
        <v>477</v>
      </c>
    </row>
    <row r="395" spans="1:3" x14ac:dyDescent="0.2">
      <c r="A395" t="s">
        <v>29</v>
      </c>
      <c r="B395" s="69">
        <v>44197</v>
      </c>
      <c r="C395" t="s">
        <v>478</v>
      </c>
    </row>
    <row r="396" spans="1:3" x14ac:dyDescent="0.2">
      <c r="A396" t="s">
        <v>29</v>
      </c>
      <c r="B396" s="69">
        <v>44166</v>
      </c>
      <c r="C396" t="s">
        <v>479</v>
      </c>
    </row>
    <row r="397" spans="1:3" x14ac:dyDescent="0.2">
      <c r="A397" t="s">
        <v>29</v>
      </c>
      <c r="B397" s="69">
        <v>44013</v>
      </c>
      <c r="C397" t="s">
        <v>480</v>
      </c>
    </row>
    <row r="398" spans="1:3" x14ac:dyDescent="0.2">
      <c r="A398" t="s">
        <v>29</v>
      </c>
      <c r="B398" s="69">
        <v>43800</v>
      </c>
      <c r="C398" t="s">
        <v>481</v>
      </c>
    </row>
    <row r="399" spans="1:3" x14ac:dyDescent="0.2">
      <c r="A399" t="s">
        <v>29</v>
      </c>
      <c r="B399" s="69">
        <v>43586</v>
      </c>
      <c r="C399" t="s">
        <v>482</v>
      </c>
    </row>
    <row r="400" spans="1:3" x14ac:dyDescent="0.2">
      <c r="A400" t="s">
        <v>29</v>
      </c>
      <c r="B400" s="69">
        <v>43497</v>
      </c>
      <c r="C400" t="s">
        <v>483</v>
      </c>
    </row>
    <row r="401" spans="1:3" x14ac:dyDescent="0.2">
      <c r="A401" t="s">
        <v>27</v>
      </c>
      <c r="B401" s="69">
        <v>44774</v>
      </c>
      <c r="C401" t="s">
        <v>484</v>
      </c>
    </row>
    <row r="402" spans="1:3" x14ac:dyDescent="0.2">
      <c r="A402" t="s">
        <v>27</v>
      </c>
      <c r="B402" s="69">
        <v>44743</v>
      </c>
      <c r="C402" t="s">
        <v>485</v>
      </c>
    </row>
    <row r="403" spans="1:3" x14ac:dyDescent="0.2">
      <c r="A403" t="s">
        <v>27</v>
      </c>
      <c r="B403" s="69">
        <v>44682</v>
      </c>
      <c r="C403" t="s">
        <v>486</v>
      </c>
    </row>
    <row r="404" spans="1:3" x14ac:dyDescent="0.2">
      <c r="A404" t="s">
        <v>27</v>
      </c>
      <c r="B404" s="69">
        <v>44652</v>
      </c>
      <c r="C404" t="s">
        <v>487</v>
      </c>
    </row>
    <row r="405" spans="1:3" x14ac:dyDescent="0.2">
      <c r="A405" t="s">
        <v>27</v>
      </c>
      <c r="B405" s="69">
        <v>44621</v>
      </c>
      <c r="C405" t="s">
        <v>488</v>
      </c>
    </row>
    <row r="406" spans="1:3" x14ac:dyDescent="0.2">
      <c r="A406" t="s">
        <v>27</v>
      </c>
      <c r="B406" s="69">
        <v>44562</v>
      </c>
      <c r="C406" t="s">
        <v>489</v>
      </c>
    </row>
    <row r="407" spans="1:3" x14ac:dyDescent="0.2">
      <c r="A407" t="s">
        <v>27</v>
      </c>
      <c r="B407" s="69">
        <v>44531</v>
      </c>
      <c r="C407" t="s">
        <v>490</v>
      </c>
    </row>
    <row r="408" spans="1:3" x14ac:dyDescent="0.2">
      <c r="A408" t="s">
        <v>27</v>
      </c>
      <c r="B408" s="69">
        <v>44501</v>
      </c>
      <c r="C408" t="s">
        <v>491</v>
      </c>
    </row>
    <row r="409" spans="1:3" x14ac:dyDescent="0.2">
      <c r="A409" t="s">
        <v>27</v>
      </c>
      <c r="B409" s="69">
        <v>44470</v>
      </c>
      <c r="C409" t="s">
        <v>492</v>
      </c>
    </row>
    <row r="410" spans="1:3" x14ac:dyDescent="0.2">
      <c r="A410" t="s">
        <v>27</v>
      </c>
      <c r="B410" s="69">
        <v>44440</v>
      </c>
      <c r="C410" t="s">
        <v>493</v>
      </c>
    </row>
    <row r="411" spans="1:3" x14ac:dyDescent="0.2">
      <c r="A411" t="s">
        <v>27</v>
      </c>
      <c r="B411" s="69">
        <v>44409</v>
      </c>
      <c r="C411" t="s">
        <v>494</v>
      </c>
    </row>
    <row r="412" spans="1:3" x14ac:dyDescent="0.2">
      <c r="A412" t="s">
        <v>27</v>
      </c>
      <c r="B412" s="69">
        <v>44378</v>
      </c>
      <c r="C412" t="s">
        <v>495</v>
      </c>
    </row>
    <row r="413" spans="1:3" x14ac:dyDescent="0.2">
      <c r="A413" t="s">
        <v>27</v>
      </c>
      <c r="B413" s="69">
        <v>44348</v>
      </c>
      <c r="C413" t="s">
        <v>496</v>
      </c>
    </row>
    <row r="414" spans="1:3" x14ac:dyDescent="0.2">
      <c r="A414" t="s">
        <v>27</v>
      </c>
      <c r="B414" s="69">
        <v>44317</v>
      </c>
      <c r="C414" t="s">
        <v>497</v>
      </c>
    </row>
    <row r="415" spans="1:3" x14ac:dyDescent="0.2">
      <c r="A415" t="s">
        <v>27</v>
      </c>
      <c r="B415" s="69">
        <v>44287</v>
      </c>
      <c r="C415" t="s">
        <v>498</v>
      </c>
    </row>
    <row r="416" spans="1:3" x14ac:dyDescent="0.2">
      <c r="A416" t="s">
        <v>27</v>
      </c>
      <c r="B416" s="69">
        <v>44256</v>
      </c>
      <c r="C416" t="s">
        <v>499</v>
      </c>
    </row>
    <row r="417" spans="1:3" x14ac:dyDescent="0.2">
      <c r="A417" t="s">
        <v>27</v>
      </c>
      <c r="B417" s="69">
        <v>44228</v>
      </c>
      <c r="C417" t="s">
        <v>500</v>
      </c>
    </row>
    <row r="418" spans="1:3" x14ac:dyDescent="0.2">
      <c r="A418" t="s">
        <v>27</v>
      </c>
      <c r="B418" s="69">
        <v>44197</v>
      </c>
      <c r="C418" t="s">
        <v>501</v>
      </c>
    </row>
    <row r="419" spans="1:3" x14ac:dyDescent="0.2">
      <c r="A419" t="s">
        <v>27</v>
      </c>
      <c r="B419" s="69">
        <v>44166</v>
      </c>
      <c r="C419" t="s">
        <v>502</v>
      </c>
    </row>
    <row r="420" spans="1:3" x14ac:dyDescent="0.2">
      <c r="A420" t="s">
        <v>27</v>
      </c>
      <c r="B420" s="69">
        <v>44105</v>
      </c>
      <c r="C420" t="s">
        <v>503</v>
      </c>
    </row>
    <row r="421" spans="1:3" x14ac:dyDescent="0.2">
      <c r="A421" t="s">
        <v>27</v>
      </c>
      <c r="B421" s="69">
        <v>44044</v>
      </c>
      <c r="C421" t="s">
        <v>504</v>
      </c>
    </row>
    <row r="422" spans="1:3" x14ac:dyDescent="0.2">
      <c r="A422" t="s">
        <v>27</v>
      </c>
      <c r="B422" s="69">
        <v>43952</v>
      </c>
      <c r="C422" t="s">
        <v>505</v>
      </c>
    </row>
    <row r="423" spans="1:3" x14ac:dyDescent="0.2">
      <c r="A423" t="s">
        <v>27</v>
      </c>
      <c r="B423" s="69">
        <v>43922</v>
      </c>
      <c r="C423" t="s">
        <v>506</v>
      </c>
    </row>
    <row r="424" spans="1:3" x14ac:dyDescent="0.2">
      <c r="A424" t="s">
        <v>27</v>
      </c>
      <c r="B424" s="69">
        <v>43831</v>
      </c>
      <c r="C424" t="s">
        <v>507</v>
      </c>
    </row>
    <row r="425" spans="1:3" x14ac:dyDescent="0.2">
      <c r="A425" t="s">
        <v>27</v>
      </c>
      <c r="B425" s="69">
        <v>43800</v>
      </c>
      <c r="C425" t="s">
        <v>508</v>
      </c>
    </row>
    <row r="426" spans="1:3" x14ac:dyDescent="0.2">
      <c r="A426" t="s">
        <v>27</v>
      </c>
      <c r="B426" s="69">
        <v>43739</v>
      </c>
      <c r="C426" t="s">
        <v>509</v>
      </c>
    </row>
    <row r="427" spans="1:3" x14ac:dyDescent="0.2">
      <c r="A427" t="s">
        <v>27</v>
      </c>
      <c r="B427" s="69">
        <v>43647</v>
      </c>
      <c r="C427" t="s">
        <v>510</v>
      </c>
    </row>
    <row r="428" spans="1:3" x14ac:dyDescent="0.2">
      <c r="A428" t="s">
        <v>27</v>
      </c>
      <c r="B428" s="69">
        <v>43617</v>
      </c>
      <c r="C428" t="s">
        <v>511</v>
      </c>
    </row>
    <row r="429" spans="1:3" x14ac:dyDescent="0.2">
      <c r="A429" t="s">
        <v>27</v>
      </c>
      <c r="B429" s="69">
        <v>43556</v>
      </c>
      <c r="C429" t="s">
        <v>512</v>
      </c>
    </row>
    <row r="430" spans="1:3" x14ac:dyDescent="0.2">
      <c r="A430" t="s">
        <v>27</v>
      </c>
      <c r="B430" s="69">
        <v>43497</v>
      </c>
      <c r="C430" t="s">
        <v>513</v>
      </c>
    </row>
    <row r="431" spans="1:3" x14ac:dyDescent="0.2">
      <c r="A431" t="s">
        <v>27</v>
      </c>
      <c r="B431" s="69">
        <v>43466</v>
      </c>
      <c r="C431" t="s">
        <v>514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2022-09-17T10:59:29Z</dcterms:modified>
</cp:coreProperties>
</file>