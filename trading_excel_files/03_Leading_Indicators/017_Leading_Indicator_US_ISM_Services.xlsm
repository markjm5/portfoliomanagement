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423464C5-0445-49DE-A85E-D7B648DD8E18}" xr6:coauthVersionLast="47" xr6:coauthVersionMax="47" xr10:uidLastSave="{00000000-0000-0000-0000-000000000000}"/>
  <bookViews>
    <workbookView xWindow="-270" yWindow="-14330" windowWidth="19550" windowHeight="13780"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12" i="13" l="1"/>
  <c r="B311" i="13"/>
  <c r="C312" i="13" s="1"/>
  <c r="B310" i="13"/>
  <c r="C311" i="13" s="1"/>
  <c r="B309" i="13"/>
  <c r="C310" i="13" s="1"/>
  <c r="B308" i="13"/>
  <c r="C309" i="13" s="1"/>
  <c r="B307" i="13"/>
  <c r="B306" i="13"/>
  <c r="C307" i="13" s="1"/>
  <c r="B305" i="13"/>
  <c r="C306" i="13" s="1"/>
  <c r="B304" i="13"/>
  <c r="C305" i="13" s="1"/>
  <c r="B303" i="13"/>
  <c r="C304" i="13" s="1"/>
  <c r="B302" i="13"/>
  <c r="C303" i="13" s="1"/>
  <c r="B301" i="13"/>
  <c r="C302" i="13" s="1"/>
  <c r="B300" i="13"/>
  <c r="C301" i="13" s="1"/>
  <c r="B299" i="13"/>
  <c r="C300" i="13" s="1"/>
  <c r="B298" i="13"/>
  <c r="C299" i="13" s="1"/>
  <c r="B297" i="13"/>
  <c r="C298" i="13" s="1"/>
  <c r="B296" i="13"/>
  <c r="C297" i="13" s="1"/>
  <c r="B295" i="13"/>
  <c r="B294" i="13"/>
  <c r="C295" i="13" s="1"/>
  <c r="B293" i="13"/>
  <c r="C294" i="13" s="1"/>
  <c r="B292" i="13"/>
  <c r="C293" i="13" s="1"/>
  <c r="B291" i="13"/>
  <c r="C292" i="13" s="1"/>
  <c r="B290" i="13"/>
  <c r="C291" i="13" s="1"/>
  <c r="B289" i="13"/>
  <c r="C290" i="13" s="1"/>
  <c r="B288" i="13"/>
  <c r="C289" i="13" s="1"/>
  <c r="B287" i="13"/>
  <c r="C288" i="13" s="1"/>
  <c r="B286" i="13"/>
  <c r="C287" i="13" s="1"/>
  <c r="B285" i="13"/>
  <c r="C286" i="13" s="1"/>
  <c r="B284" i="13"/>
  <c r="C285" i="13" s="1"/>
  <c r="B283" i="13"/>
  <c r="B282" i="13"/>
  <c r="C283" i="13" s="1"/>
  <c r="B281" i="13"/>
  <c r="C282" i="13" s="1"/>
  <c r="B280" i="13"/>
  <c r="C281" i="13" s="1"/>
  <c r="B279" i="13"/>
  <c r="C280" i="13" s="1"/>
  <c r="B278" i="13"/>
  <c r="C279" i="13" s="1"/>
  <c r="B277" i="13"/>
  <c r="C278" i="13" s="1"/>
  <c r="B276" i="13"/>
  <c r="C277" i="13" s="1"/>
  <c r="B275" i="13"/>
  <c r="C276" i="13" s="1"/>
  <c r="B274" i="13"/>
  <c r="C275" i="13" s="1"/>
  <c r="B273" i="13"/>
  <c r="C274" i="13" s="1"/>
  <c r="B272" i="13"/>
  <c r="C273" i="13" s="1"/>
  <c r="B271" i="13"/>
  <c r="B270" i="13"/>
  <c r="C271" i="13" s="1"/>
  <c r="B269" i="13"/>
  <c r="C270" i="13" s="1"/>
  <c r="B268" i="13"/>
  <c r="C269" i="13" s="1"/>
  <c r="B267" i="13"/>
  <c r="C268" i="13" s="1"/>
  <c r="B266" i="13"/>
  <c r="C267" i="13" s="1"/>
  <c r="B265" i="13"/>
  <c r="C266" i="13" s="1"/>
  <c r="B264" i="13"/>
  <c r="C265" i="13" s="1"/>
  <c r="B263" i="13"/>
  <c r="C264" i="13" s="1"/>
  <c r="B262" i="13"/>
  <c r="C263" i="13" s="1"/>
  <c r="B261" i="13"/>
  <c r="C262" i="13" s="1"/>
  <c r="B260" i="13"/>
  <c r="C261" i="13" s="1"/>
  <c r="B259" i="13"/>
  <c r="B258" i="13"/>
  <c r="C259" i="13" s="1"/>
  <c r="B257" i="13"/>
  <c r="C258" i="13" s="1"/>
  <c r="B256" i="13"/>
  <c r="C257" i="13" s="1"/>
  <c r="B255" i="13"/>
  <c r="C256" i="13" s="1"/>
  <c r="B254" i="13"/>
  <c r="C255" i="13" s="1"/>
  <c r="B253" i="13"/>
  <c r="C254" i="13" s="1"/>
  <c r="B252" i="13"/>
  <c r="C253" i="13" s="1"/>
  <c r="B251" i="13"/>
  <c r="C252" i="13" s="1"/>
  <c r="B250" i="13"/>
  <c r="C251" i="13" s="1"/>
  <c r="B249" i="13"/>
  <c r="C250" i="13" s="1"/>
  <c r="B248" i="13"/>
  <c r="C249" i="13" s="1"/>
  <c r="B247" i="13"/>
  <c r="B246" i="13"/>
  <c r="C247" i="13" s="1"/>
  <c r="B245" i="13"/>
  <c r="C246" i="13" s="1"/>
  <c r="B244" i="13"/>
  <c r="C245" i="13" s="1"/>
  <c r="B243" i="13"/>
  <c r="C244" i="13" s="1"/>
  <c r="B242" i="13"/>
  <c r="C243" i="13" s="1"/>
  <c r="B241" i="13"/>
  <c r="C242" i="13" s="1"/>
  <c r="B240" i="13"/>
  <c r="C241" i="13" s="1"/>
  <c r="B239" i="13"/>
  <c r="C240" i="13" s="1"/>
  <c r="B238" i="13"/>
  <c r="C239" i="13" s="1"/>
  <c r="B237" i="13"/>
  <c r="C238" i="13" s="1"/>
  <c r="B236" i="13"/>
  <c r="C237" i="13" s="1"/>
  <c r="B235" i="13"/>
  <c r="B234" i="13"/>
  <c r="C235" i="13" s="1"/>
  <c r="B233" i="13"/>
  <c r="C234" i="13" s="1"/>
  <c r="B232" i="13"/>
  <c r="C233" i="13" s="1"/>
  <c r="B231" i="13"/>
  <c r="C232" i="13" s="1"/>
  <c r="B230" i="13"/>
  <c r="C231" i="13" s="1"/>
  <c r="B229" i="13"/>
  <c r="C230" i="13" s="1"/>
  <c r="B228" i="13"/>
  <c r="C229" i="13" s="1"/>
  <c r="B227" i="13"/>
  <c r="C228" i="13" s="1"/>
  <c r="B226" i="13"/>
  <c r="C227" i="13" s="1"/>
  <c r="B225" i="13"/>
  <c r="C226" i="13" s="1"/>
  <c r="B224" i="13"/>
  <c r="C225" i="13" s="1"/>
  <c r="B223" i="13"/>
  <c r="B222" i="13"/>
  <c r="C223" i="13" s="1"/>
  <c r="B221" i="13"/>
  <c r="C222" i="13" s="1"/>
  <c r="B220" i="13"/>
  <c r="C221" i="13" s="1"/>
  <c r="B219" i="13"/>
  <c r="C220" i="13" s="1"/>
  <c r="B218" i="13"/>
  <c r="C219" i="13" s="1"/>
  <c r="B217" i="13"/>
  <c r="C218" i="13" s="1"/>
  <c r="B216" i="13"/>
  <c r="C217" i="13" s="1"/>
  <c r="B215" i="13"/>
  <c r="C216" i="13" s="1"/>
  <c r="B214" i="13"/>
  <c r="C215" i="13" s="1"/>
  <c r="B213" i="13"/>
  <c r="C214" i="13" s="1"/>
  <c r="B212" i="13"/>
  <c r="C213" i="13" s="1"/>
  <c r="B211" i="13"/>
  <c r="B210" i="13"/>
  <c r="C211" i="13" s="1"/>
  <c r="B209" i="13"/>
  <c r="C210" i="13" s="1"/>
  <c r="B208" i="13"/>
  <c r="C209" i="13" s="1"/>
  <c r="B207" i="13"/>
  <c r="C208" i="13" s="1"/>
  <c r="B206" i="13"/>
  <c r="C207" i="13" s="1"/>
  <c r="B205" i="13"/>
  <c r="C206" i="13" s="1"/>
  <c r="B204" i="13"/>
  <c r="C205" i="13" s="1"/>
  <c r="B203" i="13"/>
  <c r="C204" i="13" s="1"/>
  <c r="B202" i="13"/>
  <c r="C203" i="13" s="1"/>
  <c r="B201" i="13"/>
  <c r="C202" i="13" s="1"/>
  <c r="B200" i="13"/>
  <c r="C201" i="13" s="1"/>
  <c r="B199" i="13"/>
  <c r="B198" i="13"/>
  <c r="C199" i="13" s="1"/>
  <c r="B197" i="13"/>
  <c r="C198" i="13" s="1"/>
  <c r="B196" i="13"/>
  <c r="C197" i="13" s="1"/>
  <c r="B195" i="13"/>
  <c r="C196" i="13" s="1"/>
  <c r="B194" i="13"/>
  <c r="C195" i="13" s="1"/>
  <c r="B193" i="13"/>
  <c r="C194" i="13" s="1"/>
  <c r="B192" i="13"/>
  <c r="C193" i="13" s="1"/>
  <c r="B191" i="13"/>
  <c r="C192" i="13" s="1"/>
  <c r="B190" i="13"/>
  <c r="C191" i="13" s="1"/>
  <c r="B189" i="13"/>
  <c r="C190" i="13" s="1"/>
  <c r="B188" i="13"/>
  <c r="C189" i="13" s="1"/>
  <c r="B187" i="13"/>
  <c r="B186" i="13"/>
  <c r="C187" i="13" s="1"/>
  <c r="B185" i="13"/>
  <c r="C186" i="13" s="1"/>
  <c r="B184" i="13"/>
  <c r="C185" i="13" s="1"/>
  <c r="B183" i="13"/>
  <c r="C184" i="13" s="1"/>
  <c r="B182" i="13"/>
  <c r="C183" i="13" s="1"/>
  <c r="B181" i="13"/>
  <c r="C182" i="13" s="1"/>
  <c r="B180" i="13"/>
  <c r="C181" i="13" s="1"/>
  <c r="B179" i="13"/>
  <c r="C180" i="13" s="1"/>
  <c r="B178" i="13"/>
  <c r="C179" i="13" s="1"/>
  <c r="B177" i="13"/>
  <c r="C178" i="13" s="1"/>
  <c r="B176" i="13"/>
  <c r="C177" i="13" s="1"/>
  <c r="B175" i="13"/>
  <c r="B174" i="13"/>
  <c r="C175" i="13" s="1"/>
  <c r="B173" i="13"/>
  <c r="C174" i="13" s="1"/>
  <c r="B172" i="13"/>
  <c r="C173" i="13" s="1"/>
  <c r="B171" i="13"/>
  <c r="C172" i="13" s="1"/>
  <c r="B170" i="13"/>
  <c r="C171" i="13" s="1"/>
  <c r="B169" i="13"/>
  <c r="C170" i="13" s="1"/>
  <c r="B168" i="13"/>
  <c r="C169" i="13" s="1"/>
  <c r="B167" i="13"/>
  <c r="C168" i="13" s="1"/>
  <c r="B166" i="13"/>
  <c r="C167" i="13" s="1"/>
  <c r="B165" i="13"/>
  <c r="C166" i="13" s="1"/>
  <c r="B164" i="13"/>
  <c r="C165" i="13" s="1"/>
  <c r="B163" i="13"/>
  <c r="B162" i="13"/>
  <c r="C163" i="13" s="1"/>
  <c r="B161" i="13"/>
  <c r="C162" i="13" s="1"/>
  <c r="B160" i="13"/>
  <c r="C161" i="13" s="1"/>
  <c r="B159" i="13"/>
  <c r="C160" i="13" s="1"/>
  <c r="B158" i="13"/>
  <c r="C159" i="13" s="1"/>
  <c r="B157" i="13"/>
  <c r="C158" i="13" s="1"/>
  <c r="B156" i="13"/>
  <c r="C157" i="13" s="1"/>
  <c r="B155" i="13"/>
  <c r="C156" i="13" s="1"/>
  <c r="B154" i="13"/>
  <c r="C155" i="13" s="1"/>
  <c r="B153" i="13"/>
  <c r="C154" i="13" s="1"/>
  <c r="B152" i="13"/>
  <c r="C153" i="13" s="1"/>
  <c r="B151" i="13"/>
  <c r="B150" i="13"/>
  <c r="C151" i="13" s="1"/>
  <c r="B149" i="13"/>
  <c r="C150" i="13" s="1"/>
  <c r="B148" i="13"/>
  <c r="C149" i="13" s="1"/>
  <c r="B147" i="13"/>
  <c r="C148" i="13" s="1"/>
  <c r="B146" i="13"/>
  <c r="C147" i="13" s="1"/>
  <c r="B145" i="13"/>
  <c r="C146" i="13" s="1"/>
  <c r="B144" i="13"/>
  <c r="C145" i="13" s="1"/>
  <c r="B143" i="13"/>
  <c r="C144" i="13" s="1"/>
  <c r="B142" i="13"/>
  <c r="C143" i="13" s="1"/>
  <c r="B141" i="13"/>
  <c r="C142" i="13" s="1"/>
  <c r="B140" i="13"/>
  <c r="C141" i="13" s="1"/>
  <c r="B139" i="13"/>
  <c r="B138" i="13"/>
  <c r="C139" i="13" s="1"/>
  <c r="B137" i="13"/>
  <c r="C138" i="13" s="1"/>
  <c r="B136" i="13"/>
  <c r="C137" i="13" s="1"/>
  <c r="B135" i="13"/>
  <c r="C136" i="13" s="1"/>
  <c r="B134" i="13"/>
  <c r="C135" i="13" s="1"/>
  <c r="B133" i="13"/>
  <c r="C134" i="13" s="1"/>
  <c r="B132" i="13"/>
  <c r="C133" i="13" s="1"/>
  <c r="B131" i="13"/>
  <c r="C132" i="13" s="1"/>
  <c r="B130" i="13"/>
  <c r="C131" i="13" s="1"/>
  <c r="B129" i="13"/>
  <c r="C130" i="13" s="1"/>
  <c r="B128" i="13"/>
  <c r="C129" i="13" s="1"/>
  <c r="B127" i="13"/>
  <c r="B126" i="13"/>
  <c r="C127" i="13" s="1"/>
  <c r="B125" i="13"/>
  <c r="C126" i="13" s="1"/>
  <c r="B124" i="13"/>
  <c r="C125" i="13" s="1"/>
  <c r="B123" i="13"/>
  <c r="C124" i="13" s="1"/>
  <c r="B122" i="13"/>
  <c r="C123" i="13" s="1"/>
  <c r="B121" i="13"/>
  <c r="C122" i="13" s="1"/>
  <c r="B120" i="13"/>
  <c r="C121" i="13" s="1"/>
  <c r="B119" i="13"/>
  <c r="C120" i="13" s="1"/>
  <c r="B118" i="13"/>
  <c r="C119" i="13" s="1"/>
  <c r="B117" i="13"/>
  <c r="C118" i="13" s="1"/>
  <c r="B116" i="13"/>
  <c r="C117" i="13" s="1"/>
  <c r="B115" i="13"/>
  <c r="B114" i="13"/>
  <c r="C115" i="13" s="1"/>
  <c r="B113" i="13"/>
  <c r="C114" i="13" s="1"/>
  <c r="B112" i="13"/>
  <c r="C113" i="13" s="1"/>
  <c r="B111" i="13"/>
  <c r="C112" i="13" s="1"/>
  <c r="B110" i="13"/>
  <c r="C111" i="13" s="1"/>
  <c r="B109" i="13"/>
  <c r="C110" i="13" s="1"/>
  <c r="B108" i="13"/>
  <c r="C109" i="13" s="1"/>
  <c r="B107" i="13"/>
  <c r="C108" i="13" s="1"/>
  <c r="B106" i="13"/>
  <c r="C107" i="13" s="1"/>
  <c r="B105" i="13"/>
  <c r="C106" i="13" s="1"/>
  <c r="B104" i="13"/>
  <c r="C105" i="13" s="1"/>
  <c r="B103" i="13"/>
  <c r="B102" i="13"/>
  <c r="C103" i="13" s="1"/>
  <c r="B101" i="13"/>
  <c r="C102" i="13" s="1"/>
  <c r="B100" i="13"/>
  <c r="C101" i="13" s="1"/>
  <c r="B99" i="13"/>
  <c r="C100" i="13" s="1"/>
  <c r="B98" i="13"/>
  <c r="C99" i="13" s="1"/>
  <c r="B97" i="13"/>
  <c r="C98" i="13" s="1"/>
  <c r="B96" i="13"/>
  <c r="C97" i="13" s="1"/>
  <c r="B95" i="13"/>
  <c r="C96" i="13" s="1"/>
  <c r="B94" i="13"/>
  <c r="C95" i="13" s="1"/>
  <c r="B93" i="13"/>
  <c r="C94" i="13" s="1"/>
  <c r="B92" i="13"/>
  <c r="C93" i="13" s="1"/>
  <c r="B91" i="13"/>
  <c r="B90" i="13"/>
  <c r="C91" i="13" s="1"/>
  <c r="B89" i="13"/>
  <c r="C90" i="13" s="1"/>
  <c r="B88" i="13"/>
  <c r="C89" i="13" s="1"/>
  <c r="B87" i="13"/>
  <c r="C88" i="13" s="1"/>
  <c r="B86" i="13"/>
  <c r="C87" i="13" s="1"/>
  <c r="B85" i="13"/>
  <c r="C86" i="13" s="1"/>
  <c r="B84" i="13"/>
  <c r="C85" i="13" s="1"/>
  <c r="B83" i="13"/>
  <c r="C84" i="13" s="1"/>
  <c r="B82" i="13"/>
  <c r="C83" i="13" s="1"/>
  <c r="B81" i="13"/>
  <c r="C82" i="13" s="1"/>
  <c r="B80" i="13"/>
  <c r="C81" i="13" s="1"/>
  <c r="B79" i="13"/>
  <c r="B78" i="13"/>
  <c r="C79" i="13" s="1"/>
  <c r="B77" i="13"/>
  <c r="C78" i="13" s="1"/>
  <c r="B76" i="13"/>
  <c r="C77" i="13" s="1"/>
  <c r="B75" i="13"/>
  <c r="C76" i="13" s="1"/>
  <c r="B74" i="13"/>
  <c r="C75" i="13" s="1"/>
  <c r="B73" i="13"/>
  <c r="C74" i="13" s="1"/>
  <c r="B72" i="13"/>
  <c r="C73" i="13" s="1"/>
  <c r="B71" i="13"/>
  <c r="C72" i="13" s="1"/>
  <c r="B70" i="13"/>
  <c r="C71" i="13" s="1"/>
  <c r="B69" i="13"/>
  <c r="C70" i="13" s="1"/>
  <c r="B68" i="13"/>
  <c r="C69" i="13" s="1"/>
  <c r="B67" i="13"/>
  <c r="B66" i="13"/>
  <c r="C67" i="13" s="1"/>
  <c r="B65" i="13"/>
  <c r="C66" i="13" s="1"/>
  <c r="B64" i="13"/>
  <c r="C65" i="13" s="1"/>
  <c r="B63" i="13"/>
  <c r="C64" i="13" s="1"/>
  <c r="B62" i="13"/>
  <c r="C63" i="13" s="1"/>
  <c r="B61" i="13"/>
  <c r="C62" i="13" s="1"/>
  <c r="B60" i="13"/>
  <c r="C61" i="13" s="1"/>
  <c r="B59" i="13"/>
  <c r="C60" i="13" s="1"/>
  <c r="B58" i="13"/>
  <c r="C59" i="13" s="1"/>
  <c r="B57" i="13"/>
  <c r="C58" i="13" s="1"/>
  <c r="B56" i="13"/>
  <c r="C57" i="13" s="1"/>
  <c r="B55" i="13"/>
  <c r="B54" i="13"/>
  <c r="C55" i="13" s="1"/>
  <c r="B53" i="13"/>
  <c r="C54" i="13" s="1"/>
  <c r="B52" i="13"/>
  <c r="C53" i="13" s="1"/>
  <c r="B51" i="13"/>
  <c r="C52" i="13" s="1"/>
  <c r="B50" i="13"/>
  <c r="C51" i="13" s="1"/>
  <c r="B49" i="13"/>
  <c r="C50" i="13" s="1"/>
  <c r="B48" i="13"/>
  <c r="C49" i="13" s="1"/>
  <c r="B47" i="13"/>
  <c r="C48" i="13" s="1"/>
  <c r="B46" i="13"/>
  <c r="C47" i="13" s="1"/>
  <c r="B45" i="13"/>
  <c r="C46" i="13" s="1"/>
  <c r="B44" i="13"/>
  <c r="C45" i="13" s="1"/>
  <c r="B43" i="13"/>
  <c r="B42" i="13"/>
  <c r="C43" i="13" s="1"/>
  <c r="B41" i="13"/>
  <c r="C42" i="13" s="1"/>
  <c r="B40" i="13"/>
  <c r="C41" i="13" s="1"/>
  <c r="B39" i="13"/>
  <c r="C40" i="13" s="1"/>
  <c r="B38" i="13"/>
  <c r="C39" i="13" s="1"/>
  <c r="B37" i="13"/>
  <c r="C38" i="13" s="1"/>
  <c r="B36" i="13"/>
  <c r="C37" i="13" s="1"/>
  <c r="B35" i="13"/>
  <c r="C36" i="13" s="1"/>
  <c r="B34" i="13"/>
  <c r="C35" i="13" s="1"/>
  <c r="B33" i="13"/>
  <c r="C34" i="13" s="1"/>
  <c r="B32" i="13"/>
  <c r="C33" i="13" s="1"/>
  <c r="B31" i="13"/>
  <c r="B30" i="13"/>
  <c r="C31" i="13" s="1"/>
  <c r="B29" i="13"/>
  <c r="C30" i="13" s="1"/>
  <c r="B28" i="13"/>
  <c r="C29" i="13" s="1"/>
  <c r="B27" i="13"/>
  <c r="C28" i="13" s="1"/>
  <c r="B26" i="13"/>
  <c r="C27" i="13" s="1"/>
  <c r="B25" i="13"/>
  <c r="C26" i="13" s="1"/>
  <c r="B24" i="13"/>
  <c r="C25" i="13" s="1"/>
  <c r="B23" i="13"/>
  <c r="C24" i="13" s="1"/>
  <c r="B22" i="13"/>
  <c r="C23" i="13" s="1"/>
  <c r="B21" i="13"/>
  <c r="C22" i="13" s="1"/>
  <c r="B20" i="13"/>
  <c r="C21" i="13" s="1"/>
  <c r="B19" i="13"/>
  <c r="B18" i="13"/>
  <c r="C19" i="13" s="1"/>
  <c r="B17" i="13"/>
  <c r="C18" i="13" s="1"/>
  <c r="B16" i="13"/>
  <c r="C17" i="13" s="1"/>
  <c r="B15" i="13"/>
  <c r="C16" i="13" s="1"/>
  <c r="B14" i="13"/>
  <c r="C15" i="13" s="1"/>
  <c r="B13" i="13"/>
  <c r="B12" i="13"/>
  <c r="C13" i="13" s="1"/>
  <c r="B11" i="13"/>
  <c r="C12" i="13" s="1"/>
  <c r="B10" i="13"/>
  <c r="C11" i="13" s="1"/>
  <c r="B9" i="13"/>
  <c r="C10" i="13" s="1"/>
  <c r="B8" i="13"/>
  <c r="C9" i="13" s="1"/>
  <c r="B7" i="13"/>
  <c r="B6" i="13"/>
  <c r="E312" i="12"/>
  <c r="D312" i="12"/>
  <c r="C312" i="12"/>
  <c r="B312" i="12"/>
  <c r="E311" i="12"/>
  <c r="D311" i="12"/>
  <c r="C311" i="12"/>
  <c r="B311" i="12"/>
  <c r="E310" i="12"/>
  <c r="D310" i="12"/>
  <c r="C310" i="12"/>
  <c r="B310" i="12"/>
  <c r="E309" i="12"/>
  <c r="D309" i="12"/>
  <c r="C309" i="12"/>
  <c r="B309" i="12"/>
  <c r="E308" i="12"/>
  <c r="D308" i="12"/>
  <c r="C308" i="12"/>
  <c r="B308" i="12"/>
  <c r="E307" i="12"/>
  <c r="D307" i="12"/>
  <c r="C307" i="12"/>
  <c r="B307" i="12"/>
  <c r="E306" i="12"/>
  <c r="D306" i="12"/>
  <c r="C306" i="12"/>
  <c r="B306" i="12"/>
  <c r="E305" i="12"/>
  <c r="D305" i="12"/>
  <c r="C305" i="12"/>
  <c r="B305" i="12"/>
  <c r="E304" i="12"/>
  <c r="D304" i="12"/>
  <c r="C304" i="12"/>
  <c r="B304" i="12"/>
  <c r="E303" i="12"/>
  <c r="D303" i="12"/>
  <c r="C303" i="12"/>
  <c r="B303" i="12"/>
  <c r="E302" i="12"/>
  <c r="D302" i="12"/>
  <c r="C302" i="12"/>
  <c r="B302" i="12"/>
  <c r="E301" i="12"/>
  <c r="D301" i="12"/>
  <c r="C301" i="12"/>
  <c r="B301" i="12"/>
  <c r="E300" i="12"/>
  <c r="D300" i="12"/>
  <c r="C300" i="12"/>
  <c r="B300" i="12"/>
  <c r="E299" i="12"/>
  <c r="D299" i="12"/>
  <c r="C299" i="12"/>
  <c r="B299" i="12"/>
  <c r="E298" i="12"/>
  <c r="D298" i="12"/>
  <c r="C298" i="12"/>
  <c r="B298" i="12"/>
  <c r="E297" i="12"/>
  <c r="D297" i="12"/>
  <c r="C297" i="12"/>
  <c r="B297" i="12"/>
  <c r="E296" i="12"/>
  <c r="D296" i="12"/>
  <c r="C296" i="12"/>
  <c r="B296" i="12"/>
  <c r="E295" i="12"/>
  <c r="D295" i="12"/>
  <c r="C295" i="12"/>
  <c r="B295" i="12"/>
  <c r="E294" i="12"/>
  <c r="D294" i="12"/>
  <c r="C294" i="12"/>
  <c r="B294" i="12"/>
  <c r="E293" i="12"/>
  <c r="D293" i="12"/>
  <c r="C293" i="12"/>
  <c r="B293" i="12"/>
  <c r="E292" i="12"/>
  <c r="D292" i="12"/>
  <c r="C292" i="12"/>
  <c r="B292" i="12"/>
  <c r="E291" i="12"/>
  <c r="D291" i="12"/>
  <c r="C291" i="12"/>
  <c r="B291" i="12"/>
  <c r="E290" i="12"/>
  <c r="D290" i="12"/>
  <c r="C290" i="12"/>
  <c r="B290" i="12"/>
  <c r="E289" i="12"/>
  <c r="D289" i="12"/>
  <c r="C289" i="12"/>
  <c r="B289" i="12"/>
  <c r="E288" i="12"/>
  <c r="D288" i="12"/>
  <c r="C288" i="12"/>
  <c r="B288" i="12"/>
  <c r="E287" i="12"/>
  <c r="D287" i="12"/>
  <c r="C287" i="12"/>
  <c r="B287" i="12"/>
  <c r="E286" i="12"/>
  <c r="D286" i="12"/>
  <c r="C286" i="12"/>
  <c r="B286" i="12"/>
  <c r="E285" i="12"/>
  <c r="D285" i="12"/>
  <c r="C285" i="12"/>
  <c r="B285" i="12"/>
  <c r="E284" i="12"/>
  <c r="D284" i="12"/>
  <c r="C284" i="12"/>
  <c r="B284" i="12"/>
  <c r="E283" i="12"/>
  <c r="D283" i="12"/>
  <c r="C283" i="12"/>
  <c r="B283" i="12"/>
  <c r="E282" i="12"/>
  <c r="D282" i="12"/>
  <c r="C282" i="12"/>
  <c r="B282" i="12"/>
  <c r="E281" i="12"/>
  <c r="D281" i="12"/>
  <c r="C281" i="12"/>
  <c r="B281" i="12"/>
  <c r="E280" i="12"/>
  <c r="D280" i="12"/>
  <c r="C280" i="12"/>
  <c r="B280" i="12"/>
  <c r="E279" i="12"/>
  <c r="D279" i="12"/>
  <c r="C279" i="12"/>
  <c r="B279" i="12"/>
  <c r="E278" i="12"/>
  <c r="D278" i="12"/>
  <c r="C278" i="12"/>
  <c r="B278" i="12"/>
  <c r="E277" i="12"/>
  <c r="D277" i="12"/>
  <c r="C277" i="12"/>
  <c r="B277" i="12"/>
  <c r="E276" i="12"/>
  <c r="D276" i="12"/>
  <c r="C276" i="12"/>
  <c r="B276" i="12"/>
  <c r="E275" i="12"/>
  <c r="D275" i="12"/>
  <c r="C275" i="12"/>
  <c r="B275" i="12"/>
  <c r="E274" i="12"/>
  <c r="D274" i="12"/>
  <c r="C274" i="12"/>
  <c r="B274" i="12"/>
  <c r="E273" i="12"/>
  <c r="D273" i="12"/>
  <c r="C273" i="12"/>
  <c r="B273" i="12"/>
  <c r="E272" i="12"/>
  <c r="D272" i="12"/>
  <c r="C272" i="12"/>
  <c r="B272" i="12"/>
  <c r="E271" i="12"/>
  <c r="D271" i="12"/>
  <c r="C271" i="12"/>
  <c r="B271" i="12"/>
  <c r="E270" i="12"/>
  <c r="D270" i="12"/>
  <c r="C270" i="12"/>
  <c r="B270" i="12"/>
  <c r="E269" i="12"/>
  <c r="D269" i="12"/>
  <c r="C269" i="12"/>
  <c r="B269" i="12"/>
  <c r="E268" i="12"/>
  <c r="D268" i="12"/>
  <c r="C268" i="12"/>
  <c r="B268" i="12"/>
  <c r="E267" i="12"/>
  <c r="D267" i="12"/>
  <c r="C267" i="12"/>
  <c r="B267" i="12"/>
  <c r="E266" i="12"/>
  <c r="D266" i="12"/>
  <c r="C266" i="12"/>
  <c r="B266" i="12"/>
  <c r="E265" i="12"/>
  <c r="D265" i="12"/>
  <c r="C265" i="12"/>
  <c r="B265" i="12"/>
  <c r="E264" i="12"/>
  <c r="D264" i="12"/>
  <c r="C264" i="12"/>
  <c r="B264" i="12"/>
  <c r="E263" i="12"/>
  <c r="D263" i="12"/>
  <c r="C263" i="12"/>
  <c r="B263" i="12"/>
  <c r="E262" i="12"/>
  <c r="D262" i="12"/>
  <c r="C262" i="12"/>
  <c r="B262" i="12"/>
  <c r="E261" i="12"/>
  <c r="D261" i="12"/>
  <c r="C261" i="12"/>
  <c r="B261" i="12"/>
  <c r="E260" i="12"/>
  <c r="D260" i="12"/>
  <c r="C260" i="12"/>
  <c r="B260" i="12"/>
  <c r="E259" i="12"/>
  <c r="D259" i="12"/>
  <c r="C259" i="12"/>
  <c r="B259" i="12"/>
  <c r="E258" i="12"/>
  <c r="D258" i="12"/>
  <c r="C258" i="12"/>
  <c r="B258" i="12"/>
  <c r="E257" i="12"/>
  <c r="D257" i="12"/>
  <c r="C257" i="12"/>
  <c r="B257" i="12"/>
  <c r="E256" i="12"/>
  <c r="D256" i="12"/>
  <c r="C256" i="12"/>
  <c r="B256" i="12"/>
  <c r="E255" i="12"/>
  <c r="D255" i="12"/>
  <c r="C255" i="12"/>
  <c r="B255" i="12"/>
  <c r="E254" i="12"/>
  <c r="D254" i="12"/>
  <c r="C254" i="12"/>
  <c r="B254" i="12"/>
  <c r="E253" i="12"/>
  <c r="D253" i="12"/>
  <c r="C253" i="12"/>
  <c r="B253" i="12"/>
  <c r="E252" i="12"/>
  <c r="D252" i="12"/>
  <c r="C252" i="12"/>
  <c r="B252" i="12"/>
  <c r="E251" i="12"/>
  <c r="D251" i="12"/>
  <c r="C251" i="12"/>
  <c r="B251" i="12"/>
  <c r="E250" i="12"/>
  <c r="D250" i="12"/>
  <c r="C250" i="12"/>
  <c r="B250" i="12"/>
  <c r="E249" i="12"/>
  <c r="D249" i="12"/>
  <c r="C249" i="12"/>
  <c r="B249" i="12"/>
  <c r="E248" i="12"/>
  <c r="D248" i="12"/>
  <c r="C248" i="12"/>
  <c r="B248" i="12"/>
  <c r="E247" i="12"/>
  <c r="D247" i="12"/>
  <c r="C247" i="12"/>
  <c r="B247" i="12"/>
  <c r="E246" i="12"/>
  <c r="D246" i="12"/>
  <c r="C246" i="12"/>
  <c r="B246" i="12"/>
  <c r="E245" i="12"/>
  <c r="D245" i="12"/>
  <c r="C245" i="12"/>
  <c r="B245" i="12"/>
  <c r="E244" i="12"/>
  <c r="D244" i="12"/>
  <c r="C244" i="12"/>
  <c r="B244" i="12"/>
  <c r="E243" i="12"/>
  <c r="D243" i="12"/>
  <c r="C243" i="12"/>
  <c r="B243" i="12"/>
  <c r="E242" i="12"/>
  <c r="D242" i="12"/>
  <c r="C242" i="12"/>
  <c r="B242" i="12"/>
  <c r="E241" i="12"/>
  <c r="D241" i="12"/>
  <c r="C241" i="12"/>
  <c r="B241" i="12"/>
  <c r="E240" i="12"/>
  <c r="D240" i="12"/>
  <c r="C240" i="12"/>
  <c r="B240" i="12"/>
  <c r="E239" i="12"/>
  <c r="D239" i="12"/>
  <c r="C239" i="12"/>
  <c r="B239" i="12"/>
  <c r="E238" i="12"/>
  <c r="D238" i="12"/>
  <c r="C238" i="12"/>
  <c r="B238" i="12"/>
  <c r="E237" i="12"/>
  <c r="D237" i="12"/>
  <c r="C237" i="12"/>
  <c r="B237" i="12"/>
  <c r="E236" i="12"/>
  <c r="D236" i="12"/>
  <c r="C236" i="12"/>
  <c r="B236" i="12"/>
  <c r="E235" i="12"/>
  <c r="D235" i="12"/>
  <c r="C235" i="12"/>
  <c r="B235" i="12"/>
  <c r="E234" i="12"/>
  <c r="D234" i="12"/>
  <c r="C234" i="12"/>
  <c r="B234" i="12"/>
  <c r="E233" i="12"/>
  <c r="D233" i="12"/>
  <c r="C233" i="12"/>
  <c r="B233" i="12"/>
  <c r="E232" i="12"/>
  <c r="D232" i="12"/>
  <c r="C232" i="12"/>
  <c r="B232" i="12"/>
  <c r="E231" i="12"/>
  <c r="D231" i="12"/>
  <c r="C231" i="12"/>
  <c r="B231" i="12"/>
  <c r="E230" i="12"/>
  <c r="D230" i="12"/>
  <c r="C230" i="12"/>
  <c r="B230" i="12"/>
  <c r="E229" i="12"/>
  <c r="D229" i="12"/>
  <c r="C229" i="12"/>
  <c r="B229" i="12"/>
  <c r="E228" i="12"/>
  <c r="D228" i="12"/>
  <c r="C228" i="12"/>
  <c r="B228" i="12"/>
  <c r="E227" i="12"/>
  <c r="D227" i="12"/>
  <c r="C227" i="12"/>
  <c r="B227" i="12"/>
  <c r="E226" i="12"/>
  <c r="D226" i="12"/>
  <c r="C226" i="12"/>
  <c r="B226" i="12"/>
  <c r="E225" i="12"/>
  <c r="D225" i="12"/>
  <c r="C225" i="12"/>
  <c r="B225" i="12"/>
  <c r="E224" i="12"/>
  <c r="D224" i="12"/>
  <c r="C224" i="12"/>
  <c r="B224" i="12"/>
  <c r="E223" i="12"/>
  <c r="D223" i="12"/>
  <c r="C223" i="12"/>
  <c r="B223" i="12"/>
  <c r="E222" i="12"/>
  <c r="D222" i="12"/>
  <c r="C222" i="12"/>
  <c r="B222" i="12"/>
  <c r="E221" i="12"/>
  <c r="D221" i="12"/>
  <c r="C221" i="12"/>
  <c r="B221" i="12"/>
  <c r="E220" i="12"/>
  <c r="D220" i="12"/>
  <c r="C220" i="12"/>
  <c r="B220" i="12"/>
  <c r="E219" i="12"/>
  <c r="D219" i="12"/>
  <c r="C219" i="12"/>
  <c r="B219" i="12"/>
  <c r="E218" i="12"/>
  <c r="D218" i="12"/>
  <c r="C218" i="12"/>
  <c r="B218" i="12"/>
  <c r="E217" i="12"/>
  <c r="D217" i="12"/>
  <c r="C217" i="12"/>
  <c r="B217" i="12"/>
  <c r="E216" i="12"/>
  <c r="D216" i="12"/>
  <c r="C216" i="12"/>
  <c r="B216" i="12"/>
  <c r="E215" i="12"/>
  <c r="D215" i="12"/>
  <c r="C215" i="12"/>
  <c r="B215" i="12"/>
  <c r="E214" i="12"/>
  <c r="D214" i="12"/>
  <c r="C214" i="12"/>
  <c r="B214" i="12"/>
  <c r="E213" i="12"/>
  <c r="D213" i="12"/>
  <c r="C213" i="12"/>
  <c r="B213" i="12"/>
  <c r="E212" i="12"/>
  <c r="D212" i="12"/>
  <c r="C212" i="12"/>
  <c r="B212" i="12"/>
  <c r="E211" i="12"/>
  <c r="D211" i="12"/>
  <c r="C211" i="12"/>
  <c r="B211" i="12"/>
  <c r="E210" i="12"/>
  <c r="D210" i="12"/>
  <c r="C210" i="12"/>
  <c r="B210" i="12"/>
  <c r="E209" i="12"/>
  <c r="D209" i="12"/>
  <c r="C209" i="12"/>
  <c r="B209" i="12"/>
  <c r="E208" i="12"/>
  <c r="D208" i="12"/>
  <c r="C208" i="12"/>
  <c r="B208" i="12"/>
  <c r="E207" i="12"/>
  <c r="D207" i="12"/>
  <c r="C207" i="12"/>
  <c r="B207" i="12"/>
  <c r="E206" i="12"/>
  <c r="D206" i="12"/>
  <c r="C206" i="12"/>
  <c r="B206" i="12"/>
  <c r="E205" i="12"/>
  <c r="D205" i="12"/>
  <c r="C205" i="12"/>
  <c r="B205" i="12"/>
  <c r="E204" i="12"/>
  <c r="D204" i="12"/>
  <c r="C204" i="12"/>
  <c r="B204" i="12"/>
  <c r="E203" i="12"/>
  <c r="D203" i="12"/>
  <c r="C203" i="12"/>
  <c r="B203" i="12"/>
  <c r="E202" i="12"/>
  <c r="D202" i="12"/>
  <c r="C202" i="12"/>
  <c r="B202" i="12"/>
  <c r="E201" i="12"/>
  <c r="D201" i="12"/>
  <c r="C201" i="12"/>
  <c r="B201" i="12"/>
  <c r="E200" i="12"/>
  <c r="D200" i="12"/>
  <c r="C200" i="12"/>
  <c r="B200" i="12"/>
  <c r="E199" i="12"/>
  <c r="D199" i="12"/>
  <c r="C199" i="12"/>
  <c r="B199" i="12"/>
  <c r="E198" i="12"/>
  <c r="D198" i="12"/>
  <c r="C198" i="12"/>
  <c r="B198" i="12"/>
  <c r="E197" i="12"/>
  <c r="D197" i="12"/>
  <c r="C197" i="12"/>
  <c r="B197" i="12"/>
  <c r="E196" i="12"/>
  <c r="D196" i="12"/>
  <c r="C196" i="12"/>
  <c r="B196" i="12"/>
  <c r="E195" i="12"/>
  <c r="D195" i="12"/>
  <c r="C195" i="12"/>
  <c r="B195" i="12"/>
  <c r="E194" i="12"/>
  <c r="D194" i="12"/>
  <c r="C194" i="12"/>
  <c r="B194" i="12"/>
  <c r="E193" i="12"/>
  <c r="D193" i="12"/>
  <c r="C193" i="12"/>
  <c r="B193" i="12"/>
  <c r="E192" i="12"/>
  <c r="D192" i="12"/>
  <c r="C192" i="12"/>
  <c r="B192" i="12"/>
  <c r="E191" i="12"/>
  <c r="D191" i="12"/>
  <c r="C191" i="12"/>
  <c r="B191" i="12"/>
  <c r="E190" i="12"/>
  <c r="D190" i="12"/>
  <c r="C190" i="12"/>
  <c r="B190" i="12"/>
  <c r="E189" i="12"/>
  <c r="D189" i="12"/>
  <c r="C189" i="12"/>
  <c r="B189" i="12"/>
  <c r="E188" i="12"/>
  <c r="D188" i="12"/>
  <c r="C188" i="12"/>
  <c r="B188" i="12"/>
  <c r="E187" i="12"/>
  <c r="D187" i="12"/>
  <c r="C187" i="12"/>
  <c r="B187" i="12"/>
  <c r="E186" i="12"/>
  <c r="D186" i="12"/>
  <c r="C186" i="12"/>
  <c r="B186" i="12"/>
  <c r="E185" i="12"/>
  <c r="D185" i="12"/>
  <c r="C185" i="12"/>
  <c r="B185" i="12"/>
  <c r="E184" i="12"/>
  <c r="D184" i="12"/>
  <c r="C184" i="12"/>
  <c r="B184" i="12"/>
  <c r="E183" i="12"/>
  <c r="D183" i="12"/>
  <c r="C183" i="12"/>
  <c r="B183" i="12"/>
  <c r="E182" i="12"/>
  <c r="D182" i="12"/>
  <c r="C182" i="12"/>
  <c r="B182" i="12"/>
  <c r="E181" i="12"/>
  <c r="D181" i="12"/>
  <c r="C181" i="12"/>
  <c r="B181" i="12"/>
  <c r="E180" i="12"/>
  <c r="D180" i="12"/>
  <c r="C180" i="12"/>
  <c r="B180" i="12"/>
  <c r="E179" i="12"/>
  <c r="D179" i="12"/>
  <c r="C179" i="12"/>
  <c r="B179" i="12"/>
  <c r="E178" i="12"/>
  <c r="D178" i="12"/>
  <c r="C178" i="12"/>
  <c r="B178" i="12"/>
  <c r="E177" i="12"/>
  <c r="D177" i="12"/>
  <c r="C177" i="12"/>
  <c r="B177" i="12"/>
  <c r="E176" i="12"/>
  <c r="D176" i="12"/>
  <c r="C176" i="12"/>
  <c r="B176" i="12"/>
  <c r="E175" i="12"/>
  <c r="D175" i="12"/>
  <c r="C175" i="12"/>
  <c r="B175" i="12"/>
  <c r="E174" i="12"/>
  <c r="D174" i="12"/>
  <c r="C174" i="12"/>
  <c r="B174" i="12"/>
  <c r="E173" i="12"/>
  <c r="D173" i="12"/>
  <c r="C173" i="12"/>
  <c r="B173" i="12"/>
  <c r="E172" i="12"/>
  <c r="D172" i="12"/>
  <c r="C172" i="12"/>
  <c r="B172" i="12"/>
  <c r="E171" i="12"/>
  <c r="D171" i="12"/>
  <c r="C171" i="12"/>
  <c r="B171" i="12"/>
  <c r="E170" i="12"/>
  <c r="D170" i="12"/>
  <c r="C170" i="12"/>
  <c r="B170" i="12"/>
  <c r="E169" i="12"/>
  <c r="D169" i="12"/>
  <c r="C169" i="12"/>
  <c r="B169" i="12"/>
  <c r="E168" i="12"/>
  <c r="D168" i="12"/>
  <c r="C168" i="12"/>
  <c r="B168" i="12"/>
  <c r="E167" i="12"/>
  <c r="D167" i="12"/>
  <c r="C167" i="12"/>
  <c r="B167" i="12"/>
  <c r="E166" i="12"/>
  <c r="D166" i="12"/>
  <c r="C166" i="12"/>
  <c r="B166" i="12"/>
  <c r="E165" i="12"/>
  <c r="D165" i="12"/>
  <c r="C165" i="12"/>
  <c r="B165" i="12"/>
  <c r="E164" i="12"/>
  <c r="D164" i="12"/>
  <c r="C164" i="12"/>
  <c r="B164" i="12"/>
  <c r="E163" i="12"/>
  <c r="D163" i="12"/>
  <c r="C163" i="12"/>
  <c r="B163" i="12"/>
  <c r="E162" i="12"/>
  <c r="D162" i="12"/>
  <c r="C162" i="12"/>
  <c r="B162" i="12"/>
  <c r="E161" i="12"/>
  <c r="D161" i="12"/>
  <c r="C161" i="12"/>
  <c r="B161" i="12"/>
  <c r="E160" i="12"/>
  <c r="D160" i="12"/>
  <c r="C160" i="12"/>
  <c r="B160" i="12"/>
  <c r="E159" i="12"/>
  <c r="D159" i="12"/>
  <c r="C159" i="12"/>
  <c r="B159" i="12"/>
  <c r="E158" i="12"/>
  <c r="D158" i="12"/>
  <c r="C158" i="12"/>
  <c r="B158" i="12"/>
  <c r="E157" i="12"/>
  <c r="D157" i="12"/>
  <c r="C157" i="12"/>
  <c r="B157" i="12"/>
  <c r="E156" i="12"/>
  <c r="D156" i="12"/>
  <c r="C156" i="12"/>
  <c r="B156" i="12"/>
  <c r="E155" i="12"/>
  <c r="D155" i="12"/>
  <c r="C155" i="12"/>
  <c r="B155" i="12"/>
  <c r="E154" i="12"/>
  <c r="D154" i="12"/>
  <c r="C154" i="12"/>
  <c r="B154" i="12"/>
  <c r="E153" i="12"/>
  <c r="D153" i="12"/>
  <c r="C153" i="12"/>
  <c r="B153" i="12"/>
  <c r="E152" i="12"/>
  <c r="D152" i="12"/>
  <c r="C152" i="12"/>
  <c r="B152" i="12"/>
  <c r="E151" i="12"/>
  <c r="D151" i="12"/>
  <c r="C151" i="12"/>
  <c r="B151" i="12"/>
  <c r="E150" i="12"/>
  <c r="D150" i="12"/>
  <c r="C150" i="12"/>
  <c r="B150" i="12"/>
  <c r="E149" i="12"/>
  <c r="D149" i="12"/>
  <c r="C149" i="12"/>
  <c r="B149" i="12"/>
  <c r="E148" i="12"/>
  <c r="D148" i="12"/>
  <c r="C148" i="12"/>
  <c r="B148" i="12"/>
  <c r="E147" i="12"/>
  <c r="D147" i="12"/>
  <c r="C147" i="12"/>
  <c r="B147" i="12"/>
  <c r="E146" i="12"/>
  <c r="D146" i="12"/>
  <c r="C146" i="12"/>
  <c r="B146" i="12"/>
  <c r="E145" i="12"/>
  <c r="D145" i="12"/>
  <c r="C145" i="12"/>
  <c r="B145" i="12"/>
  <c r="E144" i="12"/>
  <c r="D144" i="12"/>
  <c r="C144" i="12"/>
  <c r="B144" i="12"/>
  <c r="E143" i="12"/>
  <c r="D143" i="12"/>
  <c r="C143" i="12"/>
  <c r="B143" i="12"/>
  <c r="E142" i="12"/>
  <c r="D142" i="12"/>
  <c r="C142" i="12"/>
  <c r="B142" i="12"/>
  <c r="E141" i="12"/>
  <c r="D141" i="12"/>
  <c r="C141" i="12"/>
  <c r="B141" i="12"/>
  <c r="E140" i="12"/>
  <c r="D140" i="12"/>
  <c r="C140" i="12"/>
  <c r="B140" i="12"/>
  <c r="E139" i="12"/>
  <c r="D139" i="12"/>
  <c r="C139" i="12"/>
  <c r="B139" i="12"/>
  <c r="E138" i="12"/>
  <c r="D138" i="12"/>
  <c r="C138" i="12"/>
  <c r="B138" i="12"/>
  <c r="E137" i="12"/>
  <c r="D137" i="12"/>
  <c r="C137" i="12"/>
  <c r="B137" i="12"/>
  <c r="E136" i="12"/>
  <c r="D136" i="12"/>
  <c r="C136" i="12"/>
  <c r="B136" i="12"/>
  <c r="E135" i="12"/>
  <c r="D135" i="12"/>
  <c r="C135" i="12"/>
  <c r="B135" i="12"/>
  <c r="E134" i="12"/>
  <c r="D134" i="12"/>
  <c r="C134" i="12"/>
  <c r="B134" i="12"/>
  <c r="E133" i="12"/>
  <c r="D133" i="12"/>
  <c r="C133" i="12"/>
  <c r="B133" i="12"/>
  <c r="E132" i="12"/>
  <c r="D132" i="12"/>
  <c r="C132" i="12"/>
  <c r="B132" i="12"/>
  <c r="E131" i="12"/>
  <c r="D131" i="12"/>
  <c r="C131" i="12"/>
  <c r="B131" i="12"/>
  <c r="E130" i="12"/>
  <c r="D130" i="12"/>
  <c r="C130" i="12"/>
  <c r="B130" i="12"/>
  <c r="E129" i="12"/>
  <c r="D129" i="12"/>
  <c r="C129" i="12"/>
  <c r="B129" i="12"/>
  <c r="E128" i="12"/>
  <c r="D128" i="12"/>
  <c r="C128" i="12"/>
  <c r="B128" i="12"/>
  <c r="E127" i="12"/>
  <c r="D127" i="12"/>
  <c r="C127" i="12"/>
  <c r="B127" i="12"/>
  <c r="E126" i="12"/>
  <c r="D126" i="12"/>
  <c r="C126" i="12"/>
  <c r="B126" i="12"/>
  <c r="E125" i="12"/>
  <c r="D125" i="12"/>
  <c r="C125" i="12"/>
  <c r="B125" i="12"/>
  <c r="E124" i="12"/>
  <c r="D124" i="12"/>
  <c r="C124" i="12"/>
  <c r="B124" i="12"/>
  <c r="E123" i="12"/>
  <c r="D123" i="12"/>
  <c r="C123" i="12"/>
  <c r="B123" i="12"/>
  <c r="E122" i="12"/>
  <c r="D122" i="12"/>
  <c r="C122" i="12"/>
  <c r="B122" i="12"/>
  <c r="E121" i="12"/>
  <c r="D121" i="12"/>
  <c r="C121" i="12"/>
  <c r="B121" i="12"/>
  <c r="E120" i="12"/>
  <c r="D120" i="12"/>
  <c r="C120" i="12"/>
  <c r="B120" i="12"/>
  <c r="E119" i="12"/>
  <c r="D119" i="12"/>
  <c r="C119" i="12"/>
  <c r="B119" i="12"/>
  <c r="E118" i="12"/>
  <c r="D118" i="12"/>
  <c r="C118" i="12"/>
  <c r="B118" i="12"/>
  <c r="E117" i="12"/>
  <c r="D117" i="12"/>
  <c r="C117" i="12"/>
  <c r="B117" i="12"/>
  <c r="E116" i="12"/>
  <c r="D116" i="12"/>
  <c r="C116" i="12"/>
  <c r="B116" i="12"/>
  <c r="E115" i="12"/>
  <c r="D115" i="12"/>
  <c r="C115" i="12"/>
  <c r="B115" i="12"/>
  <c r="E114" i="12"/>
  <c r="D114" i="12"/>
  <c r="C114" i="12"/>
  <c r="B114" i="12"/>
  <c r="E113" i="12"/>
  <c r="D113" i="12"/>
  <c r="C113" i="12"/>
  <c r="B113" i="12"/>
  <c r="E112" i="12"/>
  <c r="D112" i="12"/>
  <c r="C112" i="12"/>
  <c r="B112" i="12"/>
  <c r="E111" i="12"/>
  <c r="D111" i="12"/>
  <c r="C111" i="12"/>
  <c r="B111" i="12"/>
  <c r="E110" i="12"/>
  <c r="D110" i="12"/>
  <c r="C110" i="12"/>
  <c r="B110" i="12"/>
  <c r="E109" i="12"/>
  <c r="D109" i="12"/>
  <c r="C109" i="12"/>
  <c r="B109" i="12"/>
  <c r="E108" i="12"/>
  <c r="D108" i="12"/>
  <c r="C108" i="12"/>
  <c r="B108" i="12"/>
  <c r="E107" i="12"/>
  <c r="D107" i="12"/>
  <c r="C107" i="12"/>
  <c r="B107" i="12"/>
  <c r="E106" i="12"/>
  <c r="D106" i="12"/>
  <c r="C106" i="12"/>
  <c r="B106" i="12"/>
  <c r="E105" i="12"/>
  <c r="D105" i="12"/>
  <c r="C105" i="12"/>
  <c r="B105" i="12"/>
  <c r="E104" i="12"/>
  <c r="D104" i="12"/>
  <c r="C104" i="12"/>
  <c r="B104" i="12"/>
  <c r="E103" i="12"/>
  <c r="D103" i="12"/>
  <c r="C103" i="12"/>
  <c r="B103" i="12"/>
  <c r="E102" i="12"/>
  <c r="D102" i="12"/>
  <c r="C102" i="12"/>
  <c r="B102" i="12"/>
  <c r="E101" i="12"/>
  <c r="D101" i="12"/>
  <c r="C101" i="12"/>
  <c r="B101" i="12"/>
  <c r="E100" i="12"/>
  <c r="D100" i="12"/>
  <c r="C100" i="12"/>
  <c r="B100" i="12"/>
  <c r="E99" i="12"/>
  <c r="D99" i="12"/>
  <c r="C99" i="12"/>
  <c r="B99" i="12"/>
  <c r="E98" i="12"/>
  <c r="D98" i="12"/>
  <c r="C98" i="12"/>
  <c r="B98" i="12"/>
  <c r="E97" i="12"/>
  <c r="D97" i="12"/>
  <c r="C97" i="12"/>
  <c r="B97" i="12"/>
  <c r="E96" i="12"/>
  <c r="D96" i="12"/>
  <c r="C96" i="12"/>
  <c r="B96" i="12"/>
  <c r="E95" i="12"/>
  <c r="D95" i="12"/>
  <c r="C95" i="12"/>
  <c r="B95" i="12"/>
  <c r="E94" i="12"/>
  <c r="D94" i="12"/>
  <c r="C94" i="12"/>
  <c r="B94" i="12"/>
  <c r="E93" i="12"/>
  <c r="D93" i="12"/>
  <c r="C93" i="12"/>
  <c r="B93" i="12"/>
  <c r="E92" i="12"/>
  <c r="D92" i="12"/>
  <c r="C92" i="12"/>
  <c r="B92" i="12"/>
  <c r="E91" i="12"/>
  <c r="D91" i="12"/>
  <c r="C91" i="12"/>
  <c r="B91" i="12"/>
  <c r="E90" i="12"/>
  <c r="D90" i="12"/>
  <c r="C90" i="12"/>
  <c r="B90" i="12"/>
  <c r="E89" i="12"/>
  <c r="D89" i="12"/>
  <c r="C89" i="12"/>
  <c r="B89" i="12"/>
  <c r="E88" i="12"/>
  <c r="D88" i="12"/>
  <c r="C88" i="12"/>
  <c r="B88" i="12"/>
  <c r="E87" i="12"/>
  <c r="D87" i="12"/>
  <c r="C87" i="12"/>
  <c r="B87" i="12"/>
  <c r="E86" i="12"/>
  <c r="D86" i="12"/>
  <c r="C86" i="12"/>
  <c r="B86" i="12"/>
  <c r="E85" i="12"/>
  <c r="D85" i="12"/>
  <c r="C85" i="12"/>
  <c r="B85" i="12"/>
  <c r="E84" i="12"/>
  <c r="D84" i="12"/>
  <c r="C84" i="12"/>
  <c r="B84" i="12"/>
  <c r="E83" i="12"/>
  <c r="D83" i="12"/>
  <c r="C83" i="12"/>
  <c r="B83" i="12"/>
  <c r="E82" i="12"/>
  <c r="D82" i="12"/>
  <c r="C82" i="12"/>
  <c r="B82" i="12"/>
  <c r="E81" i="12"/>
  <c r="D81" i="12"/>
  <c r="C81" i="12"/>
  <c r="B81" i="12"/>
  <c r="E80" i="12"/>
  <c r="D80" i="12"/>
  <c r="C80" i="12"/>
  <c r="B80" i="12"/>
  <c r="E79" i="12"/>
  <c r="D79" i="12"/>
  <c r="C79" i="12"/>
  <c r="B79" i="12"/>
  <c r="E78" i="12"/>
  <c r="D78" i="12"/>
  <c r="C78" i="12"/>
  <c r="B78" i="12"/>
  <c r="E77" i="12"/>
  <c r="D77" i="12"/>
  <c r="C77" i="12"/>
  <c r="B77" i="12"/>
  <c r="E76" i="12"/>
  <c r="D76" i="12"/>
  <c r="C76" i="12"/>
  <c r="B76" i="12"/>
  <c r="E75" i="12"/>
  <c r="D75" i="12"/>
  <c r="C75" i="12"/>
  <c r="B75" i="12"/>
  <c r="E74" i="12"/>
  <c r="D74" i="12"/>
  <c r="C74" i="12"/>
  <c r="B74" i="12"/>
  <c r="E73" i="12"/>
  <c r="D73" i="12"/>
  <c r="C73" i="12"/>
  <c r="B73" i="12"/>
  <c r="E72" i="12"/>
  <c r="D72" i="12"/>
  <c r="C72" i="12"/>
  <c r="B72" i="12"/>
  <c r="E71" i="12"/>
  <c r="D71" i="12"/>
  <c r="C71" i="12"/>
  <c r="B71" i="12"/>
  <c r="E70" i="12"/>
  <c r="D70" i="12"/>
  <c r="C70" i="12"/>
  <c r="B70" i="12"/>
  <c r="E69" i="12"/>
  <c r="D69" i="12"/>
  <c r="C69" i="12"/>
  <c r="B69" i="12"/>
  <c r="E68" i="12"/>
  <c r="D68" i="12"/>
  <c r="C68" i="12"/>
  <c r="B68" i="12"/>
  <c r="E67" i="12"/>
  <c r="D67" i="12"/>
  <c r="C67" i="12"/>
  <c r="B67" i="12"/>
  <c r="E66" i="12"/>
  <c r="D66" i="12"/>
  <c r="C66" i="12"/>
  <c r="B66" i="12"/>
  <c r="E65" i="12"/>
  <c r="D65" i="12"/>
  <c r="C65" i="12"/>
  <c r="B65" i="12"/>
  <c r="E64" i="12"/>
  <c r="D64" i="12"/>
  <c r="C64" i="12"/>
  <c r="B64" i="12"/>
  <c r="E63" i="12"/>
  <c r="D63" i="12"/>
  <c r="C63" i="12"/>
  <c r="B63" i="12"/>
  <c r="E62" i="12"/>
  <c r="D62" i="12"/>
  <c r="C62" i="12"/>
  <c r="B62" i="12"/>
  <c r="E61" i="12"/>
  <c r="D61" i="12"/>
  <c r="C61" i="12"/>
  <c r="B61" i="12"/>
  <c r="E60" i="12"/>
  <c r="D60" i="12"/>
  <c r="C60" i="12"/>
  <c r="B60" i="12"/>
  <c r="E59" i="12"/>
  <c r="D59" i="12"/>
  <c r="C59" i="12"/>
  <c r="B59" i="12"/>
  <c r="E58" i="12"/>
  <c r="D58" i="12"/>
  <c r="C58" i="12"/>
  <c r="B58" i="12"/>
  <c r="E57" i="12"/>
  <c r="D57" i="12"/>
  <c r="C57" i="12"/>
  <c r="B57" i="12"/>
  <c r="E56" i="12"/>
  <c r="D56" i="12"/>
  <c r="C56" i="12"/>
  <c r="B56" i="12"/>
  <c r="E55" i="12"/>
  <c r="D55" i="12"/>
  <c r="C55" i="12"/>
  <c r="B55" i="12"/>
  <c r="E54" i="12"/>
  <c r="D54" i="12"/>
  <c r="C54" i="12"/>
  <c r="B54" i="12"/>
  <c r="E53" i="12"/>
  <c r="D53" i="12"/>
  <c r="C53" i="12"/>
  <c r="B53" i="12"/>
  <c r="E52" i="12"/>
  <c r="D52" i="12"/>
  <c r="C52" i="12"/>
  <c r="B52" i="12"/>
  <c r="E51" i="12"/>
  <c r="D51" i="12"/>
  <c r="C51" i="12"/>
  <c r="B51" i="12"/>
  <c r="E50" i="12"/>
  <c r="D50" i="12"/>
  <c r="C50" i="12"/>
  <c r="B50" i="12"/>
  <c r="E49" i="12"/>
  <c r="D49" i="12"/>
  <c r="C49" i="12"/>
  <c r="B49" i="12"/>
  <c r="E48" i="12"/>
  <c r="D48" i="12"/>
  <c r="C48" i="12"/>
  <c r="B48" i="12"/>
  <c r="E47" i="12"/>
  <c r="D47" i="12"/>
  <c r="C47" i="12"/>
  <c r="B47" i="12"/>
  <c r="E46" i="12"/>
  <c r="D46" i="12"/>
  <c r="C46" i="12"/>
  <c r="B46" i="12"/>
  <c r="E45" i="12"/>
  <c r="D45" i="12"/>
  <c r="C45" i="12"/>
  <c r="B45" i="12"/>
  <c r="E44" i="12"/>
  <c r="D44" i="12"/>
  <c r="C44" i="12"/>
  <c r="B44" i="12"/>
  <c r="E43" i="12"/>
  <c r="D43" i="12"/>
  <c r="C43" i="12"/>
  <c r="B43" i="12"/>
  <c r="E42" i="12"/>
  <c r="D42" i="12"/>
  <c r="C42" i="12"/>
  <c r="B42" i="12"/>
  <c r="E41" i="12"/>
  <c r="D41" i="12"/>
  <c r="C41" i="12"/>
  <c r="B41" i="12"/>
  <c r="E40" i="12"/>
  <c r="D40" i="12"/>
  <c r="C40" i="12"/>
  <c r="B40" i="12"/>
  <c r="E39" i="12"/>
  <c r="D39" i="12"/>
  <c r="C39" i="12"/>
  <c r="B39" i="12"/>
  <c r="E38" i="12"/>
  <c r="D38" i="12"/>
  <c r="C38" i="12"/>
  <c r="B38" i="12"/>
  <c r="E37" i="12"/>
  <c r="D37" i="12"/>
  <c r="C37" i="12"/>
  <c r="B37" i="12"/>
  <c r="E36" i="12"/>
  <c r="D36" i="12"/>
  <c r="C36" i="12"/>
  <c r="B36" i="12"/>
  <c r="E35" i="12"/>
  <c r="D35" i="12"/>
  <c r="C35" i="12"/>
  <c r="B35" i="12"/>
  <c r="E34" i="12"/>
  <c r="D34" i="12"/>
  <c r="C34" i="12"/>
  <c r="B34" i="12"/>
  <c r="E33" i="12"/>
  <c r="D33" i="12"/>
  <c r="C33" i="12"/>
  <c r="B33" i="12"/>
  <c r="E32" i="12"/>
  <c r="D32" i="12"/>
  <c r="C32" i="12"/>
  <c r="B32" i="12"/>
  <c r="E31" i="12"/>
  <c r="D31" i="12"/>
  <c r="C31" i="12"/>
  <c r="B31" i="12"/>
  <c r="E30" i="12"/>
  <c r="D30" i="12"/>
  <c r="C30" i="12"/>
  <c r="B30" i="12"/>
  <c r="E29" i="12"/>
  <c r="D29" i="12"/>
  <c r="C29" i="12"/>
  <c r="B29" i="12"/>
  <c r="E28" i="12"/>
  <c r="D28" i="12"/>
  <c r="C28" i="12"/>
  <c r="B28" i="12"/>
  <c r="E27" i="12"/>
  <c r="D27" i="12"/>
  <c r="C27" i="12"/>
  <c r="B27" i="12"/>
  <c r="E26" i="12"/>
  <c r="D26" i="12"/>
  <c r="C26" i="12"/>
  <c r="B26" i="12"/>
  <c r="E25" i="12"/>
  <c r="D25" i="12"/>
  <c r="C25" i="12"/>
  <c r="B25" i="12"/>
  <c r="E24" i="12"/>
  <c r="D24" i="12"/>
  <c r="C24" i="12"/>
  <c r="B24" i="12"/>
  <c r="E23" i="12"/>
  <c r="D23" i="12"/>
  <c r="C23" i="12"/>
  <c r="B23" i="12"/>
  <c r="E22" i="12"/>
  <c r="D22" i="12"/>
  <c r="C22" i="12"/>
  <c r="B22" i="12"/>
  <c r="E21" i="12"/>
  <c r="D21" i="12"/>
  <c r="C21" i="12"/>
  <c r="B21" i="12"/>
  <c r="E20" i="12"/>
  <c r="D20" i="12"/>
  <c r="C20" i="12"/>
  <c r="B20" i="12"/>
  <c r="E19" i="12"/>
  <c r="D19" i="12"/>
  <c r="C19" i="12"/>
  <c r="B19" i="12"/>
  <c r="E18" i="12"/>
  <c r="D18" i="12"/>
  <c r="C18" i="12"/>
  <c r="B18" i="12"/>
  <c r="E17" i="12"/>
  <c r="D17" i="12"/>
  <c r="C17" i="12"/>
  <c r="B17" i="12"/>
  <c r="E16" i="12"/>
  <c r="D16" i="12"/>
  <c r="C16" i="12"/>
  <c r="B16" i="12"/>
  <c r="E15" i="12"/>
  <c r="D15" i="12"/>
  <c r="C15" i="12"/>
  <c r="B15" i="12"/>
  <c r="E14" i="12"/>
  <c r="D14" i="12"/>
  <c r="C14" i="12"/>
  <c r="B14" i="12"/>
  <c r="E13" i="12"/>
  <c r="D13" i="12"/>
  <c r="C13" i="12"/>
  <c r="B13" i="12"/>
  <c r="E12" i="12"/>
  <c r="D12" i="12"/>
  <c r="C12" i="12"/>
  <c r="B12" i="12"/>
  <c r="E11" i="12"/>
  <c r="D11" i="12"/>
  <c r="C11" i="12"/>
  <c r="B11" i="12"/>
  <c r="E10" i="12"/>
  <c r="D10" i="12"/>
  <c r="C10" i="12"/>
  <c r="B10" i="12"/>
  <c r="E9" i="12"/>
  <c r="D9" i="12"/>
  <c r="C9" i="12"/>
  <c r="B9" i="12"/>
  <c r="E8" i="12"/>
  <c r="D8" i="12"/>
  <c r="C8" i="12"/>
  <c r="B8" i="12"/>
  <c r="E7" i="12"/>
  <c r="D7" i="12"/>
  <c r="C7" i="12"/>
  <c r="B7" i="12"/>
  <c r="E6" i="12"/>
  <c r="D6" i="12"/>
  <c r="C6" i="12"/>
  <c r="B6" i="12"/>
  <c r="L312" i="10"/>
  <c r="K312" i="10"/>
  <c r="J312" i="10"/>
  <c r="I312" i="10"/>
  <c r="H312" i="10"/>
  <c r="G312" i="10"/>
  <c r="F312" i="10"/>
  <c r="E312" i="10"/>
  <c r="D312" i="10"/>
  <c r="C312" i="10"/>
  <c r="B312" i="10"/>
  <c r="L311" i="10"/>
  <c r="K311" i="10"/>
  <c r="J311" i="10"/>
  <c r="I311" i="10"/>
  <c r="H311" i="10"/>
  <c r="G311" i="10"/>
  <c r="F311" i="10"/>
  <c r="E311" i="10"/>
  <c r="D311" i="10"/>
  <c r="C311" i="10"/>
  <c r="B311" i="10"/>
  <c r="L310" i="10"/>
  <c r="K310" i="10"/>
  <c r="J310" i="10"/>
  <c r="I310" i="10"/>
  <c r="H310" i="10"/>
  <c r="G310" i="10"/>
  <c r="F310" i="10"/>
  <c r="E310" i="10"/>
  <c r="D310" i="10"/>
  <c r="C310" i="10"/>
  <c r="B310" i="10"/>
  <c r="L309" i="10"/>
  <c r="K309" i="10"/>
  <c r="J309" i="10"/>
  <c r="I309" i="10"/>
  <c r="H309" i="10"/>
  <c r="G309" i="10"/>
  <c r="F309" i="10"/>
  <c r="E309" i="10"/>
  <c r="D309" i="10"/>
  <c r="C309" i="10"/>
  <c r="B309" i="10"/>
  <c r="L308" i="10"/>
  <c r="K308" i="10"/>
  <c r="J308" i="10"/>
  <c r="I308" i="10"/>
  <c r="H308" i="10"/>
  <c r="G308" i="10"/>
  <c r="F308" i="10"/>
  <c r="E308" i="10"/>
  <c r="D308" i="10"/>
  <c r="C308" i="10"/>
  <c r="B308" i="10"/>
  <c r="L307" i="10"/>
  <c r="K307" i="10"/>
  <c r="J307" i="10"/>
  <c r="I307" i="10"/>
  <c r="H307" i="10"/>
  <c r="G307" i="10"/>
  <c r="F307" i="10"/>
  <c r="E307" i="10"/>
  <c r="D307" i="10"/>
  <c r="C307" i="10"/>
  <c r="B307" i="10"/>
  <c r="L306" i="10"/>
  <c r="K306" i="10"/>
  <c r="J306" i="10"/>
  <c r="I306" i="10"/>
  <c r="H306" i="10"/>
  <c r="G306" i="10"/>
  <c r="F306" i="10"/>
  <c r="E306" i="10"/>
  <c r="D306" i="10"/>
  <c r="C306" i="10"/>
  <c r="B306" i="10"/>
  <c r="L305" i="10"/>
  <c r="K305" i="10"/>
  <c r="J305" i="10"/>
  <c r="I305" i="10"/>
  <c r="H305" i="10"/>
  <c r="G305" i="10"/>
  <c r="F305" i="10"/>
  <c r="E305" i="10"/>
  <c r="D305" i="10"/>
  <c r="C305" i="10"/>
  <c r="B305" i="10"/>
  <c r="L304" i="10"/>
  <c r="K304" i="10"/>
  <c r="J304" i="10"/>
  <c r="I304" i="10"/>
  <c r="H304" i="10"/>
  <c r="G304" i="10"/>
  <c r="F304" i="10"/>
  <c r="E304" i="10"/>
  <c r="D304" i="10"/>
  <c r="C304" i="10"/>
  <c r="B304" i="10"/>
  <c r="L303" i="10"/>
  <c r="K303" i="10"/>
  <c r="J303" i="10"/>
  <c r="I303" i="10"/>
  <c r="H303" i="10"/>
  <c r="G303" i="10"/>
  <c r="F303" i="10"/>
  <c r="E303" i="10"/>
  <c r="D303" i="10"/>
  <c r="C303" i="10"/>
  <c r="B303" i="10"/>
  <c r="L302" i="10"/>
  <c r="K302" i="10"/>
  <c r="J302" i="10"/>
  <c r="I302" i="10"/>
  <c r="H302" i="10"/>
  <c r="G302" i="10"/>
  <c r="F302" i="10"/>
  <c r="E302" i="10"/>
  <c r="D302" i="10"/>
  <c r="C302" i="10"/>
  <c r="B302" i="10"/>
  <c r="L301" i="10"/>
  <c r="K301" i="10"/>
  <c r="J301" i="10"/>
  <c r="I301" i="10"/>
  <c r="H301" i="10"/>
  <c r="G301" i="10"/>
  <c r="F301" i="10"/>
  <c r="E301" i="10"/>
  <c r="D301" i="10"/>
  <c r="C301" i="10"/>
  <c r="B301" i="10"/>
  <c r="L300" i="10"/>
  <c r="K300" i="10"/>
  <c r="J300" i="10"/>
  <c r="I300" i="10"/>
  <c r="H300" i="10"/>
  <c r="G300" i="10"/>
  <c r="F300" i="10"/>
  <c r="E300" i="10"/>
  <c r="D300" i="10"/>
  <c r="C300" i="10"/>
  <c r="B300" i="10"/>
  <c r="L299" i="10"/>
  <c r="K299" i="10"/>
  <c r="J299" i="10"/>
  <c r="I299" i="10"/>
  <c r="H299" i="10"/>
  <c r="G299" i="10"/>
  <c r="F299" i="10"/>
  <c r="E299" i="10"/>
  <c r="D299" i="10"/>
  <c r="C299" i="10"/>
  <c r="B299" i="10"/>
  <c r="L298" i="10"/>
  <c r="K298" i="10"/>
  <c r="J298" i="10"/>
  <c r="I298" i="10"/>
  <c r="H298" i="10"/>
  <c r="G298" i="10"/>
  <c r="F298" i="10"/>
  <c r="E298" i="10"/>
  <c r="D298" i="10"/>
  <c r="C298" i="10"/>
  <c r="B298" i="10"/>
  <c r="L297" i="10"/>
  <c r="K297" i="10"/>
  <c r="J297" i="10"/>
  <c r="I297" i="10"/>
  <c r="H297" i="10"/>
  <c r="G297" i="10"/>
  <c r="F297" i="10"/>
  <c r="E297" i="10"/>
  <c r="D297" i="10"/>
  <c r="C297" i="10"/>
  <c r="B297" i="10"/>
  <c r="L296" i="10"/>
  <c r="K296" i="10"/>
  <c r="J296" i="10"/>
  <c r="I296" i="10"/>
  <c r="H296" i="10"/>
  <c r="G296" i="10"/>
  <c r="F296" i="10"/>
  <c r="E296" i="10"/>
  <c r="D296" i="10"/>
  <c r="C296" i="10"/>
  <c r="B296" i="10"/>
  <c r="L295" i="10"/>
  <c r="K295" i="10"/>
  <c r="J295" i="10"/>
  <c r="I295" i="10"/>
  <c r="H295" i="10"/>
  <c r="G295" i="10"/>
  <c r="F295" i="10"/>
  <c r="E295" i="10"/>
  <c r="D295" i="10"/>
  <c r="C295" i="10"/>
  <c r="B295" i="10"/>
  <c r="L294" i="10"/>
  <c r="K294" i="10"/>
  <c r="J294" i="10"/>
  <c r="I294" i="10"/>
  <c r="H294" i="10"/>
  <c r="G294" i="10"/>
  <c r="F294" i="10"/>
  <c r="E294" i="10"/>
  <c r="D294" i="10"/>
  <c r="C294" i="10"/>
  <c r="B294" i="10"/>
  <c r="L293" i="10"/>
  <c r="K293" i="10"/>
  <c r="J293" i="10"/>
  <c r="I293" i="10"/>
  <c r="H293" i="10"/>
  <c r="G293" i="10"/>
  <c r="F293" i="10"/>
  <c r="E293" i="10"/>
  <c r="D293" i="10"/>
  <c r="C293" i="10"/>
  <c r="B293" i="10"/>
  <c r="L292" i="10"/>
  <c r="K292" i="10"/>
  <c r="J292" i="10"/>
  <c r="I292" i="10"/>
  <c r="H292" i="10"/>
  <c r="G292" i="10"/>
  <c r="F292" i="10"/>
  <c r="E292" i="10"/>
  <c r="D292" i="10"/>
  <c r="C292" i="10"/>
  <c r="B292" i="10"/>
  <c r="L291" i="10"/>
  <c r="K291" i="10"/>
  <c r="J291" i="10"/>
  <c r="I291" i="10"/>
  <c r="H291" i="10"/>
  <c r="G291" i="10"/>
  <c r="F291" i="10"/>
  <c r="E291" i="10"/>
  <c r="D291" i="10"/>
  <c r="C291" i="10"/>
  <c r="B291" i="10"/>
  <c r="L290" i="10"/>
  <c r="K290" i="10"/>
  <c r="J290" i="10"/>
  <c r="I290" i="10"/>
  <c r="H290" i="10"/>
  <c r="G290" i="10"/>
  <c r="F290" i="10"/>
  <c r="E290" i="10"/>
  <c r="D290" i="10"/>
  <c r="C290" i="10"/>
  <c r="B290" i="10"/>
  <c r="L289" i="10"/>
  <c r="K289" i="10"/>
  <c r="J289" i="10"/>
  <c r="I289" i="10"/>
  <c r="H289" i="10"/>
  <c r="G289" i="10"/>
  <c r="F289" i="10"/>
  <c r="E289" i="10"/>
  <c r="D289" i="10"/>
  <c r="C289" i="10"/>
  <c r="B289" i="10"/>
  <c r="L288" i="10"/>
  <c r="K288" i="10"/>
  <c r="J288" i="10"/>
  <c r="I288" i="10"/>
  <c r="H288" i="10"/>
  <c r="G288" i="10"/>
  <c r="F288" i="10"/>
  <c r="E288" i="10"/>
  <c r="D288" i="10"/>
  <c r="C288" i="10"/>
  <c r="B288" i="10"/>
  <c r="L287" i="10"/>
  <c r="K287" i="10"/>
  <c r="J287" i="10"/>
  <c r="I287" i="10"/>
  <c r="H287" i="10"/>
  <c r="G287" i="10"/>
  <c r="F287" i="10"/>
  <c r="E287" i="10"/>
  <c r="D287" i="10"/>
  <c r="C287" i="10"/>
  <c r="B287" i="10"/>
  <c r="L286" i="10"/>
  <c r="K286" i="10"/>
  <c r="J286" i="10"/>
  <c r="I286" i="10"/>
  <c r="H286" i="10"/>
  <c r="G286" i="10"/>
  <c r="F286" i="10"/>
  <c r="E286" i="10"/>
  <c r="D286" i="10"/>
  <c r="C286" i="10"/>
  <c r="B286" i="10"/>
  <c r="L285" i="10"/>
  <c r="K285" i="10"/>
  <c r="J285" i="10"/>
  <c r="I285" i="10"/>
  <c r="H285" i="10"/>
  <c r="G285" i="10"/>
  <c r="F285" i="10"/>
  <c r="E285" i="10"/>
  <c r="D285" i="10"/>
  <c r="C285" i="10"/>
  <c r="B285" i="10"/>
  <c r="L284" i="10"/>
  <c r="K284" i="10"/>
  <c r="J284" i="10"/>
  <c r="I284" i="10"/>
  <c r="H284" i="10"/>
  <c r="G284" i="10"/>
  <c r="F284" i="10"/>
  <c r="E284" i="10"/>
  <c r="D284" i="10"/>
  <c r="C284" i="10"/>
  <c r="B284" i="10"/>
  <c r="L283" i="10"/>
  <c r="K283" i="10"/>
  <c r="J283" i="10"/>
  <c r="I283" i="10"/>
  <c r="H283" i="10"/>
  <c r="G283" i="10"/>
  <c r="F283" i="10"/>
  <c r="E283" i="10"/>
  <c r="D283" i="10"/>
  <c r="C283" i="10"/>
  <c r="B283" i="10"/>
  <c r="L282" i="10"/>
  <c r="K282" i="10"/>
  <c r="J282" i="10"/>
  <c r="I282" i="10"/>
  <c r="H282" i="10"/>
  <c r="G282" i="10"/>
  <c r="F282" i="10"/>
  <c r="E282" i="10"/>
  <c r="D282" i="10"/>
  <c r="C282" i="10"/>
  <c r="B282" i="10"/>
  <c r="L281" i="10"/>
  <c r="K281" i="10"/>
  <c r="J281" i="10"/>
  <c r="I281" i="10"/>
  <c r="H281" i="10"/>
  <c r="G281" i="10"/>
  <c r="F281" i="10"/>
  <c r="E281" i="10"/>
  <c r="D281" i="10"/>
  <c r="C281" i="10"/>
  <c r="B281" i="10"/>
  <c r="L280" i="10"/>
  <c r="K280" i="10"/>
  <c r="J280" i="10"/>
  <c r="I280" i="10"/>
  <c r="H280" i="10"/>
  <c r="G280" i="10"/>
  <c r="F280" i="10"/>
  <c r="E280" i="10"/>
  <c r="D280" i="10"/>
  <c r="C280" i="10"/>
  <c r="B280" i="10"/>
  <c r="L279" i="10"/>
  <c r="K279" i="10"/>
  <c r="J279" i="10"/>
  <c r="I279" i="10"/>
  <c r="H279" i="10"/>
  <c r="G279" i="10"/>
  <c r="F279" i="10"/>
  <c r="E279" i="10"/>
  <c r="D279" i="10"/>
  <c r="C279" i="10"/>
  <c r="B279" i="10"/>
  <c r="L278" i="10"/>
  <c r="K278" i="10"/>
  <c r="J278" i="10"/>
  <c r="I278" i="10"/>
  <c r="H278" i="10"/>
  <c r="G278" i="10"/>
  <c r="F278" i="10"/>
  <c r="E278" i="10"/>
  <c r="D278" i="10"/>
  <c r="C278" i="10"/>
  <c r="B278" i="10"/>
  <c r="L277" i="10"/>
  <c r="K277" i="10"/>
  <c r="J277" i="10"/>
  <c r="I277" i="10"/>
  <c r="H277" i="10"/>
  <c r="G277" i="10"/>
  <c r="F277" i="10"/>
  <c r="E277" i="10"/>
  <c r="D277" i="10"/>
  <c r="C277" i="10"/>
  <c r="B277" i="10"/>
  <c r="L276" i="10"/>
  <c r="K276" i="10"/>
  <c r="J276" i="10"/>
  <c r="I276" i="10"/>
  <c r="H276" i="10"/>
  <c r="G276" i="10"/>
  <c r="F276" i="10"/>
  <c r="E276" i="10"/>
  <c r="D276" i="10"/>
  <c r="C276" i="10"/>
  <c r="B276" i="10"/>
  <c r="L275" i="10"/>
  <c r="K275" i="10"/>
  <c r="J275" i="10"/>
  <c r="I275" i="10"/>
  <c r="H275" i="10"/>
  <c r="G275" i="10"/>
  <c r="F275" i="10"/>
  <c r="E275" i="10"/>
  <c r="D275" i="10"/>
  <c r="C275" i="10"/>
  <c r="B275" i="10"/>
  <c r="L274" i="10"/>
  <c r="K274" i="10"/>
  <c r="J274" i="10"/>
  <c r="I274" i="10"/>
  <c r="H274" i="10"/>
  <c r="G274" i="10"/>
  <c r="F274" i="10"/>
  <c r="E274" i="10"/>
  <c r="D274" i="10"/>
  <c r="C274" i="10"/>
  <c r="B274" i="10"/>
  <c r="L273" i="10"/>
  <c r="K273" i="10"/>
  <c r="J273" i="10"/>
  <c r="I273" i="10"/>
  <c r="H273" i="10"/>
  <c r="G273" i="10"/>
  <c r="F273" i="10"/>
  <c r="E273" i="10"/>
  <c r="D273" i="10"/>
  <c r="C273" i="10"/>
  <c r="B273" i="10"/>
  <c r="L272" i="10"/>
  <c r="K272" i="10"/>
  <c r="J272" i="10"/>
  <c r="I272" i="10"/>
  <c r="H272" i="10"/>
  <c r="G272" i="10"/>
  <c r="F272" i="10"/>
  <c r="E272" i="10"/>
  <c r="D272" i="10"/>
  <c r="C272" i="10"/>
  <c r="B272" i="10"/>
  <c r="L271" i="10"/>
  <c r="K271" i="10"/>
  <c r="J271" i="10"/>
  <c r="I271" i="10"/>
  <c r="H271" i="10"/>
  <c r="G271" i="10"/>
  <c r="F271" i="10"/>
  <c r="E271" i="10"/>
  <c r="D271" i="10"/>
  <c r="C271" i="10"/>
  <c r="B271" i="10"/>
  <c r="L270" i="10"/>
  <c r="K270" i="10"/>
  <c r="J270" i="10"/>
  <c r="I270" i="10"/>
  <c r="H270" i="10"/>
  <c r="G270" i="10"/>
  <c r="F270" i="10"/>
  <c r="E270" i="10"/>
  <c r="D270" i="10"/>
  <c r="C270" i="10"/>
  <c r="B270" i="10"/>
  <c r="L269" i="10"/>
  <c r="K269" i="10"/>
  <c r="J269" i="10"/>
  <c r="I269" i="10"/>
  <c r="H269" i="10"/>
  <c r="G269" i="10"/>
  <c r="F269" i="10"/>
  <c r="E269" i="10"/>
  <c r="D269" i="10"/>
  <c r="C269" i="10"/>
  <c r="B269" i="10"/>
  <c r="L268" i="10"/>
  <c r="K268" i="10"/>
  <c r="J268" i="10"/>
  <c r="I268" i="10"/>
  <c r="H268" i="10"/>
  <c r="G268" i="10"/>
  <c r="F268" i="10"/>
  <c r="E268" i="10"/>
  <c r="D268" i="10"/>
  <c r="C268" i="10"/>
  <c r="B268" i="10"/>
  <c r="L267" i="10"/>
  <c r="K267" i="10"/>
  <c r="J267" i="10"/>
  <c r="I267" i="10"/>
  <c r="H267" i="10"/>
  <c r="G267" i="10"/>
  <c r="F267" i="10"/>
  <c r="E267" i="10"/>
  <c r="D267" i="10"/>
  <c r="C267" i="10"/>
  <c r="B267" i="10"/>
  <c r="L266" i="10"/>
  <c r="K266" i="10"/>
  <c r="J266" i="10"/>
  <c r="I266" i="10"/>
  <c r="H266" i="10"/>
  <c r="G266" i="10"/>
  <c r="F266" i="10"/>
  <c r="E266" i="10"/>
  <c r="D266" i="10"/>
  <c r="C266" i="10"/>
  <c r="B266" i="10"/>
  <c r="L265" i="10"/>
  <c r="K265" i="10"/>
  <c r="J265" i="10"/>
  <c r="I265" i="10"/>
  <c r="H265" i="10"/>
  <c r="G265" i="10"/>
  <c r="F265" i="10"/>
  <c r="E265" i="10"/>
  <c r="D265" i="10"/>
  <c r="C265" i="10"/>
  <c r="B265" i="10"/>
  <c r="L264" i="10"/>
  <c r="K264" i="10"/>
  <c r="J264" i="10"/>
  <c r="I264" i="10"/>
  <c r="H264" i="10"/>
  <c r="G264" i="10"/>
  <c r="F264" i="10"/>
  <c r="E264" i="10"/>
  <c r="D264" i="10"/>
  <c r="C264" i="10"/>
  <c r="B264" i="10"/>
  <c r="L263" i="10"/>
  <c r="K263" i="10"/>
  <c r="J263" i="10"/>
  <c r="I263" i="10"/>
  <c r="H263" i="10"/>
  <c r="G263" i="10"/>
  <c r="F263" i="10"/>
  <c r="E263" i="10"/>
  <c r="D263" i="10"/>
  <c r="C263" i="10"/>
  <c r="B263" i="10"/>
  <c r="L262" i="10"/>
  <c r="K262" i="10"/>
  <c r="J262" i="10"/>
  <c r="I262" i="10"/>
  <c r="H262" i="10"/>
  <c r="G262" i="10"/>
  <c r="F262" i="10"/>
  <c r="E262" i="10"/>
  <c r="D262" i="10"/>
  <c r="C262" i="10"/>
  <c r="B262" i="10"/>
  <c r="L261" i="10"/>
  <c r="K261" i="10"/>
  <c r="J261" i="10"/>
  <c r="I261" i="10"/>
  <c r="H261" i="10"/>
  <c r="G261" i="10"/>
  <c r="F261" i="10"/>
  <c r="E261" i="10"/>
  <c r="D261" i="10"/>
  <c r="C261" i="10"/>
  <c r="B261" i="10"/>
  <c r="L260" i="10"/>
  <c r="K260" i="10"/>
  <c r="J260" i="10"/>
  <c r="I260" i="10"/>
  <c r="H260" i="10"/>
  <c r="G260" i="10"/>
  <c r="F260" i="10"/>
  <c r="E260" i="10"/>
  <c r="D260" i="10"/>
  <c r="C260" i="10"/>
  <c r="B260" i="10"/>
  <c r="L259" i="10"/>
  <c r="K259" i="10"/>
  <c r="J259" i="10"/>
  <c r="I259" i="10"/>
  <c r="H259" i="10"/>
  <c r="G259" i="10"/>
  <c r="F259" i="10"/>
  <c r="E259" i="10"/>
  <c r="D259" i="10"/>
  <c r="C259" i="10"/>
  <c r="B259" i="10"/>
  <c r="L258" i="10"/>
  <c r="K258" i="10"/>
  <c r="J258" i="10"/>
  <c r="I258" i="10"/>
  <c r="H258" i="10"/>
  <c r="G258" i="10"/>
  <c r="F258" i="10"/>
  <c r="E258" i="10"/>
  <c r="D258" i="10"/>
  <c r="C258" i="10"/>
  <c r="B258" i="10"/>
  <c r="L257" i="10"/>
  <c r="K257" i="10"/>
  <c r="J257" i="10"/>
  <c r="I257" i="10"/>
  <c r="H257" i="10"/>
  <c r="G257" i="10"/>
  <c r="F257" i="10"/>
  <c r="E257" i="10"/>
  <c r="D257" i="10"/>
  <c r="C257" i="10"/>
  <c r="B257" i="10"/>
  <c r="L256" i="10"/>
  <c r="K256" i="10"/>
  <c r="J256" i="10"/>
  <c r="I256" i="10"/>
  <c r="H256" i="10"/>
  <c r="G256" i="10"/>
  <c r="F256" i="10"/>
  <c r="E256" i="10"/>
  <c r="D256" i="10"/>
  <c r="C256" i="10"/>
  <c r="B256" i="10"/>
  <c r="L255" i="10"/>
  <c r="K255" i="10"/>
  <c r="J255" i="10"/>
  <c r="I255" i="10"/>
  <c r="H255" i="10"/>
  <c r="G255" i="10"/>
  <c r="F255" i="10"/>
  <c r="E255" i="10"/>
  <c r="D255" i="10"/>
  <c r="C255" i="10"/>
  <c r="B255" i="10"/>
  <c r="L254" i="10"/>
  <c r="K254" i="10"/>
  <c r="J254" i="10"/>
  <c r="I254" i="10"/>
  <c r="H254" i="10"/>
  <c r="G254" i="10"/>
  <c r="F254" i="10"/>
  <c r="E254" i="10"/>
  <c r="D254" i="10"/>
  <c r="C254" i="10"/>
  <c r="B254" i="10"/>
  <c r="L253" i="10"/>
  <c r="K253" i="10"/>
  <c r="J253" i="10"/>
  <c r="I253" i="10"/>
  <c r="H253" i="10"/>
  <c r="G253" i="10"/>
  <c r="F253" i="10"/>
  <c r="E253" i="10"/>
  <c r="D253" i="10"/>
  <c r="C253" i="10"/>
  <c r="B253" i="10"/>
  <c r="L252" i="10"/>
  <c r="K252" i="10"/>
  <c r="J252" i="10"/>
  <c r="I252" i="10"/>
  <c r="H252" i="10"/>
  <c r="G252" i="10"/>
  <c r="F252" i="10"/>
  <c r="E252" i="10"/>
  <c r="D252" i="10"/>
  <c r="C252" i="10"/>
  <c r="B252" i="10"/>
  <c r="L251" i="10"/>
  <c r="K251" i="10"/>
  <c r="J251" i="10"/>
  <c r="I251" i="10"/>
  <c r="H251" i="10"/>
  <c r="G251" i="10"/>
  <c r="F251" i="10"/>
  <c r="E251" i="10"/>
  <c r="D251" i="10"/>
  <c r="C251" i="10"/>
  <c r="B251" i="10"/>
  <c r="L250" i="10"/>
  <c r="K250" i="10"/>
  <c r="J250" i="10"/>
  <c r="I250" i="10"/>
  <c r="H250" i="10"/>
  <c r="G250" i="10"/>
  <c r="F250" i="10"/>
  <c r="E250" i="10"/>
  <c r="D250" i="10"/>
  <c r="C250" i="10"/>
  <c r="B250" i="10"/>
  <c r="L249" i="10"/>
  <c r="K249" i="10"/>
  <c r="J249" i="10"/>
  <c r="I249" i="10"/>
  <c r="H249" i="10"/>
  <c r="G249" i="10"/>
  <c r="F249" i="10"/>
  <c r="E249" i="10"/>
  <c r="D249" i="10"/>
  <c r="C249" i="10"/>
  <c r="B249" i="10"/>
  <c r="L248" i="10"/>
  <c r="K248" i="10"/>
  <c r="J248" i="10"/>
  <c r="I248" i="10"/>
  <c r="H248" i="10"/>
  <c r="G248" i="10"/>
  <c r="F248" i="10"/>
  <c r="E248" i="10"/>
  <c r="D248" i="10"/>
  <c r="C248" i="10"/>
  <c r="B248" i="10"/>
  <c r="L247" i="10"/>
  <c r="K247" i="10"/>
  <c r="J247" i="10"/>
  <c r="I247" i="10"/>
  <c r="H247" i="10"/>
  <c r="G247" i="10"/>
  <c r="F247" i="10"/>
  <c r="E247" i="10"/>
  <c r="D247" i="10"/>
  <c r="C247" i="10"/>
  <c r="B247" i="10"/>
  <c r="L246" i="10"/>
  <c r="K246" i="10"/>
  <c r="J246" i="10"/>
  <c r="I246" i="10"/>
  <c r="H246" i="10"/>
  <c r="G246" i="10"/>
  <c r="F246" i="10"/>
  <c r="E246" i="10"/>
  <c r="D246" i="10"/>
  <c r="C246" i="10"/>
  <c r="B246" i="10"/>
  <c r="L245" i="10"/>
  <c r="K245" i="10"/>
  <c r="J245" i="10"/>
  <c r="I245" i="10"/>
  <c r="H245" i="10"/>
  <c r="G245" i="10"/>
  <c r="F245" i="10"/>
  <c r="E245" i="10"/>
  <c r="D245" i="10"/>
  <c r="C245" i="10"/>
  <c r="B245" i="10"/>
  <c r="L244" i="10"/>
  <c r="K244" i="10"/>
  <c r="J244" i="10"/>
  <c r="I244" i="10"/>
  <c r="H244" i="10"/>
  <c r="G244" i="10"/>
  <c r="F244" i="10"/>
  <c r="E244" i="10"/>
  <c r="D244" i="10"/>
  <c r="C244" i="10"/>
  <c r="B244" i="10"/>
  <c r="L243" i="10"/>
  <c r="K243" i="10"/>
  <c r="J243" i="10"/>
  <c r="I243" i="10"/>
  <c r="H243" i="10"/>
  <c r="G243" i="10"/>
  <c r="F243" i="10"/>
  <c r="E243" i="10"/>
  <c r="D243" i="10"/>
  <c r="C243" i="10"/>
  <c r="B243" i="10"/>
  <c r="L242" i="10"/>
  <c r="K242" i="10"/>
  <c r="J242" i="10"/>
  <c r="I242" i="10"/>
  <c r="H242" i="10"/>
  <c r="G242" i="10"/>
  <c r="F242" i="10"/>
  <c r="E242" i="10"/>
  <c r="D242" i="10"/>
  <c r="C242" i="10"/>
  <c r="B242" i="10"/>
  <c r="L241" i="10"/>
  <c r="K241" i="10"/>
  <c r="J241" i="10"/>
  <c r="I241" i="10"/>
  <c r="H241" i="10"/>
  <c r="G241" i="10"/>
  <c r="F241" i="10"/>
  <c r="E241" i="10"/>
  <c r="D241" i="10"/>
  <c r="C241" i="10"/>
  <c r="B241" i="10"/>
  <c r="L240" i="10"/>
  <c r="K240" i="10"/>
  <c r="J240" i="10"/>
  <c r="I240" i="10"/>
  <c r="H240" i="10"/>
  <c r="G240" i="10"/>
  <c r="F240" i="10"/>
  <c r="E240" i="10"/>
  <c r="D240" i="10"/>
  <c r="C240" i="10"/>
  <c r="B240" i="10"/>
  <c r="L239" i="10"/>
  <c r="K239" i="10"/>
  <c r="J239" i="10"/>
  <c r="I239" i="10"/>
  <c r="H239" i="10"/>
  <c r="G239" i="10"/>
  <c r="F239" i="10"/>
  <c r="E239" i="10"/>
  <c r="D239" i="10"/>
  <c r="C239" i="10"/>
  <c r="B239" i="10"/>
  <c r="L238" i="10"/>
  <c r="K238" i="10"/>
  <c r="J238" i="10"/>
  <c r="I238" i="10"/>
  <c r="H238" i="10"/>
  <c r="G238" i="10"/>
  <c r="F238" i="10"/>
  <c r="E238" i="10"/>
  <c r="D238" i="10"/>
  <c r="C238" i="10"/>
  <c r="B238" i="10"/>
  <c r="L237" i="10"/>
  <c r="K237" i="10"/>
  <c r="J237" i="10"/>
  <c r="I237" i="10"/>
  <c r="H237" i="10"/>
  <c r="G237" i="10"/>
  <c r="F237" i="10"/>
  <c r="E237" i="10"/>
  <c r="D237" i="10"/>
  <c r="C237" i="10"/>
  <c r="B237" i="10"/>
  <c r="L236" i="10"/>
  <c r="K236" i="10"/>
  <c r="J236" i="10"/>
  <c r="I236" i="10"/>
  <c r="H236" i="10"/>
  <c r="G236" i="10"/>
  <c r="F236" i="10"/>
  <c r="E236" i="10"/>
  <c r="D236" i="10"/>
  <c r="C236" i="10"/>
  <c r="B236" i="10"/>
  <c r="L235" i="10"/>
  <c r="K235" i="10"/>
  <c r="J235" i="10"/>
  <c r="I235" i="10"/>
  <c r="H235" i="10"/>
  <c r="G235" i="10"/>
  <c r="F235" i="10"/>
  <c r="E235" i="10"/>
  <c r="D235" i="10"/>
  <c r="C235" i="10"/>
  <c r="B235" i="10"/>
  <c r="L234" i="10"/>
  <c r="K234" i="10"/>
  <c r="J234" i="10"/>
  <c r="I234" i="10"/>
  <c r="H234" i="10"/>
  <c r="G234" i="10"/>
  <c r="F234" i="10"/>
  <c r="E234" i="10"/>
  <c r="D234" i="10"/>
  <c r="C234" i="10"/>
  <c r="B234" i="10"/>
  <c r="L233" i="10"/>
  <c r="K233" i="10"/>
  <c r="J233" i="10"/>
  <c r="I233" i="10"/>
  <c r="H233" i="10"/>
  <c r="G233" i="10"/>
  <c r="F233" i="10"/>
  <c r="E233" i="10"/>
  <c r="D233" i="10"/>
  <c r="C233" i="10"/>
  <c r="B233" i="10"/>
  <c r="L232" i="10"/>
  <c r="K232" i="10"/>
  <c r="J232" i="10"/>
  <c r="I232" i="10"/>
  <c r="H232" i="10"/>
  <c r="G232" i="10"/>
  <c r="F232" i="10"/>
  <c r="E232" i="10"/>
  <c r="D232" i="10"/>
  <c r="C232" i="10"/>
  <c r="B232" i="10"/>
  <c r="L231" i="10"/>
  <c r="K231" i="10"/>
  <c r="J231" i="10"/>
  <c r="I231" i="10"/>
  <c r="H231" i="10"/>
  <c r="G231" i="10"/>
  <c r="F231" i="10"/>
  <c r="E231" i="10"/>
  <c r="D231" i="10"/>
  <c r="C231" i="10"/>
  <c r="B231" i="10"/>
  <c r="L230" i="10"/>
  <c r="K230" i="10"/>
  <c r="J230" i="10"/>
  <c r="I230" i="10"/>
  <c r="H230" i="10"/>
  <c r="G230" i="10"/>
  <c r="F230" i="10"/>
  <c r="E230" i="10"/>
  <c r="D230" i="10"/>
  <c r="C230" i="10"/>
  <c r="B230" i="10"/>
  <c r="L229" i="10"/>
  <c r="K229" i="10"/>
  <c r="J229" i="10"/>
  <c r="I229" i="10"/>
  <c r="H229" i="10"/>
  <c r="G229" i="10"/>
  <c r="F229" i="10"/>
  <c r="E229" i="10"/>
  <c r="D229" i="10"/>
  <c r="C229" i="10"/>
  <c r="B229" i="10"/>
  <c r="L228" i="10"/>
  <c r="K228" i="10"/>
  <c r="J228" i="10"/>
  <c r="I228" i="10"/>
  <c r="H228" i="10"/>
  <c r="G228" i="10"/>
  <c r="F228" i="10"/>
  <c r="E228" i="10"/>
  <c r="D228" i="10"/>
  <c r="C228" i="10"/>
  <c r="B228" i="10"/>
  <c r="L227" i="10"/>
  <c r="K227" i="10"/>
  <c r="J227" i="10"/>
  <c r="I227" i="10"/>
  <c r="H227" i="10"/>
  <c r="G227" i="10"/>
  <c r="F227" i="10"/>
  <c r="E227" i="10"/>
  <c r="D227" i="10"/>
  <c r="C227" i="10"/>
  <c r="B227" i="10"/>
  <c r="L226" i="10"/>
  <c r="K226" i="10"/>
  <c r="J226" i="10"/>
  <c r="I226" i="10"/>
  <c r="H226" i="10"/>
  <c r="G226" i="10"/>
  <c r="F226" i="10"/>
  <c r="E226" i="10"/>
  <c r="D226" i="10"/>
  <c r="C226" i="10"/>
  <c r="B226" i="10"/>
  <c r="L225" i="10"/>
  <c r="K225" i="10"/>
  <c r="J225" i="10"/>
  <c r="I225" i="10"/>
  <c r="H225" i="10"/>
  <c r="G225" i="10"/>
  <c r="F225" i="10"/>
  <c r="E225" i="10"/>
  <c r="D225" i="10"/>
  <c r="C225" i="10"/>
  <c r="B225" i="10"/>
  <c r="L224" i="10"/>
  <c r="K224" i="10"/>
  <c r="J224" i="10"/>
  <c r="I224" i="10"/>
  <c r="H224" i="10"/>
  <c r="G224" i="10"/>
  <c r="F224" i="10"/>
  <c r="E224" i="10"/>
  <c r="D224" i="10"/>
  <c r="C224" i="10"/>
  <c r="B224" i="10"/>
  <c r="L223" i="10"/>
  <c r="K223" i="10"/>
  <c r="J223" i="10"/>
  <c r="I223" i="10"/>
  <c r="H223" i="10"/>
  <c r="G223" i="10"/>
  <c r="F223" i="10"/>
  <c r="E223" i="10"/>
  <c r="D223" i="10"/>
  <c r="C223" i="10"/>
  <c r="B223" i="10"/>
  <c r="L222" i="10"/>
  <c r="K222" i="10"/>
  <c r="J222" i="10"/>
  <c r="I222" i="10"/>
  <c r="H222" i="10"/>
  <c r="G222" i="10"/>
  <c r="F222" i="10"/>
  <c r="E222" i="10"/>
  <c r="D222" i="10"/>
  <c r="C222" i="10"/>
  <c r="B222" i="10"/>
  <c r="L221" i="10"/>
  <c r="K221" i="10"/>
  <c r="J221" i="10"/>
  <c r="I221" i="10"/>
  <c r="H221" i="10"/>
  <c r="G221" i="10"/>
  <c r="F221" i="10"/>
  <c r="E221" i="10"/>
  <c r="D221" i="10"/>
  <c r="C221" i="10"/>
  <c r="B221" i="10"/>
  <c r="L220" i="10"/>
  <c r="K220" i="10"/>
  <c r="J220" i="10"/>
  <c r="I220" i="10"/>
  <c r="H220" i="10"/>
  <c r="G220" i="10"/>
  <c r="F220" i="10"/>
  <c r="E220" i="10"/>
  <c r="D220" i="10"/>
  <c r="C220" i="10"/>
  <c r="B220" i="10"/>
  <c r="L219" i="10"/>
  <c r="K219" i="10"/>
  <c r="J219" i="10"/>
  <c r="I219" i="10"/>
  <c r="H219" i="10"/>
  <c r="G219" i="10"/>
  <c r="F219" i="10"/>
  <c r="E219" i="10"/>
  <c r="D219" i="10"/>
  <c r="C219" i="10"/>
  <c r="B219" i="10"/>
  <c r="L218" i="10"/>
  <c r="K218" i="10"/>
  <c r="J218" i="10"/>
  <c r="I218" i="10"/>
  <c r="H218" i="10"/>
  <c r="G218" i="10"/>
  <c r="F218" i="10"/>
  <c r="E218" i="10"/>
  <c r="D218" i="10"/>
  <c r="C218" i="10"/>
  <c r="B218" i="10"/>
  <c r="L217" i="10"/>
  <c r="K217" i="10"/>
  <c r="J217" i="10"/>
  <c r="I217" i="10"/>
  <c r="H217" i="10"/>
  <c r="G217" i="10"/>
  <c r="F217" i="10"/>
  <c r="E217" i="10"/>
  <c r="D217" i="10"/>
  <c r="C217" i="10"/>
  <c r="B217" i="10"/>
  <c r="L216" i="10"/>
  <c r="K216" i="10"/>
  <c r="J216" i="10"/>
  <c r="I216" i="10"/>
  <c r="H216" i="10"/>
  <c r="G216" i="10"/>
  <c r="F216" i="10"/>
  <c r="E216" i="10"/>
  <c r="D216" i="10"/>
  <c r="C216" i="10"/>
  <c r="B216" i="10"/>
  <c r="L215" i="10"/>
  <c r="K215" i="10"/>
  <c r="J215" i="10"/>
  <c r="I215" i="10"/>
  <c r="H215" i="10"/>
  <c r="G215" i="10"/>
  <c r="F215" i="10"/>
  <c r="E215" i="10"/>
  <c r="D215" i="10"/>
  <c r="C215" i="10"/>
  <c r="B215" i="10"/>
  <c r="L214" i="10"/>
  <c r="K214" i="10"/>
  <c r="J214" i="10"/>
  <c r="I214" i="10"/>
  <c r="H214" i="10"/>
  <c r="G214" i="10"/>
  <c r="F214" i="10"/>
  <c r="E214" i="10"/>
  <c r="D214" i="10"/>
  <c r="C214" i="10"/>
  <c r="B214" i="10"/>
  <c r="L213" i="10"/>
  <c r="K213" i="10"/>
  <c r="J213" i="10"/>
  <c r="I213" i="10"/>
  <c r="H213" i="10"/>
  <c r="G213" i="10"/>
  <c r="F213" i="10"/>
  <c r="E213" i="10"/>
  <c r="D213" i="10"/>
  <c r="C213" i="10"/>
  <c r="B213" i="10"/>
  <c r="L212" i="10"/>
  <c r="K212" i="10"/>
  <c r="J212" i="10"/>
  <c r="I212" i="10"/>
  <c r="H212" i="10"/>
  <c r="G212" i="10"/>
  <c r="F212" i="10"/>
  <c r="E212" i="10"/>
  <c r="D212" i="10"/>
  <c r="C212" i="10"/>
  <c r="B212" i="10"/>
  <c r="L211" i="10"/>
  <c r="K211" i="10"/>
  <c r="J211" i="10"/>
  <c r="I211" i="10"/>
  <c r="H211" i="10"/>
  <c r="G211" i="10"/>
  <c r="F211" i="10"/>
  <c r="E211" i="10"/>
  <c r="D211" i="10"/>
  <c r="C211" i="10"/>
  <c r="B211" i="10"/>
  <c r="L210" i="10"/>
  <c r="K210" i="10"/>
  <c r="J210" i="10"/>
  <c r="I210" i="10"/>
  <c r="H210" i="10"/>
  <c r="G210" i="10"/>
  <c r="F210" i="10"/>
  <c r="E210" i="10"/>
  <c r="D210" i="10"/>
  <c r="C210" i="10"/>
  <c r="B210" i="10"/>
  <c r="L209" i="10"/>
  <c r="K209" i="10"/>
  <c r="J209" i="10"/>
  <c r="I209" i="10"/>
  <c r="H209" i="10"/>
  <c r="G209" i="10"/>
  <c r="F209" i="10"/>
  <c r="E209" i="10"/>
  <c r="D209" i="10"/>
  <c r="C209" i="10"/>
  <c r="B209" i="10"/>
  <c r="L208" i="10"/>
  <c r="K208" i="10"/>
  <c r="J208" i="10"/>
  <c r="I208" i="10"/>
  <c r="H208" i="10"/>
  <c r="G208" i="10"/>
  <c r="F208" i="10"/>
  <c r="E208" i="10"/>
  <c r="D208" i="10"/>
  <c r="C208" i="10"/>
  <c r="B208" i="10"/>
  <c r="L207" i="10"/>
  <c r="K207" i="10"/>
  <c r="J207" i="10"/>
  <c r="I207" i="10"/>
  <c r="H207" i="10"/>
  <c r="G207" i="10"/>
  <c r="F207" i="10"/>
  <c r="E207" i="10"/>
  <c r="D207" i="10"/>
  <c r="C207" i="10"/>
  <c r="B207" i="10"/>
  <c r="L206" i="10"/>
  <c r="K206" i="10"/>
  <c r="J206" i="10"/>
  <c r="I206" i="10"/>
  <c r="H206" i="10"/>
  <c r="G206" i="10"/>
  <c r="F206" i="10"/>
  <c r="E206" i="10"/>
  <c r="D206" i="10"/>
  <c r="C206" i="10"/>
  <c r="B206" i="10"/>
  <c r="L205" i="10"/>
  <c r="K205" i="10"/>
  <c r="J205" i="10"/>
  <c r="I205" i="10"/>
  <c r="H205" i="10"/>
  <c r="G205" i="10"/>
  <c r="F205" i="10"/>
  <c r="E205" i="10"/>
  <c r="D205" i="10"/>
  <c r="C205" i="10"/>
  <c r="B205" i="10"/>
  <c r="L204" i="10"/>
  <c r="K204" i="10"/>
  <c r="J204" i="10"/>
  <c r="I204" i="10"/>
  <c r="H204" i="10"/>
  <c r="G204" i="10"/>
  <c r="F204" i="10"/>
  <c r="E204" i="10"/>
  <c r="D204" i="10"/>
  <c r="C204" i="10"/>
  <c r="B204" i="10"/>
  <c r="L203" i="10"/>
  <c r="K203" i="10"/>
  <c r="J203" i="10"/>
  <c r="I203" i="10"/>
  <c r="H203" i="10"/>
  <c r="G203" i="10"/>
  <c r="F203" i="10"/>
  <c r="E203" i="10"/>
  <c r="D203" i="10"/>
  <c r="C203" i="10"/>
  <c r="B203" i="10"/>
  <c r="L202" i="10"/>
  <c r="K202" i="10"/>
  <c r="J202" i="10"/>
  <c r="I202" i="10"/>
  <c r="H202" i="10"/>
  <c r="G202" i="10"/>
  <c r="F202" i="10"/>
  <c r="E202" i="10"/>
  <c r="D202" i="10"/>
  <c r="C202" i="10"/>
  <c r="B202" i="10"/>
  <c r="L201" i="10"/>
  <c r="K201" i="10"/>
  <c r="J201" i="10"/>
  <c r="I201" i="10"/>
  <c r="H201" i="10"/>
  <c r="G201" i="10"/>
  <c r="F201" i="10"/>
  <c r="E201" i="10"/>
  <c r="D201" i="10"/>
  <c r="C201" i="10"/>
  <c r="B201" i="10"/>
  <c r="L200" i="10"/>
  <c r="K200" i="10"/>
  <c r="J200" i="10"/>
  <c r="I200" i="10"/>
  <c r="H200" i="10"/>
  <c r="G200" i="10"/>
  <c r="F200" i="10"/>
  <c r="E200" i="10"/>
  <c r="D200" i="10"/>
  <c r="C200" i="10"/>
  <c r="B200" i="10"/>
  <c r="L199" i="10"/>
  <c r="K199" i="10"/>
  <c r="J199" i="10"/>
  <c r="I199" i="10"/>
  <c r="H199" i="10"/>
  <c r="G199" i="10"/>
  <c r="F199" i="10"/>
  <c r="E199" i="10"/>
  <c r="D199" i="10"/>
  <c r="C199" i="10"/>
  <c r="B199" i="10"/>
  <c r="L198" i="10"/>
  <c r="K198" i="10"/>
  <c r="J198" i="10"/>
  <c r="I198" i="10"/>
  <c r="H198" i="10"/>
  <c r="G198" i="10"/>
  <c r="F198" i="10"/>
  <c r="E198" i="10"/>
  <c r="D198" i="10"/>
  <c r="C198" i="10"/>
  <c r="B198" i="10"/>
  <c r="L197" i="10"/>
  <c r="K197" i="10"/>
  <c r="J197" i="10"/>
  <c r="I197" i="10"/>
  <c r="H197" i="10"/>
  <c r="G197" i="10"/>
  <c r="F197" i="10"/>
  <c r="E197" i="10"/>
  <c r="D197" i="10"/>
  <c r="C197" i="10"/>
  <c r="B197" i="10"/>
  <c r="L196" i="10"/>
  <c r="K196" i="10"/>
  <c r="J196" i="10"/>
  <c r="I196" i="10"/>
  <c r="H196" i="10"/>
  <c r="G196" i="10"/>
  <c r="F196" i="10"/>
  <c r="E196" i="10"/>
  <c r="D196" i="10"/>
  <c r="C196" i="10"/>
  <c r="B196" i="10"/>
  <c r="L195" i="10"/>
  <c r="K195" i="10"/>
  <c r="J195" i="10"/>
  <c r="I195" i="10"/>
  <c r="H195" i="10"/>
  <c r="G195" i="10"/>
  <c r="F195" i="10"/>
  <c r="E195" i="10"/>
  <c r="D195" i="10"/>
  <c r="C195" i="10"/>
  <c r="B195" i="10"/>
  <c r="L194" i="10"/>
  <c r="K194" i="10"/>
  <c r="J194" i="10"/>
  <c r="I194" i="10"/>
  <c r="H194" i="10"/>
  <c r="G194" i="10"/>
  <c r="F194" i="10"/>
  <c r="E194" i="10"/>
  <c r="D194" i="10"/>
  <c r="C194" i="10"/>
  <c r="B194" i="10"/>
  <c r="L193" i="10"/>
  <c r="K193" i="10"/>
  <c r="J193" i="10"/>
  <c r="I193" i="10"/>
  <c r="H193" i="10"/>
  <c r="G193" i="10"/>
  <c r="F193" i="10"/>
  <c r="E193" i="10"/>
  <c r="D193" i="10"/>
  <c r="C193" i="10"/>
  <c r="B193" i="10"/>
  <c r="L192" i="10"/>
  <c r="K192" i="10"/>
  <c r="J192" i="10"/>
  <c r="I192" i="10"/>
  <c r="H192" i="10"/>
  <c r="G192" i="10"/>
  <c r="F192" i="10"/>
  <c r="E192" i="10"/>
  <c r="D192" i="10"/>
  <c r="C192" i="10"/>
  <c r="B192" i="10"/>
  <c r="L191" i="10"/>
  <c r="K191" i="10"/>
  <c r="J191" i="10"/>
  <c r="I191" i="10"/>
  <c r="H191" i="10"/>
  <c r="G191" i="10"/>
  <c r="F191" i="10"/>
  <c r="E191" i="10"/>
  <c r="D191" i="10"/>
  <c r="C191" i="10"/>
  <c r="B191" i="10"/>
  <c r="L190" i="10"/>
  <c r="K190" i="10"/>
  <c r="J190" i="10"/>
  <c r="I190" i="10"/>
  <c r="H190" i="10"/>
  <c r="G190" i="10"/>
  <c r="F190" i="10"/>
  <c r="E190" i="10"/>
  <c r="D190" i="10"/>
  <c r="C190" i="10"/>
  <c r="B190" i="10"/>
  <c r="L189" i="10"/>
  <c r="K189" i="10"/>
  <c r="J189" i="10"/>
  <c r="I189" i="10"/>
  <c r="H189" i="10"/>
  <c r="G189" i="10"/>
  <c r="F189" i="10"/>
  <c r="E189" i="10"/>
  <c r="D189" i="10"/>
  <c r="C189" i="10"/>
  <c r="B189" i="10"/>
  <c r="L188" i="10"/>
  <c r="K188" i="10"/>
  <c r="J188" i="10"/>
  <c r="I188" i="10"/>
  <c r="H188" i="10"/>
  <c r="G188" i="10"/>
  <c r="F188" i="10"/>
  <c r="E188" i="10"/>
  <c r="D188" i="10"/>
  <c r="C188" i="10"/>
  <c r="B188" i="10"/>
  <c r="L187" i="10"/>
  <c r="K187" i="10"/>
  <c r="J187" i="10"/>
  <c r="I187" i="10"/>
  <c r="H187" i="10"/>
  <c r="G187" i="10"/>
  <c r="F187" i="10"/>
  <c r="E187" i="10"/>
  <c r="D187" i="10"/>
  <c r="C187" i="10"/>
  <c r="B187" i="10"/>
  <c r="L186" i="10"/>
  <c r="K186" i="10"/>
  <c r="J186" i="10"/>
  <c r="I186" i="10"/>
  <c r="H186" i="10"/>
  <c r="G186" i="10"/>
  <c r="F186" i="10"/>
  <c r="E186" i="10"/>
  <c r="D186" i="10"/>
  <c r="C186" i="10"/>
  <c r="B186" i="10"/>
  <c r="L185" i="10"/>
  <c r="K185" i="10"/>
  <c r="J185" i="10"/>
  <c r="I185" i="10"/>
  <c r="H185" i="10"/>
  <c r="G185" i="10"/>
  <c r="F185" i="10"/>
  <c r="E185" i="10"/>
  <c r="D185" i="10"/>
  <c r="C185" i="10"/>
  <c r="B185" i="10"/>
  <c r="L184" i="10"/>
  <c r="K184" i="10"/>
  <c r="J184" i="10"/>
  <c r="I184" i="10"/>
  <c r="H184" i="10"/>
  <c r="G184" i="10"/>
  <c r="F184" i="10"/>
  <c r="E184" i="10"/>
  <c r="D184" i="10"/>
  <c r="C184" i="10"/>
  <c r="B184" i="10"/>
  <c r="L183" i="10"/>
  <c r="K183" i="10"/>
  <c r="J183" i="10"/>
  <c r="I183" i="10"/>
  <c r="H183" i="10"/>
  <c r="G183" i="10"/>
  <c r="F183" i="10"/>
  <c r="E183" i="10"/>
  <c r="D183" i="10"/>
  <c r="C183" i="10"/>
  <c r="B183" i="10"/>
  <c r="L182" i="10"/>
  <c r="K182" i="10"/>
  <c r="J182" i="10"/>
  <c r="I182" i="10"/>
  <c r="H182" i="10"/>
  <c r="G182" i="10"/>
  <c r="F182" i="10"/>
  <c r="E182" i="10"/>
  <c r="D182" i="10"/>
  <c r="C182" i="10"/>
  <c r="B182" i="10"/>
  <c r="L181" i="10"/>
  <c r="K181" i="10"/>
  <c r="J181" i="10"/>
  <c r="I181" i="10"/>
  <c r="H181" i="10"/>
  <c r="G181" i="10"/>
  <c r="F181" i="10"/>
  <c r="E181" i="10"/>
  <c r="D181" i="10"/>
  <c r="C181" i="10"/>
  <c r="B181" i="10"/>
  <c r="L180" i="10"/>
  <c r="K180" i="10"/>
  <c r="J180" i="10"/>
  <c r="I180" i="10"/>
  <c r="H180" i="10"/>
  <c r="G180" i="10"/>
  <c r="F180" i="10"/>
  <c r="E180" i="10"/>
  <c r="D180" i="10"/>
  <c r="C180" i="10"/>
  <c r="B180" i="10"/>
  <c r="L179" i="10"/>
  <c r="K179" i="10"/>
  <c r="J179" i="10"/>
  <c r="I179" i="10"/>
  <c r="H179" i="10"/>
  <c r="G179" i="10"/>
  <c r="F179" i="10"/>
  <c r="E179" i="10"/>
  <c r="D179" i="10"/>
  <c r="C179" i="10"/>
  <c r="B179" i="10"/>
  <c r="L178" i="10"/>
  <c r="K178" i="10"/>
  <c r="J178" i="10"/>
  <c r="I178" i="10"/>
  <c r="H178" i="10"/>
  <c r="G178" i="10"/>
  <c r="F178" i="10"/>
  <c r="E178" i="10"/>
  <c r="D178" i="10"/>
  <c r="C178" i="10"/>
  <c r="B178" i="10"/>
  <c r="L177" i="10"/>
  <c r="K177" i="10"/>
  <c r="J177" i="10"/>
  <c r="I177" i="10"/>
  <c r="H177" i="10"/>
  <c r="G177" i="10"/>
  <c r="F177" i="10"/>
  <c r="E177" i="10"/>
  <c r="D177" i="10"/>
  <c r="C177" i="10"/>
  <c r="B177" i="10"/>
  <c r="L176" i="10"/>
  <c r="K176" i="10"/>
  <c r="J176" i="10"/>
  <c r="I176" i="10"/>
  <c r="H176" i="10"/>
  <c r="G176" i="10"/>
  <c r="F176" i="10"/>
  <c r="E176" i="10"/>
  <c r="D176" i="10"/>
  <c r="C176" i="10"/>
  <c r="B176" i="10"/>
  <c r="L175" i="10"/>
  <c r="K175" i="10"/>
  <c r="J175" i="10"/>
  <c r="I175" i="10"/>
  <c r="H175" i="10"/>
  <c r="G175" i="10"/>
  <c r="F175" i="10"/>
  <c r="E175" i="10"/>
  <c r="D175" i="10"/>
  <c r="C175" i="10"/>
  <c r="B175" i="10"/>
  <c r="L174" i="10"/>
  <c r="K174" i="10"/>
  <c r="J174" i="10"/>
  <c r="I174" i="10"/>
  <c r="H174" i="10"/>
  <c r="G174" i="10"/>
  <c r="F174" i="10"/>
  <c r="E174" i="10"/>
  <c r="D174" i="10"/>
  <c r="C174" i="10"/>
  <c r="B174" i="10"/>
  <c r="L173" i="10"/>
  <c r="K173" i="10"/>
  <c r="J173" i="10"/>
  <c r="I173" i="10"/>
  <c r="H173" i="10"/>
  <c r="G173" i="10"/>
  <c r="F173" i="10"/>
  <c r="E173" i="10"/>
  <c r="D173" i="10"/>
  <c r="C173" i="10"/>
  <c r="B173" i="10"/>
  <c r="L172" i="10"/>
  <c r="K172" i="10"/>
  <c r="J172" i="10"/>
  <c r="I172" i="10"/>
  <c r="H172" i="10"/>
  <c r="G172" i="10"/>
  <c r="F172" i="10"/>
  <c r="E172" i="10"/>
  <c r="D172" i="10"/>
  <c r="C172" i="10"/>
  <c r="B172" i="10"/>
  <c r="L171" i="10"/>
  <c r="K171" i="10"/>
  <c r="J171" i="10"/>
  <c r="I171" i="10"/>
  <c r="H171" i="10"/>
  <c r="G171" i="10"/>
  <c r="F171" i="10"/>
  <c r="E171" i="10"/>
  <c r="D171" i="10"/>
  <c r="C171" i="10"/>
  <c r="B171" i="10"/>
  <c r="L170" i="10"/>
  <c r="K170" i="10"/>
  <c r="J170" i="10"/>
  <c r="I170" i="10"/>
  <c r="H170" i="10"/>
  <c r="G170" i="10"/>
  <c r="F170" i="10"/>
  <c r="E170" i="10"/>
  <c r="D170" i="10"/>
  <c r="C170" i="10"/>
  <c r="B170" i="10"/>
  <c r="L169" i="10"/>
  <c r="K169" i="10"/>
  <c r="J169" i="10"/>
  <c r="I169" i="10"/>
  <c r="H169" i="10"/>
  <c r="G169" i="10"/>
  <c r="F169" i="10"/>
  <c r="E169" i="10"/>
  <c r="D169" i="10"/>
  <c r="C169" i="10"/>
  <c r="B169" i="10"/>
  <c r="L168" i="10"/>
  <c r="K168" i="10"/>
  <c r="J168" i="10"/>
  <c r="I168" i="10"/>
  <c r="H168" i="10"/>
  <c r="G168" i="10"/>
  <c r="F168" i="10"/>
  <c r="E168" i="10"/>
  <c r="D168" i="10"/>
  <c r="C168" i="10"/>
  <c r="B168" i="10"/>
  <c r="L167" i="10"/>
  <c r="K167" i="10"/>
  <c r="J167" i="10"/>
  <c r="I167" i="10"/>
  <c r="H167" i="10"/>
  <c r="G167" i="10"/>
  <c r="F167" i="10"/>
  <c r="E167" i="10"/>
  <c r="D167" i="10"/>
  <c r="C167" i="10"/>
  <c r="B167" i="10"/>
  <c r="L166" i="10"/>
  <c r="K166" i="10"/>
  <c r="J166" i="10"/>
  <c r="I166" i="10"/>
  <c r="H166" i="10"/>
  <c r="G166" i="10"/>
  <c r="F166" i="10"/>
  <c r="E166" i="10"/>
  <c r="D166" i="10"/>
  <c r="C166" i="10"/>
  <c r="B166" i="10"/>
  <c r="L165" i="10"/>
  <c r="K165" i="10"/>
  <c r="J165" i="10"/>
  <c r="I165" i="10"/>
  <c r="H165" i="10"/>
  <c r="G165" i="10"/>
  <c r="F165" i="10"/>
  <c r="E165" i="10"/>
  <c r="D165" i="10"/>
  <c r="C165" i="10"/>
  <c r="B165" i="10"/>
  <c r="L164" i="10"/>
  <c r="K164" i="10"/>
  <c r="J164" i="10"/>
  <c r="I164" i="10"/>
  <c r="H164" i="10"/>
  <c r="G164" i="10"/>
  <c r="F164" i="10"/>
  <c r="E164" i="10"/>
  <c r="D164" i="10"/>
  <c r="C164" i="10"/>
  <c r="B164" i="10"/>
  <c r="L163" i="10"/>
  <c r="K163" i="10"/>
  <c r="J163" i="10"/>
  <c r="I163" i="10"/>
  <c r="H163" i="10"/>
  <c r="G163" i="10"/>
  <c r="F163" i="10"/>
  <c r="E163" i="10"/>
  <c r="D163" i="10"/>
  <c r="C163" i="10"/>
  <c r="B163" i="10"/>
  <c r="L162" i="10"/>
  <c r="K162" i="10"/>
  <c r="J162" i="10"/>
  <c r="I162" i="10"/>
  <c r="H162" i="10"/>
  <c r="G162" i="10"/>
  <c r="F162" i="10"/>
  <c r="E162" i="10"/>
  <c r="D162" i="10"/>
  <c r="C162" i="10"/>
  <c r="B162" i="10"/>
  <c r="L161" i="10"/>
  <c r="K161" i="10"/>
  <c r="J161" i="10"/>
  <c r="I161" i="10"/>
  <c r="H161" i="10"/>
  <c r="G161" i="10"/>
  <c r="F161" i="10"/>
  <c r="E161" i="10"/>
  <c r="D161" i="10"/>
  <c r="C161" i="10"/>
  <c r="B161" i="10"/>
  <c r="L160" i="10"/>
  <c r="K160" i="10"/>
  <c r="J160" i="10"/>
  <c r="I160" i="10"/>
  <c r="H160" i="10"/>
  <c r="G160" i="10"/>
  <c r="F160" i="10"/>
  <c r="E160" i="10"/>
  <c r="D160" i="10"/>
  <c r="C160" i="10"/>
  <c r="B160" i="10"/>
  <c r="L159" i="10"/>
  <c r="K159" i="10"/>
  <c r="J159" i="10"/>
  <c r="I159" i="10"/>
  <c r="H159" i="10"/>
  <c r="G159" i="10"/>
  <c r="F159" i="10"/>
  <c r="E159" i="10"/>
  <c r="D159" i="10"/>
  <c r="C159" i="10"/>
  <c r="B159" i="10"/>
  <c r="L158" i="10"/>
  <c r="K158" i="10"/>
  <c r="J158" i="10"/>
  <c r="I158" i="10"/>
  <c r="H158" i="10"/>
  <c r="G158" i="10"/>
  <c r="F158" i="10"/>
  <c r="E158" i="10"/>
  <c r="D158" i="10"/>
  <c r="C158" i="10"/>
  <c r="B158" i="10"/>
  <c r="L157" i="10"/>
  <c r="K157" i="10"/>
  <c r="J157" i="10"/>
  <c r="I157" i="10"/>
  <c r="H157" i="10"/>
  <c r="G157" i="10"/>
  <c r="F157" i="10"/>
  <c r="E157" i="10"/>
  <c r="D157" i="10"/>
  <c r="C157" i="10"/>
  <c r="B157" i="10"/>
  <c r="L156" i="10"/>
  <c r="K156" i="10"/>
  <c r="J156" i="10"/>
  <c r="I156" i="10"/>
  <c r="H156" i="10"/>
  <c r="G156" i="10"/>
  <c r="F156" i="10"/>
  <c r="E156" i="10"/>
  <c r="D156" i="10"/>
  <c r="C156" i="10"/>
  <c r="B156" i="10"/>
  <c r="L155" i="10"/>
  <c r="K155" i="10"/>
  <c r="J155" i="10"/>
  <c r="I155" i="10"/>
  <c r="H155" i="10"/>
  <c r="G155" i="10"/>
  <c r="F155" i="10"/>
  <c r="E155" i="10"/>
  <c r="D155" i="10"/>
  <c r="C155" i="10"/>
  <c r="B155" i="10"/>
  <c r="L154" i="10"/>
  <c r="K154" i="10"/>
  <c r="J154" i="10"/>
  <c r="I154" i="10"/>
  <c r="H154" i="10"/>
  <c r="G154" i="10"/>
  <c r="F154" i="10"/>
  <c r="E154" i="10"/>
  <c r="D154" i="10"/>
  <c r="C154" i="10"/>
  <c r="B154" i="10"/>
  <c r="L153" i="10"/>
  <c r="K153" i="10"/>
  <c r="J153" i="10"/>
  <c r="I153" i="10"/>
  <c r="H153" i="10"/>
  <c r="G153" i="10"/>
  <c r="F153" i="10"/>
  <c r="E153" i="10"/>
  <c r="D153" i="10"/>
  <c r="C153" i="10"/>
  <c r="B153" i="10"/>
  <c r="L152" i="10"/>
  <c r="K152" i="10"/>
  <c r="J152" i="10"/>
  <c r="I152" i="10"/>
  <c r="H152" i="10"/>
  <c r="G152" i="10"/>
  <c r="F152" i="10"/>
  <c r="E152" i="10"/>
  <c r="D152" i="10"/>
  <c r="C152" i="10"/>
  <c r="B152" i="10"/>
  <c r="L151" i="10"/>
  <c r="K151" i="10"/>
  <c r="J151" i="10"/>
  <c r="I151" i="10"/>
  <c r="H151" i="10"/>
  <c r="G151" i="10"/>
  <c r="F151" i="10"/>
  <c r="E151" i="10"/>
  <c r="D151" i="10"/>
  <c r="C151" i="10"/>
  <c r="B151" i="10"/>
  <c r="L150" i="10"/>
  <c r="K150" i="10"/>
  <c r="J150" i="10"/>
  <c r="I150" i="10"/>
  <c r="H150" i="10"/>
  <c r="G150" i="10"/>
  <c r="F150" i="10"/>
  <c r="E150" i="10"/>
  <c r="D150" i="10"/>
  <c r="C150" i="10"/>
  <c r="B150" i="10"/>
  <c r="L149" i="10"/>
  <c r="K149" i="10"/>
  <c r="J149" i="10"/>
  <c r="I149" i="10"/>
  <c r="H149" i="10"/>
  <c r="G149" i="10"/>
  <c r="F149" i="10"/>
  <c r="E149" i="10"/>
  <c r="D149" i="10"/>
  <c r="C149" i="10"/>
  <c r="B149" i="10"/>
  <c r="L148" i="10"/>
  <c r="K148" i="10"/>
  <c r="J148" i="10"/>
  <c r="I148" i="10"/>
  <c r="H148" i="10"/>
  <c r="G148" i="10"/>
  <c r="F148" i="10"/>
  <c r="E148" i="10"/>
  <c r="D148" i="10"/>
  <c r="C148" i="10"/>
  <c r="B148" i="10"/>
  <c r="L147" i="10"/>
  <c r="K147" i="10"/>
  <c r="J147" i="10"/>
  <c r="I147" i="10"/>
  <c r="H147" i="10"/>
  <c r="G147" i="10"/>
  <c r="F147" i="10"/>
  <c r="E147" i="10"/>
  <c r="D147" i="10"/>
  <c r="C147" i="10"/>
  <c r="B147" i="10"/>
  <c r="L146" i="10"/>
  <c r="K146" i="10"/>
  <c r="J146" i="10"/>
  <c r="I146" i="10"/>
  <c r="H146" i="10"/>
  <c r="G146" i="10"/>
  <c r="F146" i="10"/>
  <c r="E146" i="10"/>
  <c r="D146" i="10"/>
  <c r="C146" i="10"/>
  <c r="B146" i="10"/>
  <c r="L145" i="10"/>
  <c r="K145" i="10"/>
  <c r="J145" i="10"/>
  <c r="I145" i="10"/>
  <c r="H145" i="10"/>
  <c r="G145" i="10"/>
  <c r="F145" i="10"/>
  <c r="E145" i="10"/>
  <c r="D145" i="10"/>
  <c r="C145" i="10"/>
  <c r="B145" i="10"/>
  <c r="L144" i="10"/>
  <c r="K144" i="10"/>
  <c r="J144" i="10"/>
  <c r="I144" i="10"/>
  <c r="H144" i="10"/>
  <c r="G144" i="10"/>
  <c r="F144" i="10"/>
  <c r="E144" i="10"/>
  <c r="D144" i="10"/>
  <c r="C144" i="10"/>
  <c r="B144" i="10"/>
  <c r="L143" i="10"/>
  <c r="K143" i="10"/>
  <c r="J143" i="10"/>
  <c r="I143" i="10"/>
  <c r="H143" i="10"/>
  <c r="G143" i="10"/>
  <c r="F143" i="10"/>
  <c r="E143" i="10"/>
  <c r="D143" i="10"/>
  <c r="C143" i="10"/>
  <c r="B143" i="10"/>
  <c r="L142" i="10"/>
  <c r="K142" i="10"/>
  <c r="J142" i="10"/>
  <c r="I142" i="10"/>
  <c r="H142" i="10"/>
  <c r="G142" i="10"/>
  <c r="F142" i="10"/>
  <c r="E142" i="10"/>
  <c r="D142" i="10"/>
  <c r="C142" i="10"/>
  <c r="B142" i="10"/>
  <c r="L141" i="10"/>
  <c r="K141" i="10"/>
  <c r="J141" i="10"/>
  <c r="I141" i="10"/>
  <c r="H141" i="10"/>
  <c r="G141" i="10"/>
  <c r="F141" i="10"/>
  <c r="E141" i="10"/>
  <c r="D141" i="10"/>
  <c r="C141" i="10"/>
  <c r="B141" i="10"/>
  <c r="L140" i="10"/>
  <c r="K140" i="10"/>
  <c r="J140" i="10"/>
  <c r="I140" i="10"/>
  <c r="H140" i="10"/>
  <c r="G140" i="10"/>
  <c r="F140" i="10"/>
  <c r="E140" i="10"/>
  <c r="D140" i="10"/>
  <c r="C140" i="10"/>
  <c r="B140" i="10"/>
  <c r="L139" i="10"/>
  <c r="K139" i="10"/>
  <c r="J139" i="10"/>
  <c r="I139" i="10"/>
  <c r="H139" i="10"/>
  <c r="G139" i="10"/>
  <c r="F139" i="10"/>
  <c r="E139" i="10"/>
  <c r="D139" i="10"/>
  <c r="C139" i="10"/>
  <c r="B139" i="10"/>
  <c r="L138" i="10"/>
  <c r="K138" i="10"/>
  <c r="J138" i="10"/>
  <c r="I138" i="10"/>
  <c r="H138" i="10"/>
  <c r="G138" i="10"/>
  <c r="F138" i="10"/>
  <c r="E138" i="10"/>
  <c r="D138" i="10"/>
  <c r="C138" i="10"/>
  <c r="B138" i="10"/>
  <c r="L137" i="10"/>
  <c r="K137" i="10"/>
  <c r="J137" i="10"/>
  <c r="I137" i="10"/>
  <c r="H137" i="10"/>
  <c r="G137" i="10"/>
  <c r="F137" i="10"/>
  <c r="E137" i="10"/>
  <c r="D137" i="10"/>
  <c r="C137" i="10"/>
  <c r="B137" i="10"/>
  <c r="L136" i="10"/>
  <c r="K136" i="10"/>
  <c r="J136" i="10"/>
  <c r="I136" i="10"/>
  <c r="H136" i="10"/>
  <c r="G136" i="10"/>
  <c r="F136" i="10"/>
  <c r="E136" i="10"/>
  <c r="D136" i="10"/>
  <c r="C136" i="10"/>
  <c r="B136" i="10"/>
  <c r="L135" i="10"/>
  <c r="K135" i="10"/>
  <c r="J135" i="10"/>
  <c r="I135" i="10"/>
  <c r="H135" i="10"/>
  <c r="G135" i="10"/>
  <c r="F135" i="10"/>
  <c r="E135" i="10"/>
  <c r="D135" i="10"/>
  <c r="C135" i="10"/>
  <c r="B135" i="10"/>
  <c r="L134" i="10"/>
  <c r="K134" i="10"/>
  <c r="J134" i="10"/>
  <c r="I134" i="10"/>
  <c r="H134" i="10"/>
  <c r="G134" i="10"/>
  <c r="F134" i="10"/>
  <c r="E134" i="10"/>
  <c r="D134" i="10"/>
  <c r="C134" i="10"/>
  <c r="B134" i="10"/>
  <c r="L133" i="10"/>
  <c r="K133" i="10"/>
  <c r="J133" i="10"/>
  <c r="I133" i="10"/>
  <c r="H133" i="10"/>
  <c r="G133" i="10"/>
  <c r="F133" i="10"/>
  <c r="E133" i="10"/>
  <c r="D133" i="10"/>
  <c r="C133" i="10"/>
  <c r="B133" i="10"/>
  <c r="L132" i="10"/>
  <c r="K132" i="10"/>
  <c r="J132" i="10"/>
  <c r="I132" i="10"/>
  <c r="H132" i="10"/>
  <c r="G132" i="10"/>
  <c r="F132" i="10"/>
  <c r="E132" i="10"/>
  <c r="D132" i="10"/>
  <c r="C132" i="10"/>
  <c r="B132" i="10"/>
  <c r="L131" i="10"/>
  <c r="K131" i="10"/>
  <c r="J131" i="10"/>
  <c r="I131" i="10"/>
  <c r="H131" i="10"/>
  <c r="G131" i="10"/>
  <c r="F131" i="10"/>
  <c r="E131" i="10"/>
  <c r="D131" i="10"/>
  <c r="C131" i="10"/>
  <c r="B131" i="10"/>
  <c r="L130" i="10"/>
  <c r="K130" i="10"/>
  <c r="J130" i="10"/>
  <c r="I130" i="10"/>
  <c r="H130" i="10"/>
  <c r="G130" i="10"/>
  <c r="F130" i="10"/>
  <c r="E130" i="10"/>
  <c r="D130" i="10"/>
  <c r="C130" i="10"/>
  <c r="B130" i="10"/>
  <c r="L129" i="10"/>
  <c r="K129" i="10"/>
  <c r="J129" i="10"/>
  <c r="I129" i="10"/>
  <c r="H129" i="10"/>
  <c r="G129" i="10"/>
  <c r="F129" i="10"/>
  <c r="E129" i="10"/>
  <c r="D129" i="10"/>
  <c r="C129" i="10"/>
  <c r="B129" i="10"/>
  <c r="L128" i="10"/>
  <c r="K128" i="10"/>
  <c r="J128" i="10"/>
  <c r="I128" i="10"/>
  <c r="H128" i="10"/>
  <c r="G128" i="10"/>
  <c r="F128" i="10"/>
  <c r="E128" i="10"/>
  <c r="D128" i="10"/>
  <c r="C128" i="10"/>
  <c r="B128" i="10"/>
  <c r="L127" i="10"/>
  <c r="K127" i="10"/>
  <c r="J127" i="10"/>
  <c r="I127" i="10"/>
  <c r="H127" i="10"/>
  <c r="G127" i="10"/>
  <c r="F127" i="10"/>
  <c r="E127" i="10"/>
  <c r="D127" i="10"/>
  <c r="C127" i="10"/>
  <c r="B127" i="10"/>
  <c r="L126" i="10"/>
  <c r="K126" i="10"/>
  <c r="J126" i="10"/>
  <c r="I126" i="10"/>
  <c r="H126" i="10"/>
  <c r="G126" i="10"/>
  <c r="F126" i="10"/>
  <c r="E126" i="10"/>
  <c r="D126" i="10"/>
  <c r="C126" i="10"/>
  <c r="B126" i="10"/>
  <c r="L125" i="10"/>
  <c r="K125" i="10"/>
  <c r="J125" i="10"/>
  <c r="I125" i="10"/>
  <c r="H125" i="10"/>
  <c r="G125" i="10"/>
  <c r="F125" i="10"/>
  <c r="E125" i="10"/>
  <c r="D125" i="10"/>
  <c r="C125" i="10"/>
  <c r="B125" i="10"/>
  <c r="L124" i="10"/>
  <c r="K124" i="10"/>
  <c r="J124" i="10"/>
  <c r="I124" i="10"/>
  <c r="H124" i="10"/>
  <c r="G124" i="10"/>
  <c r="F124" i="10"/>
  <c r="E124" i="10"/>
  <c r="D124" i="10"/>
  <c r="C124" i="10"/>
  <c r="B124" i="10"/>
  <c r="L123" i="10"/>
  <c r="K123" i="10"/>
  <c r="J123" i="10"/>
  <c r="I123" i="10"/>
  <c r="H123" i="10"/>
  <c r="G123" i="10"/>
  <c r="F123" i="10"/>
  <c r="E123" i="10"/>
  <c r="D123" i="10"/>
  <c r="C123" i="10"/>
  <c r="B123" i="10"/>
  <c r="L122" i="10"/>
  <c r="K122" i="10"/>
  <c r="J122" i="10"/>
  <c r="I122" i="10"/>
  <c r="H122" i="10"/>
  <c r="G122" i="10"/>
  <c r="F122" i="10"/>
  <c r="E122" i="10"/>
  <c r="D122" i="10"/>
  <c r="C122" i="10"/>
  <c r="B122" i="10"/>
  <c r="L121" i="10"/>
  <c r="K121" i="10"/>
  <c r="J121" i="10"/>
  <c r="I121" i="10"/>
  <c r="H121" i="10"/>
  <c r="G121" i="10"/>
  <c r="F121" i="10"/>
  <c r="E121" i="10"/>
  <c r="D121" i="10"/>
  <c r="C121" i="10"/>
  <c r="B121" i="10"/>
  <c r="L120" i="10"/>
  <c r="K120" i="10"/>
  <c r="J120" i="10"/>
  <c r="I120" i="10"/>
  <c r="H120" i="10"/>
  <c r="G120" i="10"/>
  <c r="F120" i="10"/>
  <c r="E120" i="10"/>
  <c r="D120" i="10"/>
  <c r="C120" i="10"/>
  <c r="B120" i="10"/>
  <c r="L119" i="10"/>
  <c r="K119" i="10"/>
  <c r="J119" i="10"/>
  <c r="I119" i="10"/>
  <c r="H119" i="10"/>
  <c r="G119" i="10"/>
  <c r="F119" i="10"/>
  <c r="E119" i="10"/>
  <c r="D119" i="10"/>
  <c r="C119" i="10"/>
  <c r="B119" i="10"/>
  <c r="L118" i="10"/>
  <c r="K118" i="10"/>
  <c r="J118" i="10"/>
  <c r="I118" i="10"/>
  <c r="H118" i="10"/>
  <c r="G118" i="10"/>
  <c r="F118" i="10"/>
  <c r="E118" i="10"/>
  <c r="D118" i="10"/>
  <c r="C118" i="10"/>
  <c r="B118" i="10"/>
  <c r="L117" i="10"/>
  <c r="K117" i="10"/>
  <c r="J117" i="10"/>
  <c r="I117" i="10"/>
  <c r="H117" i="10"/>
  <c r="G117" i="10"/>
  <c r="F117" i="10"/>
  <c r="E117" i="10"/>
  <c r="D117" i="10"/>
  <c r="C117" i="10"/>
  <c r="B117" i="10"/>
  <c r="L116" i="10"/>
  <c r="K116" i="10"/>
  <c r="J116" i="10"/>
  <c r="I116" i="10"/>
  <c r="H116" i="10"/>
  <c r="G116" i="10"/>
  <c r="F116" i="10"/>
  <c r="E116" i="10"/>
  <c r="D116" i="10"/>
  <c r="C116" i="10"/>
  <c r="B116" i="10"/>
  <c r="L115" i="10"/>
  <c r="K115" i="10"/>
  <c r="J115" i="10"/>
  <c r="I115" i="10"/>
  <c r="H115" i="10"/>
  <c r="G115" i="10"/>
  <c r="F115" i="10"/>
  <c r="E115" i="10"/>
  <c r="D115" i="10"/>
  <c r="C115" i="10"/>
  <c r="B115" i="10"/>
  <c r="L114" i="10"/>
  <c r="K114" i="10"/>
  <c r="J114" i="10"/>
  <c r="I114" i="10"/>
  <c r="H114" i="10"/>
  <c r="G114" i="10"/>
  <c r="F114" i="10"/>
  <c r="E114" i="10"/>
  <c r="D114" i="10"/>
  <c r="C114" i="10"/>
  <c r="B114" i="10"/>
  <c r="L113" i="10"/>
  <c r="K113" i="10"/>
  <c r="J113" i="10"/>
  <c r="I113" i="10"/>
  <c r="H113" i="10"/>
  <c r="G113" i="10"/>
  <c r="F113" i="10"/>
  <c r="E113" i="10"/>
  <c r="D113" i="10"/>
  <c r="C113" i="10"/>
  <c r="B113" i="10"/>
  <c r="L112" i="10"/>
  <c r="K112" i="10"/>
  <c r="J112" i="10"/>
  <c r="I112" i="10"/>
  <c r="H112" i="10"/>
  <c r="G112" i="10"/>
  <c r="F112" i="10"/>
  <c r="E112" i="10"/>
  <c r="D112" i="10"/>
  <c r="C112" i="10"/>
  <c r="B112" i="10"/>
  <c r="L111" i="10"/>
  <c r="K111" i="10"/>
  <c r="J111" i="10"/>
  <c r="I111" i="10"/>
  <c r="H111" i="10"/>
  <c r="G111" i="10"/>
  <c r="F111" i="10"/>
  <c r="E111" i="10"/>
  <c r="D111" i="10"/>
  <c r="C111" i="10"/>
  <c r="B111" i="10"/>
  <c r="L110" i="10"/>
  <c r="K110" i="10"/>
  <c r="J110" i="10"/>
  <c r="I110" i="10"/>
  <c r="H110" i="10"/>
  <c r="G110" i="10"/>
  <c r="F110" i="10"/>
  <c r="E110" i="10"/>
  <c r="D110" i="10"/>
  <c r="C110" i="10"/>
  <c r="B110" i="10"/>
  <c r="L109" i="10"/>
  <c r="K109" i="10"/>
  <c r="J109" i="10"/>
  <c r="I109" i="10"/>
  <c r="H109" i="10"/>
  <c r="G109" i="10"/>
  <c r="F109" i="10"/>
  <c r="E109" i="10"/>
  <c r="D109" i="10"/>
  <c r="C109" i="10"/>
  <c r="B109" i="10"/>
  <c r="L108" i="10"/>
  <c r="K108" i="10"/>
  <c r="J108" i="10"/>
  <c r="I108" i="10"/>
  <c r="H108" i="10"/>
  <c r="G108" i="10"/>
  <c r="F108" i="10"/>
  <c r="E108" i="10"/>
  <c r="D108" i="10"/>
  <c r="C108" i="10"/>
  <c r="B108" i="10"/>
  <c r="L107" i="10"/>
  <c r="K107" i="10"/>
  <c r="J107" i="10"/>
  <c r="I107" i="10"/>
  <c r="H107" i="10"/>
  <c r="G107" i="10"/>
  <c r="F107" i="10"/>
  <c r="E107" i="10"/>
  <c r="D107" i="10"/>
  <c r="C107" i="10"/>
  <c r="B107" i="10"/>
  <c r="L106" i="10"/>
  <c r="K106" i="10"/>
  <c r="J106" i="10"/>
  <c r="I106" i="10"/>
  <c r="H106" i="10"/>
  <c r="G106" i="10"/>
  <c r="F106" i="10"/>
  <c r="E106" i="10"/>
  <c r="D106" i="10"/>
  <c r="C106" i="10"/>
  <c r="B106" i="10"/>
  <c r="L105" i="10"/>
  <c r="K105" i="10"/>
  <c r="J105" i="10"/>
  <c r="I105" i="10"/>
  <c r="H105" i="10"/>
  <c r="G105" i="10"/>
  <c r="F105" i="10"/>
  <c r="E105" i="10"/>
  <c r="D105" i="10"/>
  <c r="C105" i="10"/>
  <c r="B105" i="10"/>
  <c r="L104" i="10"/>
  <c r="K104" i="10"/>
  <c r="J104" i="10"/>
  <c r="I104" i="10"/>
  <c r="H104" i="10"/>
  <c r="G104" i="10"/>
  <c r="F104" i="10"/>
  <c r="E104" i="10"/>
  <c r="D104" i="10"/>
  <c r="C104" i="10"/>
  <c r="B104" i="10"/>
  <c r="L103" i="10"/>
  <c r="K103" i="10"/>
  <c r="J103" i="10"/>
  <c r="I103" i="10"/>
  <c r="H103" i="10"/>
  <c r="G103" i="10"/>
  <c r="F103" i="10"/>
  <c r="E103" i="10"/>
  <c r="D103" i="10"/>
  <c r="C103" i="10"/>
  <c r="B103" i="10"/>
  <c r="L102" i="10"/>
  <c r="K102" i="10"/>
  <c r="J102" i="10"/>
  <c r="I102" i="10"/>
  <c r="H102" i="10"/>
  <c r="G102" i="10"/>
  <c r="F102" i="10"/>
  <c r="E102" i="10"/>
  <c r="D102" i="10"/>
  <c r="C102" i="10"/>
  <c r="B102" i="10"/>
  <c r="L101" i="10"/>
  <c r="K101" i="10"/>
  <c r="J101" i="10"/>
  <c r="I101" i="10"/>
  <c r="H101" i="10"/>
  <c r="G101" i="10"/>
  <c r="F101" i="10"/>
  <c r="E101" i="10"/>
  <c r="D101" i="10"/>
  <c r="C101" i="10"/>
  <c r="B101" i="10"/>
  <c r="L100" i="10"/>
  <c r="K100" i="10"/>
  <c r="J100" i="10"/>
  <c r="I100" i="10"/>
  <c r="H100" i="10"/>
  <c r="G100" i="10"/>
  <c r="F100" i="10"/>
  <c r="E100" i="10"/>
  <c r="D100" i="10"/>
  <c r="C100" i="10"/>
  <c r="B100" i="10"/>
  <c r="L99" i="10"/>
  <c r="K99" i="10"/>
  <c r="J99" i="10"/>
  <c r="I99" i="10"/>
  <c r="H99" i="10"/>
  <c r="G99" i="10"/>
  <c r="F99" i="10"/>
  <c r="E99" i="10"/>
  <c r="D99" i="10"/>
  <c r="C99" i="10"/>
  <c r="B99" i="10"/>
  <c r="L98" i="10"/>
  <c r="K98" i="10"/>
  <c r="J98" i="10"/>
  <c r="I98" i="10"/>
  <c r="H98" i="10"/>
  <c r="G98" i="10"/>
  <c r="F98" i="10"/>
  <c r="E98" i="10"/>
  <c r="D98" i="10"/>
  <c r="C98" i="10"/>
  <c r="B98" i="10"/>
  <c r="L97" i="10"/>
  <c r="K97" i="10"/>
  <c r="J97" i="10"/>
  <c r="I97" i="10"/>
  <c r="H97" i="10"/>
  <c r="G97" i="10"/>
  <c r="F97" i="10"/>
  <c r="E97" i="10"/>
  <c r="D97" i="10"/>
  <c r="C97" i="10"/>
  <c r="B97" i="10"/>
  <c r="L96" i="10"/>
  <c r="K96" i="10"/>
  <c r="J96" i="10"/>
  <c r="I96" i="10"/>
  <c r="H96" i="10"/>
  <c r="G96" i="10"/>
  <c r="F96" i="10"/>
  <c r="E96" i="10"/>
  <c r="D96" i="10"/>
  <c r="C96" i="10"/>
  <c r="B96" i="10"/>
  <c r="L95" i="10"/>
  <c r="K95" i="10"/>
  <c r="J95" i="10"/>
  <c r="I95" i="10"/>
  <c r="H95" i="10"/>
  <c r="G95" i="10"/>
  <c r="F95" i="10"/>
  <c r="E95" i="10"/>
  <c r="D95" i="10"/>
  <c r="C95" i="10"/>
  <c r="B95" i="10"/>
  <c r="L94" i="10"/>
  <c r="K94" i="10"/>
  <c r="J94" i="10"/>
  <c r="I94" i="10"/>
  <c r="H94" i="10"/>
  <c r="G94" i="10"/>
  <c r="F94" i="10"/>
  <c r="E94" i="10"/>
  <c r="D94" i="10"/>
  <c r="C94" i="10"/>
  <c r="B94" i="10"/>
  <c r="L93" i="10"/>
  <c r="K93" i="10"/>
  <c r="J93" i="10"/>
  <c r="I93" i="10"/>
  <c r="H93" i="10"/>
  <c r="G93" i="10"/>
  <c r="F93" i="10"/>
  <c r="E93" i="10"/>
  <c r="D93" i="10"/>
  <c r="C93" i="10"/>
  <c r="B93" i="10"/>
  <c r="L92" i="10"/>
  <c r="K92" i="10"/>
  <c r="J92" i="10"/>
  <c r="I92" i="10"/>
  <c r="H92" i="10"/>
  <c r="G92" i="10"/>
  <c r="F92" i="10"/>
  <c r="E92" i="10"/>
  <c r="D92" i="10"/>
  <c r="C92" i="10"/>
  <c r="B92" i="10"/>
  <c r="L91" i="10"/>
  <c r="K91" i="10"/>
  <c r="J91" i="10"/>
  <c r="I91" i="10"/>
  <c r="H91" i="10"/>
  <c r="G91" i="10"/>
  <c r="F91" i="10"/>
  <c r="E91" i="10"/>
  <c r="D91" i="10"/>
  <c r="C91" i="10"/>
  <c r="B91" i="10"/>
  <c r="L90" i="10"/>
  <c r="K90" i="10"/>
  <c r="J90" i="10"/>
  <c r="I90" i="10"/>
  <c r="H90" i="10"/>
  <c r="G90" i="10"/>
  <c r="F90" i="10"/>
  <c r="E90" i="10"/>
  <c r="D90" i="10"/>
  <c r="C90" i="10"/>
  <c r="B90" i="10"/>
  <c r="L89" i="10"/>
  <c r="K89" i="10"/>
  <c r="J89" i="10"/>
  <c r="I89" i="10"/>
  <c r="H89" i="10"/>
  <c r="G89" i="10"/>
  <c r="F89" i="10"/>
  <c r="E89" i="10"/>
  <c r="D89" i="10"/>
  <c r="C89" i="10"/>
  <c r="B89" i="10"/>
  <c r="L88" i="10"/>
  <c r="K88" i="10"/>
  <c r="J88" i="10"/>
  <c r="I88" i="10"/>
  <c r="H88" i="10"/>
  <c r="G88" i="10"/>
  <c r="F88" i="10"/>
  <c r="E88" i="10"/>
  <c r="D88" i="10"/>
  <c r="C88" i="10"/>
  <c r="B88" i="10"/>
  <c r="L87" i="10"/>
  <c r="K87" i="10"/>
  <c r="J87" i="10"/>
  <c r="I87" i="10"/>
  <c r="H87" i="10"/>
  <c r="G87" i="10"/>
  <c r="F87" i="10"/>
  <c r="E87" i="10"/>
  <c r="D87" i="10"/>
  <c r="C87" i="10"/>
  <c r="B87" i="10"/>
  <c r="L86" i="10"/>
  <c r="K86" i="10"/>
  <c r="J86" i="10"/>
  <c r="I86" i="10"/>
  <c r="H86" i="10"/>
  <c r="G86" i="10"/>
  <c r="F86" i="10"/>
  <c r="E86" i="10"/>
  <c r="D86" i="10"/>
  <c r="C86" i="10"/>
  <c r="B86" i="10"/>
  <c r="L85" i="10"/>
  <c r="K85" i="10"/>
  <c r="J85" i="10"/>
  <c r="I85" i="10"/>
  <c r="H85" i="10"/>
  <c r="G85" i="10"/>
  <c r="F85" i="10"/>
  <c r="E85" i="10"/>
  <c r="D85" i="10"/>
  <c r="C85" i="10"/>
  <c r="B85" i="10"/>
  <c r="L84" i="10"/>
  <c r="K84" i="10"/>
  <c r="J84" i="10"/>
  <c r="I84" i="10"/>
  <c r="H84" i="10"/>
  <c r="G84" i="10"/>
  <c r="F84" i="10"/>
  <c r="E84" i="10"/>
  <c r="D84" i="10"/>
  <c r="C84" i="10"/>
  <c r="B84" i="10"/>
  <c r="L83" i="10"/>
  <c r="K83" i="10"/>
  <c r="J83" i="10"/>
  <c r="I83" i="10"/>
  <c r="H83" i="10"/>
  <c r="G83" i="10"/>
  <c r="F83" i="10"/>
  <c r="E83" i="10"/>
  <c r="D83" i="10"/>
  <c r="C83" i="10"/>
  <c r="B83" i="10"/>
  <c r="L82" i="10"/>
  <c r="K82" i="10"/>
  <c r="J82" i="10"/>
  <c r="I82" i="10"/>
  <c r="H82" i="10"/>
  <c r="G82" i="10"/>
  <c r="F82" i="10"/>
  <c r="E82" i="10"/>
  <c r="D82" i="10"/>
  <c r="C82" i="10"/>
  <c r="B82" i="10"/>
  <c r="L81" i="10"/>
  <c r="K81" i="10"/>
  <c r="J81" i="10"/>
  <c r="I81" i="10"/>
  <c r="H81" i="10"/>
  <c r="G81" i="10"/>
  <c r="F81" i="10"/>
  <c r="E81" i="10"/>
  <c r="D81" i="10"/>
  <c r="C81" i="10"/>
  <c r="B81" i="10"/>
  <c r="L80" i="10"/>
  <c r="K80" i="10"/>
  <c r="J80" i="10"/>
  <c r="I80" i="10"/>
  <c r="H80" i="10"/>
  <c r="G80" i="10"/>
  <c r="F80" i="10"/>
  <c r="E80" i="10"/>
  <c r="D80" i="10"/>
  <c r="C80" i="10"/>
  <c r="B80" i="10"/>
  <c r="L79" i="10"/>
  <c r="K79" i="10"/>
  <c r="J79" i="10"/>
  <c r="I79" i="10"/>
  <c r="H79" i="10"/>
  <c r="G79" i="10"/>
  <c r="F79" i="10"/>
  <c r="E79" i="10"/>
  <c r="D79" i="10"/>
  <c r="C79" i="10"/>
  <c r="B79" i="10"/>
  <c r="L78" i="10"/>
  <c r="K78" i="10"/>
  <c r="J78" i="10"/>
  <c r="I78" i="10"/>
  <c r="H78" i="10"/>
  <c r="G78" i="10"/>
  <c r="F78" i="10"/>
  <c r="E78" i="10"/>
  <c r="D78" i="10"/>
  <c r="C78" i="10"/>
  <c r="B78" i="10"/>
  <c r="L77" i="10"/>
  <c r="K77" i="10"/>
  <c r="J77" i="10"/>
  <c r="I77" i="10"/>
  <c r="H77" i="10"/>
  <c r="G77" i="10"/>
  <c r="F77" i="10"/>
  <c r="E77" i="10"/>
  <c r="D77" i="10"/>
  <c r="C77" i="10"/>
  <c r="B77" i="10"/>
  <c r="L76" i="10"/>
  <c r="K76" i="10"/>
  <c r="J76" i="10"/>
  <c r="I76" i="10"/>
  <c r="H76" i="10"/>
  <c r="G76" i="10"/>
  <c r="F76" i="10"/>
  <c r="E76" i="10"/>
  <c r="D76" i="10"/>
  <c r="C76" i="10"/>
  <c r="B76" i="10"/>
  <c r="L75" i="10"/>
  <c r="K75" i="10"/>
  <c r="J75" i="10"/>
  <c r="I75" i="10"/>
  <c r="H75" i="10"/>
  <c r="G75" i="10"/>
  <c r="F75" i="10"/>
  <c r="E75" i="10"/>
  <c r="D75" i="10"/>
  <c r="C75" i="10"/>
  <c r="B75" i="10"/>
  <c r="L74" i="10"/>
  <c r="K74" i="10"/>
  <c r="J74" i="10"/>
  <c r="I74" i="10"/>
  <c r="H74" i="10"/>
  <c r="G74" i="10"/>
  <c r="F74" i="10"/>
  <c r="E74" i="10"/>
  <c r="D74" i="10"/>
  <c r="C74" i="10"/>
  <c r="B74" i="10"/>
  <c r="L73" i="10"/>
  <c r="K73" i="10"/>
  <c r="J73" i="10"/>
  <c r="I73" i="10"/>
  <c r="H73" i="10"/>
  <c r="G73" i="10"/>
  <c r="F73" i="10"/>
  <c r="E73" i="10"/>
  <c r="D73" i="10"/>
  <c r="C73" i="10"/>
  <c r="B73" i="10"/>
  <c r="L72" i="10"/>
  <c r="K72" i="10"/>
  <c r="J72" i="10"/>
  <c r="I72" i="10"/>
  <c r="H72" i="10"/>
  <c r="G72" i="10"/>
  <c r="F72" i="10"/>
  <c r="E72" i="10"/>
  <c r="D72" i="10"/>
  <c r="C72" i="10"/>
  <c r="B72" i="10"/>
  <c r="L71" i="10"/>
  <c r="K71" i="10"/>
  <c r="J71" i="10"/>
  <c r="I71" i="10"/>
  <c r="H71" i="10"/>
  <c r="G71" i="10"/>
  <c r="F71" i="10"/>
  <c r="E71" i="10"/>
  <c r="D71" i="10"/>
  <c r="C71" i="10"/>
  <c r="B71" i="10"/>
  <c r="L70" i="10"/>
  <c r="K70" i="10"/>
  <c r="J70" i="10"/>
  <c r="I70" i="10"/>
  <c r="H70" i="10"/>
  <c r="G70" i="10"/>
  <c r="F70" i="10"/>
  <c r="E70" i="10"/>
  <c r="D70" i="10"/>
  <c r="C70" i="10"/>
  <c r="B70" i="10"/>
  <c r="L69" i="10"/>
  <c r="K69" i="10"/>
  <c r="J69" i="10"/>
  <c r="I69" i="10"/>
  <c r="H69" i="10"/>
  <c r="G69" i="10"/>
  <c r="F69" i="10"/>
  <c r="E69" i="10"/>
  <c r="D69" i="10"/>
  <c r="C69" i="10"/>
  <c r="B69" i="10"/>
  <c r="L68" i="10"/>
  <c r="K68" i="10"/>
  <c r="J68" i="10"/>
  <c r="I68" i="10"/>
  <c r="H68" i="10"/>
  <c r="G68" i="10"/>
  <c r="F68" i="10"/>
  <c r="E68" i="10"/>
  <c r="D68" i="10"/>
  <c r="C68" i="10"/>
  <c r="B68" i="10"/>
  <c r="L67" i="10"/>
  <c r="K67" i="10"/>
  <c r="J67" i="10"/>
  <c r="I67" i="10"/>
  <c r="H67" i="10"/>
  <c r="G67" i="10"/>
  <c r="F67" i="10"/>
  <c r="E67" i="10"/>
  <c r="D67" i="10"/>
  <c r="C67" i="10"/>
  <c r="B67" i="10"/>
  <c r="L66" i="10"/>
  <c r="K66" i="10"/>
  <c r="J66" i="10"/>
  <c r="I66" i="10"/>
  <c r="H66" i="10"/>
  <c r="G66" i="10"/>
  <c r="F66" i="10"/>
  <c r="E66" i="10"/>
  <c r="D66" i="10"/>
  <c r="C66" i="10"/>
  <c r="B66" i="10"/>
  <c r="L65" i="10"/>
  <c r="K65" i="10"/>
  <c r="J65" i="10"/>
  <c r="I65" i="10"/>
  <c r="H65" i="10"/>
  <c r="G65" i="10"/>
  <c r="F65" i="10"/>
  <c r="E65" i="10"/>
  <c r="D65" i="10"/>
  <c r="C65" i="10"/>
  <c r="B65" i="10"/>
  <c r="L64" i="10"/>
  <c r="K64" i="10"/>
  <c r="J64" i="10"/>
  <c r="I64" i="10"/>
  <c r="H64" i="10"/>
  <c r="G64" i="10"/>
  <c r="F64" i="10"/>
  <c r="E64" i="10"/>
  <c r="D64" i="10"/>
  <c r="C64" i="10"/>
  <c r="B64" i="10"/>
  <c r="L63" i="10"/>
  <c r="K63" i="10"/>
  <c r="J63" i="10"/>
  <c r="I63" i="10"/>
  <c r="H63" i="10"/>
  <c r="G63" i="10"/>
  <c r="F63" i="10"/>
  <c r="E63" i="10"/>
  <c r="D63" i="10"/>
  <c r="C63" i="10"/>
  <c r="B63" i="10"/>
  <c r="L62" i="10"/>
  <c r="K62" i="10"/>
  <c r="J62" i="10"/>
  <c r="I62" i="10"/>
  <c r="H62" i="10"/>
  <c r="G62" i="10"/>
  <c r="F62" i="10"/>
  <c r="E62" i="10"/>
  <c r="D62" i="10"/>
  <c r="C62" i="10"/>
  <c r="B62" i="10"/>
  <c r="L61" i="10"/>
  <c r="K61" i="10"/>
  <c r="J61" i="10"/>
  <c r="I61" i="10"/>
  <c r="H61" i="10"/>
  <c r="G61" i="10"/>
  <c r="F61" i="10"/>
  <c r="E61" i="10"/>
  <c r="D61" i="10"/>
  <c r="C61" i="10"/>
  <c r="B61" i="10"/>
  <c r="L60" i="10"/>
  <c r="K60" i="10"/>
  <c r="J60" i="10"/>
  <c r="I60" i="10"/>
  <c r="H60" i="10"/>
  <c r="G60" i="10"/>
  <c r="F60" i="10"/>
  <c r="E60" i="10"/>
  <c r="D60" i="10"/>
  <c r="C60" i="10"/>
  <c r="B60" i="10"/>
  <c r="L59" i="10"/>
  <c r="K59" i="10"/>
  <c r="J59" i="10"/>
  <c r="I59" i="10"/>
  <c r="H59" i="10"/>
  <c r="G59" i="10"/>
  <c r="F59" i="10"/>
  <c r="E59" i="10"/>
  <c r="D59" i="10"/>
  <c r="C59" i="10"/>
  <c r="B59" i="10"/>
  <c r="L58" i="10"/>
  <c r="K58" i="10"/>
  <c r="J58" i="10"/>
  <c r="I58" i="10"/>
  <c r="H58" i="10"/>
  <c r="G58" i="10"/>
  <c r="F58" i="10"/>
  <c r="E58" i="10"/>
  <c r="D58" i="10"/>
  <c r="C58" i="10"/>
  <c r="B58" i="10"/>
  <c r="L57" i="10"/>
  <c r="K57" i="10"/>
  <c r="J57" i="10"/>
  <c r="I57" i="10"/>
  <c r="H57" i="10"/>
  <c r="G57" i="10"/>
  <c r="F57" i="10"/>
  <c r="E57" i="10"/>
  <c r="D57" i="10"/>
  <c r="C57" i="10"/>
  <c r="B57" i="10"/>
  <c r="L56" i="10"/>
  <c r="K56" i="10"/>
  <c r="J56" i="10"/>
  <c r="I56" i="10"/>
  <c r="H56" i="10"/>
  <c r="G56" i="10"/>
  <c r="F56" i="10"/>
  <c r="E56" i="10"/>
  <c r="D56" i="10"/>
  <c r="C56" i="10"/>
  <c r="B56" i="10"/>
  <c r="L55" i="10"/>
  <c r="K55" i="10"/>
  <c r="J55" i="10"/>
  <c r="I55" i="10"/>
  <c r="H55" i="10"/>
  <c r="G55" i="10"/>
  <c r="F55" i="10"/>
  <c r="E55" i="10"/>
  <c r="D55" i="10"/>
  <c r="C55" i="10"/>
  <c r="B55" i="10"/>
  <c r="L54" i="10"/>
  <c r="K54" i="10"/>
  <c r="J54" i="10"/>
  <c r="I54" i="10"/>
  <c r="H54" i="10"/>
  <c r="G54" i="10"/>
  <c r="F54" i="10"/>
  <c r="E54" i="10"/>
  <c r="D54" i="10"/>
  <c r="C54" i="10"/>
  <c r="B54" i="10"/>
  <c r="L53" i="10"/>
  <c r="K53" i="10"/>
  <c r="J53" i="10"/>
  <c r="I53" i="10"/>
  <c r="H53" i="10"/>
  <c r="G53" i="10"/>
  <c r="F53" i="10"/>
  <c r="E53" i="10"/>
  <c r="D53" i="10"/>
  <c r="C53" i="10"/>
  <c r="B53" i="10"/>
  <c r="L52" i="10"/>
  <c r="K52" i="10"/>
  <c r="J52" i="10"/>
  <c r="I52" i="10"/>
  <c r="H52" i="10"/>
  <c r="G52" i="10"/>
  <c r="F52" i="10"/>
  <c r="E52" i="10"/>
  <c r="D52" i="10"/>
  <c r="C52" i="10"/>
  <c r="B52" i="10"/>
  <c r="L51" i="10"/>
  <c r="K51" i="10"/>
  <c r="J51" i="10"/>
  <c r="I51" i="10"/>
  <c r="H51" i="10"/>
  <c r="G51" i="10"/>
  <c r="F51" i="10"/>
  <c r="E51" i="10"/>
  <c r="D51" i="10"/>
  <c r="C51" i="10"/>
  <c r="B51" i="10"/>
  <c r="L50" i="10"/>
  <c r="K50" i="10"/>
  <c r="J50" i="10"/>
  <c r="I50" i="10"/>
  <c r="H50" i="10"/>
  <c r="G50" i="10"/>
  <c r="F50" i="10"/>
  <c r="E50" i="10"/>
  <c r="D50" i="10"/>
  <c r="C50" i="10"/>
  <c r="B50" i="10"/>
  <c r="L49" i="10"/>
  <c r="K49" i="10"/>
  <c r="J49" i="10"/>
  <c r="I49" i="10"/>
  <c r="H49" i="10"/>
  <c r="G49" i="10"/>
  <c r="F49" i="10"/>
  <c r="E49" i="10"/>
  <c r="D49" i="10"/>
  <c r="C49" i="10"/>
  <c r="B49" i="10"/>
  <c r="L48" i="10"/>
  <c r="K48" i="10"/>
  <c r="J48" i="10"/>
  <c r="I48" i="10"/>
  <c r="H48" i="10"/>
  <c r="G48" i="10"/>
  <c r="F48" i="10"/>
  <c r="E48" i="10"/>
  <c r="D48" i="10"/>
  <c r="C48" i="10"/>
  <c r="B48" i="10"/>
  <c r="L47" i="10"/>
  <c r="K47" i="10"/>
  <c r="J47" i="10"/>
  <c r="I47" i="10"/>
  <c r="H47" i="10"/>
  <c r="G47" i="10"/>
  <c r="F47" i="10"/>
  <c r="E47" i="10"/>
  <c r="D47" i="10"/>
  <c r="C47" i="10"/>
  <c r="B47" i="10"/>
  <c r="L46" i="10"/>
  <c r="K46" i="10"/>
  <c r="J46" i="10"/>
  <c r="I46" i="10"/>
  <c r="H46" i="10"/>
  <c r="G46" i="10"/>
  <c r="F46" i="10"/>
  <c r="E46" i="10"/>
  <c r="D46" i="10"/>
  <c r="C46" i="10"/>
  <c r="B46" i="10"/>
  <c r="L45" i="10"/>
  <c r="K45" i="10"/>
  <c r="J45" i="10"/>
  <c r="I45" i="10"/>
  <c r="H45" i="10"/>
  <c r="G45" i="10"/>
  <c r="F45" i="10"/>
  <c r="E45" i="10"/>
  <c r="D45" i="10"/>
  <c r="C45" i="10"/>
  <c r="B45" i="10"/>
  <c r="L44" i="10"/>
  <c r="K44" i="10"/>
  <c r="J44" i="10"/>
  <c r="I44" i="10"/>
  <c r="H44" i="10"/>
  <c r="G44" i="10"/>
  <c r="F44" i="10"/>
  <c r="E44" i="10"/>
  <c r="D44" i="10"/>
  <c r="C44" i="10"/>
  <c r="B44" i="10"/>
  <c r="L43" i="10"/>
  <c r="K43" i="10"/>
  <c r="J43" i="10"/>
  <c r="I43" i="10"/>
  <c r="H43" i="10"/>
  <c r="G43" i="10"/>
  <c r="F43" i="10"/>
  <c r="E43" i="10"/>
  <c r="D43" i="10"/>
  <c r="C43" i="10"/>
  <c r="B43" i="10"/>
  <c r="L42" i="10"/>
  <c r="K42" i="10"/>
  <c r="J42" i="10"/>
  <c r="I42" i="10"/>
  <c r="H42" i="10"/>
  <c r="G42" i="10"/>
  <c r="F42" i="10"/>
  <c r="E42" i="10"/>
  <c r="D42" i="10"/>
  <c r="C42" i="10"/>
  <c r="B42" i="10"/>
  <c r="L41" i="10"/>
  <c r="K41" i="10"/>
  <c r="J41" i="10"/>
  <c r="I41" i="10"/>
  <c r="H41" i="10"/>
  <c r="G41" i="10"/>
  <c r="F41" i="10"/>
  <c r="E41" i="10"/>
  <c r="D41" i="10"/>
  <c r="C41" i="10"/>
  <c r="B41" i="10"/>
  <c r="L40" i="10"/>
  <c r="K40" i="10"/>
  <c r="J40" i="10"/>
  <c r="I40" i="10"/>
  <c r="H40" i="10"/>
  <c r="G40" i="10"/>
  <c r="F40" i="10"/>
  <c r="E40" i="10"/>
  <c r="D40" i="10"/>
  <c r="C40" i="10"/>
  <c r="B40" i="10"/>
  <c r="L39" i="10"/>
  <c r="K39" i="10"/>
  <c r="J39" i="10"/>
  <c r="I39" i="10"/>
  <c r="H39" i="10"/>
  <c r="G39" i="10"/>
  <c r="F39" i="10"/>
  <c r="E39" i="10"/>
  <c r="D39" i="10"/>
  <c r="C39" i="10"/>
  <c r="B39" i="10"/>
  <c r="L38" i="10"/>
  <c r="K38" i="10"/>
  <c r="J38" i="10"/>
  <c r="I38" i="10"/>
  <c r="H38" i="10"/>
  <c r="G38" i="10"/>
  <c r="F38" i="10"/>
  <c r="E38" i="10"/>
  <c r="D38" i="10"/>
  <c r="C38" i="10"/>
  <c r="B38" i="10"/>
  <c r="L37" i="10"/>
  <c r="K37" i="10"/>
  <c r="J37" i="10"/>
  <c r="I37" i="10"/>
  <c r="H37" i="10"/>
  <c r="G37" i="10"/>
  <c r="F37" i="10"/>
  <c r="E37" i="10"/>
  <c r="D37" i="10"/>
  <c r="C37" i="10"/>
  <c r="B37" i="10"/>
  <c r="L36" i="10"/>
  <c r="K36" i="10"/>
  <c r="J36" i="10"/>
  <c r="I36" i="10"/>
  <c r="H36" i="10"/>
  <c r="G36" i="10"/>
  <c r="F36" i="10"/>
  <c r="E36" i="10"/>
  <c r="D36" i="10"/>
  <c r="C36" i="10"/>
  <c r="B36" i="10"/>
  <c r="L35" i="10"/>
  <c r="K35" i="10"/>
  <c r="J35" i="10"/>
  <c r="I35" i="10"/>
  <c r="H35" i="10"/>
  <c r="G35" i="10"/>
  <c r="F35" i="10"/>
  <c r="E35" i="10"/>
  <c r="D35" i="10"/>
  <c r="C35" i="10"/>
  <c r="B35" i="10"/>
  <c r="L34" i="10"/>
  <c r="K34" i="10"/>
  <c r="J34" i="10"/>
  <c r="I34" i="10"/>
  <c r="H34" i="10"/>
  <c r="G34" i="10"/>
  <c r="F34" i="10"/>
  <c r="E34" i="10"/>
  <c r="D34" i="10"/>
  <c r="C34" i="10"/>
  <c r="B34" i="10"/>
  <c r="L33" i="10"/>
  <c r="K33" i="10"/>
  <c r="J33" i="10"/>
  <c r="I33" i="10"/>
  <c r="H33" i="10"/>
  <c r="G33" i="10"/>
  <c r="F33" i="10"/>
  <c r="E33" i="10"/>
  <c r="D33" i="10"/>
  <c r="C33" i="10"/>
  <c r="B33" i="10"/>
  <c r="L32" i="10"/>
  <c r="K32" i="10"/>
  <c r="J32" i="10"/>
  <c r="I32" i="10"/>
  <c r="H32" i="10"/>
  <c r="G32" i="10"/>
  <c r="F32" i="10"/>
  <c r="E32" i="10"/>
  <c r="D32" i="10"/>
  <c r="C32" i="10"/>
  <c r="B32" i="10"/>
  <c r="L31" i="10"/>
  <c r="K31" i="10"/>
  <c r="J31" i="10"/>
  <c r="I31" i="10"/>
  <c r="H31" i="10"/>
  <c r="G31" i="10"/>
  <c r="F31" i="10"/>
  <c r="E31" i="10"/>
  <c r="D31" i="10"/>
  <c r="C31" i="10"/>
  <c r="B31" i="10"/>
  <c r="L30" i="10"/>
  <c r="K30" i="10"/>
  <c r="J30" i="10"/>
  <c r="I30" i="10"/>
  <c r="H30" i="10"/>
  <c r="G30" i="10"/>
  <c r="F30" i="10"/>
  <c r="E30" i="10"/>
  <c r="D30" i="10"/>
  <c r="C30" i="10"/>
  <c r="B30" i="10"/>
  <c r="L29" i="10"/>
  <c r="K29" i="10"/>
  <c r="J29" i="10"/>
  <c r="I29" i="10"/>
  <c r="H29" i="10"/>
  <c r="G29" i="10"/>
  <c r="F29" i="10"/>
  <c r="E29" i="10"/>
  <c r="D29" i="10"/>
  <c r="C29" i="10"/>
  <c r="B29" i="10"/>
  <c r="L28" i="10"/>
  <c r="K28" i="10"/>
  <c r="J28" i="10"/>
  <c r="I28" i="10"/>
  <c r="H28" i="10"/>
  <c r="G28" i="10"/>
  <c r="F28" i="10"/>
  <c r="E28" i="10"/>
  <c r="D28" i="10"/>
  <c r="C28" i="10"/>
  <c r="B28" i="10"/>
  <c r="L27" i="10"/>
  <c r="K27" i="10"/>
  <c r="J27" i="10"/>
  <c r="I27" i="10"/>
  <c r="H27" i="10"/>
  <c r="G27" i="10"/>
  <c r="F27" i="10"/>
  <c r="E27" i="10"/>
  <c r="D27" i="10"/>
  <c r="C27" i="10"/>
  <c r="B27" i="10"/>
  <c r="L26" i="10"/>
  <c r="K26" i="10"/>
  <c r="J26" i="10"/>
  <c r="I26" i="10"/>
  <c r="H26" i="10"/>
  <c r="G26" i="10"/>
  <c r="F26" i="10"/>
  <c r="E26" i="10"/>
  <c r="D26" i="10"/>
  <c r="C26" i="10"/>
  <c r="B26" i="10"/>
  <c r="L25" i="10"/>
  <c r="K25" i="10"/>
  <c r="J25" i="10"/>
  <c r="I25" i="10"/>
  <c r="H25" i="10"/>
  <c r="G25" i="10"/>
  <c r="F25" i="10"/>
  <c r="E25" i="10"/>
  <c r="D25" i="10"/>
  <c r="C25" i="10"/>
  <c r="B25" i="10"/>
  <c r="L24" i="10"/>
  <c r="K24" i="10"/>
  <c r="J24" i="10"/>
  <c r="I24" i="10"/>
  <c r="H24" i="10"/>
  <c r="G24" i="10"/>
  <c r="F24" i="10"/>
  <c r="E24" i="10"/>
  <c r="D24" i="10"/>
  <c r="C24" i="10"/>
  <c r="B24" i="10"/>
  <c r="L23" i="10"/>
  <c r="K23" i="10"/>
  <c r="J23" i="10"/>
  <c r="I23" i="10"/>
  <c r="H23" i="10"/>
  <c r="G23" i="10"/>
  <c r="F23" i="10"/>
  <c r="E23" i="10"/>
  <c r="D23" i="10"/>
  <c r="C23" i="10"/>
  <c r="B23" i="10"/>
  <c r="L22" i="10"/>
  <c r="K22" i="10"/>
  <c r="J22" i="10"/>
  <c r="I22" i="10"/>
  <c r="H22" i="10"/>
  <c r="G22" i="10"/>
  <c r="F22" i="10"/>
  <c r="E22" i="10"/>
  <c r="D22" i="10"/>
  <c r="C22" i="10"/>
  <c r="B22" i="10"/>
  <c r="L21" i="10"/>
  <c r="K21" i="10"/>
  <c r="J21" i="10"/>
  <c r="I21" i="10"/>
  <c r="H21" i="10"/>
  <c r="G21" i="10"/>
  <c r="F21" i="10"/>
  <c r="E21" i="10"/>
  <c r="D21" i="10"/>
  <c r="C21" i="10"/>
  <c r="B21" i="10"/>
  <c r="L20" i="10"/>
  <c r="K20" i="10"/>
  <c r="J20" i="10"/>
  <c r="I20" i="10"/>
  <c r="H20" i="10"/>
  <c r="G20" i="10"/>
  <c r="F20" i="10"/>
  <c r="E20" i="10"/>
  <c r="D20" i="10"/>
  <c r="C20" i="10"/>
  <c r="B20" i="10"/>
  <c r="L19" i="10"/>
  <c r="K19" i="10"/>
  <c r="J19" i="10"/>
  <c r="I19" i="10"/>
  <c r="H19" i="10"/>
  <c r="G19" i="10"/>
  <c r="F19" i="10"/>
  <c r="E19" i="10"/>
  <c r="D19" i="10"/>
  <c r="C19" i="10"/>
  <c r="B19" i="10"/>
  <c r="L18" i="10"/>
  <c r="K18" i="10"/>
  <c r="J18" i="10"/>
  <c r="I18" i="10"/>
  <c r="H18" i="10"/>
  <c r="G18" i="10"/>
  <c r="F18" i="10"/>
  <c r="E18" i="10"/>
  <c r="D18" i="10"/>
  <c r="C18" i="10"/>
  <c r="B18" i="10"/>
  <c r="L17" i="10"/>
  <c r="K17" i="10"/>
  <c r="J17" i="10"/>
  <c r="I17" i="10"/>
  <c r="H17" i="10"/>
  <c r="G17" i="10"/>
  <c r="F17" i="10"/>
  <c r="E17" i="10"/>
  <c r="D17" i="10"/>
  <c r="C17" i="10"/>
  <c r="B17" i="10"/>
  <c r="L16" i="10"/>
  <c r="K16" i="10"/>
  <c r="J16" i="10"/>
  <c r="I16" i="10"/>
  <c r="H16" i="10"/>
  <c r="G16" i="10"/>
  <c r="F16" i="10"/>
  <c r="E16" i="10"/>
  <c r="D16" i="10"/>
  <c r="C16" i="10"/>
  <c r="B16" i="10"/>
  <c r="L15" i="10"/>
  <c r="K15" i="10"/>
  <c r="J15" i="10"/>
  <c r="I15" i="10"/>
  <c r="H15" i="10"/>
  <c r="G15" i="10"/>
  <c r="F15" i="10"/>
  <c r="E15" i="10"/>
  <c r="D15" i="10"/>
  <c r="C15" i="10"/>
  <c r="B15" i="10"/>
  <c r="L14" i="10"/>
  <c r="K14" i="10"/>
  <c r="J14" i="10"/>
  <c r="I14" i="10"/>
  <c r="H14" i="10"/>
  <c r="G14" i="10"/>
  <c r="F14" i="10"/>
  <c r="E14" i="10"/>
  <c r="D14" i="10"/>
  <c r="C14" i="10"/>
  <c r="B14" i="10"/>
  <c r="L13" i="10"/>
  <c r="K13" i="10"/>
  <c r="J13" i="10"/>
  <c r="I13" i="10"/>
  <c r="H13" i="10"/>
  <c r="G13" i="10"/>
  <c r="F13" i="10"/>
  <c r="E13" i="10"/>
  <c r="D13" i="10"/>
  <c r="C13" i="10"/>
  <c r="B13" i="10"/>
  <c r="L12" i="10"/>
  <c r="K12" i="10"/>
  <c r="J12" i="10"/>
  <c r="I12" i="10"/>
  <c r="H12" i="10"/>
  <c r="G12" i="10"/>
  <c r="F12" i="10"/>
  <c r="E12" i="10"/>
  <c r="D12" i="10"/>
  <c r="C12" i="10"/>
  <c r="B12" i="10"/>
  <c r="L11" i="10"/>
  <c r="K11" i="10"/>
  <c r="J11" i="10"/>
  <c r="I11" i="10"/>
  <c r="H11" i="10"/>
  <c r="G11" i="10"/>
  <c r="F11" i="10"/>
  <c r="E11" i="10"/>
  <c r="D11" i="10"/>
  <c r="C11" i="10"/>
  <c r="B11" i="10"/>
  <c r="L10" i="10"/>
  <c r="K10" i="10"/>
  <c r="J10" i="10"/>
  <c r="I10" i="10"/>
  <c r="H10" i="10"/>
  <c r="G10" i="10"/>
  <c r="F10" i="10"/>
  <c r="E10" i="10"/>
  <c r="D10" i="10"/>
  <c r="C10" i="10"/>
  <c r="B10" i="10"/>
  <c r="L9" i="10"/>
  <c r="K9" i="10"/>
  <c r="J9" i="10"/>
  <c r="I9" i="10"/>
  <c r="H9" i="10"/>
  <c r="G9" i="10"/>
  <c r="F9" i="10"/>
  <c r="E9" i="10"/>
  <c r="D9" i="10"/>
  <c r="C9" i="10"/>
  <c r="B9" i="10"/>
  <c r="L8" i="10"/>
  <c r="K8" i="10"/>
  <c r="J8" i="10"/>
  <c r="I8" i="10"/>
  <c r="H8" i="10"/>
  <c r="G8" i="10"/>
  <c r="F8" i="10"/>
  <c r="E8" i="10"/>
  <c r="D8" i="10"/>
  <c r="C8" i="10"/>
  <c r="B8" i="10"/>
  <c r="L7" i="10"/>
  <c r="K7" i="10"/>
  <c r="J7" i="10"/>
  <c r="I7" i="10"/>
  <c r="H7" i="10"/>
  <c r="G7" i="10"/>
  <c r="F7" i="10"/>
  <c r="E7" i="10"/>
  <c r="D7" i="10"/>
  <c r="C7" i="10"/>
  <c r="B7" i="10"/>
  <c r="L6" i="10"/>
  <c r="K6" i="10"/>
  <c r="J6" i="10"/>
  <c r="I6" i="10"/>
  <c r="H6" i="10"/>
  <c r="G6" i="10"/>
  <c r="F6" i="10"/>
  <c r="E6" i="10"/>
  <c r="D6" i="10"/>
  <c r="C6" i="10"/>
  <c r="B6" i="10"/>
  <c r="AM67" i="9"/>
  <c r="AO67" i="9" s="1"/>
  <c r="AL67" i="9"/>
  <c r="AK67" i="9"/>
  <c r="AQ67" i="9" s="1"/>
  <c r="AJ67" i="9"/>
  <c r="AI67" i="9"/>
  <c r="AH67" i="9"/>
  <c r="AG67" i="9"/>
  <c r="AF67" i="9"/>
  <c r="AE67" i="9"/>
  <c r="AD67" i="9"/>
  <c r="AC67" i="9"/>
  <c r="AB67" i="9"/>
  <c r="AA67" i="9"/>
  <c r="Z67" i="9"/>
  <c r="Y67" i="9"/>
  <c r="X67" i="9"/>
  <c r="W67" i="9"/>
  <c r="V67" i="9"/>
  <c r="U67" i="9"/>
  <c r="T67" i="9"/>
  <c r="S67" i="9"/>
  <c r="R67" i="9"/>
  <c r="Q67" i="9"/>
  <c r="P67" i="9"/>
  <c r="O67" i="9"/>
  <c r="N67" i="9"/>
  <c r="M67" i="9"/>
  <c r="L67" i="9"/>
  <c r="K67" i="9"/>
  <c r="J67" i="9"/>
  <c r="I67" i="9"/>
  <c r="H67" i="9"/>
  <c r="G67" i="9"/>
  <c r="F67" i="9"/>
  <c r="E67" i="9"/>
  <c r="D67" i="9"/>
  <c r="C67" i="9"/>
  <c r="AP66" i="9"/>
  <c r="AM66" i="9"/>
  <c r="AO66" i="9" s="1"/>
  <c r="AL66" i="9"/>
  <c r="AK66" i="9"/>
  <c r="AJ66" i="9"/>
  <c r="AI66" i="9"/>
  <c r="AH66" i="9"/>
  <c r="AG66" i="9"/>
  <c r="AF66" i="9"/>
  <c r="AE66" i="9"/>
  <c r="AD66" i="9"/>
  <c r="AC66" i="9"/>
  <c r="AB66" i="9"/>
  <c r="AA66" i="9"/>
  <c r="Z66" i="9"/>
  <c r="Y66" i="9"/>
  <c r="X66" i="9"/>
  <c r="W66" i="9"/>
  <c r="V66" i="9"/>
  <c r="U66" i="9"/>
  <c r="T66" i="9"/>
  <c r="S66" i="9"/>
  <c r="R66" i="9"/>
  <c r="Q66" i="9"/>
  <c r="P66" i="9"/>
  <c r="O66" i="9"/>
  <c r="N66" i="9"/>
  <c r="M66" i="9"/>
  <c r="L66" i="9"/>
  <c r="K66" i="9"/>
  <c r="J66" i="9"/>
  <c r="I66" i="9"/>
  <c r="H66" i="9"/>
  <c r="G66" i="9"/>
  <c r="F66" i="9"/>
  <c r="E66" i="9"/>
  <c r="D66" i="9"/>
  <c r="C66" i="9"/>
  <c r="AM65" i="9"/>
  <c r="AO65" i="9" s="1"/>
  <c r="AL65" i="9"/>
  <c r="AK65" i="9"/>
  <c r="AP65" i="9" s="1"/>
  <c r="AJ65" i="9"/>
  <c r="AI65" i="9"/>
  <c r="AH65" i="9"/>
  <c r="AQ65" i="9" s="1"/>
  <c r="AG65" i="9"/>
  <c r="AF65" i="9"/>
  <c r="AE65" i="9"/>
  <c r="AD65" i="9"/>
  <c r="AC65" i="9"/>
  <c r="AB65" i="9"/>
  <c r="AA65" i="9"/>
  <c r="Z65" i="9"/>
  <c r="Y65" i="9"/>
  <c r="X65" i="9"/>
  <c r="W65" i="9"/>
  <c r="V65" i="9"/>
  <c r="U65" i="9"/>
  <c r="T65" i="9"/>
  <c r="S65" i="9"/>
  <c r="R65" i="9"/>
  <c r="Q65" i="9"/>
  <c r="P65" i="9"/>
  <c r="O65" i="9"/>
  <c r="N65" i="9"/>
  <c r="M65" i="9"/>
  <c r="L65" i="9"/>
  <c r="K65" i="9"/>
  <c r="J65" i="9"/>
  <c r="I65" i="9"/>
  <c r="H65" i="9"/>
  <c r="G65" i="9"/>
  <c r="F65" i="9"/>
  <c r="E65" i="9"/>
  <c r="D65" i="9"/>
  <c r="C65" i="9"/>
  <c r="AM64" i="9"/>
  <c r="AO64" i="9" s="1"/>
  <c r="AL64" i="9"/>
  <c r="AK64" i="9"/>
  <c r="AQ64" i="9" s="1"/>
  <c r="AJ64" i="9"/>
  <c r="AI64" i="9"/>
  <c r="AH64" i="9"/>
  <c r="AG64" i="9"/>
  <c r="AF64" i="9"/>
  <c r="AE64" i="9"/>
  <c r="AD64" i="9"/>
  <c r="AC64" i="9"/>
  <c r="AB64" i="9"/>
  <c r="AA64" i="9"/>
  <c r="Z64" i="9"/>
  <c r="Y64" i="9"/>
  <c r="X64" i="9"/>
  <c r="W64" i="9"/>
  <c r="V64" i="9"/>
  <c r="U64" i="9"/>
  <c r="T64" i="9"/>
  <c r="S64" i="9"/>
  <c r="R64" i="9"/>
  <c r="Q64" i="9"/>
  <c r="P64" i="9"/>
  <c r="O64" i="9"/>
  <c r="N64" i="9"/>
  <c r="M64" i="9"/>
  <c r="L64" i="9"/>
  <c r="K64" i="9"/>
  <c r="J64" i="9"/>
  <c r="I64" i="9"/>
  <c r="H64" i="9"/>
  <c r="G64" i="9"/>
  <c r="F64" i="9"/>
  <c r="E64" i="9"/>
  <c r="D64" i="9"/>
  <c r="C64" i="9"/>
  <c r="AP63" i="9"/>
  <c r="AM63" i="9"/>
  <c r="AO63" i="9" s="1"/>
  <c r="AL63" i="9"/>
  <c r="AK63" i="9"/>
  <c r="AJ63" i="9"/>
  <c r="AI63" i="9"/>
  <c r="AH63" i="9"/>
  <c r="AQ63" i="9" s="1"/>
  <c r="AG63" i="9"/>
  <c r="AF63" i="9"/>
  <c r="AE63" i="9"/>
  <c r="AD63" i="9"/>
  <c r="AC63" i="9"/>
  <c r="AB63" i="9"/>
  <c r="AA63" i="9"/>
  <c r="Z63" i="9"/>
  <c r="Y63" i="9"/>
  <c r="X63" i="9"/>
  <c r="W63" i="9"/>
  <c r="V63" i="9"/>
  <c r="U63" i="9"/>
  <c r="T63" i="9"/>
  <c r="S63" i="9"/>
  <c r="R63" i="9"/>
  <c r="Q63" i="9"/>
  <c r="P63" i="9"/>
  <c r="O63" i="9"/>
  <c r="N63" i="9"/>
  <c r="M63" i="9"/>
  <c r="L63" i="9"/>
  <c r="K63" i="9"/>
  <c r="J63" i="9"/>
  <c r="I63" i="9"/>
  <c r="H63" i="9"/>
  <c r="G63" i="9"/>
  <c r="F63" i="9"/>
  <c r="E63" i="9"/>
  <c r="D63" i="9"/>
  <c r="C63" i="9"/>
  <c r="AM62" i="9"/>
  <c r="AO62" i="9" s="1"/>
  <c r="AL62" i="9"/>
  <c r="AK62" i="9"/>
  <c r="AJ62" i="9"/>
  <c r="AI62" i="9"/>
  <c r="AH62" i="9"/>
  <c r="AG62" i="9"/>
  <c r="AF62" i="9"/>
  <c r="AE62" i="9"/>
  <c r="AD62" i="9"/>
  <c r="AC62" i="9"/>
  <c r="AB62" i="9"/>
  <c r="AA62" i="9"/>
  <c r="Z62" i="9"/>
  <c r="Y62" i="9"/>
  <c r="X62" i="9"/>
  <c r="W62" i="9"/>
  <c r="V62" i="9"/>
  <c r="U62" i="9"/>
  <c r="T62" i="9"/>
  <c r="S62" i="9"/>
  <c r="R62" i="9"/>
  <c r="Q62" i="9"/>
  <c r="P62" i="9"/>
  <c r="O62" i="9"/>
  <c r="N62" i="9"/>
  <c r="M62" i="9"/>
  <c r="L62" i="9"/>
  <c r="K62" i="9"/>
  <c r="J62" i="9"/>
  <c r="I62" i="9"/>
  <c r="H62" i="9"/>
  <c r="G62" i="9"/>
  <c r="F62" i="9"/>
  <c r="E62" i="9"/>
  <c r="D62" i="9"/>
  <c r="C62" i="9"/>
  <c r="AM61" i="9"/>
  <c r="AO61" i="9" s="1"/>
  <c r="AL61" i="9"/>
  <c r="AK61" i="9"/>
  <c r="AQ61" i="9" s="1"/>
  <c r="AJ61" i="9"/>
  <c r="AI61" i="9"/>
  <c r="AH61" i="9"/>
  <c r="AG61" i="9"/>
  <c r="AF61" i="9"/>
  <c r="AE61" i="9"/>
  <c r="AD61" i="9"/>
  <c r="AC61" i="9"/>
  <c r="AB61" i="9"/>
  <c r="AA61" i="9"/>
  <c r="Z61" i="9"/>
  <c r="Y61" i="9"/>
  <c r="X61" i="9"/>
  <c r="W61" i="9"/>
  <c r="V61" i="9"/>
  <c r="U61" i="9"/>
  <c r="T61" i="9"/>
  <c r="S61" i="9"/>
  <c r="R61" i="9"/>
  <c r="Q61" i="9"/>
  <c r="P61" i="9"/>
  <c r="O61" i="9"/>
  <c r="N61" i="9"/>
  <c r="M61" i="9"/>
  <c r="L61" i="9"/>
  <c r="K61" i="9"/>
  <c r="J61" i="9"/>
  <c r="I61" i="9"/>
  <c r="H61" i="9"/>
  <c r="G61" i="9"/>
  <c r="F61" i="9"/>
  <c r="E61" i="9"/>
  <c r="D61" i="9"/>
  <c r="C61" i="9"/>
  <c r="AP60" i="9"/>
  <c r="AM60" i="9"/>
  <c r="AO60" i="9" s="1"/>
  <c r="AL60" i="9"/>
  <c r="AK60" i="9"/>
  <c r="AJ60" i="9"/>
  <c r="AI60" i="9"/>
  <c r="AH60" i="9"/>
  <c r="AQ60" i="9" s="1"/>
  <c r="AG60" i="9"/>
  <c r="AF60" i="9"/>
  <c r="AE60" i="9"/>
  <c r="AD60" i="9"/>
  <c r="AC60" i="9"/>
  <c r="AB60" i="9"/>
  <c r="AA60" i="9"/>
  <c r="Z60" i="9"/>
  <c r="Y60" i="9"/>
  <c r="X60" i="9"/>
  <c r="W60" i="9"/>
  <c r="V60" i="9"/>
  <c r="U60" i="9"/>
  <c r="T60" i="9"/>
  <c r="S60" i="9"/>
  <c r="R60" i="9"/>
  <c r="Q60" i="9"/>
  <c r="P60" i="9"/>
  <c r="O60" i="9"/>
  <c r="N60" i="9"/>
  <c r="M60" i="9"/>
  <c r="L60" i="9"/>
  <c r="K60" i="9"/>
  <c r="J60" i="9"/>
  <c r="I60" i="9"/>
  <c r="H60" i="9"/>
  <c r="G60" i="9"/>
  <c r="F60" i="9"/>
  <c r="E60" i="9"/>
  <c r="D60" i="9"/>
  <c r="C60" i="9"/>
  <c r="AM59" i="9"/>
  <c r="AO59" i="9" s="1"/>
  <c r="AL59" i="9"/>
  <c r="AK59" i="9"/>
  <c r="AJ59" i="9"/>
  <c r="AI59" i="9"/>
  <c r="AH59" i="9"/>
  <c r="AG59" i="9"/>
  <c r="AF59" i="9"/>
  <c r="AE59" i="9"/>
  <c r="AD59" i="9"/>
  <c r="AC59" i="9"/>
  <c r="AB59" i="9"/>
  <c r="AA59" i="9"/>
  <c r="Z59" i="9"/>
  <c r="Y59" i="9"/>
  <c r="X59" i="9"/>
  <c r="W59" i="9"/>
  <c r="V59" i="9"/>
  <c r="U59" i="9"/>
  <c r="T59" i="9"/>
  <c r="S59" i="9"/>
  <c r="R59" i="9"/>
  <c r="Q59" i="9"/>
  <c r="P59" i="9"/>
  <c r="O59" i="9"/>
  <c r="N59" i="9"/>
  <c r="M59" i="9"/>
  <c r="L59" i="9"/>
  <c r="K59" i="9"/>
  <c r="J59" i="9"/>
  <c r="I59" i="9"/>
  <c r="H59" i="9"/>
  <c r="G59" i="9"/>
  <c r="F59" i="9"/>
  <c r="E59" i="9"/>
  <c r="D59" i="9"/>
  <c r="C59" i="9"/>
  <c r="AM58" i="9"/>
  <c r="AO58" i="9" s="1"/>
  <c r="AL58" i="9"/>
  <c r="AK58" i="9"/>
  <c r="AQ58" i="9" s="1"/>
  <c r="AJ58" i="9"/>
  <c r="AI58" i="9"/>
  <c r="AH58" i="9"/>
  <c r="AG58" i="9"/>
  <c r="AF58" i="9"/>
  <c r="AE58" i="9"/>
  <c r="AD58" i="9"/>
  <c r="AC58" i="9"/>
  <c r="AB58" i="9"/>
  <c r="AA58" i="9"/>
  <c r="Z58" i="9"/>
  <c r="Y58" i="9"/>
  <c r="X58" i="9"/>
  <c r="W58" i="9"/>
  <c r="V58" i="9"/>
  <c r="U58" i="9"/>
  <c r="T58" i="9"/>
  <c r="S58" i="9"/>
  <c r="R58" i="9"/>
  <c r="Q58" i="9"/>
  <c r="P58" i="9"/>
  <c r="O58" i="9"/>
  <c r="N58" i="9"/>
  <c r="M58" i="9"/>
  <c r="L58" i="9"/>
  <c r="K58" i="9"/>
  <c r="J58" i="9"/>
  <c r="I58" i="9"/>
  <c r="H58" i="9"/>
  <c r="G58" i="9"/>
  <c r="F58" i="9"/>
  <c r="E58" i="9"/>
  <c r="D58" i="9"/>
  <c r="C58" i="9"/>
  <c r="AP57" i="9"/>
  <c r="AM57" i="9"/>
  <c r="AO57" i="9" s="1"/>
  <c r="AL57" i="9"/>
  <c r="AK57" i="9"/>
  <c r="AJ57" i="9"/>
  <c r="AI57" i="9"/>
  <c r="AH57" i="9"/>
  <c r="AQ57" i="9" s="1"/>
  <c r="AG57" i="9"/>
  <c r="AF57" i="9"/>
  <c r="AE57" i="9"/>
  <c r="AD57" i="9"/>
  <c r="AC57" i="9"/>
  <c r="AB57" i="9"/>
  <c r="AA57" i="9"/>
  <c r="Z57" i="9"/>
  <c r="Y57" i="9"/>
  <c r="X57" i="9"/>
  <c r="W57" i="9"/>
  <c r="V57" i="9"/>
  <c r="U57" i="9"/>
  <c r="T57" i="9"/>
  <c r="S57" i="9"/>
  <c r="R57" i="9"/>
  <c r="Q57" i="9"/>
  <c r="P57" i="9"/>
  <c r="O57" i="9"/>
  <c r="N57" i="9"/>
  <c r="M57" i="9"/>
  <c r="L57" i="9"/>
  <c r="K57" i="9"/>
  <c r="J57" i="9"/>
  <c r="I57" i="9"/>
  <c r="H57" i="9"/>
  <c r="G57" i="9"/>
  <c r="F57" i="9"/>
  <c r="E57" i="9"/>
  <c r="D57" i="9"/>
  <c r="C57" i="9"/>
  <c r="AM56" i="9"/>
  <c r="AO56" i="9" s="1"/>
  <c r="AL56" i="9"/>
  <c r="AK56" i="9"/>
  <c r="AP56" i="9" s="1"/>
  <c r="AJ56" i="9"/>
  <c r="AI56" i="9"/>
  <c r="AH56" i="9"/>
  <c r="AQ56" i="9" s="1"/>
  <c r="AG56" i="9"/>
  <c r="AF56" i="9"/>
  <c r="AE56" i="9"/>
  <c r="AD56" i="9"/>
  <c r="AC56" i="9"/>
  <c r="AB56" i="9"/>
  <c r="AA56" i="9"/>
  <c r="Z56" i="9"/>
  <c r="Y56" i="9"/>
  <c r="X56" i="9"/>
  <c r="W56" i="9"/>
  <c r="V56" i="9"/>
  <c r="U56" i="9"/>
  <c r="T56" i="9"/>
  <c r="S56" i="9"/>
  <c r="R56" i="9"/>
  <c r="Q56" i="9"/>
  <c r="P56" i="9"/>
  <c r="O56" i="9"/>
  <c r="N56" i="9"/>
  <c r="M56" i="9"/>
  <c r="L56" i="9"/>
  <c r="K56" i="9"/>
  <c r="J56" i="9"/>
  <c r="I56" i="9"/>
  <c r="H56" i="9"/>
  <c r="G56" i="9"/>
  <c r="F56" i="9"/>
  <c r="E56" i="9"/>
  <c r="D56" i="9"/>
  <c r="C56" i="9"/>
  <c r="AP55" i="9"/>
  <c r="AM55" i="9"/>
  <c r="AO55" i="9" s="1"/>
  <c r="AL55" i="9"/>
  <c r="AK55" i="9"/>
  <c r="AQ55" i="9" s="1"/>
  <c r="AJ55" i="9"/>
  <c r="AI55" i="9"/>
  <c r="AH55" i="9"/>
  <c r="AG55" i="9"/>
  <c r="AF55" i="9"/>
  <c r="AE55" i="9"/>
  <c r="AD55" i="9"/>
  <c r="AC55" i="9"/>
  <c r="AB55" i="9"/>
  <c r="AA55" i="9"/>
  <c r="Z55" i="9"/>
  <c r="Y55" i="9"/>
  <c r="X55" i="9"/>
  <c r="W55" i="9"/>
  <c r="V55" i="9"/>
  <c r="U55" i="9"/>
  <c r="T55" i="9"/>
  <c r="S55" i="9"/>
  <c r="R55" i="9"/>
  <c r="Q55" i="9"/>
  <c r="P55" i="9"/>
  <c r="O55" i="9"/>
  <c r="N55" i="9"/>
  <c r="M55" i="9"/>
  <c r="L55" i="9"/>
  <c r="K55" i="9"/>
  <c r="J55" i="9"/>
  <c r="I55" i="9"/>
  <c r="H55" i="9"/>
  <c r="G55" i="9"/>
  <c r="F55" i="9"/>
  <c r="E55" i="9"/>
  <c r="D55" i="9"/>
  <c r="C55" i="9"/>
  <c r="AP54" i="9"/>
  <c r="AM54" i="9"/>
  <c r="AO54" i="9" s="1"/>
  <c r="AL54" i="9"/>
  <c r="AK54" i="9"/>
  <c r="AJ54" i="9"/>
  <c r="AI54" i="9"/>
  <c r="AH54" i="9"/>
  <c r="AG54" i="9"/>
  <c r="AF54" i="9"/>
  <c r="AE54" i="9"/>
  <c r="AD54" i="9"/>
  <c r="AC54" i="9"/>
  <c r="AB54" i="9"/>
  <c r="AA54" i="9"/>
  <c r="Z54" i="9"/>
  <c r="Y54" i="9"/>
  <c r="X54" i="9"/>
  <c r="W54" i="9"/>
  <c r="V54" i="9"/>
  <c r="U54" i="9"/>
  <c r="T54" i="9"/>
  <c r="S54" i="9"/>
  <c r="R54" i="9"/>
  <c r="Q54" i="9"/>
  <c r="P54" i="9"/>
  <c r="O54" i="9"/>
  <c r="N54" i="9"/>
  <c r="M54" i="9"/>
  <c r="L54" i="9"/>
  <c r="K54" i="9"/>
  <c r="J54" i="9"/>
  <c r="I54" i="9"/>
  <c r="H54" i="9"/>
  <c r="G54" i="9"/>
  <c r="F54" i="9"/>
  <c r="E54" i="9"/>
  <c r="D54" i="9"/>
  <c r="C54" i="9"/>
  <c r="AM53" i="9"/>
  <c r="AO53" i="9" s="1"/>
  <c r="AL53" i="9"/>
  <c r="AK53" i="9"/>
  <c r="AP53" i="9" s="1"/>
  <c r="AJ53" i="9"/>
  <c r="AI53" i="9"/>
  <c r="AH53" i="9"/>
  <c r="AG53" i="9"/>
  <c r="AF53" i="9"/>
  <c r="AE53" i="9"/>
  <c r="AD53" i="9"/>
  <c r="AC53" i="9"/>
  <c r="AB53" i="9"/>
  <c r="AA53" i="9"/>
  <c r="Z53" i="9"/>
  <c r="Y53" i="9"/>
  <c r="X53" i="9"/>
  <c r="W53" i="9"/>
  <c r="V53" i="9"/>
  <c r="U53" i="9"/>
  <c r="T53" i="9"/>
  <c r="S53" i="9"/>
  <c r="R53" i="9"/>
  <c r="Q53" i="9"/>
  <c r="P53" i="9"/>
  <c r="O53" i="9"/>
  <c r="N53" i="9"/>
  <c r="M53" i="9"/>
  <c r="L53" i="9"/>
  <c r="K53" i="9"/>
  <c r="J53" i="9"/>
  <c r="I53" i="9"/>
  <c r="H53" i="9"/>
  <c r="G53" i="9"/>
  <c r="F53" i="9"/>
  <c r="E53" i="9"/>
  <c r="D53" i="9"/>
  <c r="C53" i="9"/>
  <c r="AM52" i="9"/>
  <c r="AO52" i="9" s="1"/>
  <c r="AL52" i="9"/>
  <c r="AK52" i="9"/>
  <c r="AQ52" i="9" s="1"/>
  <c r="AJ52" i="9"/>
  <c r="AI52" i="9"/>
  <c r="AH52" i="9"/>
  <c r="AG52" i="9"/>
  <c r="AF52" i="9"/>
  <c r="AE52" i="9"/>
  <c r="AD52" i="9"/>
  <c r="AC52" i="9"/>
  <c r="AB52" i="9"/>
  <c r="AA52" i="9"/>
  <c r="Z52" i="9"/>
  <c r="Y52" i="9"/>
  <c r="X52" i="9"/>
  <c r="W52" i="9"/>
  <c r="V52" i="9"/>
  <c r="U52" i="9"/>
  <c r="T52" i="9"/>
  <c r="S52" i="9"/>
  <c r="R52" i="9"/>
  <c r="Q52" i="9"/>
  <c r="P52" i="9"/>
  <c r="O52" i="9"/>
  <c r="N52" i="9"/>
  <c r="M52" i="9"/>
  <c r="L52" i="9"/>
  <c r="K52" i="9"/>
  <c r="J52" i="9"/>
  <c r="I52" i="9"/>
  <c r="H52" i="9"/>
  <c r="G52" i="9"/>
  <c r="F52" i="9"/>
  <c r="E52" i="9"/>
  <c r="D52" i="9"/>
  <c r="C52" i="9"/>
  <c r="AP51" i="9"/>
  <c r="AM51" i="9"/>
  <c r="AO51" i="9" s="1"/>
  <c r="AL51" i="9"/>
  <c r="AK51" i="9"/>
  <c r="AJ51" i="9"/>
  <c r="AI51" i="9"/>
  <c r="AH51" i="9"/>
  <c r="AQ51" i="9" s="1"/>
  <c r="AG51" i="9"/>
  <c r="AF51" i="9"/>
  <c r="AE51" i="9"/>
  <c r="AD51" i="9"/>
  <c r="AC51" i="9"/>
  <c r="AB51" i="9"/>
  <c r="AA51" i="9"/>
  <c r="Z51" i="9"/>
  <c r="Y51" i="9"/>
  <c r="X51" i="9"/>
  <c r="W51" i="9"/>
  <c r="V51" i="9"/>
  <c r="U51" i="9"/>
  <c r="T51" i="9"/>
  <c r="S51" i="9"/>
  <c r="R51" i="9"/>
  <c r="Q51" i="9"/>
  <c r="P51" i="9"/>
  <c r="O51" i="9"/>
  <c r="N51" i="9"/>
  <c r="M51" i="9"/>
  <c r="L51" i="9"/>
  <c r="K51" i="9"/>
  <c r="J51" i="9"/>
  <c r="I51" i="9"/>
  <c r="H51" i="9"/>
  <c r="G51" i="9"/>
  <c r="F51" i="9"/>
  <c r="E51" i="9"/>
  <c r="D51" i="9"/>
  <c r="C51" i="9"/>
  <c r="AM50" i="9"/>
  <c r="AO50" i="9" s="1"/>
  <c r="AL50" i="9"/>
  <c r="AK50" i="9"/>
  <c r="AP50" i="9" s="1"/>
  <c r="AJ50" i="9"/>
  <c r="AI50" i="9"/>
  <c r="AH50" i="9"/>
  <c r="AQ50" i="9" s="1"/>
  <c r="AG50" i="9"/>
  <c r="AF50" i="9"/>
  <c r="AE50" i="9"/>
  <c r="AD50" i="9"/>
  <c r="AC50" i="9"/>
  <c r="AB50" i="9"/>
  <c r="AA50" i="9"/>
  <c r="Z50" i="9"/>
  <c r="Y50" i="9"/>
  <c r="X50" i="9"/>
  <c r="W50" i="9"/>
  <c r="V50" i="9"/>
  <c r="U50" i="9"/>
  <c r="T50" i="9"/>
  <c r="S50" i="9"/>
  <c r="R50" i="9"/>
  <c r="Q50" i="9"/>
  <c r="P50" i="9"/>
  <c r="O50" i="9"/>
  <c r="N50" i="9"/>
  <c r="M50" i="9"/>
  <c r="L50" i="9"/>
  <c r="K50" i="9"/>
  <c r="J50" i="9"/>
  <c r="I50" i="9"/>
  <c r="H50" i="9"/>
  <c r="G50" i="9"/>
  <c r="F50" i="9"/>
  <c r="E50" i="9"/>
  <c r="D50" i="9"/>
  <c r="C50" i="9"/>
  <c r="AM45" i="9"/>
  <c r="AO45" i="9" s="1"/>
  <c r="AL45" i="9"/>
  <c r="AK45" i="9"/>
  <c r="AJ45" i="9"/>
  <c r="AI45" i="9"/>
  <c r="AH45" i="9"/>
  <c r="AG45" i="9"/>
  <c r="AF45" i="9"/>
  <c r="AE45" i="9"/>
  <c r="AD45" i="9"/>
  <c r="AC45" i="9"/>
  <c r="AB45" i="9"/>
  <c r="AA45" i="9"/>
  <c r="Z45" i="9"/>
  <c r="Y45" i="9"/>
  <c r="X45" i="9"/>
  <c r="W45" i="9"/>
  <c r="V45" i="9"/>
  <c r="U45" i="9"/>
  <c r="T45" i="9"/>
  <c r="S45" i="9"/>
  <c r="R45" i="9"/>
  <c r="Q45" i="9"/>
  <c r="P45" i="9"/>
  <c r="O45" i="9"/>
  <c r="N45" i="9"/>
  <c r="M45" i="9"/>
  <c r="L45" i="9"/>
  <c r="K45" i="9"/>
  <c r="J45" i="9"/>
  <c r="I45" i="9"/>
  <c r="H45" i="9"/>
  <c r="G45" i="9"/>
  <c r="F45" i="9"/>
  <c r="E45" i="9"/>
  <c r="D45" i="9"/>
  <c r="C45" i="9"/>
  <c r="AP44" i="9"/>
  <c r="AM44" i="9"/>
  <c r="AO44" i="9" s="1"/>
  <c r="AL44" i="9"/>
  <c r="AK44" i="9"/>
  <c r="AJ44" i="9"/>
  <c r="AI44" i="9"/>
  <c r="AH44" i="9"/>
  <c r="AQ44" i="9" s="1"/>
  <c r="AG44" i="9"/>
  <c r="AF44" i="9"/>
  <c r="AE44" i="9"/>
  <c r="AD44" i="9"/>
  <c r="AC44" i="9"/>
  <c r="AB44" i="9"/>
  <c r="AA44" i="9"/>
  <c r="Z44" i="9"/>
  <c r="Y44" i="9"/>
  <c r="X44" i="9"/>
  <c r="W44" i="9"/>
  <c r="V44" i="9"/>
  <c r="U44" i="9"/>
  <c r="T44" i="9"/>
  <c r="S44" i="9"/>
  <c r="R44" i="9"/>
  <c r="Q44" i="9"/>
  <c r="P44" i="9"/>
  <c r="O44" i="9"/>
  <c r="N44" i="9"/>
  <c r="M44" i="9"/>
  <c r="L44" i="9"/>
  <c r="K44" i="9"/>
  <c r="J44" i="9"/>
  <c r="I44" i="9"/>
  <c r="H44" i="9"/>
  <c r="G44" i="9"/>
  <c r="F44" i="9"/>
  <c r="E44" i="9"/>
  <c r="D44" i="9"/>
  <c r="C44" i="9"/>
  <c r="AM43" i="9"/>
  <c r="AO43" i="9" s="1"/>
  <c r="AL43" i="9"/>
  <c r="AK43" i="9"/>
  <c r="AJ43" i="9"/>
  <c r="AI43" i="9"/>
  <c r="AH43" i="9"/>
  <c r="AG43" i="9"/>
  <c r="AF43" i="9"/>
  <c r="AE43" i="9"/>
  <c r="AD43" i="9"/>
  <c r="AC43" i="9"/>
  <c r="AB43" i="9"/>
  <c r="AA43" i="9"/>
  <c r="Z43" i="9"/>
  <c r="Y43" i="9"/>
  <c r="X43" i="9"/>
  <c r="W43" i="9"/>
  <c r="V43" i="9"/>
  <c r="U43" i="9"/>
  <c r="T43" i="9"/>
  <c r="S43" i="9"/>
  <c r="R43" i="9"/>
  <c r="Q43" i="9"/>
  <c r="P43" i="9"/>
  <c r="O43" i="9"/>
  <c r="N43" i="9"/>
  <c r="M43" i="9"/>
  <c r="L43" i="9"/>
  <c r="K43" i="9"/>
  <c r="J43" i="9"/>
  <c r="I43" i="9"/>
  <c r="H43" i="9"/>
  <c r="G43" i="9"/>
  <c r="F43" i="9"/>
  <c r="E43" i="9"/>
  <c r="D43" i="9"/>
  <c r="C43" i="9"/>
  <c r="AM42" i="9"/>
  <c r="AO42" i="9" s="1"/>
  <c r="AL42" i="9"/>
  <c r="AK42" i="9"/>
  <c r="AJ42" i="9"/>
  <c r="AI42" i="9"/>
  <c r="AH42" i="9"/>
  <c r="AG42" i="9"/>
  <c r="AF42" i="9"/>
  <c r="AE42" i="9"/>
  <c r="AD42" i="9"/>
  <c r="AC42" i="9"/>
  <c r="AB42" i="9"/>
  <c r="AA42" i="9"/>
  <c r="Z42" i="9"/>
  <c r="Y42" i="9"/>
  <c r="X42" i="9"/>
  <c r="W42" i="9"/>
  <c r="V42" i="9"/>
  <c r="U42" i="9"/>
  <c r="T42" i="9"/>
  <c r="S42" i="9"/>
  <c r="R42" i="9"/>
  <c r="Q42" i="9"/>
  <c r="P42" i="9"/>
  <c r="O42" i="9"/>
  <c r="N42" i="9"/>
  <c r="M42" i="9"/>
  <c r="L42" i="9"/>
  <c r="K42" i="9"/>
  <c r="J42" i="9"/>
  <c r="I42" i="9"/>
  <c r="H42" i="9"/>
  <c r="G42" i="9"/>
  <c r="F42" i="9"/>
  <c r="E42" i="9"/>
  <c r="D42" i="9"/>
  <c r="C42" i="9"/>
  <c r="AP41" i="9"/>
  <c r="AM41" i="9"/>
  <c r="AO41" i="9" s="1"/>
  <c r="AL41" i="9"/>
  <c r="AK41" i="9"/>
  <c r="AJ41" i="9"/>
  <c r="AI41" i="9"/>
  <c r="AH41" i="9"/>
  <c r="AQ41" i="9" s="1"/>
  <c r="AG41" i="9"/>
  <c r="AF41" i="9"/>
  <c r="AE41" i="9"/>
  <c r="AD41" i="9"/>
  <c r="AC41" i="9"/>
  <c r="AB41" i="9"/>
  <c r="AA41" i="9"/>
  <c r="Z41" i="9"/>
  <c r="Y41" i="9"/>
  <c r="X41" i="9"/>
  <c r="W41" i="9"/>
  <c r="V41" i="9"/>
  <c r="U41" i="9"/>
  <c r="T41" i="9"/>
  <c r="S41" i="9"/>
  <c r="R41" i="9"/>
  <c r="Q41" i="9"/>
  <c r="P41" i="9"/>
  <c r="O41" i="9"/>
  <c r="N41" i="9"/>
  <c r="M41" i="9"/>
  <c r="L41" i="9"/>
  <c r="K41" i="9"/>
  <c r="J41" i="9"/>
  <c r="I41" i="9"/>
  <c r="H41" i="9"/>
  <c r="G41" i="9"/>
  <c r="F41" i="9"/>
  <c r="E41" i="9"/>
  <c r="D41" i="9"/>
  <c r="C41" i="9"/>
  <c r="AM40" i="9"/>
  <c r="AO40" i="9" s="1"/>
  <c r="AL40" i="9"/>
  <c r="AK40" i="9"/>
  <c r="AP40" i="9" s="1"/>
  <c r="AJ40" i="9"/>
  <c r="AI40" i="9"/>
  <c r="AH40" i="9"/>
  <c r="AG40" i="9"/>
  <c r="AF40" i="9"/>
  <c r="AE40" i="9"/>
  <c r="AD40" i="9"/>
  <c r="AC40" i="9"/>
  <c r="AB40" i="9"/>
  <c r="AA40" i="9"/>
  <c r="Z40" i="9"/>
  <c r="Y40" i="9"/>
  <c r="X40" i="9"/>
  <c r="W40" i="9"/>
  <c r="V40" i="9"/>
  <c r="U40" i="9"/>
  <c r="T40" i="9"/>
  <c r="S40" i="9"/>
  <c r="R40" i="9"/>
  <c r="Q40" i="9"/>
  <c r="P40" i="9"/>
  <c r="O40" i="9"/>
  <c r="N40" i="9"/>
  <c r="M40" i="9"/>
  <c r="L40" i="9"/>
  <c r="K40" i="9"/>
  <c r="J40" i="9"/>
  <c r="I40" i="9"/>
  <c r="H40" i="9"/>
  <c r="G40" i="9"/>
  <c r="F40" i="9"/>
  <c r="E40" i="9"/>
  <c r="D40" i="9"/>
  <c r="C40" i="9"/>
  <c r="AM39" i="9"/>
  <c r="AO39" i="9" s="1"/>
  <c r="AL39" i="9"/>
  <c r="AK39" i="9"/>
  <c r="AQ39" i="9" s="1"/>
  <c r="AJ39" i="9"/>
  <c r="AI39" i="9"/>
  <c r="AH39" i="9"/>
  <c r="AG39" i="9"/>
  <c r="AF39" i="9"/>
  <c r="AE39" i="9"/>
  <c r="AD39" i="9"/>
  <c r="AC39" i="9"/>
  <c r="AB39" i="9"/>
  <c r="AA39" i="9"/>
  <c r="Z39" i="9"/>
  <c r="Y39" i="9"/>
  <c r="X39" i="9"/>
  <c r="W39" i="9"/>
  <c r="V39" i="9"/>
  <c r="U39" i="9"/>
  <c r="T39" i="9"/>
  <c r="S39" i="9"/>
  <c r="R39" i="9"/>
  <c r="Q39" i="9"/>
  <c r="P39" i="9"/>
  <c r="O39" i="9"/>
  <c r="N39" i="9"/>
  <c r="M39" i="9"/>
  <c r="L39" i="9"/>
  <c r="K39" i="9"/>
  <c r="J39" i="9"/>
  <c r="I39" i="9"/>
  <c r="H39" i="9"/>
  <c r="G39" i="9"/>
  <c r="F39" i="9"/>
  <c r="E39" i="9"/>
  <c r="D39" i="9"/>
  <c r="C39" i="9"/>
  <c r="AP38" i="9"/>
  <c r="AM38" i="9"/>
  <c r="AO38" i="9" s="1"/>
  <c r="AL38" i="9"/>
  <c r="AK38" i="9"/>
  <c r="AJ38" i="9"/>
  <c r="AI38" i="9"/>
  <c r="AH38" i="9"/>
  <c r="AQ38" i="9" s="1"/>
  <c r="AG38" i="9"/>
  <c r="AF38" i="9"/>
  <c r="AE38" i="9"/>
  <c r="AD38" i="9"/>
  <c r="AC38" i="9"/>
  <c r="AB38" i="9"/>
  <c r="AA38" i="9"/>
  <c r="Z38" i="9"/>
  <c r="Y38" i="9"/>
  <c r="X38" i="9"/>
  <c r="W38" i="9"/>
  <c r="V38" i="9"/>
  <c r="U38" i="9"/>
  <c r="T38" i="9"/>
  <c r="S38" i="9"/>
  <c r="R38" i="9"/>
  <c r="Q38" i="9"/>
  <c r="P38" i="9"/>
  <c r="O38" i="9"/>
  <c r="N38" i="9"/>
  <c r="M38" i="9"/>
  <c r="L38" i="9"/>
  <c r="K38" i="9"/>
  <c r="J38" i="9"/>
  <c r="I38" i="9"/>
  <c r="H38" i="9"/>
  <c r="G38" i="9"/>
  <c r="F38" i="9"/>
  <c r="E38" i="9"/>
  <c r="D38" i="9"/>
  <c r="C38" i="9"/>
  <c r="AP37" i="9"/>
  <c r="AM37" i="9"/>
  <c r="AO37" i="9" s="1"/>
  <c r="AL37" i="9"/>
  <c r="AK37" i="9"/>
  <c r="AJ37" i="9"/>
  <c r="AI37" i="9"/>
  <c r="AH37" i="9"/>
  <c r="AG37" i="9"/>
  <c r="AF37" i="9"/>
  <c r="AE37" i="9"/>
  <c r="AD37" i="9"/>
  <c r="AC37" i="9"/>
  <c r="AB37" i="9"/>
  <c r="AA37" i="9"/>
  <c r="Z37" i="9"/>
  <c r="Y37" i="9"/>
  <c r="X37" i="9"/>
  <c r="W37" i="9"/>
  <c r="V37" i="9"/>
  <c r="U37" i="9"/>
  <c r="T37" i="9"/>
  <c r="S37" i="9"/>
  <c r="R37" i="9"/>
  <c r="Q37" i="9"/>
  <c r="P37" i="9"/>
  <c r="O37" i="9"/>
  <c r="N37" i="9"/>
  <c r="M37" i="9"/>
  <c r="L37" i="9"/>
  <c r="K37" i="9"/>
  <c r="J37" i="9"/>
  <c r="I37" i="9"/>
  <c r="H37" i="9"/>
  <c r="G37" i="9"/>
  <c r="F37" i="9"/>
  <c r="E37" i="9"/>
  <c r="D37" i="9"/>
  <c r="C37" i="9"/>
  <c r="AP36" i="9"/>
  <c r="AO36" i="9"/>
  <c r="AM36" i="9"/>
  <c r="AQ36" i="9" s="1"/>
  <c r="AL36" i="9"/>
  <c r="AK36" i="9"/>
  <c r="AJ36" i="9"/>
  <c r="AI36" i="9"/>
  <c r="AH36" i="9"/>
  <c r="AG36" i="9"/>
  <c r="AF36" i="9"/>
  <c r="AE36" i="9"/>
  <c r="AD36" i="9"/>
  <c r="AC36" i="9"/>
  <c r="AB36" i="9"/>
  <c r="AA36" i="9"/>
  <c r="Z36" i="9"/>
  <c r="Y36" i="9"/>
  <c r="X36" i="9"/>
  <c r="W36" i="9"/>
  <c r="V36" i="9"/>
  <c r="U36" i="9"/>
  <c r="T36" i="9"/>
  <c r="S36" i="9"/>
  <c r="R36" i="9"/>
  <c r="Q36" i="9"/>
  <c r="P36" i="9"/>
  <c r="O36" i="9"/>
  <c r="N36" i="9"/>
  <c r="M36" i="9"/>
  <c r="L36" i="9"/>
  <c r="K36" i="9"/>
  <c r="J36" i="9"/>
  <c r="I36" i="9"/>
  <c r="H36" i="9"/>
  <c r="G36" i="9"/>
  <c r="F36" i="9"/>
  <c r="E36" i="9"/>
  <c r="D36" i="9"/>
  <c r="C36" i="9"/>
  <c r="AM35" i="9"/>
  <c r="AO35" i="9" s="1"/>
  <c r="AL35" i="9"/>
  <c r="AK35" i="9"/>
  <c r="AP35" i="9" s="1"/>
  <c r="AJ35" i="9"/>
  <c r="AI35" i="9"/>
  <c r="AH35" i="9"/>
  <c r="AQ35" i="9" s="1"/>
  <c r="AG35" i="9"/>
  <c r="AF35" i="9"/>
  <c r="AE35" i="9"/>
  <c r="AD35" i="9"/>
  <c r="AC35" i="9"/>
  <c r="AB35" i="9"/>
  <c r="AA35" i="9"/>
  <c r="Z35" i="9"/>
  <c r="Y35" i="9"/>
  <c r="X35" i="9"/>
  <c r="W35" i="9"/>
  <c r="V35" i="9"/>
  <c r="U35" i="9"/>
  <c r="T35" i="9"/>
  <c r="S35" i="9"/>
  <c r="R35" i="9"/>
  <c r="Q35" i="9"/>
  <c r="P35" i="9"/>
  <c r="O35" i="9"/>
  <c r="N35" i="9"/>
  <c r="M35" i="9"/>
  <c r="L35" i="9"/>
  <c r="K35" i="9"/>
  <c r="J35" i="9"/>
  <c r="I35" i="9"/>
  <c r="H35" i="9"/>
  <c r="G35" i="9"/>
  <c r="F35" i="9"/>
  <c r="E35" i="9"/>
  <c r="D35" i="9"/>
  <c r="C35" i="9"/>
  <c r="AM34" i="9"/>
  <c r="AL34" i="9"/>
  <c r="AK34" i="9"/>
  <c r="AP34" i="9" s="1"/>
  <c r="AJ34" i="9"/>
  <c r="AI34" i="9"/>
  <c r="AH34" i="9"/>
  <c r="AG34" i="9"/>
  <c r="AF34" i="9"/>
  <c r="AE34" i="9"/>
  <c r="AD34" i="9"/>
  <c r="AC34" i="9"/>
  <c r="AB34" i="9"/>
  <c r="AA34" i="9"/>
  <c r="Z34" i="9"/>
  <c r="Y34" i="9"/>
  <c r="X34" i="9"/>
  <c r="W34" i="9"/>
  <c r="V34" i="9"/>
  <c r="U34" i="9"/>
  <c r="T34" i="9"/>
  <c r="S34" i="9"/>
  <c r="R34" i="9"/>
  <c r="Q34" i="9"/>
  <c r="P34" i="9"/>
  <c r="O34" i="9"/>
  <c r="N34" i="9"/>
  <c r="M34" i="9"/>
  <c r="L34" i="9"/>
  <c r="K34" i="9"/>
  <c r="J34" i="9"/>
  <c r="I34" i="9"/>
  <c r="H34" i="9"/>
  <c r="G34" i="9"/>
  <c r="F34" i="9"/>
  <c r="E34" i="9"/>
  <c r="D34" i="9"/>
  <c r="C34" i="9"/>
  <c r="AQ33" i="9"/>
  <c r="AP33" i="9"/>
  <c r="AO33" i="9"/>
  <c r="AM33" i="9"/>
  <c r="AL33" i="9"/>
  <c r="AK33" i="9"/>
  <c r="AJ33" i="9"/>
  <c r="AI33" i="9"/>
  <c r="AH33" i="9"/>
  <c r="AG33" i="9"/>
  <c r="AF33" i="9"/>
  <c r="AE33" i="9"/>
  <c r="AD33" i="9"/>
  <c r="AC33" i="9"/>
  <c r="AB33" i="9"/>
  <c r="AA33" i="9"/>
  <c r="Z33" i="9"/>
  <c r="Y33" i="9"/>
  <c r="X33" i="9"/>
  <c r="W33" i="9"/>
  <c r="V33" i="9"/>
  <c r="U33" i="9"/>
  <c r="T33" i="9"/>
  <c r="S33" i="9"/>
  <c r="R33" i="9"/>
  <c r="Q33" i="9"/>
  <c r="P33" i="9"/>
  <c r="O33" i="9"/>
  <c r="N33" i="9"/>
  <c r="M33" i="9"/>
  <c r="L33" i="9"/>
  <c r="K33" i="9"/>
  <c r="J33" i="9"/>
  <c r="I33" i="9"/>
  <c r="H33" i="9"/>
  <c r="G33" i="9"/>
  <c r="F33" i="9"/>
  <c r="E33" i="9"/>
  <c r="D33" i="9"/>
  <c r="C33" i="9"/>
  <c r="AM32" i="9"/>
  <c r="AO32" i="9" s="1"/>
  <c r="AL32" i="9"/>
  <c r="AK32" i="9"/>
  <c r="AP32" i="9" s="1"/>
  <c r="AJ32" i="9"/>
  <c r="AI32" i="9"/>
  <c r="AH32" i="9"/>
  <c r="AG32" i="9"/>
  <c r="AF32" i="9"/>
  <c r="AE32" i="9"/>
  <c r="AD32" i="9"/>
  <c r="AC32" i="9"/>
  <c r="AB32" i="9"/>
  <c r="AA32" i="9"/>
  <c r="Z32" i="9"/>
  <c r="Y32" i="9"/>
  <c r="X32" i="9"/>
  <c r="W32" i="9"/>
  <c r="V32" i="9"/>
  <c r="U32" i="9"/>
  <c r="T32" i="9"/>
  <c r="S32" i="9"/>
  <c r="R32" i="9"/>
  <c r="Q32" i="9"/>
  <c r="P32" i="9"/>
  <c r="O32" i="9"/>
  <c r="N32" i="9"/>
  <c r="M32" i="9"/>
  <c r="L32" i="9"/>
  <c r="K32" i="9"/>
  <c r="J32" i="9"/>
  <c r="I32" i="9"/>
  <c r="H32" i="9"/>
  <c r="G32" i="9"/>
  <c r="F32" i="9"/>
  <c r="E32" i="9"/>
  <c r="D32" i="9"/>
  <c r="C32" i="9"/>
  <c r="AP31" i="9"/>
  <c r="AM31" i="9"/>
  <c r="AO31" i="9" s="1"/>
  <c r="AL31" i="9"/>
  <c r="AK31" i="9"/>
  <c r="AJ31" i="9"/>
  <c r="AI31" i="9"/>
  <c r="AH31" i="9"/>
  <c r="AQ31" i="9" s="1"/>
  <c r="AG31" i="9"/>
  <c r="AF31" i="9"/>
  <c r="AE31" i="9"/>
  <c r="AD31" i="9"/>
  <c r="AC31" i="9"/>
  <c r="AB31" i="9"/>
  <c r="AA31" i="9"/>
  <c r="Z31" i="9"/>
  <c r="Y31" i="9"/>
  <c r="X31" i="9"/>
  <c r="W31" i="9"/>
  <c r="V31" i="9"/>
  <c r="U31" i="9"/>
  <c r="T31" i="9"/>
  <c r="S31" i="9"/>
  <c r="R31" i="9"/>
  <c r="Q31" i="9"/>
  <c r="P31" i="9"/>
  <c r="O31" i="9"/>
  <c r="N31" i="9"/>
  <c r="M31" i="9"/>
  <c r="L31" i="9"/>
  <c r="K31" i="9"/>
  <c r="J31" i="9"/>
  <c r="I31" i="9"/>
  <c r="H31" i="9"/>
  <c r="G31" i="9"/>
  <c r="F31" i="9"/>
  <c r="E31" i="9"/>
  <c r="D31" i="9"/>
  <c r="C31" i="9"/>
  <c r="AM30" i="9"/>
  <c r="AL30" i="9"/>
  <c r="AK30" i="9"/>
  <c r="AQ30" i="9" s="1"/>
  <c r="AJ30" i="9"/>
  <c r="AI30" i="9"/>
  <c r="AH30" i="9"/>
  <c r="AG30" i="9"/>
  <c r="AF30" i="9"/>
  <c r="AE30" i="9"/>
  <c r="AD30" i="9"/>
  <c r="AC30" i="9"/>
  <c r="AB30" i="9"/>
  <c r="AA30" i="9"/>
  <c r="Z30" i="9"/>
  <c r="Y30" i="9"/>
  <c r="X30" i="9"/>
  <c r="W30" i="9"/>
  <c r="V30" i="9"/>
  <c r="U30" i="9"/>
  <c r="T30" i="9"/>
  <c r="S30" i="9"/>
  <c r="R30" i="9"/>
  <c r="Q30" i="9"/>
  <c r="P30" i="9"/>
  <c r="O30" i="9"/>
  <c r="N30" i="9"/>
  <c r="M30" i="9"/>
  <c r="L30" i="9"/>
  <c r="K30" i="9"/>
  <c r="J30" i="9"/>
  <c r="I30" i="9"/>
  <c r="H30" i="9"/>
  <c r="G30" i="9"/>
  <c r="F30" i="9"/>
  <c r="E30" i="9"/>
  <c r="D30" i="9"/>
  <c r="C30" i="9"/>
  <c r="AP29" i="9"/>
  <c r="AM29" i="9"/>
  <c r="AO29" i="9" s="1"/>
  <c r="AL29" i="9"/>
  <c r="AK29" i="9"/>
  <c r="AJ29" i="9"/>
  <c r="AI29" i="9"/>
  <c r="AQ29" i="9" s="1"/>
  <c r="AH29" i="9"/>
  <c r="AG29" i="9"/>
  <c r="AF29" i="9"/>
  <c r="AE29" i="9"/>
  <c r="AD29" i="9"/>
  <c r="AC29" i="9"/>
  <c r="AB29" i="9"/>
  <c r="AA29" i="9"/>
  <c r="Z29" i="9"/>
  <c r="Y29" i="9"/>
  <c r="X29" i="9"/>
  <c r="W29" i="9"/>
  <c r="V29" i="9"/>
  <c r="U29" i="9"/>
  <c r="T29" i="9"/>
  <c r="S29" i="9"/>
  <c r="R29" i="9"/>
  <c r="Q29" i="9"/>
  <c r="P29" i="9"/>
  <c r="O29" i="9"/>
  <c r="N29" i="9"/>
  <c r="M29" i="9"/>
  <c r="L29" i="9"/>
  <c r="K29" i="9"/>
  <c r="J29" i="9"/>
  <c r="I29" i="9"/>
  <c r="H29" i="9"/>
  <c r="G29" i="9"/>
  <c r="F29" i="9"/>
  <c r="E29" i="9"/>
  <c r="D29" i="9"/>
  <c r="C29" i="9"/>
  <c r="AM28" i="9"/>
  <c r="AO28" i="9" s="1"/>
  <c r="AL28" i="9"/>
  <c r="AK28" i="9"/>
  <c r="AP28" i="9" s="1"/>
  <c r="AJ28" i="9"/>
  <c r="AI28" i="9"/>
  <c r="AH28" i="9"/>
  <c r="AG28" i="9"/>
  <c r="AF28" i="9"/>
  <c r="AE28" i="9"/>
  <c r="AD28" i="9"/>
  <c r="AC28" i="9"/>
  <c r="AB28" i="9"/>
  <c r="AA28" i="9"/>
  <c r="Z28" i="9"/>
  <c r="Y28" i="9"/>
  <c r="X28" i="9"/>
  <c r="W28" i="9"/>
  <c r="V28" i="9"/>
  <c r="U28" i="9"/>
  <c r="T28" i="9"/>
  <c r="S28" i="9"/>
  <c r="R28" i="9"/>
  <c r="Q28" i="9"/>
  <c r="P28" i="9"/>
  <c r="O28" i="9"/>
  <c r="N28" i="9"/>
  <c r="M28" i="9"/>
  <c r="L28" i="9"/>
  <c r="K28" i="9"/>
  <c r="J28" i="9"/>
  <c r="I28" i="9"/>
  <c r="H28" i="9"/>
  <c r="G28" i="9"/>
  <c r="F28" i="9"/>
  <c r="E28" i="9"/>
  <c r="D28" i="9"/>
  <c r="C28" i="9"/>
  <c r="AQ23" i="9"/>
  <c r="AM23" i="9"/>
  <c r="AO23" i="9" s="1"/>
  <c r="AL23" i="9"/>
  <c r="AK23" i="9"/>
  <c r="AP23" i="9" s="1"/>
  <c r="AJ23" i="9"/>
  <c r="AI23" i="9"/>
  <c r="AH23" i="9"/>
  <c r="AG23" i="9"/>
  <c r="AF23" i="9"/>
  <c r="AE23" i="9"/>
  <c r="AD23" i="9"/>
  <c r="AC23" i="9"/>
  <c r="AB23" i="9"/>
  <c r="AA23" i="9"/>
  <c r="Z23" i="9"/>
  <c r="Y23" i="9"/>
  <c r="X23" i="9"/>
  <c r="W23" i="9"/>
  <c r="V23" i="9"/>
  <c r="U23" i="9"/>
  <c r="T23" i="9"/>
  <c r="S23" i="9"/>
  <c r="R23" i="9"/>
  <c r="Q23" i="9"/>
  <c r="P23" i="9"/>
  <c r="O23" i="9"/>
  <c r="N23" i="9"/>
  <c r="M23" i="9"/>
  <c r="L23" i="9"/>
  <c r="K23" i="9"/>
  <c r="J23" i="9"/>
  <c r="I23" i="9"/>
  <c r="H23" i="9"/>
  <c r="G23" i="9"/>
  <c r="F23" i="9"/>
  <c r="E23" i="9"/>
  <c r="D23" i="9"/>
  <c r="C23" i="9"/>
  <c r="AM22" i="9"/>
  <c r="AL22" i="9"/>
  <c r="AK22" i="9"/>
  <c r="AJ22" i="9"/>
  <c r="AI22" i="9"/>
  <c r="AH22" i="9"/>
  <c r="AG22" i="9"/>
  <c r="AF22" i="9"/>
  <c r="AE22" i="9"/>
  <c r="AD22" i="9"/>
  <c r="AC22" i="9"/>
  <c r="AB22" i="9"/>
  <c r="AA22" i="9"/>
  <c r="Z22" i="9"/>
  <c r="Y22" i="9"/>
  <c r="X22" i="9"/>
  <c r="W22" i="9"/>
  <c r="V22" i="9"/>
  <c r="U22" i="9"/>
  <c r="T22" i="9"/>
  <c r="S22" i="9"/>
  <c r="R22" i="9"/>
  <c r="Q22" i="9"/>
  <c r="P22" i="9"/>
  <c r="O22" i="9"/>
  <c r="N22" i="9"/>
  <c r="M22" i="9"/>
  <c r="L22" i="9"/>
  <c r="K22" i="9"/>
  <c r="J22" i="9"/>
  <c r="I22" i="9"/>
  <c r="H22" i="9"/>
  <c r="G22" i="9"/>
  <c r="F22" i="9"/>
  <c r="E22" i="9"/>
  <c r="D22" i="9"/>
  <c r="C22" i="9"/>
  <c r="AP21" i="9"/>
  <c r="AO21" i="9"/>
  <c r="AM21" i="9"/>
  <c r="AL21" i="9"/>
  <c r="AK21" i="9"/>
  <c r="AJ21" i="9"/>
  <c r="AI21" i="9"/>
  <c r="AH21" i="9"/>
  <c r="AG21" i="9"/>
  <c r="AF21" i="9"/>
  <c r="AE21" i="9"/>
  <c r="AD21" i="9"/>
  <c r="AC21" i="9"/>
  <c r="AB21" i="9"/>
  <c r="AA21" i="9"/>
  <c r="Z21" i="9"/>
  <c r="Y21" i="9"/>
  <c r="X21" i="9"/>
  <c r="W21" i="9"/>
  <c r="V21" i="9"/>
  <c r="U21" i="9"/>
  <c r="T21" i="9"/>
  <c r="S21" i="9"/>
  <c r="R21" i="9"/>
  <c r="Q21" i="9"/>
  <c r="P21" i="9"/>
  <c r="O21" i="9"/>
  <c r="N21" i="9"/>
  <c r="M21" i="9"/>
  <c r="L21" i="9"/>
  <c r="K21" i="9"/>
  <c r="J21" i="9"/>
  <c r="I21" i="9"/>
  <c r="H21" i="9"/>
  <c r="G21" i="9"/>
  <c r="F21" i="9"/>
  <c r="E21" i="9"/>
  <c r="D21" i="9"/>
  <c r="C21" i="9"/>
  <c r="AP20" i="9"/>
  <c r="AO20" i="9"/>
  <c r="AM20" i="9"/>
  <c r="AL20" i="9"/>
  <c r="AK20" i="9"/>
  <c r="AJ20" i="9"/>
  <c r="AI20" i="9"/>
  <c r="AQ20" i="9" s="1"/>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F20" i="9"/>
  <c r="E20" i="9"/>
  <c r="D20" i="9"/>
  <c r="C20" i="9"/>
  <c r="AM19" i="9"/>
  <c r="AO19" i="9" s="1"/>
  <c r="AL19" i="9"/>
  <c r="AK19" i="9"/>
  <c r="AP19" i="9" s="1"/>
  <c r="AJ19" i="9"/>
  <c r="AI19" i="9"/>
  <c r="AH19" i="9"/>
  <c r="AQ19" i="9" s="1"/>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F19" i="9"/>
  <c r="E19" i="9"/>
  <c r="D19" i="9"/>
  <c r="C19" i="9"/>
  <c r="AP18" i="9"/>
  <c r="AO18" i="9"/>
  <c r="AM18" i="9"/>
  <c r="AL18" i="9"/>
  <c r="AK18" i="9"/>
  <c r="AJ18" i="9"/>
  <c r="AI18" i="9"/>
  <c r="AH18" i="9"/>
  <c r="AQ18" i="9" s="1"/>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F18" i="9"/>
  <c r="E18" i="9"/>
  <c r="D18" i="9"/>
  <c r="C18" i="9"/>
  <c r="AM17" i="9"/>
  <c r="AL17" i="9"/>
  <c r="AQ17" i="9" s="1"/>
  <c r="AK17" i="9"/>
  <c r="AJ17" i="9"/>
  <c r="AI17" i="9"/>
  <c r="AH17" i="9"/>
  <c r="AG17" i="9"/>
  <c r="AF17" i="9"/>
  <c r="AE17" i="9"/>
  <c r="AD17" i="9"/>
  <c r="AC17" i="9"/>
  <c r="AB17" i="9"/>
  <c r="AA17" i="9"/>
  <c r="Z17" i="9"/>
  <c r="Y17" i="9"/>
  <c r="X17" i="9"/>
  <c r="W17" i="9"/>
  <c r="V17" i="9"/>
  <c r="U17" i="9"/>
  <c r="T17" i="9"/>
  <c r="S17" i="9"/>
  <c r="R17" i="9"/>
  <c r="Q17" i="9"/>
  <c r="P17" i="9"/>
  <c r="O17" i="9"/>
  <c r="N17" i="9"/>
  <c r="M17" i="9"/>
  <c r="L17" i="9"/>
  <c r="K17" i="9"/>
  <c r="J17" i="9"/>
  <c r="I17" i="9"/>
  <c r="H17" i="9"/>
  <c r="G17" i="9"/>
  <c r="F17" i="9"/>
  <c r="E17" i="9"/>
  <c r="D17" i="9"/>
  <c r="C17" i="9"/>
  <c r="AQ16" i="9"/>
  <c r="AP16" i="9"/>
  <c r="AM16" i="9"/>
  <c r="AO16" i="9" s="1"/>
  <c r="AL16" i="9"/>
  <c r="AK16" i="9"/>
  <c r="AJ16" i="9"/>
  <c r="AI16" i="9"/>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F16" i="9"/>
  <c r="E16" i="9"/>
  <c r="D16" i="9"/>
  <c r="C16" i="9"/>
  <c r="AM15" i="9"/>
  <c r="AO15" i="9" s="1"/>
  <c r="AL15" i="9"/>
  <c r="AK15" i="9"/>
  <c r="AJ15" i="9"/>
  <c r="AI15" i="9"/>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F15" i="9"/>
  <c r="E15" i="9"/>
  <c r="D15" i="9"/>
  <c r="C15" i="9"/>
  <c r="AQ14" i="9"/>
  <c r="AP14" i="9"/>
  <c r="AO14" i="9"/>
  <c r="AM14" i="9"/>
  <c r="AL14" i="9"/>
  <c r="AK14" i="9"/>
  <c r="AJ14" i="9"/>
  <c r="AI14" i="9"/>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F14" i="9"/>
  <c r="E14" i="9"/>
  <c r="D14" i="9"/>
  <c r="C14" i="9"/>
  <c r="AM13" i="9"/>
  <c r="AL13" i="9"/>
  <c r="AK13" i="9"/>
  <c r="AJ13" i="9"/>
  <c r="AI13" i="9"/>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F13" i="9"/>
  <c r="E13" i="9"/>
  <c r="D13" i="9"/>
  <c r="C13" i="9"/>
  <c r="AM12" i="9"/>
  <c r="AO12" i="9" s="1"/>
  <c r="AL12" i="9"/>
  <c r="AK12" i="9"/>
  <c r="AP12" i="9" s="1"/>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E12" i="9"/>
  <c r="D12" i="9"/>
  <c r="C12" i="9"/>
  <c r="AM11" i="9"/>
  <c r="AO11" i="9" s="1"/>
  <c r="AL11" i="9"/>
  <c r="AK11" i="9"/>
  <c r="AJ11" i="9"/>
  <c r="AI11" i="9"/>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F11" i="9"/>
  <c r="E11" i="9"/>
  <c r="D11" i="9"/>
  <c r="C11" i="9"/>
  <c r="AM10" i="9"/>
  <c r="AO10" i="9" s="1"/>
  <c r="AL10" i="9"/>
  <c r="AK10" i="9"/>
  <c r="AJ10" i="9"/>
  <c r="AI10" i="9"/>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F10" i="9"/>
  <c r="E10" i="9"/>
  <c r="D10" i="9"/>
  <c r="C10" i="9"/>
  <c r="AP9" i="9"/>
  <c r="AO9" i="9"/>
  <c r="AM9" i="9"/>
  <c r="AL9" i="9"/>
  <c r="AK9" i="9"/>
  <c r="AJ9" i="9"/>
  <c r="AI9" i="9"/>
  <c r="AH9" i="9"/>
  <c r="AG9" i="9"/>
  <c r="AF9" i="9"/>
  <c r="AE9" i="9"/>
  <c r="AD9" i="9"/>
  <c r="AC9" i="9"/>
  <c r="AB9" i="9"/>
  <c r="AA9" i="9"/>
  <c r="Z9" i="9"/>
  <c r="Y9" i="9"/>
  <c r="X9" i="9"/>
  <c r="W9" i="9"/>
  <c r="V9" i="9"/>
  <c r="U9" i="9"/>
  <c r="T9" i="9"/>
  <c r="S9" i="9"/>
  <c r="R9" i="9"/>
  <c r="Q9" i="9"/>
  <c r="P9" i="9"/>
  <c r="O9" i="9"/>
  <c r="N9" i="9"/>
  <c r="M9" i="9"/>
  <c r="L9" i="9"/>
  <c r="K9" i="9"/>
  <c r="J9" i="9"/>
  <c r="I9" i="9"/>
  <c r="H9" i="9"/>
  <c r="G9" i="9"/>
  <c r="F9" i="9"/>
  <c r="E9" i="9"/>
  <c r="D9" i="9"/>
  <c r="C9" i="9"/>
  <c r="AM8" i="9"/>
  <c r="AL8" i="9"/>
  <c r="AK8" i="9"/>
  <c r="AJ8" i="9"/>
  <c r="AI8" i="9"/>
  <c r="AQ8" i="9" s="1"/>
  <c r="AH8" i="9"/>
  <c r="AG8" i="9"/>
  <c r="AF8" i="9"/>
  <c r="AE8" i="9"/>
  <c r="AD8" i="9"/>
  <c r="AC8" i="9"/>
  <c r="AB8" i="9"/>
  <c r="AA8" i="9"/>
  <c r="Z8" i="9"/>
  <c r="Y8" i="9"/>
  <c r="X8" i="9"/>
  <c r="W8" i="9"/>
  <c r="V8" i="9"/>
  <c r="U8" i="9"/>
  <c r="T8" i="9"/>
  <c r="S8" i="9"/>
  <c r="R8" i="9"/>
  <c r="Q8" i="9"/>
  <c r="P8" i="9"/>
  <c r="O8" i="9"/>
  <c r="N8" i="9"/>
  <c r="M8" i="9"/>
  <c r="L8" i="9"/>
  <c r="K8" i="9"/>
  <c r="J8" i="9"/>
  <c r="I8" i="9"/>
  <c r="H8" i="9"/>
  <c r="G8" i="9"/>
  <c r="F8" i="9"/>
  <c r="E8" i="9"/>
  <c r="D8" i="9"/>
  <c r="C8" i="9"/>
  <c r="AP7" i="9"/>
  <c r="AM7" i="9"/>
  <c r="AO7" i="9" s="1"/>
  <c r="AL7" i="9"/>
  <c r="AK7" i="9"/>
  <c r="AJ7" i="9"/>
  <c r="AI7" i="9"/>
  <c r="AQ7" i="9" s="1"/>
  <c r="AH7" i="9"/>
  <c r="AG7" i="9"/>
  <c r="AF7" i="9"/>
  <c r="AE7" i="9"/>
  <c r="AD7" i="9"/>
  <c r="AC7" i="9"/>
  <c r="AB7" i="9"/>
  <c r="AA7" i="9"/>
  <c r="Z7" i="9"/>
  <c r="Y7" i="9"/>
  <c r="X7" i="9"/>
  <c r="W7" i="9"/>
  <c r="V7" i="9"/>
  <c r="U7" i="9"/>
  <c r="T7" i="9"/>
  <c r="S7" i="9"/>
  <c r="R7" i="9"/>
  <c r="Q7" i="9"/>
  <c r="P7" i="9"/>
  <c r="O7" i="9"/>
  <c r="N7" i="9"/>
  <c r="M7" i="9"/>
  <c r="L7" i="9"/>
  <c r="K7" i="9"/>
  <c r="J7" i="9"/>
  <c r="I7" i="9"/>
  <c r="H7" i="9"/>
  <c r="G7" i="9"/>
  <c r="F7" i="9"/>
  <c r="E7" i="9"/>
  <c r="D7" i="9"/>
  <c r="C7" i="9"/>
  <c r="AM6" i="9"/>
  <c r="AO6" i="9" s="1"/>
  <c r="AL6" i="9"/>
  <c r="AK6" i="9"/>
  <c r="AP6" i="9" s="1"/>
  <c r="AJ6" i="9"/>
  <c r="AI6" i="9"/>
  <c r="AH6" i="9"/>
  <c r="AG6" i="9"/>
  <c r="AF6" i="9"/>
  <c r="AE6" i="9"/>
  <c r="AD6" i="9"/>
  <c r="AC6" i="9"/>
  <c r="AB6" i="9"/>
  <c r="AA6" i="9"/>
  <c r="Z6" i="9"/>
  <c r="Y6" i="9"/>
  <c r="X6" i="9"/>
  <c r="W6" i="9"/>
  <c r="V6" i="9"/>
  <c r="U6" i="9"/>
  <c r="T6" i="9"/>
  <c r="S6" i="9"/>
  <c r="R6" i="9"/>
  <c r="Q6" i="9"/>
  <c r="P6" i="9"/>
  <c r="O6" i="9"/>
  <c r="N6" i="9"/>
  <c r="M6" i="9"/>
  <c r="L6" i="9"/>
  <c r="K6" i="9"/>
  <c r="J6" i="9"/>
  <c r="I6" i="9"/>
  <c r="H6" i="9"/>
  <c r="G6" i="9"/>
  <c r="F6" i="9"/>
  <c r="E6" i="9"/>
  <c r="D6" i="9"/>
  <c r="C6" i="9"/>
  <c r="A11" i="8"/>
  <c r="V10" i="8"/>
  <c r="U10" i="8"/>
  <c r="U9" i="8" s="1"/>
  <c r="U8" i="8" s="1"/>
  <c r="U7" i="8" s="1"/>
  <c r="U6" i="8" s="1"/>
  <c r="U5" i="8" s="1"/>
  <c r="U4" i="8" s="1"/>
  <c r="V9" i="8"/>
  <c r="V8" i="8"/>
  <c r="V7" i="8" s="1"/>
  <c r="V6" i="8"/>
  <c r="V5" i="8" s="1"/>
  <c r="V4" i="8"/>
  <c r="L2" i="8"/>
  <c r="V11" i="8" s="1"/>
  <c r="L1" i="8"/>
  <c r="U11" i="8" s="1"/>
  <c r="L2" i="7"/>
  <c r="V11" i="7" s="1"/>
  <c r="V10" i="7" s="1"/>
  <c r="V9" i="7" s="1"/>
  <c r="V8" i="7" s="1"/>
  <c r="V7" i="7" s="1"/>
  <c r="V6" i="7" s="1"/>
  <c r="V5" i="7" s="1"/>
  <c r="V4" i="7" s="1"/>
  <c r="L1" i="7"/>
  <c r="U11" i="7" s="1"/>
  <c r="U10" i="7" s="1"/>
  <c r="U9" i="7" s="1"/>
  <c r="U8" i="7" s="1"/>
  <c r="U7" i="7" s="1"/>
  <c r="U6" i="7" s="1"/>
  <c r="U5" i="7" s="1"/>
  <c r="U4" i="7" s="1"/>
  <c r="V11" i="6"/>
  <c r="U11" i="6"/>
  <c r="U10" i="6" s="1"/>
  <c r="A11" i="6"/>
  <c r="V10" i="6"/>
  <c r="A10" i="6"/>
  <c r="V9" i="6"/>
  <c r="U9" i="6"/>
  <c r="U8" i="6" s="1"/>
  <c r="U7" i="6" s="1"/>
  <c r="U6" i="6" s="1"/>
  <c r="U5" i="6" s="1"/>
  <c r="U4" i="6" s="1"/>
  <c r="V8" i="6"/>
  <c r="V7" i="6" s="1"/>
  <c r="V6" i="6" s="1"/>
  <c r="V5" i="6" s="1"/>
  <c r="V4" i="6" s="1"/>
  <c r="Q22" i="1"/>
  <c r="P22" i="1"/>
  <c r="R22" i="1" s="1"/>
  <c r="Q21" i="1"/>
  <c r="P21" i="1"/>
  <c r="R21" i="1" s="1"/>
  <c r="Q20" i="1"/>
  <c r="R20" i="1" s="1"/>
  <c r="P20" i="1"/>
  <c r="Q19" i="1"/>
  <c r="P19" i="1"/>
  <c r="R19" i="1" s="1"/>
  <c r="R18" i="1"/>
  <c r="Q18" i="1"/>
  <c r="P18" i="1"/>
  <c r="Q17" i="1"/>
  <c r="P17" i="1"/>
  <c r="R17" i="1" s="1"/>
  <c r="R16" i="1"/>
  <c r="Q16" i="1"/>
  <c r="P16" i="1"/>
  <c r="Q15" i="1"/>
  <c r="P15" i="1"/>
  <c r="R14" i="1"/>
  <c r="Q14" i="1"/>
  <c r="P14" i="1"/>
  <c r="Q13" i="1"/>
  <c r="P13" i="1"/>
  <c r="R13" i="1" s="1"/>
  <c r="R12" i="1"/>
  <c r="Q12" i="1"/>
  <c r="P12" i="1"/>
  <c r="Q10" i="1"/>
  <c r="K11" i="8" l="1"/>
  <c r="N11" i="8"/>
  <c r="S11" i="6"/>
  <c r="B11" i="8"/>
  <c r="S10" i="6"/>
  <c r="R10" i="6"/>
  <c r="Q10" i="6"/>
  <c r="L10" i="6"/>
  <c r="J11" i="6"/>
  <c r="G11" i="6"/>
  <c r="K10" i="6"/>
  <c r="R11" i="6"/>
  <c r="H11" i="6"/>
  <c r="E10" i="6"/>
  <c r="N11" i="6"/>
  <c r="K11" i="6"/>
  <c r="M11" i="6"/>
  <c r="L11" i="6"/>
  <c r="AP11" i="9"/>
  <c r="AQ42" i="9"/>
  <c r="AP42" i="9"/>
  <c r="H10" i="6"/>
  <c r="P10" i="6"/>
  <c r="D10" i="6"/>
  <c r="N10" i="6"/>
  <c r="O10" i="6"/>
  <c r="C10" i="6"/>
  <c r="B10" i="6"/>
  <c r="A9" i="6"/>
  <c r="AQ9" i="9"/>
  <c r="F10" i="6"/>
  <c r="A11" i="7"/>
  <c r="A10" i="8"/>
  <c r="AP8" i="9"/>
  <c r="Q11" i="8"/>
  <c r="E11" i="8"/>
  <c r="M11" i="8"/>
  <c r="L11" i="8"/>
  <c r="I11" i="8"/>
  <c r="H11" i="8"/>
  <c r="G11" i="8"/>
  <c r="S11" i="8"/>
  <c r="F11" i="8"/>
  <c r="C11" i="8"/>
  <c r="AQ45" i="9"/>
  <c r="AP45" i="9"/>
  <c r="AO13" i="9"/>
  <c r="AP13" i="9"/>
  <c r="G10" i="6"/>
  <c r="I11" i="6"/>
  <c r="Q11" i="6"/>
  <c r="E11" i="6"/>
  <c r="P11" i="6"/>
  <c r="D11" i="6"/>
  <c r="O11" i="6"/>
  <c r="C11" i="6"/>
  <c r="I10" i="6"/>
  <c r="B11" i="6"/>
  <c r="D11" i="8"/>
  <c r="AO8" i="9"/>
  <c r="AP15" i="9"/>
  <c r="AQ22" i="9"/>
  <c r="AO30" i="9"/>
  <c r="J10" i="6"/>
  <c r="F11" i="6"/>
  <c r="J11" i="8"/>
  <c r="AQ11" i="9"/>
  <c r="AP10" i="9"/>
  <c r="AQ10" i="9"/>
  <c r="R15" i="1"/>
  <c r="M10" i="6"/>
  <c r="O11" i="8"/>
  <c r="AQ13" i="9"/>
  <c r="AP17" i="9"/>
  <c r="P11" i="8"/>
  <c r="AO22" i="9"/>
  <c r="AP22" i="9"/>
  <c r="R11" i="8"/>
  <c r="AO17" i="9"/>
  <c r="AQ12" i="9"/>
  <c r="AQ66" i="9"/>
  <c r="C14" i="13"/>
  <c r="AQ40" i="9"/>
  <c r="AP43" i="9"/>
  <c r="AO34" i="9"/>
  <c r="AQ59" i="9"/>
  <c r="AQ28" i="9"/>
  <c r="AQ32" i="9"/>
  <c r="AP39" i="9"/>
  <c r="AP30" i="9"/>
  <c r="AQ6" i="9"/>
  <c r="AQ21" i="9"/>
  <c r="AQ37" i="9"/>
  <c r="AQ53" i="9"/>
  <c r="AP59" i="9"/>
  <c r="C8" i="13"/>
  <c r="C20" i="13"/>
  <c r="C32" i="13"/>
  <c r="C44" i="13"/>
  <c r="C56" i="13"/>
  <c r="C68" i="13"/>
  <c r="C80" i="13"/>
  <c r="C92" i="13"/>
  <c r="C104" i="13"/>
  <c r="C116" i="13"/>
  <c r="C128" i="13"/>
  <c r="C140" i="13"/>
  <c r="C152" i="13"/>
  <c r="C164" i="13"/>
  <c r="C176" i="13"/>
  <c r="C188" i="13"/>
  <c r="C200" i="13"/>
  <c r="C212" i="13"/>
  <c r="C224" i="13"/>
  <c r="C236" i="13"/>
  <c r="C248" i="13"/>
  <c r="C260" i="13"/>
  <c r="C272" i="13"/>
  <c r="C284" i="13"/>
  <c r="C296" i="13"/>
  <c r="C308" i="13"/>
  <c r="AQ43" i="9"/>
  <c r="AQ54" i="9"/>
  <c r="AQ62" i="9"/>
  <c r="AQ15" i="9"/>
  <c r="AQ34" i="9"/>
  <c r="AP52" i="9"/>
  <c r="AP62" i="9"/>
  <c r="AP58" i="9"/>
  <c r="AP61" i="9"/>
  <c r="AP64" i="9"/>
  <c r="AP67" i="9"/>
  <c r="C7" i="13"/>
  <c r="Z11" i="6" l="1"/>
  <c r="Y11" i="6"/>
  <c r="P10" i="8"/>
  <c r="D10" i="8"/>
  <c r="I10" i="8"/>
  <c r="S10" i="8"/>
  <c r="F10" i="8"/>
  <c r="R10" i="8"/>
  <c r="E10" i="8"/>
  <c r="A9" i="8"/>
  <c r="O10" i="8"/>
  <c r="Q10" i="8"/>
  <c r="C10" i="8"/>
  <c r="B10" i="8"/>
  <c r="N10" i="8"/>
  <c r="L10" i="8"/>
  <c r="M10" i="8"/>
  <c r="K10" i="8"/>
  <c r="J10" i="8"/>
  <c r="H10" i="8"/>
  <c r="G10" i="8"/>
  <c r="Q11" i="7"/>
  <c r="E11" i="7"/>
  <c r="L11" i="7"/>
  <c r="H11" i="7"/>
  <c r="F11" i="7"/>
  <c r="G11" i="7"/>
  <c r="S11" i="7"/>
  <c r="M11" i="7"/>
  <c r="K11" i="7"/>
  <c r="J11" i="7"/>
  <c r="I11" i="7"/>
  <c r="D11" i="7"/>
  <c r="C11" i="7"/>
  <c r="B11" i="7"/>
  <c r="A10" i="7"/>
  <c r="R11" i="7"/>
  <c r="P11" i="7"/>
  <c r="O11" i="7"/>
  <c r="N11" i="7"/>
  <c r="S9" i="6"/>
  <c r="G9" i="6"/>
  <c r="O9" i="6"/>
  <c r="C9" i="6"/>
  <c r="M9" i="6"/>
  <c r="N9" i="6"/>
  <c r="B9" i="6"/>
  <c r="A8" i="6"/>
  <c r="D9" i="6"/>
  <c r="Q9" i="6"/>
  <c r="P9" i="6"/>
  <c r="L9" i="6"/>
  <c r="K9" i="6"/>
  <c r="I9" i="6"/>
  <c r="J9" i="6"/>
  <c r="R9" i="6"/>
  <c r="H9" i="6"/>
  <c r="F9" i="6"/>
  <c r="E9" i="6"/>
  <c r="Y10" i="6"/>
  <c r="Z10" i="6"/>
  <c r="Y11" i="8"/>
  <c r="Z11" i="8"/>
  <c r="R8" i="6" l="1"/>
  <c r="F8" i="6"/>
  <c r="N8" i="6"/>
  <c r="B8" i="6"/>
  <c r="A7" i="6"/>
  <c r="M8" i="6"/>
  <c r="L8" i="6"/>
  <c r="H8" i="6"/>
  <c r="G8" i="6"/>
  <c r="D8" i="6"/>
  <c r="C8" i="6"/>
  <c r="O8" i="6"/>
  <c r="S8" i="6"/>
  <c r="Q8" i="6"/>
  <c r="P8" i="6"/>
  <c r="E8" i="6"/>
  <c r="K8" i="6"/>
  <c r="J8" i="6"/>
  <c r="I8" i="6"/>
  <c r="Z11" i="7"/>
  <c r="Y11" i="7"/>
  <c r="O9" i="8"/>
  <c r="C9" i="8"/>
  <c r="S9" i="8"/>
  <c r="F9" i="8"/>
  <c r="P9" i="8"/>
  <c r="B9" i="8"/>
  <c r="N9" i="8"/>
  <c r="M9" i="8"/>
  <c r="L9" i="8"/>
  <c r="R9" i="8"/>
  <c r="Q9" i="8"/>
  <c r="J9" i="8"/>
  <c r="I9" i="8"/>
  <c r="H9" i="8"/>
  <c r="D9" i="8"/>
  <c r="G9" i="8"/>
  <c r="E9" i="8"/>
  <c r="K9" i="8"/>
  <c r="A8" i="8"/>
  <c r="P10" i="7"/>
  <c r="D10" i="7"/>
  <c r="I10" i="7"/>
  <c r="R10" i="7"/>
  <c r="E10" i="7"/>
  <c r="B10" i="7"/>
  <c r="A9" i="7"/>
  <c r="Q10" i="7"/>
  <c r="C10" i="7"/>
  <c r="O10" i="7"/>
  <c r="S10" i="7"/>
  <c r="N10" i="7"/>
  <c r="M10" i="7"/>
  <c r="K10" i="7"/>
  <c r="J10" i="7"/>
  <c r="H10" i="7"/>
  <c r="G10" i="7"/>
  <c r="L10" i="7"/>
  <c r="F10" i="7"/>
  <c r="Y10" i="8"/>
  <c r="Z10" i="8"/>
  <c r="Z9" i="6"/>
  <c r="Y9" i="6"/>
  <c r="Y10" i="7" l="1"/>
  <c r="Z10" i="7"/>
  <c r="S9" i="7"/>
  <c r="G9" i="7"/>
  <c r="O9" i="7"/>
  <c r="C9" i="7"/>
  <c r="N9" i="7"/>
  <c r="B9" i="7"/>
  <c r="A8" i="7"/>
  <c r="M9" i="7"/>
  <c r="Q9" i="7"/>
  <c r="R9" i="7"/>
  <c r="P9" i="7"/>
  <c r="L9" i="7"/>
  <c r="K9" i="7"/>
  <c r="H9" i="7"/>
  <c r="J9" i="7"/>
  <c r="I9" i="7"/>
  <c r="F9" i="7"/>
  <c r="E9" i="7"/>
  <c r="D9" i="7"/>
  <c r="Q7" i="6"/>
  <c r="E7" i="6"/>
  <c r="M7" i="6"/>
  <c r="L7" i="6"/>
  <c r="K7" i="6"/>
  <c r="N7" i="6"/>
  <c r="J7" i="6"/>
  <c r="A6" i="6"/>
  <c r="I7" i="6"/>
  <c r="H7" i="6"/>
  <c r="G7" i="6"/>
  <c r="F7" i="6"/>
  <c r="D7" i="6"/>
  <c r="S7" i="6"/>
  <c r="B7" i="6"/>
  <c r="C7" i="6"/>
  <c r="R7" i="6"/>
  <c r="P7" i="6"/>
  <c r="O7" i="6"/>
  <c r="N8" i="8"/>
  <c r="B8" i="8"/>
  <c r="A7" i="8"/>
  <c r="P8" i="8"/>
  <c r="C8" i="8"/>
  <c r="L8" i="8"/>
  <c r="K8" i="8"/>
  <c r="J8" i="8"/>
  <c r="I8" i="8"/>
  <c r="R8" i="8"/>
  <c r="Q8" i="8"/>
  <c r="M8" i="8"/>
  <c r="H8" i="8"/>
  <c r="G8" i="8"/>
  <c r="F8" i="8"/>
  <c r="D8" i="8"/>
  <c r="E8" i="8"/>
  <c r="O8" i="8"/>
  <c r="S8" i="8"/>
  <c r="Z8" i="6"/>
  <c r="Y8" i="6"/>
  <c r="Z9" i="8"/>
  <c r="Y9" i="8"/>
  <c r="Z7" i="6" l="1"/>
  <c r="Y7" i="6"/>
  <c r="R8" i="7"/>
  <c r="F8" i="7"/>
  <c r="N8" i="7"/>
  <c r="B8" i="7"/>
  <c r="A7" i="7"/>
  <c r="M8" i="7"/>
  <c r="L8" i="7"/>
  <c r="H8" i="7"/>
  <c r="G8" i="7"/>
  <c r="E8" i="7"/>
  <c r="C8" i="7"/>
  <c r="D8" i="7"/>
  <c r="S8" i="7"/>
  <c r="Q8" i="7"/>
  <c r="P8" i="7"/>
  <c r="O8" i="7"/>
  <c r="K8" i="7"/>
  <c r="J8" i="7"/>
  <c r="I8" i="7"/>
  <c r="Z9" i="7"/>
  <c r="Y9" i="7"/>
  <c r="M7" i="8"/>
  <c r="L7" i="8"/>
  <c r="H7" i="8"/>
  <c r="S7" i="8"/>
  <c r="G7" i="8"/>
  <c r="F7" i="8"/>
  <c r="R7" i="8"/>
  <c r="Q7" i="8"/>
  <c r="A6" i="8"/>
  <c r="P7" i="8"/>
  <c r="N7" i="8"/>
  <c r="K7" i="8"/>
  <c r="J7" i="8"/>
  <c r="D7" i="8"/>
  <c r="I7" i="8"/>
  <c r="O7" i="8"/>
  <c r="E7" i="8"/>
  <c r="C7" i="8"/>
  <c r="B7" i="8"/>
  <c r="Y8" i="8"/>
  <c r="Z8" i="8"/>
  <c r="P6" i="6"/>
  <c r="D6" i="6"/>
  <c r="L6" i="6"/>
  <c r="K6" i="6"/>
  <c r="J6" i="6"/>
  <c r="S6" i="6"/>
  <c r="B6" i="6"/>
  <c r="Q6" i="6"/>
  <c r="R6" i="6"/>
  <c r="O6" i="6"/>
  <c r="N6" i="6"/>
  <c r="M6" i="6"/>
  <c r="I6" i="6"/>
  <c r="G6" i="6"/>
  <c r="H6" i="6"/>
  <c r="F6" i="6"/>
  <c r="E6" i="6"/>
  <c r="C6" i="6"/>
  <c r="L6" i="8" l="1"/>
  <c r="I6" i="8"/>
  <c r="R6" i="8"/>
  <c r="E6" i="8"/>
  <c r="C6" i="8"/>
  <c r="Q6" i="8"/>
  <c r="D6" i="8"/>
  <c r="P6" i="8"/>
  <c r="B6" i="8"/>
  <c r="O6" i="8"/>
  <c r="N6" i="8"/>
  <c r="M6" i="8"/>
  <c r="K6" i="8"/>
  <c r="H6" i="8"/>
  <c r="J6" i="8"/>
  <c r="S6" i="8"/>
  <c r="G6" i="8"/>
  <c r="F6" i="8"/>
  <c r="Q7" i="7"/>
  <c r="E7" i="7"/>
  <c r="M7" i="7"/>
  <c r="L7" i="7"/>
  <c r="K7" i="7"/>
  <c r="A6" i="7"/>
  <c r="J7" i="7"/>
  <c r="I7" i="7"/>
  <c r="G7" i="7"/>
  <c r="F7" i="7"/>
  <c r="D7" i="7"/>
  <c r="C7" i="7"/>
  <c r="R7" i="7"/>
  <c r="S7" i="7"/>
  <c r="B7" i="7"/>
  <c r="P7" i="7"/>
  <c r="H7" i="7"/>
  <c r="O7" i="7"/>
  <c r="N7" i="7"/>
  <c r="Y7" i="8"/>
  <c r="Z7" i="8"/>
  <c r="Z8" i="7"/>
  <c r="Y8" i="7"/>
  <c r="Z6" i="6"/>
  <c r="Y6" i="6"/>
  <c r="Y6" i="8" l="1"/>
  <c r="Z6" i="8"/>
  <c r="Z7" i="7"/>
  <c r="Y7" i="7"/>
  <c r="P6" i="7"/>
  <c r="D6" i="7"/>
  <c r="L6" i="7"/>
  <c r="J6" i="7"/>
  <c r="K6" i="7"/>
  <c r="Q6" i="7"/>
  <c r="O6" i="7"/>
  <c r="M6" i="7"/>
  <c r="I6" i="7"/>
  <c r="H6" i="7"/>
  <c r="G6" i="7"/>
  <c r="F6" i="7"/>
  <c r="E6" i="7"/>
  <c r="N6" i="7"/>
  <c r="C6" i="7"/>
  <c r="S6" i="7"/>
  <c r="B6" i="7"/>
  <c r="R6" i="7"/>
  <c r="Z6" i="7" l="1"/>
  <c r="Y6" i="7"/>
</calcChain>
</file>

<file path=xl/sharedStrings.xml><?xml version="1.0" encoding="utf-8"?>
<sst xmlns="http://schemas.openxmlformats.org/spreadsheetml/2006/main" count="1217" uniqueCount="560">
  <si>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</si>
  <si>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</si>
  <si>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</si>
  <si>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</si>
  <si>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</si>
  <si>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</si>
  <si>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</si>
  <si>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</si>
  <si>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</si>
  <si>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</si>
  <si>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</si>
  <si>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</si>
  <si>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</si>
  <si>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business activity</t>
  </si>
  <si>
    <t>ISM Services</t>
  </si>
  <si>
    <t>Update month + Number Sectors</t>
  </si>
  <si>
    <t>New Orders</t>
  </si>
  <si>
    <t>Update Industry Comments</t>
  </si>
  <si>
    <t>Imports</t>
  </si>
  <si>
    <t>Update data in different ISM and Details</t>
  </si>
  <si>
    <t>Backlog Of Orders</t>
  </si>
  <si>
    <t>Prices</t>
  </si>
  <si>
    <t>Business Activity</t>
  </si>
  <si>
    <t>Inventory Sentiment</t>
  </si>
  <si>
    <t>Inventories</t>
  </si>
  <si>
    <t>Deliveries</t>
  </si>
  <si>
    <t>Employment</t>
  </si>
  <si>
    <t>Exports</t>
  </si>
  <si>
    <t>DATE</t>
  </si>
  <si>
    <t>Arts, Entertainment &amp; Recreation</t>
  </si>
  <si>
    <t>Other Services</t>
  </si>
  <si>
    <t>Health Care &amp; Social Assistance</t>
  </si>
  <si>
    <t>Accommodation &amp; Food Services</t>
  </si>
  <si>
    <t>Finance &amp; Insurance</t>
  </si>
  <si>
    <t>Real Estate, Rental &amp; Leasing</t>
  </si>
  <si>
    <t>Transportation &amp; Warehousing</t>
  </si>
  <si>
    <t>Mining</t>
  </si>
  <si>
    <t>Construction</t>
  </si>
  <si>
    <t>Wholesale Trade</t>
  </si>
  <si>
    <t>Public Administration</t>
  </si>
  <si>
    <t>Professional, Scientific &amp; Technical Services</t>
  </si>
  <si>
    <t>Agriculture, Forestry, Fishing &amp; Hunting</t>
  </si>
  <si>
    <t>Information</t>
  </si>
  <si>
    <t>Educational Services</t>
  </si>
  <si>
    <t>Management of Companies &amp; Support Services</t>
  </si>
  <si>
    <t>Retail Trade</t>
  </si>
  <si>
    <t>Utilities</t>
  </si>
  <si>
    <t>&amp; Social Assistance</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</si>
  <si>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</si>
  <si>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</si>
  <si>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</si>
  <si>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</si>
  <si>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</si>
  <si>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</si>
  <si>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</si>
  <si>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</si>
  <si>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</si>
  <si>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</si>
  <si>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</si>
  <si>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</si>
  <si>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</si>
  <si>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</si>
  <si>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</si>
  <si>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</si>
  <si>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GDPC1_QoQ</t>
  </si>
  <si>
    <t>GDPC1_QoQ_ANNUALIZED</t>
  </si>
  <si>
    <t>GDPC1_YoY</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</si>
  <si>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</si>
  <si>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</si>
  <si>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</si>
  <si>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</si>
  <si>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</si>
  <si>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</si>
  <si>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</si>
  <si>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</si>
  <si>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</si>
  <si>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</si>
  <si>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</si>
  <si>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</si>
  <si>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</si>
  <si>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</si>
  <si>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</si>
  <si>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</si>
  <si>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Sector</t>
  </si>
  <si>
    <t>“Raw material availability and lead times have improved but still pose a challenge. In our outlook, we are positive about growth. Consumer confidence is returning, and people are more willing to spend money on luxury items.”</t>
  </si>
  <si>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</si>
  <si>
    <t>“Sales at our restaurants seasonally trend down from August to October, and this year seems to be more severe compared to before the pandemic. General inflation concerns and consumer uncertainty are the likely causes, expressed by industry peers as well.”</t>
  </si>
  <si>
    <t>“Starting to see some cost pressures relief; the overall supply environment is healthy.”</t>
  </si>
  <si>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</si>
  <si>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</si>
  <si>
    <t>“Supply chain improving, with more reliability of supplier deliveries. Inflationary pressures increased on goods and services. Employment also improving in most markets. Fewer daily fires and more planning time.”</t>
  </si>
  <si>
    <t>“Pricing pressures and product availability issues continue to be extremely problematic.”</t>
  </si>
  <si>
    <t>“Supply chain challenges continue at about the same levels as last month. Employment has improved as COVID-19 cases are declining. Restaurant sales have improved since Valentine’s Day, with mask and vaccine verification mandates being dropped.”</t>
  </si>
  <si>
    <t>“Raw material increases, labor shortages, wage increases and transportation issues are still the primary issues affecting our operations and pricing.”</t>
  </si>
  <si>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</si>
  <si>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</si>
  <si>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</si>
  <si>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</si>
  <si>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</si>
  <si>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</si>
  <si>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</si>
  <si>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</si>
  <si>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</si>
  <si>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</si>
  <si>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</si>
  <si>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</si>
  <si>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</si>
  <si>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</si>
  <si>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</si>
  <si>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</si>
  <si>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</si>
  <si>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</si>
  <si>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</si>
  <si>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</si>
  <si>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</si>
  <si>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</si>
  <si>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</si>
  <si>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</si>
  <si>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</si>
  <si>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</si>
  <si>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</si>
  <si>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</si>
  <si>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</si>
  <si>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</si>
  <si>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“Generally, business is strong. Limitations in such areas as labor and packaging keep sales from exceeding expectations.”</t>
  </si>
  <si>
    <t>“Business is slower than usual. Seems to be a three- or four-month trend. We expect it to pick up after the first of the year.”</t>
  </si>
  <si>
    <t>“Business is doing well, almost back to pre-coronavirus pandemic volumes.”</t>
  </si>
  <si>
    <t>“Business remains tepid. We have a general concern that sales volumes are trending down as buyers communicate that they’re planning to buy only what they need for immediate sales.”</t>
  </si>
  <si>
    <t>“General slowdown in sales. We believe high commodity prices and inflation have impacted consumers’ desire for fertilizer from our turf and ornamental division. Farmers have already cut back on consumption due to pricing and weather-related issues.”</t>
  </si>
  <si>
    <t>“Grain and fertilizer prices are near all-time highs, resulting in decreased purchasing.”</t>
  </si>
  <si>
    <t>“Supply chain challenges continue to result in lower inventories of products and higher costs. The challenges are at the highest point since COVID-19 began.”</t>
  </si>
  <si>
    <t>“Challenging operating conditions remain the same to start the new year. Our biggest service providers seem to be rebounding from labor shortages or are managing their way through them. We will be forced to upgrade some equipment that is less reliant on labor.”</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</si>
  <si>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</si>
  <si>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</si>
  <si>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</si>
  <si>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</si>
  <si>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</si>
  <si>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</si>
  <si>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</si>
  <si>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</si>
  <si>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</si>
  <si>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</si>
  <si>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</si>
  <si>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</si>
  <si>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</si>
  <si>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</si>
  <si>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</si>
  <si>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</si>
  <si>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“September is one of our slowest months of the year. We are gearing up to have a very busy fourth quarter and are seeing some signs of relief in our supply chain.”</t>
  </si>
  <si>
    <t>“We are projecting 2022 to be busier than 2021. Our business volume should begin to increase significantly in March.”</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</si>
  <si>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</si>
  <si>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</si>
  <si>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</si>
  <si>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</si>
  <si>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</si>
  <si>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</si>
  <si>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</si>
  <si>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“New residential housing market is still reeling from mortgage rate increases. Sales have fallen off dramatically at entry-level price points, as costs are trending flat.”</t>
  </si>
  <si>
    <t>“Residential new construction continues to be hindered by higher interest rates, slowing sales dramatically. A shift to rental projects seems to be a trend for all builders.”</t>
  </si>
  <si>
    <t>“Generally unchanged month over month. New business requests are solid, with costs rising steadily for materials, meals and lodging.”</t>
  </si>
  <si>
    <t>“Sales have slowed significantly. Very challenging market. Trying to build through backlog. Manufacturers, distributors and installation trades are still busy and passing on price increases, while we are discounting homes to stimulate sales. Margins are compressing.”</t>
  </si>
  <si>
    <t>“Some pullback on projects by clients, but activity is still strong for our company. This has alleviated some labor availability issues. Generally, there has been improvement in lead times and prices, but still longer and higher, respectively, than in 2021.”</t>
  </si>
  <si>
    <t>“Interest rates have significantly impacted the homebuilding market. Cancellation rates have increased, as homebuyers can no longer afford the monthly payment. Traffic to our communities is down. Inflation has sidelined many would-be buyers.”</t>
  </si>
  <si>
    <t>“(Interest) rate increases have slowed sales but have not helped with supply challenges yet.”</t>
  </si>
  <si>
    <t>“Demand seems to be very high for all of the high-voltage electric products we purchase. Lead times are quadruple what they normally are.”</t>
  </si>
  <si>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</si>
  <si>
    <t>“Costs have escalated to what we believe are unsustainable levels. Available labor is nonexistent, so we have cut staffing and are taking on fewer projects temporarily in an attempt to reduce cost. Outsourcing where possible. We are not optimistic at this time.”</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</si>
  <si>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</si>
  <si>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</si>
  <si>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</si>
  <si>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</si>
  <si>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</si>
  <si>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</si>
  <si>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</si>
  <si>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</si>
  <si>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</si>
  <si>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</si>
  <si>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</si>
  <si>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</si>
  <si>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</si>
  <si>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</si>
  <si>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</si>
  <si>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</si>
  <si>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</si>
  <si>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</si>
  <si>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</si>
  <si>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</si>
  <si>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</si>
  <si>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</si>
  <si>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</si>
  <si>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</si>
  <si>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</si>
  <si>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</si>
  <si>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</si>
  <si>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</si>
  <si>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</si>
  <si>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</si>
  <si>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</si>
  <si>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</si>
  <si>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</si>
  <si>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</si>
  <si>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</si>
  <si>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“We’re dealing with inflation, increasing labor costs, longer lead times and the higher education sector struggling to retain employees.”</t>
  </si>
  <si>
    <t>“Still long lead times for service-related needs. A slight downturn in fuel costs in this region, but we are still experiencing supply chain shortages and delays.”</t>
  </si>
  <si>
    <t>“There are supply chain challenges for some paper- and tech-related products.”</t>
  </si>
  <si>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</si>
  <si>
    <t>“Strengthening market overall and signs of improvement. Increased prices putting a strain on fixed budgets. There has been a shift from driving down costs to securing continuity of supply. Higher education is growing, with an increase in applicants.”</t>
  </si>
  <si>
    <t>“While activity dropped 2 percent from the previous month, activity volume was 47 percent higher compared to May 2021.”</t>
  </si>
  <si>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</si>
  <si>
    <t>“Large construction projects have been mostly constrained due to continued supply chain issues and large cost increases. Continued shortages in account management continue to be a source of frustration for day-to-day operations and service.”</t>
  </si>
  <si>
    <t>“Labor and inflation continue to push costs higher across the board for food and food-service supplies.”</t>
  </si>
  <si>
    <t>“Inflation is contributing to budget constraints, supply chain restraints and labor shortages.”</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</si>
  <si>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</si>
  <si>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</si>
  <si>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</si>
  <si>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</si>
  <si>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</si>
  <si>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</si>
  <si>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</si>
  <si>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</si>
  <si>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</si>
  <si>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</si>
  <si>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</si>
  <si>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</si>
  <si>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</si>
  <si>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</si>
  <si>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</si>
  <si>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</si>
  <si>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</si>
  <si>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</si>
  <si>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</si>
  <si>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“Business conditions for year-end 2022 are good, but not great. Preparing for a possible recession in 2023, but with some optimism in the overall economy.”</t>
  </si>
  <si>
    <t>“Employee turnover within our company and with our suppliers is causing delays in decisions and orders.”</t>
  </si>
  <si>
    <t>“Business activity is increasing, but professional labor continues to be in short supply. Virtual work is preferred by clients.”</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</si>
  <si>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</si>
  <si>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</si>
  <si>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</si>
  <si>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</si>
  <si>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</si>
  <si>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</si>
  <si>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</si>
  <si>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</si>
  <si>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</si>
  <si>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</si>
  <si>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</si>
  <si>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</si>
  <si>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</si>
  <si>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</si>
  <si>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</si>
  <si>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</si>
  <si>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</si>
  <si>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</si>
  <si>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</si>
  <si>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</si>
  <si>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</si>
  <si>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</si>
  <si>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</si>
  <si>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</si>
  <si>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</si>
  <si>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“Demand for services remains high, yet we continue to satisfy demand despite continuing supply chain disruptions. There is improvement in some categories, like blood collection supplies, that have been constrained for more than a year. Others are moderately improving but not to a level where consistency is maintained. Labor is also moderately improving, (helping reduce) staff burnout and fatigue. Forecast for 2023 is currently optimistic.”</t>
  </si>
  <si>
    <t>“Continue to see product pricing, staffing and labor cost increases across the board, with almost no easy savings opportunities in our supply chain operation. Feel that this will be the standard in 2023.”</t>
  </si>
  <si>
    <t>“Shortages and delays stabilizing. Labor availability and patient volume continue to be a challenge.”</t>
  </si>
  <si>
    <t>“Business continues to remain below pre-pandemic levels. (Patient) census and visits have increased but seem to have plateaued in the last six-month period.”</t>
  </si>
  <si>
    <t>“The shutdowns in China due to the zero-COVID policy have adversely impacted our supply chain.”</t>
  </si>
  <si>
    <t>“Restrictions lifted as COVID-19 case volumes drop, allowing for more elective procedures and reduction in (average) length of stay. Freight costs are rising.”</t>
  </si>
  <si>
    <t>“Supply chain disruptions are still a problem due to reduced allocations and manufacturer back orders. Demand continues to outpace manufacturing capacity.”</t>
  </si>
  <si>
    <t>“As the COVID-19 surge starts to loosen its grip, we are planning to resume elective surgeries soon. Demand is still high, as these procedures were delayed while the surge was occurring.”</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</si>
  <si>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</si>
  <si>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</si>
  <si>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</si>
  <si>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</si>
  <si>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</si>
  <si>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</si>
  <si>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</si>
  <si>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</si>
  <si>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</si>
  <si>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</si>
  <si>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</si>
  <si>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</si>
  <si>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</si>
  <si>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</si>
  <si>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</si>
  <si>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</si>
  <si>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</si>
  <si>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</si>
  <si>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</si>
  <si>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</si>
  <si>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</si>
  <si>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</si>
  <si>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</si>
  <si>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</si>
  <si>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</si>
  <si>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</si>
  <si>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</si>
  <si>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</si>
  <si>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</si>
  <si>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</si>
  <si>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</si>
  <si>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“While there is still uncertainty in the marketplace, there is a general feeling that supply chain (issues) are relaxing. There is no unrealistic expectation that challenging times are behind us, but we are cautiously optimistic about 2023.”</t>
  </si>
  <si>
    <t>“Electronic component supply is becoming much better week by week.”</t>
  </si>
  <si>
    <t>“Demand has softened across consumer product lines, channels and brands over the last year, to levels below those forecast earlier this year. Adjusting all outlooks down for the rest of year. The (Shanghai) omicron slowdown had an impact, but activity is slowly coming back.”</t>
  </si>
  <si>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</si>
  <si>
    <t>“Overall business has softened.”</t>
  </si>
  <si>
    <t>“Energy costs are putting a pinch on all suppliers. We have received many surcharge notices.”</t>
  </si>
  <si>
    <t>“Business has flattened but holding steady.”</t>
  </si>
  <si>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</si>
  <si>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</si>
  <si>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</si>
  <si>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</si>
  <si>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</si>
  <si>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</si>
  <si>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</si>
  <si>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</si>
  <si>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</si>
  <si>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</si>
  <si>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</si>
  <si>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</si>
  <si>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</si>
  <si>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</si>
  <si>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</si>
  <si>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</si>
  <si>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</si>
  <si>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</si>
  <si>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</si>
  <si>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</si>
  <si>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“The supply chain challenges affect a portion of our buys as they include products and components made outside of the U.S. that are subject to shipping delays and other issues.”</t>
  </si>
  <si>
    <t>“Can feel the economy weakening. Clients are making appropriate moves in anticipation of a recession.”</t>
  </si>
  <si>
    <t>“Unstable prices on various commodities are making budgetary planning difficult. We are maintaining a cautious approach due to energy costs continuing to increase.”</t>
  </si>
  <si>
    <t>“Business remains strong, only dampened by shortages in labor, increased material costs and lengthy lead times.”</t>
  </si>
  <si>
    <t>“Concerns over inflation and rising energy prices are causing our company to take a cautious approach, especially related to planned capital expenditures.”</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</si>
  <si>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</si>
  <si>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</si>
  <si>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</si>
  <si>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</si>
  <si>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</si>
  <si>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</si>
  <si>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</si>
  <si>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</si>
  <si>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</si>
  <si>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</si>
  <si>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</si>
  <si>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</si>
  <si>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</si>
  <si>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</si>
  <si>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</si>
  <si>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</si>
  <si>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</si>
  <si>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</si>
  <si>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</si>
  <si>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</si>
  <si>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</si>
  <si>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</si>
  <si>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remained flat as we began to round out the year.”</t>
  </si>
  <si>
    <t>“The demand for energy services remains very strong for the foreseeable future.”</t>
  </si>
  <si>
    <t>“Energy services sector demand and activity remains strong.”</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</si>
  <si>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</si>
  <si>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</si>
  <si>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</si>
  <si>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</si>
  <si>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</si>
  <si>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</si>
  <si>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</si>
  <si>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</si>
  <si>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</si>
  <si>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</si>
  <si>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</si>
  <si>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</si>
  <si>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</si>
  <si>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</si>
  <si>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</si>
  <si>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</si>
  <si>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</si>
  <si>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“Orders are strong, but it’s difficult to support customers’ expectations on delivery due to challenges in the supply chain.”</t>
  </si>
  <si>
    <t>“Electronic components lead times are becoming longer, pushing out almost a year. Not seeing much change in pricing based on inflation pressures at this point, but we expect to see changes after the first of the year. Business volume remains strong.”</t>
  </si>
  <si>
    <t>“Downturn in business in the last month due to outbreak in COVID-19 cases.”</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</si>
  <si>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</si>
  <si>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</si>
  <si>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</si>
  <si>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</si>
  <si>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“Seeing continual slowing of orders, along with a more receptive supply base.”</t>
  </si>
  <si>
    <t>“Job openings are seemingly continuing to decrease, but with demand for top talent still high and availability still rather scarce, the opportunity for growth is still there.”</t>
  </si>
  <si>
    <t>“As we prepare for a recession, our stakeholders, clients and vendors are all tightening their belts and reducing new spend. We are focusing on strategic renewals and expanding only where necessary with our closest vendor partners for our most critical tech projects.”</t>
  </si>
  <si>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</si>
  <si>
    <t>“COVID-19 still affecting many businesses. Also, there is a labor shortage.”</t>
  </si>
  <si>
    <t>“Hiring demand remains robust in most industry sectors. Tech has had a slowdown in hiring and layoffs. It’s still a candidate’s market, as the number of job openings across all skill levels and positions remains far greater than the number of candidates for those roles.”</t>
  </si>
  <si>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</si>
  <si>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</si>
  <si>
    <t>“Blood shortages are causing issues in the emergency rooms.”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</si>
  <si>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</si>
  <si>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</si>
  <si>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</si>
  <si>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</si>
  <si>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</si>
  <si>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</si>
  <si>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</si>
  <si>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</si>
  <si>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</si>
  <si>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</si>
  <si>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</si>
  <si>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</si>
  <si>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</si>
  <si>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</si>
  <si>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</si>
  <si>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</si>
  <si>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</si>
  <si>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</si>
  <si>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</si>
  <si>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</si>
  <si>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</si>
  <si>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</si>
  <si>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</si>
  <si>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</si>
  <si>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</si>
  <si>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“Lingering concerns about inflation and price increases. Still having difficulties hiring staff to fill many positions.”</t>
  </si>
  <si>
    <t>“Rising costs across the board seems to be the big focus now. Fuel and food are the most common focus but it is across the board, and there is pressure of a job market shortage for qualified workers to increase wages and other benefits.”</t>
  </si>
  <si>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</si>
  <si>
    <t>“Concerns about how the new COVID-19 subvariants and rising cases may impact staffing.”</t>
  </si>
  <si>
    <t>“Inflation, supply chain issues and access to qualified workers continue to be issues. There are still lingering effects from the pandemic, although those seem to be subsiding. The future impacts of the war in Ukraine are unclear.”</t>
  </si>
  <si>
    <t>“Long lead times for electronic components are becoming normal and expected. Chemical deliveries are often delayed due to a lack of qualified hazardous materials drivers.”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</si>
  <si>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</si>
  <si>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</si>
  <si>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</si>
  <si>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</si>
  <si>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</si>
  <si>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</si>
  <si>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</si>
  <si>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</si>
  <si>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</si>
  <si>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</si>
  <si>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</si>
  <si>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</si>
  <si>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</si>
  <si>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</si>
  <si>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</si>
  <si>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</si>
  <si>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</si>
  <si>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“We’re still experiencing delivery delays, but fewer than the past two years. Hopefully, lead times will return close to pre-COVID-19 levels.”</t>
  </si>
  <si>
    <t>“We are optimistic, although concerned, about continued inflation pressures, lead times that remain well above typical and supply chain issues that just won’t go away. Increasing interest rates are dampening the residential housing construction market, which only adds to the concerns.”</t>
  </si>
  <si>
    <t>“Prices seem to continue increasing for commodities, including plumbing, flooring materials, floor adhesives, door locks, and bedroom and bathroom doors. Delays in delivery have increased after leveling off in the middle of the year.”</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</si>
  <si>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</si>
  <si>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</si>
  <si>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</si>
  <si>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</si>
  <si>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</si>
  <si>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</si>
  <si>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</si>
  <si>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</si>
  <si>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</si>
  <si>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</si>
  <si>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</si>
  <si>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</si>
  <si>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</si>
  <si>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</si>
  <si>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</si>
  <si>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</si>
  <si>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“Coming off of peak season. Supply chains are solidifying, and capacities are better than in the past.”</t>
  </si>
  <si>
    <t>“Higher-than-average increases in end-of-year software and support renewals due to increased labor and economy costs.”</t>
  </si>
  <si>
    <t>“Overall business is stable. Employment is low and inflation is lower than last month. Supply chain issues are stabilizing.”</t>
  </si>
  <si>
    <t>“We are in the final preparations for a successful holiday, despite lower sales. Labor is more available this year, and supply chain delays seem caught up for now.”</t>
  </si>
  <si>
    <t>“Chip shortage shows no signs of abating.”</t>
  </si>
  <si>
    <t>“No major changes. Concerns about the macroeconomic climate and consumer confidence.”</t>
  </si>
  <si>
    <t>“(We are) in inventory reduction mode, attempting to match inventory levels to current lower sales trends.”</t>
  </si>
  <si>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</si>
  <si>
    <t>“Chip shortage showing no signs of easing.”</t>
  </si>
  <si>
    <t>“Continued delays due to supply chain logistics issues; increased pricing across the board.”</t>
  </si>
  <si>
    <t>“Global supply chain issues continue to disrupt chip supply, which is suppressing production of new vehicles.”</t>
  </si>
  <si>
    <t>“Business outlook remains cautiously optimistic, although uncertainty remains concerning the impact of omicron, inflation and the lack of major improvements to supply chain issues.”</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</si>
  <si>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</si>
  <si>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</si>
  <si>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</si>
  <si>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</si>
  <si>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</si>
  <si>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</si>
  <si>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</si>
  <si>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</si>
  <si>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</si>
  <si>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</si>
  <si>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</si>
  <si>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</si>
  <si>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</si>
  <si>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</si>
  <si>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</si>
  <si>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</si>
  <si>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</si>
  <si>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</si>
  <si>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</si>
  <si>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</si>
  <si>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</si>
  <si>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</si>
  <si>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</si>
  <si>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</si>
  <si>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</si>
  <si>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</si>
  <si>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</si>
  <si>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</si>
  <si>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</si>
  <si>
    <t>“It has become more challenging to maintain our level of service, due to increased demand, extended supplier lead times and the hyper-competitive employment market.”</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</si>
  <si>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</si>
  <si>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</si>
  <si>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</si>
  <si>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</si>
  <si>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</si>
  <si>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</si>
  <si>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</si>
  <si>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</si>
  <si>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</si>
  <si>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</si>
  <si>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“Continued concerns regarding supply continuity. Energy supply costs are very high this winter season.”</t>
  </si>
  <si>
    <t>“Local, regional and national supply constraints continue to create supply chain complexities and challenges.”</t>
  </si>
  <si>
    <t>“Holding steady, but some headwinds are definitely ahead on the economic front. However, supply chain issues appear to be easing, though still not great.”</t>
  </si>
  <si>
    <t>“Despite higher inflation and energy costs, demand and business activity continue to be at record highs, with little sign of a slowdown.”</t>
  </si>
  <si>
    <t>“Exhausting. Continuous shortages, transportation delays and price increases all contribute to the destruction of historical lead times and firm commitments on delivery dates. This requires placing orders earlier and qualifying secondary sources. It is relentless.”</t>
  </si>
  <si>
    <t>“Fuel and chemicals continue to go up in price.”</t>
  </si>
  <si>
    <t>“We are still seeing raw material subcomponent shortages, transportation delays and price increases.”</t>
  </si>
  <si>
    <t>“Appear to be on the upswing from COVID-19 from an absenteeism standpoint. Still dealing with long lead times for wire, polyvinyl chloride (PVC), steel, transformers and meters. Winter weather has not had an impact on productivity levels.”</t>
  </si>
  <si>
    <t>“Business activity is very high, and we have maintained a consistent amount of back orders. Labor constraints are presenting problems throughout all areas of the business.”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</si>
  <si>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</si>
  <si>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</si>
  <si>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</si>
  <si>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</si>
  <si>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</si>
  <si>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</si>
  <si>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</si>
  <si>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</si>
  <si>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</si>
  <si>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“The slowdown in new housing starts has made business slightly slower than previous years. We are also seeing a slowdown in e-commerce traffic and sales.”</t>
  </si>
  <si>
    <t>“We are in the busiest season of the year in our business, and inflation is definitely putting the squeeze on our margins.”</t>
  </si>
  <si>
    <t>“Business volume appears to be leveling out based on a month-over-month comparison, although we are up significantly when compared to the same month last year.”</t>
  </si>
  <si>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</si>
  <si>
    <t>“Business is pretty steady month to month, but we expect seasonal supply increase by September that will moderate prices.”</t>
  </si>
  <si>
    <t>“Food service remains strong. Retail is softening as the mass is overly concerned about inventory and consumer spending.”</t>
  </si>
  <si>
    <t>“National consumer and builder demand continues to drive sales domestically. COVID-19 in China continues to affect our supply chain more than the Russia-Ukraine war.”</t>
  </si>
  <si>
    <t>“Cost pressures beginning to slow demand.”</t>
  </si>
  <si>
    <t>“Constrained supply of many key product groups continues. Inflation worsening. Overall sales and profitability continue to be strong.”</t>
  </si>
  <si>
    <t>“Constrained supplies of many key product groups continue. Inflation worsening; however, sales and profitability continue to be strong.”</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</si>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</sst>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1"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2">
    <xf numFmtId="0" fontId="0" fillId="0" borderId="0" xfId="0"/>
    <xf numFmtId="0" fontId="6" fillId="0" borderId="0" xfId="1" applyFont="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3" fillId="0" borderId="0" xfId="0" applyFont="1"/>
    <xf numFmtId="0" fontId="0" fillId="2" borderId="0" xfId="0" applyFill="1" applyAlignment="1">
      <alignment vertical="center"/>
    </xf>
    <xf numFmtId="0" fontId="14" fillId="2" borderId="0" xfId="0" applyFont="1" applyFill="1"/>
    <xf numFmtId="14" fontId="15" fillId="2" borderId="17" xfId="0" applyNumberFormat="1" applyFont="1" applyFill="1" applyBorder="1" applyAlignment="1">
      <alignment horizontal="center"/>
    </xf>
    <xf numFmtId="14" fontId="11" fillId="2" borderId="17" xfId="0" applyNumberFormat="1" applyFont="1" applyFill="1" applyBorder="1" applyAlignment="1">
      <alignment horizontal="center"/>
    </xf>
    <xf numFmtId="0" fontId="11" fillId="2" borderId="13" xfId="0" applyFont="1" applyFill="1" applyBorder="1" applyAlignment="1">
      <alignment horizontal="center"/>
    </xf>
    <xf numFmtId="0" fontId="11" fillId="2" borderId="3" xfId="0" applyFont="1" applyFill="1" applyBorder="1" applyAlignment="1">
      <alignment horizontal="center"/>
    </xf>
    <xf numFmtId="0" fontId="11" fillId="2" borderId="14" xfId="0" applyFont="1" applyFill="1" applyBorder="1" applyAlignment="1">
      <alignment horizontal="center"/>
    </xf>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1" fillId="2" borderId="0" xfId="0" applyFont="1" applyFill="1"/>
    <xf numFmtId="0" fontId="3" fillId="2" borderId="0" xfId="0" applyFont="1" applyFill="1" applyAlignment="1">
      <alignment horizontal="center"/>
    </xf>
    <xf numFmtId="0" fontId="4" fillId="2" borderId="0" xfId="0" applyFont="1" applyFill="1"/>
    <xf numFmtId="17" fontId="17" fillId="2" borderId="4" xfId="0" applyNumberFormat="1" applyFont="1" applyFill="1" applyBorder="1" applyAlignment="1">
      <alignment horizontal="center" vertical="center"/>
    </xf>
    <xf numFmtId="17" fontId="17"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4" fillId="2" borderId="0" xfId="0" applyNumberFormat="1" applyFont="1" applyFill="1"/>
    <xf numFmtId="0" fontId="19" fillId="6" borderId="1" xfId="0" applyFont="1" applyFill="1" applyBorder="1" applyAlignment="1">
      <alignment wrapText="1"/>
    </xf>
    <xf numFmtId="0" fontId="9" fillId="2" borderId="0" xfId="2" applyFill="1"/>
    <xf numFmtId="0" fontId="11" fillId="6" borderId="2" xfId="0" applyFont="1" applyFill="1" applyBorder="1" applyAlignment="1">
      <alignment horizontal="center" wrapText="1"/>
    </xf>
    <xf numFmtId="0" fontId="11" fillId="6" borderId="15" xfId="0" applyFont="1" applyFill="1" applyBorder="1" applyAlignment="1">
      <alignment horizontal="center" wrapText="1"/>
    </xf>
    <xf numFmtId="0" fontId="11"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0" fontId="18" fillId="6" borderId="27" xfId="0" applyFont="1" applyFill="1" applyBorder="1" applyAlignment="1">
      <alignment horizontal="center" vertical="center"/>
    </xf>
    <xf numFmtId="164" fontId="20" fillId="6" borderId="28" xfId="0" applyNumberFormat="1" applyFont="1" applyFill="1" applyBorder="1" applyAlignment="1">
      <alignment horizontal="center" vertical="center" wrapText="1"/>
    </xf>
    <xf numFmtId="10" fontId="20" fillId="6" borderId="29" xfId="0" applyNumberFormat="1" applyFont="1" applyFill="1" applyBorder="1" applyAlignment="1">
      <alignment horizontal="center" vertical="center" wrapText="1"/>
    </xf>
    <xf numFmtId="164" fontId="20" fillId="6" borderId="29" xfId="0" applyNumberFormat="1" applyFont="1" applyFill="1" applyBorder="1" applyAlignment="1">
      <alignment horizontal="center" vertical="center" wrapText="1"/>
    </xf>
    <xf numFmtId="2" fontId="20"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1" fillId="6" borderId="11" xfId="0" applyFont="1" applyFill="1" applyBorder="1" applyAlignment="1">
      <alignment horizontal="center"/>
    </xf>
    <xf numFmtId="0" fontId="11" fillId="6" borderId="12" xfId="0" applyFont="1" applyFill="1" applyBorder="1" applyAlignment="1">
      <alignment horizontal="center"/>
    </xf>
    <xf numFmtId="0" fontId="11" fillId="6" borderId="13" xfId="0" applyFont="1" applyFill="1" applyBorder="1" applyAlignment="1">
      <alignment horizontal="center"/>
    </xf>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1" fillId="0" borderId="0" xfId="0" applyFont="1"/>
    <xf numFmtId="0" fontId="2" fillId="0" borderId="0" xfId="0" applyFont="1"/>
    <xf numFmtId="0" fontId="3" fillId="0" borderId="0" xfId="1" applyFont="1" applyAlignment="1">
      <alignment horizontal="center"/>
    </xf>
    <xf numFmtId="0" fontId="3" fillId="4" borderId="1" xfId="1" applyFont="1" applyFill="1" applyBorder="1" applyAlignment="1">
      <alignment horizontal="center"/>
    </xf>
    <xf numFmtId="0" fontId="11" fillId="5" borderId="31" xfId="0" applyFont="1" applyFill="1" applyBorder="1" applyAlignment="1">
      <alignment horizontal="center"/>
    </xf>
    <xf numFmtId="0" fontId="0" fillId="0" borderId="15" xfId="0" applyBorder="1"/>
    <xf numFmtId="0" fontId="0" fillId="0" borderId="16" xfId="0" applyBorder="1"/>
    <xf numFmtId="0" fontId="11" fillId="2" borderId="10" xfId="0" applyFont="1" applyFill="1" applyBorder="1" applyAlignment="1">
      <alignment horizontal="center" vertical="center"/>
    </xf>
    <xf numFmtId="0" fontId="0" fillId="0" borderId="10" xfId="0" applyBorder="1"/>
    <xf numFmtId="0" fontId="12" fillId="2" borderId="0" xfId="0" applyFont="1" applyFill="1" applyAlignment="1">
      <alignment wrapText="1"/>
    </xf>
    <xf numFmtId="0" fontId="0" fillId="2" borderId="0" xfId="0" applyFill="1"/>
    <xf numFmtId="0" fontId="11" fillId="5" borderId="1" xfId="0" applyFont="1" applyFill="1" applyBorder="1" applyAlignment="1">
      <alignment horizontal="center"/>
    </xf>
    <xf numFmtId="0" fontId="0" fillId="0" borderId="8" xfId="0" applyBorder="1"/>
    <xf numFmtId="0" fontId="0" fillId="0" borderId="9" xfId="0" applyBorder="1"/>
    <xf numFmtId="0" fontId="11" fillId="5" borderId="21" xfId="0" applyFont="1" applyFill="1" applyBorder="1" applyAlignment="1">
      <alignment horizontal="center" wrapText="1"/>
    </xf>
    <xf numFmtId="0" fontId="0" fillId="2" borderId="0" xfId="0" applyFill="1" applyAlignment="1">
      <alignment wrapText="1"/>
    </xf>
    <xf numFmtId="0" fontId="11" fillId="5" borderId="18" xfId="0" applyFont="1" applyFill="1" applyBorder="1" applyAlignment="1">
      <alignment horizontal="center" wrapText="1"/>
    </xf>
    <xf numFmtId="0" fontId="0" fillId="0" borderId="32" xfId="0" applyBorder="1"/>
    <xf numFmtId="0" fontId="11" fillId="5" borderId="23" xfId="0" applyFont="1" applyFill="1" applyBorder="1" applyAlignment="1">
      <alignment horizontal="center" wrapText="1"/>
    </xf>
    <xf numFmtId="0" fontId="0" fillId="0" borderId="33" xfId="0" applyBorder="1"/>
    <xf numFmtId="0" fontId="16" fillId="6" borderId="31" xfId="0" applyFont="1" applyFill="1" applyBorder="1" applyAlignment="1">
      <alignment horizontal="center" vertical="center"/>
    </xf>
    <xf numFmtId="0" fontId="0" fillId="0" borderId="26" xfId="0" applyBorder="1"/>
    <xf numFmtId="0" fontId="17" fillId="2" borderId="4" xfId="0" applyFont="1" applyFill="1" applyBorder="1" applyAlignment="1">
      <alignment horizontal="center" vertical="center"/>
    </xf>
    <xf numFmtId="0" fontId="0" fillId="0" borderId="5" xfId="0" applyBorder="1"/>
    <xf numFmtId="0" fontId="14"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cent" xfId="3" builtinId="5"/>
  </cellStyles>
  <dxfs count="135">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'ISM Services'!$B$6:$B$312</c:f>
              <c:numCache>
                <c:formatCode>General</c:formatCode>
                <c:ptCount val="307"/>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pt idx="305">
                  <c:v>49.6</c:v>
                </c:pt>
                <c:pt idx="306">
                  <c:v>55.2</c:v>
                </c:pt>
              </c:numCache>
            </c:numRef>
          </c:val>
          <c:smooth val="0"/>
          <c:extLst>
            <c:ext xmlns:c16="http://schemas.microsoft.com/office/drawing/2014/chart" uri="{C3380CC4-5D6E-409C-BE32-E72D297353CC}">
              <c16:uniqueId val="{00000000-60B0-4FE6-AFB7-252A39B04D23}"/>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Details!$B$6:$B$314</c:f>
              <c:numCache>
                <c:formatCode>0.00</c:formatCode>
                <c:ptCount val="309"/>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pt idx="305">
                  <c:v>45.2</c:v>
                </c:pt>
                <c:pt idx="306">
                  <c:v>60.4</c:v>
                </c:pt>
              </c:numCache>
            </c:numRef>
          </c:val>
          <c:smooth val="0"/>
          <c:extLst>
            <c:ext xmlns:c16="http://schemas.microsoft.com/office/drawing/2014/chart" uri="{C3380CC4-5D6E-409C-BE32-E72D297353CC}">
              <c16:uniqueId val="{00000000-48F1-4841-B0EE-94074F086D5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Sectors!$B$6:$B$11</c:f>
              <c:numCache>
                <c:formatCode>General</c:formatCode>
                <c:ptCount val="6"/>
                <c:pt idx="0">
                  <c:v>3</c:v>
                </c:pt>
                <c:pt idx="1">
                  <c:v>9</c:v>
                </c:pt>
                <c:pt idx="2">
                  <c:v>1</c:v>
                </c:pt>
                <c:pt idx="3">
                  <c:v>3</c:v>
                </c:pt>
                <c:pt idx="4">
                  <c:v>11</c:v>
                </c:pt>
                <c:pt idx="5">
                  <c:v>5</c:v>
                </c:pt>
              </c:numCache>
            </c:numRef>
          </c:val>
          <c:extLst>
            <c:ext xmlns:c16="http://schemas.microsoft.com/office/drawing/2014/chart" uri="{C3380CC4-5D6E-409C-BE32-E72D297353CC}">
              <c16:uniqueId val="{00000000-5C89-4DEF-85C8-26C31D0DC17E}"/>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Sectors!$C$6:$C$11</c:f>
              <c:numCache>
                <c:formatCode>General</c:formatCode>
                <c:ptCount val="6"/>
                <c:pt idx="0">
                  <c:v>10</c:v>
                </c:pt>
                <c:pt idx="1">
                  <c:v>13</c:v>
                </c:pt>
                <c:pt idx="2">
                  <c:v>12</c:v>
                </c:pt>
                <c:pt idx="3">
                  <c:v>10</c:v>
                </c:pt>
                <c:pt idx="4">
                  <c:v>10</c:v>
                </c:pt>
                <c:pt idx="5">
                  <c:v>12</c:v>
                </c:pt>
              </c:numCache>
            </c:numRef>
          </c:val>
          <c:extLst>
            <c:ext xmlns:c16="http://schemas.microsoft.com/office/drawing/2014/chart" uri="{C3380CC4-5D6E-409C-BE32-E72D297353CC}">
              <c16:uniqueId val="{00000000-E2D6-4B96-B3D1-380D93AFCF7B}"/>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Sectors!$D$6:$D$11</c:f>
              <c:numCache>
                <c:formatCode>General</c:formatCode>
                <c:ptCount val="6"/>
                <c:pt idx="0">
                  <c:v>15</c:v>
                </c:pt>
                <c:pt idx="1">
                  <c:v>18</c:v>
                </c:pt>
                <c:pt idx="2">
                  <c:v>5</c:v>
                </c:pt>
                <c:pt idx="3">
                  <c:v>5</c:v>
                </c:pt>
                <c:pt idx="4">
                  <c:v>0</c:v>
                </c:pt>
                <c:pt idx="5">
                  <c:v>15</c:v>
                </c:pt>
              </c:numCache>
            </c:numRef>
          </c:val>
          <c:extLst>
            <c:ext xmlns:c16="http://schemas.microsoft.com/office/drawing/2014/chart" uri="{C3380CC4-5D6E-409C-BE32-E72D297353CC}">
              <c16:uniqueId val="{00000000-941B-4AB4-A6EE-50291965A57C}"/>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Sectors!$E$6:$E$11</c:f>
              <c:numCache>
                <c:formatCode>General</c:formatCode>
                <c:ptCount val="6"/>
                <c:pt idx="0">
                  <c:v>14</c:v>
                </c:pt>
                <c:pt idx="1">
                  <c:v>7</c:v>
                </c:pt>
                <c:pt idx="2">
                  <c:v>4</c:v>
                </c:pt>
                <c:pt idx="3">
                  <c:v>7</c:v>
                </c:pt>
                <c:pt idx="4">
                  <c:v>6</c:v>
                </c:pt>
                <c:pt idx="5">
                  <c:v>10</c:v>
                </c:pt>
              </c:numCache>
            </c:numRef>
          </c:val>
          <c:extLst>
            <c:ext xmlns:c16="http://schemas.microsoft.com/office/drawing/2014/chart" uri="{C3380CC4-5D6E-409C-BE32-E72D297353CC}">
              <c16:uniqueId val="{00000000-42E8-4D10-B671-600786E79CB6}"/>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Sectors!$F$6:$F$11</c:f>
              <c:numCache>
                <c:formatCode>General</c:formatCode>
                <c:ptCount val="6"/>
                <c:pt idx="0">
                  <c:v>13</c:v>
                </c:pt>
                <c:pt idx="1">
                  <c:v>16</c:v>
                </c:pt>
                <c:pt idx="2">
                  <c:v>14</c:v>
                </c:pt>
                <c:pt idx="3">
                  <c:v>14</c:v>
                </c:pt>
                <c:pt idx="4">
                  <c:v>13</c:v>
                </c:pt>
                <c:pt idx="5">
                  <c:v>8</c:v>
                </c:pt>
              </c:numCache>
            </c:numRef>
          </c:val>
          <c:extLst>
            <c:ext xmlns:c16="http://schemas.microsoft.com/office/drawing/2014/chart" uri="{C3380CC4-5D6E-409C-BE32-E72D297353CC}">
              <c16:uniqueId val="{00000000-F293-488B-B6CA-F28A907A2693}"/>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Sectors!$G$6:$G$11</c:f>
              <c:numCache>
                <c:formatCode>General</c:formatCode>
                <c:ptCount val="6"/>
                <c:pt idx="0">
                  <c:v>-1</c:v>
                </c:pt>
                <c:pt idx="1">
                  <c:v>3</c:v>
                </c:pt>
                <c:pt idx="2">
                  <c:v>2</c:v>
                </c:pt>
                <c:pt idx="3">
                  <c:v>16</c:v>
                </c:pt>
                <c:pt idx="4">
                  <c:v>8</c:v>
                </c:pt>
                <c:pt idx="5">
                  <c:v>9</c:v>
                </c:pt>
              </c:numCache>
            </c:numRef>
          </c:val>
          <c:extLst>
            <c:ext xmlns:c16="http://schemas.microsoft.com/office/drawing/2014/chart" uri="{C3380CC4-5D6E-409C-BE32-E72D297353CC}">
              <c16:uniqueId val="{00000000-25A1-474A-88C3-77BBA558568A}"/>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Sectors!$H$6:$H$11</c:f>
              <c:numCache>
                <c:formatCode>General</c:formatCode>
                <c:ptCount val="6"/>
                <c:pt idx="0">
                  <c:v>7</c:v>
                </c:pt>
                <c:pt idx="1">
                  <c:v>11</c:v>
                </c:pt>
                <c:pt idx="2">
                  <c:v>15</c:v>
                </c:pt>
                <c:pt idx="3">
                  <c:v>1</c:v>
                </c:pt>
                <c:pt idx="4">
                  <c:v>4</c:v>
                </c:pt>
                <c:pt idx="5">
                  <c:v>2</c:v>
                </c:pt>
              </c:numCache>
            </c:numRef>
          </c:val>
          <c:extLst>
            <c:ext xmlns:c16="http://schemas.microsoft.com/office/drawing/2014/chart" uri="{C3380CC4-5D6E-409C-BE32-E72D297353CC}">
              <c16:uniqueId val="{00000000-4CDD-4160-B09E-902DE9215E9B}"/>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Sectors!$I$6:$I$11</c:f>
              <c:numCache>
                <c:formatCode>General</c:formatCode>
                <c:ptCount val="6"/>
                <c:pt idx="0">
                  <c:v>16</c:v>
                </c:pt>
                <c:pt idx="1">
                  <c:v>12</c:v>
                </c:pt>
                <c:pt idx="2">
                  <c:v>17</c:v>
                </c:pt>
                <c:pt idx="3">
                  <c:v>15</c:v>
                </c:pt>
                <c:pt idx="4">
                  <c:v>0</c:v>
                </c:pt>
                <c:pt idx="5">
                  <c:v>13</c:v>
                </c:pt>
              </c:numCache>
            </c:numRef>
          </c:val>
          <c:extLst>
            <c:ext xmlns:c16="http://schemas.microsoft.com/office/drawing/2014/chart" uri="{C3380CC4-5D6E-409C-BE32-E72D297353CC}">
              <c16:uniqueId val="{00000000-503D-40DE-82CE-F3D65FEAA23D}"/>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Sectors!$J$6:$J$11</c:f>
              <c:numCache>
                <c:formatCode>General</c:formatCode>
                <c:ptCount val="6"/>
                <c:pt idx="0">
                  <c:v>12</c:v>
                </c:pt>
                <c:pt idx="1">
                  <c:v>1</c:v>
                </c:pt>
                <c:pt idx="2">
                  <c:v>10</c:v>
                </c:pt>
                <c:pt idx="3">
                  <c:v>2</c:v>
                </c:pt>
                <c:pt idx="4">
                  <c:v>3</c:v>
                </c:pt>
                <c:pt idx="5">
                  <c:v>0</c:v>
                </c:pt>
              </c:numCache>
            </c:numRef>
          </c:val>
          <c:extLst>
            <c:ext xmlns:c16="http://schemas.microsoft.com/office/drawing/2014/chart" uri="{C3380CC4-5D6E-409C-BE32-E72D297353CC}">
              <c16:uniqueId val="{00000000-6D7E-480C-B32A-0F4777AA6C2C}"/>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Sectors!$K$6:$K$11</c:f>
              <c:numCache>
                <c:formatCode>General</c:formatCode>
                <c:ptCount val="6"/>
                <c:pt idx="0">
                  <c:v>17</c:v>
                </c:pt>
                <c:pt idx="1">
                  <c:v>6</c:v>
                </c:pt>
                <c:pt idx="2">
                  <c:v>13</c:v>
                </c:pt>
                <c:pt idx="3">
                  <c:v>4</c:v>
                </c:pt>
                <c:pt idx="4">
                  <c:v>0</c:v>
                </c:pt>
                <c:pt idx="5">
                  <c:v>0</c:v>
                </c:pt>
              </c:numCache>
            </c:numRef>
          </c:val>
          <c:extLst>
            <c:ext xmlns:c16="http://schemas.microsoft.com/office/drawing/2014/chart" uri="{C3380CC4-5D6E-409C-BE32-E72D297353CC}">
              <c16:uniqueId val="{00000000-AC35-43A5-B462-07F0ECBA8F16}"/>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Sectors!$L$6:$L$11</c:f>
              <c:numCache>
                <c:formatCode>General</c:formatCode>
                <c:ptCount val="6"/>
                <c:pt idx="0">
                  <c:v>4</c:v>
                </c:pt>
                <c:pt idx="1">
                  <c:v>8</c:v>
                </c:pt>
                <c:pt idx="2">
                  <c:v>11</c:v>
                </c:pt>
                <c:pt idx="3">
                  <c:v>-1</c:v>
                </c:pt>
                <c:pt idx="4">
                  <c:v>2</c:v>
                </c:pt>
                <c:pt idx="5">
                  <c:v>-1</c:v>
                </c:pt>
              </c:numCache>
            </c:numRef>
          </c:val>
          <c:extLst>
            <c:ext xmlns:c16="http://schemas.microsoft.com/office/drawing/2014/chart" uri="{C3380CC4-5D6E-409C-BE32-E72D297353CC}">
              <c16:uniqueId val="{00000000-0B24-4053-881D-FDC2FC644DCB}"/>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Sectors!$M$6:$M$11</c:f>
              <c:numCache>
                <c:formatCode>General</c:formatCode>
                <c:ptCount val="6"/>
                <c:pt idx="0">
                  <c:v>2</c:v>
                </c:pt>
                <c:pt idx="1">
                  <c:v>2</c:v>
                </c:pt>
                <c:pt idx="2">
                  <c:v>-1</c:v>
                </c:pt>
                <c:pt idx="3">
                  <c:v>-2</c:v>
                </c:pt>
                <c:pt idx="4">
                  <c:v>1</c:v>
                </c:pt>
                <c:pt idx="5">
                  <c:v>1</c:v>
                </c:pt>
              </c:numCache>
            </c:numRef>
          </c:val>
          <c:extLst>
            <c:ext xmlns:c16="http://schemas.microsoft.com/office/drawing/2014/chart" uri="{C3380CC4-5D6E-409C-BE32-E72D297353CC}">
              <c16:uniqueId val="{00000000-A2E3-4C76-9F11-843C009CD924}"/>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Sectors!$N$6:$N$11</c:f>
              <c:numCache>
                <c:formatCode>General</c:formatCode>
                <c:ptCount val="6"/>
                <c:pt idx="0">
                  <c:v>11</c:v>
                </c:pt>
                <c:pt idx="1">
                  <c:v>17</c:v>
                </c:pt>
                <c:pt idx="2">
                  <c:v>7</c:v>
                </c:pt>
                <c:pt idx="3">
                  <c:v>12</c:v>
                </c:pt>
                <c:pt idx="4">
                  <c:v>15</c:v>
                </c:pt>
                <c:pt idx="5">
                  <c:v>7</c:v>
                </c:pt>
              </c:numCache>
            </c:numRef>
          </c:val>
          <c:extLst>
            <c:ext xmlns:c16="http://schemas.microsoft.com/office/drawing/2014/chart" uri="{C3380CC4-5D6E-409C-BE32-E72D297353CC}">
              <c16:uniqueId val="{00000000-B939-4092-ACBD-A606FE0DDD0E}"/>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Sectors!$O$6:$O$11</c:f>
              <c:numCache>
                <c:formatCode>General</c:formatCode>
                <c:ptCount val="6"/>
                <c:pt idx="0">
                  <c:v>1</c:v>
                </c:pt>
                <c:pt idx="1">
                  <c:v>5</c:v>
                </c:pt>
                <c:pt idx="2">
                  <c:v>8</c:v>
                </c:pt>
                <c:pt idx="3">
                  <c:v>6</c:v>
                </c:pt>
                <c:pt idx="4">
                  <c:v>9</c:v>
                </c:pt>
                <c:pt idx="5">
                  <c:v>6</c:v>
                </c:pt>
              </c:numCache>
            </c:numRef>
          </c:val>
          <c:extLst>
            <c:ext xmlns:c16="http://schemas.microsoft.com/office/drawing/2014/chart" uri="{C3380CC4-5D6E-409C-BE32-E72D297353CC}">
              <c16:uniqueId val="{00000000-AF82-498D-8E4D-B3A940F2E02B}"/>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Sectors!$P$6:$P$11</c:f>
              <c:numCache>
                <c:formatCode>General</c:formatCode>
                <c:ptCount val="6"/>
                <c:pt idx="0">
                  <c:v>9</c:v>
                </c:pt>
                <c:pt idx="1">
                  <c:v>15</c:v>
                </c:pt>
                <c:pt idx="2">
                  <c:v>3</c:v>
                </c:pt>
                <c:pt idx="3">
                  <c:v>8</c:v>
                </c:pt>
                <c:pt idx="4">
                  <c:v>7</c:v>
                </c:pt>
                <c:pt idx="5">
                  <c:v>4</c:v>
                </c:pt>
              </c:numCache>
            </c:numRef>
          </c:val>
          <c:extLst>
            <c:ext xmlns:c16="http://schemas.microsoft.com/office/drawing/2014/chart" uri="{C3380CC4-5D6E-409C-BE32-E72D297353CC}">
              <c16:uniqueId val="{00000000-E9C6-4A48-A0AF-935216F6DB53}"/>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Sectors!$Q$6:$Q$11</c:f>
              <c:numCache>
                <c:formatCode>General</c:formatCode>
                <c:ptCount val="6"/>
                <c:pt idx="0">
                  <c:v>5</c:v>
                </c:pt>
                <c:pt idx="1">
                  <c:v>10</c:v>
                </c:pt>
                <c:pt idx="2">
                  <c:v>16</c:v>
                </c:pt>
                <c:pt idx="3">
                  <c:v>9</c:v>
                </c:pt>
                <c:pt idx="4">
                  <c:v>14</c:v>
                </c:pt>
                <c:pt idx="5">
                  <c:v>3</c:v>
                </c:pt>
              </c:numCache>
            </c:numRef>
          </c:val>
          <c:extLst>
            <c:ext xmlns:c16="http://schemas.microsoft.com/office/drawing/2014/chart" uri="{C3380CC4-5D6E-409C-BE32-E72D297353CC}">
              <c16:uniqueId val="{00000000-76EA-4722-97BF-FF2ED5A0108C}"/>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Sectors!$R$6:$R$11</c:f>
              <c:numCache>
                <c:formatCode>General</c:formatCode>
                <c:ptCount val="6"/>
                <c:pt idx="0">
                  <c:v>8</c:v>
                </c:pt>
                <c:pt idx="1">
                  <c:v>4</c:v>
                </c:pt>
                <c:pt idx="2">
                  <c:v>9</c:v>
                </c:pt>
                <c:pt idx="3">
                  <c:v>11</c:v>
                </c:pt>
                <c:pt idx="4">
                  <c:v>5</c:v>
                </c:pt>
                <c:pt idx="5">
                  <c:v>11</c:v>
                </c:pt>
              </c:numCache>
            </c:numRef>
          </c:val>
          <c:extLst>
            <c:ext xmlns:c16="http://schemas.microsoft.com/office/drawing/2014/chart" uri="{C3380CC4-5D6E-409C-BE32-E72D297353CC}">
              <c16:uniqueId val="{00000000-A727-4D5C-A573-AA85BA431BE8}"/>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Sectors!$S$6:$S$11</c:f>
              <c:numCache>
                <c:formatCode>General</c:formatCode>
                <c:ptCount val="6"/>
                <c:pt idx="0">
                  <c:v>6</c:v>
                </c:pt>
                <c:pt idx="1">
                  <c:v>14</c:v>
                </c:pt>
                <c:pt idx="2">
                  <c:v>6</c:v>
                </c:pt>
                <c:pt idx="3">
                  <c:v>13</c:v>
                </c:pt>
                <c:pt idx="4">
                  <c:v>12</c:v>
                </c:pt>
                <c:pt idx="5">
                  <c:v>14</c:v>
                </c:pt>
              </c:numCache>
            </c:numRef>
          </c:val>
          <c:extLst>
            <c:ext xmlns:c16="http://schemas.microsoft.com/office/drawing/2014/chart" uri="{C3380CC4-5D6E-409C-BE32-E72D297353CC}">
              <c16:uniqueId val="{00000000-EF39-49E4-B7D9-A661A7A7CE16}"/>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SectorsBusinessActivity!$B$6:$B$11</c:f>
              <c:numCache>
                <c:formatCode>General</c:formatCode>
                <c:ptCount val="6"/>
                <c:pt idx="0">
                  <c:v>0</c:v>
                </c:pt>
                <c:pt idx="1">
                  <c:v>2</c:v>
                </c:pt>
                <c:pt idx="2">
                  <c:v>3</c:v>
                </c:pt>
                <c:pt idx="3">
                  <c:v>3</c:v>
                </c:pt>
                <c:pt idx="4">
                  <c:v>11</c:v>
                </c:pt>
                <c:pt idx="5">
                  <c:v>-2</c:v>
                </c:pt>
              </c:numCache>
            </c:numRef>
          </c:val>
          <c:extLst>
            <c:ext xmlns:c16="http://schemas.microsoft.com/office/drawing/2014/chart" uri="{C3380CC4-5D6E-409C-BE32-E72D297353CC}">
              <c16:uniqueId val="{00000000-E03E-4408-B135-E423BADF926E}"/>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SectorsBusinessActivity!$C$6:$C$11</c:f>
              <c:numCache>
                <c:formatCode>General</c:formatCode>
                <c:ptCount val="6"/>
                <c:pt idx="0">
                  <c:v>10</c:v>
                </c:pt>
                <c:pt idx="1">
                  <c:v>7</c:v>
                </c:pt>
                <c:pt idx="2">
                  <c:v>8</c:v>
                </c:pt>
                <c:pt idx="3">
                  <c:v>0</c:v>
                </c:pt>
                <c:pt idx="4">
                  <c:v>5</c:v>
                </c:pt>
                <c:pt idx="5">
                  <c:v>11</c:v>
                </c:pt>
              </c:numCache>
            </c:numRef>
          </c:val>
          <c:extLst>
            <c:ext xmlns:c16="http://schemas.microsoft.com/office/drawing/2014/chart" uri="{C3380CC4-5D6E-409C-BE32-E72D297353CC}">
              <c16:uniqueId val="{00000000-E586-4823-8102-92BE4A62A645}"/>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SectorsBusinessActivity!$D$6:$D$11</c:f>
              <c:numCache>
                <c:formatCode>General</c:formatCode>
                <c:ptCount val="6"/>
                <c:pt idx="0">
                  <c:v>-1</c:v>
                </c:pt>
                <c:pt idx="1">
                  <c:v>-1</c:v>
                </c:pt>
                <c:pt idx="2">
                  <c:v>11</c:v>
                </c:pt>
                <c:pt idx="3">
                  <c:v>0</c:v>
                </c:pt>
                <c:pt idx="4">
                  <c:v>0</c:v>
                </c:pt>
                <c:pt idx="5">
                  <c:v>0</c:v>
                </c:pt>
              </c:numCache>
            </c:numRef>
          </c:val>
          <c:extLst>
            <c:ext xmlns:c16="http://schemas.microsoft.com/office/drawing/2014/chart" uri="{C3380CC4-5D6E-409C-BE32-E72D297353CC}">
              <c16:uniqueId val="{00000000-291C-4E90-9F99-BFEF8218C9D9}"/>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SectorsBusinessActivity!$E$6:$E$11</c:f>
              <c:numCache>
                <c:formatCode>General</c:formatCode>
                <c:ptCount val="6"/>
                <c:pt idx="0">
                  <c:v>0</c:v>
                </c:pt>
                <c:pt idx="1">
                  <c:v>12</c:v>
                </c:pt>
                <c:pt idx="2">
                  <c:v>5</c:v>
                </c:pt>
                <c:pt idx="3">
                  <c:v>10</c:v>
                </c:pt>
                <c:pt idx="4">
                  <c:v>-3</c:v>
                </c:pt>
                <c:pt idx="5">
                  <c:v>9</c:v>
                </c:pt>
              </c:numCache>
            </c:numRef>
          </c:val>
          <c:extLst>
            <c:ext xmlns:c16="http://schemas.microsoft.com/office/drawing/2014/chart" uri="{C3380CC4-5D6E-409C-BE32-E72D297353CC}">
              <c16:uniqueId val="{00000000-BD8E-4FE6-A35C-F2F1E1FEF2B1}"/>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SectorsBusinessActivity!$F$6:$F$11</c:f>
              <c:numCache>
                <c:formatCode>General</c:formatCode>
                <c:ptCount val="6"/>
                <c:pt idx="0">
                  <c:v>2</c:v>
                </c:pt>
                <c:pt idx="1">
                  <c:v>9</c:v>
                </c:pt>
                <c:pt idx="2">
                  <c:v>1</c:v>
                </c:pt>
                <c:pt idx="3">
                  <c:v>6</c:v>
                </c:pt>
                <c:pt idx="4">
                  <c:v>9</c:v>
                </c:pt>
                <c:pt idx="5">
                  <c:v>5</c:v>
                </c:pt>
              </c:numCache>
            </c:numRef>
          </c:val>
          <c:extLst>
            <c:ext xmlns:c16="http://schemas.microsoft.com/office/drawing/2014/chart" uri="{C3380CC4-5D6E-409C-BE32-E72D297353CC}">
              <c16:uniqueId val="{00000000-54BA-4F15-B381-F850BA4CFBAB}"/>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SectorsBusinessActivity!$G$6:$G$11</c:f>
              <c:numCache>
                <c:formatCode>General</c:formatCode>
                <c:ptCount val="6"/>
                <c:pt idx="0">
                  <c:v>-2</c:v>
                </c:pt>
                <c:pt idx="1">
                  <c:v>-2</c:v>
                </c:pt>
                <c:pt idx="2">
                  <c:v>7</c:v>
                </c:pt>
                <c:pt idx="3">
                  <c:v>12</c:v>
                </c:pt>
                <c:pt idx="4">
                  <c:v>8</c:v>
                </c:pt>
                <c:pt idx="5">
                  <c:v>6</c:v>
                </c:pt>
              </c:numCache>
            </c:numRef>
          </c:val>
          <c:extLst>
            <c:ext xmlns:c16="http://schemas.microsoft.com/office/drawing/2014/chart" uri="{C3380CC4-5D6E-409C-BE32-E72D297353CC}">
              <c16:uniqueId val="{00000000-AFAD-40FC-B17E-CADB40291339}"/>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SectorsBusinessActivity!$H$6:$H$11</c:f>
              <c:numCache>
                <c:formatCode>General</c:formatCode>
                <c:ptCount val="6"/>
                <c:pt idx="0">
                  <c:v>1</c:v>
                </c:pt>
                <c:pt idx="1">
                  <c:v>8</c:v>
                </c:pt>
                <c:pt idx="2">
                  <c:v>4</c:v>
                </c:pt>
                <c:pt idx="3">
                  <c:v>0</c:v>
                </c:pt>
                <c:pt idx="4">
                  <c:v>3</c:v>
                </c:pt>
                <c:pt idx="5">
                  <c:v>2</c:v>
                </c:pt>
              </c:numCache>
            </c:numRef>
          </c:val>
          <c:extLst>
            <c:ext xmlns:c16="http://schemas.microsoft.com/office/drawing/2014/chart" uri="{C3380CC4-5D6E-409C-BE32-E72D297353CC}">
              <c16:uniqueId val="{00000000-057B-4637-89ED-CA6B304E0AEB}"/>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SectorsBusinessActivity!$I$6:$I$11</c:f>
              <c:numCache>
                <c:formatCode>General</c:formatCode>
                <c:ptCount val="6"/>
                <c:pt idx="0">
                  <c:v>11</c:v>
                </c:pt>
                <c:pt idx="1">
                  <c:v>5</c:v>
                </c:pt>
                <c:pt idx="2">
                  <c:v>-2</c:v>
                </c:pt>
                <c:pt idx="3">
                  <c:v>13</c:v>
                </c:pt>
                <c:pt idx="4">
                  <c:v>-4</c:v>
                </c:pt>
                <c:pt idx="5">
                  <c:v>0</c:v>
                </c:pt>
              </c:numCache>
            </c:numRef>
          </c:val>
          <c:extLst>
            <c:ext xmlns:c16="http://schemas.microsoft.com/office/drawing/2014/chart" uri="{C3380CC4-5D6E-409C-BE32-E72D297353CC}">
              <c16:uniqueId val="{00000000-D695-418F-BAFD-B66B81052F1A}"/>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SectorsBusinessActivity!$J$6:$J$11</c:f>
              <c:numCache>
                <c:formatCode>General</c:formatCode>
                <c:ptCount val="6"/>
                <c:pt idx="0">
                  <c:v>5</c:v>
                </c:pt>
                <c:pt idx="1">
                  <c:v>1</c:v>
                </c:pt>
                <c:pt idx="2">
                  <c:v>9</c:v>
                </c:pt>
                <c:pt idx="3">
                  <c:v>2</c:v>
                </c:pt>
                <c:pt idx="4">
                  <c:v>4</c:v>
                </c:pt>
                <c:pt idx="5">
                  <c:v>-4</c:v>
                </c:pt>
              </c:numCache>
            </c:numRef>
          </c:val>
          <c:extLst>
            <c:ext xmlns:c16="http://schemas.microsoft.com/office/drawing/2014/chart" uri="{C3380CC4-5D6E-409C-BE32-E72D297353CC}">
              <c16:uniqueId val="{00000000-0CBE-4171-A707-39A5F5EB960F}"/>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SectorsBusinessActivity!$K$6:$K$11</c:f>
              <c:numCache>
                <c:formatCode>General</c:formatCode>
                <c:ptCount val="6"/>
                <c:pt idx="0">
                  <c:v>0</c:v>
                </c:pt>
                <c:pt idx="1">
                  <c:v>14</c:v>
                </c:pt>
                <c:pt idx="2">
                  <c:v>15</c:v>
                </c:pt>
                <c:pt idx="3">
                  <c:v>11</c:v>
                </c:pt>
                <c:pt idx="4">
                  <c:v>10</c:v>
                </c:pt>
                <c:pt idx="5">
                  <c:v>-3</c:v>
                </c:pt>
              </c:numCache>
            </c:numRef>
          </c:val>
          <c:extLst>
            <c:ext xmlns:c16="http://schemas.microsoft.com/office/drawing/2014/chart" uri="{C3380CC4-5D6E-409C-BE32-E72D297353CC}">
              <c16:uniqueId val="{00000000-6507-497A-9091-7B0CEA25EEEF}"/>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SectorsBusinessActivity!$L$6:$L$11</c:f>
              <c:numCache>
                <c:formatCode>General</c:formatCode>
                <c:ptCount val="6"/>
                <c:pt idx="0">
                  <c:v>7</c:v>
                </c:pt>
                <c:pt idx="1">
                  <c:v>0</c:v>
                </c:pt>
                <c:pt idx="2">
                  <c:v>13</c:v>
                </c:pt>
                <c:pt idx="3">
                  <c:v>8</c:v>
                </c:pt>
                <c:pt idx="4">
                  <c:v>1</c:v>
                </c:pt>
                <c:pt idx="5">
                  <c:v>4</c:v>
                </c:pt>
              </c:numCache>
            </c:numRef>
          </c:val>
          <c:extLst>
            <c:ext xmlns:c16="http://schemas.microsoft.com/office/drawing/2014/chart" uri="{C3380CC4-5D6E-409C-BE32-E72D297353CC}">
              <c16:uniqueId val="{00000000-0BAA-4C4A-9C31-38835A22710B}"/>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SectorsBusinessActivity!$M$6:$M$11</c:f>
              <c:numCache>
                <c:formatCode>General</c:formatCode>
                <c:ptCount val="6"/>
                <c:pt idx="0">
                  <c:v>6</c:v>
                </c:pt>
                <c:pt idx="1">
                  <c:v>10</c:v>
                </c:pt>
                <c:pt idx="2">
                  <c:v>2</c:v>
                </c:pt>
                <c:pt idx="3">
                  <c:v>1</c:v>
                </c:pt>
                <c:pt idx="4">
                  <c:v>-2</c:v>
                </c:pt>
                <c:pt idx="5">
                  <c:v>1</c:v>
                </c:pt>
              </c:numCache>
            </c:numRef>
          </c:val>
          <c:extLst>
            <c:ext xmlns:c16="http://schemas.microsoft.com/office/drawing/2014/chart" uri="{C3380CC4-5D6E-409C-BE32-E72D297353CC}">
              <c16:uniqueId val="{00000000-D7EA-458B-97A1-395F058C3A65}"/>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SectorsBusinessActivity!$N$6:$N$11</c:f>
              <c:numCache>
                <c:formatCode>General</c:formatCode>
                <c:ptCount val="6"/>
                <c:pt idx="0">
                  <c:v>4</c:v>
                </c:pt>
                <c:pt idx="1">
                  <c:v>4</c:v>
                </c:pt>
                <c:pt idx="2">
                  <c:v>0</c:v>
                </c:pt>
                <c:pt idx="3">
                  <c:v>9</c:v>
                </c:pt>
                <c:pt idx="4">
                  <c:v>7</c:v>
                </c:pt>
                <c:pt idx="5">
                  <c:v>10</c:v>
                </c:pt>
              </c:numCache>
            </c:numRef>
          </c:val>
          <c:extLst>
            <c:ext xmlns:c16="http://schemas.microsoft.com/office/drawing/2014/chart" uri="{C3380CC4-5D6E-409C-BE32-E72D297353CC}">
              <c16:uniqueId val="{00000000-9EBD-4BB5-AD08-15AF517FC6F6}"/>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SectorsBusinessActivity!$O$6:$O$11</c:f>
              <c:numCache>
                <c:formatCode>General</c:formatCode>
                <c:ptCount val="6"/>
                <c:pt idx="0">
                  <c:v>3</c:v>
                </c:pt>
                <c:pt idx="1">
                  <c:v>3</c:v>
                </c:pt>
                <c:pt idx="2">
                  <c:v>6</c:v>
                </c:pt>
                <c:pt idx="3">
                  <c:v>4</c:v>
                </c:pt>
                <c:pt idx="4">
                  <c:v>0</c:v>
                </c:pt>
                <c:pt idx="5">
                  <c:v>3</c:v>
                </c:pt>
              </c:numCache>
            </c:numRef>
          </c:val>
          <c:extLst>
            <c:ext xmlns:c16="http://schemas.microsoft.com/office/drawing/2014/chart" uri="{C3380CC4-5D6E-409C-BE32-E72D297353CC}">
              <c16:uniqueId val="{00000000-7BF7-4CF7-9697-D9946D85848F}"/>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SectorsBusinessActivity!$P$6:$P$11</c:f>
              <c:numCache>
                <c:formatCode>General</c:formatCode>
                <c:ptCount val="6"/>
                <c:pt idx="0">
                  <c:v>-3</c:v>
                </c:pt>
                <c:pt idx="1">
                  <c:v>6</c:v>
                </c:pt>
                <c:pt idx="2">
                  <c:v>14</c:v>
                </c:pt>
                <c:pt idx="3">
                  <c:v>7</c:v>
                </c:pt>
                <c:pt idx="4">
                  <c:v>0</c:v>
                </c:pt>
                <c:pt idx="5">
                  <c:v>12</c:v>
                </c:pt>
              </c:numCache>
            </c:numRef>
          </c:val>
          <c:extLst>
            <c:ext xmlns:c16="http://schemas.microsoft.com/office/drawing/2014/chart" uri="{C3380CC4-5D6E-409C-BE32-E72D297353CC}">
              <c16:uniqueId val="{00000000-F0AC-4F51-802A-4D3F85E7E525}"/>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SectorsBusinessActivity!$Q$6:$Q$11</c:f>
              <c:numCache>
                <c:formatCode>General</c:formatCode>
                <c:ptCount val="6"/>
                <c:pt idx="0">
                  <c:v>9</c:v>
                </c:pt>
                <c:pt idx="1">
                  <c:v>13</c:v>
                </c:pt>
                <c:pt idx="2">
                  <c:v>12</c:v>
                </c:pt>
                <c:pt idx="3">
                  <c:v>5</c:v>
                </c:pt>
                <c:pt idx="4">
                  <c:v>-1</c:v>
                </c:pt>
                <c:pt idx="5">
                  <c:v>-1</c:v>
                </c:pt>
              </c:numCache>
            </c:numRef>
          </c:val>
          <c:extLst>
            <c:ext xmlns:c16="http://schemas.microsoft.com/office/drawing/2014/chart" uri="{C3380CC4-5D6E-409C-BE32-E72D297353CC}">
              <c16:uniqueId val="{00000000-77CE-466B-A9AC-745833ABB97A}"/>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SectorsBusinessActivity!$R$6:$R$11</c:f>
              <c:numCache>
                <c:formatCode>General</c:formatCode>
                <c:ptCount val="6"/>
                <c:pt idx="0">
                  <c:v>8</c:v>
                </c:pt>
                <c:pt idx="1">
                  <c:v>11</c:v>
                </c:pt>
                <c:pt idx="2">
                  <c:v>10</c:v>
                </c:pt>
                <c:pt idx="3">
                  <c:v>0</c:v>
                </c:pt>
                <c:pt idx="4">
                  <c:v>2</c:v>
                </c:pt>
                <c:pt idx="5">
                  <c:v>7</c:v>
                </c:pt>
              </c:numCache>
            </c:numRef>
          </c:val>
          <c:extLst>
            <c:ext xmlns:c16="http://schemas.microsoft.com/office/drawing/2014/chart" uri="{C3380CC4-5D6E-409C-BE32-E72D297353CC}">
              <c16:uniqueId val="{00000000-9889-4785-80EA-222E212890B4}"/>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44774</c:v>
                </c:pt>
                <c:pt idx="1">
                  <c:v>44805</c:v>
                </c:pt>
                <c:pt idx="2">
                  <c:v>44835</c:v>
                </c:pt>
                <c:pt idx="3">
                  <c:v>44866</c:v>
                </c:pt>
                <c:pt idx="4">
                  <c:v>44896</c:v>
                </c:pt>
                <c:pt idx="5">
                  <c:v>44927</c:v>
                </c:pt>
              </c:numCache>
            </c:numRef>
          </c:cat>
          <c:val>
            <c:numRef>
              <c:f>SectorsBusinessActivity!$S$6:$S$11</c:f>
              <c:numCache>
                <c:formatCode>General</c:formatCode>
                <c:ptCount val="6"/>
                <c:pt idx="0">
                  <c:v>0</c:v>
                </c:pt>
                <c:pt idx="1">
                  <c:v>0</c:v>
                </c:pt>
                <c:pt idx="2">
                  <c:v>-1</c:v>
                </c:pt>
                <c:pt idx="3">
                  <c:v>0</c:v>
                </c:pt>
                <c:pt idx="4">
                  <c:v>6</c:v>
                </c:pt>
                <c:pt idx="5">
                  <c:v>8</c:v>
                </c:pt>
              </c:numCache>
            </c:numRef>
          </c:val>
          <c:extLst>
            <c:ext xmlns:c16="http://schemas.microsoft.com/office/drawing/2014/chart" uri="{C3380CC4-5D6E-409C-BE32-E72D297353CC}">
              <c16:uniqueId val="{00000000-8AD2-44FB-A3E9-D78054469224}"/>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SectorsNewOrders!$B$6:$B$11</c:f>
              <c:numCache>
                <c:formatCode>General</c:formatCode>
                <c:ptCount val="6"/>
                <c:pt idx="0">
                  <c:v>5</c:v>
                </c:pt>
                <c:pt idx="1">
                  <c:v>11</c:v>
                </c:pt>
                <c:pt idx="2">
                  <c:v>8</c:v>
                </c:pt>
                <c:pt idx="3">
                  <c:v>10</c:v>
                </c:pt>
                <c:pt idx="4">
                  <c:v>2</c:v>
                </c:pt>
                <c:pt idx="5">
                  <c:v>0</c:v>
                </c:pt>
              </c:numCache>
            </c:numRef>
          </c:val>
          <c:extLst>
            <c:ext xmlns:c16="http://schemas.microsoft.com/office/drawing/2014/chart" uri="{C3380CC4-5D6E-409C-BE32-E72D297353CC}">
              <c16:uniqueId val="{00000000-2A1F-4024-B768-5ACF450746CA}"/>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SectorsNewOrders!$C$6:$C$11</c:f>
              <c:numCache>
                <c:formatCode>General</c:formatCode>
                <c:ptCount val="6"/>
                <c:pt idx="0">
                  <c:v>9</c:v>
                </c:pt>
                <c:pt idx="1">
                  <c:v>1</c:v>
                </c:pt>
                <c:pt idx="2">
                  <c:v>3</c:v>
                </c:pt>
                <c:pt idx="3">
                  <c:v>1</c:v>
                </c:pt>
                <c:pt idx="4">
                  <c:v>1</c:v>
                </c:pt>
                <c:pt idx="5">
                  <c:v>9</c:v>
                </c:pt>
              </c:numCache>
            </c:numRef>
          </c:val>
          <c:extLst>
            <c:ext xmlns:c16="http://schemas.microsoft.com/office/drawing/2014/chart" uri="{C3380CC4-5D6E-409C-BE32-E72D297353CC}">
              <c16:uniqueId val="{00000000-AAE8-4E42-9F47-707443536C05}"/>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SectorsNewOrders!$D$6:$D$11</c:f>
              <c:numCache>
                <c:formatCode>General</c:formatCode>
                <c:ptCount val="6"/>
                <c:pt idx="0">
                  <c:v>0</c:v>
                </c:pt>
                <c:pt idx="1">
                  <c:v>-2</c:v>
                </c:pt>
                <c:pt idx="2">
                  <c:v>0</c:v>
                </c:pt>
                <c:pt idx="3">
                  <c:v>0</c:v>
                </c:pt>
                <c:pt idx="4">
                  <c:v>-7</c:v>
                </c:pt>
                <c:pt idx="5">
                  <c:v>0</c:v>
                </c:pt>
              </c:numCache>
            </c:numRef>
          </c:val>
          <c:extLst>
            <c:ext xmlns:c16="http://schemas.microsoft.com/office/drawing/2014/chart" uri="{C3380CC4-5D6E-409C-BE32-E72D297353CC}">
              <c16:uniqueId val="{00000000-C83A-4C95-A350-594551A6038C}"/>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SectorsNewOrders!$E$6:$E$11</c:f>
              <c:numCache>
                <c:formatCode>General</c:formatCode>
                <c:ptCount val="6"/>
                <c:pt idx="0">
                  <c:v>0</c:v>
                </c:pt>
                <c:pt idx="1">
                  <c:v>12</c:v>
                </c:pt>
                <c:pt idx="2">
                  <c:v>11</c:v>
                </c:pt>
                <c:pt idx="3">
                  <c:v>11</c:v>
                </c:pt>
                <c:pt idx="4">
                  <c:v>-6</c:v>
                </c:pt>
                <c:pt idx="5">
                  <c:v>8</c:v>
                </c:pt>
              </c:numCache>
            </c:numRef>
          </c:val>
          <c:extLst>
            <c:ext xmlns:c16="http://schemas.microsoft.com/office/drawing/2014/chart" uri="{C3380CC4-5D6E-409C-BE32-E72D297353CC}">
              <c16:uniqueId val="{00000000-7928-4D3E-9B50-1236F88279CD}"/>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SectorsNewOrders!$F$6:$F$11</c:f>
              <c:numCache>
                <c:formatCode>General</c:formatCode>
                <c:ptCount val="6"/>
                <c:pt idx="0">
                  <c:v>4</c:v>
                </c:pt>
                <c:pt idx="1">
                  <c:v>5</c:v>
                </c:pt>
                <c:pt idx="2">
                  <c:v>1</c:v>
                </c:pt>
                <c:pt idx="3">
                  <c:v>4</c:v>
                </c:pt>
                <c:pt idx="4">
                  <c:v>0</c:v>
                </c:pt>
                <c:pt idx="5">
                  <c:v>1</c:v>
                </c:pt>
              </c:numCache>
            </c:numRef>
          </c:val>
          <c:extLst>
            <c:ext xmlns:c16="http://schemas.microsoft.com/office/drawing/2014/chart" uri="{C3380CC4-5D6E-409C-BE32-E72D297353CC}">
              <c16:uniqueId val="{00000000-E6E4-4F29-8FB5-3C6D9062AE67}"/>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SectorsNewOrders!$G$6:$G$11</c:f>
              <c:numCache>
                <c:formatCode>General</c:formatCode>
                <c:ptCount val="6"/>
                <c:pt idx="0">
                  <c:v>0</c:v>
                </c:pt>
                <c:pt idx="1">
                  <c:v>0</c:v>
                </c:pt>
                <c:pt idx="2">
                  <c:v>7</c:v>
                </c:pt>
                <c:pt idx="3">
                  <c:v>9</c:v>
                </c:pt>
                <c:pt idx="4">
                  <c:v>0</c:v>
                </c:pt>
                <c:pt idx="5">
                  <c:v>10</c:v>
                </c:pt>
              </c:numCache>
            </c:numRef>
          </c:val>
          <c:extLst>
            <c:ext xmlns:c16="http://schemas.microsoft.com/office/drawing/2014/chart" uri="{C3380CC4-5D6E-409C-BE32-E72D297353CC}">
              <c16:uniqueId val="{00000000-FFF0-4AAB-8CB3-B345BF0E5B24}"/>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SectorsNewOrders!$H$6:$H$11</c:f>
              <c:numCache>
                <c:formatCode>General</c:formatCode>
                <c:ptCount val="6"/>
                <c:pt idx="0">
                  <c:v>2</c:v>
                </c:pt>
                <c:pt idx="1">
                  <c:v>2</c:v>
                </c:pt>
                <c:pt idx="2">
                  <c:v>4</c:v>
                </c:pt>
                <c:pt idx="3">
                  <c:v>0</c:v>
                </c:pt>
                <c:pt idx="4">
                  <c:v>0</c:v>
                </c:pt>
                <c:pt idx="5">
                  <c:v>2</c:v>
                </c:pt>
              </c:numCache>
            </c:numRef>
          </c:val>
          <c:extLst>
            <c:ext xmlns:c16="http://schemas.microsoft.com/office/drawing/2014/chart" uri="{C3380CC4-5D6E-409C-BE32-E72D297353CC}">
              <c16:uniqueId val="{00000000-8CB7-4DFE-9283-715872C047A2}"/>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SectorsNewOrders!$I$6:$I$11</c:f>
              <c:numCache>
                <c:formatCode>General</c:formatCode>
                <c:ptCount val="6"/>
                <c:pt idx="0">
                  <c:v>8</c:v>
                </c:pt>
                <c:pt idx="1">
                  <c:v>9</c:v>
                </c:pt>
                <c:pt idx="2">
                  <c:v>-2</c:v>
                </c:pt>
                <c:pt idx="3">
                  <c:v>12</c:v>
                </c:pt>
                <c:pt idx="4">
                  <c:v>-8</c:v>
                </c:pt>
                <c:pt idx="5">
                  <c:v>4</c:v>
                </c:pt>
              </c:numCache>
            </c:numRef>
          </c:val>
          <c:extLst>
            <c:ext xmlns:c16="http://schemas.microsoft.com/office/drawing/2014/chart" uri="{C3380CC4-5D6E-409C-BE32-E72D297353CC}">
              <c16:uniqueId val="{00000000-30E7-4DE7-AE68-ED2DC7B5CF48}"/>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SectorsNewOrders!$J$6:$J$11</c:f>
              <c:numCache>
                <c:formatCode>General</c:formatCode>
                <c:ptCount val="6"/>
                <c:pt idx="0">
                  <c:v>0</c:v>
                </c:pt>
                <c:pt idx="1">
                  <c:v>-1</c:v>
                </c:pt>
                <c:pt idx="2">
                  <c:v>10</c:v>
                </c:pt>
                <c:pt idx="3">
                  <c:v>5</c:v>
                </c:pt>
                <c:pt idx="4">
                  <c:v>0</c:v>
                </c:pt>
                <c:pt idx="5">
                  <c:v>-4</c:v>
                </c:pt>
              </c:numCache>
            </c:numRef>
          </c:val>
          <c:extLst>
            <c:ext xmlns:c16="http://schemas.microsoft.com/office/drawing/2014/chart" uri="{C3380CC4-5D6E-409C-BE32-E72D297353CC}">
              <c16:uniqueId val="{00000000-1288-485B-B8A9-ADEE8B7F0D62}"/>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SectorsNewOrders!$K$6:$K$11</c:f>
              <c:numCache>
                <c:formatCode>General</c:formatCode>
                <c:ptCount val="6"/>
                <c:pt idx="0">
                  <c:v>11</c:v>
                </c:pt>
                <c:pt idx="1">
                  <c:v>13</c:v>
                </c:pt>
                <c:pt idx="2">
                  <c:v>13</c:v>
                </c:pt>
                <c:pt idx="3">
                  <c:v>7</c:v>
                </c:pt>
                <c:pt idx="4">
                  <c:v>0</c:v>
                </c:pt>
                <c:pt idx="5">
                  <c:v>-2</c:v>
                </c:pt>
              </c:numCache>
            </c:numRef>
          </c:val>
          <c:extLst>
            <c:ext xmlns:c16="http://schemas.microsoft.com/office/drawing/2014/chart" uri="{C3380CC4-5D6E-409C-BE32-E72D297353CC}">
              <c16:uniqueId val="{00000000-973C-4F55-968E-21BBB6C31308}"/>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SectorsNewOrders!$L$6:$L$11</c:f>
              <c:numCache>
                <c:formatCode>General</c:formatCode>
                <c:ptCount val="6"/>
                <c:pt idx="0">
                  <c:v>0</c:v>
                </c:pt>
                <c:pt idx="1">
                  <c:v>0</c:v>
                </c:pt>
                <c:pt idx="2">
                  <c:v>5</c:v>
                </c:pt>
                <c:pt idx="3">
                  <c:v>3</c:v>
                </c:pt>
                <c:pt idx="4">
                  <c:v>-2</c:v>
                </c:pt>
                <c:pt idx="5">
                  <c:v>0</c:v>
                </c:pt>
              </c:numCache>
            </c:numRef>
          </c:val>
          <c:extLst>
            <c:ext xmlns:c16="http://schemas.microsoft.com/office/drawing/2014/chart" uri="{C3380CC4-5D6E-409C-BE32-E72D297353CC}">
              <c16:uniqueId val="{00000000-32DD-4957-8E7E-240CB3E21464}"/>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SectorsNewOrders!$M$6:$M$11</c:f>
              <c:numCache>
                <c:formatCode>General</c:formatCode>
                <c:ptCount val="6"/>
                <c:pt idx="0">
                  <c:v>6</c:v>
                </c:pt>
                <c:pt idx="1">
                  <c:v>6</c:v>
                </c:pt>
                <c:pt idx="2">
                  <c:v>-1</c:v>
                </c:pt>
                <c:pt idx="3">
                  <c:v>-3</c:v>
                </c:pt>
                <c:pt idx="4">
                  <c:v>-3</c:v>
                </c:pt>
                <c:pt idx="5">
                  <c:v>-1</c:v>
                </c:pt>
              </c:numCache>
            </c:numRef>
          </c:val>
          <c:extLst>
            <c:ext xmlns:c16="http://schemas.microsoft.com/office/drawing/2014/chart" uri="{C3380CC4-5D6E-409C-BE32-E72D297353CC}">
              <c16:uniqueId val="{00000000-BDB1-41E1-85AF-575B6ED3549B}"/>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SectorsNewOrders!$N$6:$N$11</c:f>
              <c:numCache>
                <c:formatCode>General</c:formatCode>
                <c:ptCount val="6"/>
                <c:pt idx="0">
                  <c:v>7</c:v>
                </c:pt>
                <c:pt idx="1">
                  <c:v>7</c:v>
                </c:pt>
                <c:pt idx="2">
                  <c:v>0</c:v>
                </c:pt>
                <c:pt idx="3">
                  <c:v>6</c:v>
                </c:pt>
                <c:pt idx="4">
                  <c:v>0</c:v>
                </c:pt>
                <c:pt idx="5">
                  <c:v>6</c:v>
                </c:pt>
              </c:numCache>
            </c:numRef>
          </c:val>
          <c:extLst>
            <c:ext xmlns:c16="http://schemas.microsoft.com/office/drawing/2014/chart" uri="{C3380CC4-5D6E-409C-BE32-E72D297353CC}">
              <c16:uniqueId val="{00000000-49B5-428A-9E90-B840E016701B}"/>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SectorsNewOrders!$O$6:$O$11</c:f>
              <c:numCache>
                <c:formatCode>General</c:formatCode>
                <c:ptCount val="6"/>
                <c:pt idx="0">
                  <c:v>1</c:v>
                </c:pt>
                <c:pt idx="1">
                  <c:v>3</c:v>
                </c:pt>
                <c:pt idx="2">
                  <c:v>6</c:v>
                </c:pt>
                <c:pt idx="3">
                  <c:v>2</c:v>
                </c:pt>
                <c:pt idx="4">
                  <c:v>-1</c:v>
                </c:pt>
                <c:pt idx="5">
                  <c:v>3</c:v>
                </c:pt>
              </c:numCache>
            </c:numRef>
          </c:val>
          <c:extLst>
            <c:ext xmlns:c16="http://schemas.microsoft.com/office/drawing/2014/chart" uri="{C3380CC4-5D6E-409C-BE32-E72D297353CC}">
              <c16:uniqueId val="{00000000-81BD-4E34-8924-13447F97235F}"/>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SectorsNewOrders!$P$6:$P$11</c:f>
              <c:numCache>
                <c:formatCode>General</c:formatCode>
                <c:ptCount val="6"/>
                <c:pt idx="0">
                  <c:v>-1</c:v>
                </c:pt>
                <c:pt idx="1">
                  <c:v>4</c:v>
                </c:pt>
                <c:pt idx="2">
                  <c:v>9</c:v>
                </c:pt>
                <c:pt idx="3">
                  <c:v>8</c:v>
                </c:pt>
                <c:pt idx="4">
                  <c:v>0</c:v>
                </c:pt>
                <c:pt idx="5">
                  <c:v>11</c:v>
                </c:pt>
              </c:numCache>
            </c:numRef>
          </c:val>
          <c:extLst>
            <c:ext xmlns:c16="http://schemas.microsoft.com/office/drawing/2014/chart" uri="{C3380CC4-5D6E-409C-BE32-E72D297353CC}">
              <c16:uniqueId val="{00000000-A815-4155-8548-BF69C47E1617}"/>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SectorsNewOrders!$Q$6:$Q$11</c:f>
              <c:numCache>
                <c:formatCode>General</c:formatCode>
                <c:ptCount val="6"/>
                <c:pt idx="0">
                  <c:v>10</c:v>
                </c:pt>
                <c:pt idx="1">
                  <c:v>8</c:v>
                </c:pt>
                <c:pt idx="2">
                  <c:v>12</c:v>
                </c:pt>
                <c:pt idx="3">
                  <c:v>-2</c:v>
                </c:pt>
                <c:pt idx="4">
                  <c:v>-5</c:v>
                </c:pt>
                <c:pt idx="5">
                  <c:v>-3</c:v>
                </c:pt>
              </c:numCache>
            </c:numRef>
          </c:val>
          <c:extLst>
            <c:ext xmlns:c16="http://schemas.microsoft.com/office/drawing/2014/chart" uri="{C3380CC4-5D6E-409C-BE32-E72D297353CC}">
              <c16:uniqueId val="{00000000-C8C1-4A6F-A605-FEA76E3AA8F0}"/>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SectorsNewOrders!$R$6:$R$11</c:f>
              <c:numCache>
                <c:formatCode>General</c:formatCode>
                <c:ptCount val="6"/>
                <c:pt idx="0">
                  <c:v>12</c:v>
                </c:pt>
                <c:pt idx="1">
                  <c:v>10</c:v>
                </c:pt>
                <c:pt idx="2">
                  <c:v>2</c:v>
                </c:pt>
                <c:pt idx="3">
                  <c:v>-1</c:v>
                </c:pt>
                <c:pt idx="4">
                  <c:v>-4</c:v>
                </c:pt>
                <c:pt idx="5">
                  <c:v>7</c:v>
                </c:pt>
              </c:numCache>
            </c:numRef>
          </c:val>
          <c:extLst>
            <c:ext xmlns:c16="http://schemas.microsoft.com/office/drawing/2014/chart" uri="{C3380CC4-5D6E-409C-BE32-E72D297353CC}">
              <c16:uniqueId val="{00000000-81D0-480E-97C5-5AB981D3416D}"/>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SectorsNewOrders!$S$6:$S$11</c:f>
              <c:numCache>
                <c:formatCode>General</c:formatCode>
                <c:ptCount val="6"/>
                <c:pt idx="0">
                  <c:v>3</c:v>
                </c:pt>
                <c:pt idx="1">
                  <c:v>0</c:v>
                </c:pt>
                <c:pt idx="2">
                  <c:v>0</c:v>
                </c:pt>
                <c:pt idx="3">
                  <c:v>-4</c:v>
                </c:pt>
                <c:pt idx="4">
                  <c:v>3</c:v>
                </c:pt>
                <c:pt idx="5">
                  <c:v>5</c:v>
                </c:pt>
              </c:numCache>
            </c:numRef>
          </c:val>
          <c:extLst>
            <c:ext xmlns:c16="http://schemas.microsoft.com/office/drawing/2014/chart" uri="{C3380CC4-5D6E-409C-BE32-E72D297353CC}">
              <c16:uniqueId val="{00000000-9AD9-401F-A286-755838ED36FF}"/>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Details!$B$6:$B$314</c:f>
              <c:numCache>
                <c:formatCode>0.00</c:formatCode>
                <c:ptCount val="309"/>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pt idx="305">
                  <c:v>45.2</c:v>
                </c:pt>
                <c:pt idx="306">
                  <c:v>60.4</c:v>
                </c:pt>
              </c:numCache>
            </c:numRef>
          </c:val>
          <c:smooth val="0"/>
          <c:extLst>
            <c:ext xmlns:c16="http://schemas.microsoft.com/office/drawing/2014/chart" uri="{C3380CC4-5D6E-409C-BE32-E72D297353CC}">
              <c16:uniqueId val="{00000000-D254-42D9-8013-FEE1F6220BAA}"/>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Details!$B$6:$B$314</c:f>
              <c:numCache>
                <c:formatCode>0.00</c:formatCode>
                <c:ptCount val="309"/>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pt idx="305">
                  <c:v>45.2</c:v>
                </c:pt>
                <c:pt idx="306">
                  <c:v>60.4</c:v>
                </c:pt>
              </c:numCache>
            </c:numRef>
          </c:val>
          <c:smooth val="0"/>
          <c:extLst>
            <c:ext xmlns:c16="http://schemas.microsoft.com/office/drawing/2014/chart" uri="{C3380CC4-5D6E-409C-BE32-E72D297353CC}">
              <c16:uniqueId val="{00000000-8721-4E5F-9E71-EAB298EC528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Details!$C$6:$C$314</c:f>
              <c:numCache>
                <c:formatCode>General</c:formatCode>
                <c:ptCount val="309"/>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pt idx="303">
                  <c:v>50.4</c:v>
                </c:pt>
                <c:pt idx="304">
                  <c:v>59.5</c:v>
                </c:pt>
                <c:pt idx="305">
                  <c:v>52.7</c:v>
                </c:pt>
                <c:pt idx="306">
                  <c:v>53</c:v>
                </c:pt>
              </c:numCache>
            </c:numRef>
          </c:val>
          <c:smooth val="0"/>
          <c:extLst>
            <c:ext xmlns:c16="http://schemas.microsoft.com/office/drawing/2014/chart" uri="{C3380CC4-5D6E-409C-BE32-E72D297353CC}">
              <c16:uniqueId val="{00000000-310F-4E8D-85BC-869F99235DB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Details!$C$6:$C$314</c:f>
              <c:numCache>
                <c:formatCode>General</c:formatCode>
                <c:ptCount val="309"/>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pt idx="303">
                  <c:v>50.4</c:v>
                </c:pt>
                <c:pt idx="304">
                  <c:v>59.5</c:v>
                </c:pt>
                <c:pt idx="305">
                  <c:v>52.7</c:v>
                </c:pt>
                <c:pt idx="306">
                  <c:v>53</c:v>
                </c:pt>
              </c:numCache>
            </c:numRef>
          </c:val>
          <c:smooth val="0"/>
          <c:extLst>
            <c:ext xmlns:c16="http://schemas.microsoft.com/office/drawing/2014/chart" uri="{C3380CC4-5D6E-409C-BE32-E72D297353CC}">
              <c16:uniqueId val="{00000000-6762-48BF-9CF0-80BE48887002}"/>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Details!$D$6:$D$314</c:f>
              <c:numCache>
                <c:formatCode>General</c:formatCode>
                <c:ptCount val="309"/>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pt idx="303">
                  <c:v>52.2</c:v>
                </c:pt>
                <c:pt idx="304">
                  <c:v>51.8</c:v>
                </c:pt>
                <c:pt idx="305">
                  <c:v>51.5</c:v>
                </c:pt>
                <c:pt idx="306">
                  <c:v>52.9</c:v>
                </c:pt>
              </c:numCache>
            </c:numRef>
          </c:val>
          <c:smooth val="0"/>
          <c:extLst>
            <c:ext xmlns:c16="http://schemas.microsoft.com/office/drawing/2014/chart" uri="{C3380CC4-5D6E-409C-BE32-E72D297353CC}">
              <c16:uniqueId val="{00000000-F1B6-4B56-9949-1818D0B2E866}"/>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Details!$D$6:$D$314</c:f>
              <c:numCache>
                <c:formatCode>General</c:formatCode>
                <c:ptCount val="309"/>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pt idx="303">
                  <c:v>52.2</c:v>
                </c:pt>
                <c:pt idx="304">
                  <c:v>51.8</c:v>
                </c:pt>
                <c:pt idx="305">
                  <c:v>51.5</c:v>
                </c:pt>
                <c:pt idx="306">
                  <c:v>52.9</c:v>
                </c:pt>
              </c:numCache>
            </c:numRef>
          </c:val>
          <c:smooth val="0"/>
          <c:extLst>
            <c:ext xmlns:c16="http://schemas.microsoft.com/office/drawing/2014/chart" uri="{C3380CC4-5D6E-409C-BE32-E72D297353CC}">
              <c16:uniqueId val="{00000000-4E5C-4129-ACD0-D1E6AFB2EDEF}"/>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Details!$E$6:$E$314</c:f>
              <c:numCache>
                <c:formatCode>General</c:formatCode>
                <c:ptCount val="309"/>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pt idx="303">
                  <c:v>70.7</c:v>
                </c:pt>
                <c:pt idx="304">
                  <c:v>70</c:v>
                </c:pt>
                <c:pt idx="305">
                  <c:v>67.599999999999994</c:v>
                </c:pt>
                <c:pt idx="306">
                  <c:v>67.8</c:v>
                </c:pt>
              </c:numCache>
            </c:numRef>
          </c:val>
          <c:smooth val="0"/>
          <c:extLst>
            <c:ext xmlns:c16="http://schemas.microsoft.com/office/drawing/2014/chart" uri="{C3380CC4-5D6E-409C-BE32-E72D297353CC}">
              <c16:uniqueId val="{00000000-2871-4059-AA28-272674866C7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Details!$E$6:$E$314</c:f>
              <c:numCache>
                <c:formatCode>General</c:formatCode>
                <c:ptCount val="309"/>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pt idx="303">
                  <c:v>70.7</c:v>
                </c:pt>
                <c:pt idx="304">
                  <c:v>70</c:v>
                </c:pt>
                <c:pt idx="305">
                  <c:v>67.599999999999994</c:v>
                </c:pt>
                <c:pt idx="306">
                  <c:v>67.8</c:v>
                </c:pt>
              </c:numCache>
            </c:numRef>
          </c:val>
          <c:smooth val="0"/>
          <c:extLst>
            <c:ext xmlns:c16="http://schemas.microsoft.com/office/drawing/2014/chart" uri="{C3380CC4-5D6E-409C-BE32-E72D297353CC}">
              <c16:uniqueId val="{00000000-D419-4E37-9683-1F6D06A94B7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Activity</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Details!$F$6:$F$314</c:f>
              <c:numCache>
                <c:formatCode>General</c:formatCode>
                <c:ptCount val="309"/>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pt idx="303">
                  <c:v>55.7</c:v>
                </c:pt>
                <c:pt idx="304">
                  <c:v>64.7</c:v>
                </c:pt>
                <c:pt idx="305">
                  <c:v>54.7</c:v>
                </c:pt>
                <c:pt idx="306">
                  <c:v>60.4</c:v>
                </c:pt>
              </c:numCache>
            </c:numRef>
          </c:val>
          <c:smooth val="0"/>
          <c:extLst>
            <c:ext xmlns:c16="http://schemas.microsoft.com/office/drawing/2014/chart" uri="{C3380CC4-5D6E-409C-BE32-E72D297353CC}">
              <c16:uniqueId val="{00000000-678A-45F0-A72B-4E4513F9BDB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a:t>
            </a:r>
            <a:r>
              <a:rPr lang="en-SG" baseline="0"/>
              <a:t> Activity</a:t>
            </a:r>
            <a:endParaRPr lang="en-SG"/>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Details!$F$6:$F$314</c:f>
              <c:numCache>
                <c:formatCode>General</c:formatCode>
                <c:ptCount val="309"/>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pt idx="303">
                  <c:v>55.7</c:v>
                </c:pt>
                <c:pt idx="304">
                  <c:v>64.7</c:v>
                </c:pt>
                <c:pt idx="305">
                  <c:v>54.7</c:v>
                </c:pt>
                <c:pt idx="306">
                  <c:v>60.4</c:v>
                </c:pt>
              </c:numCache>
            </c:numRef>
          </c:val>
          <c:smooth val="0"/>
          <c:extLst>
            <c:ext xmlns:c16="http://schemas.microsoft.com/office/drawing/2014/chart" uri="{C3380CC4-5D6E-409C-BE32-E72D297353CC}">
              <c16:uniqueId val="{00000000-80C0-417E-8657-DE6F7BA3660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Details!$G$6:$G$314</c:f>
              <c:numCache>
                <c:formatCode>General</c:formatCode>
                <c:ptCount val="309"/>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pt idx="303">
                  <c:v>46.4</c:v>
                </c:pt>
                <c:pt idx="304">
                  <c:v>44.2</c:v>
                </c:pt>
                <c:pt idx="305">
                  <c:v>55.9</c:v>
                </c:pt>
                <c:pt idx="306">
                  <c:v>55.8</c:v>
                </c:pt>
              </c:numCache>
            </c:numRef>
          </c:val>
          <c:smooth val="0"/>
          <c:extLst>
            <c:ext xmlns:c16="http://schemas.microsoft.com/office/drawing/2014/chart" uri="{C3380CC4-5D6E-409C-BE32-E72D297353CC}">
              <c16:uniqueId val="{00000000-2BA7-4E94-B666-6C1A66EB653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Details!$G$6:$G$314</c:f>
              <c:numCache>
                <c:formatCode>General</c:formatCode>
                <c:ptCount val="309"/>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pt idx="303">
                  <c:v>46.4</c:v>
                </c:pt>
                <c:pt idx="304">
                  <c:v>44.2</c:v>
                </c:pt>
                <c:pt idx="305">
                  <c:v>55.9</c:v>
                </c:pt>
                <c:pt idx="306">
                  <c:v>55.8</c:v>
                </c:pt>
              </c:numCache>
            </c:numRef>
          </c:val>
          <c:smooth val="0"/>
          <c:extLst>
            <c:ext xmlns:c16="http://schemas.microsoft.com/office/drawing/2014/chart" uri="{C3380CC4-5D6E-409C-BE32-E72D297353CC}">
              <c16:uniqueId val="{00000000-5E8F-437C-8539-88CAA98FB05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Details!$H$6:$H$314</c:f>
              <c:numCache>
                <c:formatCode>General</c:formatCode>
                <c:ptCount val="309"/>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pt idx="303">
                  <c:v>47.2</c:v>
                </c:pt>
                <c:pt idx="304">
                  <c:v>47.9</c:v>
                </c:pt>
                <c:pt idx="305">
                  <c:v>45.1</c:v>
                </c:pt>
                <c:pt idx="306">
                  <c:v>49.2</c:v>
                </c:pt>
              </c:numCache>
            </c:numRef>
          </c:val>
          <c:smooth val="0"/>
          <c:extLst>
            <c:ext xmlns:c16="http://schemas.microsoft.com/office/drawing/2014/chart" uri="{C3380CC4-5D6E-409C-BE32-E72D297353CC}">
              <c16:uniqueId val="{00000000-42DD-43EC-B22A-3D20BA105C0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Details!$H$6:$H$314</c:f>
              <c:numCache>
                <c:formatCode>General</c:formatCode>
                <c:ptCount val="309"/>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pt idx="303">
                  <c:v>47.2</c:v>
                </c:pt>
                <c:pt idx="304">
                  <c:v>47.9</c:v>
                </c:pt>
                <c:pt idx="305">
                  <c:v>45.1</c:v>
                </c:pt>
                <c:pt idx="306">
                  <c:v>49.2</c:v>
                </c:pt>
              </c:numCache>
            </c:numRef>
          </c:val>
          <c:smooth val="0"/>
          <c:extLst>
            <c:ext xmlns:c16="http://schemas.microsoft.com/office/drawing/2014/chart" uri="{C3380CC4-5D6E-409C-BE32-E72D297353CC}">
              <c16:uniqueId val="{00000000-BB25-48EC-A3DC-8E4C804FE0B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Details!$I$6:$I$314</c:f>
              <c:numCache>
                <c:formatCode>General</c:formatCode>
                <c:ptCount val="309"/>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pt idx="303">
                  <c:v>56.2</c:v>
                </c:pt>
                <c:pt idx="304">
                  <c:v>53.8</c:v>
                </c:pt>
                <c:pt idx="305">
                  <c:v>48.5</c:v>
                </c:pt>
                <c:pt idx="306">
                  <c:v>50</c:v>
                </c:pt>
              </c:numCache>
            </c:numRef>
          </c:val>
          <c:smooth val="0"/>
          <c:extLst>
            <c:ext xmlns:c16="http://schemas.microsoft.com/office/drawing/2014/chart" uri="{C3380CC4-5D6E-409C-BE32-E72D297353CC}">
              <c16:uniqueId val="{00000000-66FA-4D69-A128-B7573998045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Details!$I$6:$I$314</c:f>
              <c:numCache>
                <c:formatCode>General</c:formatCode>
                <c:ptCount val="309"/>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pt idx="303">
                  <c:v>56.2</c:v>
                </c:pt>
                <c:pt idx="304">
                  <c:v>53.8</c:v>
                </c:pt>
                <c:pt idx="305">
                  <c:v>48.5</c:v>
                </c:pt>
                <c:pt idx="306">
                  <c:v>50</c:v>
                </c:pt>
              </c:numCache>
            </c:numRef>
          </c:val>
          <c:smooth val="0"/>
          <c:extLst>
            <c:ext xmlns:c16="http://schemas.microsoft.com/office/drawing/2014/chart" uri="{C3380CC4-5D6E-409C-BE32-E72D297353CC}">
              <c16:uniqueId val="{00000000-D13A-48FF-8AA6-B2D4BD87B87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Details!$J$6:$J$314</c:f>
              <c:numCache>
                <c:formatCode>General</c:formatCode>
                <c:ptCount val="309"/>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pt idx="303">
                  <c:v>49.1</c:v>
                </c:pt>
                <c:pt idx="304">
                  <c:v>51.5</c:v>
                </c:pt>
                <c:pt idx="305">
                  <c:v>49.8</c:v>
                </c:pt>
                <c:pt idx="306">
                  <c:v>50</c:v>
                </c:pt>
              </c:numCache>
            </c:numRef>
          </c:val>
          <c:smooth val="0"/>
          <c:extLst>
            <c:ext xmlns:c16="http://schemas.microsoft.com/office/drawing/2014/chart" uri="{C3380CC4-5D6E-409C-BE32-E72D297353CC}">
              <c16:uniqueId val="{00000000-4ECF-46BB-80B3-C09E4E7788EA}"/>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Details!$J$6:$J$314</c:f>
              <c:numCache>
                <c:formatCode>General</c:formatCode>
                <c:ptCount val="309"/>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pt idx="303">
                  <c:v>49.1</c:v>
                </c:pt>
                <c:pt idx="304">
                  <c:v>51.5</c:v>
                </c:pt>
                <c:pt idx="305">
                  <c:v>49.8</c:v>
                </c:pt>
                <c:pt idx="306">
                  <c:v>50</c:v>
                </c:pt>
              </c:numCache>
            </c:numRef>
          </c:val>
          <c:smooth val="0"/>
          <c:extLst>
            <c:ext xmlns:c16="http://schemas.microsoft.com/office/drawing/2014/chart" uri="{C3380CC4-5D6E-409C-BE32-E72D297353CC}">
              <c16:uniqueId val="{00000000-C1DB-4E37-9B81-0CF3C5211A3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Details!$K$6:$K$314</c:f>
              <c:numCache>
                <c:formatCode>General</c:formatCode>
                <c:ptCount val="309"/>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pt idx="303">
                  <c:v>47.7</c:v>
                </c:pt>
                <c:pt idx="304">
                  <c:v>38.4</c:v>
                </c:pt>
                <c:pt idx="305">
                  <c:v>47.7</c:v>
                </c:pt>
                <c:pt idx="306">
                  <c:v>59</c:v>
                </c:pt>
              </c:numCache>
            </c:numRef>
          </c:val>
          <c:smooth val="0"/>
          <c:extLst>
            <c:ext xmlns:c16="http://schemas.microsoft.com/office/drawing/2014/chart" uri="{C3380CC4-5D6E-409C-BE32-E72D297353CC}">
              <c16:uniqueId val="{00000000-CF6A-45A4-B0DB-38B8B6D1A87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Details!$A$6:$A$314</c:f>
              <c:numCache>
                <c:formatCode>m/d/yyyy</c:formatCode>
                <c:ptCount val="309"/>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Details!$K$6:$K$314</c:f>
              <c:numCache>
                <c:formatCode>General</c:formatCode>
                <c:ptCount val="309"/>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pt idx="303">
                  <c:v>47.7</c:v>
                </c:pt>
                <c:pt idx="304">
                  <c:v>38.4</c:v>
                </c:pt>
                <c:pt idx="305">
                  <c:v>47.7</c:v>
                </c:pt>
                <c:pt idx="306">
                  <c:v>59</c:v>
                </c:pt>
              </c:numCache>
            </c:numRef>
          </c:val>
          <c:smooth val="0"/>
          <c:extLst>
            <c:ext xmlns:c16="http://schemas.microsoft.com/office/drawing/2014/chart" uri="{C3380CC4-5D6E-409C-BE32-E72D297353CC}">
              <c16:uniqueId val="{00000000-3979-4A95-81C4-2753053842E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'ISM Services vs GDP'!$C$6:$C$312</c:f>
              <c:numCache>
                <c:formatCode>0.00%</c:formatCode>
                <c:ptCount val="307"/>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0.12226677108077</c:v>
                </c:pt>
                <c:pt idx="286">
                  <c:v>0.12226677108077</c:v>
                </c:pt>
                <c:pt idx="287">
                  <c:v>0.12226677108077</c:v>
                </c:pt>
                <c:pt idx="288">
                  <c:v>4.9465555692882128E-2</c:v>
                </c:pt>
                <c:pt idx="289">
                  <c:v>4.9465555692882128E-2</c:v>
                </c:pt>
                <c:pt idx="290">
                  <c:v>4.9465555692882128E-2</c:v>
                </c:pt>
                <c:pt idx="291">
                  <c:v>5.5317363621841711E-2</c:v>
                </c:pt>
                <c:pt idx="292">
                  <c:v>5.5317363621841711E-2</c:v>
                </c:pt>
                <c:pt idx="293">
                  <c:v>5.5317363621841711E-2</c:v>
                </c:pt>
                <c:pt idx="294">
                  <c:v>5.5317363621841711E-2</c:v>
                </c:pt>
                <c:pt idx="295">
                  <c:v>5.5317363621841711E-2</c:v>
                </c:pt>
                <c:pt idx="296">
                  <c:v>5.5317363621841711E-2</c:v>
                </c:pt>
                <c:pt idx="297">
                  <c:v>5.5317363621841711E-2</c:v>
                </c:pt>
                <c:pt idx="298">
                  <c:v>5.5317363621841711E-2</c:v>
                </c:pt>
                <c:pt idx="299">
                  <c:v>5.5317363621841711E-2</c:v>
                </c:pt>
                <c:pt idx="300">
                  <c:v>5.5317363621841711E-2</c:v>
                </c:pt>
                <c:pt idx="301">
                  <c:v>5.5317363621841711E-2</c:v>
                </c:pt>
                <c:pt idx="302">
                  <c:v>5.5317363621841711E-2</c:v>
                </c:pt>
                <c:pt idx="303">
                  <c:v>5.5317363621841711E-2</c:v>
                </c:pt>
                <c:pt idx="304">
                  <c:v>5.5317363621841711E-2</c:v>
                </c:pt>
                <c:pt idx="305">
                  <c:v>5.5317363621841711E-2</c:v>
                </c:pt>
                <c:pt idx="306">
                  <c:v>5.5317363621841711E-2</c:v>
                </c:pt>
              </c:numCache>
            </c:numRef>
          </c:val>
          <c:extLst>
            <c:ext xmlns:c16="http://schemas.microsoft.com/office/drawing/2014/chart" uri="{C3380CC4-5D6E-409C-BE32-E72D297353CC}">
              <c16:uniqueId val="{00000000-1D93-4AFC-A1E1-D1A8527372DA}"/>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'ISM Services vs GDP'!$B$6:$B$312</c:f>
              <c:numCache>
                <c:formatCode>0.00</c:formatCode>
                <c:ptCount val="307"/>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pt idx="305">
                  <c:v>49.6</c:v>
                </c:pt>
                <c:pt idx="306">
                  <c:v>55.2</c:v>
                </c:pt>
              </c:numCache>
            </c:numRef>
          </c:val>
          <c:smooth val="0"/>
          <c:extLst>
            <c:ext xmlns:c16="http://schemas.microsoft.com/office/drawing/2014/chart" uri="{C3380CC4-5D6E-409C-BE32-E72D297353CC}">
              <c16:uniqueId val="{00000001-1D93-4AFC-A1E1-D1A8527372DA}"/>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'ISM Services vs GDP'!$E$6:$E$312</c:f>
              <c:numCache>
                <c:formatCode>0.00%</c:formatCode>
                <c:ptCount val="307"/>
                <c:pt idx="0">
                  <c:v>5.0977662738524332E-2</c:v>
                </c:pt>
                <c:pt idx="1">
                  <c:v>5.0977662738524332E-2</c:v>
                </c:pt>
                <c:pt idx="2">
                  <c:v>5.0977662738524332E-2</c:v>
                </c:pt>
                <c:pt idx="3">
                  <c:v>3.4794745335392292E-2</c:v>
                </c:pt>
                <c:pt idx="4">
                  <c:v>3.4794745335392292E-2</c:v>
                </c:pt>
                <c:pt idx="5">
                  <c:v>3.4794745335392292E-2</c:v>
                </c:pt>
                <c:pt idx="6">
                  <c:v>4.0578269241347893E-2</c:v>
                </c:pt>
                <c:pt idx="7">
                  <c:v>4.0578269241347893E-2</c:v>
                </c:pt>
                <c:pt idx="8">
                  <c:v>4.0578269241347893E-2</c:v>
                </c:pt>
                <c:pt idx="9">
                  <c:v>3.7550288034241763E-2</c:v>
                </c:pt>
                <c:pt idx="10">
                  <c:v>3.7550288034241763E-2</c:v>
                </c:pt>
                <c:pt idx="11">
                  <c:v>3.7550288034241763E-2</c:v>
                </c:pt>
                <c:pt idx="12">
                  <c:v>5.1060122602257341E-2</c:v>
                </c:pt>
                <c:pt idx="13">
                  <c:v>5.1060122602257341E-2</c:v>
                </c:pt>
                <c:pt idx="14">
                  <c:v>5.1060122602257341E-2</c:v>
                </c:pt>
                <c:pt idx="15">
                  <c:v>6.6231826182913345E-2</c:v>
                </c:pt>
                <c:pt idx="16">
                  <c:v>6.6231826182913345E-2</c:v>
                </c:pt>
                <c:pt idx="17">
                  <c:v>6.6231826182913345E-2</c:v>
                </c:pt>
                <c:pt idx="18">
                  <c:v>3.8290920801855137E-2</c:v>
                </c:pt>
                <c:pt idx="19">
                  <c:v>3.8290920801855137E-2</c:v>
                </c:pt>
                <c:pt idx="20">
                  <c:v>3.8290920801855137E-2</c:v>
                </c:pt>
                <c:pt idx="21">
                  <c:v>3.3820669815360922E-2</c:v>
                </c:pt>
                <c:pt idx="22">
                  <c:v>3.3820669815360922E-2</c:v>
                </c:pt>
                <c:pt idx="23">
                  <c:v>3.3820669815360922E-2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3.9969420303305192E-3</c:v>
                </c:pt>
                <c:pt idx="37">
                  <c:v>3.9969420303305192E-3</c:v>
                </c:pt>
                <c:pt idx="38">
                  <c:v>3.9969420303305192E-3</c:v>
                </c:pt>
                <c:pt idx="39">
                  <c:v>2.3987270862187989E-2</c:v>
                </c:pt>
                <c:pt idx="40">
                  <c:v>2.3987270862187989E-2</c:v>
                </c:pt>
                <c:pt idx="41">
                  <c:v>2.3987270862187989E-2</c:v>
                </c:pt>
                <c:pt idx="42">
                  <c:v>-1.2905904790564421E-2</c:v>
                </c:pt>
                <c:pt idx="43">
                  <c:v>-1.2905904790564421E-2</c:v>
                </c:pt>
                <c:pt idx="44">
                  <c:v>-1.2905904790564421E-2</c:v>
                </c:pt>
                <c:pt idx="45">
                  <c:v>2.508820455389205E-2</c:v>
                </c:pt>
                <c:pt idx="46">
                  <c:v>2.508820455389205E-2</c:v>
                </c:pt>
                <c:pt idx="47">
                  <c:v>2.508820455389205E-2</c:v>
                </c:pt>
                <c:pt idx="48">
                  <c:v>-1.5918049455029729E-2</c:v>
                </c:pt>
                <c:pt idx="49">
                  <c:v>-1.5918049455029729E-2</c:v>
                </c:pt>
                <c:pt idx="50">
                  <c:v>-1.5918049455029729E-2</c:v>
                </c:pt>
                <c:pt idx="51">
                  <c:v>1.113880165656167E-2</c:v>
                </c:pt>
                <c:pt idx="52">
                  <c:v>1.113880165656167E-2</c:v>
                </c:pt>
                <c:pt idx="53">
                  <c:v>1.113880165656167E-2</c:v>
                </c:pt>
                <c:pt idx="54">
                  <c:v>3.354294204519781E-2</c:v>
                </c:pt>
                <c:pt idx="55">
                  <c:v>3.354294204519781E-2</c:v>
                </c:pt>
                <c:pt idx="56">
                  <c:v>3.354294204519781E-2</c:v>
                </c:pt>
                <c:pt idx="57">
                  <c:v>2.484833834627009E-2</c:v>
                </c:pt>
                <c:pt idx="58">
                  <c:v>2.484833834627009E-2</c:v>
                </c:pt>
                <c:pt idx="59">
                  <c:v>2.484833834627009E-2</c:v>
                </c:pt>
                <c:pt idx="60">
                  <c:v>1.6239112509100821E-2</c:v>
                </c:pt>
                <c:pt idx="61">
                  <c:v>1.6239112509100821E-2</c:v>
                </c:pt>
                <c:pt idx="62">
                  <c:v>1.6239112509100821E-2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6.8361580068855954E-2</c:v>
                </c:pt>
                <c:pt idx="73">
                  <c:v>6.8361580068855954E-2</c:v>
                </c:pt>
                <c:pt idx="74">
                  <c:v>6.8361580068855954E-2</c:v>
                </c:pt>
                <c:pt idx="75">
                  <c:v>4.6967087698897902E-2</c:v>
                </c:pt>
                <c:pt idx="76">
                  <c:v>4.6967087698897902E-2</c:v>
                </c:pt>
                <c:pt idx="77">
                  <c:v>4.6967087698897902E-2</c:v>
                </c:pt>
                <c:pt idx="78">
                  <c:v>2.3114352701243179E-2</c:v>
                </c:pt>
                <c:pt idx="79">
                  <c:v>2.3114352701243179E-2</c:v>
                </c:pt>
                <c:pt idx="80">
                  <c:v>2.3114352701243179E-2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4.5181235086873883E-2</c:v>
                </c:pt>
                <c:pt idx="91">
                  <c:v>4.5181235086873883E-2</c:v>
                </c:pt>
                <c:pt idx="92">
                  <c:v>4.5181235086873883E-2</c:v>
                </c:pt>
                <c:pt idx="93">
                  <c:v>1.9606710928381729E-2</c:v>
                </c:pt>
                <c:pt idx="94">
                  <c:v>1.9606710928381729E-2</c:v>
                </c:pt>
                <c:pt idx="95">
                  <c:v>1.9606710928381729E-2</c:v>
                </c:pt>
                <c:pt idx="96">
                  <c:v>3.1797143707306803E-2</c:v>
                </c:pt>
                <c:pt idx="97">
                  <c:v>3.1797143707306803E-2</c:v>
                </c:pt>
                <c:pt idx="98">
                  <c:v>3.1797143707306803E-2</c:v>
                </c:pt>
                <c:pt idx="99">
                  <c:v>2.2911388788951159E-2</c:v>
                </c:pt>
                <c:pt idx="100">
                  <c:v>2.2911388788951159E-2</c:v>
                </c:pt>
                <c:pt idx="101">
                  <c:v>2.2911388788951159E-2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3.4177984960281238E-2</c:v>
                </c:pt>
                <c:pt idx="112">
                  <c:v>3.4177984960281238E-2</c:v>
                </c:pt>
                <c:pt idx="113">
                  <c:v>3.4177984960281238E-2</c:v>
                </c:pt>
                <c:pt idx="114">
                  <c:v>1.1795775906866529E-2</c:v>
                </c:pt>
                <c:pt idx="115">
                  <c:v>1.1795775906866529E-2</c:v>
                </c:pt>
                <c:pt idx="116">
                  <c:v>1.1795775906866529E-2</c:v>
                </c:pt>
                <c:pt idx="117">
                  <c:v>2.578298295432346E-2</c:v>
                </c:pt>
                <c:pt idx="118">
                  <c:v>2.578298295432346E-2</c:v>
                </c:pt>
                <c:pt idx="119">
                  <c:v>2.578298295432346E-2</c:v>
                </c:pt>
                <c:pt idx="120">
                  <c:v>2.4310805602967941E-2</c:v>
                </c:pt>
                <c:pt idx="121">
                  <c:v>2.4310805602967941E-2</c:v>
                </c:pt>
                <c:pt idx="122">
                  <c:v>2.4310805602967941E-2</c:v>
                </c:pt>
                <c:pt idx="123">
                  <c:v>2.46096673082743E-2</c:v>
                </c:pt>
                <c:pt idx="124">
                  <c:v>2.46096673082743E-2</c:v>
                </c:pt>
                <c:pt idx="125">
                  <c:v>2.46096673082743E-2</c:v>
                </c:pt>
                <c:pt idx="126">
                  <c:v>-1.619784994668938E-2</c:v>
                </c:pt>
                <c:pt idx="127">
                  <c:v>-1.619784994668938E-2</c:v>
                </c:pt>
                <c:pt idx="128">
                  <c:v>-1.619784994668938E-2</c:v>
                </c:pt>
                <c:pt idx="129">
                  <c:v>2.3089077789477889E-2</c:v>
                </c:pt>
                <c:pt idx="130">
                  <c:v>2.3089077789477889E-2</c:v>
                </c:pt>
                <c:pt idx="131">
                  <c:v>2.3089077789477889E-2</c:v>
                </c:pt>
                <c:pt idx="132">
                  <c:v>-2.0909730735542809E-2</c:v>
                </c:pt>
                <c:pt idx="133">
                  <c:v>-2.0909730735542809E-2</c:v>
                </c:pt>
                <c:pt idx="134">
                  <c:v>-2.0909730735542809E-2</c:v>
                </c:pt>
                <c:pt idx="135">
                  <c:v>-8.4505728695347337E-2</c:v>
                </c:pt>
                <c:pt idx="136">
                  <c:v>-8.4505728695347337E-2</c:v>
                </c:pt>
                <c:pt idx="137">
                  <c:v>-8.4505728695347337E-2</c:v>
                </c:pt>
                <c:pt idx="138">
                  <c:v>-4.5819873793169208E-2</c:v>
                </c:pt>
                <c:pt idx="139">
                  <c:v>-4.5819873793169208E-2</c:v>
                </c:pt>
                <c:pt idx="140">
                  <c:v>-4.5819873793169208E-2</c:v>
                </c:pt>
                <c:pt idx="141">
                  <c:v>-6.7523599987623362E-3</c:v>
                </c:pt>
                <c:pt idx="142">
                  <c:v>-6.7523599987623362E-3</c:v>
                </c:pt>
                <c:pt idx="143">
                  <c:v>-6.7523599987623362E-3</c:v>
                </c:pt>
                <c:pt idx="144">
                  <c:v>1.4555985434920871E-2</c:v>
                </c:pt>
                <c:pt idx="145">
                  <c:v>1.4555985434920871E-2</c:v>
                </c:pt>
                <c:pt idx="146">
                  <c:v>1.4555985434920871E-2</c:v>
                </c:pt>
                <c:pt idx="147">
                  <c:v>4.34076888622974E-2</c:v>
                </c:pt>
                <c:pt idx="148">
                  <c:v>4.34076888622974E-2</c:v>
                </c:pt>
                <c:pt idx="149">
                  <c:v>4.34076888622974E-2</c:v>
                </c:pt>
                <c:pt idx="150">
                  <c:v>2.0152672135610231E-2</c:v>
                </c:pt>
                <c:pt idx="151">
                  <c:v>2.0152672135610231E-2</c:v>
                </c:pt>
                <c:pt idx="152">
                  <c:v>2.0152672135610231E-2</c:v>
                </c:pt>
                <c:pt idx="153">
                  <c:v>3.9273690540683408E-2</c:v>
                </c:pt>
                <c:pt idx="154">
                  <c:v>3.9273690540683408E-2</c:v>
                </c:pt>
                <c:pt idx="155">
                  <c:v>3.9273690540683408E-2</c:v>
                </c:pt>
                <c:pt idx="156">
                  <c:v>3.128626930493783E-2</c:v>
                </c:pt>
                <c:pt idx="157">
                  <c:v>3.128626930493783E-2</c:v>
                </c:pt>
                <c:pt idx="158">
                  <c:v>3.128626930493783E-2</c:v>
                </c:pt>
                <c:pt idx="159">
                  <c:v>2.094635569547498E-2</c:v>
                </c:pt>
                <c:pt idx="160">
                  <c:v>2.094635569547498E-2</c:v>
                </c:pt>
                <c:pt idx="161">
                  <c:v>2.094635569547498E-2</c:v>
                </c:pt>
                <c:pt idx="162">
                  <c:v>-9.6018742909373955E-3</c:v>
                </c:pt>
                <c:pt idx="163">
                  <c:v>-9.6018742909373955E-3</c:v>
                </c:pt>
                <c:pt idx="164">
                  <c:v>-9.6018742909373955E-3</c:v>
                </c:pt>
                <c:pt idx="165">
                  <c:v>2.739913079767153E-2</c:v>
                </c:pt>
                <c:pt idx="166">
                  <c:v>2.739913079767153E-2</c:v>
                </c:pt>
                <c:pt idx="167">
                  <c:v>2.739913079767153E-2</c:v>
                </c:pt>
                <c:pt idx="168">
                  <c:v>-1.5497850035888221E-3</c:v>
                </c:pt>
                <c:pt idx="169">
                  <c:v>-1.5497850035888221E-3</c:v>
                </c:pt>
                <c:pt idx="170">
                  <c:v>-1.5497850035888221E-3</c:v>
                </c:pt>
                <c:pt idx="171">
                  <c:v>4.5627685349290507E-2</c:v>
                </c:pt>
                <c:pt idx="172">
                  <c:v>4.5627685349290507E-2</c:v>
                </c:pt>
                <c:pt idx="173">
                  <c:v>4.5627685349290507E-2</c:v>
                </c:pt>
                <c:pt idx="174">
                  <c:v>3.3120505702169067E-2</c:v>
                </c:pt>
                <c:pt idx="175">
                  <c:v>3.3120505702169067E-2</c:v>
                </c:pt>
                <c:pt idx="176">
                  <c:v>3.3120505702169067E-2</c:v>
                </c:pt>
                <c:pt idx="177">
                  <c:v>1.8359463829133341E-2</c:v>
                </c:pt>
                <c:pt idx="178">
                  <c:v>1.8359463829133341E-2</c:v>
                </c:pt>
                <c:pt idx="179">
                  <c:v>1.8359463829133341E-2</c:v>
                </c:pt>
                <c:pt idx="180">
                  <c:v>7.0136909414519888E-3</c:v>
                </c:pt>
                <c:pt idx="181">
                  <c:v>7.0136909414519888E-3</c:v>
                </c:pt>
                <c:pt idx="182">
                  <c:v>7.0136909414519888E-3</c:v>
                </c:pt>
                <c:pt idx="183">
                  <c:v>4.4007666411833854E-3</c:v>
                </c:pt>
                <c:pt idx="184">
                  <c:v>4.4007666411833854E-3</c:v>
                </c:pt>
                <c:pt idx="185">
                  <c:v>4.4007666411833854E-3</c:v>
                </c:pt>
                <c:pt idx="186">
                  <c:v>3.5166036783941028E-2</c:v>
                </c:pt>
                <c:pt idx="187">
                  <c:v>3.5166036783941028E-2</c:v>
                </c:pt>
                <c:pt idx="188">
                  <c:v>3.5166036783941028E-2</c:v>
                </c:pt>
                <c:pt idx="189">
                  <c:v>5.5870765701340197E-3</c:v>
                </c:pt>
                <c:pt idx="190">
                  <c:v>5.5870765701340197E-3</c:v>
                </c:pt>
                <c:pt idx="191">
                  <c:v>5.5870765701340197E-3</c:v>
                </c:pt>
                <c:pt idx="192">
                  <c:v>3.2044153997870417E-2</c:v>
                </c:pt>
                <c:pt idx="193">
                  <c:v>3.2044153997870417E-2</c:v>
                </c:pt>
                <c:pt idx="194">
                  <c:v>3.2044153997870417E-2</c:v>
                </c:pt>
                <c:pt idx="195">
                  <c:v>2.875173987590807E-2</c:v>
                </c:pt>
                <c:pt idx="196">
                  <c:v>2.875173987590807E-2</c:v>
                </c:pt>
                <c:pt idx="197">
                  <c:v>2.875173987590807E-2</c:v>
                </c:pt>
                <c:pt idx="198">
                  <c:v>-1.393101487505966E-2</c:v>
                </c:pt>
                <c:pt idx="199">
                  <c:v>-1.393101487505966E-2</c:v>
                </c:pt>
                <c:pt idx="200">
                  <c:v>-1.393101487505966E-2</c:v>
                </c:pt>
                <c:pt idx="201">
                  <c:v>5.2363045756652182E-2</c:v>
                </c:pt>
                <c:pt idx="202">
                  <c:v>5.2363045756652182E-2</c:v>
                </c:pt>
                <c:pt idx="203">
                  <c:v>5.2363045756652182E-2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1.299778420271624E-2</c:v>
                </c:pt>
                <c:pt idx="217">
                  <c:v>1.299778420271624E-2</c:v>
                </c:pt>
                <c:pt idx="218">
                  <c:v>1.299778420271624E-2</c:v>
                </c:pt>
                <c:pt idx="219">
                  <c:v>5.8622170666831064E-3</c:v>
                </c:pt>
                <c:pt idx="220">
                  <c:v>5.8622170666831064E-3</c:v>
                </c:pt>
                <c:pt idx="221">
                  <c:v>5.8622170666831064E-3</c:v>
                </c:pt>
                <c:pt idx="222">
                  <c:v>2.377629379297197E-2</c:v>
                </c:pt>
                <c:pt idx="223">
                  <c:v>2.377629379297197E-2</c:v>
                </c:pt>
                <c:pt idx="224">
                  <c:v>2.377629379297197E-2</c:v>
                </c:pt>
                <c:pt idx="225">
                  <c:v>1.21505263452657E-2</c:v>
                </c:pt>
                <c:pt idx="226">
                  <c:v>1.21505263452657E-2</c:v>
                </c:pt>
                <c:pt idx="227">
                  <c:v>1.21505263452657E-2</c:v>
                </c:pt>
                <c:pt idx="228">
                  <c:v>2.426228912334993E-2</c:v>
                </c:pt>
                <c:pt idx="229">
                  <c:v>2.426228912334993E-2</c:v>
                </c:pt>
                <c:pt idx="230">
                  <c:v>2.426228912334993E-2</c:v>
                </c:pt>
                <c:pt idx="231">
                  <c:v>2.002418226174996E-2</c:v>
                </c:pt>
                <c:pt idx="232">
                  <c:v>2.002418226174996E-2</c:v>
                </c:pt>
                <c:pt idx="233">
                  <c:v>2.002418226174996E-2</c:v>
                </c:pt>
                <c:pt idx="234">
                  <c:v>1.9011293949556581E-2</c:v>
                </c:pt>
                <c:pt idx="235">
                  <c:v>1.9011293949556581E-2</c:v>
                </c:pt>
                <c:pt idx="236">
                  <c:v>1.9011293949556581E-2</c:v>
                </c:pt>
                <c:pt idx="237">
                  <c:v>2.2579297461999829E-2</c:v>
                </c:pt>
                <c:pt idx="238">
                  <c:v>2.2579297461999829E-2</c:v>
                </c:pt>
                <c:pt idx="239">
                  <c:v>2.2579297461999829E-2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3.3776005263053577E-2</c:v>
                </c:pt>
                <c:pt idx="250">
                  <c:v>3.3776005263053577E-2</c:v>
                </c:pt>
                <c:pt idx="251">
                  <c:v>3.3776005263053577E-2</c:v>
                </c:pt>
                <c:pt idx="252">
                  <c:v>1.9417917650261129E-2</c:v>
                </c:pt>
                <c:pt idx="253">
                  <c:v>1.9417917650261129E-2</c:v>
                </c:pt>
                <c:pt idx="254">
                  <c:v>1.9417917650261129E-2</c:v>
                </c:pt>
                <c:pt idx="255">
                  <c:v>8.9555932393461379E-3</c:v>
                </c:pt>
                <c:pt idx="256">
                  <c:v>8.9555932393461379E-3</c:v>
                </c:pt>
                <c:pt idx="257">
                  <c:v>8.9555932393461379E-3</c:v>
                </c:pt>
                <c:pt idx="258">
                  <c:v>2.4126879308669521E-2</c:v>
                </c:pt>
                <c:pt idx="259">
                  <c:v>2.4126879308669521E-2</c:v>
                </c:pt>
                <c:pt idx="260">
                  <c:v>2.4126879308669521E-2</c:v>
                </c:pt>
                <c:pt idx="261">
                  <c:v>3.2096211890165323E-2</c:v>
                </c:pt>
                <c:pt idx="262">
                  <c:v>3.2096211890165323E-2</c:v>
                </c:pt>
                <c:pt idx="263">
                  <c:v>3.2096211890165323E-2</c:v>
                </c:pt>
                <c:pt idx="264">
                  <c:v>2.770318750334555E-2</c:v>
                </c:pt>
                <c:pt idx="265">
                  <c:v>2.770318750334555E-2</c:v>
                </c:pt>
                <c:pt idx="266">
                  <c:v>2.770318750334555E-2</c:v>
                </c:pt>
                <c:pt idx="267">
                  <c:v>1.8896349662488991E-2</c:v>
                </c:pt>
                <c:pt idx="268">
                  <c:v>1.8896349662488991E-2</c:v>
                </c:pt>
                <c:pt idx="269">
                  <c:v>1.8896349662488991E-2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6.278176672776592E-2</c:v>
                </c:pt>
                <c:pt idx="283">
                  <c:v>6.278176672776592E-2</c:v>
                </c:pt>
                <c:pt idx="284">
                  <c:v>6.278176672776592E-2</c:v>
                </c:pt>
                <c:pt idx="285">
                  <c:v>6.7262831458960726E-2</c:v>
                </c:pt>
                <c:pt idx="286">
                  <c:v>6.7262831458960726E-2</c:v>
                </c:pt>
                <c:pt idx="287">
                  <c:v>6.7262831458960726E-2</c:v>
                </c:pt>
                <c:pt idx="288">
                  <c:v>2.303425900825307E-2</c:v>
                </c:pt>
                <c:pt idx="289">
                  <c:v>2.303425900825307E-2</c:v>
                </c:pt>
                <c:pt idx="290">
                  <c:v>2.303425900825307E-2</c:v>
                </c:pt>
                <c:pt idx="291">
                  <c:v>6.8874405829691066E-2</c:v>
                </c:pt>
                <c:pt idx="292">
                  <c:v>6.8874405829691066E-2</c:v>
                </c:pt>
                <c:pt idx="293">
                  <c:v>6.8874405829691066E-2</c:v>
                </c:pt>
                <c:pt idx="294">
                  <c:v>6.8874405829691066E-2</c:v>
                </c:pt>
                <c:pt idx="295">
                  <c:v>6.8874405829691066E-2</c:v>
                </c:pt>
                <c:pt idx="296">
                  <c:v>6.8874405829691066E-2</c:v>
                </c:pt>
                <c:pt idx="297">
                  <c:v>6.8874405829691066E-2</c:v>
                </c:pt>
                <c:pt idx="298">
                  <c:v>6.8874405829691066E-2</c:v>
                </c:pt>
                <c:pt idx="299">
                  <c:v>6.8874405829691066E-2</c:v>
                </c:pt>
                <c:pt idx="300">
                  <c:v>6.8874405829691066E-2</c:v>
                </c:pt>
                <c:pt idx="301">
                  <c:v>6.8874405829691066E-2</c:v>
                </c:pt>
                <c:pt idx="302">
                  <c:v>6.8874405829691066E-2</c:v>
                </c:pt>
                <c:pt idx="303">
                  <c:v>6.8874405829691066E-2</c:v>
                </c:pt>
                <c:pt idx="304">
                  <c:v>6.8874405829691066E-2</c:v>
                </c:pt>
                <c:pt idx="305">
                  <c:v>6.8874405829691066E-2</c:v>
                </c:pt>
                <c:pt idx="306">
                  <c:v>6.8874405829691066E-2</c:v>
                </c:pt>
              </c:numCache>
            </c:numRef>
          </c:val>
          <c:extLst>
            <c:ext xmlns:c16="http://schemas.microsoft.com/office/drawing/2014/chart" uri="{C3380CC4-5D6E-409C-BE32-E72D297353CC}">
              <c16:uniqueId val="{00000000-1742-42EC-9A62-C23F1DC9F5E6}"/>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'ISM Services vs GDP'!$B$6:$B$312</c:f>
              <c:numCache>
                <c:formatCode>0.00</c:formatCode>
                <c:ptCount val="307"/>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pt idx="305">
                  <c:v>49.6</c:v>
                </c:pt>
                <c:pt idx="306">
                  <c:v>55.2</c:v>
                </c:pt>
              </c:numCache>
            </c:numRef>
          </c:val>
          <c:smooth val="0"/>
          <c:extLst>
            <c:ext xmlns:c16="http://schemas.microsoft.com/office/drawing/2014/chart" uri="{C3380CC4-5D6E-409C-BE32-E72D297353CC}">
              <c16:uniqueId val="{00000001-1742-42EC-9A62-C23F1DC9F5E6}"/>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Table9[[#Headers],[ISM Services]]</c:f>
          <c:strCache>
            <c:ptCount val="1"/>
            <c:pt idx="0">
              <c:v>ISM Services</c:v>
            </c:pt>
          </c:strCache>
        </c:strRef>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pt idx="305">
                  <c:v>44896</c:v>
                </c:pt>
                <c:pt idx="306">
                  <c:v>44927</c:v>
                </c:pt>
              </c:numCache>
            </c:numRef>
          </c:cat>
          <c:val>
            <c:numRef>
              <c:f>'ISM Services'!$B$6:$B$312</c:f>
              <c:numCache>
                <c:formatCode>General</c:formatCode>
                <c:ptCount val="307"/>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pt idx="305">
                  <c:v>49.6</c:v>
                </c:pt>
                <c:pt idx="306">
                  <c:v>55.2</c:v>
                </c:pt>
              </c:numCache>
            </c:numRef>
          </c:val>
          <c:smooth val="0"/>
          <c:extLst>
            <c:ext xmlns:c16="http://schemas.microsoft.com/office/drawing/2014/chart" uri="{C3380CC4-5D6E-409C-BE32-E72D297353CC}">
              <c16:uniqueId val="{00000000-955D-467B-9C54-4A548854F38B}"/>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597460</xdr:colOff>
      <xdr:row>274</xdr:row>
      <xdr:rowOff>119530</xdr:rowOff>
    </xdr:from>
    <xdr:to>
      <xdr:col>15</xdr:col>
      <xdr:colOff>104588</xdr:colOff>
      <xdr:row>294</xdr:row>
      <xdr:rowOff>140635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600634</xdr:colOff>
      <xdr:row>295</xdr:row>
      <xdr:rowOff>24467</xdr:rowOff>
    </xdr:from>
    <xdr:to>
      <xdr:col>15</xdr:col>
      <xdr:colOff>104588</xdr:colOff>
      <xdr:row>314</xdr:row>
      <xdr:rowOff>164353</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164264</xdr:colOff>
      <xdr:row>294</xdr:row>
      <xdr:rowOff>85392</xdr:rowOff>
    </xdr:from>
    <xdr:to>
      <xdr:col>10</xdr:col>
      <xdr:colOff>340727</xdr:colOff>
      <xdr:row>315</xdr:row>
      <xdr:rowOff>95918</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312" totalsRowShown="0" headerRowDxfId="30" dataDxfId="28" headerRowBorderDxfId="29">
  <autoFilter ref="A5:L312" xr:uid="{00000000-0009-0000-0100-000001000000}"/>
  <tableColumns count="12">
    <tableColumn id="1" xr3:uid="{00000000-0010-0000-0000-000001000000}" name="Date" dataDxfId="27"/>
    <tableColumn id="5" xr3:uid="{00000000-0010-0000-0000-000005000000}" name="New Orders" dataDxfId="26">
      <calculatedColumnFormula>IF(VLOOKUP(Table91213[[#This Row],[Date]],'DB Details'!$A:$Q,2)=0,"",VLOOKUP(Table91213[[#This Row],[Date]],'DB Details'!$A:$Q,2))</calculatedColumnFormula>
    </tableColumn>
    <tableColumn id="3" xr3:uid="{00000000-0010-0000-0000-000003000000}" name="Imports" dataDxfId="25">
      <calculatedColumnFormula>IF(VLOOKUP(Table91213[[#This Row],[Date]],'DB Details'!$A:$Q,3)=0,"",VLOOKUP(Table91213[[#This Row],[Date]],'DB Details'!$A:$Q,3))</calculatedColumnFormula>
    </tableColumn>
    <tableColumn id="2" xr3:uid="{00000000-0010-0000-0000-000002000000}" name="Backlog Of Orders" dataDxfId="24">
      <calculatedColumnFormula>IF(VLOOKUP(Table91213[[#This Row],[Date]],'DB Details'!$A:$Q,4)=0,"",VLOOKUP(Table91213[[#This Row],[Date]],'DB Details'!$A:$Q,4))</calculatedColumnFormula>
    </tableColumn>
    <tableColumn id="4" xr3:uid="{00000000-0010-0000-0000-000004000000}" name="Prices" dataDxfId="23">
      <calculatedColumnFormula>IF(VLOOKUP(Table91213[[#This Row],[Date]],'DB Details'!$A:$Q,5)=0,"",VLOOKUP(Table91213[[#This Row],[Date]],'DB Details'!$A:$Q,5))</calculatedColumnFormula>
    </tableColumn>
    <tableColumn id="6" xr3:uid="{00000000-0010-0000-0000-000006000000}" name="Business Activity" dataDxfId="22">
      <calculatedColumnFormula>IF(VLOOKUP(Table91213[[#This Row],[Date]],'DB Details'!$A:$Q,6)=0,"",VLOOKUP(Table91213[[#This Row],[Date]],'DB Details'!$A:$Q,6))</calculatedColumnFormula>
    </tableColumn>
    <tableColumn id="7" xr3:uid="{00000000-0010-0000-0000-000007000000}" name="Inventory Sentiment" dataDxfId="21">
      <calculatedColumnFormula>IF(VLOOKUP(Table91213[[#This Row],[Date]],'DB Details'!$A:$Q,7)=0,"",VLOOKUP(Table91213[[#This Row],[Date]],'DB Details'!$A:$Q,7))</calculatedColumnFormula>
    </tableColumn>
    <tableColumn id="8" xr3:uid="{00000000-0010-0000-0000-000008000000}" name="Inventories" dataDxfId="20">
      <calculatedColumnFormula>IF(VLOOKUP(Table91213[[#This Row],[Date]],'DB Details'!$A:$Q,8)=0,"",VLOOKUP(Table91213[[#This Row],[Date]],'DB Details'!$A:$Q,8))</calculatedColumnFormula>
    </tableColumn>
    <tableColumn id="9" xr3:uid="{00000000-0010-0000-0000-000009000000}" name="Deliveries" dataDxfId="19">
      <calculatedColumnFormula>IF(VLOOKUP(Table91213[[#This Row],[Date]],'DB Details'!$A:$Q,9)=0,"",VLOOKUP(Table91213[[#This Row],[Date]],'DB Details'!$A:$Q,9))</calculatedColumnFormula>
    </tableColumn>
    <tableColumn id="10" xr3:uid="{00000000-0010-0000-0000-00000A000000}" name="Employment" dataDxfId="18">
      <calculatedColumnFormula>IF(VLOOKUP(Table91213[[#This Row],[Date]],'DB Details'!$A:$Q,10)=0,"",VLOOKUP(Table91213[[#This Row],[Date]],'DB Details'!$A:$Q,10))</calculatedColumnFormula>
    </tableColumn>
    <tableColumn id="11" xr3:uid="{00000000-0010-0000-0000-00000B000000}" name="Exports" dataDxfId="17">
      <calculatedColumnFormula>IF(VLOOKUP(Table91213[[#This Row],[Date]],'DB Details'!$A:$Q,11)=0,"",VLOOKUP(Table91213[[#This Row],[Date]],'DB Details'!$A:$Q,11))</calculatedColumnFormula>
    </tableColumn>
    <tableColumn id="13" xr3:uid="{00000000-0010-0000-0000-00000D000000}"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312" totalsRowShown="0" headerRowDxfId="15" dataDxfId="13" headerRowBorderDxfId="14" tableBorderDxfId="12" totalsRowBorderDxfId="11">
  <autoFilter ref="A5:E312" xr:uid="{00000000-0009-0000-0100-000002000000}"/>
  <tableColumns count="5">
    <tableColumn id="1" xr3:uid="{00000000-0010-0000-0100-000001000000}" name="Date" dataDxfId="10"/>
    <tableColumn id="2" xr3:uid="{00000000-0010-0000-0100-000002000000}" name="ISM Services" dataDxfId="9">
      <calculatedColumnFormula>IF(VLOOKUP(Table311[[#This Row],[Date]],'DB Details'!$A:$Q,12)=0,"",VLOOKUP(Table311[[#This Row],[Date]],'DB Details'!$A:$Q,12))</calculatedColumnFormula>
    </tableColumn>
    <tableColumn id="6" xr3:uid="{00000000-0010-0000-0100-000006000000}" name="GDP growth yoy %" dataDxfId="8">
      <calculatedColumnFormula>IF(VLOOKUP(Table311[[#This Row],[Date]],'DB Details'!$A:$Q,16)=0,"",VLOOKUP(Table311[[#This Row],[Date]],'DB Details'!$A:$Q,16))</calculatedColumnFormula>
    </tableColumn>
    <tableColumn id="5" xr3:uid="{00000000-0010-0000-0100-000005000000}" name="GDP growth qoq %" dataDxfId="7">
      <calculatedColumnFormula>IF(VLOOKUP(Table311[[#This Row],[Date]],'DB Details'!$A:$Q,15)=0,"",VLOOKUP(Table311[[#This Row],[Date]],'DB Details'!$A:$Q,15))</calculatedColumnFormula>
    </tableColumn>
    <tableColumn id="4" xr3:uid="{00000000-0010-0000-0100-000004000000}"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312" totalsRowShown="0" headerRowDxfId="5" dataDxfId="3" headerRowBorderDxfId="4">
  <autoFilter ref="A5:C312" xr:uid="{00000000-0009-0000-0100-000003000000}"/>
  <tableColumns count="3">
    <tableColumn id="1" xr3:uid="{00000000-0010-0000-0200-000001000000}" name="Date" dataDxfId="2"/>
    <tableColumn id="3" xr3:uid="{00000000-0010-0000-0200-000003000000}" name="ISM Services" dataDxfId="1">
      <calculatedColumnFormula>IF(VLOOKUP(Table9[[#This Row],[Date]],'DB Details'!$A:$Q,12)=0,"",VLOOKUP(Table9[[#This Row],[Date]],'DB Details'!$A:$Q,12))</calculatedColumnFormula>
    </tableColumn>
    <tableColumn id="2" xr3:uid="{00000000-0010-0000-02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28"/>
  <sheetViews>
    <sheetView showGridLines="0" tabSelected="1" zoomScale="70" zoomScaleNormal="70" workbookViewId="0">
      <selection activeCell="C382" sqref="C382"/>
    </sheetView>
  </sheetViews>
  <sheetFormatPr defaultColWidth="9.1796875" defaultRowHeight="14.5" x14ac:dyDescent="0.35"/>
  <cols>
    <col min="1" max="1" width="15.6328125" style="62" customWidth="1"/>
    <col min="2" max="5" width="12.81640625" style="62" customWidth="1"/>
    <col min="6" max="6" width="13.6328125" style="62" customWidth="1"/>
    <col min="7" max="10" width="12.81640625" style="62" customWidth="1"/>
    <col min="11" max="13" width="2" style="62" customWidth="1"/>
    <col min="14" max="14" width="9.1796875" style="62" customWidth="1"/>
    <col min="15" max="15" width="15.453125" style="62" customWidth="1"/>
    <col min="16" max="18" width="12.6328125" style="62" customWidth="1"/>
    <col min="19" max="19" width="5.453125" style="62" customWidth="1"/>
    <col min="20" max="20" width="16.6328125" style="62" customWidth="1"/>
    <col min="21" max="46" width="9.1796875" style="62" customWidth="1"/>
    <col min="47" max="16384" width="9.1796875" style="62"/>
  </cols>
  <sheetData>
    <row r="1" spans="2:21" ht="16" customHeight="1" thickBot="1" x14ac:dyDescent="0.4">
      <c r="B1" s="73"/>
      <c r="C1" s="74"/>
      <c r="D1" s="74"/>
      <c r="E1" s="74"/>
      <c r="F1" s="74"/>
      <c r="G1" s="74"/>
      <c r="H1" s="74"/>
      <c r="I1" s="74"/>
      <c r="J1" s="74"/>
    </row>
    <row r="3" spans="2:21" ht="227.25" customHeight="1" x14ac:dyDescent="0.35">
      <c r="B3" s="75" t="s">
        <v>0</v>
      </c>
      <c r="C3" s="76"/>
      <c r="D3" s="76"/>
      <c r="E3" s="76"/>
      <c r="F3" s="76"/>
      <c r="G3" s="76"/>
      <c r="H3" s="76"/>
      <c r="I3" s="76"/>
      <c r="J3" s="76"/>
    </row>
    <row r="4" spans="2:21" ht="24" customHeight="1" x14ac:dyDescent="0.35">
      <c r="B4" s="8" t="s">
        <v>1</v>
      </c>
      <c r="C4" s="63"/>
      <c r="D4" s="63"/>
      <c r="E4" s="63"/>
      <c r="F4" s="63"/>
      <c r="G4" s="63"/>
      <c r="H4" s="63"/>
      <c r="I4" s="63"/>
      <c r="J4" s="63"/>
    </row>
    <row r="5" spans="2:21" ht="24" customHeight="1" x14ac:dyDescent="0.35">
      <c r="B5" s="8" t="s">
        <v>2</v>
      </c>
      <c r="C5" s="63"/>
      <c r="D5" s="63"/>
      <c r="E5" s="63"/>
      <c r="F5" s="63"/>
      <c r="G5" s="63"/>
      <c r="H5" s="63"/>
      <c r="I5" s="63"/>
      <c r="J5" s="63"/>
    </row>
    <row r="6" spans="2:21" ht="16" customHeight="1" thickBot="1" x14ac:dyDescent="0.4">
      <c r="B6" s="11"/>
      <c r="C6" s="12"/>
      <c r="D6" s="12"/>
      <c r="E6" s="12"/>
    </row>
    <row r="7" spans="2:21" ht="16" customHeight="1" thickBot="1" x14ac:dyDescent="0.4">
      <c r="B7" s="77" t="s">
        <v>3</v>
      </c>
      <c r="C7" s="78"/>
      <c r="D7" s="78"/>
      <c r="E7" s="78"/>
      <c r="F7" s="78"/>
      <c r="G7" s="78"/>
      <c r="H7" s="78"/>
      <c r="I7" s="78"/>
      <c r="J7" s="79"/>
      <c r="N7" s="70" t="s">
        <v>4</v>
      </c>
      <c r="O7" s="71"/>
      <c r="P7" s="71"/>
      <c r="Q7" s="71"/>
      <c r="R7" s="71"/>
      <c r="S7" s="71"/>
      <c r="T7" s="71"/>
      <c r="U7" s="72"/>
    </row>
    <row r="8" spans="2:21" x14ac:dyDescent="0.35">
      <c r="N8" s="13" t="s">
        <v>5</v>
      </c>
      <c r="T8" s="13" t="s">
        <v>6</v>
      </c>
    </row>
    <row r="9" spans="2:21" ht="16" customHeight="1" thickBot="1" x14ac:dyDescent="0.4">
      <c r="B9" s="77" t="s">
        <v>7</v>
      </c>
      <c r="C9" s="78"/>
      <c r="D9" s="78"/>
      <c r="E9" s="78"/>
      <c r="F9" s="79"/>
      <c r="G9" s="77" t="s">
        <v>8</v>
      </c>
      <c r="H9" s="78"/>
      <c r="I9" s="78"/>
      <c r="J9" s="79"/>
    </row>
    <row r="10" spans="2:21" x14ac:dyDescent="0.35">
      <c r="P10" s="14">
        <v>44927</v>
      </c>
      <c r="Q10" s="15">
        <f>DATE(YEAR(P10),MONTH(P10)-1,DAY(P10))</f>
        <v>44896</v>
      </c>
      <c r="R10" s="16"/>
      <c r="T10" s="66"/>
      <c r="U10" s="66"/>
    </row>
    <row r="11" spans="2:21" ht="16" customHeight="1" thickBot="1" x14ac:dyDescent="0.4">
      <c r="B11" s="76" t="s">
        <v>9</v>
      </c>
      <c r="C11" s="76"/>
      <c r="D11" s="76"/>
      <c r="E11" s="76"/>
      <c r="F11" s="76"/>
      <c r="G11" s="76" t="s">
        <v>10</v>
      </c>
      <c r="H11" s="76"/>
      <c r="I11" s="76"/>
      <c r="J11" s="76"/>
      <c r="P11" s="17" t="s">
        <v>11</v>
      </c>
      <c r="Q11" s="17" t="s">
        <v>11</v>
      </c>
      <c r="R11" s="18" t="s">
        <v>12</v>
      </c>
      <c r="T11" s="67"/>
      <c r="U11" s="68"/>
    </row>
    <row r="12" spans="2:21" ht="30.75" customHeight="1" x14ac:dyDescent="0.35">
      <c r="G12" s="81" t="s">
        <v>13</v>
      </c>
      <c r="H12" s="76"/>
      <c r="I12" s="76"/>
      <c r="J12" s="76"/>
      <c r="N12" s="82" t="s">
        <v>14</v>
      </c>
      <c r="O12" s="83"/>
      <c r="P12" s="20">
        <f>VLOOKUP($P$10,Details!$A:$L,MATCH(Note!N12,Table91213[#Headers],),)</f>
        <v>55.2</v>
      </c>
      <c r="Q12" s="20">
        <f>VLOOKUP($Q$10,Details!$A:$L,MATCH(Note!N12,Table91213[#Headers],),)</f>
        <v>49.6</v>
      </c>
      <c r="R12" s="21">
        <f t="shared" ref="R12:R22" si="0">P12-Q12</f>
        <v>5.6000000000000014</v>
      </c>
      <c r="T12" s="67"/>
      <c r="U12" s="68"/>
    </row>
    <row r="13" spans="2:21" ht="15" customHeight="1" x14ac:dyDescent="0.35">
      <c r="B13" s="81" t="s">
        <v>15</v>
      </c>
      <c r="C13" s="76"/>
      <c r="D13" s="76"/>
      <c r="E13" s="76"/>
      <c r="F13" s="76"/>
      <c r="G13" s="76"/>
      <c r="H13" s="76"/>
      <c r="I13" s="76"/>
      <c r="J13" s="76"/>
      <c r="N13" s="80" t="s">
        <v>16</v>
      </c>
      <c r="O13" s="79"/>
      <c r="P13" s="64">
        <f>VLOOKUP($P$10,Details!$A:$L,MATCH(Note!N13,Table91213[#Headers],),)</f>
        <v>60.4</v>
      </c>
      <c r="Q13" s="64">
        <f>VLOOKUP($Q$10,Details!$A:$L,MATCH(Note!N13,Table91213[#Headers],),)</f>
        <v>45.2</v>
      </c>
      <c r="R13" s="22">
        <f t="shared" si="0"/>
        <v>15.199999999999996</v>
      </c>
      <c r="T13" s="67"/>
      <c r="U13" s="68"/>
    </row>
    <row r="14" spans="2:21" x14ac:dyDescent="0.35">
      <c r="B14" s="76" t="s">
        <v>17</v>
      </c>
      <c r="C14" s="76"/>
      <c r="D14" s="76"/>
      <c r="E14" s="76"/>
      <c r="F14" s="76"/>
      <c r="N14" s="80" t="s">
        <v>18</v>
      </c>
      <c r="O14" s="79"/>
      <c r="P14" s="64">
        <f>VLOOKUP($P$10,Details!$A:$L,MATCH(Note!N14,Table91213[#Headers],),)</f>
        <v>53</v>
      </c>
      <c r="Q14" s="64">
        <f>VLOOKUP($Q$10,Details!$A:$L,MATCH(Note!N14,Table91213[#Headers],),)</f>
        <v>52.7</v>
      </c>
      <c r="R14" s="22">
        <f t="shared" si="0"/>
        <v>0.29999999999999716</v>
      </c>
      <c r="T14" s="67"/>
      <c r="U14" s="68"/>
    </row>
    <row r="15" spans="2:21" x14ac:dyDescent="0.35">
      <c r="B15" s="76" t="s">
        <v>19</v>
      </c>
      <c r="C15" s="76"/>
      <c r="D15" s="76"/>
      <c r="E15" s="76"/>
      <c r="F15" s="76"/>
      <c r="N15" s="80" t="s">
        <v>20</v>
      </c>
      <c r="O15" s="79"/>
      <c r="P15" s="64">
        <f>VLOOKUP($P$10,Details!$A:$L,MATCH(Note!N15,Table91213[#Headers],),)</f>
        <v>52.9</v>
      </c>
      <c r="Q15" s="64">
        <f>VLOOKUP($Q$10,Details!$A:$L,MATCH(Note!N15,Table91213[#Headers],),)</f>
        <v>51.5</v>
      </c>
      <c r="R15" s="22">
        <f t="shared" si="0"/>
        <v>1.3999999999999986</v>
      </c>
      <c r="T15" s="67"/>
      <c r="U15" s="68"/>
    </row>
    <row r="16" spans="2:21" x14ac:dyDescent="0.35">
      <c r="N16" s="80" t="s">
        <v>21</v>
      </c>
      <c r="O16" s="79"/>
      <c r="P16" s="64">
        <f>VLOOKUP($P$10,Details!$A:$L,MATCH(Note!N16,Table91213[#Headers],),)</f>
        <v>67.8</v>
      </c>
      <c r="Q16" s="64">
        <f>VLOOKUP($Q$10,Details!$A:$L,MATCH(Note!N16,Table91213[#Headers],),)</f>
        <v>67.599999999999994</v>
      </c>
      <c r="R16" s="22">
        <f t="shared" si="0"/>
        <v>0.20000000000000284</v>
      </c>
      <c r="T16" s="67"/>
      <c r="U16" s="68"/>
    </row>
    <row r="17" spans="2:21" x14ac:dyDescent="0.35">
      <c r="B17" s="76"/>
      <c r="C17" s="76"/>
      <c r="D17" s="76"/>
      <c r="E17" s="76"/>
      <c r="F17" s="76"/>
      <c r="G17" s="76"/>
      <c r="H17" s="76"/>
      <c r="I17" s="76"/>
      <c r="J17" s="76"/>
      <c r="N17" s="80" t="s">
        <v>22</v>
      </c>
      <c r="O17" s="79"/>
      <c r="P17" s="64">
        <f>VLOOKUP($P$10,Details!$A:$L,MATCH(Note!N17,Table91213[#Headers],),)</f>
        <v>60.4</v>
      </c>
      <c r="Q17" s="64">
        <f>VLOOKUP($Q$10,Details!$A:$L,MATCH(Note!N17,Table91213[#Headers],),)</f>
        <v>54.7</v>
      </c>
      <c r="R17" s="22">
        <f t="shared" si="0"/>
        <v>5.6999999999999957</v>
      </c>
      <c r="T17" s="67"/>
      <c r="U17" s="68"/>
    </row>
    <row r="18" spans="2:21" x14ac:dyDescent="0.35">
      <c r="B18" s="76"/>
      <c r="C18" s="76"/>
      <c r="D18" s="76"/>
      <c r="E18" s="76"/>
      <c r="F18" s="76"/>
      <c r="G18" s="76"/>
      <c r="H18" s="76"/>
      <c r="I18" s="76"/>
      <c r="J18" s="76"/>
      <c r="N18" s="80" t="s">
        <v>23</v>
      </c>
      <c r="O18" s="79"/>
      <c r="P18" s="64">
        <f>VLOOKUP($P$10,Details!$A:$L,MATCH(Note!N18,Table91213[#Headers],),)</f>
        <v>55.8</v>
      </c>
      <c r="Q18" s="64">
        <f>VLOOKUP($Q$10,Details!$A:$L,MATCH(Note!N18,Table91213[#Headers],),)</f>
        <v>55.9</v>
      </c>
      <c r="R18" s="22">
        <f t="shared" si="0"/>
        <v>-0.10000000000000142</v>
      </c>
      <c r="T18" s="67"/>
      <c r="U18" s="68"/>
    </row>
    <row r="19" spans="2:21" x14ac:dyDescent="0.35">
      <c r="B19" s="76"/>
      <c r="C19" s="76"/>
      <c r="D19" s="76"/>
      <c r="E19" s="76"/>
      <c r="F19" s="76"/>
      <c r="G19" s="76"/>
      <c r="H19" s="76"/>
      <c r="I19" s="76"/>
      <c r="J19" s="76"/>
      <c r="N19" s="80" t="s">
        <v>24</v>
      </c>
      <c r="O19" s="79"/>
      <c r="P19" s="64">
        <f>VLOOKUP($P$10,Details!$A:$L,MATCH(Note!N19,Table91213[#Headers],),)</f>
        <v>49.2</v>
      </c>
      <c r="Q19" s="64">
        <f>VLOOKUP($Q$10,Details!$A:$L,MATCH(Note!N19,Table91213[#Headers],),)</f>
        <v>45.1</v>
      </c>
      <c r="R19" s="22">
        <f t="shared" si="0"/>
        <v>4.1000000000000014</v>
      </c>
      <c r="T19" s="67"/>
      <c r="U19" s="68"/>
    </row>
    <row r="20" spans="2:21" x14ac:dyDescent="0.35">
      <c r="B20" s="76"/>
      <c r="C20" s="76"/>
      <c r="D20" s="76"/>
      <c r="E20" s="76"/>
      <c r="F20" s="76"/>
      <c r="N20" s="80" t="s">
        <v>25</v>
      </c>
      <c r="O20" s="79"/>
      <c r="P20" s="64">
        <f>VLOOKUP($P$10,Details!$A:$L,MATCH(Note!N20,Table91213[#Headers],),)</f>
        <v>50</v>
      </c>
      <c r="Q20" s="64">
        <f>VLOOKUP($Q$10,Details!$A:$L,MATCH(Note!N20,Table91213[#Headers],),)</f>
        <v>48.5</v>
      </c>
      <c r="R20" s="22">
        <f t="shared" si="0"/>
        <v>1.5</v>
      </c>
      <c r="T20" s="67"/>
      <c r="U20" s="68"/>
    </row>
    <row r="21" spans="2:21" x14ac:dyDescent="0.35">
      <c r="B21" s="76"/>
      <c r="C21" s="76"/>
      <c r="D21" s="76"/>
      <c r="E21" s="76"/>
      <c r="F21" s="76"/>
      <c r="N21" s="80" t="s">
        <v>26</v>
      </c>
      <c r="O21" s="79"/>
      <c r="P21" s="64">
        <f>VLOOKUP($P$10,Details!$A:$L,MATCH(Note!N21,Table91213[#Headers],),)</f>
        <v>50</v>
      </c>
      <c r="Q21" s="64">
        <f>VLOOKUP($Q$10,Details!$A:$L,MATCH(Note!N21,Table91213[#Headers],),)</f>
        <v>49.8</v>
      </c>
      <c r="R21" s="22">
        <f t="shared" si="0"/>
        <v>0.20000000000000284</v>
      </c>
      <c r="T21" s="67"/>
      <c r="U21" s="68"/>
    </row>
    <row r="22" spans="2:21" ht="16" customHeight="1" thickBot="1" x14ac:dyDescent="0.4">
      <c r="N22" s="84" t="s">
        <v>27</v>
      </c>
      <c r="O22" s="85"/>
      <c r="P22" s="23">
        <f>VLOOKUP($P$10,Details!$A:$L,MATCH(Note!N22,Table91213[#Headers],),)</f>
        <v>59</v>
      </c>
      <c r="Q22" s="23">
        <f>VLOOKUP($Q$10,Details!$A:$L,MATCH(Note!N22,Table91213[#Headers],),)</f>
        <v>47.7</v>
      </c>
      <c r="R22" s="24">
        <f t="shared" si="0"/>
        <v>11.299999999999997</v>
      </c>
      <c r="T22" s="67"/>
      <c r="U22" s="68"/>
    </row>
    <row r="23" spans="2:21" x14ac:dyDescent="0.35">
      <c r="T23" s="67"/>
      <c r="U23" s="68"/>
    </row>
    <row r="24" spans="2:21" x14ac:dyDescent="0.35">
      <c r="T24" s="67"/>
      <c r="U24" s="68"/>
    </row>
    <row r="25" spans="2:21" x14ac:dyDescent="0.35">
      <c r="T25" s="67"/>
      <c r="U25" s="68"/>
    </row>
    <row r="26" spans="2:21" x14ac:dyDescent="0.35">
      <c r="T26" s="67"/>
      <c r="U26" s="68"/>
    </row>
    <row r="27" spans="2:21" x14ac:dyDescent="0.35">
      <c r="T27" s="67"/>
      <c r="U27" s="68"/>
    </row>
    <row r="28" spans="2:21" ht="30" customHeight="1" x14ac:dyDescent="0.35">
      <c r="T28" s="67"/>
      <c r="U28" s="68"/>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dxfId="134" priority="6" operator="lessThan">
      <formula>0</formula>
    </cfRule>
    <cfRule type="cellIs" dxfId="133" priority="7" operator="greaterThan">
      <formula>0</formula>
    </cfRule>
  </conditionalFormatting>
  <conditionalFormatting sqref="U11:U28">
    <cfRule type="cellIs" dxfId="132" priority="1" operator="equal">
      <formula>0</formula>
    </cfRule>
    <cfRule type="cellIs" dxfId="131" priority="2" operator="lessThan">
      <formula>0</formula>
    </cfRule>
    <cfRule type="cellIs" dxfId="13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4" r:id="rId1" xr:uid="{00000000-0004-0000-0000-000000000000}"/>
    <hyperlink ref="B5" r:id="rId2" xr:uid="{00000000-0004-0000-0000-000001000000}"/>
  </hyperlinks>
  <pageMargins left="0.7" right="0.7" top="0.75" bottom="0.75" header="0.3" footer="0.3"/>
  <pageSetup paperSize="9" orientation="portrait" horizontalDpi="0" verticalDpi="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S38"/>
  <sheetViews>
    <sheetView topLeftCell="A34" zoomScale="150" zoomScaleNormal="150" workbookViewId="0">
      <selection activeCell="K38" sqref="K38"/>
    </sheetView>
  </sheetViews>
  <sheetFormatPr defaultColWidth="10.90625" defaultRowHeight="14.5" x14ac:dyDescent="0.35"/>
  <cols>
    <col min="1" max="1" width="25.1796875" customWidth="1"/>
  </cols>
  <sheetData>
    <row r="1" spans="1:19" x14ac:dyDescent="0.35">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row>
    <row r="2" spans="1:19" x14ac:dyDescent="0.35">
      <c r="A2" s="65">
        <v>43831</v>
      </c>
      <c r="B2">
        <v>-3</v>
      </c>
      <c r="C2">
        <v>-4</v>
      </c>
      <c r="D2">
        <v>10</v>
      </c>
      <c r="E2">
        <v>7</v>
      </c>
      <c r="F2">
        <v>6</v>
      </c>
      <c r="G2">
        <v>-1</v>
      </c>
      <c r="H2">
        <v>-6</v>
      </c>
      <c r="I2">
        <v>-2</v>
      </c>
      <c r="J2">
        <v>4</v>
      </c>
      <c r="K2">
        <v>-5</v>
      </c>
      <c r="L2">
        <v>3</v>
      </c>
      <c r="M2">
        <v>1</v>
      </c>
      <c r="N2">
        <v>12</v>
      </c>
      <c r="O2">
        <v>2</v>
      </c>
      <c r="P2">
        <v>9</v>
      </c>
      <c r="Q2">
        <v>11</v>
      </c>
      <c r="R2">
        <v>5</v>
      </c>
      <c r="S2">
        <v>8</v>
      </c>
    </row>
    <row r="3" spans="1:19" x14ac:dyDescent="0.35">
      <c r="A3" s="65">
        <v>43862</v>
      </c>
      <c r="B3">
        <v>-2</v>
      </c>
      <c r="C3">
        <v>11</v>
      </c>
      <c r="D3">
        <v>9</v>
      </c>
      <c r="E3">
        <v>16</v>
      </c>
      <c r="F3">
        <v>13</v>
      </c>
      <c r="G3">
        <v>12</v>
      </c>
      <c r="H3">
        <v>6</v>
      </c>
      <c r="I3">
        <v>14</v>
      </c>
      <c r="J3">
        <v>10</v>
      </c>
      <c r="K3">
        <v>7</v>
      </c>
      <c r="L3">
        <v>8</v>
      </c>
      <c r="M3">
        <v>4</v>
      </c>
      <c r="N3">
        <v>-1</v>
      </c>
      <c r="O3">
        <v>2</v>
      </c>
      <c r="P3">
        <v>5</v>
      </c>
      <c r="Q3">
        <v>15</v>
      </c>
      <c r="R3">
        <v>1</v>
      </c>
      <c r="S3">
        <v>3</v>
      </c>
    </row>
    <row r="4" spans="1:19" x14ac:dyDescent="0.35">
      <c r="A4" s="65">
        <v>43891</v>
      </c>
      <c r="B4">
        <v>-7</v>
      </c>
      <c r="C4">
        <v>-3</v>
      </c>
      <c r="D4">
        <v>9</v>
      </c>
      <c r="E4">
        <v>0</v>
      </c>
      <c r="F4">
        <v>5</v>
      </c>
      <c r="G4">
        <v>8</v>
      </c>
      <c r="H4">
        <v>-6</v>
      </c>
      <c r="I4">
        <v>-4</v>
      </c>
      <c r="J4">
        <v>4</v>
      </c>
      <c r="K4">
        <v>2</v>
      </c>
      <c r="L4">
        <v>7</v>
      </c>
      <c r="M4">
        <v>-5</v>
      </c>
      <c r="N4">
        <v>0</v>
      </c>
      <c r="O4">
        <v>1</v>
      </c>
      <c r="P4">
        <v>-1</v>
      </c>
      <c r="Q4">
        <v>3</v>
      </c>
      <c r="R4">
        <v>-2</v>
      </c>
      <c r="S4">
        <v>6</v>
      </c>
    </row>
    <row r="5" spans="1:19" x14ac:dyDescent="0.35">
      <c r="A5" s="65">
        <v>43922</v>
      </c>
      <c r="B5">
        <v>-16</v>
      </c>
      <c r="C5">
        <v>-13</v>
      </c>
      <c r="D5">
        <v>-1</v>
      </c>
      <c r="E5">
        <v>-6</v>
      </c>
      <c r="F5">
        <v>0</v>
      </c>
      <c r="G5">
        <v>-3</v>
      </c>
      <c r="H5">
        <v>-10</v>
      </c>
      <c r="I5">
        <v>-9</v>
      </c>
      <c r="J5">
        <v>-11</v>
      </c>
      <c r="K5">
        <v>-12</v>
      </c>
      <c r="L5">
        <v>2</v>
      </c>
      <c r="M5">
        <v>-8</v>
      </c>
      <c r="N5">
        <v>-15</v>
      </c>
      <c r="O5">
        <v>-7</v>
      </c>
      <c r="P5">
        <v>-4</v>
      </c>
      <c r="Q5">
        <v>-5</v>
      </c>
      <c r="R5">
        <v>-14</v>
      </c>
      <c r="S5">
        <v>-2</v>
      </c>
    </row>
    <row r="6" spans="1:19" x14ac:dyDescent="0.35">
      <c r="A6" s="65">
        <v>43952</v>
      </c>
      <c r="B6">
        <v>-13</v>
      </c>
      <c r="C6">
        <v>-12</v>
      </c>
      <c r="D6">
        <v>-2</v>
      </c>
      <c r="E6">
        <v>-6</v>
      </c>
      <c r="F6">
        <v>3</v>
      </c>
      <c r="G6">
        <v>-4</v>
      </c>
      <c r="H6">
        <v>-3</v>
      </c>
      <c r="I6">
        <v>-14</v>
      </c>
      <c r="J6">
        <v>-11</v>
      </c>
      <c r="K6">
        <v>-7</v>
      </c>
      <c r="L6">
        <v>2</v>
      </c>
      <c r="M6">
        <v>-9</v>
      </c>
      <c r="N6">
        <v>4</v>
      </c>
      <c r="O6">
        <v>1</v>
      </c>
      <c r="P6">
        <v>-10</v>
      </c>
      <c r="Q6">
        <v>-5</v>
      </c>
      <c r="R6">
        <v>-1</v>
      </c>
      <c r="S6">
        <v>-8</v>
      </c>
    </row>
    <row r="7" spans="1:19" x14ac:dyDescent="0.35">
      <c r="A7" s="65">
        <v>43983</v>
      </c>
      <c r="B7">
        <v>5</v>
      </c>
      <c r="C7">
        <v>-2</v>
      </c>
      <c r="D7">
        <v>10</v>
      </c>
      <c r="E7">
        <v>0</v>
      </c>
      <c r="F7">
        <v>3</v>
      </c>
      <c r="G7">
        <v>11</v>
      </c>
      <c r="H7">
        <v>6</v>
      </c>
      <c r="I7">
        <v>-3</v>
      </c>
      <c r="J7">
        <v>9</v>
      </c>
      <c r="K7">
        <v>12</v>
      </c>
      <c r="L7">
        <v>2</v>
      </c>
      <c r="M7">
        <v>1</v>
      </c>
      <c r="N7">
        <v>14</v>
      </c>
      <c r="O7">
        <v>4</v>
      </c>
      <c r="P7">
        <v>0</v>
      </c>
      <c r="Q7">
        <v>-1</v>
      </c>
      <c r="R7">
        <v>8</v>
      </c>
      <c r="S7">
        <v>7</v>
      </c>
    </row>
    <row r="8" spans="1:19" x14ac:dyDescent="0.35">
      <c r="A8" s="65">
        <v>44013</v>
      </c>
      <c r="B8">
        <v>15</v>
      </c>
      <c r="C8">
        <v>-3</v>
      </c>
      <c r="D8">
        <v>14</v>
      </c>
      <c r="E8">
        <v>2</v>
      </c>
      <c r="F8">
        <v>6</v>
      </c>
      <c r="G8">
        <v>4</v>
      </c>
      <c r="H8">
        <v>12</v>
      </c>
      <c r="I8">
        <v>-2</v>
      </c>
      <c r="J8">
        <v>9</v>
      </c>
      <c r="K8">
        <v>11</v>
      </c>
      <c r="L8">
        <v>7</v>
      </c>
      <c r="M8">
        <v>-1</v>
      </c>
      <c r="N8">
        <v>3</v>
      </c>
      <c r="O8">
        <v>1</v>
      </c>
      <c r="P8">
        <v>10</v>
      </c>
      <c r="Q8">
        <v>5</v>
      </c>
      <c r="R8">
        <v>13</v>
      </c>
      <c r="S8">
        <v>8</v>
      </c>
    </row>
    <row r="9" spans="1:19" x14ac:dyDescent="0.35">
      <c r="A9" s="65">
        <v>44044</v>
      </c>
      <c r="B9">
        <v>15</v>
      </c>
      <c r="C9">
        <v>-1</v>
      </c>
      <c r="D9">
        <v>14</v>
      </c>
      <c r="E9">
        <v>12</v>
      </c>
      <c r="F9">
        <v>5</v>
      </c>
      <c r="G9">
        <v>2</v>
      </c>
      <c r="H9">
        <v>11</v>
      </c>
      <c r="I9">
        <v>-3</v>
      </c>
      <c r="J9">
        <v>9</v>
      </c>
      <c r="K9">
        <v>10</v>
      </c>
      <c r="L9">
        <v>6</v>
      </c>
      <c r="M9">
        <v>1</v>
      </c>
      <c r="N9">
        <v>3</v>
      </c>
      <c r="O9">
        <v>-2</v>
      </c>
      <c r="P9">
        <v>4</v>
      </c>
      <c r="Q9">
        <v>7</v>
      </c>
      <c r="R9">
        <v>8</v>
      </c>
      <c r="S9">
        <v>13</v>
      </c>
    </row>
    <row r="10" spans="1:19" x14ac:dyDescent="0.35">
      <c r="A10" s="65">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35">
      <c r="A11" s="65">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35">
      <c r="A12" s="65">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35">
      <c r="A13" s="65">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35">
      <c r="A14" s="65">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35">
      <c r="A15" s="65">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35">
      <c r="A16" s="65">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35">
      <c r="A17" s="65">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35">
      <c r="A18" s="65">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35">
      <c r="A19" s="65">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35">
      <c r="A20" s="65">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35">
      <c r="A21" s="65">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35">
      <c r="A22" s="65">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35">
      <c r="A23" s="65">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35">
      <c r="A24" s="65">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35">
      <c r="A25" s="65">
        <v>44531</v>
      </c>
      <c r="B25">
        <v>12</v>
      </c>
      <c r="C25">
        <v>15</v>
      </c>
      <c r="D25">
        <v>3</v>
      </c>
      <c r="E25">
        <v>18</v>
      </c>
      <c r="F25">
        <v>4</v>
      </c>
      <c r="G25">
        <v>6</v>
      </c>
      <c r="H25">
        <v>8</v>
      </c>
      <c r="I25">
        <v>17</v>
      </c>
      <c r="J25">
        <v>11</v>
      </c>
      <c r="K25">
        <v>14</v>
      </c>
      <c r="L25">
        <v>7</v>
      </c>
      <c r="M25">
        <v>2</v>
      </c>
      <c r="N25">
        <v>1</v>
      </c>
      <c r="O25">
        <v>9</v>
      </c>
      <c r="P25">
        <v>10</v>
      </c>
      <c r="Q25">
        <v>16</v>
      </c>
      <c r="R25">
        <v>5</v>
      </c>
      <c r="S25">
        <v>13</v>
      </c>
    </row>
    <row r="26" spans="1:19" x14ac:dyDescent="0.35">
      <c r="A26" s="65">
        <v>44562</v>
      </c>
      <c r="B26">
        <v>17</v>
      </c>
      <c r="C26">
        <v>1</v>
      </c>
      <c r="D26">
        <v>5</v>
      </c>
      <c r="E26">
        <v>14</v>
      </c>
      <c r="F26">
        <v>6</v>
      </c>
      <c r="G26">
        <v>3</v>
      </c>
      <c r="H26">
        <v>12</v>
      </c>
      <c r="I26">
        <v>9</v>
      </c>
      <c r="J26">
        <v>16</v>
      </c>
      <c r="K26">
        <v>11</v>
      </c>
      <c r="L26">
        <v>7</v>
      </c>
      <c r="M26">
        <v>8</v>
      </c>
      <c r="N26">
        <v>18</v>
      </c>
      <c r="O26">
        <v>4</v>
      </c>
      <c r="P26">
        <v>2</v>
      </c>
      <c r="Q26">
        <v>15</v>
      </c>
      <c r="R26">
        <v>13</v>
      </c>
      <c r="S26">
        <v>10</v>
      </c>
    </row>
    <row r="27" spans="1:19" x14ac:dyDescent="0.35">
      <c r="A27" s="65">
        <v>44593</v>
      </c>
      <c r="B27">
        <v>11</v>
      </c>
      <c r="C27">
        <v>5</v>
      </c>
      <c r="D27">
        <v>3</v>
      </c>
      <c r="E27">
        <v>2</v>
      </c>
      <c r="F27">
        <v>7</v>
      </c>
      <c r="G27">
        <v>6</v>
      </c>
      <c r="H27">
        <v>9</v>
      </c>
      <c r="I27">
        <v>10</v>
      </c>
      <c r="J27">
        <v>18</v>
      </c>
      <c r="K27">
        <v>17</v>
      </c>
      <c r="L27">
        <v>13</v>
      </c>
      <c r="M27">
        <v>4</v>
      </c>
      <c r="N27">
        <v>12</v>
      </c>
      <c r="O27">
        <v>8</v>
      </c>
      <c r="P27">
        <v>15</v>
      </c>
      <c r="Q27">
        <v>16</v>
      </c>
      <c r="R27">
        <v>1</v>
      </c>
      <c r="S27">
        <v>14</v>
      </c>
    </row>
    <row r="28" spans="1:19" x14ac:dyDescent="0.35">
      <c r="A28" s="65">
        <v>44621</v>
      </c>
      <c r="B28">
        <v>9</v>
      </c>
      <c r="C28">
        <v>6</v>
      </c>
      <c r="D28">
        <v>2</v>
      </c>
      <c r="E28">
        <v>3</v>
      </c>
      <c r="F28">
        <v>1</v>
      </c>
      <c r="G28">
        <v>12</v>
      </c>
      <c r="H28">
        <v>15</v>
      </c>
      <c r="I28">
        <v>16</v>
      </c>
      <c r="J28">
        <v>18</v>
      </c>
      <c r="K28">
        <v>10</v>
      </c>
      <c r="L28">
        <v>7</v>
      </c>
      <c r="M28">
        <v>4</v>
      </c>
      <c r="N28">
        <v>13</v>
      </c>
      <c r="O28">
        <v>11</v>
      </c>
      <c r="P28">
        <v>8</v>
      </c>
      <c r="Q28">
        <v>17</v>
      </c>
      <c r="R28">
        <v>5</v>
      </c>
      <c r="S28">
        <v>14</v>
      </c>
    </row>
    <row r="29" spans="1:19" x14ac:dyDescent="0.35">
      <c r="A29" s="65">
        <v>44652</v>
      </c>
      <c r="B29">
        <v>18</v>
      </c>
      <c r="C29">
        <v>2</v>
      </c>
      <c r="D29">
        <v>4</v>
      </c>
      <c r="E29">
        <v>13</v>
      </c>
      <c r="F29">
        <v>10</v>
      </c>
      <c r="G29">
        <v>16</v>
      </c>
      <c r="H29">
        <v>6</v>
      </c>
      <c r="I29">
        <v>17</v>
      </c>
      <c r="J29">
        <v>14</v>
      </c>
      <c r="K29">
        <v>15</v>
      </c>
      <c r="L29">
        <v>9</v>
      </c>
      <c r="M29">
        <v>5</v>
      </c>
      <c r="N29">
        <v>1</v>
      </c>
      <c r="O29">
        <v>7</v>
      </c>
      <c r="P29">
        <v>11</v>
      </c>
      <c r="Q29">
        <v>12</v>
      </c>
      <c r="R29">
        <v>3</v>
      </c>
      <c r="S29">
        <v>8</v>
      </c>
    </row>
    <row r="30" spans="1:19" x14ac:dyDescent="0.35">
      <c r="A30" s="65">
        <v>44682</v>
      </c>
      <c r="B30">
        <v>18</v>
      </c>
      <c r="C30">
        <v>10</v>
      </c>
      <c r="D30">
        <v>3</v>
      </c>
      <c r="E30">
        <v>14</v>
      </c>
      <c r="F30">
        <v>7</v>
      </c>
      <c r="G30">
        <v>12</v>
      </c>
      <c r="H30">
        <v>13</v>
      </c>
      <c r="I30">
        <v>17</v>
      </c>
      <c r="J30">
        <v>16</v>
      </c>
      <c r="K30">
        <v>11</v>
      </c>
      <c r="L30">
        <v>9</v>
      </c>
      <c r="M30">
        <v>4</v>
      </c>
      <c r="N30">
        <v>1</v>
      </c>
      <c r="O30">
        <v>5</v>
      </c>
      <c r="P30">
        <v>8</v>
      </c>
      <c r="Q30">
        <v>15</v>
      </c>
      <c r="R30">
        <v>6</v>
      </c>
      <c r="S30">
        <v>2</v>
      </c>
    </row>
    <row r="31" spans="1:19" x14ac:dyDescent="0.35">
      <c r="A31" s="65">
        <v>44713</v>
      </c>
      <c r="B31">
        <v>18</v>
      </c>
      <c r="C31">
        <v>2</v>
      </c>
      <c r="D31">
        <v>4</v>
      </c>
      <c r="E31">
        <v>13</v>
      </c>
      <c r="F31">
        <v>7</v>
      </c>
      <c r="G31">
        <v>8</v>
      </c>
      <c r="H31">
        <v>16</v>
      </c>
      <c r="I31">
        <v>17</v>
      </c>
      <c r="J31">
        <v>6</v>
      </c>
      <c r="K31">
        <v>11</v>
      </c>
      <c r="L31">
        <v>15</v>
      </c>
      <c r="M31">
        <v>9</v>
      </c>
      <c r="N31">
        <v>1</v>
      </c>
      <c r="O31">
        <v>10</v>
      </c>
      <c r="P31">
        <v>12</v>
      </c>
      <c r="Q31">
        <v>3</v>
      </c>
      <c r="R31">
        <v>14</v>
      </c>
      <c r="S31">
        <v>5</v>
      </c>
    </row>
    <row r="32" spans="1:19" x14ac:dyDescent="0.35">
      <c r="A32" s="65">
        <v>44743</v>
      </c>
      <c r="B32">
        <v>0</v>
      </c>
      <c r="C32">
        <v>3</v>
      </c>
      <c r="D32">
        <v>4</v>
      </c>
      <c r="E32">
        <v>13</v>
      </c>
      <c r="F32">
        <v>10</v>
      </c>
      <c r="G32">
        <v>7</v>
      </c>
      <c r="H32">
        <v>6</v>
      </c>
      <c r="I32">
        <v>16</v>
      </c>
      <c r="J32">
        <v>5</v>
      </c>
      <c r="K32">
        <v>1</v>
      </c>
      <c r="L32">
        <v>15</v>
      </c>
      <c r="M32">
        <v>8</v>
      </c>
      <c r="N32">
        <v>12</v>
      </c>
      <c r="O32">
        <v>14</v>
      </c>
      <c r="P32">
        <v>11</v>
      </c>
      <c r="Q32">
        <v>9</v>
      </c>
      <c r="R32">
        <v>0</v>
      </c>
      <c r="S32">
        <v>2</v>
      </c>
    </row>
    <row r="33" spans="1:19" x14ac:dyDescent="0.35">
      <c r="A33" s="65">
        <v>44774</v>
      </c>
      <c r="B33">
        <v>15</v>
      </c>
      <c r="C33">
        <v>14</v>
      </c>
      <c r="D33">
        <v>13</v>
      </c>
      <c r="E33">
        <v>-1</v>
      </c>
      <c r="F33">
        <v>7</v>
      </c>
      <c r="G33">
        <v>16</v>
      </c>
      <c r="H33">
        <v>12</v>
      </c>
      <c r="I33">
        <v>17</v>
      </c>
      <c r="J33">
        <v>4</v>
      </c>
      <c r="K33">
        <v>2</v>
      </c>
      <c r="L33">
        <v>11</v>
      </c>
      <c r="M33">
        <v>1</v>
      </c>
      <c r="N33">
        <v>9</v>
      </c>
      <c r="O33">
        <v>5</v>
      </c>
      <c r="P33">
        <v>8</v>
      </c>
      <c r="Q33">
        <v>6</v>
      </c>
      <c r="R33">
        <v>3</v>
      </c>
      <c r="S33">
        <v>10</v>
      </c>
    </row>
    <row r="34" spans="1:19" x14ac:dyDescent="0.35">
      <c r="A34" s="65">
        <v>44805</v>
      </c>
      <c r="B34">
        <v>18</v>
      </c>
      <c r="C34">
        <v>7</v>
      </c>
      <c r="D34">
        <v>16</v>
      </c>
      <c r="E34">
        <v>3</v>
      </c>
      <c r="F34">
        <v>11</v>
      </c>
      <c r="G34">
        <v>12</v>
      </c>
      <c r="H34">
        <v>1</v>
      </c>
      <c r="I34">
        <v>6</v>
      </c>
      <c r="J34">
        <v>8</v>
      </c>
      <c r="K34">
        <v>2</v>
      </c>
      <c r="L34">
        <v>17</v>
      </c>
      <c r="M34">
        <v>5</v>
      </c>
      <c r="N34">
        <v>15</v>
      </c>
      <c r="O34">
        <v>10</v>
      </c>
      <c r="P34">
        <v>4</v>
      </c>
      <c r="Q34">
        <v>14</v>
      </c>
      <c r="R34">
        <v>9</v>
      </c>
      <c r="S34">
        <v>13</v>
      </c>
    </row>
    <row r="35" spans="1:19" x14ac:dyDescent="0.35">
      <c r="A35" s="65">
        <v>44835</v>
      </c>
      <c r="B35">
        <v>5</v>
      </c>
      <c r="C35">
        <v>4</v>
      </c>
      <c r="D35">
        <v>14</v>
      </c>
      <c r="E35">
        <v>2</v>
      </c>
      <c r="F35">
        <v>15</v>
      </c>
      <c r="G35">
        <v>17</v>
      </c>
      <c r="H35">
        <v>10</v>
      </c>
      <c r="I35">
        <v>13</v>
      </c>
      <c r="J35">
        <v>11</v>
      </c>
      <c r="K35">
        <v>-1</v>
      </c>
      <c r="L35">
        <v>7</v>
      </c>
      <c r="M35">
        <v>8</v>
      </c>
      <c r="N35">
        <v>3</v>
      </c>
      <c r="O35">
        <v>16</v>
      </c>
      <c r="P35">
        <v>9</v>
      </c>
      <c r="Q35">
        <v>6</v>
      </c>
      <c r="R35">
        <v>1</v>
      </c>
      <c r="S35">
        <v>12</v>
      </c>
    </row>
    <row r="36" spans="1:19" x14ac:dyDescent="0.35">
      <c r="A36" s="65">
        <v>44866</v>
      </c>
      <c r="B36">
        <v>5</v>
      </c>
      <c r="C36">
        <v>7</v>
      </c>
      <c r="D36">
        <v>14</v>
      </c>
      <c r="E36">
        <v>16</v>
      </c>
      <c r="F36">
        <v>1</v>
      </c>
      <c r="G36">
        <v>15</v>
      </c>
      <c r="H36">
        <v>2</v>
      </c>
      <c r="I36">
        <v>4</v>
      </c>
      <c r="J36">
        <v>-1</v>
      </c>
      <c r="K36">
        <v>-2</v>
      </c>
      <c r="L36">
        <v>12</v>
      </c>
      <c r="M36">
        <v>6</v>
      </c>
      <c r="N36">
        <v>8</v>
      </c>
      <c r="O36">
        <v>9</v>
      </c>
      <c r="P36">
        <v>11</v>
      </c>
      <c r="Q36">
        <v>13</v>
      </c>
      <c r="R36">
        <v>3</v>
      </c>
      <c r="S36">
        <v>10</v>
      </c>
    </row>
    <row r="37" spans="1:19" x14ac:dyDescent="0.35">
      <c r="A37" s="65">
        <v>44896</v>
      </c>
      <c r="B37">
        <v>0</v>
      </c>
      <c r="C37">
        <v>6</v>
      </c>
      <c r="D37">
        <v>13</v>
      </c>
      <c r="E37">
        <v>8</v>
      </c>
      <c r="F37">
        <v>4</v>
      </c>
      <c r="G37">
        <v>0</v>
      </c>
      <c r="H37">
        <v>3</v>
      </c>
      <c r="I37">
        <v>0</v>
      </c>
      <c r="J37">
        <v>2</v>
      </c>
      <c r="K37">
        <v>1</v>
      </c>
      <c r="L37">
        <v>15</v>
      </c>
      <c r="M37">
        <v>9</v>
      </c>
      <c r="N37">
        <v>7</v>
      </c>
      <c r="O37">
        <v>14</v>
      </c>
      <c r="P37">
        <v>5</v>
      </c>
      <c r="Q37">
        <v>12</v>
      </c>
      <c r="R37">
        <v>11</v>
      </c>
      <c r="S37">
        <v>10</v>
      </c>
    </row>
    <row r="38" spans="1:19" x14ac:dyDescent="0.35">
      <c r="A38" s="65">
        <v>44927</v>
      </c>
      <c r="B38">
        <v>15</v>
      </c>
      <c r="C38">
        <v>10</v>
      </c>
      <c r="D38">
        <v>8</v>
      </c>
      <c r="E38">
        <v>9</v>
      </c>
      <c r="F38">
        <v>2</v>
      </c>
      <c r="G38">
        <v>13</v>
      </c>
      <c r="H38">
        <v>0</v>
      </c>
      <c r="I38">
        <v>0</v>
      </c>
      <c r="J38">
        <v>-1</v>
      </c>
      <c r="K38">
        <v>1</v>
      </c>
      <c r="L38">
        <v>7</v>
      </c>
      <c r="M38">
        <v>6</v>
      </c>
      <c r="N38">
        <v>4</v>
      </c>
      <c r="O38">
        <v>3</v>
      </c>
      <c r="P38">
        <v>11</v>
      </c>
      <c r="Q38">
        <v>14</v>
      </c>
      <c r="R38">
        <v>5</v>
      </c>
      <c r="S38">
        <v>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8"/>
  <sheetViews>
    <sheetView topLeftCell="A27" zoomScale="150" zoomScaleNormal="150" workbookViewId="0">
      <selection activeCell="J58" sqref="J58"/>
    </sheetView>
  </sheetViews>
  <sheetFormatPr defaultColWidth="10.90625" defaultRowHeight="14.5" x14ac:dyDescent="0.35"/>
  <sheetData>
    <row r="1" spans="1:19" x14ac:dyDescent="0.35">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row>
    <row r="2" spans="1:19" x14ac:dyDescent="0.35">
      <c r="A2" s="65">
        <v>43831</v>
      </c>
      <c r="B2">
        <v>-3</v>
      </c>
      <c r="C2">
        <v>-1</v>
      </c>
      <c r="D2">
        <v>10</v>
      </c>
      <c r="E2">
        <v>5</v>
      </c>
      <c r="F2">
        <v>7</v>
      </c>
      <c r="G2">
        <v>0</v>
      </c>
      <c r="H2">
        <v>9</v>
      </c>
      <c r="I2">
        <v>-4</v>
      </c>
      <c r="J2">
        <v>6</v>
      </c>
      <c r="K2">
        <v>-2</v>
      </c>
      <c r="L2">
        <v>8</v>
      </c>
      <c r="M2">
        <v>1</v>
      </c>
      <c r="N2">
        <v>12</v>
      </c>
      <c r="O2">
        <v>3</v>
      </c>
      <c r="P2">
        <v>2</v>
      </c>
      <c r="Q2">
        <v>11</v>
      </c>
      <c r="R2">
        <v>0</v>
      </c>
      <c r="S2">
        <v>4</v>
      </c>
    </row>
    <row r="3" spans="1:19" x14ac:dyDescent="0.35">
      <c r="A3" s="65">
        <v>43862</v>
      </c>
      <c r="B3">
        <v>-3</v>
      </c>
      <c r="C3">
        <v>1</v>
      </c>
      <c r="D3">
        <v>6</v>
      </c>
      <c r="E3">
        <v>13</v>
      </c>
      <c r="F3">
        <v>9</v>
      </c>
      <c r="G3">
        <v>10</v>
      </c>
      <c r="H3">
        <v>7</v>
      </c>
      <c r="I3">
        <v>11</v>
      </c>
      <c r="J3">
        <v>4</v>
      </c>
      <c r="K3">
        <v>3</v>
      </c>
      <c r="L3">
        <v>8</v>
      </c>
      <c r="M3">
        <v>2</v>
      </c>
      <c r="N3">
        <v>0</v>
      </c>
      <c r="O3">
        <v>-2</v>
      </c>
      <c r="P3">
        <v>5</v>
      </c>
      <c r="Q3">
        <v>12</v>
      </c>
      <c r="R3">
        <v>0</v>
      </c>
      <c r="S3">
        <v>-1</v>
      </c>
    </row>
    <row r="4" spans="1:19" x14ac:dyDescent="0.35">
      <c r="A4" s="65">
        <v>43891</v>
      </c>
      <c r="B4">
        <v>-9</v>
      </c>
      <c r="C4">
        <v>-7</v>
      </c>
      <c r="D4">
        <v>5</v>
      </c>
      <c r="E4">
        <v>4</v>
      </c>
      <c r="F4">
        <v>1</v>
      </c>
      <c r="G4">
        <v>0</v>
      </c>
      <c r="H4">
        <v>-3</v>
      </c>
      <c r="I4">
        <v>-8</v>
      </c>
      <c r="J4">
        <v>3</v>
      </c>
      <c r="K4">
        <v>-2</v>
      </c>
      <c r="L4">
        <v>2</v>
      </c>
      <c r="M4">
        <v>-4</v>
      </c>
      <c r="N4">
        <v>0</v>
      </c>
      <c r="O4">
        <v>-1</v>
      </c>
      <c r="P4">
        <v>-6</v>
      </c>
      <c r="Q4">
        <v>0</v>
      </c>
      <c r="R4">
        <v>-5</v>
      </c>
      <c r="S4">
        <v>0</v>
      </c>
    </row>
    <row r="5" spans="1:19" x14ac:dyDescent="0.35">
      <c r="A5" s="65">
        <v>43922</v>
      </c>
      <c r="B5">
        <v>-17</v>
      </c>
      <c r="C5">
        <v>-13</v>
      </c>
      <c r="D5">
        <v>-4</v>
      </c>
      <c r="E5">
        <v>-2</v>
      </c>
      <c r="F5">
        <v>0</v>
      </c>
      <c r="G5">
        <v>-12</v>
      </c>
      <c r="H5">
        <v>-15</v>
      </c>
      <c r="I5">
        <v>-5</v>
      </c>
      <c r="J5">
        <v>-7</v>
      </c>
      <c r="K5">
        <v>-8</v>
      </c>
      <c r="L5">
        <v>-1</v>
      </c>
      <c r="M5">
        <v>-11</v>
      </c>
      <c r="N5">
        <v>-16</v>
      </c>
      <c r="O5">
        <v>-3</v>
      </c>
      <c r="P5">
        <v>-10</v>
      </c>
      <c r="Q5">
        <v>-9</v>
      </c>
      <c r="R5">
        <v>-14</v>
      </c>
      <c r="S5">
        <v>-6</v>
      </c>
    </row>
    <row r="6" spans="1:19" x14ac:dyDescent="0.35">
      <c r="A6" s="65">
        <v>43952</v>
      </c>
      <c r="B6">
        <v>-8</v>
      </c>
      <c r="C6">
        <v>-10</v>
      </c>
      <c r="D6">
        <v>-6</v>
      </c>
      <c r="E6">
        <v>-5</v>
      </c>
      <c r="F6">
        <v>2</v>
      </c>
      <c r="G6">
        <v>0</v>
      </c>
      <c r="H6">
        <v>-2</v>
      </c>
      <c r="I6">
        <v>-13</v>
      </c>
      <c r="J6">
        <v>-11</v>
      </c>
      <c r="K6">
        <v>-4</v>
      </c>
      <c r="L6">
        <v>0</v>
      </c>
      <c r="M6">
        <v>-7</v>
      </c>
      <c r="N6">
        <v>3</v>
      </c>
      <c r="O6">
        <v>-1</v>
      </c>
      <c r="P6">
        <v>-12</v>
      </c>
      <c r="Q6">
        <v>-3</v>
      </c>
      <c r="R6">
        <v>1</v>
      </c>
      <c r="S6">
        <v>-9</v>
      </c>
    </row>
    <row r="7" spans="1:19" x14ac:dyDescent="0.35">
      <c r="A7" s="65">
        <v>43983</v>
      </c>
      <c r="B7">
        <v>0</v>
      </c>
      <c r="C7">
        <v>-1</v>
      </c>
      <c r="D7">
        <v>11</v>
      </c>
      <c r="E7">
        <v>14</v>
      </c>
      <c r="F7">
        <v>13</v>
      </c>
      <c r="G7">
        <v>7</v>
      </c>
      <c r="H7">
        <v>5</v>
      </c>
      <c r="I7">
        <v>2</v>
      </c>
      <c r="J7">
        <v>12</v>
      </c>
      <c r="K7">
        <v>4</v>
      </c>
      <c r="L7">
        <v>0</v>
      </c>
      <c r="M7">
        <v>1</v>
      </c>
      <c r="N7">
        <v>8</v>
      </c>
      <c r="O7">
        <v>3</v>
      </c>
      <c r="P7">
        <v>6</v>
      </c>
      <c r="Q7">
        <v>15</v>
      </c>
      <c r="R7">
        <v>9</v>
      </c>
      <c r="S7">
        <v>10</v>
      </c>
    </row>
    <row r="8" spans="1:19" x14ac:dyDescent="0.35">
      <c r="A8" s="65">
        <v>44013</v>
      </c>
      <c r="B8">
        <v>11</v>
      </c>
      <c r="C8">
        <v>-2</v>
      </c>
      <c r="D8">
        <v>9</v>
      </c>
      <c r="E8">
        <v>5</v>
      </c>
      <c r="F8">
        <v>2</v>
      </c>
      <c r="G8">
        <v>8</v>
      </c>
      <c r="H8">
        <v>14</v>
      </c>
      <c r="I8">
        <v>-3</v>
      </c>
      <c r="J8">
        <v>4</v>
      </c>
      <c r="K8">
        <v>10</v>
      </c>
      <c r="L8">
        <v>7</v>
      </c>
      <c r="M8">
        <v>0</v>
      </c>
      <c r="N8">
        <v>6</v>
      </c>
      <c r="O8">
        <v>-1</v>
      </c>
      <c r="P8">
        <v>12</v>
      </c>
      <c r="Q8">
        <v>3</v>
      </c>
      <c r="R8">
        <v>13</v>
      </c>
      <c r="S8">
        <v>1</v>
      </c>
    </row>
    <row r="9" spans="1:19" x14ac:dyDescent="0.35">
      <c r="A9" s="65">
        <v>44044</v>
      </c>
      <c r="B9">
        <v>13</v>
      </c>
      <c r="C9">
        <v>0</v>
      </c>
      <c r="D9">
        <v>9</v>
      </c>
      <c r="E9">
        <v>2</v>
      </c>
      <c r="F9">
        <v>4</v>
      </c>
      <c r="G9">
        <v>10</v>
      </c>
      <c r="H9">
        <v>5</v>
      </c>
      <c r="I9">
        <v>-1</v>
      </c>
      <c r="J9">
        <v>6</v>
      </c>
      <c r="K9">
        <v>8</v>
      </c>
      <c r="L9">
        <v>7</v>
      </c>
      <c r="M9">
        <v>0</v>
      </c>
      <c r="N9">
        <v>-3</v>
      </c>
      <c r="O9">
        <v>-2</v>
      </c>
      <c r="P9">
        <v>3</v>
      </c>
      <c r="Q9">
        <v>11</v>
      </c>
      <c r="R9">
        <v>1</v>
      </c>
      <c r="S9">
        <v>12</v>
      </c>
    </row>
    <row r="10" spans="1:19" x14ac:dyDescent="0.35">
      <c r="A10" s="65">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35">
      <c r="A11" s="65">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35">
      <c r="A12" s="65">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35">
      <c r="A13" s="65">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35">
      <c r="A14" s="65">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35">
      <c r="A15" s="65">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35">
      <c r="A16" s="65">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35">
      <c r="A17" s="65">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35">
      <c r="A18" s="65">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35">
      <c r="A19" s="65">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35">
      <c r="A20" s="65">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35">
      <c r="A21" s="65">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35">
      <c r="A22" s="65">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35">
      <c r="A23" s="65">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35">
      <c r="A24" s="65">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35">
      <c r="A25" s="65">
        <v>44531</v>
      </c>
      <c r="B25">
        <v>9</v>
      </c>
      <c r="C25">
        <v>7</v>
      </c>
      <c r="D25">
        <v>11</v>
      </c>
      <c r="E25">
        <v>15</v>
      </c>
      <c r="F25">
        <v>6</v>
      </c>
      <c r="G25">
        <v>5</v>
      </c>
      <c r="H25">
        <v>14</v>
      </c>
      <c r="I25">
        <v>-3</v>
      </c>
      <c r="J25">
        <v>8</v>
      </c>
      <c r="K25">
        <v>12</v>
      </c>
      <c r="L25">
        <v>1</v>
      </c>
      <c r="M25">
        <v>2</v>
      </c>
      <c r="N25">
        <v>-2</v>
      </c>
      <c r="O25">
        <v>3</v>
      </c>
      <c r="P25">
        <v>-1</v>
      </c>
      <c r="Q25">
        <v>10</v>
      </c>
      <c r="R25">
        <v>13</v>
      </c>
      <c r="S25">
        <v>4</v>
      </c>
    </row>
    <row r="26" spans="1:19" x14ac:dyDescent="0.35">
      <c r="A26" s="65">
        <v>44562</v>
      </c>
      <c r="B26">
        <v>-7</v>
      </c>
      <c r="C26">
        <v>0</v>
      </c>
      <c r="D26">
        <v>7</v>
      </c>
      <c r="E26">
        <v>-4</v>
      </c>
      <c r="F26">
        <v>2</v>
      </c>
      <c r="G26">
        <v>-2</v>
      </c>
      <c r="H26">
        <v>-3</v>
      </c>
      <c r="I26">
        <v>0</v>
      </c>
      <c r="J26">
        <v>6</v>
      </c>
      <c r="K26">
        <v>0</v>
      </c>
      <c r="L26">
        <v>5</v>
      </c>
      <c r="M26">
        <v>3</v>
      </c>
      <c r="N26">
        <v>-6</v>
      </c>
      <c r="O26">
        <v>-5</v>
      </c>
      <c r="P26">
        <v>-1</v>
      </c>
      <c r="Q26">
        <v>1</v>
      </c>
      <c r="R26">
        <v>8</v>
      </c>
      <c r="S26">
        <v>4</v>
      </c>
    </row>
    <row r="27" spans="1:19" x14ac:dyDescent="0.35">
      <c r="A27" s="65">
        <v>44593</v>
      </c>
      <c r="B27">
        <v>-3</v>
      </c>
      <c r="C27">
        <v>3</v>
      </c>
      <c r="D27">
        <v>1</v>
      </c>
      <c r="E27">
        <v>-1</v>
      </c>
      <c r="F27">
        <v>8</v>
      </c>
      <c r="G27">
        <v>-4</v>
      </c>
      <c r="H27">
        <v>11</v>
      </c>
      <c r="I27">
        <v>10</v>
      </c>
      <c r="J27">
        <v>7</v>
      </c>
      <c r="K27">
        <v>9</v>
      </c>
      <c r="L27">
        <v>6</v>
      </c>
      <c r="M27">
        <v>4</v>
      </c>
      <c r="N27">
        <v>-2</v>
      </c>
      <c r="O27">
        <v>0</v>
      </c>
      <c r="P27">
        <v>12</v>
      </c>
      <c r="Q27">
        <v>13</v>
      </c>
      <c r="R27">
        <v>2</v>
      </c>
      <c r="S27">
        <v>5</v>
      </c>
    </row>
    <row r="28" spans="1:19" x14ac:dyDescent="0.35">
      <c r="A28" s="65">
        <v>44621</v>
      </c>
      <c r="B28">
        <v>13</v>
      </c>
      <c r="C28">
        <v>10</v>
      </c>
      <c r="D28">
        <v>-1</v>
      </c>
      <c r="E28">
        <v>8</v>
      </c>
      <c r="F28">
        <v>3</v>
      </c>
      <c r="G28">
        <v>0</v>
      </c>
      <c r="H28">
        <v>4</v>
      </c>
      <c r="I28">
        <v>0</v>
      </c>
      <c r="J28">
        <v>6</v>
      </c>
      <c r="K28">
        <v>11</v>
      </c>
      <c r="L28">
        <v>5</v>
      </c>
      <c r="M28">
        <v>1</v>
      </c>
      <c r="N28">
        <v>-2</v>
      </c>
      <c r="O28">
        <v>7</v>
      </c>
      <c r="P28">
        <v>12</v>
      </c>
      <c r="Q28">
        <v>2</v>
      </c>
      <c r="R28">
        <v>0</v>
      </c>
      <c r="S28">
        <v>9</v>
      </c>
    </row>
    <row r="29" spans="1:19" x14ac:dyDescent="0.35">
      <c r="A29" s="65">
        <v>44652</v>
      </c>
      <c r="B29">
        <v>0</v>
      </c>
      <c r="C29">
        <v>2</v>
      </c>
      <c r="D29">
        <v>4</v>
      </c>
      <c r="E29">
        <v>13</v>
      </c>
      <c r="F29">
        <v>1</v>
      </c>
      <c r="G29">
        <v>14</v>
      </c>
      <c r="H29">
        <v>8</v>
      </c>
      <c r="I29">
        <v>11</v>
      </c>
      <c r="J29">
        <v>6</v>
      </c>
      <c r="K29">
        <v>3</v>
      </c>
      <c r="L29">
        <v>10</v>
      </c>
      <c r="M29">
        <v>7</v>
      </c>
      <c r="N29">
        <v>0</v>
      </c>
      <c r="O29">
        <v>0</v>
      </c>
      <c r="P29">
        <v>12</v>
      </c>
      <c r="Q29">
        <v>5</v>
      </c>
      <c r="R29">
        <v>0</v>
      </c>
      <c r="S29">
        <v>9</v>
      </c>
    </row>
    <row r="30" spans="1:19" x14ac:dyDescent="0.35">
      <c r="A30" s="65">
        <v>44682</v>
      </c>
      <c r="B30">
        <v>10</v>
      </c>
      <c r="C30">
        <v>0</v>
      </c>
      <c r="D30">
        <v>1</v>
      </c>
      <c r="E30">
        <v>5</v>
      </c>
      <c r="F30">
        <v>0</v>
      </c>
      <c r="G30">
        <v>8</v>
      </c>
      <c r="H30">
        <v>2</v>
      </c>
      <c r="I30">
        <v>13</v>
      </c>
      <c r="J30">
        <v>12</v>
      </c>
      <c r="K30">
        <v>4</v>
      </c>
      <c r="L30">
        <v>3</v>
      </c>
      <c r="M30">
        <v>6</v>
      </c>
      <c r="N30">
        <v>-3</v>
      </c>
      <c r="O30">
        <v>-1</v>
      </c>
      <c r="P30">
        <v>11</v>
      </c>
      <c r="Q30">
        <v>9</v>
      </c>
      <c r="R30">
        <v>-2</v>
      </c>
      <c r="S30">
        <v>7</v>
      </c>
    </row>
    <row r="31" spans="1:19" x14ac:dyDescent="0.35">
      <c r="A31" s="65">
        <v>44713</v>
      </c>
      <c r="B31">
        <v>11</v>
      </c>
      <c r="C31">
        <v>13</v>
      </c>
      <c r="D31">
        <v>4</v>
      </c>
      <c r="E31">
        <v>12</v>
      </c>
      <c r="F31">
        <v>7</v>
      </c>
      <c r="G31">
        <v>0</v>
      </c>
      <c r="H31">
        <v>2</v>
      </c>
      <c r="I31">
        <v>10</v>
      </c>
      <c r="J31">
        <v>14</v>
      </c>
      <c r="K31">
        <v>6</v>
      </c>
      <c r="L31">
        <v>1</v>
      </c>
      <c r="M31">
        <v>9</v>
      </c>
      <c r="N31">
        <v>0</v>
      </c>
      <c r="O31">
        <v>3</v>
      </c>
      <c r="P31">
        <v>5</v>
      </c>
      <c r="Q31">
        <v>15</v>
      </c>
      <c r="R31">
        <v>0</v>
      </c>
      <c r="S31">
        <v>8</v>
      </c>
    </row>
    <row r="32" spans="1:19" x14ac:dyDescent="0.35">
      <c r="A32" s="65">
        <v>44743</v>
      </c>
      <c r="B32">
        <v>0</v>
      </c>
      <c r="C32">
        <v>6</v>
      </c>
      <c r="D32">
        <v>4</v>
      </c>
      <c r="E32">
        <v>-3</v>
      </c>
      <c r="F32">
        <v>-1</v>
      </c>
      <c r="G32">
        <v>12</v>
      </c>
      <c r="H32">
        <v>2</v>
      </c>
      <c r="I32">
        <v>13</v>
      </c>
      <c r="J32">
        <v>7</v>
      </c>
      <c r="K32">
        <v>3</v>
      </c>
      <c r="L32">
        <v>10</v>
      </c>
      <c r="M32">
        <v>5</v>
      </c>
      <c r="N32">
        <v>-4</v>
      </c>
      <c r="O32">
        <v>1</v>
      </c>
      <c r="P32">
        <v>11</v>
      </c>
      <c r="Q32">
        <v>9</v>
      </c>
      <c r="R32">
        <v>-2</v>
      </c>
      <c r="S32">
        <v>8</v>
      </c>
    </row>
    <row r="33" spans="1:19" x14ac:dyDescent="0.35">
      <c r="A33" s="65">
        <v>44774</v>
      </c>
      <c r="B33">
        <v>-1</v>
      </c>
      <c r="C33">
        <v>0</v>
      </c>
      <c r="D33">
        <v>2</v>
      </c>
      <c r="E33">
        <v>-2</v>
      </c>
      <c r="F33">
        <v>1</v>
      </c>
      <c r="G33">
        <v>11</v>
      </c>
      <c r="H33">
        <v>5</v>
      </c>
      <c r="I33">
        <v>0</v>
      </c>
      <c r="J33">
        <v>7</v>
      </c>
      <c r="K33">
        <v>6</v>
      </c>
      <c r="L33">
        <v>4</v>
      </c>
      <c r="M33">
        <v>3</v>
      </c>
      <c r="N33">
        <v>-3</v>
      </c>
      <c r="O33">
        <v>9</v>
      </c>
      <c r="P33">
        <v>8</v>
      </c>
      <c r="Q33">
        <v>0</v>
      </c>
      <c r="R33">
        <v>0</v>
      </c>
      <c r="S33">
        <v>10</v>
      </c>
    </row>
    <row r="34" spans="1:19" x14ac:dyDescent="0.35">
      <c r="A34" s="65">
        <v>44805</v>
      </c>
      <c r="B34">
        <v>-1</v>
      </c>
      <c r="C34">
        <v>12</v>
      </c>
      <c r="D34">
        <v>9</v>
      </c>
      <c r="E34">
        <v>-2</v>
      </c>
      <c r="F34">
        <v>8</v>
      </c>
      <c r="G34">
        <v>5</v>
      </c>
      <c r="H34">
        <v>1</v>
      </c>
      <c r="I34">
        <v>14</v>
      </c>
      <c r="J34">
        <v>0</v>
      </c>
      <c r="K34">
        <v>10</v>
      </c>
      <c r="L34">
        <v>4</v>
      </c>
      <c r="M34">
        <v>3</v>
      </c>
      <c r="N34">
        <v>6</v>
      </c>
      <c r="O34">
        <v>13</v>
      </c>
      <c r="P34">
        <v>11</v>
      </c>
      <c r="Q34">
        <v>0</v>
      </c>
      <c r="R34">
        <v>2</v>
      </c>
      <c r="S34">
        <v>7</v>
      </c>
    </row>
    <row r="35" spans="1:19" x14ac:dyDescent="0.35">
      <c r="A35" s="65">
        <v>44835</v>
      </c>
      <c r="B35">
        <v>11</v>
      </c>
      <c r="C35">
        <v>5</v>
      </c>
      <c r="D35">
        <v>1</v>
      </c>
      <c r="E35">
        <v>7</v>
      </c>
      <c r="F35">
        <v>4</v>
      </c>
      <c r="G35">
        <v>-2</v>
      </c>
      <c r="H35">
        <v>9</v>
      </c>
      <c r="I35">
        <v>15</v>
      </c>
      <c r="J35">
        <v>13</v>
      </c>
      <c r="K35">
        <v>2</v>
      </c>
      <c r="L35">
        <v>0</v>
      </c>
      <c r="M35">
        <v>6</v>
      </c>
      <c r="N35">
        <v>14</v>
      </c>
      <c r="O35">
        <v>12</v>
      </c>
      <c r="P35">
        <v>10</v>
      </c>
      <c r="Q35">
        <v>-1</v>
      </c>
      <c r="R35">
        <v>3</v>
      </c>
      <c r="S35">
        <v>8</v>
      </c>
    </row>
    <row r="36" spans="1:19" x14ac:dyDescent="0.35">
      <c r="A36" s="65">
        <v>44866</v>
      </c>
      <c r="B36">
        <v>0</v>
      </c>
      <c r="C36">
        <v>10</v>
      </c>
      <c r="D36">
        <v>6</v>
      </c>
      <c r="E36">
        <v>12</v>
      </c>
      <c r="F36">
        <v>0</v>
      </c>
      <c r="G36">
        <v>13</v>
      </c>
      <c r="H36">
        <v>2</v>
      </c>
      <c r="I36">
        <v>11</v>
      </c>
      <c r="J36">
        <v>8</v>
      </c>
      <c r="K36">
        <v>1</v>
      </c>
      <c r="L36">
        <v>9</v>
      </c>
      <c r="M36">
        <v>4</v>
      </c>
      <c r="N36">
        <v>7</v>
      </c>
      <c r="O36">
        <v>5</v>
      </c>
      <c r="P36">
        <v>0</v>
      </c>
      <c r="Q36">
        <v>0</v>
      </c>
      <c r="R36">
        <v>3</v>
      </c>
      <c r="S36">
        <v>0</v>
      </c>
    </row>
    <row r="37" spans="1:19" x14ac:dyDescent="0.35">
      <c r="A37" s="65">
        <v>44896</v>
      </c>
      <c r="B37">
        <v>0</v>
      </c>
      <c r="C37">
        <v>-3</v>
      </c>
      <c r="D37">
        <v>9</v>
      </c>
      <c r="E37">
        <v>8</v>
      </c>
      <c r="F37">
        <v>3</v>
      </c>
      <c r="G37">
        <v>-4</v>
      </c>
      <c r="H37">
        <v>4</v>
      </c>
      <c r="I37">
        <v>10</v>
      </c>
      <c r="J37">
        <v>1</v>
      </c>
      <c r="K37">
        <v>-2</v>
      </c>
      <c r="L37">
        <v>7</v>
      </c>
      <c r="M37">
        <v>0</v>
      </c>
      <c r="N37">
        <v>0</v>
      </c>
      <c r="O37">
        <v>-1</v>
      </c>
      <c r="P37">
        <v>2</v>
      </c>
      <c r="Q37">
        <v>6</v>
      </c>
      <c r="R37">
        <v>11</v>
      </c>
      <c r="S37">
        <v>5</v>
      </c>
    </row>
    <row r="38" spans="1:19" x14ac:dyDescent="0.35">
      <c r="A38" s="65">
        <v>44927</v>
      </c>
      <c r="B38">
        <v>0</v>
      </c>
      <c r="C38">
        <v>9</v>
      </c>
      <c r="D38">
        <v>5</v>
      </c>
      <c r="E38">
        <v>6</v>
      </c>
      <c r="F38">
        <v>2</v>
      </c>
      <c r="G38">
        <v>0</v>
      </c>
      <c r="H38">
        <v>-4</v>
      </c>
      <c r="I38">
        <v>-3</v>
      </c>
      <c r="J38">
        <v>4</v>
      </c>
      <c r="K38">
        <v>1</v>
      </c>
      <c r="L38">
        <v>10</v>
      </c>
      <c r="M38">
        <v>3</v>
      </c>
      <c r="N38">
        <v>12</v>
      </c>
      <c r="O38">
        <v>-1</v>
      </c>
      <c r="P38">
        <v>7</v>
      </c>
      <c r="Q38">
        <v>8</v>
      </c>
      <c r="R38">
        <v>-2</v>
      </c>
      <c r="S38">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T38"/>
  <sheetViews>
    <sheetView topLeftCell="F1" zoomScale="150" zoomScaleNormal="150" workbookViewId="0">
      <selection activeCell="U8" sqref="U8"/>
    </sheetView>
  </sheetViews>
  <sheetFormatPr defaultColWidth="10.90625" defaultRowHeight="14.5" x14ac:dyDescent="0.35"/>
  <sheetData>
    <row r="1" spans="1:20" x14ac:dyDescent="0.35">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47</v>
      </c>
      <c r="S1" t="s">
        <v>45</v>
      </c>
      <c r="T1" t="s">
        <v>46</v>
      </c>
    </row>
    <row r="2" spans="1:20" x14ac:dyDescent="0.35">
      <c r="A2" s="65">
        <v>43831</v>
      </c>
      <c r="B2">
        <v>0</v>
      </c>
      <c r="C2">
        <v>-2</v>
      </c>
      <c r="D2">
        <v>5</v>
      </c>
      <c r="E2">
        <v>8</v>
      </c>
      <c r="F2">
        <v>6</v>
      </c>
      <c r="G2">
        <v>-4</v>
      </c>
      <c r="H2">
        <v>0</v>
      </c>
      <c r="I2">
        <v>0</v>
      </c>
      <c r="J2">
        <v>2</v>
      </c>
      <c r="K2">
        <v>1</v>
      </c>
      <c r="L2">
        <v>7</v>
      </c>
      <c r="M2">
        <v>-1</v>
      </c>
      <c r="N2">
        <v>10</v>
      </c>
      <c r="O2">
        <v>0</v>
      </c>
      <c r="P2">
        <v>3</v>
      </c>
      <c r="Q2">
        <v>9</v>
      </c>
      <c r="S2">
        <v>-3</v>
      </c>
      <c r="T2">
        <v>4</v>
      </c>
    </row>
    <row r="3" spans="1:20" x14ac:dyDescent="0.35">
      <c r="A3" s="65">
        <v>43862</v>
      </c>
      <c r="B3">
        <v>-1</v>
      </c>
      <c r="C3">
        <v>6</v>
      </c>
      <c r="D3">
        <v>5</v>
      </c>
      <c r="E3">
        <v>16</v>
      </c>
      <c r="F3">
        <v>10</v>
      </c>
      <c r="G3">
        <v>0</v>
      </c>
      <c r="H3">
        <v>11</v>
      </c>
      <c r="I3">
        <v>13</v>
      </c>
      <c r="J3">
        <v>12</v>
      </c>
      <c r="K3">
        <v>7</v>
      </c>
      <c r="L3">
        <v>8</v>
      </c>
      <c r="M3">
        <v>3</v>
      </c>
      <c r="N3">
        <v>9</v>
      </c>
      <c r="O3">
        <v>2</v>
      </c>
      <c r="P3">
        <v>4</v>
      </c>
      <c r="Q3">
        <v>14</v>
      </c>
      <c r="S3">
        <v>0</v>
      </c>
      <c r="T3">
        <v>1</v>
      </c>
    </row>
    <row r="4" spans="1:20" x14ac:dyDescent="0.35">
      <c r="A4" s="65">
        <v>43891</v>
      </c>
      <c r="B4">
        <v>-8</v>
      </c>
      <c r="C4">
        <v>-9</v>
      </c>
      <c r="D4">
        <v>4</v>
      </c>
      <c r="E4">
        <v>3</v>
      </c>
      <c r="F4">
        <v>0</v>
      </c>
      <c r="G4">
        <v>5</v>
      </c>
      <c r="H4">
        <v>0</v>
      </c>
      <c r="I4">
        <v>-3</v>
      </c>
      <c r="J4">
        <v>1</v>
      </c>
      <c r="K4">
        <v>-4</v>
      </c>
      <c r="L4">
        <v>2</v>
      </c>
      <c r="M4">
        <v>-5</v>
      </c>
      <c r="N4">
        <v>0</v>
      </c>
      <c r="O4">
        <v>-1</v>
      </c>
      <c r="P4">
        <v>-6</v>
      </c>
      <c r="Q4">
        <v>-2</v>
      </c>
      <c r="S4">
        <v>-7</v>
      </c>
      <c r="T4">
        <v>0</v>
      </c>
    </row>
    <row r="5" spans="1:20" x14ac:dyDescent="0.35">
      <c r="A5" s="65">
        <v>43922</v>
      </c>
      <c r="B5">
        <v>-16</v>
      </c>
      <c r="C5">
        <v>-8</v>
      </c>
      <c r="D5">
        <v>-1</v>
      </c>
      <c r="E5">
        <v>-2</v>
      </c>
      <c r="F5">
        <v>1</v>
      </c>
      <c r="G5">
        <v>-6</v>
      </c>
      <c r="H5">
        <v>-4</v>
      </c>
      <c r="I5">
        <v>-13</v>
      </c>
      <c r="J5">
        <v>-7</v>
      </c>
      <c r="K5">
        <v>-11</v>
      </c>
      <c r="L5">
        <v>2</v>
      </c>
      <c r="M5">
        <v>-10</v>
      </c>
      <c r="N5">
        <v>-15</v>
      </c>
      <c r="O5">
        <v>-5</v>
      </c>
      <c r="P5">
        <v>-9</v>
      </c>
      <c r="Q5">
        <v>-3</v>
      </c>
      <c r="S5">
        <v>-14</v>
      </c>
      <c r="T5">
        <v>-12</v>
      </c>
    </row>
    <row r="6" spans="1:20" x14ac:dyDescent="0.35">
      <c r="A6" s="65">
        <v>43952</v>
      </c>
      <c r="B6">
        <v>-9</v>
      </c>
      <c r="C6">
        <v>-13</v>
      </c>
      <c r="D6">
        <v>-3</v>
      </c>
      <c r="E6">
        <v>-5</v>
      </c>
      <c r="F6">
        <v>0</v>
      </c>
      <c r="G6">
        <v>0</v>
      </c>
      <c r="H6">
        <v>-4</v>
      </c>
      <c r="I6">
        <v>-14</v>
      </c>
      <c r="J6">
        <v>-8</v>
      </c>
      <c r="K6">
        <v>-6</v>
      </c>
      <c r="L6">
        <v>-1</v>
      </c>
      <c r="M6">
        <v>-7</v>
      </c>
      <c r="N6">
        <v>0</v>
      </c>
      <c r="O6">
        <v>0</v>
      </c>
      <c r="P6">
        <v>-12</v>
      </c>
      <c r="Q6">
        <v>-11</v>
      </c>
      <c r="S6">
        <v>-2</v>
      </c>
      <c r="T6">
        <v>-10</v>
      </c>
    </row>
    <row r="7" spans="1:20" x14ac:dyDescent="0.35">
      <c r="A7" s="65">
        <v>43983</v>
      </c>
      <c r="B7">
        <v>7</v>
      </c>
      <c r="C7">
        <v>10</v>
      </c>
      <c r="D7">
        <v>11</v>
      </c>
      <c r="E7">
        <v>13</v>
      </c>
      <c r="F7">
        <v>8</v>
      </c>
      <c r="G7">
        <v>14</v>
      </c>
      <c r="H7">
        <v>2</v>
      </c>
      <c r="I7">
        <v>12</v>
      </c>
      <c r="J7">
        <v>6</v>
      </c>
      <c r="K7">
        <v>5</v>
      </c>
      <c r="L7">
        <v>0</v>
      </c>
      <c r="M7">
        <v>1</v>
      </c>
      <c r="N7">
        <v>0</v>
      </c>
      <c r="O7">
        <v>4</v>
      </c>
      <c r="P7">
        <v>3</v>
      </c>
      <c r="Q7">
        <v>0</v>
      </c>
      <c r="S7">
        <v>9</v>
      </c>
      <c r="T7">
        <v>-1</v>
      </c>
    </row>
    <row r="8" spans="1:20" x14ac:dyDescent="0.35">
      <c r="A8" s="65">
        <v>44013</v>
      </c>
      <c r="B8">
        <v>9</v>
      </c>
      <c r="C8">
        <v>0</v>
      </c>
      <c r="D8">
        <v>11</v>
      </c>
      <c r="E8">
        <v>0</v>
      </c>
      <c r="F8">
        <v>2</v>
      </c>
      <c r="G8">
        <v>7</v>
      </c>
      <c r="H8">
        <v>3</v>
      </c>
      <c r="I8">
        <v>-2</v>
      </c>
      <c r="J8">
        <v>5</v>
      </c>
      <c r="K8">
        <v>10</v>
      </c>
      <c r="L8">
        <v>6</v>
      </c>
      <c r="M8">
        <v>-1</v>
      </c>
      <c r="N8">
        <v>0</v>
      </c>
      <c r="O8">
        <v>0</v>
      </c>
      <c r="P8">
        <v>8</v>
      </c>
      <c r="Q8">
        <v>4</v>
      </c>
      <c r="S8">
        <v>12</v>
      </c>
      <c r="T8">
        <v>1</v>
      </c>
    </row>
    <row r="9" spans="1:20" x14ac:dyDescent="0.35">
      <c r="A9" s="65">
        <v>44044</v>
      </c>
      <c r="B9">
        <v>12</v>
      </c>
      <c r="C9">
        <v>0</v>
      </c>
      <c r="D9">
        <v>8</v>
      </c>
      <c r="E9">
        <v>9</v>
      </c>
      <c r="F9">
        <v>4</v>
      </c>
      <c r="G9">
        <v>-3</v>
      </c>
      <c r="H9">
        <v>2</v>
      </c>
      <c r="I9">
        <v>-5</v>
      </c>
      <c r="J9">
        <v>1</v>
      </c>
      <c r="K9">
        <v>5</v>
      </c>
      <c r="L9">
        <v>10</v>
      </c>
      <c r="M9">
        <v>-1</v>
      </c>
      <c r="N9">
        <v>-4</v>
      </c>
      <c r="O9">
        <v>-2</v>
      </c>
      <c r="P9">
        <v>7</v>
      </c>
      <c r="Q9">
        <v>6</v>
      </c>
      <c r="S9">
        <v>3</v>
      </c>
      <c r="T9">
        <v>11</v>
      </c>
    </row>
    <row r="10" spans="1:20" x14ac:dyDescent="0.35">
      <c r="A10" s="65">
        <v>44075</v>
      </c>
      <c r="B10">
        <v>14</v>
      </c>
      <c r="C10">
        <v>7</v>
      </c>
      <c r="D10">
        <v>11</v>
      </c>
      <c r="E10">
        <v>5</v>
      </c>
      <c r="F10">
        <v>2</v>
      </c>
      <c r="G10">
        <v>13</v>
      </c>
      <c r="H10">
        <v>6</v>
      </c>
      <c r="I10">
        <v>4</v>
      </c>
      <c r="J10">
        <v>0</v>
      </c>
      <c r="K10">
        <v>10</v>
      </c>
      <c r="L10">
        <v>3</v>
      </c>
      <c r="M10">
        <v>0</v>
      </c>
      <c r="N10">
        <v>-2</v>
      </c>
      <c r="O10">
        <v>1</v>
      </c>
      <c r="P10">
        <v>9</v>
      </c>
      <c r="Q10">
        <v>8</v>
      </c>
      <c r="S10">
        <v>-1</v>
      </c>
      <c r="T10">
        <v>12</v>
      </c>
    </row>
    <row r="11" spans="1:20" x14ac:dyDescent="0.35">
      <c r="A11" s="65">
        <v>44105</v>
      </c>
      <c r="B11">
        <v>0</v>
      </c>
      <c r="C11">
        <v>5</v>
      </c>
      <c r="D11">
        <v>13</v>
      </c>
      <c r="E11">
        <v>12</v>
      </c>
      <c r="F11">
        <v>9</v>
      </c>
      <c r="G11">
        <v>0</v>
      </c>
      <c r="H11">
        <v>15</v>
      </c>
      <c r="I11">
        <v>7</v>
      </c>
      <c r="J11">
        <v>14</v>
      </c>
      <c r="K11">
        <v>3</v>
      </c>
      <c r="L11">
        <v>-1</v>
      </c>
      <c r="M11">
        <v>6</v>
      </c>
      <c r="N11">
        <v>8</v>
      </c>
      <c r="O11">
        <v>1</v>
      </c>
      <c r="P11">
        <v>10</v>
      </c>
      <c r="Q11">
        <v>11</v>
      </c>
      <c r="S11">
        <v>4</v>
      </c>
      <c r="T11">
        <v>2</v>
      </c>
    </row>
    <row r="12" spans="1:20" x14ac:dyDescent="0.35">
      <c r="A12" s="65">
        <v>44136</v>
      </c>
      <c r="B12">
        <v>-3</v>
      </c>
      <c r="C12">
        <v>-2</v>
      </c>
      <c r="D12">
        <v>10</v>
      </c>
      <c r="E12">
        <v>4</v>
      </c>
      <c r="F12">
        <v>9</v>
      </c>
      <c r="G12">
        <v>0</v>
      </c>
      <c r="H12">
        <v>13</v>
      </c>
      <c r="I12">
        <v>11</v>
      </c>
      <c r="J12">
        <v>7</v>
      </c>
      <c r="K12">
        <v>2</v>
      </c>
      <c r="L12">
        <v>1</v>
      </c>
      <c r="M12">
        <v>8</v>
      </c>
      <c r="N12">
        <v>0</v>
      </c>
      <c r="O12">
        <v>-1</v>
      </c>
      <c r="P12">
        <v>3</v>
      </c>
      <c r="Q12">
        <v>12</v>
      </c>
      <c r="S12">
        <v>6</v>
      </c>
      <c r="T12">
        <v>5</v>
      </c>
    </row>
    <row r="13" spans="1:20" x14ac:dyDescent="0.35">
      <c r="A13" s="65">
        <v>44166</v>
      </c>
      <c r="B13">
        <v>-5</v>
      </c>
      <c r="C13">
        <v>-1</v>
      </c>
      <c r="D13">
        <v>8</v>
      </c>
      <c r="E13">
        <v>-2</v>
      </c>
      <c r="F13">
        <v>5</v>
      </c>
      <c r="G13">
        <v>-4</v>
      </c>
      <c r="H13">
        <v>7</v>
      </c>
      <c r="I13">
        <v>0</v>
      </c>
      <c r="J13">
        <v>3</v>
      </c>
      <c r="K13">
        <v>6</v>
      </c>
      <c r="L13">
        <v>2</v>
      </c>
      <c r="M13">
        <v>1</v>
      </c>
      <c r="N13">
        <v>-3</v>
      </c>
      <c r="O13">
        <v>4</v>
      </c>
      <c r="P13">
        <v>0</v>
      </c>
      <c r="Q13">
        <v>10</v>
      </c>
      <c r="S13">
        <v>9</v>
      </c>
      <c r="T13">
        <v>0</v>
      </c>
    </row>
    <row r="14" spans="1:20" x14ac:dyDescent="0.35">
      <c r="A14" s="65">
        <v>44197</v>
      </c>
      <c r="B14">
        <v>-3</v>
      </c>
      <c r="C14">
        <v>0</v>
      </c>
      <c r="D14">
        <v>0</v>
      </c>
      <c r="E14">
        <v>-2</v>
      </c>
      <c r="F14">
        <v>7</v>
      </c>
      <c r="G14">
        <v>8</v>
      </c>
      <c r="H14">
        <v>3</v>
      </c>
      <c r="I14">
        <v>0</v>
      </c>
      <c r="J14">
        <v>4</v>
      </c>
      <c r="K14">
        <v>5</v>
      </c>
      <c r="L14">
        <v>0</v>
      </c>
      <c r="M14">
        <v>1</v>
      </c>
      <c r="N14">
        <v>6</v>
      </c>
      <c r="O14">
        <v>2</v>
      </c>
      <c r="P14">
        <v>-1</v>
      </c>
      <c r="Q14">
        <v>0</v>
      </c>
      <c r="S14">
        <v>0</v>
      </c>
      <c r="T14">
        <v>0</v>
      </c>
    </row>
    <row r="15" spans="1:20" x14ac:dyDescent="0.35">
      <c r="A15" s="65">
        <v>44228</v>
      </c>
      <c r="B15">
        <v>0</v>
      </c>
      <c r="C15">
        <v>-1</v>
      </c>
      <c r="D15">
        <v>1</v>
      </c>
      <c r="E15">
        <v>10</v>
      </c>
      <c r="F15">
        <v>2</v>
      </c>
      <c r="G15">
        <v>-2</v>
      </c>
      <c r="H15">
        <v>7</v>
      </c>
      <c r="I15">
        <v>0</v>
      </c>
      <c r="J15">
        <v>9</v>
      </c>
      <c r="K15">
        <v>11</v>
      </c>
      <c r="L15">
        <v>8</v>
      </c>
      <c r="M15">
        <v>6</v>
      </c>
      <c r="N15">
        <v>0</v>
      </c>
      <c r="O15">
        <v>0</v>
      </c>
      <c r="P15">
        <v>3</v>
      </c>
      <c r="Q15">
        <v>5</v>
      </c>
      <c r="S15">
        <v>0</v>
      </c>
      <c r="T15">
        <v>4</v>
      </c>
    </row>
    <row r="16" spans="1:20" x14ac:dyDescent="0.35">
      <c r="A16" s="65">
        <v>44256</v>
      </c>
      <c r="B16">
        <v>17</v>
      </c>
      <c r="C16">
        <v>0</v>
      </c>
      <c r="D16">
        <v>10</v>
      </c>
      <c r="E16">
        <v>13</v>
      </c>
      <c r="F16">
        <v>4</v>
      </c>
      <c r="G16">
        <v>5</v>
      </c>
      <c r="H16">
        <v>7</v>
      </c>
      <c r="I16">
        <v>16</v>
      </c>
      <c r="J16">
        <v>3</v>
      </c>
      <c r="K16">
        <v>14</v>
      </c>
      <c r="L16">
        <v>11</v>
      </c>
      <c r="M16">
        <v>9</v>
      </c>
      <c r="N16">
        <v>6</v>
      </c>
      <c r="O16">
        <v>2</v>
      </c>
      <c r="P16">
        <v>1</v>
      </c>
      <c r="Q16">
        <v>15</v>
      </c>
      <c r="S16">
        <v>8</v>
      </c>
      <c r="T16">
        <v>12</v>
      </c>
    </row>
    <row r="17" spans="1:20" x14ac:dyDescent="0.35">
      <c r="A17" s="65">
        <v>44287</v>
      </c>
      <c r="B17">
        <v>17</v>
      </c>
      <c r="C17">
        <v>14</v>
      </c>
      <c r="D17">
        <v>5</v>
      </c>
      <c r="E17">
        <v>1</v>
      </c>
      <c r="F17">
        <v>4</v>
      </c>
      <c r="G17">
        <v>10</v>
      </c>
      <c r="H17">
        <v>9</v>
      </c>
      <c r="I17">
        <v>8</v>
      </c>
      <c r="J17">
        <v>7</v>
      </c>
      <c r="K17">
        <v>16</v>
      </c>
      <c r="L17">
        <v>11</v>
      </c>
      <c r="M17">
        <v>3</v>
      </c>
      <c r="N17">
        <v>-1</v>
      </c>
      <c r="O17">
        <v>2</v>
      </c>
      <c r="P17">
        <v>6</v>
      </c>
      <c r="Q17">
        <v>15</v>
      </c>
      <c r="S17">
        <v>12</v>
      </c>
      <c r="T17">
        <v>13</v>
      </c>
    </row>
    <row r="18" spans="1:20" x14ac:dyDescent="0.35">
      <c r="A18" s="65">
        <v>44317</v>
      </c>
      <c r="B18">
        <v>11</v>
      </c>
      <c r="C18">
        <v>8</v>
      </c>
      <c r="D18">
        <v>12</v>
      </c>
      <c r="E18">
        <v>3</v>
      </c>
      <c r="F18">
        <v>16</v>
      </c>
      <c r="G18">
        <v>4</v>
      </c>
      <c r="H18">
        <v>15</v>
      </c>
      <c r="I18">
        <v>14</v>
      </c>
      <c r="J18">
        <v>13</v>
      </c>
      <c r="K18">
        <v>17</v>
      </c>
      <c r="L18">
        <v>1</v>
      </c>
      <c r="M18">
        <v>2</v>
      </c>
      <c r="N18">
        <v>5</v>
      </c>
      <c r="O18">
        <v>10</v>
      </c>
      <c r="P18">
        <v>7</v>
      </c>
      <c r="Q18">
        <v>9</v>
      </c>
      <c r="S18">
        <v>18</v>
      </c>
      <c r="T18">
        <v>6</v>
      </c>
    </row>
    <row r="19" spans="1:20" x14ac:dyDescent="0.35">
      <c r="A19" s="65">
        <v>44348</v>
      </c>
      <c r="B19">
        <v>16</v>
      </c>
      <c r="C19">
        <v>13</v>
      </c>
      <c r="D19">
        <v>7</v>
      </c>
      <c r="E19">
        <v>10</v>
      </c>
      <c r="F19">
        <v>5</v>
      </c>
      <c r="G19">
        <v>0</v>
      </c>
      <c r="H19">
        <v>14</v>
      </c>
      <c r="I19">
        <v>9</v>
      </c>
      <c r="J19">
        <v>1</v>
      </c>
      <c r="K19">
        <v>12</v>
      </c>
      <c r="L19">
        <v>4</v>
      </c>
      <c r="M19">
        <v>2</v>
      </c>
      <c r="N19">
        <v>0</v>
      </c>
      <c r="O19">
        <v>6</v>
      </c>
      <c r="P19">
        <v>3</v>
      </c>
      <c r="Q19">
        <v>15</v>
      </c>
      <c r="S19">
        <v>11</v>
      </c>
      <c r="T19">
        <v>8</v>
      </c>
    </row>
    <row r="20" spans="1:20" x14ac:dyDescent="0.35">
      <c r="A20" s="65">
        <v>44378</v>
      </c>
      <c r="B20">
        <v>16</v>
      </c>
      <c r="C20">
        <v>12</v>
      </c>
      <c r="D20">
        <v>9</v>
      </c>
      <c r="E20">
        <v>10</v>
      </c>
      <c r="F20">
        <v>5</v>
      </c>
      <c r="G20">
        <v>13</v>
      </c>
      <c r="H20">
        <v>6</v>
      </c>
      <c r="I20">
        <v>-1</v>
      </c>
      <c r="J20">
        <v>1</v>
      </c>
      <c r="K20">
        <v>15</v>
      </c>
      <c r="L20">
        <v>11</v>
      </c>
      <c r="M20">
        <v>2</v>
      </c>
      <c r="N20">
        <v>0</v>
      </c>
      <c r="O20">
        <v>3</v>
      </c>
      <c r="P20">
        <v>4</v>
      </c>
      <c r="Q20">
        <v>14</v>
      </c>
      <c r="S20">
        <v>7</v>
      </c>
      <c r="T20">
        <v>8</v>
      </c>
    </row>
    <row r="21" spans="1:20" x14ac:dyDescent="0.35">
      <c r="A21" s="65">
        <v>44409</v>
      </c>
      <c r="B21">
        <v>-3</v>
      </c>
      <c r="C21">
        <v>8</v>
      </c>
      <c r="D21">
        <v>6</v>
      </c>
      <c r="E21">
        <v>12</v>
      </c>
      <c r="F21">
        <v>5</v>
      </c>
      <c r="G21">
        <v>-2</v>
      </c>
      <c r="H21">
        <v>2</v>
      </c>
      <c r="I21">
        <v>7</v>
      </c>
      <c r="J21">
        <v>9</v>
      </c>
      <c r="K21">
        <v>-1</v>
      </c>
      <c r="L21">
        <v>4</v>
      </c>
      <c r="M21">
        <v>1</v>
      </c>
      <c r="N21">
        <v>0</v>
      </c>
      <c r="O21">
        <v>13</v>
      </c>
      <c r="P21">
        <v>10</v>
      </c>
      <c r="Q21">
        <v>0</v>
      </c>
      <c r="S21">
        <v>11</v>
      </c>
      <c r="T21">
        <v>3</v>
      </c>
    </row>
    <row r="22" spans="1:20" x14ac:dyDescent="0.35">
      <c r="A22" s="65">
        <v>44440</v>
      </c>
      <c r="B22">
        <v>16</v>
      </c>
      <c r="C22">
        <v>15</v>
      </c>
      <c r="D22">
        <v>5</v>
      </c>
      <c r="E22">
        <v>2</v>
      </c>
      <c r="F22">
        <v>3</v>
      </c>
      <c r="G22">
        <v>14</v>
      </c>
      <c r="H22">
        <v>10</v>
      </c>
      <c r="I22">
        <v>11</v>
      </c>
      <c r="J22">
        <v>8</v>
      </c>
      <c r="K22">
        <v>1</v>
      </c>
      <c r="L22">
        <v>9</v>
      </c>
      <c r="M22">
        <v>12</v>
      </c>
      <c r="N22">
        <v>-1</v>
      </c>
      <c r="O22">
        <v>4</v>
      </c>
      <c r="P22">
        <v>13</v>
      </c>
      <c r="Q22">
        <v>7</v>
      </c>
      <c r="S22">
        <v>17</v>
      </c>
      <c r="T22">
        <v>6</v>
      </c>
    </row>
    <row r="23" spans="1:20" x14ac:dyDescent="0.35">
      <c r="A23" s="65">
        <v>44470</v>
      </c>
      <c r="B23">
        <v>8</v>
      </c>
      <c r="C23">
        <v>14</v>
      </c>
      <c r="D23">
        <v>7</v>
      </c>
      <c r="E23">
        <v>9</v>
      </c>
      <c r="F23">
        <v>3</v>
      </c>
      <c r="G23">
        <v>13</v>
      </c>
      <c r="H23">
        <v>15</v>
      </c>
      <c r="I23">
        <v>0</v>
      </c>
      <c r="J23">
        <v>5</v>
      </c>
      <c r="K23">
        <v>6</v>
      </c>
      <c r="L23">
        <v>1</v>
      </c>
      <c r="M23">
        <v>2</v>
      </c>
      <c r="N23">
        <v>0</v>
      </c>
      <c r="O23">
        <v>11</v>
      </c>
      <c r="P23">
        <v>4</v>
      </c>
      <c r="Q23">
        <v>10</v>
      </c>
      <c r="S23">
        <v>16</v>
      </c>
      <c r="T23">
        <v>12</v>
      </c>
    </row>
    <row r="24" spans="1:20" x14ac:dyDescent="0.35">
      <c r="A24" s="65">
        <v>44501</v>
      </c>
      <c r="B24">
        <v>9</v>
      </c>
      <c r="C24">
        <v>8</v>
      </c>
      <c r="D24">
        <v>12</v>
      </c>
      <c r="E24">
        <v>3</v>
      </c>
      <c r="F24">
        <v>5</v>
      </c>
      <c r="G24">
        <v>7</v>
      </c>
      <c r="H24">
        <v>18</v>
      </c>
      <c r="I24">
        <v>13</v>
      </c>
      <c r="J24">
        <v>15</v>
      </c>
      <c r="K24">
        <v>14</v>
      </c>
      <c r="L24">
        <v>11</v>
      </c>
      <c r="M24">
        <v>4</v>
      </c>
      <c r="N24">
        <v>10</v>
      </c>
      <c r="O24">
        <v>2</v>
      </c>
      <c r="P24">
        <v>1</v>
      </c>
      <c r="Q24">
        <v>16</v>
      </c>
      <c r="S24">
        <v>17</v>
      </c>
      <c r="T24">
        <v>6</v>
      </c>
    </row>
    <row r="25" spans="1:20" x14ac:dyDescent="0.35">
      <c r="A25" s="65">
        <v>44531</v>
      </c>
      <c r="B25">
        <v>8</v>
      </c>
      <c r="C25">
        <v>7</v>
      </c>
      <c r="D25">
        <v>5</v>
      </c>
      <c r="E25">
        <v>12</v>
      </c>
      <c r="F25">
        <v>4</v>
      </c>
      <c r="G25">
        <v>0</v>
      </c>
      <c r="H25">
        <v>10</v>
      </c>
      <c r="I25">
        <v>-3</v>
      </c>
      <c r="J25">
        <v>13</v>
      </c>
      <c r="K25">
        <v>11</v>
      </c>
      <c r="L25">
        <v>1</v>
      </c>
      <c r="M25">
        <v>3</v>
      </c>
      <c r="N25">
        <v>-2</v>
      </c>
      <c r="O25">
        <v>0</v>
      </c>
      <c r="P25">
        <v>-1</v>
      </c>
      <c r="Q25">
        <v>9</v>
      </c>
      <c r="S25">
        <v>6</v>
      </c>
      <c r="T25">
        <v>2</v>
      </c>
    </row>
    <row r="26" spans="1:20" x14ac:dyDescent="0.35">
      <c r="A26" s="65">
        <v>44562</v>
      </c>
      <c r="B26">
        <v>-4</v>
      </c>
      <c r="C26">
        <v>0</v>
      </c>
      <c r="D26">
        <v>7</v>
      </c>
      <c r="E26">
        <v>-3</v>
      </c>
      <c r="F26">
        <v>3</v>
      </c>
      <c r="G26">
        <v>0</v>
      </c>
      <c r="H26">
        <v>2</v>
      </c>
      <c r="I26">
        <v>0</v>
      </c>
      <c r="J26">
        <v>9</v>
      </c>
      <c r="K26">
        <v>-1</v>
      </c>
      <c r="L26">
        <v>8</v>
      </c>
      <c r="M26">
        <v>4</v>
      </c>
      <c r="N26">
        <v>0</v>
      </c>
      <c r="O26">
        <v>-2</v>
      </c>
      <c r="P26">
        <v>1</v>
      </c>
      <c r="Q26">
        <v>6</v>
      </c>
      <c r="S26">
        <v>10</v>
      </c>
      <c r="T26">
        <v>5</v>
      </c>
    </row>
    <row r="27" spans="1:20" x14ac:dyDescent="0.35">
      <c r="A27" s="65">
        <v>44593</v>
      </c>
      <c r="B27">
        <v>-2</v>
      </c>
      <c r="C27">
        <v>0</v>
      </c>
      <c r="D27">
        <v>0</v>
      </c>
      <c r="E27">
        <v>-3</v>
      </c>
      <c r="F27">
        <v>5</v>
      </c>
      <c r="G27">
        <v>0</v>
      </c>
      <c r="H27">
        <v>6</v>
      </c>
      <c r="I27">
        <v>7</v>
      </c>
      <c r="J27">
        <v>10</v>
      </c>
      <c r="K27">
        <v>3</v>
      </c>
      <c r="L27">
        <v>4</v>
      </c>
      <c r="M27">
        <v>2</v>
      </c>
      <c r="N27">
        <v>0</v>
      </c>
      <c r="O27">
        <v>-1</v>
      </c>
      <c r="P27">
        <v>9</v>
      </c>
      <c r="Q27">
        <v>11</v>
      </c>
      <c r="S27">
        <v>1</v>
      </c>
      <c r="T27">
        <v>8</v>
      </c>
    </row>
    <row r="28" spans="1:20" x14ac:dyDescent="0.35">
      <c r="A28" s="65">
        <v>44621</v>
      </c>
      <c r="B28">
        <v>15</v>
      </c>
      <c r="C28">
        <v>8</v>
      </c>
      <c r="D28">
        <v>-1</v>
      </c>
      <c r="E28">
        <v>5</v>
      </c>
      <c r="F28">
        <v>3</v>
      </c>
      <c r="G28">
        <v>11</v>
      </c>
      <c r="H28">
        <v>1</v>
      </c>
      <c r="I28">
        <v>9</v>
      </c>
      <c r="J28">
        <v>7</v>
      </c>
      <c r="K28">
        <v>13</v>
      </c>
      <c r="L28">
        <v>2</v>
      </c>
      <c r="M28">
        <v>4</v>
      </c>
      <c r="N28">
        <v>-2</v>
      </c>
      <c r="O28">
        <v>6</v>
      </c>
      <c r="P28">
        <v>14</v>
      </c>
      <c r="Q28">
        <v>12</v>
      </c>
      <c r="S28">
        <v>0</v>
      </c>
      <c r="T28">
        <v>10</v>
      </c>
    </row>
    <row r="29" spans="1:20" x14ac:dyDescent="0.35">
      <c r="A29" s="65">
        <v>44652</v>
      </c>
      <c r="B29">
        <v>0</v>
      </c>
      <c r="C29">
        <v>2</v>
      </c>
      <c r="D29">
        <v>3</v>
      </c>
      <c r="E29">
        <v>10</v>
      </c>
      <c r="F29">
        <v>1</v>
      </c>
      <c r="G29">
        <v>11</v>
      </c>
      <c r="H29">
        <v>8</v>
      </c>
      <c r="I29">
        <v>0</v>
      </c>
      <c r="J29">
        <v>5</v>
      </c>
      <c r="K29">
        <v>4</v>
      </c>
      <c r="L29">
        <v>6</v>
      </c>
      <c r="M29">
        <v>7</v>
      </c>
      <c r="N29">
        <v>0</v>
      </c>
      <c r="O29">
        <v>0</v>
      </c>
      <c r="P29">
        <v>9</v>
      </c>
      <c r="Q29">
        <v>12</v>
      </c>
      <c r="S29">
        <v>0</v>
      </c>
      <c r="T29">
        <v>13</v>
      </c>
    </row>
    <row r="30" spans="1:20" x14ac:dyDescent="0.35">
      <c r="A30" s="65">
        <v>44682</v>
      </c>
      <c r="B30">
        <v>14</v>
      </c>
      <c r="C30">
        <v>3</v>
      </c>
      <c r="D30">
        <v>2</v>
      </c>
      <c r="E30">
        <v>5</v>
      </c>
      <c r="F30">
        <v>4</v>
      </c>
      <c r="G30">
        <v>10</v>
      </c>
      <c r="H30">
        <v>6</v>
      </c>
      <c r="I30">
        <v>12</v>
      </c>
      <c r="J30">
        <v>15</v>
      </c>
      <c r="K30">
        <v>7</v>
      </c>
      <c r="L30">
        <v>1</v>
      </c>
      <c r="M30">
        <v>8</v>
      </c>
      <c r="N30">
        <v>-2</v>
      </c>
      <c r="O30">
        <v>-1</v>
      </c>
      <c r="P30">
        <v>13</v>
      </c>
      <c r="Q30">
        <v>11</v>
      </c>
      <c r="S30">
        <v>0</v>
      </c>
      <c r="T30">
        <v>9</v>
      </c>
    </row>
    <row r="31" spans="1:20" x14ac:dyDescent="0.35">
      <c r="A31" s="65">
        <v>44713</v>
      </c>
      <c r="B31">
        <v>9</v>
      </c>
      <c r="C31">
        <v>10</v>
      </c>
      <c r="D31">
        <v>5</v>
      </c>
      <c r="E31">
        <v>13</v>
      </c>
      <c r="F31">
        <v>3</v>
      </c>
      <c r="G31">
        <v>7</v>
      </c>
      <c r="H31">
        <v>8</v>
      </c>
      <c r="I31">
        <v>12</v>
      </c>
      <c r="J31">
        <v>-2</v>
      </c>
      <c r="K31">
        <v>4</v>
      </c>
      <c r="L31">
        <v>1</v>
      </c>
      <c r="M31">
        <v>2</v>
      </c>
      <c r="N31">
        <v>0</v>
      </c>
      <c r="O31">
        <v>0</v>
      </c>
      <c r="P31">
        <v>-1</v>
      </c>
      <c r="Q31">
        <v>11</v>
      </c>
      <c r="S31">
        <v>0</v>
      </c>
      <c r="T31">
        <v>6</v>
      </c>
    </row>
    <row r="32" spans="1:20" x14ac:dyDescent="0.35">
      <c r="A32" s="65">
        <v>44743</v>
      </c>
      <c r="B32">
        <v>0</v>
      </c>
      <c r="C32">
        <v>6</v>
      </c>
      <c r="D32">
        <v>1</v>
      </c>
      <c r="E32">
        <v>-4</v>
      </c>
      <c r="F32">
        <v>0</v>
      </c>
      <c r="G32">
        <v>11</v>
      </c>
      <c r="H32">
        <v>7</v>
      </c>
      <c r="I32">
        <v>10</v>
      </c>
      <c r="J32">
        <v>3</v>
      </c>
      <c r="K32">
        <v>-1</v>
      </c>
      <c r="L32">
        <v>8</v>
      </c>
      <c r="M32">
        <v>2</v>
      </c>
      <c r="N32">
        <v>-5</v>
      </c>
      <c r="O32">
        <v>-2</v>
      </c>
      <c r="P32">
        <v>9</v>
      </c>
      <c r="Q32">
        <v>4</v>
      </c>
      <c r="S32">
        <v>-3</v>
      </c>
      <c r="T32">
        <v>5</v>
      </c>
    </row>
    <row r="33" spans="1:20" x14ac:dyDescent="0.35">
      <c r="A33" s="65">
        <v>44774</v>
      </c>
      <c r="B33">
        <v>0</v>
      </c>
      <c r="C33">
        <v>0</v>
      </c>
      <c r="D33">
        <v>4</v>
      </c>
      <c r="E33">
        <v>0</v>
      </c>
      <c r="F33">
        <v>2</v>
      </c>
      <c r="G33">
        <v>8</v>
      </c>
      <c r="H33">
        <v>0</v>
      </c>
      <c r="I33">
        <v>11</v>
      </c>
      <c r="J33">
        <v>0</v>
      </c>
      <c r="K33">
        <v>6</v>
      </c>
      <c r="L33">
        <v>7</v>
      </c>
      <c r="M33">
        <v>1</v>
      </c>
      <c r="N33">
        <v>-1</v>
      </c>
      <c r="O33">
        <v>10</v>
      </c>
      <c r="P33">
        <v>12</v>
      </c>
      <c r="Q33">
        <v>3</v>
      </c>
      <c r="S33">
        <v>5</v>
      </c>
      <c r="T33">
        <v>9</v>
      </c>
    </row>
    <row r="34" spans="1:20" x14ac:dyDescent="0.35">
      <c r="A34" s="65">
        <v>44805</v>
      </c>
      <c r="B34">
        <v>-2</v>
      </c>
      <c r="C34">
        <v>12</v>
      </c>
      <c r="D34">
        <v>5</v>
      </c>
      <c r="E34">
        <v>0</v>
      </c>
      <c r="F34">
        <v>2</v>
      </c>
      <c r="G34">
        <v>9</v>
      </c>
      <c r="H34">
        <v>-1</v>
      </c>
      <c r="I34">
        <v>13</v>
      </c>
      <c r="J34">
        <v>0</v>
      </c>
      <c r="K34">
        <v>6</v>
      </c>
      <c r="L34">
        <v>7</v>
      </c>
      <c r="M34">
        <v>3</v>
      </c>
      <c r="N34">
        <v>4</v>
      </c>
      <c r="O34">
        <v>8</v>
      </c>
      <c r="P34">
        <v>10</v>
      </c>
      <c r="Q34">
        <v>0</v>
      </c>
      <c r="S34">
        <v>11</v>
      </c>
      <c r="T34">
        <v>1</v>
      </c>
    </row>
    <row r="35" spans="1:20" x14ac:dyDescent="0.35">
      <c r="A35" s="65">
        <v>44835</v>
      </c>
      <c r="B35">
        <v>0</v>
      </c>
      <c r="C35">
        <v>11</v>
      </c>
      <c r="D35">
        <v>1</v>
      </c>
      <c r="E35">
        <v>7</v>
      </c>
      <c r="F35">
        <v>4</v>
      </c>
      <c r="G35">
        <v>-2</v>
      </c>
      <c r="H35">
        <v>10</v>
      </c>
      <c r="I35">
        <v>13</v>
      </c>
      <c r="J35">
        <v>5</v>
      </c>
      <c r="K35">
        <v>-1</v>
      </c>
      <c r="L35">
        <v>0</v>
      </c>
      <c r="M35">
        <v>6</v>
      </c>
      <c r="N35">
        <v>9</v>
      </c>
      <c r="O35">
        <v>12</v>
      </c>
      <c r="P35">
        <v>2</v>
      </c>
      <c r="Q35">
        <v>0</v>
      </c>
      <c r="S35">
        <v>8</v>
      </c>
      <c r="T35">
        <v>3</v>
      </c>
    </row>
    <row r="36" spans="1:20" x14ac:dyDescent="0.35">
      <c r="A36" s="65">
        <v>44866</v>
      </c>
      <c r="B36">
        <v>0</v>
      </c>
      <c r="C36">
        <v>11</v>
      </c>
      <c r="D36">
        <v>4</v>
      </c>
      <c r="E36">
        <v>9</v>
      </c>
      <c r="F36">
        <v>0</v>
      </c>
      <c r="G36">
        <v>12</v>
      </c>
      <c r="H36">
        <v>5</v>
      </c>
      <c r="I36">
        <v>7</v>
      </c>
      <c r="J36">
        <v>3</v>
      </c>
      <c r="K36">
        <v>-3</v>
      </c>
      <c r="L36">
        <v>6</v>
      </c>
      <c r="M36">
        <v>2</v>
      </c>
      <c r="N36">
        <v>8</v>
      </c>
      <c r="O36">
        <v>-2</v>
      </c>
      <c r="P36">
        <v>-1</v>
      </c>
      <c r="Q36">
        <v>-4</v>
      </c>
      <c r="S36">
        <v>10</v>
      </c>
      <c r="T36">
        <v>1</v>
      </c>
    </row>
    <row r="37" spans="1:20" x14ac:dyDescent="0.35">
      <c r="A37" s="65">
        <v>44896</v>
      </c>
      <c r="B37">
        <v>-7</v>
      </c>
      <c r="C37">
        <v>-6</v>
      </c>
      <c r="D37">
        <v>0</v>
      </c>
      <c r="E37">
        <v>0</v>
      </c>
      <c r="F37">
        <v>0</v>
      </c>
      <c r="G37">
        <v>-8</v>
      </c>
      <c r="H37">
        <v>0</v>
      </c>
      <c r="I37">
        <v>0</v>
      </c>
      <c r="J37">
        <v>-2</v>
      </c>
      <c r="K37">
        <v>-3</v>
      </c>
      <c r="L37">
        <v>0</v>
      </c>
      <c r="M37">
        <v>-1</v>
      </c>
      <c r="N37">
        <v>0</v>
      </c>
      <c r="O37">
        <v>-5</v>
      </c>
      <c r="P37">
        <v>-4</v>
      </c>
      <c r="Q37">
        <v>3</v>
      </c>
      <c r="R37">
        <v>4</v>
      </c>
      <c r="S37">
        <v>2</v>
      </c>
      <c r="T37">
        <v>1</v>
      </c>
    </row>
    <row r="38" spans="1:20" x14ac:dyDescent="0.35">
      <c r="A38" s="65">
        <v>44927</v>
      </c>
      <c r="B38">
        <v>0</v>
      </c>
      <c r="C38">
        <v>8</v>
      </c>
      <c r="D38">
        <v>1</v>
      </c>
      <c r="E38">
        <v>10</v>
      </c>
      <c r="F38">
        <v>2</v>
      </c>
      <c r="G38">
        <v>4</v>
      </c>
      <c r="H38">
        <v>-4</v>
      </c>
      <c r="I38">
        <v>-2</v>
      </c>
      <c r="J38">
        <v>0</v>
      </c>
      <c r="K38">
        <v>-1</v>
      </c>
      <c r="L38">
        <v>6</v>
      </c>
      <c r="M38">
        <v>3</v>
      </c>
      <c r="N38">
        <v>11</v>
      </c>
      <c r="O38">
        <v>-3</v>
      </c>
      <c r="P38">
        <v>7</v>
      </c>
      <c r="Q38">
        <v>5</v>
      </c>
      <c r="S38">
        <v>0</v>
      </c>
      <c r="T38">
        <v>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T611"/>
  <sheetViews>
    <sheetView zoomScale="150" zoomScaleNormal="150" workbookViewId="0">
      <pane ySplit="1" topLeftCell="A583" activePane="bottomLeft" state="frozen"/>
      <selection pane="bottomLeft" activeCell="U396" sqref="U396"/>
    </sheetView>
  </sheetViews>
  <sheetFormatPr defaultColWidth="10.90625" defaultRowHeight="14.5" x14ac:dyDescent="0.35"/>
  <cols>
    <col min="12" max="12" width="14.453125" customWidth="1"/>
  </cols>
  <sheetData>
    <row r="1" spans="1:20" x14ac:dyDescent="0.35">
      <c r="A1" t="s">
        <v>28</v>
      </c>
      <c r="B1" t="s">
        <v>48</v>
      </c>
      <c r="C1" t="s">
        <v>49</v>
      </c>
      <c r="D1" t="s">
        <v>50</v>
      </c>
      <c r="E1" t="s">
        <v>51</v>
      </c>
      <c r="F1" t="s">
        <v>52</v>
      </c>
      <c r="G1" t="s">
        <v>53</v>
      </c>
      <c r="H1" t="s">
        <v>54</v>
      </c>
      <c r="I1" t="s">
        <v>55</v>
      </c>
      <c r="J1" t="s">
        <v>56</v>
      </c>
      <c r="K1" t="s">
        <v>57</v>
      </c>
      <c r="L1" t="s">
        <v>58</v>
      </c>
      <c r="M1" t="s">
        <v>59</v>
      </c>
      <c r="N1" t="s">
        <v>60</v>
      </c>
      <c r="O1" t="s">
        <v>61</v>
      </c>
      <c r="P1" t="s">
        <v>62</v>
      </c>
      <c r="Q1" t="s">
        <v>63</v>
      </c>
      <c r="R1" t="s">
        <v>64</v>
      </c>
      <c r="S1" t="s">
        <v>65</v>
      </c>
      <c r="T1" t="s">
        <v>66</v>
      </c>
    </row>
    <row r="2" spans="1:20" x14ac:dyDescent="0.35">
      <c r="A2" s="65">
        <v>17168</v>
      </c>
      <c r="N2">
        <v>2034.45</v>
      </c>
    </row>
    <row r="3" spans="1:20" x14ac:dyDescent="0.35">
      <c r="A3" s="65">
        <v>17258</v>
      </c>
      <c r="N3">
        <v>2029.0239999999999</v>
      </c>
      <c r="O3">
        <v>-2.6670598933373432E-3</v>
      </c>
      <c r="Q3">
        <v>-1.0625636157316039E-2</v>
      </c>
      <c r="R3">
        <v>-2.6670598933373432E-3</v>
      </c>
      <c r="S3">
        <v>-1.0625636157316039E-2</v>
      </c>
    </row>
    <row r="4" spans="1:20" x14ac:dyDescent="0.35">
      <c r="A4" s="65">
        <v>17349</v>
      </c>
      <c r="N4">
        <v>2024.8340000000001</v>
      </c>
      <c r="O4">
        <v>-2.0650322519594781E-3</v>
      </c>
      <c r="Q4">
        <v>-8.2345780645924904E-3</v>
      </c>
      <c r="R4">
        <v>-2.0650322519594781E-3</v>
      </c>
      <c r="S4">
        <v>-8.2345780645924904E-3</v>
      </c>
    </row>
    <row r="5" spans="1:20" x14ac:dyDescent="0.35">
      <c r="A5" s="65">
        <v>17441</v>
      </c>
      <c r="N5">
        <v>2056.5079999999998</v>
      </c>
      <c r="O5">
        <v>1.5642763801872031E-2</v>
      </c>
      <c r="Q5">
        <v>6.4054602330456234E-2</v>
      </c>
      <c r="R5">
        <v>1.5642763801872031E-2</v>
      </c>
      <c r="S5">
        <v>6.4054602330456234E-2</v>
      </c>
    </row>
    <row r="6" spans="1:20" x14ac:dyDescent="0.35">
      <c r="A6" s="65">
        <v>17533</v>
      </c>
      <c r="N6">
        <v>2087.442</v>
      </c>
      <c r="O6">
        <v>1.5042003240444579E-2</v>
      </c>
      <c r="P6">
        <v>2.6047334660473331E-2</v>
      </c>
      <c r="Q6">
        <v>6.1539249051736133E-2</v>
      </c>
      <c r="R6">
        <v>1.5042003240444579E-2</v>
      </c>
      <c r="S6">
        <v>6.1539249051736133E-2</v>
      </c>
      <c r="T6">
        <v>2.6047334660473331E-2</v>
      </c>
    </row>
    <row r="7" spans="1:20" x14ac:dyDescent="0.35">
      <c r="A7" s="65">
        <v>17624</v>
      </c>
      <c r="N7">
        <v>2121.8989999999999</v>
      </c>
      <c r="O7">
        <v>1.6506805937602041E-2</v>
      </c>
      <c r="P7">
        <v>4.5773238759127553E-2</v>
      </c>
      <c r="Q7">
        <v>6.768013659057992E-2</v>
      </c>
      <c r="R7">
        <v>1.6506805937602041E-2</v>
      </c>
      <c r="S7">
        <v>6.768013659057992E-2</v>
      </c>
      <c r="T7">
        <v>4.5773238759127553E-2</v>
      </c>
    </row>
    <row r="8" spans="1:20" x14ac:dyDescent="0.35">
      <c r="A8" s="65">
        <v>17715</v>
      </c>
      <c r="N8">
        <v>2134.056</v>
      </c>
      <c r="O8">
        <v>5.7293019130506004E-3</v>
      </c>
      <c r="P8">
        <v>5.3941211970956623E-2</v>
      </c>
      <c r="Q8">
        <v>2.3114910387200819E-2</v>
      </c>
      <c r="R8">
        <v>5.7293019130506004E-3</v>
      </c>
      <c r="S8">
        <v>2.3114910387200819E-2</v>
      </c>
      <c r="T8">
        <v>5.3941211970956623E-2</v>
      </c>
    </row>
    <row r="9" spans="1:20" x14ac:dyDescent="0.35">
      <c r="A9" s="65">
        <v>17807</v>
      </c>
      <c r="N9">
        <v>2136.44</v>
      </c>
      <c r="O9">
        <v>1.117121575066453E-3</v>
      </c>
      <c r="P9">
        <v>3.8867828377035368E-2</v>
      </c>
      <c r="Q9">
        <v>4.4759796419990838E-3</v>
      </c>
      <c r="R9">
        <v>1.117121575066453E-3</v>
      </c>
      <c r="S9">
        <v>4.4759796419990838E-3</v>
      </c>
      <c r="T9">
        <v>3.8867828377035368E-2</v>
      </c>
    </row>
    <row r="10" spans="1:20" x14ac:dyDescent="0.35">
      <c r="A10" s="65">
        <v>17899</v>
      </c>
      <c r="N10">
        <v>2107.0010000000002</v>
      </c>
      <c r="O10">
        <v>-1.377946490423314E-2</v>
      </c>
      <c r="P10">
        <v>9.3698411740303182E-3</v>
      </c>
      <c r="Q10">
        <v>-5.3989047075999941E-2</v>
      </c>
      <c r="R10">
        <v>-1.377946490423314E-2</v>
      </c>
      <c r="S10">
        <v>-5.3989047075999941E-2</v>
      </c>
      <c r="T10">
        <v>9.3698411740303182E-3</v>
      </c>
    </row>
    <row r="11" spans="1:20" x14ac:dyDescent="0.35">
      <c r="A11" s="65">
        <v>17989</v>
      </c>
      <c r="N11">
        <v>2099.8139999999999</v>
      </c>
      <c r="O11">
        <v>-3.4110092971006431E-3</v>
      </c>
      <c r="P11">
        <v>-1.0408129698915939E-2</v>
      </c>
      <c r="Q11">
        <v>-1.357438589464066E-2</v>
      </c>
      <c r="R11">
        <v>-3.4110092971006431E-3</v>
      </c>
      <c r="S11">
        <v>-1.357438589464066E-2</v>
      </c>
      <c r="T11">
        <v>-1.0408129698915939E-2</v>
      </c>
    </row>
    <row r="12" spans="1:20" x14ac:dyDescent="0.35">
      <c r="A12" s="65">
        <v>18080</v>
      </c>
      <c r="N12">
        <v>2121.4929999999999</v>
      </c>
      <c r="O12">
        <v>1.0324247766707E-2</v>
      </c>
      <c r="P12">
        <v>-5.8869120585402172E-3</v>
      </c>
      <c r="Q12">
        <v>4.1940944830040523E-2</v>
      </c>
      <c r="R12">
        <v>1.0324247766707E-2</v>
      </c>
      <c r="S12">
        <v>4.1940944830040523E-2</v>
      </c>
      <c r="T12">
        <v>-5.8869120585402172E-3</v>
      </c>
    </row>
    <row r="13" spans="1:20" x14ac:dyDescent="0.35">
      <c r="A13" s="65">
        <v>18172</v>
      </c>
      <c r="N13">
        <v>2103.6880000000001</v>
      </c>
      <c r="O13">
        <v>-8.3926744042991594E-3</v>
      </c>
      <c r="P13">
        <v>-1.5330175432027089E-2</v>
      </c>
      <c r="Q13">
        <v>-3.3150435372567788E-2</v>
      </c>
      <c r="R13">
        <v>-8.3926744042991594E-3</v>
      </c>
      <c r="S13">
        <v>-3.3150435372567788E-2</v>
      </c>
      <c r="T13">
        <v>-1.5330175432027089E-2</v>
      </c>
    </row>
    <row r="14" spans="1:20" x14ac:dyDescent="0.35">
      <c r="A14" s="65">
        <v>18264</v>
      </c>
      <c r="N14">
        <v>2186.3649999999998</v>
      </c>
      <c r="O14">
        <v>3.9300979993230782E-2</v>
      </c>
      <c r="P14">
        <v>3.7666806992497658E-2</v>
      </c>
      <c r="Q14">
        <v>0.16671651982232771</v>
      </c>
      <c r="R14">
        <v>3.9300979993230782E-2</v>
      </c>
      <c r="S14">
        <v>0.16671651982232771</v>
      </c>
      <c r="T14">
        <v>3.7666806992497658E-2</v>
      </c>
    </row>
    <row r="15" spans="1:20" x14ac:dyDescent="0.35">
      <c r="A15" s="65">
        <v>18354</v>
      </c>
      <c r="N15">
        <v>2253.0450000000001</v>
      </c>
      <c r="O15">
        <v>3.0498109876438879E-2</v>
      </c>
      <c r="P15">
        <v>7.2973606233695101E-2</v>
      </c>
      <c r="Q15">
        <v>0.1276875822943975</v>
      </c>
      <c r="R15">
        <v>3.0498109876438879E-2</v>
      </c>
      <c r="S15">
        <v>0.1276875822943975</v>
      </c>
      <c r="T15">
        <v>7.2973606233695101E-2</v>
      </c>
    </row>
    <row r="16" spans="1:20" x14ac:dyDescent="0.35">
      <c r="A16" s="65">
        <v>18445</v>
      </c>
      <c r="N16">
        <v>2340.1120000000001</v>
      </c>
      <c r="O16">
        <v>3.864414603347914E-2</v>
      </c>
      <c r="P16">
        <v>0.1030495976182812</v>
      </c>
      <c r="Q16">
        <v>0.16376987446083291</v>
      </c>
      <c r="R16">
        <v>3.864414603347914E-2</v>
      </c>
      <c r="S16">
        <v>0.16376987446083291</v>
      </c>
      <c r="T16">
        <v>0.1030495976182812</v>
      </c>
    </row>
    <row r="17" spans="1:20" x14ac:dyDescent="0.35">
      <c r="A17" s="65">
        <v>18537</v>
      </c>
      <c r="N17">
        <v>2384.92</v>
      </c>
      <c r="O17">
        <v>1.9147801472750019E-2</v>
      </c>
      <c r="P17">
        <v>0.1336852232840611</v>
      </c>
      <c r="Q17">
        <v>7.8819251391700762E-2</v>
      </c>
      <c r="R17">
        <v>1.9147801472750019E-2</v>
      </c>
      <c r="S17">
        <v>7.8819251391700762E-2</v>
      </c>
      <c r="T17">
        <v>0.1336852232840611</v>
      </c>
    </row>
    <row r="18" spans="1:20" x14ac:dyDescent="0.35">
      <c r="A18" s="65">
        <v>18629</v>
      </c>
      <c r="N18">
        <v>2417.3110000000001</v>
      </c>
      <c r="O18">
        <v>1.3581587642352811E-2</v>
      </c>
      <c r="P18">
        <v>0.1056301212286148</v>
      </c>
      <c r="Q18">
        <v>5.5443162744754693E-2</v>
      </c>
      <c r="R18">
        <v>1.3581587642352811E-2</v>
      </c>
      <c r="S18">
        <v>5.5443162744754693E-2</v>
      </c>
      <c r="T18">
        <v>0.1056301212286148</v>
      </c>
    </row>
    <row r="19" spans="1:20" x14ac:dyDescent="0.35">
      <c r="A19" s="65">
        <v>18719</v>
      </c>
      <c r="N19">
        <v>2459.1959999999999</v>
      </c>
      <c r="O19">
        <v>1.7327104373413171E-2</v>
      </c>
      <c r="P19">
        <v>9.1498838238916594E-2</v>
      </c>
      <c r="Q19">
        <v>7.1130687272042525E-2</v>
      </c>
      <c r="R19">
        <v>1.7327104373413171E-2</v>
      </c>
      <c r="S19">
        <v>7.1130687272042525E-2</v>
      </c>
      <c r="T19">
        <v>9.1498838238916594E-2</v>
      </c>
    </row>
    <row r="20" spans="1:20" x14ac:dyDescent="0.35">
      <c r="A20" s="65">
        <v>18810</v>
      </c>
      <c r="N20">
        <v>2509.88</v>
      </c>
      <c r="O20">
        <v>2.0609987979811371E-2</v>
      </c>
      <c r="P20">
        <v>7.2546955017537634E-2</v>
      </c>
      <c r="Q20">
        <v>8.5023780127983395E-2</v>
      </c>
      <c r="R20">
        <v>2.0609987979811371E-2</v>
      </c>
      <c r="S20">
        <v>8.5023780127983395E-2</v>
      </c>
      <c r="T20">
        <v>7.2546955017537634E-2</v>
      </c>
    </row>
    <row r="21" spans="1:20" x14ac:dyDescent="0.35">
      <c r="A21" s="65">
        <v>18902</v>
      </c>
      <c r="N21">
        <v>2515.4079999999999</v>
      </c>
      <c r="O21">
        <v>2.202495736847894E-3</v>
      </c>
      <c r="P21">
        <v>5.4713784948761307E-2</v>
      </c>
      <c r="Q21">
        <v>8.8391316328653158E-3</v>
      </c>
      <c r="R21">
        <v>2.202495736847894E-3</v>
      </c>
      <c r="S21">
        <v>8.8391316328653158E-3</v>
      </c>
      <c r="T21">
        <v>5.4713784948761307E-2</v>
      </c>
    </row>
    <row r="22" spans="1:20" x14ac:dyDescent="0.35">
      <c r="A22" s="65">
        <v>18994</v>
      </c>
      <c r="N22">
        <v>2542.2860000000001</v>
      </c>
      <c r="O22">
        <v>1.0685344087321091E-2</v>
      </c>
      <c r="P22">
        <v>5.1700008811443751E-2</v>
      </c>
      <c r="Q22">
        <v>4.3431328919264052E-2</v>
      </c>
      <c r="R22">
        <v>1.0685344087321091E-2</v>
      </c>
      <c r="S22">
        <v>4.3431328919264052E-2</v>
      </c>
      <c r="T22">
        <v>5.1700008811443751E-2</v>
      </c>
    </row>
    <row r="23" spans="1:20" x14ac:dyDescent="0.35">
      <c r="A23" s="65">
        <v>19085</v>
      </c>
      <c r="N23">
        <v>2547.7620000000002</v>
      </c>
      <c r="O23">
        <v>2.153966941563661E-3</v>
      </c>
      <c r="P23">
        <v>3.601420952213661E-2</v>
      </c>
      <c r="Q23">
        <v>8.6437452032444018E-3</v>
      </c>
      <c r="R23">
        <v>2.153966941563661E-3</v>
      </c>
      <c r="S23">
        <v>8.6437452032444018E-3</v>
      </c>
      <c r="T23">
        <v>3.601420952213661E-2</v>
      </c>
    </row>
    <row r="24" spans="1:20" x14ac:dyDescent="0.35">
      <c r="A24" s="65">
        <v>19176</v>
      </c>
      <c r="N24">
        <v>2566.1529999999998</v>
      </c>
      <c r="O24">
        <v>7.2184921511505469E-3</v>
      </c>
      <c r="P24">
        <v>2.2420593813249911E-2</v>
      </c>
      <c r="Q24">
        <v>2.918811561848789E-2</v>
      </c>
      <c r="R24">
        <v>7.2184921511505469E-3</v>
      </c>
      <c r="S24">
        <v>2.918811561848789E-2</v>
      </c>
      <c r="T24">
        <v>2.2420593813249911E-2</v>
      </c>
    </row>
    <row r="25" spans="1:20" x14ac:dyDescent="0.35">
      <c r="A25" s="65">
        <v>19268</v>
      </c>
      <c r="N25">
        <v>2650.431</v>
      </c>
      <c r="O25">
        <v>3.2842157112222173E-2</v>
      </c>
      <c r="P25">
        <v>5.3678369473262447E-2</v>
      </c>
      <c r="Q25">
        <v>0.13798313070477031</v>
      </c>
      <c r="R25">
        <v>3.2842157112222173E-2</v>
      </c>
      <c r="S25">
        <v>0.13798313070477031</v>
      </c>
      <c r="T25">
        <v>5.3678369473262447E-2</v>
      </c>
    </row>
    <row r="26" spans="1:20" x14ac:dyDescent="0.35">
      <c r="A26" s="65">
        <v>19360</v>
      </c>
      <c r="N26">
        <v>2699.6990000000001</v>
      </c>
      <c r="O26">
        <v>1.8588674823075951E-2</v>
      </c>
      <c r="P26">
        <v>6.1917895940897291E-2</v>
      </c>
      <c r="Q26">
        <v>7.6453744115379418E-2</v>
      </c>
      <c r="R26">
        <v>1.8588674823075951E-2</v>
      </c>
      <c r="S26">
        <v>7.6453744115379418E-2</v>
      </c>
      <c r="T26">
        <v>6.1917895940897291E-2</v>
      </c>
    </row>
    <row r="27" spans="1:20" x14ac:dyDescent="0.35">
      <c r="A27" s="65">
        <v>19450</v>
      </c>
      <c r="N27">
        <v>2720.5659999999998</v>
      </c>
      <c r="O27">
        <v>7.7293802012741919E-3</v>
      </c>
      <c r="P27">
        <v>6.7825801625112397E-2</v>
      </c>
      <c r="Q27">
        <v>3.1277831399421967E-2</v>
      </c>
      <c r="R27">
        <v>7.7293802012741919E-3</v>
      </c>
      <c r="S27">
        <v>3.1277831399421967E-2</v>
      </c>
      <c r="T27">
        <v>6.7825801625112397E-2</v>
      </c>
    </row>
    <row r="28" spans="1:20" x14ac:dyDescent="0.35">
      <c r="A28" s="65">
        <v>19541</v>
      </c>
      <c r="N28">
        <v>2705.2579999999998</v>
      </c>
      <c r="O28">
        <v>-5.6267703117660051E-3</v>
      </c>
      <c r="P28">
        <v>5.4207601807062959E-2</v>
      </c>
      <c r="Q28">
        <v>-2.2317829566265272E-2</v>
      </c>
      <c r="R28">
        <v>-5.6267703117660051E-3</v>
      </c>
      <c r="S28">
        <v>-2.2317829566265272E-2</v>
      </c>
      <c r="T28">
        <v>5.4207601807062959E-2</v>
      </c>
    </row>
    <row r="29" spans="1:20" x14ac:dyDescent="0.35">
      <c r="A29" s="65">
        <v>19633</v>
      </c>
      <c r="N29">
        <v>2664.3020000000001</v>
      </c>
      <c r="O29">
        <v>-1.5139406296922391E-2</v>
      </c>
      <c r="P29">
        <v>5.2334884401820294E-3</v>
      </c>
      <c r="Q29">
        <v>-5.9196242822145077E-2</v>
      </c>
      <c r="R29">
        <v>-1.5139406296922391E-2</v>
      </c>
      <c r="S29">
        <v>-5.9196242822145077E-2</v>
      </c>
      <c r="T29">
        <v>5.2334884401820294E-3</v>
      </c>
    </row>
    <row r="30" spans="1:20" x14ac:dyDescent="0.35">
      <c r="A30" s="65">
        <v>19725</v>
      </c>
      <c r="N30">
        <v>2651.5659999999998</v>
      </c>
      <c r="O30">
        <v>-4.780238876824148E-3</v>
      </c>
      <c r="P30">
        <v>-1.7829024643117721E-2</v>
      </c>
      <c r="Q30">
        <v>-1.8984287809732381E-2</v>
      </c>
      <c r="R30">
        <v>-4.780238876824148E-3</v>
      </c>
      <c r="S30">
        <v>-1.8984287809732381E-2</v>
      </c>
      <c r="T30">
        <v>-1.7829024643117721E-2</v>
      </c>
    </row>
    <row r="31" spans="1:20" x14ac:dyDescent="0.35">
      <c r="A31" s="65">
        <v>19815</v>
      </c>
      <c r="N31">
        <v>2654.4560000000001</v>
      </c>
      <c r="O31">
        <v>1.0899219555539361E-3</v>
      </c>
      <c r="P31">
        <v>-2.430009049587464E-2</v>
      </c>
      <c r="Q31">
        <v>4.3668205818458983E-3</v>
      </c>
      <c r="R31">
        <v>1.0899219555539361E-3</v>
      </c>
      <c r="S31">
        <v>4.3668205818458983E-3</v>
      </c>
      <c r="T31">
        <v>-2.430009049587464E-2</v>
      </c>
    </row>
    <row r="32" spans="1:20" x14ac:dyDescent="0.35">
      <c r="A32" s="65">
        <v>19906</v>
      </c>
      <c r="N32">
        <v>2684.4340000000002</v>
      </c>
      <c r="O32">
        <v>1.129346276600556E-2</v>
      </c>
      <c r="P32">
        <v>-7.697602225000209E-3</v>
      </c>
      <c r="Q32">
        <v>4.5944882715464493E-2</v>
      </c>
      <c r="R32">
        <v>1.129346276600556E-2</v>
      </c>
      <c r="S32">
        <v>4.5944882715464493E-2</v>
      </c>
      <c r="T32">
        <v>-7.697602225000209E-3</v>
      </c>
    </row>
    <row r="33" spans="1:20" x14ac:dyDescent="0.35">
      <c r="A33" s="65">
        <v>19998</v>
      </c>
      <c r="N33">
        <v>2736.96</v>
      </c>
      <c r="O33">
        <v>1.9566880765181729E-2</v>
      </c>
      <c r="P33">
        <v>2.7270932499393798E-2</v>
      </c>
      <c r="Q33">
        <v>8.0594812306759467E-2</v>
      </c>
      <c r="R33">
        <v>1.9566880765181729E-2</v>
      </c>
      <c r="S33">
        <v>8.0594812306759467E-2</v>
      </c>
      <c r="T33">
        <v>2.7270932499393798E-2</v>
      </c>
    </row>
    <row r="34" spans="1:20" x14ac:dyDescent="0.35">
      <c r="A34" s="65">
        <v>20090</v>
      </c>
      <c r="N34">
        <v>2815.134</v>
      </c>
      <c r="O34">
        <v>2.85623465450719E-2</v>
      </c>
      <c r="P34">
        <v>6.1687319870597307E-2</v>
      </c>
      <c r="Q34">
        <v>0.11923810308548791</v>
      </c>
      <c r="R34">
        <v>2.85623465450719E-2</v>
      </c>
      <c r="S34">
        <v>0.11923810308548791</v>
      </c>
      <c r="T34">
        <v>6.1687319870597307E-2</v>
      </c>
    </row>
    <row r="35" spans="1:20" x14ac:dyDescent="0.35">
      <c r="A35" s="65">
        <v>20180</v>
      </c>
      <c r="N35">
        <v>2860.942</v>
      </c>
      <c r="O35">
        <v>1.6272049572063001E-2</v>
      </c>
      <c r="P35">
        <v>7.7788443281787259E-2</v>
      </c>
      <c r="Q35">
        <v>6.669418000707128E-2</v>
      </c>
      <c r="R35">
        <v>1.6272049572063001E-2</v>
      </c>
      <c r="S35">
        <v>6.669418000707128E-2</v>
      </c>
      <c r="T35">
        <v>7.7788443281787259E-2</v>
      </c>
    </row>
    <row r="36" spans="1:20" x14ac:dyDescent="0.35">
      <c r="A36" s="65">
        <v>20271</v>
      </c>
      <c r="N36">
        <v>2899.578</v>
      </c>
      <c r="O36">
        <v>1.350464287636728E-2</v>
      </c>
      <c r="P36">
        <v>8.0145013809242382E-2</v>
      </c>
      <c r="Q36">
        <v>5.5122708699020251E-2</v>
      </c>
      <c r="R36">
        <v>1.350464287636728E-2</v>
      </c>
      <c r="S36">
        <v>5.5122708699020251E-2</v>
      </c>
      <c r="T36">
        <v>8.0145013809242382E-2</v>
      </c>
    </row>
    <row r="37" spans="1:20" x14ac:dyDescent="0.35">
      <c r="A37" s="65">
        <v>20363</v>
      </c>
      <c r="N37">
        <v>2916.9850000000001</v>
      </c>
      <c r="O37">
        <v>6.0032873749215074E-3</v>
      </c>
      <c r="P37">
        <v>6.5775531977084092E-2</v>
      </c>
      <c r="Q37">
        <v>2.4230252975287799E-2</v>
      </c>
      <c r="R37">
        <v>6.0032873749215074E-3</v>
      </c>
      <c r="S37">
        <v>2.4230252975287799E-2</v>
      </c>
      <c r="T37">
        <v>6.5775531977084092E-2</v>
      </c>
    </row>
    <row r="38" spans="1:20" x14ac:dyDescent="0.35">
      <c r="A38" s="65">
        <v>20455</v>
      </c>
      <c r="N38">
        <v>2905.6559999999999</v>
      </c>
      <c r="O38">
        <v>-3.8838046818890659E-3</v>
      </c>
      <c r="P38">
        <v>3.2155485316151887E-2</v>
      </c>
      <c r="Q38">
        <v>-1.5444949199477359E-2</v>
      </c>
      <c r="R38">
        <v>-3.8838046818890659E-3</v>
      </c>
      <c r="S38">
        <v>-1.5444949199477359E-2</v>
      </c>
      <c r="T38">
        <v>3.2155485316151887E-2</v>
      </c>
    </row>
    <row r="39" spans="1:20" x14ac:dyDescent="0.35">
      <c r="A39" s="65">
        <v>20546</v>
      </c>
      <c r="N39">
        <v>2929.6660000000002</v>
      </c>
      <c r="O39">
        <v>8.2631942666303998E-3</v>
      </c>
      <c r="P39">
        <v>2.4021458666411331E-2</v>
      </c>
      <c r="Q39">
        <v>3.3464720861821728E-2</v>
      </c>
      <c r="R39">
        <v>8.2631942666303998E-3</v>
      </c>
      <c r="S39">
        <v>3.3464720861821728E-2</v>
      </c>
      <c r="T39">
        <v>2.4021458666411331E-2</v>
      </c>
    </row>
    <row r="40" spans="1:20" x14ac:dyDescent="0.35">
      <c r="A40" s="65">
        <v>20637</v>
      </c>
      <c r="N40">
        <v>2927.0340000000001</v>
      </c>
      <c r="O40">
        <v>-8.9839592636159265E-4</v>
      </c>
      <c r="P40">
        <v>9.4689641044317929E-3</v>
      </c>
      <c r="Q40">
        <v>-3.588743913787829E-3</v>
      </c>
      <c r="R40">
        <v>-8.9839592636159265E-4</v>
      </c>
      <c r="S40">
        <v>-3.588743913787829E-3</v>
      </c>
      <c r="T40">
        <v>9.4689641044317929E-3</v>
      </c>
    </row>
    <row r="41" spans="1:20" x14ac:dyDescent="0.35">
      <c r="A41" s="65">
        <v>20729</v>
      </c>
      <c r="N41">
        <v>2975.2089999999998</v>
      </c>
      <c r="O41">
        <v>1.6458640384771659E-2</v>
      </c>
      <c r="P41">
        <v>1.9960335757640061E-2</v>
      </c>
      <c r="Q41">
        <v>6.7477789695216561E-2</v>
      </c>
      <c r="R41">
        <v>1.6458640384771659E-2</v>
      </c>
      <c r="S41">
        <v>6.7477789695216561E-2</v>
      </c>
      <c r="T41">
        <v>1.9960335757640061E-2</v>
      </c>
    </row>
    <row r="42" spans="1:20" x14ac:dyDescent="0.35">
      <c r="A42" s="65">
        <v>20821</v>
      </c>
      <c r="N42">
        <v>2994.259</v>
      </c>
      <c r="O42">
        <v>6.4029115265516424E-3</v>
      </c>
      <c r="P42">
        <v>3.0493286197677931E-2</v>
      </c>
      <c r="Q42">
        <v>2.5858681450808829E-2</v>
      </c>
      <c r="R42">
        <v>6.4029115265516424E-3</v>
      </c>
      <c r="S42">
        <v>2.5858681450808829E-2</v>
      </c>
      <c r="T42">
        <v>3.0493286197677931E-2</v>
      </c>
    </row>
    <row r="43" spans="1:20" x14ac:dyDescent="0.35">
      <c r="A43" s="65">
        <v>20911</v>
      </c>
      <c r="N43">
        <v>2987.6990000000001</v>
      </c>
      <c r="O43">
        <v>-2.1908592409674459E-3</v>
      </c>
      <c r="P43">
        <v>1.9808742703093081E-2</v>
      </c>
      <c r="Q43">
        <v>-8.734679818856006E-3</v>
      </c>
      <c r="R43">
        <v>-2.1908592409674459E-3</v>
      </c>
      <c r="S43">
        <v>-8.734679818856006E-3</v>
      </c>
      <c r="T43">
        <v>1.9808742703093081E-2</v>
      </c>
    </row>
    <row r="44" spans="1:20" x14ac:dyDescent="0.35">
      <c r="A44" s="65">
        <v>21002</v>
      </c>
      <c r="N44">
        <v>3016.9789999999998</v>
      </c>
      <c r="O44">
        <v>9.8001840212149031E-3</v>
      </c>
      <c r="P44">
        <v>3.0729058835667681E-2</v>
      </c>
      <c r="Q44">
        <v>3.9780771930417069E-2</v>
      </c>
      <c r="R44">
        <v>9.8001840212149031E-3</v>
      </c>
      <c r="S44">
        <v>3.9780771930417069E-2</v>
      </c>
      <c r="T44">
        <v>3.0729058835667681E-2</v>
      </c>
    </row>
    <row r="45" spans="1:20" x14ac:dyDescent="0.35">
      <c r="A45" s="65">
        <v>21094</v>
      </c>
      <c r="N45">
        <v>2985.7750000000001</v>
      </c>
      <c r="O45">
        <v>-1.0342796552445251E-2</v>
      </c>
      <c r="P45">
        <v>3.551347149057514E-3</v>
      </c>
      <c r="Q45">
        <v>-4.0733759741440001E-2</v>
      </c>
      <c r="R45">
        <v>-1.0342796552445251E-2</v>
      </c>
      <c r="S45">
        <v>-4.0733759741440001E-2</v>
      </c>
      <c r="T45">
        <v>3.551347149057514E-3</v>
      </c>
    </row>
    <row r="46" spans="1:20" x14ac:dyDescent="0.35">
      <c r="A46" s="65">
        <v>21186</v>
      </c>
      <c r="N46">
        <v>2908.2809999999999</v>
      </c>
      <c r="O46">
        <v>-2.595440044879475E-2</v>
      </c>
      <c r="P46">
        <v>-2.8714282899375131E-2</v>
      </c>
      <c r="Q46">
        <v>-9.984529734545633E-2</v>
      </c>
      <c r="R46">
        <v>-2.595440044879475E-2</v>
      </c>
      <c r="S46">
        <v>-9.984529734545633E-2</v>
      </c>
      <c r="T46">
        <v>-2.8714282899375131E-2</v>
      </c>
    </row>
    <row r="47" spans="1:20" x14ac:dyDescent="0.35">
      <c r="A47" s="65">
        <v>21276</v>
      </c>
      <c r="N47">
        <v>2927.395</v>
      </c>
      <c r="O47">
        <v>6.5722672602819441E-3</v>
      </c>
      <c r="P47">
        <v>-2.0184094850251012E-2</v>
      </c>
      <c r="Q47">
        <v>2.654937463692297E-2</v>
      </c>
      <c r="R47">
        <v>6.5722672602819441E-3</v>
      </c>
      <c r="S47">
        <v>2.654937463692297E-2</v>
      </c>
      <c r="T47">
        <v>-2.0184094850251012E-2</v>
      </c>
    </row>
    <row r="48" spans="1:20" x14ac:dyDescent="0.35">
      <c r="A48" s="65">
        <v>21367</v>
      </c>
      <c r="N48">
        <v>2995.1120000000001</v>
      </c>
      <c r="O48">
        <v>2.3132170410894361E-2</v>
      </c>
      <c r="P48">
        <v>-7.2479788556697733E-3</v>
      </c>
      <c r="Q48">
        <v>9.5789063668671348E-2</v>
      </c>
      <c r="R48">
        <v>2.3132170410894361E-2</v>
      </c>
      <c r="S48">
        <v>9.5789063668671348E-2</v>
      </c>
      <c r="T48">
        <v>-7.2479788556697733E-3</v>
      </c>
    </row>
    <row r="49" spans="1:20" x14ac:dyDescent="0.35">
      <c r="A49" s="65">
        <v>21459</v>
      </c>
      <c r="N49">
        <v>3065.1410000000001</v>
      </c>
      <c r="O49">
        <v>2.338109559842837E-2</v>
      </c>
      <c r="P49">
        <v>2.6581373345278859E-2</v>
      </c>
      <c r="Q49">
        <v>9.6855862537051252E-2</v>
      </c>
      <c r="R49">
        <v>2.338109559842837E-2</v>
      </c>
      <c r="S49">
        <v>9.6855862537051252E-2</v>
      </c>
      <c r="T49">
        <v>2.6581373345278859E-2</v>
      </c>
    </row>
    <row r="50" spans="1:20" x14ac:dyDescent="0.35">
      <c r="A50" s="65">
        <v>21551</v>
      </c>
      <c r="N50">
        <v>3123.9780000000001</v>
      </c>
      <c r="O50">
        <v>1.91955280360675E-2</v>
      </c>
      <c r="P50">
        <v>7.4166492164959338E-2</v>
      </c>
      <c r="Q50">
        <v>7.9021349466726676E-2</v>
      </c>
      <c r="R50">
        <v>1.91955280360675E-2</v>
      </c>
      <c r="S50">
        <v>7.9021349466726676E-2</v>
      </c>
      <c r="T50">
        <v>7.4166492164959338E-2</v>
      </c>
    </row>
    <row r="51" spans="1:20" x14ac:dyDescent="0.35">
      <c r="A51" s="65">
        <v>21641</v>
      </c>
      <c r="N51">
        <v>3194.4290000000001</v>
      </c>
      <c r="O51">
        <v>2.2551695306433021E-2</v>
      </c>
      <c r="P51">
        <v>9.121898479706364E-2</v>
      </c>
      <c r="Q51">
        <v>9.3304390916545632E-2</v>
      </c>
      <c r="R51">
        <v>2.2551695306433021E-2</v>
      </c>
      <c r="S51">
        <v>9.3304390916545632E-2</v>
      </c>
      <c r="T51">
        <v>9.121898479706364E-2</v>
      </c>
    </row>
    <row r="52" spans="1:20" x14ac:dyDescent="0.35">
      <c r="A52" s="65">
        <v>21732</v>
      </c>
      <c r="N52">
        <v>3196.683</v>
      </c>
      <c r="O52">
        <v>7.0560341143907266E-4</v>
      </c>
      <c r="P52">
        <v>6.7299987446212337E-2</v>
      </c>
      <c r="Q52">
        <v>2.8254023082616708E-3</v>
      </c>
      <c r="R52">
        <v>7.0560341143907266E-4</v>
      </c>
      <c r="S52">
        <v>2.8254023082616708E-3</v>
      </c>
      <c r="T52">
        <v>6.7299987446212337E-2</v>
      </c>
    </row>
    <row r="53" spans="1:20" x14ac:dyDescent="0.35">
      <c r="A53" s="65">
        <v>21824</v>
      </c>
      <c r="N53">
        <v>3205.79</v>
      </c>
      <c r="O53">
        <v>2.8488905531139528E-3</v>
      </c>
      <c r="P53">
        <v>4.588663294771754E-2</v>
      </c>
      <c r="Q53">
        <v>1.144435183103387E-2</v>
      </c>
      <c r="R53">
        <v>2.8488905531139528E-3</v>
      </c>
      <c r="S53">
        <v>1.144435183103387E-2</v>
      </c>
      <c r="T53">
        <v>4.588663294771754E-2</v>
      </c>
    </row>
    <row r="54" spans="1:20" x14ac:dyDescent="0.35">
      <c r="A54" s="65">
        <v>21916</v>
      </c>
      <c r="N54">
        <v>3277.8470000000002</v>
      </c>
      <c r="O54">
        <v>2.2477142919530051E-2</v>
      </c>
      <c r="P54">
        <v>4.9254188089672891E-2</v>
      </c>
      <c r="Q54">
        <v>9.298558243454158E-2</v>
      </c>
      <c r="R54">
        <v>2.2477142919530051E-2</v>
      </c>
      <c r="S54">
        <v>9.298558243454158E-2</v>
      </c>
      <c r="T54">
        <v>4.9254188089672891E-2</v>
      </c>
    </row>
    <row r="55" spans="1:20" x14ac:dyDescent="0.35">
      <c r="A55" s="65">
        <v>22007</v>
      </c>
      <c r="N55">
        <v>3260.1770000000001</v>
      </c>
      <c r="O55">
        <v>-5.3907336126427109E-3</v>
      </c>
      <c r="P55">
        <v>2.0582082118588349E-2</v>
      </c>
      <c r="Q55">
        <v>-2.138920017185875E-2</v>
      </c>
      <c r="R55">
        <v>-5.3907336126427109E-3</v>
      </c>
      <c r="S55">
        <v>-2.138920017185875E-2</v>
      </c>
      <c r="T55">
        <v>2.0582082118588349E-2</v>
      </c>
    </row>
    <row r="56" spans="1:20" x14ac:dyDescent="0.35">
      <c r="A56" s="65">
        <v>22098</v>
      </c>
      <c r="N56">
        <v>3276.1329999999998</v>
      </c>
      <c r="O56">
        <v>4.8942127988755441E-3</v>
      </c>
      <c r="P56">
        <v>2.4853887607873479E-2</v>
      </c>
      <c r="Q56">
        <v>1.9721040613348121E-2</v>
      </c>
      <c r="R56">
        <v>4.8942127988755441E-3</v>
      </c>
      <c r="S56">
        <v>1.9721040613348121E-2</v>
      </c>
      <c r="T56">
        <v>2.4853887607873479E-2</v>
      </c>
    </row>
    <row r="57" spans="1:20" x14ac:dyDescent="0.35">
      <c r="A57" s="65">
        <v>22190</v>
      </c>
      <c r="N57">
        <v>3234.087</v>
      </c>
      <c r="O57">
        <v>-1.283403329474103E-2</v>
      </c>
      <c r="P57">
        <v>8.8268414337807615E-3</v>
      </c>
      <c r="Q57">
        <v>-5.0356287283370382E-2</v>
      </c>
      <c r="R57">
        <v>-1.283403329474103E-2</v>
      </c>
      <c r="S57">
        <v>-5.0356287283370382E-2</v>
      </c>
      <c r="T57">
        <v>8.8268414337807615E-3</v>
      </c>
    </row>
    <row r="58" spans="1:20" x14ac:dyDescent="0.35">
      <c r="A58" s="65">
        <v>22282</v>
      </c>
      <c r="N58">
        <v>3255.9140000000002</v>
      </c>
      <c r="O58">
        <v>6.7490454029221309E-3</v>
      </c>
      <c r="P58">
        <v>-6.6912824180018144E-3</v>
      </c>
      <c r="Q58">
        <v>2.7270711035208169E-2</v>
      </c>
      <c r="R58">
        <v>6.7490454029221309E-3</v>
      </c>
      <c r="S58">
        <v>2.7270711035208169E-2</v>
      </c>
      <c r="T58">
        <v>-6.6912824180018144E-3</v>
      </c>
    </row>
    <row r="59" spans="1:20" x14ac:dyDescent="0.35">
      <c r="A59" s="65">
        <v>22372</v>
      </c>
      <c r="N59">
        <v>3311.181</v>
      </c>
      <c r="O59">
        <v>1.697434268841248E-2</v>
      </c>
      <c r="P59">
        <v>1.564454936035679E-2</v>
      </c>
      <c r="Q59">
        <v>6.9645786784463759E-2</v>
      </c>
      <c r="R59">
        <v>1.697434268841248E-2</v>
      </c>
      <c r="S59">
        <v>6.9645786784463759E-2</v>
      </c>
      <c r="T59">
        <v>1.564454936035679E-2</v>
      </c>
    </row>
    <row r="60" spans="1:20" x14ac:dyDescent="0.35">
      <c r="A60" s="65">
        <v>22463</v>
      </c>
      <c r="N60">
        <v>3374.7420000000002</v>
      </c>
      <c r="O60">
        <v>1.9195869993213949E-2</v>
      </c>
      <c r="P60">
        <v>3.009920537414091E-2</v>
      </c>
      <c r="Q60">
        <v>7.9022797586295823E-2</v>
      </c>
      <c r="R60">
        <v>1.9195869993213949E-2</v>
      </c>
      <c r="S60">
        <v>7.9022797586295823E-2</v>
      </c>
      <c r="T60">
        <v>3.009920537414091E-2</v>
      </c>
    </row>
    <row r="61" spans="1:20" x14ac:dyDescent="0.35">
      <c r="A61" s="65">
        <v>22555</v>
      </c>
      <c r="N61">
        <v>3440.924</v>
      </c>
      <c r="O61">
        <v>1.9610980632000841E-2</v>
      </c>
      <c r="P61">
        <v>6.3955298666980812E-2</v>
      </c>
      <c r="Q61">
        <v>8.0781782598194907E-2</v>
      </c>
      <c r="R61">
        <v>1.9610980632000841E-2</v>
      </c>
      <c r="S61">
        <v>8.0781782598194907E-2</v>
      </c>
      <c r="T61">
        <v>6.3955298666980812E-2</v>
      </c>
    </row>
    <row r="62" spans="1:20" x14ac:dyDescent="0.35">
      <c r="A62" s="65">
        <v>22647</v>
      </c>
      <c r="N62">
        <v>3502.2979999999998</v>
      </c>
      <c r="O62">
        <v>1.783648810610167E-2</v>
      </c>
      <c r="P62">
        <v>7.5672760398462477E-2</v>
      </c>
      <c r="Q62">
        <v>7.3277593508693117E-2</v>
      </c>
      <c r="R62">
        <v>1.783648810610167E-2</v>
      </c>
      <c r="S62">
        <v>7.3277593508693117E-2</v>
      </c>
      <c r="T62">
        <v>7.5672760398462477E-2</v>
      </c>
    </row>
    <row r="63" spans="1:20" x14ac:dyDescent="0.35">
      <c r="A63" s="65">
        <v>22737</v>
      </c>
      <c r="N63">
        <v>3533.9470000000001</v>
      </c>
      <c r="O63">
        <v>9.0366382300993073E-3</v>
      </c>
      <c r="P63">
        <v>6.7276902108341433E-2</v>
      </c>
      <c r="Q63">
        <v>3.6639476329429772E-2</v>
      </c>
      <c r="R63">
        <v>9.0366382300993073E-3</v>
      </c>
      <c r="S63">
        <v>3.6639476329429772E-2</v>
      </c>
      <c r="T63">
        <v>6.7276902108341433E-2</v>
      </c>
    </row>
    <row r="64" spans="1:20" x14ac:dyDescent="0.35">
      <c r="A64" s="65">
        <v>22828</v>
      </c>
      <c r="N64">
        <v>3577.3620000000001</v>
      </c>
      <c r="O64">
        <v>1.228513047875363E-2</v>
      </c>
      <c r="P64">
        <v>6.0040145291106663E-2</v>
      </c>
      <c r="Q64">
        <v>5.0053507783781807E-2</v>
      </c>
      <c r="R64">
        <v>1.228513047875363E-2</v>
      </c>
      <c r="S64">
        <v>5.0053507783781807E-2</v>
      </c>
      <c r="T64">
        <v>6.0040145291106663E-2</v>
      </c>
    </row>
    <row r="65" spans="1:20" x14ac:dyDescent="0.35">
      <c r="A65" s="65">
        <v>22920</v>
      </c>
      <c r="N65">
        <v>3589.1280000000002</v>
      </c>
      <c r="O65">
        <v>3.2890157607756991E-3</v>
      </c>
      <c r="P65">
        <v>4.3070989071540139E-2</v>
      </c>
      <c r="Q65">
        <v>1.3221111225523609E-2</v>
      </c>
      <c r="R65">
        <v>3.2890157607756991E-3</v>
      </c>
      <c r="S65">
        <v>1.3221111225523609E-2</v>
      </c>
      <c r="T65">
        <v>4.3070989071540139E-2</v>
      </c>
    </row>
    <row r="66" spans="1:20" x14ac:dyDescent="0.35">
      <c r="A66" s="65">
        <v>23012</v>
      </c>
      <c r="N66">
        <v>3628.306</v>
      </c>
      <c r="O66">
        <v>1.0915743322612029E-2</v>
      </c>
      <c r="P66">
        <v>3.5978663152021979E-2</v>
      </c>
      <c r="Q66">
        <v>4.4383110795709342E-2</v>
      </c>
      <c r="R66">
        <v>1.0915743322612029E-2</v>
      </c>
      <c r="S66">
        <v>4.4383110795709342E-2</v>
      </c>
      <c r="T66">
        <v>3.5978663152021979E-2</v>
      </c>
    </row>
    <row r="67" spans="1:20" x14ac:dyDescent="0.35">
      <c r="A67" s="65">
        <v>23102</v>
      </c>
      <c r="N67">
        <v>3669.02</v>
      </c>
      <c r="O67">
        <v>1.122121452821232E-2</v>
      </c>
      <c r="P67">
        <v>3.8221569253868229E-2</v>
      </c>
      <c r="Q67">
        <v>4.5646019606860877E-2</v>
      </c>
      <c r="R67">
        <v>1.122121452821232E-2</v>
      </c>
      <c r="S67">
        <v>4.5646019606860877E-2</v>
      </c>
      <c r="T67">
        <v>3.8221569253868229E-2</v>
      </c>
    </row>
    <row r="68" spans="1:20" x14ac:dyDescent="0.35">
      <c r="A68" s="65">
        <v>23193</v>
      </c>
      <c r="N68">
        <v>3749.681</v>
      </c>
      <c r="O68">
        <v>2.1984344593379179E-2</v>
      </c>
      <c r="P68">
        <v>4.8169293462612943E-2</v>
      </c>
      <c r="Q68">
        <v>9.0879981544722765E-2</v>
      </c>
      <c r="R68">
        <v>2.1984344593379179E-2</v>
      </c>
      <c r="S68">
        <v>9.0879981544722765E-2</v>
      </c>
      <c r="T68">
        <v>4.8169293462612943E-2</v>
      </c>
    </row>
    <row r="69" spans="1:20" x14ac:dyDescent="0.35">
      <c r="A69" s="65">
        <v>23285</v>
      </c>
      <c r="N69">
        <v>3774.2640000000001</v>
      </c>
      <c r="O69">
        <v>6.5560243658060744E-3</v>
      </c>
      <c r="P69">
        <v>5.158244565253732E-2</v>
      </c>
      <c r="Q69">
        <v>2.6483115193417731E-2</v>
      </c>
      <c r="R69">
        <v>6.5560243658060744E-3</v>
      </c>
      <c r="S69">
        <v>2.6483115193417731E-2</v>
      </c>
      <c r="T69">
        <v>5.158244565253732E-2</v>
      </c>
    </row>
    <row r="70" spans="1:20" x14ac:dyDescent="0.35">
      <c r="A70" s="65">
        <v>23377</v>
      </c>
      <c r="N70">
        <v>3853.835</v>
      </c>
      <c r="O70">
        <v>2.10825209895227E-2</v>
      </c>
      <c r="P70">
        <v>6.215820826578574E-2</v>
      </c>
      <c r="Q70">
        <v>8.7034600081078217E-2</v>
      </c>
      <c r="R70">
        <v>2.10825209895227E-2</v>
      </c>
      <c r="S70">
        <v>8.7034600081078217E-2</v>
      </c>
      <c r="T70">
        <v>6.215820826578574E-2</v>
      </c>
    </row>
    <row r="71" spans="1:20" x14ac:dyDescent="0.35">
      <c r="A71" s="65">
        <v>23468</v>
      </c>
      <c r="N71">
        <v>3895.7930000000001</v>
      </c>
      <c r="O71">
        <v>1.0887336899478069E-2</v>
      </c>
      <c r="P71">
        <v>6.1807512632801168E-2</v>
      </c>
      <c r="Q71">
        <v>4.426572835975362E-2</v>
      </c>
      <c r="R71">
        <v>1.0887336899478069E-2</v>
      </c>
      <c r="S71">
        <v>4.426572835975362E-2</v>
      </c>
      <c r="T71">
        <v>6.1807512632801168E-2</v>
      </c>
    </row>
    <row r="72" spans="1:20" x14ac:dyDescent="0.35">
      <c r="A72" s="65">
        <v>23559</v>
      </c>
      <c r="N72">
        <v>3956.6570000000002</v>
      </c>
      <c r="O72">
        <v>1.5623006663855091E-2</v>
      </c>
      <c r="P72">
        <v>5.5198295535006867E-2</v>
      </c>
      <c r="Q72">
        <v>6.3971809202924224E-2</v>
      </c>
      <c r="R72">
        <v>1.5623006663855091E-2</v>
      </c>
      <c r="S72">
        <v>6.3971809202924224E-2</v>
      </c>
      <c r="T72">
        <v>5.5198295535006867E-2</v>
      </c>
    </row>
    <row r="73" spans="1:20" x14ac:dyDescent="0.35">
      <c r="A73" s="65">
        <v>23651</v>
      </c>
      <c r="N73">
        <v>3968.8780000000002</v>
      </c>
      <c r="O73">
        <v>3.0887185823790142E-3</v>
      </c>
      <c r="P73">
        <v>5.1563430645021127E-2</v>
      </c>
      <c r="Q73">
        <v>1.2412233383173101E-2</v>
      </c>
      <c r="R73">
        <v>3.0887185823790142E-3</v>
      </c>
      <c r="S73">
        <v>1.2412233383173101E-2</v>
      </c>
      <c r="T73">
        <v>5.1563430645021127E-2</v>
      </c>
    </row>
    <row r="74" spans="1:20" x14ac:dyDescent="0.35">
      <c r="A74" s="65">
        <v>23743</v>
      </c>
      <c r="N74">
        <v>4064.915</v>
      </c>
      <c r="O74">
        <v>2.419751879498433E-2</v>
      </c>
      <c r="P74">
        <v>5.4771416005096198E-2</v>
      </c>
      <c r="Q74">
        <v>0.10036021002518369</v>
      </c>
      <c r="R74">
        <v>2.419751879498433E-2</v>
      </c>
      <c r="S74">
        <v>0.10036021002518369</v>
      </c>
      <c r="T74">
        <v>5.4771416005096198E-2</v>
      </c>
    </row>
    <row r="75" spans="1:20" x14ac:dyDescent="0.35">
      <c r="A75" s="65">
        <v>23833</v>
      </c>
      <c r="N75">
        <v>4116.2669999999998</v>
      </c>
      <c r="O75">
        <v>1.2632982485488589E-2</v>
      </c>
      <c r="P75">
        <v>5.6592842586862209E-2</v>
      </c>
      <c r="Q75">
        <v>5.1497573394729379E-2</v>
      </c>
      <c r="R75">
        <v>1.2632982485488589E-2</v>
      </c>
      <c r="S75">
        <v>5.1497573394729379E-2</v>
      </c>
      <c r="T75">
        <v>5.6592842586862209E-2</v>
      </c>
    </row>
    <row r="76" spans="1:20" x14ac:dyDescent="0.35">
      <c r="A76" s="65">
        <v>23924</v>
      </c>
      <c r="N76">
        <v>4207.7820000000002</v>
      </c>
      <c r="O76">
        <v>2.2232522817397491E-2</v>
      </c>
      <c r="P76">
        <v>6.3468984043853177E-2</v>
      </c>
      <c r="Q76">
        <v>9.1940002828739154E-2</v>
      </c>
      <c r="R76">
        <v>2.2232522817397491E-2</v>
      </c>
      <c r="S76">
        <v>9.1940002828739154E-2</v>
      </c>
      <c r="T76">
        <v>6.3468984043853177E-2</v>
      </c>
    </row>
    <row r="77" spans="1:20" x14ac:dyDescent="0.35">
      <c r="A77" s="65">
        <v>24016</v>
      </c>
      <c r="N77">
        <v>4304.7309999999998</v>
      </c>
      <c r="O77">
        <v>2.3040404659747011E-2</v>
      </c>
      <c r="P77">
        <v>8.4621648738005956E-2</v>
      </c>
      <c r="Q77">
        <v>9.5395986872523153E-2</v>
      </c>
      <c r="R77">
        <v>2.3040404659747011E-2</v>
      </c>
      <c r="S77">
        <v>9.5395986872523153E-2</v>
      </c>
      <c r="T77">
        <v>8.4621648738005956E-2</v>
      </c>
    </row>
    <row r="78" spans="1:20" x14ac:dyDescent="0.35">
      <c r="A78" s="65">
        <v>24108</v>
      </c>
      <c r="N78">
        <v>4409.518</v>
      </c>
      <c r="O78">
        <v>2.4342287590095699E-2</v>
      </c>
      <c r="P78">
        <v>8.477495839396397E-2</v>
      </c>
      <c r="Q78">
        <v>0.100982479057544</v>
      </c>
      <c r="R78">
        <v>2.4342287590095699E-2</v>
      </c>
      <c r="S78">
        <v>0.100982479057544</v>
      </c>
      <c r="T78">
        <v>8.477495839396397E-2</v>
      </c>
    </row>
    <row r="79" spans="1:20" x14ac:dyDescent="0.35">
      <c r="A79" s="65">
        <v>24198</v>
      </c>
      <c r="N79">
        <v>4424.5810000000001</v>
      </c>
      <c r="O79">
        <v>3.4160196193779228E-3</v>
      </c>
      <c r="P79">
        <v>7.490136086896218E-2</v>
      </c>
      <c r="Q79">
        <v>1.373425320265032E-2</v>
      </c>
      <c r="R79">
        <v>3.4160196193779228E-3</v>
      </c>
      <c r="S79">
        <v>1.373425320265032E-2</v>
      </c>
      <c r="T79">
        <v>7.490136086896218E-2</v>
      </c>
    </row>
    <row r="80" spans="1:20" x14ac:dyDescent="0.35">
      <c r="A80" s="65">
        <v>24289</v>
      </c>
      <c r="N80">
        <v>4462.0529999999999</v>
      </c>
      <c r="O80">
        <v>8.4690505157436948E-3</v>
      </c>
      <c r="P80">
        <v>6.0428748447519318E-2</v>
      </c>
      <c r="Q80">
        <v>3.4308985871634563E-2</v>
      </c>
      <c r="R80">
        <v>8.4690505157436948E-3</v>
      </c>
      <c r="S80">
        <v>3.4308985871634563E-2</v>
      </c>
      <c r="T80">
        <v>6.0428748447519318E-2</v>
      </c>
    </row>
    <row r="81" spans="1:20" x14ac:dyDescent="0.35">
      <c r="A81" s="65">
        <v>24381</v>
      </c>
      <c r="N81">
        <v>4498.66</v>
      </c>
      <c r="O81">
        <v>8.2040710856639242E-3</v>
      </c>
      <c r="P81">
        <v>4.505020174315192E-2</v>
      </c>
      <c r="Q81">
        <v>3.3222338325639138E-2</v>
      </c>
      <c r="R81">
        <v>8.2040710856639242E-3</v>
      </c>
      <c r="S81">
        <v>3.3222338325639138E-2</v>
      </c>
      <c r="T81">
        <v>4.505020174315192E-2</v>
      </c>
    </row>
    <row r="82" spans="1:20" x14ac:dyDescent="0.35">
      <c r="A82" s="65">
        <v>24473</v>
      </c>
      <c r="N82">
        <v>4538.4979999999996</v>
      </c>
      <c r="O82">
        <v>8.8555258677027685E-3</v>
      </c>
      <c r="P82">
        <v>2.9250362511276641E-2</v>
      </c>
      <c r="Q82">
        <v>3.5895409464262729E-2</v>
      </c>
      <c r="R82">
        <v>8.8555258677027685E-3</v>
      </c>
      <c r="S82">
        <v>3.5895409464262729E-2</v>
      </c>
      <c r="T82">
        <v>2.9250362511276641E-2</v>
      </c>
    </row>
    <row r="83" spans="1:20" x14ac:dyDescent="0.35">
      <c r="A83" s="65">
        <v>24563</v>
      </c>
      <c r="N83">
        <v>4541.28</v>
      </c>
      <c r="O83">
        <v>6.1297812624356185E-4</v>
      </c>
      <c r="P83">
        <v>2.637515281107965E-2</v>
      </c>
      <c r="Q83">
        <v>2.4541678795020339E-3</v>
      </c>
      <c r="R83">
        <v>6.1297812624356185E-4</v>
      </c>
      <c r="S83">
        <v>2.4541678795020339E-3</v>
      </c>
      <c r="T83">
        <v>2.637515281107965E-2</v>
      </c>
    </row>
    <row r="84" spans="1:20" x14ac:dyDescent="0.35">
      <c r="A84" s="65">
        <v>24654</v>
      </c>
      <c r="N84">
        <v>4584.2460000000001</v>
      </c>
      <c r="O84">
        <v>9.4612091745059444E-3</v>
      </c>
      <c r="P84">
        <v>2.738492796925546E-2</v>
      </c>
      <c r="Q84">
        <v>3.8385319245969551E-2</v>
      </c>
      <c r="R84">
        <v>9.4612091745059444E-3</v>
      </c>
      <c r="S84">
        <v>3.8385319245969551E-2</v>
      </c>
      <c r="T84">
        <v>2.738492796925546E-2</v>
      </c>
    </row>
    <row r="85" spans="1:20" x14ac:dyDescent="0.35">
      <c r="A85" s="65">
        <v>24746</v>
      </c>
      <c r="N85">
        <v>4618.8119999999999</v>
      </c>
      <c r="O85">
        <v>7.5401712735310893E-3</v>
      </c>
      <c r="P85">
        <v>2.670839761173328E-2</v>
      </c>
      <c r="Q85">
        <v>3.0503528184631978E-2</v>
      </c>
      <c r="R85">
        <v>7.5401712735310893E-3</v>
      </c>
      <c r="S85">
        <v>3.0503528184631978E-2</v>
      </c>
      <c r="T85">
        <v>2.670839761173328E-2</v>
      </c>
    </row>
    <row r="86" spans="1:20" x14ac:dyDescent="0.35">
      <c r="A86" s="65">
        <v>24838</v>
      </c>
      <c r="N86">
        <v>4713.0129999999999</v>
      </c>
      <c r="O86">
        <v>2.0395071286729152E-2</v>
      </c>
      <c r="P86">
        <v>3.8452148706466398E-2</v>
      </c>
      <c r="Q86">
        <v>8.4110145813841353E-2</v>
      </c>
      <c r="R86">
        <v>2.0395071286729152E-2</v>
      </c>
      <c r="S86">
        <v>8.4110145813841353E-2</v>
      </c>
      <c r="T86">
        <v>3.8452148706466398E-2</v>
      </c>
    </row>
    <row r="87" spans="1:20" x14ac:dyDescent="0.35">
      <c r="A87" s="65">
        <v>24929</v>
      </c>
      <c r="N87">
        <v>4791.7579999999998</v>
      </c>
      <c r="O87">
        <v>1.6707995500967191E-2</v>
      </c>
      <c r="P87">
        <v>5.5155815100588403E-2</v>
      </c>
      <c r="Q87">
        <v>6.852565923772147E-2</v>
      </c>
      <c r="R87">
        <v>1.6707995500967191E-2</v>
      </c>
      <c r="S87">
        <v>6.852565923772147E-2</v>
      </c>
      <c r="T87">
        <v>5.5155815100588403E-2</v>
      </c>
    </row>
    <row r="88" spans="1:20" x14ac:dyDescent="0.35">
      <c r="A88" s="65">
        <v>25020</v>
      </c>
      <c r="N88">
        <v>4828.8919999999998</v>
      </c>
      <c r="O88">
        <v>7.7495566345378913E-3</v>
      </c>
      <c r="P88">
        <v>5.3366682329002352E-2</v>
      </c>
      <c r="Q88">
        <v>3.1360425530983838E-2</v>
      </c>
      <c r="R88">
        <v>7.7495566345378913E-3</v>
      </c>
      <c r="S88">
        <v>3.1360425530983838E-2</v>
      </c>
      <c r="T88">
        <v>5.3366682329002352E-2</v>
      </c>
    </row>
    <row r="89" spans="1:20" x14ac:dyDescent="0.35">
      <c r="A89" s="65">
        <v>25112</v>
      </c>
      <c r="N89">
        <v>4847.8850000000002</v>
      </c>
      <c r="O89">
        <v>3.9332004111917174E-3</v>
      </c>
      <c r="P89">
        <v>4.9595653600969333E-2</v>
      </c>
      <c r="Q89">
        <v>1.5825865664408582E-2</v>
      </c>
      <c r="R89">
        <v>3.9332004111917174E-3</v>
      </c>
      <c r="S89">
        <v>1.5825865664408582E-2</v>
      </c>
      <c r="T89">
        <v>4.9595653600969333E-2</v>
      </c>
    </row>
    <row r="90" spans="1:20" x14ac:dyDescent="0.35">
      <c r="A90" s="65">
        <v>25204</v>
      </c>
      <c r="N90">
        <v>4923.76</v>
      </c>
      <c r="O90">
        <v>1.565115509134396E-2</v>
      </c>
      <c r="P90">
        <v>4.4715981050763132E-2</v>
      </c>
      <c r="Q90">
        <v>6.4089767847923085E-2</v>
      </c>
      <c r="R90">
        <v>1.565115509134396E-2</v>
      </c>
      <c r="S90">
        <v>6.4089767847923085E-2</v>
      </c>
      <c r="T90">
        <v>4.4715981050763132E-2</v>
      </c>
    </row>
    <row r="91" spans="1:20" x14ac:dyDescent="0.35">
      <c r="A91" s="65">
        <v>25294</v>
      </c>
      <c r="N91">
        <v>4938.7280000000001</v>
      </c>
      <c r="O91">
        <v>3.039953206492568E-3</v>
      </c>
      <c r="P91">
        <v>3.067141537615219E-2</v>
      </c>
      <c r="Q91">
        <v>1.221537317702515E-2</v>
      </c>
      <c r="R91">
        <v>3.039953206492568E-3</v>
      </c>
      <c r="S91">
        <v>1.221537317702515E-2</v>
      </c>
      <c r="T91">
        <v>3.067141537615219E-2</v>
      </c>
    </row>
    <row r="92" spans="1:20" x14ac:dyDescent="0.35">
      <c r="A92" s="65">
        <v>25385</v>
      </c>
      <c r="N92">
        <v>4971.3490000000002</v>
      </c>
      <c r="O92">
        <v>6.6051420527715021E-3</v>
      </c>
      <c r="P92">
        <v>2.9500970408946881E-2</v>
      </c>
      <c r="Q92">
        <v>2.6683490197652041E-2</v>
      </c>
      <c r="R92">
        <v>6.6051420527715021E-3</v>
      </c>
      <c r="S92">
        <v>2.6683490197652041E-2</v>
      </c>
      <c r="T92">
        <v>2.9500970408946881E-2</v>
      </c>
    </row>
    <row r="93" spans="1:20" x14ac:dyDescent="0.35">
      <c r="A93" s="65">
        <v>25477</v>
      </c>
      <c r="N93">
        <v>4947.1040000000003</v>
      </c>
      <c r="O93">
        <v>-4.8769458752543609E-3</v>
      </c>
      <c r="P93">
        <v>2.0466450833714091E-2</v>
      </c>
      <c r="Q93">
        <v>-1.9365539313737409E-2</v>
      </c>
      <c r="R93">
        <v>-4.8769458752543609E-3</v>
      </c>
      <c r="S93">
        <v>-1.9365539313737409E-2</v>
      </c>
      <c r="T93">
        <v>2.0466450833714091E-2</v>
      </c>
    </row>
    <row r="94" spans="1:20" x14ac:dyDescent="0.35">
      <c r="A94" s="65">
        <v>25569</v>
      </c>
      <c r="N94">
        <v>4939.759</v>
      </c>
      <c r="O94">
        <v>-1.4847070124259069E-3</v>
      </c>
      <c r="P94">
        <v>3.249346028238541E-3</v>
      </c>
      <c r="Q94">
        <v>-5.9256150066525626E-3</v>
      </c>
      <c r="R94">
        <v>-1.4847070124259069E-3</v>
      </c>
      <c r="S94">
        <v>-5.9256150066525626E-3</v>
      </c>
      <c r="T94">
        <v>3.249346028238541E-3</v>
      </c>
    </row>
    <row r="95" spans="1:20" x14ac:dyDescent="0.35">
      <c r="A95" s="65">
        <v>25659</v>
      </c>
      <c r="N95">
        <v>4946.7700000000004</v>
      </c>
      <c r="O95">
        <v>1.419300010385208E-3</v>
      </c>
      <c r="P95">
        <v>1.628354507476494E-3</v>
      </c>
      <c r="Q95">
        <v>5.6892979569385096E-3</v>
      </c>
      <c r="R95">
        <v>1.419300010385208E-3</v>
      </c>
      <c r="S95">
        <v>5.6892979569385096E-3</v>
      </c>
      <c r="T95">
        <v>1.628354507476494E-3</v>
      </c>
    </row>
    <row r="96" spans="1:20" x14ac:dyDescent="0.35">
      <c r="A96" s="65">
        <v>25750</v>
      </c>
      <c r="N96">
        <v>4992.357</v>
      </c>
      <c r="O96">
        <v>9.2155083013763586E-3</v>
      </c>
      <c r="P96">
        <v>4.2258147637592551E-3</v>
      </c>
      <c r="Q96">
        <v>3.7374724507416517E-2</v>
      </c>
      <c r="R96">
        <v>9.2155083013763586E-3</v>
      </c>
      <c r="S96">
        <v>3.7374724507416517E-2</v>
      </c>
      <c r="T96">
        <v>4.2258147637592551E-3</v>
      </c>
    </row>
    <row r="97" spans="1:20" x14ac:dyDescent="0.35">
      <c r="A97" s="65">
        <v>25842</v>
      </c>
      <c r="N97">
        <v>4938.857</v>
      </c>
      <c r="O97">
        <v>-1.071638106008845E-2</v>
      </c>
      <c r="P97">
        <v>-1.667035906259561E-3</v>
      </c>
      <c r="Q97">
        <v>-4.2181388825872079E-2</v>
      </c>
      <c r="R97">
        <v>-1.071638106008845E-2</v>
      </c>
      <c r="S97">
        <v>-4.2181388825872079E-2</v>
      </c>
      <c r="T97">
        <v>-1.667035906259561E-3</v>
      </c>
    </row>
    <row r="98" spans="1:20" x14ac:dyDescent="0.35">
      <c r="A98" s="65">
        <v>25934</v>
      </c>
      <c r="N98">
        <v>5072.9960000000001</v>
      </c>
      <c r="O98">
        <v>2.7159927894247621E-2</v>
      </c>
      <c r="P98">
        <v>2.697236849004174E-2</v>
      </c>
      <c r="Q98">
        <v>0.1131463651735802</v>
      </c>
      <c r="R98">
        <v>2.7159927894247621E-2</v>
      </c>
      <c r="S98">
        <v>0.1131463651735802</v>
      </c>
      <c r="T98">
        <v>2.697236849004174E-2</v>
      </c>
    </row>
    <row r="99" spans="1:20" x14ac:dyDescent="0.35">
      <c r="A99" s="65">
        <v>26024</v>
      </c>
      <c r="N99">
        <v>5100.4470000000001</v>
      </c>
      <c r="O99">
        <v>5.4112007973197733E-3</v>
      </c>
      <c r="P99">
        <v>3.106613002019493E-2</v>
      </c>
      <c r="Q99">
        <v>2.1821124394593161E-2</v>
      </c>
      <c r="R99">
        <v>5.4112007973197733E-3</v>
      </c>
      <c r="S99">
        <v>2.1821124394593161E-2</v>
      </c>
      <c r="T99">
        <v>3.106613002019493E-2</v>
      </c>
    </row>
    <row r="100" spans="1:20" x14ac:dyDescent="0.35">
      <c r="A100" s="65">
        <v>26115</v>
      </c>
      <c r="N100">
        <v>5142.4219999999996</v>
      </c>
      <c r="O100">
        <v>8.2296708504175139E-3</v>
      </c>
      <c r="P100">
        <v>3.0058948108077931E-2</v>
      </c>
      <c r="Q100">
        <v>3.3327282382066732E-2</v>
      </c>
      <c r="R100">
        <v>8.2296708504175139E-3</v>
      </c>
      <c r="S100">
        <v>3.3327282382066732E-2</v>
      </c>
      <c r="T100">
        <v>3.0058948108077931E-2</v>
      </c>
    </row>
    <row r="101" spans="1:20" x14ac:dyDescent="0.35">
      <c r="A101" s="65">
        <v>26207</v>
      </c>
      <c r="N101">
        <v>5154.5469999999996</v>
      </c>
      <c r="O101">
        <v>2.357838388214737E-3</v>
      </c>
      <c r="P101">
        <v>4.3672048006249138E-2</v>
      </c>
      <c r="Q101">
        <v>9.464762427640272E-3</v>
      </c>
      <c r="R101">
        <v>2.357838388214737E-3</v>
      </c>
      <c r="S101">
        <v>9.464762427640272E-3</v>
      </c>
      <c r="T101">
        <v>4.3672048006249138E-2</v>
      </c>
    </row>
    <row r="102" spans="1:20" x14ac:dyDescent="0.35">
      <c r="A102" s="65">
        <v>26299</v>
      </c>
      <c r="N102">
        <v>5249.3370000000004</v>
      </c>
      <c r="O102">
        <v>1.8389588842627851E-2</v>
      </c>
      <c r="P102">
        <v>3.4760721277919467E-2</v>
      </c>
      <c r="Q102">
        <v>7.5612407343295995E-2</v>
      </c>
      <c r="R102">
        <v>1.8389588842627851E-2</v>
      </c>
      <c r="S102">
        <v>7.5612407343295995E-2</v>
      </c>
      <c r="T102">
        <v>3.4760721277919467E-2</v>
      </c>
    </row>
    <row r="103" spans="1:20" x14ac:dyDescent="0.35">
      <c r="A103" s="65">
        <v>26390</v>
      </c>
      <c r="N103">
        <v>5368.4849999999997</v>
      </c>
      <c r="O103">
        <v>2.2697723541087039E-2</v>
      </c>
      <c r="P103">
        <v>5.2551864571869791E-2</v>
      </c>
      <c r="Q103">
        <v>9.3929053762295656E-2</v>
      </c>
      <c r="R103">
        <v>2.2697723541087039E-2</v>
      </c>
      <c r="S103">
        <v>9.3929053762295656E-2</v>
      </c>
      <c r="T103">
        <v>5.2551864571869791E-2</v>
      </c>
    </row>
    <row r="104" spans="1:20" x14ac:dyDescent="0.35">
      <c r="A104" s="65">
        <v>26481</v>
      </c>
      <c r="N104">
        <v>5419.1840000000002</v>
      </c>
      <c r="O104">
        <v>9.4438188800006935E-3</v>
      </c>
      <c r="P104">
        <v>5.3819387051471212E-2</v>
      </c>
      <c r="Q104">
        <v>3.8313766779282547E-2</v>
      </c>
      <c r="R104">
        <v>9.4438188800006935E-3</v>
      </c>
      <c r="S104">
        <v>3.8313766779282547E-2</v>
      </c>
      <c r="T104">
        <v>5.3819387051471212E-2</v>
      </c>
    </row>
    <row r="105" spans="1:20" x14ac:dyDescent="0.35">
      <c r="A105" s="65">
        <v>26573</v>
      </c>
      <c r="N105">
        <v>5509.9260000000004</v>
      </c>
      <c r="O105">
        <v>1.6744587376992581E-2</v>
      </c>
      <c r="P105">
        <v>6.8944758870178285E-2</v>
      </c>
      <c r="Q105">
        <v>6.8679494830585552E-2</v>
      </c>
      <c r="R105">
        <v>1.6744587376992581E-2</v>
      </c>
      <c r="S105">
        <v>6.8679494830585552E-2</v>
      </c>
      <c r="T105">
        <v>6.8944758870178285E-2</v>
      </c>
    </row>
    <row r="106" spans="1:20" x14ac:dyDescent="0.35">
      <c r="A106" s="65">
        <v>26665</v>
      </c>
      <c r="N106">
        <v>5646.2860000000001</v>
      </c>
      <c r="O106">
        <v>2.474806376709953E-2</v>
      </c>
      <c r="P106">
        <v>7.5618882917976041E-2</v>
      </c>
      <c r="Q106">
        <v>0.1027280596009803</v>
      </c>
      <c r="R106">
        <v>2.474806376709953E-2</v>
      </c>
      <c r="S106">
        <v>0.1027280596009803</v>
      </c>
      <c r="T106">
        <v>7.5618882917976041E-2</v>
      </c>
    </row>
    <row r="107" spans="1:20" x14ac:dyDescent="0.35">
      <c r="A107" s="65">
        <v>26755</v>
      </c>
      <c r="N107">
        <v>5707.7550000000001</v>
      </c>
      <c r="O107">
        <v>1.0886625296699469E-2</v>
      </c>
      <c r="P107">
        <v>6.3196600158145266E-2</v>
      </c>
      <c r="Q107">
        <v>4.4262787966369732E-2</v>
      </c>
      <c r="R107">
        <v>1.0886625296699469E-2</v>
      </c>
      <c r="S107">
        <v>4.4262787966369732E-2</v>
      </c>
      <c r="T107">
        <v>6.3196600158145266E-2</v>
      </c>
    </row>
    <row r="108" spans="1:20" x14ac:dyDescent="0.35">
      <c r="A108" s="65">
        <v>26846</v>
      </c>
      <c r="N108">
        <v>5677.7380000000003</v>
      </c>
      <c r="O108">
        <v>-5.2589853628965894E-3</v>
      </c>
      <c r="P108">
        <v>4.7710873076094118E-2</v>
      </c>
      <c r="Q108">
        <v>-2.0870580913895931E-2</v>
      </c>
      <c r="R108">
        <v>-5.2589853628965894E-3</v>
      </c>
      <c r="S108">
        <v>-2.0870580913895931E-2</v>
      </c>
      <c r="T108">
        <v>4.7710873076094118E-2</v>
      </c>
    </row>
    <row r="109" spans="1:20" x14ac:dyDescent="0.35">
      <c r="A109" s="65">
        <v>26938</v>
      </c>
      <c r="N109">
        <v>5731.6319999999996</v>
      </c>
      <c r="O109">
        <v>9.4921604343136869E-3</v>
      </c>
      <c r="P109">
        <v>4.0237563989062503E-2</v>
      </c>
      <c r="Q109">
        <v>3.8512677530483819E-2</v>
      </c>
      <c r="R109">
        <v>9.4921604343136869E-3</v>
      </c>
      <c r="S109">
        <v>3.8512677530483819E-2</v>
      </c>
      <c r="T109">
        <v>4.0237563989062503E-2</v>
      </c>
    </row>
    <row r="110" spans="1:20" x14ac:dyDescent="0.35">
      <c r="A110" s="65">
        <v>27030</v>
      </c>
      <c r="N110">
        <v>5682.3530000000001</v>
      </c>
      <c r="O110">
        <v>-8.5977257437322464E-3</v>
      </c>
      <c r="P110">
        <v>6.3877387719998612E-3</v>
      </c>
      <c r="Q110">
        <v>-3.3949914388930691E-2</v>
      </c>
      <c r="R110">
        <v>-8.5977257437322464E-3</v>
      </c>
      <c r="S110">
        <v>-3.3949914388930691E-2</v>
      </c>
      <c r="T110">
        <v>6.3877387719998612E-3</v>
      </c>
    </row>
    <row r="111" spans="1:20" x14ac:dyDescent="0.35">
      <c r="A111" s="65">
        <v>27120</v>
      </c>
      <c r="N111">
        <v>5695.8590000000004</v>
      </c>
      <c r="O111">
        <v>2.3768322735318119E-3</v>
      </c>
      <c r="P111">
        <v>-2.0841819594568669E-3</v>
      </c>
      <c r="Q111">
        <v>9.5412788260365033E-3</v>
      </c>
      <c r="R111">
        <v>2.3768322735318119E-3</v>
      </c>
      <c r="S111">
        <v>9.5412788260365033E-3</v>
      </c>
      <c r="T111">
        <v>-2.0841819594568669E-3</v>
      </c>
    </row>
    <row r="112" spans="1:20" x14ac:dyDescent="0.35">
      <c r="A112" s="65">
        <v>27211</v>
      </c>
      <c r="N112">
        <v>5642.0249999999996</v>
      </c>
      <c r="O112">
        <v>-9.4514277828859072E-3</v>
      </c>
      <c r="P112">
        <v>-6.2900049280189829E-3</v>
      </c>
      <c r="Q112">
        <v>-3.7273103393761782E-2</v>
      </c>
      <c r="R112">
        <v>-9.4514277828859072E-3</v>
      </c>
      <c r="S112">
        <v>-3.7273103393761782E-2</v>
      </c>
      <c r="T112">
        <v>-6.2900049280189829E-3</v>
      </c>
    </row>
    <row r="113" spans="1:20" x14ac:dyDescent="0.35">
      <c r="A113" s="65">
        <v>27303</v>
      </c>
      <c r="N113">
        <v>5620.1260000000002</v>
      </c>
      <c r="O113">
        <v>-3.881407827863123E-3</v>
      </c>
      <c r="P113">
        <v>-1.945449393820109E-2</v>
      </c>
      <c r="Q113">
        <v>-1.5435473022839759E-2</v>
      </c>
      <c r="R113">
        <v>-3.881407827863123E-3</v>
      </c>
      <c r="S113">
        <v>-1.5435473022839759E-2</v>
      </c>
      <c r="T113">
        <v>-1.945449393820109E-2</v>
      </c>
    </row>
    <row r="114" spans="1:20" x14ac:dyDescent="0.35">
      <c r="A114" s="65">
        <v>27395</v>
      </c>
      <c r="N114">
        <v>5551.7129999999997</v>
      </c>
      <c r="O114">
        <v>-1.217285875797099E-2</v>
      </c>
      <c r="P114">
        <v>-2.2990475952479598E-2</v>
      </c>
      <c r="Q114">
        <v>-4.7809557156305638E-2</v>
      </c>
      <c r="R114">
        <v>-1.217285875797099E-2</v>
      </c>
      <c r="S114">
        <v>-4.7809557156305638E-2</v>
      </c>
      <c r="T114">
        <v>-2.2990475952479598E-2</v>
      </c>
    </row>
    <row r="115" spans="1:20" x14ac:dyDescent="0.35">
      <c r="A115" s="65">
        <v>27485</v>
      </c>
      <c r="N115">
        <v>5591.3819999999996</v>
      </c>
      <c r="O115">
        <v>7.1453621611923873E-3</v>
      </c>
      <c r="P115">
        <v>-1.834262400105072E-2</v>
      </c>
      <c r="Q115">
        <v>2.888924771416268E-2</v>
      </c>
      <c r="R115">
        <v>7.1453621611923873E-3</v>
      </c>
      <c r="S115">
        <v>2.888924771416268E-2</v>
      </c>
      <c r="T115">
        <v>-1.834262400105072E-2</v>
      </c>
    </row>
    <row r="116" spans="1:20" x14ac:dyDescent="0.35">
      <c r="A116" s="65">
        <v>27576</v>
      </c>
      <c r="N116">
        <v>5687.0870000000004</v>
      </c>
      <c r="O116">
        <v>1.7116519672596298E-2</v>
      </c>
      <c r="P116">
        <v>7.9868486935100094E-3</v>
      </c>
      <c r="Q116">
        <v>7.0244074865320139E-2</v>
      </c>
      <c r="R116">
        <v>1.7116519672596298E-2</v>
      </c>
      <c r="S116">
        <v>7.0244074865320139E-2</v>
      </c>
      <c r="T116">
        <v>7.9868486935100094E-3</v>
      </c>
    </row>
    <row r="117" spans="1:20" x14ac:dyDescent="0.35">
      <c r="A117" s="65">
        <v>27668</v>
      </c>
      <c r="N117">
        <v>5763.665</v>
      </c>
      <c r="O117">
        <v>1.3465241519955561E-2</v>
      </c>
      <c r="P117">
        <v>2.5540174722061351E-2</v>
      </c>
      <c r="Q117">
        <v>5.4958641008029607E-2</v>
      </c>
      <c r="R117">
        <v>1.3465241519955561E-2</v>
      </c>
      <c r="S117">
        <v>5.4958641008029607E-2</v>
      </c>
      <c r="T117">
        <v>2.5540174722061351E-2</v>
      </c>
    </row>
    <row r="118" spans="1:20" x14ac:dyDescent="0.35">
      <c r="A118" s="65">
        <v>27760</v>
      </c>
      <c r="N118">
        <v>5893.2759999999998</v>
      </c>
      <c r="O118">
        <v>2.2487601205135949E-2</v>
      </c>
      <c r="P118">
        <v>6.1523893616258638E-2</v>
      </c>
      <c r="Q118">
        <v>9.3030301011741479E-2</v>
      </c>
      <c r="R118">
        <v>2.2487601205135949E-2</v>
      </c>
      <c r="S118">
        <v>9.3030301011741479E-2</v>
      </c>
      <c r="T118">
        <v>6.1523893616258638E-2</v>
      </c>
    </row>
    <row r="119" spans="1:20" x14ac:dyDescent="0.35">
      <c r="A119" s="65">
        <v>27851</v>
      </c>
      <c r="N119">
        <v>5936.5150000000003</v>
      </c>
      <c r="O119">
        <v>7.3370057672507601E-3</v>
      </c>
      <c r="P119">
        <v>6.1725884584526818E-2</v>
      </c>
      <c r="Q119">
        <v>2.9672595741234709E-2</v>
      </c>
      <c r="R119">
        <v>7.3370057672507601E-3</v>
      </c>
      <c r="S119">
        <v>2.9672595741234709E-2</v>
      </c>
      <c r="T119">
        <v>6.1725884584526818E-2</v>
      </c>
    </row>
    <row r="120" spans="1:20" x14ac:dyDescent="0.35">
      <c r="A120" s="65">
        <v>27942</v>
      </c>
      <c r="N120">
        <v>5969.0889999999999</v>
      </c>
      <c r="O120">
        <v>5.4870576424046113E-3</v>
      </c>
      <c r="P120">
        <v>4.958636996409576E-2</v>
      </c>
      <c r="Q120">
        <v>2.2129539098495469E-2</v>
      </c>
      <c r="R120">
        <v>5.4870576424046113E-3</v>
      </c>
      <c r="S120">
        <v>2.2129539098495469E-2</v>
      </c>
      <c r="T120">
        <v>4.958636996409576E-2</v>
      </c>
    </row>
    <row r="121" spans="1:20" x14ac:dyDescent="0.35">
      <c r="A121" s="65">
        <v>28034</v>
      </c>
      <c r="N121">
        <v>6012.3559999999998</v>
      </c>
      <c r="O121">
        <v>7.2485097809732481E-3</v>
      </c>
      <c r="P121">
        <v>4.314806637790361E-2</v>
      </c>
      <c r="Q121">
        <v>2.931081062144569E-2</v>
      </c>
      <c r="R121">
        <v>7.2485097809732481E-3</v>
      </c>
      <c r="S121">
        <v>2.931081062144569E-2</v>
      </c>
      <c r="T121">
        <v>4.314806637790361E-2</v>
      </c>
    </row>
    <row r="122" spans="1:20" x14ac:dyDescent="0.35">
      <c r="A122" s="65">
        <v>28126</v>
      </c>
      <c r="N122">
        <v>6083.3909999999996</v>
      </c>
      <c r="O122">
        <v>1.1814835981102891E-2</v>
      </c>
      <c r="P122">
        <v>3.225964641737461E-2</v>
      </c>
      <c r="Q122">
        <v>4.8103502453763942E-2</v>
      </c>
      <c r="R122">
        <v>1.1814835981102891E-2</v>
      </c>
      <c r="S122">
        <v>4.8103502453763942E-2</v>
      </c>
      <c r="T122">
        <v>3.225964641737461E-2</v>
      </c>
    </row>
    <row r="123" spans="1:20" x14ac:dyDescent="0.35">
      <c r="A123" s="65">
        <v>28216</v>
      </c>
      <c r="N123">
        <v>6201.6589999999997</v>
      </c>
      <c r="O123">
        <v>1.9441130777226059E-2</v>
      </c>
      <c r="P123">
        <v>4.4663240975555407E-2</v>
      </c>
      <c r="Q123">
        <v>8.0061803046076241E-2</v>
      </c>
      <c r="R123">
        <v>1.9441130777226059E-2</v>
      </c>
      <c r="S123">
        <v>8.0061803046076241E-2</v>
      </c>
      <c r="T123">
        <v>4.4663240975555407E-2</v>
      </c>
    </row>
    <row r="124" spans="1:20" x14ac:dyDescent="0.35">
      <c r="A124" s="65">
        <v>28307</v>
      </c>
      <c r="N124">
        <v>6313.5590000000002</v>
      </c>
      <c r="O124">
        <v>1.8043558989618839E-2</v>
      </c>
      <c r="P124">
        <v>5.7708973680908472E-2</v>
      </c>
      <c r="Q124">
        <v>7.4151259847902606E-2</v>
      </c>
      <c r="R124">
        <v>1.8043558989618839E-2</v>
      </c>
      <c r="S124">
        <v>7.4151259847902606E-2</v>
      </c>
      <c r="T124">
        <v>5.7708973680908472E-2</v>
      </c>
    </row>
    <row r="125" spans="1:20" x14ac:dyDescent="0.35">
      <c r="A125" s="65">
        <v>28399</v>
      </c>
      <c r="N125">
        <v>6313.6970000000001</v>
      </c>
      <c r="O125">
        <v>2.185771923568307E-5</v>
      </c>
      <c r="P125">
        <v>5.0120285625136027E-2</v>
      </c>
      <c r="Q125">
        <v>8.7433743543918752E-5</v>
      </c>
      <c r="R125">
        <v>2.185771923568307E-5</v>
      </c>
      <c r="S125">
        <v>8.7433743543918752E-5</v>
      </c>
      <c r="T125">
        <v>5.0120285625136027E-2</v>
      </c>
    </row>
    <row r="126" spans="1:20" x14ac:dyDescent="0.35">
      <c r="A126" s="65">
        <v>28491</v>
      </c>
      <c r="N126">
        <v>6333.848</v>
      </c>
      <c r="O126">
        <v>3.191632414415807E-3</v>
      </c>
      <c r="P126">
        <v>4.1170623423679387E-2</v>
      </c>
      <c r="Q126">
        <v>1.282777891271847E-2</v>
      </c>
      <c r="R126">
        <v>3.191632414415807E-3</v>
      </c>
      <c r="S126">
        <v>1.282777891271847E-2</v>
      </c>
      <c r="T126">
        <v>4.1170623423679387E-2</v>
      </c>
    </row>
    <row r="127" spans="1:20" x14ac:dyDescent="0.35">
      <c r="A127" s="65">
        <v>28581</v>
      </c>
      <c r="N127">
        <v>6578.6049999999996</v>
      </c>
      <c r="O127">
        <v>3.8642701877278973E-2</v>
      </c>
      <c r="P127">
        <v>6.078147798838987E-2</v>
      </c>
      <c r="Q127">
        <v>0.16376340193805031</v>
      </c>
      <c r="R127">
        <v>3.8642701877278973E-2</v>
      </c>
      <c r="S127">
        <v>0.16376340193805031</v>
      </c>
      <c r="T127">
        <v>6.078147798838987E-2</v>
      </c>
    </row>
    <row r="128" spans="1:20" x14ac:dyDescent="0.35">
      <c r="A128" s="65">
        <v>28672</v>
      </c>
      <c r="N128">
        <v>6644.7539999999999</v>
      </c>
      <c r="O128">
        <v>1.0055171271113E-2</v>
      </c>
      <c r="P128">
        <v>5.2457734219320623E-2</v>
      </c>
      <c r="Q128">
        <v>4.0831400694179898E-2</v>
      </c>
      <c r="R128">
        <v>1.0055171271113E-2</v>
      </c>
      <c r="S128">
        <v>4.0831400694179898E-2</v>
      </c>
      <c r="T128">
        <v>5.2457734219320623E-2</v>
      </c>
    </row>
    <row r="129" spans="1:20" x14ac:dyDescent="0.35">
      <c r="A129" s="65">
        <v>28764</v>
      </c>
      <c r="N129">
        <v>6734.0690000000004</v>
      </c>
      <c r="O129">
        <v>1.344143063836532E-2</v>
      </c>
      <c r="P129">
        <v>6.6580958826500586E-2</v>
      </c>
      <c r="Q129">
        <v>5.4859501505211572E-2</v>
      </c>
      <c r="R129">
        <v>1.344143063836532E-2</v>
      </c>
      <c r="S129">
        <v>5.4859501505211572E-2</v>
      </c>
      <c r="T129">
        <v>6.6580958826500586E-2</v>
      </c>
    </row>
    <row r="130" spans="1:20" x14ac:dyDescent="0.35">
      <c r="A130" s="65">
        <v>28856</v>
      </c>
      <c r="N130">
        <v>6746.1760000000004</v>
      </c>
      <c r="O130">
        <v>1.797872875968448E-3</v>
      </c>
      <c r="P130">
        <v>6.509913089167918E-2</v>
      </c>
      <c r="Q130">
        <v>7.2109088409857414E-3</v>
      </c>
      <c r="R130">
        <v>1.797872875968448E-3</v>
      </c>
      <c r="S130">
        <v>7.2109088409857414E-3</v>
      </c>
      <c r="T130">
        <v>6.509913089167918E-2</v>
      </c>
    </row>
    <row r="131" spans="1:20" x14ac:dyDescent="0.35">
      <c r="A131" s="65">
        <v>28946</v>
      </c>
      <c r="N131">
        <v>6753.3890000000001</v>
      </c>
      <c r="O131">
        <v>1.069198313236971E-3</v>
      </c>
      <c r="P131">
        <v>2.6568550627374739E-2</v>
      </c>
      <c r="Q131">
        <v>4.2836572536188999E-3</v>
      </c>
      <c r="R131">
        <v>1.069198313236971E-3</v>
      </c>
      <c r="S131">
        <v>4.2836572536188999E-3</v>
      </c>
      <c r="T131">
        <v>2.6568550627374739E-2</v>
      </c>
    </row>
    <row r="132" spans="1:20" x14ac:dyDescent="0.35">
      <c r="A132" s="65">
        <v>29037</v>
      </c>
      <c r="N132">
        <v>6803.558</v>
      </c>
      <c r="O132">
        <v>7.4287146794002048E-3</v>
      </c>
      <c r="P132">
        <v>2.3899154129708951E-2</v>
      </c>
      <c r="Q132">
        <v>3.0047616412103961E-2</v>
      </c>
      <c r="R132">
        <v>7.4287146794002048E-3</v>
      </c>
      <c r="S132">
        <v>3.0047616412103961E-2</v>
      </c>
      <c r="T132">
        <v>2.3899154129708951E-2</v>
      </c>
    </row>
    <row r="133" spans="1:20" x14ac:dyDescent="0.35">
      <c r="A133" s="65">
        <v>29129</v>
      </c>
      <c r="N133">
        <v>6820.5720000000001</v>
      </c>
      <c r="O133">
        <v>2.500750342688359E-3</v>
      </c>
      <c r="P133">
        <v>1.2845576723374779E-2</v>
      </c>
      <c r="Q133">
        <v>1.0040586479814319E-2</v>
      </c>
      <c r="R133">
        <v>2.500750342688359E-3</v>
      </c>
      <c r="S133">
        <v>1.0040586479814319E-2</v>
      </c>
      <c r="T133">
        <v>1.2845576723374779E-2</v>
      </c>
    </row>
    <row r="134" spans="1:20" x14ac:dyDescent="0.35">
      <c r="A134" s="65">
        <v>29221</v>
      </c>
      <c r="N134">
        <v>6842.0240000000003</v>
      </c>
      <c r="O134">
        <v>3.1451907552622021E-3</v>
      </c>
      <c r="P134">
        <v>1.420775265869138E-2</v>
      </c>
      <c r="Q134">
        <v>1.264024091996396E-2</v>
      </c>
      <c r="R134">
        <v>3.1451907552622021E-3</v>
      </c>
      <c r="S134">
        <v>1.264024091996396E-2</v>
      </c>
      <c r="T134">
        <v>1.420775265869138E-2</v>
      </c>
    </row>
    <row r="135" spans="1:20" x14ac:dyDescent="0.35">
      <c r="A135" s="65">
        <v>29312</v>
      </c>
      <c r="N135">
        <v>6701.0460000000003</v>
      </c>
      <c r="O135">
        <v>-2.0604721643770911E-2</v>
      </c>
      <c r="P135">
        <v>-7.7506271295789192E-3</v>
      </c>
      <c r="Q135">
        <v>-7.9906370318043152E-2</v>
      </c>
      <c r="R135">
        <v>-2.0604721643770911E-2</v>
      </c>
      <c r="S135">
        <v>-7.9906370318043152E-2</v>
      </c>
      <c r="T135">
        <v>-7.7506271295789192E-3</v>
      </c>
    </row>
    <row r="136" spans="1:20" x14ac:dyDescent="0.35">
      <c r="A136" s="65">
        <v>29403</v>
      </c>
      <c r="N136">
        <v>6693.0820000000003</v>
      </c>
      <c r="O136">
        <v>-1.188471173007907E-3</v>
      </c>
      <c r="P136">
        <v>-1.6237974306972859E-2</v>
      </c>
      <c r="Q136">
        <v>-4.745416622351839E-3</v>
      </c>
      <c r="R136">
        <v>-1.188471173007907E-3</v>
      </c>
      <c r="S136">
        <v>-4.745416622351839E-3</v>
      </c>
      <c r="T136">
        <v>-1.6237974306972859E-2</v>
      </c>
    </row>
    <row r="137" spans="1:20" x14ac:dyDescent="0.35">
      <c r="A137" s="65">
        <v>29495</v>
      </c>
      <c r="N137">
        <v>6817.9030000000002</v>
      </c>
      <c r="O137">
        <v>1.8649256052742209E-2</v>
      </c>
      <c r="P137">
        <v>-3.9131615354252831E-4</v>
      </c>
      <c r="Q137">
        <v>7.6709858133567232E-2</v>
      </c>
      <c r="R137">
        <v>1.8649256052742209E-2</v>
      </c>
      <c r="S137">
        <v>7.6709858133567232E-2</v>
      </c>
      <c r="T137">
        <v>-3.9131615354252831E-4</v>
      </c>
    </row>
    <row r="138" spans="1:20" x14ac:dyDescent="0.35">
      <c r="A138" s="65">
        <v>29587</v>
      </c>
      <c r="N138">
        <v>6951.4949999999999</v>
      </c>
      <c r="O138">
        <v>1.959429460935417E-2</v>
      </c>
      <c r="P138">
        <v>1.5999797720674402E-2</v>
      </c>
      <c r="Q138">
        <v>8.0711035982251378E-2</v>
      </c>
      <c r="R138">
        <v>1.959429460935417E-2</v>
      </c>
      <c r="S138">
        <v>8.0711035982251378E-2</v>
      </c>
      <c r="T138">
        <v>1.5999797720674402E-2</v>
      </c>
    </row>
    <row r="139" spans="1:20" x14ac:dyDescent="0.35">
      <c r="A139" s="65">
        <v>29677</v>
      </c>
      <c r="N139">
        <v>6899.98</v>
      </c>
      <c r="O139">
        <v>-7.4106361293506404E-3</v>
      </c>
      <c r="P139">
        <v>2.968700707322398E-2</v>
      </c>
      <c r="Q139">
        <v>-2.931466422968176E-2</v>
      </c>
      <c r="R139">
        <v>-7.4106361293506404E-3</v>
      </c>
      <c r="S139">
        <v>-2.931466422968176E-2</v>
      </c>
      <c r="T139">
        <v>2.968700707322398E-2</v>
      </c>
    </row>
    <row r="140" spans="1:20" x14ac:dyDescent="0.35">
      <c r="A140" s="65">
        <v>29768</v>
      </c>
      <c r="N140">
        <v>6982.6090000000004</v>
      </c>
      <c r="O140">
        <v>1.1975252102180129E-2</v>
      </c>
      <c r="P140">
        <v>4.3257650212562768E-2</v>
      </c>
      <c r="Q140">
        <v>4.8768338275421819E-2</v>
      </c>
      <c r="R140">
        <v>1.1975252102180129E-2</v>
      </c>
      <c r="S140">
        <v>4.8768338275421819E-2</v>
      </c>
      <c r="T140">
        <v>4.3257650212562768E-2</v>
      </c>
    </row>
    <row r="141" spans="1:20" x14ac:dyDescent="0.35">
      <c r="A141" s="65">
        <v>29860</v>
      </c>
      <c r="N141">
        <v>6906.5290000000005</v>
      </c>
      <c r="O141">
        <v>-1.0895640870053E-2</v>
      </c>
      <c r="P141">
        <v>1.2999011572913281E-2</v>
      </c>
      <c r="Q141">
        <v>-4.2875433350734633E-2</v>
      </c>
      <c r="R141">
        <v>-1.0895640870053E-2</v>
      </c>
      <c r="S141">
        <v>-4.2875433350734633E-2</v>
      </c>
      <c r="T141">
        <v>1.2999011572913281E-2</v>
      </c>
    </row>
    <row r="142" spans="1:20" x14ac:dyDescent="0.35">
      <c r="A142" s="65">
        <v>29952</v>
      </c>
      <c r="N142">
        <v>6799.2330000000002</v>
      </c>
      <c r="O142">
        <v>-1.5535444794338851E-2</v>
      </c>
      <c r="P142">
        <v>-2.1903489824850589E-2</v>
      </c>
      <c r="Q142">
        <v>-6.0708618578961808E-2</v>
      </c>
      <c r="R142">
        <v>-1.5535444794338851E-2</v>
      </c>
      <c r="S142">
        <v>-6.0708618578961808E-2</v>
      </c>
      <c r="T142">
        <v>-2.1903489824850589E-2</v>
      </c>
    </row>
    <row r="143" spans="1:20" x14ac:dyDescent="0.35">
      <c r="A143" s="65">
        <v>30042</v>
      </c>
      <c r="N143">
        <v>6830.2510000000002</v>
      </c>
      <c r="O143">
        <v>4.5619851533253864E-3</v>
      </c>
      <c r="P143">
        <v>-1.0105681465743289E-2</v>
      </c>
      <c r="Q143">
        <v>1.8373191068485228E-2</v>
      </c>
      <c r="R143">
        <v>4.5619851533253864E-3</v>
      </c>
      <c r="S143">
        <v>1.8373191068485228E-2</v>
      </c>
      <c r="T143">
        <v>-1.0105681465743289E-2</v>
      </c>
    </row>
    <row r="144" spans="1:20" x14ac:dyDescent="0.35">
      <c r="A144" s="65">
        <v>30133</v>
      </c>
      <c r="N144">
        <v>6804.1390000000001</v>
      </c>
      <c r="O144">
        <v>-3.82299274214082E-3</v>
      </c>
      <c r="P144">
        <v>-2.5559214328054209E-2</v>
      </c>
      <c r="Q144">
        <v>-1.520450261025641E-2</v>
      </c>
      <c r="R144">
        <v>-3.82299274214082E-3</v>
      </c>
      <c r="S144">
        <v>-1.520450261025641E-2</v>
      </c>
      <c r="T144">
        <v>-2.5559214328054209E-2</v>
      </c>
    </row>
    <row r="145" spans="1:20" x14ac:dyDescent="0.35">
      <c r="A145" s="65">
        <v>30225</v>
      </c>
      <c r="N145">
        <v>6806.857</v>
      </c>
      <c r="O145">
        <v>3.9946273878294482E-4</v>
      </c>
      <c r="P145">
        <v>-1.443156178740442E-2</v>
      </c>
      <c r="Q145">
        <v>1.5988086330049891E-3</v>
      </c>
      <c r="R145">
        <v>3.9946273878294482E-4</v>
      </c>
      <c r="S145">
        <v>1.5988086330049891E-3</v>
      </c>
      <c r="T145">
        <v>-1.443156178740442E-2</v>
      </c>
    </row>
    <row r="146" spans="1:20" x14ac:dyDescent="0.35">
      <c r="A146" s="65">
        <v>30317</v>
      </c>
      <c r="N146">
        <v>6896.5609999999997</v>
      </c>
      <c r="O146">
        <v>1.317847576348375E-2</v>
      </c>
      <c r="P146">
        <v>1.431455577415857E-2</v>
      </c>
      <c r="Q146">
        <v>5.3765121497419077E-2</v>
      </c>
      <c r="R146">
        <v>1.317847576348375E-2</v>
      </c>
      <c r="S146">
        <v>5.3765121497419077E-2</v>
      </c>
      <c r="T146">
        <v>1.431455577415857E-2</v>
      </c>
    </row>
    <row r="147" spans="1:20" x14ac:dyDescent="0.35">
      <c r="A147" s="65">
        <v>30407</v>
      </c>
      <c r="N147">
        <v>7053.5</v>
      </c>
      <c r="O147">
        <v>2.275612439301274E-2</v>
      </c>
      <c r="P147">
        <v>3.2685328840770238E-2</v>
      </c>
      <c r="Q147">
        <v>9.4178949150713009E-2</v>
      </c>
      <c r="R147">
        <v>2.275612439301274E-2</v>
      </c>
      <c r="S147">
        <v>9.4178949150713009E-2</v>
      </c>
      <c r="T147">
        <v>3.2685328840770238E-2</v>
      </c>
    </row>
    <row r="148" spans="1:20" x14ac:dyDescent="0.35">
      <c r="A148" s="65">
        <v>30498</v>
      </c>
      <c r="N148">
        <v>7194.5039999999999</v>
      </c>
      <c r="O148">
        <v>1.9990642943219668E-2</v>
      </c>
      <c r="P148">
        <v>5.7371696845111453E-2</v>
      </c>
      <c r="Q148">
        <v>8.2392441412500128E-2</v>
      </c>
      <c r="R148">
        <v>1.9990642943219668E-2</v>
      </c>
      <c r="S148">
        <v>8.2392441412500128E-2</v>
      </c>
      <c r="T148">
        <v>5.7371696845111453E-2</v>
      </c>
    </row>
    <row r="149" spans="1:20" x14ac:dyDescent="0.35">
      <c r="A149" s="65">
        <v>30590</v>
      </c>
      <c r="N149">
        <v>7344.5969999999998</v>
      </c>
      <c r="O149">
        <v>2.0862174793425631E-2</v>
      </c>
      <c r="P149">
        <v>7.8999749811109563E-2</v>
      </c>
      <c r="Q149">
        <v>8.6096590027290532E-2</v>
      </c>
      <c r="R149">
        <v>2.0862174793425631E-2</v>
      </c>
      <c r="S149">
        <v>8.6096590027290532E-2</v>
      </c>
      <c r="T149">
        <v>7.8999749811109563E-2</v>
      </c>
    </row>
    <row r="150" spans="1:20" x14ac:dyDescent="0.35">
      <c r="A150" s="65">
        <v>30682</v>
      </c>
      <c r="N150">
        <v>7488.1670000000004</v>
      </c>
      <c r="O150">
        <v>1.9547702889620849E-2</v>
      </c>
      <c r="P150">
        <v>8.5782754622195131E-2</v>
      </c>
      <c r="Q150">
        <v>8.0513511399357585E-2</v>
      </c>
      <c r="R150">
        <v>1.9547702889620849E-2</v>
      </c>
      <c r="S150">
        <v>8.0513511399357585E-2</v>
      </c>
      <c r="T150">
        <v>8.5782754622195131E-2</v>
      </c>
    </row>
    <row r="151" spans="1:20" x14ac:dyDescent="0.35">
      <c r="A151" s="65">
        <v>30773</v>
      </c>
      <c r="N151">
        <v>7617.5469999999996</v>
      </c>
      <c r="O151">
        <v>1.7277926627437559E-2</v>
      </c>
      <c r="P151">
        <v>7.9966966754093649E-2</v>
      </c>
      <c r="Q151">
        <v>7.0923587812259603E-2</v>
      </c>
      <c r="R151">
        <v>1.7277926627437559E-2</v>
      </c>
      <c r="S151">
        <v>7.0923587812259603E-2</v>
      </c>
      <c r="T151">
        <v>7.9966966754093649E-2</v>
      </c>
    </row>
    <row r="152" spans="1:20" x14ac:dyDescent="0.35">
      <c r="A152" s="65">
        <v>30864</v>
      </c>
      <c r="N152">
        <v>7690.9849999999997</v>
      </c>
      <c r="O152">
        <v>9.64063628357004E-3</v>
      </c>
      <c r="P152">
        <v>6.9008370834181168E-2</v>
      </c>
      <c r="Q152">
        <v>3.9123789055161673E-2</v>
      </c>
      <c r="R152">
        <v>9.64063628357004E-3</v>
      </c>
      <c r="S152">
        <v>3.9123789055161673E-2</v>
      </c>
      <c r="T152">
        <v>6.9008370834181168E-2</v>
      </c>
    </row>
    <row r="153" spans="1:20" x14ac:dyDescent="0.35">
      <c r="A153" s="65">
        <v>30956</v>
      </c>
      <c r="N153">
        <v>7754.1170000000002</v>
      </c>
      <c r="O153">
        <v>8.208571463863279E-3</v>
      </c>
      <c r="P153">
        <v>5.5757994618356933E-2</v>
      </c>
      <c r="Q153">
        <v>3.3240786663843558E-2</v>
      </c>
      <c r="R153">
        <v>8.208571463863279E-3</v>
      </c>
      <c r="S153">
        <v>3.3240786663843558E-2</v>
      </c>
      <c r="T153">
        <v>5.5757994618356933E-2</v>
      </c>
    </row>
    <row r="154" spans="1:20" x14ac:dyDescent="0.35">
      <c r="A154" s="65">
        <v>31048</v>
      </c>
      <c r="M154">
        <v>179.6300048828125</v>
      </c>
      <c r="N154">
        <v>7829.26</v>
      </c>
      <c r="O154">
        <v>9.6907230055981904E-3</v>
      </c>
      <c r="P154">
        <v>4.5550933893434779E-2</v>
      </c>
      <c r="Q154">
        <v>3.9330001743275167E-2</v>
      </c>
      <c r="R154">
        <v>9.6907230055981904E-3</v>
      </c>
      <c r="S154">
        <v>3.9330001743275167E-2</v>
      </c>
      <c r="T154">
        <v>4.5550933893434779E-2</v>
      </c>
    </row>
    <row r="155" spans="1:20" x14ac:dyDescent="0.35">
      <c r="A155" s="65">
        <v>31079</v>
      </c>
      <c r="M155">
        <v>181.17999267578119</v>
      </c>
      <c r="O155">
        <v>9.6907230055981904E-3</v>
      </c>
      <c r="P155">
        <v>4.5550933893434779E-2</v>
      </c>
      <c r="Q155">
        <v>3.9330001743275167E-2</v>
      </c>
    </row>
    <row r="156" spans="1:20" x14ac:dyDescent="0.35">
      <c r="A156" s="65">
        <v>31107</v>
      </c>
      <c r="M156">
        <v>180.6600036621094</v>
      </c>
      <c r="O156">
        <v>9.6907230055981904E-3</v>
      </c>
      <c r="P156">
        <v>4.5550933893434779E-2</v>
      </c>
      <c r="Q156">
        <v>3.9330001743275167E-2</v>
      </c>
    </row>
    <row r="157" spans="1:20" x14ac:dyDescent="0.35">
      <c r="A157" s="65">
        <v>31138</v>
      </c>
      <c r="M157">
        <v>179.83000183105469</v>
      </c>
      <c r="N157">
        <v>7898.1940000000004</v>
      </c>
      <c r="O157">
        <v>8.8046635314193416E-3</v>
      </c>
      <c r="P157">
        <v>3.6842175046639142E-2</v>
      </c>
      <c r="Q157">
        <v>3.568652295878616E-2</v>
      </c>
      <c r="R157">
        <v>8.8046635314193416E-3</v>
      </c>
      <c r="S157">
        <v>3.568652295878616E-2</v>
      </c>
      <c r="T157">
        <v>3.6842175046639142E-2</v>
      </c>
    </row>
    <row r="158" spans="1:20" x14ac:dyDescent="0.35">
      <c r="A158" s="65">
        <v>31168</v>
      </c>
      <c r="M158">
        <v>189.55000305175781</v>
      </c>
      <c r="O158">
        <v>8.8046635314193416E-3</v>
      </c>
      <c r="P158">
        <v>3.6842175046639142E-2</v>
      </c>
      <c r="Q158">
        <v>3.568652295878616E-2</v>
      </c>
    </row>
    <row r="159" spans="1:20" x14ac:dyDescent="0.35">
      <c r="A159" s="65">
        <v>31199</v>
      </c>
      <c r="M159">
        <v>191.8500061035156</v>
      </c>
      <c r="O159">
        <v>8.8046635314193416E-3</v>
      </c>
      <c r="P159">
        <v>3.6842175046639142E-2</v>
      </c>
      <c r="Q159">
        <v>3.568652295878616E-2</v>
      </c>
    </row>
    <row r="160" spans="1:20" x14ac:dyDescent="0.35">
      <c r="A160" s="65">
        <v>31229</v>
      </c>
      <c r="M160">
        <v>190.91999816894531</v>
      </c>
      <c r="N160">
        <v>8018.8090000000002</v>
      </c>
      <c r="O160">
        <v>1.527121263417938E-2</v>
      </c>
      <c r="P160">
        <v>4.2624449274052741E-2</v>
      </c>
      <c r="Q160">
        <v>6.2498410129544053E-2</v>
      </c>
      <c r="R160">
        <v>1.527121263417938E-2</v>
      </c>
      <c r="S160">
        <v>6.2498410129544053E-2</v>
      </c>
      <c r="T160">
        <v>4.2624449274052741E-2</v>
      </c>
    </row>
    <row r="161" spans="1:20" x14ac:dyDescent="0.35">
      <c r="A161" s="65">
        <v>31260</v>
      </c>
      <c r="M161">
        <v>188.6300048828125</v>
      </c>
      <c r="O161">
        <v>1.527121263417938E-2</v>
      </c>
      <c r="P161">
        <v>4.2624449274052741E-2</v>
      </c>
      <c r="Q161">
        <v>6.2498410129544053E-2</v>
      </c>
    </row>
    <row r="162" spans="1:20" x14ac:dyDescent="0.35">
      <c r="A162" s="65">
        <v>31291</v>
      </c>
      <c r="M162">
        <v>182.08000183105469</v>
      </c>
      <c r="O162">
        <v>1.527121263417938E-2</v>
      </c>
      <c r="P162">
        <v>4.2624449274052741E-2</v>
      </c>
      <c r="Q162">
        <v>6.2498410129544053E-2</v>
      </c>
    </row>
    <row r="163" spans="1:20" x14ac:dyDescent="0.35">
      <c r="A163" s="65">
        <v>31321</v>
      </c>
      <c r="M163">
        <v>189.82000732421881</v>
      </c>
      <c r="N163">
        <v>8078.415</v>
      </c>
      <c r="O163">
        <v>7.4332734449716617E-3</v>
      </c>
      <c r="P163">
        <v>4.1822685935742232E-2</v>
      </c>
      <c r="Q163">
        <v>3.006626101659382E-2</v>
      </c>
      <c r="R163">
        <v>7.4332734449716617E-3</v>
      </c>
      <c r="S163">
        <v>3.006626101659382E-2</v>
      </c>
      <c r="T163">
        <v>4.1822685935742232E-2</v>
      </c>
    </row>
    <row r="164" spans="1:20" x14ac:dyDescent="0.35">
      <c r="A164" s="65">
        <v>31352</v>
      </c>
      <c r="M164">
        <v>202.16999816894531</v>
      </c>
      <c r="O164">
        <v>7.4332734449716617E-3</v>
      </c>
      <c r="P164">
        <v>4.1822685935742232E-2</v>
      </c>
      <c r="Q164">
        <v>3.006626101659382E-2</v>
      </c>
    </row>
    <row r="165" spans="1:20" x14ac:dyDescent="0.35">
      <c r="A165" s="65">
        <v>31382</v>
      </c>
      <c r="M165">
        <v>211.2799987792969</v>
      </c>
      <c r="O165">
        <v>7.4332734449716617E-3</v>
      </c>
      <c r="P165">
        <v>4.1822685935742232E-2</v>
      </c>
      <c r="Q165">
        <v>3.006626101659382E-2</v>
      </c>
    </row>
    <row r="166" spans="1:20" x14ac:dyDescent="0.35">
      <c r="A166" s="65">
        <v>31413</v>
      </c>
      <c r="M166">
        <v>211.7799987792969</v>
      </c>
      <c r="N166">
        <v>8153.8289999999997</v>
      </c>
      <c r="O166">
        <v>9.3352470750759607E-3</v>
      </c>
      <c r="P166">
        <v>4.1455897492227813E-2</v>
      </c>
      <c r="Q166">
        <v>3.7867131071648297E-2</v>
      </c>
      <c r="R166">
        <v>9.3352470750759607E-3</v>
      </c>
      <c r="S166">
        <v>3.7867131071648297E-2</v>
      </c>
      <c r="T166">
        <v>4.1455897492227813E-2</v>
      </c>
    </row>
    <row r="167" spans="1:20" x14ac:dyDescent="0.35">
      <c r="A167" s="65">
        <v>31444</v>
      </c>
      <c r="M167">
        <v>226.91999816894531</v>
      </c>
      <c r="O167">
        <v>9.3352470750759607E-3</v>
      </c>
      <c r="P167">
        <v>4.1455897492227813E-2</v>
      </c>
      <c r="Q167">
        <v>3.7867131071648297E-2</v>
      </c>
    </row>
    <row r="168" spans="1:20" x14ac:dyDescent="0.35">
      <c r="A168" s="65">
        <v>31472</v>
      </c>
      <c r="M168">
        <v>238.8999938964844</v>
      </c>
      <c r="O168">
        <v>9.3352470750759607E-3</v>
      </c>
      <c r="P168">
        <v>4.1455897492227813E-2</v>
      </c>
      <c r="Q168">
        <v>3.7867131071648297E-2</v>
      </c>
    </row>
    <row r="169" spans="1:20" x14ac:dyDescent="0.35">
      <c r="A169" s="65">
        <v>31503</v>
      </c>
      <c r="M169">
        <v>235.52000427246091</v>
      </c>
      <c r="N169">
        <v>8190.5519999999997</v>
      </c>
      <c r="O169">
        <v>4.5037736258633776E-3</v>
      </c>
      <c r="P169">
        <v>3.7015803866048268E-2</v>
      </c>
      <c r="Q169">
        <v>1.813716419389122E-2</v>
      </c>
      <c r="R169">
        <v>4.5037736258633776E-3</v>
      </c>
      <c r="S169">
        <v>1.813716419389122E-2</v>
      </c>
      <c r="T169">
        <v>3.7015803866048268E-2</v>
      </c>
    </row>
    <row r="170" spans="1:20" x14ac:dyDescent="0.35">
      <c r="A170" s="65">
        <v>31533</v>
      </c>
      <c r="M170">
        <v>247.3500061035156</v>
      </c>
      <c r="O170">
        <v>4.5037736258633776E-3</v>
      </c>
      <c r="P170">
        <v>3.7015803866048268E-2</v>
      </c>
      <c r="Q170">
        <v>1.813716419389122E-2</v>
      </c>
    </row>
    <row r="171" spans="1:20" x14ac:dyDescent="0.35">
      <c r="A171" s="65">
        <v>31564</v>
      </c>
      <c r="M171">
        <v>250.8399963378906</v>
      </c>
      <c r="O171">
        <v>4.5037736258633776E-3</v>
      </c>
      <c r="P171">
        <v>3.7015803866048268E-2</v>
      </c>
      <c r="Q171">
        <v>1.813716419389122E-2</v>
      </c>
    </row>
    <row r="172" spans="1:20" x14ac:dyDescent="0.35">
      <c r="A172" s="65">
        <v>31594</v>
      </c>
      <c r="M172">
        <v>236.1199951171875</v>
      </c>
      <c r="N172">
        <v>8268.9349999999995</v>
      </c>
      <c r="O172">
        <v>9.5699288643793252E-3</v>
      </c>
      <c r="P172">
        <v>3.1192412738599871E-2</v>
      </c>
      <c r="Q172">
        <v>3.8832730867670813E-2</v>
      </c>
      <c r="R172">
        <v>9.5699288643793252E-3</v>
      </c>
      <c r="S172">
        <v>3.8832730867670813E-2</v>
      </c>
      <c r="T172">
        <v>3.1192412738599871E-2</v>
      </c>
    </row>
    <row r="173" spans="1:20" x14ac:dyDescent="0.35">
      <c r="A173" s="65">
        <v>31625</v>
      </c>
      <c r="M173">
        <v>252.92999267578119</v>
      </c>
      <c r="O173">
        <v>9.5699288643793252E-3</v>
      </c>
      <c r="P173">
        <v>3.1192412738599871E-2</v>
      </c>
      <c r="Q173">
        <v>3.8832730867670813E-2</v>
      </c>
    </row>
    <row r="174" spans="1:20" x14ac:dyDescent="0.35">
      <c r="A174" s="65">
        <v>31656</v>
      </c>
      <c r="M174">
        <v>231.32000732421881</v>
      </c>
      <c r="O174">
        <v>9.5699288643793252E-3</v>
      </c>
      <c r="P174">
        <v>3.1192412738599871E-2</v>
      </c>
      <c r="Q174">
        <v>3.8832730867670813E-2</v>
      </c>
    </row>
    <row r="175" spans="1:20" x14ac:dyDescent="0.35">
      <c r="A175" s="65">
        <v>31686</v>
      </c>
      <c r="M175">
        <v>243.97999572753909</v>
      </c>
      <c r="N175">
        <v>8313.3379999999997</v>
      </c>
      <c r="O175">
        <v>5.3698571823336677E-3</v>
      </c>
      <c r="P175">
        <v>2.9080333208927719E-2</v>
      </c>
      <c r="Q175">
        <v>2.1653061124957459E-2</v>
      </c>
      <c r="R175">
        <v>5.3698571823336677E-3</v>
      </c>
      <c r="S175">
        <v>2.1653061124957459E-2</v>
      </c>
      <c r="T175">
        <v>2.9080333208927719E-2</v>
      </c>
    </row>
    <row r="176" spans="1:20" x14ac:dyDescent="0.35">
      <c r="A176" s="65">
        <v>31717</v>
      </c>
      <c r="M176">
        <v>249.2200012207031</v>
      </c>
      <c r="O176">
        <v>5.3698571823336677E-3</v>
      </c>
      <c r="P176">
        <v>2.9080333208927719E-2</v>
      </c>
      <c r="Q176">
        <v>2.1653061124957459E-2</v>
      </c>
    </row>
    <row r="177" spans="1:20" x14ac:dyDescent="0.35">
      <c r="A177" s="65">
        <v>31747</v>
      </c>
      <c r="M177">
        <v>242.16999816894531</v>
      </c>
      <c r="O177">
        <v>5.3698571823336677E-3</v>
      </c>
      <c r="P177">
        <v>2.9080333208927719E-2</v>
      </c>
      <c r="Q177">
        <v>2.1653061124957459E-2</v>
      </c>
    </row>
    <row r="178" spans="1:20" x14ac:dyDescent="0.35">
      <c r="A178" s="65">
        <v>31778</v>
      </c>
      <c r="M178">
        <v>274.07998657226563</v>
      </c>
      <c r="N178">
        <v>8375.2739999999994</v>
      </c>
      <c r="O178">
        <v>7.4501962990076546E-3</v>
      </c>
      <c r="P178">
        <v>2.7158406191741289E-2</v>
      </c>
      <c r="Q178">
        <v>3.013547493148994E-2</v>
      </c>
      <c r="R178">
        <v>7.4501962990076546E-3</v>
      </c>
      <c r="S178">
        <v>3.013547493148994E-2</v>
      </c>
      <c r="T178">
        <v>2.7158406191741289E-2</v>
      </c>
    </row>
    <row r="179" spans="1:20" x14ac:dyDescent="0.35">
      <c r="A179" s="65">
        <v>31809</v>
      </c>
      <c r="M179">
        <v>284.20001220703119</v>
      </c>
      <c r="O179">
        <v>7.4501962990076546E-3</v>
      </c>
      <c r="P179">
        <v>2.7158406191741289E-2</v>
      </c>
      <c r="Q179">
        <v>3.013547493148994E-2</v>
      </c>
    </row>
    <row r="180" spans="1:20" x14ac:dyDescent="0.35">
      <c r="A180" s="65">
        <v>31837</v>
      </c>
      <c r="M180">
        <v>291.70001220703119</v>
      </c>
      <c r="O180">
        <v>7.4501962990076546E-3</v>
      </c>
      <c r="P180">
        <v>2.7158406191741289E-2</v>
      </c>
      <c r="Q180">
        <v>3.013547493148994E-2</v>
      </c>
    </row>
    <row r="181" spans="1:20" x14ac:dyDescent="0.35">
      <c r="A181" s="65">
        <v>31868</v>
      </c>
      <c r="M181">
        <v>288.3599853515625</v>
      </c>
      <c r="N181">
        <v>8465.6299999999992</v>
      </c>
      <c r="O181">
        <v>1.078842316084223E-2</v>
      </c>
      <c r="P181">
        <v>3.3584793796559688E-2</v>
      </c>
      <c r="Q181">
        <v>4.3857069297295492E-2</v>
      </c>
      <c r="R181">
        <v>1.078842316084223E-2</v>
      </c>
      <c r="S181">
        <v>4.3857069297295492E-2</v>
      </c>
      <c r="T181">
        <v>3.3584793796559688E-2</v>
      </c>
    </row>
    <row r="182" spans="1:20" x14ac:dyDescent="0.35">
      <c r="A182" s="65">
        <v>31898</v>
      </c>
      <c r="M182">
        <v>290.10000610351563</v>
      </c>
      <c r="O182">
        <v>1.078842316084223E-2</v>
      </c>
      <c r="P182">
        <v>3.3584793796559688E-2</v>
      </c>
      <c r="Q182">
        <v>4.3857069297295492E-2</v>
      </c>
    </row>
    <row r="183" spans="1:20" x14ac:dyDescent="0.35">
      <c r="A183" s="65">
        <v>31929</v>
      </c>
      <c r="M183">
        <v>304</v>
      </c>
      <c r="O183">
        <v>1.078842316084223E-2</v>
      </c>
      <c r="P183">
        <v>3.3584793796559688E-2</v>
      </c>
      <c r="Q183">
        <v>4.3857069297295492E-2</v>
      </c>
    </row>
    <row r="184" spans="1:20" x14ac:dyDescent="0.35">
      <c r="A184" s="65">
        <v>31959</v>
      </c>
      <c r="M184">
        <v>318.66000366210938</v>
      </c>
      <c r="N184">
        <v>8539.0750000000007</v>
      </c>
      <c r="O184">
        <v>8.6756685562682911E-3</v>
      </c>
      <c r="P184">
        <v>3.2669261519167977E-2</v>
      </c>
      <c r="Q184">
        <v>3.5156895213603212E-2</v>
      </c>
      <c r="R184">
        <v>8.6756685562682911E-3</v>
      </c>
      <c r="S184">
        <v>3.5156895213603212E-2</v>
      </c>
      <c r="T184">
        <v>3.2669261519167977E-2</v>
      </c>
    </row>
    <row r="185" spans="1:20" x14ac:dyDescent="0.35">
      <c r="A185" s="65">
        <v>31990</v>
      </c>
      <c r="M185">
        <v>329.79998779296881</v>
      </c>
      <c r="O185">
        <v>8.6756685562682911E-3</v>
      </c>
      <c r="P185">
        <v>3.2669261519167977E-2</v>
      </c>
      <c r="Q185">
        <v>3.5156895213603212E-2</v>
      </c>
    </row>
    <row r="186" spans="1:20" x14ac:dyDescent="0.35">
      <c r="A186" s="65">
        <v>32021</v>
      </c>
      <c r="M186">
        <v>321.82998657226563</v>
      </c>
      <c r="O186">
        <v>8.6756685562682911E-3</v>
      </c>
      <c r="P186">
        <v>3.2669261519167977E-2</v>
      </c>
      <c r="Q186">
        <v>3.5156895213603212E-2</v>
      </c>
    </row>
    <row r="187" spans="1:20" x14ac:dyDescent="0.35">
      <c r="A187" s="65">
        <v>32051</v>
      </c>
      <c r="M187">
        <v>251.78999328613281</v>
      </c>
      <c r="N187">
        <v>8685.6939999999995</v>
      </c>
      <c r="O187">
        <v>1.7170360958300369E-2</v>
      </c>
      <c r="P187">
        <v>4.4790191376797107E-2</v>
      </c>
      <c r="Q187">
        <v>7.0470707277670686E-2</v>
      </c>
      <c r="R187">
        <v>1.7170360958300369E-2</v>
      </c>
      <c r="S187">
        <v>7.0470707277670686E-2</v>
      </c>
      <c r="T187">
        <v>4.4790191376797107E-2</v>
      </c>
    </row>
    <row r="188" spans="1:20" x14ac:dyDescent="0.35">
      <c r="A188" s="65">
        <v>32082</v>
      </c>
      <c r="M188">
        <v>230.30000305175781</v>
      </c>
      <c r="O188">
        <v>1.7170360958300369E-2</v>
      </c>
      <c r="P188">
        <v>4.4790191376797107E-2</v>
      </c>
      <c r="Q188">
        <v>7.0470707277670686E-2</v>
      </c>
    </row>
    <row r="189" spans="1:20" x14ac:dyDescent="0.35">
      <c r="A189" s="65">
        <v>32112</v>
      </c>
      <c r="M189">
        <v>247.08000183105469</v>
      </c>
      <c r="O189">
        <v>1.7170360958300369E-2</v>
      </c>
      <c r="P189">
        <v>4.4790191376797107E-2</v>
      </c>
      <c r="Q189">
        <v>7.0470707277670686E-2</v>
      </c>
    </row>
    <row r="190" spans="1:20" x14ac:dyDescent="0.35">
      <c r="A190" s="65">
        <v>32143</v>
      </c>
      <c r="M190">
        <v>257.07000732421881</v>
      </c>
      <c r="N190">
        <v>8730.5689999999995</v>
      </c>
      <c r="O190">
        <v>5.1665416718571942E-3</v>
      </c>
      <c r="P190">
        <v>4.2421895689621632E-2</v>
      </c>
      <c r="Q190">
        <v>2.0826877962181412E-2</v>
      </c>
      <c r="R190">
        <v>5.1665416718571942E-3</v>
      </c>
      <c r="S190">
        <v>2.0826877962181412E-2</v>
      </c>
      <c r="T190">
        <v>4.2421895689621632E-2</v>
      </c>
    </row>
    <row r="191" spans="1:20" x14ac:dyDescent="0.35">
      <c r="A191" s="65">
        <v>32174</v>
      </c>
      <c r="M191">
        <v>267.82000732421881</v>
      </c>
      <c r="O191">
        <v>5.1665416718571942E-3</v>
      </c>
      <c r="P191">
        <v>4.2421895689621632E-2</v>
      </c>
      <c r="Q191">
        <v>2.0826877962181412E-2</v>
      </c>
    </row>
    <row r="192" spans="1:20" x14ac:dyDescent="0.35">
      <c r="A192" s="65">
        <v>32203</v>
      </c>
      <c r="M192">
        <v>258.8900146484375</v>
      </c>
      <c r="O192">
        <v>5.1665416718571942E-3</v>
      </c>
      <c r="P192">
        <v>4.2421895689621632E-2</v>
      </c>
      <c r="Q192">
        <v>2.0826877962181412E-2</v>
      </c>
    </row>
    <row r="193" spans="1:20" x14ac:dyDescent="0.35">
      <c r="A193" s="65">
        <v>32234</v>
      </c>
      <c r="M193">
        <v>261.32998657226563</v>
      </c>
      <c r="N193">
        <v>8845.2800000000007</v>
      </c>
      <c r="O193">
        <v>1.3139006174740861E-2</v>
      </c>
      <c r="P193">
        <v>4.48460421728804E-2</v>
      </c>
      <c r="Q193">
        <v>5.3600928330452602E-2</v>
      </c>
      <c r="R193">
        <v>1.3139006174740861E-2</v>
      </c>
      <c r="S193">
        <v>5.3600928330452602E-2</v>
      </c>
      <c r="T193">
        <v>4.48460421728804E-2</v>
      </c>
    </row>
    <row r="194" spans="1:20" x14ac:dyDescent="0.35">
      <c r="A194" s="65">
        <v>32264</v>
      </c>
      <c r="M194">
        <v>262.16000366210938</v>
      </c>
      <c r="O194">
        <v>1.3139006174740861E-2</v>
      </c>
      <c r="P194">
        <v>4.48460421728804E-2</v>
      </c>
      <c r="Q194">
        <v>5.3600928330452602E-2</v>
      </c>
    </row>
    <row r="195" spans="1:20" x14ac:dyDescent="0.35">
      <c r="A195" s="65">
        <v>32295</v>
      </c>
      <c r="M195">
        <v>273.5</v>
      </c>
      <c r="O195">
        <v>1.3139006174740861E-2</v>
      </c>
      <c r="P195">
        <v>4.48460421728804E-2</v>
      </c>
      <c r="Q195">
        <v>5.3600928330452602E-2</v>
      </c>
    </row>
    <row r="196" spans="1:20" x14ac:dyDescent="0.35">
      <c r="A196" s="65">
        <v>32325</v>
      </c>
      <c r="M196">
        <v>272.01998901367188</v>
      </c>
      <c r="N196">
        <v>8897.107</v>
      </c>
      <c r="O196">
        <v>5.859283143099971E-3</v>
      </c>
      <c r="P196">
        <v>4.192866323342976E-2</v>
      </c>
      <c r="Q196">
        <v>2.364392556959816E-2</v>
      </c>
      <c r="R196">
        <v>5.859283143099971E-3</v>
      </c>
      <c r="S196">
        <v>2.364392556959816E-2</v>
      </c>
      <c r="T196">
        <v>4.192866323342976E-2</v>
      </c>
    </row>
    <row r="197" spans="1:20" x14ac:dyDescent="0.35">
      <c r="A197" s="65">
        <v>32356</v>
      </c>
      <c r="M197">
        <v>261.51998901367188</v>
      </c>
      <c r="O197">
        <v>5.859283143099971E-3</v>
      </c>
      <c r="P197">
        <v>4.192866323342976E-2</v>
      </c>
      <c r="Q197">
        <v>2.364392556959816E-2</v>
      </c>
    </row>
    <row r="198" spans="1:20" x14ac:dyDescent="0.35">
      <c r="A198" s="65">
        <v>32387</v>
      </c>
      <c r="M198">
        <v>271.91000366210938</v>
      </c>
      <c r="O198">
        <v>5.859283143099971E-3</v>
      </c>
      <c r="P198">
        <v>4.192866323342976E-2</v>
      </c>
      <c r="Q198">
        <v>2.364392556959816E-2</v>
      </c>
    </row>
    <row r="199" spans="1:20" x14ac:dyDescent="0.35">
      <c r="A199" s="65">
        <v>32417</v>
      </c>
      <c r="M199">
        <v>278.97000122070313</v>
      </c>
      <c r="N199">
        <v>9015.6610000000001</v>
      </c>
      <c r="O199">
        <v>1.3325005532697319E-2</v>
      </c>
      <c r="P199">
        <v>3.7989710436494843E-2</v>
      </c>
      <c r="Q199">
        <v>5.4374852018120423E-2</v>
      </c>
      <c r="R199">
        <v>1.3325005532697319E-2</v>
      </c>
      <c r="S199">
        <v>5.4374852018120423E-2</v>
      </c>
      <c r="T199">
        <v>3.7989710436494843E-2</v>
      </c>
    </row>
    <row r="200" spans="1:20" x14ac:dyDescent="0.35">
      <c r="A200" s="65">
        <v>32448</v>
      </c>
      <c r="M200">
        <v>273.70001220703119</v>
      </c>
      <c r="O200">
        <v>1.3325005532697319E-2</v>
      </c>
      <c r="P200">
        <v>3.7989710436494843E-2</v>
      </c>
      <c r="Q200">
        <v>5.4374852018120423E-2</v>
      </c>
    </row>
    <row r="201" spans="1:20" x14ac:dyDescent="0.35">
      <c r="A201" s="65">
        <v>32478</v>
      </c>
      <c r="M201">
        <v>277.72000122070313</v>
      </c>
      <c r="O201">
        <v>1.3325005532697319E-2</v>
      </c>
      <c r="P201">
        <v>3.7989710436494843E-2</v>
      </c>
      <c r="Q201">
        <v>5.4374852018120423E-2</v>
      </c>
    </row>
    <row r="202" spans="1:20" x14ac:dyDescent="0.35">
      <c r="A202" s="65">
        <v>32509</v>
      </c>
      <c r="M202">
        <v>297.47000122070313</v>
      </c>
      <c r="N202">
        <v>9107.3140000000003</v>
      </c>
      <c r="O202">
        <v>1.0165976737590321E-2</v>
      </c>
      <c r="P202">
        <v>4.3152399345334859E-2</v>
      </c>
      <c r="Q202">
        <v>4.1288202625324288E-2</v>
      </c>
      <c r="R202">
        <v>1.0165976737590321E-2</v>
      </c>
      <c r="S202">
        <v>4.1288202625324288E-2</v>
      </c>
      <c r="T202">
        <v>4.3152399345334859E-2</v>
      </c>
    </row>
    <row r="203" spans="1:20" x14ac:dyDescent="0.35">
      <c r="A203" s="65">
        <v>32540</v>
      </c>
      <c r="M203">
        <v>288.8599853515625</v>
      </c>
      <c r="O203">
        <v>1.0165976737590321E-2</v>
      </c>
      <c r="P203">
        <v>4.3152399345334859E-2</v>
      </c>
      <c r="Q203">
        <v>4.1288202625324288E-2</v>
      </c>
    </row>
    <row r="204" spans="1:20" x14ac:dyDescent="0.35">
      <c r="A204" s="65">
        <v>32568</v>
      </c>
      <c r="M204">
        <v>294.8699951171875</v>
      </c>
      <c r="O204">
        <v>1.0165976737590321E-2</v>
      </c>
      <c r="P204">
        <v>4.3152399345334859E-2</v>
      </c>
      <c r="Q204">
        <v>4.1288202625324288E-2</v>
      </c>
    </row>
    <row r="205" spans="1:20" x14ac:dyDescent="0.35">
      <c r="A205" s="65">
        <v>32599</v>
      </c>
      <c r="M205">
        <v>309.6400146484375</v>
      </c>
      <c r="N205">
        <v>9176.8269999999993</v>
      </c>
      <c r="O205">
        <v>7.6326565659204249E-3</v>
      </c>
      <c r="P205">
        <v>3.7482928748439691E-2</v>
      </c>
      <c r="Q205">
        <v>3.0881952971449911E-2</v>
      </c>
      <c r="R205">
        <v>7.6326565659204249E-3</v>
      </c>
      <c r="S205">
        <v>3.0881952971449911E-2</v>
      </c>
      <c r="T205">
        <v>3.7482928748439691E-2</v>
      </c>
    </row>
    <row r="206" spans="1:20" x14ac:dyDescent="0.35">
      <c r="A206" s="65">
        <v>32629</v>
      </c>
      <c r="M206">
        <v>320.51998901367188</v>
      </c>
      <c r="O206">
        <v>7.6326565659204249E-3</v>
      </c>
      <c r="P206">
        <v>3.7482928748439691E-2</v>
      </c>
      <c r="Q206">
        <v>3.0881952971449911E-2</v>
      </c>
    </row>
    <row r="207" spans="1:20" x14ac:dyDescent="0.35">
      <c r="A207" s="65">
        <v>32660</v>
      </c>
      <c r="M207">
        <v>317.98001098632813</v>
      </c>
      <c r="O207">
        <v>7.6326565659204249E-3</v>
      </c>
      <c r="P207">
        <v>3.7482928748439691E-2</v>
      </c>
      <c r="Q207">
        <v>3.0881952971449911E-2</v>
      </c>
    </row>
    <row r="208" spans="1:20" x14ac:dyDescent="0.35">
      <c r="A208" s="65">
        <v>32690</v>
      </c>
      <c r="M208">
        <v>346.07998657226563</v>
      </c>
      <c r="N208">
        <v>9244.8160000000007</v>
      </c>
      <c r="O208">
        <v>7.4087699375831543E-3</v>
      </c>
      <c r="P208">
        <v>3.9081130529283373E-2</v>
      </c>
      <c r="Q208">
        <v>2.9966048660892589E-2</v>
      </c>
      <c r="R208">
        <v>7.4087699375831543E-3</v>
      </c>
      <c r="S208">
        <v>2.9966048660892589E-2</v>
      </c>
      <c r="T208">
        <v>3.9081130529283373E-2</v>
      </c>
    </row>
    <row r="209" spans="1:20" x14ac:dyDescent="0.35">
      <c r="A209" s="65">
        <v>32721</v>
      </c>
      <c r="M209">
        <v>351.45001220703119</v>
      </c>
      <c r="O209">
        <v>7.4087699375831543E-3</v>
      </c>
      <c r="P209">
        <v>3.9081130529283373E-2</v>
      </c>
      <c r="Q209">
        <v>2.9966048660892589E-2</v>
      </c>
    </row>
    <row r="210" spans="1:20" x14ac:dyDescent="0.35">
      <c r="A210" s="65">
        <v>32752</v>
      </c>
      <c r="M210">
        <v>349.14999389648438</v>
      </c>
      <c r="O210">
        <v>7.4087699375831543E-3</v>
      </c>
      <c r="P210">
        <v>3.9081130529283373E-2</v>
      </c>
      <c r="Q210">
        <v>2.9966048660892589E-2</v>
      </c>
    </row>
    <row r="211" spans="1:20" x14ac:dyDescent="0.35">
      <c r="A211" s="65">
        <v>32782</v>
      </c>
      <c r="M211">
        <v>340.3599853515625</v>
      </c>
      <c r="N211">
        <v>9263.0329999999994</v>
      </c>
      <c r="O211">
        <v>1.9705097429736549E-3</v>
      </c>
      <c r="P211">
        <v>2.743803255246614E-2</v>
      </c>
      <c r="Q211">
        <v>7.9053670440918378E-3</v>
      </c>
      <c r="R211">
        <v>1.9705097429736549E-3</v>
      </c>
      <c r="S211">
        <v>7.9053670440918378E-3</v>
      </c>
      <c r="T211">
        <v>2.743803255246614E-2</v>
      </c>
    </row>
    <row r="212" spans="1:20" x14ac:dyDescent="0.35">
      <c r="A212" s="65">
        <v>32813</v>
      </c>
      <c r="M212">
        <v>345.989990234375</v>
      </c>
      <c r="O212">
        <v>1.9705097429736549E-3</v>
      </c>
      <c r="P212">
        <v>2.743803255246614E-2</v>
      </c>
      <c r="Q212">
        <v>7.9053670440918378E-3</v>
      </c>
    </row>
    <row r="213" spans="1:20" x14ac:dyDescent="0.35">
      <c r="A213" s="65">
        <v>32843</v>
      </c>
      <c r="M213">
        <v>353.39999389648438</v>
      </c>
      <c r="O213">
        <v>1.9705097429736549E-3</v>
      </c>
      <c r="P213">
        <v>2.743803255246614E-2</v>
      </c>
      <c r="Q213">
        <v>7.9053670440918378E-3</v>
      </c>
    </row>
    <row r="214" spans="1:20" x14ac:dyDescent="0.35">
      <c r="A214" s="65">
        <v>32874</v>
      </c>
      <c r="M214">
        <v>329.07998657226563</v>
      </c>
      <c r="N214">
        <v>9364.259</v>
      </c>
      <c r="O214">
        <v>1.092795415929108E-2</v>
      </c>
      <c r="P214">
        <v>2.8213038443606939E-2</v>
      </c>
      <c r="Q214">
        <v>4.4433572064092493E-2</v>
      </c>
      <c r="R214">
        <v>1.092795415929108E-2</v>
      </c>
      <c r="S214">
        <v>4.4433572064092493E-2</v>
      </c>
      <c r="T214">
        <v>2.8213038443606939E-2</v>
      </c>
    </row>
    <row r="215" spans="1:20" x14ac:dyDescent="0.35">
      <c r="A215" s="65">
        <v>32905</v>
      </c>
      <c r="M215">
        <v>331.8900146484375</v>
      </c>
      <c r="O215">
        <v>1.092795415929108E-2</v>
      </c>
      <c r="P215">
        <v>2.8213038443606939E-2</v>
      </c>
      <c r="Q215">
        <v>4.4433572064092493E-2</v>
      </c>
    </row>
    <row r="216" spans="1:20" x14ac:dyDescent="0.35">
      <c r="A216" s="65">
        <v>32933</v>
      </c>
      <c r="M216">
        <v>339.94000244140619</v>
      </c>
      <c r="O216">
        <v>1.092795415929108E-2</v>
      </c>
      <c r="P216">
        <v>2.8213038443606939E-2</v>
      </c>
      <c r="Q216">
        <v>4.4433572064092493E-2</v>
      </c>
    </row>
    <row r="217" spans="1:20" x14ac:dyDescent="0.35">
      <c r="A217" s="65">
        <v>32964</v>
      </c>
      <c r="M217">
        <v>330.79998779296881</v>
      </c>
      <c r="N217">
        <v>9398.2430000000004</v>
      </c>
      <c r="O217">
        <v>3.6291179045774341E-3</v>
      </c>
      <c r="P217">
        <v>2.412772955183759E-2</v>
      </c>
      <c r="Q217">
        <v>1.459568596150662E-2</v>
      </c>
      <c r="R217">
        <v>3.6291179045774341E-3</v>
      </c>
      <c r="S217">
        <v>1.459568596150662E-2</v>
      </c>
      <c r="T217">
        <v>2.412772955183759E-2</v>
      </c>
    </row>
    <row r="218" spans="1:20" x14ac:dyDescent="0.35">
      <c r="A218" s="65">
        <v>32994</v>
      </c>
      <c r="M218">
        <v>361.23001098632813</v>
      </c>
      <c r="O218">
        <v>3.6291179045774341E-3</v>
      </c>
      <c r="P218">
        <v>2.412772955183759E-2</v>
      </c>
      <c r="Q218">
        <v>1.459568596150662E-2</v>
      </c>
    </row>
    <row r="219" spans="1:20" x14ac:dyDescent="0.35">
      <c r="A219" s="65">
        <v>33025</v>
      </c>
      <c r="M219">
        <v>358.01998901367188</v>
      </c>
      <c r="O219">
        <v>3.6291179045774341E-3</v>
      </c>
      <c r="P219">
        <v>2.412772955183759E-2</v>
      </c>
      <c r="Q219">
        <v>1.459568596150662E-2</v>
      </c>
    </row>
    <row r="220" spans="1:20" x14ac:dyDescent="0.35">
      <c r="A220" s="65">
        <v>33055</v>
      </c>
      <c r="M220">
        <v>356.14999389648438</v>
      </c>
      <c r="N220">
        <v>9404.4940000000006</v>
      </c>
      <c r="O220">
        <v>6.6512432164184338E-4</v>
      </c>
      <c r="P220">
        <v>1.7272166368697859E-2</v>
      </c>
      <c r="Q220">
        <v>2.6631528059206659E-3</v>
      </c>
      <c r="R220">
        <v>6.6512432164184338E-4</v>
      </c>
      <c r="S220">
        <v>2.6631528059206659E-3</v>
      </c>
      <c r="T220">
        <v>1.7272166368697859E-2</v>
      </c>
    </row>
    <row r="221" spans="1:20" x14ac:dyDescent="0.35">
      <c r="A221" s="65">
        <v>33086</v>
      </c>
      <c r="M221">
        <v>322.55999755859381</v>
      </c>
      <c r="O221">
        <v>6.6512432164184338E-4</v>
      </c>
      <c r="P221">
        <v>1.7272166368697859E-2</v>
      </c>
      <c r="Q221">
        <v>2.6631528059206659E-3</v>
      </c>
    </row>
    <row r="222" spans="1:20" x14ac:dyDescent="0.35">
      <c r="A222" s="65">
        <v>33117</v>
      </c>
      <c r="M222">
        <v>306.04998779296881</v>
      </c>
      <c r="O222">
        <v>6.6512432164184338E-4</v>
      </c>
      <c r="P222">
        <v>1.7272166368697859E-2</v>
      </c>
      <c r="Q222">
        <v>2.6631528059206659E-3</v>
      </c>
    </row>
    <row r="223" spans="1:20" x14ac:dyDescent="0.35">
      <c r="A223" s="65">
        <v>33147</v>
      </c>
      <c r="M223">
        <v>304</v>
      </c>
      <c r="N223">
        <v>9318.8760000000002</v>
      </c>
      <c r="O223">
        <v>-9.1039454116298435E-3</v>
      </c>
      <c r="P223">
        <v>6.0285869649822858E-3</v>
      </c>
      <c r="Q223">
        <v>-3.5921502051109888E-2</v>
      </c>
      <c r="R223">
        <v>-9.1039454116298435E-3</v>
      </c>
      <c r="S223">
        <v>-3.5921502051109888E-2</v>
      </c>
      <c r="T223">
        <v>6.0285869649822858E-3</v>
      </c>
    </row>
    <row r="224" spans="1:20" x14ac:dyDescent="0.35">
      <c r="A224" s="65">
        <v>33178</v>
      </c>
      <c r="M224">
        <v>322.22000122070313</v>
      </c>
      <c r="O224">
        <v>-9.1039454116298435E-3</v>
      </c>
      <c r="P224">
        <v>6.0285869649822858E-3</v>
      </c>
      <c r="Q224">
        <v>-3.5921502051109888E-2</v>
      </c>
    </row>
    <row r="225" spans="1:20" x14ac:dyDescent="0.35">
      <c r="A225" s="65">
        <v>33208</v>
      </c>
      <c r="M225">
        <v>330.22000122070313</v>
      </c>
      <c r="O225">
        <v>-9.1039454116298435E-3</v>
      </c>
      <c r="P225">
        <v>6.0285869649822858E-3</v>
      </c>
      <c r="Q225">
        <v>-3.5921502051109888E-2</v>
      </c>
    </row>
    <row r="226" spans="1:20" x14ac:dyDescent="0.35">
      <c r="A226" s="65">
        <v>33239</v>
      </c>
      <c r="M226">
        <v>343.92999267578119</v>
      </c>
      <c r="N226">
        <v>9275.2759999999998</v>
      </c>
      <c r="O226">
        <v>-4.6786758403052431E-3</v>
      </c>
      <c r="P226">
        <v>-9.5024069710160919E-3</v>
      </c>
      <c r="Q226">
        <v>-1.858377250133569E-2</v>
      </c>
      <c r="R226">
        <v>-4.6786758403052431E-3</v>
      </c>
      <c r="S226">
        <v>-1.858377250133569E-2</v>
      </c>
      <c r="T226">
        <v>-9.5024069710160919E-3</v>
      </c>
    </row>
    <row r="227" spans="1:20" x14ac:dyDescent="0.35">
      <c r="A227" s="65">
        <v>33270</v>
      </c>
      <c r="M227">
        <v>367.07000732421881</v>
      </c>
      <c r="O227">
        <v>-4.6786758403052431E-3</v>
      </c>
      <c r="P227">
        <v>-9.5024069710160919E-3</v>
      </c>
      <c r="Q227">
        <v>-1.858377250133569E-2</v>
      </c>
    </row>
    <row r="228" spans="1:20" x14ac:dyDescent="0.35">
      <c r="A228" s="65">
        <v>33298</v>
      </c>
      <c r="M228">
        <v>375.22000122070313</v>
      </c>
      <c r="O228">
        <v>-4.6786758403052431E-3</v>
      </c>
      <c r="P228">
        <v>-9.5024069710160919E-3</v>
      </c>
      <c r="Q228">
        <v>-1.858377250133569E-2</v>
      </c>
    </row>
    <row r="229" spans="1:20" x14ac:dyDescent="0.35">
      <c r="A229" s="65">
        <v>33329</v>
      </c>
      <c r="M229">
        <v>375.33999633789063</v>
      </c>
      <c r="N229">
        <v>9347.5969999999998</v>
      </c>
      <c r="O229">
        <v>7.7971803750098564E-3</v>
      </c>
      <c r="P229">
        <v>-5.3888796022831757E-3</v>
      </c>
      <c r="Q229">
        <v>3.1555397477190723E-2</v>
      </c>
      <c r="R229">
        <v>7.7971803750098564E-3</v>
      </c>
      <c r="S229">
        <v>3.1555397477190723E-2</v>
      </c>
      <c r="T229">
        <v>-5.3888796022831757E-3</v>
      </c>
    </row>
    <row r="230" spans="1:20" x14ac:dyDescent="0.35">
      <c r="A230" s="65">
        <v>33359</v>
      </c>
      <c r="M230">
        <v>389.82998657226563</v>
      </c>
      <c r="O230">
        <v>7.7971803750098564E-3</v>
      </c>
      <c r="P230">
        <v>-5.3888796022831757E-3</v>
      </c>
      <c r="Q230">
        <v>3.1555397477190723E-2</v>
      </c>
    </row>
    <row r="231" spans="1:20" x14ac:dyDescent="0.35">
      <c r="A231" s="65">
        <v>33390</v>
      </c>
      <c r="M231">
        <v>371.16000366210938</v>
      </c>
      <c r="O231">
        <v>7.7971803750098564E-3</v>
      </c>
      <c r="P231">
        <v>-5.3888796022831757E-3</v>
      </c>
      <c r="Q231">
        <v>3.1555397477190723E-2</v>
      </c>
    </row>
    <row r="232" spans="1:20" x14ac:dyDescent="0.35">
      <c r="A232" s="65">
        <v>33420</v>
      </c>
      <c r="M232">
        <v>387.80999755859381</v>
      </c>
      <c r="N232">
        <v>9394.8340000000007</v>
      </c>
      <c r="O232">
        <v>5.0533843082881079E-3</v>
      </c>
      <c r="P232">
        <v>-1.0271685005062319E-3</v>
      </c>
      <c r="Q232">
        <v>2.0367274229972528E-2</v>
      </c>
      <c r="R232">
        <v>5.0533843082881079E-3</v>
      </c>
      <c r="S232">
        <v>2.0367274229972528E-2</v>
      </c>
      <c r="T232">
        <v>-1.0271685005062319E-3</v>
      </c>
    </row>
    <row r="233" spans="1:20" x14ac:dyDescent="0.35">
      <c r="A233" s="65">
        <v>33451</v>
      </c>
      <c r="M233">
        <v>395.42999267578119</v>
      </c>
      <c r="O233">
        <v>5.0533843082881079E-3</v>
      </c>
      <c r="P233">
        <v>-1.0271685005062319E-3</v>
      </c>
      <c r="Q233">
        <v>2.0367274229972528E-2</v>
      </c>
    </row>
    <row r="234" spans="1:20" x14ac:dyDescent="0.35">
      <c r="A234" s="65">
        <v>33482</v>
      </c>
      <c r="M234">
        <v>387.8599853515625</v>
      </c>
      <c r="O234">
        <v>5.0533843082881079E-3</v>
      </c>
      <c r="P234">
        <v>-1.0271685005062319E-3</v>
      </c>
      <c r="Q234">
        <v>2.0367274229972528E-2</v>
      </c>
    </row>
    <row r="235" spans="1:20" x14ac:dyDescent="0.35">
      <c r="A235" s="65">
        <v>33512</v>
      </c>
      <c r="M235">
        <v>392.45001220703119</v>
      </c>
      <c r="N235">
        <v>9427.5810000000001</v>
      </c>
      <c r="O235">
        <v>3.4856390224669632E-3</v>
      </c>
      <c r="P235">
        <v>1.166503342248571E-2</v>
      </c>
      <c r="Q235">
        <v>1.401562371143839E-2</v>
      </c>
      <c r="R235">
        <v>3.4856390224669632E-3</v>
      </c>
      <c r="S235">
        <v>1.401562371143839E-2</v>
      </c>
      <c r="T235">
        <v>1.166503342248571E-2</v>
      </c>
    </row>
    <row r="236" spans="1:20" x14ac:dyDescent="0.35">
      <c r="A236" s="65">
        <v>33543</v>
      </c>
      <c r="M236">
        <v>375.22000122070313</v>
      </c>
      <c r="O236">
        <v>3.4856390224669632E-3</v>
      </c>
      <c r="P236">
        <v>1.166503342248571E-2</v>
      </c>
      <c r="Q236">
        <v>1.401562371143839E-2</v>
      </c>
    </row>
    <row r="237" spans="1:20" x14ac:dyDescent="0.35">
      <c r="A237" s="65">
        <v>33573</v>
      </c>
      <c r="M237">
        <v>417.08999633789063</v>
      </c>
      <c r="O237">
        <v>3.4856390224669632E-3</v>
      </c>
      <c r="P237">
        <v>1.166503342248571E-2</v>
      </c>
      <c r="Q237">
        <v>1.401562371143839E-2</v>
      </c>
    </row>
    <row r="238" spans="1:20" x14ac:dyDescent="0.35">
      <c r="A238" s="65">
        <v>33604</v>
      </c>
      <c r="M238">
        <v>408.77999877929688</v>
      </c>
      <c r="N238">
        <v>9540.4439999999995</v>
      </c>
      <c r="O238">
        <v>1.19715757414335E-2</v>
      </c>
      <c r="P238">
        <v>2.8588691053506081E-2</v>
      </c>
      <c r="Q238">
        <v>4.8753098259492589E-2</v>
      </c>
      <c r="R238">
        <v>1.19715757414335E-2</v>
      </c>
      <c r="S238">
        <v>4.8753098259492589E-2</v>
      </c>
      <c r="T238">
        <v>2.8588691053506081E-2</v>
      </c>
    </row>
    <row r="239" spans="1:20" x14ac:dyDescent="0.35">
      <c r="A239" s="65">
        <v>33635</v>
      </c>
      <c r="M239">
        <v>412.70001220703119</v>
      </c>
      <c r="O239">
        <v>1.19715757414335E-2</v>
      </c>
      <c r="P239">
        <v>2.8588691053506081E-2</v>
      </c>
      <c r="Q239">
        <v>4.8753098259492589E-2</v>
      </c>
    </row>
    <row r="240" spans="1:20" x14ac:dyDescent="0.35">
      <c r="A240" s="65">
        <v>33664</v>
      </c>
      <c r="M240">
        <v>403.69000244140619</v>
      </c>
      <c r="O240">
        <v>1.19715757414335E-2</v>
      </c>
      <c r="P240">
        <v>2.8588691053506081E-2</v>
      </c>
      <c r="Q240">
        <v>4.8753098259492589E-2</v>
      </c>
    </row>
    <row r="241" spans="1:20" x14ac:dyDescent="0.35">
      <c r="A241" s="65">
        <v>33695</v>
      </c>
      <c r="M241">
        <v>414.95001220703119</v>
      </c>
      <c r="N241">
        <v>9643.893</v>
      </c>
      <c r="O241">
        <v>1.0843206039467399E-2</v>
      </c>
      <c r="P241">
        <v>3.1697558206670688E-2</v>
      </c>
      <c r="Q241">
        <v>4.4083388249948292E-2</v>
      </c>
      <c r="R241">
        <v>1.0843206039467399E-2</v>
      </c>
      <c r="S241">
        <v>4.4083388249948292E-2</v>
      </c>
      <c r="T241">
        <v>3.1697558206670688E-2</v>
      </c>
    </row>
    <row r="242" spans="1:20" x14ac:dyDescent="0.35">
      <c r="A242" s="65">
        <v>33725</v>
      </c>
      <c r="M242">
        <v>415.35000610351563</v>
      </c>
      <c r="O242">
        <v>1.0843206039467399E-2</v>
      </c>
      <c r="P242">
        <v>3.1697558206670688E-2</v>
      </c>
      <c r="Q242">
        <v>4.4083388249948292E-2</v>
      </c>
    </row>
    <row r="243" spans="1:20" x14ac:dyDescent="0.35">
      <c r="A243" s="65">
        <v>33756</v>
      </c>
      <c r="M243">
        <v>408.1400146484375</v>
      </c>
      <c r="O243">
        <v>1.0843206039467399E-2</v>
      </c>
      <c r="P243">
        <v>3.1697558206670688E-2</v>
      </c>
      <c r="Q243">
        <v>4.4083388249948292E-2</v>
      </c>
    </row>
    <row r="244" spans="1:20" x14ac:dyDescent="0.35">
      <c r="A244" s="65">
        <v>33786</v>
      </c>
      <c r="M244">
        <v>424.20999145507813</v>
      </c>
      <c r="N244">
        <v>9739.1849999999995</v>
      </c>
      <c r="O244">
        <v>9.8810718866332772E-3</v>
      </c>
      <c r="P244">
        <v>3.6653228785096012E-2</v>
      </c>
      <c r="Q244">
        <v>4.0113969545816142E-2</v>
      </c>
      <c r="R244">
        <v>9.8810718866332772E-3</v>
      </c>
      <c r="S244">
        <v>4.0113969545816142E-2</v>
      </c>
      <c r="T244">
        <v>3.6653228785096012E-2</v>
      </c>
    </row>
    <row r="245" spans="1:20" x14ac:dyDescent="0.35">
      <c r="A245" s="65">
        <v>33817</v>
      </c>
      <c r="M245">
        <v>414.02999877929688</v>
      </c>
      <c r="O245">
        <v>9.8810718866332772E-3</v>
      </c>
      <c r="P245">
        <v>3.6653228785096012E-2</v>
      </c>
      <c r="Q245">
        <v>4.0113969545816142E-2</v>
      </c>
    </row>
    <row r="246" spans="1:20" x14ac:dyDescent="0.35">
      <c r="A246" s="65">
        <v>33848</v>
      </c>
      <c r="M246">
        <v>417.79998779296881</v>
      </c>
      <c r="O246">
        <v>9.8810718866332772E-3</v>
      </c>
      <c r="P246">
        <v>3.6653228785096012E-2</v>
      </c>
      <c r="Q246">
        <v>4.0113969545816142E-2</v>
      </c>
    </row>
    <row r="247" spans="1:20" x14ac:dyDescent="0.35">
      <c r="A247" s="65">
        <v>33878</v>
      </c>
      <c r="M247">
        <v>418.67999267578119</v>
      </c>
      <c r="N247">
        <v>9840.7530000000006</v>
      </c>
      <c r="O247">
        <v>1.042879871365018E-2</v>
      </c>
      <c r="P247">
        <v>4.3825876436383887E-2</v>
      </c>
      <c r="Q247">
        <v>4.2372302676989992E-2</v>
      </c>
      <c r="R247">
        <v>1.042879871365018E-2</v>
      </c>
      <c r="S247">
        <v>4.2372302676989992E-2</v>
      </c>
      <c r="T247">
        <v>4.3825876436383887E-2</v>
      </c>
    </row>
    <row r="248" spans="1:20" x14ac:dyDescent="0.35">
      <c r="A248" s="65">
        <v>33909</v>
      </c>
      <c r="M248">
        <v>431.35000610351563</v>
      </c>
      <c r="O248">
        <v>1.042879871365018E-2</v>
      </c>
      <c r="P248">
        <v>4.3825876436383887E-2</v>
      </c>
      <c r="Q248">
        <v>4.2372302676989992E-2</v>
      </c>
    </row>
    <row r="249" spans="1:20" x14ac:dyDescent="0.35">
      <c r="A249" s="65">
        <v>33939</v>
      </c>
      <c r="M249">
        <v>435.70999145507813</v>
      </c>
      <c r="O249">
        <v>1.042879871365018E-2</v>
      </c>
      <c r="P249">
        <v>4.3825876436383887E-2</v>
      </c>
      <c r="Q249">
        <v>4.2372302676989992E-2</v>
      </c>
    </row>
    <row r="250" spans="1:20" x14ac:dyDescent="0.35">
      <c r="A250" s="65">
        <v>33970</v>
      </c>
      <c r="M250">
        <v>438.77999877929688</v>
      </c>
      <c r="N250">
        <v>9857.1849999999995</v>
      </c>
      <c r="O250">
        <v>1.6697909194549321E-3</v>
      </c>
      <c r="P250">
        <v>3.319981753469755E-2</v>
      </c>
      <c r="Q250">
        <v>6.6959115187377183E-3</v>
      </c>
      <c r="R250">
        <v>1.6697909194549321E-3</v>
      </c>
      <c r="S250">
        <v>6.6959115187377183E-3</v>
      </c>
      <c r="T250">
        <v>3.319981753469755E-2</v>
      </c>
    </row>
    <row r="251" spans="1:20" x14ac:dyDescent="0.35">
      <c r="A251" s="65">
        <v>34001</v>
      </c>
      <c r="M251">
        <v>443.3800048828125</v>
      </c>
      <c r="O251">
        <v>1.6697909194549321E-3</v>
      </c>
      <c r="P251">
        <v>3.319981753469755E-2</v>
      </c>
      <c r="Q251">
        <v>6.6959115187377183E-3</v>
      </c>
    </row>
    <row r="252" spans="1:20" x14ac:dyDescent="0.35">
      <c r="A252" s="65">
        <v>34029</v>
      </c>
      <c r="M252">
        <v>451.67001342773438</v>
      </c>
      <c r="O252">
        <v>1.6697909194549321E-3</v>
      </c>
      <c r="P252">
        <v>3.319981753469755E-2</v>
      </c>
      <c r="Q252">
        <v>6.6959115187377183E-3</v>
      </c>
    </row>
    <row r="253" spans="1:20" x14ac:dyDescent="0.35">
      <c r="A253" s="65">
        <v>34060</v>
      </c>
      <c r="M253">
        <v>440.19000244140619</v>
      </c>
      <c r="N253">
        <v>9914.5650000000005</v>
      </c>
      <c r="O253">
        <v>5.8211345328307244E-3</v>
      </c>
      <c r="P253">
        <v>2.806667390440774E-2</v>
      </c>
      <c r="Q253">
        <v>2.348864193376721E-2</v>
      </c>
      <c r="R253">
        <v>5.8211345328307244E-3</v>
      </c>
      <c r="S253">
        <v>2.348864193376721E-2</v>
      </c>
      <c r="T253">
        <v>2.806667390440774E-2</v>
      </c>
    </row>
    <row r="254" spans="1:20" x14ac:dyDescent="0.35">
      <c r="A254" s="65">
        <v>34090</v>
      </c>
      <c r="M254">
        <v>450.19000244140619</v>
      </c>
      <c r="O254">
        <v>5.8211345328307244E-3</v>
      </c>
      <c r="P254">
        <v>2.806667390440774E-2</v>
      </c>
      <c r="Q254">
        <v>2.348864193376721E-2</v>
      </c>
    </row>
    <row r="255" spans="1:20" x14ac:dyDescent="0.35">
      <c r="A255" s="65">
        <v>34121</v>
      </c>
      <c r="M255">
        <v>450.52999877929688</v>
      </c>
      <c r="O255">
        <v>5.8211345328307244E-3</v>
      </c>
      <c r="P255">
        <v>2.806667390440774E-2</v>
      </c>
      <c r="Q255">
        <v>2.348864193376721E-2</v>
      </c>
    </row>
    <row r="256" spans="1:20" x14ac:dyDescent="0.35">
      <c r="A256" s="65">
        <v>34151</v>
      </c>
      <c r="M256">
        <v>448.1300048828125</v>
      </c>
      <c r="N256">
        <v>9961.8729999999996</v>
      </c>
      <c r="O256">
        <v>4.771565873036193E-3</v>
      </c>
      <c r="P256">
        <v>2.2865157608157161E-2</v>
      </c>
      <c r="Q256">
        <v>1.9223305608814249E-2</v>
      </c>
      <c r="R256">
        <v>4.771565873036193E-3</v>
      </c>
      <c r="S256">
        <v>1.9223305608814249E-2</v>
      </c>
      <c r="T256">
        <v>2.2865157608157161E-2</v>
      </c>
    </row>
    <row r="257" spans="1:20" x14ac:dyDescent="0.35">
      <c r="A257" s="65">
        <v>34182</v>
      </c>
      <c r="M257">
        <v>463.55999755859381</v>
      </c>
      <c r="O257">
        <v>4.771565873036193E-3</v>
      </c>
      <c r="P257">
        <v>2.2865157608157161E-2</v>
      </c>
      <c r="Q257">
        <v>1.9223305608814249E-2</v>
      </c>
    </row>
    <row r="258" spans="1:20" x14ac:dyDescent="0.35">
      <c r="A258" s="65">
        <v>34213</v>
      </c>
      <c r="M258">
        <v>458.92999267578119</v>
      </c>
      <c r="O258">
        <v>4.771565873036193E-3</v>
      </c>
      <c r="P258">
        <v>2.2865157608157161E-2</v>
      </c>
      <c r="Q258">
        <v>1.9223305608814249E-2</v>
      </c>
    </row>
    <row r="259" spans="1:20" x14ac:dyDescent="0.35">
      <c r="A259" s="65">
        <v>34243</v>
      </c>
      <c r="M259">
        <v>467.82998657226563</v>
      </c>
      <c r="N259">
        <v>10097.361999999999</v>
      </c>
      <c r="O259">
        <v>1.360075560087943E-2</v>
      </c>
      <c r="P259">
        <v>2.6076154944646868E-2</v>
      </c>
      <c r="Q259">
        <v>5.5523003439976508E-2</v>
      </c>
      <c r="R259">
        <v>1.360075560087943E-2</v>
      </c>
      <c r="S259">
        <v>5.5523003439976508E-2</v>
      </c>
      <c r="T259">
        <v>2.6076154944646868E-2</v>
      </c>
    </row>
    <row r="260" spans="1:20" x14ac:dyDescent="0.35">
      <c r="A260" s="65">
        <v>34274</v>
      </c>
      <c r="M260">
        <v>461.79000854492188</v>
      </c>
      <c r="O260">
        <v>1.360075560087943E-2</v>
      </c>
      <c r="P260">
        <v>2.6076154944646868E-2</v>
      </c>
      <c r="Q260">
        <v>5.5523003439976508E-2</v>
      </c>
    </row>
    <row r="261" spans="1:20" x14ac:dyDescent="0.35">
      <c r="A261" s="65">
        <v>34304</v>
      </c>
      <c r="M261">
        <v>466.45001220703119</v>
      </c>
      <c r="O261">
        <v>1.360075560087943E-2</v>
      </c>
      <c r="P261">
        <v>2.6076154944646868E-2</v>
      </c>
      <c r="Q261">
        <v>5.5523003439976508E-2</v>
      </c>
    </row>
    <row r="262" spans="1:20" x14ac:dyDescent="0.35">
      <c r="A262" s="65">
        <v>34335</v>
      </c>
      <c r="M262">
        <v>481.6099853515625</v>
      </c>
      <c r="N262">
        <v>10195.338</v>
      </c>
      <c r="O262">
        <v>9.7031284012597131E-3</v>
      </c>
      <c r="P262">
        <v>3.4305230144305927E-2</v>
      </c>
      <c r="Q262">
        <v>3.9381080899375531E-2</v>
      </c>
      <c r="R262">
        <v>9.7031284012597131E-3</v>
      </c>
      <c r="S262">
        <v>3.9381080899375531E-2</v>
      </c>
      <c r="T262">
        <v>3.4305230144305927E-2</v>
      </c>
    </row>
    <row r="263" spans="1:20" x14ac:dyDescent="0.35">
      <c r="A263" s="65">
        <v>34366</v>
      </c>
      <c r="M263">
        <v>467.1400146484375</v>
      </c>
      <c r="O263">
        <v>9.7031284012597131E-3</v>
      </c>
      <c r="P263">
        <v>3.4305230144305927E-2</v>
      </c>
      <c r="Q263">
        <v>3.9381080899375531E-2</v>
      </c>
    </row>
    <row r="264" spans="1:20" x14ac:dyDescent="0.35">
      <c r="A264" s="65">
        <v>34394</v>
      </c>
      <c r="M264">
        <v>445.76998901367188</v>
      </c>
      <c r="O264">
        <v>9.7031284012597131E-3</v>
      </c>
      <c r="P264">
        <v>3.4305230144305927E-2</v>
      </c>
      <c r="Q264">
        <v>3.9381080899375531E-2</v>
      </c>
    </row>
    <row r="265" spans="1:20" x14ac:dyDescent="0.35">
      <c r="A265" s="65">
        <v>34425</v>
      </c>
      <c r="M265">
        <v>450.91000366210938</v>
      </c>
      <c r="N265">
        <v>10333.495000000001</v>
      </c>
      <c r="O265">
        <v>1.3550997524554961E-2</v>
      </c>
      <c r="P265">
        <v>4.2253997023570897E-2</v>
      </c>
      <c r="Q265">
        <v>5.5315754474926093E-2</v>
      </c>
      <c r="R265">
        <v>1.3550997524554961E-2</v>
      </c>
      <c r="S265">
        <v>5.5315754474926093E-2</v>
      </c>
      <c r="T265">
        <v>4.2253997023570897E-2</v>
      </c>
    </row>
    <row r="266" spans="1:20" x14ac:dyDescent="0.35">
      <c r="A266" s="65">
        <v>34455</v>
      </c>
      <c r="M266">
        <v>456.5</v>
      </c>
      <c r="O266">
        <v>1.3550997524554961E-2</v>
      </c>
      <c r="P266">
        <v>4.2253997023570897E-2</v>
      </c>
      <c r="Q266">
        <v>5.5315754474926093E-2</v>
      </c>
    </row>
    <row r="267" spans="1:20" x14ac:dyDescent="0.35">
      <c r="A267" s="65">
        <v>34486</v>
      </c>
      <c r="M267">
        <v>444.26998901367188</v>
      </c>
      <c r="O267">
        <v>1.3550997524554961E-2</v>
      </c>
      <c r="P267">
        <v>4.2253997023570897E-2</v>
      </c>
      <c r="Q267">
        <v>5.5315754474926093E-2</v>
      </c>
    </row>
    <row r="268" spans="1:20" x14ac:dyDescent="0.35">
      <c r="A268" s="65">
        <v>34516</v>
      </c>
      <c r="M268">
        <v>458.260009765625</v>
      </c>
      <c r="N268">
        <v>10393.897999999999</v>
      </c>
      <c r="O268">
        <v>5.8453601613005493E-3</v>
      </c>
      <c r="P268">
        <v>4.3367848596343253E-2</v>
      </c>
      <c r="Q268">
        <v>2.358725012773033E-2</v>
      </c>
      <c r="R268">
        <v>5.8453601613005493E-3</v>
      </c>
      <c r="S268">
        <v>2.358725012773033E-2</v>
      </c>
      <c r="T268">
        <v>4.3367848596343253E-2</v>
      </c>
    </row>
    <row r="269" spans="1:20" x14ac:dyDescent="0.35">
      <c r="A269" s="65">
        <v>34547</v>
      </c>
      <c r="M269">
        <v>475.489990234375</v>
      </c>
      <c r="O269">
        <v>5.8453601613005493E-3</v>
      </c>
      <c r="P269">
        <v>4.3367848596343253E-2</v>
      </c>
      <c r="Q269">
        <v>2.358725012773033E-2</v>
      </c>
    </row>
    <row r="270" spans="1:20" x14ac:dyDescent="0.35">
      <c r="A270" s="65">
        <v>34578</v>
      </c>
      <c r="M270">
        <v>462.70999145507813</v>
      </c>
      <c r="O270">
        <v>5.8453601613005493E-3</v>
      </c>
      <c r="P270">
        <v>4.3367848596343253E-2</v>
      </c>
      <c r="Q270">
        <v>2.358725012773033E-2</v>
      </c>
    </row>
    <row r="271" spans="1:20" x14ac:dyDescent="0.35">
      <c r="A271" s="65">
        <v>34608</v>
      </c>
      <c r="M271">
        <v>472.35000610351563</v>
      </c>
      <c r="N271">
        <v>10512.962</v>
      </c>
      <c r="O271">
        <v>1.1455182646587479E-2</v>
      </c>
      <c r="P271">
        <v>4.1159265162524668E-2</v>
      </c>
      <c r="Q271">
        <v>4.6614087713841679E-2</v>
      </c>
      <c r="R271">
        <v>1.1455182646587479E-2</v>
      </c>
      <c r="S271">
        <v>4.6614087713841679E-2</v>
      </c>
      <c r="T271">
        <v>4.1159265162524668E-2</v>
      </c>
    </row>
    <row r="272" spans="1:20" x14ac:dyDescent="0.35">
      <c r="A272" s="65">
        <v>34639</v>
      </c>
      <c r="M272">
        <v>453.69000244140619</v>
      </c>
      <c r="O272">
        <v>1.1455182646587479E-2</v>
      </c>
      <c r="P272">
        <v>4.1159265162524668E-2</v>
      </c>
      <c r="Q272">
        <v>4.6614087713841679E-2</v>
      </c>
    </row>
    <row r="273" spans="1:20" x14ac:dyDescent="0.35">
      <c r="A273" s="65">
        <v>34669</v>
      </c>
      <c r="M273">
        <v>459.26998901367188</v>
      </c>
      <c r="O273">
        <v>1.1455182646587479E-2</v>
      </c>
      <c r="P273">
        <v>4.1159265162524668E-2</v>
      </c>
      <c r="Q273">
        <v>4.6614087713841679E-2</v>
      </c>
    </row>
    <row r="274" spans="1:20" x14ac:dyDescent="0.35">
      <c r="A274" s="65">
        <v>34700</v>
      </c>
      <c r="M274">
        <v>470.42001342773438</v>
      </c>
      <c r="N274">
        <v>10550.251</v>
      </c>
      <c r="O274">
        <v>3.5469547022048279E-3</v>
      </c>
      <c r="P274">
        <v>3.4811302970043798E-2</v>
      </c>
      <c r="Q274">
        <v>1.426348278840983E-2</v>
      </c>
      <c r="R274">
        <v>3.5469547022048279E-3</v>
      </c>
      <c r="S274">
        <v>1.426348278840983E-2</v>
      </c>
      <c r="T274">
        <v>3.4811302970043798E-2</v>
      </c>
    </row>
    <row r="275" spans="1:20" x14ac:dyDescent="0.35">
      <c r="A275" s="65">
        <v>34731</v>
      </c>
      <c r="M275">
        <v>487.3900146484375</v>
      </c>
      <c r="O275">
        <v>3.5469547022048279E-3</v>
      </c>
      <c r="P275">
        <v>3.4811302970043798E-2</v>
      </c>
      <c r="Q275">
        <v>1.426348278840983E-2</v>
      </c>
    </row>
    <row r="276" spans="1:20" x14ac:dyDescent="0.35">
      <c r="A276" s="65">
        <v>34759</v>
      </c>
      <c r="M276">
        <v>500.70999145507813</v>
      </c>
      <c r="O276">
        <v>3.5469547022048279E-3</v>
      </c>
      <c r="P276">
        <v>3.4811302970043798E-2</v>
      </c>
      <c r="Q276">
        <v>1.426348278840983E-2</v>
      </c>
    </row>
    <row r="277" spans="1:20" x14ac:dyDescent="0.35">
      <c r="A277" s="65">
        <v>34790</v>
      </c>
      <c r="M277">
        <v>514.71002197265625</v>
      </c>
      <c r="N277">
        <v>10581.723</v>
      </c>
      <c r="O277">
        <v>2.983056990776784E-3</v>
      </c>
      <c r="P277">
        <v>2.4021688692934879E-2</v>
      </c>
      <c r="Q277">
        <v>1.198572599682368E-2</v>
      </c>
      <c r="R277">
        <v>2.983056990776784E-3</v>
      </c>
      <c r="S277">
        <v>1.198572599682368E-2</v>
      </c>
      <c r="T277">
        <v>2.4021688692934879E-2</v>
      </c>
    </row>
    <row r="278" spans="1:20" x14ac:dyDescent="0.35">
      <c r="A278" s="65">
        <v>34820</v>
      </c>
      <c r="M278">
        <v>533.4000244140625</v>
      </c>
      <c r="O278">
        <v>2.983056990776784E-3</v>
      </c>
      <c r="P278">
        <v>2.4021688692934879E-2</v>
      </c>
      <c r="Q278">
        <v>1.198572599682368E-2</v>
      </c>
    </row>
    <row r="279" spans="1:20" x14ac:dyDescent="0.35">
      <c r="A279" s="65">
        <v>34851</v>
      </c>
      <c r="M279">
        <v>544.75</v>
      </c>
      <c r="O279">
        <v>2.983056990776784E-3</v>
      </c>
      <c r="P279">
        <v>2.4021688692934879E-2</v>
      </c>
      <c r="Q279">
        <v>1.198572599682368E-2</v>
      </c>
    </row>
    <row r="280" spans="1:20" x14ac:dyDescent="0.35">
      <c r="A280" s="65">
        <v>34881</v>
      </c>
      <c r="M280">
        <v>562.05999755859375</v>
      </c>
      <c r="N280">
        <v>10671.737999999999</v>
      </c>
      <c r="O280">
        <v>8.5066486809378221E-3</v>
      </c>
      <c r="P280">
        <v>2.6731068555800739E-2</v>
      </c>
      <c r="Q280">
        <v>3.4463240659767143E-2</v>
      </c>
      <c r="R280">
        <v>8.5066486809378221E-3</v>
      </c>
      <c r="S280">
        <v>3.4463240659767143E-2</v>
      </c>
      <c r="T280">
        <v>2.6731068555800739E-2</v>
      </c>
    </row>
    <row r="281" spans="1:20" x14ac:dyDescent="0.35">
      <c r="A281" s="65">
        <v>34912</v>
      </c>
      <c r="M281">
        <v>561.8800048828125</v>
      </c>
      <c r="O281">
        <v>8.5066486809378221E-3</v>
      </c>
      <c r="P281">
        <v>2.6731068555800739E-2</v>
      </c>
      <c r="Q281">
        <v>3.4463240659767143E-2</v>
      </c>
    </row>
    <row r="282" spans="1:20" x14ac:dyDescent="0.35">
      <c r="A282" s="65">
        <v>34943</v>
      </c>
      <c r="M282">
        <v>584.40997314453125</v>
      </c>
      <c r="O282">
        <v>8.5066486809378221E-3</v>
      </c>
      <c r="P282">
        <v>2.6731068555800739E-2</v>
      </c>
      <c r="Q282">
        <v>3.4463240659767143E-2</v>
      </c>
    </row>
    <row r="283" spans="1:20" x14ac:dyDescent="0.35">
      <c r="A283" s="65">
        <v>34973</v>
      </c>
      <c r="M283">
        <v>581.5</v>
      </c>
      <c r="N283">
        <v>10744.203</v>
      </c>
      <c r="O283">
        <v>6.7903653556712273E-3</v>
      </c>
      <c r="P283">
        <v>2.1995799090684429E-2</v>
      </c>
      <c r="Q283">
        <v>2.743937030821075E-2</v>
      </c>
      <c r="R283">
        <v>6.7903653556712273E-3</v>
      </c>
      <c r="S283">
        <v>2.743937030821075E-2</v>
      </c>
      <c r="T283">
        <v>2.1995799090684429E-2</v>
      </c>
    </row>
    <row r="284" spans="1:20" x14ac:dyDescent="0.35">
      <c r="A284" s="65">
        <v>35004</v>
      </c>
      <c r="M284">
        <v>605.3699951171875</v>
      </c>
      <c r="O284">
        <v>6.7903653556712273E-3</v>
      </c>
      <c r="P284">
        <v>2.1995799090684429E-2</v>
      </c>
      <c r="Q284">
        <v>2.743937030821075E-2</v>
      </c>
    </row>
    <row r="285" spans="1:20" x14ac:dyDescent="0.35">
      <c r="A285" s="65">
        <v>35034</v>
      </c>
      <c r="M285">
        <v>615.92999267578125</v>
      </c>
      <c r="O285">
        <v>6.7903653556712273E-3</v>
      </c>
      <c r="P285">
        <v>2.1995799090684429E-2</v>
      </c>
      <c r="Q285">
        <v>2.743937030821075E-2</v>
      </c>
    </row>
    <row r="286" spans="1:20" x14ac:dyDescent="0.35">
      <c r="A286" s="65">
        <v>35065</v>
      </c>
      <c r="M286">
        <v>636.02001953125</v>
      </c>
      <c r="N286">
        <v>10824.674000000001</v>
      </c>
      <c r="O286">
        <v>7.4897132900412786E-3</v>
      </c>
      <c r="P286">
        <v>2.6011039926917438E-2</v>
      </c>
      <c r="Q286">
        <v>3.0297111703896821E-2</v>
      </c>
      <c r="R286">
        <v>7.4897132900412786E-3</v>
      </c>
      <c r="S286">
        <v>3.0297111703896821E-2</v>
      </c>
      <c r="T286">
        <v>2.6011039926917438E-2</v>
      </c>
    </row>
    <row r="287" spans="1:20" x14ac:dyDescent="0.35">
      <c r="A287" s="65">
        <v>35096</v>
      </c>
      <c r="M287">
        <v>640.42999267578125</v>
      </c>
      <c r="O287">
        <v>7.4897132900412786E-3</v>
      </c>
      <c r="P287">
        <v>2.6011039926917438E-2</v>
      </c>
      <c r="Q287">
        <v>3.0297111703896821E-2</v>
      </c>
    </row>
    <row r="288" spans="1:20" x14ac:dyDescent="0.35">
      <c r="A288" s="65">
        <v>35125</v>
      </c>
      <c r="M288">
        <v>645.5</v>
      </c>
      <c r="O288">
        <v>7.4897132900412786E-3</v>
      </c>
      <c r="P288">
        <v>2.6011039926917438E-2</v>
      </c>
      <c r="Q288">
        <v>3.0297111703896821E-2</v>
      </c>
    </row>
    <row r="289" spans="1:20" x14ac:dyDescent="0.35">
      <c r="A289" s="65">
        <v>35156</v>
      </c>
      <c r="M289">
        <v>654.16998291015625</v>
      </c>
      <c r="N289">
        <v>11005.217000000001</v>
      </c>
      <c r="O289">
        <v>1.6678839473595199E-2</v>
      </c>
      <c r="P289">
        <v>4.0021270638061553E-2</v>
      </c>
      <c r="Q289">
        <v>6.8403096521844287E-2</v>
      </c>
      <c r="R289">
        <v>1.6678839473595199E-2</v>
      </c>
      <c r="S289">
        <v>6.8403096521844287E-2</v>
      </c>
      <c r="T289">
        <v>4.0021270638061553E-2</v>
      </c>
    </row>
    <row r="290" spans="1:20" x14ac:dyDescent="0.35">
      <c r="A290" s="65">
        <v>35186</v>
      </c>
      <c r="M290">
        <v>669.1199951171875</v>
      </c>
      <c r="O290">
        <v>1.6678839473595199E-2</v>
      </c>
      <c r="P290">
        <v>4.0021270638061553E-2</v>
      </c>
      <c r="Q290">
        <v>6.8403096521844287E-2</v>
      </c>
    </row>
    <row r="291" spans="1:20" x14ac:dyDescent="0.35">
      <c r="A291" s="65">
        <v>35217</v>
      </c>
      <c r="M291">
        <v>670.6300048828125</v>
      </c>
      <c r="O291">
        <v>1.6678839473595199E-2</v>
      </c>
      <c r="P291">
        <v>4.0021270638061553E-2</v>
      </c>
      <c r="Q291">
        <v>6.8403096521844287E-2</v>
      </c>
    </row>
    <row r="292" spans="1:20" x14ac:dyDescent="0.35">
      <c r="A292" s="65">
        <v>35247</v>
      </c>
      <c r="M292">
        <v>639.95001220703125</v>
      </c>
      <c r="N292">
        <v>11103.934999999999</v>
      </c>
      <c r="O292">
        <v>8.970109358134323E-3</v>
      </c>
      <c r="P292">
        <v>4.0499213904989062E-2</v>
      </c>
      <c r="Q292">
        <v>3.6366108120872383E-2</v>
      </c>
      <c r="R292">
        <v>8.970109358134323E-3</v>
      </c>
      <c r="S292">
        <v>3.6366108120872383E-2</v>
      </c>
      <c r="T292">
        <v>4.0499213904989062E-2</v>
      </c>
    </row>
    <row r="293" spans="1:20" x14ac:dyDescent="0.35">
      <c r="A293" s="65">
        <v>35278</v>
      </c>
      <c r="M293">
        <v>651.989990234375</v>
      </c>
      <c r="O293">
        <v>8.970109358134323E-3</v>
      </c>
      <c r="P293">
        <v>4.0499213904989062E-2</v>
      </c>
      <c r="Q293">
        <v>3.6366108120872383E-2</v>
      </c>
    </row>
    <row r="294" spans="1:20" x14ac:dyDescent="0.35">
      <c r="A294" s="65">
        <v>35309</v>
      </c>
      <c r="M294">
        <v>687.33001708984375</v>
      </c>
      <c r="O294">
        <v>8.970109358134323E-3</v>
      </c>
      <c r="P294">
        <v>4.0499213904989062E-2</v>
      </c>
      <c r="Q294">
        <v>3.6366108120872383E-2</v>
      </c>
    </row>
    <row r="295" spans="1:20" x14ac:dyDescent="0.35">
      <c r="A295" s="65">
        <v>35339</v>
      </c>
      <c r="M295">
        <v>705.27001953125</v>
      </c>
      <c r="N295">
        <v>11219.237999999999</v>
      </c>
      <c r="O295">
        <v>1.0383976491216839E-2</v>
      </c>
      <c r="P295">
        <v>4.4213144520817399E-2</v>
      </c>
      <c r="Q295">
        <v>4.2187358088936922E-2</v>
      </c>
      <c r="R295">
        <v>1.0383976491216839E-2</v>
      </c>
      <c r="S295">
        <v>4.2187358088936922E-2</v>
      </c>
      <c r="T295">
        <v>4.4213144520817399E-2</v>
      </c>
    </row>
    <row r="296" spans="1:20" x14ac:dyDescent="0.35">
      <c r="A296" s="65">
        <v>35370</v>
      </c>
      <c r="M296">
        <v>757.02001953125</v>
      </c>
      <c r="O296">
        <v>1.0383976491216839E-2</v>
      </c>
      <c r="P296">
        <v>4.4213144520817399E-2</v>
      </c>
      <c r="Q296">
        <v>4.2187358088936922E-2</v>
      </c>
    </row>
    <row r="297" spans="1:20" x14ac:dyDescent="0.35">
      <c r="A297" s="65">
        <v>35400</v>
      </c>
      <c r="M297">
        <v>740.739990234375</v>
      </c>
      <c r="O297">
        <v>1.0383976491216839E-2</v>
      </c>
      <c r="P297">
        <v>4.4213144520817399E-2</v>
      </c>
      <c r="Q297">
        <v>4.2187358088936922E-2</v>
      </c>
    </row>
    <row r="298" spans="1:20" x14ac:dyDescent="0.35">
      <c r="A298" s="65">
        <v>35431</v>
      </c>
      <c r="M298">
        <v>786.15997314453125</v>
      </c>
      <c r="N298">
        <v>11291.665000000001</v>
      </c>
      <c r="O298">
        <v>6.4556077694404466E-3</v>
      </c>
      <c r="P298">
        <v>4.314134541141839E-2</v>
      </c>
      <c r="Q298">
        <v>2.6073558191095358E-2</v>
      </c>
      <c r="R298">
        <v>6.4556077694404466E-3</v>
      </c>
      <c r="S298">
        <v>2.6073558191095358E-2</v>
      </c>
      <c r="T298">
        <v>4.314134541141839E-2</v>
      </c>
    </row>
    <row r="299" spans="1:20" x14ac:dyDescent="0.35">
      <c r="A299" s="65">
        <v>35462</v>
      </c>
      <c r="M299">
        <v>790.82000732421875</v>
      </c>
      <c r="O299">
        <v>6.4556077694404466E-3</v>
      </c>
      <c r="P299">
        <v>4.314134541141839E-2</v>
      </c>
      <c r="Q299">
        <v>2.6073558191095358E-2</v>
      </c>
    </row>
    <row r="300" spans="1:20" x14ac:dyDescent="0.35">
      <c r="A300" s="65">
        <v>35490</v>
      </c>
      <c r="M300">
        <v>757.1199951171875</v>
      </c>
      <c r="O300">
        <v>6.4556077694404466E-3</v>
      </c>
      <c r="P300">
        <v>4.314134541141839E-2</v>
      </c>
      <c r="Q300">
        <v>2.6073558191095358E-2</v>
      </c>
    </row>
    <row r="301" spans="1:20" x14ac:dyDescent="0.35">
      <c r="A301" s="65">
        <v>35521</v>
      </c>
      <c r="M301">
        <v>801.34002685546875</v>
      </c>
      <c r="N301">
        <v>11479.33</v>
      </c>
      <c r="O301">
        <v>1.6619781050890112E-2</v>
      </c>
      <c r="P301">
        <v>4.3080749793484252E-2</v>
      </c>
      <c r="Q301">
        <v>6.8154865904908712E-2</v>
      </c>
      <c r="R301">
        <v>1.6619781050890112E-2</v>
      </c>
      <c r="S301">
        <v>6.8154865904908712E-2</v>
      </c>
      <c r="T301">
        <v>4.3080749793484252E-2</v>
      </c>
    </row>
    <row r="302" spans="1:20" x14ac:dyDescent="0.35">
      <c r="A302" s="65">
        <v>35551</v>
      </c>
      <c r="M302">
        <v>848.280029296875</v>
      </c>
      <c r="O302">
        <v>1.6619781050890112E-2</v>
      </c>
      <c r="P302">
        <v>4.3080749793484252E-2</v>
      </c>
      <c r="Q302">
        <v>6.8154865904908712E-2</v>
      </c>
    </row>
    <row r="303" spans="1:20" x14ac:dyDescent="0.35">
      <c r="A303" s="65">
        <v>35582</v>
      </c>
      <c r="M303">
        <v>885.1400146484375</v>
      </c>
      <c r="O303">
        <v>1.6619781050890112E-2</v>
      </c>
      <c r="P303">
        <v>4.3080749793484252E-2</v>
      </c>
      <c r="Q303">
        <v>6.8154865904908712E-2</v>
      </c>
    </row>
    <row r="304" spans="1:20" x14ac:dyDescent="0.35">
      <c r="A304" s="65">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c r="R304">
        <v>1.2507785733139491E-2</v>
      </c>
      <c r="S304">
        <v>5.0977662738524332E-2</v>
      </c>
      <c r="T304">
        <v>4.6738025753933231E-2</v>
      </c>
    </row>
    <row r="305" spans="1:20" x14ac:dyDescent="0.35">
      <c r="A305" s="65">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20" x14ac:dyDescent="0.35">
      <c r="A306" s="65">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20" x14ac:dyDescent="0.35">
      <c r="A307" s="65">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c r="R307">
        <v>8.5874356260664548E-3</v>
      </c>
      <c r="S307">
        <v>3.4794745335392292E-2</v>
      </c>
      <c r="T307">
        <v>4.4876844577145122E-2</v>
      </c>
    </row>
    <row r="308" spans="1:20" x14ac:dyDescent="0.35">
      <c r="A308" s="65">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20" x14ac:dyDescent="0.35">
      <c r="A309" s="65">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20" x14ac:dyDescent="0.35">
      <c r="A310" s="65">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c r="R310">
        <v>9.9937540103740806E-3</v>
      </c>
      <c r="S310">
        <v>4.0578269241347893E-2</v>
      </c>
      <c r="T310">
        <v>4.8550058826576883E-2</v>
      </c>
    </row>
    <row r="311" spans="1:20" x14ac:dyDescent="0.35">
      <c r="A311" s="65">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20" x14ac:dyDescent="0.35">
      <c r="A312" s="65">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20" x14ac:dyDescent="0.35">
      <c r="A313" s="65">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c r="R313">
        <v>9.2582050690395729E-3</v>
      </c>
      <c r="S313">
        <v>3.7550288034241763E-2</v>
      </c>
      <c r="T313">
        <v>4.0957268412006649E-2</v>
      </c>
    </row>
    <row r="314" spans="1:20" x14ac:dyDescent="0.35">
      <c r="A314" s="65">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20" x14ac:dyDescent="0.35">
      <c r="A315" s="65">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20" x14ac:dyDescent="0.35">
      <c r="A316" s="65">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c r="R316">
        <v>1.252764552668854E-2</v>
      </c>
      <c r="S316">
        <v>5.1060122602257341E-2</v>
      </c>
      <c r="T316">
        <v>4.0977686226798142E-2</v>
      </c>
    </row>
    <row r="317" spans="1:20" x14ac:dyDescent="0.35">
      <c r="A317" s="65">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20" x14ac:dyDescent="0.35">
      <c r="A318" s="65">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20" x14ac:dyDescent="0.35">
      <c r="A319" s="65">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c r="R319">
        <v>1.6161907023370281E-2</v>
      </c>
      <c r="S319">
        <v>6.6231826182913345E-2</v>
      </c>
      <c r="T319">
        <v>4.8795407755980173E-2</v>
      </c>
    </row>
    <row r="320" spans="1:20" x14ac:dyDescent="0.35">
      <c r="A320" s="65">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20" x14ac:dyDescent="0.35">
      <c r="A321" s="65">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20" x14ac:dyDescent="0.35">
      <c r="A322" s="65">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c r="R322">
        <v>9.438266145912767E-3</v>
      </c>
      <c r="S322">
        <v>3.8290920801855137E-2</v>
      </c>
      <c r="T322">
        <v>4.8218579316202298E-2</v>
      </c>
    </row>
    <row r="323" spans="1:20" x14ac:dyDescent="0.35">
      <c r="A323" s="65">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20" x14ac:dyDescent="0.35">
      <c r="A324" s="65">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20" x14ac:dyDescent="0.35">
      <c r="A325" s="65">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c r="R325">
        <v>8.3500002981279006E-3</v>
      </c>
      <c r="S325">
        <v>3.3820669815360922E-2</v>
      </c>
      <c r="T325">
        <v>4.7275315134735367E-2</v>
      </c>
    </row>
    <row r="326" spans="1:20" x14ac:dyDescent="0.35">
      <c r="A326" s="65">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20" x14ac:dyDescent="0.35">
      <c r="A327" s="65">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20" x14ac:dyDescent="0.35">
      <c r="A328" s="65">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c r="R328">
        <v>1.3230270261286141E-2</v>
      </c>
      <c r="S328">
        <v>5.3980615300018853E-2</v>
      </c>
      <c r="T328">
        <v>4.8002052368625307E-2</v>
      </c>
    </row>
    <row r="329" spans="1:20" x14ac:dyDescent="0.35">
      <c r="A329" s="65">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20" x14ac:dyDescent="0.35">
      <c r="A330" s="65">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20" x14ac:dyDescent="0.35">
      <c r="A331" s="65">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c r="R331">
        <v>1.6427790050407821E-2</v>
      </c>
      <c r="S331">
        <v>6.734820036933864E-2</v>
      </c>
      <c r="T331">
        <v>4.827626650330151E-2</v>
      </c>
    </row>
    <row r="332" spans="1:20" x14ac:dyDescent="0.35">
      <c r="A332" s="65">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20" x14ac:dyDescent="0.35">
      <c r="A333" s="65">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20" x14ac:dyDescent="0.35">
      <c r="A334" s="65">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c r="R334">
        <v>3.6444736113372721E-3</v>
      </c>
      <c r="S334">
        <v>1.46577813755211E-2</v>
      </c>
      <c r="T334">
        <v>4.225955858689924E-2</v>
      </c>
    </row>
    <row r="335" spans="1:20" x14ac:dyDescent="0.35">
      <c r="A335" s="65">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20" x14ac:dyDescent="0.35">
      <c r="A336" s="65">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20" x14ac:dyDescent="0.35">
      <c r="A337" s="65">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c r="R337">
        <v>1.820583008355766E-2</v>
      </c>
      <c r="S337">
        <v>7.4836281142319105E-2</v>
      </c>
      <c r="T337">
        <v>5.2446827688533121E-2</v>
      </c>
    </row>
    <row r="338" spans="1:20" x14ac:dyDescent="0.35">
      <c r="A338" s="65">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20" x14ac:dyDescent="0.35">
      <c r="A339" s="65">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20" x14ac:dyDescent="0.35">
      <c r="A340" s="65">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c r="R340">
        <v>9.9774128259521319E-4</v>
      </c>
      <c r="S340">
        <v>3.9969420303305192E-3</v>
      </c>
      <c r="T340">
        <v>3.9740844955791207E-2</v>
      </c>
    </row>
    <row r="341" spans="1:20" x14ac:dyDescent="0.35">
      <c r="A341" s="65">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20" x14ac:dyDescent="0.35">
      <c r="A342" s="65">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20" x14ac:dyDescent="0.35">
      <c r="A343" s="65">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c r="R343">
        <v>5.9436175514207554E-3</v>
      </c>
      <c r="S343">
        <v>2.3987270862187989E-2</v>
      </c>
      <c r="T343">
        <v>2.9016204721172601E-2</v>
      </c>
    </row>
    <row r="344" spans="1:20" x14ac:dyDescent="0.35">
      <c r="A344" s="65">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20" x14ac:dyDescent="0.35">
      <c r="A345" s="65">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20" x14ac:dyDescent="0.35">
      <c r="A346" s="65">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c r="R346">
        <v>-3.2422100322343338E-3</v>
      </c>
      <c r="S346">
        <v>-1.2905904790564421E-2</v>
      </c>
      <c r="T346">
        <v>2.1955428467879849E-2</v>
      </c>
    </row>
    <row r="347" spans="1:20" x14ac:dyDescent="0.35">
      <c r="A347" s="65">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20" x14ac:dyDescent="0.35">
      <c r="A348" s="65">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20" x14ac:dyDescent="0.35">
      <c r="A349" s="65">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c r="R349">
        <v>6.2138921486550201E-3</v>
      </c>
      <c r="S349">
        <v>2.508820455389205E-2</v>
      </c>
      <c r="T349">
        <v>9.9193295688802842E-3</v>
      </c>
    </row>
    <row r="350" spans="1:20" x14ac:dyDescent="0.35">
      <c r="A350" s="65">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20" x14ac:dyDescent="0.35">
      <c r="A351" s="65">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20" x14ac:dyDescent="0.35">
      <c r="A352" s="65">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c r="R352">
        <v>-4.0034901605050122E-3</v>
      </c>
      <c r="S352">
        <v>-1.5918049455029729E-2</v>
      </c>
      <c r="T352">
        <v>4.8735236716932872E-3</v>
      </c>
    </row>
    <row r="353" spans="1:20" x14ac:dyDescent="0.35">
      <c r="A353" s="65">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20" x14ac:dyDescent="0.35">
      <c r="A354" s="65">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20" x14ac:dyDescent="0.35">
      <c r="A355" s="65">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c r="R355">
        <v>2.7731435849645621E-3</v>
      </c>
      <c r="S355">
        <v>1.113880165656167E-2</v>
      </c>
      <c r="T355">
        <v>1.706422364229252E-3</v>
      </c>
    </row>
    <row r="356" spans="1:20" x14ac:dyDescent="0.35">
      <c r="A356" s="65">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20" x14ac:dyDescent="0.35">
      <c r="A357" s="65">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20" x14ac:dyDescent="0.35">
      <c r="A358" s="65">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c r="R358">
        <v>8.2822721558439595E-3</v>
      </c>
      <c r="S358">
        <v>3.354294204519781E-2</v>
      </c>
      <c r="T358">
        <v>1.3288120484284601E-2</v>
      </c>
    </row>
    <row r="359" spans="1:20" x14ac:dyDescent="0.35">
      <c r="A359" s="65">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20" x14ac:dyDescent="0.35">
      <c r="A360" s="65">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20" x14ac:dyDescent="0.35">
      <c r="A361" s="65">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c r="R361">
        <v>6.1550245578357683E-3</v>
      </c>
      <c r="S361">
        <v>2.484833834627009E-2</v>
      </c>
      <c r="T361">
        <v>1.322883902243626E-2</v>
      </c>
    </row>
    <row r="362" spans="1:20" x14ac:dyDescent="0.35">
      <c r="A362" s="65">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20" x14ac:dyDescent="0.35">
      <c r="A363" s="65">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20" x14ac:dyDescent="0.35">
      <c r="A364" s="65">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c r="R364">
        <v>4.0352870399802624E-3</v>
      </c>
      <c r="S364">
        <v>1.6239112509100821E-2</v>
      </c>
      <c r="T364">
        <v>2.140669989799325E-2</v>
      </c>
    </row>
    <row r="365" spans="1:20" x14ac:dyDescent="0.35">
      <c r="A365" s="65">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20" x14ac:dyDescent="0.35">
      <c r="A366" s="65">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20" x14ac:dyDescent="0.35">
      <c r="A367" s="65">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c r="R367">
        <v>1.306557670590968E-3</v>
      </c>
      <c r="S367">
        <v>5.2364821646193596E-3</v>
      </c>
      <c r="T367">
        <v>1.9912861846485559E-2</v>
      </c>
    </row>
    <row r="368" spans="1:20" x14ac:dyDescent="0.35">
      <c r="A368" s="65">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20" x14ac:dyDescent="0.35">
      <c r="A369" s="65">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20" x14ac:dyDescent="0.35">
      <c r="A370" s="65">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c r="R370">
        <v>5.1672318691698346E-3</v>
      </c>
      <c r="S370">
        <v>2.0829681766981079E-2</v>
      </c>
      <c r="T370">
        <v>1.676188940425874E-2</v>
      </c>
    </row>
    <row r="371" spans="1:20" x14ac:dyDescent="0.35">
      <c r="A371" s="65">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20" x14ac:dyDescent="0.35">
      <c r="A372" s="65">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20" x14ac:dyDescent="0.35">
      <c r="A373" s="65">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c r="R373">
        <v>8.9337780116266717E-3</v>
      </c>
      <c r="S373">
        <v>3.621684485857446E-2</v>
      </c>
      <c r="T373">
        <v>1.9569936417795909E-2</v>
      </c>
    </row>
    <row r="374" spans="1:20" x14ac:dyDescent="0.35">
      <c r="A374" s="65">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20" x14ac:dyDescent="0.35">
      <c r="A375" s="65">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20" x14ac:dyDescent="0.35">
      <c r="A376" s="65">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c r="R376">
        <v>1.666896269711016E-2</v>
      </c>
      <c r="S376">
        <v>6.8361580068855954E-2</v>
      </c>
      <c r="T376">
        <v>3.2399083015260143E-2</v>
      </c>
    </row>
    <row r="377" spans="1:20" x14ac:dyDescent="0.35">
      <c r="A377" s="65">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20" x14ac:dyDescent="0.35">
      <c r="A378" s="65">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20" x14ac:dyDescent="0.35">
      <c r="A379" s="65">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c r="R379">
        <v>1.154045727617818E-2</v>
      </c>
      <c r="S379">
        <v>4.6967087698897902E-2</v>
      </c>
      <c r="T379">
        <v>4.2950765202439317E-2</v>
      </c>
    </row>
    <row r="380" spans="1:20" x14ac:dyDescent="0.35">
      <c r="A380" s="65">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20" x14ac:dyDescent="0.35">
      <c r="A381" s="65">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20" x14ac:dyDescent="0.35">
      <c r="A382" s="65">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c r="R382">
        <v>5.7291648606975533E-3</v>
      </c>
      <c r="S382">
        <v>2.3114352701243179E-2</v>
      </c>
      <c r="T382">
        <v>4.3533820862159241E-2</v>
      </c>
    </row>
    <row r="383" spans="1:20" x14ac:dyDescent="0.35">
      <c r="A383" s="65">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20" x14ac:dyDescent="0.35">
      <c r="A384" s="65">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20" x14ac:dyDescent="0.35">
      <c r="A385" s="65">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c r="R385">
        <v>7.7873875800888301E-3</v>
      </c>
      <c r="S385">
        <v>3.1515303444719089E-2</v>
      </c>
      <c r="T385">
        <v>4.2348116494544417E-2</v>
      </c>
    </row>
    <row r="386" spans="1:20" x14ac:dyDescent="0.35">
      <c r="A386" s="65">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20" x14ac:dyDescent="0.35">
      <c r="A387" s="65">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20" x14ac:dyDescent="0.35">
      <c r="A388" s="65">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c r="R388">
        <v>9.4124722465944513E-3</v>
      </c>
      <c r="S388">
        <v>3.8184800216271693E-2</v>
      </c>
      <c r="T388">
        <v>3.4908340686507763E-2</v>
      </c>
    </row>
    <row r="389" spans="1:20" x14ac:dyDescent="0.35">
      <c r="A389" s="65">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20" x14ac:dyDescent="0.35">
      <c r="A390" s="65">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20" x14ac:dyDescent="0.35">
      <c r="A391" s="65">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c r="R391">
        <v>1.0220273689720489E-2</v>
      </c>
      <c r="S391">
        <v>4.1512099828914462E-2</v>
      </c>
      <c r="T391">
        <v>3.3557659164048917E-2</v>
      </c>
    </row>
    <row r="392" spans="1:20" x14ac:dyDescent="0.35">
      <c r="A392" s="65">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20" x14ac:dyDescent="0.35">
      <c r="A393" s="65">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20" x14ac:dyDescent="0.35">
      <c r="A394" s="65">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c r="R394">
        <v>1.110882507696538E-2</v>
      </c>
      <c r="S394">
        <v>4.5181235086873883E-2</v>
      </c>
      <c r="T394">
        <v>3.9086174408999461E-2</v>
      </c>
    </row>
    <row r="395" spans="1:20" x14ac:dyDescent="0.35">
      <c r="A395" s="65">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20" x14ac:dyDescent="0.35">
      <c r="A396" s="65">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20" x14ac:dyDescent="0.35">
      <c r="A397" s="65">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c r="R397">
        <v>4.8660447840531912E-3</v>
      </c>
      <c r="S397">
        <v>1.9606710928381729E-2</v>
      </c>
      <c r="T397">
        <v>3.6074103661260792E-2</v>
      </c>
    </row>
    <row r="398" spans="1:20" x14ac:dyDescent="0.35">
      <c r="A398" s="65">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20" x14ac:dyDescent="0.35">
      <c r="A399" s="65">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20" x14ac:dyDescent="0.35">
      <c r="A400" s="65">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c r="R400">
        <v>7.8562198027224469E-3</v>
      </c>
      <c r="S400">
        <v>3.1797143707306803E-2</v>
      </c>
      <c r="T400">
        <v>3.4476745891085119E-2</v>
      </c>
    </row>
    <row r="401" spans="1:20" x14ac:dyDescent="0.35">
      <c r="A401" s="65">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20" x14ac:dyDescent="0.35">
      <c r="A402" s="65">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20" x14ac:dyDescent="0.35">
      <c r="A403" s="65">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c r="R403">
        <v>5.6792823835803089E-3</v>
      </c>
      <c r="S403">
        <v>2.2911388788951159E-2</v>
      </c>
      <c r="T403">
        <v>2.9826720513611439E-2</v>
      </c>
    </row>
    <row r="404" spans="1:20" x14ac:dyDescent="0.35">
      <c r="A404" s="65">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20" x14ac:dyDescent="0.35">
      <c r="A405" s="65">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20" x14ac:dyDescent="0.35">
      <c r="A406" s="65">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c r="R406">
        <v>1.3486661199029431E-2</v>
      </c>
      <c r="S406">
        <v>5.5047830418741617E-2</v>
      </c>
      <c r="T406">
        <v>3.2248575723230061E-2</v>
      </c>
    </row>
    <row r="407" spans="1:20" x14ac:dyDescent="0.35">
      <c r="A407" s="65">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20" x14ac:dyDescent="0.35">
      <c r="A408" s="65">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20" x14ac:dyDescent="0.35">
      <c r="A409" s="65">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c r="R409">
        <v>2.4558373055836402E-3</v>
      </c>
      <c r="S409">
        <v>9.8595953259017488E-3</v>
      </c>
      <c r="T409">
        <v>2.977269025594638E-2</v>
      </c>
    </row>
    <row r="410" spans="1:20" x14ac:dyDescent="0.35">
      <c r="A410" s="65">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20" x14ac:dyDescent="0.35">
      <c r="A411" s="65">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20" x14ac:dyDescent="0.35">
      <c r="A412" s="65">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c r="R412">
        <v>1.5045618810949951E-3</v>
      </c>
      <c r="S412">
        <v>6.0318433917740943E-3</v>
      </c>
      <c r="T412">
        <v>2.328291151863791E-2</v>
      </c>
    </row>
    <row r="413" spans="1:20" x14ac:dyDescent="0.35">
      <c r="A413" s="65">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20" x14ac:dyDescent="0.35">
      <c r="A414" s="65">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20" x14ac:dyDescent="0.35">
      <c r="A415" s="65">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c r="R415">
        <v>8.4371169635735783E-3</v>
      </c>
      <c r="S415">
        <v>3.4177984960281238E-2</v>
      </c>
      <c r="T415">
        <v>2.6089019835609219E-2</v>
      </c>
    </row>
    <row r="416" spans="1:20" x14ac:dyDescent="0.35">
      <c r="A416" s="65">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20" x14ac:dyDescent="0.35">
      <c r="A417" s="65">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20" x14ac:dyDescent="0.35">
      <c r="A418" s="65">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c r="R418">
        <v>2.9359886061897439E-3</v>
      </c>
      <c r="S418">
        <v>1.1795775906866529E-2</v>
      </c>
      <c r="T418">
        <v>1.540715325180492E-2</v>
      </c>
    </row>
    <row r="419" spans="1:20" x14ac:dyDescent="0.35">
      <c r="A419" s="65">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20" x14ac:dyDescent="0.35">
      <c r="A420" s="65">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20" x14ac:dyDescent="0.35">
      <c r="A421" s="65">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c r="R421">
        <v>6.3843453008071297E-3</v>
      </c>
      <c r="S421">
        <v>2.578298295432346E-2</v>
      </c>
      <c r="T421">
        <v>1.938641594997887E-2</v>
      </c>
    </row>
    <row r="422" spans="1:20" x14ac:dyDescent="0.35">
      <c r="A422" s="65">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20" x14ac:dyDescent="0.35">
      <c r="A423" s="65">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20" x14ac:dyDescent="0.35">
      <c r="A424" s="65">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c r="R424">
        <v>6.0230665745096982E-3</v>
      </c>
      <c r="S424">
        <v>2.4310805602967941E-2</v>
      </c>
      <c r="T424">
        <v>2.3985598500102932E-2</v>
      </c>
    </row>
    <row r="425" spans="1:20" x14ac:dyDescent="0.35">
      <c r="A425" s="65">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20" x14ac:dyDescent="0.35">
      <c r="A426" s="65">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20" x14ac:dyDescent="0.35">
      <c r="A427" s="65">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c r="R427">
        <v>6.0964400264045121E-3</v>
      </c>
      <c r="S427">
        <v>2.46096673082743E-2</v>
      </c>
      <c r="T427">
        <v>2.1608832081965391E-2</v>
      </c>
    </row>
    <row r="428" spans="1:20" x14ac:dyDescent="0.35">
      <c r="A428" s="65">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20" x14ac:dyDescent="0.35">
      <c r="A429" s="65">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20" x14ac:dyDescent="0.35">
      <c r="A430" s="65">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c r="R430">
        <v>-4.0742947392000926E-3</v>
      </c>
      <c r="S430">
        <v>-1.619784994668938E-2</v>
      </c>
      <c r="T430">
        <v>1.4468030014427379E-2</v>
      </c>
    </row>
    <row r="431" spans="1:20" x14ac:dyDescent="0.35">
      <c r="A431" s="65">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20" x14ac:dyDescent="0.35">
      <c r="A432" s="65">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20" x14ac:dyDescent="0.35">
      <c r="A433" s="65">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c r="R433">
        <v>5.7229534456869546E-3</v>
      </c>
      <c r="S433">
        <v>2.3089077789477889E-2</v>
      </c>
      <c r="T433">
        <v>1.3801325593333859E-2</v>
      </c>
    </row>
    <row r="434" spans="1:20" x14ac:dyDescent="0.35">
      <c r="A434" s="65">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20" x14ac:dyDescent="0.35">
      <c r="A435" s="65">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20" x14ac:dyDescent="0.35">
      <c r="A436" s="65">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c r="R436">
        <v>-5.2689290221545849E-3</v>
      </c>
      <c r="S436">
        <v>-2.0909730735542809E-2</v>
      </c>
      <c r="T436">
        <v>2.4220237812272792E-3</v>
      </c>
    </row>
    <row r="437" spans="1:20" x14ac:dyDescent="0.35">
      <c r="A437" s="65">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20" x14ac:dyDescent="0.35">
      <c r="A438" s="65">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20" x14ac:dyDescent="0.35">
      <c r="A439" s="65">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c r="R439">
        <v>-2.1830971480936261E-2</v>
      </c>
      <c r="S439">
        <v>-8.4505728695347337E-2</v>
      </c>
      <c r="T439">
        <v>-2.5403392598762051E-2</v>
      </c>
    </row>
    <row r="440" spans="1:20" x14ac:dyDescent="0.35">
      <c r="A440" s="65">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20" x14ac:dyDescent="0.35">
      <c r="A441" s="65">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20" x14ac:dyDescent="0.35">
      <c r="A442" s="65">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c r="R442">
        <v>-1.165722530679672E-2</v>
      </c>
      <c r="S442">
        <v>-4.5819873793169208E-2</v>
      </c>
      <c r="T442">
        <v>-3.2823924437935283E-2</v>
      </c>
    </row>
    <row r="443" spans="1:20" x14ac:dyDescent="0.35">
      <c r="A443" s="65">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20" x14ac:dyDescent="0.35">
      <c r="A444" s="65">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20" x14ac:dyDescent="0.35">
      <c r="A445" s="65">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c r="R445">
        <v>-1.692381386635996E-3</v>
      </c>
      <c r="S445">
        <v>-6.7523599987623362E-3</v>
      </c>
      <c r="T445">
        <v>-3.995504779306322E-2</v>
      </c>
    </row>
    <row r="446" spans="1:20" x14ac:dyDescent="0.35">
      <c r="A446" s="65">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20" x14ac:dyDescent="0.35">
      <c r="A447" s="65">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20" x14ac:dyDescent="0.35">
      <c r="A448" s="65">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c r="R448">
        <v>3.6192999076888901E-3</v>
      </c>
      <c r="S448">
        <v>1.4555985434920871E-2</v>
      </c>
      <c r="T448">
        <v>-3.1376750032878008E-2</v>
      </c>
    </row>
    <row r="449" spans="1:20" x14ac:dyDescent="0.35">
      <c r="A449" s="65">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20" x14ac:dyDescent="0.35">
      <c r="A450" s="65">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20" x14ac:dyDescent="0.35">
      <c r="A451" s="65">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c r="R451">
        <v>1.0679619498303389E-2</v>
      </c>
      <c r="S451">
        <v>4.34076888622974E-2</v>
      </c>
      <c r="T451">
        <v>8.1657583876523191E-4</v>
      </c>
    </row>
    <row r="452" spans="1:20" x14ac:dyDescent="0.35">
      <c r="A452" s="65">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20" x14ac:dyDescent="0.35">
      <c r="A453" s="65">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20" x14ac:dyDescent="0.35">
      <c r="A454" s="65">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c r="R454">
        <v>5.0005348148190604E-3</v>
      </c>
      <c r="S454">
        <v>2.0152672135610231E-2</v>
      </c>
      <c r="T454">
        <v>1.768457232028358E-2</v>
      </c>
    </row>
    <row r="455" spans="1:20" x14ac:dyDescent="0.35">
      <c r="A455" s="65">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20" x14ac:dyDescent="0.35">
      <c r="A456" s="65">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20" x14ac:dyDescent="0.35">
      <c r="A457" s="65">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c r="R457">
        <v>9.6770463932624312E-3</v>
      </c>
      <c r="S457">
        <v>3.9273690540683408E-2</v>
      </c>
      <c r="T457">
        <v>2.9274678447875339E-2</v>
      </c>
    </row>
    <row r="458" spans="1:20" x14ac:dyDescent="0.35">
      <c r="A458" s="65">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20" x14ac:dyDescent="0.35">
      <c r="A459" s="65">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20" x14ac:dyDescent="0.35">
      <c r="A460" s="65">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c r="R460">
        <v>7.7314415030268974E-3</v>
      </c>
      <c r="S460">
        <v>3.128626930493783E-2</v>
      </c>
      <c r="T460">
        <v>3.3491938138539873E-2</v>
      </c>
    </row>
    <row r="461" spans="1:20" x14ac:dyDescent="0.35">
      <c r="A461" s="65">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20" x14ac:dyDescent="0.35">
      <c r="A462" s="65">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20" x14ac:dyDescent="0.35">
      <c r="A463" s="65">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c r="R463">
        <v>5.1959515923726638E-3</v>
      </c>
      <c r="S463">
        <v>2.094635569547498E-2</v>
      </c>
      <c r="T463">
        <v>2.7884496905064039E-2</v>
      </c>
    </row>
    <row r="464" spans="1:20" x14ac:dyDescent="0.35">
      <c r="A464" s="65">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20" x14ac:dyDescent="0.35">
      <c r="A465" s="65">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20" x14ac:dyDescent="0.35">
      <c r="A466" s="65">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c r="R466">
        <v>-2.409160681035181E-3</v>
      </c>
      <c r="S466">
        <v>-9.6018742909373955E-3</v>
      </c>
      <c r="T466">
        <v>2.0306081906131489E-2</v>
      </c>
    </row>
    <row r="467" spans="1:20" x14ac:dyDescent="0.35">
      <c r="A467" s="65">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20" x14ac:dyDescent="0.35">
      <c r="A468" s="65">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20" x14ac:dyDescent="0.35">
      <c r="A469" s="65">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c r="R469">
        <v>6.7805075120588752E-3</v>
      </c>
      <c r="S469">
        <v>2.739913079767153E-2</v>
      </c>
      <c r="T469">
        <v>1.7379050686072959E-2</v>
      </c>
    </row>
    <row r="470" spans="1:20" x14ac:dyDescent="0.35">
      <c r="A470" s="65">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20" x14ac:dyDescent="0.35">
      <c r="A471" s="65">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20" x14ac:dyDescent="0.35">
      <c r="A472" s="65">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c r="R472">
        <v>-3.8767162657507928E-4</v>
      </c>
      <c r="S472">
        <v>-1.5497850035888221E-3</v>
      </c>
      <c r="T472">
        <v>9.1822084838616043E-3</v>
      </c>
    </row>
    <row r="473" spans="1:20" x14ac:dyDescent="0.35">
      <c r="A473" s="65">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20" x14ac:dyDescent="0.35">
      <c r="A474" s="65">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20" x14ac:dyDescent="0.35">
      <c r="A475" s="65">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c r="R475">
        <v>1.121678183498582E-2</v>
      </c>
      <c r="S475">
        <v>4.5627685349290507E-2</v>
      </c>
      <c r="T475">
        <v>1.52269152413066E-2</v>
      </c>
    </row>
    <row r="476" spans="1:20" x14ac:dyDescent="0.35">
      <c r="A476" s="65">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20" x14ac:dyDescent="0.35">
      <c r="A477" s="65">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20" x14ac:dyDescent="0.35">
      <c r="A478" s="65">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c r="R478">
        <v>8.1792284509988062E-3</v>
      </c>
      <c r="S478">
        <v>3.3120505702169067E-2</v>
      </c>
      <c r="T478">
        <v>2.6002492975388428E-2</v>
      </c>
    </row>
    <row r="479" spans="1:20" x14ac:dyDescent="0.35">
      <c r="A479" s="65">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20" x14ac:dyDescent="0.35">
      <c r="A480" s="65">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20" x14ac:dyDescent="0.35">
      <c r="A481" s="65">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c r="R481">
        <v>4.5585998686771077E-3</v>
      </c>
      <c r="S481">
        <v>1.8359463829133341E-2</v>
      </c>
      <c r="T481">
        <v>2.3738163497154609E-2</v>
      </c>
    </row>
    <row r="482" spans="1:20" x14ac:dyDescent="0.35">
      <c r="A482" s="65">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20" x14ac:dyDescent="0.35">
      <c r="A483" s="65">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20" x14ac:dyDescent="0.35">
      <c r="A484" s="65">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c r="R484">
        <v>1.748829776015621E-3</v>
      </c>
      <c r="S484">
        <v>7.0136909414519888E-3</v>
      </c>
      <c r="T484">
        <v>2.5926229770563171E-2</v>
      </c>
    </row>
    <row r="485" spans="1:20" x14ac:dyDescent="0.35">
      <c r="A485" s="65">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20" x14ac:dyDescent="0.35">
      <c r="A486" s="65">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20" x14ac:dyDescent="0.35">
      <c r="A487" s="65">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c r="R487">
        <v>1.0983806746418219E-3</v>
      </c>
      <c r="S487">
        <v>4.4007666411833854E-3</v>
      </c>
      <c r="T487">
        <v>1.56606434588916E-2</v>
      </c>
    </row>
    <row r="488" spans="1:20" x14ac:dyDescent="0.35">
      <c r="A488" s="65">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20" x14ac:dyDescent="0.35">
      <c r="A489" s="65">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20" x14ac:dyDescent="0.35">
      <c r="A490" s="65">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c r="R490">
        <v>8.6778954769115967E-3</v>
      </c>
      <c r="S490">
        <v>3.5166036783941028E-2</v>
      </c>
      <c r="T490">
        <v>1.6163010952802859E-2</v>
      </c>
    </row>
    <row r="491" spans="1:20" x14ac:dyDescent="0.35">
      <c r="A491" s="65">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20" x14ac:dyDescent="0.35">
      <c r="A492" s="65">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20" x14ac:dyDescent="0.35">
      <c r="A493" s="65">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c r="R493">
        <v>1.393852197657185E-3</v>
      </c>
      <c r="S493">
        <v>5.5870765701340197E-3</v>
      </c>
      <c r="T493">
        <v>1.2961704903847749E-2</v>
      </c>
    </row>
    <row r="494" spans="1:20" x14ac:dyDescent="0.35">
      <c r="A494" s="65">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20" x14ac:dyDescent="0.35">
      <c r="A495" s="65">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20" x14ac:dyDescent="0.35">
      <c r="A496" s="65">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c r="R496">
        <v>7.9165341079500094E-3</v>
      </c>
      <c r="S496">
        <v>3.2044153997870417E-2</v>
      </c>
      <c r="T496">
        <v>1.919844620038217E-2</v>
      </c>
    </row>
    <row r="497" spans="1:20" x14ac:dyDescent="0.35">
      <c r="A497" s="65">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20" x14ac:dyDescent="0.35">
      <c r="A498" s="65">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20" x14ac:dyDescent="0.35">
      <c r="A499" s="65">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c r="R499">
        <v>7.1117100156356649E-3</v>
      </c>
      <c r="S499">
        <v>2.875173987590807E-2</v>
      </c>
      <c r="T499">
        <v>2.532049777807217E-2</v>
      </c>
    </row>
    <row r="500" spans="1:20" x14ac:dyDescent="0.35">
      <c r="A500" s="65">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20" x14ac:dyDescent="0.35">
      <c r="A501" s="65">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20" x14ac:dyDescent="0.35">
      <c r="A502" s="65">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c r="R502">
        <v>-3.5010973651269459E-3</v>
      </c>
      <c r="S502">
        <v>-1.393101487505966E-2</v>
      </c>
      <c r="T502">
        <v>1.294055859309538E-2</v>
      </c>
    </row>
    <row r="503" spans="1:20" x14ac:dyDescent="0.35">
      <c r="A503" s="65">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20" x14ac:dyDescent="0.35">
      <c r="A504" s="65">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20" x14ac:dyDescent="0.35">
      <c r="A505" s="65">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c r="R505">
        <v>1.2841289071790579E-2</v>
      </c>
      <c r="S505">
        <v>5.2363045756652182E-2</v>
      </c>
      <c r="T505">
        <v>2.45199916765882E-2</v>
      </c>
    </row>
    <row r="506" spans="1:20" x14ac:dyDescent="0.35">
      <c r="A506" s="65">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20" x14ac:dyDescent="0.35">
      <c r="A507" s="65">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20" x14ac:dyDescent="0.35">
      <c r="A508" s="65">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c r="R508">
        <v>1.1649616444854689E-2</v>
      </c>
      <c r="S508">
        <v>4.7419089621299371E-2</v>
      </c>
      <c r="T508">
        <v>2.831456925846958E-2</v>
      </c>
    </row>
    <row r="509" spans="1:20" x14ac:dyDescent="0.35">
      <c r="A509" s="65">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20" x14ac:dyDescent="0.35">
      <c r="A510" s="65">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20" x14ac:dyDescent="0.35">
      <c r="A511" s="65">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c r="R511">
        <v>4.4899340248851054E-3</v>
      </c>
      <c r="S511">
        <v>1.808105561066875E-2</v>
      </c>
      <c r="T511">
        <v>2.5637596662669859E-2</v>
      </c>
    </row>
    <row r="512" spans="1:20" x14ac:dyDescent="0.35">
      <c r="A512" s="65">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20" x14ac:dyDescent="0.35">
      <c r="A513" s="65">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20" x14ac:dyDescent="0.35">
      <c r="A514" s="65">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c r="R514">
        <v>8.1331362646857273E-3</v>
      </c>
      <c r="S514">
        <v>3.2931588827004088E-2</v>
      </c>
      <c r="T514">
        <v>3.7612027730824553E-2</v>
      </c>
    </row>
    <row r="515" spans="1:20" x14ac:dyDescent="0.35">
      <c r="A515" s="65">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20" x14ac:dyDescent="0.35">
      <c r="A516" s="65">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20" x14ac:dyDescent="0.35">
      <c r="A517" s="65">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c r="R517">
        <v>5.800014316593537E-3</v>
      </c>
      <c r="S517">
        <v>2.3402679848250289E-2</v>
      </c>
      <c r="T517">
        <v>3.0398546748778989E-2</v>
      </c>
    </row>
    <row r="518" spans="1:20" x14ac:dyDescent="0.35">
      <c r="A518" s="65">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20" x14ac:dyDescent="0.35">
      <c r="A519" s="65">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20" x14ac:dyDescent="0.35">
      <c r="A520" s="65">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c r="R520">
        <v>3.233726725495796E-3</v>
      </c>
      <c r="S520">
        <v>1.299778420271624E-2</v>
      </c>
      <c r="T520">
        <v>2.1826685112633061E-2</v>
      </c>
    </row>
    <row r="521" spans="1:20" x14ac:dyDescent="0.35">
      <c r="A521" s="65">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20" x14ac:dyDescent="0.35">
      <c r="A522" s="65">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20" x14ac:dyDescent="0.35">
      <c r="A523" s="65">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c r="R523">
        <v>1.462343465763751E-3</v>
      </c>
      <c r="S523">
        <v>5.8622170666831064E-3</v>
      </c>
      <c r="T523">
        <v>1.874684058645722E-2</v>
      </c>
    </row>
    <row r="524" spans="1:20" x14ac:dyDescent="0.35">
      <c r="A524" s="65">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20" x14ac:dyDescent="0.35">
      <c r="A525" s="65">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20" x14ac:dyDescent="0.35">
      <c r="A526" s="65">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c r="R526">
        <v>5.8917986856350706E-3</v>
      </c>
      <c r="S526">
        <v>2.377629379297197E-2</v>
      </c>
      <c r="T526">
        <v>1.6481906030485969E-2</v>
      </c>
    </row>
    <row r="527" spans="1:20" x14ac:dyDescent="0.35">
      <c r="A527" s="65">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20" x14ac:dyDescent="0.35">
      <c r="A528" s="65">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20" x14ac:dyDescent="0.35">
      <c r="A529" s="65">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c r="R529">
        <v>3.0238880667262818E-3</v>
      </c>
      <c r="S529">
        <v>1.21505263452657E-2</v>
      </c>
      <c r="T529">
        <v>1.367629650405968E-2</v>
      </c>
    </row>
    <row r="530" spans="1:20" x14ac:dyDescent="0.35">
      <c r="A530" s="65">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20" x14ac:dyDescent="0.35">
      <c r="A531" s="65">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20" x14ac:dyDescent="0.35">
      <c r="A532" s="65">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c r="R532">
        <v>6.0111537926921072E-3</v>
      </c>
      <c r="S532">
        <v>2.426228912334993E-2</v>
      </c>
      <c r="T532">
        <v>1.6482633560206159E-2</v>
      </c>
    </row>
    <row r="533" spans="1:20" x14ac:dyDescent="0.35">
      <c r="A533" s="65">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20" x14ac:dyDescent="0.35">
      <c r="A534" s="65">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20" x14ac:dyDescent="0.35">
      <c r="A535" s="65">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c r="R535">
        <v>4.9688879606063626E-3</v>
      </c>
      <c r="S535">
        <v>2.002418226174996E-2</v>
      </c>
      <c r="T535">
        <v>2.0041770462427101E-2</v>
      </c>
    </row>
    <row r="536" spans="1:20" x14ac:dyDescent="0.35">
      <c r="A536" s="65">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20" x14ac:dyDescent="0.35">
      <c r="A537" s="65">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20" x14ac:dyDescent="0.35">
      <c r="A538" s="65">
        <v>42736</v>
      </c>
      <c r="B538">
        <v>58.6</v>
      </c>
      <c r="C538">
        <v>54</v>
      </c>
      <c r="D538">
        <v>50</v>
      </c>
      <c r="E538">
        <v>57.5</v>
      </c>
      <c r="F538">
        <v>60.3</v>
      </c>
      <c r="G538">
        <v>62</v>
      </c>
      <c r="H538">
        <v>48</v>
      </c>
      <c r="I538">
        <v>52.5</v>
      </c>
      <c r="J538">
        <v>54.7</v>
      </c>
      <c r="K538">
        <v>48</v>
      </c>
      <c r="L538">
        <v>56.8</v>
      </c>
      <c r="M538">
        <v>2278.8701171875</v>
      </c>
      <c r="N538">
        <v>17889.094000000001</v>
      </c>
      <c r="O538">
        <v>4.719310419164807E-3</v>
      </c>
      <c r="P538">
        <v>1.8852788696456339E-2</v>
      </c>
      <c r="Q538">
        <v>1.9011293949556581E-2</v>
      </c>
      <c r="R538">
        <v>4.2966311411722774E-3</v>
      </c>
      <c r="S538">
        <v>1.72976084215819E-2</v>
      </c>
      <c r="T538">
        <v>1.8424163550466829E-2</v>
      </c>
    </row>
    <row r="539" spans="1:20" x14ac:dyDescent="0.35">
      <c r="A539" s="65">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20" x14ac:dyDescent="0.35">
      <c r="A540" s="65">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20" x14ac:dyDescent="0.35">
      <c r="A541" s="65">
        <v>42826</v>
      </c>
      <c r="B541">
        <v>63.2</v>
      </c>
      <c r="C541">
        <v>53</v>
      </c>
      <c r="D541">
        <v>53.5</v>
      </c>
      <c r="E541">
        <v>58</v>
      </c>
      <c r="F541">
        <v>62.4</v>
      </c>
      <c r="G541">
        <v>60</v>
      </c>
      <c r="H541">
        <v>52.5</v>
      </c>
      <c r="I541">
        <v>53</v>
      </c>
      <c r="J541">
        <v>51.4</v>
      </c>
      <c r="K541">
        <v>65.5</v>
      </c>
      <c r="L541">
        <v>57.3</v>
      </c>
      <c r="M541">
        <v>2384.199951171875</v>
      </c>
      <c r="N541">
        <v>17979.218000000001</v>
      </c>
      <c r="O541">
        <v>5.5976482267073562E-3</v>
      </c>
      <c r="P541">
        <v>2.1467165829075641E-2</v>
      </c>
      <c r="Q541">
        <v>2.2579297461999829E-2</v>
      </c>
      <c r="R541">
        <v>5.0379298135500763E-3</v>
      </c>
      <c r="S541">
        <v>2.0304515784702382E-2</v>
      </c>
      <c r="T541">
        <v>2.0469128586462351E-2</v>
      </c>
    </row>
    <row r="542" spans="1:20" x14ac:dyDescent="0.35">
      <c r="A542" s="65">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20" x14ac:dyDescent="0.35">
      <c r="A543" s="65">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20" x14ac:dyDescent="0.35">
      <c r="A544" s="65">
        <v>42917</v>
      </c>
      <c r="B544">
        <v>55.1</v>
      </c>
      <c r="C544">
        <v>51.5</v>
      </c>
      <c r="D544">
        <v>52</v>
      </c>
      <c r="E544">
        <v>56.4</v>
      </c>
      <c r="F544">
        <v>55.9</v>
      </c>
      <c r="G544">
        <v>67.5</v>
      </c>
      <c r="H544">
        <v>56.5</v>
      </c>
      <c r="I544">
        <v>51</v>
      </c>
      <c r="J544">
        <v>53.6</v>
      </c>
      <c r="K544">
        <v>53</v>
      </c>
      <c r="L544">
        <v>54.3</v>
      </c>
      <c r="M544">
        <v>2470.300048828125</v>
      </c>
      <c r="N544">
        <v>18127.993999999999</v>
      </c>
      <c r="O544">
        <v>7.1914999120398764E-3</v>
      </c>
      <c r="P544">
        <v>2.2665646383373719E-2</v>
      </c>
      <c r="Q544">
        <v>2.9077796059291838E-2</v>
      </c>
      <c r="R544">
        <v>8.2748871502641552E-3</v>
      </c>
      <c r="S544">
        <v>3.3512662284269412E-2</v>
      </c>
      <c r="T544">
        <v>2.2765395380368789E-2</v>
      </c>
    </row>
    <row r="545" spans="1:20" x14ac:dyDescent="0.35">
      <c r="A545" s="65">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20" x14ac:dyDescent="0.35">
      <c r="A546" s="65">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20" x14ac:dyDescent="0.35">
      <c r="A547" s="65">
        <v>43009</v>
      </c>
      <c r="B547">
        <v>62.8</v>
      </c>
      <c r="C547">
        <v>52</v>
      </c>
      <c r="D547">
        <v>53.5</v>
      </c>
      <c r="E547">
        <v>61.5</v>
      </c>
      <c r="F547">
        <v>62.2</v>
      </c>
      <c r="G547">
        <v>61</v>
      </c>
      <c r="H547">
        <v>52.5</v>
      </c>
      <c r="I547">
        <v>58</v>
      </c>
      <c r="J547">
        <v>57.5</v>
      </c>
      <c r="K547">
        <v>60</v>
      </c>
      <c r="L547">
        <v>59.8</v>
      </c>
      <c r="M547">
        <v>2575.260009765625</v>
      </c>
      <c r="N547">
        <v>18310.3</v>
      </c>
      <c r="O547">
        <v>9.403998383337081E-3</v>
      </c>
      <c r="P547">
        <v>2.7178855818590929E-2</v>
      </c>
      <c r="Q547">
        <v>3.814993904506303E-2</v>
      </c>
      <c r="R547">
        <v>1.0056600857215671E-2</v>
      </c>
      <c r="S547">
        <v>4.0837293288196193E-2</v>
      </c>
      <c r="T547">
        <v>2.7943204121136881E-2</v>
      </c>
    </row>
    <row r="548" spans="1:20" x14ac:dyDescent="0.35">
      <c r="A548" s="65">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20" x14ac:dyDescent="0.35">
      <c r="A549" s="65">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20" x14ac:dyDescent="0.35">
      <c r="A550" s="65">
        <v>43101</v>
      </c>
      <c r="B550">
        <v>62.7</v>
      </c>
      <c r="C550">
        <v>54</v>
      </c>
      <c r="D550">
        <v>50.5</v>
      </c>
      <c r="E550">
        <v>61.9</v>
      </c>
      <c r="F550">
        <v>59.8</v>
      </c>
      <c r="G550">
        <v>61</v>
      </c>
      <c r="H550">
        <v>49</v>
      </c>
      <c r="I550">
        <v>55.5</v>
      </c>
      <c r="J550">
        <v>61.6</v>
      </c>
      <c r="K550">
        <v>58</v>
      </c>
      <c r="L550">
        <v>59.9</v>
      </c>
      <c r="M550">
        <v>2823.81005859375</v>
      </c>
      <c r="N550">
        <v>18437.127</v>
      </c>
      <c r="O550">
        <v>7.6285403612729556E-3</v>
      </c>
      <c r="P550">
        <v>3.0153118831413011E-2</v>
      </c>
      <c r="Q550">
        <v>3.0865108360243591E-2</v>
      </c>
      <c r="R550">
        <v>6.9265386148780273E-3</v>
      </c>
      <c r="S550">
        <v>2.7995347640831E-2</v>
      </c>
      <c r="T550">
        <v>3.0635033836816969E-2</v>
      </c>
    </row>
    <row r="551" spans="1:20" x14ac:dyDescent="0.35">
      <c r="A551" s="65">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20" x14ac:dyDescent="0.35">
      <c r="A552" s="65">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20" x14ac:dyDescent="0.35">
      <c r="A553" s="65">
        <v>43191</v>
      </c>
      <c r="B553">
        <v>60</v>
      </c>
      <c r="C553">
        <v>54.5</v>
      </c>
      <c r="D553">
        <v>52</v>
      </c>
      <c r="E553">
        <v>61.8</v>
      </c>
      <c r="F553">
        <v>59.1</v>
      </c>
      <c r="G553">
        <v>60</v>
      </c>
      <c r="H553">
        <v>57</v>
      </c>
      <c r="I553">
        <v>54.5</v>
      </c>
      <c r="J553">
        <v>53.6</v>
      </c>
      <c r="K553">
        <v>61.5</v>
      </c>
      <c r="L553">
        <v>56.8</v>
      </c>
      <c r="M553">
        <v>2648.050048828125</v>
      </c>
      <c r="N553">
        <v>18565.697</v>
      </c>
      <c r="O553">
        <v>8.339109088382559E-3</v>
      </c>
      <c r="P553">
        <v>3.296152283055629E-2</v>
      </c>
      <c r="Q553">
        <v>3.3776005263053577E-2</v>
      </c>
      <c r="R553">
        <v>6.9734292116119664E-3</v>
      </c>
      <c r="S553">
        <v>2.8186847936621851E-2</v>
      </c>
      <c r="T553">
        <v>3.2619828070386561E-2</v>
      </c>
    </row>
    <row r="554" spans="1:20" x14ac:dyDescent="0.35">
      <c r="A554" s="65">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20" x14ac:dyDescent="0.35">
      <c r="A555" s="65">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20" x14ac:dyDescent="0.35">
      <c r="A556" s="65">
        <v>43282</v>
      </c>
      <c r="B556">
        <v>57</v>
      </c>
      <c r="C556">
        <v>52.5</v>
      </c>
      <c r="D556">
        <v>51.5</v>
      </c>
      <c r="E556">
        <v>63.4</v>
      </c>
      <c r="F556">
        <v>56.5</v>
      </c>
      <c r="G556">
        <v>58</v>
      </c>
      <c r="H556">
        <v>53.5</v>
      </c>
      <c r="I556">
        <v>53</v>
      </c>
      <c r="J556">
        <v>56.1</v>
      </c>
      <c r="K556">
        <v>58</v>
      </c>
      <c r="L556">
        <v>55.7</v>
      </c>
      <c r="M556">
        <v>2816.2900390625</v>
      </c>
      <c r="N556">
        <v>18699.748</v>
      </c>
      <c r="O556">
        <v>4.819525590204151E-3</v>
      </c>
      <c r="P556">
        <v>3.0528859123791111E-2</v>
      </c>
      <c r="Q556">
        <v>1.9417917650261129E-2</v>
      </c>
      <c r="R556">
        <v>7.2203591386846124E-3</v>
      </c>
      <c r="S556">
        <v>2.9195746482057579E-2</v>
      </c>
      <c r="T556">
        <v>3.1539838329602318E-2</v>
      </c>
    </row>
    <row r="557" spans="1:20" x14ac:dyDescent="0.35">
      <c r="A557" s="65">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20" x14ac:dyDescent="0.35">
      <c r="A558" s="65">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20" x14ac:dyDescent="0.35">
      <c r="A559" s="65">
        <v>43374</v>
      </c>
      <c r="B559">
        <v>61.5</v>
      </c>
      <c r="C559">
        <v>51</v>
      </c>
      <c r="D559">
        <v>53.5</v>
      </c>
      <c r="E559">
        <v>61.7</v>
      </c>
      <c r="F559">
        <v>62.5</v>
      </c>
      <c r="G559">
        <v>62</v>
      </c>
      <c r="H559">
        <v>56</v>
      </c>
      <c r="I559">
        <v>57.5</v>
      </c>
      <c r="J559">
        <v>59.7</v>
      </c>
      <c r="K559">
        <v>61</v>
      </c>
      <c r="L559">
        <v>60.3</v>
      </c>
      <c r="M559">
        <v>2711.739990234375</v>
      </c>
      <c r="N559">
        <v>18733.741000000002</v>
      </c>
      <c r="O559">
        <v>2.2314183511113221E-3</v>
      </c>
      <c r="P559">
        <v>2.3206170953918571E-2</v>
      </c>
      <c r="Q559">
        <v>8.9555932393461379E-3</v>
      </c>
      <c r="R559">
        <v>1.8178319836182929E-3</v>
      </c>
      <c r="S559">
        <v>7.2911790523160214E-3</v>
      </c>
      <c r="T559">
        <v>2.3125836277942059E-2</v>
      </c>
    </row>
    <row r="560" spans="1:20" x14ac:dyDescent="0.35">
      <c r="A560" s="65">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20" x14ac:dyDescent="0.35">
      <c r="A561" s="65">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20" x14ac:dyDescent="0.35">
      <c r="A562" s="65">
        <v>43466</v>
      </c>
      <c r="B562">
        <v>57.7</v>
      </c>
      <c r="C562">
        <v>52</v>
      </c>
      <c r="D562">
        <v>52.5</v>
      </c>
      <c r="E562">
        <v>59.4</v>
      </c>
      <c r="F562">
        <v>59.7</v>
      </c>
      <c r="G562">
        <v>60.5</v>
      </c>
      <c r="H562">
        <v>49</v>
      </c>
      <c r="I562">
        <v>51.5</v>
      </c>
      <c r="J562">
        <v>57.8</v>
      </c>
      <c r="K562">
        <v>50.5</v>
      </c>
      <c r="L562">
        <v>56.7</v>
      </c>
      <c r="M562">
        <v>2704.10009765625</v>
      </c>
      <c r="N562">
        <v>18835.411</v>
      </c>
      <c r="O562">
        <v>5.9779029009820791E-3</v>
      </c>
      <c r="P562">
        <v>2.1530015140813302E-2</v>
      </c>
      <c r="Q562">
        <v>2.4126879308669521E-2</v>
      </c>
      <c r="R562">
        <v>5.4271060969615327E-3</v>
      </c>
      <c r="S562">
        <v>2.1885785527535839E-2</v>
      </c>
      <c r="T562">
        <v>2.1602281092927309E-2</v>
      </c>
    </row>
    <row r="563" spans="1:20" x14ac:dyDescent="0.35">
      <c r="A563" s="65">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20" x14ac:dyDescent="0.35">
      <c r="A564" s="65">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20" x14ac:dyDescent="0.35">
      <c r="A565" s="65">
        <v>43556</v>
      </c>
      <c r="B565">
        <v>58.1</v>
      </c>
      <c r="C565">
        <v>55</v>
      </c>
      <c r="D565">
        <v>55</v>
      </c>
      <c r="E565">
        <v>55.7</v>
      </c>
      <c r="F565">
        <v>59.5</v>
      </c>
      <c r="G565">
        <v>60</v>
      </c>
      <c r="H565">
        <v>51.5</v>
      </c>
      <c r="I565">
        <v>50.5</v>
      </c>
      <c r="J565">
        <v>53.7</v>
      </c>
      <c r="K565">
        <v>57</v>
      </c>
      <c r="L565">
        <v>55.5</v>
      </c>
      <c r="M565">
        <v>2945.830078125</v>
      </c>
      <c r="N565">
        <v>18962.174999999999</v>
      </c>
      <c r="O565">
        <v>7.9292440820582337E-3</v>
      </c>
      <c r="P565">
        <v>2.111478835615084E-2</v>
      </c>
      <c r="Q565">
        <v>3.2096211890165323E-2</v>
      </c>
      <c r="R565">
        <v>6.7300894044732664E-3</v>
      </c>
      <c r="S565">
        <v>2.7193343623263418E-2</v>
      </c>
      <c r="T565">
        <v>2.135540615577208E-2</v>
      </c>
    </row>
    <row r="566" spans="1:20" x14ac:dyDescent="0.35">
      <c r="A566" s="65">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20" x14ac:dyDescent="0.35">
      <c r="A567" s="65">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20" x14ac:dyDescent="0.35">
      <c r="A568" s="65">
        <v>43647</v>
      </c>
      <c r="B568">
        <v>54.1</v>
      </c>
      <c r="C568">
        <v>53.5</v>
      </c>
      <c r="D568">
        <v>53.5</v>
      </c>
      <c r="E568">
        <v>56.5</v>
      </c>
      <c r="F568">
        <v>53.1</v>
      </c>
      <c r="G568">
        <v>60.5</v>
      </c>
      <c r="H568">
        <v>50</v>
      </c>
      <c r="I568">
        <v>51.5</v>
      </c>
      <c r="J568">
        <v>56.2</v>
      </c>
      <c r="K568">
        <v>53.5</v>
      </c>
      <c r="L568">
        <v>53.7</v>
      </c>
      <c r="M568">
        <v>2980.3798828125</v>
      </c>
      <c r="N568">
        <v>19130.932000000001</v>
      </c>
      <c r="O568">
        <v>6.8549879130956641E-3</v>
      </c>
      <c r="P568">
        <v>2.3183259983257681E-2</v>
      </c>
      <c r="Q568">
        <v>2.770318750334555E-2</v>
      </c>
      <c r="R568">
        <v>8.8996647272795142E-3</v>
      </c>
      <c r="S568">
        <v>3.6076708933272972E-2</v>
      </c>
      <c r="T568">
        <v>2.3058278646321921E-2</v>
      </c>
    </row>
    <row r="569" spans="1:20" x14ac:dyDescent="0.35">
      <c r="A569" s="65">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20" x14ac:dyDescent="0.35">
      <c r="A570" s="65">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20" x14ac:dyDescent="0.35">
      <c r="A571" s="65">
        <v>43739</v>
      </c>
      <c r="B571">
        <v>55.6</v>
      </c>
      <c r="C571">
        <v>48.5</v>
      </c>
      <c r="D571">
        <v>48.5</v>
      </c>
      <c r="E571">
        <v>56.6</v>
      </c>
      <c r="F571">
        <v>57</v>
      </c>
      <c r="G571">
        <v>57</v>
      </c>
      <c r="H571">
        <v>50.5</v>
      </c>
      <c r="I571">
        <v>52.5</v>
      </c>
      <c r="J571">
        <v>53.7</v>
      </c>
      <c r="K571">
        <v>50</v>
      </c>
      <c r="L571">
        <v>54.7</v>
      </c>
      <c r="M571">
        <v>3037.56005859375</v>
      </c>
      <c r="N571">
        <v>19215.690999999999</v>
      </c>
      <c r="O571">
        <v>4.690976182113644E-3</v>
      </c>
      <c r="P571">
        <v>2.5694235346395491E-2</v>
      </c>
      <c r="Q571">
        <v>1.8896349662488991E-2</v>
      </c>
      <c r="R571">
        <v>4.4304689389935729E-3</v>
      </c>
      <c r="S571">
        <v>1.7839998335064559E-2</v>
      </c>
      <c r="T571">
        <v>2.5726308482646211E-2</v>
      </c>
    </row>
    <row r="572" spans="1:20" x14ac:dyDescent="0.35">
      <c r="A572" s="65">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20" x14ac:dyDescent="0.35">
      <c r="A573" s="65">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20" x14ac:dyDescent="0.35">
      <c r="A574" s="65">
        <v>43831</v>
      </c>
      <c r="B574">
        <v>56.2</v>
      </c>
      <c r="C574">
        <v>55.1</v>
      </c>
      <c r="D574">
        <v>45.5</v>
      </c>
      <c r="E574">
        <v>55.5</v>
      </c>
      <c r="F574">
        <v>60.9</v>
      </c>
      <c r="G574">
        <v>54.9</v>
      </c>
      <c r="H574">
        <v>46.5</v>
      </c>
      <c r="I574">
        <v>51.7</v>
      </c>
      <c r="J574">
        <v>53.1</v>
      </c>
      <c r="K574">
        <v>50.1</v>
      </c>
      <c r="L574">
        <v>55.5</v>
      </c>
      <c r="M574">
        <v>3225.52001953125</v>
      </c>
      <c r="N574">
        <v>18989.877</v>
      </c>
      <c r="O574">
        <v>-1.303582746034216E-2</v>
      </c>
      <c r="P574">
        <v>6.3078516417420767E-3</v>
      </c>
      <c r="Q574">
        <v>-5.1132545037274268E-2</v>
      </c>
      <c r="R574">
        <v>-1.175154200803908E-2</v>
      </c>
      <c r="S574">
        <v>-4.6184048016051249E-2</v>
      </c>
      <c r="T574">
        <v>8.2008298093415831E-3</v>
      </c>
    </row>
    <row r="575" spans="1:20" x14ac:dyDescent="0.35">
      <c r="A575" s="65">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20" x14ac:dyDescent="0.35">
      <c r="A576" s="65">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20" x14ac:dyDescent="0.35">
      <c r="A577" s="65">
        <v>43922</v>
      </c>
      <c r="B577">
        <v>32.9</v>
      </c>
      <c r="C577">
        <v>49.3</v>
      </c>
      <c r="D577">
        <v>47.7</v>
      </c>
      <c r="E577">
        <v>55.1</v>
      </c>
      <c r="F577">
        <v>26</v>
      </c>
      <c r="G577">
        <v>62.6</v>
      </c>
      <c r="H577">
        <v>46.9</v>
      </c>
      <c r="I577">
        <v>78.3</v>
      </c>
      <c r="J577">
        <v>30</v>
      </c>
      <c r="K577">
        <v>36.299999999999997</v>
      </c>
      <c r="L577">
        <v>41.8</v>
      </c>
      <c r="M577">
        <v>2912.429931640625</v>
      </c>
      <c r="N577">
        <v>17378.712</v>
      </c>
      <c r="O577">
        <v>-8.9372505011610218E-2</v>
      </c>
      <c r="P577">
        <v>-9.0837374242250385E-2</v>
      </c>
      <c r="Q577">
        <v>-0.31235698461085082</v>
      </c>
      <c r="R577">
        <v>-8.4843361544679877E-2</v>
      </c>
      <c r="S577">
        <v>-0.29857419774143368</v>
      </c>
      <c r="T577">
        <v>-8.3506401559947624E-2</v>
      </c>
    </row>
    <row r="578" spans="1:20" x14ac:dyDescent="0.35">
      <c r="A578" s="65">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20" x14ac:dyDescent="0.35">
      <c r="A579" s="65">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20" x14ac:dyDescent="0.35">
      <c r="A580" s="65">
        <v>44013</v>
      </c>
      <c r="B580">
        <v>67.7</v>
      </c>
      <c r="C580">
        <v>46.3</v>
      </c>
      <c r="D580">
        <v>55.9</v>
      </c>
      <c r="E580">
        <v>57.6</v>
      </c>
      <c r="F580">
        <v>67.2</v>
      </c>
      <c r="G580">
        <v>50</v>
      </c>
      <c r="H580">
        <v>52</v>
      </c>
      <c r="I580">
        <v>55.2</v>
      </c>
      <c r="J580">
        <v>42.1</v>
      </c>
      <c r="K580">
        <v>49.3</v>
      </c>
      <c r="L580">
        <v>58.1</v>
      </c>
      <c r="M580">
        <v>3271.1201171875</v>
      </c>
      <c r="N580">
        <v>18743.72</v>
      </c>
      <c r="O580">
        <v>7.547534636423657E-2</v>
      </c>
      <c r="P580">
        <v>-2.8875059888336659E-2</v>
      </c>
      <c r="Q580">
        <v>0.33783279300793229</v>
      </c>
      <c r="R580">
        <v>7.854483117045738E-2</v>
      </c>
      <c r="S580">
        <v>0.35317139137290637</v>
      </c>
      <c r="T580">
        <v>-2.0240101214096601E-2</v>
      </c>
    </row>
    <row r="581" spans="1:20" x14ac:dyDescent="0.35">
      <c r="A581" s="65">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20" x14ac:dyDescent="0.35">
      <c r="A582" s="65">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20" x14ac:dyDescent="0.35">
      <c r="A583" s="65">
        <v>44105</v>
      </c>
      <c r="B583">
        <v>58.8</v>
      </c>
      <c r="C583">
        <v>52.5</v>
      </c>
      <c r="D583">
        <v>54.4</v>
      </c>
      <c r="E583">
        <v>63.9</v>
      </c>
      <c r="F583">
        <v>61.2</v>
      </c>
      <c r="G583">
        <v>51.1</v>
      </c>
      <c r="H583">
        <v>53.1</v>
      </c>
      <c r="I583">
        <v>56.2</v>
      </c>
      <c r="J583">
        <v>50.1</v>
      </c>
      <c r="K583">
        <v>53.7</v>
      </c>
      <c r="L583">
        <v>56.6</v>
      </c>
      <c r="M583">
        <v>3269.9599609375</v>
      </c>
      <c r="N583">
        <v>18924.261999999999</v>
      </c>
      <c r="O583">
        <v>1.115276765936578E-2</v>
      </c>
      <c r="P583">
        <v>-2.2629152430098401E-2</v>
      </c>
      <c r="Q583">
        <v>4.536294038119415E-2</v>
      </c>
      <c r="R583">
        <v>9.6321327890086725E-3</v>
      </c>
      <c r="S583">
        <v>3.9088782255552117E-2</v>
      </c>
      <c r="T583">
        <v>-1.5166199331577521E-2</v>
      </c>
    </row>
    <row r="584" spans="1:20" x14ac:dyDescent="0.35">
      <c r="A584" s="65">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20" x14ac:dyDescent="0.35">
      <c r="A585" s="65">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20" x14ac:dyDescent="0.35">
      <c r="A586" s="65">
        <v>44197</v>
      </c>
      <c r="B586">
        <v>61.8</v>
      </c>
      <c r="C586">
        <v>53.5</v>
      </c>
      <c r="D586">
        <v>50.9</v>
      </c>
      <c r="E586">
        <v>64.2</v>
      </c>
      <c r="F586">
        <v>59.9</v>
      </c>
      <c r="G586">
        <v>49.7</v>
      </c>
      <c r="H586">
        <v>49.2</v>
      </c>
      <c r="I586">
        <v>57.8</v>
      </c>
      <c r="J586">
        <v>55.2</v>
      </c>
      <c r="K586">
        <v>47</v>
      </c>
      <c r="L586">
        <v>58.7</v>
      </c>
      <c r="M586">
        <v>3714.239990234375</v>
      </c>
      <c r="N586">
        <v>19216.223999999998</v>
      </c>
      <c r="O586">
        <v>1.533889627211066E-2</v>
      </c>
      <c r="P586">
        <v>5.4697680328273934E-3</v>
      </c>
      <c r="Q586">
        <v>6.278176672776592E-2</v>
      </c>
      <c r="R586">
        <v>1.5427919989693629E-2</v>
      </c>
      <c r="S586">
        <v>6.3154549562086215E-2</v>
      </c>
      <c r="T586">
        <v>1.191935050448183E-2</v>
      </c>
    </row>
    <row r="587" spans="1:20" x14ac:dyDescent="0.35">
      <c r="A587" s="65">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20" x14ac:dyDescent="0.35">
      <c r="A588" s="65">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20" x14ac:dyDescent="0.35">
      <c r="A589" s="65">
        <v>44287</v>
      </c>
      <c r="B589">
        <v>63.2</v>
      </c>
      <c r="C589">
        <v>55.7</v>
      </c>
      <c r="D589">
        <v>55.7</v>
      </c>
      <c r="E589">
        <v>76.8</v>
      </c>
      <c r="F589">
        <v>62.7</v>
      </c>
      <c r="G589">
        <v>46.8</v>
      </c>
      <c r="H589">
        <v>49.1</v>
      </c>
      <c r="I589">
        <v>66.099999999999994</v>
      </c>
      <c r="J589">
        <v>58.8</v>
      </c>
      <c r="K589">
        <v>58.6</v>
      </c>
      <c r="L589">
        <v>62.7</v>
      </c>
      <c r="M589">
        <v>4181.169921875</v>
      </c>
      <c r="N589">
        <v>19544.248</v>
      </c>
      <c r="O589">
        <v>1.6407465395443108E-2</v>
      </c>
      <c r="P589">
        <v>0.12226677108077</v>
      </c>
      <c r="Q589">
        <v>6.7262831458960726E-2</v>
      </c>
      <c r="R589">
        <v>1.707015904893705E-2</v>
      </c>
      <c r="S589">
        <v>7.0048959400919264E-2</v>
      </c>
      <c r="T589">
        <v>0.1246085440624138</v>
      </c>
    </row>
    <row r="590" spans="1:20" x14ac:dyDescent="0.35">
      <c r="A590" s="65">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20" x14ac:dyDescent="0.35">
      <c r="A591" s="65">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20" x14ac:dyDescent="0.35">
      <c r="A592" s="65">
        <v>44378</v>
      </c>
      <c r="B592">
        <v>63.7</v>
      </c>
      <c r="C592">
        <v>51.6</v>
      </c>
      <c r="D592">
        <v>63.5</v>
      </c>
      <c r="E592">
        <v>82.3</v>
      </c>
      <c r="F592">
        <v>67</v>
      </c>
      <c r="G592">
        <v>40.299999999999997</v>
      </c>
      <c r="H592">
        <v>49.2</v>
      </c>
      <c r="I592">
        <v>72</v>
      </c>
      <c r="J592">
        <v>53.8</v>
      </c>
      <c r="K592">
        <v>65.8</v>
      </c>
      <c r="L592">
        <v>64.099999999999994</v>
      </c>
      <c r="M592">
        <v>4395.259765625</v>
      </c>
      <c r="N592">
        <v>19672.594000000001</v>
      </c>
      <c r="O592">
        <v>5.7094811059921454E-3</v>
      </c>
      <c r="P592">
        <v>4.9465555692882128E-2</v>
      </c>
      <c r="Q592">
        <v>2.303425900825307E-2</v>
      </c>
      <c r="R592">
        <v>6.5669449139205242E-3</v>
      </c>
      <c r="S592">
        <v>2.6527662900280191E-2</v>
      </c>
      <c r="T592">
        <v>4.9556544805406812E-2</v>
      </c>
    </row>
    <row r="593" spans="1:20" x14ac:dyDescent="0.35">
      <c r="A593" s="65">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20" x14ac:dyDescent="0.35">
      <c r="A594" s="65">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20" x14ac:dyDescent="0.35">
      <c r="A595" s="65">
        <v>44470</v>
      </c>
      <c r="B595">
        <v>69.7</v>
      </c>
      <c r="C595">
        <v>53.3</v>
      </c>
      <c r="D595">
        <v>67.3</v>
      </c>
      <c r="E595">
        <v>82.9</v>
      </c>
      <c r="F595">
        <v>69.8</v>
      </c>
      <c r="G595">
        <v>37.299999999999997</v>
      </c>
      <c r="H595">
        <v>42.2</v>
      </c>
      <c r="I595">
        <v>75.7</v>
      </c>
      <c r="J595">
        <v>51.6</v>
      </c>
      <c r="K595">
        <v>62.3</v>
      </c>
      <c r="L595">
        <v>66.7</v>
      </c>
      <c r="M595">
        <v>4605.3798828125</v>
      </c>
      <c r="N595">
        <v>20006.181</v>
      </c>
      <c r="O595">
        <v>1.6790943920683761E-2</v>
      </c>
      <c r="P595">
        <v>5.5317363621841711E-2</v>
      </c>
      <c r="Q595">
        <v>6.8874405829691066E-2</v>
      </c>
      <c r="R595">
        <v>1.695694019812535E-2</v>
      </c>
      <c r="S595">
        <v>6.9572573442330254E-2</v>
      </c>
      <c r="T595">
        <v>5.7171000908780578E-2</v>
      </c>
    </row>
    <row r="596" spans="1:20" x14ac:dyDescent="0.35">
      <c r="A596" s="65">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20" x14ac:dyDescent="0.35">
      <c r="A597" s="65">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row r="598" spans="1:20" x14ac:dyDescent="0.35">
      <c r="A598" s="65">
        <v>44562</v>
      </c>
      <c r="B598">
        <v>61.7</v>
      </c>
      <c r="C598">
        <v>51.1</v>
      </c>
      <c r="D598">
        <v>57.4</v>
      </c>
      <c r="E598">
        <v>82.3</v>
      </c>
      <c r="F598">
        <v>59.9</v>
      </c>
      <c r="G598">
        <v>47.5</v>
      </c>
      <c r="H598">
        <v>49.4</v>
      </c>
      <c r="I598">
        <v>65.7</v>
      </c>
      <c r="J598">
        <v>52.3</v>
      </c>
      <c r="K598">
        <v>45.9</v>
      </c>
      <c r="L598">
        <v>59.9</v>
      </c>
      <c r="M598">
        <v>4515.5498046875</v>
      </c>
      <c r="N598">
        <v>19924.088</v>
      </c>
      <c r="O598">
        <v>1.6790943920683761E-2</v>
      </c>
      <c r="P598">
        <v>5.5317363621841711E-2</v>
      </c>
      <c r="Q598">
        <v>6.8874405829691066E-2</v>
      </c>
      <c r="R598">
        <v>-4.1033818498393453E-3</v>
      </c>
      <c r="S598">
        <v>-1.6312777026963991E-2</v>
      </c>
      <c r="T598">
        <v>3.683678957947209E-2</v>
      </c>
    </row>
    <row r="599" spans="1:20" x14ac:dyDescent="0.35">
      <c r="A599" s="65">
        <v>44593</v>
      </c>
      <c r="B599">
        <v>56.1</v>
      </c>
      <c r="C599">
        <v>51.7</v>
      </c>
      <c r="D599">
        <v>64.2</v>
      </c>
      <c r="E599">
        <v>83.1</v>
      </c>
      <c r="F599">
        <v>55.1</v>
      </c>
      <c r="G599">
        <v>55.3</v>
      </c>
      <c r="H599">
        <v>50.8</v>
      </c>
      <c r="I599">
        <v>66.2</v>
      </c>
      <c r="J599">
        <v>48.5</v>
      </c>
      <c r="K599">
        <v>53</v>
      </c>
      <c r="L599">
        <v>56.5</v>
      </c>
      <c r="M599">
        <v>4373.93994140625</v>
      </c>
      <c r="O599">
        <v>1.6790943920683761E-2</v>
      </c>
      <c r="P599">
        <v>5.5317363621841711E-2</v>
      </c>
      <c r="Q599">
        <v>6.8874405829691066E-2</v>
      </c>
    </row>
    <row r="600" spans="1:20" x14ac:dyDescent="0.35">
      <c r="A600" s="65">
        <v>44621</v>
      </c>
      <c r="B600">
        <v>60.1</v>
      </c>
      <c r="C600">
        <v>45</v>
      </c>
      <c r="D600">
        <v>64.5</v>
      </c>
      <c r="E600">
        <v>83.8</v>
      </c>
      <c r="F600">
        <v>55.5</v>
      </c>
      <c r="G600">
        <v>40.200000000000003</v>
      </c>
      <c r="H600">
        <v>51.7</v>
      </c>
      <c r="I600">
        <v>63.4</v>
      </c>
      <c r="J600">
        <v>54</v>
      </c>
      <c r="K600">
        <v>61</v>
      </c>
      <c r="L600">
        <v>58.3</v>
      </c>
      <c r="M600">
        <v>4530.41015625</v>
      </c>
      <c r="O600">
        <v>1.6790943920683761E-2</v>
      </c>
      <c r="P600">
        <v>5.5317363621841711E-2</v>
      </c>
      <c r="Q600">
        <v>6.8874405829691066E-2</v>
      </c>
    </row>
    <row r="601" spans="1:20" x14ac:dyDescent="0.35">
      <c r="A601" s="65">
        <v>44652</v>
      </c>
      <c r="B601">
        <v>54.6</v>
      </c>
      <c r="C601">
        <v>52.9</v>
      </c>
      <c r="D601">
        <v>59.4</v>
      </c>
      <c r="E601">
        <v>84.6</v>
      </c>
      <c r="F601">
        <v>59.1</v>
      </c>
      <c r="G601">
        <v>46.7</v>
      </c>
      <c r="H601">
        <v>52.3</v>
      </c>
      <c r="I601">
        <v>65.099999999999994</v>
      </c>
      <c r="J601">
        <v>49.5</v>
      </c>
      <c r="K601">
        <v>58.1</v>
      </c>
      <c r="L601">
        <v>57.1</v>
      </c>
      <c r="M601">
        <v>4131.93017578125</v>
      </c>
      <c r="N601">
        <v>19895.271000000001</v>
      </c>
      <c r="O601">
        <v>1.6790943920683761E-2</v>
      </c>
      <c r="P601">
        <v>5.5317363621841711E-2</v>
      </c>
      <c r="Q601">
        <v>6.8874405829691066E-2</v>
      </c>
      <c r="R601">
        <v>-1.4463397270680139E-3</v>
      </c>
      <c r="S601">
        <v>-5.7728196146435984E-3</v>
      </c>
      <c r="T601">
        <v>1.79604249802807E-2</v>
      </c>
    </row>
    <row r="602" spans="1:20" x14ac:dyDescent="0.35">
      <c r="A602" s="65">
        <v>44682</v>
      </c>
      <c r="B602">
        <v>57.6</v>
      </c>
      <c r="C602">
        <v>52.8</v>
      </c>
      <c r="D602">
        <v>52</v>
      </c>
      <c r="E602">
        <v>82.1</v>
      </c>
      <c r="F602">
        <v>54.5</v>
      </c>
      <c r="G602">
        <v>44.5</v>
      </c>
      <c r="H602">
        <v>51</v>
      </c>
      <c r="I602">
        <v>61.3</v>
      </c>
      <c r="J602">
        <v>50.2</v>
      </c>
      <c r="K602">
        <v>60.9</v>
      </c>
      <c r="L602">
        <v>55.9</v>
      </c>
      <c r="M602">
        <v>4132.14990234375</v>
      </c>
      <c r="O602">
        <v>1.6790943920683761E-2</v>
      </c>
      <c r="P602">
        <v>5.5317363621841711E-2</v>
      </c>
      <c r="Q602">
        <v>6.8874405829691066E-2</v>
      </c>
    </row>
    <row r="603" spans="1:20" x14ac:dyDescent="0.35">
      <c r="A603" s="65">
        <v>44713</v>
      </c>
      <c r="B603">
        <v>55.6</v>
      </c>
      <c r="C603">
        <v>46.3</v>
      </c>
      <c r="D603">
        <v>60.5</v>
      </c>
      <c r="E603">
        <v>80.099999999999994</v>
      </c>
      <c r="F603">
        <v>56.1</v>
      </c>
      <c r="G603">
        <v>46.2</v>
      </c>
      <c r="H603">
        <v>47.5</v>
      </c>
      <c r="I603">
        <v>61.9</v>
      </c>
      <c r="J603">
        <v>47.4</v>
      </c>
      <c r="K603">
        <v>57.5</v>
      </c>
      <c r="L603">
        <v>55.3</v>
      </c>
      <c r="M603">
        <v>3785.3798828125</v>
      </c>
      <c r="O603">
        <v>1.6790943920683761E-2</v>
      </c>
      <c r="P603">
        <v>5.5317363621841711E-2</v>
      </c>
      <c r="Q603">
        <v>6.8874405829691066E-2</v>
      </c>
    </row>
    <row r="604" spans="1:20" x14ac:dyDescent="0.35">
      <c r="A604" s="65">
        <v>44743</v>
      </c>
      <c r="B604">
        <v>59.9</v>
      </c>
      <c r="C604">
        <v>48</v>
      </c>
      <c r="D604">
        <v>58.3</v>
      </c>
      <c r="E604">
        <v>72.3</v>
      </c>
      <c r="F604">
        <v>59.9</v>
      </c>
      <c r="G604">
        <v>50.1</v>
      </c>
      <c r="H604">
        <v>45</v>
      </c>
      <c r="I604">
        <v>57.8</v>
      </c>
      <c r="J604">
        <v>49.1</v>
      </c>
      <c r="K604">
        <v>59.5</v>
      </c>
      <c r="L604">
        <v>56.7</v>
      </c>
      <c r="M604">
        <v>4130.2900390625</v>
      </c>
      <c r="N604">
        <v>20054.663</v>
      </c>
      <c r="O604">
        <v>1.6790943920683761E-2</v>
      </c>
      <c r="P604">
        <v>5.5317363621841711E-2</v>
      </c>
      <c r="Q604">
        <v>6.8874405829691066E-2</v>
      </c>
      <c r="R604">
        <v>8.0115520919518922E-3</v>
      </c>
      <c r="S604">
        <v>3.2433379173874011E-2</v>
      </c>
      <c r="T604">
        <v>1.9421383880539569E-2</v>
      </c>
    </row>
    <row r="605" spans="1:20" x14ac:dyDescent="0.35">
      <c r="A605" s="65">
        <v>44774</v>
      </c>
      <c r="B605">
        <v>61.8</v>
      </c>
      <c r="C605">
        <v>48.2</v>
      </c>
      <c r="D605">
        <v>53.9</v>
      </c>
      <c r="E605">
        <v>71.5</v>
      </c>
      <c r="F605">
        <v>60.9</v>
      </c>
      <c r="G605">
        <v>47.1</v>
      </c>
      <c r="H605">
        <v>46.2</v>
      </c>
      <c r="I605">
        <v>54.5</v>
      </c>
      <c r="J605">
        <v>50.2</v>
      </c>
      <c r="K605">
        <v>61.9</v>
      </c>
      <c r="L605">
        <v>56.9</v>
      </c>
      <c r="M605">
        <v>3955</v>
      </c>
      <c r="O605">
        <v>1.6790943920683761E-2</v>
      </c>
      <c r="P605">
        <v>5.5317363621841711E-2</v>
      </c>
      <c r="Q605">
        <v>6.8874405829691066E-2</v>
      </c>
    </row>
    <row r="606" spans="1:20" x14ac:dyDescent="0.35">
      <c r="A606" s="65">
        <v>44805</v>
      </c>
      <c r="B606">
        <v>60.6</v>
      </c>
      <c r="C606">
        <v>51.3</v>
      </c>
      <c r="D606">
        <v>52.5</v>
      </c>
      <c r="E606">
        <v>68.7</v>
      </c>
      <c r="F606">
        <v>59.1</v>
      </c>
      <c r="G606">
        <v>47.2</v>
      </c>
      <c r="H606">
        <v>44.1</v>
      </c>
      <c r="I606">
        <v>53.9</v>
      </c>
      <c r="J606">
        <v>53</v>
      </c>
      <c r="K606">
        <v>65.099999999999994</v>
      </c>
      <c r="L606">
        <v>56.7</v>
      </c>
      <c r="M606">
        <v>3585.6201171875</v>
      </c>
      <c r="O606">
        <v>1.6790943920683761E-2</v>
      </c>
      <c r="P606">
        <v>5.5317363621841711E-2</v>
      </c>
      <c r="Q606">
        <v>6.8874405829691066E-2</v>
      </c>
    </row>
    <row r="607" spans="1:20" x14ac:dyDescent="0.35">
      <c r="A607" s="65">
        <v>44834</v>
      </c>
      <c r="M607">
        <v>3585.6201171875</v>
      </c>
      <c r="O607">
        <v>1.6790943920683761E-2</v>
      </c>
      <c r="P607">
        <v>5.5317363621841711E-2</v>
      </c>
      <c r="Q607">
        <v>6.8874405829691066E-2</v>
      </c>
    </row>
    <row r="608" spans="1:20" x14ac:dyDescent="0.35">
      <c r="A608" s="65">
        <v>44835</v>
      </c>
      <c r="B608">
        <v>56.5</v>
      </c>
      <c r="C608">
        <v>50.4</v>
      </c>
      <c r="D608">
        <v>52.2</v>
      </c>
      <c r="E608">
        <v>70.7</v>
      </c>
      <c r="F608">
        <v>55.7</v>
      </c>
      <c r="G608">
        <v>46.4</v>
      </c>
      <c r="H608">
        <v>47.2</v>
      </c>
      <c r="I608">
        <v>56.2</v>
      </c>
      <c r="J608">
        <v>49.1</v>
      </c>
      <c r="K608">
        <v>47.7</v>
      </c>
      <c r="L608">
        <v>54.4</v>
      </c>
      <c r="M608">
        <v>3871.97998046875</v>
      </c>
      <c r="N608">
        <v>20198.091</v>
      </c>
      <c r="O608">
        <v>1.6790943920683761E-2</v>
      </c>
      <c r="P608">
        <v>5.5317363621841711E-2</v>
      </c>
      <c r="Q608">
        <v>6.8874405829691066E-2</v>
      </c>
      <c r="R608">
        <v>7.1518529132102533E-3</v>
      </c>
      <c r="S608">
        <v>2.891577151011537E-2</v>
      </c>
      <c r="T608">
        <v>9.5925354269263009E-3</v>
      </c>
    </row>
    <row r="609" spans="1:17" x14ac:dyDescent="0.35">
      <c r="A609" s="65">
        <v>44866</v>
      </c>
      <c r="B609">
        <v>56</v>
      </c>
      <c r="C609">
        <v>59.5</v>
      </c>
      <c r="D609">
        <v>51.8</v>
      </c>
      <c r="E609">
        <v>70</v>
      </c>
      <c r="F609">
        <v>64.7</v>
      </c>
      <c r="G609">
        <v>44.2</v>
      </c>
      <c r="H609">
        <v>47.9</v>
      </c>
      <c r="I609">
        <v>53.8</v>
      </c>
      <c r="J609">
        <v>51.5</v>
      </c>
      <c r="K609">
        <v>38.4</v>
      </c>
      <c r="L609">
        <v>56.5</v>
      </c>
      <c r="M609">
        <v>4080.110107421875</v>
      </c>
      <c r="O609">
        <v>1.6790943920683761E-2</v>
      </c>
      <c r="P609">
        <v>5.5317363621841711E-2</v>
      </c>
      <c r="Q609">
        <v>6.8874405829691066E-2</v>
      </c>
    </row>
    <row r="610" spans="1:17" x14ac:dyDescent="0.35">
      <c r="A610" s="65">
        <v>44896</v>
      </c>
      <c r="B610">
        <v>45.2</v>
      </c>
      <c r="C610">
        <v>52.7</v>
      </c>
      <c r="D610">
        <v>51.5</v>
      </c>
      <c r="E610">
        <v>67.599999999999994</v>
      </c>
      <c r="F610">
        <v>54.7</v>
      </c>
      <c r="G610">
        <v>55.9</v>
      </c>
      <c r="H610">
        <v>45.1</v>
      </c>
      <c r="I610">
        <v>48.5</v>
      </c>
      <c r="J610">
        <v>49.8</v>
      </c>
      <c r="K610">
        <v>47.7</v>
      </c>
      <c r="L610">
        <v>49.6</v>
      </c>
      <c r="M610">
        <v>3839.5</v>
      </c>
      <c r="O610">
        <v>1.6790943920683761E-2</v>
      </c>
      <c r="P610">
        <v>5.5317363621841711E-2</v>
      </c>
      <c r="Q610">
        <v>6.8874405829691066E-2</v>
      </c>
    </row>
    <row r="611" spans="1:17" x14ac:dyDescent="0.35">
      <c r="A611" s="65">
        <v>44927</v>
      </c>
      <c r="B611">
        <v>60.4</v>
      </c>
      <c r="C611">
        <v>53</v>
      </c>
      <c r="D611">
        <v>52.9</v>
      </c>
      <c r="E611">
        <v>67.8</v>
      </c>
      <c r="F611">
        <v>60.4</v>
      </c>
      <c r="G611">
        <v>55.8</v>
      </c>
      <c r="H611">
        <v>49.2</v>
      </c>
      <c r="I611">
        <v>50</v>
      </c>
      <c r="J611">
        <v>50</v>
      </c>
      <c r="K611">
        <v>59</v>
      </c>
      <c r="L611">
        <v>55.2</v>
      </c>
      <c r="M611">
        <v>4076.60009765625</v>
      </c>
      <c r="O611">
        <v>1.6790943920683761E-2</v>
      </c>
      <c r="P611">
        <v>5.5317363621841711E-2</v>
      </c>
      <c r="Q611">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zoomScale="70" zoomScaleNormal="70" workbookViewId="0">
      <selection activeCell="L1" sqref="L1"/>
    </sheetView>
  </sheetViews>
  <sheetFormatPr defaultColWidth="9.1796875" defaultRowHeight="14.5" x14ac:dyDescent="0.35"/>
  <cols>
    <col min="1" max="1" width="9.6328125" style="62" customWidth="1"/>
    <col min="2" max="18" width="8.81640625" style="62" customWidth="1"/>
    <col min="19" max="19" width="12.453125" style="62" customWidth="1"/>
    <col min="20" max="20" width="8.81640625" style="62" customWidth="1"/>
    <col min="21" max="46" width="9.1796875" style="62" customWidth="1"/>
    <col min="47" max="16384" width="9.1796875" style="62"/>
  </cols>
  <sheetData>
    <row r="1" spans="1:26" x14ac:dyDescent="0.35">
      <c r="B1" s="13" t="s">
        <v>67</v>
      </c>
      <c r="J1" s="62" t="s">
        <v>68</v>
      </c>
      <c r="L1" s="40">
        <v>44927</v>
      </c>
      <c r="O1" s="5"/>
    </row>
    <row r="2" spans="1:26" x14ac:dyDescent="0.35">
      <c r="L2" s="13">
        <v>37</v>
      </c>
      <c r="Y2" s="6"/>
    </row>
    <row r="4" spans="1:26" x14ac:dyDescent="0.35">
      <c r="U4" s="6">
        <f t="shared" ref="U4:U10" si="0">DATE(YEAR(U5),MONTH(U5)-1,DAY(U5))</f>
        <v>44713</v>
      </c>
      <c r="V4" s="1">
        <f t="shared" ref="V4:V10" si="1">V5-1</f>
        <v>31</v>
      </c>
    </row>
    <row r="5" spans="1:26" ht="90" customHeight="1" thickBot="1" x14ac:dyDescent="0.4">
      <c r="A5" s="7"/>
      <c r="B5" s="41" t="s">
        <v>45</v>
      </c>
      <c r="C5" s="41" t="s">
        <v>46</v>
      </c>
      <c r="D5" s="41" t="s">
        <v>29</v>
      </c>
      <c r="E5" s="41" t="s">
        <v>30</v>
      </c>
      <c r="F5" s="41" t="s">
        <v>31</v>
      </c>
      <c r="G5" s="41" t="s">
        <v>32</v>
      </c>
      <c r="H5" s="41" t="s">
        <v>33</v>
      </c>
      <c r="I5" s="41" t="s">
        <v>34</v>
      </c>
      <c r="J5" s="41" t="s">
        <v>35</v>
      </c>
      <c r="K5" s="41" t="s">
        <v>36</v>
      </c>
      <c r="L5" s="41" t="s">
        <v>37</v>
      </c>
      <c r="M5" s="41" t="s">
        <v>38</v>
      </c>
      <c r="N5" s="41" t="s">
        <v>39</v>
      </c>
      <c r="O5" s="41" t="s">
        <v>40</v>
      </c>
      <c r="P5" s="41" t="s">
        <v>41</v>
      </c>
      <c r="Q5" s="41" t="s">
        <v>42</v>
      </c>
      <c r="R5" s="41" t="s">
        <v>43</v>
      </c>
      <c r="S5" s="41" t="s">
        <v>44</v>
      </c>
      <c r="U5" s="6">
        <f t="shared" si="0"/>
        <v>44743</v>
      </c>
      <c r="V5" s="1">
        <f t="shared" si="1"/>
        <v>32</v>
      </c>
      <c r="Y5" s="62" t="s">
        <v>69</v>
      </c>
      <c r="Z5" s="62" t="s">
        <v>70</v>
      </c>
    </row>
    <row r="6" spans="1:26" x14ac:dyDescent="0.35">
      <c r="A6" s="7">
        <f>DATE(YEAR(A7),MONTH(A7)-1,DAY(A7))</f>
        <v>44774</v>
      </c>
      <c r="B6" s="35">
        <f>VLOOKUP($B$5,'Sectors Trend'!$B$6:$AQ$23,VLOOKUP(A6,$U:$V,2,),)</f>
        <v>3</v>
      </c>
      <c r="C6" s="35">
        <f>VLOOKUP($C$5,'Sectors Trend'!$B$6:$AQ$23,VLOOKUP(A6,$U:$V,2,),)</f>
        <v>10</v>
      </c>
      <c r="D6" s="35">
        <f>VLOOKUP($D$5,'Sectors Trend'!$B$6:$AQ$23,VLOOKUP(A6,$U:$V,2,),)</f>
        <v>15</v>
      </c>
      <c r="E6" s="35">
        <f>VLOOKUP($E$5,'Sectors Trend'!$B$6:$AQ$23,VLOOKUP(A6,$U:$V,2,),)</f>
        <v>14</v>
      </c>
      <c r="F6" s="35">
        <f>VLOOKUP($F$5,'Sectors Trend'!$B$6:$AQ$23,VLOOKUP(A6,$U:$V,2,),)</f>
        <v>13</v>
      </c>
      <c r="G6" s="35">
        <f>VLOOKUP($G$5,'Sectors Trend'!$B$6:$AQ$23,VLOOKUP(A6,$U:$V,2,),)</f>
        <v>-1</v>
      </c>
      <c r="H6" s="35">
        <f>VLOOKUP($H$5,'Sectors Trend'!$B$6:$AQ$23,VLOOKUP(A6,$U:$V,2,),)</f>
        <v>7</v>
      </c>
      <c r="I6" s="35">
        <f>VLOOKUP($I$5,'Sectors Trend'!$B$6:$AQ$23,VLOOKUP(A6,$U:$V,2,),)</f>
        <v>16</v>
      </c>
      <c r="J6" s="35">
        <f>VLOOKUP($J$5,'Sectors Trend'!$B$6:$AQ$23,VLOOKUP(A6,$U:$V,2,),)</f>
        <v>12</v>
      </c>
      <c r="K6" s="35">
        <f>VLOOKUP($K$5,'Sectors Trend'!$B$6:$AQ$23,VLOOKUP(A6,$U:$V,2,),)</f>
        <v>17</v>
      </c>
      <c r="L6" s="35">
        <f>VLOOKUP($L$5,'Sectors Trend'!$B$6:$AQ$23,VLOOKUP(A6,$U:$V,2,),)</f>
        <v>4</v>
      </c>
      <c r="M6" s="35">
        <f>VLOOKUP($M$5,'Sectors Trend'!$B$6:$AQ$23,VLOOKUP(A6,$U:$V,2,),)</f>
        <v>2</v>
      </c>
      <c r="N6" s="35">
        <f>VLOOKUP($N$5,'Sectors Trend'!$B$6:$AQ$23,VLOOKUP(A6,$U:$V,2,),)</f>
        <v>11</v>
      </c>
      <c r="O6" s="35">
        <f>VLOOKUP($O$5,'Sectors Trend'!$B$6:$AQ$23,VLOOKUP(A6,$U:$V,2,),)</f>
        <v>1</v>
      </c>
      <c r="P6" s="35">
        <f>VLOOKUP($P$5,'Sectors Trend'!$B$6:$AQ$23,VLOOKUP(A6,$U:$V,2,),)</f>
        <v>9</v>
      </c>
      <c r="Q6" s="35">
        <f>VLOOKUP($Q$5,'Sectors Trend'!$B$6:$AQ$23,VLOOKUP(A6,$U:$V,2,),)</f>
        <v>5</v>
      </c>
      <c r="R6" s="35">
        <f>VLOOKUP($R$5,'Sectors Trend'!$B$6:$AQ$23,VLOOKUP(A6,$U:$V,2,),)</f>
        <v>8</v>
      </c>
      <c r="S6" s="36">
        <f>VLOOKUP($S$5,'Sectors Trend'!$B$6:$AQ$23,VLOOKUP(A6,$U:$V,2,),)</f>
        <v>6</v>
      </c>
      <c r="U6" s="6">
        <f t="shared" si="0"/>
        <v>44774</v>
      </c>
      <c r="V6" s="1">
        <f t="shared" si="1"/>
        <v>33</v>
      </c>
      <c r="Y6" s="62">
        <f t="shared" ref="Y6:Y11" si="2">MIN(B6:S6)</f>
        <v>-1</v>
      </c>
      <c r="Z6" s="62">
        <f t="shared" ref="Z6:Z11" si="3">MAX(B6:S6)</f>
        <v>17</v>
      </c>
    </row>
    <row r="7" spans="1:26" x14ac:dyDescent="0.35">
      <c r="A7" s="7">
        <f>DATE(YEAR(A8),MONTH(A8)-1,DAY(A8))</f>
        <v>44805</v>
      </c>
      <c r="B7" s="4">
        <f>VLOOKUP($B$5,'Sectors Trend'!$B$6:$AQ$23,VLOOKUP(A7,$U:$V,2,),)</f>
        <v>9</v>
      </c>
      <c r="C7" s="4">
        <f>VLOOKUP($C$5,'Sectors Trend'!$B$6:$AQ$23,VLOOKUP(A7,$U:$V,2,),)</f>
        <v>13</v>
      </c>
      <c r="D7" s="4">
        <f>VLOOKUP($D$5,'Sectors Trend'!$B$6:$AQ$23,VLOOKUP(A7,$U:$V,2,),)</f>
        <v>18</v>
      </c>
      <c r="E7" s="4">
        <f>VLOOKUP($E$5,'Sectors Trend'!$B$6:$AQ$23,VLOOKUP(A7,$U:$V,2,),)</f>
        <v>7</v>
      </c>
      <c r="F7" s="4">
        <f>VLOOKUP($F$5,'Sectors Trend'!$B$6:$AQ$23,VLOOKUP(A7,$U:$V,2,),)</f>
        <v>16</v>
      </c>
      <c r="G7" s="4">
        <f>VLOOKUP($G$5,'Sectors Trend'!$B$6:$AQ$23,VLOOKUP(A7,$U:$V,2,),)</f>
        <v>3</v>
      </c>
      <c r="H7" s="4">
        <f>VLOOKUP($H$5,'Sectors Trend'!$B$6:$AQ$23,VLOOKUP(A7,$U:$V,2,),)</f>
        <v>11</v>
      </c>
      <c r="I7" s="4">
        <f>VLOOKUP($I$5,'Sectors Trend'!$B$6:$AQ$23,VLOOKUP(A7,$U:$V,2,),)</f>
        <v>12</v>
      </c>
      <c r="J7" s="4">
        <f>VLOOKUP($J$5,'Sectors Trend'!$B$6:$AQ$23,VLOOKUP(A7,$U:$V,2,),)</f>
        <v>1</v>
      </c>
      <c r="K7" s="4">
        <f>VLOOKUP($K$5,'Sectors Trend'!$B$6:$AQ$23,VLOOKUP(A7,$U:$V,2,),)</f>
        <v>6</v>
      </c>
      <c r="L7" s="4">
        <f>VLOOKUP($L$5,'Sectors Trend'!$B$6:$AQ$23,VLOOKUP(A7,$U:$V,2,),)</f>
        <v>8</v>
      </c>
      <c r="M7" s="4">
        <f>VLOOKUP($M$5,'Sectors Trend'!$B$6:$AQ$23,VLOOKUP(A7,$U:$V,2,),)</f>
        <v>2</v>
      </c>
      <c r="N7" s="4">
        <f>VLOOKUP($N$5,'Sectors Trend'!$B$6:$AQ$23,VLOOKUP(A7,$U:$V,2,),)</f>
        <v>17</v>
      </c>
      <c r="O7" s="4">
        <f>VLOOKUP($O$5,'Sectors Trend'!$B$6:$AQ$23,VLOOKUP(A7,$U:$V,2,),)</f>
        <v>5</v>
      </c>
      <c r="P7" s="4">
        <f>VLOOKUP($P$5,'Sectors Trend'!$B$6:$AQ$23,VLOOKUP(A7,$U:$V,2,),)</f>
        <v>15</v>
      </c>
      <c r="Q7" s="4">
        <f>VLOOKUP($Q$5,'Sectors Trend'!$B$6:$AQ$23,VLOOKUP(A7,$U:$V,2,),)</f>
        <v>10</v>
      </c>
      <c r="R7" s="4">
        <f>VLOOKUP($R$5,'Sectors Trend'!$B$6:$AQ$23,VLOOKUP(A7,$U:$V,2,),)</f>
        <v>4</v>
      </c>
      <c r="S7" s="37">
        <f>VLOOKUP($S$5,'Sectors Trend'!$B$6:$AQ$23,VLOOKUP(A7,$U:$V,2,),)</f>
        <v>14</v>
      </c>
      <c r="U7" s="6">
        <f t="shared" si="0"/>
        <v>44805</v>
      </c>
      <c r="V7" s="1">
        <f t="shared" si="1"/>
        <v>34</v>
      </c>
      <c r="Y7" s="62">
        <f t="shared" si="2"/>
        <v>1</v>
      </c>
      <c r="Z7" s="62">
        <f t="shared" si="3"/>
        <v>18</v>
      </c>
    </row>
    <row r="8" spans="1:26" x14ac:dyDescent="0.35">
      <c r="A8" s="7">
        <f>DATE(YEAR(A9),MONTH(A9)-1,DAY(A9))</f>
        <v>44835</v>
      </c>
      <c r="B8" s="4">
        <f>VLOOKUP($B$5,'Sectors Trend'!$B$6:$AQ$23,VLOOKUP(A8,$U:$V,2,),)</f>
        <v>1</v>
      </c>
      <c r="C8" s="4">
        <f>VLOOKUP($C$5,'Sectors Trend'!$B$6:$AQ$23,VLOOKUP(A8,$U:$V,2,),)</f>
        <v>12</v>
      </c>
      <c r="D8" s="4">
        <f>VLOOKUP($D$5,'Sectors Trend'!$B$6:$AQ$23,VLOOKUP(A8,$U:$V,2,),)</f>
        <v>5</v>
      </c>
      <c r="E8" s="4">
        <f>VLOOKUP($E$5,'Sectors Trend'!$B$6:$AQ$23,VLOOKUP(A8,$U:$V,2,),)</f>
        <v>4</v>
      </c>
      <c r="F8" s="4">
        <f>VLOOKUP($F$5,'Sectors Trend'!$B$6:$AQ$23,VLOOKUP(A8,$U:$V,2,),)</f>
        <v>14</v>
      </c>
      <c r="G8" s="4">
        <f>VLOOKUP($G$5,'Sectors Trend'!$B$6:$AQ$23,VLOOKUP(A8,$U:$V,2,),)</f>
        <v>2</v>
      </c>
      <c r="H8" s="4">
        <f>VLOOKUP($H$5,'Sectors Trend'!$B$6:$AQ$23,VLOOKUP(A8,$U:$V,2,),)</f>
        <v>15</v>
      </c>
      <c r="I8" s="4">
        <f>VLOOKUP($I$5,'Sectors Trend'!$B$6:$AQ$23,VLOOKUP(A8,$U:$V,2,),)</f>
        <v>17</v>
      </c>
      <c r="J8" s="4">
        <f>VLOOKUP($J$5,'Sectors Trend'!$B$6:$AQ$23,VLOOKUP(A8,$U:$V,2,),)</f>
        <v>10</v>
      </c>
      <c r="K8" s="4">
        <f>VLOOKUP($K$5,'Sectors Trend'!$B$6:$AQ$23,VLOOKUP(A8,$U:$V,2,),)</f>
        <v>13</v>
      </c>
      <c r="L8" s="4">
        <f>VLOOKUP($L$5,'Sectors Trend'!$B$6:$AQ$23,VLOOKUP(A8,$U:$V,2,),)</f>
        <v>11</v>
      </c>
      <c r="M8" s="4">
        <f>VLOOKUP($M$5,'Sectors Trend'!$B$6:$AQ$23,VLOOKUP(A8,$U:$V,2,),)</f>
        <v>-1</v>
      </c>
      <c r="N8" s="4">
        <f>VLOOKUP($N$5,'Sectors Trend'!$B$6:$AQ$23,VLOOKUP(A8,$U:$V,2,),)</f>
        <v>7</v>
      </c>
      <c r="O8" s="4">
        <f>VLOOKUP($O$5,'Sectors Trend'!$B$6:$AQ$23,VLOOKUP(A8,$U:$V,2,),)</f>
        <v>8</v>
      </c>
      <c r="P8" s="4">
        <f>VLOOKUP($P$5,'Sectors Trend'!$B$6:$AQ$23,VLOOKUP(A8,$U:$V,2,),)</f>
        <v>3</v>
      </c>
      <c r="Q8" s="4">
        <f>VLOOKUP($Q$5,'Sectors Trend'!$B$6:$AQ$23,VLOOKUP(A8,$U:$V,2,),)</f>
        <v>16</v>
      </c>
      <c r="R8" s="4">
        <f>VLOOKUP($R$5,'Sectors Trend'!$B$6:$AQ$23,VLOOKUP(A8,$U:$V,2,),)</f>
        <v>9</v>
      </c>
      <c r="S8" s="37">
        <f>VLOOKUP($S$5,'Sectors Trend'!$B$6:$AQ$23,VLOOKUP(A8,$U:$V,2,),)</f>
        <v>6</v>
      </c>
      <c r="U8" s="6">
        <f t="shared" si="0"/>
        <v>44835</v>
      </c>
      <c r="V8" s="1">
        <f t="shared" si="1"/>
        <v>35</v>
      </c>
      <c r="Y8" s="62">
        <f t="shared" si="2"/>
        <v>-1</v>
      </c>
      <c r="Z8" s="62">
        <f t="shared" si="3"/>
        <v>17</v>
      </c>
    </row>
    <row r="9" spans="1:26" x14ac:dyDescent="0.35">
      <c r="A9" s="7">
        <f>DATE(YEAR(A10),MONTH(A10)-1,DAY(A10))</f>
        <v>44866</v>
      </c>
      <c r="B9" s="4">
        <f>VLOOKUP($B$5,'Sectors Trend'!$B$6:$AQ$23,VLOOKUP(A9,$U:$V,2,),)</f>
        <v>3</v>
      </c>
      <c r="C9" s="4">
        <f>VLOOKUP($C$5,'Sectors Trend'!$B$6:$AQ$23,VLOOKUP(A9,$U:$V,2,),)</f>
        <v>10</v>
      </c>
      <c r="D9" s="4">
        <f>VLOOKUP($D$5,'Sectors Trend'!$B$6:$AQ$23,VLOOKUP(A9,$U:$V,2,),)</f>
        <v>5</v>
      </c>
      <c r="E9" s="4">
        <f>VLOOKUP($E$5,'Sectors Trend'!$B$6:$AQ$23,VLOOKUP(A9,$U:$V,2,),)</f>
        <v>7</v>
      </c>
      <c r="F9" s="4">
        <f>VLOOKUP($F$5,'Sectors Trend'!$B$6:$AQ$23,VLOOKUP(A9,$U:$V,2,),)</f>
        <v>14</v>
      </c>
      <c r="G9" s="4">
        <f>VLOOKUP($G$5,'Sectors Trend'!$B$6:$AQ$23,VLOOKUP(A9,$U:$V,2,),)</f>
        <v>16</v>
      </c>
      <c r="H9" s="4">
        <f>VLOOKUP($H$5,'Sectors Trend'!$B$6:$AQ$23,VLOOKUP(A9,$U:$V,2,),)</f>
        <v>1</v>
      </c>
      <c r="I9" s="4">
        <f>VLOOKUP($I$5,'Sectors Trend'!$B$6:$AQ$23,VLOOKUP(A9,$U:$V,2,),)</f>
        <v>15</v>
      </c>
      <c r="J9" s="4">
        <f>VLOOKUP($J$5,'Sectors Trend'!$B$6:$AQ$23,VLOOKUP(A9,$U:$V,2,),)</f>
        <v>2</v>
      </c>
      <c r="K9" s="4">
        <f>VLOOKUP($K$5,'Sectors Trend'!$B$6:$AQ$23,VLOOKUP(A9,$U:$V,2,),)</f>
        <v>4</v>
      </c>
      <c r="L9" s="4">
        <f>VLOOKUP($L$5,'Sectors Trend'!$B$6:$AQ$23,VLOOKUP(A9,$U:$V,2,),)</f>
        <v>-1</v>
      </c>
      <c r="M9" s="4">
        <f>VLOOKUP($M$5,'Sectors Trend'!$B$6:$AQ$23,VLOOKUP(A9,$U:$V,2,),)</f>
        <v>-2</v>
      </c>
      <c r="N9" s="4">
        <f>VLOOKUP($N$5,'Sectors Trend'!$B$6:$AQ$23,VLOOKUP(A9,$U:$V,2,),)</f>
        <v>12</v>
      </c>
      <c r="O9" s="4">
        <f>VLOOKUP($O$5,'Sectors Trend'!$B$6:$AQ$23,VLOOKUP(A9,$U:$V,2,),)</f>
        <v>6</v>
      </c>
      <c r="P9" s="4">
        <f>VLOOKUP($P$5,'Sectors Trend'!$B$6:$AQ$23,VLOOKUP(A9,$U:$V,2,),)</f>
        <v>8</v>
      </c>
      <c r="Q9" s="4">
        <f>VLOOKUP($Q$5,'Sectors Trend'!$B$6:$AQ$23,VLOOKUP(A9,$U:$V,2,),)</f>
        <v>9</v>
      </c>
      <c r="R9" s="4">
        <f>VLOOKUP($R$5,'Sectors Trend'!$B$6:$AQ$23,VLOOKUP(A9,$U:$V,2,),)</f>
        <v>11</v>
      </c>
      <c r="S9" s="37">
        <f>VLOOKUP($S$5,'Sectors Trend'!$B$6:$AQ$23,VLOOKUP(A9,$U:$V,2,),)</f>
        <v>13</v>
      </c>
      <c r="U9" s="6">
        <f t="shared" si="0"/>
        <v>44866</v>
      </c>
      <c r="V9" s="1">
        <f t="shared" si="1"/>
        <v>36</v>
      </c>
      <c r="Y9" s="62">
        <f t="shared" si="2"/>
        <v>-2</v>
      </c>
      <c r="Z9" s="62">
        <f t="shared" si="3"/>
        <v>16</v>
      </c>
    </row>
    <row r="10" spans="1:26" x14ac:dyDescent="0.35">
      <c r="A10" s="7">
        <f>DATE(YEAR(A11),MONTH(A11)-1,DAY(A11))</f>
        <v>44896</v>
      </c>
      <c r="B10" s="4">
        <f>VLOOKUP($B$5,'Sectors Trend'!$B$6:$AQ$23,VLOOKUP(A10,$U:$V,2,),)</f>
        <v>11</v>
      </c>
      <c r="C10" s="4">
        <f>VLOOKUP($C$5,'Sectors Trend'!$B$6:$AQ$23,VLOOKUP(A10,$U:$V,2,),)</f>
        <v>10</v>
      </c>
      <c r="D10" s="4">
        <f>VLOOKUP($D$5,'Sectors Trend'!$B$6:$AQ$23,VLOOKUP(A10,$U:$V,2,),)</f>
        <v>0</v>
      </c>
      <c r="E10" s="4">
        <f>VLOOKUP($E$5,'Sectors Trend'!$B$6:$AQ$23,VLOOKUP(A10,$U:$V,2,),)</f>
        <v>6</v>
      </c>
      <c r="F10" s="4">
        <f>VLOOKUP($F$5,'Sectors Trend'!$B$6:$AQ$23,VLOOKUP(A10,$U:$V,2,),)</f>
        <v>13</v>
      </c>
      <c r="G10" s="4">
        <f>VLOOKUP($G$5,'Sectors Trend'!$B$6:$AQ$23,VLOOKUP(A10,$U:$V,2,),)</f>
        <v>8</v>
      </c>
      <c r="H10" s="4">
        <f>VLOOKUP($H$5,'Sectors Trend'!$B$6:$AQ$23,VLOOKUP(A10,$U:$V,2,),)</f>
        <v>4</v>
      </c>
      <c r="I10" s="4">
        <f>VLOOKUP($I$5,'Sectors Trend'!$B$6:$AQ$23,VLOOKUP(A10,$U:$V,2,),)</f>
        <v>0</v>
      </c>
      <c r="J10" s="4">
        <f>VLOOKUP($J$5,'Sectors Trend'!$B$6:$AQ$23,VLOOKUP(A10,$U:$V,2,),)</f>
        <v>3</v>
      </c>
      <c r="K10" s="4">
        <f>VLOOKUP($K$5,'Sectors Trend'!$B$6:$AQ$23,VLOOKUP(A10,$U:$V,2,),)</f>
        <v>0</v>
      </c>
      <c r="L10" s="4">
        <f>VLOOKUP($L$5,'Sectors Trend'!$B$6:$AQ$23,VLOOKUP(A10,$U:$V,2,),)</f>
        <v>2</v>
      </c>
      <c r="M10" s="4">
        <f>VLOOKUP($M$5,'Sectors Trend'!$B$6:$AQ$23,VLOOKUP(A10,$U:$V,2,),)</f>
        <v>1</v>
      </c>
      <c r="N10" s="4">
        <f>VLOOKUP($N$5,'Sectors Trend'!$B$6:$AQ$23,VLOOKUP(A10,$U:$V,2,),)</f>
        <v>15</v>
      </c>
      <c r="O10" s="4">
        <f>VLOOKUP($O$5,'Sectors Trend'!$B$6:$AQ$23,VLOOKUP(A10,$U:$V,2,),)</f>
        <v>9</v>
      </c>
      <c r="P10" s="4">
        <f>VLOOKUP($P$5,'Sectors Trend'!$B$6:$AQ$23,VLOOKUP(A10,$U:$V,2,),)</f>
        <v>7</v>
      </c>
      <c r="Q10" s="4">
        <f>VLOOKUP($Q$5,'Sectors Trend'!$B$6:$AQ$23,VLOOKUP(A10,$U:$V,2,),)</f>
        <v>14</v>
      </c>
      <c r="R10" s="4">
        <f>VLOOKUP($R$5,'Sectors Trend'!$B$6:$AQ$23,VLOOKUP(A10,$U:$V,2,),)</f>
        <v>5</v>
      </c>
      <c r="S10" s="37">
        <f>VLOOKUP($S$5,'Sectors Trend'!$B$6:$AQ$23,VLOOKUP(A10,$U:$V,2,),)</f>
        <v>12</v>
      </c>
      <c r="U10" s="6">
        <f t="shared" si="0"/>
        <v>44896</v>
      </c>
      <c r="V10" s="1">
        <f t="shared" si="1"/>
        <v>37</v>
      </c>
      <c r="Y10" s="62">
        <f t="shared" si="2"/>
        <v>0</v>
      </c>
      <c r="Z10" s="62">
        <f t="shared" si="3"/>
        <v>15</v>
      </c>
    </row>
    <row r="11" spans="1:26" ht="16" customHeight="1" thickBot="1" x14ac:dyDescent="0.4">
      <c r="A11" s="7">
        <f>L1</f>
        <v>44927</v>
      </c>
      <c r="B11" s="38">
        <f>VLOOKUP($B$5,'Sectors Trend'!$B$6:$AQ$23,VLOOKUP(A11,$U:$V,2,),)</f>
        <v>5</v>
      </c>
      <c r="C11" s="38">
        <f>VLOOKUP($C$5,'Sectors Trend'!$B$6:$AQ$23,VLOOKUP(A11,$U:$V,2,),)</f>
        <v>12</v>
      </c>
      <c r="D11" s="38">
        <f>VLOOKUP($D$5,'Sectors Trend'!$B$6:$AQ$23,VLOOKUP(A11,$U:$V,2,),)</f>
        <v>15</v>
      </c>
      <c r="E11" s="38">
        <f>VLOOKUP($E$5,'Sectors Trend'!$B$6:$AQ$23,VLOOKUP(A11,$U:$V,2,),)</f>
        <v>10</v>
      </c>
      <c r="F11" s="38">
        <f>VLOOKUP($F$5,'Sectors Trend'!$B$6:$AQ$23,VLOOKUP(A11,$U:$V,2,),)</f>
        <v>8</v>
      </c>
      <c r="G11" s="38">
        <f>VLOOKUP($G$5,'Sectors Trend'!$B$6:$AQ$23,VLOOKUP(A11,$U:$V,2,),)</f>
        <v>9</v>
      </c>
      <c r="H11" s="38">
        <f>VLOOKUP($H$5,'Sectors Trend'!$B$6:$AQ$23,VLOOKUP(A11,$U:$V,2,),)</f>
        <v>2</v>
      </c>
      <c r="I11" s="38">
        <f>VLOOKUP($I$5,'Sectors Trend'!$B$6:$AQ$23,VLOOKUP(A11,$U:$V,2,),)</f>
        <v>13</v>
      </c>
      <c r="J11" s="38">
        <f>VLOOKUP($J$5,'Sectors Trend'!$B$6:$AQ$23,VLOOKUP(A11,$U:$V,2,),)</f>
        <v>0</v>
      </c>
      <c r="K11" s="38">
        <f>VLOOKUP($K$5,'Sectors Trend'!$B$6:$AQ$23,VLOOKUP(A11,$U:$V,2,),)</f>
        <v>0</v>
      </c>
      <c r="L11" s="38">
        <f>VLOOKUP($L$5,'Sectors Trend'!$B$6:$AQ$23,VLOOKUP(A11,$U:$V,2,),)</f>
        <v>-1</v>
      </c>
      <c r="M11" s="38">
        <f>VLOOKUP($M$5,'Sectors Trend'!$B$6:$AQ$23,VLOOKUP(A11,$U:$V,2,),)</f>
        <v>1</v>
      </c>
      <c r="N11" s="38">
        <f>VLOOKUP($N$5,'Sectors Trend'!$B$6:$AQ$23,VLOOKUP(A11,$U:$V,2,),)</f>
        <v>7</v>
      </c>
      <c r="O11" s="38">
        <f>VLOOKUP($O$5,'Sectors Trend'!$B$6:$AQ$23,VLOOKUP(A11,$U:$V,2,),)</f>
        <v>6</v>
      </c>
      <c r="P11" s="38">
        <f>VLOOKUP($P$5,'Sectors Trend'!$B$6:$AQ$23,VLOOKUP(A11,$U:$V,2,),)</f>
        <v>4</v>
      </c>
      <c r="Q11" s="38">
        <f>VLOOKUP($Q$5,'Sectors Trend'!$B$6:$AQ$23,VLOOKUP(A11,$U:$V,2,),)</f>
        <v>3</v>
      </c>
      <c r="R11" s="38">
        <f>VLOOKUP($R$5,'Sectors Trend'!$B$6:$AQ$23,VLOOKUP(A11,$U:$V,2,),)</f>
        <v>11</v>
      </c>
      <c r="S11" s="39">
        <f>VLOOKUP($S$5,'Sectors Trend'!$B$6:$AQ$23,VLOOKUP(A11,$U:$V,2,),)</f>
        <v>14</v>
      </c>
      <c r="U11" s="6">
        <f>L1</f>
        <v>44927</v>
      </c>
      <c r="V11" s="1">
        <f>L2+1</f>
        <v>38</v>
      </c>
      <c r="Y11" s="62">
        <f t="shared" si="2"/>
        <v>-1</v>
      </c>
      <c r="Z11" s="62">
        <f t="shared" si="3"/>
        <v>15</v>
      </c>
    </row>
    <row r="12" spans="1:26" x14ac:dyDescent="0.35">
      <c r="R12" s="6"/>
    </row>
    <row r="13" spans="1:26" x14ac:dyDescent="0.35">
      <c r="R13" s="6"/>
    </row>
    <row r="14" spans="1:26" x14ac:dyDescent="0.35">
      <c r="R14" s="6"/>
    </row>
    <row r="15" spans="1:26" x14ac:dyDescent="0.35">
      <c r="R15" s="6"/>
    </row>
    <row r="16" spans="1:26" x14ac:dyDescent="0.35">
      <c r="R16" s="6"/>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70" zoomScaleNormal="70" workbookViewId="0">
      <selection activeCell="L1" sqref="L1"/>
    </sheetView>
  </sheetViews>
  <sheetFormatPr defaultColWidth="9.1796875" defaultRowHeight="14.5" x14ac:dyDescent="0.35"/>
  <cols>
    <col min="1" max="1" width="9.6328125" style="62" customWidth="1"/>
    <col min="2" max="18" width="8.81640625" style="62" customWidth="1"/>
    <col min="19" max="19" width="10.453125" style="62" customWidth="1"/>
    <col min="20" max="20" width="8.81640625" style="62" customWidth="1"/>
    <col min="21" max="46" width="9.1796875" style="62" customWidth="1"/>
    <col min="47" max="16384" width="9.1796875" style="62"/>
  </cols>
  <sheetData>
    <row r="1" spans="1:26" x14ac:dyDescent="0.35">
      <c r="J1" s="62" t="s">
        <v>68</v>
      </c>
      <c r="L1" s="6">
        <f>Sectors!L1</f>
        <v>44927</v>
      </c>
      <c r="O1" s="5"/>
    </row>
    <row r="2" spans="1:26" x14ac:dyDescent="0.35">
      <c r="L2" s="62">
        <f>Sectors!L2</f>
        <v>37</v>
      </c>
      <c r="Y2" s="6"/>
    </row>
    <row r="4" spans="1:26" x14ac:dyDescent="0.35">
      <c r="U4" s="6">
        <f t="shared" ref="U4:U10" si="0">DATE(YEAR(U5),MONTH(U5)-1,DAY(U5))</f>
        <v>44713</v>
      </c>
      <c r="V4" s="1">
        <f t="shared" ref="V4:V10" si="1">V5-1</f>
        <v>31</v>
      </c>
    </row>
    <row r="5" spans="1:26" ht="89.25" customHeight="1" thickBot="1" x14ac:dyDescent="0.4">
      <c r="A5" s="7"/>
      <c r="B5" s="41" t="s">
        <v>45</v>
      </c>
      <c r="C5" s="41" t="s">
        <v>46</v>
      </c>
      <c r="D5" s="41" t="s">
        <v>29</v>
      </c>
      <c r="E5" s="41" t="s">
        <v>30</v>
      </c>
      <c r="F5" s="41" t="s">
        <v>31</v>
      </c>
      <c r="G5" s="41" t="s">
        <v>32</v>
      </c>
      <c r="H5" s="41" t="s">
        <v>33</v>
      </c>
      <c r="I5" s="41" t="s">
        <v>34</v>
      </c>
      <c r="J5" s="41" t="s">
        <v>35</v>
      </c>
      <c r="K5" s="41" t="s">
        <v>36</v>
      </c>
      <c r="L5" s="41" t="s">
        <v>37</v>
      </c>
      <c r="M5" s="41" t="s">
        <v>38</v>
      </c>
      <c r="N5" s="41" t="s">
        <v>39</v>
      </c>
      <c r="O5" s="41" t="s">
        <v>40</v>
      </c>
      <c r="P5" s="41" t="s">
        <v>41</v>
      </c>
      <c r="Q5" s="41" t="s">
        <v>42</v>
      </c>
      <c r="R5" s="41" t="s">
        <v>43</v>
      </c>
      <c r="S5" s="41" t="s">
        <v>44</v>
      </c>
      <c r="U5" s="6">
        <f t="shared" si="0"/>
        <v>44743</v>
      </c>
      <c r="V5" s="1">
        <f t="shared" si="1"/>
        <v>32</v>
      </c>
      <c r="Y5" s="62" t="s">
        <v>69</v>
      </c>
      <c r="Z5" s="62" t="s">
        <v>70</v>
      </c>
    </row>
    <row r="6" spans="1:26" x14ac:dyDescent="0.35">
      <c r="A6" s="7">
        <f>DATE(YEAR(A7),MONTH(A7)-1,DAY(A7))</f>
        <v>44774</v>
      </c>
      <c r="B6" s="35">
        <f>VLOOKUP($B$5,'Sectors Trend'!$B$28:$AQ$45,VLOOKUP(A6,$U:$V,2,),)</f>
        <v>0</v>
      </c>
      <c r="C6" s="35">
        <f>VLOOKUP($C$5,'Sectors Trend'!$B$28:$AQ$45,VLOOKUP(A6,$U:$V,2,),)</f>
        <v>10</v>
      </c>
      <c r="D6" s="35">
        <f>VLOOKUP($D$5,'Sectors Trend'!$B$28:$AQ$45,VLOOKUP(A6,$U:$V,2,),)</f>
        <v>-1</v>
      </c>
      <c r="E6" s="35">
        <f>VLOOKUP($E$5,'Sectors Trend'!$B$28:$AQ$45,VLOOKUP(A6,$U:$V,2,),)</f>
        <v>0</v>
      </c>
      <c r="F6" s="35">
        <f>VLOOKUP($F$5,'Sectors Trend'!$B$28:$AQ$45,VLOOKUP(A6,$U:$V,2,),)</f>
        <v>2</v>
      </c>
      <c r="G6" s="35">
        <f>VLOOKUP($G$5,'Sectors Trend'!$B$28:$AQ$45,VLOOKUP(A6,$U:$V,2,),)</f>
        <v>-2</v>
      </c>
      <c r="H6" s="35">
        <f>VLOOKUP($H$5,'Sectors Trend'!$B$28:$AQ$45,VLOOKUP(A6,$U:$V,2,),)</f>
        <v>1</v>
      </c>
      <c r="I6" s="35">
        <f>VLOOKUP($I$5,'Sectors Trend'!$B$28:$AQ$45,VLOOKUP(A6,$U:$V,2,),)</f>
        <v>11</v>
      </c>
      <c r="J6" s="35">
        <f>VLOOKUP($J$5,'Sectors Trend'!$B$28:$AQ$45,VLOOKUP(A6,$U:$V,2,),)</f>
        <v>5</v>
      </c>
      <c r="K6" s="35">
        <f>VLOOKUP($K$5,'Sectors Trend'!$B$28:$AQ$45,VLOOKUP(A6,$U:$V,2,),)</f>
        <v>0</v>
      </c>
      <c r="L6" s="35">
        <f>VLOOKUP($L$5,'Sectors Trend'!$B$28:$AQ$45,VLOOKUP(A6,$U:$V,2,),)</f>
        <v>7</v>
      </c>
      <c r="M6" s="35">
        <f>VLOOKUP($M$5,'Sectors Trend'!$B$28:$AQ$45,VLOOKUP(A6,$U:$V,2,),)</f>
        <v>6</v>
      </c>
      <c r="N6" s="35">
        <f>VLOOKUP($N$5,'Sectors Trend'!$B$28:$AQ$45,VLOOKUP(A6,$U:$V,2,),)</f>
        <v>4</v>
      </c>
      <c r="O6" s="35">
        <f>VLOOKUP($O$5,'Sectors Trend'!$B$28:$AQ$45,VLOOKUP(A6,$U:$V,2,),)</f>
        <v>3</v>
      </c>
      <c r="P6" s="35">
        <f>VLOOKUP($P$5,'Sectors Trend'!$B$28:$AQ$45,VLOOKUP(A6,$U:$V,2,),)</f>
        <v>-3</v>
      </c>
      <c r="Q6" s="35">
        <f>VLOOKUP($Q$5,'Sectors Trend'!$B$28:$AQ$45,VLOOKUP(A6,$U:$V,2,),)</f>
        <v>9</v>
      </c>
      <c r="R6" s="35">
        <f>VLOOKUP($R$5,'Sectors Trend'!$B$28:$AQ$45,VLOOKUP(A6,$U:$V,2,),)</f>
        <v>8</v>
      </c>
      <c r="S6" s="36">
        <f>VLOOKUP($S$5,'Sectors Trend'!$B$28:$AQ$45,VLOOKUP(A6,$U:$V,2,),)</f>
        <v>0</v>
      </c>
      <c r="U6" s="6">
        <f t="shared" si="0"/>
        <v>44774</v>
      </c>
      <c r="V6" s="1">
        <f t="shared" si="1"/>
        <v>33</v>
      </c>
      <c r="Y6" s="62">
        <f t="shared" ref="Y6:Y11" si="2">MIN(B6:S6)</f>
        <v>-3</v>
      </c>
      <c r="Z6" s="62">
        <f t="shared" ref="Z6:Z11" si="3">MAX(B6:S6)</f>
        <v>11</v>
      </c>
    </row>
    <row r="7" spans="1:26" x14ac:dyDescent="0.35">
      <c r="A7" s="7">
        <f>DATE(YEAR(A8),MONTH(A8)-1,DAY(A8))</f>
        <v>44805</v>
      </c>
      <c r="B7" s="4">
        <f>VLOOKUP($B$5,'Sectors Trend'!$B$28:$AQ$45,VLOOKUP(A7,$U:$V,2,),)</f>
        <v>2</v>
      </c>
      <c r="C7" s="4">
        <f>VLOOKUP($C$5,'Sectors Trend'!$B$28:$AQ$45,VLOOKUP(A7,$U:$V,2,),)</f>
        <v>7</v>
      </c>
      <c r="D7" s="4">
        <f>VLOOKUP($D$5,'Sectors Trend'!$B$28:$AQ$45,VLOOKUP(A7,$U:$V,2,),)</f>
        <v>-1</v>
      </c>
      <c r="E7" s="4">
        <f>VLOOKUP($E$5,'Sectors Trend'!$B$28:$AQ$45,VLOOKUP(A7,$U:$V,2,),)</f>
        <v>12</v>
      </c>
      <c r="F7" s="4">
        <f>VLOOKUP($F$5,'Sectors Trend'!$B$28:$AQ$45,VLOOKUP(A7,$U:$V,2,),)</f>
        <v>9</v>
      </c>
      <c r="G7" s="4">
        <f>VLOOKUP($G$5,'Sectors Trend'!$B$28:$AQ$45,VLOOKUP(A7,$U:$V,2,),)</f>
        <v>-2</v>
      </c>
      <c r="H7" s="4">
        <f>VLOOKUP($H$5,'Sectors Trend'!$B$28:$AQ$45,VLOOKUP(A7,$U:$V,2,),)</f>
        <v>8</v>
      </c>
      <c r="I7" s="4">
        <f>VLOOKUP($I$5,'Sectors Trend'!$B$28:$AQ$45,VLOOKUP(A7,$U:$V,2,),)</f>
        <v>5</v>
      </c>
      <c r="J7" s="4">
        <f>VLOOKUP($J$5,'Sectors Trend'!$B$28:$AQ$45,VLOOKUP(A7,$U:$V,2,),)</f>
        <v>1</v>
      </c>
      <c r="K7" s="4">
        <f>VLOOKUP($K$5,'Sectors Trend'!$B$28:$AQ$45,VLOOKUP(A7,$U:$V,2,),)</f>
        <v>14</v>
      </c>
      <c r="L7" s="4">
        <f>VLOOKUP($L$5,'Sectors Trend'!$B$28:$AQ$45,VLOOKUP(A7,$U:$V,2,),)</f>
        <v>0</v>
      </c>
      <c r="M7" s="4">
        <f>VLOOKUP($M$5,'Sectors Trend'!$B$28:$AQ$45,VLOOKUP(A7,$U:$V,2,),)</f>
        <v>10</v>
      </c>
      <c r="N7" s="4">
        <f>VLOOKUP($N$5,'Sectors Trend'!$B$28:$AQ$45,VLOOKUP(A7,$U:$V,2,),)</f>
        <v>4</v>
      </c>
      <c r="O7" s="4">
        <f>VLOOKUP($O$5,'Sectors Trend'!$B$28:$AQ$45,VLOOKUP(A7,$U:$V,2,),)</f>
        <v>3</v>
      </c>
      <c r="P7" s="4">
        <f>VLOOKUP($P$5,'Sectors Trend'!$B$28:$AQ$45,VLOOKUP(A7,$U:$V,2,),)</f>
        <v>6</v>
      </c>
      <c r="Q7" s="4">
        <f>VLOOKUP($Q$5,'Sectors Trend'!$B$28:$AQ$45,VLOOKUP(A7,$U:$V,2,),)</f>
        <v>13</v>
      </c>
      <c r="R7" s="4">
        <f>VLOOKUP($R$5,'Sectors Trend'!$B$28:$AQ$45,VLOOKUP(A7,$U:$V,2,),)</f>
        <v>11</v>
      </c>
      <c r="S7" s="37">
        <f>VLOOKUP($S$5,'Sectors Trend'!$B$28:$AQ$45,VLOOKUP(A7,$U:$V,2,),)</f>
        <v>0</v>
      </c>
      <c r="U7" s="6">
        <f t="shared" si="0"/>
        <v>44805</v>
      </c>
      <c r="V7" s="1">
        <f t="shared" si="1"/>
        <v>34</v>
      </c>
      <c r="Y7" s="62">
        <f t="shared" si="2"/>
        <v>-2</v>
      </c>
      <c r="Z7" s="62">
        <f t="shared" si="3"/>
        <v>14</v>
      </c>
    </row>
    <row r="8" spans="1:26" x14ac:dyDescent="0.35">
      <c r="A8" s="7">
        <f>DATE(YEAR(A9),MONTH(A9)-1,DAY(A9))</f>
        <v>44835</v>
      </c>
      <c r="B8" s="4">
        <f>VLOOKUP($B$5,'Sectors Trend'!$B$28:$AQ$45,VLOOKUP(A8,$U:$V,2,),)</f>
        <v>3</v>
      </c>
      <c r="C8" s="4">
        <f>VLOOKUP($C$5,'Sectors Trend'!$B$28:$AQ$45,VLOOKUP(A8,$U:$V,2,),)</f>
        <v>8</v>
      </c>
      <c r="D8" s="4">
        <f>VLOOKUP($D$5,'Sectors Trend'!$B$28:$AQ$45,VLOOKUP(A8,$U:$V,2,),)</f>
        <v>11</v>
      </c>
      <c r="E8" s="4">
        <f>VLOOKUP($E$5,'Sectors Trend'!$B$28:$AQ$45,VLOOKUP(A8,$U:$V,2,),)</f>
        <v>5</v>
      </c>
      <c r="F8" s="4">
        <f>VLOOKUP($F$5,'Sectors Trend'!$B$28:$AQ$45,VLOOKUP(A8,$U:$V,2,),)</f>
        <v>1</v>
      </c>
      <c r="G8" s="4">
        <f>VLOOKUP($G$5,'Sectors Trend'!$B$28:$AQ$45,VLOOKUP(A8,$U:$V,2,),)</f>
        <v>7</v>
      </c>
      <c r="H8" s="4">
        <f>VLOOKUP($H$5,'Sectors Trend'!$B$28:$AQ$45,VLOOKUP(A8,$U:$V,2,),)</f>
        <v>4</v>
      </c>
      <c r="I8" s="4">
        <f>VLOOKUP($I$5,'Sectors Trend'!$B$28:$AQ$45,VLOOKUP(A8,$U:$V,2,),)</f>
        <v>-2</v>
      </c>
      <c r="J8" s="4">
        <f>VLOOKUP($J$5,'Sectors Trend'!$B$28:$AQ$45,VLOOKUP(A8,$U:$V,2,),)</f>
        <v>9</v>
      </c>
      <c r="K8" s="4">
        <f>VLOOKUP($K$5,'Sectors Trend'!$B$28:$AQ$45,VLOOKUP(A8,$U:$V,2,),)</f>
        <v>15</v>
      </c>
      <c r="L8" s="4">
        <f>VLOOKUP($L$5,'Sectors Trend'!$B$28:$AQ$45,VLOOKUP(A8,$U:$V,2,),)</f>
        <v>13</v>
      </c>
      <c r="M8" s="4">
        <f>VLOOKUP($M$5,'Sectors Trend'!$B$28:$AQ$45,VLOOKUP(A8,$U:$V,2,),)</f>
        <v>2</v>
      </c>
      <c r="N8" s="4">
        <f>VLOOKUP($N$5,'Sectors Trend'!$B$28:$AQ$45,VLOOKUP(A8,$U:$V,2,),)</f>
        <v>0</v>
      </c>
      <c r="O8" s="4">
        <f>VLOOKUP($O$5,'Sectors Trend'!$B$28:$AQ$45,VLOOKUP(A8,$U:$V,2,),)</f>
        <v>6</v>
      </c>
      <c r="P8" s="4">
        <f>VLOOKUP($P$5,'Sectors Trend'!$B$28:$AQ$45,VLOOKUP(A8,$U:$V,2,),)</f>
        <v>14</v>
      </c>
      <c r="Q8" s="4">
        <f>VLOOKUP($Q$5,'Sectors Trend'!$B$28:$AQ$45,VLOOKUP(A8,$U:$V,2,),)</f>
        <v>12</v>
      </c>
      <c r="R8" s="4">
        <f>VLOOKUP($R$5,'Sectors Trend'!$B$28:$AQ$45,VLOOKUP(A8,$U:$V,2,),)</f>
        <v>10</v>
      </c>
      <c r="S8" s="37">
        <f>VLOOKUP($S$5,'Sectors Trend'!$B$28:$AQ$45,VLOOKUP(A8,$U:$V,2,),)</f>
        <v>-1</v>
      </c>
      <c r="U8" s="6">
        <f t="shared" si="0"/>
        <v>44835</v>
      </c>
      <c r="V8" s="1">
        <f t="shared" si="1"/>
        <v>35</v>
      </c>
      <c r="Y8" s="62">
        <f t="shared" si="2"/>
        <v>-2</v>
      </c>
      <c r="Z8" s="62">
        <f t="shared" si="3"/>
        <v>15</v>
      </c>
    </row>
    <row r="9" spans="1:26" x14ac:dyDescent="0.35">
      <c r="A9" s="7">
        <f>DATE(YEAR(A10),MONTH(A10)-1,DAY(A10))</f>
        <v>44866</v>
      </c>
      <c r="B9" s="4">
        <f>VLOOKUP($B$5,'Sectors Trend'!$B$28:$AQ$45,VLOOKUP(A9,$U:$V,2,),)</f>
        <v>3</v>
      </c>
      <c r="C9" s="4">
        <f>VLOOKUP($C$5,'Sectors Trend'!$B$28:$AQ$45,VLOOKUP(A9,$U:$V,2,),)</f>
        <v>0</v>
      </c>
      <c r="D9" s="4">
        <f>VLOOKUP($D$5,'Sectors Trend'!$B$28:$AQ$45,VLOOKUP(A9,$U:$V,2,),)</f>
        <v>0</v>
      </c>
      <c r="E9" s="4">
        <f>VLOOKUP($E$5,'Sectors Trend'!$B$28:$AQ$45,VLOOKUP(A9,$U:$V,2,),)</f>
        <v>10</v>
      </c>
      <c r="F9" s="4">
        <f>VLOOKUP($F$5,'Sectors Trend'!$B$28:$AQ$45,VLOOKUP(A9,$U:$V,2,),)</f>
        <v>6</v>
      </c>
      <c r="G9" s="4">
        <f>VLOOKUP($G$5,'Sectors Trend'!$B$28:$AQ$45,VLOOKUP(A9,$U:$V,2,),)</f>
        <v>12</v>
      </c>
      <c r="H9" s="4">
        <f>VLOOKUP($H$5,'Sectors Trend'!$B$28:$AQ$45,VLOOKUP(A9,$U:$V,2,),)</f>
        <v>0</v>
      </c>
      <c r="I9" s="4">
        <f>VLOOKUP($I$5,'Sectors Trend'!$B$28:$AQ$45,VLOOKUP(A9,$U:$V,2,),)</f>
        <v>13</v>
      </c>
      <c r="J9" s="4">
        <f>VLOOKUP($J$5,'Sectors Trend'!$B$28:$AQ$45,VLOOKUP(A9,$U:$V,2,),)</f>
        <v>2</v>
      </c>
      <c r="K9" s="4">
        <f>VLOOKUP($K$5,'Sectors Trend'!$B$28:$AQ$45,VLOOKUP(A9,$U:$V,2,),)</f>
        <v>11</v>
      </c>
      <c r="L9" s="4">
        <f>VLOOKUP($L$5,'Sectors Trend'!$B$28:$AQ$45,VLOOKUP(A9,$U:$V,2,),)</f>
        <v>8</v>
      </c>
      <c r="M9" s="4">
        <f>VLOOKUP($M$5,'Sectors Trend'!$B$28:$AQ$45,VLOOKUP(A9,$U:$V,2,),)</f>
        <v>1</v>
      </c>
      <c r="N9" s="4">
        <f>VLOOKUP($N$5,'Sectors Trend'!$B$28:$AQ$45,VLOOKUP(A9,$U:$V,2,),)</f>
        <v>9</v>
      </c>
      <c r="O9" s="4">
        <f>VLOOKUP($O$5,'Sectors Trend'!$B$28:$AQ$45,VLOOKUP(A9,$U:$V,2,),)</f>
        <v>4</v>
      </c>
      <c r="P9" s="4">
        <f>VLOOKUP($P$5,'Sectors Trend'!$B$28:$AQ$45,VLOOKUP(A9,$U:$V,2,),)</f>
        <v>7</v>
      </c>
      <c r="Q9" s="4">
        <f>VLOOKUP($Q$5,'Sectors Trend'!$B$28:$AQ$45,VLOOKUP(A9,$U:$V,2,),)</f>
        <v>5</v>
      </c>
      <c r="R9" s="4">
        <f>VLOOKUP($R$5,'Sectors Trend'!$B$28:$AQ$45,VLOOKUP(A9,$U:$V,2,),)</f>
        <v>0</v>
      </c>
      <c r="S9" s="37">
        <f>VLOOKUP($S$5,'Sectors Trend'!$B$28:$AQ$45,VLOOKUP(A9,$U:$V,2,),)</f>
        <v>0</v>
      </c>
      <c r="U9" s="6">
        <f t="shared" si="0"/>
        <v>44866</v>
      </c>
      <c r="V9" s="1">
        <f t="shared" si="1"/>
        <v>36</v>
      </c>
      <c r="Y9" s="62">
        <f t="shared" si="2"/>
        <v>0</v>
      </c>
      <c r="Z9" s="62">
        <f t="shared" si="3"/>
        <v>13</v>
      </c>
    </row>
    <row r="10" spans="1:26" x14ac:dyDescent="0.35">
      <c r="A10" s="7">
        <f>DATE(YEAR(A11),MONTH(A11)-1,DAY(A11))</f>
        <v>44896</v>
      </c>
      <c r="B10" s="4">
        <f>VLOOKUP($B$5,'Sectors Trend'!$B$28:$AQ$45,VLOOKUP(A10,$U:$V,2,),)</f>
        <v>11</v>
      </c>
      <c r="C10" s="4">
        <f>VLOOKUP($C$5,'Sectors Trend'!$B$28:$AQ$45,VLOOKUP(A10,$U:$V,2,),)</f>
        <v>5</v>
      </c>
      <c r="D10" s="4">
        <f>VLOOKUP($D$5,'Sectors Trend'!$B$28:$AQ$45,VLOOKUP(A10,$U:$V,2,),)</f>
        <v>0</v>
      </c>
      <c r="E10" s="4">
        <f>VLOOKUP($E$5,'Sectors Trend'!$B$28:$AQ$45,VLOOKUP(A10,$U:$V,2,),)</f>
        <v>-3</v>
      </c>
      <c r="F10" s="4">
        <f>VLOOKUP($F$5,'Sectors Trend'!$B$28:$AQ$45,VLOOKUP(A10,$U:$V,2,),)</f>
        <v>9</v>
      </c>
      <c r="G10" s="4">
        <f>VLOOKUP($G$5,'Sectors Trend'!$B$28:$AQ$45,VLOOKUP(A10,$U:$V,2,),)</f>
        <v>8</v>
      </c>
      <c r="H10" s="4">
        <f>VLOOKUP($H$5,'Sectors Trend'!$B$28:$AQ$45,VLOOKUP(A10,$U:$V,2,),)</f>
        <v>3</v>
      </c>
      <c r="I10" s="4">
        <f>VLOOKUP($I$5,'Sectors Trend'!$B$28:$AQ$45,VLOOKUP(A10,$U:$V,2,),)</f>
        <v>-4</v>
      </c>
      <c r="J10" s="4">
        <f>VLOOKUP($J$5,'Sectors Trend'!$B$28:$AQ$45,VLOOKUP(A10,$U:$V,2,),)</f>
        <v>4</v>
      </c>
      <c r="K10" s="4">
        <f>VLOOKUP($K$5,'Sectors Trend'!$B$28:$AQ$45,VLOOKUP(A10,$U:$V,2,),)</f>
        <v>10</v>
      </c>
      <c r="L10" s="4">
        <f>VLOOKUP($L$5,'Sectors Trend'!$B$28:$AQ$45,VLOOKUP(A10,$U:$V,2,),)</f>
        <v>1</v>
      </c>
      <c r="M10" s="4">
        <f>VLOOKUP($M$5,'Sectors Trend'!$B$28:$AQ$45,VLOOKUP(A10,$U:$V,2,),)</f>
        <v>-2</v>
      </c>
      <c r="N10" s="4">
        <f>VLOOKUP($N$5,'Sectors Trend'!$B$28:$AQ$45,VLOOKUP(A10,$U:$V,2,),)</f>
        <v>7</v>
      </c>
      <c r="O10" s="4">
        <f>VLOOKUP($O$5,'Sectors Trend'!$B$28:$AQ$45,VLOOKUP(A10,$U:$V,2,),)</f>
        <v>0</v>
      </c>
      <c r="P10" s="4">
        <f>VLOOKUP($P$5,'Sectors Trend'!$B$28:$AQ$45,VLOOKUP(A10,$U:$V,2,),)</f>
        <v>0</v>
      </c>
      <c r="Q10" s="4">
        <f>VLOOKUP($Q$5,'Sectors Trend'!$B$28:$AQ$45,VLOOKUP(A10,$U:$V,2,),)</f>
        <v>-1</v>
      </c>
      <c r="R10" s="4">
        <f>VLOOKUP($R$5,'Sectors Trend'!$B$28:$AQ$45,VLOOKUP(A10,$U:$V,2,),)</f>
        <v>2</v>
      </c>
      <c r="S10" s="37">
        <f>VLOOKUP($S$5,'Sectors Trend'!$B$28:$AQ$45,VLOOKUP(A10,$U:$V,2,),)</f>
        <v>6</v>
      </c>
      <c r="U10" s="6">
        <f t="shared" si="0"/>
        <v>44896</v>
      </c>
      <c r="V10" s="1">
        <f t="shared" si="1"/>
        <v>37</v>
      </c>
      <c r="Y10" s="62">
        <f t="shared" si="2"/>
        <v>-4</v>
      </c>
      <c r="Z10" s="62">
        <f t="shared" si="3"/>
        <v>11</v>
      </c>
    </row>
    <row r="11" spans="1:26" ht="16" customHeight="1" thickBot="1" x14ac:dyDescent="0.4">
      <c r="A11" s="7">
        <f>L1</f>
        <v>44927</v>
      </c>
      <c r="B11" s="38">
        <f>VLOOKUP($B$5,'Sectors Trend'!$B$28:$AQ$45,VLOOKUP(A11,$U:$V,2,),)</f>
        <v>-2</v>
      </c>
      <c r="C11" s="38">
        <f>VLOOKUP($C$5,'Sectors Trend'!$B$28:$AQ$45,VLOOKUP(A11,$U:$V,2,),)</f>
        <v>11</v>
      </c>
      <c r="D11" s="38">
        <f>VLOOKUP($D$5,'Sectors Trend'!$B$28:$AQ$45,VLOOKUP(A11,$U:$V,2,),)</f>
        <v>0</v>
      </c>
      <c r="E11" s="38">
        <f>VLOOKUP($E$5,'Sectors Trend'!$B$28:$AQ$45,VLOOKUP(A11,$U:$V,2,),)</f>
        <v>9</v>
      </c>
      <c r="F11" s="38">
        <f>VLOOKUP($F$5,'Sectors Trend'!$B$28:$AQ$45,VLOOKUP(A11,$U:$V,2,),)</f>
        <v>5</v>
      </c>
      <c r="G11" s="38">
        <f>VLOOKUP($G$5,'Sectors Trend'!$B$28:$AQ$45,VLOOKUP(A11,$U:$V,2,),)</f>
        <v>6</v>
      </c>
      <c r="H11" s="38">
        <f>VLOOKUP($H$5,'Sectors Trend'!$B$28:$AQ$45,VLOOKUP(A11,$U:$V,2,),)</f>
        <v>2</v>
      </c>
      <c r="I11" s="38">
        <f>VLOOKUP($I$5,'Sectors Trend'!$B$28:$AQ$45,VLOOKUP(A11,$U:$V,2,),)</f>
        <v>0</v>
      </c>
      <c r="J11" s="38">
        <f>VLOOKUP($J$5,'Sectors Trend'!$B$28:$AQ$45,VLOOKUP(A11,$U:$V,2,),)</f>
        <v>-4</v>
      </c>
      <c r="K11" s="38">
        <f>VLOOKUP($K$5,'Sectors Trend'!$B$28:$AQ$45,VLOOKUP(A11,$U:$V,2,),)</f>
        <v>-3</v>
      </c>
      <c r="L11" s="38">
        <f>VLOOKUP($L$5,'Sectors Trend'!$B$28:$AQ$45,VLOOKUP(A11,$U:$V,2,),)</f>
        <v>4</v>
      </c>
      <c r="M11" s="38">
        <f>VLOOKUP($M$5,'Sectors Trend'!$B$28:$AQ$45,VLOOKUP(A11,$U:$V,2,),)</f>
        <v>1</v>
      </c>
      <c r="N11" s="38">
        <f>VLOOKUP($N$5,'Sectors Trend'!$B$28:$AQ$45,VLOOKUP(A11,$U:$V,2,),)</f>
        <v>10</v>
      </c>
      <c r="O11" s="38">
        <f>VLOOKUP($O$5,'Sectors Trend'!$B$28:$AQ$45,VLOOKUP(A11,$U:$V,2,),)</f>
        <v>3</v>
      </c>
      <c r="P11" s="38">
        <f>VLOOKUP($P$5,'Sectors Trend'!$B$28:$AQ$45,VLOOKUP(A11,$U:$V,2,),)</f>
        <v>12</v>
      </c>
      <c r="Q11" s="38">
        <f>VLOOKUP($Q$5,'Sectors Trend'!$B$28:$AQ$45,VLOOKUP(A11,$U:$V,2,),)</f>
        <v>-1</v>
      </c>
      <c r="R11" s="38">
        <f>VLOOKUP($R$5,'Sectors Trend'!$B$28:$AQ$45,VLOOKUP(A11,$U:$V,2,),)</f>
        <v>7</v>
      </c>
      <c r="S11" s="39">
        <f>VLOOKUP($S$5,'Sectors Trend'!$B$28:$AQ$45,VLOOKUP(A11,$U:$V,2,),)</f>
        <v>8</v>
      </c>
      <c r="U11" s="6">
        <f>L1</f>
        <v>44927</v>
      </c>
      <c r="V11" s="1">
        <f>L2+1</f>
        <v>38</v>
      </c>
      <c r="Y11" s="62">
        <f t="shared" si="2"/>
        <v>-4</v>
      </c>
      <c r="Z11" s="62">
        <f t="shared" si="3"/>
        <v>12</v>
      </c>
    </row>
    <row r="12" spans="1:26" x14ac:dyDescent="0.35">
      <c r="R12" s="6"/>
    </row>
    <row r="13" spans="1:26" x14ac:dyDescent="0.35">
      <c r="R13" s="6"/>
    </row>
    <row r="14" spans="1:26" x14ac:dyDescent="0.35">
      <c r="R14" s="6"/>
    </row>
    <row r="15" spans="1:26" x14ac:dyDescent="0.35">
      <c r="R15" s="6"/>
    </row>
    <row r="16" spans="1:26" x14ac:dyDescent="0.35">
      <c r="R16" s="6"/>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60" zoomScaleNormal="60" workbookViewId="0">
      <selection activeCell="AC25" sqref="AC25"/>
    </sheetView>
  </sheetViews>
  <sheetFormatPr defaultColWidth="9.1796875" defaultRowHeight="14.5" x14ac:dyDescent="0.35"/>
  <cols>
    <col min="1" max="1" width="9.6328125" style="62" customWidth="1"/>
    <col min="2" max="20" width="8.81640625" style="62" customWidth="1"/>
    <col min="21" max="46" width="9.1796875" style="62" customWidth="1"/>
    <col min="47" max="16384" width="9.1796875" style="62"/>
  </cols>
  <sheetData>
    <row r="1" spans="1:26" x14ac:dyDescent="0.35">
      <c r="J1" s="62" t="s">
        <v>68</v>
      </c>
      <c r="L1" s="6">
        <f>Sectors!L1</f>
        <v>44927</v>
      </c>
      <c r="O1" s="5"/>
    </row>
    <row r="2" spans="1:26" x14ac:dyDescent="0.35">
      <c r="L2" s="62">
        <f>Sectors!L2</f>
        <v>37</v>
      </c>
      <c r="Y2" s="6"/>
    </row>
    <row r="4" spans="1:26" x14ac:dyDescent="0.35">
      <c r="U4" s="6">
        <f t="shared" ref="U4:U10" si="0">DATE(YEAR(U5),MONTH(U5)-1,DAY(U5))</f>
        <v>44713</v>
      </c>
      <c r="V4" s="1">
        <f t="shared" ref="V4:V10" si="1">V5-1</f>
        <v>31</v>
      </c>
    </row>
    <row r="5" spans="1:26" ht="67.5" customHeight="1" thickBot="1" x14ac:dyDescent="0.4">
      <c r="A5" s="7"/>
      <c r="B5" s="41" t="s">
        <v>45</v>
      </c>
      <c r="C5" s="41" t="s">
        <v>46</v>
      </c>
      <c r="D5" s="41" t="s">
        <v>29</v>
      </c>
      <c r="E5" s="41" t="s">
        <v>30</v>
      </c>
      <c r="F5" s="41" t="s">
        <v>31</v>
      </c>
      <c r="G5" s="41" t="s">
        <v>32</v>
      </c>
      <c r="H5" s="41" t="s">
        <v>33</v>
      </c>
      <c r="I5" s="41" t="s">
        <v>34</v>
      </c>
      <c r="J5" s="41" t="s">
        <v>35</v>
      </c>
      <c r="K5" s="41" t="s">
        <v>36</v>
      </c>
      <c r="L5" s="41" t="s">
        <v>37</v>
      </c>
      <c r="M5" s="41" t="s">
        <v>38</v>
      </c>
      <c r="N5" s="41" t="s">
        <v>39</v>
      </c>
      <c r="O5" s="41" t="s">
        <v>40</v>
      </c>
      <c r="P5" s="41" t="s">
        <v>41</v>
      </c>
      <c r="Q5" s="41" t="s">
        <v>42</v>
      </c>
      <c r="R5" s="41" t="s">
        <v>43</v>
      </c>
      <c r="S5" s="41" t="s">
        <v>44</v>
      </c>
      <c r="U5" s="6">
        <f t="shared" si="0"/>
        <v>44743</v>
      </c>
      <c r="V5" s="1">
        <f t="shared" si="1"/>
        <v>32</v>
      </c>
      <c r="Y5" s="62" t="s">
        <v>69</v>
      </c>
      <c r="Z5" s="62" t="s">
        <v>70</v>
      </c>
    </row>
    <row r="6" spans="1:26" x14ac:dyDescent="0.35">
      <c r="A6" s="7">
        <f>DATE(YEAR(A7),MONTH(A7)-1,DAY(A7))</f>
        <v>44774</v>
      </c>
      <c r="B6" s="35">
        <f>VLOOKUP($B$5,'Sectors Trend'!$B$50:$AQ$67,VLOOKUP(A6,$U:$V,2,),)</f>
        <v>5</v>
      </c>
      <c r="C6" s="35">
        <f>VLOOKUP($C$5,'Sectors Trend'!$B$50:$AQ$67,VLOOKUP(A6,$U:$V,2,),)</f>
        <v>9</v>
      </c>
      <c r="D6" s="35">
        <f>VLOOKUP($D$5,'Sectors Trend'!$B$50:$AQ$67,VLOOKUP(A6,$U:$V,2,),)</f>
        <v>0</v>
      </c>
      <c r="E6" s="35">
        <f>VLOOKUP($E$5,'Sectors Trend'!$B$50:$AQ$67,VLOOKUP(A6,$U:$V,2,),)</f>
        <v>0</v>
      </c>
      <c r="F6" s="35">
        <f>VLOOKUP($F$5,'Sectors Trend'!$B$50:$AQ$67,VLOOKUP(A6,$U:$V,2,),)</f>
        <v>4</v>
      </c>
      <c r="G6" s="35">
        <f>VLOOKUP($G$5,'Sectors Trend'!$B$50:$AQ$67,VLOOKUP(A6,$U:$V,2,),)</f>
        <v>0</v>
      </c>
      <c r="H6" s="35">
        <f>VLOOKUP($H$5,'Sectors Trend'!$B$50:$AQ$67,VLOOKUP(A6,$U:$V,2,),)</f>
        <v>2</v>
      </c>
      <c r="I6" s="35">
        <f>VLOOKUP($I$5,'Sectors Trend'!$B$50:$AQ$67,VLOOKUP(A6,$U:$V,2,),)</f>
        <v>8</v>
      </c>
      <c r="J6" s="35">
        <f>VLOOKUP($J$5,'Sectors Trend'!$B$50:$AQ$67,VLOOKUP(A6,$U:$V,2,),)</f>
        <v>0</v>
      </c>
      <c r="K6" s="35">
        <f>VLOOKUP($K$5,'Sectors Trend'!$B$50:$AQ$67,VLOOKUP(A6,$U:$V,2,),)</f>
        <v>11</v>
      </c>
      <c r="L6" s="35">
        <f>VLOOKUP($L$5,'Sectors Trend'!$B$50:$AQ$67,VLOOKUP(A6,$U:$V,2,),)</f>
        <v>0</v>
      </c>
      <c r="M6" s="35">
        <f>VLOOKUP($M$5,'Sectors Trend'!$B$50:$AQ$67,VLOOKUP(A6,$U:$V,2,),)</f>
        <v>6</v>
      </c>
      <c r="N6" s="35">
        <f>VLOOKUP($N$5,'Sectors Trend'!$B$50:$AQ$67,VLOOKUP(A6,$U:$V,2,),)</f>
        <v>7</v>
      </c>
      <c r="O6" s="35">
        <f>VLOOKUP($O$5,'Sectors Trend'!$B$50:$AQ$67,VLOOKUP(A6,$U:$V,2,),)</f>
        <v>1</v>
      </c>
      <c r="P6" s="35">
        <f>VLOOKUP($P$5,'Sectors Trend'!$B$50:$AQ$67,VLOOKUP(A6,$U:$V,2,),)</f>
        <v>-1</v>
      </c>
      <c r="Q6" s="35">
        <f>VLOOKUP($Q$5,'Sectors Trend'!$B$50:$AQ$67,VLOOKUP(A6,$U:$V,2,),)</f>
        <v>10</v>
      </c>
      <c r="R6" s="35">
        <f>VLOOKUP($R$5,'Sectors Trend'!$B$50:$AQ$67,VLOOKUP(A6,$U:$V,2,),)</f>
        <v>12</v>
      </c>
      <c r="S6" s="36">
        <f>VLOOKUP($S$5,'Sectors Trend'!$B$50:$AQ$67,VLOOKUP(A6,$U:$V,2,),)</f>
        <v>3</v>
      </c>
      <c r="U6" s="6">
        <f t="shared" si="0"/>
        <v>44774</v>
      </c>
      <c r="V6" s="1">
        <f t="shared" si="1"/>
        <v>33</v>
      </c>
      <c r="Y6" s="62">
        <f t="shared" ref="Y6:Y11" si="2">MIN(B6:S6)</f>
        <v>-1</v>
      </c>
      <c r="Z6" s="62">
        <f t="shared" ref="Z6:Z11" si="3">MAX(B6:S6)</f>
        <v>12</v>
      </c>
    </row>
    <row r="7" spans="1:26" x14ac:dyDescent="0.35">
      <c r="A7" s="7">
        <f>DATE(YEAR(A8),MONTH(A8)-1,DAY(A8))</f>
        <v>44805</v>
      </c>
      <c r="B7" s="4">
        <f>VLOOKUP($B$5,'Sectors Trend'!$B$50:$AQ$67,VLOOKUP(A7,$U:$V,2,),)</f>
        <v>11</v>
      </c>
      <c r="C7" s="4">
        <f>VLOOKUP($C$5,'Sectors Trend'!$B$50:$AQ$67,VLOOKUP(A7,$U:$V,2,),)</f>
        <v>1</v>
      </c>
      <c r="D7" s="4">
        <f>VLOOKUP($D$5,'Sectors Trend'!$B$50:$AQ$67,VLOOKUP(A7,$U:$V,2,),)</f>
        <v>-2</v>
      </c>
      <c r="E7" s="4">
        <f>VLOOKUP($E$5,'Sectors Trend'!$B$50:$AQ$67,VLOOKUP(A7,$U:$V,2,),)</f>
        <v>12</v>
      </c>
      <c r="F7" s="4">
        <f>VLOOKUP($F$5,'Sectors Trend'!$B$50:$AQ$67,VLOOKUP(A7,$U:$V,2,),)</f>
        <v>5</v>
      </c>
      <c r="G7" s="4">
        <f>VLOOKUP($G$5,'Sectors Trend'!$B$50:$AQ$67,VLOOKUP(A7,$U:$V,2,),)</f>
        <v>0</v>
      </c>
      <c r="H7" s="4">
        <f>VLOOKUP($H$5,'Sectors Trend'!$B$50:$AQ$67,VLOOKUP(A7,$U:$V,2,),)</f>
        <v>2</v>
      </c>
      <c r="I7" s="4">
        <f>VLOOKUP($I$5,'Sectors Trend'!$B$50:$AQ$67,VLOOKUP(A7,$U:$V,2,),)</f>
        <v>9</v>
      </c>
      <c r="J7" s="4">
        <f>VLOOKUP($J$5,'Sectors Trend'!$B$50:$AQ$67,VLOOKUP(A7,$U:$V,2,),)</f>
        <v>-1</v>
      </c>
      <c r="K7" s="4">
        <f>VLOOKUP($K$5,'Sectors Trend'!$B$50:$AQ$67,VLOOKUP(A7,$U:$V,2,),)</f>
        <v>13</v>
      </c>
      <c r="L7" s="4">
        <f>VLOOKUP($L$5,'Sectors Trend'!$B$50:$AQ$67,VLOOKUP(A7,$U:$V,2,),)</f>
        <v>0</v>
      </c>
      <c r="M7" s="4">
        <f>VLOOKUP($M$5,'Sectors Trend'!$B$50:$AQ$67,VLOOKUP(A7,$U:$V,2,),)</f>
        <v>6</v>
      </c>
      <c r="N7" s="4">
        <f>VLOOKUP($N$5,'Sectors Trend'!$B$50:$AQ$67,VLOOKUP(A7,$U:$V,2,),)</f>
        <v>7</v>
      </c>
      <c r="O7" s="4">
        <f>VLOOKUP($O$5,'Sectors Trend'!$B$50:$AQ$67,VLOOKUP(A7,$U:$V,2,),)</f>
        <v>3</v>
      </c>
      <c r="P7" s="4">
        <f>VLOOKUP($P$5,'Sectors Trend'!$B$50:$AQ$67,VLOOKUP(A7,$U:$V,2,),)</f>
        <v>4</v>
      </c>
      <c r="Q7" s="4">
        <f>VLOOKUP($Q$5,'Sectors Trend'!$B$50:$AQ$67,VLOOKUP(A7,$U:$V,2,),)</f>
        <v>8</v>
      </c>
      <c r="R7" s="4">
        <f>VLOOKUP($R$5,'Sectors Trend'!$B$50:$AQ$67,VLOOKUP(A7,$U:$V,2,),)</f>
        <v>10</v>
      </c>
      <c r="S7" s="37">
        <f>VLOOKUP($S$5,'Sectors Trend'!$B$50:$AQ$67,VLOOKUP(A7,$U:$V,2,),)</f>
        <v>0</v>
      </c>
      <c r="U7" s="6">
        <f t="shared" si="0"/>
        <v>44805</v>
      </c>
      <c r="V7" s="1">
        <f t="shared" si="1"/>
        <v>34</v>
      </c>
      <c r="Y7" s="62">
        <f t="shared" si="2"/>
        <v>-2</v>
      </c>
      <c r="Z7" s="62">
        <f t="shared" si="3"/>
        <v>13</v>
      </c>
    </row>
    <row r="8" spans="1:26" x14ac:dyDescent="0.35">
      <c r="A8" s="7">
        <f>DATE(YEAR(A9),MONTH(A9)-1,DAY(A9))</f>
        <v>44835</v>
      </c>
      <c r="B8" s="4">
        <f>VLOOKUP($B$5,'Sectors Trend'!$B$50:$AQ$67,VLOOKUP(A8,$U:$V,2,),)</f>
        <v>8</v>
      </c>
      <c r="C8" s="4">
        <f>VLOOKUP($C$5,'Sectors Trend'!$B$50:$AQ$67,VLOOKUP(A8,$U:$V,2,),)</f>
        <v>3</v>
      </c>
      <c r="D8" s="4">
        <f>VLOOKUP($D$5,'Sectors Trend'!$B$50:$AQ$67,VLOOKUP(A8,$U:$V,2,),)</f>
        <v>0</v>
      </c>
      <c r="E8" s="4">
        <f>VLOOKUP($E$5,'Sectors Trend'!$B$50:$AQ$67,VLOOKUP(A8,$U:$V,2,),)</f>
        <v>11</v>
      </c>
      <c r="F8" s="4">
        <f>VLOOKUP($F$5,'Sectors Trend'!$B$50:$AQ$67,VLOOKUP(A8,$U:$V,2,),)</f>
        <v>1</v>
      </c>
      <c r="G8" s="4">
        <f>VLOOKUP($G$5,'Sectors Trend'!$B$50:$AQ$67,VLOOKUP(A8,$U:$V,2,),)</f>
        <v>7</v>
      </c>
      <c r="H8" s="4">
        <f>VLOOKUP($H$5,'Sectors Trend'!$B$50:$AQ$67,VLOOKUP(A8,$U:$V,2,),)</f>
        <v>4</v>
      </c>
      <c r="I8" s="4">
        <f>VLOOKUP($I$5,'Sectors Trend'!$B$50:$AQ$67,VLOOKUP(A8,$U:$V,2,),)</f>
        <v>-2</v>
      </c>
      <c r="J8" s="4">
        <f>VLOOKUP($J$5,'Sectors Trend'!$B$50:$AQ$67,VLOOKUP(A8,$U:$V,2,),)</f>
        <v>10</v>
      </c>
      <c r="K8" s="4">
        <f>VLOOKUP($K$5,'Sectors Trend'!$B$50:$AQ$67,VLOOKUP(A8,$U:$V,2,),)</f>
        <v>13</v>
      </c>
      <c r="L8" s="4">
        <f>VLOOKUP($L$5,'Sectors Trend'!$B$50:$AQ$67,VLOOKUP(A8,$U:$V,2,),)</f>
        <v>5</v>
      </c>
      <c r="M8" s="4">
        <f>VLOOKUP($M$5,'Sectors Trend'!$B$50:$AQ$67,VLOOKUP(A8,$U:$V,2,),)</f>
        <v>-1</v>
      </c>
      <c r="N8" s="4">
        <f>VLOOKUP($N$5,'Sectors Trend'!$B$50:$AQ$67,VLOOKUP(A8,$U:$V,2,),)</f>
        <v>0</v>
      </c>
      <c r="O8" s="4">
        <f>VLOOKUP($O$5,'Sectors Trend'!$B$50:$AQ$67,VLOOKUP(A8,$U:$V,2,),)</f>
        <v>6</v>
      </c>
      <c r="P8" s="4">
        <f>VLOOKUP($P$5,'Sectors Trend'!$B$50:$AQ$67,VLOOKUP(A8,$U:$V,2,),)</f>
        <v>9</v>
      </c>
      <c r="Q8" s="4">
        <f>VLOOKUP($Q$5,'Sectors Trend'!$B$50:$AQ$67,VLOOKUP(A8,$U:$V,2,),)</f>
        <v>12</v>
      </c>
      <c r="R8" s="4">
        <f>VLOOKUP($R$5,'Sectors Trend'!$B$50:$AQ$67,VLOOKUP(A8,$U:$V,2,),)</f>
        <v>2</v>
      </c>
      <c r="S8" s="37">
        <f>VLOOKUP($S$5,'Sectors Trend'!$B$50:$AQ$67,VLOOKUP(A8,$U:$V,2,),)</f>
        <v>0</v>
      </c>
      <c r="U8" s="6">
        <f t="shared" si="0"/>
        <v>44835</v>
      </c>
      <c r="V8" s="1">
        <f t="shared" si="1"/>
        <v>35</v>
      </c>
      <c r="Y8" s="62">
        <f t="shared" si="2"/>
        <v>-2</v>
      </c>
      <c r="Z8" s="62">
        <f t="shared" si="3"/>
        <v>13</v>
      </c>
    </row>
    <row r="9" spans="1:26" x14ac:dyDescent="0.35">
      <c r="A9" s="7">
        <f>DATE(YEAR(A10),MONTH(A10)-1,DAY(A10))</f>
        <v>44866</v>
      </c>
      <c r="B9" s="4">
        <f>VLOOKUP($B$5,'Sectors Trend'!$B$50:$AQ$67,VLOOKUP(A9,$U:$V,2,),)</f>
        <v>10</v>
      </c>
      <c r="C9" s="4">
        <f>VLOOKUP($C$5,'Sectors Trend'!$B$50:$AQ$67,VLOOKUP(A9,$U:$V,2,),)</f>
        <v>1</v>
      </c>
      <c r="D9" s="4">
        <f>VLOOKUP($D$5,'Sectors Trend'!$B$50:$AQ$67,VLOOKUP(A9,$U:$V,2,),)</f>
        <v>0</v>
      </c>
      <c r="E9" s="4">
        <f>VLOOKUP($E$5,'Sectors Trend'!$B$50:$AQ$67,VLOOKUP(A9,$U:$V,2,),)</f>
        <v>11</v>
      </c>
      <c r="F9" s="4">
        <f>VLOOKUP($F$5,'Sectors Trend'!$B$50:$AQ$67,VLOOKUP(A9,$U:$V,2,),)</f>
        <v>4</v>
      </c>
      <c r="G9" s="4">
        <f>VLOOKUP($G$5,'Sectors Trend'!$B$50:$AQ$67,VLOOKUP(A9,$U:$V,2,),)</f>
        <v>9</v>
      </c>
      <c r="H9" s="4">
        <f>VLOOKUP($H$5,'Sectors Trend'!$B$50:$AQ$67,VLOOKUP(A9,$U:$V,2,),)</f>
        <v>0</v>
      </c>
      <c r="I9" s="4">
        <f>VLOOKUP($I$5,'Sectors Trend'!$B$50:$AQ$67,VLOOKUP(A9,$U:$V,2,),)</f>
        <v>12</v>
      </c>
      <c r="J9" s="4">
        <f>VLOOKUP($J$5,'Sectors Trend'!$B$50:$AQ$67,VLOOKUP(A9,$U:$V,2,),)</f>
        <v>5</v>
      </c>
      <c r="K9" s="4">
        <f>VLOOKUP($K$5,'Sectors Trend'!$B$50:$AQ$67,VLOOKUP(A9,$U:$V,2,),)</f>
        <v>7</v>
      </c>
      <c r="L9" s="4">
        <f>VLOOKUP($L$5,'Sectors Trend'!$B$50:$AQ$67,VLOOKUP(A9,$U:$V,2,),)</f>
        <v>3</v>
      </c>
      <c r="M9" s="4">
        <f>VLOOKUP($M$5,'Sectors Trend'!$B$50:$AQ$67,VLOOKUP(A9,$U:$V,2,),)</f>
        <v>-3</v>
      </c>
      <c r="N9" s="4">
        <f>VLOOKUP($N$5,'Sectors Trend'!$B$50:$AQ$67,VLOOKUP(A9,$U:$V,2,),)</f>
        <v>6</v>
      </c>
      <c r="O9" s="4">
        <f>VLOOKUP($O$5,'Sectors Trend'!$B$50:$AQ$67,VLOOKUP(A9,$U:$V,2,),)</f>
        <v>2</v>
      </c>
      <c r="P9" s="4">
        <f>VLOOKUP($P$5,'Sectors Trend'!$B$50:$AQ$67,VLOOKUP(A9,$U:$V,2,),)</f>
        <v>8</v>
      </c>
      <c r="Q9" s="4">
        <f>VLOOKUP($Q$5,'Sectors Trend'!$B$50:$AQ$67,VLOOKUP(A9,$U:$V,2,),)</f>
        <v>-2</v>
      </c>
      <c r="R9" s="4">
        <f>VLOOKUP($R$5,'Sectors Trend'!$B$50:$AQ$67,VLOOKUP(A9,$U:$V,2,),)</f>
        <v>-1</v>
      </c>
      <c r="S9" s="37">
        <f>VLOOKUP($S$5,'Sectors Trend'!$B$50:$AQ$67,VLOOKUP(A9,$U:$V,2,),)</f>
        <v>-4</v>
      </c>
      <c r="U9" s="6">
        <f t="shared" si="0"/>
        <v>44866</v>
      </c>
      <c r="V9" s="1">
        <f t="shared" si="1"/>
        <v>36</v>
      </c>
      <c r="Y9" s="62">
        <f t="shared" si="2"/>
        <v>-4</v>
      </c>
      <c r="Z9" s="62">
        <f t="shared" si="3"/>
        <v>12</v>
      </c>
    </row>
    <row r="10" spans="1:26" x14ac:dyDescent="0.35">
      <c r="A10" s="7">
        <f>DATE(YEAR(A11),MONTH(A11)-1,DAY(A11))</f>
        <v>44896</v>
      </c>
      <c r="B10" s="4">
        <f>VLOOKUP($B$5,'Sectors Trend'!$B$50:$AQ$67,VLOOKUP(A10,$U:$V,2,),)</f>
        <v>2</v>
      </c>
      <c r="C10" s="4">
        <f>VLOOKUP($C$5,'Sectors Trend'!$B$50:$AQ$67,VLOOKUP(A10,$U:$V,2,),)</f>
        <v>1</v>
      </c>
      <c r="D10" s="4">
        <f>VLOOKUP($D$5,'Sectors Trend'!$B$50:$AQ$67,VLOOKUP(A10,$U:$V,2,),)</f>
        <v>-7</v>
      </c>
      <c r="E10" s="4">
        <f>VLOOKUP($E$5,'Sectors Trend'!$B$50:$AQ$67,VLOOKUP(A10,$U:$V,2,),)</f>
        <v>-6</v>
      </c>
      <c r="F10" s="4">
        <f>VLOOKUP($F$5,'Sectors Trend'!$B$50:$AQ$67,VLOOKUP(A10,$U:$V,2,),)</f>
        <v>0</v>
      </c>
      <c r="G10" s="4">
        <f>VLOOKUP($G$5,'Sectors Trend'!$B$50:$AQ$67,VLOOKUP(A10,$U:$V,2,),)</f>
        <v>0</v>
      </c>
      <c r="H10" s="4">
        <f>VLOOKUP($H$5,'Sectors Trend'!$B$50:$AQ$67,VLOOKUP(A10,$U:$V,2,),)</f>
        <v>0</v>
      </c>
      <c r="I10" s="4">
        <f>VLOOKUP($I$5,'Sectors Trend'!$B$50:$AQ$67,VLOOKUP(A10,$U:$V,2,),)</f>
        <v>-8</v>
      </c>
      <c r="J10" s="4">
        <f>VLOOKUP($J$5,'Sectors Trend'!$B$50:$AQ$67,VLOOKUP(A10,$U:$V,2,),)</f>
        <v>0</v>
      </c>
      <c r="K10" s="4">
        <f>VLOOKUP($K$5,'Sectors Trend'!$B$50:$AQ$67,VLOOKUP(A10,$U:$V,2,),)</f>
        <v>0</v>
      </c>
      <c r="L10" s="4">
        <f>VLOOKUP($L$5,'Sectors Trend'!$B$50:$AQ$67,VLOOKUP(A10,$U:$V,2,),)</f>
        <v>-2</v>
      </c>
      <c r="M10" s="4">
        <f>VLOOKUP($M$5,'Sectors Trend'!$B$50:$AQ$67,VLOOKUP(A10,$U:$V,2,),)</f>
        <v>-3</v>
      </c>
      <c r="N10" s="4">
        <f>VLOOKUP($N$5,'Sectors Trend'!$B$50:$AQ$67,VLOOKUP(A10,$U:$V,2,),)</f>
        <v>0</v>
      </c>
      <c r="O10" s="4">
        <f>VLOOKUP($O$5,'Sectors Trend'!$B$50:$AQ$67,VLOOKUP(A10,$U:$V,2,),)</f>
        <v>-1</v>
      </c>
      <c r="P10" s="4">
        <f>VLOOKUP($P$5,'Sectors Trend'!$B$50:$AQ$67,VLOOKUP(A10,$U:$V,2,),)</f>
        <v>0</v>
      </c>
      <c r="Q10" s="4">
        <f>VLOOKUP($Q$5,'Sectors Trend'!$B$50:$AQ$67,VLOOKUP(A10,$U:$V,2,),)</f>
        <v>-5</v>
      </c>
      <c r="R10" s="4">
        <f>VLOOKUP($R$5,'Sectors Trend'!$B$50:$AQ$67,VLOOKUP(A10,$U:$V,2,),)</f>
        <v>-4</v>
      </c>
      <c r="S10" s="37">
        <f>VLOOKUP($S$5,'Sectors Trend'!$B$50:$AQ$67,VLOOKUP(A10,$U:$V,2,),)</f>
        <v>3</v>
      </c>
      <c r="U10" s="6">
        <f t="shared" si="0"/>
        <v>44896</v>
      </c>
      <c r="V10" s="1">
        <f t="shared" si="1"/>
        <v>37</v>
      </c>
      <c r="Y10" s="62">
        <f t="shared" si="2"/>
        <v>-8</v>
      </c>
      <c r="Z10" s="62">
        <f t="shared" si="3"/>
        <v>3</v>
      </c>
    </row>
    <row r="11" spans="1:26" ht="16" customHeight="1" thickBot="1" x14ac:dyDescent="0.4">
      <c r="A11" s="7">
        <f>L1</f>
        <v>44927</v>
      </c>
      <c r="B11" s="38">
        <f>VLOOKUP($B$5,'Sectors Trend'!$B$50:$AQ$67,VLOOKUP(A11,$U:$V,2,),)</f>
        <v>0</v>
      </c>
      <c r="C11" s="38">
        <f>VLOOKUP($C$5,'Sectors Trend'!$B$50:$AQ$67,VLOOKUP(A11,$U:$V,2,),)</f>
        <v>9</v>
      </c>
      <c r="D11" s="38">
        <f>VLOOKUP($D$5,'Sectors Trend'!$B$50:$AQ$67,VLOOKUP(A11,$U:$V,2,),)</f>
        <v>0</v>
      </c>
      <c r="E11" s="38">
        <f>VLOOKUP($E$5,'Sectors Trend'!$B$50:$AQ$67,VLOOKUP(A11,$U:$V,2,),)</f>
        <v>8</v>
      </c>
      <c r="F11" s="38">
        <f>VLOOKUP($F$5,'Sectors Trend'!$B$50:$AQ$67,VLOOKUP(A11,$U:$V,2,),)</f>
        <v>1</v>
      </c>
      <c r="G11" s="38">
        <f>VLOOKUP($G$5,'Sectors Trend'!$B$50:$AQ$67,VLOOKUP(A11,$U:$V,2,),)</f>
        <v>10</v>
      </c>
      <c r="H11" s="38">
        <f>VLOOKUP($H$5,'Sectors Trend'!$B$50:$AQ$67,VLOOKUP(A11,$U:$V,2,),)</f>
        <v>2</v>
      </c>
      <c r="I11" s="38">
        <f>VLOOKUP($I$5,'Sectors Trend'!$B$50:$AQ$67,VLOOKUP(A11,$U:$V,2,),)</f>
        <v>4</v>
      </c>
      <c r="J11" s="38">
        <f>VLOOKUP($J$5,'Sectors Trend'!$B$50:$AQ$67,VLOOKUP(A11,$U:$V,2,),)</f>
        <v>-4</v>
      </c>
      <c r="K11" s="38">
        <f>VLOOKUP($K$5,'Sectors Trend'!$B$50:$AQ$67,VLOOKUP(A11,$U:$V,2,),)</f>
        <v>-2</v>
      </c>
      <c r="L11" s="38">
        <f>VLOOKUP($L$5,'Sectors Trend'!$B$50:$AQ$67,VLOOKUP(A11,$U:$V,2,),)</f>
        <v>0</v>
      </c>
      <c r="M11" s="38">
        <f>VLOOKUP($M$5,'Sectors Trend'!$B$50:$AQ$67,VLOOKUP(A11,$U:$V,2,),)</f>
        <v>-1</v>
      </c>
      <c r="N11" s="38">
        <f>VLOOKUP($N$5,'Sectors Trend'!$B$50:$AQ$67,VLOOKUP(A11,$U:$V,2,),)</f>
        <v>6</v>
      </c>
      <c r="O11" s="38">
        <f>VLOOKUP($O$5,'Sectors Trend'!$B$50:$AQ$67,VLOOKUP(A11,$U:$V,2,),)</f>
        <v>3</v>
      </c>
      <c r="P11" s="38">
        <f>VLOOKUP($P$5,'Sectors Trend'!$B$50:$AQ$67,VLOOKUP(A11,$U:$V,2,),)</f>
        <v>11</v>
      </c>
      <c r="Q11" s="38">
        <f>VLOOKUP($Q$5,'Sectors Trend'!$B$50:$AQ$67,VLOOKUP(A11,$U:$V,2,),)</f>
        <v>-3</v>
      </c>
      <c r="R11" s="38">
        <f>VLOOKUP($R$5,'Sectors Trend'!$B$50:$AQ$67,VLOOKUP(A11,$U:$V,2,),)</f>
        <v>7</v>
      </c>
      <c r="S11" s="39">
        <f>VLOOKUP($S$5,'Sectors Trend'!$B$50:$AQ$67,VLOOKUP(A11,$U:$V,2,),)</f>
        <v>5</v>
      </c>
      <c r="U11" s="6">
        <f>L1</f>
        <v>44927</v>
      </c>
      <c r="V11" s="1">
        <f>L2+1</f>
        <v>38</v>
      </c>
      <c r="Y11" s="62">
        <f t="shared" si="2"/>
        <v>-4</v>
      </c>
      <c r="Z11" s="62">
        <f t="shared" si="3"/>
        <v>11</v>
      </c>
    </row>
    <row r="12" spans="1:26" x14ac:dyDescent="0.35">
      <c r="R12" s="6"/>
    </row>
    <row r="13" spans="1:26" x14ac:dyDescent="0.35">
      <c r="R13" s="6"/>
    </row>
    <row r="14" spans="1:26" x14ac:dyDescent="0.35">
      <c r="R14" s="6"/>
    </row>
    <row r="15" spans="1:26" x14ac:dyDescent="0.35">
      <c r="R15" s="6"/>
    </row>
    <row r="16" spans="1:26" x14ac:dyDescent="0.35">
      <c r="R16" s="6"/>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V68"/>
  <sheetViews>
    <sheetView zoomScale="156" zoomScaleNormal="156" workbookViewId="0">
      <pane xSplit="2" ySplit="5" topLeftCell="AL60" activePane="bottomRight" state="frozen"/>
      <selection activeCell="C362" sqref="C362"/>
      <selection pane="topRight" activeCell="C362" sqref="C362"/>
      <selection pane="bottomLeft" activeCell="C362" sqref="C362"/>
      <selection pane="bottomRight" activeCell="AO50" sqref="AO50:AQ67"/>
    </sheetView>
  </sheetViews>
  <sheetFormatPr defaultColWidth="8.81640625" defaultRowHeight="14.5" x14ac:dyDescent="0.35"/>
  <cols>
    <col min="1" max="1" width="9.1796875" style="62" customWidth="1"/>
    <col min="2" max="2" width="30.453125" style="62" customWidth="1"/>
    <col min="3" max="39" width="10.453125" style="26" customWidth="1"/>
    <col min="40" max="43" width="10.1796875" style="62" customWidth="1"/>
    <col min="44" max="45" width="9.1796875" style="62" customWidth="1"/>
    <col min="46" max="46" width="10.6328125" style="62" bestFit="1" customWidth="1"/>
    <col min="47" max="246" width="9.1796875" style="62" customWidth="1"/>
    <col min="247" max="247" width="28.6328125" style="62" customWidth="1"/>
    <col min="248" max="248" width="9" style="62" bestFit="1" customWidth="1"/>
    <col min="249" max="249" width="5.36328125" style="62" customWidth="1"/>
    <col min="250" max="250" width="9" style="62" bestFit="1" customWidth="1"/>
    <col min="251" max="251" width="5.36328125" style="62" customWidth="1"/>
    <col min="252" max="252" width="9" style="62" bestFit="1" customWidth="1"/>
    <col min="253" max="253" width="5" style="62" customWidth="1"/>
    <col min="254" max="254" width="9" style="62" bestFit="1" customWidth="1"/>
    <col min="255" max="255" width="5.1796875" style="62" customWidth="1"/>
    <col min="256" max="256" width="9.1796875" style="62" customWidth="1"/>
    <col min="257" max="257" width="6" style="62" customWidth="1"/>
    <col min="258" max="258" width="9.1796875" style="62" customWidth="1"/>
    <col min="259" max="259" width="6" style="62" customWidth="1"/>
    <col min="260" max="261" width="10.1796875" style="62" customWidth="1"/>
    <col min="262" max="262" width="10" style="62" customWidth="1"/>
    <col min="263" max="263" width="10.36328125" style="62" customWidth="1"/>
    <col min="264" max="274" width="9.1796875" style="62" customWidth="1"/>
    <col min="275" max="275" width="11.36328125" style="62" customWidth="1"/>
    <col min="276" max="296" width="13" style="62" hidden="1" customWidth="1"/>
    <col min="297" max="502" width="9.1796875" style="62" customWidth="1"/>
    <col min="503" max="503" width="28.6328125" style="62" customWidth="1"/>
    <col min="504" max="504" width="9" style="62" bestFit="1" customWidth="1"/>
    <col min="505" max="505" width="5.36328125" style="62" customWidth="1"/>
    <col min="506" max="506" width="9" style="62" bestFit="1" customWidth="1"/>
    <col min="507" max="507" width="5.36328125" style="62" customWidth="1"/>
    <col min="508" max="508" width="9" style="62" bestFit="1" customWidth="1"/>
    <col min="509" max="509" width="5" style="62" customWidth="1"/>
    <col min="510" max="510" width="9" style="62" bestFit="1" customWidth="1"/>
    <col min="511" max="511" width="5.1796875" style="62" customWidth="1"/>
    <col min="512" max="512" width="9.1796875" style="62" customWidth="1"/>
    <col min="513" max="513" width="6" style="62" customWidth="1"/>
    <col min="514" max="514" width="9.1796875" style="62" customWidth="1"/>
    <col min="515" max="515" width="6" style="62" customWidth="1"/>
    <col min="516" max="517" width="10.1796875" style="62" customWidth="1"/>
    <col min="518" max="518" width="10" style="62" customWidth="1"/>
    <col min="519" max="519" width="10.36328125" style="62" customWidth="1"/>
    <col min="520" max="530" width="9.1796875" style="62" customWidth="1"/>
    <col min="531" max="531" width="11.36328125" style="62" customWidth="1"/>
    <col min="532" max="552" width="13" style="62" hidden="1" customWidth="1"/>
    <col min="553" max="758" width="9.1796875" style="62" customWidth="1"/>
    <col min="759" max="759" width="28.6328125" style="62" customWidth="1"/>
    <col min="760" max="760" width="9" style="62" bestFit="1" customWidth="1"/>
    <col min="761" max="761" width="5.36328125" style="62" customWidth="1"/>
    <col min="762" max="762" width="9" style="62" bestFit="1" customWidth="1"/>
    <col min="763" max="763" width="5.36328125" style="62" customWidth="1"/>
    <col min="764" max="764" width="9" style="62" bestFit="1" customWidth="1"/>
    <col min="765" max="765" width="5" style="62" customWidth="1"/>
    <col min="766" max="766" width="9" style="62" bestFit="1" customWidth="1"/>
    <col min="767" max="767" width="5.1796875" style="62" customWidth="1"/>
    <col min="768" max="768" width="9.1796875" style="62" customWidth="1"/>
    <col min="769" max="769" width="6" style="62" customWidth="1"/>
    <col min="770" max="770" width="9.1796875" style="62" customWidth="1"/>
    <col min="771" max="771" width="6" style="62" customWidth="1"/>
    <col min="772" max="773" width="10.1796875" style="62" customWidth="1"/>
    <col min="774" max="774" width="10" style="62" customWidth="1"/>
    <col min="775" max="775" width="10.36328125" style="62" customWidth="1"/>
    <col min="776" max="786" width="9.1796875" style="62" customWidth="1"/>
    <col min="787" max="787" width="11.36328125" style="62" customWidth="1"/>
    <col min="788" max="808" width="13" style="62" hidden="1" customWidth="1"/>
    <col min="809" max="1014" width="9.1796875" style="62" customWidth="1"/>
    <col min="1015" max="1015" width="28.6328125" style="62" customWidth="1"/>
    <col min="1016" max="1016" width="9" style="62" bestFit="1" customWidth="1"/>
    <col min="1017" max="1017" width="5.36328125" style="62" customWidth="1"/>
    <col min="1018" max="1018" width="9" style="62" bestFit="1" customWidth="1"/>
    <col min="1019" max="1019" width="5.36328125" style="62" customWidth="1"/>
    <col min="1020" max="1020" width="9" style="62" bestFit="1" customWidth="1"/>
    <col min="1021" max="1021" width="5" style="62" customWidth="1"/>
    <col min="1022" max="1022" width="9" style="62" bestFit="1" customWidth="1"/>
    <col min="1023" max="1023" width="5.1796875" style="62" customWidth="1"/>
    <col min="1024" max="1024" width="9.1796875" style="62" customWidth="1"/>
    <col min="1025" max="1025" width="6" style="62" customWidth="1"/>
    <col min="1026" max="1026" width="9.1796875" style="62" customWidth="1"/>
    <col min="1027" max="1027" width="6" style="62" customWidth="1"/>
    <col min="1028" max="1029" width="10.1796875" style="62" customWidth="1"/>
    <col min="1030" max="1030" width="10" style="62" customWidth="1"/>
    <col min="1031" max="1031" width="10.36328125" style="62" customWidth="1"/>
    <col min="1032" max="1042" width="9.1796875" style="62" customWidth="1"/>
    <col min="1043" max="1043" width="11.36328125" style="62" customWidth="1"/>
    <col min="1044" max="1064" width="13" style="62" hidden="1" customWidth="1"/>
    <col min="1065" max="1270" width="9.1796875" style="62" customWidth="1"/>
    <col min="1271" max="1271" width="28.6328125" style="62" customWidth="1"/>
    <col min="1272" max="1272" width="9" style="62" bestFit="1" customWidth="1"/>
    <col min="1273" max="1273" width="5.36328125" style="62" customWidth="1"/>
    <col min="1274" max="1274" width="9" style="62" bestFit="1" customWidth="1"/>
    <col min="1275" max="1275" width="5.36328125" style="62" customWidth="1"/>
    <col min="1276" max="1276" width="9" style="62" bestFit="1" customWidth="1"/>
    <col min="1277" max="1277" width="5" style="62" customWidth="1"/>
    <col min="1278" max="1278" width="9" style="62" bestFit="1" customWidth="1"/>
    <col min="1279" max="1279" width="5.1796875" style="62" customWidth="1"/>
    <col min="1280" max="1280" width="9.1796875" style="62" customWidth="1"/>
    <col min="1281" max="1281" width="6" style="62" customWidth="1"/>
    <col min="1282" max="1282" width="9.1796875" style="62" customWidth="1"/>
    <col min="1283" max="1283" width="6" style="62" customWidth="1"/>
    <col min="1284" max="1285" width="10.1796875" style="62" customWidth="1"/>
    <col min="1286" max="1286" width="10" style="62" customWidth="1"/>
    <col min="1287" max="1287" width="10.36328125" style="62" customWidth="1"/>
    <col min="1288" max="1298" width="9.1796875" style="62" customWidth="1"/>
    <col min="1299" max="1299" width="11.36328125" style="62" customWidth="1"/>
    <col min="1300" max="1320" width="13" style="62" hidden="1" customWidth="1"/>
    <col min="1321" max="1526" width="9.1796875" style="62" customWidth="1"/>
    <col min="1527" max="1527" width="28.6328125" style="62" customWidth="1"/>
    <col min="1528" max="1528" width="9" style="62" bestFit="1" customWidth="1"/>
    <col min="1529" max="1529" width="5.36328125" style="62" customWidth="1"/>
    <col min="1530" max="1530" width="9" style="62" bestFit="1" customWidth="1"/>
    <col min="1531" max="1531" width="5.36328125" style="62" customWidth="1"/>
    <col min="1532" max="1532" width="9" style="62" bestFit="1" customWidth="1"/>
    <col min="1533" max="1533" width="5" style="62" customWidth="1"/>
    <col min="1534" max="1534" width="9" style="62" bestFit="1" customWidth="1"/>
    <col min="1535" max="1535" width="5.1796875" style="62" customWidth="1"/>
    <col min="1536" max="1536" width="9.1796875" style="62" customWidth="1"/>
    <col min="1537" max="1537" width="6" style="62" customWidth="1"/>
    <col min="1538" max="1538" width="9.1796875" style="62" customWidth="1"/>
    <col min="1539" max="1539" width="6" style="62" customWidth="1"/>
    <col min="1540" max="1541" width="10.1796875" style="62" customWidth="1"/>
    <col min="1542" max="1542" width="10" style="62" customWidth="1"/>
    <col min="1543" max="1543" width="10.36328125" style="62" customWidth="1"/>
    <col min="1544" max="1554" width="9.1796875" style="62" customWidth="1"/>
    <col min="1555" max="1555" width="11.36328125" style="62" customWidth="1"/>
    <col min="1556" max="1576" width="13" style="62" hidden="1" customWidth="1"/>
    <col min="1577" max="1782" width="9.1796875" style="62" customWidth="1"/>
    <col min="1783" max="1783" width="28.6328125" style="62" customWidth="1"/>
    <col min="1784" max="1784" width="9" style="62" bestFit="1" customWidth="1"/>
    <col min="1785" max="1785" width="5.36328125" style="62" customWidth="1"/>
    <col min="1786" max="1786" width="9" style="62" bestFit="1" customWidth="1"/>
    <col min="1787" max="1787" width="5.36328125" style="62" customWidth="1"/>
    <col min="1788" max="1788" width="9" style="62" bestFit="1" customWidth="1"/>
    <col min="1789" max="1789" width="5" style="62" customWidth="1"/>
    <col min="1790" max="1790" width="9" style="62" bestFit="1" customWidth="1"/>
    <col min="1791" max="1791" width="5.1796875" style="62" customWidth="1"/>
    <col min="1792" max="1792" width="9.1796875" style="62" customWidth="1"/>
    <col min="1793" max="1793" width="6" style="62" customWidth="1"/>
    <col min="1794" max="1794" width="9.1796875" style="62" customWidth="1"/>
    <col min="1795" max="1795" width="6" style="62" customWidth="1"/>
    <col min="1796" max="1797" width="10.1796875" style="62" customWidth="1"/>
    <col min="1798" max="1798" width="10" style="62" customWidth="1"/>
    <col min="1799" max="1799" width="10.36328125" style="62" customWidth="1"/>
    <col min="1800" max="1810" width="9.1796875" style="62" customWidth="1"/>
    <col min="1811" max="1811" width="11.36328125" style="62" customWidth="1"/>
    <col min="1812" max="1832" width="13" style="62" hidden="1" customWidth="1"/>
    <col min="1833" max="2038" width="9.1796875" style="62" customWidth="1"/>
    <col min="2039" max="2039" width="28.6328125" style="62" customWidth="1"/>
    <col min="2040" max="2040" width="9" style="62" bestFit="1" customWidth="1"/>
    <col min="2041" max="2041" width="5.36328125" style="62" customWidth="1"/>
    <col min="2042" max="2042" width="9" style="62" bestFit="1" customWidth="1"/>
    <col min="2043" max="2043" width="5.36328125" style="62" customWidth="1"/>
    <col min="2044" max="2044" width="9" style="62" bestFit="1" customWidth="1"/>
    <col min="2045" max="2045" width="5" style="62" customWidth="1"/>
    <col min="2046" max="2046" width="9" style="62" bestFit="1" customWidth="1"/>
    <col min="2047" max="2047" width="5.1796875" style="62" customWidth="1"/>
    <col min="2048" max="2048" width="9.1796875" style="62" customWidth="1"/>
    <col min="2049" max="2049" width="6" style="62" customWidth="1"/>
    <col min="2050" max="2050" width="9.1796875" style="62" customWidth="1"/>
    <col min="2051" max="2051" width="6" style="62" customWidth="1"/>
    <col min="2052" max="2053" width="10.1796875" style="62" customWidth="1"/>
    <col min="2054" max="2054" width="10" style="62" customWidth="1"/>
    <col min="2055" max="2055" width="10.36328125" style="62" customWidth="1"/>
    <col min="2056" max="2066" width="9.1796875" style="62" customWidth="1"/>
    <col min="2067" max="2067" width="11.36328125" style="62" customWidth="1"/>
    <col min="2068" max="2088" width="13" style="62" hidden="1" customWidth="1"/>
    <col min="2089" max="2294" width="9.1796875" style="62" customWidth="1"/>
    <col min="2295" max="2295" width="28.6328125" style="62" customWidth="1"/>
    <col min="2296" max="2296" width="9" style="62" bestFit="1" customWidth="1"/>
    <col min="2297" max="2297" width="5.36328125" style="62" customWidth="1"/>
    <col min="2298" max="2298" width="9" style="62" bestFit="1" customWidth="1"/>
    <col min="2299" max="2299" width="5.36328125" style="62" customWidth="1"/>
    <col min="2300" max="2300" width="9" style="62" bestFit="1" customWidth="1"/>
    <col min="2301" max="2301" width="5" style="62" customWidth="1"/>
    <col min="2302" max="2302" width="9" style="62" bestFit="1" customWidth="1"/>
    <col min="2303" max="2303" width="5.1796875" style="62" customWidth="1"/>
    <col min="2304" max="2304" width="9.1796875" style="62" customWidth="1"/>
    <col min="2305" max="2305" width="6" style="62" customWidth="1"/>
    <col min="2306" max="2306" width="9.1796875" style="62" customWidth="1"/>
    <col min="2307" max="2307" width="6" style="62" customWidth="1"/>
    <col min="2308" max="2309" width="10.1796875" style="62" customWidth="1"/>
    <col min="2310" max="2310" width="10" style="62" customWidth="1"/>
    <col min="2311" max="2311" width="10.36328125" style="62" customWidth="1"/>
    <col min="2312" max="2322" width="9.1796875" style="62" customWidth="1"/>
    <col min="2323" max="2323" width="11.36328125" style="62" customWidth="1"/>
    <col min="2324" max="2344" width="13" style="62" hidden="1" customWidth="1"/>
    <col min="2345" max="2550" width="9.1796875" style="62" customWidth="1"/>
    <col min="2551" max="2551" width="28.6328125" style="62" customWidth="1"/>
    <col min="2552" max="2552" width="9" style="62" bestFit="1" customWidth="1"/>
    <col min="2553" max="2553" width="5.36328125" style="62" customWidth="1"/>
    <col min="2554" max="2554" width="9" style="62" bestFit="1" customWidth="1"/>
    <col min="2555" max="2555" width="5.36328125" style="62" customWidth="1"/>
    <col min="2556" max="2556" width="9" style="62" bestFit="1" customWidth="1"/>
    <col min="2557" max="2557" width="5" style="62" customWidth="1"/>
    <col min="2558" max="2558" width="9" style="62" bestFit="1" customWidth="1"/>
    <col min="2559" max="2559" width="5.1796875" style="62" customWidth="1"/>
    <col min="2560" max="2560" width="9.1796875" style="62" customWidth="1"/>
    <col min="2561" max="2561" width="6" style="62" customWidth="1"/>
    <col min="2562" max="2562" width="9.1796875" style="62" customWidth="1"/>
    <col min="2563" max="2563" width="6" style="62" customWidth="1"/>
    <col min="2564" max="2565" width="10.1796875" style="62" customWidth="1"/>
    <col min="2566" max="2566" width="10" style="62" customWidth="1"/>
    <col min="2567" max="2567" width="10.36328125" style="62" customWidth="1"/>
    <col min="2568" max="2578" width="9.1796875" style="62" customWidth="1"/>
    <col min="2579" max="2579" width="11.36328125" style="62" customWidth="1"/>
    <col min="2580" max="2600" width="13" style="62" hidden="1" customWidth="1"/>
    <col min="2601" max="2806" width="9.1796875" style="62" customWidth="1"/>
    <col min="2807" max="2807" width="28.6328125" style="62" customWidth="1"/>
    <col min="2808" max="2808" width="9" style="62" bestFit="1" customWidth="1"/>
    <col min="2809" max="2809" width="5.36328125" style="62" customWidth="1"/>
    <col min="2810" max="2810" width="9" style="62" bestFit="1" customWidth="1"/>
    <col min="2811" max="2811" width="5.36328125" style="62" customWidth="1"/>
    <col min="2812" max="2812" width="9" style="62" bestFit="1" customWidth="1"/>
    <col min="2813" max="2813" width="5" style="62" customWidth="1"/>
    <col min="2814" max="2814" width="9" style="62" bestFit="1" customWidth="1"/>
    <col min="2815" max="2815" width="5.1796875" style="62" customWidth="1"/>
    <col min="2816" max="2816" width="9.1796875" style="62" customWidth="1"/>
    <col min="2817" max="2817" width="6" style="62" customWidth="1"/>
    <col min="2818" max="2818" width="9.1796875" style="62" customWidth="1"/>
    <col min="2819" max="2819" width="6" style="62" customWidth="1"/>
    <col min="2820" max="2821" width="10.1796875" style="62" customWidth="1"/>
    <col min="2822" max="2822" width="10" style="62" customWidth="1"/>
    <col min="2823" max="2823" width="10.36328125" style="62" customWidth="1"/>
    <col min="2824" max="2834" width="9.1796875" style="62" customWidth="1"/>
    <col min="2835" max="2835" width="11.36328125" style="62" customWidth="1"/>
    <col min="2836" max="2856" width="13" style="62" hidden="1" customWidth="1"/>
    <col min="2857" max="3062" width="9.1796875" style="62" customWidth="1"/>
    <col min="3063" max="3063" width="28.6328125" style="62" customWidth="1"/>
    <col min="3064" max="3064" width="9" style="62" bestFit="1" customWidth="1"/>
    <col min="3065" max="3065" width="5.36328125" style="62" customWidth="1"/>
    <col min="3066" max="3066" width="9" style="62" bestFit="1" customWidth="1"/>
    <col min="3067" max="3067" width="5.36328125" style="62" customWidth="1"/>
    <col min="3068" max="3068" width="9" style="62" bestFit="1" customWidth="1"/>
    <col min="3069" max="3069" width="5" style="62" customWidth="1"/>
    <col min="3070" max="3070" width="9" style="62" bestFit="1" customWidth="1"/>
    <col min="3071" max="3071" width="5.1796875" style="62" customWidth="1"/>
    <col min="3072" max="3072" width="9.1796875" style="62" customWidth="1"/>
    <col min="3073" max="3073" width="6" style="62" customWidth="1"/>
    <col min="3074" max="3074" width="9.1796875" style="62" customWidth="1"/>
    <col min="3075" max="3075" width="6" style="62" customWidth="1"/>
    <col min="3076" max="3077" width="10.1796875" style="62" customWidth="1"/>
    <col min="3078" max="3078" width="10" style="62" customWidth="1"/>
    <col min="3079" max="3079" width="10.36328125" style="62" customWidth="1"/>
    <col min="3080" max="3090" width="9.1796875" style="62" customWidth="1"/>
    <col min="3091" max="3091" width="11.36328125" style="62" customWidth="1"/>
    <col min="3092" max="3112" width="13" style="62" hidden="1" customWidth="1"/>
    <col min="3113" max="3318" width="9.1796875" style="62" customWidth="1"/>
    <col min="3319" max="3319" width="28.6328125" style="62" customWidth="1"/>
    <col min="3320" max="3320" width="9" style="62" bestFit="1" customWidth="1"/>
    <col min="3321" max="3321" width="5.36328125" style="62" customWidth="1"/>
    <col min="3322" max="3322" width="9" style="62" bestFit="1" customWidth="1"/>
    <col min="3323" max="3323" width="5.36328125" style="62" customWidth="1"/>
    <col min="3324" max="3324" width="9" style="62" bestFit="1" customWidth="1"/>
    <col min="3325" max="3325" width="5" style="62" customWidth="1"/>
    <col min="3326" max="3326" width="9" style="62" bestFit="1" customWidth="1"/>
    <col min="3327" max="3327" width="5.1796875" style="62" customWidth="1"/>
    <col min="3328" max="3328" width="9.1796875" style="62" customWidth="1"/>
    <col min="3329" max="3329" width="6" style="62" customWidth="1"/>
    <col min="3330" max="3330" width="9.1796875" style="62" customWidth="1"/>
    <col min="3331" max="3331" width="6" style="62" customWidth="1"/>
    <col min="3332" max="3333" width="10.1796875" style="62" customWidth="1"/>
    <col min="3334" max="3334" width="10" style="62" customWidth="1"/>
    <col min="3335" max="3335" width="10.36328125" style="62" customWidth="1"/>
    <col min="3336" max="3346" width="9.1796875" style="62" customWidth="1"/>
    <col min="3347" max="3347" width="11.36328125" style="62" customWidth="1"/>
    <col min="3348" max="3368" width="13" style="62" hidden="1" customWidth="1"/>
    <col min="3369" max="3574" width="9.1796875" style="62" customWidth="1"/>
    <col min="3575" max="3575" width="28.6328125" style="62" customWidth="1"/>
    <col min="3576" max="3576" width="9" style="62" bestFit="1" customWidth="1"/>
    <col min="3577" max="3577" width="5.36328125" style="62" customWidth="1"/>
    <col min="3578" max="3578" width="9" style="62" bestFit="1" customWidth="1"/>
    <col min="3579" max="3579" width="5.36328125" style="62" customWidth="1"/>
    <col min="3580" max="3580" width="9" style="62" bestFit="1" customWidth="1"/>
    <col min="3581" max="3581" width="5" style="62" customWidth="1"/>
    <col min="3582" max="3582" width="9" style="62" bestFit="1" customWidth="1"/>
    <col min="3583" max="3583" width="5.1796875" style="62" customWidth="1"/>
    <col min="3584" max="3584" width="9.1796875" style="62" customWidth="1"/>
    <col min="3585" max="3585" width="6" style="62" customWidth="1"/>
    <col min="3586" max="3586" width="9.1796875" style="62" customWidth="1"/>
    <col min="3587" max="3587" width="6" style="62" customWidth="1"/>
    <col min="3588" max="3589" width="10.1796875" style="62" customWidth="1"/>
    <col min="3590" max="3590" width="10" style="62" customWidth="1"/>
    <col min="3591" max="3591" width="10.36328125" style="62" customWidth="1"/>
    <col min="3592" max="3602" width="9.1796875" style="62" customWidth="1"/>
    <col min="3603" max="3603" width="11.36328125" style="62" customWidth="1"/>
    <col min="3604" max="3624" width="13" style="62" hidden="1" customWidth="1"/>
    <col min="3625" max="3830" width="9.1796875" style="62" customWidth="1"/>
    <col min="3831" max="3831" width="28.6328125" style="62" customWidth="1"/>
    <col min="3832" max="3832" width="9" style="62" bestFit="1" customWidth="1"/>
    <col min="3833" max="3833" width="5.36328125" style="62" customWidth="1"/>
    <col min="3834" max="3834" width="9" style="62" bestFit="1" customWidth="1"/>
    <col min="3835" max="3835" width="5.36328125" style="62" customWidth="1"/>
    <col min="3836" max="3836" width="9" style="62" bestFit="1" customWidth="1"/>
    <col min="3837" max="3837" width="5" style="62" customWidth="1"/>
    <col min="3838" max="3838" width="9" style="62" bestFit="1" customWidth="1"/>
    <col min="3839" max="3839" width="5.1796875" style="62" customWidth="1"/>
    <col min="3840" max="3840" width="9.1796875" style="62" customWidth="1"/>
    <col min="3841" max="3841" width="6" style="62" customWidth="1"/>
    <col min="3842" max="3842" width="9.1796875" style="62" customWidth="1"/>
    <col min="3843" max="3843" width="6" style="62" customWidth="1"/>
    <col min="3844" max="3845" width="10.1796875" style="62" customWidth="1"/>
    <col min="3846" max="3846" width="10" style="62" customWidth="1"/>
    <col min="3847" max="3847" width="10.36328125" style="62" customWidth="1"/>
    <col min="3848" max="3858" width="9.1796875" style="62" customWidth="1"/>
    <col min="3859" max="3859" width="11.36328125" style="62" customWidth="1"/>
    <col min="3860" max="3880" width="13" style="62" hidden="1" customWidth="1"/>
    <col min="3881" max="4086" width="9.1796875" style="62" customWidth="1"/>
    <col min="4087" max="4087" width="28.6328125" style="62" customWidth="1"/>
    <col min="4088" max="4088" width="9" style="62" bestFit="1" customWidth="1"/>
    <col min="4089" max="4089" width="5.36328125" style="62" customWidth="1"/>
    <col min="4090" max="4090" width="9" style="62" bestFit="1" customWidth="1"/>
    <col min="4091" max="4091" width="5.36328125" style="62" customWidth="1"/>
    <col min="4092" max="4092" width="9" style="62" bestFit="1" customWidth="1"/>
    <col min="4093" max="4093" width="5" style="62" customWidth="1"/>
    <col min="4094" max="4094" width="9" style="62" bestFit="1" customWidth="1"/>
    <col min="4095" max="4095" width="5.1796875" style="62" customWidth="1"/>
    <col min="4096" max="4096" width="9.1796875" style="62" customWidth="1"/>
    <col min="4097" max="4097" width="6" style="62" customWidth="1"/>
    <col min="4098" max="4098" width="9.1796875" style="62" customWidth="1"/>
    <col min="4099" max="4099" width="6" style="62" customWidth="1"/>
    <col min="4100" max="4101" width="10.1796875" style="62" customWidth="1"/>
    <col min="4102" max="4102" width="10" style="62" customWidth="1"/>
    <col min="4103" max="4103" width="10.36328125" style="62" customWidth="1"/>
    <col min="4104" max="4114" width="9.1796875" style="62" customWidth="1"/>
    <col min="4115" max="4115" width="11.36328125" style="62" customWidth="1"/>
    <col min="4116" max="4136" width="13" style="62" hidden="1" customWidth="1"/>
    <col min="4137" max="4342" width="9.1796875" style="62" customWidth="1"/>
    <col min="4343" max="4343" width="28.6328125" style="62" customWidth="1"/>
    <col min="4344" max="4344" width="9" style="62" bestFit="1" customWidth="1"/>
    <col min="4345" max="4345" width="5.36328125" style="62" customWidth="1"/>
    <col min="4346" max="4346" width="9" style="62" bestFit="1" customWidth="1"/>
    <col min="4347" max="4347" width="5.36328125" style="62" customWidth="1"/>
    <col min="4348" max="4348" width="9" style="62" bestFit="1" customWidth="1"/>
    <col min="4349" max="4349" width="5" style="62" customWidth="1"/>
    <col min="4350" max="4350" width="9" style="62" bestFit="1" customWidth="1"/>
    <col min="4351" max="4351" width="5.1796875" style="62" customWidth="1"/>
    <col min="4352" max="4352" width="9.1796875" style="62" customWidth="1"/>
    <col min="4353" max="4353" width="6" style="62" customWidth="1"/>
    <col min="4354" max="4354" width="9.1796875" style="62" customWidth="1"/>
    <col min="4355" max="4355" width="6" style="62" customWidth="1"/>
    <col min="4356" max="4357" width="10.1796875" style="62" customWidth="1"/>
    <col min="4358" max="4358" width="10" style="62" customWidth="1"/>
    <col min="4359" max="4359" width="10.36328125" style="62" customWidth="1"/>
    <col min="4360" max="4370" width="9.1796875" style="62" customWidth="1"/>
    <col min="4371" max="4371" width="11.36328125" style="62" customWidth="1"/>
    <col min="4372" max="4392" width="13" style="62" hidden="1" customWidth="1"/>
    <col min="4393" max="4598" width="9.1796875" style="62" customWidth="1"/>
    <col min="4599" max="4599" width="28.6328125" style="62" customWidth="1"/>
    <col min="4600" max="4600" width="9" style="62" bestFit="1" customWidth="1"/>
    <col min="4601" max="4601" width="5.36328125" style="62" customWidth="1"/>
    <col min="4602" max="4602" width="9" style="62" bestFit="1" customWidth="1"/>
    <col min="4603" max="4603" width="5.36328125" style="62" customWidth="1"/>
    <col min="4604" max="4604" width="9" style="62" bestFit="1" customWidth="1"/>
    <col min="4605" max="4605" width="5" style="62" customWidth="1"/>
    <col min="4606" max="4606" width="9" style="62" bestFit="1" customWidth="1"/>
    <col min="4607" max="4607" width="5.1796875" style="62" customWidth="1"/>
    <col min="4608" max="4608" width="9.1796875" style="62" customWidth="1"/>
    <col min="4609" max="4609" width="6" style="62" customWidth="1"/>
    <col min="4610" max="4610" width="9.1796875" style="62" customWidth="1"/>
    <col min="4611" max="4611" width="6" style="62" customWidth="1"/>
    <col min="4612" max="4613" width="10.1796875" style="62" customWidth="1"/>
    <col min="4614" max="4614" width="10" style="62" customWidth="1"/>
    <col min="4615" max="4615" width="10.36328125" style="62" customWidth="1"/>
    <col min="4616" max="4626" width="9.1796875" style="62" customWidth="1"/>
    <col min="4627" max="4627" width="11.36328125" style="62" customWidth="1"/>
    <col min="4628" max="4648" width="13" style="62" hidden="1" customWidth="1"/>
    <col min="4649" max="4854" width="9.1796875" style="62" customWidth="1"/>
    <col min="4855" max="4855" width="28.6328125" style="62" customWidth="1"/>
    <col min="4856" max="4856" width="9" style="62" bestFit="1" customWidth="1"/>
    <col min="4857" max="4857" width="5.36328125" style="62" customWidth="1"/>
    <col min="4858" max="4858" width="9" style="62" bestFit="1" customWidth="1"/>
    <col min="4859" max="4859" width="5.36328125" style="62" customWidth="1"/>
    <col min="4860" max="4860" width="9" style="62" bestFit="1" customWidth="1"/>
    <col min="4861" max="4861" width="5" style="62" customWidth="1"/>
    <col min="4862" max="4862" width="9" style="62" bestFit="1" customWidth="1"/>
    <col min="4863" max="4863" width="5.1796875" style="62" customWidth="1"/>
    <col min="4864" max="4864" width="9.1796875" style="62" customWidth="1"/>
    <col min="4865" max="4865" width="6" style="62" customWidth="1"/>
    <col min="4866" max="4866" width="9.1796875" style="62" customWidth="1"/>
    <col min="4867" max="4867" width="6" style="62" customWidth="1"/>
    <col min="4868" max="4869" width="10.1796875" style="62" customWidth="1"/>
    <col min="4870" max="4870" width="10" style="62" customWidth="1"/>
    <col min="4871" max="4871" width="10.36328125" style="62" customWidth="1"/>
    <col min="4872" max="4882" width="9.1796875" style="62" customWidth="1"/>
    <col min="4883" max="4883" width="11.36328125" style="62" customWidth="1"/>
    <col min="4884" max="4904" width="13" style="62" hidden="1" customWidth="1"/>
    <col min="4905" max="5110" width="9.1796875" style="62" customWidth="1"/>
    <col min="5111" max="5111" width="28.6328125" style="62" customWidth="1"/>
    <col min="5112" max="5112" width="9" style="62" bestFit="1" customWidth="1"/>
    <col min="5113" max="5113" width="5.36328125" style="62" customWidth="1"/>
    <col min="5114" max="5114" width="9" style="62" bestFit="1" customWidth="1"/>
    <col min="5115" max="5115" width="5.36328125" style="62" customWidth="1"/>
    <col min="5116" max="5116" width="9" style="62" bestFit="1" customWidth="1"/>
    <col min="5117" max="5117" width="5" style="62" customWidth="1"/>
    <col min="5118" max="5118" width="9" style="62" bestFit="1" customWidth="1"/>
    <col min="5119" max="5119" width="5.1796875" style="62" customWidth="1"/>
    <col min="5120" max="5120" width="9.1796875" style="62" customWidth="1"/>
    <col min="5121" max="5121" width="6" style="62" customWidth="1"/>
    <col min="5122" max="5122" width="9.1796875" style="62" customWidth="1"/>
    <col min="5123" max="5123" width="6" style="62" customWidth="1"/>
    <col min="5124" max="5125" width="10.1796875" style="62" customWidth="1"/>
    <col min="5126" max="5126" width="10" style="62" customWidth="1"/>
    <col min="5127" max="5127" width="10.36328125" style="62" customWidth="1"/>
    <col min="5128" max="5138" width="9.1796875" style="62" customWidth="1"/>
    <col min="5139" max="5139" width="11.36328125" style="62" customWidth="1"/>
    <col min="5140" max="5160" width="13" style="62" hidden="1" customWidth="1"/>
    <col min="5161" max="5366" width="9.1796875" style="62" customWidth="1"/>
    <col min="5367" max="5367" width="28.6328125" style="62" customWidth="1"/>
    <col min="5368" max="5368" width="9" style="62" bestFit="1" customWidth="1"/>
    <col min="5369" max="5369" width="5.36328125" style="62" customWidth="1"/>
    <col min="5370" max="5370" width="9" style="62" bestFit="1" customWidth="1"/>
    <col min="5371" max="5371" width="5.36328125" style="62" customWidth="1"/>
    <col min="5372" max="5372" width="9" style="62" bestFit="1" customWidth="1"/>
    <col min="5373" max="5373" width="5" style="62" customWidth="1"/>
    <col min="5374" max="5374" width="9" style="62" bestFit="1" customWidth="1"/>
    <col min="5375" max="5375" width="5.1796875" style="62" customWidth="1"/>
    <col min="5376" max="5376" width="9.1796875" style="62" customWidth="1"/>
    <col min="5377" max="5377" width="6" style="62" customWidth="1"/>
    <col min="5378" max="5378" width="9.1796875" style="62" customWidth="1"/>
    <col min="5379" max="5379" width="6" style="62" customWidth="1"/>
    <col min="5380" max="5381" width="10.1796875" style="62" customWidth="1"/>
    <col min="5382" max="5382" width="10" style="62" customWidth="1"/>
    <col min="5383" max="5383" width="10.36328125" style="62" customWidth="1"/>
    <col min="5384" max="5394" width="9.1796875" style="62" customWidth="1"/>
    <col min="5395" max="5395" width="11.36328125" style="62" customWidth="1"/>
    <col min="5396" max="5416" width="13" style="62" hidden="1" customWidth="1"/>
    <col min="5417" max="5622" width="9.1796875" style="62" customWidth="1"/>
    <col min="5623" max="5623" width="28.6328125" style="62" customWidth="1"/>
    <col min="5624" max="5624" width="9" style="62" bestFit="1" customWidth="1"/>
    <col min="5625" max="5625" width="5.36328125" style="62" customWidth="1"/>
    <col min="5626" max="5626" width="9" style="62" bestFit="1" customWidth="1"/>
    <col min="5627" max="5627" width="5.36328125" style="62" customWidth="1"/>
    <col min="5628" max="5628" width="9" style="62" bestFit="1" customWidth="1"/>
    <col min="5629" max="5629" width="5" style="62" customWidth="1"/>
    <col min="5630" max="5630" width="9" style="62" bestFit="1" customWidth="1"/>
    <col min="5631" max="5631" width="5.1796875" style="62" customWidth="1"/>
    <col min="5632" max="5632" width="9.1796875" style="62" customWidth="1"/>
    <col min="5633" max="5633" width="6" style="62" customWidth="1"/>
    <col min="5634" max="5634" width="9.1796875" style="62" customWidth="1"/>
    <col min="5635" max="5635" width="6" style="62" customWidth="1"/>
    <col min="5636" max="5637" width="10.1796875" style="62" customWidth="1"/>
    <col min="5638" max="5638" width="10" style="62" customWidth="1"/>
    <col min="5639" max="5639" width="10.36328125" style="62" customWidth="1"/>
    <col min="5640" max="5650" width="9.1796875" style="62" customWidth="1"/>
    <col min="5651" max="5651" width="11.36328125" style="62" customWidth="1"/>
    <col min="5652" max="5672" width="13" style="62" hidden="1" customWidth="1"/>
    <col min="5673" max="5878" width="9.1796875" style="62" customWidth="1"/>
    <col min="5879" max="5879" width="28.6328125" style="62" customWidth="1"/>
    <col min="5880" max="5880" width="9" style="62" bestFit="1" customWidth="1"/>
    <col min="5881" max="5881" width="5.36328125" style="62" customWidth="1"/>
    <col min="5882" max="5882" width="9" style="62" bestFit="1" customWidth="1"/>
    <col min="5883" max="5883" width="5.36328125" style="62" customWidth="1"/>
    <col min="5884" max="5884" width="9" style="62" bestFit="1" customWidth="1"/>
    <col min="5885" max="5885" width="5" style="62" customWidth="1"/>
    <col min="5886" max="5886" width="9" style="62" bestFit="1" customWidth="1"/>
    <col min="5887" max="5887" width="5.1796875" style="62" customWidth="1"/>
    <col min="5888" max="5888" width="9.1796875" style="62" customWidth="1"/>
    <col min="5889" max="5889" width="6" style="62" customWidth="1"/>
    <col min="5890" max="5890" width="9.1796875" style="62" customWidth="1"/>
    <col min="5891" max="5891" width="6" style="62" customWidth="1"/>
    <col min="5892" max="5893" width="10.1796875" style="62" customWidth="1"/>
    <col min="5894" max="5894" width="10" style="62" customWidth="1"/>
    <col min="5895" max="5895" width="10.36328125" style="62" customWidth="1"/>
    <col min="5896" max="5906" width="9.1796875" style="62" customWidth="1"/>
    <col min="5907" max="5907" width="11.36328125" style="62" customWidth="1"/>
    <col min="5908" max="5928" width="13" style="62" hidden="1" customWidth="1"/>
    <col min="5929" max="6134" width="9.1796875" style="62" customWidth="1"/>
    <col min="6135" max="6135" width="28.6328125" style="62" customWidth="1"/>
    <col min="6136" max="6136" width="9" style="62" bestFit="1" customWidth="1"/>
    <col min="6137" max="6137" width="5.36328125" style="62" customWidth="1"/>
    <col min="6138" max="6138" width="9" style="62" bestFit="1" customWidth="1"/>
    <col min="6139" max="6139" width="5.36328125" style="62" customWidth="1"/>
    <col min="6140" max="6140" width="9" style="62" bestFit="1" customWidth="1"/>
    <col min="6141" max="6141" width="5" style="62" customWidth="1"/>
    <col min="6142" max="6142" width="9" style="62" bestFit="1" customWidth="1"/>
    <col min="6143" max="6143" width="5.1796875" style="62" customWidth="1"/>
    <col min="6144" max="6144" width="9.1796875" style="62" customWidth="1"/>
    <col min="6145" max="6145" width="6" style="62" customWidth="1"/>
    <col min="6146" max="6146" width="9.1796875" style="62" customWidth="1"/>
    <col min="6147" max="6147" width="6" style="62" customWidth="1"/>
    <col min="6148" max="6149" width="10.1796875" style="62" customWidth="1"/>
    <col min="6150" max="6150" width="10" style="62" customWidth="1"/>
    <col min="6151" max="6151" width="10.36328125" style="62" customWidth="1"/>
    <col min="6152" max="6162" width="9.1796875" style="62" customWidth="1"/>
    <col min="6163" max="6163" width="11.36328125" style="62" customWidth="1"/>
    <col min="6164" max="6184" width="13" style="62" hidden="1" customWidth="1"/>
    <col min="6185" max="6390" width="9.1796875" style="62" customWidth="1"/>
    <col min="6391" max="6391" width="28.6328125" style="62" customWidth="1"/>
    <col min="6392" max="6392" width="9" style="62" bestFit="1" customWidth="1"/>
    <col min="6393" max="6393" width="5.36328125" style="62" customWidth="1"/>
    <col min="6394" max="6394" width="9" style="62" bestFit="1" customWidth="1"/>
    <col min="6395" max="6395" width="5.36328125" style="62" customWidth="1"/>
    <col min="6396" max="6396" width="9" style="62" bestFit="1" customWidth="1"/>
    <col min="6397" max="6397" width="5" style="62" customWidth="1"/>
    <col min="6398" max="6398" width="9" style="62" bestFit="1" customWidth="1"/>
    <col min="6399" max="6399" width="5.1796875" style="62" customWidth="1"/>
    <col min="6400" max="6400" width="9.1796875" style="62" customWidth="1"/>
    <col min="6401" max="6401" width="6" style="62" customWidth="1"/>
    <col min="6402" max="6402" width="9.1796875" style="62" customWidth="1"/>
    <col min="6403" max="6403" width="6" style="62" customWidth="1"/>
    <col min="6404" max="6405" width="10.1796875" style="62" customWidth="1"/>
    <col min="6406" max="6406" width="10" style="62" customWidth="1"/>
    <col min="6407" max="6407" width="10.36328125" style="62" customWidth="1"/>
    <col min="6408" max="6418" width="9.1796875" style="62" customWidth="1"/>
    <col min="6419" max="6419" width="11.36328125" style="62" customWidth="1"/>
    <col min="6420" max="6440" width="13" style="62" hidden="1" customWidth="1"/>
    <col min="6441" max="6646" width="9.1796875" style="62" customWidth="1"/>
    <col min="6647" max="6647" width="28.6328125" style="62" customWidth="1"/>
    <col min="6648" max="6648" width="9" style="62" bestFit="1" customWidth="1"/>
    <col min="6649" max="6649" width="5.36328125" style="62" customWidth="1"/>
    <col min="6650" max="6650" width="9" style="62" bestFit="1" customWidth="1"/>
    <col min="6651" max="6651" width="5.36328125" style="62" customWidth="1"/>
    <col min="6652" max="6652" width="9" style="62" bestFit="1" customWidth="1"/>
    <col min="6653" max="6653" width="5" style="62" customWidth="1"/>
    <col min="6654" max="6654" width="9" style="62" bestFit="1" customWidth="1"/>
    <col min="6655" max="6655" width="5.1796875" style="62" customWidth="1"/>
    <col min="6656" max="6656" width="9.1796875" style="62" customWidth="1"/>
    <col min="6657" max="6657" width="6" style="62" customWidth="1"/>
    <col min="6658" max="6658" width="9.1796875" style="62" customWidth="1"/>
    <col min="6659" max="6659" width="6" style="62" customWidth="1"/>
    <col min="6660" max="6661" width="10.1796875" style="62" customWidth="1"/>
    <col min="6662" max="6662" width="10" style="62" customWidth="1"/>
    <col min="6663" max="6663" width="10.36328125" style="62" customWidth="1"/>
    <col min="6664" max="6674" width="9.1796875" style="62" customWidth="1"/>
    <col min="6675" max="6675" width="11.36328125" style="62" customWidth="1"/>
    <col min="6676" max="6696" width="13" style="62" hidden="1" customWidth="1"/>
    <col min="6697" max="6902" width="9.1796875" style="62" customWidth="1"/>
    <col min="6903" max="6903" width="28.6328125" style="62" customWidth="1"/>
    <col min="6904" max="6904" width="9" style="62" bestFit="1" customWidth="1"/>
    <col min="6905" max="6905" width="5.36328125" style="62" customWidth="1"/>
    <col min="6906" max="6906" width="9" style="62" bestFit="1" customWidth="1"/>
    <col min="6907" max="6907" width="5.36328125" style="62" customWidth="1"/>
    <col min="6908" max="6908" width="9" style="62" bestFit="1" customWidth="1"/>
    <col min="6909" max="6909" width="5" style="62" customWidth="1"/>
    <col min="6910" max="6910" width="9" style="62" bestFit="1" customWidth="1"/>
    <col min="6911" max="6911" width="5.1796875" style="62" customWidth="1"/>
    <col min="6912" max="6912" width="9.1796875" style="62" customWidth="1"/>
    <col min="6913" max="6913" width="6" style="62" customWidth="1"/>
    <col min="6914" max="6914" width="9.1796875" style="62" customWidth="1"/>
    <col min="6915" max="6915" width="6" style="62" customWidth="1"/>
    <col min="6916" max="6917" width="10.1796875" style="62" customWidth="1"/>
    <col min="6918" max="6918" width="10" style="62" customWidth="1"/>
    <col min="6919" max="6919" width="10.36328125" style="62" customWidth="1"/>
    <col min="6920" max="6930" width="9.1796875" style="62" customWidth="1"/>
    <col min="6931" max="6931" width="11.36328125" style="62" customWidth="1"/>
    <col min="6932" max="6952" width="13" style="62" hidden="1" customWidth="1"/>
    <col min="6953" max="7158" width="9.1796875" style="62" customWidth="1"/>
    <col min="7159" max="7159" width="28.6328125" style="62" customWidth="1"/>
    <col min="7160" max="7160" width="9" style="62" bestFit="1" customWidth="1"/>
    <col min="7161" max="7161" width="5.36328125" style="62" customWidth="1"/>
    <col min="7162" max="7162" width="9" style="62" bestFit="1" customWidth="1"/>
    <col min="7163" max="7163" width="5.36328125" style="62" customWidth="1"/>
    <col min="7164" max="7164" width="9" style="62" bestFit="1" customWidth="1"/>
    <col min="7165" max="7165" width="5" style="62" customWidth="1"/>
    <col min="7166" max="7166" width="9" style="62" bestFit="1" customWidth="1"/>
    <col min="7167" max="7167" width="5.1796875" style="62" customWidth="1"/>
    <col min="7168" max="7168" width="9.1796875" style="62" customWidth="1"/>
    <col min="7169" max="7169" width="6" style="62" customWidth="1"/>
    <col min="7170" max="7170" width="9.1796875" style="62" customWidth="1"/>
    <col min="7171" max="7171" width="6" style="62" customWidth="1"/>
    <col min="7172" max="7173" width="10.1796875" style="62" customWidth="1"/>
    <col min="7174" max="7174" width="10" style="62" customWidth="1"/>
    <col min="7175" max="7175" width="10.36328125" style="62" customWidth="1"/>
    <col min="7176" max="7186" width="9.1796875" style="62" customWidth="1"/>
    <col min="7187" max="7187" width="11.36328125" style="62" customWidth="1"/>
    <col min="7188" max="7208" width="13" style="62" hidden="1" customWidth="1"/>
    <col min="7209" max="7414" width="9.1796875" style="62" customWidth="1"/>
    <col min="7415" max="7415" width="28.6328125" style="62" customWidth="1"/>
    <col min="7416" max="7416" width="9" style="62" bestFit="1" customWidth="1"/>
    <col min="7417" max="7417" width="5.36328125" style="62" customWidth="1"/>
    <col min="7418" max="7418" width="9" style="62" bestFit="1" customWidth="1"/>
    <col min="7419" max="7419" width="5.36328125" style="62" customWidth="1"/>
    <col min="7420" max="7420" width="9" style="62" bestFit="1" customWidth="1"/>
    <col min="7421" max="7421" width="5" style="62" customWidth="1"/>
    <col min="7422" max="7422" width="9" style="62" bestFit="1" customWidth="1"/>
    <col min="7423" max="7423" width="5.1796875" style="62" customWidth="1"/>
    <col min="7424" max="7424" width="9.1796875" style="62" customWidth="1"/>
    <col min="7425" max="7425" width="6" style="62" customWidth="1"/>
    <col min="7426" max="7426" width="9.1796875" style="62" customWidth="1"/>
    <col min="7427" max="7427" width="6" style="62" customWidth="1"/>
    <col min="7428" max="7429" width="10.1796875" style="62" customWidth="1"/>
    <col min="7430" max="7430" width="10" style="62" customWidth="1"/>
    <col min="7431" max="7431" width="10.36328125" style="62" customWidth="1"/>
    <col min="7432" max="7442" width="9.1796875" style="62" customWidth="1"/>
    <col min="7443" max="7443" width="11.36328125" style="62" customWidth="1"/>
    <col min="7444" max="7464" width="13" style="62" hidden="1" customWidth="1"/>
    <col min="7465" max="7670" width="9.1796875" style="62" customWidth="1"/>
    <col min="7671" max="7671" width="28.6328125" style="62" customWidth="1"/>
    <col min="7672" max="7672" width="9" style="62" bestFit="1" customWidth="1"/>
    <col min="7673" max="7673" width="5.36328125" style="62" customWidth="1"/>
    <col min="7674" max="7674" width="9" style="62" bestFit="1" customWidth="1"/>
    <col min="7675" max="7675" width="5.36328125" style="62" customWidth="1"/>
    <col min="7676" max="7676" width="9" style="62" bestFit="1" customWidth="1"/>
    <col min="7677" max="7677" width="5" style="62" customWidth="1"/>
    <col min="7678" max="7678" width="9" style="62" bestFit="1" customWidth="1"/>
    <col min="7679" max="7679" width="5.1796875" style="62" customWidth="1"/>
    <col min="7680" max="7680" width="9.1796875" style="62" customWidth="1"/>
    <col min="7681" max="7681" width="6" style="62" customWidth="1"/>
    <col min="7682" max="7682" width="9.1796875" style="62" customWidth="1"/>
    <col min="7683" max="7683" width="6" style="62" customWidth="1"/>
    <col min="7684" max="7685" width="10.1796875" style="62" customWidth="1"/>
    <col min="7686" max="7686" width="10" style="62" customWidth="1"/>
    <col min="7687" max="7687" width="10.36328125" style="62" customWidth="1"/>
    <col min="7688" max="7698" width="9.1796875" style="62" customWidth="1"/>
    <col min="7699" max="7699" width="11.36328125" style="62" customWidth="1"/>
    <col min="7700" max="7720" width="13" style="62" hidden="1" customWidth="1"/>
    <col min="7721" max="7926" width="9.1796875" style="62" customWidth="1"/>
    <col min="7927" max="7927" width="28.6328125" style="62" customWidth="1"/>
    <col min="7928" max="7928" width="9" style="62" bestFit="1" customWidth="1"/>
    <col min="7929" max="7929" width="5.36328125" style="62" customWidth="1"/>
    <col min="7930" max="7930" width="9" style="62" bestFit="1" customWidth="1"/>
    <col min="7931" max="7931" width="5.36328125" style="62" customWidth="1"/>
    <col min="7932" max="7932" width="9" style="62" bestFit="1" customWidth="1"/>
    <col min="7933" max="7933" width="5" style="62" customWidth="1"/>
    <col min="7934" max="7934" width="9" style="62" bestFit="1" customWidth="1"/>
    <col min="7935" max="7935" width="5.1796875" style="62" customWidth="1"/>
    <col min="7936" max="7936" width="9.1796875" style="62" customWidth="1"/>
    <col min="7937" max="7937" width="6" style="62" customWidth="1"/>
    <col min="7938" max="7938" width="9.1796875" style="62" customWidth="1"/>
    <col min="7939" max="7939" width="6" style="62" customWidth="1"/>
    <col min="7940" max="7941" width="10.1796875" style="62" customWidth="1"/>
    <col min="7942" max="7942" width="10" style="62" customWidth="1"/>
    <col min="7943" max="7943" width="10.36328125" style="62" customWidth="1"/>
    <col min="7944" max="7954" width="9.1796875" style="62" customWidth="1"/>
    <col min="7955" max="7955" width="11.36328125" style="62" customWidth="1"/>
    <col min="7956" max="7976" width="13" style="62" hidden="1" customWidth="1"/>
    <col min="7977" max="8182" width="9.1796875" style="62" customWidth="1"/>
    <col min="8183" max="8183" width="28.6328125" style="62" customWidth="1"/>
    <col min="8184" max="8184" width="9" style="62" bestFit="1" customWidth="1"/>
    <col min="8185" max="8185" width="5.36328125" style="62" customWidth="1"/>
    <col min="8186" max="8186" width="9" style="62" bestFit="1" customWidth="1"/>
    <col min="8187" max="8187" width="5.36328125" style="62" customWidth="1"/>
    <col min="8188" max="8188" width="9" style="62" bestFit="1" customWidth="1"/>
    <col min="8189" max="8189" width="5" style="62" customWidth="1"/>
    <col min="8190" max="8190" width="9" style="62" bestFit="1" customWidth="1"/>
    <col min="8191" max="8191" width="5.1796875" style="62" customWidth="1"/>
    <col min="8192" max="8192" width="9.1796875" style="62" customWidth="1"/>
    <col min="8193" max="8193" width="6" style="62" customWidth="1"/>
    <col min="8194" max="8194" width="9.1796875" style="62" customWidth="1"/>
    <col min="8195" max="8195" width="6" style="62" customWidth="1"/>
    <col min="8196" max="8197" width="10.1796875" style="62" customWidth="1"/>
    <col min="8198" max="8198" width="10" style="62" customWidth="1"/>
    <col min="8199" max="8199" width="10.36328125" style="62" customWidth="1"/>
    <col min="8200" max="8210" width="9.1796875" style="62" customWidth="1"/>
    <col min="8211" max="8211" width="11.36328125" style="62" customWidth="1"/>
    <col min="8212" max="8232" width="13" style="62" hidden="1" customWidth="1"/>
    <col min="8233" max="8438" width="9.1796875" style="62" customWidth="1"/>
    <col min="8439" max="8439" width="28.6328125" style="62" customWidth="1"/>
    <col min="8440" max="8440" width="9" style="62" bestFit="1" customWidth="1"/>
    <col min="8441" max="8441" width="5.36328125" style="62" customWidth="1"/>
    <col min="8442" max="8442" width="9" style="62" bestFit="1" customWidth="1"/>
    <col min="8443" max="8443" width="5.36328125" style="62" customWidth="1"/>
    <col min="8444" max="8444" width="9" style="62" bestFit="1" customWidth="1"/>
    <col min="8445" max="8445" width="5" style="62" customWidth="1"/>
    <col min="8446" max="8446" width="9" style="62" bestFit="1" customWidth="1"/>
    <col min="8447" max="8447" width="5.1796875" style="62" customWidth="1"/>
    <col min="8448" max="8448" width="9.1796875" style="62" customWidth="1"/>
    <col min="8449" max="8449" width="6" style="62" customWidth="1"/>
    <col min="8450" max="8450" width="9.1796875" style="62" customWidth="1"/>
    <col min="8451" max="8451" width="6" style="62" customWidth="1"/>
    <col min="8452" max="8453" width="10.1796875" style="62" customWidth="1"/>
    <col min="8454" max="8454" width="10" style="62" customWidth="1"/>
    <col min="8455" max="8455" width="10.36328125" style="62" customWidth="1"/>
    <col min="8456" max="8466" width="9.1796875" style="62" customWidth="1"/>
    <col min="8467" max="8467" width="11.36328125" style="62" customWidth="1"/>
    <col min="8468" max="8488" width="13" style="62" hidden="1" customWidth="1"/>
    <col min="8489" max="8694" width="9.1796875" style="62" customWidth="1"/>
    <col min="8695" max="8695" width="28.6328125" style="62" customWidth="1"/>
    <col min="8696" max="8696" width="9" style="62" bestFit="1" customWidth="1"/>
    <col min="8697" max="8697" width="5.36328125" style="62" customWidth="1"/>
    <col min="8698" max="8698" width="9" style="62" bestFit="1" customWidth="1"/>
    <col min="8699" max="8699" width="5.36328125" style="62" customWidth="1"/>
    <col min="8700" max="8700" width="9" style="62" bestFit="1" customWidth="1"/>
    <col min="8701" max="8701" width="5" style="62" customWidth="1"/>
    <col min="8702" max="8702" width="9" style="62" bestFit="1" customWidth="1"/>
    <col min="8703" max="8703" width="5.1796875" style="62" customWidth="1"/>
    <col min="8704" max="8704" width="9.1796875" style="62" customWidth="1"/>
    <col min="8705" max="8705" width="6" style="62" customWidth="1"/>
    <col min="8706" max="8706" width="9.1796875" style="62" customWidth="1"/>
    <col min="8707" max="8707" width="6" style="62" customWidth="1"/>
    <col min="8708" max="8709" width="10.1796875" style="62" customWidth="1"/>
    <col min="8710" max="8710" width="10" style="62" customWidth="1"/>
    <col min="8711" max="8711" width="10.36328125" style="62" customWidth="1"/>
    <col min="8712" max="8722" width="9.1796875" style="62" customWidth="1"/>
    <col min="8723" max="8723" width="11.36328125" style="62" customWidth="1"/>
    <col min="8724" max="8744" width="13" style="62" hidden="1" customWidth="1"/>
    <col min="8745" max="8950" width="9.1796875" style="62" customWidth="1"/>
    <col min="8951" max="8951" width="28.6328125" style="62" customWidth="1"/>
    <col min="8952" max="8952" width="9" style="62" bestFit="1" customWidth="1"/>
    <col min="8953" max="8953" width="5.36328125" style="62" customWidth="1"/>
    <col min="8954" max="8954" width="9" style="62" bestFit="1" customWidth="1"/>
    <col min="8955" max="8955" width="5.36328125" style="62" customWidth="1"/>
    <col min="8956" max="8956" width="9" style="62" bestFit="1" customWidth="1"/>
    <col min="8957" max="8957" width="5" style="62" customWidth="1"/>
    <col min="8958" max="8958" width="9" style="62" bestFit="1" customWidth="1"/>
    <col min="8959" max="8959" width="5.1796875" style="62" customWidth="1"/>
    <col min="8960" max="8960" width="9.1796875" style="62" customWidth="1"/>
    <col min="8961" max="8961" width="6" style="62" customWidth="1"/>
    <col min="8962" max="8962" width="9.1796875" style="62" customWidth="1"/>
    <col min="8963" max="8963" width="6" style="62" customWidth="1"/>
    <col min="8964" max="8965" width="10.1796875" style="62" customWidth="1"/>
    <col min="8966" max="8966" width="10" style="62" customWidth="1"/>
    <col min="8967" max="8967" width="10.36328125" style="62" customWidth="1"/>
    <col min="8968" max="8978" width="9.1796875" style="62" customWidth="1"/>
    <col min="8979" max="8979" width="11.36328125" style="62" customWidth="1"/>
    <col min="8980" max="9000" width="13" style="62" hidden="1" customWidth="1"/>
    <col min="9001" max="9206" width="9.1796875" style="62" customWidth="1"/>
    <col min="9207" max="9207" width="28.6328125" style="62" customWidth="1"/>
    <col min="9208" max="9208" width="9" style="62" bestFit="1" customWidth="1"/>
    <col min="9209" max="9209" width="5.36328125" style="62" customWidth="1"/>
    <col min="9210" max="9210" width="9" style="62" bestFit="1" customWidth="1"/>
    <col min="9211" max="9211" width="5.36328125" style="62" customWidth="1"/>
    <col min="9212" max="9212" width="9" style="62" bestFit="1" customWidth="1"/>
    <col min="9213" max="9213" width="5" style="62" customWidth="1"/>
    <col min="9214" max="9214" width="9" style="62" bestFit="1" customWidth="1"/>
    <col min="9215" max="9215" width="5.1796875" style="62" customWidth="1"/>
    <col min="9216" max="9216" width="9.1796875" style="62" customWidth="1"/>
    <col min="9217" max="9217" width="6" style="62" customWidth="1"/>
    <col min="9218" max="9218" width="9.1796875" style="62" customWidth="1"/>
    <col min="9219" max="9219" width="6" style="62" customWidth="1"/>
    <col min="9220" max="9221" width="10.1796875" style="62" customWidth="1"/>
    <col min="9222" max="9222" width="10" style="62" customWidth="1"/>
    <col min="9223" max="9223" width="10.36328125" style="62" customWidth="1"/>
    <col min="9224" max="9234" width="9.1796875" style="62" customWidth="1"/>
    <col min="9235" max="9235" width="11.36328125" style="62" customWidth="1"/>
    <col min="9236" max="9256" width="13" style="62" hidden="1" customWidth="1"/>
    <col min="9257" max="9462" width="9.1796875" style="62" customWidth="1"/>
    <col min="9463" max="9463" width="28.6328125" style="62" customWidth="1"/>
    <col min="9464" max="9464" width="9" style="62" bestFit="1" customWidth="1"/>
    <col min="9465" max="9465" width="5.36328125" style="62" customWidth="1"/>
    <col min="9466" max="9466" width="9" style="62" bestFit="1" customWidth="1"/>
    <col min="9467" max="9467" width="5.36328125" style="62" customWidth="1"/>
    <col min="9468" max="9468" width="9" style="62" bestFit="1" customWidth="1"/>
    <col min="9469" max="9469" width="5" style="62" customWidth="1"/>
    <col min="9470" max="9470" width="9" style="62" bestFit="1" customWidth="1"/>
    <col min="9471" max="9471" width="5.1796875" style="62" customWidth="1"/>
    <col min="9472" max="9472" width="9.1796875" style="62" customWidth="1"/>
    <col min="9473" max="9473" width="6" style="62" customWidth="1"/>
    <col min="9474" max="9474" width="9.1796875" style="62" customWidth="1"/>
    <col min="9475" max="9475" width="6" style="62" customWidth="1"/>
    <col min="9476" max="9477" width="10.1796875" style="62" customWidth="1"/>
    <col min="9478" max="9478" width="10" style="62" customWidth="1"/>
    <col min="9479" max="9479" width="10.36328125" style="62" customWidth="1"/>
    <col min="9480" max="9490" width="9.1796875" style="62" customWidth="1"/>
    <col min="9491" max="9491" width="11.36328125" style="62" customWidth="1"/>
    <col min="9492" max="9512" width="13" style="62" hidden="1" customWidth="1"/>
    <col min="9513" max="9718" width="9.1796875" style="62" customWidth="1"/>
    <col min="9719" max="9719" width="28.6328125" style="62" customWidth="1"/>
    <col min="9720" max="9720" width="9" style="62" bestFit="1" customWidth="1"/>
    <col min="9721" max="9721" width="5.36328125" style="62" customWidth="1"/>
    <col min="9722" max="9722" width="9" style="62" bestFit="1" customWidth="1"/>
    <col min="9723" max="9723" width="5.36328125" style="62" customWidth="1"/>
    <col min="9724" max="9724" width="9" style="62" bestFit="1" customWidth="1"/>
    <col min="9725" max="9725" width="5" style="62" customWidth="1"/>
    <col min="9726" max="9726" width="9" style="62" bestFit="1" customWidth="1"/>
    <col min="9727" max="9727" width="5.1796875" style="62" customWidth="1"/>
    <col min="9728" max="9728" width="9.1796875" style="62" customWidth="1"/>
    <col min="9729" max="9729" width="6" style="62" customWidth="1"/>
    <col min="9730" max="9730" width="9.1796875" style="62" customWidth="1"/>
    <col min="9731" max="9731" width="6" style="62" customWidth="1"/>
    <col min="9732" max="9733" width="10.1796875" style="62" customWidth="1"/>
    <col min="9734" max="9734" width="10" style="62" customWidth="1"/>
    <col min="9735" max="9735" width="10.36328125" style="62" customWidth="1"/>
    <col min="9736" max="9746" width="9.1796875" style="62" customWidth="1"/>
    <col min="9747" max="9747" width="11.36328125" style="62" customWidth="1"/>
    <col min="9748" max="9768" width="13" style="62" hidden="1" customWidth="1"/>
    <col min="9769" max="9974" width="9.1796875" style="62" customWidth="1"/>
    <col min="9975" max="9975" width="28.6328125" style="62" customWidth="1"/>
    <col min="9976" max="9976" width="9" style="62" bestFit="1" customWidth="1"/>
    <col min="9977" max="9977" width="5.36328125" style="62" customWidth="1"/>
    <col min="9978" max="9978" width="9" style="62" bestFit="1" customWidth="1"/>
    <col min="9979" max="9979" width="5.36328125" style="62" customWidth="1"/>
    <col min="9980" max="9980" width="9" style="62" bestFit="1" customWidth="1"/>
    <col min="9981" max="9981" width="5" style="62" customWidth="1"/>
    <col min="9982" max="9982" width="9" style="62" bestFit="1" customWidth="1"/>
    <col min="9983" max="9983" width="5.1796875" style="62" customWidth="1"/>
    <col min="9984" max="9984" width="9.1796875" style="62" customWidth="1"/>
    <col min="9985" max="9985" width="6" style="62" customWidth="1"/>
    <col min="9986" max="9986" width="9.1796875" style="62" customWidth="1"/>
    <col min="9987" max="9987" width="6" style="62" customWidth="1"/>
    <col min="9988" max="9989" width="10.1796875" style="62" customWidth="1"/>
    <col min="9990" max="9990" width="10" style="62" customWidth="1"/>
    <col min="9991" max="9991" width="10.36328125" style="62" customWidth="1"/>
    <col min="9992" max="10002" width="9.1796875" style="62" customWidth="1"/>
    <col min="10003" max="10003" width="11.36328125" style="62" customWidth="1"/>
    <col min="10004" max="10024" width="13" style="62" hidden="1" customWidth="1"/>
    <col min="10025" max="10230" width="9.1796875" style="62" customWidth="1"/>
    <col min="10231" max="10231" width="28.6328125" style="62" customWidth="1"/>
    <col min="10232" max="10232" width="9" style="62" bestFit="1" customWidth="1"/>
    <col min="10233" max="10233" width="5.36328125" style="62" customWidth="1"/>
    <col min="10234" max="10234" width="9" style="62" bestFit="1" customWidth="1"/>
    <col min="10235" max="10235" width="5.36328125" style="62" customWidth="1"/>
    <col min="10236" max="10236" width="9" style="62" bestFit="1" customWidth="1"/>
    <col min="10237" max="10237" width="5" style="62" customWidth="1"/>
    <col min="10238" max="10238" width="9" style="62" bestFit="1" customWidth="1"/>
    <col min="10239" max="10239" width="5.1796875" style="62" customWidth="1"/>
    <col min="10240" max="10240" width="9.1796875" style="62" customWidth="1"/>
    <col min="10241" max="10241" width="6" style="62" customWidth="1"/>
    <col min="10242" max="10242" width="9.1796875" style="62" customWidth="1"/>
    <col min="10243" max="10243" width="6" style="62" customWidth="1"/>
    <col min="10244" max="10245" width="10.1796875" style="62" customWidth="1"/>
    <col min="10246" max="10246" width="10" style="62" customWidth="1"/>
    <col min="10247" max="10247" width="10.36328125" style="62" customWidth="1"/>
    <col min="10248" max="10258" width="9.1796875" style="62" customWidth="1"/>
    <col min="10259" max="10259" width="11.36328125" style="62" customWidth="1"/>
    <col min="10260" max="10280" width="13" style="62" hidden="1" customWidth="1"/>
    <col min="10281" max="10486" width="9.1796875" style="62" customWidth="1"/>
    <col min="10487" max="10487" width="28.6328125" style="62" customWidth="1"/>
    <col min="10488" max="10488" width="9" style="62" bestFit="1" customWidth="1"/>
    <col min="10489" max="10489" width="5.36328125" style="62" customWidth="1"/>
    <col min="10490" max="10490" width="9" style="62" bestFit="1" customWidth="1"/>
    <col min="10491" max="10491" width="5.36328125" style="62" customWidth="1"/>
    <col min="10492" max="10492" width="9" style="62" bestFit="1" customWidth="1"/>
    <col min="10493" max="10493" width="5" style="62" customWidth="1"/>
    <col min="10494" max="10494" width="9" style="62" bestFit="1" customWidth="1"/>
    <col min="10495" max="10495" width="5.1796875" style="62" customWidth="1"/>
    <col min="10496" max="10496" width="9.1796875" style="62" customWidth="1"/>
    <col min="10497" max="10497" width="6" style="62" customWidth="1"/>
    <col min="10498" max="10498" width="9.1796875" style="62" customWidth="1"/>
    <col min="10499" max="10499" width="6" style="62" customWidth="1"/>
    <col min="10500" max="10501" width="10.1796875" style="62" customWidth="1"/>
    <col min="10502" max="10502" width="10" style="62" customWidth="1"/>
    <col min="10503" max="10503" width="10.36328125" style="62" customWidth="1"/>
    <col min="10504" max="10514" width="9.1796875" style="62" customWidth="1"/>
    <col min="10515" max="10515" width="11.36328125" style="62" customWidth="1"/>
    <col min="10516" max="10536" width="13" style="62" hidden="1" customWidth="1"/>
    <col min="10537" max="10742" width="9.1796875" style="62" customWidth="1"/>
    <col min="10743" max="10743" width="28.6328125" style="62" customWidth="1"/>
    <col min="10744" max="10744" width="9" style="62" bestFit="1" customWidth="1"/>
    <col min="10745" max="10745" width="5.36328125" style="62" customWidth="1"/>
    <col min="10746" max="10746" width="9" style="62" bestFit="1" customWidth="1"/>
    <col min="10747" max="10747" width="5.36328125" style="62" customWidth="1"/>
    <col min="10748" max="10748" width="9" style="62" bestFit="1" customWidth="1"/>
    <col min="10749" max="10749" width="5" style="62" customWidth="1"/>
    <col min="10750" max="10750" width="9" style="62" bestFit="1" customWidth="1"/>
    <col min="10751" max="10751" width="5.1796875" style="62" customWidth="1"/>
    <col min="10752" max="10752" width="9.1796875" style="62" customWidth="1"/>
    <col min="10753" max="10753" width="6" style="62" customWidth="1"/>
    <col min="10754" max="10754" width="9.1796875" style="62" customWidth="1"/>
    <col min="10755" max="10755" width="6" style="62" customWidth="1"/>
    <col min="10756" max="10757" width="10.1796875" style="62" customWidth="1"/>
    <col min="10758" max="10758" width="10" style="62" customWidth="1"/>
    <col min="10759" max="10759" width="10.36328125" style="62" customWidth="1"/>
    <col min="10760" max="10770" width="9.1796875" style="62" customWidth="1"/>
    <col min="10771" max="10771" width="11.36328125" style="62" customWidth="1"/>
    <col min="10772" max="10792" width="13" style="62" hidden="1" customWidth="1"/>
    <col min="10793" max="10998" width="9.1796875" style="62" customWidth="1"/>
    <col min="10999" max="10999" width="28.6328125" style="62" customWidth="1"/>
    <col min="11000" max="11000" width="9" style="62" bestFit="1" customWidth="1"/>
    <col min="11001" max="11001" width="5.36328125" style="62" customWidth="1"/>
    <col min="11002" max="11002" width="9" style="62" bestFit="1" customWidth="1"/>
    <col min="11003" max="11003" width="5.36328125" style="62" customWidth="1"/>
    <col min="11004" max="11004" width="9" style="62" bestFit="1" customWidth="1"/>
    <col min="11005" max="11005" width="5" style="62" customWidth="1"/>
    <col min="11006" max="11006" width="9" style="62" bestFit="1" customWidth="1"/>
    <col min="11007" max="11007" width="5.1796875" style="62" customWidth="1"/>
    <col min="11008" max="11008" width="9.1796875" style="62" customWidth="1"/>
    <col min="11009" max="11009" width="6" style="62" customWidth="1"/>
    <col min="11010" max="11010" width="9.1796875" style="62" customWidth="1"/>
    <col min="11011" max="11011" width="6" style="62" customWidth="1"/>
    <col min="11012" max="11013" width="10.1796875" style="62" customWidth="1"/>
    <col min="11014" max="11014" width="10" style="62" customWidth="1"/>
    <col min="11015" max="11015" width="10.36328125" style="62" customWidth="1"/>
    <col min="11016" max="11026" width="9.1796875" style="62" customWidth="1"/>
    <col min="11027" max="11027" width="11.36328125" style="62" customWidth="1"/>
    <col min="11028" max="11048" width="13" style="62" hidden="1" customWidth="1"/>
    <col min="11049" max="11254" width="9.1796875" style="62" customWidth="1"/>
    <col min="11255" max="11255" width="28.6328125" style="62" customWidth="1"/>
    <col min="11256" max="11256" width="9" style="62" bestFit="1" customWidth="1"/>
    <col min="11257" max="11257" width="5.36328125" style="62" customWidth="1"/>
    <col min="11258" max="11258" width="9" style="62" bestFit="1" customWidth="1"/>
    <col min="11259" max="11259" width="5.36328125" style="62" customWidth="1"/>
    <col min="11260" max="11260" width="9" style="62" bestFit="1" customWidth="1"/>
    <col min="11261" max="11261" width="5" style="62" customWidth="1"/>
    <col min="11262" max="11262" width="9" style="62" bestFit="1" customWidth="1"/>
    <col min="11263" max="11263" width="5.1796875" style="62" customWidth="1"/>
    <col min="11264" max="11264" width="9.1796875" style="62" customWidth="1"/>
    <col min="11265" max="11265" width="6" style="62" customWidth="1"/>
    <col min="11266" max="11266" width="9.1796875" style="62" customWidth="1"/>
    <col min="11267" max="11267" width="6" style="62" customWidth="1"/>
    <col min="11268" max="11269" width="10.1796875" style="62" customWidth="1"/>
    <col min="11270" max="11270" width="10" style="62" customWidth="1"/>
    <col min="11271" max="11271" width="10.36328125" style="62" customWidth="1"/>
    <col min="11272" max="11282" width="9.1796875" style="62" customWidth="1"/>
    <col min="11283" max="11283" width="11.36328125" style="62" customWidth="1"/>
    <col min="11284" max="11304" width="13" style="62" hidden="1" customWidth="1"/>
    <col min="11305" max="11510" width="9.1796875" style="62" customWidth="1"/>
    <col min="11511" max="11511" width="28.6328125" style="62" customWidth="1"/>
    <col min="11512" max="11512" width="9" style="62" bestFit="1" customWidth="1"/>
    <col min="11513" max="11513" width="5.36328125" style="62" customWidth="1"/>
    <col min="11514" max="11514" width="9" style="62" bestFit="1" customWidth="1"/>
    <col min="11515" max="11515" width="5.36328125" style="62" customWidth="1"/>
    <col min="11516" max="11516" width="9" style="62" bestFit="1" customWidth="1"/>
    <col min="11517" max="11517" width="5" style="62" customWidth="1"/>
    <col min="11518" max="11518" width="9" style="62" bestFit="1" customWidth="1"/>
    <col min="11519" max="11519" width="5.1796875" style="62" customWidth="1"/>
    <col min="11520" max="11520" width="9.1796875" style="62" customWidth="1"/>
    <col min="11521" max="11521" width="6" style="62" customWidth="1"/>
    <col min="11522" max="11522" width="9.1796875" style="62" customWidth="1"/>
    <col min="11523" max="11523" width="6" style="62" customWidth="1"/>
    <col min="11524" max="11525" width="10.1796875" style="62" customWidth="1"/>
    <col min="11526" max="11526" width="10" style="62" customWidth="1"/>
    <col min="11527" max="11527" width="10.36328125" style="62" customWidth="1"/>
    <col min="11528" max="11538" width="9.1796875" style="62" customWidth="1"/>
    <col min="11539" max="11539" width="11.36328125" style="62" customWidth="1"/>
    <col min="11540" max="11560" width="13" style="62" hidden="1" customWidth="1"/>
    <col min="11561" max="11766" width="9.1796875" style="62" customWidth="1"/>
    <col min="11767" max="11767" width="28.6328125" style="62" customWidth="1"/>
    <col min="11768" max="11768" width="9" style="62" bestFit="1" customWidth="1"/>
    <col min="11769" max="11769" width="5.36328125" style="62" customWidth="1"/>
    <col min="11770" max="11770" width="9" style="62" bestFit="1" customWidth="1"/>
    <col min="11771" max="11771" width="5.36328125" style="62" customWidth="1"/>
    <col min="11772" max="11772" width="9" style="62" bestFit="1" customWidth="1"/>
    <col min="11773" max="11773" width="5" style="62" customWidth="1"/>
    <col min="11774" max="11774" width="9" style="62" bestFit="1" customWidth="1"/>
    <col min="11775" max="11775" width="5.1796875" style="62" customWidth="1"/>
    <col min="11776" max="11776" width="9.1796875" style="62" customWidth="1"/>
    <col min="11777" max="11777" width="6" style="62" customWidth="1"/>
    <col min="11778" max="11778" width="9.1796875" style="62" customWidth="1"/>
    <col min="11779" max="11779" width="6" style="62" customWidth="1"/>
    <col min="11780" max="11781" width="10.1796875" style="62" customWidth="1"/>
    <col min="11782" max="11782" width="10" style="62" customWidth="1"/>
    <col min="11783" max="11783" width="10.36328125" style="62" customWidth="1"/>
    <col min="11784" max="11794" width="9.1796875" style="62" customWidth="1"/>
    <col min="11795" max="11795" width="11.36328125" style="62" customWidth="1"/>
    <col min="11796" max="11816" width="13" style="62" hidden="1" customWidth="1"/>
    <col min="11817" max="12022" width="9.1796875" style="62" customWidth="1"/>
    <col min="12023" max="12023" width="28.6328125" style="62" customWidth="1"/>
    <col min="12024" max="12024" width="9" style="62" bestFit="1" customWidth="1"/>
    <col min="12025" max="12025" width="5.36328125" style="62" customWidth="1"/>
    <col min="12026" max="12026" width="9" style="62" bestFit="1" customWidth="1"/>
    <col min="12027" max="12027" width="5.36328125" style="62" customWidth="1"/>
    <col min="12028" max="12028" width="9" style="62" bestFit="1" customWidth="1"/>
    <col min="12029" max="12029" width="5" style="62" customWidth="1"/>
    <col min="12030" max="12030" width="9" style="62" bestFit="1" customWidth="1"/>
    <col min="12031" max="12031" width="5.1796875" style="62" customWidth="1"/>
    <col min="12032" max="12032" width="9.1796875" style="62" customWidth="1"/>
    <col min="12033" max="12033" width="6" style="62" customWidth="1"/>
    <col min="12034" max="12034" width="9.1796875" style="62" customWidth="1"/>
    <col min="12035" max="12035" width="6" style="62" customWidth="1"/>
    <col min="12036" max="12037" width="10.1796875" style="62" customWidth="1"/>
    <col min="12038" max="12038" width="10" style="62" customWidth="1"/>
    <col min="12039" max="12039" width="10.36328125" style="62" customWidth="1"/>
    <col min="12040" max="12050" width="9.1796875" style="62" customWidth="1"/>
    <col min="12051" max="12051" width="11.36328125" style="62" customWidth="1"/>
    <col min="12052" max="12072" width="13" style="62" hidden="1" customWidth="1"/>
    <col min="12073" max="12278" width="9.1796875" style="62" customWidth="1"/>
    <col min="12279" max="12279" width="28.6328125" style="62" customWidth="1"/>
    <col min="12280" max="12280" width="9" style="62" bestFit="1" customWidth="1"/>
    <col min="12281" max="12281" width="5.36328125" style="62" customWidth="1"/>
    <col min="12282" max="12282" width="9" style="62" bestFit="1" customWidth="1"/>
    <col min="12283" max="12283" width="5.36328125" style="62" customWidth="1"/>
    <col min="12284" max="12284" width="9" style="62" bestFit="1" customWidth="1"/>
    <col min="12285" max="12285" width="5" style="62" customWidth="1"/>
    <col min="12286" max="12286" width="9" style="62" bestFit="1" customWidth="1"/>
    <col min="12287" max="12287" width="5.1796875" style="62" customWidth="1"/>
    <col min="12288" max="12288" width="9.1796875" style="62" customWidth="1"/>
    <col min="12289" max="12289" width="6" style="62" customWidth="1"/>
    <col min="12290" max="12290" width="9.1796875" style="62" customWidth="1"/>
    <col min="12291" max="12291" width="6" style="62" customWidth="1"/>
    <col min="12292" max="12293" width="10.1796875" style="62" customWidth="1"/>
    <col min="12294" max="12294" width="10" style="62" customWidth="1"/>
    <col min="12295" max="12295" width="10.36328125" style="62" customWidth="1"/>
    <col min="12296" max="12306" width="9.1796875" style="62" customWidth="1"/>
    <col min="12307" max="12307" width="11.36328125" style="62" customWidth="1"/>
    <col min="12308" max="12328" width="13" style="62" hidden="1" customWidth="1"/>
    <col min="12329" max="12534" width="9.1796875" style="62" customWidth="1"/>
    <col min="12535" max="12535" width="28.6328125" style="62" customWidth="1"/>
    <col min="12536" max="12536" width="9" style="62" bestFit="1" customWidth="1"/>
    <col min="12537" max="12537" width="5.36328125" style="62" customWidth="1"/>
    <col min="12538" max="12538" width="9" style="62" bestFit="1" customWidth="1"/>
    <col min="12539" max="12539" width="5.36328125" style="62" customWidth="1"/>
    <col min="12540" max="12540" width="9" style="62" bestFit="1" customWidth="1"/>
    <col min="12541" max="12541" width="5" style="62" customWidth="1"/>
    <col min="12542" max="12542" width="9" style="62" bestFit="1" customWidth="1"/>
    <col min="12543" max="12543" width="5.1796875" style="62" customWidth="1"/>
    <col min="12544" max="12544" width="9.1796875" style="62" customWidth="1"/>
    <col min="12545" max="12545" width="6" style="62" customWidth="1"/>
    <col min="12546" max="12546" width="9.1796875" style="62" customWidth="1"/>
    <col min="12547" max="12547" width="6" style="62" customWidth="1"/>
    <col min="12548" max="12549" width="10.1796875" style="62" customWidth="1"/>
    <col min="12550" max="12550" width="10" style="62" customWidth="1"/>
    <col min="12551" max="12551" width="10.36328125" style="62" customWidth="1"/>
    <col min="12552" max="12562" width="9.1796875" style="62" customWidth="1"/>
    <col min="12563" max="12563" width="11.36328125" style="62" customWidth="1"/>
    <col min="12564" max="12584" width="13" style="62" hidden="1" customWidth="1"/>
    <col min="12585" max="12790" width="9.1796875" style="62" customWidth="1"/>
    <col min="12791" max="12791" width="28.6328125" style="62" customWidth="1"/>
    <col min="12792" max="12792" width="9" style="62" bestFit="1" customWidth="1"/>
    <col min="12793" max="12793" width="5.36328125" style="62" customWidth="1"/>
    <col min="12794" max="12794" width="9" style="62" bestFit="1" customWidth="1"/>
    <col min="12795" max="12795" width="5.36328125" style="62" customWidth="1"/>
    <col min="12796" max="12796" width="9" style="62" bestFit="1" customWidth="1"/>
    <col min="12797" max="12797" width="5" style="62" customWidth="1"/>
    <col min="12798" max="12798" width="9" style="62" bestFit="1" customWidth="1"/>
    <col min="12799" max="12799" width="5.1796875" style="62" customWidth="1"/>
    <col min="12800" max="12800" width="9.1796875" style="62" customWidth="1"/>
    <col min="12801" max="12801" width="6" style="62" customWidth="1"/>
    <col min="12802" max="12802" width="9.1796875" style="62" customWidth="1"/>
    <col min="12803" max="12803" width="6" style="62" customWidth="1"/>
    <col min="12804" max="12805" width="10.1796875" style="62" customWidth="1"/>
    <col min="12806" max="12806" width="10" style="62" customWidth="1"/>
    <col min="12807" max="12807" width="10.36328125" style="62" customWidth="1"/>
    <col min="12808" max="12818" width="9.1796875" style="62" customWidth="1"/>
    <col min="12819" max="12819" width="11.36328125" style="62" customWidth="1"/>
    <col min="12820" max="12840" width="13" style="62" hidden="1" customWidth="1"/>
    <col min="12841" max="13046" width="9.1796875" style="62" customWidth="1"/>
    <col min="13047" max="13047" width="28.6328125" style="62" customWidth="1"/>
    <col min="13048" max="13048" width="9" style="62" bestFit="1" customWidth="1"/>
    <col min="13049" max="13049" width="5.36328125" style="62" customWidth="1"/>
    <col min="13050" max="13050" width="9" style="62" bestFit="1" customWidth="1"/>
    <col min="13051" max="13051" width="5.36328125" style="62" customWidth="1"/>
    <col min="13052" max="13052" width="9" style="62" bestFit="1" customWidth="1"/>
    <col min="13053" max="13053" width="5" style="62" customWidth="1"/>
    <col min="13054" max="13054" width="9" style="62" bestFit="1" customWidth="1"/>
    <col min="13055" max="13055" width="5.1796875" style="62" customWidth="1"/>
    <col min="13056" max="13056" width="9.1796875" style="62" customWidth="1"/>
    <col min="13057" max="13057" width="6" style="62" customWidth="1"/>
    <col min="13058" max="13058" width="9.1796875" style="62" customWidth="1"/>
    <col min="13059" max="13059" width="6" style="62" customWidth="1"/>
    <col min="13060" max="13061" width="10.1796875" style="62" customWidth="1"/>
    <col min="13062" max="13062" width="10" style="62" customWidth="1"/>
    <col min="13063" max="13063" width="10.36328125" style="62" customWidth="1"/>
    <col min="13064" max="13074" width="9.1796875" style="62" customWidth="1"/>
    <col min="13075" max="13075" width="11.36328125" style="62" customWidth="1"/>
    <col min="13076" max="13096" width="13" style="62" hidden="1" customWidth="1"/>
    <col min="13097" max="13302" width="9.1796875" style="62" customWidth="1"/>
    <col min="13303" max="13303" width="28.6328125" style="62" customWidth="1"/>
    <col min="13304" max="13304" width="9" style="62" bestFit="1" customWidth="1"/>
    <col min="13305" max="13305" width="5.36328125" style="62" customWidth="1"/>
    <col min="13306" max="13306" width="9" style="62" bestFit="1" customWidth="1"/>
    <col min="13307" max="13307" width="5.36328125" style="62" customWidth="1"/>
    <col min="13308" max="13308" width="9" style="62" bestFit="1" customWidth="1"/>
    <col min="13309" max="13309" width="5" style="62" customWidth="1"/>
    <col min="13310" max="13310" width="9" style="62" bestFit="1" customWidth="1"/>
    <col min="13311" max="13311" width="5.1796875" style="62" customWidth="1"/>
    <col min="13312" max="13312" width="9.1796875" style="62" customWidth="1"/>
    <col min="13313" max="13313" width="6" style="62" customWidth="1"/>
    <col min="13314" max="13314" width="9.1796875" style="62" customWidth="1"/>
    <col min="13315" max="13315" width="6" style="62" customWidth="1"/>
    <col min="13316" max="13317" width="10.1796875" style="62" customWidth="1"/>
    <col min="13318" max="13318" width="10" style="62" customWidth="1"/>
    <col min="13319" max="13319" width="10.36328125" style="62" customWidth="1"/>
    <col min="13320" max="13330" width="9.1796875" style="62" customWidth="1"/>
    <col min="13331" max="13331" width="11.36328125" style="62" customWidth="1"/>
    <col min="13332" max="13352" width="13" style="62" hidden="1" customWidth="1"/>
    <col min="13353" max="13558" width="9.1796875" style="62" customWidth="1"/>
    <col min="13559" max="13559" width="28.6328125" style="62" customWidth="1"/>
    <col min="13560" max="13560" width="9" style="62" bestFit="1" customWidth="1"/>
    <col min="13561" max="13561" width="5.36328125" style="62" customWidth="1"/>
    <col min="13562" max="13562" width="9" style="62" bestFit="1" customWidth="1"/>
    <col min="13563" max="13563" width="5.36328125" style="62" customWidth="1"/>
    <col min="13564" max="13564" width="9" style="62" bestFit="1" customWidth="1"/>
    <col min="13565" max="13565" width="5" style="62" customWidth="1"/>
    <col min="13566" max="13566" width="9" style="62" bestFit="1" customWidth="1"/>
    <col min="13567" max="13567" width="5.1796875" style="62" customWidth="1"/>
    <col min="13568" max="13568" width="9.1796875" style="62" customWidth="1"/>
    <col min="13569" max="13569" width="6" style="62" customWidth="1"/>
    <col min="13570" max="13570" width="9.1796875" style="62" customWidth="1"/>
    <col min="13571" max="13571" width="6" style="62" customWidth="1"/>
    <col min="13572" max="13573" width="10.1796875" style="62" customWidth="1"/>
    <col min="13574" max="13574" width="10" style="62" customWidth="1"/>
    <col min="13575" max="13575" width="10.36328125" style="62" customWidth="1"/>
    <col min="13576" max="13586" width="9.1796875" style="62" customWidth="1"/>
    <col min="13587" max="13587" width="11.36328125" style="62" customWidth="1"/>
    <col min="13588" max="13608" width="13" style="62" hidden="1" customWidth="1"/>
    <col min="13609" max="13814" width="9.1796875" style="62" customWidth="1"/>
    <col min="13815" max="13815" width="28.6328125" style="62" customWidth="1"/>
    <col min="13816" max="13816" width="9" style="62" bestFit="1" customWidth="1"/>
    <col min="13817" max="13817" width="5.36328125" style="62" customWidth="1"/>
    <col min="13818" max="13818" width="9" style="62" bestFit="1" customWidth="1"/>
    <col min="13819" max="13819" width="5.36328125" style="62" customWidth="1"/>
    <col min="13820" max="13820" width="9" style="62" bestFit="1" customWidth="1"/>
    <col min="13821" max="13821" width="5" style="62" customWidth="1"/>
    <col min="13822" max="13822" width="9" style="62" bestFit="1" customWidth="1"/>
    <col min="13823" max="13823" width="5.1796875" style="62" customWidth="1"/>
    <col min="13824" max="13824" width="9.1796875" style="62" customWidth="1"/>
    <col min="13825" max="13825" width="6" style="62" customWidth="1"/>
    <col min="13826" max="13826" width="9.1796875" style="62" customWidth="1"/>
    <col min="13827" max="13827" width="6" style="62" customWidth="1"/>
    <col min="13828" max="13829" width="10.1796875" style="62" customWidth="1"/>
    <col min="13830" max="13830" width="10" style="62" customWidth="1"/>
    <col min="13831" max="13831" width="10.36328125" style="62" customWidth="1"/>
    <col min="13832" max="13842" width="9.1796875" style="62" customWidth="1"/>
    <col min="13843" max="13843" width="11.36328125" style="62" customWidth="1"/>
    <col min="13844" max="13864" width="13" style="62" hidden="1" customWidth="1"/>
    <col min="13865" max="14070" width="9.1796875" style="62" customWidth="1"/>
    <col min="14071" max="14071" width="28.6328125" style="62" customWidth="1"/>
    <col min="14072" max="14072" width="9" style="62" bestFit="1" customWidth="1"/>
    <col min="14073" max="14073" width="5.36328125" style="62" customWidth="1"/>
    <col min="14074" max="14074" width="9" style="62" bestFit="1" customWidth="1"/>
    <col min="14075" max="14075" width="5.36328125" style="62" customWidth="1"/>
    <col min="14076" max="14076" width="9" style="62" bestFit="1" customWidth="1"/>
    <col min="14077" max="14077" width="5" style="62" customWidth="1"/>
    <col min="14078" max="14078" width="9" style="62" bestFit="1" customWidth="1"/>
    <col min="14079" max="14079" width="5.1796875" style="62" customWidth="1"/>
    <col min="14080" max="14080" width="9.1796875" style="62" customWidth="1"/>
    <col min="14081" max="14081" width="6" style="62" customWidth="1"/>
    <col min="14082" max="14082" width="9.1796875" style="62" customWidth="1"/>
    <col min="14083" max="14083" width="6" style="62" customWidth="1"/>
    <col min="14084" max="14085" width="10.1796875" style="62" customWidth="1"/>
    <col min="14086" max="14086" width="10" style="62" customWidth="1"/>
    <col min="14087" max="14087" width="10.36328125" style="62" customWidth="1"/>
    <col min="14088" max="14098" width="9.1796875" style="62" customWidth="1"/>
    <col min="14099" max="14099" width="11.36328125" style="62" customWidth="1"/>
    <col min="14100" max="14120" width="13" style="62" hidden="1" customWidth="1"/>
    <col min="14121" max="14326" width="9.1796875" style="62" customWidth="1"/>
    <col min="14327" max="14327" width="28.6328125" style="62" customWidth="1"/>
    <col min="14328" max="14328" width="9" style="62" bestFit="1" customWidth="1"/>
    <col min="14329" max="14329" width="5.36328125" style="62" customWidth="1"/>
    <col min="14330" max="14330" width="9" style="62" bestFit="1" customWidth="1"/>
    <col min="14331" max="14331" width="5.36328125" style="62" customWidth="1"/>
    <col min="14332" max="14332" width="9" style="62" bestFit="1" customWidth="1"/>
    <col min="14333" max="14333" width="5" style="62" customWidth="1"/>
    <col min="14334" max="14334" width="9" style="62" bestFit="1" customWidth="1"/>
    <col min="14335" max="14335" width="5.1796875" style="62" customWidth="1"/>
    <col min="14336" max="14336" width="9.1796875" style="62" customWidth="1"/>
    <col min="14337" max="14337" width="6" style="62" customWidth="1"/>
    <col min="14338" max="14338" width="9.1796875" style="62" customWidth="1"/>
    <col min="14339" max="14339" width="6" style="62" customWidth="1"/>
    <col min="14340" max="14341" width="10.1796875" style="62" customWidth="1"/>
    <col min="14342" max="14342" width="10" style="62" customWidth="1"/>
    <col min="14343" max="14343" width="10.36328125" style="62" customWidth="1"/>
    <col min="14344" max="14354" width="9.1796875" style="62" customWidth="1"/>
    <col min="14355" max="14355" width="11.36328125" style="62" customWidth="1"/>
    <col min="14356" max="14376" width="13" style="62" hidden="1" customWidth="1"/>
    <col min="14377" max="14582" width="9.1796875" style="62" customWidth="1"/>
    <col min="14583" max="14583" width="28.6328125" style="62" customWidth="1"/>
    <col min="14584" max="14584" width="9" style="62" bestFit="1" customWidth="1"/>
    <col min="14585" max="14585" width="5.36328125" style="62" customWidth="1"/>
    <col min="14586" max="14586" width="9" style="62" bestFit="1" customWidth="1"/>
    <col min="14587" max="14587" width="5.36328125" style="62" customWidth="1"/>
    <col min="14588" max="14588" width="9" style="62" bestFit="1" customWidth="1"/>
    <col min="14589" max="14589" width="5" style="62" customWidth="1"/>
    <col min="14590" max="14590" width="9" style="62" bestFit="1" customWidth="1"/>
    <col min="14591" max="14591" width="5.1796875" style="62" customWidth="1"/>
    <col min="14592" max="14592" width="9.1796875" style="62" customWidth="1"/>
    <col min="14593" max="14593" width="6" style="62" customWidth="1"/>
    <col min="14594" max="14594" width="9.1796875" style="62" customWidth="1"/>
    <col min="14595" max="14595" width="6" style="62" customWidth="1"/>
    <col min="14596" max="14597" width="10.1796875" style="62" customWidth="1"/>
    <col min="14598" max="14598" width="10" style="62" customWidth="1"/>
    <col min="14599" max="14599" width="10.36328125" style="62" customWidth="1"/>
    <col min="14600" max="14610" width="9.1796875" style="62" customWidth="1"/>
    <col min="14611" max="14611" width="11.36328125" style="62" customWidth="1"/>
    <col min="14612" max="14632" width="13" style="62" hidden="1" customWidth="1"/>
    <col min="14633" max="14838" width="9.1796875" style="62" customWidth="1"/>
    <col min="14839" max="14839" width="28.6328125" style="62" customWidth="1"/>
    <col min="14840" max="14840" width="9" style="62" bestFit="1" customWidth="1"/>
    <col min="14841" max="14841" width="5.36328125" style="62" customWidth="1"/>
    <col min="14842" max="14842" width="9" style="62" bestFit="1" customWidth="1"/>
    <col min="14843" max="14843" width="5.36328125" style="62" customWidth="1"/>
    <col min="14844" max="14844" width="9" style="62" bestFit="1" customWidth="1"/>
    <col min="14845" max="14845" width="5" style="62" customWidth="1"/>
    <col min="14846" max="14846" width="9" style="62" bestFit="1" customWidth="1"/>
    <col min="14847" max="14847" width="5.1796875" style="62" customWidth="1"/>
    <col min="14848" max="14848" width="9.1796875" style="62" customWidth="1"/>
    <col min="14849" max="14849" width="6" style="62" customWidth="1"/>
    <col min="14850" max="14850" width="9.1796875" style="62" customWidth="1"/>
    <col min="14851" max="14851" width="6" style="62" customWidth="1"/>
    <col min="14852" max="14853" width="10.1796875" style="62" customWidth="1"/>
    <col min="14854" max="14854" width="10" style="62" customWidth="1"/>
    <col min="14855" max="14855" width="10.36328125" style="62" customWidth="1"/>
    <col min="14856" max="14866" width="9.1796875" style="62" customWidth="1"/>
    <col min="14867" max="14867" width="11.36328125" style="62" customWidth="1"/>
    <col min="14868" max="14888" width="13" style="62" hidden="1" customWidth="1"/>
    <col min="14889" max="15094" width="9.1796875" style="62" customWidth="1"/>
    <col min="15095" max="15095" width="28.6328125" style="62" customWidth="1"/>
    <col min="15096" max="15096" width="9" style="62" bestFit="1" customWidth="1"/>
    <col min="15097" max="15097" width="5.36328125" style="62" customWidth="1"/>
    <col min="15098" max="15098" width="9" style="62" bestFit="1" customWidth="1"/>
    <col min="15099" max="15099" width="5.36328125" style="62" customWidth="1"/>
    <col min="15100" max="15100" width="9" style="62" bestFit="1" customWidth="1"/>
    <col min="15101" max="15101" width="5" style="62" customWidth="1"/>
    <col min="15102" max="15102" width="9" style="62" bestFit="1" customWidth="1"/>
    <col min="15103" max="15103" width="5.1796875" style="62" customWidth="1"/>
    <col min="15104" max="15104" width="9.1796875" style="62" customWidth="1"/>
    <col min="15105" max="15105" width="6" style="62" customWidth="1"/>
    <col min="15106" max="15106" width="9.1796875" style="62" customWidth="1"/>
    <col min="15107" max="15107" width="6" style="62" customWidth="1"/>
    <col min="15108" max="15109" width="10.1796875" style="62" customWidth="1"/>
    <col min="15110" max="15110" width="10" style="62" customWidth="1"/>
    <col min="15111" max="15111" width="10.36328125" style="62" customWidth="1"/>
    <col min="15112" max="15122" width="9.1796875" style="62" customWidth="1"/>
    <col min="15123" max="15123" width="11.36328125" style="62" customWidth="1"/>
    <col min="15124" max="15144" width="13" style="62" hidden="1" customWidth="1"/>
    <col min="15145" max="15350" width="9.1796875" style="62" customWidth="1"/>
    <col min="15351" max="15351" width="28.6328125" style="62" customWidth="1"/>
    <col min="15352" max="15352" width="9" style="62" bestFit="1" customWidth="1"/>
    <col min="15353" max="15353" width="5.36328125" style="62" customWidth="1"/>
    <col min="15354" max="15354" width="9" style="62" bestFit="1" customWidth="1"/>
    <col min="15355" max="15355" width="5.36328125" style="62" customWidth="1"/>
    <col min="15356" max="15356" width="9" style="62" bestFit="1" customWidth="1"/>
    <col min="15357" max="15357" width="5" style="62" customWidth="1"/>
    <col min="15358" max="15358" width="9" style="62" bestFit="1" customWidth="1"/>
    <col min="15359" max="15359" width="5.1796875" style="62" customWidth="1"/>
    <col min="15360" max="15360" width="9.1796875" style="62" customWidth="1"/>
    <col min="15361" max="15361" width="6" style="62" customWidth="1"/>
    <col min="15362" max="15362" width="9.1796875" style="62" customWidth="1"/>
    <col min="15363" max="15363" width="6" style="62" customWidth="1"/>
    <col min="15364" max="15365" width="10.1796875" style="62" customWidth="1"/>
    <col min="15366" max="15366" width="10" style="62" customWidth="1"/>
    <col min="15367" max="15367" width="10.36328125" style="62" customWidth="1"/>
    <col min="15368" max="15378" width="9.1796875" style="62" customWidth="1"/>
    <col min="15379" max="15379" width="11.36328125" style="62" customWidth="1"/>
    <col min="15380" max="15400" width="13" style="62" hidden="1" customWidth="1"/>
    <col min="15401" max="15606" width="9.1796875" style="62" customWidth="1"/>
    <col min="15607" max="15607" width="28.6328125" style="62" customWidth="1"/>
    <col min="15608" max="15608" width="9" style="62" bestFit="1" customWidth="1"/>
    <col min="15609" max="15609" width="5.36328125" style="62" customWidth="1"/>
    <col min="15610" max="15610" width="9" style="62" bestFit="1" customWidth="1"/>
    <col min="15611" max="15611" width="5.36328125" style="62" customWidth="1"/>
    <col min="15612" max="15612" width="9" style="62" bestFit="1" customWidth="1"/>
    <col min="15613" max="15613" width="5" style="62" customWidth="1"/>
    <col min="15614" max="15614" width="9" style="62" bestFit="1" customWidth="1"/>
    <col min="15615" max="15615" width="5.1796875" style="62" customWidth="1"/>
    <col min="15616" max="15616" width="9.1796875" style="62" customWidth="1"/>
    <col min="15617" max="15617" width="6" style="62" customWidth="1"/>
    <col min="15618" max="15618" width="9.1796875" style="62" customWidth="1"/>
    <col min="15619" max="15619" width="6" style="62" customWidth="1"/>
    <col min="15620" max="15621" width="10.1796875" style="62" customWidth="1"/>
    <col min="15622" max="15622" width="10" style="62" customWidth="1"/>
    <col min="15623" max="15623" width="10.36328125" style="62" customWidth="1"/>
    <col min="15624" max="15634" width="9.1796875" style="62" customWidth="1"/>
    <col min="15635" max="15635" width="11.36328125" style="62" customWidth="1"/>
    <col min="15636" max="15656" width="13" style="62" hidden="1" customWidth="1"/>
    <col min="15657" max="15862" width="9.1796875" style="62" customWidth="1"/>
    <col min="15863" max="15863" width="28.6328125" style="62" customWidth="1"/>
    <col min="15864" max="15864" width="9" style="62" bestFit="1" customWidth="1"/>
    <col min="15865" max="15865" width="5.36328125" style="62" customWidth="1"/>
    <col min="15866" max="15866" width="9" style="62" bestFit="1" customWidth="1"/>
    <col min="15867" max="15867" width="5.36328125" style="62" customWidth="1"/>
    <col min="15868" max="15868" width="9" style="62" bestFit="1" customWidth="1"/>
    <col min="15869" max="15869" width="5" style="62" customWidth="1"/>
    <col min="15870" max="15870" width="9" style="62" bestFit="1" customWidth="1"/>
    <col min="15871" max="15871" width="5.1796875" style="62" customWidth="1"/>
    <col min="15872" max="15872" width="9.1796875" style="62" customWidth="1"/>
    <col min="15873" max="15873" width="6" style="62" customWidth="1"/>
    <col min="15874" max="15874" width="9.1796875" style="62" customWidth="1"/>
    <col min="15875" max="15875" width="6" style="62" customWidth="1"/>
    <col min="15876" max="15877" width="10.1796875" style="62" customWidth="1"/>
    <col min="15878" max="15878" width="10" style="62" customWidth="1"/>
    <col min="15879" max="15879" width="10.36328125" style="62" customWidth="1"/>
    <col min="15880" max="15890" width="9.1796875" style="62" customWidth="1"/>
    <col min="15891" max="15891" width="11.36328125" style="62" customWidth="1"/>
    <col min="15892" max="15912" width="13" style="62" hidden="1" customWidth="1"/>
    <col min="15913" max="16118" width="9.1796875" style="62" customWidth="1"/>
    <col min="16119" max="16119" width="28.6328125" style="62" customWidth="1"/>
    <col min="16120" max="16120" width="9" style="62" bestFit="1" customWidth="1"/>
    <col min="16121" max="16121" width="5.36328125" style="62" customWidth="1"/>
    <col min="16122" max="16122" width="9" style="62" bestFit="1" customWidth="1"/>
    <col min="16123" max="16123" width="5.36328125" style="62" customWidth="1"/>
    <col min="16124" max="16124" width="9" style="62" bestFit="1" customWidth="1"/>
    <col min="16125" max="16125" width="5" style="62" customWidth="1"/>
    <col min="16126" max="16126" width="9" style="62" bestFit="1" customWidth="1"/>
    <col min="16127" max="16127" width="5.1796875" style="62" customWidth="1"/>
    <col min="16128" max="16128" width="9.1796875" style="62" customWidth="1"/>
    <col min="16129" max="16129" width="6" style="62" customWidth="1"/>
    <col min="16130" max="16130" width="9.1796875" style="62" customWidth="1"/>
    <col min="16131" max="16131" width="6" style="62" customWidth="1"/>
    <col min="16132" max="16133" width="10.1796875" style="62" customWidth="1"/>
    <col min="16134" max="16134" width="10" style="62" customWidth="1"/>
    <col min="16135" max="16135" width="10.36328125" style="62" customWidth="1"/>
    <col min="16136" max="16146" width="9.1796875" style="62" customWidth="1"/>
    <col min="16147" max="16147" width="11.36328125" style="62" customWidth="1"/>
    <col min="16148" max="16168" width="13" style="62" hidden="1" customWidth="1"/>
    <col min="16169" max="16384" width="9.1796875" style="62" customWidth="1"/>
  </cols>
  <sheetData>
    <row r="1" spans="2:43" x14ac:dyDescent="0.35">
      <c r="AN1" s="13" t="s">
        <v>71</v>
      </c>
      <c r="AO1" s="90" t="s">
        <v>72</v>
      </c>
      <c r="AP1" s="76"/>
      <c r="AQ1" s="76"/>
    </row>
    <row r="2" spans="2:43" x14ac:dyDescent="0.35">
      <c r="B2" s="27"/>
    </row>
    <row r="3" spans="2:43" ht="16" customHeight="1" thickBot="1" x14ac:dyDescent="0.4">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P3" s="91" t="s">
        <v>73</v>
      </c>
      <c r="AQ3" s="79"/>
    </row>
    <row r="4" spans="2:43" ht="16" customHeight="1" thickBot="1" x14ac:dyDescent="0.4">
      <c r="B4" s="86" t="s">
        <v>14</v>
      </c>
      <c r="C4" s="28">
        <v>43831</v>
      </c>
      <c r="D4" s="28">
        <v>43862</v>
      </c>
      <c r="E4" s="28">
        <v>43891</v>
      </c>
      <c r="F4" s="28">
        <v>43922</v>
      </c>
      <c r="G4" s="28">
        <v>43952</v>
      </c>
      <c r="H4" s="28">
        <v>43983</v>
      </c>
      <c r="I4" s="28">
        <v>44013</v>
      </c>
      <c r="J4" s="28">
        <v>44044</v>
      </c>
      <c r="K4" s="28">
        <v>44075</v>
      </c>
      <c r="L4" s="28">
        <v>44105</v>
      </c>
      <c r="M4" s="28">
        <v>44136</v>
      </c>
      <c r="N4" s="28">
        <v>44166</v>
      </c>
      <c r="O4" s="28">
        <v>44197</v>
      </c>
      <c r="P4" s="28">
        <v>44228</v>
      </c>
      <c r="Q4" s="28">
        <v>44256</v>
      </c>
      <c r="R4" s="28">
        <v>44287</v>
      </c>
      <c r="S4" s="28">
        <v>44317</v>
      </c>
      <c r="T4" s="28">
        <v>44348</v>
      </c>
      <c r="U4" s="28">
        <v>44378</v>
      </c>
      <c r="V4" s="28">
        <v>44409</v>
      </c>
      <c r="W4" s="28">
        <v>44440</v>
      </c>
      <c r="X4" s="28">
        <v>44470</v>
      </c>
      <c r="Y4" s="28">
        <v>44501</v>
      </c>
      <c r="Z4" s="28">
        <v>44531</v>
      </c>
      <c r="AA4" s="28">
        <v>44562</v>
      </c>
      <c r="AB4" s="28">
        <v>44593</v>
      </c>
      <c r="AC4" s="28">
        <v>44621</v>
      </c>
      <c r="AD4" s="28">
        <v>44652</v>
      </c>
      <c r="AE4" s="28">
        <v>44682</v>
      </c>
      <c r="AF4" s="28">
        <v>44713</v>
      </c>
      <c r="AG4" s="28">
        <v>44743</v>
      </c>
      <c r="AH4" s="28">
        <v>44774</v>
      </c>
      <c r="AI4" s="28">
        <v>44805</v>
      </c>
      <c r="AJ4" s="28">
        <v>44835</v>
      </c>
      <c r="AK4" s="28">
        <v>44866</v>
      </c>
      <c r="AL4" s="28">
        <v>44896</v>
      </c>
      <c r="AM4" s="28">
        <v>44927</v>
      </c>
      <c r="AN4" s="9"/>
      <c r="AO4" s="88" t="s">
        <v>74</v>
      </c>
      <c r="AP4" s="88" t="s">
        <v>75</v>
      </c>
      <c r="AQ4" s="88" t="s">
        <v>76</v>
      </c>
    </row>
    <row r="5" spans="2:43" ht="16" customHeight="1" thickBot="1" x14ac:dyDescent="0.4">
      <c r="B5" s="87"/>
      <c r="C5" s="29"/>
      <c r="D5" s="29"/>
      <c r="E5" s="29"/>
      <c r="F5" s="29"/>
      <c r="G5" s="29"/>
      <c r="H5" s="29"/>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9"/>
      <c r="AO5" s="89"/>
      <c r="AP5" s="89"/>
      <c r="AQ5" s="89"/>
    </row>
    <row r="6" spans="2:43" x14ac:dyDescent="0.35">
      <c r="B6" s="2" t="s">
        <v>45</v>
      </c>
      <c r="C6" s="69">
        <f>VLOOKUP(C$4,'DB Services ISM'!$A:$S,MATCH($B6,'DB Services ISM'!$A$1:$S$1,0),0)</f>
        <v>5</v>
      </c>
      <c r="D6" s="69">
        <f>VLOOKUP(D$4,'DB Services ISM'!$A:$S,MATCH($B6,'DB Services ISM'!$A$1:$S$1,0),0)</f>
        <v>1</v>
      </c>
      <c r="E6" s="69">
        <f>VLOOKUP(E$4,'DB Services ISM'!$A:$S,MATCH($B6,'DB Services ISM'!$A$1:$S$1,0),0)</f>
        <v>-2</v>
      </c>
      <c r="F6" s="69">
        <f>VLOOKUP(F$4,'DB Services ISM'!$A:$S,MATCH($B6,'DB Services ISM'!$A$1:$S$1,0),0)</f>
        <v>-14</v>
      </c>
      <c r="G6" s="69">
        <f>VLOOKUP(G$4,'DB Services ISM'!$A:$S,MATCH($B6,'DB Services ISM'!$A$1:$S$1,0),0)</f>
        <v>-1</v>
      </c>
      <c r="H6" s="69">
        <f>VLOOKUP(H$4,'DB Services ISM'!$A:$S,MATCH($B6,'DB Services ISM'!$A$1:$S$1,0),0)</f>
        <v>8</v>
      </c>
      <c r="I6" s="69">
        <f>VLOOKUP(I$4,'DB Services ISM'!$A:$S,MATCH($B6,'DB Services ISM'!$A$1:$S$1,0),0)</f>
        <v>13</v>
      </c>
      <c r="J6" s="69">
        <f>VLOOKUP(J$4,'DB Services ISM'!$A:$S,MATCH($B6,'DB Services ISM'!$A$1:$S$1,0),0)</f>
        <v>8</v>
      </c>
      <c r="K6" s="69">
        <f>VLOOKUP(K$4,'DB Services ISM'!$A:$S,MATCH($B6,'DB Services ISM'!$A$1:$S$1,0),0)</f>
        <v>3</v>
      </c>
      <c r="L6" s="69">
        <f>VLOOKUP(L$4,'DB Services ISM'!$A:$S,MATCH($B6,'DB Services ISM'!$A$1:$S$1,0),0)</f>
        <v>4</v>
      </c>
      <c r="M6" s="69">
        <f>VLOOKUP(M$4,'DB Services ISM'!$A:$S,MATCH($B6,'DB Services ISM'!$A$1:$S$1,0),0)</f>
        <v>8</v>
      </c>
      <c r="N6" s="69">
        <f>VLOOKUP(N$4,'DB Services ISM'!$A:$S,MATCH($B6,'DB Services ISM'!$A$1:$S$1,0),0)</f>
        <v>12</v>
      </c>
      <c r="O6" s="69">
        <f>VLOOKUP(O$4,'DB Services ISM'!$A:$S,MATCH($B6,'DB Services ISM'!$A$1:$S$1,0),0)</f>
        <v>-2</v>
      </c>
      <c r="P6" s="69">
        <f>VLOOKUP(P$4,'DB Services ISM'!$A:$S,MATCH($B6,'DB Services ISM'!$A$1:$S$1,0),0)</f>
        <v>9</v>
      </c>
      <c r="Q6" s="69">
        <f>VLOOKUP(Q$4,'DB Services ISM'!$A:$S,MATCH($B6,'DB Services ISM'!$A$1:$S$1,0),0)</f>
        <v>3</v>
      </c>
      <c r="R6" s="69">
        <f>VLOOKUP(R$4,'DB Services ISM'!$A:$S,MATCH($B6,'DB Services ISM'!$A$1:$S$1,0),0)</f>
        <v>9</v>
      </c>
      <c r="S6" s="69">
        <f>VLOOKUP(S$4,'DB Services ISM'!$A:$S,MATCH($B6,'DB Services ISM'!$A$1:$S$1,0),0)</f>
        <v>18</v>
      </c>
      <c r="T6" s="69">
        <f>VLOOKUP(T$4,'DB Services ISM'!$A:$S,MATCH($B6,'DB Services ISM'!$A$1:$S$1,0),0)</f>
        <v>12</v>
      </c>
      <c r="U6" s="69">
        <f>VLOOKUP(U$4,'DB Services ISM'!$A:$S,MATCH($B6,'DB Services ISM'!$A$1:$S$1,0),0)</f>
        <v>13</v>
      </c>
      <c r="V6" s="69">
        <f>VLOOKUP(V$4,'DB Services ISM'!$A:$S,MATCH($B6,'DB Services ISM'!$A$1:$S$1,0),0)</f>
        <v>16</v>
      </c>
      <c r="W6" s="69">
        <f>VLOOKUP(W$4,'DB Services ISM'!$A:$S,MATCH($B6,'DB Services ISM'!$A$1:$S$1,0),0)</f>
        <v>17</v>
      </c>
      <c r="X6" s="69">
        <f>VLOOKUP(X$4,'DB Services ISM'!$A:$S,MATCH($B6,'DB Services ISM'!$A$1:$S$1,0),0)</f>
        <v>18</v>
      </c>
      <c r="Y6" s="69">
        <f>VLOOKUP(Y$4,'DB Services ISM'!$A:$S,MATCH($B6,'DB Services ISM'!$A$1:$S$1,0),0)</f>
        <v>16</v>
      </c>
      <c r="Z6" s="69">
        <f>VLOOKUP(Z$4,'DB Services ISM'!$A:$S,MATCH($B6,'DB Services ISM'!$A$1:$S$1,0),0)</f>
        <v>5</v>
      </c>
      <c r="AA6" s="69">
        <f>VLOOKUP(AA$4,'DB Services ISM'!$A:$S,MATCH($B6,'DB Services ISM'!$A$1:$S$1,0),0)</f>
        <v>13</v>
      </c>
      <c r="AB6" s="69">
        <f>VLOOKUP(AB$4,'DB Services ISM'!$A:$S,MATCH($B6,'DB Services ISM'!$A$1:$S$1,0),0)</f>
        <v>1</v>
      </c>
      <c r="AC6" s="69">
        <f>VLOOKUP(AC$4,'DB Services ISM'!$A:$S,MATCH($B6,'DB Services ISM'!$A$1:$S$1,0),0)</f>
        <v>5</v>
      </c>
      <c r="AD6" s="69">
        <f>VLOOKUP(AD$4,'DB Services ISM'!$A:$S,MATCH($B6,'DB Services ISM'!$A$1:$S$1,0),0)</f>
        <v>3</v>
      </c>
      <c r="AE6" s="69">
        <f>VLOOKUP(AE$4,'DB Services ISM'!$A:$S,MATCH($B6,'DB Services ISM'!$A$1:$S$1,0),0)</f>
        <v>6</v>
      </c>
      <c r="AF6" s="69">
        <f>VLOOKUP(AF$4,'DB Services ISM'!$A:$S,MATCH($B6,'DB Services ISM'!$A$1:$S$1,0),0)</f>
        <v>14</v>
      </c>
      <c r="AG6" s="69">
        <f>VLOOKUP(AG$4,'DB Services ISM'!$A:$S,MATCH($B6,'DB Services ISM'!$A$1:$S$1,0),0)</f>
        <v>0</v>
      </c>
      <c r="AH6" s="69">
        <f>VLOOKUP(AH$4,'DB Services ISM'!$A:$S,MATCH($B6,'DB Services ISM'!$A$1:$S$1,0),0)</f>
        <v>3</v>
      </c>
      <c r="AI6" s="69">
        <f>VLOOKUP(AI$4,'DB Services ISM'!$A:$S,MATCH($B6,'DB Services ISM'!$A$1:$S$1,0),0)</f>
        <v>9</v>
      </c>
      <c r="AJ6" s="69">
        <f>VLOOKUP(AJ$4,'DB Services ISM'!$A:$S,MATCH($B6,'DB Services ISM'!$A$1:$S$1,0),0)</f>
        <v>1</v>
      </c>
      <c r="AK6" s="69">
        <f>VLOOKUP(AK$4,'DB Services ISM'!$A:$S,MATCH($B6,'DB Services ISM'!$A$1:$S$1,0),0)</f>
        <v>3</v>
      </c>
      <c r="AL6" s="69">
        <f>VLOOKUP(AL$4,'DB Services ISM'!$A:$S,MATCH($B6,'DB Services ISM'!$A$1:$S$1,0),0)</f>
        <v>11</v>
      </c>
      <c r="AM6" s="69">
        <f>VLOOKUP(AM$4,'DB Services ISM'!$A:$S,MATCH($B6,'DB Services ISM'!$A$1:$S$1,0),0)</f>
        <v>5</v>
      </c>
      <c r="AN6" s="30"/>
      <c r="AO6" s="19">
        <f t="shared" ref="AO6:AO23" si="0">AM6-AL6</f>
        <v>-6</v>
      </c>
      <c r="AP6" s="31">
        <f t="shared" ref="AP6:AP23" si="1">AVERAGE(AK6:AM6)</f>
        <v>6.333333333333333</v>
      </c>
      <c r="AQ6" s="31">
        <f t="shared" ref="AQ6:AQ23" si="2">AVERAGE(AH6:AM6)</f>
        <v>5.333333333333333</v>
      </c>
    </row>
    <row r="7" spans="2:43" x14ac:dyDescent="0.35">
      <c r="B7" s="2" t="s">
        <v>46</v>
      </c>
      <c r="C7" s="69">
        <f>VLOOKUP(C$4,'DB Services ISM'!$A:$S,MATCH($B7,'DB Services ISM'!$A$1:$S$1,0),0)</f>
        <v>8</v>
      </c>
      <c r="D7" s="69">
        <f>VLOOKUP(D$4,'DB Services ISM'!$A:$S,MATCH($B7,'DB Services ISM'!$A$1:$S$1,0),0)</f>
        <v>3</v>
      </c>
      <c r="E7" s="69">
        <f>VLOOKUP(E$4,'DB Services ISM'!$A:$S,MATCH($B7,'DB Services ISM'!$A$1:$S$1,0),0)</f>
        <v>6</v>
      </c>
      <c r="F7" s="69">
        <f>VLOOKUP(F$4,'DB Services ISM'!$A:$S,MATCH($B7,'DB Services ISM'!$A$1:$S$1,0),0)</f>
        <v>-2</v>
      </c>
      <c r="G7" s="69">
        <f>VLOOKUP(G$4,'DB Services ISM'!$A:$S,MATCH($B7,'DB Services ISM'!$A$1:$S$1,0),0)</f>
        <v>-8</v>
      </c>
      <c r="H7" s="69">
        <f>VLOOKUP(H$4,'DB Services ISM'!$A:$S,MATCH($B7,'DB Services ISM'!$A$1:$S$1,0),0)</f>
        <v>7</v>
      </c>
      <c r="I7" s="69">
        <f>VLOOKUP(I$4,'DB Services ISM'!$A:$S,MATCH($B7,'DB Services ISM'!$A$1:$S$1,0),0)</f>
        <v>8</v>
      </c>
      <c r="J7" s="69">
        <f>VLOOKUP(J$4,'DB Services ISM'!$A:$S,MATCH($B7,'DB Services ISM'!$A$1:$S$1,0),0)</f>
        <v>13</v>
      </c>
      <c r="K7" s="69">
        <f>VLOOKUP(K$4,'DB Services ISM'!$A:$S,MATCH($B7,'DB Services ISM'!$A$1:$S$1,0),0)</f>
        <v>15</v>
      </c>
      <c r="L7" s="69">
        <f>VLOOKUP(L$4,'DB Services ISM'!$A:$S,MATCH($B7,'DB Services ISM'!$A$1:$S$1,0),0)</f>
        <v>5</v>
      </c>
      <c r="M7" s="69">
        <f>VLOOKUP(M$4,'DB Services ISM'!$A:$S,MATCH($B7,'DB Services ISM'!$A$1:$S$1,0),0)</f>
        <v>11</v>
      </c>
      <c r="N7" s="69">
        <f>VLOOKUP(N$4,'DB Services ISM'!$A:$S,MATCH($B7,'DB Services ISM'!$A$1:$S$1,0),0)</f>
        <v>8</v>
      </c>
      <c r="O7" s="69">
        <f>VLOOKUP(O$4,'DB Services ISM'!$A:$S,MATCH($B7,'DB Services ISM'!$A$1:$S$1,0),0)</f>
        <v>-1</v>
      </c>
      <c r="P7" s="69">
        <f>VLOOKUP(P$4,'DB Services ISM'!$A:$S,MATCH($B7,'DB Services ISM'!$A$1:$S$1,0),0)</f>
        <v>11</v>
      </c>
      <c r="Q7" s="69">
        <f>VLOOKUP(Q$4,'DB Services ISM'!$A:$S,MATCH($B7,'DB Services ISM'!$A$1:$S$1,0),0)</f>
        <v>7</v>
      </c>
      <c r="R7" s="69">
        <f>VLOOKUP(R$4,'DB Services ISM'!$A:$S,MATCH($B7,'DB Services ISM'!$A$1:$S$1,0),0)</f>
        <v>12</v>
      </c>
      <c r="S7" s="69">
        <f>VLOOKUP(S$4,'DB Services ISM'!$A:$S,MATCH($B7,'DB Services ISM'!$A$1:$S$1,0),0)</f>
        <v>9</v>
      </c>
      <c r="T7" s="69">
        <f>VLOOKUP(T$4,'DB Services ISM'!$A:$S,MATCH($B7,'DB Services ISM'!$A$1:$S$1,0),0)</f>
        <v>9</v>
      </c>
      <c r="U7" s="69">
        <f>VLOOKUP(U$4,'DB Services ISM'!$A:$S,MATCH($B7,'DB Services ISM'!$A$1:$S$1,0),0)</f>
        <v>5</v>
      </c>
      <c r="V7" s="69">
        <f>VLOOKUP(V$4,'DB Services ISM'!$A:$S,MATCH($B7,'DB Services ISM'!$A$1:$S$1,0),0)</f>
        <v>10</v>
      </c>
      <c r="W7" s="69">
        <f>VLOOKUP(W$4,'DB Services ISM'!$A:$S,MATCH($B7,'DB Services ISM'!$A$1:$S$1,0),0)</f>
        <v>4</v>
      </c>
      <c r="X7" s="69">
        <f>VLOOKUP(X$4,'DB Services ISM'!$A:$S,MATCH($B7,'DB Services ISM'!$A$1:$S$1,0),0)</f>
        <v>13</v>
      </c>
      <c r="Y7" s="69">
        <f>VLOOKUP(Y$4,'DB Services ISM'!$A:$S,MATCH($B7,'DB Services ISM'!$A$1:$S$1,0),0)</f>
        <v>13</v>
      </c>
      <c r="Z7" s="69">
        <f>VLOOKUP(Z$4,'DB Services ISM'!$A:$S,MATCH($B7,'DB Services ISM'!$A$1:$S$1,0),0)</f>
        <v>13</v>
      </c>
      <c r="AA7" s="69">
        <f>VLOOKUP(AA$4,'DB Services ISM'!$A:$S,MATCH($B7,'DB Services ISM'!$A$1:$S$1,0),0)</f>
        <v>10</v>
      </c>
      <c r="AB7" s="69">
        <f>VLOOKUP(AB$4,'DB Services ISM'!$A:$S,MATCH($B7,'DB Services ISM'!$A$1:$S$1,0),0)</f>
        <v>14</v>
      </c>
      <c r="AC7" s="69">
        <f>VLOOKUP(AC$4,'DB Services ISM'!$A:$S,MATCH($B7,'DB Services ISM'!$A$1:$S$1,0),0)</f>
        <v>14</v>
      </c>
      <c r="AD7" s="69">
        <f>VLOOKUP(AD$4,'DB Services ISM'!$A:$S,MATCH($B7,'DB Services ISM'!$A$1:$S$1,0),0)</f>
        <v>8</v>
      </c>
      <c r="AE7" s="69">
        <f>VLOOKUP(AE$4,'DB Services ISM'!$A:$S,MATCH($B7,'DB Services ISM'!$A$1:$S$1,0),0)</f>
        <v>2</v>
      </c>
      <c r="AF7" s="69">
        <f>VLOOKUP(AF$4,'DB Services ISM'!$A:$S,MATCH($B7,'DB Services ISM'!$A$1:$S$1,0),0)</f>
        <v>5</v>
      </c>
      <c r="AG7" s="69">
        <f>VLOOKUP(AG$4,'DB Services ISM'!$A:$S,MATCH($B7,'DB Services ISM'!$A$1:$S$1,0),0)</f>
        <v>2</v>
      </c>
      <c r="AH7" s="69">
        <f>VLOOKUP(AH$4,'DB Services ISM'!$A:$S,MATCH($B7,'DB Services ISM'!$A$1:$S$1,0),0)</f>
        <v>10</v>
      </c>
      <c r="AI7" s="69">
        <f>VLOOKUP(AI$4,'DB Services ISM'!$A:$S,MATCH($B7,'DB Services ISM'!$A$1:$S$1,0),0)</f>
        <v>13</v>
      </c>
      <c r="AJ7" s="69">
        <f>VLOOKUP(AJ$4,'DB Services ISM'!$A:$S,MATCH($B7,'DB Services ISM'!$A$1:$S$1,0),0)</f>
        <v>12</v>
      </c>
      <c r="AK7" s="69">
        <f>VLOOKUP(AK$4,'DB Services ISM'!$A:$S,MATCH($B7,'DB Services ISM'!$A$1:$S$1,0),0)</f>
        <v>10</v>
      </c>
      <c r="AL7" s="69">
        <f>VLOOKUP(AL$4,'DB Services ISM'!$A:$S,MATCH($B7,'DB Services ISM'!$A$1:$S$1,0),0)</f>
        <v>10</v>
      </c>
      <c r="AM7" s="69">
        <f>VLOOKUP(AM$4,'DB Services ISM'!$A:$S,MATCH($B7,'DB Services ISM'!$A$1:$S$1,0),0)</f>
        <v>12</v>
      </c>
      <c r="AN7" s="30"/>
      <c r="AO7" s="19">
        <f t="shared" si="0"/>
        <v>2</v>
      </c>
      <c r="AP7" s="31">
        <f t="shared" si="1"/>
        <v>10.666666666666666</v>
      </c>
      <c r="AQ7" s="31">
        <f t="shared" si="2"/>
        <v>11.166666666666666</v>
      </c>
    </row>
    <row r="8" spans="2:43" x14ac:dyDescent="0.35">
      <c r="B8" s="2" t="s">
        <v>29</v>
      </c>
      <c r="C8" s="69">
        <f>VLOOKUP(C$4,'DB Services ISM'!$A:$S,MATCH($B8,'DB Services ISM'!$A$1:$S$1,0),0)</f>
        <v>-3</v>
      </c>
      <c r="D8" s="69">
        <f>VLOOKUP(D$4,'DB Services ISM'!$A:$S,MATCH($B8,'DB Services ISM'!$A$1:$S$1,0),0)</f>
        <v>-2</v>
      </c>
      <c r="E8" s="69">
        <f>VLOOKUP(E$4,'DB Services ISM'!$A:$S,MATCH($B8,'DB Services ISM'!$A$1:$S$1,0),0)</f>
        <v>-7</v>
      </c>
      <c r="F8" s="69">
        <f>VLOOKUP(F$4,'DB Services ISM'!$A:$S,MATCH($B8,'DB Services ISM'!$A$1:$S$1,0),0)</f>
        <v>-16</v>
      </c>
      <c r="G8" s="69">
        <f>VLOOKUP(G$4,'DB Services ISM'!$A:$S,MATCH($B8,'DB Services ISM'!$A$1:$S$1,0),0)</f>
        <v>-13</v>
      </c>
      <c r="H8" s="69">
        <f>VLOOKUP(H$4,'DB Services ISM'!$A:$S,MATCH($B8,'DB Services ISM'!$A$1:$S$1,0),0)</f>
        <v>5</v>
      </c>
      <c r="I8" s="69">
        <f>VLOOKUP(I$4,'DB Services ISM'!$A:$S,MATCH($B8,'DB Services ISM'!$A$1:$S$1,0),0)</f>
        <v>15</v>
      </c>
      <c r="J8" s="69">
        <f>VLOOKUP(J$4,'DB Services ISM'!$A:$S,MATCH($B8,'DB Services ISM'!$A$1:$S$1,0),0)</f>
        <v>15</v>
      </c>
      <c r="K8" s="69">
        <f>VLOOKUP(K$4,'DB Services ISM'!$A:$S,MATCH($B8,'DB Services ISM'!$A$1:$S$1,0),0)</f>
        <v>16</v>
      </c>
      <c r="L8" s="69">
        <f>VLOOKUP(L$4,'DB Services ISM'!$A:$S,MATCH($B8,'DB Services ISM'!$A$1:$S$1,0),0)</f>
        <v>-2</v>
      </c>
      <c r="M8" s="69">
        <f>VLOOKUP(M$4,'DB Services ISM'!$A:$S,MATCH($B8,'DB Services ISM'!$A$1:$S$1,0),0)</f>
        <v>-4</v>
      </c>
      <c r="N8" s="69">
        <f>VLOOKUP(N$4,'DB Services ISM'!$A:$S,MATCH($B8,'DB Services ISM'!$A$1:$S$1,0),0)</f>
        <v>-4</v>
      </c>
      <c r="O8" s="69">
        <f>VLOOKUP(O$4,'DB Services ISM'!$A:$S,MATCH($B8,'DB Services ISM'!$A$1:$S$1,0),0)</f>
        <v>-4</v>
      </c>
      <c r="P8" s="69">
        <f>VLOOKUP(P$4,'DB Services ISM'!$A:$S,MATCH($B8,'DB Services ISM'!$A$1:$S$1,0),0)</f>
        <v>13</v>
      </c>
      <c r="Q8" s="69">
        <f>VLOOKUP(Q$4,'DB Services ISM'!$A:$S,MATCH($B8,'DB Services ISM'!$A$1:$S$1,0),0)</f>
        <v>18</v>
      </c>
      <c r="R8" s="69">
        <f>VLOOKUP(R$4,'DB Services ISM'!$A:$S,MATCH($B8,'DB Services ISM'!$A$1:$S$1,0),0)</f>
        <v>17</v>
      </c>
      <c r="S8" s="69">
        <f>VLOOKUP(S$4,'DB Services ISM'!$A:$S,MATCH($B8,'DB Services ISM'!$A$1:$S$1,0),0)</f>
        <v>15</v>
      </c>
      <c r="T8" s="69">
        <f>VLOOKUP(T$4,'DB Services ISM'!$A:$S,MATCH($B8,'DB Services ISM'!$A$1:$S$1,0),0)</f>
        <v>16</v>
      </c>
      <c r="U8" s="69">
        <f>VLOOKUP(U$4,'DB Services ISM'!$A:$S,MATCH($B8,'DB Services ISM'!$A$1:$S$1,0),0)</f>
        <v>17</v>
      </c>
      <c r="V8" s="69">
        <f>VLOOKUP(V$4,'DB Services ISM'!$A:$S,MATCH($B8,'DB Services ISM'!$A$1:$S$1,0),0)</f>
        <v>-1</v>
      </c>
      <c r="W8" s="69">
        <f>VLOOKUP(W$4,'DB Services ISM'!$A:$S,MATCH($B8,'DB Services ISM'!$A$1:$S$1,0),0)</f>
        <v>16</v>
      </c>
      <c r="X8" s="69">
        <f>VLOOKUP(X$4,'DB Services ISM'!$A:$S,MATCH($B8,'DB Services ISM'!$A$1:$S$1,0),0)</f>
        <v>15</v>
      </c>
      <c r="Y8" s="69">
        <f>VLOOKUP(Y$4,'DB Services ISM'!$A:$S,MATCH($B8,'DB Services ISM'!$A$1:$S$1,0),0)</f>
        <v>7</v>
      </c>
      <c r="Z8" s="69">
        <f>VLOOKUP(Z$4,'DB Services ISM'!$A:$S,MATCH($B8,'DB Services ISM'!$A$1:$S$1,0),0)</f>
        <v>12</v>
      </c>
      <c r="AA8" s="69">
        <f>VLOOKUP(AA$4,'DB Services ISM'!$A:$S,MATCH($B8,'DB Services ISM'!$A$1:$S$1,0),0)</f>
        <v>17</v>
      </c>
      <c r="AB8" s="69">
        <f>VLOOKUP(AB$4,'DB Services ISM'!$A:$S,MATCH($B8,'DB Services ISM'!$A$1:$S$1,0),0)</f>
        <v>11</v>
      </c>
      <c r="AC8" s="69">
        <f>VLOOKUP(AC$4,'DB Services ISM'!$A:$S,MATCH($B8,'DB Services ISM'!$A$1:$S$1,0),0)</f>
        <v>9</v>
      </c>
      <c r="AD8" s="69">
        <f>VLOOKUP(AD$4,'DB Services ISM'!$A:$S,MATCH($B8,'DB Services ISM'!$A$1:$S$1,0),0)</f>
        <v>18</v>
      </c>
      <c r="AE8" s="69">
        <f>VLOOKUP(AE$4,'DB Services ISM'!$A:$S,MATCH($B8,'DB Services ISM'!$A$1:$S$1,0),0)</f>
        <v>18</v>
      </c>
      <c r="AF8" s="69">
        <f>VLOOKUP(AF$4,'DB Services ISM'!$A:$S,MATCH($B8,'DB Services ISM'!$A$1:$S$1,0),0)</f>
        <v>18</v>
      </c>
      <c r="AG8" s="69">
        <f>VLOOKUP(AG$4,'DB Services ISM'!$A:$S,MATCH($B8,'DB Services ISM'!$A$1:$S$1,0),0)</f>
        <v>0</v>
      </c>
      <c r="AH8" s="69">
        <f>VLOOKUP(AH$4,'DB Services ISM'!$A:$S,MATCH($B8,'DB Services ISM'!$A$1:$S$1,0),0)</f>
        <v>15</v>
      </c>
      <c r="AI8" s="69">
        <f>VLOOKUP(AI$4,'DB Services ISM'!$A:$S,MATCH($B8,'DB Services ISM'!$A$1:$S$1,0),0)</f>
        <v>18</v>
      </c>
      <c r="AJ8" s="69">
        <f>VLOOKUP(AJ$4,'DB Services ISM'!$A:$S,MATCH($B8,'DB Services ISM'!$A$1:$S$1,0),0)</f>
        <v>5</v>
      </c>
      <c r="AK8" s="69">
        <f>VLOOKUP(AK$4,'DB Services ISM'!$A:$S,MATCH($B8,'DB Services ISM'!$A$1:$S$1,0),0)</f>
        <v>5</v>
      </c>
      <c r="AL8" s="69">
        <f>VLOOKUP(AL$4,'DB Services ISM'!$A:$S,MATCH($B8,'DB Services ISM'!$A$1:$S$1,0),0)</f>
        <v>0</v>
      </c>
      <c r="AM8" s="69">
        <f>VLOOKUP(AM$4,'DB Services ISM'!$A:$S,MATCH($B8,'DB Services ISM'!$A$1:$S$1,0),0)</f>
        <v>15</v>
      </c>
      <c r="AN8" s="30"/>
      <c r="AO8" s="19">
        <f t="shared" si="0"/>
        <v>15</v>
      </c>
      <c r="AP8" s="31">
        <f t="shared" si="1"/>
        <v>6.666666666666667</v>
      </c>
      <c r="AQ8" s="31">
        <f t="shared" si="2"/>
        <v>9.6666666666666661</v>
      </c>
    </row>
    <row r="9" spans="2:43" x14ac:dyDescent="0.35">
      <c r="B9" s="2" t="s">
        <v>30</v>
      </c>
      <c r="C9" s="69">
        <f>VLOOKUP(C$4,'DB Services ISM'!$A:$S,MATCH($B9,'DB Services ISM'!$A$1:$S$1,0),0)</f>
        <v>-4</v>
      </c>
      <c r="D9" s="69">
        <f>VLOOKUP(D$4,'DB Services ISM'!$A:$S,MATCH($B9,'DB Services ISM'!$A$1:$S$1,0),0)</f>
        <v>11</v>
      </c>
      <c r="E9" s="69">
        <f>VLOOKUP(E$4,'DB Services ISM'!$A:$S,MATCH($B9,'DB Services ISM'!$A$1:$S$1,0),0)</f>
        <v>-3</v>
      </c>
      <c r="F9" s="69">
        <f>VLOOKUP(F$4,'DB Services ISM'!$A:$S,MATCH($B9,'DB Services ISM'!$A$1:$S$1,0),0)</f>
        <v>-13</v>
      </c>
      <c r="G9" s="69">
        <f>VLOOKUP(G$4,'DB Services ISM'!$A:$S,MATCH($B9,'DB Services ISM'!$A$1:$S$1,0),0)</f>
        <v>-12</v>
      </c>
      <c r="H9" s="69">
        <f>VLOOKUP(H$4,'DB Services ISM'!$A:$S,MATCH($B9,'DB Services ISM'!$A$1:$S$1,0),0)</f>
        <v>-2</v>
      </c>
      <c r="I9" s="69">
        <f>VLOOKUP(I$4,'DB Services ISM'!$A:$S,MATCH($B9,'DB Services ISM'!$A$1:$S$1,0),0)</f>
        <v>-3</v>
      </c>
      <c r="J9" s="69">
        <f>VLOOKUP(J$4,'DB Services ISM'!$A:$S,MATCH($B9,'DB Services ISM'!$A$1:$S$1,0),0)</f>
        <v>-1</v>
      </c>
      <c r="K9" s="69">
        <f>VLOOKUP(K$4,'DB Services ISM'!$A:$S,MATCH($B9,'DB Services ISM'!$A$1:$S$1,0),0)</f>
        <v>1</v>
      </c>
      <c r="L9" s="69">
        <f>VLOOKUP(L$4,'DB Services ISM'!$A:$S,MATCH($B9,'DB Services ISM'!$A$1:$S$1,0),0)</f>
        <v>1</v>
      </c>
      <c r="M9" s="69">
        <f>VLOOKUP(M$4,'DB Services ISM'!$A:$S,MATCH($B9,'DB Services ISM'!$A$1:$S$1,0),0)</f>
        <v>-3</v>
      </c>
      <c r="N9" s="69">
        <f>VLOOKUP(N$4,'DB Services ISM'!$A:$S,MATCH($B9,'DB Services ISM'!$A$1:$S$1,0),0)</f>
        <v>-2</v>
      </c>
      <c r="O9" s="69">
        <f>VLOOKUP(O$4,'DB Services ISM'!$A:$S,MATCH($B9,'DB Services ISM'!$A$1:$S$1,0),0)</f>
        <v>5</v>
      </c>
      <c r="P9" s="69">
        <f>VLOOKUP(P$4,'DB Services ISM'!$A:$S,MATCH($B9,'DB Services ISM'!$A$1:$S$1,0),0)</f>
        <v>2</v>
      </c>
      <c r="Q9" s="69">
        <f>VLOOKUP(Q$4,'DB Services ISM'!$A:$S,MATCH($B9,'DB Services ISM'!$A$1:$S$1,0),0)</f>
        <v>1</v>
      </c>
      <c r="R9" s="69">
        <f>VLOOKUP(R$4,'DB Services ISM'!$A:$S,MATCH($B9,'DB Services ISM'!$A$1:$S$1,0),0)</f>
        <v>8</v>
      </c>
      <c r="S9" s="69">
        <f>VLOOKUP(S$4,'DB Services ISM'!$A:$S,MATCH($B9,'DB Services ISM'!$A$1:$S$1,0),0)</f>
        <v>8</v>
      </c>
      <c r="T9" s="69">
        <f>VLOOKUP(T$4,'DB Services ISM'!$A:$S,MATCH($B9,'DB Services ISM'!$A$1:$S$1,0),0)</f>
        <v>15</v>
      </c>
      <c r="U9" s="69">
        <f>VLOOKUP(U$4,'DB Services ISM'!$A:$S,MATCH($B9,'DB Services ISM'!$A$1:$S$1,0),0)</f>
        <v>9</v>
      </c>
      <c r="V9" s="69">
        <f>VLOOKUP(V$4,'DB Services ISM'!$A:$S,MATCH($B9,'DB Services ISM'!$A$1:$S$1,0),0)</f>
        <v>11</v>
      </c>
      <c r="W9" s="69">
        <f>VLOOKUP(W$4,'DB Services ISM'!$A:$S,MATCH($B9,'DB Services ISM'!$A$1:$S$1,0),0)</f>
        <v>7</v>
      </c>
      <c r="X9" s="69">
        <f>VLOOKUP(X$4,'DB Services ISM'!$A:$S,MATCH($B9,'DB Services ISM'!$A$1:$S$1,0),0)</f>
        <v>14</v>
      </c>
      <c r="Y9" s="69">
        <f>VLOOKUP(Y$4,'DB Services ISM'!$A:$S,MATCH($B9,'DB Services ISM'!$A$1:$S$1,0),0)</f>
        <v>6</v>
      </c>
      <c r="Z9" s="69">
        <f>VLOOKUP(Z$4,'DB Services ISM'!$A:$S,MATCH($B9,'DB Services ISM'!$A$1:$S$1,0),0)</f>
        <v>15</v>
      </c>
      <c r="AA9" s="69">
        <f>VLOOKUP(AA$4,'DB Services ISM'!$A:$S,MATCH($B9,'DB Services ISM'!$A$1:$S$1,0),0)</f>
        <v>1</v>
      </c>
      <c r="AB9" s="69">
        <f>VLOOKUP(AB$4,'DB Services ISM'!$A:$S,MATCH($B9,'DB Services ISM'!$A$1:$S$1,0),0)</f>
        <v>5</v>
      </c>
      <c r="AC9" s="69">
        <f>VLOOKUP(AC$4,'DB Services ISM'!$A:$S,MATCH($B9,'DB Services ISM'!$A$1:$S$1,0),0)</f>
        <v>6</v>
      </c>
      <c r="AD9" s="69">
        <f>VLOOKUP(AD$4,'DB Services ISM'!$A:$S,MATCH($B9,'DB Services ISM'!$A$1:$S$1,0),0)</f>
        <v>2</v>
      </c>
      <c r="AE9" s="69">
        <f>VLOOKUP(AE$4,'DB Services ISM'!$A:$S,MATCH($B9,'DB Services ISM'!$A$1:$S$1,0),0)</f>
        <v>10</v>
      </c>
      <c r="AF9" s="69">
        <f>VLOOKUP(AF$4,'DB Services ISM'!$A:$S,MATCH($B9,'DB Services ISM'!$A$1:$S$1,0),0)</f>
        <v>2</v>
      </c>
      <c r="AG9" s="69">
        <f>VLOOKUP(AG$4,'DB Services ISM'!$A:$S,MATCH($B9,'DB Services ISM'!$A$1:$S$1,0),0)</f>
        <v>3</v>
      </c>
      <c r="AH9" s="69">
        <f>VLOOKUP(AH$4,'DB Services ISM'!$A:$S,MATCH($B9,'DB Services ISM'!$A$1:$S$1,0),0)</f>
        <v>14</v>
      </c>
      <c r="AI9" s="69">
        <f>VLOOKUP(AI$4,'DB Services ISM'!$A:$S,MATCH($B9,'DB Services ISM'!$A$1:$S$1,0),0)</f>
        <v>7</v>
      </c>
      <c r="AJ9" s="69">
        <f>VLOOKUP(AJ$4,'DB Services ISM'!$A:$S,MATCH($B9,'DB Services ISM'!$A$1:$S$1,0),0)</f>
        <v>4</v>
      </c>
      <c r="AK9" s="69">
        <f>VLOOKUP(AK$4,'DB Services ISM'!$A:$S,MATCH($B9,'DB Services ISM'!$A$1:$S$1,0),0)</f>
        <v>7</v>
      </c>
      <c r="AL9" s="69">
        <f>VLOOKUP(AL$4,'DB Services ISM'!$A:$S,MATCH($B9,'DB Services ISM'!$A$1:$S$1,0),0)</f>
        <v>6</v>
      </c>
      <c r="AM9" s="69">
        <f>VLOOKUP(AM$4,'DB Services ISM'!$A:$S,MATCH($B9,'DB Services ISM'!$A$1:$S$1,0),0)</f>
        <v>10</v>
      </c>
      <c r="AN9" s="30"/>
      <c r="AO9" s="19">
        <f t="shared" si="0"/>
        <v>4</v>
      </c>
      <c r="AP9" s="31">
        <f t="shared" si="1"/>
        <v>7.666666666666667</v>
      </c>
      <c r="AQ9" s="31">
        <f t="shared" si="2"/>
        <v>8</v>
      </c>
    </row>
    <row r="10" spans="2:43" x14ac:dyDescent="0.35">
      <c r="B10" s="2" t="s">
        <v>31</v>
      </c>
      <c r="C10" s="69">
        <f>VLOOKUP(C$4,'DB Services ISM'!$A:$S,MATCH($B10,'DB Services ISM'!$A$1:$S$1,0),0)</f>
        <v>10</v>
      </c>
      <c r="D10" s="69">
        <f>VLOOKUP(D$4,'DB Services ISM'!$A:$S,MATCH($B10,'DB Services ISM'!$A$1:$S$1,0),0)</f>
        <v>9</v>
      </c>
      <c r="E10" s="69">
        <f>VLOOKUP(E$4,'DB Services ISM'!$A:$S,MATCH($B10,'DB Services ISM'!$A$1:$S$1,0),0)</f>
        <v>9</v>
      </c>
      <c r="F10" s="69">
        <f>VLOOKUP(F$4,'DB Services ISM'!$A:$S,MATCH($B10,'DB Services ISM'!$A$1:$S$1,0),0)</f>
        <v>-1</v>
      </c>
      <c r="G10" s="69">
        <f>VLOOKUP(G$4,'DB Services ISM'!$A:$S,MATCH($B10,'DB Services ISM'!$A$1:$S$1,0),0)</f>
        <v>-2</v>
      </c>
      <c r="H10" s="69">
        <f>VLOOKUP(H$4,'DB Services ISM'!$A:$S,MATCH($B10,'DB Services ISM'!$A$1:$S$1,0),0)</f>
        <v>10</v>
      </c>
      <c r="I10" s="69">
        <f>VLOOKUP(I$4,'DB Services ISM'!$A:$S,MATCH($B10,'DB Services ISM'!$A$1:$S$1,0),0)</f>
        <v>14</v>
      </c>
      <c r="J10" s="69">
        <f>VLOOKUP(J$4,'DB Services ISM'!$A:$S,MATCH($B10,'DB Services ISM'!$A$1:$S$1,0),0)</f>
        <v>14</v>
      </c>
      <c r="K10" s="69">
        <f>VLOOKUP(K$4,'DB Services ISM'!$A:$S,MATCH($B10,'DB Services ISM'!$A$1:$S$1,0),0)</f>
        <v>12</v>
      </c>
      <c r="L10" s="69">
        <f>VLOOKUP(L$4,'DB Services ISM'!$A:$S,MATCH($B10,'DB Services ISM'!$A$1:$S$1,0),0)</f>
        <v>13</v>
      </c>
      <c r="M10" s="69">
        <f>VLOOKUP(M$4,'DB Services ISM'!$A:$S,MATCH($B10,'DB Services ISM'!$A$1:$S$1,0),0)</f>
        <v>12</v>
      </c>
      <c r="N10" s="69">
        <f>VLOOKUP(N$4,'DB Services ISM'!$A:$S,MATCH($B10,'DB Services ISM'!$A$1:$S$1,0),0)</f>
        <v>11</v>
      </c>
      <c r="O10" s="69">
        <f>VLOOKUP(O$4,'DB Services ISM'!$A:$S,MATCH($B10,'DB Services ISM'!$A$1:$S$1,0),0)</f>
        <v>9</v>
      </c>
      <c r="P10" s="69">
        <f>VLOOKUP(P$4,'DB Services ISM'!$A:$S,MATCH($B10,'DB Services ISM'!$A$1:$S$1,0),0)</f>
        <v>10</v>
      </c>
      <c r="Q10" s="69">
        <f>VLOOKUP(Q$4,'DB Services ISM'!$A:$S,MATCH($B10,'DB Services ISM'!$A$1:$S$1,0),0)</f>
        <v>6</v>
      </c>
      <c r="R10" s="69">
        <f>VLOOKUP(R$4,'DB Services ISM'!$A:$S,MATCH($B10,'DB Services ISM'!$A$1:$S$1,0),0)</f>
        <v>5</v>
      </c>
      <c r="S10" s="69">
        <f>VLOOKUP(S$4,'DB Services ISM'!$A:$S,MATCH($B10,'DB Services ISM'!$A$1:$S$1,0),0)</f>
        <v>5</v>
      </c>
      <c r="T10" s="69">
        <f>VLOOKUP(T$4,'DB Services ISM'!$A:$S,MATCH($B10,'DB Services ISM'!$A$1:$S$1,0),0)</f>
        <v>6</v>
      </c>
      <c r="U10" s="69">
        <f>VLOOKUP(U$4,'DB Services ISM'!$A:$S,MATCH($B10,'DB Services ISM'!$A$1:$S$1,0),0)</f>
        <v>6</v>
      </c>
      <c r="V10" s="69">
        <f>VLOOKUP(V$4,'DB Services ISM'!$A:$S,MATCH($B10,'DB Services ISM'!$A$1:$S$1,0),0)</f>
        <v>7</v>
      </c>
      <c r="W10" s="69">
        <f>VLOOKUP(W$4,'DB Services ISM'!$A:$S,MATCH($B10,'DB Services ISM'!$A$1:$S$1,0),0)</f>
        <v>5</v>
      </c>
      <c r="X10" s="69">
        <f>VLOOKUP(X$4,'DB Services ISM'!$A:$S,MATCH($B10,'DB Services ISM'!$A$1:$S$1,0),0)</f>
        <v>7</v>
      </c>
      <c r="Y10" s="69">
        <f>VLOOKUP(Y$4,'DB Services ISM'!$A:$S,MATCH($B10,'DB Services ISM'!$A$1:$S$1,0),0)</f>
        <v>8</v>
      </c>
      <c r="Z10" s="69">
        <f>VLOOKUP(Z$4,'DB Services ISM'!$A:$S,MATCH($B10,'DB Services ISM'!$A$1:$S$1,0),0)</f>
        <v>3</v>
      </c>
      <c r="AA10" s="69">
        <f>VLOOKUP(AA$4,'DB Services ISM'!$A:$S,MATCH($B10,'DB Services ISM'!$A$1:$S$1,0),0)</f>
        <v>5</v>
      </c>
      <c r="AB10" s="69">
        <f>VLOOKUP(AB$4,'DB Services ISM'!$A:$S,MATCH($B10,'DB Services ISM'!$A$1:$S$1,0),0)</f>
        <v>3</v>
      </c>
      <c r="AC10" s="69">
        <f>VLOOKUP(AC$4,'DB Services ISM'!$A:$S,MATCH($B10,'DB Services ISM'!$A$1:$S$1,0),0)</f>
        <v>2</v>
      </c>
      <c r="AD10" s="69">
        <f>VLOOKUP(AD$4,'DB Services ISM'!$A:$S,MATCH($B10,'DB Services ISM'!$A$1:$S$1,0),0)</f>
        <v>4</v>
      </c>
      <c r="AE10" s="69">
        <f>VLOOKUP(AE$4,'DB Services ISM'!$A:$S,MATCH($B10,'DB Services ISM'!$A$1:$S$1,0),0)</f>
        <v>3</v>
      </c>
      <c r="AF10" s="69">
        <f>VLOOKUP(AF$4,'DB Services ISM'!$A:$S,MATCH($B10,'DB Services ISM'!$A$1:$S$1,0),0)</f>
        <v>4</v>
      </c>
      <c r="AG10" s="69">
        <f>VLOOKUP(AG$4,'DB Services ISM'!$A:$S,MATCH($B10,'DB Services ISM'!$A$1:$S$1,0),0)</f>
        <v>4</v>
      </c>
      <c r="AH10" s="69">
        <f>VLOOKUP(AH$4,'DB Services ISM'!$A:$S,MATCH($B10,'DB Services ISM'!$A$1:$S$1,0),0)</f>
        <v>13</v>
      </c>
      <c r="AI10" s="69">
        <f>VLOOKUP(AI$4,'DB Services ISM'!$A:$S,MATCH($B10,'DB Services ISM'!$A$1:$S$1,0),0)</f>
        <v>16</v>
      </c>
      <c r="AJ10" s="69">
        <f>VLOOKUP(AJ$4,'DB Services ISM'!$A:$S,MATCH($B10,'DB Services ISM'!$A$1:$S$1,0),0)</f>
        <v>14</v>
      </c>
      <c r="AK10" s="69">
        <f>VLOOKUP(AK$4,'DB Services ISM'!$A:$S,MATCH($B10,'DB Services ISM'!$A$1:$S$1,0),0)</f>
        <v>14</v>
      </c>
      <c r="AL10" s="69">
        <f>VLOOKUP(AL$4,'DB Services ISM'!$A:$S,MATCH($B10,'DB Services ISM'!$A$1:$S$1,0),0)</f>
        <v>13</v>
      </c>
      <c r="AM10" s="69">
        <f>VLOOKUP(AM$4,'DB Services ISM'!$A:$S,MATCH($B10,'DB Services ISM'!$A$1:$S$1,0),0)</f>
        <v>8</v>
      </c>
      <c r="AN10" s="30"/>
      <c r="AO10" s="19">
        <f t="shared" si="0"/>
        <v>-5</v>
      </c>
      <c r="AP10" s="31">
        <f t="shared" si="1"/>
        <v>11.666666666666666</v>
      </c>
      <c r="AQ10" s="31">
        <f t="shared" si="2"/>
        <v>13</v>
      </c>
    </row>
    <row r="11" spans="2:43" x14ac:dyDescent="0.35">
      <c r="B11" s="2" t="s">
        <v>32</v>
      </c>
      <c r="C11" s="69">
        <f>VLOOKUP(C$4,'DB Services ISM'!$A:$S,MATCH($B11,'DB Services ISM'!$A$1:$S$1,0),0)</f>
        <v>7</v>
      </c>
      <c r="D11" s="69">
        <f>VLOOKUP(D$4,'DB Services ISM'!$A:$S,MATCH($B11,'DB Services ISM'!$A$1:$S$1,0),0)</f>
        <v>16</v>
      </c>
      <c r="E11" s="69">
        <f>VLOOKUP(E$4,'DB Services ISM'!$A:$S,MATCH($B11,'DB Services ISM'!$A$1:$S$1,0),0)</f>
        <v>0</v>
      </c>
      <c r="F11" s="69">
        <f>VLOOKUP(F$4,'DB Services ISM'!$A:$S,MATCH($B11,'DB Services ISM'!$A$1:$S$1,0),0)</f>
        <v>-6</v>
      </c>
      <c r="G11" s="69">
        <f>VLOOKUP(G$4,'DB Services ISM'!$A:$S,MATCH($B11,'DB Services ISM'!$A$1:$S$1,0),0)</f>
        <v>-6</v>
      </c>
      <c r="H11" s="69">
        <f>VLOOKUP(H$4,'DB Services ISM'!$A:$S,MATCH($B11,'DB Services ISM'!$A$1:$S$1,0),0)</f>
        <v>0</v>
      </c>
      <c r="I11" s="69">
        <f>VLOOKUP(I$4,'DB Services ISM'!$A:$S,MATCH($B11,'DB Services ISM'!$A$1:$S$1,0),0)</f>
        <v>2</v>
      </c>
      <c r="J11" s="69">
        <f>VLOOKUP(J$4,'DB Services ISM'!$A:$S,MATCH($B11,'DB Services ISM'!$A$1:$S$1,0),0)</f>
        <v>12</v>
      </c>
      <c r="K11" s="69">
        <f>VLOOKUP(K$4,'DB Services ISM'!$A:$S,MATCH($B11,'DB Services ISM'!$A$1:$S$1,0),0)</f>
        <v>9</v>
      </c>
      <c r="L11" s="69">
        <f>VLOOKUP(L$4,'DB Services ISM'!$A:$S,MATCH($B11,'DB Services ISM'!$A$1:$S$1,0),0)</f>
        <v>14</v>
      </c>
      <c r="M11" s="69">
        <f>VLOOKUP(M$4,'DB Services ISM'!$A:$S,MATCH($B11,'DB Services ISM'!$A$1:$S$1,0),0)</f>
        <v>10</v>
      </c>
      <c r="N11" s="69">
        <f>VLOOKUP(N$4,'DB Services ISM'!$A:$S,MATCH($B11,'DB Services ISM'!$A$1:$S$1,0),0)</f>
        <v>-3</v>
      </c>
      <c r="O11" s="69">
        <f>VLOOKUP(O$4,'DB Services ISM'!$A:$S,MATCH($B11,'DB Services ISM'!$A$1:$S$1,0),0)</f>
        <v>6</v>
      </c>
      <c r="P11" s="69">
        <f>VLOOKUP(P$4,'DB Services ISM'!$A:$S,MATCH($B11,'DB Services ISM'!$A$1:$S$1,0),0)</f>
        <v>17</v>
      </c>
      <c r="Q11" s="69">
        <f>VLOOKUP(Q$4,'DB Services ISM'!$A:$S,MATCH($B11,'DB Services ISM'!$A$1:$S$1,0),0)</f>
        <v>12</v>
      </c>
      <c r="R11" s="69">
        <f>VLOOKUP(R$4,'DB Services ISM'!$A:$S,MATCH($B11,'DB Services ISM'!$A$1:$S$1,0),0)</f>
        <v>1</v>
      </c>
      <c r="S11" s="69">
        <f>VLOOKUP(S$4,'DB Services ISM'!$A:$S,MATCH($B11,'DB Services ISM'!$A$1:$S$1,0),0)</f>
        <v>6</v>
      </c>
      <c r="T11" s="69">
        <f>VLOOKUP(T$4,'DB Services ISM'!$A:$S,MATCH($B11,'DB Services ISM'!$A$1:$S$1,0),0)</f>
        <v>10</v>
      </c>
      <c r="U11" s="69">
        <f>VLOOKUP(U$4,'DB Services ISM'!$A:$S,MATCH($B11,'DB Services ISM'!$A$1:$S$1,0),0)</f>
        <v>15</v>
      </c>
      <c r="V11" s="69">
        <f>VLOOKUP(V$4,'DB Services ISM'!$A:$S,MATCH($B11,'DB Services ISM'!$A$1:$S$1,0),0)</f>
        <v>17</v>
      </c>
      <c r="W11" s="69">
        <f>VLOOKUP(W$4,'DB Services ISM'!$A:$S,MATCH($B11,'DB Services ISM'!$A$1:$S$1,0),0)</f>
        <v>11</v>
      </c>
      <c r="X11" s="69">
        <f>VLOOKUP(X$4,'DB Services ISM'!$A:$S,MATCH($B11,'DB Services ISM'!$A$1:$S$1,0),0)</f>
        <v>8</v>
      </c>
      <c r="Y11" s="69">
        <f>VLOOKUP(Y$4,'DB Services ISM'!$A:$S,MATCH($B11,'DB Services ISM'!$A$1:$S$1,0),0)</f>
        <v>1</v>
      </c>
      <c r="Z11" s="69">
        <f>VLOOKUP(Z$4,'DB Services ISM'!$A:$S,MATCH($B11,'DB Services ISM'!$A$1:$S$1,0),0)</f>
        <v>18</v>
      </c>
      <c r="AA11" s="69">
        <f>VLOOKUP(AA$4,'DB Services ISM'!$A:$S,MATCH($B11,'DB Services ISM'!$A$1:$S$1,0),0)</f>
        <v>14</v>
      </c>
      <c r="AB11" s="69">
        <f>VLOOKUP(AB$4,'DB Services ISM'!$A:$S,MATCH($B11,'DB Services ISM'!$A$1:$S$1,0),0)</f>
        <v>2</v>
      </c>
      <c r="AC11" s="69">
        <f>VLOOKUP(AC$4,'DB Services ISM'!$A:$S,MATCH($B11,'DB Services ISM'!$A$1:$S$1,0),0)</f>
        <v>3</v>
      </c>
      <c r="AD11" s="69">
        <f>VLOOKUP(AD$4,'DB Services ISM'!$A:$S,MATCH($B11,'DB Services ISM'!$A$1:$S$1,0),0)</f>
        <v>13</v>
      </c>
      <c r="AE11" s="69">
        <f>VLOOKUP(AE$4,'DB Services ISM'!$A:$S,MATCH($B11,'DB Services ISM'!$A$1:$S$1,0),0)</f>
        <v>14</v>
      </c>
      <c r="AF11" s="69">
        <f>VLOOKUP(AF$4,'DB Services ISM'!$A:$S,MATCH($B11,'DB Services ISM'!$A$1:$S$1,0),0)</f>
        <v>13</v>
      </c>
      <c r="AG11" s="69">
        <f>VLOOKUP(AG$4,'DB Services ISM'!$A:$S,MATCH($B11,'DB Services ISM'!$A$1:$S$1,0),0)</f>
        <v>13</v>
      </c>
      <c r="AH11" s="69">
        <f>VLOOKUP(AH$4,'DB Services ISM'!$A:$S,MATCH($B11,'DB Services ISM'!$A$1:$S$1,0),0)</f>
        <v>-1</v>
      </c>
      <c r="AI11" s="69">
        <f>VLOOKUP(AI$4,'DB Services ISM'!$A:$S,MATCH($B11,'DB Services ISM'!$A$1:$S$1,0),0)</f>
        <v>3</v>
      </c>
      <c r="AJ11" s="69">
        <f>VLOOKUP(AJ$4,'DB Services ISM'!$A:$S,MATCH($B11,'DB Services ISM'!$A$1:$S$1,0),0)</f>
        <v>2</v>
      </c>
      <c r="AK11" s="69">
        <f>VLOOKUP(AK$4,'DB Services ISM'!$A:$S,MATCH($B11,'DB Services ISM'!$A$1:$S$1,0),0)</f>
        <v>16</v>
      </c>
      <c r="AL11" s="69">
        <f>VLOOKUP(AL$4,'DB Services ISM'!$A:$S,MATCH($B11,'DB Services ISM'!$A$1:$S$1,0),0)</f>
        <v>8</v>
      </c>
      <c r="AM11" s="69">
        <f>VLOOKUP(AM$4,'DB Services ISM'!$A:$S,MATCH($B11,'DB Services ISM'!$A$1:$S$1,0),0)</f>
        <v>9</v>
      </c>
      <c r="AN11" s="30"/>
      <c r="AO11" s="19">
        <f t="shared" si="0"/>
        <v>1</v>
      </c>
      <c r="AP11" s="31">
        <f t="shared" si="1"/>
        <v>11</v>
      </c>
      <c r="AQ11" s="31">
        <f t="shared" si="2"/>
        <v>6.166666666666667</v>
      </c>
    </row>
    <row r="12" spans="2:43" x14ac:dyDescent="0.35">
      <c r="B12" s="2" t="s">
        <v>33</v>
      </c>
      <c r="C12" s="69">
        <f>VLOOKUP(C$4,'DB Services ISM'!$A:$S,MATCH($B12,'DB Services ISM'!$A$1:$S$1,0),0)</f>
        <v>6</v>
      </c>
      <c r="D12" s="69">
        <f>VLOOKUP(D$4,'DB Services ISM'!$A:$S,MATCH($B12,'DB Services ISM'!$A$1:$S$1,0),0)</f>
        <v>13</v>
      </c>
      <c r="E12" s="69">
        <f>VLOOKUP(E$4,'DB Services ISM'!$A:$S,MATCH($B12,'DB Services ISM'!$A$1:$S$1,0),0)</f>
        <v>5</v>
      </c>
      <c r="F12" s="69">
        <f>VLOOKUP(F$4,'DB Services ISM'!$A:$S,MATCH($B12,'DB Services ISM'!$A$1:$S$1,0),0)</f>
        <v>0</v>
      </c>
      <c r="G12" s="69">
        <f>VLOOKUP(G$4,'DB Services ISM'!$A:$S,MATCH($B12,'DB Services ISM'!$A$1:$S$1,0),0)</f>
        <v>3</v>
      </c>
      <c r="H12" s="69">
        <f>VLOOKUP(H$4,'DB Services ISM'!$A:$S,MATCH($B12,'DB Services ISM'!$A$1:$S$1,0),0)</f>
        <v>3</v>
      </c>
      <c r="I12" s="69">
        <f>VLOOKUP(I$4,'DB Services ISM'!$A:$S,MATCH($B12,'DB Services ISM'!$A$1:$S$1,0),0)</f>
        <v>6</v>
      </c>
      <c r="J12" s="69">
        <f>VLOOKUP(J$4,'DB Services ISM'!$A:$S,MATCH($B12,'DB Services ISM'!$A$1:$S$1,0),0)</f>
        <v>5</v>
      </c>
      <c r="K12" s="69">
        <f>VLOOKUP(K$4,'DB Services ISM'!$A:$S,MATCH($B12,'DB Services ISM'!$A$1:$S$1,0),0)</f>
        <v>4</v>
      </c>
      <c r="L12" s="69">
        <f>VLOOKUP(L$4,'DB Services ISM'!$A:$S,MATCH($B12,'DB Services ISM'!$A$1:$S$1,0),0)</f>
        <v>10</v>
      </c>
      <c r="M12" s="69">
        <f>VLOOKUP(M$4,'DB Services ISM'!$A:$S,MATCH($B12,'DB Services ISM'!$A$1:$S$1,0),0)</f>
        <v>5</v>
      </c>
      <c r="N12" s="69">
        <f>VLOOKUP(N$4,'DB Services ISM'!$A:$S,MATCH($B12,'DB Services ISM'!$A$1:$S$1,0),0)</f>
        <v>9</v>
      </c>
      <c r="O12" s="69">
        <f>VLOOKUP(O$4,'DB Services ISM'!$A:$S,MATCH($B12,'DB Services ISM'!$A$1:$S$1,0),0)</f>
        <v>11</v>
      </c>
      <c r="P12" s="69">
        <f>VLOOKUP(P$4,'DB Services ISM'!$A:$S,MATCH($B12,'DB Services ISM'!$A$1:$S$1,0),0)</f>
        <v>7</v>
      </c>
      <c r="Q12" s="69">
        <f>VLOOKUP(Q$4,'DB Services ISM'!$A:$S,MATCH($B12,'DB Services ISM'!$A$1:$S$1,0),0)</f>
        <v>8</v>
      </c>
      <c r="R12" s="69">
        <f>VLOOKUP(R$4,'DB Services ISM'!$A:$S,MATCH($B12,'DB Services ISM'!$A$1:$S$1,0),0)</f>
        <v>7</v>
      </c>
      <c r="S12" s="69">
        <f>VLOOKUP(S$4,'DB Services ISM'!$A:$S,MATCH($B12,'DB Services ISM'!$A$1:$S$1,0),0)</f>
        <v>11</v>
      </c>
      <c r="T12" s="69">
        <f>VLOOKUP(T$4,'DB Services ISM'!$A:$S,MATCH($B12,'DB Services ISM'!$A$1:$S$1,0),0)</f>
        <v>3</v>
      </c>
      <c r="U12" s="69">
        <f>VLOOKUP(U$4,'DB Services ISM'!$A:$S,MATCH($B12,'DB Services ISM'!$A$1:$S$1,0),0)</f>
        <v>2</v>
      </c>
      <c r="V12" s="69">
        <f>VLOOKUP(V$4,'DB Services ISM'!$A:$S,MATCH($B12,'DB Services ISM'!$A$1:$S$1,0),0)</f>
        <v>3</v>
      </c>
      <c r="W12" s="69">
        <f>VLOOKUP(W$4,'DB Services ISM'!$A:$S,MATCH($B12,'DB Services ISM'!$A$1:$S$1,0),0)</f>
        <v>1</v>
      </c>
      <c r="X12" s="69">
        <f>VLOOKUP(X$4,'DB Services ISM'!$A:$S,MATCH($B12,'DB Services ISM'!$A$1:$S$1,0),0)</f>
        <v>4</v>
      </c>
      <c r="Y12" s="69">
        <f>VLOOKUP(Y$4,'DB Services ISM'!$A:$S,MATCH($B12,'DB Services ISM'!$A$1:$S$1,0),0)</f>
        <v>4</v>
      </c>
      <c r="Z12" s="69">
        <f>VLOOKUP(Z$4,'DB Services ISM'!$A:$S,MATCH($B12,'DB Services ISM'!$A$1:$S$1,0),0)</f>
        <v>4</v>
      </c>
      <c r="AA12" s="69">
        <f>VLOOKUP(AA$4,'DB Services ISM'!$A:$S,MATCH($B12,'DB Services ISM'!$A$1:$S$1,0),0)</f>
        <v>6</v>
      </c>
      <c r="AB12" s="69">
        <f>VLOOKUP(AB$4,'DB Services ISM'!$A:$S,MATCH($B12,'DB Services ISM'!$A$1:$S$1,0),0)</f>
        <v>7</v>
      </c>
      <c r="AC12" s="69">
        <f>VLOOKUP(AC$4,'DB Services ISM'!$A:$S,MATCH($B12,'DB Services ISM'!$A$1:$S$1,0),0)</f>
        <v>1</v>
      </c>
      <c r="AD12" s="69">
        <f>VLOOKUP(AD$4,'DB Services ISM'!$A:$S,MATCH($B12,'DB Services ISM'!$A$1:$S$1,0),0)</f>
        <v>10</v>
      </c>
      <c r="AE12" s="69">
        <f>VLOOKUP(AE$4,'DB Services ISM'!$A:$S,MATCH($B12,'DB Services ISM'!$A$1:$S$1,0),0)</f>
        <v>7</v>
      </c>
      <c r="AF12" s="69">
        <f>VLOOKUP(AF$4,'DB Services ISM'!$A:$S,MATCH($B12,'DB Services ISM'!$A$1:$S$1,0),0)</f>
        <v>7</v>
      </c>
      <c r="AG12" s="69">
        <f>VLOOKUP(AG$4,'DB Services ISM'!$A:$S,MATCH($B12,'DB Services ISM'!$A$1:$S$1,0),0)</f>
        <v>10</v>
      </c>
      <c r="AH12" s="69">
        <f>VLOOKUP(AH$4,'DB Services ISM'!$A:$S,MATCH($B12,'DB Services ISM'!$A$1:$S$1,0),0)</f>
        <v>7</v>
      </c>
      <c r="AI12" s="69">
        <f>VLOOKUP(AI$4,'DB Services ISM'!$A:$S,MATCH($B12,'DB Services ISM'!$A$1:$S$1,0),0)</f>
        <v>11</v>
      </c>
      <c r="AJ12" s="69">
        <f>VLOOKUP(AJ$4,'DB Services ISM'!$A:$S,MATCH($B12,'DB Services ISM'!$A$1:$S$1,0),0)</f>
        <v>15</v>
      </c>
      <c r="AK12" s="69">
        <f>VLOOKUP(AK$4,'DB Services ISM'!$A:$S,MATCH($B12,'DB Services ISM'!$A$1:$S$1,0),0)</f>
        <v>1</v>
      </c>
      <c r="AL12" s="69">
        <f>VLOOKUP(AL$4,'DB Services ISM'!$A:$S,MATCH($B12,'DB Services ISM'!$A$1:$S$1,0),0)</f>
        <v>4</v>
      </c>
      <c r="AM12" s="69">
        <f>VLOOKUP(AM$4,'DB Services ISM'!$A:$S,MATCH($B12,'DB Services ISM'!$A$1:$S$1,0),0)</f>
        <v>2</v>
      </c>
      <c r="AN12" s="30"/>
      <c r="AO12" s="19">
        <f t="shared" si="0"/>
        <v>-2</v>
      </c>
      <c r="AP12" s="31">
        <f t="shared" si="1"/>
        <v>2.3333333333333335</v>
      </c>
      <c r="AQ12" s="31">
        <f t="shared" si="2"/>
        <v>6.666666666666667</v>
      </c>
    </row>
    <row r="13" spans="2:43" x14ac:dyDescent="0.35">
      <c r="B13" s="2" t="s">
        <v>34</v>
      </c>
      <c r="C13" s="69">
        <f>VLOOKUP(C$4,'DB Services ISM'!$A:$S,MATCH($B13,'DB Services ISM'!$A$1:$S$1,0),0)</f>
        <v>-1</v>
      </c>
      <c r="D13" s="69">
        <f>VLOOKUP(D$4,'DB Services ISM'!$A:$S,MATCH($B13,'DB Services ISM'!$A$1:$S$1,0),0)</f>
        <v>12</v>
      </c>
      <c r="E13" s="69">
        <f>VLOOKUP(E$4,'DB Services ISM'!$A:$S,MATCH($B13,'DB Services ISM'!$A$1:$S$1,0),0)</f>
        <v>8</v>
      </c>
      <c r="F13" s="69">
        <f>VLOOKUP(F$4,'DB Services ISM'!$A:$S,MATCH($B13,'DB Services ISM'!$A$1:$S$1,0),0)</f>
        <v>-3</v>
      </c>
      <c r="G13" s="69">
        <f>VLOOKUP(G$4,'DB Services ISM'!$A:$S,MATCH($B13,'DB Services ISM'!$A$1:$S$1,0),0)</f>
        <v>-4</v>
      </c>
      <c r="H13" s="69">
        <f>VLOOKUP(H$4,'DB Services ISM'!$A:$S,MATCH($B13,'DB Services ISM'!$A$1:$S$1,0),0)</f>
        <v>11</v>
      </c>
      <c r="I13" s="69">
        <f>VLOOKUP(I$4,'DB Services ISM'!$A:$S,MATCH($B13,'DB Services ISM'!$A$1:$S$1,0),0)</f>
        <v>4</v>
      </c>
      <c r="J13" s="69">
        <f>VLOOKUP(J$4,'DB Services ISM'!$A:$S,MATCH($B13,'DB Services ISM'!$A$1:$S$1,0),0)</f>
        <v>2</v>
      </c>
      <c r="K13" s="69">
        <f>VLOOKUP(K$4,'DB Services ISM'!$A:$S,MATCH($B13,'DB Services ISM'!$A$1:$S$1,0),0)</f>
        <v>10</v>
      </c>
      <c r="L13" s="69">
        <f>VLOOKUP(L$4,'DB Services ISM'!$A:$S,MATCH($B13,'DB Services ISM'!$A$1:$S$1,0),0)</f>
        <v>3</v>
      </c>
      <c r="M13" s="69">
        <f>VLOOKUP(M$4,'DB Services ISM'!$A:$S,MATCH($B13,'DB Services ISM'!$A$1:$S$1,0),0)</f>
        <v>-2</v>
      </c>
      <c r="N13" s="69">
        <f>VLOOKUP(N$4,'DB Services ISM'!$A:$S,MATCH($B13,'DB Services ISM'!$A$1:$S$1,0),0)</f>
        <v>-1</v>
      </c>
      <c r="O13" s="69">
        <f>VLOOKUP(O$4,'DB Services ISM'!$A:$S,MATCH($B13,'DB Services ISM'!$A$1:$S$1,0),0)</f>
        <v>14</v>
      </c>
      <c r="P13" s="69">
        <f>VLOOKUP(P$4,'DB Services ISM'!$A:$S,MATCH($B13,'DB Services ISM'!$A$1:$S$1,0),0)</f>
        <v>-1</v>
      </c>
      <c r="Q13" s="69">
        <f>VLOOKUP(Q$4,'DB Services ISM'!$A:$S,MATCH($B13,'DB Services ISM'!$A$1:$S$1,0),0)</f>
        <v>11</v>
      </c>
      <c r="R13" s="69">
        <f>VLOOKUP(R$4,'DB Services ISM'!$A:$S,MATCH($B13,'DB Services ISM'!$A$1:$S$1,0),0)</f>
        <v>13</v>
      </c>
      <c r="S13" s="69">
        <f>VLOOKUP(S$4,'DB Services ISM'!$A:$S,MATCH($B13,'DB Services ISM'!$A$1:$S$1,0),0)</f>
        <v>13</v>
      </c>
      <c r="T13" s="69">
        <f>VLOOKUP(T$4,'DB Services ISM'!$A:$S,MATCH($B13,'DB Services ISM'!$A$1:$S$1,0),0)</f>
        <v>-2</v>
      </c>
      <c r="U13" s="69">
        <f>VLOOKUP(U$4,'DB Services ISM'!$A:$S,MATCH($B13,'DB Services ISM'!$A$1:$S$1,0),0)</f>
        <v>12</v>
      </c>
      <c r="V13" s="69">
        <f>VLOOKUP(V$4,'DB Services ISM'!$A:$S,MATCH($B13,'DB Services ISM'!$A$1:$S$1,0),0)</f>
        <v>2</v>
      </c>
      <c r="W13" s="69">
        <f>VLOOKUP(W$4,'DB Services ISM'!$A:$S,MATCH($B13,'DB Services ISM'!$A$1:$S$1,0),0)</f>
        <v>12</v>
      </c>
      <c r="X13" s="69">
        <f>VLOOKUP(X$4,'DB Services ISM'!$A:$S,MATCH($B13,'DB Services ISM'!$A$1:$S$1,0),0)</f>
        <v>16</v>
      </c>
      <c r="Y13" s="69">
        <f>VLOOKUP(Y$4,'DB Services ISM'!$A:$S,MATCH($B13,'DB Services ISM'!$A$1:$S$1,0),0)</f>
        <v>18</v>
      </c>
      <c r="Z13" s="69">
        <f>VLOOKUP(Z$4,'DB Services ISM'!$A:$S,MATCH($B13,'DB Services ISM'!$A$1:$S$1,0),0)</f>
        <v>6</v>
      </c>
      <c r="AA13" s="69">
        <f>VLOOKUP(AA$4,'DB Services ISM'!$A:$S,MATCH($B13,'DB Services ISM'!$A$1:$S$1,0),0)</f>
        <v>3</v>
      </c>
      <c r="AB13" s="69">
        <f>VLOOKUP(AB$4,'DB Services ISM'!$A:$S,MATCH($B13,'DB Services ISM'!$A$1:$S$1,0),0)</f>
        <v>6</v>
      </c>
      <c r="AC13" s="69">
        <f>VLOOKUP(AC$4,'DB Services ISM'!$A:$S,MATCH($B13,'DB Services ISM'!$A$1:$S$1,0),0)</f>
        <v>12</v>
      </c>
      <c r="AD13" s="69">
        <f>VLOOKUP(AD$4,'DB Services ISM'!$A:$S,MATCH($B13,'DB Services ISM'!$A$1:$S$1,0),0)</f>
        <v>16</v>
      </c>
      <c r="AE13" s="69">
        <f>VLOOKUP(AE$4,'DB Services ISM'!$A:$S,MATCH($B13,'DB Services ISM'!$A$1:$S$1,0),0)</f>
        <v>12</v>
      </c>
      <c r="AF13" s="69">
        <f>VLOOKUP(AF$4,'DB Services ISM'!$A:$S,MATCH($B13,'DB Services ISM'!$A$1:$S$1,0),0)</f>
        <v>8</v>
      </c>
      <c r="AG13" s="69">
        <f>VLOOKUP(AG$4,'DB Services ISM'!$A:$S,MATCH($B13,'DB Services ISM'!$A$1:$S$1,0),0)</f>
        <v>7</v>
      </c>
      <c r="AH13" s="69">
        <f>VLOOKUP(AH$4,'DB Services ISM'!$A:$S,MATCH($B13,'DB Services ISM'!$A$1:$S$1,0),0)</f>
        <v>16</v>
      </c>
      <c r="AI13" s="69">
        <f>VLOOKUP(AI$4,'DB Services ISM'!$A:$S,MATCH($B13,'DB Services ISM'!$A$1:$S$1,0),0)</f>
        <v>12</v>
      </c>
      <c r="AJ13" s="69">
        <f>VLOOKUP(AJ$4,'DB Services ISM'!$A:$S,MATCH($B13,'DB Services ISM'!$A$1:$S$1,0),0)</f>
        <v>17</v>
      </c>
      <c r="AK13" s="69">
        <f>VLOOKUP(AK$4,'DB Services ISM'!$A:$S,MATCH($B13,'DB Services ISM'!$A$1:$S$1,0),0)</f>
        <v>15</v>
      </c>
      <c r="AL13" s="69">
        <f>VLOOKUP(AL$4,'DB Services ISM'!$A:$S,MATCH($B13,'DB Services ISM'!$A$1:$S$1,0),0)</f>
        <v>0</v>
      </c>
      <c r="AM13" s="69">
        <f>VLOOKUP(AM$4,'DB Services ISM'!$A:$S,MATCH($B13,'DB Services ISM'!$A$1:$S$1,0),0)</f>
        <v>13</v>
      </c>
      <c r="AN13" s="30"/>
      <c r="AO13" s="19">
        <f t="shared" si="0"/>
        <v>13</v>
      </c>
      <c r="AP13" s="31">
        <f t="shared" si="1"/>
        <v>9.3333333333333339</v>
      </c>
      <c r="AQ13" s="31">
        <f t="shared" si="2"/>
        <v>12.166666666666666</v>
      </c>
    </row>
    <row r="14" spans="2:43" x14ac:dyDescent="0.35">
      <c r="B14" s="2" t="s">
        <v>35</v>
      </c>
      <c r="C14" s="69">
        <f>VLOOKUP(C$4,'DB Services ISM'!$A:$S,MATCH($B14,'DB Services ISM'!$A$1:$S$1,0),0)</f>
        <v>-6</v>
      </c>
      <c r="D14" s="69">
        <f>VLOOKUP(D$4,'DB Services ISM'!$A:$S,MATCH($B14,'DB Services ISM'!$A$1:$S$1,0),0)</f>
        <v>6</v>
      </c>
      <c r="E14" s="69">
        <f>VLOOKUP(E$4,'DB Services ISM'!$A:$S,MATCH($B14,'DB Services ISM'!$A$1:$S$1,0),0)</f>
        <v>-6</v>
      </c>
      <c r="F14" s="69">
        <f>VLOOKUP(F$4,'DB Services ISM'!$A:$S,MATCH($B14,'DB Services ISM'!$A$1:$S$1,0),0)</f>
        <v>-10</v>
      </c>
      <c r="G14" s="69">
        <f>VLOOKUP(G$4,'DB Services ISM'!$A:$S,MATCH($B14,'DB Services ISM'!$A$1:$S$1,0),0)</f>
        <v>-3</v>
      </c>
      <c r="H14" s="69">
        <f>VLOOKUP(H$4,'DB Services ISM'!$A:$S,MATCH($B14,'DB Services ISM'!$A$1:$S$1,0),0)</f>
        <v>6</v>
      </c>
      <c r="I14" s="69">
        <f>VLOOKUP(I$4,'DB Services ISM'!$A:$S,MATCH($B14,'DB Services ISM'!$A$1:$S$1,0),0)</f>
        <v>12</v>
      </c>
      <c r="J14" s="69">
        <f>VLOOKUP(J$4,'DB Services ISM'!$A:$S,MATCH($B14,'DB Services ISM'!$A$1:$S$1,0),0)</f>
        <v>11</v>
      </c>
      <c r="K14" s="69">
        <f>VLOOKUP(K$4,'DB Services ISM'!$A:$S,MATCH($B14,'DB Services ISM'!$A$1:$S$1,0),0)</f>
        <v>13</v>
      </c>
      <c r="L14" s="69">
        <f>VLOOKUP(L$4,'DB Services ISM'!$A:$S,MATCH($B14,'DB Services ISM'!$A$1:$S$1,0),0)</f>
        <v>16</v>
      </c>
      <c r="M14" s="69">
        <f>VLOOKUP(M$4,'DB Services ISM'!$A:$S,MATCH($B14,'DB Services ISM'!$A$1:$S$1,0),0)</f>
        <v>14</v>
      </c>
      <c r="N14" s="69">
        <f>VLOOKUP(N$4,'DB Services ISM'!$A:$S,MATCH($B14,'DB Services ISM'!$A$1:$S$1,0),0)</f>
        <v>10</v>
      </c>
      <c r="O14" s="69">
        <f>VLOOKUP(O$4,'DB Services ISM'!$A:$S,MATCH($B14,'DB Services ISM'!$A$1:$S$1,0),0)</f>
        <v>10</v>
      </c>
      <c r="P14" s="69">
        <f>VLOOKUP(P$4,'DB Services ISM'!$A:$S,MATCH($B14,'DB Services ISM'!$A$1:$S$1,0),0)</f>
        <v>15</v>
      </c>
      <c r="Q14" s="69">
        <f>VLOOKUP(Q$4,'DB Services ISM'!$A:$S,MATCH($B14,'DB Services ISM'!$A$1:$S$1,0),0)</f>
        <v>10</v>
      </c>
      <c r="R14" s="69">
        <f>VLOOKUP(R$4,'DB Services ISM'!$A:$S,MATCH($B14,'DB Services ISM'!$A$1:$S$1,0),0)</f>
        <v>10</v>
      </c>
      <c r="S14" s="69">
        <f>VLOOKUP(S$4,'DB Services ISM'!$A:$S,MATCH($B14,'DB Services ISM'!$A$1:$S$1,0),0)</f>
        <v>14</v>
      </c>
      <c r="T14" s="69">
        <f>VLOOKUP(T$4,'DB Services ISM'!$A:$S,MATCH($B14,'DB Services ISM'!$A$1:$S$1,0),0)</f>
        <v>14</v>
      </c>
      <c r="U14" s="69">
        <f>VLOOKUP(U$4,'DB Services ISM'!$A:$S,MATCH($B14,'DB Services ISM'!$A$1:$S$1,0),0)</f>
        <v>11</v>
      </c>
      <c r="V14" s="69">
        <f>VLOOKUP(V$4,'DB Services ISM'!$A:$S,MATCH($B14,'DB Services ISM'!$A$1:$S$1,0),0)</f>
        <v>8</v>
      </c>
      <c r="W14" s="69">
        <f>VLOOKUP(W$4,'DB Services ISM'!$A:$S,MATCH($B14,'DB Services ISM'!$A$1:$S$1,0),0)</f>
        <v>13</v>
      </c>
      <c r="X14" s="69">
        <f>VLOOKUP(X$4,'DB Services ISM'!$A:$S,MATCH($B14,'DB Services ISM'!$A$1:$S$1,0),0)</f>
        <v>17</v>
      </c>
      <c r="Y14" s="69">
        <f>VLOOKUP(Y$4,'DB Services ISM'!$A:$S,MATCH($B14,'DB Services ISM'!$A$1:$S$1,0),0)</f>
        <v>17</v>
      </c>
      <c r="Z14" s="69">
        <f>VLOOKUP(Z$4,'DB Services ISM'!$A:$S,MATCH($B14,'DB Services ISM'!$A$1:$S$1,0),0)</f>
        <v>8</v>
      </c>
      <c r="AA14" s="69">
        <f>VLOOKUP(AA$4,'DB Services ISM'!$A:$S,MATCH($B14,'DB Services ISM'!$A$1:$S$1,0),0)</f>
        <v>12</v>
      </c>
      <c r="AB14" s="69">
        <f>VLOOKUP(AB$4,'DB Services ISM'!$A:$S,MATCH($B14,'DB Services ISM'!$A$1:$S$1,0),0)</f>
        <v>9</v>
      </c>
      <c r="AC14" s="69">
        <f>VLOOKUP(AC$4,'DB Services ISM'!$A:$S,MATCH($B14,'DB Services ISM'!$A$1:$S$1,0),0)</f>
        <v>15</v>
      </c>
      <c r="AD14" s="69">
        <f>VLOOKUP(AD$4,'DB Services ISM'!$A:$S,MATCH($B14,'DB Services ISM'!$A$1:$S$1,0),0)</f>
        <v>6</v>
      </c>
      <c r="AE14" s="69">
        <f>VLOOKUP(AE$4,'DB Services ISM'!$A:$S,MATCH($B14,'DB Services ISM'!$A$1:$S$1,0),0)</f>
        <v>13</v>
      </c>
      <c r="AF14" s="69">
        <f>VLOOKUP(AF$4,'DB Services ISM'!$A:$S,MATCH($B14,'DB Services ISM'!$A$1:$S$1,0),0)</f>
        <v>16</v>
      </c>
      <c r="AG14" s="69">
        <f>VLOOKUP(AG$4,'DB Services ISM'!$A:$S,MATCH($B14,'DB Services ISM'!$A$1:$S$1,0),0)</f>
        <v>6</v>
      </c>
      <c r="AH14" s="69">
        <f>VLOOKUP(AH$4,'DB Services ISM'!$A:$S,MATCH($B14,'DB Services ISM'!$A$1:$S$1,0),0)</f>
        <v>12</v>
      </c>
      <c r="AI14" s="69">
        <f>VLOOKUP(AI$4,'DB Services ISM'!$A:$S,MATCH($B14,'DB Services ISM'!$A$1:$S$1,0),0)</f>
        <v>1</v>
      </c>
      <c r="AJ14" s="69">
        <f>VLOOKUP(AJ$4,'DB Services ISM'!$A:$S,MATCH($B14,'DB Services ISM'!$A$1:$S$1,0),0)</f>
        <v>10</v>
      </c>
      <c r="AK14" s="69">
        <f>VLOOKUP(AK$4,'DB Services ISM'!$A:$S,MATCH($B14,'DB Services ISM'!$A$1:$S$1,0),0)</f>
        <v>2</v>
      </c>
      <c r="AL14" s="69">
        <f>VLOOKUP(AL$4,'DB Services ISM'!$A:$S,MATCH($B14,'DB Services ISM'!$A$1:$S$1,0),0)</f>
        <v>3</v>
      </c>
      <c r="AM14" s="69">
        <f>VLOOKUP(AM$4,'DB Services ISM'!$A:$S,MATCH($B14,'DB Services ISM'!$A$1:$S$1,0),0)</f>
        <v>0</v>
      </c>
      <c r="AN14" s="30"/>
      <c r="AO14" s="19">
        <f t="shared" si="0"/>
        <v>-3</v>
      </c>
      <c r="AP14" s="31">
        <f t="shared" si="1"/>
        <v>1.6666666666666667</v>
      </c>
      <c r="AQ14" s="31">
        <f t="shared" si="2"/>
        <v>4.666666666666667</v>
      </c>
    </row>
    <row r="15" spans="2:43" x14ac:dyDescent="0.35">
      <c r="B15" s="2" t="s">
        <v>36</v>
      </c>
      <c r="C15" s="69">
        <f>VLOOKUP(C$4,'DB Services ISM'!$A:$S,MATCH($B15,'DB Services ISM'!$A$1:$S$1,0),0)</f>
        <v>-2</v>
      </c>
      <c r="D15" s="69">
        <f>VLOOKUP(D$4,'DB Services ISM'!$A:$S,MATCH($B15,'DB Services ISM'!$A$1:$S$1,0),0)</f>
        <v>14</v>
      </c>
      <c r="E15" s="69">
        <f>VLOOKUP(E$4,'DB Services ISM'!$A:$S,MATCH($B15,'DB Services ISM'!$A$1:$S$1,0),0)</f>
        <v>-4</v>
      </c>
      <c r="F15" s="69">
        <f>VLOOKUP(F$4,'DB Services ISM'!$A:$S,MATCH($B15,'DB Services ISM'!$A$1:$S$1,0),0)</f>
        <v>-9</v>
      </c>
      <c r="G15" s="69">
        <f>VLOOKUP(G$4,'DB Services ISM'!$A:$S,MATCH($B15,'DB Services ISM'!$A$1:$S$1,0),0)</f>
        <v>-14</v>
      </c>
      <c r="H15" s="69">
        <f>VLOOKUP(H$4,'DB Services ISM'!$A:$S,MATCH($B15,'DB Services ISM'!$A$1:$S$1,0),0)</f>
        <v>-3</v>
      </c>
      <c r="I15" s="69">
        <f>VLOOKUP(I$4,'DB Services ISM'!$A:$S,MATCH($B15,'DB Services ISM'!$A$1:$S$1,0),0)</f>
        <v>-2</v>
      </c>
      <c r="J15" s="69">
        <f>VLOOKUP(J$4,'DB Services ISM'!$A:$S,MATCH($B15,'DB Services ISM'!$A$1:$S$1,0),0)</f>
        <v>-3</v>
      </c>
      <c r="K15" s="69">
        <f>VLOOKUP(K$4,'DB Services ISM'!$A:$S,MATCH($B15,'DB Services ISM'!$A$1:$S$1,0),0)</f>
        <v>0</v>
      </c>
      <c r="L15" s="69">
        <f>VLOOKUP(L$4,'DB Services ISM'!$A:$S,MATCH($B15,'DB Services ISM'!$A$1:$S$1,0),0)</f>
        <v>7</v>
      </c>
      <c r="M15" s="69">
        <f>VLOOKUP(M$4,'DB Services ISM'!$A:$S,MATCH($B15,'DB Services ISM'!$A$1:$S$1,0),0)</f>
        <v>3</v>
      </c>
      <c r="N15" s="69">
        <f>VLOOKUP(N$4,'DB Services ISM'!$A:$S,MATCH($B15,'DB Services ISM'!$A$1:$S$1,0),0)</f>
        <v>4</v>
      </c>
      <c r="O15" s="69">
        <f>VLOOKUP(O$4,'DB Services ISM'!$A:$S,MATCH($B15,'DB Services ISM'!$A$1:$S$1,0),0)</f>
        <v>4</v>
      </c>
      <c r="P15" s="69">
        <f>VLOOKUP(P$4,'DB Services ISM'!$A:$S,MATCH($B15,'DB Services ISM'!$A$1:$S$1,0),0)</f>
        <v>1</v>
      </c>
      <c r="Q15" s="69">
        <f>VLOOKUP(Q$4,'DB Services ISM'!$A:$S,MATCH($B15,'DB Services ISM'!$A$1:$S$1,0),0)</f>
        <v>16</v>
      </c>
      <c r="R15" s="69">
        <f>VLOOKUP(R$4,'DB Services ISM'!$A:$S,MATCH($B15,'DB Services ISM'!$A$1:$S$1,0),0)</f>
        <v>6</v>
      </c>
      <c r="S15" s="69">
        <f>VLOOKUP(S$4,'DB Services ISM'!$A:$S,MATCH($B15,'DB Services ISM'!$A$1:$S$1,0),0)</f>
        <v>12</v>
      </c>
      <c r="T15" s="69">
        <f>VLOOKUP(T$4,'DB Services ISM'!$A:$S,MATCH($B15,'DB Services ISM'!$A$1:$S$1,0),0)</f>
        <v>8</v>
      </c>
      <c r="U15" s="69">
        <f>VLOOKUP(U$4,'DB Services ISM'!$A:$S,MATCH($B15,'DB Services ISM'!$A$1:$S$1,0),0)</f>
        <v>1</v>
      </c>
      <c r="V15" s="69">
        <f>VLOOKUP(V$4,'DB Services ISM'!$A:$S,MATCH($B15,'DB Services ISM'!$A$1:$S$1,0),0)</f>
        <v>12</v>
      </c>
      <c r="W15" s="69">
        <f>VLOOKUP(W$4,'DB Services ISM'!$A:$S,MATCH($B15,'DB Services ISM'!$A$1:$S$1,0),0)</f>
        <v>9</v>
      </c>
      <c r="X15" s="69">
        <f>VLOOKUP(X$4,'DB Services ISM'!$A:$S,MATCH($B15,'DB Services ISM'!$A$1:$S$1,0),0)</f>
        <v>1</v>
      </c>
      <c r="Y15" s="69">
        <f>VLOOKUP(Y$4,'DB Services ISM'!$A:$S,MATCH($B15,'DB Services ISM'!$A$1:$S$1,0),0)</f>
        <v>11</v>
      </c>
      <c r="Z15" s="69">
        <f>VLOOKUP(Z$4,'DB Services ISM'!$A:$S,MATCH($B15,'DB Services ISM'!$A$1:$S$1,0),0)</f>
        <v>17</v>
      </c>
      <c r="AA15" s="69">
        <f>VLOOKUP(AA$4,'DB Services ISM'!$A:$S,MATCH($B15,'DB Services ISM'!$A$1:$S$1,0),0)</f>
        <v>9</v>
      </c>
      <c r="AB15" s="69">
        <f>VLOOKUP(AB$4,'DB Services ISM'!$A:$S,MATCH($B15,'DB Services ISM'!$A$1:$S$1,0),0)</f>
        <v>10</v>
      </c>
      <c r="AC15" s="69">
        <f>VLOOKUP(AC$4,'DB Services ISM'!$A:$S,MATCH($B15,'DB Services ISM'!$A$1:$S$1,0),0)</f>
        <v>16</v>
      </c>
      <c r="AD15" s="69">
        <f>VLOOKUP(AD$4,'DB Services ISM'!$A:$S,MATCH($B15,'DB Services ISM'!$A$1:$S$1,0),0)</f>
        <v>17</v>
      </c>
      <c r="AE15" s="69">
        <f>VLOOKUP(AE$4,'DB Services ISM'!$A:$S,MATCH($B15,'DB Services ISM'!$A$1:$S$1,0),0)</f>
        <v>17</v>
      </c>
      <c r="AF15" s="69">
        <f>VLOOKUP(AF$4,'DB Services ISM'!$A:$S,MATCH($B15,'DB Services ISM'!$A$1:$S$1,0),0)</f>
        <v>17</v>
      </c>
      <c r="AG15" s="69">
        <f>VLOOKUP(AG$4,'DB Services ISM'!$A:$S,MATCH($B15,'DB Services ISM'!$A$1:$S$1,0),0)</f>
        <v>16</v>
      </c>
      <c r="AH15" s="69">
        <f>VLOOKUP(AH$4,'DB Services ISM'!$A:$S,MATCH($B15,'DB Services ISM'!$A$1:$S$1,0),0)</f>
        <v>17</v>
      </c>
      <c r="AI15" s="69">
        <f>VLOOKUP(AI$4,'DB Services ISM'!$A:$S,MATCH($B15,'DB Services ISM'!$A$1:$S$1,0),0)</f>
        <v>6</v>
      </c>
      <c r="AJ15" s="69">
        <f>VLOOKUP(AJ$4,'DB Services ISM'!$A:$S,MATCH($B15,'DB Services ISM'!$A$1:$S$1,0),0)</f>
        <v>13</v>
      </c>
      <c r="AK15" s="69">
        <f>VLOOKUP(AK$4,'DB Services ISM'!$A:$S,MATCH($B15,'DB Services ISM'!$A$1:$S$1,0),0)</f>
        <v>4</v>
      </c>
      <c r="AL15" s="69">
        <f>VLOOKUP(AL$4,'DB Services ISM'!$A:$S,MATCH($B15,'DB Services ISM'!$A$1:$S$1,0),0)</f>
        <v>0</v>
      </c>
      <c r="AM15" s="69">
        <f>VLOOKUP(AM$4,'DB Services ISM'!$A:$S,MATCH($B15,'DB Services ISM'!$A$1:$S$1,0),0)</f>
        <v>0</v>
      </c>
      <c r="AN15" s="30"/>
      <c r="AO15" s="19">
        <f t="shared" si="0"/>
        <v>0</v>
      </c>
      <c r="AP15" s="31">
        <f t="shared" si="1"/>
        <v>1.3333333333333333</v>
      </c>
      <c r="AQ15" s="31">
        <f t="shared" si="2"/>
        <v>6.666666666666667</v>
      </c>
    </row>
    <row r="16" spans="2:43" x14ac:dyDescent="0.35">
      <c r="B16" s="2" t="s">
        <v>37</v>
      </c>
      <c r="C16" s="69">
        <f>VLOOKUP(C$4,'DB Services ISM'!$A:$S,MATCH($B16,'DB Services ISM'!$A$1:$S$1,0),0)</f>
        <v>4</v>
      </c>
      <c r="D16" s="69">
        <f>VLOOKUP(D$4,'DB Services ISM'!$A:$S,MATCH($B16,'DB Services ISM'!$A$1:$S$1,0),0)</f>
        <v>10</v>
      </c>
      <c r="E16" s="69">
        <f>VLOOKUP(E$4,'DB Services ISM'!$A:$S,MATCH($B16,'DB Services ISM'!$A$1:$S$1,0),0)</f>
        <v>4</v>
      </c>
      <c r="F16" s="69">
        <f>VLOOKUP(F$4,'DB Services ISM'!$A:$S,MATCH($B16,'DB Services ISM'!$A$1:$S$1,0),0)</f>
        <v>-11</v>
      </c>
      <c r="G16" s="69">
        <f>VLOOKUP(G$4,'DB Services ISM'!$A:$S,MATCH($B16,'DB Services ISM'!$A$1:$S$1,0),0)</f>
        <v>-11</v>
      </c>
      <c r="H16" s="69">
        <f>VLOOKUP(H$4,'DB Services ISM'!$A:$S,MATCH($B16,'DB Services ISM'!$A$1:$S$1,0),0)</f>
        <v>9</v>
      </c>
      <c r="I16" s="69">
        <f>VLOOKUP(I$4,'DB Services ISM'!$A:$S,MATCH($B16,'DB Services ISM'!$A$1:$S$1,0),0)</f>
        <v>9</v>
      </c>
      <c r="J16" s="69">
        <f>VLOOKUP(J$4,'DB Services ISM'!$A:$S,MATCH($B16,'DB Services ISM'!$A$1:$S$1,0),0)</f>
        <v>9</v>
      </c>
      <c r="K16" s="69">
        <f>VLOOKUP(K$4,'DB Services ISM'!$A:$S,MATCH($B16,'DB Services ISM'!$A$1:$S$1,0),0)</f>
        <v>8</v>
      </c>
      <c r="L16" s="69">
        <f>VLOOKUP(L$4,'DB Services ISM'!$A:$S,MATCH($B16,'DB Services ISM'!$A$1:$S$1,0),0)</f>
        <v>15</v>
      </c>
      <c r="M16" s="69">
        <f>VLOOKUP(M$4,'DB Services ISM'!$A:$S,MATCH($B16,'DB Services ISM'!$A$1:$S$1,0),0)</f>
        <v>9</v>
      </c>
      <c r="N16" s="69">
        <f>VLOOKUP(N$4,'DB Services ISM'!$A:$S,MATCH($B16,'DB Services ISM'!$A$1:$S$1,0),0)</f>
        <v>2</v>
      </c>
      <c r="O16" s="69">
        <f>VLOOKUP(O$4,'DB Services ISM'!$A:$S,MATCH($B16,'DB Services ISM'!$A$1:$S$1,0),0)</f>
        <v>13</v>
      </c>
      <c r="P16" s="69">
        <f>VLOOKUP(P$4,'DB Services ISM'!$A:$S,MATCH($B16,'DB Services ISM'!$A$1:$S$1,0),0)</f>
        <v>14</v>
      </c>
      <c r="Q16" s="69">
        <f>VLOOKUP(Q$4,'DB Services ISM'!$A:$S,MATCH($B16,'DB Services ISM'!$A$1:$S$1,0),0)</f>
        <v>14</v>
      </c>
      <c r="R16" s="69">
        <f>VLOOKUP(R$4,'DB Services ISM'!$A:$S,MATCH($B16,'DB Services ISM'!$A$1:$S$1,0),0)</f>
        <v>14</v>
      </c>
      <c r="S16" s="69">
        <f>VLOOKUP(S$4,'DB Services ISM'!$A:$S,MATCH($B16,'DB Services ISM'!$A$1:$S$1,0),0)</f>
        <v>16</v>
      </c>
      <c r="T16" s="69">
        <f>VLOOKUP(T$4,'DB Services ISM'!$A:$S,MATCH($B16,'DB Services ISM'!$A$1:$S$1,0),0)</f>
        <v>7</v>
      </c>
      <c r="U16" s="69">
        <f>VLOOKUP(U$4,'DB Services ISM'!$A:$S,MATCH($B16,'DB Services ISM'!$A$1:$S$1,0),0)</f>
        <v>7</v>
      </c>
      <c r="V16" s="69">
        <f>VLOOKUP(V$4,'DB Services ISM'!$A:$S,MATCH($B16,'DB Services ISM'!$A$1:$S$1,0),0)</f>
        <v>15</v>
      </c>
      <c r="W16" s="69">
        <f>VLOOKUP(W$4,'DB Services ISM'!$A:$S,MATCH($B16,'DB Services ISM'!$A$1:$S$1,0),0)</f>
        <v>10</v>
      </c>
      <c r="X16" s="69">
        <f>VLOOKUP(X$4,'DB Services ISM'!$A:$S,MATCH($B16,'DB Services ISM'!$A$1:$S$1,0),0)</f>
        <v>12</v>
      </c>
      <c r="Y16" s="69">
        <f>VLOOKUP(Y$4,'DB Services ISM'!$A:$S,MATCH($B16,'DB Services ISM'!$A$1:$S$1,0),0)</f>
        <v>9</v>
      </c>
      <c r="Z16" s="69">
        <f>VLOOKUP(Z$4,'DB Services ISM'!$A:$S,MATCH($B16,'DB Services ISM'!$A$1:$S$1,0),0)</f>
        <v>11</v>
      </c>
      <c r="AA16" s="69">
        <f>VLOOKUP(AA$4,'DB Services ISM'!$A:$S,MATCH($B16,'DB Services ISM'!$A$1:$S$1,0),0)</f>
        <v>16</v>
      </c>
      <c r="AB16" s="69">
        <f>VLOOKUP(AB$4,'DB Services ISM'!$A:$S,MATCH($B16,'DB Services ISM'!$A$1:$S$1,0),0)</f>
        <v>18</v>
      </c>
      <c r="AC16" s="69">
        <f>VLOOKUP(AC$4,'DB Services ISM'!$A:$S,MATCH($B16,'DB Services ISM'!$A$1:$S$1,0),0)</f>
        <v>18</v>
      </c>
      <c r="AD16" s="69">
        <f>VLOOKUP(AD$4,'DB Services ISM'!$A:$S,MATCH($B16,'DB Services ISM'!$A$1:$S$1,0),0)</f>
        <v>14</v>
      </c>
      <c r="AE16" s="69">
        <f>VLOOKUP(AE$4,'DB Services ISM'!$A:$S,MATCH($B16,'DB Services ISM'!$A$1:$S$1,0),0)</f>
        <v>16</v>
      </c>
      <c r="AF16" s="69">
        <f>VLOOKUP(AF$4,'DB Services ISM'!$A:$S,MATCH($B16,'DB Services ISM'!$A$1:$S$1,0),0)</f>
        <v>6</v>
      </c>
      <c r="AG16" s="69">
        <f>VLOOKUP(AG$4,'DB Services ISM'!$A:$S,MATCH($B16,'DB Services ISM'!$A$1:$S$1,0),0)</f>
        <v>5</v>
      </c>
      <c r="AH16" s="69">
        <f>VLOOKUP(AH$4,'DB Services ISM'!$A:$S,MATCH($B16,'DB Services ISM'!$A$1:$S$1,0),0)</f>
        <v>4</v>
      </c>
      <c r="AI16" s="69">
        <f>VLOOKUP(AI$4,'DB Services ISM'!$A:$S,MATCH($B16,'DB Services ISM'!$A$1:$S$1,0),0)</f>
        <v>8</v>
      </c>
      <c r="AJ16" s="69">
        <f>VLOOKUP(AJ$4,'DB Services ISM'!$A:$S,MATCH($B16,'DB Services ISM'!$A$1:$S$1,0),0)</f>
        <v>11</v>
      </c>
      <c r="AK16" s="69">
        <f>VLOOKUP(AK$4,'DB Services ISM'!$A:$S,MATCH($B16,'DB Services ISM'!$A$1:$S$1,0),0)</f>
        <v>-1</v>
      </c>
      <c r="AL16" s="69">
        <f>VLOOKUP(AL$4,'DB Services ISM'!$A:$S,MATCH($B16,'DB Services ISM'!$A$1:$S$1,0),0)</f>
        <v>2</v>
      </c>
      <c r="AM16" s="69">
        <f>VLOOKUP(AM$4,'DB Services ISM'!$A:$S,MATCH($B16,'DB Services ISM'!$A$1:$S$1,0),0)</f>
        <v>-1</v>
      </c>
      <c r="AN16" s="30"/>
      <c r="AO16" s="19">
        <f t="shared" si="0"/>
        <v>-3</v>
      </c>
      <c r="AP16" s="31">
        <f t="shared" si="1"/>
        <v>0</v>
      </c>
      <c r="AQ16" s="31">
        <f t="shared" si="2"/>
        <v>3.8333333333333335</v>
      </c>
    </row>
    <row r="17" spans="2:46" x14ac:dyDescent="0.35">
      <c r="B17" s="2" t="s">
        <v>38</v>
      </c>
      <c r="C17" s="69">
        <f>VLOOKUP(C$4,'DB Services ISM'!$A:$S,MATCH($B17,'DB Services ISM'!$A$1:$S$1,0),0)</f>
        <v>-5</v>
      </c>
      <c r="D17" s="69">
        <f>VLOOKUP(D$4,'DB Services ISM'!$A:$S,MATCH($B17,'DB Services ISM'!$A$1:$S$1,0),0)</f>
        <v>7</v>
      </c>
      <c r="E17" s="69">
        <f>VLOOKUP(E$4,'DB Services ISM'!$A:$S,MATCH($B17,'DB Services ISM'!$A$1:$S$1,0),0)</f>
        <v>2</v>
      </c>
      <c r="F17" s="69">
        <f>VLOOKUP(F$4,'DB Services ISM'!$A:$S,MATCH($B17,'DB Services ISM'!$A$1:$S$1,0),0)</f>
        <v>-12</v>
      </c>
      <c r="G17" s="69">
        <f>VLOOKUP(G$4,'DB Services ISM'!$A:$S,MATCH($B17,'DB Services ISM'!$A$1:$S$1,0),0)</f>
        <v>-7</v>
      </c>
      <c r="H17" s="69">
        <f>VLOOKUP(H$4,'DB Services ISM'!$A:$S,MATCH($B17,'DB Services ISM'!$A$1:$S$1,0),0)</f>
        <v>12</v>
      </c>
      <c r="I17" s="69">
        <f>VLOOKUP(I$4,'DB Services ISM'!$A:$S,MATCH($B17,'DB Services ISM'!$A$1:$S$1,0),0)</f>
        <v>11</v>
      </c>
      <c r="J17" s="69">
        <f>VLOOKUP(J$4,'DB Services ISM'!$A:$S,MATCH($B17,'DB Services ISM'!$A$1:$S$1,0),0)</f>
        <v>10</v>
      </c>
      <c r="K17" s="69">
        <f>VLOOKUP(K$4,'DB Services ISM'!$A:$S,MATCH($B17,'DB Services ISM'!$A$1:$S$1,0),0)</f>
        <v>11</v>
      </c>
      <c r="L17" s="69">
        <f>VLOOKUP(L$4,'DB Services ISM'!$A:$S,MATCH($B17,'DB Services ISM'!$A$1:$S$1,0),0)</f>
        <v>8</v>
      </c>
      <c r="M17" s="69">
        <f>VLOOKUP(M$4,'DB Services ISM'!$A:$S,MATCH($B17,'DB Services ISM'!$A$1:$S$1,0),0)</f>
        <v>7</v>
      </c>
      <c r="N17" s="69">
        <f>VLOOKUP(N$4,'DB Services ISM'!$A:$S,MATCH($B17,'DB Services ISM'!$A$1:$S$1,0),0)</f>
        <v>13</v>
      </c>
      <c r="O17" s="69">
        <f>VLOOKUP(O$4,'DB Services ISM'!$A:$S,MATCH($B17,'DB Services ISM'!$A$1:$S$1,0),0)</f>
        <v>12</v>
      </c>
      <c r="P17" s="69">
        <f>VLOOKUP(P$4,'DB Services ISM'!$A:$S,MATCH($B17,'DB Services ISM'!$A$1:$S$1,0),0)</f>
        <v>16</v>
      </c>
      <c r="Q17" s="69">
        <f>VLOOKUP(Q$4,'DB Services ISM'!$A:$S,MATCH($B17,'DB Services ISM'!$A$1:$S$1,0),0)</f>
        <v>17</v>
      </c>
      <c r="R17" s="69">
        <f>VLOOKUP(R$4,'DB Services ISM'!$A:$S,MATCH($B17,'DB Services ISM'!$A$1:$S$1,0),0)</f>
        <v>16</v>
      </c>
      <c r="S17" s="69">
        <f>VLOOKUP(S$4,'DB Services ISM'!$A:$S,MATCH($B17,'DB Services ISM'!$A$1:$S$1,0),0)</f>
        <v>17</v>
      </c>
      <c r="T17" s="69">
        <f>VLOOKUP(T$4,'DB Services ISM'!$A:$S,MATCH($B17,'DB Services ISM'!$A$1:$S$1,0),0)</f>
        <v>13</v>
      </c>
      <c r="U17" s="69">
        <f>VLOOKUP(U$4,'DB Services ISM'!$A:$S,MATCH($B17,'DB Services ISM'!$A$1:$S$1,0),0)</f>
        <v>16</v>
      </c>
      <c r="V17" s="69">
        <f>VLOOKUP(V$4,'DB Services ISM'!$A:$S,MATCH($B17,'DB Services ISM'!$A$1:$S$1,0),0)</f>
        <v>6</v>
      </c>
      <c r="W17" s="69">
        <f>VLOOKUP(W$4,'DB Services ISM'!$A:$S,MATCH($B17,'DB Services ISM'!$A$1:$S$1,0),0)</f>
        <v>2</v>
      </c>
      <c r="X17" s="69">
        <f>VLOOKUP(X$4,'DB Services ISM'!$A:$S,MATCH($B17,'DB Services ISM'!$A$1:$S$1,0),0)</f>
        <v>9</v>
      </c>
      <c r="Y17" s="69">
        <f>VLOOKUP(Y$4,'DB Services ISM'!$A:$S,MATCH($B17,'DB Services ISM'!$A$1:$S$1,0),0)</f>
        <v>12</v>
      </c>
      <c r="Z17" s="69">
        <f>VLOOKUP(Z$4,'DB Services ISM'!$A:$S,MATCH($B17,'DB Services ISM'!$A$1:$S$1,0),0)</f>
        <v>14</v>
      </c>
      <c r="AA17" s="69">
        <f>VLOOKUP(AA$4,'DB Services ISM'!$A:$S,MATCH($B17,'DB Services ISM'!$A$1:$S$1,0),0)</f>
        <v>11</v>
      </c>
      <c r="AB17" s="69">
        <f>VLOOKUP(AB$4,'DB Services ISM'!$A:$S,MATCH($B17,'DB Services ISM'!$A$1:$S$1,0),0)</f>
        <v>17</v>
      </c>
      <c r="AC17" s="69">
        <f>VLOOKUP(AC$4,'DB Services ISM'!$A:$S,MATCH($B17,'DB Services ISM'!$A$1:$S$1,0),0)</f>
        <v>10</v>
      </c>
      <c r="AD17" s="69">
        <f>VLOOKUP(AD$4,'DB Services ISM'!$A:$S,MATCH($B17,'DB Services ISM'!$A$1:$S$1,0),0)</f>
        <v>15</v>
      </c>
      <c r="AE17" s="69">
        <f>VLOOKUP(AE$4,'DB Services ISM'!$A:$S,MATCH($B17,'DB Services ISM'!$A$1:$S$1,0),0)</f>
        <v>11</v>
      </c>
      <c r="AF17" s="69">
        <f>VLOOKUP(AF$4,'DB Services ISM'!$A:$S,MATCH($B17,'DB Services ISM'!$A$1:$S$1,0),0)</f>
        <v>11</v>
      </c>
      <c r="AG17" s="69">
        <f>VLOOKUP(AG$4,'DB Services ISM'!$A:$S,MATCH($B17,'DB Services ISM'!$A$1:$S$1,0),0)</f>
        <v>1</v>
      </c>
      <c r="AH17" s="69">
        <f>VLOOKUP(AH$4,'DB Services ISM'!$A:$S,MATCH($B17,'DB Services ISM'!$A$1:$S$1,0),0)</f>
        <v>2</v>
      </c>
      <c r="AI17" s="69">
        <f>VLOOKUP(AI$4,'DB Services ISM'!$A:$S,MATCH($B17,'DB Services ISM'!$A$1:$S$1,0),0)</f>
        <v>2</v>
      </c>
      <c r="AJ17" s="69">
        <f>VLOOKUP(AJ$4,'DB Services ISM'!$A:$S,MATCH($B17,'DB Services ISM'!$A$1:$S$1,0),0)</f>
        <v>-1</v>
      </c>
      <c r="AK17" s="69">
        <f>VLOOKUP(AK$4,'DB Services ISM'!$A:$S,MATCH($B17,'DB Services ISM'!$A$1:$S$1,0),0)</f>
        <v>-2</v>
      </c>
      <c r="AL17" s="69">
        <f>VLOOKUP(AL$4,'DB Services ISM'!$A:$S,MATCH($B17,'DB Services ISM'!$A$1:$S$1,0),0)</f>
        <v>1</v>
      </c>
      <c r="AM17" s="69">
        <f>VLOOKUP(AM$4,'DB Services ISM'!$A:$S,MATCH($B17,'DB Services ISM'!$A$1:$S$1,0),0)</f>
        <v>1</v>
      </c>
      <c r="AN17" s="30"/>
      <c r="AO17" s="19">
        <f t="shared" si="0"/>
        <v>0</v>
      </c>
      <c r="AP17" s="31">
        <f t="shared" si="1"/>
        <v>0</v>
      </c>
      <c r="AQ17" s="31">
        <f t="shared" si="2"/>
        <v>0.5</v>
      </c>
    </row>
    <row r="18" spans="2:46" x14ac:dyDescent="0.35">
      <c r="B18" s="2" t="s">
        <v>39</v>
      </c>
      <c r="C18" s="69">
        <f>VLOOKUP(C$4,'DB Services ISM'!$A:$S,MATCH($B18,'DB Services ISM'!$A$1:$S$1,0),0)</f>
        <v>3</v>
      </c>
      <c r="D18" s="69">
        <f>VLOOKUP(D$4,'DB Services ISM'!$A:$S,MATCH($B18,'DB Services ISM'!$A$1:$S$1,0),0)</f>
        <v>8</v>
      </c>
      <c r="E18" s="69">
        <f>VLOOKUP(E$4,'DB Services ISM'!$A:$S,MATCH($B18,'DB Services ISM'!$A$1:$S$1,0),0)</f>
        <v>7</v>
      </c>
      <c r="F18" s="69">
        <f>VLOOKUP(F$4,'DB Services ISM'!$A:$S,MATCH($B18,'DB Services ISM'!$A$1:$S$1,0),0)</f>
        <v>2</v>
      </c>
      <c r="G18" s="69">
        <f>VLOOKUP(G$4,'DB Services ISM'!$A:$S,MATCH($B18,'DB Services ISM'!$A$1:$S$1,0),0)</f>
        <v>2</v>
      </c>
      <c r="H18" s="69">
        <f>VLOOKUP(H$4,'DB Services ISM'!$A:$S,MATCH($B18,'DB Services ISM'!$A$1:$S$1,0),0)</f>
        <v>2</v>
      </c>
      <c r="I18" s="69">
        <f>VLOOKUP(I$4,'DB Services ISM'!$A:$S,MATCH($B18,'DB Services ISM'!$A$1:$S$1,0),0)</f>
        <v>7</v>
      </c>
      <c r="J18" s="69">
        <f>VLOOKUP(J$4,'DB Services ISM'!$A:$S,MATCH($B18,'DB Services ISM'!$A$1:$S$1,0),0)</f>
        <v>6</v>
      </c>
      <c r="K18" s="69">
        <f>VLOOKUP(K$4,'DB Services ISM'!$A:$S,MATCH($B18,'DB Services ISM'!$A$1:$S$1,0),0)</f>
        <v>7</v>
      </c>
      <c r="L18" s="69">
        <f>VLOOKUP(L$4,'DB Services ISM'!$A:$S,MATCH($B18,'DB Services ISM'!$A$1:$S$1,0),0)</f>
        <v>-1</v>
      </c>
      <c r="M18" s="69">
        <f>VLOOKUP(M$4,'DB Services ISM'!$A:$S,MATCH($B18,'DB Services ISM'!$A$1:$S$1,0),0)</f>
        <v>2</v>
      </c>
      <c r="N18" s="69">
        <f>VLOOKUP(N$4,'DB Services ISM'!$A:$S,MATCH($B18,'DB Services ISM'!$A$1:$S$1,0),0)</f>
        <v>3</v>
      </c>
      <c r="O18" s="69">
        <f>VLOOKUP(O$4,'DB Services ISM'!$A:$S,MATCH($B18,'DB Services ISM'!$A$1:$S$1,0),0)</f>
        <v>2</v>
      </c>
      <c r="P18" s="69">
        <f>VLOOKUP(P$4,'DB Services ISM'!$A:$S,MATCH($B18,'DB Services ISM'!$A$1:$S$1,0),0)</f>
        <v>12</v>
      </c>
      <c r="Q18" s="69">
        <f>VLOOKUP(Q$4,'DB Services ISM'!$A:$S,MATCH($B18,'DB Services ISM'!$A$1:$S$1,0),0)</f>
        <v>9</v>
      </c>
      <c r="R18" s="69">
        <f>VLOOKUP(R$4,'DB Services ISM'!$A:$S,MATCH($B18,'DB Services ISM'!$A$1:$S$1,0),0)</f>
        <v>11</v>
      </c>
      <c r="S18" s="69">
        <f>VLOOKUP(S$4,'DB Services ISM'!$A:$S,MATCH($B18,'DB Services ISM'!$A$1:$S$1,0),0)</f>
        <v>3</v>
      </c>
      <c r="T18" s="69">
        <f>VLOOKUP(T$4,'DB Services ISM'!$A:$S,MATCH($B18,'DB Services ISM'!$A$1:$S$1,0),0)</f>
        <v>5</v>
      </c>
      <c r="U18" s="69">
        <f>VLOOKUP(U$4,'DB Services ISM'!$A:$S,MATCH($B18,'DB Services ISM'!$A$1:$S$1,0),0)</f>
        <v>8</v>
      </c>
      <c r="V18" s="69">
        <f>VLOOKUP(V$4,'DB Services ISM'!$A:$S,MATCH($B18,'DB Services ISM'!$A$1:$S$1,0),0)</f>
        <v>9</v>
      </c>
      <c r="W18" s="69">
        <f>VLOOKUP(W$4,'DB Services ISM'!$A:$S,MATCH($B18,'DB Services ISM'!$A$1:$S$1,0),0)</f>
        <v>3</v>
      </c>
      <c r="X18" s="69">
        <f>VLOOKUP(X$4,'DB Services ISM'!$A:$S,MATCH($B18,'DB Services ISM'!$A$1:$S$1,0),0)</f>
        <v>2</v>
      </c>
      <c r="Y18" s="69">
        <f>VLOOKUP(Y$4,'DB Services ISM'!$A:$S,MATCH($B18,'DB Services ISM'!$A$1:$S$1,0),0)</f>
        <v>10</v>
      </c>
      <c r="Z18" s="69">
        <f>VLOOKUP(Z$4,'DB Services ISM'!$A:$S,MATCH($B18,'DB Services ISM'!$A$1:$S$1,0),0)</f>
        <v>7</v>
      </c>
      <c r="AA18" s="69">
        <f>VLOOKUP(AA$4,'DB Services ISM'!$A:$S,MATCH($B18,'DB Services ISM'!$A$1:$S$1,0),0)</f>
        <v>7</v>
      </c>
      <c r="AB18" s="69">
        <f>VLOOKUP(AB$4,'DB Services ISM'!$A:$S,MATCH($B18,'DB Services ISM'!$A$1:$S$1,0),0)</f>
        <v>13</v>
      </c>
      <c r="AC18" s="69">
        <f>VLOOKUP(AC$4,'DB Services ISM'!$A:$S,MATCH($B18,'DB Services ISM'!$A$1:$S$1,0),0)</f>
        <v>7</v>
      </c>
      <c r="AD18" s="69">
        <f>VLOOKUP(AD$4,'DB Services ISM'!$A:$S,MATCH($B18,'DB Services ISM'!$A$1:$S$1,0),0)</f>
        <v>9</v>
      </c>
      <c r="AE18" s="69">
        <f>VLOOKUP(AE$4,'DB Services ISM'!$A:$S,MATCH($B18,'DB Services ISM'!$A$1:$S$1,0),0)</f>
        <v>9</v>
      </c>
      <c r="AF18" s="69">
        <f>VLOOKUP(AF$4,'DB Services ISM'!$A:$S,MATCH($B18,'DB Services ISM'!$A$1:$S$1,0),0)</f>
        <v>15</v>
      </c>
      <c r="AG18" s="69">
        <f>VLOOKUP(AG$4,'DB Services ISM'!$A:$S,MATCH($B18,'DB Services ISM'!$A$1:$S$1,0),0)</f>
        <v>15</v>
      </c>
      <c r="AH18" s="69">
        <f>VLOOKUP(AH$4,'DB Services ISM'!$A:$S,MATCH($B18,'DB Services ISM'!$A$1:$S$1,0),0)</f>
        <v>11</v>
      </c>
      <c r="AI18" s="69">
        <f>VLOOKUP(AI$4,'DB Services ISM'!$A:$S,MATCH($B18,'DB Services ISM'!$A$1:$S$1,0),0)</f>
        <v>17</v>
      </c>
      <c r="AJ18" s="69">
        <f>VLOOKUP(AJ$4,'DB Services ISM'!$A:$S,MATCH($B18,'DB Services ISM'!$A$1:$S$1,0),0)</f>
        <v>7</v>
      </c>
      <c r="AK18" s="69">
        <f>VLOOKUP(AK$4,'DB Services ISM'!$A:$S,MATCH($B18,'DB Services ISM'!$A$1:$S$1,0),0)</f>
        <v>12</v>
      </c>
      <c r="AL18" s="69">
        <f>VLOOKUP(AL$4,'DB Services ISM'!$A:$S,MATCH($B18,'DB Services ISM'!$A$1:$S$1,0),0)</f>
        <v>15</v>
      </c>
      <c r="AM18" s="69">
        <f>VLOOKUP(AM$4,'DB Services ISM'!$A:$S,MATCH($B18,'DB Services ISM'!$A$1:$S$1,0),0)</f>
        <v>7</v>
      </c>
      <c r="AN18" s="30"/>
      <c r="AO18" s="19">
        <f t="shared" si="0"/>
        <v>-8</v>
      </c>
      <c r="AP18" s="31">
        <f t="shared" si="1"/>
        <v>11.333333333333334</v>
      </c>
      <c r="AQ18" s="31">
        <f t="shared" si="2"/>
        <v>11.5</v>
      </c>
      <c r="AT18" s="32"/>
    </row>
    <row r="19" spans="2:46" x14ac:dyDescent="0.35">
      <c r="B19" s="2" t="s">
        <v>40</v>
      </c>
      <c r="C19" s="69">
        <f>VLOOKUP(C$4,'DB Services ISM'!$A:$S,MATCH($B19,'DB Services ISM'!$A$1:$S$1,0),0)</f>
        <v>1</v>
      </c>
      <c r="D19" s="69">
        <f>VLOOKUP(D$4,'DB Services ISM'!$A:$S,MATCH($B19,'DB Services ISM'!$A$1:$S$1,0),0)</f>
        <v>4</v>
      </c>
      <c r="E19" s="69">
        <f>VLOOKUP(E$4,'DB Services ISM'!$A:$S,MATCH($B19,'DB Services ISM'!$A$1:$S$1,0),0)</f>
        <v>-5</v>
      </c>
      <c r="F19" s="69">
        <f>VLOOKUP(F$4,'DB Services ISM'!$A:$S,MATCH($B19,'DB Services ISM'!$A$1:$S$1,0),0)</f>
        <v>-8</v>
      </c>
      <c r="G19" s="69">
        <f>VLOOKUP(G$4,'DB Services ISM'!$A:$S,MATCH($B19,'DB Services ISM'!$A$1:$S$1,0),0)</f>
        <v>-9</v>
      </c>
      <c r="H19" s="69">
        <f>VLOOKUP(H$4,'DB Services ISM'!$A:$S,MATCH($B19,'DB Services ISM'!$A$1:$S$1,0),0)</f>
        <v>1</v>
      </c>
      <c r="I19" s="69">
        <f>VLOOKUP(I$4,'DB Services ISM'!$A:$S,MATCH($B19,'DB Services ISM'!$A$1:$S$1,0),0)</f>
        <v>-1</v>
      </c>
      <c r="J19" s="69">
        <f>VLOOKUP(J$4,'DB Services ISM'!$A:$S,MATCH($B19,'DB Services ISM'!$A$1:$S$1,0),0)</f>
        <v>1</v>
      </c>
      <c r="K19" s="69">
        <f>VLOOKUP(K$4,'DB Services ISM'!$A:$S,MATCH($B19,'DB Services ISM'!$A$1:$S$1,0),0)</f>
        <v>-1</v>
      </c>
      <c r="L19" s="69">
        <f>VLOOKUP(L$4,'DB Services ISM'!$A:$S,MATCH($B19,'DB Services ISM'!$A$1:$S$1,0),0)</f>
        <v>6</v>
      </c>
      <c r="M19" s="69">
        <f>VLOOKUP(M$4,'DB Services ISM'!$A:$S,MATCH($B19,'DB Services ISM'!$A$1:$S$1,0),0)</f>
        <v>6</v>
      </c>
      <c r="N19" s="69">
        <f>VLOOKUP(N$4,'DB Services ISM'!$A:$S,MATCH($B19,'DB Services ISM'!$A$1:$S$1,0),0)</f>
        <v>5</v>
      </c>
      <c r="O19" s="69">
        <f>VLOOKUP(O$4,'DB Services ISM'!$A:$S,MATCH($B19,'DB Services ISM'!$A$1:$S$1,0),0)</f>
        <v>3</v>
      </c>
      <c r="P19" s="69">
        <f>VLOOKUP(P$4,'DB Services ISM'!$A:$S,MATCH($B19,'DB Services ISM'!$A$1:$S$1,0),0)</f>
        <v>8</v>
      </c>
      <c r="Q19" s="69">
        <f>VLOOKUP(Q$4,'DB Services ISM'!$A:$S,MATCH($B19,'DB Services ISM'!$A$1:$S$1,0),0)</f>
        <v>5</v>
      </c>
      <c r="R19" s="69">
        <f>VLOOKUP(R$4,'DB Services ISM'!$A:$S,MATCH($B19,'DB Services ISM'!$A$1:$S$1,0),0)</f>
        <v>4</v>
      </c>
      <c r="S19" s="69">
        <f>VLOOKUP(S$4,'DB Services ISM'!$A:$S,MATCH($B19,'DB Services ISM'!$A$1:$S$1,0),0)</f>
        <v>2</v>
      </c>
      <c r="T19" s="69">
        <f>VLOOKUP(T$4,'DB Services ISM'!$A:$S,MATCH($B19,'DB Services ISM'!$A$1:$S$1,0),0)</f>
        <v>1</v>
      </c>
      <c r="U19" s="69">
        <f>VLOOKUP(U$4,'DB Services ISM'!$A:$S,MATCH($B19,'DB Services ISM'!$A$1:$S$1,0),0)</f>
        <v>4</v>
      </c>
      <c r="V19" s="69">
        <f>VLOOKUP(V$4,'DB Services ISM'!$A:$S,MATCH($B19,'DB Services ISM'!$A$1:$S$1,0),0)</f>
        <v>1</v>
      </c>
      <c r="W19" s="69">
        <f>VLOOKUP(W$4,'DB Services ISM'!$A:$S,MATCH($B19,'DB Services ISM'!$A$1:$S$1,0),0)</f>
        <v>8</v>
      </c>
      <c r="X19" s="69">
        <f>VLOOKUP(X$4,'DB Services ISM'!$A:$S,MATCH($B19,'DB Services ISM'!$A$1:$S$1,0),0)</f>
        <v>3</v>
      </c>
      <c r="Y19" s="69">
        <f>VLOOKUP(Y$4,'DB Services ISM'!$A:$S,MATCH($B19,'DB Services ISM'!$A$1:$S$1,0),0)</f>
        <v>5</v>
      </c>
      <c r="Z19" s="69">
        <f>VLOOKUP(Z$4,'DB Services ISM'!$A:$S,MATCH($B19,'DB Services ISM'!$A$1:$S$1,0),0)</f>
        <v>2</v>
      </c>
      <c r="AA19" s="69">
        <f>VLOOKUP(AA$4,'DB Services ISM'!$A:$S,MATCH($B19,'DB Services ISM'!$A$1:$S$1,0),0)</f>
        <v>8</v>
      </c>
      <c r="AB19" s="69">
        <f>VLOOKUP(AB$4,'DB Services ISM'!$A:$S,MATCH($B19,'DB Services ISM'!$A$1:$S$1,0),0)</f>
        <v>4</v>
      </c>
      <c r="AC19" s="69">
        <f>VLOOKUP(AC$4,'DB Services ISM'!$A:$S,MATCH($B19,'DB Services ISM'!$A$1:$S$1,0),0)</f>
        <v>4</v>
      </c>
      <c r="AD19" s="69">
        <f>VLOOKUP(AD$4,'DB Services ISM'!$A:$S,MATCH($B19,'DB Services ISM'!$A$1:$S$1,0),0)</f>
        <v>5</v>
      </c>
      <c r="AE19" s="69">
        <f>VLOOKUP(AE$4,'DB Services ISM'!$A:$S,MATCH($B19,'DB Services ISM'!$A$1:$S$1,0),0)</f>
        <v>4</v>
      </c>
      <c r="AF19" s="69">
        <f>VLOOKUP(AF$4,'DB Services ISM'!$A:$S,MATCH($B19,'DB Services ISM'!$A$1:$S$1,0),0)</f>
        <v>9</v>
      </c>
      <c r="AG19" s="69">
        <f>VLOOKUP(AG$4,'DB Services ISM'!$A:$S,MATCH($B19,'DB Services ISM'!$A$1:$S$1,0),0)</f>
        <v>8</v>
      </c>
      <c r="AH19" s="69">
        <f>VLOOKUP(AH$4,'DB Services ISM'!$A:$S,MATCH($B19,'DB Services ISM'!$A$1:$S$1,0),0)</f>
        <v>1</v>
      </c>
      <c r="AI19" s="69">
        <f>VLOOKUP(AI$4,'DB Services ISM'!$A:$S,MATCH($B19,'DB Services ISM'!$A$1:$S$1,0),0)</f>
        <v>5</v>
      </c>
      <c r="AJ19" s="69">
        <f>VLOOKUP(AJ$4,'DB Services ISM'!$A:$S,MATCH($B19,'DB Services ISM'!$A$1:$S$1,0),0)</f>
        <v>8</v>
      </c>
      <c r="AK19" s="69">
        <f>VLOOKUP(AK$4,'DB Services ISM'!$A:$S,MATCH($B19,'DB Services ISM'!$A$1:$S$1,0),0)</f>
        <v>6</v>
      </c>
      <c r="AL19" s="69">
        <f>VLOOKUP(AL$4,'DB Services ISM'!$A:$S,MATCH($B19,'DB Services ISM'!$A$1:$S$1,0),0)</f>
        <v>9</v>
      </c>
      <c r="AM19" s="69">
        <f>VLOOKUP(AM$4,'DB Services ISM'!$A:$S,MATCH($B19,'DB Services ISM'!$A$1:$S$1,0),0)</f>
        <v>6</v>
      </c>
      <c r="AN19" s="30"/>
      <c r="AO19" s="19">
        <f t="shared" si="0"/>
        <v>-3</v>
      </c>
      <c r="AP19" s="31">
        <f t="shared" si="1"/>
        <v>7</v>
      </c>
      <c r="AQ19" s="31">
        <f t="shared" si="2"/>
        <v>5.833333333333333</v>
      </c>
    </row>
    <row r="20" spans="2:46" x14ac:dyDescent="0.35">
      <c r="B20" s="2" t="s">
        <v>41</v>
      </c>
      <c r="C20" s="69">
        <f>VLOOKUP(C$4,'DB Services ISM'!$A:$S,MATCH($B20,'DB Services ISM'!$A$1:$S$1,0),0)</f>
        <v>12</v>
      </c>
      <c r="D20" s="69">
        <f>VLOOKUP(D$4,'DB Services ISM'!$A:$S,MATCH($B20,'DB Services ISM'!$A$1:$S$1,0),0)</f>
        <v>-1</v>
      </c>
      <c r="E20" s="69">
        <f>VLOOKUP(E$4,'DB Services ISM'!$A:$S,MATCH($B20,'DB Services ISM'!$A$1:$S$1,0),0)</f>
        <v>0</v>
      </c>
      <c r="F20" s="69">
        <f>VLOOKUP(F$4,'DB Services ISM'!$A:$S,MATCH($B20,'DB Services ISM'!$A$1:$S$1,0),0)</f>
        <v>-15</v>
      </c>
      <c r="G20" s="69">
        <f>VLOOKUP(G$4,'DB Services ISM'!$A:$S,MATCH($B20,'DB Services ISM'!$A$1:$S$1,0),0)</f>
        <v>4</v>
      </c>
      <c r="H20" s="69">
        <f>VLOOKUP(H$4,'DB Services ISM'!$A:$S,MATCH($B20,'DB Services ISM'!$A$1:$S$1,0),0)</f>
        <v>14</v>
      </c>
      <c r="I20" s="69">
        <f>VLOOKUP(I$4,'DB Services ISM'!$A:$S,MATCH($B20,'DB Services ISM'!$A$1:$S$1,0),0)</f>
        <v>3</v>
      </c>
      <c r="J20" s="69">
        <f>VLOOKUP(J$4,'DB Services ISM'!$A:$S,MATCH($B20,'DB Services ISM'!$A$1:$S$1,0),0)</f>
        <v>3</v>
      </c>
      <c r="K20" s="69">
        <f>VLOOKUP(K$4,'DB Services ISM'!$A:$S,MATCH($B20,'DB Services ISM'!$A$1:$S$1,0),0)</f>
        <v>5</v>
      </c>
      <c r="L20" s="69">
        <f>VLOOKUP(L$4,'DB Services ISM'!$A:$S,MATCH($B20,'DB Services ISM'!$A$1:$S$1,0),0)</f>
        <v>12</v>
      </c>
      <c r="M20" s="69">
        <f>VLOOKUP(M$4,'DB Services ISM'!$A:$S,MATCH($B20,'DB Services ISM'!$A$1:$S$1,0),0)</f>
        <v>4</v>
      </c>
      <c r="N20" s="69">
        <f>VLOOKUP(N$4,'DB Services ISM'!$A:$S,MATCH($B20,'DB Services ISM'!$A$1:$S$1,0),0)</f>
        <v>7</v>
      </c>
      <c r="O20" s="69">
        <f>VLOOKUP(O$4,'DB Services ISM'!$A:$S,MATCH($B20,'DB Services ISM'!$A$1:$S$1,0),0)</f>
        <v>7</v>
      </c>
      <c r="P20" s="69">
        <f>VLOOKUP(P$4,'DB Services ISM'!$A:$S,MATCH($B20,'DB Services ISM'!$A$1:$S$1,0),0)</f>
        <v>4</v>
      </c>
      <c r="Q20" s="69">
        <f>VLOOKUP(Q$4,'DB Services ISM'!$A:$S,MATCH($B20,'DB Services ISM'!$A$1:$S$1,0),0)</f>
        <v>13</v>
      </c>
      <c r="R20" s="69">
        <f>VLOOKUP(R$4,'DB Services ISM'!$A:$S,MATCH($B20,'DB Services ISM'!$A$1:$S$1,0),0)</f>
        <v>-1</v>
      </c>
      <c r="S20" s="69">
        <f>VLOOKUP(S$4,'DB Services ISM'!$A:$S,MATCH($B20,'DB Services ISM'!$A$1:$S$1,0),0)</f>
        <v>4</v>
      </c>
      <c r="T20" s="69">
        <f>VLOOKUP(T$4,'DB Services ISM'!$A:$S,MATCH($B20,'DB Services ISM'!$A$1:$S$1,0),0)</f>
        <v>-1</v>
      </c>
      <c r="U20" s="69">
        <f>VLOOKUP(U$4,'DB Services ISM'!$A:$S,MATCH($B20,'DB Services ISM'!$A$1:$S$1,0),0)</f>
        <v>0</v>
      </c>
      <c r="V20" s="69">
        <f>VLOOKUP(V$4,'DB Services ISM'!$A:$S,MATCH($B20,'DB Services ISM'!$A$1:$S$1,0),0)</f>
        <v>4</v>
      </c>
      <c r="W20" s="69">
        <f>VLOOKUP(W$4,'DB Services ISM'!$A:$S,MATCH($B20,'DB Services ISM'!$A$1:$S$1,0),0)</f>
        <v>-1</v>
      </c>
      <c r="X20" s="69">
        <f>VLOOKUP(X$4,'DB Services ISM'!$A:$S,MATCH($B20,'DB Services ISM'!$A$1:$S$1,0),0)</f>
        <v>6</v>
      </c>
      <c r="Y20" s="69">
        <f>VLOOKUP(Y$4,'DB Services ISM'!$A:$S,MATCH($B20,'DB Services ISM'!$A$1:$S$1,0),0)</f>
        <v>15</v>
      </c>
      <c r="Z20" s="69">
        <f>VLOOKUP(Z$4,'DB Services ISM'!$A:$S,MATCH($B20,'DB Services ISM'!$A$1:$S$1,0),0)</f>
        <v>1</v>
      </c>
      <c r="AA20" s="69">
        <f>VLOOKUP(AA$4,'DB Services ISM'!$A:$S,MATCH($B20,'DB Services ISM'!$A$1:$S$1,0),0)</f>
        <v>18</v>
      </c>
      <c r="AB20" s="69">
        <f>VLOOKUP(AB$4,'DB Services ISM'!$A:$S,MATCH($B20,'DB Services ISM'!$A$1:$S$1,0),0)</f>
        <v>12</v>
      </c>
      <c r="AC20" s="69">
        <f>VLOOKUP(AC$4,'DB Services ISM'!$A:$S,MATCH($B20,'DB Services ISM'!$A$1:$S$1,0),0)</f>
        <v>13</v>
      </c>
      <c r="AD20" s="69">
        <f>VLOOKUP(AD$4,'DB Services ISM'!$A:$S,MATCH($B20,'DB Services ISM'!$A$1:$S$1,0),0)</f>
        <v>1</v>
      </c>
      <c r="AE20" s="69">
        <f>VLOOKUP(AE$4,'DB Services ISM'!$A:$S,MATCH($B20,'DB Services ISM'!$A$1:$S$1,0),0)</f>
        <v>1</v>
      </c>
      <c r="AF20" s="69">
        <f>VLOOKUP(AF$4,'DB Services ISM'!$A:$S,MATCH($B20,'DB Services ISM'!$A$1:$S$1,0),0)</f>
        <v>1</v>
      </c>
      <c r="AG20" s="69">
        <f>VLOOKUP(AG$4,'DB Services ISM'!$A:$S,MATCH($B20,'DB Services ISM'!$A$1:$S$1,0),0)</f>
        <v>12</v>
      </c>
      <c r="AH20" s="69">
        <f>VLOOKUP(AH$4,'DB Services ISM'!$A:$S,MATCH($B20,'DB Services ISM'!$A$1:$S$1,0),0)</f>
        <v>9</v>
      </c>
      <c r="AI20" s="69">
        <f>VLOOKUP(AI$4,'DB Services ISM'!$A:$S,MATCH($B20,'DB Services ISM'!$A$1:$S$1,0),0)</f>
        <v>15</v>
      </c>
      <c r="AJ20" s="69">
        <f>VLOOKUP(AJ$4,'DB Services ISM'!$A:$S,MATCH($B20,'DB Services ISM'!$A$1:$S$1,0),0)</f>
        <v>3</v>
      </c>
      <c r="AK20" s="69">
        <f>VLOOKUP(AK$4,'DB Services ISM'!$A:$S,MATCH($B20,'DB Services ISM'!$A$1:$S$1,0),0)</f>
        <v>8</v>
      </c>
      <c r="AL20" s="69">
        <f>VLOOKUP(AL$4,'DB Services ISM'!$A:$S,MATCH($B20,'DB Services ISM'!$A$1:$S$1,0),0)</f>
        <v>7</v>
      </c>
      <c r="AM20" s="69">
        <f>VLOOKUP(AM$4,'DB Services ISM'!$A:$S,MATCH($B20,'DB Services ISM'!$A$1:$S$1,0),0)</f>
        <v>4</v>
      </c>
      <c r="AN20" s="30"/>
      <c r="AO20" s="19">
        <f t="shared" si="0"/>
        <v>-3</v>
      </c>
      <c r="AP20" s="31">
        <f t="shared" si="1"/>
        <v>6.333333333333333</v>
      </c>
      <c r="AQ20" s="31">
        <f t="shared" si="2"/>
        <v>7.666666666666667</v>
      </c>
    </row>
    <row r="21" spans="2:46" x14ac:dyDescent="0.35">
      <c r="B21" s="2" t="s">
        <v>42</v>
      </c>
      <c r="C21" s="69">
        <f>VLOOKUP(C$4,'DB Services ISM'!$A:$S,MATCH($B21,'DB Services ISM'!$A$1:$S$1,0),0)</f>
        <v>2</v>
      </c>
      <c r="D21" s="69">
        <f>VLOOKUP(D$4,'DB Services ISM'!$A:$S,MATCH($B21,'DB Services ISM'!$A$1:$S$1,0),0)</f>
        <v>2</v>
      </c>
      <c r="E21" s="69">
        <f>VLOOKUP(E$4,'DB Services ISM'!$A:$S,MATCH($B21,'DB Services ISM'!$A$1:$S$1,0),0)</f>
        <v>1</v>
      </c>
      <c r="F21" s="69">
        <f>VLOOKUP(F$4,'DB Services ISM'!$A:$S,MATCH($B21,'DB Services ISM'!$A$1:$S$1,0),0)</f>
        <v>-7</v>
      </c>
      <c r="G21" s="69">
        <f>VLOOKUP(G$4,'DB Services ISM'!$A:$S,MATCH($B21,'DB Services ISM'!$A$1:$S$1,0),0)</f>
        <v>1</v>
      </c>
      <c r="H21" s="69">
        <f>VLOOKUP(H$4,'DB Services ISM'!$A:$S,MATCH($B21,'DB Services ISM'!$A$1:$S$1,0),0)</f>
        <v>4</v>
      </c>
      <c r="I21" s="69">
        <f>VLOOKUP(I$4,'DB Services ISM'!$A:$S,MATCH($B21,'DB Services ISM'!$A$1:$S$1,0),0)</f>
        <v>1</v>
      </c>
      <c r="J21" s="69">
        <f>VLOOKUP(J$4,'DB Services ISM'!$A:$S,MATCH($B21,'DB Services ISM'!$A$1:$S$1,0),0)</f>
        <v>-2</v>
      </c>
      <c r="K21" s="69">
        <f>VLOOKUP(K$4,'DB Services ISM'!$A:$S,MATCH($B21,'DB Services ISM'!$A$1:$S$1,0),0)</f>
        <v>2</v>
      </c>
      <c r="L21" s="69">
        <f>VLOOKUP(L$4,'DB Services ISM'!$A:$S,MATCH($B21,'DB Services ISM'!$A$1:$S$1,0),0)</f>
        <v>2</v>
      </c>
      <c r="M21" s="69">
        <f>VLOOKUP(M$4,'DB Services ISM'!$A:$S,MATCH($B21,'DB Services ISM'!$A$1:$S$1,0),0)</f>
        <v>1</v>
      </c>
      <c r="N21" s="69">
        <f>VLOOKUP(N$4,'DB Services ISM'!$A:$S,MATCH($B21,'DB Services ISM'!$A$1:$S$1,0),0)</f>
        <v>6</v>
      </c>
      <c r="O21" s="69">
        <f>VLOOKUP(O$4,'DB Services ISM'!$A:$S,MATCH($B21,'DB Services ISM'!$A$1:$S$1,0),0)</f>
        <v>1</v>
      </c>
      <c r="P21" s="69">
        <f>VLOOKUP(P$4,'DB Services ISM'!$A:$S,MATCH($B21,'DB Services ISM'!$A$1:$S$1,0),0)</f>
        <v>5</v>
      </c>
      <c r="Q21" s="69">
        <f>VLOOKUP(Q$4,'DB Services ISM'!$A:$S,MATCH($B21,'DB Services ISM'!$A$1:$S$1,0),0)</f>
        <v>4</v>
      </c>
      <c r="R21" s="69">
        <f>VLOOKUP(R$4,'DB Services ISM'!$A:$S,MATCH($B21,'DB Services ISM'!$A$1:$S$1,0),0)</f>
        <v>2</v>
      </c>
      <c r="S21" s="69">
        <f>VLOOKUP(S$4,'DB Services ISM'!$A:$S,MATCH($B21,'DB Services ISM'!$A$1:$S$1,0),0)</f>
        <v>7</v>
      </c>
      <c r="T21" s="69">
        <f>VLOOKUP(T$4,'DB Services ISM'!$A:$S,MATCH($B21,'DB Services ISM'!$A$1:$S$1,0),0)</f>
        <v>4</v>
      </c>
      <c r="U21" s="69">
        <f>VLOOKUP(U$4,'DB Services ISM'!$A:$S,MATCH($B21,'DB Services ISM'!$A$1:$S$1,0),0)</f>
        <v>10</v>
      </c>
      <c r="V21" s="69">
        <f>VLOOKUP(V$4,'DB Services ISM'!$A:$S,MATCH($B21,'DB Services ISM'!$A$1:$S$1,0),0)</f>
        <v>13</v>
      </c>
      <c r="W21" s="69">
        <f>VLOOKUP(W$4,'DB Services ISM'!$A:$S,MATCH($B21,'DB Services ISM'!$A$1:$S$1,0),0)</f>
        <v>6</v>
      </c>
      <c r="X21" s="69">
        <f>VLOOKUP(X$4,'DB Services ISM'!$A:$S,MATCH($B21,'DB Services ISM'!$A$1:$S$1,0),0)</f>
        <v>11</v>
      </c>
      <c r="Y21" s="69">
        <f>VLOOKUP(Y$4,'DB Services ISM'!$A:$S,MATCH($B21,'DB Services ISM'!$A$1:$S$1,0),0)</f>
        <v>3</v>
      </c>
      <c r="Z21" s="69">
        <f>VLOOKUP(Z$4,'DB Services ISM'!$A:$S,MATCH($B21,'DB Services ISM'!$A$1:$S$1,0),0)</f>
        <v>9</v>
      </c>
      <c r="AA21" s="69">
        <f>VLOOKUP(AA$4,'DB Services ISM'!$A:$S,MATCH($B21,'DB Services ISM'!$A$1:$S$1,0),0)</f>
        <v>4</v>
      </c>
      <c r="AB21" s="69">
        <f>VLOOKUP(AB$4,'DB Services ISM'!$A:$S,MATCH($B21,'DB Services ISM'!$A$1:$S$1,0),0)</f>
        <v>8</v>
      </c>
      <c r="AC21" s="69">
        <f>VLOOKUP(AC$4,'DB Services ISM'!$A:$S,MATCH($B21,'DB Services ISM'!$A$1:$S$1,0),0)</f>
        <v>11</v>
      </c>
      <c r="AD21" s="69">
        <f>VLOOKUP(AD$4,'DB Services ISM'!$A:$S,MATCH($B21,'DB Services ISM'!$A$1:$S$1,0),0)</f>
        <v>7</v>
      </c>
      <c r="AE21" s="69">
        <f>VLOOKUP(AE$4,'DB Services ISM'!$A:$S,MATCH($B21,'DB Services ISM'!$A$1:$S$1,0),0)</f>
        <v>5</v>
      </c>
      <c r="AF21" s="69">
        <f>VLOOKUP(AF$4,'DB Services ISM'!$A:$S,MATCH($B21,'DB Services ISM'!$A$1:$S$1,0),0)</f>
        <v>10</v>
      </c>
      <c r="AG21" s="69">
        <f>VLOOKUP(AG$4,'DB Services ISM'!$A:$S,MATCH($B21,'DB Services ISM'!$A$1:$S$1,0),0)</f>
        <v>14</v>
      </c>
      <c r="AH21" s="69">
        <f>VLOOKUP(AH$4,'DB Services ISM'!$A:$S,MATCH($B21,'DB Services ISM'!$A$1:$S$1,0),0)</f>
        <v>5</v>
      </c>
      <c r="AI21" s="69">
        <f>VLOOKUP(AI$4,'DB Services ISM'!$A:$S,MATCH($B21,'DB Services ISM'!$A$1:$S$1,0),0)</f>
        <v>10</v>
      </c>
      <c r="AJ21" s="69">
        <f>VLOOKUP(AJ$4,'DB Services ISM'!$A:$S,MATCH($B21,'DB Services ISM'!$A$1:$S$1,0),0)</f>
        <v>16</v>
      </c>
      <c r="AK21" s="69">
        <f>VLOOKUP(AK$4,'DB Services ISM'!$A:$S,MATCH($B21,'DB Services ISM'!$A$1:$S$1,0),0)</f>
        <v>9</v>
      </c>
      <c r="AL21" s="69">
        <f>VLOOKUP(AL$4,'DB Services ISM'!$A:$S,MATCH($B21,'DB Services ISM'!$A$1:$S$1,0),0)</f>
        <v>14</v>
      </c>
      <c r="AM21" s="69">
        <f>VLOOKUP(AM$4,'DB Services ISM'!$A:$S,MATCH($B21,'DB Services ISM'!$A$1:$S$1,0),0)</f>
        <v>3</v>
      </c>
      <c r="AN21" s="30"/>
      <c r="AO21" s="19">
        <f t="shared" si="0"/>
        <v>-11</v>
      </c>
      <c r="AP21" s="31">
        <f t="shared" si="1"/>
        <v>8.6666666666666661</v>
      </c>
      <c r="AQ21" s="31">
        <f t="shared" si="2"/>
        <v>9.5</v>
      </c>
    </row>
    <row r="22" spans="2:46" x14ac:dyDescent="0.35">
      <c r="B22" s="2" t="s">
        <v>43</v>
      </c>
      <c r="C22" s="69">
        <f>VLOOKUP(C$4,'DB Services ISM'!$A:$S,MATCH($B22,'DB Services ISM'!$A$1:$S$1,0),0)</f>
        <v>9</v>
      </c>
      <c r="D22" s="69">
        <f>VLOOKUP(D$4,'DB Services ISM'!$A:$S,MATCH($B22,'DB Services ISM'!$A$1:$S$1,0),0)</f>
        <v>5</v>
      </c>
      <c r="E22" s="69">
        <f>VLOOKUP(E$4,'DB Services ISM'!$A:$S,MATCH($B22,'DB Services ISM'!$A$1:$S$1,0),0)</f>
        <v>-1</v>
      </c>
      <c r="F22" s="69">
        <f>VLOOKUP(F$4,'DB Services ISM'!$A:$S,MATCH($B22,'DB Services ISM'!$A$1:$S$1,0),0)</f>
        <v>-4</v>
      </c>
      <c r="G22" s="69">
        <f>VLOOKUP(G$4,'DB Services ISM'!$A:$S,MATCH($B22,'DB Services ISM'!$A$1:$S$1,0),0)</f>
        <v>-10</v>
      </c>
      <c r="H22" s="69">
        <f>VLOOKUP(H$4,'DB Services ISM'!$A:$S,MATCH($B22,'DB Services ISM'!$A$1:$S$1,0),0)</f>
        <v>0</v>
      </c>
      <c r="I22" s="69">
        <f>VLOOKUP(I$4,'DB Services ISM'!$A:$S,MATCH($B22,'DB Services ISM'!$A$1:$S$1,0),0)</f>
        <v>10</v>
      </c>
      <c r="J22" s="69">
        <f>VLOOKUP(J$4,'DB Services ISM'!$A:$S,MATCH($B22,'DB Services ISM'!$A$1:$S$1,0),0)</f>
        <v>4</v>
      </c>
      <c r="K22" s="69">
        <f>VLOOKUP(K$4,'DB Services ISM'!$A:$S,MATCH($B22,'DB Services ISM'!$A$1:$S$1,0),0)</f>
        <v>6</v>
      </c>
      <c r="L22" s="69">
        <f>VLOOKUP(L$4,'DB Services ISM'!$A:$S,MATCH($B22,'DB Services ISM'!$A$1:$S$1,0),0)</f>
        <v>11</v>
      </c>
      <c r="M22" s="69">
        <f>VLOOKUP(M$4,'DB Services ISM'!$A:$S,MATCH($B22,'DB Services ISM'!$A$1:$S$1,0),0)</f>
        <v>-1</v>
      </c>
      <c r="N22" s="69">
        <f>VLOOKUP(N$4,'DB Services ISM'!$A:$S,MATCH($B22,'DB Services ISM'!$A$1:$S$1,0),0)</f>
        <v>1</v>
      </c>
      <c r="O22" s="69">
        <f>VLOOKUP(O$4,'DB Services ISM'!$A:$S,MATCH($B22,'DB Services ISM'!$A$1:$S$1,0),0)</f>
        <v>-3</v>
      </c>
      <c r="P22" s="69">
        <f>VLOOKUP(P$4,'DB Services ISM'!$A:$S,MATCH($B22,'DB Services ISM'!$A$1:$S$1,0),0)</f>
        <v>3</v>
      </c>
      <c r="Q22" s="69">
        <f>VLOOKUP(Q$4,'DB Services ISM'!$A:$S,MATCH($B22,'DB Services ISM'!$A$1:$S$1,0),0)</f>
        <v>2</v>
      </c>
      <c r="R22" s="69">
        <f>VLOOKUP(R$4,'DB Services ISM'!$A:$S,MATCH($B22,'DB Services ISM'!$A$1:$S$1,0),0)</f>
        <v>3</v>
      </c>
      <c r="S22" s="69">
        <f>VLOOKUP(S$4,'DB Services ISM'!$A:$S,MATCH($B22,'DB Services ISM'!$A$1:$S$1,0),0)</f>
        <v>1</v>
      </c>
      <c r="T22" s="69">
        <f>VLOOKUP(T$4,'DB Services ISM'!$A:$S,MATCH($B22,'DB Services ISM'!$A$1:$S$1,0),0)</f>
        <v>2</v>
      </c>
      <c r="U22" s="69">
        <f>VLOOKUP(U$4,'DB Services ISM'!$A:$S,MATCH($B22,'DB Services ISM'!$A$1:$S$1,0),0)</f>
        <v>3</v>
      </c>
      <c r="V22" s="69">
        <f>VLOOKUP(V$4,'DB Services ISM'!$A:$S,MATCH($B22,'DB Services ISM'!$A$1:$S$1,0),0)</f>
        <v>14</v>
      </c>
      <c r="W22" s="69">
        <f>VLOOKUP(W$4,'DB Services ISM'!$A:$S,MATCH($B22,'DB Services ISM'!$A$1:$S$1,0),0)</f>
        <v>14</v>
      </c>
      <c r="X22" s="69">
        <f>VLOOKUP(X$4,'DB Services ISM'!$A:$S,MATCH($B22,'DB Services ISM'!$A$1:$S$1,0),0)</f>
        <v>10</v>
      </c>
      <c r="Y22" s="69">
        <f>VLOOKUP(Y$4,'DB Services ISM'!$A:$S,MATCH($B22,'DB Services ISM'!$A$1:$S$1,0),0)</f>
        <v>2</v>
      </c>
      <c r="Z22" s="69">
        <f>VLOOKUP(Z$4,'DB Services ISM'!$A:$S,MATCH($B22,'DB Services ISM'!$A$1:$S$1,0),0)</f>
        <v>10</v>
      </c>
      <c r="AA22" s="69">
        <f>VLOOKUP(AA$4,'DB Services ISM'!$A:$S,MATCH($B22,'DB Services ISM'!$A$1:$S$1,0),0)</f>
        <v>2</v>
      </c>
      <c r="AB22" s="69">
        <f>VLOOKUP(AB$4,'DB Services ISM'!$A:$S,MATCH($B22,'DB Services ISM'!$A$1:$S$1,0),0)</f>
        <v>15</v>
      </c>
      <c r="AC22" s="69">
        <f>VLOOKUP(AC$4,'DB Services ISM'!$A:$S,MATCH($B22,'DB Services ISM'!$A$1:$S$1,0),0)</f>
        <v>8</v>
      </c>
      <c r="AD22" s="69">
        <f>VLOOKUP(AD$4,'DB Services ISM'!$A:$S,MATCH($B22,'DB Services ISM'!$A$1:$S$1,0),0)</f>
        <v>11</v>
      </c>
      <c r="AE22" s="69">
        <f>VLOOKUP(AE$4,'DB Services ISM'!$A:$S,MATCH($B22,'DB Services ISM'!$A$1:$S$1,0),0)</f>
        <v>8</v>
      </c>
      <c r="AF22" s="69">
        <f>VLOOKUP(AF$4,'DB Services ISM'!$A:$S,MATCH($B22,'DB Services ISM'!$A$1:$S$1,0),0)</f>
        <v>12</v>
      </c>
      <c r="AG22" s="69">
        <f>VLOOKUP(AG$4,'DB Services ISM'!$A:$S,MATCH($B22,'DB Services ISM'!$A$1:$S$1,0),0)</f>
        <v>11</v>
      </c>
      <c r="AH22" s="69">
        <f>VLOOKUP(AH$4,'DB Services ISM'!$A:$S,MATCH($B22,'DB Services ISM'!$A$1:$S$1,0),0)</f>
        <v>8</v>
      </c>
      <c r="AI22" s="69">
        <f>VLOOKUP(AI$4,'DB Services ISM'!$A:$S,MATCH($B22,'DB Services ISM'!$A$1:$S$1,0),0)</f>
        <v>4</v>
      </c>
      <c r="AJ22" s="69">
        <f>VLOOKUP(AJ$4,'DB Services ISM'!$A:$S,MATCH($B22,'DB Services ISM'!$A$1:$S$1,0),0)</f>
        <v>9</v>
      </c>
      <c r="AK22" s="69">
        <f>VLOOKUP(AK$4,'DB Services ISM'!$A:$S,MATCH($B22,'DB Services ISM'!$A$1:$S$1,0),0)</f>
        <v>11</v>
      </c>
      <c r="AL22" s="69">
        <f>VLOOKUP(AL$4,'DB Services ISM'!$A:$S,MATCH($B22,'DB Services ISM'!$A$1:$S$1,0),0)</f>
        <v>5</v>
      </c>
      <c r="AM22" s="69">
        <f>VLOOKUP(AM$4,'DB Services ISM'!$A:$S,MATCH($B22,'DB Services ISM'!$A$1:$S$1,0),0)</f>
        <v>11</v>
      </c>
      <c r="AN22" s="30"/>
      <c r="AO22" s="19">
        <f t="shared" si="0"/>
        <v>6</v>
      </c>
      <c r="AP22" s="31">
        <f t="shared" si="1"/>
        <v>9</v>
      </c>
      <c r="AQ22" s="31">
        <f t="shared" si="2"/>
        <v>8</v>
      </c>
    </row>
    <row r="23" spans="2:46" x14ac:dyDescent="0.35">
      <c r="B23" s="3" t="s">
        <v>44</v>
      </c>
      <c r="C23" s="69">
        <f>VLOOKUP(C$4,'DB Services ISM'!$A:$S,MATCH($B23,'DB Services ISM'!$A$1:$S$1,0),0)</f>
        <v>11</v>
      </c>
      <c r="D23" s="69">
        <f>VLOOKUP(D$4,'DB Services ISM'!$A:$S,MATCH($B23,'DB Services ISM'!$A$1:$S$1,0),0)</f>
        <v>15</v>
      </c>
      <c r="E23" s="69">
        <f>VLOOKUP(E$4,'DB Services ISM'!$A:$S,MATCH($B23,'DB Services ISM'!$A$1:$S$1,0),0)</f>
        <v>3</v>
      </c>
      <c r="F23" s="69">
        <f>VLOOKUP(F$4,'DB Services ISM'!$A:$S,MATCH($B23,'DB Services ISM'!$A$1:$S$1,0),0)</f>
        <v>-5</v>
      </c>
      <c r="G23" s="69">
        <f>VLOOKUP(G$4,'DB Services ISM'!$A:$S,MATCH($B23,'DB Services ISM'!$A$1:$S$1,0),0)</f>
        <v>-5</v>
      </c>
      <c r="H23" s="69">
        <f>VLOOKUP(H$4,'DB Services ISM'!$A:$S,MATCH($B23,'DB Services ISM'!$A$1:$S$1,0),0)</f>
        <v>-1</v>
      </c>
      <c r="I23" s="69">
        <f>VLOOKUP(I$4,'DB Services ISM'!$A:$S,MATCH($B23,'DB Services ISM'!$A$1:$S$1,0),0)</f>
        <v>5</v>
      </c>
      <c r="J23" s="69">
        <f>VLOOKUP(J$4,'DB Services ISM'!$A:$S,MATCH($B23,'DB Services ISM'!$A$1:$S$1,0),0)</f>
        <v>7</v>
      </c>
      <c r="K23" s="69">
        <f>VLOOKUP(K$4,'DB Services ISM'!$A:$S,MATCH($B23,'DB Services ISM'!$A$1:$S$1,0),0)</f>
        <v>14</v>
      </c>
      <c r="L23" s="69">
        <f>VLOOKUP(L$4,'DB Services ISM'!$A:$S,MATCH($B23,'DB Services ISM'!$A$1:$S$1,0),0)</f>
        <v>9</v>
      </c>
      <c r="M23" s="69">
        <f>VLOOKUP(M$4,'DB Services ISM'!$A:$S,MATCH($B23,'DB Services ISM'!$A$1:$S$1,0),0)</f>
        <v>13</v>
      </c>
      <c r="N23" s="69">
        <f>VLOOKUP(N$4,'DB Services ISM'!$A:$S,MATCH($B23,'DB Services ISM'!$A$1:$S$1,0),0)</f>
        <v>14</v>
      </c>
      <c r="O23" s="69">
        <f>VLOOKUP(O$4,'DB Services ISM'!$A:$S,MATCH($B23,'DB Services ISM'!$A$1:$S$1,0),0)</f>
        <v>8</v>
      </c>
      <c r="P23" s="69">
        <f>VLOOKUP(P$4,'DB Services ISM'!$A:$S,MATCH($B23,'DB Services ISM'!$A$1:$S$1,0),0)</f>
        <v>6</v>
      </c>
      <c r="Q23" s="69">
        <f>VLOOKUP(Q$4,'DB Services ISM'!$A:$S,MATCH($B23,'DB Services ISM'!$A$1:$S$1,0),0)</f>
        <v>15</v>
      </c>
      <c r="R23" s="69">
        <f>VLOOKUP(R$4,'DB Services ISM'!$A:$S,MATCH($B23,'DB Services ISM'!$A$1:$S$1,0),0)</f>
        <v>15</v>
      </c>
      <c r="S23" s="69">
        <f>VLOOKUP(S$4,'DB Services ISM'!$A:$S,MATCH($B23,'DB Services ISM'!$A$1:$S$1,0),0)</f>
        <v>10</v>
      </c>
      <c r="T23" s="69">
        <f>VLOOKUP(T$4,'DB Services ISM'!$A:$S,MATCH($B23,'DB Services ISM'!$A$1:$S$1,0),0)</f>
        <v>11</v>
      </c>
      <c r="U23" s="69">
        <f>VLOOKUP(U$4,'DB Services ISM'!$A:$S,MATCH($B23,'DB Services ISM'!$A$1:$S$1,0),0)</f>
        <v>14</v>
      </c>
      <c r="V23" s="69">
        <f>VLOOKUP(V$4,'DB Services ISM'!$A:$S,MATCH($B23,'DB Services ISM'!$A$1:$S$1,0),0)</f>
        <v>5</v>
      </c>
      <c r="W23" s="69">
        <f>VLOOKUP(W$4,'DB Services ISM'!$A:$S,MATCH($B23,'DB Services ISM'!$A$1:$S$1,0),0)</f>
        <v>15</v>
      </c>
      <c r="X23" s="69">
        <f>VLOOKUP(X$4,'DB Services ISM'!$A:$S,MATCH($B23,'DB Services ISM'!$A$1:$S$1,0),0)</f>
        <v>5</v>
      </c>
      <c r="Y23" s="69">
        <f>VLOOKUP(Y$4,'DB Services ISM'!$A:$S,MATCH($B23,'DB Services ISM'!$A$1:$S$1,0),0)</f>
        <v>14</v>
      </c>
      <c r="Z23" s="69">
        <f>VLOOKUP(Z$4,'DB Services ISM'!$A:$S,MATCH($B23,'DB Services ISM'!$A$1:$S$1,0),0)</f>
        <v>16</v>
      </c>
      <c r="AA23" s="69">
        <f>VLOOKUP(AA$4,'DB Services ISM'!$A:$S,MATCH($B23,'DB Services ISM'!$A$1:$S$1,0),0)</f>
        <v>15</v>
      </c>
      <c r="AB23" s="69">
        <f>VLOOKUP(AB$4,'DB Services ISM'!$A:$S,MATCH($B23,'DB Services ISM'!$A$1:$S$1,0),0)</f>
        <v>16</v>
      </c>
      <c r="AC23" s="69">
        <f>VLOOKUP(AC$4,'DB Services ISM'!$A:$S,MATCH($B23,'DB Services ISM'!$A$1:$S$1,0),0)</f>
        <v>17</v>
      </c>
      <c r="AD23" s="69">
        <f>VLOOKUP(AD$4,'DB Services ISM'!$A:$S,MATCH($B23,'DB Services ISM'!$A$1:$S$1,0),0)</f>
        <v>12</v>
      </c>
      <c r="AE23" s="69">
        <f>VLOOKUP(AE$4,'DB Services ISM'!$A:$S,MATCH($B23,'DB Services ISM'!$A$1:$S$1,0),0)</f>
        <v>15</v>
      </c>
      <c r="AF23" s="69">
        <f>VLOOKUP(AF$4,'DB Services ISM'!$A:$S,MATCH($B23,'DB Services ISM'!$A$1:$S$1,0),0)</f>
        <v>3</v>
      </c>
      <c r="AG23" s="69">
        <f>VLOOKUP(AG$4,'DB Services ISM'!$A:$S,MATCH($B23,'DB Services ISM'!$A$1:$S$1,0),0)</f>
        <v>9</v>
      </c>
      <c r="AH23" s="69">
        <f>VLOOKUP(AH$4,'DB Services ISM'!$A:$S,MATCH($B23,'DB Services ISM'!$A$1:$S$1,0),0)</f>
        <v>6</v>
      </c>
      <c r="AI23" s="69">
        <f>VLOOKUP(AI$4,'DB Services ISM'!$A:$S,MATCH($B23,'DB Services ISM'!$A$1:$S$1,0),0)</f>
        <v>14</v>
      </c>
      <c r="AJ23" s="69">
        <f>VLOOKUP(AJ$4,'DB Services ISM'!$A:$S,MATCH($B23,'DB Services ISM'!$A$1:$S$1,0),0)</f>
        <v>6</v>
      </c>
      <c r="AK23" s="69">
        <f>VLOOKUP(AK$4,'DB Services ISM'!$A:$S,MATCH($B23,'DB Services ISM'!$A$1:$S$1,0),0)</f>
        <v>13</v>
      </c>
      <c r="AL23" s="69">
        <f>VLOOKUP(AL$4,'DB Services ISM'!$A:$S,MATCH($B23,'DB Services ISM'!$A$1:$S$1,0),0)</f>
        <v>12</v>
      </c>
      <c r="AM23" s="69">
        <f>VLOOKUP(AM$4,'DB Services ISM'!$A:$S,MATCH($B23,'DB Services ISM'!$A$1:$S$1,0),0)</f>
        <v>14</v>
      </c>
      <c r="AN23" s="30"/>
      <c r="AO23" s="19">
        <f t="shared" si="0"/>
        <v>2</v>
      </c>
      <c r="AP23" s="31">
        <f t="shared" si="1"/>
        <v>13</v>
      </c>
      <c r="AQ23" s="31">
        <f t="shared" si="2"/>
        <v>10.833333333333334</v>
      </c>
    </row>
    <row r="24" spans="2:46" x14ac:dyDescent="0.35">
      <c r="B24" s="30"/>
      <c r="C24" s="33">
        <v>1</v>
      </c>
      <c r="D24" s="33">
        <v>2</v>
      </c>
      <c r="E24" s="33">
        <v>3</v>
      </c>
      <c r="F24" s="33">
        <v>4</v>
      </c>
      <c r="G24" s="33">
        <v>5</v>
      </c>
      <c r="H24" s="33">
        <v>6</v>
      </c>
      <c r="I24" s="33">
        <v>7</v>
      </c>
      <c r="J24" s="33">
        <v>8</v>
      </c>
      <c r="K24" s="33">
        <v>9</v>
      </c>
      <c r="L24" s="33">
        <v>10</v>
      </c>
      <c r="M24" s="33">
        <v>11</v>
      </c>
      <c r="N24" s="33">
        <v>12</v>
      </c>
      <c r="O24" s="33">
        <v>13</v>
      </c>
      <c r="P24" s="33">
        <v>14</v>
      </c>
      <c r="Q24" s="33">
        <v>15</v>
      </c>
      <c r="R24" s="33">
        <v>16</v>
      </c>
      <c r="S24" s="33">
        <v>17</v>
      </c>
      <c r="T24" s="33">
        <v>18</v>
      </c>
      <c r="U24" s="33">
        <v>19</v>
      </c>
      <c r="V24" s="33">
        <v>20</v>
      </c>
      <c r="W24" s="33">
        <v>21</v>
      </c>
      <c r="X24" s="33">
        <v>22</v>
      </c>
      <c r="Y24" s="33">
        <v>23</v>
      </c>
      <c r="Z24" s="33">
        <v>24</v>
      </c>
      <c r="AA24" s="33">
        <v>25</v>
      </c>
      <c r="AB24" s="33">
        <v>26</v>
      </c>
      <c r="AC24" s="33">
        <v>27</v>
      </c>
      <c r="AD24" s="33">
        <v>28</v>
      </c>
      <c r="AE24" s="33">
        <v>29</v>
      </c>
      <c r="AF24" s="33">
        <v>30</v>
      </c>
      <c r="AG24" s="33">
        <v>31</v>
      </c>
      <c r="AH24" s="33">
        <v>32</v>
      </c>
      <c r="AI24" s="33">
        <v>33</v>
      </c>
      <c r="AJ24" s="33">
        <v>34</v>
      </c>
      <c r="AK24" s="33">
        <v>35</v>
      </c>
      <c r="AL24" s="33">
        <v>36</v>
      </c>
      <c r="AM24" s="33">
        <v>37</v>
      </c>
      <c r="AN24" s="30"/>
      <c r="AO24" s="30"/>
      <c r="AP24" s="30"/>
      <c r="AQ24" s="30"/>
    </row>
    <row r="25" spans="2:46" ht="16" customHeight="1" thickBot="1" x14ac:dyDescent="0.4">
      <c r="C25" s="34"/>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row>
    <row r="26" spans="2:46" ht="16" customHeight="1" thickBot="1" x14ac:dyDescent="0.4">
      <c r="B26" s="86" t="s">
        <v>22</v>
      </c>
      <c r="C26" s="28">
        <v>43831</v>
      </c>
      <c r="D26" s="28">
        <v>43862</v>
      </c>
      <c r="E26" s="28">
        <v>43891</v>
      </c>
      <c r="F26" s="28">
        <v>43922</v>
      </c>
      <c r="G26" s="28">
        <v>43952</v>
      </c>
      <c r="H26" s="28">
        <v>43983</v>
      </c>
      <c r="I26" s="28">
        <v>44013</v>
      </c>
      <c r="J26" s="28">
        <v>44044</v>
      </c>
      <c r="K26" s="28">
        <v>44075</v>
      </c>
      <c r="L26" s="28">
        <v>44105</v>
      </c>
      <c r="M26" s="28">
        <v>44136</v>
      </c>
      <c r="N26" s="28">
        <v>44166</v>
      </c>
      <c r="O26" s="28">
        <v>44197</v>
      </c>
      <c r="P26" s="28">
        <v>44228</v>
      </c>
      <c r="Q26" s="28">
        <v>44256</v>
      </c>
      <c r="R26" s="28">
        <v>44287</v>
      </c>
      <c r="S26" s="28">
        <v>44317</v>
      </c>
      <c r="T26" s="28">
        <v>44348</v>
      </c>
      <c r="U26" s="28">
        <v>44378</v>
      </c>
      <c r="V26" s="28">
        <v>44409</v>
      </c>
      <c r="W26" s="28">
        <v>44440</v>
      </c>
      <c r="X26" s="28">
        <v>44470</v>
      </c>
      <c r="Y26" s="28">
        <v>44501</v>
      </c>
      <c r="Z26" s="28">
        <v>44531</v>
      </c>
      <c r="AA26" s="28">
        <v>44562</v>
      </c>
      <c r="AB26" s="28">
        <v>44593</v>
      </c>
      <c r="AC26" s="28">
        <v>44621</v>
      </c>
      <c r="AD26" s="28">
        <v>44652</v>
      </c>
      <c r="AE26" s="28">
        <v>44682</v>
      </c>
      <c r="AF26" s="28">
        <v>44713</v>
      </c>
      <c r="AG26" s="28">
        <v>44743</v>
      </c>
      <c r="AH26" s="28">
        <v>44774</v>
      </c>
      <c r="AI26" s="28">
        <v>44805</v>
      </c>
      <c r="AJ26" s="28">
        <v>44835</v>
      </c>
      <c r="AK26" s="28">
        <v>44866</v>
      </c>
      <c r="AL26" s="28">
        <v>44896</v>
      </c>
      <c r="AM26" s="28">
        <v>44927</v>
      </c>
      <c r="AN26" s="9"/>
      <c r="AO26" s="88" t="s">
        <v>74</v>
      </c>
      <c r="AP26" s="88" t="s">
        <v>75</v>
      </c>
      <c r="AQ26" s="88" t="s">
        <v>76</v>
      </c>
    </row>
    <row r="27" spans="2:46" ht="16" customHeight="1" thickBot="1" x14ac:dyDescent="0.4">
      <c r="B27" s="87"/>
      <c r="C27" s="29"/>
      <c r="D27" s="29"/>
      <c r="E27" s="29"/>
      <c r="F27" s="29"/>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9"/>
      <c r="AO27" s="89"/>
      <c r="AP27" s="89"/>
      <c r="AQ27" s="89"/>
    </row>
    <row r="28" spans="2:46" x14ac:dyDescent="0.35">
      <c r="B28" s="2" t="s">
        <v>46</v>
      </c>
      <c r="C28" s="69">
        <f>VLOOKUP(C$26,'DB Business'!$A:$S,MATCH($B28,'DB Business'!$A$1:$S$1,0),0)</f>
        <v>4</v>
      </c>
      <c r="D28" s="69">
        <f>VLOOKUP(D$26,'DB Business'!$A:$S,MATCH($B28,'DB Business'!$A$1:$S$1,0),0)</f>
        <v>-1</v>
      </c>
      <c r="E28" s="69">
        <f>VLOOKUP(E$26,'DB Business'!$A:$S,MATCH($B28,'DB Business'!$A$1:$S$1,0),0)</f>
        <v>0</v>
      </c>
      <c r="F28" s="69">
        <f>VLOOKUP(F$26,'DB Business'!$A:$S,MATCH($B28,'DB Business'!$A$1:$S$1,0),0)</f>
        <v>-6</v>
      </c>
      <c r="G28" s="69">
        <f>VLOOKUP(G$26,'DB Business'!$A:$S,MATCH($B28,'DB Business'!$A$1:$S$1,0),0)</f>
        <v>-9</v>
      </c>
      <c r="H28" s="69">
        <f>VLOOKUP(H$26,'DB Business'!$A:$S,MATCH($B28,'DB Business'!$A$1:$S$1,0),0)</f>
        <v>10</v>
      </c>
      <c r="I28" s="69">
        <f>VLOOKUP(I$26,'DB Business'!$A:$S,MATCH($B28,'DB Business'!$A$1:$S$1,0),0)</f>
        <v>1</v>
      </c>
      <c r="J28" s="69">
        <f>VLOOKUP(J$26,'DB Business'!$A:$S,MATCH($B28,'DB Business'!$A$1:$S$1,0),0)</f>
        <v>12</v>
      </c>
      <c r="K28" s="69">
        <f>VLOOKUP(K$26,'DB Business'!$A:$S,MATCH($B28,'DB Business'!$A$1:$S$1,0),0)</f>
        <v>14</v>
      </c>
      <c r="L28" s="69">
        <f>VLOOKUP(L$26,'DB Business'!$A:$S,MATCH($B28,'DB Business'!$A$1:$S$1,0),0)</f>
        <v>6</v>
      </c>
      <c r="M28" s="69">
        <f>VLOOKUP(M$26,'DB Business'!$A:$S,MATCH($B28,'DB Business'!$A$1:$S$1,0),0)</f>
        <v>11</v>
      </c>
      <c r="N28" s="69">
        <f>VLOOKUP(N$26,'DB Business'!$A:$S,MATCH($B28,'DB Business'!$A$1:$S$1,0),0)</f>
        <v>1</v>
      </c>
      <c r="O28" s="69">
        <f>VLOOKUP(O$26,'DB Business'!$A:$S,MATCH($B28,'DB Business'!$A$1:$S$1,0),0)</f>
        <v>2</v>
      </c>
      <c r="P28" s="69">
        <f>VLOOKUP(P$26,'DB Business'!$A:$S,MATCH($B28,'DB Business'!$A$1:$S$1,0),0)</f>
        <v>9</v>
      </c>
      <c r="Q28" s="69">
        <f>VLOOKUP(Q$26,'DB Business'!$A:$S,MATCH($B28,'DB Business'!$A$1:$S$1,0),0)</f>
        <v>10</v>
      </c>
      <c r="R28" s="69">
        <f>VLOOKUP(R$26,'DB Business'!$A:$S,MATCH($B28,'DB Business'!$A$1:$S$1,0),0)</f>
        <v>13</v>
      </c>
      <c r="S28" s="69">
        <f>VLOOKUP(S$26,'DB Business'!$A:$S,MATCH($B28,'DB Business'!$A$1:$S$1,0),0)</f>
        <v>11</v>
      </c>
      <c r="T28" s="69">
        <f>VLOOKUP(T$26,'DB Business'!$A:$S,MATCH($B28,'DB Business'!$A$1:$S$1,0),0)</f>
        <v>13</v>
      </c>
      <c r="U28" s="69">
        <f>VLOOKUP(U$26,'DB Business'!$A:$S,MATCH($B28,'DB Business'!$A$1:$S$1,0),0)</f>
        <v>7</v>
      </c>
      <c r="V28" s="69">
        <f>VLOOKUP(V$26,'DB Business'!$A:$S,MATCH($B28,'DB Business'!$A$1:$S$1,0),0)</f>
        <v>9</v>
      </c>
      <c r="W28" s="69">
        <f>VLOOKUP(W$26,'DB Business'!$A:$S,MATCH($B28,'DB Business'!$A$1:$S$1,0),0)</f>
        <v>9</v>
      </c>
      <c r="X28" s="69">
        <f>VLOOKUP(X$26,'DB Business'!$A:$S,MATCH($B28,'DB Business'!$A$1:$S$1,0),0)</f>
        <v>12</v>
      </c>
      <c r="Y28" s="69">
        <f>VLOOKUP(Y$26,'DB Business'!$A:$S,MATCH($B28,'DB Business'!$A$1:$S$1,0),0)</f>
        <v>10</v>
      </c>
      <c r="Z28" s="69">
        <f>VLOOKUP(Z$26,'DB Business'!$A:$S,MATCH($B28,'DB Business'!$A$1:$S$1,0),0)</f>
        <v>4</v>
      </c>
      <c r="AA28" s="69">
        <f>VLOOKUP(AA$26,'DB Business'!$A:$S,MATCH($B28,'DB Business'!$A$1:$S$1,0),0)</f>
        <v>4</v>
      </c>
      <c r="AB28" s="69">
        <f>VLOOKUP(AB$26,'DB Business'!$A:$S,MATCH($B28,'DB Business'!$A$1:$S$1,0),0)</f>
        <v>5</v>
      </c>
      <c r="AC28" s="69">
        <f>VLOOKUP(AC$26,'DB Business'!$A:$S,MATCH($B28,'DB Business'!$A$1:$S$1,0),0)</f>
        <v>9</v>
      </c>
      <c r="AD28" s="69">
        <f>VLOOKUP(AD$26,'DB Business'!$A:$S,MATCH($B28,'DB Business'!$A$1:$S$1,0),0)</f>
        <v>9</v>
      </c>
      <c r="AE28" s="69">
        <f>VLOOKUP(AE$26,'DB Business'!$A:$S,MATCH($B28,'DB Business'!$A$1:$S$1,0),0)</f>
        <v>7</v>
      </c>
      <c r="AF28" s="69">
        <f>VLOOKUP(AF$26,'DB Business'!$A:$S,MATCH($B28,'DB Business'!$A$1:$S$1,0),0)</f>
        <v>8</v>
      </c>
      <c r="AG28" s="69">
        <f>VLOOKUP(AG$26,'DB Business'!$A:$S,MATCH($B28,'DB Business'!$A$1:$S$1,0),0)</f>
        <v>8</v>
      </c>
      <c r="AH28" s="69">
        <f>VLOOKUP(AH$26,'DB Business'!$A:$S,MATCH($B28,'DB Business'!$A$1:$S$1,0),0)</f>
        <v>10</v>
      </c>
      <c r="AI28" s="69">
        <f>VLOOKUP(AI$26,'DB Business'!$A:$S,MATCH($B28,'DB Business'!$A$1:$S$1,0),0)</f>
        <v>7</v>
      </c>
      <c r="AJ28" s="69">
        <f>VLOOKUP(AJ$26,'DB Business'!$A:$S,MATCH($B28,'DB Business'!$A$1:$S$1,0),0)</f>
        <v>8</v>
      </c>
      <c r="AK28" s="69">
        <f>VLOOKUP(AK$26,'DB Business'!$A:$S,MATCH($B28,'DB Business'!$A$1:$S$1,0),0)</f>
        <v>0</v>
      </c>
      <c r="AL28" s="69">
        <f>VLOOKUP(AL$26,'DB Business'!$A:$S,MATCH($B28,'DB Business'!$A$1:$S$1,0),0)</f>
        <v>5</v>
      </c>
      <c r="AM28" s="69">
        <f>VLOOKUP(AM$26,'DB Business'!$A:$S,MATCH($B28,'DB Business'!$A$1:$S$1,0),0)</f>
        <v>11</v>
      </c>
      <c r="AO28" s="19">
        <f t="shared" ref="AO28:AO45" si="3">AM28-AL28</f>
        <v>6</v>
      </c>
      <c r="AP28" s="31">
        <f t="shared" ref="AP28:AP45" si="4">AVERAGE(AK28:AM28)</f>
        <v>5.333333333333333</v>
      </c>
      <c r="AQ28" s="31">
        <f t="shared" ref="AQ28:AQ45" si="5">AVERAGE(AH28:AM28)</f>
        <v>6.833333333333333</v>
      </c>
    </row>
    <row r="29" spans="2:46" x14ac:dyDescent="0.35">
      <c r="B29" s="2" t="s">
        <v>45</v>
      </c>
      <c r="C29" s="69">
        <f>VLOOKUP(C$26,'DB Business'!$A:$S,MATCH($B29,'DB Business'!$A$1:$S$1,0),0)</f>
        <v>0</v>
      </c>
      <c r="D29" s="69">
        <f>VLOOKUP(D$26,'DB Business'!$A:$S,MATCH($B29,'DB Business'!$A$1:$S$1,0),0)</f>
        <v>0</v>
      </c>
      <c r="E29" s="69">
        <f>VLOOKUP(E$26,'DB Business'!$A:$S,MATCH($B29,'DB Business'!$A$1:$S$1,0),0)</f>
        <v>-5</v>
      </c>
      <c r="F29" s="69">
        <f>VLOOKUP(F$26,'DB Business'!$A:$S,MATCH($B29,'DB Business'!$A$1:$S$1,0),0)</f>
        <v>-14</v>
      </c>
      <c r="G29" s="69">
        <f>VLOOKUP(G$26,'DB Business'!$A:$S,MATCH($B29,'DB Business'!$A$1:$S$1,0),0)</f>
        <v>1</v>
      </c>
      <c r="H29" s="69">
        <f>VLOOKUP(H$26,'DB Business'!$A:$S,MATCH($B29,'DB Business'!$A$1:$S$1,0),0)</f>
        <v>9</v>
      </c>
      <c r="I29" s="69">
        <f>VLOOKUP(I$26,'DB Business'!$A:$S,MATCH($B29,'DB Business'!$A$1:$S$1,0),0)</f>
        <v>13</v>
      </c>
      <c r="J29" s="69">
        <f>VLOOKUP(J$26,'DB Business'!$A:$S,MATCH($B29,'DB Business'!$A$1:$S$1,0),0)</f>
        <v>1</v>
      </c>
      <c r="K29" s="69">
        <f>VLOOKUP(K$26,'DB Business'!$A:$S,MATCH($B29,'DB Business'!$A$1:$S$1,0),0)</f>
        <v>0</v>
      </c>
      <c r="L29" s="69">
        <f>VLOOKUP(L$26,'DB Business'!$A:$S,MATCH($B29,'DB Business'!$A$1:$S$1,0),0)</f>
        <v>1</v>
      </c>
      <c r="M29" s="69">
        <f>VLOOKUP(M$26,'DB Business'!$A:$S,MATCH($B29,'DB Business'!$A$1:$S$1,0),0)</f>
        <v>7</v>
      </c>
      <c r="N29" s="69">
        <f>VLOOKUP(N$26,'DB Business'!$A:$S,MATCH($B29,'DB Business'!$A$1:$S$1,0),0)</f>
        <v>7</v>
      </c>
      <c r="O29" s="69">
        <f>VLOOKUP(O$26,'DB Business'!$A:$S,MATCH($B29,'DB Business'!$A$1:$S$1,0),0)</f>
        <v>-2</v>
      </c>
      <c r="P29" s="69">
        <f>VLOOKUP(P$26,'DB Business'!$A:$S,MATCH($B29,'DB Business'!$A$1:$S$1,0),0)</f>
        <v>0</v>
      </c>
      <c r="Q29" s="69">
        <f>VLOOKUP(Q$26,'DB Business'!$A:$S,MATCH($B29,'DB Business'!$A$1:$S$1,0),0)</f>
        <v>3</v>
      </c>
      <c r="R29" s="69">
        <f>VLOOKUP(R$26,'DB Business'!$A:$S,MATCH($B29,'DB Business'!$A$1:$S$1,0),0)</f>
        <v>11</v>
      </c>
      <c r="S29" s="69">
        <f>VLOOKUP(S$26,'DB Business'!$A:$S,MATCH($B29,'DB Business'!$A$1:$S$1,0),0)</f>
        <v>18</v>
      </c>
      <c r="T29" s="69">
        <f>VLOOKUP(T$26,'DB Business'!$A:$S,MATCH($B29,'DB Business'!$A$1:$S$1,0),0)</f>
        <v>9</v>
      </c>
      <c r="U29" s="69">
        <f>VLOOKUP(U$26,'DB Business'!$A:$S,MATCH($B29,'DB Business'!$A$1:$S$1,0),0)</f>
        <v>14</v>
      </c>
      <c r="V29" s="69">
        <f>VLOOKUP(V$26,'DB Business'!$A:$S,MATCH($B29,'DB Business'!$A$1:$S$1,0),0)</f>
        <v>11</v>
      </c>
      <c r="W29" s="69">
        <f>VLOOKUP(W$26,'DB Business'!$A:$S,MATCH($B29,'DB Business'!$A$1:$S$1,0),0)</f>
        <v>17</v>
      </c>
      <c r="X29" s="69">
        <f>VLOOKUP(X$26,'DB Business'!$A:$S,MATCH($B29,'DB Business'!$A$1:$S$1,0),0)</f>
        <v>16</v>
      </c>
      <c r="Y29" s="69">
        <f>VLOOKUP(Y$26,'DB Business'!$A:$S,MATCH($B29,'DB Business'!$A$1:$S$1,0),0)</f>
        <v>15</v>
      </c>
      <c r="Z29" s="69">
        <f>VLOOKUP(Z$26,'DB Business'!$A:$S,MATCH($B29,'DB Business'!$A$1:$S$1,0),0)</f>
        <v>13</v>
      </c>
      <c r="AA29" s="69">
        <f>VLOOKUP(AA$26,'DB Business'!$A:$S,MATCH($B29,'DB Business'!$A$1:$S$1,0),0)</f>
        <v>8</v>
      </c>
      <c r="AB29" s="69">
        <f>VLOOKUP(AB$26,'DB Business'!$A:$S,MATCH($B29,'DB Business'!$A$1:$S$1,0),0)</f>
        <v>2</v>
      </c>
      <c r="AC29" s="69">
        <f>VLOOKUP(AC$26,'DB Business'!$A:$S,MATCH($B29,'DB Business'!$A$1:$S$1,0),0)</f>
        <v>0</v>
      </c>
      <c r="AD29" s="69">
        <f>VLOOKUP(AD$26,'DB Business'!$A:$S,MATCH($B29,'DB Business'!$A$1:$S$1,0),0)</f>
        <v>0</v>
      </c>
      <c r="AE29" s="69">
        <f>VLOOKUP(AE$26,'DB Business'!$A:$S,MATCH($B29,'DB Business'!$A$1:$S$1,0),0)</f>
        <v>-2</v>
      </c>
      <c r="AF29" s="69">
        <f>VLOOKUP(AF$26,'DB Business'!$A:$S,MATCH($B29,'DB Business'!$A$1:$S$1,0),0)</f>
        <v>0</v>
      </c>
      <c r="AG29" s="69">
        <f>VLOOKUP(AG$26,'DB Business'!$A:$S,MATCH($B29,'DB Business'!$A$1:$S$1,0),0)</f>
        <v>-2</v>
      </c>
      <c r="AH29" s="69">
        <f>VLOOKUP(AH$26,'DB Business'!$A:$S,MATCH($B29,'DB Business'!$A$1:$S$1,0),0)</f>
        <v>0</v>
      </c>
      <c r="AI29" s="69">
        <f>VLOOKUP(AI$26,'DB Business'!$A:$S,MATCH($B29,'DB Business'!$A$1:$S$1,0),0)</f>
        <v>2</v>
      </c>
      <c r="AJ29" s="69">
        <f>VLOOKUP(AJ$26,'DB Business'!$A:$S,MATCH($B29,'DB Business'!$A$1:$S$1,0),0)</f>
        <v>3</v>
      </c>
      <c r="AK29" s="69">
        <f>VLOOKUP(AK$26,'DB Business'!$A:$S,MATCH($B29,'DB Business'!$A$1:$S$1,0),0)</f>
        <v>3</v>
      </c>
      <c r="AL29" s="69">
        <f>VLOOKUP(AL$26,'DB Business'!$A:$S,MATCH($B29,'DB Business'!$A$1:$S$1,0),0)</f>
        <v>11</v>
      </c>
      <c r="AM29" s="69">
        <f>VLOOKUP(AM$26,'DB Business'!$A:$S,MATCH($B29,'DB Business'!$A$1:$S$1,0),0)</f>
        <v>-2</v>
      </c>
      <c r="AO29" s="19">
        <f t="shared" si="3"/>
        <v>-13</v>
      </c>
      <c r="AP29" s="31">
        <f t="shared" si="4"/>
        <v>4</v>
      </c>
      <c r="AQ29" s="31">
        <f t="shared" si="5"/>
        <v>2.8333333333333335</v>
      </c>
    </row>
    <row r="30" spans="2:46" x14ac:dyDescent="0.35">
      <c r="B30" s="2" t="s">
        <v>29</v>
      </c>
      <c r="C30" s="69">
        <f>VLOOKUP(C$26,'DB Business'!$A:$S,MATCH($B30,'DB Business'!$A$1:$S$1,0),0)</f>
        <v>-3</v>
      </c>
      <c r="D30" s="69">
        <f>VLOOKUP(D$26,'DB Business'!$A:$S,MATCH($B30,'DB Business'!$A$1:$S$1,0),0)</f>
        <v>-3</v>
      </c>
      <c r="E30" s="69">
        <f>VLOOKUP(E$26,'DB Business'!$A:$S,MATCH($B30,'DB Business'!$A$1:$S$1,0),0)</f>
        <v>-9</v>
      </c>
      <c r="F30" s="69">
        <f>VLOOKUP(F$26,'DB Business'!$A:$S,MATCH($B30,'DB Business'!$A$1:$S$1,0),0)</f>
        <v>-17</v>
      </c>
      <c r="G30" s="69">
        <f>VLOOKUP(G$26,'DB Business'!$A:$S,MATCH($B30,'DB Business'!$A$1:$S$1,0),0)</f>
        <v>-8</v>
      </c>
      <c r="H30" s="69">
        <f>VLOOKUP(H$26,'DB Business'!$A:$S,MATCH($B30,'DB Business'!$A$1:$S$1,0),0)</f>
        <v>0</v>
      </c>
      <c r="I30" s="69">
        <f>VLOOKUP(I$26,'DB Business'!$A:$S,MATCH($B30,'DB Business'!$A$1:$S$1,0),0)</f>
        <v>11</v>
      </c>
      <c r="J30" s="69">
        <f>VLOOKUP(J$26,'DB Business'!$A:$S,MATCH($B30,'DB Business'!$A$1:$S$1,0),0)</f>
        <v>13</v>
      </c>
      <c r="K30" s="69">
        <f>VLOOKUP(K$26,'DB Business'!$A:$S,MATCH($B30,'DB Business'!$A$1:$S$1,0),0)</f>
        <v>16</v>
      </c>
      <c r="L30" s="69">
        <f>VLOOKUP(L$26,'DB Business'!$A:$S,MATCH($B30,'DB Business'!$A$1:$S$1,0),0)</f>
        <v>0</v>
      </c>
      <c r="M30" s="69">
        <f>VLOOKUP(M$26,'DB Business'!$A:$S,MATCH($B30,'DB Business'!$A$1:$S$1,0),0)</f>
        <v>-4</v>
      </c>
      <c r="N30" s="69">
        <f>VLOOKUP(N$26,'DB Business'!$A:$S,MATCH($B30,'DB Business'!$A$1:$S$1,0),0)</f>
        <v>0</v>
      </c>
      <c r="O30" s="69">
        <f>VLOOKUP(O$26,'DB Business'!$A:$S,MATCH($B30,'DB Business'!$A$1:$S$1,0),0)</f>
        <v>0</v>
      </c>
      <c r="P30" s="69">
        <f>VLOOKUP(P$26,'DB Business'!$A:$S,MATCH($B30,'DB Business'!$A$1:$S$1,0),0)</f>
        <v>13</v>
      </c>
      <c r="Q30" s="69">
        <f>VLOOKUP(Q$26,'DB Business'!$A:$S,MATCH($B30,'DB Business'!$A$1:$S$1,0),0)</f>
        <v>17</v>
      </c>
      <c r="R30" s="69">
        <f>VLOOKUP(R$26,'DB Business'!$A:$S,MATCH($B30,'DB Business'!$A$1:$S$1,0),0)</f>
        <v>17</v>
      </c>
      <c r="S30" s="69">
        <f>VLOOKUP(S$26,'DB Business'!$A:$S,MATCH($B30,'DB Business'!$A$1:$S$1,0),0)</f>
        <v>17</v>
      </c>
      <c r="T30" s="69">
        <f>VLOOKUP(T$26,'DB Business'!$A:$S,MATCH($B30,'DB Business'!$A$1:$S$1,0),0)</f>
        <v>16</v>
      </c>
      <c r="U30" s="69">
        <f>VLOOKUP(U$26,'DB Business'!$A:$S,MATCH($B30,'DB Business'!$A$1:$S$1,0),0)</f>
        <v>17</v>
      </c>
      <c r="V30" s="69">
        <f>VLOOKUP(V$26,'DB Business'!$A:$S,MATCH($B30,'DB Business'!$A$1:$S$1,0),0)</f>
        <v>-2</v>
      </c>
      <c r="W30" s="69">
        <f>VLOOKUP(W$26,'DB Business'!$A:$S,MATCH($B30,'DB Business'!$A$1:$S$1,0),0)</f>
        <v>16</v>
      </c>
      <c r="X30" s="69">
        <f>VLOOKUP(X$26,'DB Business'!$A:$S,MATCH($B30,'DB Business'!$A$1:$S$1,0),0)</f>
        <v>10</v>
      </c>
      <c r="Y30" s="69">
        <f>VLOOKUP(Y$26,'DB Business'!$A:$S,MATCH($B30,'DB Business'!$A$1:$S$1,0),0)</f>
        <v>0</v>
      </c>
      <c r="Z30" s="69">
        <f>VLOOKUP(Z$26,'DB Business'!$A:$S,MATCH($B30,'DB Business'!$A$1:$S$1,0),0)</f>
        <v>9</v>
      </c>
      <c r="AA30" s="69">
        <f>VLOOKUP(AA$26,'DB Business'!$A:$S,MATCH($B30,'DB Business'!$A$1:$S$1,0),0)</f>
        <v>-7</v>
      </c>
      <c r="AB30" s="69">
        <f>VLOOKUP(AB$26,'DB Business'!$A:$S,MATCH($B30,'DB Business'!$A$1:$S$1,0),0)</f>
        <v>-3</v>
      </c>
      <c r="AC30" s="69">
        <f>VLOOKUP(AC$26,'DB Business'!$A:$S,MATCH($B30,'DB Business'!$A$1:$S$1,0),0)</f>
        <v>13</v>
      </c>
      <c r="AD30" s="69">
        <f>VLOOKUP(AD$26,'DB Business'!$A:$S,MATCH($B30,'DB Business'!$A$1:$S$1,0),0)</f>
        <v>0</v>
      </c>
      <c r="AE30" s="69">
        <f>VLOOKUP(AE$26,'DB Business'!$A:$S,MATCH($B30,'DB Business'!$A$1:$S$1,0),0)</f>
        <v>10</v>
      </c>
      <c r="AF30" s="69">
        <f>VLOOKUP(AF$26,'DB Business'!$A:$S,MATCH($B30,'DB Business'!$A$1:$S$1,0),0)</f>
        <v>11</v>
      </c>
      <c r="AG30" s="69">
        <f>VLOOKUP(AG$26,'DB Business'!$A:$S,MATCH($B30,'DB Business'!$A$1:$S$1,0),0)</f>
        <v>0</v>
      </c>
      <c r="AH30" s="69">
        <f>VLOOKUP(AH$26,'DB Business'!$A:$S,MATCH($B30,'DB Business'!$A$1:$S$1,0),0)</f>
        <v>-1</v>
      </c>
      <c r="AI30" s="69">
        <f>VLOOKUP(AI$26,'DB Business'!$A:$S,MATCH($B30,'DB Business'!$A$1:$S$1,0),0)</f>
        <v>-1</v>
      </c>
      <c r="AJ30" s="69">
        <f>VLOOKUP(AJ$26,'DB Business'!$A:$S,MATCH($B30,'DB Business'!$A$1:$S$1,0),0)</f>
        <v>11</v>
      </c>
      <c r="AK30" s="69">
        <f>VLOOKUP(AK$26,'DB Business'!$A:$S,MATCH($B30,'DB Business'!$A$1:$S$1,0),0)</f>
        <v>0</v>
      </c>
      <c r="AL30" s="69">
        <f>VLOOKUP(AL$26,'DB Business'!$A:$S,MATCH($B30,'DB Business'!$A$1:$S$1,0),0)</f>
        <v>0</v>
      </c>
      <c r="AM30" s="69">
        <f>VLOOKUP(AM$26,'DB Business'!$A:$S,MATCH($B30,'DB Business'!$A$1:$S$1,0),0)</f>
        <v>0</v>
      </c>
      <c r="AO30" s="19">
        <f t="shared" si="3"/>
        <v>0</v>
      </c>
      <c r="AP30" s="31">
        <f t="shared" si="4"/>
        <v>0</v>
      </c>
      <c r="AQ30" s="31">
        <f t="shared" si="5"/>
        <v>1.5</v>
      </c>
    </row>
    <row r="31" spans="2:46" x14ac:dyDescent="0.35">
      <c r="B31" s="2" t="s">
        <v>30</v>
      </c>
      <c r="C31" s="69">
        <f>VLOOKUP(C$26,'DB Business'!$A:$S,MATCH($B31,'DB Business'!$A$1:$S$1,0),0)</f>
        <v>-1</v>
      </c>
      <c r="D31" s="69">
        <f>VLOOKUP(D$26,'DB Business'!$A:$S,MATCH($B31,'DB Business'!$A$1:$S$1,0),0)</f>
        <v>1</v>
      </c>
      <c r="E31" s="69">
        <f>VLOOKUP(E$26,'DB Business'!$A:$S,MATCH($B31,'DB Business'!$A$1:$S$1,0),0)</f>
        <v>-7</v>
      </c>
      <c r="F31" s="69">
        <f>VLOOKUP(F$26,'DB Business'!$A:$S,MATCH($B31,'DB Business'!$A$1:$S$1,0),0)</f>
        <v>-13</v>
      </c>
      <c r="G31" s="69">
        <f>VLOOKUP(G$26,'DB Business'!$A:$S,MATCH($B31,'DB Business'!$A$1:$S$1,0),0)</f>
        <v>-10</v>
      </c>
      <c r="H31" s="69">
        <f>VLOOKUP(H$26,'DB Business'!$A:$S,MATCH($B31,'DB Business'!$A$1:$S$1,0),0)</f>
        <v>-1</v>
      </c>
      <c r="I31" s="69">
        <f>VLOOKUP(I$26,'DB Business'!$A:$S,MATCH($B31,'DB Business'!$A$1:$S$1,0),0)</f>
        <v>-2</v>
      </c>
      <c r="J31" s="69">
        <f>VLOOKUP(J$26,'DB Business'!$A:$S,MATCH($B31,'DB Business'!$A$1:$S$1,0),0)</f>
        <v>0</v>
      </c>
      <c r="K31" s="69">
        <f>VLOOKUP(K$26,'DB Business'!$A:$S,MATCH($B31,'DB Business'!$A$1:$S$1,0),0)</f>
        <v>2</v>
      </c>
      <c r="L31" s="69">
        <f>VLOOKUP(L$26,'DB Business'!$A:$S,MATCH($B31,'DB Business'!$A$1:$S$1,0),0)</f>
        <v>5</v>
      </c>
      <c r="M31" s="69">
        <f>VLOOKUP(M$26,'DB Business'!$A:$S,MATCH($B31,'DB Business'!$A$1:$S$1,0),0)</f>
        <v>-2</v>
      </c>
      <c r="N31" s="69">
        <f>VLOOKUP(N$26,'DB Business'!$A:$S,MATCH($B31,'DB Business'!$A$1:$S$1,0),0)</f>
        <v>-5</v>
      </c>
      <c r="O31" s="69">
        <f>VLOOKUP(O$26,'DB Business'!$A:$S,MATCH($B31,'DB Business'!$A$1:$S$1,0),0)</f>
        <v>0</v>
      </c>
      <c r="P31" s="69">
        <f>VLOOKUP(P$26,'DB Business'!$A:$S,MATCH($B31,'DB Business'!$A$1:$S$1,0),0)</f>
        <v>-1</v>
      </c>
      <c r="Q31" s="69">
        <f>VLOOKUP(Q$26,'DB Business'!$A:$S,MATCH($B31,'DB Business'!$A$1:$S$1,0),0)</f>
        <v>-1</v>
      </c>
      <c r="R31" s="69">
        <f>VLOOKUP(R$26,'DB Business'!$A:$S,MATCH($B31,'DB Business'!$A$1:$S$1,0),0)</f>
        <v>3</v>
      </c>
      <c r="S31" s="69">
        <f>VLOOKUP(S$26,'DB Business'!$A:$S,MATCH($B31,'DB Business'!$A$1:$S$1,0),0)</f>
        <v>6</v>
      </c>
      <c r="T31" s="69">
        <f>VLOOKUP(T$26,'DB Business'!$A:$S,MATCH($B31,'DB Business'!$A$1:$S$1,0),0)</f>
        <v>15</v>
      </c>
      <c r="U31" s="69">
        <f>VLOOKUP(U$26,'DB Business'!$A:$S,MATCH($B31,'DB Business'!$A$1:$S$1,0),0)</f>
        <v>6</v>
      </c>
      <c r="V31" s="69">
        <f>VLOOKUP(V$26,'DB Business'!$A:$S,MATCH($B31,'DB Business'!$A$1:$S$1,0),0)</f>
        <v>12</v>
      </c>
      <c r="W31" s="69">
        <f>VLOOKUP(W$26,'DB Business'!$A:$S,MATCH($B31,'DB Business'!$A$1:$S$1,0),0)</f>
        <v>4</v>
      </c>
      <c r="X31" s="69">
        <f>VLOOKUP(X$26,'DB Business'!$A:$S,MATCH($B31,'DB Business'!$A$1:$S$1,0),0)</f>
        <v>5</v>
      </c>
      <c r="Y31" s="69">
        <f>VLOOKUP(Y$26,'DB Business'!$A:$S,MATCH($B31,'DB Business'!$A$1:$S$1,0),0)</f>
        <v>7</v>
      </c>
      <c r="Z31" s="69">
        <f>VLOOKUP(Z$26,'DB Business'!$A:$S,MATCH($B31,'DB Business'!$A$1:$S$1,0),0)</f>
        <v>7</v>
      </c>
      <c r="AA31" s="69">
        <f>VLOOKUP(AA$26,'DB Business'!$A:$S,MATCH($B31,'DB Business'!$A$1:$S$1,0),0)</f>
        <v>0</v>
      </c>
      <c r="AB31" s="69">
        <f>VLOOKUP(AB$26,'DB Business'!$A:$S,MATCH($B31,'DB Business'!$A$1:$S$1,0),0)</f>
        <v>3</v>
      </c>
      <c r="AC31" s="69">
        <f>VLOOKUP(AC$26,'DB Business'!$A:$S,MATCH($B31,'DB Business'!$A$1:$S$1,0),0)</f>
        <v>10</v>
      </c>
      <c r="AD31" s="69">
        <f>VLOOKUP(AD$26,'DB Business'!$A:$S,MATCH($B31,'DB Business'!$A$1:$S$1,0),0)</f>
        <v>2</v>
      </c>
      <c r="AE31" s="69">
        <f>VLOOKUP(AE$26,'DB Business'!$A:$S,MATCH($B31,'DB Business'!$A$1:$S$1,0),0)</f>
        <v>0</v>
      </c>
      <c r="AF31" s="69">
        <f>VLOOKUP(AF$26,'DB Business'!$A:$S,MATCH($B31,'DB Business'!$A$1:$S$1,0),0)</f>
        <v>13</v>
      </c>
      <c r="AG31" s="69">
        <f>VLOOKUP(AG$26,'DB Business'!$A:$S,MATCH($B31,'DB Business'!$A$1:$S$1,0),0)</f>
        <v>6</v>
      </c>
      <c r="AH31" s="69">
        <f>VLOOKUP(AH$26,'DB Business'!$A:$S,MATCH($B31,'DB Business'!$A$1:$S$1,0),0)</f>
        <v>0</v>
      </c>
      <c r="AI31" s="69">
        <f>VLOOKUP(AI$26,'DB Business'!$A:$S,MATCH($B31,'DB Business'!$A$1:$S$1,0),0)</f>
        <v>12</v>
      </c>
      <c r="AJ31" s="69">
        <f>VLOOKUP(AJ$26,'DB Business'!$A:$S,MATCH($B31,'DB Business'!$A$1:$S$1,0),0)</f>
        <v>5</v>
      </c>
      <c r="AK31" s="69">
        <f>VLOOKUP(AK$26,'DB Business'!$A:$S,MATCH($B31,'DB Business'!$A$1:$S$1,0),0)</f>
        <v>10</v>
      </c>
      <c r="AL31" s="69">
        <f>VLOOKUP(AL$26,'DB Business'!$A:$S,MATCH($B31,'DB Business'!$A$1:$S$1,0),0)</f>
        <v>-3</v>
      </c>
      <c r="AM31" s="69">
        <f>VLOOKUP(AM$26,'DB Business'!$A:$S,MATCH($B31,'DB Business'!$A$1:$S$1,0),0)</f>
        <v>9</v>
      </c>
      <c r="AO31" s="19">
        <f t="shared" si="3"/>
        <v>12</v>
      </c>
      <c r="AP31" s="31">
        <f t="shared" si="4"/>
        <v>5.333333333333333</v>
      </c>
      <c r="AQ31" s="31">
        <f t="shared" si="5"/>
        <v>5.5</v>
      </c>
    </row>
    <row r="32" spans="2:46" x14ac:dyDescent="0.35">
      <c r="B32" s="2" t="s">
        <v>31</v>
      </c>
      <c r="C32" s="69">
        <f>VLOOKUP(C$26,'DB Business'!$A:$S,MATCH($B32,'DB Business'!$A$1:$S$1,0),0)</f>
        <v>10</v>
      </c>
      <c r="D32" s="69">
        <f>VLOOKUP(D$26,'DB Business'!$A:$S,MATCH($B32,'DB Business'!$A$1:$S$1,0),0)</f>
        <v>6</v>
      </c>
      <c r="E32" s="69">
        <f>VLOOKUP(E$26,'DB Business'!$A:$S,MATCH($B32,'DB Business'!$A$1:$S$1,0),0)</f>
        <v>5</v>
      </c>
      <c r="F32" s="69">
        <f>VLOOKUP(F$26,'DB Business'!$A:$S,MATCH($B32,'DB Business'!$A$1:$S$1,0),0)</f>
        <v>-4</v>
      </c>
      <c r="G32" s="69">
        <f>VLOOKUP(G$26,'DB Business'!$A:$S,MATCH($B32,'DB Business'!$A$1:$S$1,0),0)</f>
        <v>-6</v>
      </c>
      <c r="H32" s="69">
        <f>VLOOKUP(H$26,'DB Business'!$A:$S,MATCH($B32,'DB Business'!$A$1:$S$1,0),0)</f>
        <v>11</v>
      </c>
      <c r="I32" s="69">
        <f>VLOOKUP(I$26,'DB Business'!$A:$S,MATCH($B32,'DB Business'!$A$1:$S$1,0),0)</f>
        <v>9</v>
      </c>
      <c r="J32" s="69">
        <f>VLOOKUP(J$26,'DB Business'!$A:$S,MATCH($B32,'DB Business'!$A$1:$S$1,0),0)</f>
        <v>9</v>
      </c>
      <c r="K32" s="69">
        <f>VLOOKUP(K$26,'DB Business'!$A:$S,MATCH($B32,'DB Business'!$A$1:$S$1,0),0)</f>
        <v>9</v>
      </c>
      <c r="L32" s="69">
        <f>VLOOKUP(L$26,'DB Business'!$A:$S,MATCH($B32,'DB Business'!$A$1:$S$1,0),0)</f>
        <v>11</v>
      </c>
      <c r="M32" s="69">
        <f>VLOOKUP(M$26,'DB Business'!$A:$S,MATCH($B32,'DB Business'!$A$1:$S$1,0),0)</f>
        <v>12</v>
      </c>
      <c r="N32" s="69">
        <f>VLOOKUP(N$26,'DB Business'!$A:$S,MATCH($B32,'DB Business'!$A$1:$S$1,0),0)</f>
        <v>10</v>
      </c>
      <c r="O32" s="69">
        <f>VLOOKUP(O$26,'DB Business'!$A:$S,MATCH($B32,'DB Business'!$A$1:$S$1,0),0)</f>
        <v>5</v>
      </c>
      <c r="P32" s="69">
        <f>VLOOKUP(P$26,'DB Business'!$A:$S,MATCH($B32,'DB Business'!$A$1:$S$1,0),0)</f>
        <v>3</v>
      </c>
      <c r="Q32" s="69">
        <f>VLOOKUP(Q$26,'DB Business'!$A:$S,MATCH($B32,'DB Business'!$A$1:$S$1,0),0)</f>
        <v>6</v>
      </c>
      <c r="R32" s="69">
        <f>VLOOKUP(R$26,'DB Business'!$A:$S,MATCH($B32,'DB Business'!$A$1:$S$1,0),0)</f>
        <v>6</v>
      </c>
      <c r="S32" s="69">
        <f>VLOOKUP(S$26,'DB Business'!$A:$S,MATCH($B32,'DB Business'!$A$1:$S$1,0),0)</f>
        <v>8</v>
      </c>
      <c r="T32" s="69">
        <f>VLOOKUP(T$26,'DB Business'!$A:$S,MATCH($B32,'DB Business'!$A$1:$S$1,0),0)</f>
        <v>6</v>
      </c>
      <c r="U32" s="69">
        <f>VLOOKUP(U$26,'DB Business'!$A:$S,MATCH($B32,'DB Business'!$A$1:$S$1,0),0)</f>
        <v>10</v>
      </c>
      <c r="V32" s="69">
        <f>VLOOKUP(V$26,'DB Business'!$A:$S,MATCH($B32,'DB Business'!$A$1:$S$1,0),0)</f>
        <v>10</v>
      </c>
      <c r="W32" s="69">
        <f>VLOOKUP(W$26,'DB Business'!$A:$S,MATCH($B32,'DB Business'!$A$1:$S$1,0),0)</f>
        <v>13</v>
      </c>
      <c r="X32" s="69">
        <f>VLOOKUP(X$26,'DB Business'!$A:$S,MATCH($B32,'DB Business'!$A$1:$S$1,0),0)</f>
        <v>11</v>
      </c>
      <c r="Y32" s="69">
        <f>VLOOKUP(Y$26,'DB Business'!$A:$S,MATCH($B32,'DB Business'!$A$1:$S$1,0),0)</f>
        <v>11</v>
      </c>
      <c r="Z32" s="69">
        <f>VLOOKUP(Z$26,'DB Business'!$A:$S,MATCH($B32,'DB Business'!$A$1:$S$1,0),0)</f>
        <v>11</v>
      </c>
      <c r="AA32" s="69">
        <f>VLOOKUP(AA$26,'DB Business'!$A:$S,MATCH($B32,'DB Business'!$A$1:$S$1,0),0)</f>
        <v>7</v>
      </c>
      <c r="AB32" s="69">
        <f>VLOOKUP(AB$26,'DB Business'!$A:$S,MATCH($B32,'DB Business'!$A$1:$S$1,0),0)</f>
        <v>1</v>
      </c>
      <c r="AC32" s="69">
        <f>VLOOKUP(AC$26,'DB Business'!$A:$S,MATCH($B32,'DB Business'!$A$1:$S$1,0),0)</f>
        <v>-1</v>
      </c>
      <c r="AD32" s="69">
        <f>VLOOKUP(AD$26,'DB Business'!$A:$S,MATCH($B32,'DB Business'!$A$1:$S$1,0),0)</f>
        <v>4</v>
      </c>
      <c r="AE32" s="69">
        <f>VLOOKUP(AE$26,'DB Business'!$A:$S,MATCH($B32,'DB Business'!$A$1:$S$1,0),0)</f>
        <v>1</v>
      </c>
      <c r="AF32" s="69">
        <f>VLOOKUP(AF$26,'DB Business'!$A:$S,MATCH($B32,'DB Business'!$A$1:$S$1,0),0)</f>
        <v>4</v>
      </c>
      <c r="AG32" s="69">
        <f>VLOOKUP(AG$26,'DB Business'!$A:$S,MATCH($B32,'DB Business'!$A$1:$S$1,0),0)</f>
        <v>4</v>
      </c>
      <c r="AH32" s="69">
        <f>VLOOKUP(AH$26,'DB Business'!$A:$S,MATCH($B32,'DB Business'!$A$1:$S$1,0),0)</f>
        <v>2</v>
      </c>
      <c r="AI32" s="69">
        <f>VLOOKUP(AI$26,'DB Business'!$A:$S,MATCH($B32,'DB Business'!$A$1:$S$1,0),0)</f>
        <v>9</v>
      </c>
      <c r="AJ32" s="69">
        <f>VLOOKUP(AJ$26,'DB Business'!$A:$S,MATCH($B32,'DB Business'!$A$1:$S$1,0),0)</f>
        <v>1</v>
      </c>
      <c r="AK32" s="69">
        <f>VLOOKUP(AK$26,'DB Business'!$A:$S,MATCH($B32,'DB Business'!$A$1:$S$1,0),0)</f>
        <v>6</v>
      </c>
      <c r="AL32" s="69">
        <f>VLOOKUP(AL$26,'DB Business'!$A:$S,MATCH($B32,'DB Business'!$A$1:$S$1,0),0)</f>
        <v>9</v>
      </c>
      <c r="AM32" s="69">
        <f>VLOOKUP(AM$26,'DB Business'!$A:$S,MATCH($B32,'DB Business'!$A$1:$S$1,0),0)</f>
        <v>5</v>
      </c>
      <c r="AO32" s="19">
        <f t="shared" si="3"/>
        <v>-4</v>
      </c>
      <c r="AP32" s="31">
        <f t="shared" si="4"/>
        <v>6.666666666666667</v>
      </c>
      <c r="AQ32" s="31">
        <f t="shared" si="5"/>
        <v>5.333333333333333</v>
      </c>
    </row>
    <row r="33" spans="2:43" x14ac:dyDescent="0.35">
      <c r="B33" s="2" t="s">
        <v>32</v>
      </c>
      <c r="C33" s="69">
        <f>VLOOKUP(C$26,'DB Business'!$A:$S,MATCH($B33,'DB Business'!$A$1:$S$1,0),0)</f>
        <v>5</v>
      </c>
      <c r="D33" s="69">
        <f>VLOOKUP(D$26,'DB Business'!$A:$S,MATCH($B33,'DB Business'!$A$1:$S$1,0),0)</f>
        <v>13</v>
      </c>
      <c r="E33" s="69">
        <f>VLOOKUP(E$26,'DB Business'!$A:$S,MATCH($B33,'DB Business'!$A$1:$S$1,0),0)</f>
        <v>4</v>
      </c>
      <c r="F33" s="69">
        <f>VLOOKUP(F$26,'DB Business'!$A:$S,MATCH($B33,'DB Business'!$A$1:$S$1,0),0)</f>
        <v>-2</v>
      </c>
      <c r="G33" s="69">
        <f>VLOOKUP(G$26,'DB Business'!$A:$S,MATCH($B33,'DB Business'!$A$1:$S$1,0),0)</f>
        <v>-5</v>
      </c>
      <c r="H33" s="69">
        <f>VLOOKUP(H$26,'DB Business'!$A:$S,MATCH($B33,'DB Business'!$A$1:$S$1,0),0)</f>
        <v>14</v>
      </c>
      <c r="I33" s="69">
        <f>VLOOKUP(I$26,'DB Business'!$A:$S,MATCH($B33,'DB Business'!$A$1:$S$1,0),0)</f>
        <v>5</v>
      </c>
      <c r="J33" s="69">
        <f>VLOOKUP(J$26,'DB Business'!$A:$S,MATCH($B33,'DB Business'!$A$1:$S$1,0),0)</f>
        <v>2</v>
      </c>
      <c r="K33" s="69">
        <f>VLOOKUP(K$26,'DB Business'!$A:$S,MATCH($B33,'DB Business'!$A$1:$S$1,0),0)</f>
        <v>13</v>
      </c>
      <c r="L33" s="69">
        <f>VLOOKUP(L$26,'DB Business'!$A:$S,MATCH($B33,'DB Business'!$A$1:$S$1,0),0)</f>
        <v>15</v>
      </c>
      <c r="M33" s="69">
        <f>VLOOKUP(M$26,'DB Business'!$A:$S,MATCH($B33,'DB Business'!$A$1:$S$1,0),0)</f>
        <v>10</v>
      </c>
      <c r="N33" s="69">
        <f>VLOOKUP(N$26,'DB Business'!$A:$S,MATCH($B33,'DB Business'!$A$1:$S$1,0),0)</f>
        <v>-4</v>
      </c>
      <c r="O33" s="69">
        <f>VLOOKUP(O$26,'DB Business'!$A:$S,MATCH($B33,'DB Business'!$A$1:$S$1,0),0)</f>
        <v>6</v>
      </c>
      <c r="P33" s="69">
        <f>VLOOKUP(P$26,'DB Business'!$A:$S,MATCH($B33,'DB Business'!$A$1:$S$1,0),0)</f>
        <v>14</v>
      </c>
      <c r="Q33" s="69">
        <f>VLOOKUP(Q$26,'DB Business'!$A:$S,MATCH($B33,'DB Business'!$A$1:$S$1,0),0)</f>
        <v>14</v>
      </c>
      <c r="R33" s="69">
        <f>VLOOKUP(R$26,'DB Business'!$A:$S,MATCH($B33,'DB Business'!$A$1:$S$1,0),0)</f>
        <v>10</v>
      </c>
      <c r="S33" s="69">
        <f>VLOOKUP(S$26,'DB Business'!$A:$S,MATCH($B33,'DB Business'!$A$1:$S$1,0),0)</f>
        <v>4</v>
      </c>
      <c r="T33" s="69">
        <f>VLOOKUP(T$26,'DB Business'!$A:$S,MATCH($B33,'DB Business'!$A$1:$S$1,0),0)</f>
        <v>4</v>
      </c>
      <c r="U33" s="69">
        <f>VLOOKUP(U$26,'DB Business'!$A:$S,MATCH($B33,'DB Business'!$A$1:$S$1,0),0)</f>
        <v>12</v>
      </c>
      <c r="V33" s="69">
        <f>VLOOKUP(V$26,'DB Business'!$A:$S,MATCH($B33,'DB Business'!$A$1:$S$1,0),0)</f>
        <v>14</v>
      </c>
      <c r="W33" s="69">
        <f>VLOOKUP(W$26,'DB Business'!$A:$S,MATCH($B33,'DB Business'!$A$1:$S$1,0),0)</f>
        <v>6</v>
      </c>
      <c r="X33" s="69">
        <f>VLOOKUP(X$26,'DB Business'!$A:$S,MATCH($B33,'DB Business'!$A$1:$S$1,0),0)</f>
        <v>3</v>
      </c>
      <c r="Y33" s="69">
        <f>VLOOKUP(Y$26,'DB Business'!$A:$S,MATCH($B33,'DB Business'!$A$1:$S$1,0),0)</f>
        <v>0</v>
      </c>
      <c r="Z33" s="69">
        <f>VLOOKUP(Z$26,'DB Business'!$A:$S,MATCH($B33,'DB Business'!$A$1:$S$1,0),0)</f>
        <v>15</v>
      </c>
      <c r="AA33" s="69">
        <f>VLOOKUP(AA$26,'DB Business'!$A:$S,MATCH($B33,'DB Business'!$A$1:$S$1,0),0)</f>
        <v>-4</v>
      </c>
      <c r="AB33" s="69">
        <f>VLOOKUP(AB$26,'DB Business'!$A:$S,MATCH($B33,'DB Business'!$A$1:$S$1,0),0)</f>
        <v>-1</v>
      </c>
      <c r="AC33" s="69">
        <f>VLOOKUP(AC$26,'DB Business'!$A:$S,MATCH($B33,'DB Business'!$A$1:$S$1,0),0)</f>
        <v>8</v>
      </c>
      <c r="AD33" s="69">
        <f>VLOOKUP(AD$26,'DB Business'!$A:$S,MATCH($B33,'DB Business'!$A$1:$S$1,0),0)</f>
        <v>13</v>
      </c>
      <c r="AE33" s="69">
        <f>VLOOKUP(AE$26,'DB Business'!$A:$S,MATCH($B33,'DB Business'!$A$1:$S$1,0),0)</f>
        <v>5</v>
      </c>
      <c r="AF33" s="69">
        <f>VLOOKUP(AF$26,'DB Business'!$A:$S,MATCH($B33,'DB Business'!$A$1:$S$1,0),0)</f>
        <v>12</v>
      </c>
      <c r="AG33" s="69">
        <f>VLOOKUP(AG$26,'DB Business'!$A:$S,MATCH($B33,'DB Business'!$A$1:$S$1,0),0)</f>
        <v>-3</v>
      </c>
      <c r="AH33" s="69">
        <f>VLOOKUP(AH$26,'DB Business'!$A:$S,MATCH($B33,'DB Business'!$A$1:$S$1,0),0)</f>
        <v>-2</v>
      </c>
      <c r="AI33" s="69">
        <f>VLOOKUP(AI$26,'DB Business'!$A:$S,MATCH($B33,'DB Business'!$A$1:$S$1,0),0)</f>
        <v>-2</v>
      </c>
      <c r="AJ33" s="69">
        <f>VLOOKUP(AJ$26,'DB Business'!$A:$S,MATCH($B33,'DB Business'!$A$1:$S$1,0),0)</f>
        <v>7</v>
      </c>
      <c r="AK33" s="69">
        <f>VLOOKUP(AK$26,'DB Business'!$A:$S,MATCH($B33,'DB Business'!$A$1:$S$1,0),0)</f>
        <v>12</v>
      </c>
      <c r="AL33" s="69">
        <f>VLOOKUP(AL$26,'DB Business'!$A:$S,MATCH($B33,'DB Business'!$A$1:$S$1,0),0)</f>
        <v>8</v>
      </c>
      <c r="AM33" s="69">
        <f>VLOOKUP(AM$26,'DB Business'!$A:$S,MATCH($B33,'DB Business'!$A$1:$S$1,0),0)</f>
        <v>6</v>
      </c>
      <c r="AO33" s="19">
        <f t="shared" si="3"/>
        <v>-2</v>
      </c>
      <c r="AP33" s="31">
        <f t="shared" si="4"/>
        <v>8.6666666666666661</v>
      </c>
      <c r="AQ33" s="31">
        <f t="shared" si="5"/>
        <v>4.833333333333333</v>
      </c>
    </row>
    <row r="34" spans="2:43" x14ac:dyDescent="0.35">
      <c r="B34" s="2" t="s">
        <v>35</v>
      </c>
      <c r="C34" s="69">
        <f>VLOOKUP(C$26,'DB Business'!$A:$S,MATCH($B34,'DB Business'!$A$1:$S$1,0),0)</f>
        <v>9</v>
      </c>
      <c r="D34" s="69">
        <f>VLOOKUP(D$26,'DB Business'!$A:$S,MATCH($B34,'DB Business'!$A$1:$S$1,0),0)</f>
        <v>7</v>
      </c>
      <c r="E34" s="69">
        <f>VLOOKUP(E$26,'DB Business'!$A:$S,MATCH($B34,'DB Business'!$A$1:$S$1,0),0)</f>
        <v>-3</v>
      </c>
      <c r="F34" s="69">
        <f>VLOOKUP(F$26,'DB Business'!$A:$S,MATCH($B34,'DB Business'!$A$1:$S$1,0),0)</f>
        <v>-15</v>
      </c>
      <c r="G34" s="69">
        <f>VLOOKUP(G$26,'DB Business'!$A:$S,MATCH($B34,'DB Business'!$A$1:$S$1,0),0)</f>
        <v>-2</v>
      </c>
      <c r="H34" s="69">
        <f>VLOOKUP(H$26,'DB Business'!$A:$S,MATCH($B34,'DB Business'!$A$1:$S$1,0),0)</f>
        <v>5</v>
      </c>
      <c r="I34" s="69">
        <f>VLOOKUP(I$26,'DB Business'!$A:$S,MATCH($B34,'DB Business'!$A$1:$S$1,0),0)</f>
        <v>14</v>
      </c>
      <c r="J34" s="69">
        <f>VLOOKUP(J$26,'DB Business'!$A:$S,MATCH($B34,'DB Business'!$A$1:$S$1,0),0)</f>
        <v>5</v>
      </c>
      <c r="K34" s="69">
        <f>VLOOKUP(K$26,'DB Business'!$A:$S,MATCH($B34,'DB Business'!$A$1:$S$1,0),0)</f>
        <v>11</v>
      </c>
      <c r="L34" s="69">
        <f>VLOOKUP(L$26,'DB Business'!$A:$S,MATCH($B34,'DB Business'!$A$1:$S$1,0),0)</f>
        <v>16</v>
      </c>
      <c r="M34" s="69">
        <f>VLOOKUP(M$26,'DB Business'!$A:$S,MATCH($B34,'DB Business'!$A$1:$S$1,0),0)</f>
        <v>14</v>
      </c>
      <c r="N34" s="69">
        <f>VLOOKUP(N$26,'DB Business'!$A:$S,MATCH($B34,'DB Business'!$A$1:$S$1,0),0)</f>
        <v>9</v>
      </c>
      <c r="O34" s="69">
        <f>VLOOKUP(O$26,'DB Business'!$A:$S,MATCH($B34,'DB Business'!$A$1:$S$1,0),0)</f>
        <v>0</v>
      </c>
      <c r="P34" s="69">
        <f>VLOOKUP(P$26,'DB Business'!$A:$S,MATCH($B34,'DB Business'!$A$1:$S$1,0),0)</f>
        <v>11</v>
      </c>
      <c r="Q34" s="69">
        <f>VLOOKUP(Q$26,'DB Business'!$A:$S,MATCH($B34,'DB Business'!$A$1:$S$1,0),0)</f>
        <v>7</v>
      </c>
      <c r="R34" s="69">
        <f>VLOOKUP(R$26,'DB Business'!$A:$S,MATCH($B34,'DB Business'!$A$1:$S$1,0),0)</f>
        <v>5</v>
      </c>
      <c r="S34" s="69">
        <f>VLOOKUP(S$26,'DB Business'!$A:$S,MATCH($B34,'DB Business'!$A$1:$S$1,0),0)</f>
        <v>10</v>
      </c>
      <c r="T34" s="69">
        <f>VLOOKUP(T$26,'DB Business'!$A:$S,MATCH($B34,'DB Business'!$A$1:$S$1,0),0)</f>
        <v>11</v>
      </c>
      <c r="U34" s="69">
        <f>VLOOKUP(U$26,'DB Business'!$A:$S,MATCH($B34,'DB Business'!$A$1:$S$1,0),0)</f>
        <v>9</v>
      </c>
      <c r="V34" s="69">
        <f>VLOOKUP(V$26,'DB Business'!$A:$S,MATCH($B34,'DB Business'!$A$1:$S$1,0),0)</f>
        <v>4</v>
      </c>
      <c r="W34" s="69">
        <f>VLOOKUP(W$26,'DB Business'!$A:$S,MATCH($B34,'DB Business'!$A$1:$S$1,0),0)</f>
        <v>1</v>
      </c>
      <c r="X34" s="69">
        <f>VLOOKUP(X$26,'DB Business'!$A:$S,MATCH($B34,'DB Business'!$A$1:$S$1,0),0)</f>
        <v>14</v>
      </c>
      <c r="Y34" s="69">
        <f>VLOOKUP(Y$26,'DB Business'!$A:$S,MATCH($B34,'DB Business'!$A$1:$S$1,0),0)</f>
        <v>13</v>
      </c>
      <c r="Z34" s="69">
        <f>VLOOKUP(Z$26,'DB Business'!$A:$S,MATCH($B34,'DB Business'!$A$1:$S$1,0),0)</f>
        <v>14</v>
      </c>
      <c r="AA34" s="69">
        <f>VLOOKUP(AA$26,'DB Business'!$A:$S,MATCH($B34,'DB Business'!$A$1:$S$1,0),0)</f>
        <v>-3</v>
      </c>
      <c r="AB34" s="69">
        <f>VLOOKUP(AB$26,'DB Business'!$A:$S,MATCH($B34,'DB Business'!$A$1:$S$1,0),0)</f>
        <v>11</v>
      </c>
      <c r="AC34" s="69">
        <f>VLOOKUP(AC$26,'DB Business'!$A:$S,MATCH($B34,'DB Business'!$A$1:$S$1,0),0)</f>
        <v>4</v>
      </c>
      <c r="AD34" s="69">
        <f>VLOOKUP(AD$26,'DB Business'!$A:$S,MATCH($B34,'DB Business'!$A$1:$S$1,0),0)</f>
        <v>8</v>
      </c>
      <c r="AE34" s="69">
        <f>VLOOKUP(AE$26,'DB Business'!$A:$S,MATCH($B34,'DB Business'!$A$1:$S$1,0),0)</f>
        <v>2</v>
      </c>
      <c r="AF34" s="69">
        <f>VLOOKUP(AF$26,'DB Business'!$A:$S,MATCH($B34,'DB Business'!$A$1:$S$1,0),0)</f>
        <v>2</v>
      </c>
      <c r="AG34" s="69">
        <f>VLOOKUP(AG$26,'DB Business'!$A:$S,MATCH($B34,'DB Business'!$A$1:$S$1,0),0)</f>
        <v>2</v>
      </c>
      <c r="AH34" s="69">
        <f>VLOOKUP(AH$26,'DB Business'!$A:$S,MATCH($B34,'DB Business'!$A$1:$S$1,0),0)</f>
        <v>5</v>
      </c>
      <c r="AI34" s="69">
        <f>VLOOKUP(AI$26,'DB Business'!$A:$S,MATCH($B34,'DB Business'!$A$1:$S$1,0),0)</f>
        <v>1</v>
      </c>
      <c r="AJ34" s="69">
        <f>VLOOKUP(AJ$26,'DB Business'!$A:$S,MATCH($B34,'DB Business'!$A$1:$S$1,0),0)</f>
        <v>9</v>
      </c>
      <c r="AK34" s="69">
        <f>VLOOKUP(AK$26,'DB Business'!$A:$S,MATCH($B34,'DB Business'!$A$1:$S$1,0),0)</f>
        <v>2</v>
      </c>
      <c r="AL34" s="69">
        <f>VLOOKUP(AL$26,'DB Business'!$A:$S,MATCH($B34,'DB Business'!$A$1:$S$1,0),0)</f>
        <v>4</v>
      </c>
      <c r="AM34" s="69">
        <f>VLOOKUP(AM$26,'DB Business'!$A:$S,MATCH($B34,'DB Business'!$A$1:$S$1,0),0)</f>
        <v>-4</v>
      </c>
      <c r="AO34" s="19">
        <f t="shared" si="3"/>
        <v>-8</v>
      </c>
      <c r="AP34" s="31">
        <f t="shared" si="4"/>
        <v>0.66666666666666663</v>
      </c>
      <c r="AQ34" s="31">
        <f t="shared" si="5"/>
        <v>2.8333333333333335</v>
      </c>
    </row>
    <row r="35" spans="2:43" x14ac:dyDescent="0.35">
      <c r="B35" s="2" t="s">
        <v>33</v>
      </c>
      <c r="C35" s="69">
        <f>VLOOKUP(C$26,'DB Business'!$A:$S,MATCH($B35,'DB Business'!$A$1:$S$1,0),0)</f>
        <v>7</v>
      </c>
      <c r="D35" s="69">
        <f>VLOOKUP(D$26,'DB Business'!$A:$S,MATCH($B35,'DB Business'!$A$1:$S$1,0),0)</f>
        <v>9</v>
      </c>
      <c r="E35" s="69">
        <f>VLOOKUP(E$26,'DB Business'!$A:$S,MATCH($B35,'DB Business'!$A$1:$S$1,0),0)</f>
        <v>1</v>
      </c>
      <c r="F35" s="69">
        <f>VLOOKUP(F$26,'DB Business'!$A:$S,MATCH($B35,'DB Business'!$A$1:$S$1,0),0)</f>
        <v>0</v>
      </c>
      <c r="G35" s="69">
        <f>VLOOKUP(G$26,'DB Business'!$A:$S,MATCH($B35,'DB Business'!$A$1:$S$1,0),0)</f>
        <v>2</v>
      </c>
      <c r="H35" s="69">
        <f>VLOOKUP(H$26,'DB Business'!$A:$S,MATCH($B35,'DB Business'!$A$1:$S$1,0),0)</f>
        <v>13</v>
      </c>
      <c r="I35" s="69">
        <f>VLOOKUP(I$26,'DB Business'!$A:$S,MATCH($B35,'DB Business'!$A$1:$S$1,0),0)</f>
        <v>2</v>
      </c>
      <c r="J35" s="69">
        <f>VLOOKUP(J$26,'DB Business'!$A:$S,MATCH($B35,'DB Business'!$A$1:$S$1,0),0)</f>
        <v>4</v>
      </c>
      <c r="K35" s="69">
        <f>VLOOKUP(K$26,'DB Business'!$A:$S,MATCH($B35,'DB Business'!$A$1:$S$1,0),0)</f>
        <v>7</v>
      </c>
      <c r="L35" s="69">
        <f>VLOOKUP(L$26,'DB Business'!$A:$S,MATCH($B35,'DB Business'!$A$1:$S$1,0),0)</f>
        <v>8</v>
      </c>
      <c r="M35" s="69">
        <f>VLOOKUP(M$26,'DB Business'!$A:$S,MATCH($B35,'DB Business'!$A$1:$S$1,0),0)</f>
        <v>9</v>
      </c>
      <c r="N35" s="69">
        <f>VLOOKUP(N$26,'DB Business'!$A:$S,MATCH($B35,'DB Business'!$A$1:$S$1,0),0)</f>
        <v>3</v>
      </c>
      <c r="O35" s="69">
        <f>VLOOKUP(O$26,'DB Business'!$A:$S,MATCH($B35,'DB Business'!$A$1:$S$1,0),0)</f>
        <v>0</v>
      </c>
      <c r="P35" s="69">
        <f>VLOOKUP(P$26,'DB Business'!$A:$S,MATCH($B35,'DB Business'!$A$1:$S$1,0),0)</f>
        <v>4</v>
      </c>
      <c r="Q35" s="69">
        <f>VLOOKUP(Q$26,'DB Business'!$A:$S,MATCH($B35,'DB Business'!$A$1:$S$1,0),0)</f>
        <v>9</v>
      </c>
      <c r="R35" s="69">
        <f>VLOOKUP(R$26,'DB Business'!$A:$S,MATCH($B35,'DB Business'!$A$1:$S$1,0),0)</f>
        <v>7</v>
      </c>
      <c r="S35" s="69">
        <f>VLOOKUP(S$26,'DB Business'!$A:$S,MATCH($B35,'DB Business'!$A$1:$S$1,0),0)</f>
        <v>15</v>
      </c>
      <c r="T35" s="69">
        <f>VLOOKUP(T$26,'DB Business'!$A:$S,MATCH($B35,'DB Business'!$A$1:$S$1,0),0)</f>
        <v>5</v>
      </c>
      <c r="U35" s="69">
        <f>VLOOKUP(U$26,'DB Business'!$A:$S,MATCH($B35,'DB Business'!$A$1:$S$1,0),0)</f>
        <v>3</v>
      </c>
      <c r="V35" s="69">
        <f>VLOOKUP(V$26,'DB Business'!$A:$S,MATCH($B35,'DB Business'!$A$1:$S$1,0),0)</f>
        <v>5</v>
      </c>
      <c r="W35" s="69">
        <f>VLOOKUP(W$26,'DB Business'!$A:$S,MATCH($B35,'DB Business'!$A$1:$S$1,0),0)</f>
        <v>8</v>
      </c>
      <c r="X35" s="69">
        <f>VLOOKUP(X$26,'DB Business'!$A:$S,MATCH($B35,'DB Business'!$A$1:$S$1,0),0)</f>
        <v>7</v>
      </c>
      <c r="Y35" s="69">
        <f>VLOOKUP(Y$26,'DB Business'!$A:$S,MATCH($B35,'DB Business'!$A$1:$S$1,0),0)</f>
        <v>5</v>
      </c>
      <c r="Z35" s="69">
        <f>VLOOKUP(Z$26,'DB Business'!$A:$S,MATCH($B35,'DB Business'!$A$1:$S$1,0),0)</f>
        <v>6</v>
      </c>
      <c r="AA35" s="69">
        <f>VLOOKUP(AA$26,'DB Business'!$A:$S,MATCH($B35,'DB Business'!$A$1:$S$1,0),0)</f>
        <v>2</v>
      </c>
      <c r="AB35" s="69">
        <f>VLOOKUP(AB$26,'DB Business'!$A:$S,MATCH($B35,'DB Business'!$A$1:$S$1,0),0)</f>
        <v>8</v>
      </c>
      <c r="AC35" s="69">
        <f>VLOOKUP(AC$26,'DB Business'!$A:$S,MATCH($B35,'DB Business'!$A$1:$S$1,0),0)</f>
        <v>3</v>
      </c>
      <c r="AD35" s="69">
        <f>VLOOKUP(AD$26,'DB Business'!$A:$S,MATCH($B35,'DB Business'!$A$1:$S$1,0),0)</f>
        <v>1</v>
      </c>
      <c r="AE35" s="69">
        <f>VLOOKUP(AE$26,'DB Business'!$A:$S,MATCH($B35,'DB Business'!$A$1:$S$1,0),0)</f>
        <v>0</v>
      </c>
      <c r="AF35" s="69">
        <f>VLOOKUP(AF$26,'DB Business'!$A:$S,MATCH($B35,'DB Business'!$A$1:$S$1,0),0)</f>
        <v>7</v>
      </c>
      <c r="AG35" s="69">
        <f>VLOOKUP(AG$26,'DB Business'!$A:$S,MATCH($B35,'DB Business'!$A$1:$S$1,0),0)</f>
        <v>-1</v>
      </c>
      <c r="AH35" s="69">
        <f>VLOOKUP(AH$26,'DB Business'!$A:$S,MATCH($B35,'DB Business'!$A$1:$S$1,0),0)</f>
        <v>1</v>
      </c>
      <c r="AI35" s="69">
        <f>VLOOKUP(AI$26,'DB Business'!$A:$S,MATCH($B35,'DB Business'!$A$1:$S$1,0),0)</f>
        <v>8</v>
      </c>
      <c r="AJ35" s="69">
        <f>VLOOKUP(AJ$26,'DB Business'!$A:$S,MATCH($B35,'DB Business'!$A$1:$S$1,0),0)</f>
        <v>4</v>
      </c>
      <c r="AK35" s="69">
        <f>VLOOKUP(AK$26,'DB Business'!$A:$S,MATCH($B35,'DB Business'!$A$1:$S$1,0),0)</f>
        <v>0</v>
      </c>
      <c r="AL35" s="69">
        <f>VLOOKUP(AL$26,'DB Business'!$A:$S,MATCH($B35,'DB Business'!$A$1:$S$1,0),0)</f>
        <v>3</v>
      </c>
      <c r="AM35" s="69">
        <f>VLOOKUP(AM$26,'DB Business'!$A:$S,MATCH($B35,'DB Business'!$A$1:$S$1,0),0)</f>
        <v>2</v>
      </c>
      <c r="AO35" s="19">
        <f t="shared" si="3"/>
        <v>-1</v>
      </c>
      <c r="AP35" s="31">
        <f t="shared" si="4"/>
        <v>1.6666666666666667</v>
      </c>
      <c r="AQ35" s="31">
        <f t="shared" si="5"/>
        <v>3</v>
      </c>
    </row>
    <row r="36" spans="2:43" x14ac:dyDescent="0.35">
      <c r="B36" s="2" t="s">
        <v>34</v>
      </c>
      <c r="C36" s="69">
        <f>VLOOKUP(C$26,'DB Business'!$A:$S,MATCH($B36,'DB Business'!$A$1:$S$1,0),0)</f>
        <v>0</v>
      </c>
      <c r="D36" s="69">
        <f>VLOOKUP(D$26,'DB Business'!$A:$S,MATCH($B36,'DB Business'!$A$1:$S$1,0),0)</f>
        <v>10</v>
      </c>
      <c r="E36" s="69">
        <f>VLOOKUP(E$26,'DB Business'!$A:$S,MATCH($B36,'DB Business'!$A$1:$S$1,0),0)</f>
        <v>0</v>
      </c>
      <c r="F36" s="69">
        <f>VLOOKUP(F$26,'DB Business'!$A:$S,MATCH($B36,'DB Business'!$A$1:$S$1,0),0)</f>
        <v>-12</v>
      </c>
      <c r="G36" s="69">
        <f>VLOOKUP(G$26,'DB Business'!$A:$S,MATCH($B36,'DB Business'!$A$1:$S$1,0),0)</f>
        <v>0</v>
      </c>
      <c r="H36" s="69">
        <f>VLOOKUP(H$26,'DB Business'!$A:$S,MATCH($B36,'DB Business'!$A$1:$S$1,0),0)</f>
        <v>7</v>
      </c>
      <c r="I36" s="69">
        <f>VLOOKUP(I$26,'DB Business'!$A:$S,MATCH($B36,'DB Business'!$A$1:$S$1,0),0)</f>
        <v>8</v>
      </c>
      <c r="J36" s="69">
        <f>VLOOKUP(J$26,'DB Business'!$A:$S,MATCH($B36,'DB Business'!$A$1:$S$1,0),0)</f>
        <v>10</v>
      </c>
      <c r="K36" s="69">
        <f>VLOOKUP(K$26,'DB Business'!$A:$S,MATCH($B36,'DB Business'!$A$1:$S$1,0),0)</f>
        <v>15</v>
      </c>
      <c r="L36" s="69">
        <f>VLOOKUP(L$26,'DB Business'!$A:$S,MATCH($B36,'DB Business'!$A$1:$S$1,0),0)</f>
        <v>13</v>
      </c>
      <c r="M36" s="69">
        <f>VLOOKUP(M$26,'DB Business'!$A:$S,MATCH($B36,'DB Business'!$A$1:$S$1,0),0)</f>
        <v>-3</v>
      </c>
      <c r="N36" s="69">
        <f>VLOOKUP(N$26,'DB Business'!$A:$S,MATCH($B36,'DB Business'!$A$1:$S$1,0),0)</f>
        <v>-3</v>
      </c>
      <c r="O36" s="69">
        <f>VLOOKUP(O$26,'DB Business'!$A:$S,MATCH($B36,'DB Business'!$A$1:$S$1,0),0)</f>
        <v>8</v>
      </c>
      <c r="P36" s="69">
        <f>VLOOKUP(P$26,'DB Business'!$A:$S,MATCH($B36,'DB Business'!$A$1:$S$1,0),0)</f>
        <v>-3</v>
      </c>
      <c r="Q36" s="69">
        <f>VLOOKUP(Q$26,'DB Business'!$A:$S,MATCH($B36,'DB Business'!$A$1:$S$1,0),0)</f>
        <v>11</v>
      </c>
      <c r="R36" s="69">
        <f>VLOOKUP(R$26,'DB Business'!$A:$S,MATCH($B36,'DB Business'!$A$1:$S$1,0),0)</f>
        <v>1</v>
      </c>
      <c r="S36" s="69">
        <f>VLOOKUP(S$26,'DB Business'!$A:$S,MATCH($B36,'DB Business'!$A$1:$S$1,0),0)</f>
        <v>12</v>
      </c>
      <c r="T36" s="69">
        <f>VLOOKUP(T$26,'DB Business'!$A:$S,MATCH($B36,'DB Business'!$A$1:$S$1,0),0)</f>
        <v>-2</v>
      </c>
      <c r="U36" s="69">
        <f>VLOOKUP(U$26,'DB Business'!$A:$S,MATCH($B36,'DB Business'!$A$1:$S$1,0),0)</f>
        <v>13</v>
      </c>
      <c r="V36" s="69">
        <f>VLOOKUP(V$26,'DB Business'!$A:$S,MATCH($B36,'DB Business'!$A$1:$S$1,0),0)</f>
        <v>-1</v>
      </c>
      <c r="W36" s="69">
        <f>VLOOKUP(W$26,'DB Business'!$A:$S,MATCH($B36,'DB Business'!$A$1:$S$1,0),0)</f>
        <v>14</v>
      </c>
      <c r="X36" s="69">
        <f>VLOOKUP(X$26,'DB Business'!$A:$S,MATCH($B36,'DB Business'!$A$1:$S$1,0),0)</f>
        <v>17</v>
      </c>
      <c r="Y36" s="69">
        <f>VLOOKUP(Y$26,'DB Business'!$A:$S,MATCH($B36,'DB Business'!$A$1:$S$1,0),0)</f>
        <v>14</v>
      </c>
      <c r="Z36" s="69">
        <f>VLOOKUP(Z$26,'DB Business'!$A:$S,MATCH($B36,'DB Business'!$A$1:$S$1,0),0)</f>
        <v>5</v>
      </c>
      <c r="AA36" s="69">
        <f>VLOOKUP(AA$26,'DB Business'!$A:$S,MATCH($B36,'DB Business'!$A$1:$S$1,0),0)</f>
        <v>-2</v>
      </c>
      <c r="AB36" s="69">
        <f>VLOOKUP(AB$26,'DB Business'!$A:$S,MATCH($B36,'DB Business'!$A$1:$S$1,0),0)</f>
        <v>-4</v>
      </c>
      <c r="AC36" s="69">
        <f>VLOOKUP(AC$26,'DB Business'!$A:$S,MATCH($B36,'DB Business'!$A$1:$S$1,0),0)</f>
        <v>0</v>
      </c>
      <c r="AD36" s="69">
        <f>VLOOKUP(AD$26,'DB Business'!$A:$S,MATCH($B36,'DB Business'!$A$1:$S$1,0),0)</f>
        <v>14</v>
      </c>
      <c r="AE36" s="69">
        <f>VLOOKUP(AE$26,'DB Business'!$A:$S,MATCH($B36,'DB Business'!$A$1:$S$1,0),0)</f>
        <v>8</v>
      </c>
      <c r="AF36" s="69">
        <f>VLOOKUP(AF$26,'DB Business'!$A:$S,MATCH($B36,'DB Business'!$A$1:$S$1,0),0)</f>
        <v>0</v>
      </c>
      <c r="AG36" s="69">
        <f>VLOOKUP(AG$26,'DB Business'!$A:$S,MATCH($B36,'DB Business'!$A$1:$S$1,0),0)</f>
        <v>12</v>
      </c>
      <c r="AH36" s="69">
        <f>VLOOKUP(AH$26,'DB Business'!$A:$S,MATCH($B36,'DB Business'!$A$1:$S$1,0),0)</f>
        <v>11</v>
      </c>
      <c r="AI36" s="69">
        <f>VLOOKUP(AI$26,'DB Business'!$A:$S,MATCH($B36,'DB Business'!$A$1:$S$1,0),0)</f>
        <v>5</v>
      </c>
      <c r="AJ36" s="69">
        <f>VLOOKUP(AJ$26,'DB Business'!$A:$S,MATCH($B36,'DB Business'!$A$1:$S$1,0),0)</f>
        <v>-2</v>
      </c>
      <c r="AK36" s="69">
        <f>VLOOKUP(AK$26,'DB Business'!$A:$S,MATCH($B36,'DB Business'!$A$1:$S$1,0),0)</f>
        <v>13</v>
      </c>
      <c r="AL36" s="69">
        <f>VLOOKUP(AL$26,'DB Business'!$A:$S,MATCH($B36,'DB Business'!$A$1:$S$1,0),0)</f>
        <v>-4</v>
      </c>
      <c r="AM36" s="69">
        <f>VLOOKUP(AM$26,'DB Business'!$A:$S,MATCH($B36,'DB Business'!$A$1:$S$1,0),0)</f>
        <v>0</v>
      </c>
      <c r="AO36" s="19">
        <f t="shared" si="3"/>
        <v>4</v>
      </c>
      <c r="AP36" s="31">
        <f t="shared" si="4"/>
        <v>3</v>
      </c>
      <c r="AQ36" s="31">
        <f t="shared" si="5"/>
        <v>3.8333333333333335</v>
      </c>
    </row>
    <row r="37" spans="2:43" x14ac:dyDescent="0.35">
      <c r="B37" s="2" t="s">
        <v>39</v>
      </c>
      <c r="C37" s="69">
        <f>VLOOKUP(C$26,'DB Business'!$A:$S,MATCH($B37,'DB Business'!$A$1:$S$1,0),0)</f>
        <v>8</v>
      </c>
      <c r="D37" s="69">
        <f>VLOOKUP(D$26,'DB Business'!$A:$S,MATCH($B37,'DB Business'!$A$1:$S$1,0),0)</f>
        <v>8</v>
      </c>
      <c r="E37" s="69">
        <f>VLOOKUP(E$26,'DB Business'!$A:$S,MATCH($B37,'DB Business'!$A$1:$S$1,0),0)</f>
        <v>2</v>
      </c>
      <c r="F37" s="69">
        <f>VLOOKUP(F$26,'DB Business'!$A:$S,MATCH($B37,'DB Business'!$A$1:$S$1,0),0)</f>
        <v>-1</v>
      </c>
      <c r="G37" s="69">
        <f>VLOOKUP(G$26,'DB Business'!$A:$S,MATCH($B37,'DB Business'!$A$1:$S$1,0),0)</f>
        <v>0</v>
      </c>
      <c r="H37" s="69">
        <f>VLOOKUP(H$26,'DB Business'!$A:$S,MATCH($B37,'DB Business'!$A$1:$S$1,0),0)</f>
        <v>0</v>
      </c>
      <c r="I37" s="69">
        <f>VLOOKUP(I$26,'DB Business'!$A:$S,MATCH($B37,'DB Business'!$A$1:$S$1,0),0)</f>
        <v>7</v>
      </c>
      <c r="J37" s="69">
        <f>VLOOKUP(J$26,'DB Business'!$A:$S,MATCH($B37,'DB Business'!$A$1:$S$1,0),0)</f>
        <v>7</v>
      </c>
      <c r="K37" s="69">
        <f>VLOOKUP(K$26,'DB Business'!$A:$S,MATCH($B37,'DB Business'!$A$1:$S$1,0),0)</f>
        <v>6</v>
      </c>
      <c r="L37" s="69">
        <f>VLOOKUP(L$26,'DB Business'!$A:$S,MATCH($B37,'DB Business'!$A$1:$S$1,0),0)</f>
        <v>-1</v>
      </c>
      <c r="M37" s="69">
        <f>VLOOKUP(M$26,'DB Business'!$A:$S,MATCH($B37,'DB Business'!$A$1:$S$1,0),0)</f>
        <v>3</v>
      </c>
      <c r="N37" s="69">
        <f>VLOOKUP(N$26,'DB Business'!$A:$S,MATCH($B37,'DB Business'!$A$1:$S$1,0),0)</f>
        <v>0</v>
      </c>
      <c r="O37" s="69">
        <f>VLOOKUP(O$26,'DB Business'!$A:$S,MATCH($B37,'DB Business'!$A$1:$S$1,0),0)</f>
        <v>3</v>
      </c>
      <c r="P37" s="69">
        <f>VLOOKUP(P$26,'DB Business'!$A:$S,MATCH($B37,'DB Business'!$A$1:$S$1,0),0)</f>
        <v>10</v>
      </c>
      <c r="Q37" s="69">
        <f>VLOOKUP(Q$26,'DB Business'!$A:$S,MATCH($B37,'DB Business'!$A$1:$S$1,0),0)</f>
        <v>8</v>
      </c>
      <c r="R37" s="69">
        <f>VLOOKUP(R$26,'DB Business'!$A:$S,MATCH($B37,'DB Business'!$A$1:$S$1,0),0)</f>
        <v>14</v>
      </c>
      <c r="S37" s="69">
        <f>VLOOKUP(S$26,'DB Business'!$A:$S,MATCH($B37,'DB Business'!$A$1:$S$1,0),0)</f>
        <v>1</v>
      </c>
      <c r="T37" s="69">
        <f>VLOOKUP(T$26,'DB Business'!$A:$S,MATCH($B37,'DB Business'!$A$1:$S$1,0),0)</f>
        <v>7</v>
      </c>
      <c r="U37" s="69">
        <f>VLOOKUP(U$26,'DB Business'!$A:$S,MATCH($B37,'DB Business'!$A$1:$S$1,0),0)</f>
        <v>8</v>
      </c>
      <c r="V37" s="69">
        <f>VLOOKUP(V$26,'DB Business'!$A:$S,MATCH($B37,'DB Business'!$A$1:$S$1,0),0)</f>
        <v>15</v>
      </c>
      <c r="W37" s="69">
        <f>VLOOKUP(W$26,'DB Business'!$A:$S,MATCH($B37,'DB Business'!$A$1:$S$1,0),0)</f>
        <v>5</v>
      </c>
      <c r="X37" s="69">
        <f>VLOOKUP(X$26,'DB Business'!$A:$S,MATCH($B37,'DB Business'!$A$1:$S$1,0),0)</f>
        <v>1</v>
      </c>
      <c r="Y37" s="69">
        <f>VLOOKUP(Y$26,'DB Business'!$A:$S,MATCH($B37,'DB Business'!$A$1:$S$1,0),0)</f>
        <v>9</v>
      </c>
      <c r="Z37" s="69">
        <f>VLOOKUP(Z$26,'DB Business'!$A:$S,MATCH($B37,'DB Business'!$A$1:$S$1,0),0)</f>
        <v>1</v>
      </c>
      <c r="AA37" s="69">
        <f>VLOOKUP(AA$26,'DB Business'!$A:$S,MATCH($B37,'DB Business'!$A$1:$S$1,0),0)</f>
        <v>5</v>
      </c>
      <c r="AB37" s="69">
        <f>VLOOKUP(AB$26,'DB Business'!$A:$S,MATCH($B37,'DB Business'!$A$1:$S$1,0),0)</f>
        <v>6</v>
      </c>
      <c r="AC37" s="69">
        <f>VLOOKUP(AC$26,'DB Business'!$A:$S,MATCH($B37,'DB Business'!$A$1:$S$1,0),0)</f>
        <v>5</v>
      </c>
      <c r="AD37" s="69">
        <f>VLOOKUP(AD$26,'DB Business'!$A:$S,MATCH($B37,'DB Business'!$A$1:$S$1,0),0)</f>
        <v>10</v>
      </c>
      <c r="AE37" s="69">
        <f>VLOOKUP(AE$26,'DB Business'!$A:$S,MATCH($B37,'DB Business'!$A$1:$S$1,0),0)</f>
        <v>3</v>
      </c>
      <c r="AF37" s="69">
        <f>VLOOKUP(AF$26,'DB Business'!$A:$S,MATCH($B37,'DB Business'!$A$1:$S$1,0),0)</f>
        <v>1</v>
      </c>
      <c r="AG37" s="69">
        <f>VLOOKUP(AG$26,'DB Business'!$A:$S,MATCH($B37,'DB Business'!$A$1:$S$1,0),0)</f>
        <v>10</v>
      </c>
      <c r="AH37" s="69">
        <f>VLOOKUP(AH$26,'DB Business'!$A:$S,MATCH($B37,'DB Business'!$A$1:$S$1,0),0)</f>
        <v>4</v>
      </c>
      <c r="AI37" s="69">
        <f>VLOOKUP(AI$26,'DB Business'!$A:$S,MATCH($B37,'DB Business'!$A$1:$S$1,0),0)</f>
        <v>4</v>
      </c>
      <c r="AJ37" s="69">
        <f>VLOOKUP(AJ$26,'DB Business'!$A:$S,MATCH($B37,'DB Business'!$A$1:$S$1,0),0)</f>
        <v>0</v>
      </c>
      <c r="AK37" s="69">
        <f>VLOOKUP(AK$26,'DB Business'!$A:$S,MATCH($B37,'DB Business'!$A$1:$S$1,0),0)</f>
        <v>9</v>
      </c>
      <c r="AL37" s="69">
        <f>VLOOKUP(AL$26,'DB Business'!$A:$S,MATCH($B37,'DB Business'!$A$1:$S$1,0),0)</f>
        <v>7</v>
      </c>
      <c r="AM37" s="69">
        <f>VLOOKUP(AM$26,'DB Business'!$A:$S,MATCH($B37,'DB Business'!$A$1:$S$1,0),0)</f>
        <v>10</v>
      </c>
      <c r="AO37" s="19">
        <f t="shared" si="3"/>
        <v>3</v>
      </c>
      <c r="AP37" s="31">
        <f t="shared" si="4"/>
        <v>8.6666666666666661</v>
      </c>
      <c r="AQ37" s="31">
        <f t="shared" si="5"/>
        <v>5.666666666666667</v>
      </c>
    </row>
    <row r="38" spans="2:43" x14ac:dyDescent="0.35">
      <c r="B38" s="2" t="s">
        <v>41</v>
      </c>
      <c r="C38" s="69">
        <f>VLOOKUP(C$26,'DB Business'!$A:$S,MATCH($B38,'DB Business'!$A$1:$S$1,0),0)</f>
        <v>12</v>
      </c>
      <c r="D38" s="69">
        <f>VLOOKUP(D$26,'DB Business'!$A:$S,MATCH($B38,'DB Business'!$A$1:$S$1,0),0)</f>
        <v>0</v>
      </c>
      <c r="E38" s="69">
        <f>VLOOKUP(E$26,'DB Business'!$A:$S,MATCH($B38,'DB Business'!$A$1:$S$1,0),0)</f>
        <v>0</v>
      </c>
      <c r="F38" s="69">
        <f>VLOOKUP(F$26,'DB Business'!$A:$S,MATCH($B38,'DB Business'!$A$1:$S$1,0),0)</f>
        <v>-16</v>
      </c>
      <c r="G38" s="69">
        <f>VLOOKUP(G$26,'DB Business'!$A:$S,MATCH($B38,'DB Business'!$A$1:$S$1,0),0)</f>
        <v>3</v>
      </c>
      <c r="H38" s="69">
        <f>VLOOKUP(H$26,'DB Business'!$A:$S,MATCH($B38,'DB Business'!$A$1:$S$1,0),0)</f>
        <v>8</v>
      </c>
      <c r="I38" s="69">
        <f>VLOOKUP(I$26,'DB Business'!$A:$S,MATCH($B38,'DB Business'!$A$1:$S$1,0),0)</f>
        <v>6</v>
      </c>
      <c r="J38" s="69">
        <f>VLOOKUP(J$26,'DB Business'!$A:$S,MATCH($B38,'DB Business'!$A$1:$S$1,0),0)</f>
        <v>-3</v>
      </c>
      <c r="K38" s="69">
        <f>VLOOKUP(K$26,'DB Business'!$A:$S,MATCH($B38,'DB Business'!$A$1:$S$1,0),0)</f>
        <v>-1</v>
      </c>
      <c r="L38" s="69">
        <f>VLOOKUP(L$26,'DB Business'!$A:$S,MATCH($B38,'DB Business'!$A$1:$S$1,0),0)</f>
        <v>12</v>
      </c>
      <c r="M38" s="69">
        <f>VLOOKUP(M$26,'DB Business'!$A:$S,MATCH($B38,'DB Business'!$A$1:$S$1,0),0)</f>
        <v>-1</v>
      </c>
      <c r="N38" s="69">
        <f>VLOOKUP(N$26,'DB Business'!$A:$S,MATCH($B38,'DB Business'!$A$1:$S$1,0),0)</f>
        <v>6</v>
      </c>
      <c r="O38" s="69">
        <f>VLOOKUP(O$26,'DB Business'!$A:$S,MATCH($B38,'DB Business'!$A$1:$S$1,0),0)</f>
        <v>0</v>
      </c>
      <c r="P38" s="69">
        <f>VLOOKUP(P$26,'DB Business'!$A:$S,MATCH($B38,'DB Business'!$A$1:$S$1,0),0)</f>
        <v>-2</v>
      </c>
      <c r="Q38" s="69">
        <f>VLOOKUP(Q$26,'DB Business'!$A:$S,MATCH($B38,'DB Business'!$A$1:$S$1,0),0)</f>
        <v>12</v>
      </c>
      <c r="R38" s="69">
        <f>VLOOKUP(R$26,'DB Business'!$A:$S,MATCH($B38,'DB Business'!$A$1:$S$1,0),0)</f>
        <v>-1</v>
      </c>
      <c r="S38" s="69">
        <f>VLOOKUP(S$26,'DB Business'!$A:$S,MATCH($B38,'DB Business'!$A$1:$S$1,0),0)</f>
        <v>3</v>
      </c>
      <c r="T38" s="69">
        <f>VLOOKUP(T$26,'DB Business'!$A:$S,MATCH($B38,'DB Business'!$A$1:$S$1,0),0)</f>
        <v>-1</v>
      </c>
      <c r="U38" s="69">
        <f>VLOOKUP(U$26,'DB Business'!$A:$S,MATCH($B38,'DB Business'!$A$1:$S$1,0),0)</f>
        <v>0</v>
      </c>
      <c r="V38" s="69">
        <f>VLOOKUP(V$26,'DB Business'!$A:$S,MATCH($B38,'DB Business'!$A$1:$S$1,0),0)</f>
        <v>6</v>
      </c>
      <c r="W38" s="69">
        <f>VLOOKUP(W$26,'DB Business'!$A:$S,MATCH($B38,'DB Business'!$A$1:$S$1,0),0)</f>
        <v>-1</v>
      </c>
      <c r="X38" s="69">
        <f>VLOOKUP(X$26,'DB Business'!$A:$S,MATCH($B38,'DB Business'!$A$1:$S$1,0),0)</f>
        <v>-1</v>
      </c>
      <c r="Y38" s="69">
        <f>VLOOKUP(Y$26,'DB Business'!$A:$S,MATCH($B38,'DB Business'!$A$1:$S$1,0),0)</f>
        <v>8</v>
      </c>
      <c r="Z38" s="69">
        <f>VLOOKUP(Z$26,'DB Business'!$A:$S,MATCH($B38,'DB Business'!$A$1:$S$1,0),0)</f>
        <v>-2</v>
      </c>
      <c r="AA38" s="69">
        <f>VLOOKUP(AA$26,'DB Business'!$A:$S,MATCH($B38,'DB Business'!$A$1:$S$1,0),0)</f>
        <v>-6</v>
      </c>
      <c r="AB38" s="69">
        <f>VLOOKUP(AB$26,'DB Business'!$A:$S,MATCH($B38,'DB Business'!$A$1:$S$1,0),0)</f>
        <v>-2</v>
      </c>
      <c r="AC38" s="69">
        <f>VLOOKUP(AC$26,'DB Business'!$A:$S,MATCH($B38,'DB Business'!$A$1:$S$1,0),0)</f>
        <v>-2</v>
      </c>
      <c r="AD38" s="69">
        <f>VLOOKUP(AD$26,'DB Business'!$A:$S,MATCH($B38,'DB Business'!$A$1:$S$1,0),0)</f>
        <v>0</v>
      </c>
      <c r="AE38" s="69">
        <f>VLOOKUP(AE$26,'DB Business'!$A:$S,MATCH($B38,'DB Business'!$A$1:$S$1,0),0)</f>
        <v>-3</v>
      </c>
      <c r="AF38" s="69">
        <f>VLOOKUP(AF$26,'DB Business'!$A:$S,MATCH($B38,'DB Business'!$A$1:$S$1,0),0)</f>
        <v>0</v>
      </c>
      <c r="AG38" s="69">
        <f>VLOOKUP(AG$26,'DB Business'!$A:$S,MATCH($B38,'DB Business'!$A$1:$S$1,0),0)</f>
        <v>-4</v>
      </c>
      <c r="AH38" s="69">
        <f>VLOOKUP(AH$26,'DB Business'!$A:$S,MATCH($B38,'DB Business'!$A$1:$S$1,0),0)</f>
        <v>-3</v>
      </c>
      <c r="AI38" s="69">
        <f>VLOOKUP(AI$26,'DB Business'!$A:$S,MATCH($B38,'DB Business'!$A$1:$S$1,0),0)</f>
        <v>6</v>
      </c>
      <c r="AJ38" s="69">
        <f>VLOOKUP(AJ$26,'DB Business'!$A:$S,MATCH($B38,'DB Business'!$A$1:$S$1,0),0)</f>
        <v>14</v>
      </c>
      <c r="AK38" s="69">
        <f>VLOOKUP(AK$26,'DB Business'!$A:$S,MATCH($B38,'DB Business'!$A$1:$S$1,0),0)</f>
        <v>7</v>
      </c>
      <c r="AL38" s="69">
        <f>VLOOKUP(AL$26,'DB Business'!$A:$S,MATCH($B38,'DB Business'!$A$1:$S$1,0),0)</f>
        <v>0</v>
      </c>
      <c r="AM38" s="69">
        <f>VLOOKUP(AM$26,'DB Business'!$A:$S,MATCH($B38,'DB Business'!$A$1:$S$1,0),0)</f>
        <v>12</v>
      </c>
      <c r="AO38" s="19">
        <f t="shared" si="3"/>
        <v>12</v>
      </c>
      <c r="AP38" s="31">
        <f t="shared" si="4"/>
        <v>6.333333333333333</v>
      </c>
      <c r="AQ38" s="31">
        <f t="shared" si="5"/>
        <v>6</v>
      </c>
    </row>
    <row r="39" spans="2:43" x14ac:dyDescent="0.35">
      <c r="B39" s="2" t="s">
        <v>37</v>
      </c>
      <c r="C39" s="69">
        <f>VLOOKUP(C$26,'DB Business'!$A:$S,MATCH($B39,'DB Business'!$A$1:$S$1,0),0)</f>
        <v>6</v>
      </c>
      <c r="D39" s="69">
        <f>VLOOKUP(D$26,'DB Business'!$A:$S,MATCH($B39,'DB Business'!$A$1:$S$1,0),0)</f>
        <v>4</v>
      </c>
      <c r="E39" s="69">
        <f>VLOOKUP(E$26,'DB Business'!$A:$S,MATCH($B39,'DB Business'!$A$1:$S$1,0),0)</f>
        <v>3</v>
      </c>
      <c r="F39" s="69">
        <f>VLOOKUP(F$26,'DB Business'!$A:$S,MATCH($B39,'DB Business'!$A$1:$S$1,0),0)</f>
        <v>-7</v>
      </c>
      <c r="G39" s="69">
        <f>VLOOKUP(G$26,'DB Business'!$A:$S,MATCH($B39,'DB Business'!$A$1:$S$1,0),0)</f>
        <v>-11</v>
      </c>
      <c r="H39" s="69">
        <f>VLOOKUP(H$26,'DB Business'!$A:$S,MATCH($B39,'DB Business'!$A$1:$S$1,0),0)</f>
        <v>12</v>
      </c>
      <c r="I39" s="69">
        <f>VLOOKUP(I$26,'DB Business'!$A:$S,MATCH($B39,'DB Business'!$A$1:$S$1,0),0)</f>
        <v>4</v>
      </c>
      <c r="J39" s="69">
        <f>VLOOKUP(J$26,'DB Business'!$A:$S,MATCH($B39,'DB Business'!$A$1:$S$1,0),0)</f>
        <v>6</v>
      </c>
      <c r="K39" s="69">
        <f>VLOOKUP(K$26,'DB Business'!$A:$S,MATCH($B39,'DB Business'!$A$1:$S$1,0),0)</f>
        <v>4</v>
      </c>
      <c r="L39" s="69">
        <f>VLOOKUP(L$26,'DB Business'!$A:$S,MATCH($B39,'DB Business'!$A$1:$S$1,0),0)</f>
        <v>10</v>
      </c>
      <c r="M39" s="69">
        <f>VLOOKUP(M$26,'DB Business'!$A:$S,MATCH($B39,'DB Business'!$A$1:$S$1,0),0)</f>
        <v>5</v>
      </c>
      <c r="N39" s="69">
        <f>VLOOKUP(N$26,'DB Business'!$A:$S,MATCH($B39,'DB Business'!$A$1:$S$1,0),0)</f>
        <v>-2</v>
      </c>
      <c r="O39" s="69">
        <f>VLOOKUP(O$26,'DB Business'!$A:$S,MATCH($B39,'DB Business'!$A$1:$S$1,0),0)</f>
        <v>10</v>
      </c>
      <c r="P39" s="69">
        <f>VLOOKUP(P$26,'DB Business'!$A:$S,MATCH($B39,'DB Business'!$A$1:$S$1,0),0)</f>
        <v>6</v>
      </c>
      <c r="Q39" s="69">
        <f>VLOOKUP(Q$26,'DB Business'!$A:$S,MATCH($B39,'DB Business'!$A$1:$S$1,0),0)</f>
        <v>5</v>
      </c>
      <c r="R39" s="69">
        <f>VLOOKUP(R$26,'DB Business'!$A:$S,MATCH($B39,'DB Business'!$A$1:$S$1,0),0)</f>
        <v>8</v>
      </c>
      <c r="S39" s="69">
        <f>VLOOKUP(S$26,'DB Business'!$A:$S,MATCH($B39,'DB Business'!$A$1:$S$1,0),0)</f>
        <v>13</v>
      </c>
      <c r="T39" s="69">
        <f>VLOOKUP(T$26,'DB Business'!$A:$S,MATCH($B39,'DB Business'!$A$1:$S$1,0),0)</f>
        <v>8</v>
      </c>
      <c r="U39" s="69">
        <f>VLOOKUP(U$26,'DB Business'!$A:$S,MATCH($B39,'DB Business'!$A$1:$S$1,0),0)</f>
        <v>5</v>
      </c>
      <c r="V39" s="69">
        <f>VLOOKUP(V$26,'DB Business'!$A:$S,MATCH($B39,'DB Business'!$A$1:$S$1,0),0)</f>
        <v>8</v>
      </c>
      <c r="W39" s="69">
        <f>VLOOKUP(W$26,'DB Business'!$A:$S,MATCH($B39,'DB Business'!$A$1:$S$1,0),0)</f>
        <v>3</v>
      </c>
      <c r="X39" s="69">
        <f>VLOOKUP(X$26,'DB Business'!$A:$S,MATCH($B39,'DB Business'!$A$1:$S$1,0),0)</f>
        <v>4</v>
      </c>
      <c r="Y39" s="69">
        <f>VLOOKUP(Y$26,'DB Business'!$A:$S,MATCH($B39,'DB Business'!$A$1:$S$1,0),0)</f>
        <v>6</v>
      </c>
      <c r="Z39" s="69">
        <f>VLOOKUP(Z$26,'DB Business'!$A:$S,MATCH($B39,'DB Business'!$A$1:$S$1,0),0)</f>
        <v>8</v>
      </c>
      <c r="AA39" s="69">
        <f>VLOOKUP(AA$26,'DB Business'!$A:$S,MATCH($B39,'DB Business'!$A$1:$S$1,0),0)</f>
        <v>6</v>
      </c>
      <c r="AB39" s="69">
        <f>VLOOKUP(AB$26,'DB Business'!$A:$S,MATCH($B39,'DB Business'!$A$1:$S$1,0),0)</f>
        <v>7</v>
      </c>
      <c r="AC39" s="69">
        <f>VLOOKUP(AC$26,'DB Business'!$A:$S,MATCH($B39,'DB Business'!$A$1:$S$1,0),0)</f>
        <v>6</v>
      </c>
      <c r="AD39" s="69">
        <f>VLOOKUP(AD$26,'DB Business'!$A:$S,MATCH($B39,'DB Business'!$A$1:$S$1,0),0)</f>
        <v>6</v>
      </c>
      <c r="AE39" s="69">
        <f>VLOOKUP(AE$26,'DB Business'!$A:$S,MATCH($B39,'DB Business'!$A$1:$S$1,0),0)</f>
        <v>12</v>
      </c>
      <c r="AF39" s="69">
        <f>VLOOKUP(AF$26,'DB Business'!$A:$S,MATCH($B39,'DB Business'!$A$1:$S$1,0),0)</f>
        <v>14</v>
      </c>
      <c r="AG39" s="69">
        <f>VLOOKUP(AG$26,'DB Business'!$A:$S,MATCH($B39,'DB Business'!$A$1:$S$1,0),0)</f>
        <v>7</v>
      </c>
      <c r="AH39" s="69">
        <f>VLOOKUP(AH$26,'DB Business'!$A:$S,MATCH($B39,'DB Business'!$A$1:$S$1,0),0)</f>
        <v>7</v>
      </c>
      <c r="AI39" s="69">
        <f>VLOOKUP(AI$26,'DB Business'!$A:$S,MATCH($B39,'DB Business'!$A$1:$S$1,0),0)</f>
        <v>0</v>
      </c>
      <c r="AJ39" s="69">
        <f>VLOOKUP(AJ$26,'DB Business'!$A:$S,MATCH($B39,'DB Business'!$A$1:$S$1,0),0)</f>
        <v>13</v>
      </c>
      <c r="AK39" s="69">
        <f>VLOOKUP(AK$26,'DB Business'!$A:$S,MATCH($B39,'DB Business'!$A$1:$S$1,0),0)</f>
        <v>8</v>
      </c>
      <c r="AL39" s="69">
        <f>VLOOKUP(AL$26,'DB Business'!$A:$S,MATCH($B39,'DB Business'!$A$1:$S$1,0),0)</f>
        <v>1</v>
      </c>
      <c r="AM39" s="69">
        <f>VLOOKUP(AM$26,'DB Business'!$A:$S,MATCH($B39,'DB Business'!$A$1:$S$1,0),0)</f>
        <v>4</v>
      </c>
      <c r="AO39" s="19">
        <f t="shared" si="3"/>
        <v>3</v>
      </c>
      <c r="AP39" s="31">
        <f t="shared" si="4"/>
        <v>4.333333333333333</v>
      </c>
      <c r="AQ39" s="31">
        <f t="shared" si="5"/>
        <v>5.5</v>
      </c>
    </row>
    <row r="40" spans="2:43" x14ac:dyDescent="0.35">
      <c r="B40" s="2" t="s">
        <v>40</v>
      </c>
      <c r="C40" s="69">
        <f>VLOOKUP(C$26,'DB Business'!$A:$S,MATCH($B40,'DB Business'!$A$1:$S$1,0),0)</f>
        <v>1</v>
      </c>
      <c r="D40" s="69">
        <f>VLOOKUP(D$26,'DB Business'!$A:$S,MATCH($B40,'DB Business'!$A$1:$S$1,0),0)</f>
        <v>2</v>
      </c>
      <c r="E40" s="69">
        <f>VLOOKUP(E$26,'DB Business'!$A:$S,MATCH($B40,'DB Business'!$A$1:$S$1,0),0)</f>
        <v>-4</v>
      </c>
      <c r="F40" s="69">
        <f>VLOOKUP(F$26,'DB Business'!$A:$S,MATCH($B40,'DB Business'!$A$1:$S$1,0),0)</f>
        <v>-11</v>
      </c>
      <c r="G40" s="69">
        <f>VLOOKUP(G$26,'DB Business'!$A:$S,MATCH($B40,'DB Business'!$A$1:$S$1,0),0)</f>
        <v>-7</v>
      </c>
      <c r="H40" s="69">
        <f>VLOOKUP(H$26,'DB Business'!$A:$S,MATCH($B40,'DB Business'!$A$1:$S$1,0),0)</f>
        <v>1</v>
      </c>
      <c r="I40" s="69">
        <f>VLOOKUP(I$26,'DB Business'!$A:$S,MATCH($B40,'DB Business'!$A$1:$S$1,0),0)</f>
        <v>0</v>
      </c>
      <c r="J40" s="69">
        <f>VLOOKUP(J$26,'DB Business'!$A:$S,MATCH($B40,'DB Business'!$A$1:$S$1,0),0)</f>
        <v>0</v>
      </c>
      <c r="K40" s="69">
        <f>VLOOKUP(K$26,'DB Business'!$A:$S,MATCH($B40,'DB Business'!$A$1:$S$1,0),0)</f>
        <v>1</v>
      </c>
      <c r="L40" s="69">
        <f>VLOOKUP(L$26,'DB Business'!$A:$S,MATCH($B40,'DB Business'!$A$1:$S$1,0),0)</f>
        <v>4</v>
      </c>
      <c r="M40" s="69">
        <f>VLOOKUP(M$26,'DB Business'!$A:$S,MATCH($B40,'DB Business'!$A$1:$S$1,0),0)</f>
        <v>8</v>
      </c>
      <c r="N40" s="69">
        <f>VLOOKUP(N$26,'DB Business'!$A:$S,MATCH($B40,'DB Business'!$A$1:$S$1,0),0)</f>
        <v>2</v>
      </c>
      <c r="O40" s="69">
        <f>VLOOKUP(O$26,'DB Business'!$A:$S,MATCH($B40,'DB Business'!$A$1:$S$1,0),0)</f>
        <v>4</v>
      </c>
      <c r="P40" s="69">
        <f>VLOOKUP(P$26,'DB Business'!$A:$S,MATCH($B40,'DB Business'!$A$1:$S$1,0),0)</f>
        <v>1</v>
      </c>
      <c r="Q40" s="69">
        <f>VLOOKUP(Q$26,'DB Business'!$A:$S,MATCH($B40,'DB Business'!$A$1:$S$1,0),0)</f>
        <v>1</v>
      </c>
      <c r="R40" s="69">
        <f>VLOOKUP(R$26,'DB Business'!$A:$S,MATCH($B40,'DB Business'!$A$1:$S$1,0),0)</f>
        <v>4</v>
      </c>
      <c r="S40" s="69">
        <f>VLOOKUP(S$26,'DB Business'!$A:$S,MATCH($B40,'DB Business'!$A$1:$S$1,0),0)</f>
        <v>2</v>
      </c>
      <c r="T40" s="69">
        <f>VLOOKUP(T$26,'DB Business'!$A:$S,MATCH($B40,'DB Business'!$A$1:$S$1,0),0)</f>
        <v>1</v>
      </c>
      <c r="U40" s="69">
        <f>VLOOKUP(U$26,'DB Business'!$A:$S,MATCH($B40,'DB Business'!$A$1:$S$1,0),0)</f>
        <v>4</v>
      </c>
      <c r="V40" s="69">
        <f>VLOOKUP(V$26,'DB Business'!$A:$S,MATCH($B40,'DB Business'!$A$1:$S$1,0),0)</f>
        <v>1</v>
      </c>
      <c r="W40" s="69">
        <f>VLOOKUP(W$26,'DB Business'!$A:$S,MATCH($B40,'DB Business'!$A$1:$S$1,0),0)</f>
        <v>11</v>
      </c>
      <c r="X40" s="69">
        <f>VLOOKUP(X$26,'DB Business'!$A:$S,MATCH($B40,'DB Business'!$A$1:$S$1,0),0)</f>
        <v>2</v>
      </c>
      <c r="Y40" s="69">
        <f>VLOOKUP(Y$26,'DB Business'!$A:$S,MATCH($B40,'DB Business'!$A$1:$S$1,0),0)</f>
        <v>2</v>
      </c>
      <c r="Z40" s="69">
        <f>VLOOKUP(Z$26,'DB Business'!$A:$S,MATCH($B40,'DB Business'!$A$1:$S$1,0),0)</f>
        <v>2</v>
      </c>
      <c r="AA40" s="69">
        <f>VLOOKUP(AA$26,'DB Business'!$A:$S,MATCH($B40,'DB Business'!$A$1:$S$1,0),0)</f>
        <v>3</v>
      </c>
      <c r="AB40" s="69">
        <f>VLOOKUP(AB$26,'DB Business'!$A:$S,MATCH($B40,'DB Business'!$A$1:$S$1,0),0)</f>
        <v>4</v>
      </c>
      <c r="AC40" s="69">
        <f>VLOOKUP(AC$26,'DB Business'!$A:$S,MATCH($B40,'DB Business'!$A$1:$S$1,0),0)</f>
        <v>1</v>
      </c>
      <c r="AD40" s="69">
        <f>VLOOKUP(AD$26,'DB Business'!$A:$S,MATCH($B40,'DB Business'!$A$1:$S$1,0),0)</f>
        <v>7</v>
      </c>
      <c r="AE40" s="69">
        <f>VLOOKUP(AE$26,'DB Business'!$A:$S,MATCH($B40,'DB Business'!$A$1:$S$1,0),0)</f>
        <v>6</v>
      </c>
      <c r="AF40" s="69">
        <f>VLOOKUP(AF$26,'DB Business'!$A:$S,MATCH($B40,'DB Business'!$A$1:$S$1,0),0)</f>
        <v>9</v>
      </c>
      <c r="AG40" s="69">
        <f>VLOOKUP(AG$26,'DB Business'!$A:$S,MATCH($B40,'DB Business'!$A$1:$S$1,0),0)</f>
        <v>5</v>
      </c>
      <c r="AH40" s="69">
        <f>VLOOKUP(AH$26,'DB Business'!$A:$S,MATCH($B40,'DB Business'!$A$1:$S$1,0),0)</f>
        <v>3</v>
      </c>
      <c r="AI40" s="69">
        <f>VLOOKUP(AI$26,'DB Business'!$A:$S,MATCH($B40,'DB Business'!$A$1:$S$1,0),0)</f>
        <v>3</v>
      </c>
      <c r="AJ40" s="69">
        <f>VLOOKUP(AJ$26,'DB Business'!$A:$S,MATCH($B40,'DB Business'!$A$1:$S$1,0),0)</f>
        <v>6</v>
      </c>
      <c r="AK40" s="69">
        <f>VLOOKUP(AK$26,'DB Business'!$A:$S,MATCH($B40,'DB Business'!$A$1:$S$1,0),0)</f>
        <v>4</v>
      </c>
      <c r="AL40" s="69">
        <f>VLOOKUP(AL$26,'DB Business'!$A:$S,MATCH($B40,'DB Business'!$A$1:$S$1,0),0)</f>
        <v>0</v>
      </c>
      <c r="AM40" s="69">
        <f>VLOOKUP(AM$26,'DB Business'!$A:$S,MATCH($B40,'DB Business'!$A$1:$S$1,0),0)</f>
        <v>3</v>
      </c>
      <c r="AO40" s="19">
        <f t="shared" si="3"/>
        <v>3</v>
      </c>
      <c r="AP40" s="31">
        <f t="shared" si="4"/>
        <v>2.3333333333333335</v>
      </c>
      <c r="AQ40" s="31">
        <f t="shared" si="5"/>
        <v>3.1666666666666665</v>
      </c>
    </row>
    <row r="41" spans="2:43" x14ac:dyDescent="0.35">
      <c r="B41" s="2" t="s">
        <v>38</v>
      </c>
      <c r="C41" s="69">
        <f>VLOOKUP(C$26,'DB Business'!$A:$S,MATCH($B41,'DB Business'!$A$1:$S$1,0),0)</f>
        <v>-2</v>
      </c>
      <c r="D41" s="69">
        <f>VLOOKUP(D$26,'DB Business'!$A:$S,MATCH($B41,'DB Business'!$A$1:$S$1,0),0)</f>
        <v>3</v>
      </c>
      <c r="E41" s="69">
        <f>VLOOKUP(E$26,'DB Business'!$A:$S,MATCH($B41,'DB Business'!$A$1:$S$1,0),0)</f>
        <v>-2</v>
      </c>
      <c r="F41" s="69">
        <f>VLOOKUP(F$26,'DB Business'!$A:$S,MATCH($B41,'DB Business'!$A$1:$S$1,0),0)</f>
        <v>-8</v>
      </c>
      <c r="G41" s="69">
        <f>VLOOKUP(G$26,'DB Business'!$A:$S,MATCH($B41,'DB Business'!$A$1:$S$1,0),0)</f>
        <v>-4</v>
      </c>
      <c r="H41" s="69">
        <f>VLOOKUP(H$26,'DB Business'!$A:$S,MATCH($B41,'DB Business'!$A$1:$S$1,0),0)</f>
        <v>4</v>
      </c>
      <c r="I41" s="69">
        <f>VLOOKUP(I$26,'DB Business'!$A:$S,MATCH($B41,'DB Business'!$A$1:$S$1,0),0)</f>
        <v>10</v>
      </c>
      <c r="J41" s="69">
        <f>VLOOKUP(J$26,'DB Business'!$A:$S,MATCH($B41,'DB Business'!$A$1:$S$1,0),0)</f>
        <v>8</v>
      </c>
      <c r="K41" s="69">
        <f>VLOOKUP(K$26,'DB Business'!$A:$S,MATCH($B41,'DB Business'!$A$1:$S$1,0),0)</f>
        <v>10</v>
      </c>
      <c r="L41" s="69">
        <f>VLOOKUP(L$26,'DB Business'!$A:$S,MATCH($B41,'DB Business'!$A$1:$S$1,0),0)</f>
        <v>3</v>
      </c>
      <c r="M41" s="69">
        <f>VLOOKUP(M$26,'DB Business'!$A:$S,MATCH($B41,'DB Business'!$A$1:$S$1,0),0)</f>
        <v>4</v>
      </c>
      <c r="N41" s="69">
        <f>VLOOKUP(N$26,'DB Business'!$A:$S,MATCH($B41,'DB Business'!$A$1:$S$1,0),0)</f>
        <v>4</v>
      </c>
      <c r="O41" s="69">
        <f>VLOOKUP(O$26,'DB Business'!$A:$S,MATCH($B41,'DB Business'!$A$1:$S$1,0),0)</f>
        <v>7</v>
      </c>
      <c r="P41" s="69">
        <f>VLOOKUP(P$26,'DB Business'!$A:$S,MATCH($B41,'DB Business'!$A$1:$S$1,0),0)</f>
        <v>12</v>
      </c>
      <c r="Q41" s="69">
        <f>VLOOKUP(Q$26,'DB Business'!$A:$S,MATCH($B41,'DB Business'!$A$1:$S$1,0),0)</f>
        <v>13</v>
      </c>
      <c r="R41" s="69">
        <f>VLOOKUP(R$26,'DB Business'!$A:$S,MATCH($B41,'DB Business'!$A$1:$S$1,0),0)</f>
        <v>16</v>
      </c>
      <c r="S41" s="69">
        <f>VLOOKUP(S$26,'DB Business'!$A:$S,MATCH($B41,'DB Business'!$A$1:$S$1,0),0)</f>
        <v>16</v>
      </c>
      <c r="T41" s="69">
        <f>VLOOKUP(T$26,'DB Business'!$A:$S,MATCH($B41,'DB Business'!$A$1:$S$1,0),0)</f>
        <v>12</v>
      </c>
      <c r="U41" s="69">
        <f>VLOOKUP(U$26,'DB Business'!$A:$S,MATCH($B41,'DB Business'!$A$1:$S$1,0),0)</f>
        <v>15</v>
      </c>
      <c r="V41" s="69">
        <f>VLOOKUP(V$26,'DB Business'!$A:$S,MATCH($B41,'DB Business'!$A$1:$S$1,0),0)</f>
        <v>2</v>
      </c>
      <c r="W41" s="69">
        <f>VLOOKUP(W$26,'DB Business'!$A:$S,MATCH($B41,'DB Business'!$A$1:$S$1,0),0)</f>
        <v>7</v>
      </c>
      <c r="X41" s="69">
        <f>VLOOKUP(X$26,'DB Business'!$A:$S,MATCH($B41,'DB Business'!$A$1:$S$1,0),0)</f>
        <v>8</v>
      </c>
      <c r="Y41" s="69">
        <f>VLOOKUP(Y$26,'DB Business'!$A:$S,MATCH($B41,'DB Business'!$A$1:$S$1,0),0)</f>
        <v>12</v>
      </c>
      <c r="Z41" s="69">
        <f>VLOOKUP(Z$26,'DB Business'!$A:$S,MATCH($B41,'DB Business'!$A$1:$S$1,0),0)</f>
        <v>12</v>
      </c>
      <c r="AA41" s="69">
        <f>VLOOKUP(AA$26,'DB Business'!$A:$S,MATCH($B41,'DB Business'!$A$1:$S$1,0),0)</f>
        <v>0</v>
      </c>
      <c r="AB41" s="69">
        <f>VLOOKUP(AB$26,'DB Business'!$A:$S,MATCH($B41,'DB Business'!$A$1:$S$1,0),0)</f>
        <v>9</v>
      </c>
      <c r="AC41" s="69">
        <f>VLOOKUP(AC$26,'DB Business'!$A:$S,MATCH($B41,'DB Business'!$A$1:$S$1,0),0)</f>
        <v>11</v>
      </c>
      <c r="AD41" s="69">
        <f>VLOOKUP(AD$26,'DB Business'!$A:$S,MATCH($B41,'DB Business'!$A$1:$S$1,0),0)</f>
        <v>3</v>
      </c>
      <c r="AE41" s="69">
        <f>VLOOKUP(AE$26,'DB Business'!$A:$S,MATCH($B41,'DB Business'!$A$1:$S$1,0),0)</f>
        <v>4</v>
      </c>
      <c r="AF41" s="69">
        <f>VLOOKUP(AF$26,'DB Business'!$A:$S,MATCH($B41,'DB Business'!$A$1:$S$1,0),0)</f>
        <v>6</v>
      </c>
      <c r="AG41" s="69">
        <f>VLOOKUP(AG$26,'DB Business'!$A:$S,MATCH($B41,'DB Business'!$A$1:$S$1,0),0)</f>
        <v>3</v>
      </c>
      <c r="AH41" s="69">
        <f>VLOOKUP(AH$26,'DB Business'!$A:$S,MATCH($B41,'DB Business'!$A$1:$S$1,0),0)</f>
        <v>6</v>
      </c>
      <c r="AI41" s="69">
        <f>VLOOKUP(AI$26,'DB Business'!$A:$S,MATCH($B41,'DB Business'!$A$1:$S$1,0),0)</f>
        <v>10</v>
      </c>
      <c r="AJ41" s="69">
        <f>VLOOKUP(AJ$26,'DB Business'!$A:$S,MATCH($B41,'DB Business'!$A$1:$S$1,0),0)</f>
        <v>2</v>
      </c>
      <c r="AK41" s="69">
        <f>VLOOKUP(AK$26,'DB Business'!$A:$S,MATCH($B41,'DB Business'!$A$1:$S$1,0),0)</f>
        <v>1</v>
      </c>
      <c r="AL41" s="69">
        <f>VLOOKUP(AL$26,'DB Business'!$A:$S,MATCH($B41,'DB Business'!$A$1:$S$1,0),0)</f>
        <v>-2</v>
      </c>
      <c r="AM41" s="69">
        <f>VLOOKUP(AM$26,'DB Business'!$A:$S,MATCH($B41,'DB Business'!$A$1:$S$1,0),0)</f>
        <v>1</v>
      </c>
      <c r="AO41" s="19">
        <f t="shared" si="3"/>
        <v>3</v>
      </c>
      <c r="AP41" s="31">
        <f t="shared" si="4"/>
        <v>0</v>
      </c>
      <c r="AQ41" s="31">
        <f t="shared" si="5"/>
        <v>3</v>
      </c>
    </row>
    <row r="42" spans="2:43" x14ac:dyDescent="0.35">
      <c r="B42" s="2" t="s">
        <v>44</v>
      </c>
      <c r="C42" s="69">
        <f>VLOOKUP(C$26,'DB Business'!$A:$S,MATCH($B42,'DB Business'!$A$1:$S$1,0),0)</f>
        <v>11</v>
      </c>
      <c r="D42" s="69">
        <f>VLOOKUP(D$26,'DB Business'!$A:$S,MATCH($B42,'DB Business'!$A$1:$S$1,0),0)</f>
        <v>12</v>
      </c>
      <c r="E42" s="69">
        <f>VLOOKUP(E$26,'DB Business'!$A:$S,MATCH($B42,'DB Business'!$A$1:$S$1,0),0)</f>
        <v>0</v>
      </c>
      <c r="F42" s="69">
        <f>VLOOKUP(F$26,'DB Business'!$A:$S,MATCH($B42,'DB Business'!$A$1:$S$1,0),0)</f>
        <v>-9</v>
      </c>
      <c r="G42" s="69">
        <f>VLOOKUP(G$26,'DB Business'!$A:$S,MATCH($B42,'DB Business'!$A$1:$S$1,0),0)</f>
        <v>-3</v>
      </c>
      <c r="H42" s="69">
        <f>VLOOKUP(H$26,'DB Business'!$A:$S,MATCH($B42,'DB Business'!$A$1:$S$1,0),0)</f>
        <v>15</v>
      </c>
      <c r="I42" s="69">
        <f>VLOOKUP(I$26,'DB Business'!$A:$S,MATCH($B42,'DB Business'!$A$1:$S$1,0),0)</f>
        <v>3</v>
      </c>
      <c r="J42" s="69">
        <f>VLOOKUP(J$26,'DB Business'!$A:$S,MATCH($B42,'DB Business'!$A$1:$S$1,0),0)</f>
        <v>11</v>
      </c>
      <c r="K42" s="69">
        <f>VLOOKUP(K$26,'DB Business'!$A:$S,MATCH($B42,'DB Business'!$A$1:$S$1,0),0)</f>
        <v>12</v>
      </c>
      <c r="L42" s="69">
        <f>VLOOKUP(L$26,'DB Business'!$A:$S,MATCH($B42,'DB Business'!$A$1:$S$1,0),0)</f>
        <v>9</v>
      </c>
      <c r="M42" s="69">
        <f>VLOOKUP(M$26,'DB Business'!$A:$S,MATCH($B42,'DB Business'!$A$1:$S$1,0),0)</f>
        <v>13</v>
      </c>
      <c r="N42" s="69">
        <f>VLOOKUP(N$26,'DB Business'!$A:$S,MATCH($B42,'DB Business'!$A$1:$S$1,0),0)</f>
        <v>11</v>
      </c>
      <c r="O42" s="69">
        <f>VLOOKUP(O$26,'DB Business'!$A:$S,MATCH($B42,'DB Business'!$A$1:$S$1,0),0)</f>
        <v>0</v>
      </c>
      <c r="P42" s="69">
        <f>VLOOKUP(P$26,'DB Business'!$A:$S,MATCH($B42,'DB Business'!$A$1:$S$1,0),0)</f>
        <v>7</v>
      </c>
      <c r="Q42" s="69">
        <f>VLOOKUP(Q$26,'DB Business'!$A:$S,MATCH($B42,'DB Business'!$A$1:$S$1,0),0)</f>
        <v>15</v>
      </c>
      <c r="R42" s="69">
        <f>VLOOKUP(R$26,'DB Business'!$A:$S,MATCH($B42,'DB Business'!$A$1:$S$1,0),0)</f>
        <v>15</v>
      </c>
      <c r="S42" s="69">
        <f>VLOOKUP(S$26,'DB Business'!$A:$S,MATCH($B42,'DB Business'!$A$1:$S$1,0),0)</f>
        <v>7</v>
      </c>
      <c r="T42" s="69">
        <f>VLOOKUP(T$26,'DB Business'!$A:$S,MATCH($B42,'DB Business'!$A$1:$S$1,0),0)</f>
        <v>14</v>
      </c>
      <c r="U42" s="69">
        <f>VLOOKUP(U$26,'DB Business'!$A:$S,MATCH($B42,'DB Business'!$A$1:$S$1,0),0)</f>
        <v>16</v>
      </c>
      <c r="V42" s="69">
        <f>VLOOKUP(V$26,'DB Business'!$A:$S,MATCH($B42,'DB Business'!$A$1:$S$1,0),0)</f>
        <v>0</v>
      </c>
      <c r="W42" s="69">
        <f>VLOOKUP(W$26,'DB Business'!$A:$S,MATCH($B42,'DB Business'!$A$1:$S$1,0),0)</f>
        <v>12</v>
      </c>
      <c r="X42" s="69">
        <f>VLOOKUP(X$26,'DB Business'!$A:$S,MATCH($B42,'DB Business'!$A$1:$S$1,0),0)</f>
        <v>6</v>
      </c>
      <c r="Y42" s="69">
        <f>VLOOKUP(Y$26,'DB Business'!$A:$S,MATCH($B42,'DB Business'!$A$1:$S$1,0),0)</f>
        <v>16</v>
      </c>
      <c r="Z42" s="69">
        <f>VLOOKUP(Z$26,'DB Business'!$A:$S,MATCH($B42,'DB Business'!$A$1:$S$1,0),0)</f>
        <v>10</v>
      </c>
      <c r="AA42" s="69">
        <f>VLOOKUP(AA$26,'DB Business'!$A:$S,MATCH($B42,'DB Business'!$A$1:$S$1,0),0)</f>
        <v>1</v>
      </c>
      <c r="AB42" s="69">
        <f>VLOOKUP(AB$26,'DB Business'!$A:$S,MATCH($B42,'DB Business'!$A$1:$S$1,0),0)</f>
        <v>13</v>
      </c>
      <c r="AC42" s="69">
        <f>VLOOKUP(AC$26,'DB Business'!$A:$S,MATCH($B42,'DB Business'!$A$1:$S$1,0),0)</f>
        <v>2</v>
      </c>
      <c r="AD42" s="69">
        <f>VLOOKUP(AD$26,'DB Business'!$A:$S,MATCH($B42,'DB Business'!$A$1:$S$1,0),0)</f>
        <v>5</v>
      </c>
      <c r="AE42" s="69">
        <f>VLOOKUP(AE$26,'DB Business'!$A:$S,MATCH($B42,'DB Business'!$A$1:$S$1,0),0)</f>
        <v>9</v>
      </c>
      <c r="AF42" s="69">
        <f>VLOOKUP(AF$26,'DB Business'!$A:$S,MATCH($B42,'DB Business'!$A$1:$S$1,0),0)</f>
        <v>15</v>
      </c>
      <c r="AG42" s="69">
        <f>VLOOKUP(AG$26,'DB Business'!$A:$S,MATCH($B42,'DB Business'!$A$1:$S$1,0),0)</f>
        <v>9</v>
      </c>
      <c r="AH42" s="69">
        <f>VLOOKUP(AH$26,'DB Business'!$A:$S,MATCH($B42,'DB Business'!$A$1:$S$1,0),0)</f>
        <v>0</v>
      </c>
      <c r="AI42" s="69">
        <f>VLOOKUP(AI$26,'DB Business'!$A:$S,MATCH($B42,'DB Business'!$A$1:$S$1,0),0)</f>
        <v>0</v>
      </c>
      <c r="AJ42" s="69">
        <f>VLOOKUP(AJ$26,'DB Business'!$A:$S,MATCH($B42,'DB Business'!$A$1:$S$1,0),0)</f>
        <v>-1</v>
      </c>
      <c r="AK42" s="69">
        <f>VLOOKUP(AK$26,'DB Business'!$A:$S,MATCH($B42,'DB Business'!$A$1:$S$1,0),0)</f>
        <v>0</v>
      </c>
      <c r="AL42" s="69">
        <f>VLOOKUP(AL$26,'DB Business'!$A:$S,MATCH($B42,'DB Business'!$A$1:$S$1,0),0)</f>
        <v>6</v>
      </c>
      <c r="AM42" s="69">
        <f>VLOOKUP(AM$26,'DB Business'!$A:$S,MATCH($B42,'DB Business'!$A$1:$S$1,0),0)</f>
        <v>8</v>
      </c>
      <c r="AO42" s="19">
        <f t="shared" si="3"/>
        <v>2</v>
      </c>
      <c r="AP42" s="31">
        <f t="shared" si="4"/>
        <v>4.666666666666667</v>
      </c>
      <c r="AQ42" s="31">
        <f t="shared" si="5"/>
        <v>2.1666666666666665</v>
      </c>
    </row>
    <row r="43" spans="2:43" x14ac:dyDescent="0.35">
      <c r="B43" s="2" t="s">
        <v>36</v>
      </c>
      <c r="C43" s="69">
        <f>VLOOKUP(C$26,'DB Business'!$A:$S,MATCH($B43,'DB Business'!$A$1:$S$1,0),0)</f>
        <v>-4</v>
      </c>
      <c r="D43" s="69">
        <f>VLOOKUP(D$26,'DB Business'!$A:$S,MATCH($B43,'DB Business'!$A$1:$S$1,0),0)</f>
        <v>11</v>
      </c>
      <c r="E43" s="69">
        <f>VLOOKUP(E$26,'DB Business'!$A:$S,MATCH($B43,'DB Business'!$A$1:$S$1,0),0)</f>
        <v>-8</v>
      </c>
      <c r="F43" s="69">
        <f>VLOOKUP(F$26,'DB Business'!$A:$S,MATCH($B43,'DB Business'!$A$1:$S$1,0),0)</f>
        <v>-5</v>
      </c>
      <c r="G43" s="69">
        <f>VLOOKUP(G$26,'DB Business'!$A:$S,MATCH($B43,'DB Business'!$A$1:$S$1,0),0)</f>
        <v>-13</v>
      </c>
      <c r="H43" s="69">
        <f>VLOOKUP(H$26,'DB Business'!$A:$S,MATCH($B43,'DB Business'!$A$1:$S$1,0),0)</f>
        <v>2</v>
      </c>
      <c r="I43" s="69">
        <f>VLOOKUP(I$26,'DB Business'!$A:$S,MATCH($B43,'DB Business'!$A$1:$S$1,0),0)</f>
        <v>-3</v>
      </c>
      <c r="J43" s="69">
        <f>VLOOKUP(J$26,'DB Business'!$A:$S,MATCH($B43,'DB Business'!$A$1:$S$1,0),0)</f>
        <v>-1</v>
      </c>
      <c r="K43" s="69">
        <f>VLOOKUP(K$26,'DB Business'!$A:$S,MATCH($B43,'DB Business'!$A$1:$S$1,0),0)</f>
        <v>5</v>
      </c>
      <c r="L43" s="69">
        <f>VLOOKUP(L$26,'DB Business'!$A:$S,MATCH($B43,'DB Business'!$A$1:$S$1,0),0)</f>
        <v>14</v>
      </c>
      <c r="M43" s="69">
        <f>VLOOKUP(M$26,'DB Business'!$A:$S,MATCH($B43,'DB Business'!$A$1:$S$1,0),0)</f>
        <v>6</v>
      </c>
      <c r="N43" s="69">
        <f>VLOOKUP(N$26,'DB Business'!$A:$S,MATCH($B43,'DB Business'!$A$1:$S$1,0),0)</f>
        <v>5</v>
      </c>
      <c r="O43" s="69">
        <f>VLOOKUP(O$26,'DB Business'!$A:$S,MATCH($B43,'DB Business'!$A$1:$S$1,0),0)</f>
        <v>0</v>
      </c>
      <c r="P43" s="69">
        <f>VLOOKUP(P$26,'DB Business'!$A:$S,MATCH($B43,'DB Business'!$A$1:$S$1,0),0)</f>
        <v>5</v>
      </c>
      <c r="Q43" s="69">
        <f>VLOOKUP(Q$26,'DB Business'!$A:$S,MATCH($B43,'DB Business'!$A$1:$S$1,0),0)</f>
        <v>16</v>
      </c>
      <c r="R43" s="69">
        <f>VLOOKUP(R$26,'DB Business'!$A:$S,MATCH($B43,'DB Business'!$A$1:$S$1,0),0)</f>
        <v>12</v>
      </c>
      <c r="S43" s="69">
        <f>VLOOKUP(S$26,'DB Business'!$A:$S,MATCH($B43,'DB Business'!$A$1:$S$1,0),0)</f>
        <v>14</v>
      </c>
      <c r="T43" s="69">
        <f>VLOOKUP(T$26,'DB Business'!$A:$S,MATCH($B43,'DB Business'!$A$1:$S$1,0),0)</f>
        <v>3</v>
      </c>
      <c r="U43" s="69">
        <f>VLOOKUP(U$26,'DB Business'!$A:$S,MATCH($B43,'DB Business'!$A$1:$S$1,0),0)</f>
        <v>1</v>
      </c>
      <c r="V43" s="69">
        <f>VLOOKUP(V$26,'DB Business'!$A:$S,MATCH($B43,'DB Business'!$A$1:$S$1,0),0)</f>
        <v>3</v>
      </c>
      <c r="W43" s="69">
        <f>VLOOKUP(W$26,'DB Business'!$A:$S,MATCH($B43,'DB Business'!$A$1:$S$1,0),0)</f>
        <v>2</v>
      </c>
      <c r="X43" s="69">
        <f>VLOOKUP(X$26,'DB Business'!$A:$S,MATCH($B43,'DB Business'!$A$1:$S$1,0),0)</f>
        <v>9</v>
      </c>
      <c r="Y43" s="69">
        <f>VLOOKUP(Y$26,'DB Business'!$A:$S,MATCH($B43,'DB Business'!$A$1:$S$1,0),0)</f>
        <v>3</v>
      </c>
      <c r="Z43" s="69">
        <f>VLOOKUP(Z$26,'DB Business'!$A:$S,MATCH($B43,'DB Business'!$A$1:$S$1,0),0)</f>
        <v>-3</v>
      </c>
      <c r="AA43" s="69">
        <f>VLOOKUP(AA$26,'DB Business'!$A:$S,MATCH($B43,'DB Business'!$A$1:$S$1,0),0)</f>
        <v>0</v>
      </c>
      <c r="AB43" s="69">
        <f>VLOOKUP(AB$26,'DB Business'!$A:$S,MATCH($B43,'DB Business'!$A$1:$S$1,0),0)</f>
        <v>10</v>
      </c>
      <c r="AC43" s="69">
        <f>VLOOKUP(AC$26,'DB Business'!$A:$S,MATCH($B43,'DB Business'!$A$1:$S$1,0),0)</f>
        <v>0</v>
      </c>
      <c r="AD43" s="69">
        <f>VLOOKUP(AD$26,'DB Business'!$A:$S,MATCH($B43,'DB Business'!$A$1:$S$1,0),0)</f>
        <v>11</v>
      </c>
      <c r="AE43" s="69">
        <f>VLOOKUP(AE$26,'DB Business'!$A:$S,MATCH($B43,'DB Business'!$A$1:$S$1,0),0)</f>
        <v>13</v>
      </c>
      <c r="AF43" s="69">
        <f>VLOOKUP(AF$26,'DB Business'!$A:$S,MATCH($B43,'DB Business'!$A$1:$S$1,0),0)</f>
        <v>10</v>
      </c>
      <c r="AG43" s="69">
        <f>VLOOKUP(AG$26,'DB Business'!$A:$S,MATCH($B43,'DB Business'!$A$1:$S$1,0),0)</f>
        <v>13</v>
      </c>
      <c r="AH43" s="69">
        <f>VLOOKUP(AH$26,'DB Business'!$A:$S,MATCH($B43,'DB Business'!$A$1:$S$1,0),0)</f>
        <v>0</v>
      </c>
      <c r="AI43" s="69">
        <f>VLOOKUP(AI$26,'DB Business'!$A:$S,MATCH($B43,'DB Business'!$A$1:$S$1,0),0)</f>
        <v>14</v>
      </c>
      <c r="AJ43" s="69">
        <f>VLOOKUP(AJ$26,'DB Business'!$A:$S,MATCH($B43,'DB Business'!$A$1:$S$1,0),0)</f>
        <v>15</v>
      </c>
      <c r="AK43" s="69">
        <f>VLOOKUP(AK$26,'DB Business'!$A:$S,MATCH($B43,'DB Business'!$A$1:$S$1,0),0)</f>
        <v>11</v>
      </c>
      <c r="AL43" s="69">
        <f>VLOOKUP(AL$26,'DB Business'!$A:$S,MATCH($B43,'DB Business'!$A$1:$S$1,0),0)</f>
        <v>10</v>
      </c>
      <c r="AM43" s="69">
        <f>VLOOKUP(AM$26,'DB Business'!$A:$S,MATCH($B43,'DB Business'!$A$1:$S$1,0),0)</f>
        <v>-3</v>
      </c>
      <c r="AO43" s="19">
        <f t="shared" si="3"/>
        <v>-13</v>
      </c>
      <c r="AP43" s="31">
        <f t="shared" si="4"/>
        <v>6</v>
      </c>
      <c r="AQ43" s="31">
        <f t="shared" si="5"/>
        <v>7.833333333333333</v>
      </c>
    </row>
    <row r="44" spans="2:43" x14ac:dyDescent="0.35">
      <c r="B44" s="2" t="s">
        <v>42</v>
      </c>
      <c r="C44" s="69">
        <f>VLOOKUP(C$26,'DB Business'!$A:$S,MATCH($B44,'DB Business'!$A$1:$S$1,0),0)</f>
        <v>3</v>
      </c>
      <c r="D44" s="69">
        <f>VLOOKUP(D$26,'DB Business'!$A:$S,MATCH($B44,'DB Business'!$A$1:$S$1,0),0)</f>
        <v>-2</v>
      </c>
      <c r="E44" s="69">
        <f>VLOOKUP(E$26,'DB Business'!$A:$S,MATCH($B44,'DB Business'!$A$1:$S$1,0),0)</f>
        <v>-1</v>
      </c>
      <c r="F44" s="69">
        <f>VLOOKUP(F$26,'DB Business'!$A:$S,MATCH($B44,'DB Business'!$A$1:$S$1,0),0)</f>
        <v>-3</v>
      </c>
      <c r="G44" s="69">
        <f>VLOOKUP(G$26,'DB Business'!$A:$S,MATCH($B44,'DB Business'!$A$1:$S$1,0),0)</f>
        <v>-1</v>
      </c>
      <c r="H44" s="69">
        <f>VLOOKUP(H$26,'DB Business'!$A:$S,MATCH($B44,'DB Business'!$A$1:$S$1,0),0)</f>
        <v>3</v>
      </c>
      <c r="I44" s="69">
        <f>VLOOKUP(I$26,'DB Business'!$A:$S,MATCH($B44,'DB Business'!$A$1:$S$1,0),0)</f>
        <v>-1</v>
      </c>
      <c r="J44" s="69">
        <f>VLOOKUP(J$26,'DB Business'!$A:$S,MATCH($B44,'DB Business'!$A$1:$S$1,0),0)</f>
        <v>-2</v>
      </c>
      <c r="K44" s="69">
        <f>VLOOKUP(K$26,'DB Business'!$A:$S,MATCH($B44,'DB Business'!$A$1:$S$1,0),0)</f>
        <v>3</v>
      </c>
      <c r="L44" s="69">
        <f>VLOOKUP(L$26,'DB Business'!$A:$S,MATCH($B44,'DB Business'!$A$1:$S$1,0),0)</f>
        <v>2</v>
      </c>
      <c r="M44" s="69">
        <f>VLOOKUP(M$26,'DB Business'!$A:$S,MATCH($B44,'DB Business'!$A$1:$S$1,0),0)</f>
        <v>2</v>
      </c>
      <c r="N44" s="69">
        <f>VLOOKUP(N$26,'DB Business'!$A:$S,MATCH($B44,'DB Business'!$A$1:$S$1,0),0)</f>
        <v>8</v>
      </c>
      <c r="O44" s="69">
        <f>VLOOKUP(O$26,'DB Business'!$A:$S,MATCH($B44,'DB Business'!$A$1:$S$1,0),0)</f>
        <v>1</v>
      </c>
      <c r="P44" s="69">
        <f>VLOOKUP(P$26,'DB Business'!$A:$S,MATCH($B44,'DB Business'!$A$1:$S$1,0),0)</f>
        <v>2</v>
      </c>
      <c r="Q44" s="69">
        <f>VLOOKUP(Q$26,'DB Business'!$A:$S,MATCH($B44,'DB Business'!$A$1:$S$1,0),0)</f>
        <v>4</v>
      </c>
      <c r="R44" s="69">
        <f>VLOOKUP(R$26,'DB Business'!$A:$S,MATCH($B44,'DB Business'!$A$1:$S$1,0),0)</f>
        <v>2</v>
      </c>
      <c r="S44" s="69">
        <f>VLOOKUP(S$26,'DB Business'!$A:$S,MATCH($B44,'DB Business'!$A$1:$S$1,0),0)</f>
        <v>9</v>
      </c>
      <c r="T44" s="69">
        <f>VLOOKUP(T$26,'DB Business'!$A:$S,MATCH($B44,'DB Business'!$A$1:$S$1,0),0)</f>
        <v>10</v>
      </c>
      <c r="U44" s="69">
        <f>VLOOKUP(U$26,'DB Business'!$A:$S,MATCH($B44,'DB Business'!$A$1:$S$1,0),0)</f>
        <v>11</v>
      </c>
      <c r="V44" s="69">
        <f>VLOOKUP(V$26,'DB Business'!$A:$S,MATCH($B44,'DB Business'!$A$1:$S$1,0),0)</f>
        <v>7</v>
      </c>
      <c r="W44" s="69">
        <f>VLOOKUP(W$26,'DB Business'!$A:$S,MATCH($B44,'DB Business'!$A$1:$S$1,0),0)</f>
        <v>10</v>
      </c>
      <c r="X44" s="69">
        <f>VLOOKUP(X$26,'DB Business'!$A:$S,MATCH($B44,'DB Business'!$A$1:$S$1,0),0)</f>
        <v>15</v>
      </c>
      <c r="Y44" s="69">
        <f>VLOOKUP(Y$26,'DB Business'!$A:$S,MATCH($B44,'DB Business'!$A$1:$S$1,0),0)</f>
        <v>4</v>
      </c>
      <c r="Z44" s="69">
        <f>VLOOKUP(Z$26,'DB Business'!$A:$S,MATCH($B44,'DB Business'!$A$1:$S$1,0),0)</f>
        <v>3</v>
      </c>
      <c r="AA44" s="69">
        <f>VLOOKUP(AA$26,'DB Business'!$A:$S,MATCH($B44,'DB Business'!$A$1:$S$1,0),0)</f>
        <v>-5</v>
      </c>
      <c r="AB44" s="69">
        <f>VLOOKUP(AB$26,'DB Business'!$A:$S,MATCH($B44,'DB Business'!$A$1:$S$1,0),0)</f>
        <v>0</v>
      </c>
      <c r="AC44" s="69">
        <f>VLOOKUP(AC$26,'DB Business'!$A:$S,MATCH($B44,'DB Business'!$A$1:$S$1,0),0)</f>
        <v>7</v>
      </c>
      <c r="AD44" s="69">
        <f>VLOOKUP(AD$26,'DB Business'!$A:$S,MATCH($B44,'DB Business'!$A$1:$S$1,0),0)</f>
        <v>0</v>
      </c>
      <c r="AE44" s="69">
        <f>VLOOKUP(AE$26,'DB Business'!$A:$S,MATCH($B44,'DB Business'!$A$1:$S$1,0),0)</f>
        <v>-1</v>
      </c>
      <c r="AF44" s="69">
        <f>VLOOKUP(AF$26,'DB Business'!$A:$S,MATCH($B44,'DB Business'!$A$1:$S$1,0),0)</f>
        <v>3</v>
      </c>
      <c r="AG44" s="69">
        <f>VLOOKUP(AG$26,'DB Business'!$A:$S,MATCH($B44,'DB Business'!$A$1:$S$1,0),0)</f>
        <v>1</v>
      </c>
      <c r="AH44" s="69">
        <f>VLOOKUP(AH$26,'DB Business'!$A:$S,MATCH($B44,'DB Business'!$A$1:$S$1,0),0)</f>
        <v>9</v>
      </c>
      <c r="AI44" s="69">
        <f>VLOOKUP(AI$26,'DB Business'!$A:$S,MATCH($B44,'DB Business'!$A$1:$S$1,0),0)</f>
        <v>13</v>
      </c>
      <c r="AJ44" s="69">
        <f>VLOOKUP(AJ$26,'DB Business'!$A:$S,MATCH($B44,'DB Business'!$A$1:$S$1,0),0)</f>
        <v>12</v>
      </c>
      <c r="AK44" s="69">
        <f>VLOOKUP(AK$26,'DB Business'!$A:$S,MATCH($B44,'DB Business'!$A$1:$S$1,0),0)</f>
        <v>5</v>
      </c>
      <c r="AL44" s="69">
        <f>VLOOKUP(AL$26,'DB Business'!$A:$S,MATCH($B44,'DB Business'!$A$1:$S$1,0),0)</f>
        <v>-1</v>
      </c>
      <c r="AM44" s="69">
        <f>VLOOKUP(AM$26,'DB Business'!$A:$S,MATCH($B44,'DB Business'!$A$1:$S$1,0),0)</f>
        <v>-1</v>
      </c>
      <c r="AO44" s="19">
        <f t="shared" si="3"/>
        <v>0</v>
      </c>
      <c r="AP44" s="31">
        <f t="shared" si="4"/>
        <v>1</v>
      </c>
      <c r="AQ44" s="31">
        <f t="shared" si="5"/>
        <v>6.166666666666667</v>
      </c>
    </row>
    <row r="45" spans="2:43" x14ac:dyDescent="0.35">
      <c r="B45" s="3" t="s">
        <v>43</v>
      </c>
      <c r="C45" s="69">
        <f>VLOOKUP(C$26,'DB Business'!$A:$S,MATCH($B45,'DB Business'!$A$1:$S$1,0),0)</f>
        <v>2</v>
      </c>
      <c r="D45" s="69">
        <f>VLOOKUP(D$26,'DB Business'!$A:$S,MATCH($B45,'DB Business'!$A$1:$S$1,0),0)</f>
        <v>5</v>
      </c>
      <c r="E45" s="69">
        <f>VLOOKUP(E$26,'DB Business'!$A:$S,MATCH($B45,'DB Business'!$A$1:$S$1,0),0)</f>
        <v>-6</v>
      </c>
      <c r="F45" s="69">
        <f>VLOOKUP(F$26,'DB Business'!$A:$S,MATCH($B45,'DB Business'!$A$1:$S$1,0),0)</f>
        <v>-10</v>
      </c>
      <c r="G45" s="69">
        <f>VLOOKUP(G$26,'DB Business'!$A:$S,MATCH($B45,'DB Business'!$A$1:$S$1,0),0)</f>
        <v>-12</v>
      </c>
      <c r="H45" s="69">
        <f>VLOOKUP(H$26,'DB Business'!$A:$S,MATCH($B45,'DB Business'!$A$1:$S$1,0),0)</f>
        <v>6</v>
      </c>
      <c r="I45" s="69">
        <f>VLOOKUP(I$26,'DB Business'!$A:$S,MATCH($B45,'DB Business'!$A$1:$S$1,0),0)</f>
        <v>12</v>
      </c>
      <c r="J45" s="69">
        <f>VLOOKUP(J$26,'DB Business'!$A:$S,MATCH($B45,'DB Business'!$A$1:$S$1,0),0)</f>
        <v>3</v>
      </c>
      <c r="K45" s="69">
        <f>VLOOKUP(K$26,'DB Business'!$A:$S,MATCH($B45,'DB Business'!$A$1:$S$1,0),0)</f>
        <v>8</v>
      </c>
      <c r="L45" s="69">
        <f>VLOOKUP(L$26,'DB Business'!$A:$S,MATCH($B45,'DB Business'!$A$1:$S$1,0),0)</f>
        <v>7</v>
      </c>
      <c r="M45" s="69">
        <f>VLOOKUP(M$26,'DB Business'!$A:$S,MATCH($B45,'DB Business'!$A$1:$S$1,0),0)</f>
        <v>1</v>
      </c>
      <c r="N45" s="69">
        <f>VLOOKUP(N$26,'DB Business'!$A:$S,MATCH($B45,'DB Business'!$A$1:$S$1,0),0)</f>
        <v>-1</v>
      </c>
      <c r="O45" s="69">
        <f>VLOOKUP(O$26,'DB Business'!$A:$S,MATCH($B45,'DB Business'!$A$1:$S$1,0),0)</f>
        <v>0</v>
      </c>
      <c r="P45" s="69">
        <f>VLOOKUP(P$26,'DB Business'!$A:$S,MATCH($B45,'DB Business'!$A$1:$S$1,0),0)</f>
        <v>8</v>
      </c>
      <c r="Q45" s="69">
        <f>VLOOKUP(Q$26,'DB Business'!$A:$S,MATCH($B45,'DB Business'!$A$1:$S$1,0),0)</f>
        <v>2</v>
      </c>
      <c r="R45" s="69">
        <f>VLOOKUP(R$26,'DB Business'!$A:$S,MATCH($B45,'DB Business'!$A$1:$S$1,0),0)</f>
        <v>9</v>
      </c>
      <c r="S45" s="69">
        <f>VLOOKUP(S$26,'DB Business'!$A:$S,MATCH($B45,'DB Business'!$A$1:$S$1,0),0)</f>
        <v>5</v>
      </c>
      <c r="T45" s="69">
        <f>VLOOKUP(T$26,'DB Business'!$A:$S,MATCH($B45,'DB Business'!$A$1:$S$1,0),0)</f>
        <v>2</v>
      </c>
      <c r="U45" s="69">
        <f>VLOOKUP(U$26,'DB Business'!$A:$S,MATCH($B45,'DB Business'!$A$1:$S$1,0),0)</f>
        <v>2</v>
      </c>
      <c r="V45" s="69">
        <f>VLOOKUP(V$26,'DB Business'!$A:$S,MATCH($B45,'DB Business'!$A$1:$S$1,0),0)</f>
        <v>13</v>
      </c>
      <c r="W45" s="69">
        <f>VLOOKUP(W$26,'DB Business'!$A:$S,MATCH($B45,'DB Business'!$A$1:$S$1,0),0)</f>
        <v>15</v>
      </c>
      <c r="X45" s="69">
        <f>VLOOKUP(X$26,'DB Business'!$A:$S,MATCH($B45,'DB Business'!$A$1:$S$1,0),0)</f>
        <v>13</v>
      </c>
      <c r="Y45" s="69">
        <f>VLOOKUP(Y$26,'DB Business'!$A:$S,MATCH($B45,'DB Business'!$A$1:$S$1,0),0)</f>
        <v>1</v>
      </c>
      <c r="Z45" s="69">
        <f>VLOOKUP(Z$26,'DB Business'!$A:$S,MATCH($B45,'DB Business'!$A$1:$S$1,0),0)</f>
        <v>-1</v>
      </c>
      <c r="AA45" s="69">
        <f>VLOOKUP(AA$26,'DB Business'!$A:$S,MATCH($B45,'DB Business'!$A$1:$S$1,0),0)</f>
        <v>-1</v>
      </c>
      <c r="AB45" s="69">
        <f>VLOOKUP(AB$26,'DB Business'!$A:$S,MATCH($B45,'DB Business'!$A$1:$S$1,0),0)</f>
        <v>12</v>
      </c>
      <c r="AC45" s="69">
        <f>VLOOKUP(AC$26,'DB Business'!$A:$S,MATCH($B45,'DB Business'!$A$1:$S$1,0),0)</f>
        <v>12</v>
      </c>
      <c r="AD45" s="69">
        <f>VLOOKUP(AD$26,'DB Business'!$A:$S,MATCH($B45,'DB Business'!$A$1:$S$1,0),0)</f>
        <v>12</v>
      </c>
      <c r="AE45" s="69">
        <f>VLOOKUP(AE$26,'DB Business'!$A:$S,MATCH($B45,'DB Business'!$A$1:$S$1,0),0)</f>
        <v>11</v>
      </c>
      <c r="AF45" s="69">
        <f>VLOOKUP(AF$26,'DB Business'!$A:$S,MATCH($B45,'DB Business'!$A$1:$S$1,0),0)</f>
        <v>5</v>
      </c>
      <c r="AG45" s="69">
        <f>VLOOKUP(AG$26,'DB Business'!$A:$S,MATCH($B45,'DB Business'!$A$1:$S$1,0),0)</f>
        <v>11</v>
      </c>
      <c r="AH45" s="69">
        <f>VLOOKUP(AH$26,'DB Business'!$A:$S,MATCH($B45,'DB Business'!$A$1:$S$1,0),0)</f>
        <v>8</v>
      </c>
      <c r="AI45" s="69">
        <f>VLOOKUP(AI$26,'DB Business'!$A:$S,MATCH($B45,'DB Business'!$A$1:$S$1,0),0)</f>
        <v>11</v>
      </c>
      <c r="AJ45" s="69">
        <f>VLOOKUP(AJ$26,'DB Business'!$A:$S,MATCH($B45,'DB Business'!$A$1:$S$1,0),0)</f>
        <v>10</v>
      </c>
      <c r="AK45" s="69">
        <f>VLOOKUP(AK$26,'DB Business'!$A:$S,MATCH($B45,'DB Business'!$A$1:$S$1,0),0)</f>
        <v>0</v>
      </c>
      <c r="AL45" s="69">
        <f>VLOOKUP(AL$26,'DB Business'!$A:$S,MATCH($B45,'DB Business'!$A$1:$S$1,0),0)</f>
        <v>2</v>
      </c>
      <c r="AM45" s="69">
        <f>VLOOKUP(AM$26,'DB Business'!$A:$S,MATCH($B45,'DB Business'!$A$1:$S$1,0),0)</f>
        <v>7</v>
      </c>
      <c r="AO45" s="19">
        <f t="shared" si="3"/>
        <v>5</v>
      </c>
      <c r="AP45" s="31">
        <f t="shared" si="4"/>
        <v>3</v>
      </c>
      <c r="AQ45" s="31">
        <f t="shared" si="5"/>
        <v>6.333333333333333</v>
      </c>
    </row>
    <row r="46" spans="2:43" x14ac:dyDescent="0.35">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row>
    <row r="47" spans="2:43" ht="16" customHeight="1" thickBot="1" x14ac:dyDescent="0.4">
      <c r="C47" s="34"/>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row>
    <row r="48" spans="2:43" ht="16" customHeight="1" thickBot="1" x14ac:dyDescent="0.4">
      <c r="B48" s="86" t="s">
        <v>16</v>
      </c>
      <c r="C48" s="28">
        <v>43831</v>
      </c>
      <c r="D48" s="28">
        <v>43862</v>
      </c>
      <c r="E48" s="28">
        <v>43891</v>
      </c>
      <c r="F48" s="28">
        <v>43922</v>
      </c>
      <c r="G48" s="28">
        <v>43952</v>
      </c>
      <c r="H48" s="28">
        <v>43983</v>
      </c>
      <c r="I48" s="28">
        <v>44013</v>
      </c>
      <c r="J48" s="28">
        <v>44044</v>
      </c>
      <c r="K48" s="28">
        <v>44075</v>
      </c>
      <c r="L48" s="28">
        <v>44105</v>
      </c>
      <c r="M48" s="28">
        <v>44136</v>
      </c>
      <c r="N48" s="28">
        <v>44166</v>
      </c>
      <c r="O48" s="28">
        <v>44197</v>
      </c>
      <c r="P48" s="28">
        <v>44228</v>
      </c>
      <c r="Q48" s="28">
        <v>44256</v>
      </c>
      <c r="R48" s="28">
        <v>44287</v>
      </c>
      <c r="S48" s="28">
        <v>44317</v>
      </c>
      <c r="T48" s="28">
        <v>44348</v>
      </c>
      <c r="U48" s="28">
        <v>44378</v>
      </c>
      <c r="V48" s="28">
        <v>44409</v>
      </c>
      <c r="W48" s="28">
        <v>44440</v>
      </c>
      <c r="X48" s="28">
        <v>44470</v>
      </c>
      <c r="Y48" s="28">
        <v>44501</v>
      </c>
      <c r="Z48" s="28">
        <v>44531</v>
      </c>
      <c r="AA48" s="28">
        <v>44562</v>
      </c>
      <c r="AB48" s="28">
        <v>44593</v>
      </c>
      <c r="AC48" s="28">
        <v>44621</v>
      </c>
      <c r="AD48" s="28">
        <v>44652</v>
      </c>
      <c r="AE48" s="28">
        <v>44682</v>
      </c>
      <c r="AF48" s="28">
        <v>44713</v>
      </c>
      <c r="AG48" s="28">
        <v>44743</v>
      </c>
      <c r="AH48" s="28">
        <v>44774</v>
      </c>
      <c r="AI48" s="28">
        <v>44805</v>
      </c>
      <c r="AJ48" s="28">
        <v>44835</v>
      </c>
      <c r="AK48" s="28">
        <v>44866</v>
      </c>
      <c r="AL48" s="28">
        <v>44896</v>
      </c>
      <c r="AM48" s="28">
        <v>44927</v>
      </c>
      <c r="AN48" s="9"/>
      <c r="AO48" s="88" t="s">
        <v>74</v>
      </c>
      <c r="AP48" s="88" t="s">
        <v>75</v>
      </c>
      <c r="AQ48" s="88" t="s">
        <v>76</v>
      </c>
    </row>
    <row r="49" spans="2:43" ht="16" customHeight="1" thickBot="1" x14ac:dyDescent="0.4">
      <c r="B49" s="87"/>
      <c r="C49" s="29"/>
      <c r="D49" s="29"/>
      <c r="E49" s="29"/>
      <c r="F49" s="29"/>
      <c r="G49" s="29"/>
      <c r="H49" s="29"/>
      <c r="I49" s="29"/>
      <c r="J49" s="29"/>
      <c r="K49" s="29"/>
      <c r="L49" s="29"/>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9"/>
      <c r="AO49" s="89"/>
      <c r="AP49" s="89"/>
      <c r="AQ49" s="89"/>
    </row>
    <row r="50" spans="2:43" x14ac:dyDescent="0.35">
      <c r="B50" s="2" t="s">
        <v>45</v>
      </c>
      <c r="C50" s="19">
        <f>VLOOKUP(C$48,'DB New Orders'!$A:$S,MATCH($B50,'DB New Orders'!$A$1:$S$1,0),0)</f>
        <v>-3</v>
      </c>
      <c r="D50" s="19">
        <f>VLOOKUP(D$48,'DB New Orders'!$A:$S,MATCH($B50,'DB New Orders'!$A$1:$S$1,0),0)</f>
        <v>0</v>
      </c>
      <c r="E50" s="19">
        <f>VLOOKUP(E$48,'DB New Orders'!$A:$S,MATCH($B50,'DB New Orders'!$A$1:$S$1,0),0)</f>
        <v>-7</v>
      </c>
      <c r="F50" s="19">
        <f>VLOOKUP(F$48,'DB New Orders'!$A:$S,MATCH($B50,'DB New Orders'!$A$1:$S$1,0),0)</f>
        <v>-14</v>
      </c>
      <c r="G50" s="19">
        <f>VLOOKUP(G$48,'DB New Orders'!$A:$S,MATCH($B50,'DB New Orders'!$A$1:$S$1,0),0)</f>
        <v>-2</v>
      </c>
      <c r="H50" s="19">
        <f>VLOOKUP(H$48,'DB New Orders'!$A:$S,MATCH($B50,'DB New Orders'!$A$1:$S$1,0),0)</f>
        <v>9</v>
      </c>
      <c r="I50" s="19">
        <f>VLOOKUP(I$48,'DB New Orders'!$A:$S,MATCH($B50,'DB New Orders'!$A$1:$S$1,0),0)</f>
        <v>12</v>
      </c>
      <c r="J50" s="19">
        <f>VLOOKUP(J$48,'DB New Orders'!$A:$S,MATCH($B50,'DB New Orders'!$A$1:$S$1,0),0)</f>
        <v>3</v>
      </c>
      <c r="K50" s="19">
        <f>VLOOKUP(K$48,'DB New Orders'!$A:$S,MATCH($B50,'DB New Orders'!$A$1:$S$1,0),0)</f>
        <v>-1</v>
      </c>
      <c r="L50" s="19">
        <f>VLOOKUP(L$48,'DB New Orders'!$A:$S,MATCH($B50,'DB New Orders'!$A$1:$S$1,0),0)</f>
        <v>4</v>
      </c>
      <c r="M50" s="19">
        <f>VLOOKUP(M$48,'DB New Orders'!$A:$S,MATCH($B50,'DB New Orders'!$A$1:$S$1,0),0)</f>
        <v>6</v>
      </c>
      <c r="N50" s="19">
        <f>VLOOKUP(N$48,'DB New Orders'!$A:$S,MATCH($B50,'DB New Orders'!$A$1:$S$1,0),0)</f>
        <v>9</v>
      </c>
      <c r="O50" s="19">
        <f>VLOOKUP(O$48,'DB New Orders'!$A:$S,MATCH($B50,'DB New Orders'!$A$1:$S$1,0),0)</f>
        <v>0</v>
      </c>
      <c r="P50" s="19">
        <f>VLOOKUP(P$48,'DB New Orders'!$A:$S,MATCH($B50,'DB New Orders'!$A$1:$S$1,0),0)</f>
        <v>0</v>
      </c>
      <c r="Q50" s="19">
        <f>VLOOKUP(Q$48,'DB New Orders'!$A:$S,MATCH($B50,'DB New Orders'!$A$1:$S$1,0),0)</f>
        <v>8</v>
      </c>
      <c r="R50" s="19">
        <f>VLOOKUP(R$48,'DB New Orders'!$A:$S,MATCH($B50,'DB New Orders'!$A$1:$S$1,0),0)</f>
        <v>12</v>
      </c>
      <c r="S50" s="19">
        <f>VLOOKUP(S$48,'DB New Orders'!$A:$S,MATCH($B50,'DB New Orders'!$A$1:$S$1,0),0)</f>
        <v>18</v>
      </c>
      <c r="T50" s="19">
        <f>VLOOKUP(T$48,'DB New Orders'!$A:$S,MATCH($B50,'DB New Orders'!$A$1:$S$1,0),0)</f>
        <v>11</v>
      </c>
      <c r="U50" s="19">
        <f>VLOOKUP(U$48,'DB New Orders'!$A:$S,MATCH($B50,'DB New Orders'!$A$1:$S$1,0),0)</f>
        <v>7</v>
      </c>
      <c r="V50" s="19">
        <f>VLOOKUP(V$48,'DB New Orders'!$A:$S,MATCH($B50,'DB New Orders'!$A$1:$S$1,0),0)</f>
        <v>11</v>
      </c>
      <c r="W50" s="19">
        <f>VLOOKUP(W$48,'DB New Orders'!$A:$S,MATCH($B50,'DB New Orders'!$A$1:$S$1,0),0)</f>
        <v>17</v>
      </c>
      <c r="X50" s="19">
        <f>VLOOKUP(X$48,'DB New Orders'!$A:$S,MATCH($B50,'DB New Orders'!$A$1:$S$1,0),0)</f>
        <v>16</v>
      </c>
      <c r="Y50" s="19">
        <f>VLOOKUP(Y$48,'DB New Orders'!$A:$S,MATCH($B50,'DB New Orders'!$A$1:$S$1,0),0)</f>
        <v>17</v>
      </c>
      <c r="Z50" s="19">
        <f>VLOOKUP(Z$48,'DB New Orders'!$A:$S,MATCH($B50,'DB New Orders'!$A$1:$S$1,0),0)</f>
        <v>6</v>
      </c>
      <c r="AA50" s="19">
        <f>VLOOKUP(AA$48,'DB New Orders'!$A:$S,MATCH($B50,'DB New Orders'!$A$1:$S$1,0),0)</f>
        <v>10</v>
      </c>
      <c r="AB50" s="19">
        <f>VLOOKUP(AB$48,'DB New Orders'!$A:$S,MATCH($B50,'DB New Orders'!$A$1:$S$1,0),0)</f>
        <v>1</v>
      </c>
      <c r="AC50" s="19">
        <f>VLOOKUP(AC$48,'DB New Orders'!$A:$S,MATCH($B50,'DB New Orders'!$A$1:$S$1,0),0)</f>
        <v>0</v>
      </c>
      <c r="AD50" s="19">
        <f>VLOOKUP(AD$48,'DB New Orders'!$A:$S,MATCH($B50,'DB New Orders'!$A$1:$S$1,0),0)</f>
        <v>0</v>
      </c>
      <c r="AE50" s="19">
        <f>VLOOKUP(AE$48,'DB New Orders'!$A:$S,MATCH($B50,'DB New Orders'!$A$1:$S$1,0),0)</f>
        <v>0</v>
      </c>
      <c r="AF50" s="19">
        <f>VLOOKUP(AF$48,'DB New Orders'!$A:$S,MATCH($B50,'DB New Orders'!$A$1:$S$1,0),0)</f>
        <v>0</v>
      </c>
      <c r="AG50" s="19">
        <f>VLOOKUP(AG$48,'DB New Orders'!$A:$S,MATCH($B50,'DB New Orders'!$A$1:$S$1,0),0)</f>
        <v>-3</v>
      </c>
      <c r="AH50" s="19">
        <f>VLOOKUP(AH$48,'DB New Orders'!$A:$S,MATCH($B50,'DB New Orders'!$A$1:$S$1,0),0)</f>
        <v>5</v>
      </c>
      <c r="AI50" s="19">
        <f>VLOOKUP(AI$48,'DB New Orders'!$A:$S,MATCH($B50,'DB New Orders'!$A$1:$S$1,0),0)</f>
        <v>11</v>
      </c>
      <c r="AJ50" s="19">
        <f>VLOOKUP(AJ$48,'DB New Orders'!$A:$S,MATCH($B50,'DB New Orders'!$A$1:$S$1,0),0)</f>
        <v>8</v>
      </c>
      <c r="AK50" s="19">
        <f>VLOOKUP(AK$48,'DB New Orders'!$A:$S,MATCH($B50,'DB New Orders'!$A$1:$S$1,0),0)</f>
        <v>10</v>
      </c>
      <c r="AL50" s="19">
        <f>VLOOKUP(AL$48,'DB New Orders'!$A:$S,MATCH($B50,'DB New Orders'!$A$1:$S$1,0),0)</f>
        <v>2</v>
      </c>
      <c r="AM50" s="19">
        <f>VLOOKUP(AM$48,'DB New Orders'!$A:$S,MATCH($B50,'DB New Orders'!$A$1:$S$1,0),0)</f>
        <v>0</v>
      </c>
      <c r="AO50" s="19">
        <f t="shared" ref="AO50:AO67" si="6">AM50-AL50</f>
        <v>-2</v>
      </c>
      <c r="AP50" s="31">
        <f t="shared" ref="AP50:AP67" si="7">AVERAGE(AK50:AM50)</f>
        <v>4</v>
      </c>
      <c r="AQ50" s="31">
        <f t="shared" ref="AQ50:AQ67" si="8">AVERAGE(AH50:AM50)</f>
        <v>6</v>
      </c>
    </row>
    <row r="51" spans="2:43" x14ac:dyDescent="0.35">
      <c r="B51" s="2" t="s">
        <v>33</v>
      </c>
      <c r="C51" s="19">
        <f>VLOOKUP(C$48,'DB New Orders'!$A:$S,MATCH($B51,'DB New Orders'!$A$1:$S$1,0),0)</f>
        <v>6</v>
      </c>
      <c r="D51" s="19">
        <f>VLOOKUP(D$48,'DB New Orders'!$A:$S,MATCH($B51,'DB New Orders'!$A$1:$S$1,0),0)</f>
        <v>10</v>
      </c>
      <c r="E51" s="19">
        <f>VLOOKUP(E$48,'DB New Orders'!$A:$S,MATCH($B51,'DB New Orders'!$A$1:$S$1,0),0)</f>
        <v>0</v>
      </c>
      <c r="F51" s="19">
        <f>VLOOKUP(F$48,'DB New Orders'!$A:$S,MATCH($B51,'DB New Orders'!$A$1:$S$1,0),0)</f>
        <v>1</v>
      </c>
      <c r="G51" s="19">
        <f>VLOOKUP(G$48,'DB New Orders'!$A:$S,MATCH($B51,'DB New Orders'!$A$1:$S$1,0),0)</f>
        <v>0</v>
      </c>
      <c r="H51" s="19">
        <f>VLOOKUP(H$48,'DB New Orders'!$A:$S,MATCH($B51,'DB New Orders'!$A$1:$S$1,0),0)</f>
        <v>8</v>
      </c>
      <c r="I51" s="19">
        <f>VLOOKUP(I$48,'DB New Orders'!$A:$S,MATCH($B51,'DB New Orders'!$A$1:$S$1,0),0)</f>
        <v>2</v>
      </c>
      <c r="J51" s="19">
        <f>VLOOKUP(J$48,'DB New Orders'!$A:$S,MATCH($B51,'DB New Orders'!$A$1:$S$1,0),0)</f>
        <v>4</v>
      </c>
      <c r="K51" s="19">
        <f>VLOOKUP(K$48,'DB New Orders'!$A:$S,MATCH($B51,'DB New Orders'!$A$1:$S$1,0),0)</f>
        <v>2</v>
      </c>
      <c r="L51" s="19">
        <f>VLOOKUP(L$48,'DB New Orders'!$A:$S,MATCH($B51,'DB New Orders'!$A$1:$S$1,0),0)</f>
        <v>9</v>
      </c>
      <c r="M51" s="19">
        <f>VLOOKUP(M$48,'DB New Orders'!$A:$S,MATCH($B51,'DB New Orders'!$A$1:$S$1,0),0)</f>
        <v>9</v>
      </c>
      <c r="N51" s="19">
        <f>VLOOKUP(N$48,'DB New Orders'!$A:$S,MATCH($B51,'DB New Orders'!$A$1:$S$1,0),0)</f>
        <v>5</v>
      </c>
      <c r="O51" s="19">
        <f>VLOOKUP(O$48,'DB New Orders'!$A:$S,MATCH($B51,'DB New Orders'!$A$1:$S$1,0),0)</f>
        <v>7</v>
      </c>
      <c r="P51" s="19">
        <f>VLOOKUP(P$48,'DB New Orders'!$A:$S,MATCH($B51,'DB New Orders'!$A$1:$S$1,0),0)</f>
        <v>2</v>
      </c>
      <c r="Q51" s="19">
        <f>VLOOKUP(Q$48,'DB New Orders'!$A:$S,MATCH($B51,'DB New Orders'!$A$1:$S$1,0),0)</f>
        <v>4</v>
      </c>
      <c r="R51" s="19">
        <f>VLOOKUP(R$48,'DB New Orders'!$A:$S,MATCH($B51,'DB New Orders'!$A$1:$S$1,0),0)</f>
        <v>4</v>
      </c>
      <c r="S51" s="19">
        <f>VLOOKUP(S$48,'DB New Orders'!$A:$S,MATCH($B51,'DB New Orders'!$A$1:$S$1,0),0)</f>
        <v>16</v>
      </c>
      <c r="T51" s="19">
        <f>VLOOKUP(T$48,'DB New Orders'!$A:$S,MATCH($B51,'DB New Orders'!$A$1:$S$1,0),0)</f>
        <v>5</v>
      </c>
      <c r="U51" s="19">
        <f>VLOOKUP(U$48,'DB New Orders'!$A:$S,MATCH($B51,'DB New Orders'!$A$1:$S$1,0),0)</f>
        <v>5</v>
      </c>
      <c r="V51" s="19">
        <f>VLOOKUP(V$48,'DB New Orders'!$A:$S,MATCH($B51,'DB New Orders'!$A$1:$S$1,0),0)</f>
        <v>5</v>
      </c>
      <c r="W51" s="19">
        <f>VLOOKUP(W$48,'DB New Orders'!$A:$S,MATCH($B51,'DB New Orders'!$A$1:$S$1,0),0)</f>
        <v>3</v>
      </c>
      <c r="X51" s="19">
        <f>VLOOKUP(X$48,'DB New Orders'!$A:$S,MATCH($B51,'DB New Orders'!$A$1:$S$1,0),0)</f>
        <v>3</v>
      </c>
      <c r="Y51" s="19">
        <f>VLOOKUP(Y$48,'DB New Orders'!$A:$S,MATCH($B51,'DB New Orders'!$A$1:$S$1,0),0)</f>
        <v>5</v>
      </c>
      <c r="Z51" s="19">
        <f>VLOOKUP(Z$48,'DB New Orders'!$A:$S,MATCH($B51,'DB New Orders'!$A$1:$S$1,0),0)</f>
        <v>4</v>
      </c>
      <c r="AA51" s="19">
        <f>VLOOKUP(AA$48,'DB New Orders'!$A:$S,MATCH($B51,'DB New Orders'!$A$1:$S$1,0),0)</f>
        <v>3</v>
      </c>
      <c r="AB51" s="19">
        <f>VLOOKUP(AB$48,'DB New Orders'!$A:$S,MATCH($B51,'DB New Orders'!$A$1:$S$1,0),0)</f>
        <v>5</v>
      </c>
      <c r="AC51" s="19">
        <f>VLOOKUP(AC$48,'DB New Orders'!$A:$S,MATCH($B51,'DB New Orders'!$A$1:$S$1,0),0)</f>
        <v>3</v>
      </c>
      <c r="AD51" s="19">
        <f>VLOOKUP(AD$48,'DB New Orders'!$A:$S,MATCH($B51,'DB New Orders'!$A$1:$S$1,0),0)</f>
        <v>1</v>
      </c>
      <c r="AE51" s="19">
        <f>VLOOKUP(AE$48,'DB New Orders'!$A:$S,MATCH($B51,'DB New Orders'!$A$1:$S$1,0),0)</f>
        <v>4</v>
      </c>
      <c r="AF51" s="19">
        <f>VLOOKUP(AF$48,'DB New Orders'!$A:$S,MATCH($B51,'DB New Orders'!$A$1:$S$1,0),0)</f>
        <v>3</v>
      </c>
      <c r="AG51" s="19">
        <f>VLOOKUP(AG$48,'DB New Orders'!$A:$S,MATCH($B51,'DB New Orders'!$A$1:$S$1,0),0)</f>
        <v>0</v>
      </c>
      <c r="AH51" s="19">
        <f>VLOOKUP(AH$48,'DB New Orders'!$A:$S,MATCH($B51,'DB New Orders'!$A$1:$S$1,0),0)</f>
        <v>2</v>
      </c>
      <c r="AI51" s="19">
        <f>VLOOKUP(AI$48,'DB New Orders'!$A:$S,MATCH($B51,'DB New Orders'!$A$1:$S$1,0),0)</f>
        <v>2</v>
      </c>
      <c r="AJ51" s="19">
        <f>VLOOKUP(AJ$48,'DB New Orders'!$A:$S,MATCH($B51,'DB New Orders'!$A$1:$S$1,0),0)</f>
        <v>4</v>
      </c>
      <c r="AK51" s="19">
        <f>VLOOKUP(AK$48,'DB New Orders'!$A:$S,MATCH($B51,'DB New Orders'!$A$1:$S$1,0),0)</f>
        <v>0</v>
      </c>
      <c r="AL51" s="19">
        <f>VLOOKUP(AL$48,'DB New Orders'!$A:$S,MATCH($B51,'DB New Orders'!$A$1:$S$1,0),0)</f>
        <v>0</v>
      </c>
      <c r="AM51" s="19">
        <f>VLOOKUP(AM$48,'DB New Orders'!$A:$S,MATCH($B51,'DB New Orders'!$A$1:$S$1,0),0)</f>
        <v>2</v>
      </c>
      <c r="AO51" s="19">
        <f t="shared" si="6"/>
        <v>2</v>
      </c>
      <c r="AP51" s="31">
        <f t="shared" si="7"/>
        <v>0.66666666666666663</v>
      </c>
      <c r="AQ51" s="31">
        <f t="shared" si="8"/>
        <v>1.6666666666666667</v>
      </c>
    </row>
    <row r="52" spans="2:43" x14ac:dyDescent="0.35">
      <c r="B52" s="2" t="s">
        <v>31</v>
      </c>
      <c r="C52" s="19">
        <f>VLOOKUP(C$48,'DB New Orders'!$A:$S,MATCH($B52,'DB New Orders'!$A$1:$S$1,0),0)</f>
        <v>5</v>
      </c>
      <c r="D52" s="19">
        <f>VLOOKUP(D$48,'DB New Orders'!$A:$S,MATCH($B52,'DB New Orders'!$A$1:$S$1,0),0)</f>
        <v>5</v>
      </c>
      <c r="E52" s="19">
        <f>VLOOKUP(E$48,'DB New Orders'!$A:$S,MATCH($B52,'DB New Orders'!$A$1:$S$1,0),0)</f>
        <v>4</v>
      </c>
      <c r="F52" s="19">
        <f>VLOOKUP(F$48,'DB New Orders'!$A:$S,MATCH($B52,'DB New Orders'!$A$1:$S$1,0),0)</f>
        <v>-1</v>
      </c>
      <c r="G52" s="19">
        <f>VLOOKUP(G$48,'DB New Orders'!$A:$S,MATCH($B52,'DB New Orders'!$A$1:$S$1,0),0)</f>
        <v>-3</v>
      </c>
      <c r="H52" s="19">
        <f>VLOOKUP(H$48,'DB New Orders'!$A:$S,MATCH($B52,'DB New Orders'!$A$1:$S$1,0),0)</f>
        <v>11</v>
      </c>
      <c r="I52" s="19">
        <f>VLOOKUP(I$48,'DB New Orders'!$A:$S,MATCH($B52,'DB New Orders'!$A$1:$S$1,0),0)</f>
        <v>11</v>
      </c>
      <c r="J52" s="19">
        <f>VLOOKUP(J$48,'DB New Orders'!$A:$S,MATCH($B52,'DB New Orders'!$A$1:$S$1,0),0)</f>
        <v>8</v>
      </c>
      <c r="K52" s="19">
        <f>VLOOKUP(K$48,'DB New Orders'!$A:$S,MATCH($B52,'DB New Orders'!$A$1:$S$1,0),0)</f>
        <v>11</v>
      </c>
      <c r="L52" s="19">
        <f>VLOOKUP(L$48,'DB New Orders'!$A:$S,MATCH($B52,'DB New Orders'!$A$1:$S$1,0),0)</f>
        <v>13</v>
      </c>
      <c r="M52" s="19">
        <f>VLOOKUP(M$48,'DB New Orders'!$A:$S,MATCH($B52,'DB New Orders'!$A$1:$S$1,0),0)</f>
        <v>10</v>
      </c>
      <c r="N52" s="19">
        <f>VLOOKUP(N$48,'DB New Orders'!$A:$S,MATCH($B52,'DB New Orders'!$A$1:$S$1,0),0)</f>
        <v>8</v>
      </c>
      <c r="O52" s="19">
        <f>VLOOKUP(O$48,'DB New Orders'!$A:$S,MATCH($B52,'DB New Orders'!$A$1:$S$1,0),0)</f>
        <v>0</v>
      </c>
      <c r="P52" s="19">
        <f>VLOOKUP(P$48,'DB New Orders'!$A:$S,MATCH($B52,'DB New Orders'!$A$1:$S$1,0),0)</f>
        <v>1</v>
      </c>
      <c r="Q52" s="19">
        <f>VLOOKUP(Q$48,'DB New Orders'!$A:$S,MATCH($B52,'DB New Orders'!$A$1:$S$1,0),0)</f>
        <v>10</v>
      </c>
      <c r="R52" s="19">
        <f>VLOOKUP(R$48,'DB New Orders'!$A:$S,MATCH($B52,'DB New Orders'!$A$1:$S$1,0),0)</f>
        <v>5</v>
      </c>
      <c r="S52" s="19">
        <f>VLOOKUP(S$48,'DB New Orders'!$A:$S,MATCH($B52,'DB New Orders'!$A$1:$S$1,0),0)</f>
        <v>12</v>
      </c>
      <c r="T52" s="19">
        <f>VLOOKUP(T$48,'DB New Orders'!$A:$S,MATCH($B52,'DB New Orders'!$A$1:$S$1,0),0)</f>
        <v>7</v>
      </c>
      <c r="U52" s="19">
        <f>VLOOKUP(U$48,'DB New Orders'!$A:$S,MATCH($B52,'DB New Orders'!$A$1:$S$1,0),0)</f>
        <v>9</v>
      </c>
      <c r="V52" s="19">
        <f>VLOOKUP(V$48,'DB New Orders'!$A:$S,MATCH($B52,'DB New Orders'!$A$1:$S$1,0),0)</f>
        <v>6</v>
      </c>
      <c r="W52" s="19">
        <f>VLOOKUP(W$48,'DB New Orders'!$A:$S,MATCH($B52,'DB New Orders'!$A$1:$S$1,0),0)</f>
        <v>5</v>
      </c>
      <c r="X52" s="19">
        <f>VLOOKUP(X$48,'DB New Orders'!$A:$S,MATCH($B52,'DB New Orders'!$A$1:$S$1,0),0)</f>
        <v>7</v>
      </c>
      <c r="Y52" s="19">
        <f>VLOOKUP(Y$48,'DB New Orders'!$A:$S,MATCH($B52,'DB New Orders'!$A$1:$S$1,0),0)</f>
        <v>12</v>
      </c>
      <c r="Z52" s="19">
        <f>VLOOKUP(Z$48,'DB New Orders'!$A:$S,MATCH($B52,'DB New Orders'!$A$1:$S$1,0),0)</f>
        <v>5</v>
      </c>
      <c r="AA52" s="19">
        <f>VLOOKUP(AA$48,'DB New Orders'!$A:$S,MATCH($B52,'DB New Orders'!$A$1:$S$1,0),0)</f>
        <v>7</v>
      </c>
      <c r="AB52" s="19">
        <f>VLOOKUP(AB$48,'DB New Orders'!$A:$S,MATCH($B52,'DB New Orders'!$A$1:$S$1,0),0)</f>
        <v>0</v>
      </c>
      <c r="AC52" s="19">
        <f>VLOOKUP(AC$48,'DB New Orders'!$A:$S,MATCH($B52,'DB New Orders'!$A$1:$S$1,0),0)</f>
        <v>-1</v>
      </c>
      <c r="AD52" s="19">
        <f>VLOOKUP(AD$48,'DB New Orders'!$A:$S,MATCH($B52,'DB New Orders'!$A$1:$S$1,0),0)</f>
        <v>3</v>
      </c>
      <c r="AE52" s="19">
        <f>VLOOKUP(AE$48,'DB New Orders'!$A:$S,MATCH($B52,'DB New Orders'!$A$1:$S$1,0),0)</f>
        <v>2</v>
      </c>
      <c r="AF52" s="19">
        <f>VLOOKUP(AF$48,'DB New Orders'!$A:$S,MATCH($B52,'DB New Orders'!$A$1:$S$1,0),0)</f>
        <v>5</v>
      </c>
      <c r="AG52" s="19">
        <f>VLOOKUP(AG$48,'DB New Orders'!$A:$S,MATCH($B52,'DB New Orders'!$A$1:$S$1,0),0)</f>
        <v>1</v>
      </c>
      <c r="AH52" s="19">
        <f>VLOOKUP(AH$48,'DB New Orders'!$A:$S,MATCH($B52,'DB New Orders'!$A$1:$S$1,0),0)</f>
        <v>4</v>
      </c>
      <c r="AI52" s="19">
        <f>VLOOKUP(AI$48,'DB New Orders'!$A:$S,MATCH($B52,'DB New Orders'!$A$1:$S$1,0),0)</f>
        <v>5</v>
      </c>
      <c r="AJ52" s="19">
        <f>VLOOKUP(AJ$48,'DB New Orders'!$A:$S,MATCH($B52,'DB New Orders'!$A$1:$S$1,0),0)</f>
        <v>1</v>
      </c>
      <c r="AK52" s="19">
        <f>VLOOKUP(AK$48,'DB New Orders'!$A:$S,MATCH($B52,'DB New Orders'!$A$1:$S$1,0),0)</f>
        <v>4</v>
      </c>
      <c r="AL52" s="19">
        <f>VLOOKUP(AL$48,'DB New Orders'!$A:$S,MATCH($B52,'DB New Orders'!$A$1:$S$1,0),0)</f>
        <v>0</v>
      </c>
      <c r="AM52" s="19">
        <f>VLOOKUP(AM$48,'DB New Orders'!$A:$S,MATCH($B52,'DB New Orders'!$A$1:$S$1,0),0)</f>
        <v>1</v>
      </c>
      <c r="AO52" s="19">
        <f t="shared" si="6"/>
        <v>1</v>
      </c>
      <c r="AP52" s="31">
        <f t="shared" si="7"/>
        <v>1.6666666666666667</v>
      </c>
      <c r="AQ52" s="31">
        <f t="shared" si="8"/>
        <v>2.5</v>
      </c>
    </row>
    <row r="53" spans="2:43" x14ac:dyDescent="0.35">
      <c r="B53" s="2" t="s">
        <v>46</v>
      </c>
      <c r="C53" s="19">
        <f>VLOOKUP(C$48,'DB New Orders'!$A:$T,MATCH($B53,'DB New Orders'!$A$1:$T$1,0),0)</f>
        <v>4</v>
      </c>
      <c r="D53" s="19">
        <f>VLOOKUP(D$48,'DB New Orders'!$A:$T,MATCH($B53,'DB New Orders'!$A$1:$T$1,0),0)</f>
        <v>1</v>
      </c>
      <c r="E53" s="19">
        <f>VLOOKUP(E$48,'DB New Orders'!$A:$T,MATCH($B53,'DB New Orders'!$A$1:$T$1,0),0)</f>
        <v>0</v>
      </c>
      <c r="F53" s="19">
        <f>VLOOKUP(F$48,'DB New Orders'!$A:$T,MATCH($B53,'DB New Orders'!$A$1:$T$1,0),0)</f>
        <v>-12</v>
      </c>
      <c r="G53" s="19">
        <f>VLOOKUP(G$48,'DB New Orders'!$A:$T,MATCH($B53,'DB New Orders'!$A$1:$T$1,0),0)</f>
        <v>-10</v>
      </c>
      <c r="H53" s="19">
        <f>VLOOKUP(H$48,'DB New Orders'!$A:$T,MATCH($B53,'DB New Orders'!$A$1:$T$1,0),0)</f>
        <v>-1</v>
      </c>
      <c r="I53" s="19">
        <f>VLOOKUP(I$48,'DB New Orders'!$A:$T,MATCH($B53,'DB New Orders'!$A$1:$T$1,0),0)</f>
        <v>1</v>
      </c>
      <c r="J53" s="19">
        <f>VLOOKUP(J$48,'DB New Orders'!$A:$T,MATCH($B53,'DB New Orders'!$A$1:$T$1,0),0)</f>
        <v>11</v>
      </c>
      <c r="K53" s="19">
        <f>VLOOKUP(K$48,'DB New Orders'!$A:$T,MATCH($B53,'DB New Orders'!$A$1:$T$1,0),0)</f>
        <v>12</v>
      </c>
      <c r="L53" s="19">
        <f>VLOOKUP(L$48,'DB New Orders'!$A:$T,MATCH($B53,'DB New Orders'!$A$1:$T$1,0),0)</f>
        <v>2</v>
      </c>
      <c r="M53" s="19">
        <f>VLOOKUP(M$48,'DB New Orders'!$A:$T,MATCH($B53,'DB New Orders'!$A$1:$T$1,0),0)</f>
        <v>5</v>
      </c>
      <c r="N53" s="19">
        <f>VLOOKUP(N$48,'DB New Orders'!$A:$T,MATCH($B53,'DB New Orders'!$A$1:$T$1,0),0)</f>
        <v>0</v>
      </c>
      <c r="O53" s="19">
        <f>VLOOKUP(O$48,'DB New Orders'!$A:$T,MATCH($B53,'DB New Orders'!$A$1:$T$1,0),0)</f>
        <v>0</v>
      </c>
      <c r="P53" s="19">
        <f>VLOOKUP(P$48,'DB New Orders'!$A:$T,MATCH($B53,'DB New Orders'!$A$1:$T$1,0),0)</f>
        <v>4</v>
      </c>
      <c r="Q53" s="19">
        <f>VLOOKUP(Q$48,'DB New Orders'!$A:$T,MATCH($B53,'DB New Orders'!$A$1:$T$1,0),0)</f>
        <v>12</v>
      </c>
      <c r="R53" s="19">
        <f>VLOOKUP(R$48,'DB New Orders'!$A:$T,MATCH($B53,'DB New Orders'!$A$1:$T$1,0),0)</f>
        <v>13</v>
      </c>
      <c r="S53" s="19">
        <f>VLOOKUP(S$48,'DB New Orders'!$A:$T,MATCH($B53,'DB New Orders'!$A$1:$T$1,0),0)</f>
        <v>6</v>
      </c>
      <c r="T53" s="19">
        <f>VLOOKUP(T$48,'DB New Orders'!$A:$T,MATCH($B53,'DB New Orders'!$A$1:$T$1,0),0)</f>
        <v>8</v>
      </c>
      <c r="U53" s="19">
        <f>VLOOKUP(U$48,'DB New Orders'!$A:$T,MATCH($B53,'DB New Orders'!$A$1:$T$1,0),0)</f>
        <v>8</v>
      </c>
      <c r="V53" s="19">
        <f>VLOOKUP(V$48,'DB New Orders'!$A:$T,MATCH($B53,'DB New Orders'!$A$1:$T$1,0),0)</f>
        <v>3</v>
      </c>
      <c r="W53" s="19">
        <f>VLOOKUP(W$48,'DB New Orders'!$A:$T,MATCH($B53,'DB New Orders'!$A$1:$T$1,0),0)</f>
        <v>6</v>
      </c>
      <c r="X53" s="19">
        <f>VLOOKUP(X$48,'DB New Orders'!$A:$T,MATCH($B53,'DB New Orders'!$A$1:$T$1,0),0)</f>
        <v>12</v>
      </c>
      <c r="Y53" s="19">
        <f>VLOOKUP(Y$48,'DB New Orders'!$A:$T,MATCH($B53,'DB New Orders'!$A$1:$T$1,0),0)</f>
        <v>6</v>
      </c>
      <c r="Z53" s="19">
        <f>VLOOKUP(Z$48,'DB New Orders'!$A:$T,MATCH($B53,'DB New Orders'!$A$1:$T$1,0),0)</f>
        <v>2</v>
      </c>
      <c r="AA53" s="19">
        <f>VLOOKUP(AA$48,'DB New Orders'!$A:$T,MATCH($B53,'DB New Orders'!$A$1:$T$1,0),0)</f>
        <v>5</v>
      </c>
      <c r="AB53" s="19">
        <f>VLOOKUP(AB$48,'DB New Orders'!$A:$T,MATCH($B53,'DB New Orders'!$A$1:$T$1,0),0)</f>
        <v>8</v>
      </c>
      <c r="AC53" s="19">
        <f>VLOOKUP(AC$48,'DB New Orders'!$A:$T,MATCH($B53,'DB New Orders'!$A$1:$T$1,0),0)</f>
        <v>10</v>
      </c>
      <c r="AD53" s="19">
        <f>VLOOKUP(AD$48,'DB New Orders'!$A:$T,MATCH($B53,'DB New Orders'!$A$1:$T$1,0),0)</f>
        <v>13</v>
      </c>
      <c r="AE53" s="19">
        <f>VLOOKUP(AE$48,'DB New Orders'!$A:$T,MATCH($B53,'DB New Orders'!$A$1:$T$1,0),0)</f>
        <v>9</v>
      </c>
      <c r="AF53" s="19">
        <f>VLOOKUP(AF$48,'DB New Orders'!$A:$T,MATCH($B53,'DB New Orders'!$A$1:$T$1,0),0)</f>
        <v>6</v>
      </c>
      <c r="AG53" s="19">
        <f>VLOOKUP(AG$48,'DB New Orders'!$A:$T,MATCH($B53,'DB New Orders'!$A$1:$T$1,0),0)</f>
        <v>5</v>
      </c>
      <c r="AH53" s="19">
        <f>VLOOKUP(AH$48,'DB New Orders'!$A:$T,MATCH($B53,'DB New Orders'!$A$1:$T$1,0),0)</f>
        <v>9</v>
      </c>
      <c r="AI53" s="19">
        <f>VLOOKUP(AI$48,'DB New Orders'!$A:$T,MATCH($B53,'DB New Orders'!$A$1:$T$1,0),0)</f>
        <v>1</v>
      </c>
      <c r="AJ53" s="19">
        <f>VLOOKUP(AJ$48,'DB New Orders'!$A:$T,MATCH($B53,'DB New Orders'!$A$1:$T$1,0),0)</f>
        <v>3</v>
      </c>
      <c r="AK53" s="19">
        <f>VLOOKUP(AK$48,'DB New Orders'!$A:$T,MATCH($B53,'DB New Orders'!$A$1:$T$1,0),0)</f>
        <v>1</v>
      </c>
      <c r="AL53" s="19">
        <f>VLOOKUP(AL$48,'DB New Orders'!$A:$T,MATCH($B53,'DB New Orders'!$A$1:$T$1,0),0)</f>
        <v>1</v>
      </c>
      <c r="AM53" s="19">
        <f>VLOOKUP(AM$48,'DB New Orders'!$A:$T,MATCH($B53,'DB New Orders'!$A$1:$T$1,0),0)</f>
        <v>9</v>
      </c>
      <c r="AO53" s="19">
        <f t="shared" si="6"/>
        <v>8</v>
      </c>
      <c r="AP53" s="31">
        <f t="shared" si="7"/>
        <v>3.6666666666666665</v>
      </c>
      <c r="AQ53" s="31">
        <f t="shared" si="8"/>
        <v>4</v>
      </c>
    </row>
    <row r="54" spans="2:43" x14ac:dyDescent="0.35">
      <c r="B54" s="2" t="s">
        <v>30</v>
      </c>
      <c r="C54" s="19">
        <f>VLOOKUP(C$48,'DB New Orders'!$A:$S,MATCH($B54,'DB New Orders'!$A$1:$S$1,0),0)</f>
        <v>-2</v>
      </c>
      <c r="D54" s="19">
        <f>VLOOKUP(D$48,'DB New Orders'!$A:$S,MATCH($B54,'DB New Orders'!$A$1:$S$1,0),0)</f>
        <v>6</v>
      </c>
      <c r="E54" s="19">
        <f>VLOOKUP(E$48,'DB New Orders'!$A:$S,MATCH($B54,'DB New Orders'!$A$1:$S$1,0),0)</f>
        <v>-9</v>
      </c>
      <c r="F54" s="19">
        <f>VLOOKUP(F$48,'DB New Orders'!$A:$S,MATCH($B54,'DB New Orders'!$A$1:$S$1,0),0)</f>
        <v>-8</v>
      </c>
      <c r="G54" s="19">
        <f>VLOOKUP(G$48,'DB New Orders'!$A:$S,MATCH($B54,'DB New Orders'!$A$1:$S$1,0),0)</f>
        <v>-13</v>
      </c>
      <c r="H54" s="19">
        <f>VLOOKUP(H$48,'DB New Orders'!$A:$S,MATCH($B54,'DB New Orders'!$A$1:$S$1,0),0)</f>
        <v>10</v>
      </c>
      <c r="I54" s="19">
        <f>VLOOKUP(I$48,'DB New Orders'!$A:$S,MATCH($B54,'DB New Orders'!$A$1:$S$1,0),0)</f>
        <v>0</v>
      </c>
      <c r="J54" s="19">
        <f>VLOOKUP(J$48,'DB New Orders'!$A:$S,MATCH($B54,'DB New Orders'!$A$1:$S$1,0),0)</f>
        <v>0</v>
      </c>
      <c r="K54" s="19">
        <f>VLOOKUP(K$48,'DB New Orders'!$A:$S,MATCH($B54,'DB New Orders'!$A$1:$S$1,0),0)</f>
        <v>7</v>
      </c>
      <c r="L54" s="19">
        <f>VLOOKUP(L$48,'DB New Orders'!$A:$S,MATCH($B54,'DB New Orders'!$A$1:$S$1,0),0)</f>
        <v>5</v>
      </c>
      <c r="M54" s="19">
        <f>VLOOKUP(M$48,'DB New Orders'!$A:$S,MATCH($B54,'DB New Orders'!$A$1:$S$1,0),0)</f>
        <v>-2</v>
      </c>
      <c r="N54" s="19">
        <f>VLOOKUP(N$48,'DB New Orders'!$A:$S,MATCH($B54,'DB New Orders'!$A$1:$S$1,0),0)</f>
        <v>-1</v>
      </c>
      <c r="O54" s="19">
        <f>VLOOKUP(O$48,'DB New Orders'!$A:$S,MATCH($B54,'DB New Orders'!$A$1:$S$1,0),0)</f>
        <v>0</v>
      </c>
      <c r="P54" s="19">
        <f>VLOOKUP(P$48,'DB New Orders'!$A:$S,MATCH($B54,'DB New Orders'!$A$1:$S$1,0),0)</f>
        <v>-1</v>
      </c>
      <c r="Q54" s="19">
        <f>VLOOKUP(Q$48,'DB New Orders'!$A:$S,MATCH($B54,'DB New Orders'!$A$1:$S$1,0),0)</f>
        <v>0</v>
      </c>
      <c r="R54" s="19">
        <f>VLOOKUP(R$48,'DB New Orders'!$A:$S,MATCH($B54,'DB New Orders'!$A$1:$S$1,0),0)</f>
        <v>14</v>
      </c>
      <c r="S54" s="19">
        <f>VLOOKUP(S$48,'DB New Orders'!$A:$S,MATCH($B54,'DB New Orders'!$A$1:$S$1,0),0)</f>
        <v>8</v>
      </c>
      <c r="T54" s="19">
        <f>VLOOKUP(T$48,'DB New Orders'!$A:$S,MATCH($B54,'DB New Orders'!$A$1:$S$1,0),0)</f>
        <v>13</v>
      </c>
      <c r="U54" s="19">
        <f>VLOOKUP(U$48,'DB New Orders'!$A:$S,MATCH($B54,'DB New Orders'!$A$1:$S$1,0),0)</f>
        <v>12</v>
      </c>
      <c r="V54" s="19">
        <f>VLOOKUP(V$48,'DB New Orders'!$A:$S,MATCH($B54,'DB New Orders'!$A$1:$S$1,0),0)</f>
        <v>8</v>
      </c>
      <c r="W54" s="19">
        <f>VLOOKUP(W$48,'DB New Orders'!$A:$S,MATCH($B54,'DB New Orders'!$A$1:$S$1,0),0)</f>
        <v>15</v>
      </c>
      <c r="X54" s="19">
        <f>VLOOKUP(X$48,'DB New Orders'!$A:$S,MATCH($B54,'DB New Orders'!$A$1:$S$1,0),0)</f>
        <v>14</v>
      </c>
      <c r="Y54" s="19">
        <f>VLOOKUP(Y$48,'DB New Orders'!$A:$S,MATCH($B54,'DB New Orders'!$A$1:$S$1,0),0)</f>
        <v>8</v>
      </c>
      <c r="Z54" s="19">
        <f>VLOOKUP(Z$48,'DB New Orders'!$A:$S,MATCH($B54,'DB New Orders'!$A$1:$S$1,0),0)</f>
        <v>7</v>
      </c>
      <c r="AA54" s="19">
        <f>VLOOKUP(AA$48,'DB New Orders'!$A:$S,MATCH($B54,'DB New Orders'!$A$1:$S$1,0),0)</f>
        <v>0</v>
      </c>
      <c r="AB54" s="19">
        <f>VLOOKUP(AB$48,'DB New Orders'!$A:$S,MATCH($B54,'DB New Orders'!$A$1:$S$1,0),0)</f>
        <v>0</v>
      </c>
      <c r="AC54" s="19">
        <f>VLOOKUP(AC$48,'DB New Orders'!$A:$S,MATCH($B54,'DB New Orders'!$A$1:$S$1,0),0)</f>
        <v>8</v>
      </c>
      <c r="AD54" s="19">
        <f>VLOOKUP(AD$48,'DB New Orders'!$A:$S,MATCH($B54,'DB New Orders'!$A$1:$S$1,0),0)</f>
        <v>2</v>
      </c>
      <c r="AE54" s="19">
        <f>VLOOKUP(AE$48,'DB New Orders'!$A:$S,MATCH($B54,'DB New Orders'!$A$1:$S$1,0),0)</f>
        <v>3</v>
      </c>
      <c r="AF54" s="19">
        <f>VLOOKUP(AF$48,'DB New Orders'!$A:$S,MATCH($B54,'DB New Orders'!$A$1:$S$1,0),0)</f>
        <v>10</v>
      </c>
      <c r="AG54" s="19">
        <f>VLOOKUP(AG$48,'DB New Orders'!$A:$S,MATCH($B54,'DB New Orders'!$A$1:$S$1,0),0)</f>
        <v>6</v>
      </c>
      <c r="AH54" s="19">
        <f>VLOOKUP(AH$48,'DB New Orders'!$A:$S,MATCH($B54,'DB New Orders'!$A$1:$S$1,0),0)</f>
        <v>0</v>
      </c>
      <c r="AI54" s="19">
        <f>VLOOKUP(AI$48,'DB New Orders'!$A:$S,MATCH($B54,'DB New Orders'!$A$1:$S$1,0),0)</f>
        <v>12</v>
      </c>
      <c r="AJ54" s="19">
        <f>VLOOKUP(AJ$48,'DB New Orders'!$A:$S,MATCH($B54,'DB New Orders'!$A$1:$S$1,0),0)</f>
        <v>11</v>
      </c>
      <c r="AK54" s="19">
        <f>VLOOKUP(AK$48,'DB New Orders'!$A:$S,MATCH($B54,'DB New Orders'!$A$1:$S$1,0),0)</f>
        <v>11</v>
      </c>
      <c r="AL54" s="19">
        <f>VLOOKUP(AL$48,'DB New Orders'!$A:$S,MATCH($B54,'DB New Orders'!$A$1:$S$1,0),0)</f>
        <v>-6</v>
      </c>
      <c r="AM54" s="19">
        <f>VLOOKUP(AM$48,'DB New Orders'!$A:$S,MATCH($B54,'DB New Orders'!$A$1:$S$1,0),0)</f>
        <v>8</v>
      </c>
      <c r="AO54" s="19">
        <f t="shared" si="6"/>
        <v>14</v>
      </c>
      <c r="AP54" s="31">
        <f t="shared" si="7"/>
        <v>4.333333333333333</v>
      </c>
      <c r="AQ54" s="31">
        <f t="shared" si="8"/>
        <v>6</v>
      </c>
    </row>
    <row r="55" spans="2:43" x14ac:dyDescent="0.35">
      <c r="B55" s="2" t="s">
        <v>34</v>
      </c>
      <c r="C55" s="19">
        <f>VLOOKUP(C$48,'DB New Orders'!$A:$S,MATCH($B55,'DB New Orders'!$A$1:$S$1,0),0)</f>
        <v>-4</v>
      </c>
      <c r="D55" s="19">
        <f>VLOOKUP(D$48,'DB New Orders'!$A:$S,MATCH($B55,'DB New Orders'!$A$1:$S$1,0),0)</f>
        <v>0</v>
      </c>
      <c r="E55" s="19">
        <f>VLOOKUP(E$48,'DB New Orders'!$A:$S,MATCH($B55,'DB New Orders'!$A$1:$S$1,0),0)</f>
        <v>5</v>
      </c>
      <c r="F55" s="19">
        <f>VLOOKUP(F$48,'DB New Orders'!$A:$S,MATCH($B55,'DB New Orders'!$A$1:$S$1,0),0)</f>
        <v>-6</v>
      </c>
      <c r="G55" s="19">
        <f>VLOOKUP(G$48,'DB New Orders'!$A:$S,MATCH($B55,'DB New Orders'!$A$1:$S$1,0),0)</f>
        <v>0</v>
      </c>
      <c r="H55" s="19">
        <f>VLOOKUP(H$48,'DB New Orders'!$A:$S,MATCH($B55,'DB New Orders'!$A$1:$S$1,0),0)</f>
        <v>14</v>
      </c>
      <c r="I55" s="19">
        <f>VLOOKUP(I$48,'DB New Orders'!$A:$S,MATCH($B55,'DB New Orders'!$A$1:$S$1,0),0)</f>
        <v>7</v>
      </c>
      <c r="J55" s="19">
        <f>VLOOKUP(J$48,'DB New Orders'!$A:$S,MATCH($B55,'DB New Orders'!$A$1:$S$1,0),0)</f>
        <v>-3</v>
      </c>
      <c r="K55" s="19">
        <f>VLOOKUP(K$48,'DB New Orders'!$A:$S,MATCH($B55,'DB New Orders'!$A$1:$S$1,0),0)</f>
        <v>13</v>
      </c>
      <c r="L55" s="19">
        <f>VLOOKUP(L$48,'DB New Orders'!$A:$S,MATCH($B55,'DB New Orders'!$A$1:$S$1,0),0)</f>
        <v>0</v>
      </c>
      <c r="M55" s="19">
        <f>VLOOKUP(M$48,'DB New Orders'!$A:$S,MATCH($B55,'DB New Orders'!$A$1:$S$1,0),0)</f>
        <v>0</v>
      </c>
      <c r="N55" s="19">
        <f>VLOOKUP(N$48,'DB New Orders'!$A:$S,MATCH($B55,'DB New Orders'!$A$1:$S$1,0),0)</f>
        <v>-4</v>
      </c>
      <c r="O55" s="19">
        <f>VLOOKUP(O$48,'DB New Orders'!$A:$S,MATCH($B55,'DB New Orders'!$A$1:$S$1,0),0)</f>
        <v>8</v>
      </c>
      <c r="P55" s="19">
        <f>VLOOKUP(P$48,'DB New Orders'!$A:$S,MATCH($B55,'DB New Orders'!$A$1:$S$1,0),0)</f>
        <v>-2</v>
      </c>
      <c r="Q55" s="19">
        <f>VLOOKUP(Q$48,'DB New Orders'!$A:$S,MATCH($B55,'DB New Orders'!$A$1:$S$1,0),0)</f>
        <v>5</v>
      </c>
      <c r="R55" s="19">
        <f>VLOOKUP(R$48,'DB New Orders'!$A:$S,MATCH($B55,'DB New Orders'!$A$1:$S$1,0),0)</f>
        <v>10</v>
      </c>
      <c r="S55" s="19">
        <f>VLOOKUP(S$48,'DB New Orders'!$A:$S,MATCH($B55,'DB New Orders'!$A$1:$S$1,0),0)</f>
        <v>4</v>
      </c>
      <c r="T55" s="19">
        <f>VLOOKUP(T$48,'DB New Orders'!$A:$S,MATCH($B55,'DB New Orders'!$A$1:$S$1,0),0)</f>
        <v>0</v>
      </c>
      <c r="U55" s="19">
        <f>VLOOKUP(U$48,'DB New Orders'!$A:$S,MATCH($B55,'DB New Orders'!$A$1:$S$1,0),0)</f>
        <v>13</v>
      </c>
      <c r="V55" s="19">
        <f>VLOOKUP(V$48,'DB New Orders'!$A:$S,MATCH($B55,'DB New Orders'!$A$1:$S$1,0),0)</f>
        <v>-2</v>
      </c>
      <c r="W55" s="19">
        <f>VLOOKUP(W$48,'DB New Orders'!$A:$S,MATCH($B55,'DB New Orders'!$A$1:$S$1,0),0)</f>
        <v>14</v>
      </c>
      <c r="X55" s="19">
        <f>VLOOKUP(X$48,'DB New Orders'!$A:$S,MATCH($B55,'DB New Orders'!$A$1:$S$1,0),0)</f>
        <v>13</v>
      </c>
      <c r="Y55" s="19">
        <f>VLOOKUP(Y$48,'DB New Orders'!$A:$S,MATCH($B55,'DB New Orders'!$A$1:$S$1,0),0)</f>
        <v>7</v>
      </c>
      <c r="Z55" s="19">
        <f>VLOOKUP(Z$48,'DB New Orders'!$A:$S,MATCH($B55,'DB New Orders'!$A$1:$S$1,0),0)</f>
        <v>0</v>
      </c>
      <c r="AA55" s="19">
        <f>VLOOKUP(AA$48,'DB New Orders'!$A:$S,MATCH($B55,'DB New Orders'!$A$1:$S$1,0),0)</f>
        <v>0</v>
      </c>
      <c r="AB55" s="19">
        <f>VLOOKUP(AB$48,'DB New Orders'!$A:$S,MATCH($B55,'DB New Orders'!$A$1:$S$1,0),0)</f>
        <v>0</v>
      </c>
      <c r="AC55" s="19">
        <f>VLOOKUP(AC$48,'DB New Orders'!$A:$S,MATCH($B55,'DB New Orders'!$A$1:$S$1,0),0)</f>
        <v>11</v>
      </c>
      <c r="AD55" s="19">
        <f>VLOOKUP(AD$48,'DB New Orders'!$A:$S,MATCH($B55,'DB New Orders'!$A$1:$S$1,0),0)</f>
        <v>11</v>
      </c>
      <c r="AE55" s="19">
        <f>VLOOKUP(AE$48,'DB New Orders'!$A:$S,MATCH($B55,'DB New Orders'!$A$1:$S$1,0),0)</f>
        <v>10</v>
      </c>
      <c r="AF55" s="19">
        <f>VLOOKUP(AF$48,'DB New Orders'!$A:$S,MATCH($B55,'DB New Orders'!$A$1:$S$1,0),0)</f>
        <v>7</v>
      </c>
      <c r="AG55" s="19">
        <f>VLOOKUP(AG$48,'DB New Orders'!$A:$S,MATCH($B55,'DB New Orders'!$A$1:$S$1,0),0)</f>
        <v>11</v>
      </c>
      <c r="AH55" s="19">
        <f>VLOOKUP(AH$48,'DB New Orders'!$A:$S,MATCH($B55,'DB New Orders'!$A$1:$S$1,0),0)</f>
        <v>8</v>
      </c>
      <c r="AI55" s="19">
        <f>VLOOKUP(AI$48,'DB New Orders'!$A:$S,MATCH($B55,'DB New Orders'!$A$1:$S$1,0),0)</f>
        <v>9</v>
      </c>
      <c r="AJ55" s="19">
        <f>VLOOKUP(AJ$48,'DB New Orders'!$A:$S,MATCH($B55,'DB New Orders'!$A$1:$S$1,0),0)</f>
        <v>-2</v>
      </c>
      <c r="AK55" s="19">
        <f>VLOOKUP(AK$48,'DB New Orders'!$A:$S,MATCH($B55,'DB New Orders'!$A$1:$S$1,0),0)</f>
        <v>12</v>
      </c>
      <c r="AL55" s="19">
        <f>VLOOKUP(AL$48,'DB New Orders'!$A:$S,MATCH($B55,'DB New Orders'!$A$1:$S$1,0),0)</f>
        <v>-8</v>
      </c>
      <c r="AM55" s="19">
        <f>VLOOKUP(AM$48,'DB New Orders'!$A:$S,MATCH($B55,'DB New Orders'!$A$1:$S$1,0),0)</f>
        <v>4</v>
      </c>
      <c r="AO55" s="19">
        <f t="shared" si="6"/>
        <v>12</v>
      </c>
      <c r="AP55" s="31">
        <f t="shared" si="7"/>
        <v>2.6666666666666665</v>
      </c>
      <c r="AQ55" s="31">
        <f t="shared" si="8"/>
        <v>3.8333333333333335</v>
      </c>
    </row>
    <row r="56" spans="2:43" x14ac:dyDescent="0.35">
      <c r="B56" s="2" t="s">
        <v>35</v>
      </c>
      <c r="C56" s="19">
        <f>VLOOKUP(C$48,'DB New Orders'!$A:$S,MATCH($B56,'DB New Orders'!$A$1:$S$1,0),0)</f>
        <v>0</v>
      </c>
      <c r="D56" s="19">
        <f>VLOOKUP(D$48,'DB New Orders'!$A:$S,MATCH($B56,'DB New Orders'!$A$1:$S$1,0),0)</f>
        <v>11</v>
      </c>
      <c r="E56" s="19">
        <f>VLOOKUP(E$48,'DB New Orders'!$A:$S,MATCH($B56,'DB New Orders'!$A$1:$S$1,0),0)</f>
        <v>0</v>
      </c>
      <c r="F56" s="19">
        <f>VLOOKUP(F$48,'DB New Orders'!$A:$S,MATCH($B56,'DB New Orders'!$A$1:$S$1,0),0)</f>
        <v>-4</v>
      </c>
      <c r="G56" s="19">
        <f>VLOOKUP(G$48,'DB New Orders'!$A:$S,MATCH($B56,'DB New Orders'!$A$1:$S$1,0),0)</f>
        <v>-4</v>
      </c>
      <c r="H56" s="19">
        <f>VLOOKUP(H$48,'DB New Orders'!$A:$S,MATCH($B56,'DB New Orders'!$A$1:$S$1,0),0)</f>
        <v>2</v>
      </c>
      <c r="I56" s="19">
        <f>VLOOKUP(I$48,'DB New Orders'!$A:$S,MATCH($B56,'DB New Orders'!$A$1:$S$1,0),0)</f>
        <v>3</v>
      </c>
      <c r="J56" s="19">
        <f>VLOOKUP(J$48,'DB New Orders'!$A:$S,MATCH($B56,'DB New Orders'!$A$1:$S$1,0),0)</f>
        <v>2</v>
      </c>
      <c r="K56" s="19">
        <f>VLOOKUP(K$48,'DB New Orders'!$A:$S,MATCH($B56,'DB New Orders'!$A$1:$S$1,0),0)</f>
        <v>6</v>
      </c>
      <c r="L56" s="19">
        <f>VLOOKUP(L$48,'DB New Orders'!$A:$S,MATCH($B56,'DB New Orders'!$A$1:$S$1,0),0)</f>
        <v>15</v>
      </c>
      <c r="M56" s="19">
        <f>VLOOKUP(M$48,'DB New Orders'!$A:$S,MATCH($B56,'DB New Orders'!$A$1:$S$1,0),0)</f>
        <v>13</v>
      </c>
      <c r="N56" s="19">
        <f>VLOOKUP(N$48,'DB New Orders'!$A:$S,MATCH($B56,'DB New Orders'!$A$1:$S$1,0),0)</f>
        <v>7</v>
      </c>
      <c r="O56" s="19">
        <f>VLOOKUP(O$48,'DB New Orders'!$A:$S,MATCH($B56,'DB New Orders'!$A$1:$S$1,0),0)</f>
        <v>3</v>
      </c>
      <c r="P56" s="19">
        <f>VLOOKUP(P$48,'DB New Orders'!$A:$S,MATCH($B56,'DB New Orders'!$A$1:$S$1,0),0)</f>
        <v>7</v>
      </c>
      <c r="Q56" s="19">
        <f>VLOOKUP(Q$48,'DB New Orders'!$A:$S,MATCH($B56,'DB New Orders'!$A$1:$S$1,0),0)</f>
        <v>7</v>
      </c>
      <c r="R56" s="19">
        <f>VLOOKUP(R$48,'DB New Orders'!$A:$S,MATCH($B56,'DB New Orders'!$A$1:$S$1,0),0)</f>
        <v>9</v>
      </c>
      <c r="S56" s="19">
        <f>VLOOKUP(S$48,'DB New Orders'!$A:$S,MATCH($B56,'DB New Orders'!$A$1:$S$1,0),0)</f>
        <v>15</v>
      </c>
      <c r="T56" s="19">
        <f>VLOOKUP(T$48,'DB New Orders'!$A:$S,MATCH($B56,'DB New Orders'!$A$1:$S$1,0),0)</f>
        <v>14</v>
      </c>
      <c r="U56" s="19">
        <f>VLOOKUP(U$48,'DB New Orders'!$A:$S,MATCH($B56,'DB New Orders'!$A$1:$S$1,0),0)</f>
        <v>6</v>
      </c>
      <c r="V56" s="19">
        <f>VLOOKUP(V$48,'DB New Orders'!$A:$S,MATCH($B56,'DB New Orders'!$A$1:$S$1,0),0)</f>
        <v>2</v>
      </c>
      <c r="W56" s="19">
        <f>VLOOKUP(W$48,'DB New Orders'!$A:$S,MATCH($B56,'DB New Orders'!$A$1:$S$1,0),0)</f>
        <v>10</v>
      </c>
      <c r="X56" s="19">
        <f>VLOOKUP(X$48,'DB New Orders'!$A:$S,MATCH($B56,'DB New Orders'!$A$1:$S$1,0),0)</f>
        <v>15</v>
      </c>
      <c r="Y56" s="19">
        <f>VLOOKUP(Y$48,'DB New Orders'!$A:$S,MATCH($B56,'DB New Orders'!$A$1:$S$1,0),0)</f>
        <v>18</v>
      </c>
      <c r="Z56" s="19">
        <f>VLOOKUP(Z$48,'DB New Orders'!$A:$S,MATCH($B56,'DB New Orders'!$A$1:$S$1,0),0)</f>
        <v>10</v>
      </c>
      <c r="AA56" s="19">
        <f>VLOOKUP(AA$48,'DB New Orders'!$A:$S,MATCH($B56,'DB New Orders'!$A$1:$S$1,0),0)</f>
        <v>2</v>
      </c>
      <c r="AB56" s="19">
        <f>VLOOKUP(AB$48,'DB New Orders'!$A:$S,MATCH($B56,'DB New Orders'!$A$1:$S$1,0),0)</f>
        <v>6</v>
      </c>
      <c r="AC56" s="19">
        <f>VLOOKUP(AC$48,'DB New Orders'!$A:$S,MATCH($B56,'DB New Orders'!$A$1:$S$1,0),0)</f>
        <v>1</v>
      </c>
      <c r="AD56" s="19">
        <f>VLOOKUP(AD$48,'DB New Orders'!$A:$S,MATCH($B56,'DB New Orders'!$A$1:$S$1,0),0)</f>
        <v>8</v>
      </c>
      <c r="AE56" s="19">
        <f>VLOOKUP(AE$48,'DB New Orders'!$A:$S,MATCH($B56,'DB New Orders'!$A$1:$S$1,0),0)</f>
        <v>6</v>
      </c>
      <c r="AF56" s="19">
        <f>VLOOKUP(AF$48,'DB New Orders'!$A:$S,MATCH($B56,'DB New Orders'!$A$1:$S$1,0),0)</f>
        <v>8</v>
      </c>
      <c r="AG56" s="19">
        <f>VLOOKUP(AG$48,'DB New Orders'!$A:$S,MATCH($B56,'DB New Orders'!$A$1:$S$1,0),0)</f>
        <v>7</v>
      </c>
      <c r="AH56" s="19">
        <f>VLOOKUP(AH$48,'DB New Orders'!$A:$S,MATCH($B56,'DB New Orders'!$A$1:$S$1,0),0)</f>
        <v>0</v>
      </c>
      <c r="AI56" s="19">
        <f>VLOOKUP(AI$48,'DB New Orders'!$A:$S,MATCH($B56,'DB New Orders'!$A$1:$S$1,0),0)</f>
        <v>-1</v>
      </c>
      <c r="AJ56" s="19">
        <f>VLOOKUP(AJ$48,'DB New Orders'!$A:$S,MATCH($B56,'DB New Orders'!$A$1:$S$1,0),0)</f>
        <v>10</v>
      </c>
      <c r="AK56" s="19">
        <f>VLOOKUP(AK$48,'DB New Orders'!$A:$S,MATCH($B56,'DB New Orders'!$A$1:$S$1,0),0)</f>
        <v>5</v>
      </c>
      <c r="AL56" s="19">
        <f>VLOOKUP(AL$48,'DB New Orders'!$A:$S,MATCH($B56,'DB New Orders'!$A$1:$S$1,0),0)</f>
        <v>0</v>
      </c>
      <c r="AM56" s="19">
        <f>VLOOKUP(AM$48,'DB New Orders'!$A:$S,MATCH($B56,'DB New Orders'!$A$1:$S$1,0),0)</f>
        <v>-4</v>
      </c>
      <c r="AO56" s="19">
        <f t="shared" si="6"/>
        <v>-4</v>
      </c>
      <c r="AP56" s="31">
        <f t="shared" si="7"/>
        <v>0.33333333333333331</v>
      </c>
      <c r="AQ56" s="31">
        <f t="shared" si="8"/>
        <v>1.6666666666666667</v>
      </c>
    </row>
    <row r="57" spans="2:43" x14ac:dyDescent="0.35">
      <c r="B57" s="2" t="s">
        <v>32</v>
      </c>
      <c r="C57" s="19">
        <f>VLOOKUP(C$48,'DB New Orders'!$A:$S,MATCH($B57,'DB New Orders'!$A$1:$S$1,0),0)</f>
        <v>8</v>
      </c>
      <c r="D57" s="19">
        <f>VLOOKUP(D$48,'DB New Orders'!$A:$S,MATCH($B57,'DB New Orders'!$A$1:$S$1,0),0)</f>
        <v>16</v>
      </c>
      <c r="E57" s="19">
        <f>VLOOKUP(E$48,'DB New Orders'!$A:$S,MATCH($B57,'DB New Orders'!$A$1:$S$1,0),0)</f>
        <v>3</v>
      </c>
      <c r="F57" s="19">
        <f>VLOOKUP(F$48,'DB New Orders'!$A:$S,MATCH($B57,'DB New Orders'!$A$1:$S$1,0),0)</f>
        <v>-2</v>
      </c>
      <c r="G57" s="19">
        <f>VLOOKUP(G$48,'DB New Orders'!$A:$S,MATCH($B57,'DB New Orders'!$A$1:$S$1,0),0)</f>
        <v>-5</v>
      </c>
      <c r="H57" s="19">
        <f>VLOOKUP(H$48,'DB New Orders'!$A:$S,MATCH($B57,'DB New Orders'!$A$1:$S$1,0),0)</f>
        <v>13</v>
      </c>
      <c r="I57" s="19">
        <f>VLOOKUP(I$48,'DB New Orders'!$A:$S,MATCH($B57,'DB New Orders'!$A$1:$S$1,0),0)</f>
        <v>0</v>
      </c>
      <c r="J57" s="19">
        <f>VLOOKUP(J$48,'DB New Orders'!$A:$S,MATCH($B57,'DB New Orders'!$A$1:$S$1,0),0)</f>
        <v>9</v>
      </c>
      <c r="K57" s="19">
        <f>VLOOKUP(K$48,'DB New Orders'!$A:$S,MATCH($B57,'DB New Orders'!$A$1:$S$1,0),0)</f>
        <v>5</v>
      </c>
      <c r="L57" s="19">
        <f>VLOOKUP(L$48,'DB New Orders'!$A:$S,MATCH($B57,'DB New Orders'!$A$1:$S$1,0),0)</f>
        <v>12</v>
      </c>
      <c r="M57" s="19">
        <f>VLOOKUP(M$48,'DB New Orders'!$A:$S,MATCH($B57,'DB New Orders'!$A$1:$S$1,0),0)</f>
        <v>4</v>
      </c>
      <c r="N57" s="19">
        <f>VLOOKUP(N$48,'DB New Orders'!$A:$S,MATCH($B57,'DB New Orders'!$A$1:$S$1,0),0)</f>
        <v>-2</v>
      </c>
      <c r="O57" s="19">
        <f>VLOOKUP(O$48,'DB New Orders'!$A:$S,MATCH($B57,'DB New Orders'!$A$1:$S$1,0),0)</f>
        <v>-2</v>
      </c>
      <c r="P57" s="19">
        <f>VLOOKUP(P$48,'DB New Orders'!$A:$S,MATCH($B57,'DB New Orders'!$A$1:$S$1,0),0)</f>
        <v>10</v>
      </c>
      <c r="Q57" s="19">
        <f>VLOOKUP(Q$48,'DB New Orders'!$A:$S,MATCH($B57,'DB New Orders'!$A$1:$S$1,0),0)</f>
        <v>13</v>
      </c>
      <c r="R57" s="19">
        <f>VLOOKUP(R$48,'DB New Orders'!$A:$S,MATCH($B57,'DB New Orders'!$A$1:$S$1,0),0)</f>
        <v>1</v>
      </c>
      <c r="S57" s="19">
        <f>VLOOKUP(S$48,'DB New Orders'!$A:$S,MATCH($B57,'DB New Orders'!$A$1:$S$1,0),0)</f>
        <v>3</v>
      </c>
      <c r="T57" s="19">
        <f>VLOOKUP(T$48,'DB New Orders'!$A:$S,MATCH($B57,'DB New Orders'!$A$1:$S$1,0),0)</f>
        <v>10</v>
      </c>
      <c r="U57" s="19">
        <f>VLOOKUP(U$48,'DB New Orders'!$A:$S,MATCH($B57,'DB New Orders'!$A$1:$S$1,0),0)</f>
        <v>10</v>
      </c>
      <c r="V57" s="19">
        <f>VLOOKUP(V$48,'DB New Orders'!$A:$S,MATCH($B57,'DB New Orders'!$A$1:$S$1,0),0)</f>
        <v>12</v>
      </c>
      <c r="W57" s="19">
        <f>VLOOKUP(W$48,'DB New Orders'!$A:$S,MATCH($B57,'DB New Orders'!$A$1:$S$1,0),0)</f>
        <v>2</v>
      </c>
      <c r="X57" s="19">
        <f>VLOOKUP(X$48,'DB New Orders'!$A:$S,MATCH($B57,'DB New Orders'!$A$1:$S$1,0),0)</f>
        <v>9</v>
      </c>
      <c r="Y57" s="19">
        <f>VLOOKUP(Y$48,'DB New Orders'!$A:$S,MATCH($B57,'DB New Orders'!$A$1:$S$1,0),0)</f>
        <v>3</v>
      </c>
      <c r="Z57" s="19">
        <f>VLOOKUP(Z$48,'DB New Orders'!$A:$S,MATCH($B57,'DB New Orders'!$A$1:$S$1,0),0)</f>
        <v>12</v>
      </c>
      <c r="AA57" s="19">
        <f>VLOOKUP(AA$48,'DB New Orders'!$A:$S,MATCH($B57,'DB New Orders'!$A$1:$S$1,0),0)</f>
        <v>-3</v>
      </c>
      <c r="AB57" s="19">
        <f>VLOOKUP(AB$48,'DB New Orders'!$A:$S,MATCH($B57,'DB New Orders'!$A$1:$S$1,0),0)</f>
        <v>-3</v>
      </c>
      <c r="AC57" s="19">
        <f>VLOOKUP(AC$48,'DB New Orders'!$A:$S,MATCH($B57,'DB New Orders'!$A$1:$S$1,0),0)</f>
        <v>5</v>
      </c>
      <c r="AD57" s="19">
        <f>VLOOKUP(AD$48,'DB New Orders'!$A:$S,MATCH($B57,'DB New Orders'!$A$1:$S$1,0),0)</f>
        <v>10</v>
      </c>
      <c r="AE57" s="19">
        <f>VLOOKUP(AE$48,'DB New Orders'!$A:$S,MATCH($B57,'DB New Orders'!$A$1:$S$1,0),0)</f>
        <v>5</v>
      </c>
      <c r="AF57" s="19">
        <f>VLOOKUP(AF$48,'DB New Orders'!$A:$S,MATCH($B57,'DB New Orders'!$A$1:$S$1,0),0)</f>
        <v>13</v>
      </c>
      <c r="AG57" s="19">
        <f>VLOOKUP(AG$48,'DB New Orders'!$A:$S,MATCH($B57,'DB New Orders'!$A$1:$S$1,0),0)</f>
        <v>-4</v>
      </c>
      <c r="AH57" s="19">
        <f>VLOOKUP(AH$48,'DB New Orders'!$A:$S,MATCH($B57,'DB New Orders'!$A$1:$S$1,0),0)</f>
        <v>0</v>
      </c>
      <c r="AI57" s="19">
        <f>VLOOKUP(AI$48,'DB New Orders'!$A:$S,MATCH($B57,'DB New Orders'!$A$1:$S$1,0),0)</f>
        <v>0</v>
      </c>
      <c r="AJ57" s="19">
        <f>VLOOKUP(AJ$48,'DB New Orders'!$A:$S,MATCH($B57,'DB New Orders'!$A$1:$S$1,0),0)</f>
        <v>7</v>
      </c>
      <c r="AK57" s="19">
        <f>VLOOKUP(AK$48,'DB New Orders'!$A:$S,MATCH($B57,'DB New Orders'!$A$1:$S$1,0),0)</f>
        <v>9</v>
      </c>
      <c r="AL57" s="19">
        <f>VLOOKUP(AL$48,'DB New Orders'!$A:$S,MATCH($B57,'DB New Orders'!$A$1:$S$1,0),0)</f>
        <v>0</v>
      </c>
      <c r="AM57" s="19">
        <f>VLOOKUP(AM$48,'DB New Orders'!$A:$S,MATCH($B57,'DB New Orders'!$A$1:$S$1,0),0)</f>
        <v>10</v>
      </c>
      <c r="AO57" s="19">
        <f t="shared" si="6"/>
        <v>10</v>
      </c>
      <c r="AP57" s="31">
        <f t="shared" si="7"/>
        <v>6.333333333333333</v>
      </c>
      <c r="AQ57" s="31">
        <f t="shared" si="8"/>
        <v>4.333333333333333</v>
      </c>
    </row>
    <row r="58" spans="2:43" x14ac:dyDescent="0.35">
      <c r="B58" s="2" t="s">
        <v>37</v>
      </c>
      <c r="C58" s="19">
        <f>VLOOKUP(C$48,'DB New Orders'!$A:$S,MATCH($B58,'DB New Orders'!$A$1:$S$1,0),0)</f>
        <v>2</v>
      </c>
      <c r="D58" s="19">
        <f>VLOOKUP(D$48,'DB New Orders'!$A:$S,MATCH($B58,'DB New Orders'!$A$1:$S$1,0),0)</f>
        <v>12</v>
      </c>
      <c r="E58" s="19">
        <f>VLOOKUP(E$48,'DB New Orders'!$A:$S,MATCH($B58,'DB New Orders'!$A$1:$S$1,0),0)</f>
        <v>1</v>
      </c>
      <c r="F58" s="19">
        <f>VLOOKUP(F$48,'DB New Orders'!$A:$S,MATCH($B58,'DB New Orders'!$A$1:$S$1,0),0)</f>
        <v>-7</v>
      </c>
      <c r="G58" s="19">
        <f>VLOOKUP(G$48,'DB New Orders'!$A:$S,MATCH($B58,'DB New Orders'!$A$1:$S$1,0),0)</f>
        <v>-8</v>
      </c>
      <c r="H58" s="19">
        <f>VLOOKUP(H$48,'DB New Orders'!$A:$S,MATCH($B58,'DB New Orders'!$A$1:$S$1,0),0)</f>
        <v>6</v>
      </c>
      <c r="I58" s="19">
        <f>VLOOKUP(I$48,'DB New Orders'!$A:$S,MATCH($B58,'DB New Orders'!$A$1:$S$1,0),0)</f>
        <v>5</v>
      </c>
      <c r="J58" s="19">
        <f>VLOOKUP(J$48,'DB New Orders'!$A:$S,MATCH($B58,'DB New Orders'!$A$1:$S$1,0),0)</f>
        <v>1</v>
      </c>
      <c r="K58" s="19">
        <f>VLOOKUP(K$48,'DB New Orders'!$A:$S,MATCH($B58,'DB New Orders'!$A$1:$S$1,0),0)</f>
        <v>0</v>
      </c>
      <c r="L58" s="19">
        <f>VLOOKUP(L$48,'DB New Orders'!$A:$S,MATCH($B58,'DB New Orders'!$A$1:$S$1,0),0)</f>
        <v>14</v>
      </c>
      <c r="M58" s="19">
        <f>VLOOKUP(M$48,'DB New Orders'!$A:$S,MATCH($B58,'DB New Orders'!$A$1:$S$1,0),0)</f>
        <v>7</v>
      </c>
      <c r="N58" s="19">
        <f>VLOOKUP(N$48,'DB New Orders'!$A:$S,MATCH($B58,'DB New Orders'!$A$1:$S$1,0),0)</f>
        <v>3</v>
      </c>
      <c r="O58" s="19">
        <f>VLOOKUP(O$48,'DB New Orders'!$A:$S,MATCH($B58,'DB New Orders'!$A$1:$S$1,0),0)</f>
        <v>4</v>
      </c>
      <c r="P58" s="19">
        <f>VLOOKUP(P$48,'DB New Orders'!$A:$S,MATCH($B58,'DB New Orders'!$A$1:$S$1,0),0)</f>
        <v>9</v>
      </c>
      <c r="Q58" s="19">
        <f>VLOOKUP(Q$48,'DB New Orders'!$A:$S,MATCH($B58,'DB New Orders'!$A$1:$S$1,0),0)</f>
        <v>3</v>
      </c>
      <c r="R58" s="19">
        <f>VLOOKUP(R$48,'DB New Orders'!$A:$S,MATCH($B58,'DB New Orders'!$A$1:$S$1,0),0)</f>
        <v>7</v>
      </c>
      <c r="S58" s="19">
        <f>VLOOKUP(S$48,'DB New Orders'!$A:$S,MATCH($B58,'DB New Orders'!$A$1:$S$1,0),0)</f>
        <v>13</v>
      </c>
      <c r="T58" s="19">
        <f>VLOOKUP(T$48,'DB New Orders'!$A:$S,MATCH($B58,'DB New Orders'!$A$1:$S$1,0),0)</f>
        <v>1</v>
      </c>
      <c r="U58" s="19">
        <f>VLOOKUP(U$48,'DB New Orders'!$A:$S,MATCH($B58,'DB New Orders'!$A$1:$S$1,0),0)</f>
        <v>1</v>
      </c>
      <c r="V58" s="19">
        <f>VLOOKUP(V$48,'DB New Orders'!$A:$S,MATCH($B58,'DB New Orders'!$A$1:$S$1,0),0)</f>
        <v>9</v>
      </c>
      <c r="W58" s="19">
        <f>VLOOKUP(W$48,'DB New Orders'!$A:$S,MATCH($B58,'DB New Orders'!$A$1:$S$1,0),0)</f>
        <v>8</v>
      </c>
      <c r="X58" s="19">
        <f>VLOOKUP(X$48,'DB New Orders'!$A:$S,MATCH($B58,'DB New Orders'!$A$1:$S$1,0),0)</f>
        <v>5</v>
      </c>
      <c r="Y58" s="19">
        <f>VLOOKUP(Y$48,'DB New Orders'!$A:$S,MATCH($B58,'DB New Orders'!$A$1:$S$1,0),0)</f>
        <v>15</v>
      </c>
      <c r="Z58" s="19">
        <f>VLOOKUP(Z$48,'DB New Orders'!$A:$S,MATCH($B58,'DB New Orders'!$A$1:$S$1,0),0)</f>
        <v>13</v>
      </c>
      <c r="AA58" s="19">
        <f>VLOOKUP(AA$48,'DB New Orders'!$A:$S,MATCH($B58,'DB New Orders'!$A$1:$S$1,0),0)</f>
        <v>9</v>
      </c>
      <c r="AB58" s="19">
        <f>VLOOKUP(AB$48,'DB New Orders'!$A:$S,MATCH($B58,'DB New Orders'!$A$1:$S$1,0),0)</f>
        <v>10</v>
      </c>
      <c r="AC58" s="19">
        <f>VLOOKUP(AC$48,'DB New Orders'!$A:$S,MATCH($B58,'DB New Orders'!$A$1:$S$1,0),0)</f>
        <v>7</v>
      </c>
      <c r="AD58" s="19">
        <f>VLOOKUP(AD$48,'DB New Orders'!$A:$S,MATCH($B58,'DB New Orders'!$A$1:$S$1,0),0)</f>
        <v>5</v>
      </c>
      <c r="AE58" s="19">
        <f>VLOOKUP(AE$48,'DB New Orders'!$A:$S,MATCH($B58,'DB New Orders'!$A$1:$S$1,0),0)</f>
        <v>15</v>
      </c>
      <c r="AF58" s="19">
        <f>VLOOKUP(AF$48,'DB New Orders'!$A:$S,MATCH($B58,'DB New Orders'!$A$1:$S$1,0),0)</f>
        <v>-2</v>
      </c>
      <c r="AG58" s="19">
        <f>VLOOKUP(AG$48,'DB New Orders'!$A:$S,MATCH($B58,'DB New Orders'!$A$1:$S$1,0),0)</f>
        <v>3</v>
      </c>
      <c r="AH58" s="19">
        <f>VLOOKUP(AH$48,'DB New Orders'!$A:$S,MATCH($B58,'DB New Orders'!$A$1:$S$1,0),0)</f>
        <v>0</v>
      </c>
      <c r="AI58" s="19">
        <f>VLOOKUP(AI$48,'DB New Orders'!$A:$S,MATCH($B58,'DB New Orders'!$A$1:$S$1,0),0)</f>
        <v>0</v>
      </c>
      <c r="AJ58" s="19">
        <f>VLOOKUP(AJ$48,'DB New Orders'!$A:$S,MATCH($B58,'DB New Orders'!$A$1:$S$1,0),0)</f>
        <v>5</v>
      </c>
      <c r="AK58" s="19">
        <f>VLOOKUP(AK$48,'DB New Orders'!$A:$S,MATCH($B58,'DB New Orders'!$A$1:$S$1,0),0)</f>
        <v>3</v>
      </c>
      <c r="AL58" s="19">
        <f>VLOOKUP(AL$48,'DB New Orders'!$A:$S,MATCH($B58,'DB New Orders'!$A$1:$S$1,0),0)</f>
        <v>-2</v>
      </c>
      <c r="AM58" s="19">
        <f>VLOOKUP(AM$48,'DB New Orders'!$A:$S,MATCH($B58,'DB New Orders'!$A$1:$S$1,0),0)</f>
        <v>0</v>
      </c>
      <c r="AO58" s="19">
        <f t="shared" si="6"/>
        <v>2</v>
      </c>
      <c r="AP58" s="31">
        <f t="shared" si="7"/>
        <v>0.33333333333333331</v>
      </c>
      <c r="AQ58" s="31">
        <f t="shared" si="8"/>
        <v>1</v>
      </c>
    </row>
    <row r="59" spans="2:43" x14ac:dyDescent="0.35">
      <c r="B59" s="2" t="s">
        <v>41</v>
      </c>
      <c r="C59" s="19">
        <f>VLOOKUP(C$48,'DB New Orders'!$A:$S,MATCH($B59,'DB New Orders'!$A$1:$S$1,0),0)</f>
        <v>10</v>
      </c>
      <c r="D59" s="19">
        <f>VLOOKUP(D$48,'DB New Orders'!$A:$S,MATCH($B59,'DB New Orders'!$A$1:$S$1,0),0)</f>
        <v>9</v>
      </c>
      <c r="E59" s="19">
        <f>VLOOKUP(E$48,'DB New Orders'!$A:$S,MATCH($B59,'DB New Orders'!$A$1:$S$1,0),0)</f>
        <v>0</v>
      </c>
      <c r="F59" s="19">
        <f>VLOOKUP(F$48,'DB New Orders'!$A:$S,MATCH($B59,'DB New Orders'!$A$1:$S$1,0),0)</f>
        <v>-15</v>
      </c>
      <c r="G59" s="19">
        <f>VLOOKUP(G$48,'DB New Orders'!$A:$S,MATCH($B59,'DB New Orders'!$A$1:$S$1,0),0)</f>
        <v>0</v>
      </c>
      <c r="H59" s="19">
        <f>VLOOKUP(H$48,'DB New Orders'!$A:$S,MATCH($B59,'DB New Orders'!$A$1:$S$1,0),0)</f>
        <v>0</v>
      </c>
      <c r="I59" s="19">
        <f>VLOOKUP(I$48,'DB New Orders'!$A:$S,MATCH($B59,'DB New Orders'!$A$1:$S$1,0),0)</f>
        <v>0</v>
      </c>
      <c r="J59" s="19">
        <f>VLOOKUP(J$48,'DB New Orders'!$A:$S,MATCH($B59,'DB New Orders'!$A$1:$S$1,0),0)</f>
        <v>-4</v>
      </c>
      <c r="K59" s="19">
        <f>VLOOKUP(K$48,'DB New Orders'!$A:$S,MATCH($B59,'DB New Orders'!$A$1:$S$1,0),0)</f>
        <v>-2</v>
      </c>
      <c r="L59" s="19">
        <f>VLOOKUP(L$48,'DB New Orders'!$A:$S,MATCH($B59,'DB New Orders'!$A$1:$S$1,0),0)</f>
        <v>8</v>
      </c>
      <c r="M59" s="19">
        <f>VLOOKUP(M$48,'DB New Orders'!$A:$S,MATCH($B59,'DB New Orders'!$A$1:$S$1,0),0)</f>
        <v>0</v>
      </c>
      <c r="N59" s="19">
        <f>VLOOKUP(N$48,'DB New Orders'!$A:$S,MATCH($B59,'DB New Orders'!$A$1:$S$1,0),0)</f>
        <v>-3</v>
      </c>
      <c r="O59" s="19">
        <f>VLOOKUP(O$48,'DB New Orders'!$A:$S,MATCH($B59,'DB New Orders'!$A$1:$S$1,0),0)</f>
        <v>6</v>
      </c>
      <c r="P59" s="19">
        <f>VLOOKUP(P$48,'DB New Orders'!$A:$S,MATCH($B59,'DB New Orders'!$A$1:$S$1,0),0)</f>
        <v>0</v>
      </c>
      <c r="Q59" s="19">
        <f>VLOOKUP(Q$48,'DB New Orders'!$A:$S,MATCH($B59,'DB New Orders'!$A$1:$S$1,0),0)</f>
        <v>6</v>
      </c>
      <c r="R59" s="19">
        <f>VLOOKUP(R$48,'DB New Orders'!$A:$S,MATCH($B59,'DB New Orders'!$A$1:$S$1,0),0)</f>
        <v>-1</v>
      </c>
      <c r="S59" s="19">
        <f>VLOOKUP(S$48,'DB New Orders'!$A:$S,MATCH($B59,'DB New Orders'!$A$1:$S$1,0),0)</f>
        <v>5</v>
      </c>
      <c r="T59" s="19">
        <f>VLOOKUP(T$48,'DB New Orders'!$A:$S,MATCH($B59,'DB New Orders'!$A$1:$S$1,0),0)</f>
        <v>0</v>
      </c>
      <c r="U59" s="19">
        <f>VLOOKUP(U$48,'DB New Orders'!$A:$S,MATCH($B59,'DB New Orders'!$A$1:$S$1,0),0)</f>
        <v>0</v>
      </c>
      <c r="V59" s="19">
        <f>VLOOKUP(V$48,'DB New Orders'!$A:$S,MATCH($B59,'DB New Orders'!$A$1:$S$1,0),0)</f>
        <v>0</v>
      </c>
      <c r="W59" s="19">
        <f>VLOOKUP(W$48,'DB New Orders'!$A:$S,MATCH($B59,'DB New Orders'!$A$1:$S$1,0),0)</f>
        <v>-1</v>
      </c>
      <c r="X59" s="19">
        <f>VLOOKUP(X$48,'DB New Orders'!$A:$S,MATCH($B59,'DB New Orders'!$A$1:$S$1,0),0)</f>
        <v>0</v>
      </c>
      <c r="Y59" s="19">
        <f>VLOOKUP(Y$48,'DB New Orders'!$A:$S,MATCH($B59,'DB New Orders'!$A$1:$S$1,0),0)</f>
        <v>10</v>
      </c>
      <c r="Z59" s="19">
        <f>VLOOKUP(Z$48,'DB New Orders'!$A:$S,MATCH($B59,'DB New Orders'!$A$1:$S$1,0),0)</f>
        <v>-2</v>
      </c>
      <c r="AA59" s="19">
        <f>VLOOKUP(AA$48,'DB New Orders'!$A:$S,MATCH($B59,'DB New Orders'!$A$1:$S$1,0),0)</f>
        <v>0</v>
      </c>
      <c r="AB59" s="19">
        <f>VLOOKUP(AB$48,'DB New Orders'!$A:$S,MATCH($B59,'DB New Orders'!$A$1:$S$1,0),0)</f>
        <v>0</v>
      </c>
      <c r="AC59" s="19">
        <f>VLOOKUP(AC$48,'DB New Orders'!$A:$S,MATCH($B59,'DB New Orders'!$A$1:$S$1,0),0)</f>
        <v>-2</v>
      </c>
      <c r="AD59" s="19">
        <f>VLOOKUP(AD$48,'DB New Orders'!$A:$S,MATCH($B59,'DB New Orders'!$A$1:$S$1,0),0)</f>
        <v>0</v>
      </c>
      <c r="AE59" s="19">
        <f>VLOOKUP(AE$48,'DB New Orders'!$A:$S,MATCH($B59,'DB New Orders'!$A$1:$S$1,0),0)</f>
        <v>-2</v>
      </c>
      <c r="AF59" s="19">
        <f>VLOOKUP(AF$48,'DB New Orders'!$A:$S,MATCH($B59,'DB New Orders'!$A$1:$S$1,0),0)</f>
        <v>0</v>
      </c>
      <c r="AG59" s="19">
        <f>VLOOKUP(AG$48,'DB New Orders'!$A:$S,MATCH($B59,'DB New Orders'!$A$1:$S$1,0),0)</f>
        <v>-5</v>
      </c>
      <c r="AH59" s="19">
        <f>VLOOKUP(AH$48,'DB New Orders'!$A:$S,MATCH($B59,'DB New Orders'!$A$1:$S$1,0),0)</f>
        <v>-1</v>
      </c>
      <c r="AI59" s="19">
        <f>VLOOKUP(AI$48,'DB New Orders'!$A:$S,MATCH($B59,'DB New Orders'!$A$1:$S$1,0),0)</f>
        <v>4</v>
      </c>
      <c r="AJ59" s="19">
        <f>VLOOKUP(AJ$48,'DB New Orders'!$A:$S,MATCH($B59,'DB New Orders'!$A$1:$S$1,0),0)</f>
        <v>9</v>
      </c>
      <c r="AK59" s="19">
        <f>VLOOKUP(AK$48,'DB New Orders'!$A:$S,MATCH($B59,'DB New Orders'!$A$1:$S$1,0),0)</f>
        <v>8</v>
      </c>
      <c r="AL59" s="19">
        <f>VLOOKUP(AL$48,'DB New Orders'!$A:$S,MATCH($B59,'DB New Orders'!$A$1:$S$1,0),0)</f>
        <v>0</v>
      </c>
      <c r="AM59" s="19">
        <f>VLOOKUP(AM$48,'DB New Orders'!$A:$S,MATCH($B59,'DB New Orders'!$A$1:$S$1,0),0)</f>
        <v>11</v>
      </c>
      <c r="AO59" s="19">
        <f t="shared" si="6"/>
        <v>11</v>
      </c>
      <c r="AP59" s="31">
        <f t="shared" si="7"/>
        <v>6.333333333333333</v>
      </c>
      <c r="AQ59" s="31">
        <f t="shared" si="8"/>
        <v>5.166666666666667</v>
      </c>
    </row>
    <row r="60" spans="2:43" x14ac:dyDescent="0.35">
      <c r="B60" s="2" t="s">
        <v>29</v>
      </c>
      <c r="C60" s="19">
        <f>VLOOKUP(C$48,'DB New Orders'!$A:$S,MATCH($B60,'DB New Orders'!$A$1:$S$1,0),0)</f>
        <v>0</v>
      </c>
      <c r="D60" s="19">
        <f>VLOOKUP(D$48,'DB New Orders'!$A:$S,MATCH($B60,'DB New Orders'!$A$1:$S$1,0),0)</f>
        <v>-1</v>
      </c>
      <c r="E60" s="19">
        <f>VLOOKUP(E$48,'DB New Orders'!$A:$S,MATCH($B60,'DB New Orders'!$A$1:$S$1,0),0)</f>
        <v>-8</v>
      </c>
      <c r="F60" s="19">
        <f>VLOOKUP(F$48,'DB New Orders'!$A:$S,MATCH($B60,'DB New Orders'!$A$1:$S$1,0),0)</f>
        <v>-16</v>
      </c>
      <c r="G60" s="19">
        <f>VLOOKUP(G$48,'DB New Orders'!$A:$S,MATCH($B60,'DB New Orders'!$A$1:$S$1,0),0)</f>
        <v>-9</v>
      </c>
      <c r="H60" s="19">
        <f>VLOOKUP(H$48,'DB New Orders'!$A:$S,MATCH($B60,'DB New Orders'!$A$1:$S$1,0),0)</f>
        <v>7</v>
      </c>
      <c r="I60" s="19">
        <f>VLOOKUP(I$48,'DB New Orders'!$A:$S,MATCH($B60,'DB New Orders'!$A$1:$S$1,0),0)</f>
        <v>9</v>
      </c>
      <c r="J60" s="19">
        <f>VLOOKUP(J$48,'DB New Orders'!$A:$S,MATCH($B60,'DB New Orders'!$A$1:$S$1,0),0)</f>
        <v>12</v>
      </c>
      <c r="K60" s="19">
        <f>VLOOKUP(K$48,'DB New Orders'!$A:$S,MATCH($B60,'DB New Orders'!$A$1:$S$1,0),0)</f>
        <v>14</v>
      </c>
      <c r="L60" s="19">
        <f>VLOOKUP(L$48,'DB New Orders'!$A:$S,MATCH($B60,'DB New Orders'!$A$1:$S$1,0),0)</f>
        <v>0</v>
      </c>
      <c r="M60" s="19">
        <f>VLOOKUP(M$48,'DB New Orders'!$A:$S,MATCH($B60,'DB New Orders'!$A$1:$S$1,0),0)</f>
        <v>-3</v>
      </c>
      <c r="N60" s="19">
        <f>VLOOKUP(N$48,'DB New Orders'!$A:$S,MATCH($B60,'DB New Orders'!$A$1:$S$1,0),0)</f>
        <v>-5</v>
      </c>
      <c r="O60" s="19">
        <f>VLOOKUP(O$48,'DB New Orders'!$A:$S,MATCH($B60,'DB New Orders'!$A$1:$S$1,0),0)</f>
        <v>-3</v>
      </c>
      <c r="P60" s="19">
        <f>VLOOKUP(P$48,'DB New Orders'!$A:$S,MATCH($B60,'DB New Orders'!$A$1:$S$1,0),0)</f>
        <v>0</v>
      </c>
      <c r="Q60" s="19">
        <f>VLOOKUP(Q$48,'DB New Orders'!$A:$S,MATCH($B60,'DB New Orders'!$A$1:$S$1,0),0)</f>
        <v>17</v>
      </c>
      <c r="R60" s="19">
        <f>VLOOKUP(R$48,'DB New Orders'!$A:$S,MATCH($B60,'DB New Orders'!$A$1:$S$1,0),0)</f>
        <v>17</v>
      </c>
      <c r="S60" s="19">
        <f>VLOOKUP(S$48,'DB New Orders'!$A:$S,MATCH($B60,'DB New Orders'!$A$1:$S$1,0),0)</f>
        <v>11</v>
      </c>
      <c r="T60" s="19">
        <f>VLOOKUP(T$48,'DB New Orders'!$A:$S,MATCH($B60,'DB New Orders'!$A$1:$S$1,0),0)</f>
        <v>16</v>
      </c>
      <c r="U60" s="19">
        <f>VLOOKUP(U$48,'DB New Orders'!$A:$S,MATCH($B60,'DB New Orders'!$A$1:$S$1,0),0)</f>
        <v>16</v>
      </c>
      <c r="V60" s="19">
        <f>VLOOKUP(V$48,'DB New Orders'!$A:$S,MATCH($B60,'DB New Orders'!$A$1:$S$1,0),0)</f>
        <v>-3</v>
      </c>
      <c r="W60" s="19">
        <f>VLOOKUP(W$48,'DB New Orders'!$A:$S,MATCH($B60,'DB New Orders'!$A$1:$S$1,0),0)</f>
        <v>16</v>
      </c>
      <c r="X60" s="19">
        <f>VLOOKUP(X$48,'DB New Orders'!$A:$S,MATCH($B60,'DB New Orders'!$A$1:$S$1,0),0)</f>
        <v>8</v>
      </c>
      <c r="Y60" s="19">
        <f>VLOOKUP(Y$48,'DB New Orders'!$A:$S,MATCH($B60,'DB New Orders'!$A$1:$S$1,0),0)</f>
        <v>9</v>
      </c>
      <c r="Z60" s="19">
        <f>VLOOKUP(Z$48,'DB New Orders'!$A:$S,MATCH($B60,'DB New Orders'!$A$1:$S$1,0),0)</f>
        <v>8</v>
      </c>
      <c r="AA60" s="19">
        <f>VLOOKUP(AA$48,'DB New Orders'!$A:$S,MATCH($B60,'DB New Orders'!$A$1:$S$1,0),0)</f>
        <v>-4</v>
      </c>
      <c r="AB60" s="19">
        <f>VLOOKUP(AB$48,'DB New Orders'!$A:$S,MATCH($B60,'DB New Orders'!$A$1:$S$1,0),0)</f>
        <v>-2</v>
      </c>
      <c r="AC60" s="19">
        <f>VLOOKUP(AC$48,'DB New Orders'!$A:$S,MATCH($B60,'DB New Orders'!$A$1:$S$1,0),0)</f>
        <v>15</v>
      </c>
      <c r="AD60" s="19">
        <f>VLOOKUP(AD$48,'DB New Orders'!$A:$S,MATCH($B60,'DB New Orders'!$A$1:$S$1,0),0)</f>
        <v>0</v>
      </c>
      <c r="AE60" s="19">
        <f>VLOOKUP(AE$48,'DB New Orders'!$A:$S,MATCH($B60,'DB New Orders'!$A$1:$S$1,0),0)</f>
        <v>14</v>
      </c>
      <c r="AF60" s="19">
        <f>VLOOKUP(AF$48,'DB New Orders'!$A:$S,MATCH($B60,'DB New Orders'!$A$1:$S$1,0),0)</f>
        <v>9</v>
      </c>
      <c r="AG60" s="19">
        <f>VLOOKUP(AG$48,'DB New Orders'!$A:$S,MATCH($B60,'DB New Orders'!$A$1:$S$1,0),0)</f>
        <v>0</v>
      </c>
      <c r="AH60" s="19">
        <f>VLOOKUP(AH$48,'DB New Orders'!$A:$S,MATCH($B60,'DB New Orders'!$A$1:$S$1,0),0)</f>
        <v>0</v>
      </c>
      <c r="AI60" s="19">
        <f>VLOOKUP(AI$48,'DB New Orders'!$A:$S,MATCH($B60,'DB New Orders'!$A$1:$S$1,0),0)</f>
        <v>-2</v>
      </c>
      <c r="AJ60" s="19">
        <f>VLOOKUP(AJ$48,'DB New Orders'!$A:$S,MATCH($B60,'DB New Orders'!$A$1:$S$1,0),0)</f>
        <v>0</v>
      </c>
      <c r="AK60" s="19">
        <f>VLOOKUP(AK$48,'DB New Orders'!$A:$S,MATCH($B60,'DB New Orders'!$A$1:$S$1,0),0)</f>
        <v>0</v>
      </c>
      <c r="AL60" s="19">
        <f>VLOOKUP(AL$48,'DB New Orders'!$A:$S,MATCH($B60,'DB New Orders'!$A$1:$S$1,0),0)</f>
        <v>-7</v>
      </c>
      <c r="AM60" s="19">
        <f>VLOOKUP(AM$48,'DB New Orders'!$A:$S,MATCH($B60,'DB New Orders'!$A$1:$S$1,0),0)</f>
        <v>0</v>
      </c>
      <c r="AO60" s="19">
        <f t="shared" si="6"/>
        <v>7</v>
      </c>
      <c r="AP60" s="31">
        <f t="shared" si="7"/>
        <v>-2.3333333333333335</v>
      </c>
      <c r="AQ60" s="31">
        <f t="shared" si="8"/>
        <v>-1.5</v>
      </c>
    </row>
    <row r="61" spans="2:43" x14ac:dyDescent="0.35">
      <c r="B61" s="2" t="s">
        <v>36</v>
      </c>
      <c r="C61" s="19">
        <f>VLOOKUP(C$48,'DB New Orders'!$A:$S,MATCH($B61,'DB New Orders'!$A$1:$S$1,0),0)</f>
        <v>0</v>
      </c>
      <c r="D61" s="19">
        <f>VLOOKUP(D$48,'DB New Orders'!$A:$S,MATCH($B61,'DB New Orders'!$A$1:$S$1,0),0)</f>
        <v>13</v>
      </c>
      <c r="E61" s="19">
        <f>VLOOKUP(E$48,'DB New Orders'!$A:$S,MATCH($B61,'DB New Orders'!$A$1:$S$1,0),0)</f>
        <v>-3</v>
      </c>
      <c r="F61" s="19">
        <f>VLOOKUP(F$48,'DB New Orders'!$A:$S,MATCH($B61,'DB New Orders'!$A$1:$S$1,0),0)</f>
        <v>-13</v>
      </c>
      <c r="G61" s="19">
        <f>VLOOKUP(G$48,'DB New Orders'!$A:$S,MATCH($B61,'DB New Orders'!$A$1:$S$1,0),0)</f>
        <v>-14</v>
      </c>
      <c r="H61" s="19">
        <f>VLOOKUP(H$48,'DB New Orders'!$A:$S,MATCH($B61,'DB New Orders'!$A$1:$S$1,0),0)</f>
        <v>12</v>
      </c>
      <c r="I61" s="19">
        <f>VLOOKUP(I$48,'DB New Orders'!$A:$S,MATCH($B61,'DB New Orders'!$A$1:$S$1,0),0)</f>
        <v>-2</v>
      </c>
      <c r="J61" s="19">
        <f>VLOOKUP(J$48,'DB New Orders'!$A:$S,MATCH($B61,'DB New Orders'!$A$1:$S$1,0),0)</f>
        <v>-5</v>
      </c>
      <c r="K61" s="19">
        <f>VLOOKUP(K$48,'DB New Orders'!$A:$S,MATCH($B61,'DB New Orders'!$A$1:$S$1,0),0)</f>
        <v>4</v>
      </c>
      <c r="L61" s="19">
        <f>VLOOKUP(L$48,'DB New Orders'!$A:$S,MATCH($B61,'DB New Orders'!$A$1:$S$1,0),0)</f>
        <v>7</v>
      </c>
      <c r="M61" s="19">
        <f>VLOOKUP(M$48,'DB New Orders'!$A:$S,MATCH($B61,'DB New Orders'!$A$1:$S$1,0),0)</f>
        <v>11</v>
      </c>
      <c r="N61" s="19">
        <f>VLOOKUP(N$48,'DB New Orders'!$A:$S,MATCH($B61,'DB New Orders'!$A$1:$S$1,0),0)</f>
        <v>0</v>
      </c>
      <c r="O61" s="19">
        <f>VLOOKUP(O$48,'DB New Orders'!$A:$S,MATCH($B61,'DB New Orders'!$A$1:$S$1,0),0)</f>
        <v>0</v>
      </c>
      <c r="P61" s="19">
        <f>VLOOKUP(P$48,'DB New Orders'!$A:$S,MATCH($B61,'DB New Orders'!$A$1:$S$1,0),0)</f>
        <v>0</v>
      </c>
      <c r="Q61" s="19">
        <f>VLOOKUP(Q$48,'DB New Orders'!$A:$S,MATCH($B61,'DB New Orders'!$A$1:$S$1,0),0)</f>
        <v>16</v>
      </c>
      <c r="R61" s="19">
        <f>VLOOKUP(R$48,'DB New Orders'!$A:$S,MATCH($B61,'DB New Orders'!$A$1:$S$1,0),0)</f>
        <v>8</v>
      </c>
      <c r="S61" s="19">
        <f>VLOOKUP(S$48,'DB New Orders'!$A:$S,MATCH($B61,'DB New Orders'!$A$1:$S$1,0),0)</f>
        <v>14</v>
      </c>
      <c r="T61" s="19">
        <f>VLOOKUP(T$48,'DB New Orders'!$A:$S,MATCH($B61,'DB New Orders'!$A$1:$S$1,0),0)</f>
        <v>9</v>
      </c>
      <c r="U61" s="19">
        <f>VLOOKUP(U$48,'DB New Orders'!$A:$S,MATCH($B61,'DB New Orders'!$A$1:$S$1,0),0)</f>
        <v>-1</v>
      </c>
      <c r="V61" s="19">
        <f>VLOOKUP(V$48,'DB New Orders'!$A:$S,MATCH($B61,'DB New Orders'!$A$1:$S$1,0),0)</f>
        <v>7</v>
      </c>
      <c r="W61" s="19">
        <f>VLOOKUP(W$48,'DB New Orders'!$A:$S,MATCH($B61,'DB New Orders'!$A$1:$S$1,0),0)</f>
        <v>11</v>
      </c>
      <c r="X61" s="19">
        <f>VLOOKUP(X$48,'DB New Orders'!$A:$S,MATCH($B61,'DB New Orders'!$A$1:$S$1,0),0)</f>
        <v>0</v>
      </c>
      <c r="Y61" s="19">
        <f>VLOOKUP(Y$48,'DB New Orders'!$A:$S,MATCH($B61,'DB New Orders'!$A$1:$S$1,0),0)</f>
        <v>13</v>
      </c>
      <c r="Z61" s="19">
        <f>VLOOKUP(Z$48,'DB New Orders'!$A:$S,MATCH($B61,'DB New Orders'!$A$1:$S$1,0),0)</f>
        <v>-3</v>
      </c>
      <c r="AA61" s="19">
        <f>VLOOKUP(AA$48,'DB New Orders'!$A:$S,MATCH($B61,'DB New Orders'!$A$1:$S$1,0),0)</f>
        <v>0</v>
      </c>
      <c r="AB61" s="19">
        <f>VLOOKUP(AB$48,'DB New Orders'!$A:$S,MATCH($B61,'DB New Orders'!$A$1:$S$1,0),0)</f>
        <v>7</v>
      </c>
      <c r="AC61" s="19">
        <f>VLOOKUP(AC$48,'DB New Orders'!$A:$S,MATCH($B61,'DB New Orders'!$A$1:$S$1,0),0)</f>
        <v>9</v>
      </c>
      <c r="AD61" s="19">
        <f>VLOOKUP(AD$48,'DB New Orders'!$A:$S,MATCH($B61,'DB New Orders'!$A$1:$S$1,0),0)</f>
        <v>0</v>
      </c>
      <c r="AE61" s="19">
        <f>VLOOKUP(AE$48,'DB New Orders'!$A:$S,MATCH($B61,'DB New Orders'!$A$1:$S$1,0),0)</f>
        <v>12</v>
      </c>
      <c r="AF61" s="19">
        <f>VLOOKUP(AF$48,'DB New Orders'!$A:$S,MATCH($B61,'DB New Orders'!$A$1:$S$1,0),0)</f>
        <v>12</v>
      </c>
      <c r="AG61" s="19">
        <f>VLOOKUP(AG$48,'DB New Orders'!$A:$S,MATCH($B61,'DB New Orders'!$A$1:$S$1,0),0)</f>
        <v>10</v>
      </c>
      <c r="AH61" s="19">
        <f>VLOOKUP(AH$48,'DB New Orders'!$A:$S,MATCH($B61,'DB New Orders'!$A$1:$S$1,0),0)</f>
        <v>11</v>
      </c>
      <c r="AI61" s="19">
        <f>VLOOKUP(AI$48,'DB New Orders'!$A:$S,MATCH($B61,'DB New Orders'!$A$1:$S$1,0),0)</f>
        <v>13</v>
      </c>
      <c r="AJ61" s="19">
        <f>VLOOKUP(AJ$48,'DB New Orders'!$A:$S,MATCH($B61,'DB New Orders'!$A$1:$S$1,0),0)</f>
        <v>13</v>
      </c>
      <c r="AK61" s="19">
        <f>VLOOKUP(AK$48,'DB New Orders'!$A:$S,MATCH($B61,'DB New Orders'!$A$1:$S$1,0),0)</f>
        <v>7</v>
      </c>
      <c r="AL61" s="19">
        <f>VLOOKUP(AL$48,'DB New Orders'!$A:$S,MATCH($B61,'DB New Orders'!$A$1:$S$1,0),0)</f>
        <v>0</v>
      </c>
      <c r="AM61" s="19">
        <f>VLOOKUP(AM$48,'DB New Orders'!$A:$S,MATCH($B61,'DB New Orders'!$A$1:$S$1,0),0)</f>
        <v>-2</v>
      </c>
      <c r="AO61" s="19">
        <f t="shared" si="6"/>
        <v>-2</v>
      </c>
      <c r="AP61" s="31">
        <f t="shared" si="7"/>
        <v>1.6666666666666667</v>
      </c>
      <c r="AQ61" s="31">
        <f t="shared" si="8"/>
        <v>7</v>
      </c>
    </row>
    <row r="62" spans="2:43" x14ac:dyDescent="0.35">
      <c r="B62" s="2" t="s">
        <v>40</v>
      </c>
      <c r="C62" s="19">
        <f>VLOOKUP(C$48,'DB New Orders'!$A:$S,MATCH($B62,'DB New Orders'!$A$1:$S$1,0),0)</f>
        <v>-1</v>
      </c>
      <c r="D62" s="19">
        <f>VLOOKUP(D$48,'DB New Orders'!$A:$S,MATCH($B62,'DB New Orders'!$A$1:$S$1,0),0)</f>
        <v>3</v>
      </c>
      <c r="E62" s="19">
        <f>VLOOKUP(E$48,'DB New Orders'!$A:$S,MATCH($B62,'DB New Orders'!$A$1:$S$1,0),0)</f>
        <v>-5</v>
      </c>
      <c r="F62" s="19">
        <f>VLOOKUP(F$48,'DB New Orders'!$A:$S,MATCH($B62,'DB New Orders'!$A$1:$S$1,0),0)</f>
        <v>-10</v>
      </c>
      <c r="G62" s="19">
        <f>VLOOKUP(G$48,'DB New Orders'!$A:$S,MATCH($B62,'DB New Orders'!$A$1:$S$1,0),0)</f>
        <v>-7</v>
      </c>
      <c r="H62" s="19">
        <f>VLOOKUP(H$48,'DB New Orders'!$A:$S,MATCH($B62,'DB New Orders'!$A$1:$S$1,0),0)</f>
        <v>1</v>
      </c>
      <c r="I62" s="19">
        <f>VLOOKUP(I$48,'DB New Orders'!$A:$S,MATCH($B62,'DB New Orders'!$A$1:$S$1,0),0)</f>
        <v>-1</v>
      </c>
      <c r="J62" s="19">
        <f>VLOOKUP(J$48,'DB New Orders'!$A:$S,MATCH($B62,'DB New Orders'!$A$1:$S$1,0),0)</f>
        <v>-1</v>
      </c>
      <c r="K62" s="19">
        <f>VLOOKUP(K$48,'DB New Orders'!$A:$S,MATCH($B62,'DB New Orders'!$A$1:$S$1,0),0)</f>
        <v>0</v>
      </c>
      <c r="L62" s="19">
        <f>VLOOKUP(L$48,'DB New Orders'!$A:$S,MATCH($B62,'DB New Orders'!$A$1:$S$1,0),0)</f>
        <v>6</v>
      </c>
      <c r="M62" s="19">
        <f>VLOOKUP(M$48,'DB New Orders'!$A:$S,MATCH($B62,'DB New Orders'!$A$1:$S$1,0),0)</f>
        <v>8</v>
      </c>
      <c r="N62" s="19">
        <f>VLOOKUP(N$48,'DB New Orders'!$A:$S,MATCH($B62,'DB New Orders'!$A$1:$S$1,0),0)</f>
        <v>1</v>
      </c>
      <c r="O62" s="19">
        <f>VLOOKUP(O$48,'DB New Orders'!$A:$S,MATCH($B62,'DB New Orders'!$A$1:$S$1,0),0)</f>
        <v>1</v>
      </c>
      <c r="P62" s="19">
        <f>VLOOKUP(P$48,'DB New Orders'!$A:$S,MATCH($B62,'DB New Orders'!$A$1:$S$1,0),0)</f>
        <v>6</v>
      </c>
      <c r="Q62" s="19">
        <f>VLOOKUP(Q$48,'DB New Orders'!$A:$S,MATCH($B62,'DB New Orders'!$A$1:$S$1,0),0)</f>
        <v>9</v>
      </c>
      <c r="R62" s="19">
        <f>VLOOKUP(R$48,'DB New Orders'!$A:$S,MATCH($B62,'DB New Orders'!$A$1:$S$1,0),0)</f>
        <v>3</v>
      </c>
      <c r="S62" s="19">
        <f>VLOOKUP(S$48,'DB New Orders'!$A:$S,MATCH($B62,'DB New Orders'!$A$1:$S$1,0),0)</f>
        <v>2</v>
      </c>
      <c r="T62" s="19">
        <f>VLOOKUP(T$48,'DB New Orders'!$A:$S,MATCH($B62,'DB New Orders'!$A$1:$S$1,0),0)</f>
        <v>2</v>
      </c>
      <c r="U62" s="19">
        <f>VLOOKUP(U$48,'DB New Orders'!$A:$S,MATCH($B62,'DB New Orders'!$A$1:$S$1,0),0)</f>
        <v>2</v>
      </c>
      <c r="V62" s="19">
        <f>VLOOKUP(V$48,'DB New Orders'!$A:$S,MATCH($B62,'DB New Orders'!$A$1:$S$1,0),0)</f>
        <v>1</v>
      </c>
      <c r="W62" s="19">
        <f>VLOOKUP(W$48,'DB New Orders'!$A:$S,MATCH($B62,'DB New Orders'!$A$1:$S$1,0),0)</f>
        <v>12</v>
      </c>
      <c r="X62" s="19">
        <f>VLOOKUP(X$48,'DB New Orders'!$A:$S,MATCH($B62,'DB New Orders'!$A$1:$S$1,0),0)</f>
        <v>2</v>
      </c>
      <c r="Y62" s="19">
        <f>VLOOKUP(Y$48,'DB New Orders'!$A:$S,MATCH($B62,'DB New Orders'!$A$1:$S$1,0),0)</f>
        <v>4</v>
      </c>
      <c r="Z62" s="19">
        <f>VLOOKUP(Z$48,'DB New Orders'!$A:$S,MATCH($B62,'DB New Orders'!$A$1:$S$1,0),0)</f>
        <v>3</v>
      </c>
      <c r="AA62" s="19">
        <f>VLOOKUP(AA$48,'DB New Orders'!$A:$S,MATCH($B62,'DB New Orders'!$A$1:$S$1,0),0)</f>
        <v>4</v>
      </c>
      <c r="AB62" s="19">
        <f>VLOOKUP(AB$48,'DB New Orders'!$A:$S,MATCH($B62,'DB New Orders'!$A$1:$S$1,0),0)</f>
        <v>2</v>
      </c>
      <c r="AC62" s="19">
        <f>VLOOKUP(AC$48,'DB New Orders'!$A:$S,MATCH($B62,'DB New Orders'!$A$1:$S$1,0),0)</f>
        <v>4</v>
      </c>
      <c r="AD62" s="19">
        <f>VLOOKUP(AD$48,'DB New Orders'!$A:$S,MATCH($B62,'DB New Orders'!$A$1:$S$1,0),0)</f>
        <v>7</v>
      </c>
      <c r="AE62" s="19">
        <f>VLOOKUP(AE$48,'DB New Orders'!$A:$S,MATCH($B62,'DB New Orders'!$A$1:$S$1,0),0)</f>
        <v>8</v>
      </c>
      <c r="AF62" s="19">
        <f>VLOOKUP(AF$48,'DB New Orders'!$A:$S,MATCH($B62,'DB New Orders'!$A$1:$S$1,0),0)</f>
        <v>2</v>
      </c>
      <c r="AG62" s="19">
        <f>VLOOKUP(AG$48,'DB New Orders'!$A:$S,MATCH($B62,'DB New Orders'!$A$1:$S$1,0),0)</f>
        <v>2</v>
      </c>
      <c r="AH62" s="19">
        <f>VLOOKUP(AH$48,'DB New Orders'!$A:$S,MATCH($B62,'DB New Orders'!$A$1:$S$1,0),0)</f>
        <v>1</v>
      </c>
      <c r="AI62" s="19">
        <f>VLOOKUP(AI$48,'DB New Orders'!$A:$S,MATCH($B62,'DB New Orders'!$A$1:$S$1,0),0)</f>
        <v>3</v>
      </c>
      <c r="AJ62" s="19">
        <f>VLOOKUP(AJ$48,'DB New Orders'!$A:$S,MATCH($B62,'DB New Orders'!$A$1:$S$1,0),0)</f>
        <v>6</v>
      </c>
      <c r="AK62" s="19">
        <f>VLOOKUP(AK$48,'DB New Orders'!$A:$S,MATCH($B62,'DB New Orders'!$A$1:$S$1,0),0)</f>
        <v>2</v>
      </c>
      <c r="AL62" s="19">
        <f>VLOOKUP(AL$48,'DB New Orders'!$A:$S,MATCH($B62,'DB New Orders'!$A$1:$S$1,0),0)</f>
        <v>-1</v>
      </c>
      <c r="AM62" s="19">
        <f>VLOOKUP(AM$48,'DB New Orders'!$A:$S,MATCH($B62,'DB New Orders'!$A$1:$S$1,0),0)</f>
        <v>3</v>
      </c>
      <c r="AO62" s="19">
        <f t="shared" si="6"/>
        <v>4</v>
      </c>
      <c r="AP62" s="31">
        <f t="shared" si="7"/>
        <v>1.3333333333333333</v>
      </c>
      <c r="AQ62" s="31">
        <f t="shared" si="8"/>
        <v>2.3333333333333335</v>
      </c>
    </row>
    <row r="63" spans="2:43" x14ac:dyDescent="0.35">
      <c r="B63" s="2" t="s">
        <v>38</v>
      </c>
      <c r="C63" s="19">
        <f>VLOOKUP(C$48,'DB New Orders'!$A:$S,MATCH($B63,'DB New Orders'!$A$1:$S$1,0),0)</f>
        <v>1</v>
      </c>
      <c r="D63" s="19">
        <f>VLOOKUP(D$48,'DB New Orders'!$A:$S,MATCH($B63,'DB New Orders'!$A$1:$S$1,0),0)</f>
        <v>7</v>
      </c>
      <c r="E63" s="19">
        <f>VLOOKUP(E$48,'DB New Orders'!$A:$S,MATCH($B63,'DB New Orders'!$A$1:$S$1,0),0)</f>
        <v>-4</v>
      </c>
      <c r="F63" s="19">
        <f>VLOOKUP(F$48,'DB New Orders'!$A:$S,MATCH($B63,'DB New Orders'!$A$1:$S$1,0),0)</f>
        <v>-11</v>
      </c>
      <c r="G63" s="19">
        <f>VLOOKUP(G$48,'DB New Orders'!$A:$S,MATCH($B63,'DB New Orders'!$A$1:$S$1,0),0)</f>
        <v>-6</v>
      </c>
      <c r="H63" s="19">
        <f>VLOOKUP(H$48,'DB New Orders'!$A:$S,MATCH($B63,'DB New Orders'!$A$1:$S$1,0),0)</f>
        <v>5</v>
      </c>
      <c r="I63" s="19">
        <f>VLOOKUP(I$48,'DB New Orders'!$A:$S,MATCH($B63,'DB New Orders'!$A$1:$S$1,0),0)</f>
        <v>10</v>
      </c>
      <c r="J63" s="19">
        <f>VLOOKUP(J$48,'DB New Orders'!$A:$S,MATCH($B63,'DB New Orders'!$A$1:$S$1,0),0)</f>
        <v>5</v>
      </c>
      <c r="K63" s="19">
        <f>VLOOKUP(K$48,'DB New Orders'!$A:$S,MATCH($B63,'DB New Orders'!$A$1:$S$1,0),0)</f>
        <v>10</v>
      </c>
      <c r="L63" s="19">
        <f>VLOOKUP(L$48,'DB New Orders'!$A:$S,MATCH($B63,'DB New Orders'!$A$1:$S$1,0),0)</f>
        <v>3</v>
      </c>
      <c r="M63" s="19">
        <f>VLOOKUP(M$48,'DB New Orders'!$A:$S,MATCH($B63,'DB New Orders'!$A$1:$S$1,0),0)</f>
        <v>2</v>
      </c>
      <c r="N63" s="19">
        <f>VLOOKUP(N$48,'DB New Orders'!$A:$S,MATCH($B63,'DB New Orders'!$A$1:$S$1,0),0)</f>
        <v>6</v>
      </c>
      <c r="O63" s="19">
        <f>VLOOKUP(O$48,'DB New Orders'!$A:$S,MATCH($B63,'DB New Orders'!$A$1:$S$1,0),0)</f>
        <v>5</v>
      </c>
      <c r="P63" s="19">
        <f>VLOOKUP(P$48,'DB New Orders'!$A:$S,MATCH($B63,'DB New Orders'!$A$1:$S$1,0),0)</f>
        <v>11</v>
      </c>
      <c r="Q63" s="19">
        <f>VLOOKUP(Q$48,'DB New Orders'!$A:$S,MATCH($B63,'DB New Orders'!$A$1:$S$1,0),0)</f>
        <v>14</v>
      </c>
      <c r="R63" s="19">
        <f>VLOOKUP(R$48,'DB New Orders'!$A:$S,MATCH($B63,'DB New Orders'!$A$1:$S$1,0),0)</f>
        <v>16</v>
      </c>
      <c r="S63" s="19">
        <f>VLOOKUP(S$48,'DB New Orders'!$A:$S,MATCH($B63,'DB New Orders'!$A$1:$S$1,0),0)</f>
        <v>17</v>
      </c>
      <c r="T63" s="19">
        <f>VLOOKUP(T$48,'DB New Orders'!$A:$S,MATCH($B63,'DB New Orders'!$A$1:$S$1,0),0)</f>
        <v>12</v>
      </c>
      <c r="U63" s="19">
        <f>VLOOKUP(U$48,'DB New Orders'!$A:$S,MATCH($B63,'DB New Orders'!$A$1:$S$1,0),0)</f>
        <v>15</v>
      </c>
      <c r="V63" s="19">
        <f>VLOOKUP(V$48,'DB New Orders'!$A:$S,MATCH($B63,'DB New Orders'!$A$1:$S$1,0),0)</f>
        <v>-1</v>
      </c>
      <c r="W63" s="19">
        <f>VLOOKUP(W$48,'DB New Orders'!$A:$S,MATCH($B63,'DB New Orders'!$A$1:$S$1,0),0)</f>
        <v>1</v>
      </c>
      <c r="X63" s="19">
        <f>VLOOKUP(X$48,'DB New Orders'!$A:$S,MATCH($B63,'DB New Orders'!$A$1:$S$1,0),0)</f>
        <v>6</v>
      </c>
      <c r="Y63" s="19">
        <f>VLOOKUP(Y$48,'DB New Orders'!$A:$S,MATCH($B63,'DB New Orders'!$A$1:$S$1,0),0)</f>
        <v>14</v>
      </c>
      <c r="Z63" s="19">
        <f>VLOOKUP(Z$48,'DB New Orders'!$A:$S,MATCH($B63,'DB New Orders'!$A$1:$S$1,0),0)</f>
        <v>11</v>
      </c>
      <c r="AA63" s="19">
        <f>VLOOKUP(AA$48,'DB New Orders'!$A:$S,MATCH($B63,'DB New Orders'!$A$1:$S$1,0),0)</f>
        <v>-1</v>
      </c>
      <c r="AB63" s="19">
        <f>VLOOKUP(AB$48,'DB New Orders'!$A:$S,MATCH($B63,'DB New Orders'!$A$1:$S$1,0),0)</f>
        <v>3</v>
      </c>
      <c r="AC63" s="19">
        <f>VLOOKUP(AC$48,'DB New Orders'!$A:$S,MATCH($B63,'DB New Orders'!$A$1:$S$1,0),0)</f>
        <v>13</v>
      </c>
      <c r="AD63" s="19">
        <f>VLOOKUP(AD$48,'DB New Orders'!$A:$S,MATCH($B63,'DB New Orders'!$A$1:$S$1,0),0)</f>
        <v>4</v>
      </c>
      <c r="AE63" s="19">
        <f>VLOOKUP(AE$48,'DB New Orders'!$A:$S,MATCH($B63,'DB New Orders'!$A$1:$S$1,0),0)</f>
        <v>7</v>
      </c>
      <c r="AF63" s="19">
        <f>VLOOKUP(AF$48,'DB New Orders'!$A:$S,MATCH($B63,'DB New Orders'!$A$1:$S$1,0),0)</f>
        <v>4</v>
      </c>
      <c r="AG63" s="19">
        <f>VLOOKUP(AG$48,'DB New Orders'!$A:$S,MATCH($B63,'DB New Orders'!$A$1:$S$1,0),0)</f>
        <v>-1</v>
      </c>
      <c r="AH63" s="19">
        <f>VLOOKUP(AH$48,'DB New Orders'!$A:$S,MATCH($B63,'DB New Orders'!$A$1:$S$1,0),0)</f>
        <v>6</v>
      </c>
      <c r="AI63" s="19">
        <f>VLOOKUP(AI$48,'DB New Orders'!$A:$S,MATCH($B63,'DB New Orders'!$A$1:$S$1,0),0)</f>
        <v>6</v>
      </c>
      <c r="AJ63" s="19">
        <f>VLOOKUP(AJ$48,'DB New Orders'!$A:$S,MATCH($B63,'DB New Orders'!$A$1:$S$1,0),0)</f>
        <v>-1</v>
      </c>
      <c r="AK63" s="19">
        <f>VLOOKUP(AK$48,'DB New Orders'!$A:$S,MATCH($B63,'DB New Orders'!$A$1:$S$1,0),0)</f>
        <v>-3</v>
      </c>
      <c r="AL63" s="19">
        <f>VLOOKUP(AL$48,'DB New Orders'!$A:$S,MATCH($B63,'DB New Orders'!$A$1:$S$1,0),0)</f>
        <v>-3</v>
      </c>
      <c r="AM63" s="19">
        <f>VLOOKUP(AM$48,'DB New Orders'!$A:$S,MATCH($B63,'DB New Orders'!$A$1:$S$1,0),0)</f>
        <v>-1</v>
      </c>
      <c r="AO63" s="19">
        <f t="shared" si="6"/>
        <v>2</v>
      </c>
      <c r="AP63" s="31">
        <f t="shared" si="7"/>
        <v>-2.3333333333333335</v>
      </c>
      <c r="AQ63" s="31">
        <f t="shared" si="8"/>
        <v>0.66666666666666663</v>
      </c>
    </row>
    <row r="64" spans="2:43" x14ac:dyDescent="0.35">
      <c r="B64" s="2" t="s">
        <v>39</v>
      </c>
      <c r="C64" s="19">
        <f>VLOOKUP(C$48,'DB New Orders'!$A:$S,MATCH($B64,'DB New Orders'!$A$1:$S$1,0),0)</f>
        <v>7</v>
      </c>
      <c r="D64" s="19">
        <f>VLOOKUP(D$48,'DB New Orders'!$A:$S,MATCH($B64,'DB New Orders'!$A$1:$S$1,0),0)</f>
        <v>8</v>
      </c>
      <c r="E64" s="19">
        <f>VLOOKUP(E$48,'DB New Orders'!$A:$S,MATCH($B64,'DB New Orders'!$A$1:$S$1,0),0)</f>
        <v>2</v>
      </c>
      <c r="F64" s="19">
        <f>VLOOKUP(F$48,'DB New Orders'!$A:$S,MATCH($B64,'DB New Orders'!$A$1:$S$1,0),0)</f>
        <v>2</v>
      </c>
      <c r="G64" s="19">
        <f>VLOOKUP(G$48,'DB New Orders'!$A:$S,MATCH($B64,'DB New Orders'!$A$1:$S$1,0),0)</f>
        <v>-1</v>
      </c>
      <c r="H64" s="19">
        <f>VLOOKUP(H$48,'DB New Orders'!$A:$S,MATCH($B64,'DB New Orders'!$A$1:$S$1,0),0)</f>
        <v>0</v>
      </c>
      <c r="I64" s="19">
        <f>VLOOKUP(I$48,'DB New Orders'!$A:$S,MATCH($B64,'DB New Orders'!$A$1:$S$1,0),0)</f>
        <v>6</v>
      </c>
      <c r="J64" s="19">
        <f>VLOOKUP(J$48,'DB New Orders'!$A:$S,MATCH($B64,'DB New Orders'!$A$1:$S$1,0),0)</f>
        <v>10</v>
      </c>
      <c r="K64" s="19">
        <f>VLOOKUP(K$48,'DB New Orders'!$A:$S,MATCH($B64,'DB New Orders'!$A$1:$S$1,0),0)</f>
        <v>3</v>
      </c>
      <c r="L64" s="19">
        <f>VLOOKUP(L$48,'DB New Orders'!$A:$S,MATCH($B64,'DB New Orders'!$A$1:$S$1,0),0)</f>
        <v>-1</v>
      </c>
      <c r="M64" s="19">
        <f>VLOOKUP(M$48,'DB New Orders'!$A:$S,MATCH($B64,'DB New Orders'!$A$1:$S$1,0),0)</f>
        <v>1</v>
      </c>
      <c r="N64" s="19">
        <f>VLOOKUP(N$48,'DB New Orders'!$A:$S,MATCH($B64,'DB New Orders'!$A$1:$S$1,0),0)</f>
        <v>2</v>
      </c>
      <c r="O64" s="19">
        <f>VLOOKUP(O$48,'DB New Orders'!$A:$S,MATCH($B64,'DB New Orders'!$A$1:$S$1,0),0)</f>
        <v>0</v>
      </c>
      <c r="P64" s="19">
        <f>VLOOKUP(P$48,'DB New Orders'!$A:$S,MATCH($B64,'DB New Orders'!$A$1:$S$1,0),0)</f>
        <v>8</v>
      </c>
      <c r="Q64" s="19">
        <f>VLOOKUP(Q$48,'DB New Orders'!$A:$S,MATCH($B64,'DB New Orders'!$A$1:$S$1,0),0)</f>
        <v>11</v>
      </c>
      <c r="R64" s="19">
        <f>VLOOKUP(R$48,'DB New Orders'!$A:$S,MATCH($B64,'DB New Orders'!$A$1:$S$1,0),0)</f>
        <v>11</v>
      </c>
      <c r="S64" s="19">
        <f>VLOOKUP(S$48,'DB New Orders'!$A:$S,MATCH($B64,'DB New Orders'!$A$1:$S$1,0),0)</f>
        <v>1</v>
      </c>
      <c r="T64" s="19">
        <f>VLOOKUP(T$48,'DB New Orders'!$A:$S,MATCH($B64,'DB New Orders'!$A$1:$S$1,0),0)</f>
        <v>4</v>
      </c>
      <c r="U64" s="19">
        <f>VLOOKUP(U$48,'DB New Orders'!$A:$S,MATCH($B64,'DB New Orders'!$A$1:$S$1,0),0)</f>
        <v>11</v>
      </c>
      <c r="V64" s="19">
        <f>VLOOKUP(V$48,'DB New Orders'!$A:$S,MATCH($B64,'DB New Orders'!$A$1:$S$1,0),0)</f>
        <v>4</v>
      </c>
      <c r="W64" s="19">
        <f>VLOOKUP(W$48,'DB New Orders'!$A:$S,MATCH($B64,'DB New Orders'!$A$1:$S$1,0),0)</f>
        <v>9</v>
      </c>
      <c r="X64" s="19">
        <f>VLOOKUP(X$48,'DB New Orders'!$A:$S,MATCH($B64,'DB New Orders'!$A$1:$S$1,0),0)</f>
        <v>1</v>
      </c>
      <c r="Y64" s="19">
        <f>VLOOKUP(Y$48,'DB New Orders'!$A:$S,MATCH($B64,'DB New Orders'!$A$1:$S$1,0),0)</f>
        <v>11</v>
      </c>
      <c r="Z64" s="19">
        <f>VLOOKUP(Z$48,'DB New Orders'!$A:$S,MATCH($B64,'DB New Orders'!$A$1:$S$1,0),0)</f>
        <v>1</v>
      </c>
      <c r="AA64" s="19">
        <f>VLOOKUP(AA$48,'DB New Orders'!$A:$S,MATCH($B64,'DB New Orders'!$A$1:$S$1,0),0)</f>
        <v>8</v>
      </c>
      <c r="AB64" s="19">
        <f>VLOOKUP(AB$48,'DB New Orders'!$A:$S,MATCH($B64,'DB New Orders'!$A$1:$S$1,0),0)</f>
        <v>4</v>
      </c>
      <c r="AC64" s="19">
        <f>VLOOKUP(AC$48,'DB New Orders'!$A:$S,MATCH($B64,'DB New Orders'!$A$1:$S$1,0),0)</f>
        <v>2</v>
      </c>
      <c r="AD64" s="19">
        <f>VLOOKUP(AD$48,'DB New Orders'!$A:$S,MATCH($B64,'DB New Orders'!$A$1:$S$1,0),0)</f>
        <v>6</v>
      </c>
      <c r="AE64" s="19">
        <f>VLOOKUP(AE$48,'DB New Orders'!$A:$S,MATCH($B64,'DB New Orders'!$A$1:$S$1,0),0)</f>
        <v>1</v>
      </c>
      <c r="AF64" s="19">
        <f>VLOOKUP(AF$48,'DB New Orders'!$A:$S,MATCH($B64,'DB New Orders'!$A$1:$S$1,0),0)</f>
        <v>1</v>
      </c>
      <c r="AG64" s="19">
        <f>VLOOKUP(AG$48,'DB New Orders'!$A:$S,MATCH($B64,'DB New Orders'!$A$1:$S$1,0),0)</f>
        <v>8</v>
      </c>
      <c r="AH64" s="19">
        <f>VLOOKUP(AH$48,'DB New Orders'!$A:$S,MATCH($B64,'DB New Orders'!$A$1:$S$1,0),0)</f>
        <v>7</v>
      </c>
      <c r="AI64" s="19">
        <f>VLOOKUP(AI$48,'DB New Orders'!$A:$S,MATCH($B64,'DB New Orders'!$A$1:$S$1,0),0)</f>
        <v>7</v>
      </c>
      <c r="AJ64" s="19">
        <f>VLOOKUP(AJ$48,'DB New Orders'!$A:$S,MATCH($B64,'DB New Orders'!$A$1:$S$1,0),0)</f>
        <v>0</v>
      </c>
      <c r="AK64" s="19">
        <f>VLOOKUP(AK$48,'DB New Orders'!$A:$S,MATCH($B64,'DB New Orders'!$A$1:$S$1,0),0)</f>
        <v>6</v>
      </c>
      <c r="AL64" s="19">
        <f>VLOOKUP(AL$48,'DB New Orders'!$A:$S,MATCH($B64,'DB New Orders'!$A$1:$S$1,0),0)</f>
        <v>0</v>
      </c>
      <c r="AM64" s="19">
        <f>VLOOKUP(AM$48,'DB New Orders'!$A:$S,MATCH($B64,'DB New Orders'!$A$1:$S$1,0),0)</f>
        <v>6</v>
      </c>
      <c r="AO64" s="19">
        <f t="shared" si="6"/>
        <v>6</v>
      </c>
      <c r="AP64" s="31">
        <f t="shared" si="7"/>
        <v>4</v>
      </c>
      <c r="AQ64" s="31">
        <f t="shared" si="8"/>
        <v>4.333333333333333</v>
      </c>
    </row>
    <row r="65" spans="2:43" x14ac:dyDescent="0.35">
      <c r="B65" s="2" t="s">
        <v>42</v>
      </c>
      <c r="C65" s="19">
        <f>VLOOKUP(C$48,'DB New Orders'!$A:$S,MATCH($B65,'DB New Orders'!$A$1:$S$1,0),0)</f>
        <v>0</v>
      </c>
      <c r="D65" s="19">
        <f>VLOOKUP(D$48,'DB New Orders'!$A:$S,MATCH($B65,'DB New Orders'!$A$1:$S$1,0),0)</f>
        <v>2</v>
      </c>
      <c r="E65" s="19">
        <f>VLOOKUP(E$48,'DB New Orders'!$A:$S,MATCH($B65,'DB New Orders'!$A$1:$S$1,0),0)</f>
        <v>-1</v>
      </c>
      <c r="F65" s="19">
        <f>VLOOKUP(F$48,'DB New Orders'!$A:$S,MATCH($B65,'DB New Orders'!$A$1:$S$1,0),0)</f>
        <v>-5</v>
      </c>
      <c r="G65" s="19">
        <f>VLOOKUP(G$48,'DB New Orders'!$A:$S,MATCH($B65,'DB New Orders'!$A$1:$S$1,0),0)</f>
        <v>0</v>
      </c>
      <c r="H65" s="19">
        <f>VLOOKUP(H$48,'DB New Orders'!$A:$S,MATCH($B65,'DB New Orders'!$A$1:$S$1,0),0)</f>
        <v>4</v>
      </c>
      <c r="I65" s="19">
        <f>VLOOKUP(I$48,'DB New Orders'!$A:$S,MATCH($B65,'DB New Orders'!$A$1:$S$1,0),0)</f>
        <v>0</v>
      </c>
      <c r="J65" s="19">
        <f>VLOOKUP(J$48,'DB New Orders'!$A:$S,MATCH($B65,'DB New Orders'!$A$1:$S$1,0),0)</f>
        <v>-2</v>
      </c>
      <c r="K65" s="19">
        <f>VLOOKUP(K$48,'DB New Orders'!$A:$S,MATCH($B65,'DB New Orders'!$A$1:$S$1,0),0)</f>
        <v>1</v>
      </c>
      <c r="L65" s="19">
        <f>VLOOKUP(L$48,'DB New Orders'!$A:$S,MATCH($B65,'DB New Orders'!$A$1:$S$1,0),0)</f>
        <v>1</v>
      </c>
      <c r="M65" s="19">
        <f>VLOOKUP(M$48,'DB New Orders'!$A:$S,MATCH($B65,'DB New Orders'!$A$1:$S$1,0),0)</f>
        <v>-1</v>
      </c>
      <c r="N65" s="19">
        <f>VLOOKUP(N$48,'DB New Orders'!$A:$S,MATCH($B65,'DB New Orders'!$A$1:$S$1,0),0)</f>
        <v>4</v>
      </c>
      <c r="O65" s="19">
        <f>VLOOKUP(O$48,'DB New Orders'!$A:$S,MATCH($B65,'DB New Orders'!$A$1:$S$1,0),0)</f>
        <v>2</v>
      </c>
      <c r="P65" s="19">
        <f>VLOOKUP(P$48,'DB New Orders'!$A:$S,MATCH($B65,'DB New Orders'!$A$1:$S$1,0),0)</f>
        <v>0</v>
      </c>
      <c r="Q65" s="19">
        <f>VLOOKUP(Q$48,'DB New Orders'!$A:$S,MATCH($B65,'DB New Orders'!$A$1:$S$1,0),0)</f>
        <v>2</v>
      </c>
      <c r="R65" s="19">
        <f>VLOOKUP(R$48,'DB New Orders'!$A:$S,MATCH($B65,'DB New Orders'!$A$1:$S$1,0),0)</f>
        <v>2</v>
      </c>
      <c r="S65" s="19">
        <f>VLOOKUP(S$48,'DB New Orders'!$A:$S,MATCH($B65,'DB New Orders'!$A$1:$S$1,0),0)</f>
        <v>10</v>
      </c>
      <c r="T65" s="19">
        <f>VLOOKUP(T$48,'DB New Orders'!$A:$S,MATCH($B65,'DB New Orders'!$A$1:$S$1,0),0)</f>
        <v>6</v>
      </c>
      <c r="U65" s="19">
        <f>VLOOKUP(U$48,'DB New Orders'!$A:$S,MATCH($B65,'DB New Orders'!$A$1:$S$1,0),0)</f>
        <v>3</v>
      </c>
      <c r="V65" s="19">
        <f>VLOOKUP(V$48,'DB New Orders'!$A:$S,MATCH($B65,'DB New Orders'!$A$1:$S$1,0),0)</f>
        <v>13</v>
      </c>
      <c r="W65" s="19">
        <f>VLOOKUP(W$48,'DB New Orders'!$A:$S,MATCH($B65,'DB New Orders'!$A$1:$S$1,0),0)</f>
        <v>4</v>
      </c>
      <c r="X65" s="19">
        <f>VLOOKUP(X$48,'DB New Orders'!$A:$S,MATCH($B65,'DB New Orders'!$A$1:$S$1,0),0)</f>
        <v>11</v>
      </c>
      <c r="Y65" s="19">
        <f>VLOOKUP(Y$48,'DB New Orders'!$A:$S,MATCH($B65,'DB New Orders'!$A$1:$S$1,0),0)</f>
        <v>2</v>
      </c>
      <c r="Z65" s="19">
        <f>VLOOKUP(Z$48,'DB New Orders'!$A:$S,MATCH($B65,'DB New Orders'!$A$1:$S$1,0),0)</f>
        <v>0</v>
      </c>
      <c r="AA65" s="19">
        <f>VLOOKUP(AA$48,'DB New Orders'!$A:$S,MATCH($B65,'DB New Orders'!$A$1:$S$1,0),0)</f>
        <v>-2</v>
      </c>
      <c r="AB65" s="19">
        <f>VLOOKUP(AB$48,'DB New Orders'!$A:$S,MATCH($B65,'DB New Orders'!$A$1:$S$1,0),0)</f>
        <v>-1</v>
      </c>
      <c r="AC65" s="19">
        <f>VLOOKUP(AC$48,'DB New Orders'!$A:$S,MATCH($B65,'DB New Orders'!$A$1:$S$1,0),0)</f>
        <v>6</v>
      </c>
      <c r="AD65" s="19">
        <f>VLOOKUP(AD$48,'DB New Orders'!$A:$S,MATCH($B65,'DB New Orders'!$A$1:$S$1,0),0)</f>
        <v>0</v>
      </c>
      <c r="AE65" s="19">
        <f>VLOOKUP(AE$48,'DB New Orders'!$A:$S,MATCH($B65,'DB New Orders'!$A$1:$S$1,0),0)</f>
        <v>-1</v>
      </c>
      <c r="AF65" s="19">
        <f>VLOOKUP(AF$48,'DB New Orders'!$A:$S,MATCH($B65,'DB New Orders'!$A$1:$S$1,0),0)</f>
        <v>0</v>
      </c>
      <c r="AG65" s="19">
        <f>VLOOKUP(AG$48,'DB New Orders'!$A:$S,MATCH($B65,'DB New Orders'!$A$1:$S$1,0),0)</f>
        <v>-2</v>
      </c>
      <c r="AH65" s="19">
        <f>VLOOKUP(AH$48,'DB New Orders'!$A:$S,MATCH($B65,'DB New Orders'!$A$1:$S$1,0),0)</f>
        <v>10</v>
      </c>
      <c r="AI65" s="19">
        <f>VLOOKUP(AI$48,'DB New Orders'!$A:$S,MATCH($B65,'DB New Orders'!$A$1:$S$1,0),0)</f>
        <v>8</v>
      </c>
      <c r="AJ65" s="19">
        <f>VLOOKUP(AJ$48,'DB New Orders'!$A:$S,MATCH($B65,'DB New Orders'!$A$1:$S$1,0),0)</f>
        <v>12</v>
      </c>
      <c r="AK65" s="19">
        <f>VLOOKUP(AK$48,'DB New Orders'!$A:$S,MATCH($B65,'DB New Orders'!$A$1:$S$1,0),0)</f>
        <v>-2</v>
      </c>
      <c r="AL65" s="19">
        <f>VLOOKUP(AL$48,'DB New Orders'!$A:$S,MATCH($B65,'DB New Orders'!$A$1:$S$1,0),0)</f>
        <v>-5</v>
      </c>
      <c r="AM65" s="19">
        <f>VLOOKUP(AM$48,'DB New Orders'!$A:$S,MATCH($B65,'DB New Orders'!$A$1:$S$1,0),0)</f>
        <v>-3</v>
      </c>
      <c r="AO65" s="19">
        <f t="shared" si="6"/>
        <v>2</v>
      </c>
      <c r="AP65" s="31">
        <f t="shared" si="7"/>
        <v>-3.3333333333333335</v>
      </c>
      <c r="AQ65" s="31">
        <f t="shared" si="8"/>
        <v>3.3333333333333335</v>
      </c>
    </row>
    <row r="66" spans="2:43" x14ac:dyDescent="0.35">
      <c r="B66" s="2" t="s">
        <v>44</v>
      </c>
      <c r="C66" s="19">
        <f>VLOOKUP(C$48,'DB New Orders'!$A:$S,MATCH($B66,'DB New Orders'!$A$1:$S$1,0),0)</f>
        <v>9</v>
      </c>
      <c r="D66" s="19">
        <f>VLOOKUP(D$48,'DB New Orders'!$A:$S,MATCH($B66,'DB New Orders'!$A$1:$S$1,0),0)</f>
        <v>14</v>
      </c>
      <c r="E66" s="19">
        <f>VLOOKUP(E$48,'DB New Orders'!$A:$S,MATCH($B66,'DB New Orders'!$A$1:$S$1,0),0)</f>
        <v>-2</v>
      </c>
      <c r="F66" s="19">
        <f>VLOOKUP(F$48,'DB New Orders'!$A:$S,MATCH($B66,'DB New Orders'!$A$1:$S$1,0),0)</f>
        <v>-3</v>
      </c>
      <c r="G66" s="19">
        <f>VLOOKUP(G$48,'DB New Orders'!$A:$S,MATCH($B66,'DB New Orders'!$A$1:$S$1,0),0)</f>
        <v>-11</v>
      </c>
      <c r="H66" s="19">
        <f>VLOOKUP(H$48,'DB New Orders'!$A:$S,MATCH($B66,'DB New Orders'!$A$1:$S$1,0),0)</f>
        <v>0</v>
      </c>
      <c r="I66" s="19">
        <f>VLOOKUP(I$48,'DB New Orders'!$A:$S,MATCH($B66,'DB New Orders'!$A$1:$S$1,0),0)</f>
        <v>4</v>
      </c>
      <c r="J66" s="19">
        <f>VLOOKUP(J$48,'DB New Orders'!$A:$S,MATCH($B66,'DB New Orders'!$A$1:$S$1,0),0)</f>
        <v>6</v>
      </c>
      <c r="K66" s="19">
        <f>VLOOKUP(K$48,'DB New Orders'!$A:$S,MATCH($B66,'DB New Orders'!$A$1:$S$1,0),0)</f>
        <v>8</v>
      </c>
      <c r="L66" s="19">
        <f>VLOOKUP(L$48,'DB New Orders'!$A:$S,MATCH($B66,'DB New Orders'!$A$1:$S$1,0),0)</f>
        <v>11</v>
      </c>
      <c r="M66" s="19">
        <f>VLOOKUP(M$48,'DB New Orders'!$A:$S,MATCH($B66,'DB New Orders'!$A$1:$S$1,0),0)</f>
        <v>12</v>
      </c>
      <c r="N66" s="19">
        <f>VLOOKUP(N$48,'DB New Orders'!$A:$S,MATCH($B66,'DB New Orders'!$A$1:$S$1,0),0)</f>
        <v>10</v>
      </c>
      <c r="O66" s="19">
        <f>VLOOKUP(O$48,'DB New Orders'!$A:$S,MATCH($B66,'DB New Orders'!$A$1:$S$1,0),0)</f>
        <v>0</v>
      </c>
      <c r="P66" s="19">
        <f>VLOOKUP(P$48,'DB New Orders'!$A:$S,MATCH($B66,'DB New Orders'!$A$1:$S$1,0),0)</f>
        <v>5</v>
      </c>
      <c r="Q66" s="19">
        <f>VLOOKUP(Q$48,'DB New Orders'!$A:$S,MATCH($B66,'DB New Orders'!$A$1:$S$1,0),0)</f>
        <v>15</v>
      </c>
      <c r="R66" s="19">
        <f>VLOOKUP(R$48,'DB New Orders'!$A:$S,MATCH($B66,'DB New Orders'!$A$1:$S$1,0),0)</f>
        <v>15</v>
      </c>
      <c r="S66" s="19">
        <f>VLOOKUP(S$48,'DB New Orders'!$A:$S,MATCH($B66,'DB New Orders'!$A$1:$S$1,0),0)</f>
        <v>9</v>
      </c>
      <c r="T66" s="19">
        <f>VLOOKUP(T$48,'DB New Orders'!$A:$S,MATCH($B66,'DB New Orders'!$A$1:$S$1,0),0)</f>
        <v>15</v>
      </c>
      <c r="U66" s="19">
        <f>VLOOKUP(U$48,'DB New Orders'!$A:$S,MATCH($B66,'DB New Orders'!$A$1:$S$1,0),0)</f>
        <v>14</v>
      </c>
      <c r="V66" s="19">
        <f>VLOOKUP(V$48,'DB New Orders'!$A:$S,MATCH($B66,'DB New Orders'!$A$1:$S$1,0),0)</f>
        <v>0</v>
      </c>
      <c r="W66" s="19">
        <f>VLOOKUP(W$48,'DB New Orders'!$A:$S,MATCH($B66,'DB New Orders'!$A$1:$S$1,0),0)</f>
        <v>7</v>
      </c>
      <c r="X66" s="19">
        <f>VLOOKUP(X$48,'DB New Orders'!$A:$S,MATCH($B66,'DB New Orders'!$A$1:$S$1,0),0)</f>
        <v>10</v>
      </c>
      <c r="Y66" s="19">
        <f>VLOOKUP(Y$48,'DB New Orders'!$A:$S,MATCH($B66,'DB New Orders'!$A$1:$S$1,0),0)</f>
        <v>16</v>
      </c>
      <c r="Z66" s="19">
        <f>VLOOKUP(Z$48,'DB New Orders'!$A:$S,MATCH($B66,'DB New Orders'!$A$1:$S$1,0),0)</f>
        <v>9</v>
      </c>
      <c r="AA66" s="19">
        <f>VLOOKUP(AA$48,'DB New Orders'!$A:$S,MATCH($B66,'DB New Orders'!$A$1:$S$1,0),0)</f>
        <v>6</v>
      </c>
      <c r="AB66" s="19">
        <f>VLOOKUP(AB$48,'DB New Orders'!$A:$S,MATCH($B66,'DB New Orders'!$A$1:$S$1,0),0)</f>
        <v>11</v>
      </c>
      <c r="AC66" s="19">
        <f>VLOOKUP(AC$48,'DB New Orders'!$A:$S,MATCH($B66,'DB New Orders'!$A$1:$S$1,0),0)</f>
        <v>12</v>
      </c>
      <c r="AD66" s="19">
        <f>VLOOKUP(AD$48,'DB New Orders'!$A:$S,MATCH($B66,'DB New Orders'!$A$1:$S$1,0),0)</f>
        <v>12</v>
      </c>
      <c r="AE66" s="19">
        <f>VLOOKUP(AE$48,'DB New Orders'!$A:$S,MATCH($B66,'DB New Orders'!$A$1:$S$1,0),0)</f>
        <v>11</v>
      </c>
      <c r="AF66" s="19">
        <f>VLOOKUP(AF$48,'DB New Orders'!$A:$S,MATCH($B66,'DB New Orders'!$A$1:$S$1,0),0)</f>
        <v>11</v>
      </c>
      <c r="AG66" s="19">
        <f>VLOOKUP(AG$48,'DB New Orders'!$A:$S,MATCH($B66,'DB New Orders'!$A$1:$S$1,0),0)</f>
        <v>4</v>
      </c>
      <c r="AH66" s="19">
        <f>VLOOKUP(AH$48,'DB New Orders'!$A:$S,MATCH($B66,'DB New Orders'!$A$1:$S$1,0),0)</f>
        <v>3</v>
      </c>
      <c r="AI66" s="19">
        <f>VLOOKUP(AI$48,'DB New Orders'!$A:$S,MATCH($B66,'DB New Orders'!$A$1:$S$1,0),0)</f>
        <v>0</v>
      </c>
      <c r="AJ66" s="19">
        <f>VLOOKUP(AJ$48,'DB New Orders'!$A:$S,MATCH($B66,'DB New Orders'!$A$1:$S$1,0),0)</f>
        <v>0</v>
      </c>
      <c r="AK66" s="19">
        <f>VLOOKUP(AK$48,'DB New Orders'!$A:$S,MATCH($B66,'DB New Orders'!$A$1:$S$1,0),0)</f>
        <v>-4</v>
      </c>
      <c r="AL66" s="19">
        <f>VLOOKUP(AL$48,'DB New Orders'!$A:$S,MATCH($B66,'DB New Orders'!$A$1:$S$1,0),0)</f>
        <v>3</v>
      </c>
      <c r="AM66" s="19">
        <f>VLOOKUP(AM$48,'DB New Orders'!$A:$S,MATCH($B66,'DB New Orders'!$A$1:$S$1,0),0)</f>
        <v>5</v>
      </c>
      <c r="AO66" s="19">
        <f t="shared" si="6"/>
        <v>2</v>
      </c>
      <c r="AP66" s="31">
        <f t="shared" si="7"/>
        <v>1.3333333333333333</v>
      </c>
      <c r="AQ66" s="31">
        <f t="shared" si="8"/>
        <v>1.1666666666666667</v>
      </c>
    </row>
    <row r="67" spans="2:43" x14ac:dyDescent="0.35">
      <c r="B67" s="3" t="s">
        <v>43</v>
      </c>
      <c r="C67" s="19">
        <f>VLOOKUP(C$48,'DB New Orders'!$A:$S,MATCH($B67,'DB New Orders'!$A$1:$S$1,0),0)</f>
        <v>3</v>
      </c>
      <c r="D67" s="19">
        <f>VLOOKUP(D$48,'DB New Orders'!$A:$S,MATCH($B67,'DB New Orders'!$A$1:$S$1,0),0)</f>
        <v>4</v>
      </c>
      <c r="E67" s="19">
        <f>VLOOKUP(E$48,'DB New Orders'!$A:$S,MATCH($B67,'DB New Orders'!$A$1:$S$1,0),0)</f>
        <v>-6</v>
      </c>
      <c r="F67" s="19">
        <f>VLOOKUP(F$48,'DB New Orders'!$A:$S,MATCH($B67,'DB New Orders'!$A$1:$S$1,0),0)</f>
        <v>-9</v>
      </c>
      <c r="G67" s="19">
        <f>VLOOKUP(G$48,'DB New Orders'!$A:$S,MATCH($B67,'DB New Orders'!$A$1:$S$1,0),0)</f>
        <v>-12</v>
      </c>
      <c r="H67" s="19">
        <f>VLOOKUP(H$48,'DB New Orders'!$A:$S,MATCH($B67,'DB New Orders'!$A$1:$S$1,0),0)</f>
        <v>3</v>
      </c>
      <c r="I67" s="19">
        <f>VLOOKUP(I$48,'DB New Orders'!$A:$S,MATCH($B67,'DB New Orders'!$A$1:$S$1,0),0)</f>
        <v>8</v>
      </c>
      <c r="J67" s="19">
        <f>VLOOKUP(J$48,'DB New Orders'!$A:$S,MATCH($B67,'DB New Orders'!$A$1:$S$1,0),0)</f>
        <v>7</v>
      </c>
      <c r="K67" s="19">
        <f>VLOOKUP(K$48,'DB New Orders'!$A:$S,MATCH($B67,'DB New Orders'!$A$1:$S$1,0),0)</f>
        <v>9</v>
      </c>
      <c r="L67" s="19">
        <f>VLOOKUP(L$48,'DB New Orders'!$A:$S,MATCH($B67,'DB New Orders'!$A$1:$S$1,0),0)</f>
        <v>10</v>
      </c>
      <c r="M67" s="19">
        <f>VLOOKUP(M$48,'DB New Orders'!$A:$S,MATCH($B67,'DB New Orders'!$A$1:$S$1,0),0)</f>
        <v>3</v>
      </c>
      <c r="N67" s="19">
        <f>VLOOKUP(N$48,'DB New Orders'!$A:$S,MATCH($B67,'DB New Orders'!$A$1:$S$1,0),0)</f>
        <v>0</v>
      </c>
      <c r="O67" s="19">
        <f>VLOOKUP(O$48,'DB New Orders'!$A:$S,MATCH($B67,'DB New Orders'!$A$1:$S$1,0),0)</f>
        <v>-1</v>
      </c>
      <c r="P67" s="19">
        <f>VLOOKUP(P$48,'DB New Orders'!$A:$S,MATCH($B67,'DB New Orders'!$A$1:$S$1,0),0)</f>
        <v>3</v>
      </c>
      <c r="Q67" s="19">
        <f>VLOOKUP(Q$48,'DB New Orders'!$A:$S,MATCH($B67,'DB New Orders'!$A$1:$S$1,0),0)</f>
        <v>1</v>
      </c>
      <c r="R67" s="19">
        <f>VLOOKUP(R$48,'DB New Orders'!$A:$S,MATCH($B67,'DB New Orders'!$A$1:$S$1,0),0)</f>
        <v>6</v>
      </c>
      <c r="S67" s="19">
        <f>VLOOKUP(S$48,'DB New Orders'!$A:$S,MATCH($B67,'DB New Orders'!$A$1:$S$1,0),0)</f>
        <v>7</v>
      </c>
      <c r="T67" s="19">
        <f>VLOOKUP(T$48,'DB New Orders'!$A:$S,MATCH($B67,'DB New Orders'!$A$1:$S$1,0),0)</f>
        <v>3</v>
      </c>
      <c r="U67" s="19">
        <f>VLOOKUP(U$48,'DB New Orders'!$A:$S,MATCH($B67,'DB New Orders'!$A$1:$S$1,0),0)</f>
        <v>4</v>
      </c>
      <c r="V67" s="19">
        <f>VLOOKUP(V$48,'DB New Orders'!$A:$S,MATCH($B67,'DB New Orders'!$A$1:$S$1,0),0)</f>
        <v>10</v>
      </c>
      <c r="W67" s="19">
        <f>VLOOKUP(W$48,'DB New Orders'!$A:$S,MATCH($B67,'DB New Orders'!$A$1:$S$1,0),0)</f>
        <v>13</v>
      </c>
      <c r="X67" s="19">
        <f>VLOOKUP(X$48,'DB New Orders'!$A:$S,MATCH($B67,'DB New Orders'!$A$1:$S$1,0),0)</f>
        <v>4</v>
      </c>
      <c r="Y67" s="19">
        <f>VLOOKUP(Y$48,'DB New Orders'!$A:$S,MATCH($B67,'DB New Orders'!$A$1:$S$1,0),0)</f>
        <v>1</v>
      </c>
      <c r="Z67" s="19">
        <f>VLOOKUP(Z$48,'DB New Orders'!$A:$S,MATCH($B67,'DB New Orders'!$A$1:$S$1,0),0)</f>
        <v>-1</v>
      </c>
      <c r="AA67" s="19">
        <f>VLOOKUP(AA$48,'DB New Orders'!$A:$S,MATCH($B67,'DB New Orders'!$A$1:$S$1,0),0)</f>
        <v>1</v>
      </c>
      <c r="AB67" s="19">
        <f>VLOOKUP(AB$48,'DB New Orders'!$A:$S,MATCH($B67,'DB New Orders'!$A$1:$S$1,0),0)</f>
        <v>9</v>
      </c>
      <c r="AC67" s="19">
        <f>VLOOKUP(AC$48,'DB New Orders'!$A:$S,MATCH($B67,'DB New Orders'!$A$1:$S$1,0),0)</f>
        <v>14</v>
      </c>
      <c r="AD67" s="19">
        <f>VLOOKUP(AD$48,'DB New Orders'!$A:$S,MATCH($B67,'DB New Orders'!$A$1:$S$1,0),0)</f>
        <v>9</v>
      </c>
      <c r="AE67" s="19">
        <f>VLOOKUP(AE$48,'DB New Orders'!$A:$S,MATCH($B67,'DB New Orders'!$A$1:$S$1,0),0)</f>
        <v>13</v>
      </c>
      <c r="AF67" s="19">
        <f>VLOOKUP(AF$48,'DB New Orders'!$A:$S,MATCH($B67,'DB New Orders'!$A$1:$S$1,0),0)</f>
        <v>-1</v>
      </c>
      <c r="AG67" s="19">
        <f>VLOOKUP(AG$48,'DB New Orders'!$A:$S,MATCH($B67,'DB New Orders'!$A$1:$S$1,0),0)</f>
        <v>9</v>
      </c>
      <c r="AH67" s="19">
        <f>VLOOKUP(AH$48,'DB New Orders'!$A:$S,MATCH($B67,'DB New Orders'!$A$1:$S$1,0),0)</f>
        <v>12</v>
      </c>
      <c r="AI67" s="19">
        <f>VLOOKUP(AI$48,'DB New Orders'!$A:$S,MATCH($B67,'DB New Orders'!$A$1:$S$1,0),0)</f>
        <v>10</v>
      </c>
      <c r="AJ67" s="19">
        <f>VLOOKUP(AJ$48,'DB New Orders'!$A:$S,MATCH($B67,'DB New Orders'!$A$1:$S$1,0),0)</f>
        <v>2</v>
      </c>
      <c r="AK67" s="19">
        <f>VLOOKUP(AK$48,'DB New Orders'!$A:$S,MATCH($B67,'DB New Orders'!$A$1:$S$1,0),0)</f>
        <v>-1</v>
      </c>
      <c r="AL67" s="19">
        <f>VLOOKUP(AL$48,'DB New Orders'!$A:$S,MATCH($B67,'DB New Orders'!$A$1:$S$1,0),0)</f>
        <v>-4</v>
      </c>
      <c r="AM67" s="19">
        <f>VLOOKUP(AM$48,'DB New Orders'!$A:$S,MATCH($B67,'DB New Orders'!$A$1:$S$1,0),0)</f>
        <v>7</v>
      </c>
      <c r="AO67" s="19">
        <f t="shared" si="6"/>
        <v>11</v>
      </c>
      <c r="AP67" s="31">
        <f t="shared" si="7"/>
        <v>0.66666666666666663</v>
      </c>
      <c r="AQ67" s="31">
        <f t="shared" si="8"/>
        <v>4.333333333333333</v>
      </c>
    </row>
    <row r="68" spans="2:43" x14ac:dyDescent="0.35">
      <c r="C68" s="34"/>
      <c r="D68" s="34"/>
      <c r="E68" s="34"/>
      <c r="F68" s="3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row>
  </sheetData>
  <mergeCells count="14">
    <mergeCell ref="B48:B49"/>
    <mergeCell ref="AO48:AO49"/>
    <mergeCell ref="AP48:AP49"/>
    <mergeCell ref="AQ48:AQ49"/>
    <mergeCell ref="AO1:AQ1"/>
    <mergeCell ref="AP3:AQ3"/>
    <mergeCell ref="B4:B5"/>
    <mergeCell ref="AO4:AO5"/>
    <mergeCell ref="AP4:AP5"/>
    <mergeCell ref="AQ4:AQ5"/>
    <mergeCell ref="B26:B27"/>
    <mergeCell ref="AO26:AO27"/>
    <mergeCell ref="AP26:AP27"/>
    <mergeCell ref="AQ26:AQ27"/>
  </mergeCells>
  <conditionalFormatting sqref="AO6:AO23">
    <cfRule type="cellIs" dxfId="129" priority="1236" operator="equal">
      <formula>0</formula>
    </cfRule>
    <cfRule type="cellIs" dxfId="128" priority="1237" operator="lessThan">
      <formula>0</formula>
    </cfRule>
    <cfRule type="cellIs" dxfId="127"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P6:AP23">
    <cfRule type="cellIs" dxfId="126" priority="1231" operator="equal">
      <formula>0</formula>
    </cfRule>
    <cfRule type="cellIs" dxfId="125" priority="1232" operator="lessThan">
      <formula>0</formula>
    </cfRule>
    <cfRule type="cellIs" dxfId="124"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Q6:AQ23">
    <cfRule type="cellIs" dxfId="123" priority="1226" operator="equal">
      <formula>0</formula>
    </cfRule>
    <cfRule type="cellIs" dxfId="122" priority="1227" operator="lessThan">
      <formula>0</formula>
    </cfRule>
    <cfRule type="cellIs" dxfId="121"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52 C54:C67">
    <cfRule type="cellIs" dxfId="120" priority="1003" operator="equal">
      <formula>0</formula>
    </cfRule>
    <cfRule type="cellIs" dxfId="119" priority="1004" operator="lessThan">
      <formula>0</formula>
    </cfRule>
    <cfRule type="cellIs" dxfId="118"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52 D54:D67">
    <cfRule type="cellIs" dxfId="117" priority="993" operator="equal">
      <formula>0</formula>
    </cfRule>
    <cfRule type="cellIs" dxfId="116" priority="994" operator="lessThan">
      <formula>0</formula>
    </cfRule>
    <cfRule type="cellIs" dxfId="115"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52 E54:E67">
    <cfRule type="cellIs" dxfId="114" priority="953" operator="equal">
      <formula>0</formula>
    </cfRule>
    <cfRule type="cellIs" dxfId="113" priority="954" operator="lessThan">
      <formula>0</formula>
    </cfRule>
    <cfRule type="cellIs" dxfId="112"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52 F54:F67">
    <cfRule type="cellIs" dxfId="111" priority="913" operator="equal">
      <formula>0</formula>
    </cfRule>
    <cfRule type="cellIs" dxfId="110" priority="914" operator="lessThan">
      <formula>0</formula>
    </cfRule>
    <cfRule type="cellIs" dxfId="109"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52 G54:G67">
    <cfRule type="cellIs" dxfId="108" priority="873" operator="equal">
      <formula>0</formula>
    </cfRule>
    <cfRule type="cellIs" dxfId="107" priority="874" operator="lessThan">
      <formula>0</formula>
    </cfRule>
    <cfRule type="cellIs" dxfId="106"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52 H54:H67">
    <cfRule type="cellIs" dxfId="105" priority="803" operator="equal">
      <formula>0</formula>
    </cfRule>
    <cfRule type="cellIs" dxfId="104" priority="804" operator="lessThan">
      <formula>0</formula>
    </cfRule>
    <cfRule type="cellIs" dxfId="103"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52 I54:I67">
    <cfRule type="cellIs" dxfId="102" priority="763" operator="equal">
      <formula>0</formula>
    </cfRule>
    <cfRule type="cellIs" dxfId="101" priority="764" operator="lessThan">
      <formula>0</formula>
    </cfRule>
    <cfRule type="cellIs" dxfId="100"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52 J54:J67">
    <cfRule type="cellIs" dxfId="99" priority="723" operator="equal">
      <formula>0</formula>
    </cfRule>
    <cfRule type="cellIs" dxfId="98" priority="724" operator="lessThan">
      <formula>0</formula>
    </cfRule>
    <cfRule type="cellIs" dxfId="97"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52 K54:K67">
    <cfRule type="cellIs" dxfId="96" priority="683" operator="equal">
      <formula>0</formula>
    </cfRule>
    <cfRule type="cellIs" dxfId="95" priority="684" operator="lessThan">
      <formula>0</formula>
    </cfRule>
    <cfRule type="cellIs" dxfId="94"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52 L54:L67">
    <cfRule type="cellIs" dxfId="93" priority="641" operator="equal">
      <formula>0</formula>
    </cfRule>
    <cfRule type="cellIs" dxfId="92" priority="642" operator="lessThan">
      <formula>0</formula>
    </cfRule>
    <cfRule type="cellIs" dxfId="91"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52 M54:M67">
    <cfRule type="cellIs" dxfId="90" priority="601" operator="equal">
      <formula>0</formula>
    </cfRule>
    <cfRule type="cellIs" dxfId="89" priority="602" operator="lessThan">
      <formula>0</formula>
    </cfRule>
    <cfRule type="cellIs" dxfId="88"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52 N54:N67">
    <cfRule type="cellIs" dxfId="87" priority="561" operator="equal">
      <formula>0</formula>
    </cfRule>
    <cfRule type="cellIs" dxfId="86" priority="562" operator="lessThan">
      <formula>0</formula>
    </cfRule>
    <cfRule type="cellIs" dxfId="85"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52 O54:O67">
    <cfRule type="cellIs" dxfId="84" priority="521" operator="equal">
      <formula>0</formula>
    </cfRule>
    <cfRule type="cellIs" dxfId="83" priority="522" operator="lessThan">
      <formula>0</formula>
    </cfRule>
    <cfRule type="cellIs" dxfId="82"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52 P54:P67">
    <cfRule type="cellIs" dxfId="81" priority="481" operator="equal">
      <formula>0</formula>
    </cfRule>
    <cfRule type="cellIs" dxfId="80" priority="482" operator="lessThan">
      <formula>0</formula>
    </cfRule>
    <cfRule type="cellIs" dxfId="79"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52 Q54:Q67">
    <cfRule type="cellIs" dxfId="78" priority="441" operator="equal">
      <formula>0</formula>
    </cfRule>
    <cfRule type="cellIs" dxfId="77" priority="442" operator="lessThan">
      <formula>0</formula>
    </cfRule>
    <cfRule type="cellIs" dxfId="76"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52 R54:R67">
    <cfRule type="cellIs" dxfId="75" priority="356" operator="equal">
      <formula>0</formula>
    </cfRule>
    <cfRule type="cellIs" dxfId="74" priority="357" operator="lessThan">
      <formula>0</formula>
    </cfRule>
    <cfRule type="cellIs" dxfId="73"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52 S54:S67">
    <cfRule type="cellIs" dxfId="72" priority="316" operator="equal">
      <formula>0</formula>
    </cfRule>
    <cfRule type="cellIs" dxfId="71" priority="317" operator="lessThan">
      <formula>0</formula>
    </cfRule>
    <cfRule type="cellIs" dxfId="70"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52 T54:T67">
    <cfRule type="cellIs" dxfId="69" priority="276" operator="equal">
      <formula>0</formula>
    </cfRule>
    <cfRule type="cellIs" dxfId="68" priority="277" operator="lessThan">
      <formula>0</formula>
    </cfRule>
    <cfRule type="cellIs" dxfId="67"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52 U54:U67">
    <cfRule type="cellIs" dxfId="66" priority="236" operator="equal">
      <formula>0</formula>
    </cfRule>
    <cfRule type="cellIs" dxfId="65" priority="237" operator="lessThan">
      <formula>0</formula>
    </cfRule>
    <cfRule type="cellIs" dxfId="64"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52 V54:V67">
    <cfRule type="cellIs" dxfId="63" priority="196" operator="equal">
      <formula>0</formula>
    </cfRule>
    <cfRule type="cellIs" dxfId="62" priority="197" operator="lessThan">
      <formula>0</formula>
    </cfRule>
    <cfRule type="cellIs" dxfId="61"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52 W54:W67">
    <cfRule type="cellIs" dxfId="60" priority="156" operator="equal">
      <formula>0</formula>
    </cfRule>
    <cfRule type="cellIs" dxfId="59" priority="157" operator="lessThan">
      <formula>0</formula>
    </cfRule>
    <cfRule type="cellIs" dxfId="58"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M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52 AA50:AL52 AA54:AL67 X54:X67 C53:AL53 AM50:AM67">
    <cfRule type="cellIs" dxfId="57" priority="116" operator="equal">
      <formula>0</formula>
    </cfRule>
    <cfRule type="cellIs" dxfId="56" priority="117" operator="lessThan">
      <formula>0</formula>
    </cfRule>
    <cfRule type="cellIs" dxfId="55"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M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52 Y54:Y67">
    <cfRule type="cellIs" dxfId="54" priority="76" operator="equal">
      <formula>0</formula>
    </cfRule>
    <cfRule type="cellIs" dxfId="53" priority="77" operator="lessThan">
      <formula>0</formula>
    </cfRule>
    <cfRule type="cellIs" dxfId="52"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52 Z54:Z67">
    <cfRule type="cellIs" dxfId="51" priority="36" operator="equal">
      <formula>0</formula>
    </cfRule>
    <cfRule type="cellIs" dxfId="50" priority="37" operator="lessThan">
      <formula>0</formula>
    </cfRule>
    <cfRule type="cellIs" dxfId="49"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O28:AO45">
    <cfRule type="cellIs" dxfId="48" priority="26" operator="equal">
      <formula>0</formula>
    </cfRule>
    <cfRule type="cellIs" dxfId="47" priority="27" operator="lessThan">
      <formula>0</formula>
    </cfRule>
    <cfRule type="cellIs" dxfId="46"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P28:AP45">
    <cfRule type="cellIs" dxfId="45" priority="21" operator="equal">
      <formula>0</formula>
    </cfRule>
    <cfRule type="cellIs" dxfId="44" priority="22" operator="lessThan">
      <formula>0</formula>
    </cfRule>
    <cfRule type="cellIs" dxfId="43"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Q28:AQ45">
    <cfRule type="cellIs" dxfId="42" priority="16" operator="equal">
      <formula>0</formula>
    </cfRule>
    <cfRule type="cellIs" dxfId="41" priority="17" operator="lessThan">
      <formula>0</formula>
    </cfRule>
    <cfRule type="cellIs" dxfId="40"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O50:AO67">
    <cfRule type="cellIs" dxfId="39" priority="11" operator="equal">
      <formula>0</formula>
    </cfRule>
    <cfRule type="cellIs" dxfId="38" priority="12" operator="lessThan">
      <formula>0</formula>
    </cfRule>
    <cfRule type="cellIs" dxfId="37"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P50:AP67">
    <cfRule type="cellIs" dxfId="36" priority="6" operator="equal">
      <formula>0</formula>
    </cfRule>
    <cfRule type="cellIs" dxfId="35" priority="7" operator="lessThan">
      <formula>0</formula>
    </cfRule>
    <cfRule type="cellIs" dxfId="34"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Q50:AQ67">
    <cfRule type="cellIs" dxfId="33" priority="1" operator="equal">
      <formula>0</formula>
    </cfRule>
    <cfRule type="cellIs" dxfId="32" priority="2" operator="lessThan">
      <formula>0</formula>
    </cfRule>
    <cfRule type="cellIs" dxfId="31"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312"/>
  <sheetViews>
    <sheetView zoomScaleNormal="100" workbookViewId="0">
      <pane xSplit="1" ySplit="5" topLeftCell="D296" activePane="bottomRight" state="frozen"/>
      <selection pane="topRight" activeCell="B1" sqref="B1"/>
      <selection pane="bottomLeft" activeCell="A6" sqref="A6"/>
      <selection pane="bottomRight" activeCell="A304" sqref="A304:L312"/>
    </sheetView>
  </sheetViews>
  <sheetFormatPr defaultColWidth="9.1796875" defaultRowHeight="14.5" x14ac:dyDescent="0.35"/>
  <cols>
    <col min="1" max="1" width="12" style="62" customWidth="1"/>
    <col min="2" max="2" width="13.1796875" style="62" customWidth="1"/>
    <col min="3" max="9" width="11.453125" style="62" customWidth="1"/>
    <col min="10" max="10" width="12.1796875" style="62" customWidth="1"/>
    <col min="11" max="11" width="11.453125" style="62" customWidth="1"/>
    <col min="12" max="12" width="15.36328125" style="62" customWidth="1"/>
    <col min="13" max="38" width="9.1796875" style="62" customWidth="1"/>
    <col min="39" max="16384" width="9.1796875" style="62"/>
  </cols>
  <sheetData>
    <row r="1" spans="1:12" x14ac:dyDescent="0.35">
      <c r="A1" s="25"/>
      <c r="B1" s="25"/>
      <c r="J1" s="42"/>
    </row>
    <row r="2" spans="1:12" x14ac:dyDescent="0.35">
      <c r="C2" s="42"/>
      <c r="D2" s="42"/>
    </row>
    <row r="3" spans="1:12" x14ac:dyDescent="0.35">
      <c r="C3" s="42"/>
      <c r="D3" s="42"/>
    </row>
    <row r="4" spans="1:12" ht="16" customHeight="1" thickBot="1" x14ac:dyDescent="0.4">
      <c r="C4" s="42"/>
      <c r="D4" s="42"/>
    </row>
    <row r="5" spans="1:12" ht="39" customHeight="1" thickBot="1" x14ac:dyDescent="0.4">
      <c r="A5" s="43" t="s">
        <v>77</v>
      </c>
      <c r="B5" s="44" t="s">
        <v>16</v>
      </c>
      <c r="C5" s="44" t="s">
        <v>18</v>
      </c>
      <c r="D5" s="44" t="s">
        <v>20</v>
      </c>
      <c r="E5" s="44" t="s">
        <v>21</v>
      </c>
      <c r="F5" s="44" t="s">
        <v>22</v>
      </c>
      <c r="G5" s="44" t="s">
        <v>23</v>
      </c>
      <c r="H5" s="44" t="s">
        <v>24</v>
      </c>
      <c r="I5" s="44" t="s">
        <v>25</v>
      </c>
      <c r="J5" s="44" t="s">
        <v>26</v>
      </c>
      <c r="K5" s="44" t="s">
        <v>27</v>
      </c>
      <c r="L5" s="45" t="s">
        <v>14</v>
      </c>
    </row>
    <row r="6" spans="1:12" ht="14.25" customHeight="1" x14ac:dyDescent="0.35">
      <c r="A6" s="46">
        <v>35612</v>
      </c>
      <c r="B6" s="47" t="str">
        <f>IF(VLOOKUP(Table91213[[#This Row],[Date]],'DB Details'!$A:$Q,2)=0,"",VLOOKUP(Table91213[[#This Row],[Date]],'DB Details'!$A:$Q,2))</f>
        <v/>
      </c>
      <c r="C6" s="48">
        <f>IF(VLOOKUP(Table91213[[#This Row],[Date]],'DB Details'!$A:$Q,3)=0,"",VLOOKUP(Table91213[[#This Row],[Date]],'DB Details'!$A:$Q,3))</f>
        <v>55.6</v>
      </c>
      <c r="D6" s="48">
        <f>IF(VLOOKUP(Table91213[[#This Row],[Date]],'DB Details'!$A:$Q,4)=0,"",VLOOKUP(Table91213[[#This Row],[Date]],'DB Details'!$A:$Q,4))</f>
        <v>49</v>
      </c>
      <c r="E6" s="49">
        <f>IF(VLOOKUP(Table91213[[#This Row],[Date]],'DB Details'!$A:$Q,5)=0,"",VLOOKUP(Table91213[[#This Row],[Date]],'DB Details'!$A:$Q,5))</f>
        <v>50.9</v>
      </c>
      <c r="F6" s="48">
        <f>IF(VLOOKUP(Table91213[[#This Row],[Date]],'DB Details'!$A:$Q,6)=0,"",VLOOKUP(Table91213[[#This Row],[Date]],'DB Details'!$A:$Q,6))</f>
        <v>58.6</v>
      </c>
      <c r="G6" s="49" t="str">
        <f>IF(VLOOKUP(Table91213[[#This Row],[Date]],'DB Details'!$A:$Q,7)=0,"",VLOOKUP(Table91213[[#This Row],[Date]],'DB Details'!$A:$Q,7))</f>
        <v/>
      </c>
      <c r="H6" s="49">
        <f>IF(VLOOKUP(Table91213[[#This Row],[Date]],'DB Details'!$A:$Q,8)=0,"",VLOOKUP(Table91213[[#This Row],[Date]],'DB Details'!$A:$Q,8))</f>
        <v>51</v>
      </c>
      <c r="I6" s="49" t="str">
        <f>IF(VLOOKUP(Table91213[[#This Row],[Date]],'DB Details'!$A:$Q,9)=0,"",VLOOKUP(Table91213[[#This Row],[Date]],'DB Details'!$A:$Q,9))</f>
        <v/>
      </c>
      <c r="J6" s="49">
        <f>IF(VLOOKUP(Table91213[[#This Row],[Date]],'DB Details'!$A:$Q,10)=0,"",VLOOKUP(Table91213[[#This Row],[Date]],'DB Details'!$A:$Q,10))</f>
        <v>53.8</v>
      </c>
      <c r="K6" s="49">
        <f>IF(VLOOKUP(Table91213[[#This Row],[Date]],'DB Details'!$A:$Q,11)=0,"",VLOOKUP(Table91213[[#This Row],[Date]],'DB Details'!$A:$Q,11))</f>
        <v>62</v>
      </c>
      <c r="L6" s="47">
        <f>IF(VLOOKUP(Table91213[[#This Row],[Date]],'DB Details'!$A:$Q,12)=0,"",VLOOKUP(Table91213[[#This Row],[Date]],'DB Details'!$A:$Q,12))</f>
        <v>56.7</v>
      </c>
    </row>
    <row r="7" spans="1:12" ht="14.25" customHeight="1" x14ac:dyDescent="0.35">
      <c r="A7" s="50">
        <v>35643</v>
      </c>
      <c r="B7" s="47" t="str">
        <f>IF(VLOOKUP(Table91213[[#This Row],[Date]],'DB Details'!$A:$Q,2)=0,"",VLOOKUP(Table91213[[#This Row],[Date]],'DB Details'!$A:$Q,2))</f>
        <v/>
      </c>
      <c r="C7" s="48">
        <f>IF(VLOOKUP(Table91213[[#This Row],[Date]],'DB Details'!$A:$Q,3)=0,"",VLOOKUP(Table91213[[#This Row],[Date]],'DB Details'!$A:$Q,3))</f>
        <v>48.4</v>
      </c>
      <c r="D7" s="48">
        <f>IF(VLOOKUP(Table91213[[#This Row],[Date]],'DB Details'!$A:$Q,4)=0,"",VLOOKUP(Table91213[[#This Row],[Date]],'DB Details'!$A:$Q,4))</f>
        <v>56.5</v>
      </c>
      <c r="E7" s="49">
        <f>IF(VLOOKUP(Table91213[[#This Row],[Date]],'DB Details'!$A:$Q,5)=0,"",VLOOKUP(Table91213[[#This Row],[Date]],'DB Details'!$A:$Q,5))</f>
        <v>53.3</v>
      </c>
      <c r="F7" s="48">
        <f>IF(VLOOKUP(Table91213[[#This Row],[Date]],'DB Details'!$A:$Q,6)=0,"",VLOOKUP(Table91213[[#This Row],[Date]],'DB Details'!$A:$Q,6))</f>
        <v>62.6</v>
      </c>
      <c r="G7" s="49">
        <f>IF(VLOOKUP(Table91213[[#This Row],[Date]],'DB Details'!$A:$Q,7)=0,"",VLOOKUP(Table91213[[#This Row],[Date]],'DB Details'!$A:$Q,7))</f>
        <v>62</v>
      </c>
      <c r="H7" s="49">
        <f>IF(VLOOKUP(Table91213[[#This Row],[Date]],'DB Details'!$A:$Q,8)=0,"",VLOOKUP(Table91213[[#This Row],[Date]],'DB Details'!$A:$Q,8))</f>
        <v>48.5</v>
      </c>
      <c r="I7" s="49" t="str">
        <f>IF(VLOOKUP(Table91213[[#This Row],[Date]],'DB Details'!$A:$Q,9)=0,"",VLOOKUP(Table91213[[#This Row],[Date]],'DB Details'!$A:$Q,9))</f>
        <v/>
      </c>
      <c r="J7" s="49">
        <f>IF(VLOOKUP(Table91213[[#This Row],[Date]],'DB Details'!$A:$Q,10)=0,"",VLOOKUP(Table91213[[#This Row],[Date]],'DB Details'!$A:$Q,10))</f>
        <v>53.8</v>
      </c>
      <c r="K7" s="49">
        <f>IF(VLOOKUP(Table91213[[#This Row],[Date]],'DB Details'!$A:$Q,11)=0,"",VLOOKUP(Table91213[[#This Row],[Date]],'DB Details'!$A:$Q,11))</f>
        <v>57.5</v>
      </c>
      <c r="L7" s="47">
        <f>IF(VLOOKUP(Table91213[[#This Row],[Date]],'DB Details'!$A:$Q,12)=0,"",VLOOKUP(Table91213[[#This Row],[Date]],'DB Details'!$A:$Q,12))</f>
        <v>62</v>
      </c>
    </row>
    <row r="8" spans="1:12" ht="14.25" customHeight="1" x14ac:dyDescent="0.35">
      <c r="A8" s="46">
        <v>35674</v>
      </c>
      <c r="B8" s="47" t="str">
        <f>IF(VLOOKUP(Table91213[[#This Row],[Date]],'DB Details'!$A:$Q,2)=0,"",VLOOKUP(Table91213[[#This Row],[Date]],'DB Details'!$A:$Q,2))</f>
        <v/>
      </c>
      <c r="C8" s="48">
        <f>IF(VLOOKUP(Table91213[[#This Row],[Date]],'DB Details'!$A:$Q,3)=0,"",VLOOKUP(Table91213[[#This Row],[Date]],'DB Details'!$A:$Q,3))</f>
        <v>47.5</v>
      </c>
      <c r="D8" s="48">
        <f>IF(VLOOKUP(Table91213[[#This Row],[Date]],'DB Details'!$A:$Q,4)=0,"",VLOOKUP(Table91213[[#This Row],[Date]],'DB Details'!$A:$Q,4))</f>
        <v>49.5</v>
      </c>
      <c r="E8" s="49">
        <f>IF(VLOOKUP(Table91213[[#This Row],[Date]],'DB Details'!$A:$Q,5)=0,"",VLOOKUP(Table91213[[#This Row],[Date]],'DB Details'!$A:$Q,5))</f>
        <v>53.1</v>
      </c>
      <c r="F8" s="48">
        <f>IF(VLOOKUP(Table91213[[#This Row],[Date]],'DB Details'!$A:$Q,6)=0,"",VLOOKUP(Table91213[[#This Row],[Date]],'DB Details'!$A:$Q,6))</f>
        <v>59.1</v>
      </c>
      <c r="G8" s="49">
        <f>IF(VLOOKUP(Table91213[[#This Row],[Date]],'DB Details'!$A:$Q,7)=0,"",VLOOKUP(Table91213[[#This Row],[Date]],'DB Details'!$A:$Q,7))</f>
        <v>63</v>
      </c>
      <c r="H8" s="49">
        <f>IF(VLOOKUP(Table91213[[#This Row],[Date]],'DB Details'!$A:$Q,8)=0,"",VLOOKUP(Table91213[[#This Row],[Date]],'DB Details'!$A:$Q,8))</f>
        <v>54</v>
      </c>
      <c r="I8" s="49" t="str">
        <f>IF(VLOOKUP(Table91213[[#This Row],[Date]],'DB Details'!$A:$Q,9)=0,"",VLOOKUP(Table91213[[#This Row],[Date]],'DB Details'!$A:$Q,9))</f>
        <v/>
      </c>
      <c r="J8" s="49">
        <f>IF(VLOOKUP(Table91213[[#This Row],[Date]],'DB Details'!$A:$Q,10)=0,"",VLOOKUP(Table91213[[#This Row],[Date]],'DB Details'!$A:$Q,10))</f>
        <v>53.2</v>
      </c>
      <c r="K8" s="49">
        <f>IF(VLOOKUP(Table91213[[#This Row],[Date]],'DB Details'!$A:$Q,11)=0,"",VLOOKUP(Table91213[[#This Row],[Date]],'DB Details'!$A:$Q,11))</f>
        <v>49.5</v>
      </c>
      <c r="L8" s="47">
        <f>IF(VLOOKUP(Table91213[[#This Row],[Date]],'DB Details'!$A:$Q,12)=0,"",VLOOKUP(Table91213[[#This Row],[Date]],'DB Details'!$A:$Q,12))</f>
        <v>56.2</v>
      </c>
    </row>
    <row r="9" spans="1:12" ht="14.25" customHeight="1" x14ac:dyDescent="0.35">
      <c r="A9" s="50">
        <v>35704</v>
      </c>
      <c r="B9" s="47" t="str">
        <f>IF(VLOOKUP(Table91213[[#This Row],[Date]],'DB Details'!$A:$Q,2)=0,"",VLOOKUP(Table91213[[#This Row],[Date]],'DB Details'!$A:$Q,2))</f>
        <v/>
      </c>
      <c r="C9" s="48">
        <f>IF(VLOOKUP(Table91213[[#This Row],[Date]],'DB Details'!$A:$Q,3)=0,"",VLOOKUP(Table91213[[#This Row],[Date]],'DB Details'!$A:$Q,3))</f>
        <v>50.7</v>
      </c>
      <c r="D9" s="48">
        <f>IF(VLOOKUP(Table91213[[#This Row],[Date]],'DB Details'!$A:$Q,4)=0,"",VLOOKUP(Table91213[[#This Row],[Date]],'DB Details'!$A:$Q,4))</f>
        <v>52</v>
      </c>
      <c r="E9" s="49">
        <f>IF(VLOOKUP(Table91213[[#This Row],[Date]],'DB Details'!$A:$Q,5)=0,"",VLOOKUP(Table91213[[#This Row],[Date]],'DB Details'!$A:$Q,5))</f>
        <v>53.1</v>
      </c>
      <c r="F9" s="48">
        <f>IF(VLOOKUP(Table91213[[#This Row],[Date]],'DB Details'!$A:$Q,6)=0,"",VLOOKUP(Table91213[[#This Row],[Date]],'DB Details'!$A:$Q,6))</f>
        <v>62.6</v>
      </c>
      <c r="G9" s="49">
        <f>IF(VLOOKUP(Table91213[[#This Row],[Date]],'DB Details'!$A:$Q,7)=0,"",VLOOKUP(Table91213[[#This Row],[Date]],'DB Details'!$A:$Q,7))</f>
        <v>66</v>
      </c>
      <c r="H9" s="49">
        <f>IF(VLOOKUP(Table91213[[#This Row],[Date]],'DB Details'!$A:$Q,8)=0,"",VLOOKUP(Table91213[[#This Row],[Date]],'DB Details'!$A:$Q,8))</f>
        <v>46.5</v>
      </c>
      <c r="I9" s="49" t="str">
        <f>IF(VLOOKUP(Table91213[[#This Row],[Date]],'DB Details'!$A:$Q,9)=0,"",VLOOKUP(Table91213[[#This Row],[Date]],'DB Details'!$A:$Q,9))</f>
        <v/>
      </c>
      <c r="J9" s="49">
        <f>IF(VLOOKUP(Table91213[[#This Row],[Date]],'DB Details'!$A:$Q,10)=0,"",VLOOKUP(Table91213[[#This Row],[Date]],'DB Details'!$A:$Q,10))</f>
        <v>51</v>
      </c>
      <c r="K9" s="49">
        <f>IF(VLOOKUP(Table91213[[#This Row],[Date]],'DB Details'!$A:$Q,11)=0,"",VLOOKUP(Table91213[[#This Row],[Date]],'DB Details'!$A:$Q,11))</f>
        <v>51.5</v>
      </c>
      <c r="L9" s="47">
        <f>IF(VLOOKUP(Table91213[[#This Row],[Date]],'DB Details'!$A:$Q,12)=0,"",VLOOKUP(Table91213[[#This Row],[Date]],'DB Details'!$A:$Q,12))</f>
        <v>56.6</v>
      </c>
    </row>
    <row r="10" spans="1:12" ht="14.25" customHeight="1" x14ac:dyDescent="0.35">
      <c r="A10" s="46">
        <v>35735</v>
      </c>
      <c r="B10" s="47" t="str">
        <f>IF(VLOOKUP(Table91213[[#This Row],[Date]],'DB Details'!$A:$Q,2)=0,"",VLOOKUP(Table91213[[#This Row],[Date]],'DB Details'!$A:$Q,2))</f>
        <v/>
      </c>
      <c r="C10" s="48">
        <f>IF(VLOOKUP(Table91213[[#This Row],[Date]],'DB Details'!$A:$Q,3)=0,"",VLOOKUP(Table91213[[#This Row],[Date]],'DB Details'!$A:$Q,3))</f>
        <v>50.3</v>
      </c>
      <c r="D10" s="48">
        <f>IF(VLOOKUP(Table91213[[#This Row],[Date]],'DB Details'!$A:$Q,4)=0,"",VLOOKUP(Table91213[[#This Row],[Date]],'DB Details'!$A:$Q,4))</f>
        <v>56</v>
      </c>
      <c r="E10" s="49">
        <f>IF(VLOOKUP(Table91213[[#This Row],[Date]],'DB Details'!$A:$Q,5)=0,"",VLOOKUP(Table91213[[#This Row],[Date]],'DB Details'!$A:$Q,5))</f>
        <v>54.3</v>
      </c>
      <c r="F10" s="48">
        <f>IF(VLOOKUP(Table91213[[#This Row],[Date]],'DB Details'!$A:$Q,6)=0,"",VLOOKUP(Table91213[[#This Row],[Date]],'DB Details'!$A:$Q,6))</f>
        <v>61.9</v>
      </c>
      <c r="G10" s="49">
        <f>IF(VLOOKUP(Table91213[[#This Row],[Date]],'DB Details'!$A:$Q,7)=0,"",VLOOKUP(Table91213[[#This Row],[Date]],'DB Details'!$A:$Q,7))</f>
        <v>64.5</v>
      </c>
      <c r="H10" s="49">
        <f>IF(VLOOKUP(Table91213[[#This Row],[Date]],'DB Details'!$A:$Q,8)=0,"",VLOOKUP(Table91213[[#This Row],[Date]],'DB Details'!$A:$Q,8))</f>
        <v>51</v>
      </c>
      <c r="I10" s="49" t="str">
        <f>IF(VLOOKUP(Table91213[[#This Row],[Date]],'DB Details'!$A:$Q,9)=0,"",VLOOKUP(Table91213[[#This Row],[Date]],'DB Details'!$A:$Q,9))</f>
        <v/>
      </c>
      <c r="J10" s="49">
        <f>IF(VLOOKUP(Table91213[[#This Row],[Date]],'DB Details'!$A:$Q,10)=0,"",VLOOKUP(Table91213[[#This Row],[Date]],'DB Details'!$A:$Q,10))</f>
        <v>56.7</v>
      </c>
      <c r="K10" s="49">
        <f>IF(VLOOKUP(Table91213[[#This Row],[Date]],'DB Details'!$A:$Q,11)=0,"",VLOOKUP(Table91213[[#This Row],[Date]],'DB Details'!$A:$Q,11))</f>
        <v>53.5</v>
      </c>
      <c r="L10" s="47">
        <f>IF(VLOOKUP(Table91213[[#This Row],[Date]],'DB Details'!$A:$Q,12)=0,"",VLOOKUP(Table91213[[#This Row],[Date]],'DB Details'!$A:$Q,12))</f>
        <v>58.5</v>
      </c>
    </row>
    <row r="11" spans="1:12" ht="14.25" customHeight="1" x14ac:dyDescent="0.35">
      <c r="A11" s="50">
        <v>35765</v>
      </c>
      <c r="B11" s="47" t="str">
        <f>IF(VLOOKUP(Table91213[[#This Row],[Date]],'DB Details'!$A:$Q,2)=0,"",VLOOKUP(Table91213[[#This Row],[Date]],'DB Details'!$A:$Q,2))</f>
        <v/>
      </c>
      <c r="C11" s="48">
        <f>IF(VLOOKUP(Table91213[[#This Row],[Date]],'DB Details'!$A:$Q,3)=0,"",VLOOKUP(Table91213[[#This Row],[Date]],'DB Details'!$A:$Q,3))</f>
        <v>52.2</v>
      </c>
      <c r="D11" s="48">
        <f>IF(VLOOKUP(Table91213[[#This Row],[Date]],'DB Details'!$A:$Q,4)=0,"",VLOOKUP(Table91213[[#This Row],[Date]],'DB Details'!$A:$Q,4))</f>
        <v>49</v>
      </c>
      <c r="E11" s="49">
        <f>IF(VLOOKUP(Table91213[[#This Row],[Date]],'DB Details'!$A:$Q,5)=0,"",VLOOKUP(Table91213[[#This Row],[Date]],'DB Details'!$A:$Q,5))</f>
        <v>54.9</v>
      </c>
      <c r="F11" s="48">
        <f>IF(VLOOKUP(Table91213[[#This Row],[Date]],'DB Details'!$A:$Q,6)=0,"",VLOOKUP(Table91213[[#This Row],[Date]],'DB Details'!$A:$Q,6))</f>
        <v>56.5</v>
      </c>
      <c r="G11" s="49">
        <f>IF(VLOOKUP(Table91213[[#This Row],[Date]],'DB Details'!$A:$Q,7)=0,"",VLOOKUP(Table91213[[#This Row],[Date]],'DB Details'!$A:$Q,7))</f>
        <v>67</v>
      </c>
      <c r="H11" s="49">
        <f>IF(VLOOKUP(Table91213[[#This Row],[Date]],'DB Details'!$A:$Q,8)=0,"",VLOOKUP(Table91213[[#This Row],[Date]],'DB Details'!$A:$Q,8))</f>
        <v>49</v>
      </c>
      <c r="I11" s="49" t="str">
        <f>IF(VLOOKUP(Table91213[[#This Row],[Date]],'DB Details'!$A:$Q,9)=0,"",VLOOKUP(Table91213[[#This Row],[Date]],'DB Details'!$A:$Q,9))</f>
        <v/>
      </c>
      <c r="J11" s="49">
        <f>IF(VLOOKUP(Table91213[[#This Row],[Date]],'DB Details'!$A:$Q,10)=0,"",VLOOKUP(Table91213[[#This Row],[Date]],'DB Details'!$A:$Q,10))</f>
        <v>55</v>
      </c>
      <c r="K11" s="49">
        <f>IF(VLOOKUP(Table91213[[#This Row],[Date]],'DB Details'!$A:$Q,11)=0,"",VLOOKUP(Table91213[[#This Row],[Date]],'DB Details'!$A:$Q,11))</f>
        <v>48.5</v>
      </c>
      <c r="L11" s="47">
        <f>IF(VLOOKUP(Table91213[[#This Row],[Date]],'DB Details'!$A:$Q,12)=0,"",VLOOKUP(Table91213[[#This Row],[Date]],'DB Details'!$A:$Q,12))</f>
        <v>55.5</v>
      </c>
    </row>
    <row r="12" spans="1:12" ht="14.25" customHeight="1" x14ac:dyDescent="0.35">
      <c r="A12" s="46">
        <v>35796</v>
      </c>
      <c r="B12" s="47">
        <f>IF(VLOOKUP(Table91213[[#This Row],[Date]],'DB Details'!$A:$Q,2)=0,"",VLOOKUP(Table91213[[#This Row],[Date]],'DB Details'!$A:$Q,2))</f>
        <v>57.4</v>
      </c>
      <c r="C12" s="48">
        <f>IF(VLOOKUP(Table91213[[#This Row],[Date]],'DB Details'!$A:$Q,3)=0,"",VLOOKUP(Table91213[[#This Row],[Date]],'DB Details'!$A:$Q,3))</f>
        <v>51.5</v>
      </c>
      <c r="D12" s="48">
        <f>IF(VLOOKUP(Table91213[[#This Row],[Date]],'DB Details'!$A:$Q,4)=0,"",VLOOKUP(Table91213[[#This Row],[Date]],'DB Details'!$A:$Q,4))</f>
        <v>49</v>
      </c>
      <c r="E12" s="49">
        <f>IF(VLOOKUP(Table91213[[#This Row],[Date]],'DB Details'!$A:$Q,5)=0,"",VLOOKUP(Table91213[[#This Row],[Date]],'DB Details'!$A:$Q,5))</f>
        <v>52.7</v>
      </c>
      <c r="F12" s="48">
        <f>IF(VLOOKUP(Table91213[[#This Row],[Date]],'DB Details'!$A:$Q,6)=0,"",VLOOKUP(Table91213[[#This Row],[Date]],'DB Details'!$A:$Q,6))</f>
        <v>61.4</v>
      </c>
      <c r="G12" s="49">
        <f>IF(VLOOKUP(Table91213[[#This Row],[Date]],'DB Details'!$A:$Q,7)=0,"",VLOOKUP(Table91213[[#This Row],[Date]],'DB Details'!$A:$Q,7))</f>
        <v>61.5</v>
      </c>
      <c r="H12" s="49">
        <f>IF(VLOOKUP(Table91213[[#This Row],[Date]],'DB Details'!$A:$Q,8)=0,"",VLOOKUP(Table91213[[#This Row],[Date]],'DB Details'!$A:$Q,8))</f>
        <v>48.5</v>
      </c>
      <c r="I12" s="49">
        <f>IF(VLOOKUP(Table91213[[#This Row],[Date]],'DB Details'!$A:$Q,9)=0,"",VLOOKUP(Table91213[[#This Row],[Date]],'DB Details'!$A:$Q,9))</f>
        <v>54</v>
      </c>
      <c r="J12" s="49">
        <f>IF(VLOOKUP(Table91213[[#This Row],[Date]],'DB Details'!$A:$Q,10)=0,"",VLOOKUP(Table91213[[#This Row],[Date]],'DB Details'!$A:$Q,10))</f>
        <v>55</v>
      </c>
      <c r="K12" s="49">
        <f>IF(VLOOKUP(Table91213[[#This Row],[Date]],'DB Details'!$A:$Q,11)=0,"",VLOOKUP(Table91213[[#This Row],[Date]],'DB Details'!$A:$Q,11))</f>
        <v>52</v>
      </c>
      <c r="L12" s="47">
        <f>IF(VLOOKUP(Table91213[[#This Row],[Date]],'DB Details'!$A:$Q,12)=0,"",VLOOKUP(Table91213[[#This Row],[Date]],'DB Details'!$A:$Q,12))</f>
        <v>57</v>
      </c>
    </row>
    <row r="13" spans="1:12" ht="14.25" customHeight="1" x14ac:dyDescent="0.35">
      <c r="A13" s="50">
        <v>35827</v>
      </c>
      <c r="B13" s="47">
        <f>IF(VLOOKUP(Table91213[[#This Row],[Date]],'DB Details'!$A:$Q,2)=0,"",VLOOKUP(Table91213[[#This Row],[Date]],'DB Details'!$A:$Q,2))</f>
        <v>59.1</v>
      </c>
      <c r="C13" s="48">
        <f>IF(VLOOKUP(Table91213[[#This Row],[Date]],'DB Details'!$A:$Q,3)=0,"",VLOOKUP(Table91213[[#This Row],[Date]],'DB Details'!$A:$Q,3))</f>
        <v>52.6</v>
      </c>
      <c r="D13" s="48">
        <f>IF(VLOOKUP(Table91213[[#This Row],[Date]],'DB Details'!$A:$Q,4)=0,"",VLOOKUP(Table91213[[#This Row],[Date]],'DB Details'!$A:$Q,4))</f>
        <v>51.5</v>
      </c>
      <c r="E13" s="49">
        <f>IF(VLOOKUP(Table91213[[#This Row],[Date]],'DB Details'!$A:$Q,5)=0,"",VLOOKUP(Table91213[[#This Row],[Date]],'DB Details'!$A:$Q,5))</f>
        <v>51.6</v>
      </c>
      <c r="F13" s="48">
        <f>IF(VLOOKUP(Table91213[[#This Row],[Date]],'DB Details'!$A:$Q,6)=0,"",VLOOKUP(Table91213[[#This Row],[Date]],'DB Details'!$A:$Q,6))</f>
        <v>58.9</v>
      </c>
      <c r="G13" s="49">
        <f>IF(VLOOKUP(Table91213[[#This Row],[Date]],'DB Details'!$A:$Q,7)=0,"",VLOOKUP(Table91213[[#This Row],[Date]],'DB Details'!$A:$Q,7))</f>
        <v>59.5</v>
      </c>
      <c r="H13" s="49">
        <f>IF(VLOOKUP(Table91213[[#This Row],[Date]],'DB Details'!$A:$Q,8)=0,"",VLOOKUP(Table91213[[#This Row],[Date]],'DB Details'!$A:$Q,8))</f>
        <v>50.5</v>
      </c>
      <c r="I13" s="49">
        <f>IF(VLOOKUP(Table91213[[#This Row],[Date]],'DB Details'!$A:$Q,9)=0,"",VLOOKUP(Table91213[[#This Row],[Date]],'DB Details'!$A:$Q,9))</f>
        <v>52</v>
      </c>
      <c r="J13" s="49">
        <f>IF(VLOOKUP(Table91213[[#This Row],[Date]],'DB Details'!$A:$Q,10)=0,"",VLOOKUP(Table91213[[#This Row],[Date]],'DB Details'!$A:$Q,10))</f>
        <v>54.8</v>
      </c>
      <c r="K13" s="49">
        <f>IF(VLOOKUP(Table91213[[#This Row],[Date]],'DB Details'!$A:$Q,11)=0,"",VLOOKUP(Table91213[[#This Row],[Date]],'DB Details'!$A:$Q,11))</f>
        <v>51.5</v>
      </c>
      <c r="L13" s="47">
        <f>IF(VLOOKUP(Table91213[[#This Row],[Date]],'DB Details'!$A:$Q,12)=0,"",VLOOKUP(Table91213[[#This Row],[Date]],'DB Details'!$A:$Q,12))</f>
        <v>56.2</v>
      </c>
    </row>
    <row r="14" spans="1:12" ht="14.25" customHeight="1" x14ac:dyDescent="0.35">
      <c r="A14" s="46">
        <v>35855</v>
      </c>
      <c r="B14" s="47">
        <f>IF(VLOOKUP(Table91213[[#This Row],[Date]],'DB Details'!$A:$Q,2)=0,"",VLOOKUP(Table91213[[#This Row],[Date]],'DB Details'!$A:$Q,2))</f>
        <v>55.1</v>
      </c>
      <c r="C14" s="48">
        <f>IF(VLOOKUP(Table91213[[#This Row],[Date]],'DB Details'!$A:$Q,3)=0,"",VLOOKUP(Table91213[[#This Row],[Date]],'DB Details'!$A:$Q,3))</f>
        <v>50</v>
      </c>
      <c r="D14" s="48">
        <f>IF(VLOOKUP(Table91213[[#This Row],[Date]],'DB Details'!$A:$Q,4)=0,"",VLOOKUP(Table91213[[#This Row],[Date]],'DB Details'!$A:$Q,4))</f>
        <v>51.5</v>
      </c>
      <c r="E14" s="49">
        <f>IF(VLOOKUP(Table91213[[#This Row],[Date]],'DB Details'!$A:$Q,5)=0,"",VLOOKUP(Table91213[[#This Row],[Date]],'DB Details'!$A:$Q,5))</f>
        <v>47.9</v>
      </c>
      <c r="F14" s="48">
        <f>IF(VLOOKUP(Table91213[[#This Row],[Date]],'DB Details'!$A:$Q,6)=0,"",VLOOKUP(Table91213[[#This Row],[Date]],'DB Details'!$A:$Q,6))</f>
        <v>57</v>
      </c>
      <c r="G14" s="49">
        <f>IF(VLOOKUP(Table91213[[#This Row],[Date]],'DB Details'!$A:$Q,7)=0,"",VLOOKUP(Table91213[[#This Row],[Date]],'DB Details'!$A:$Q,7))</f>
        <v>64</v>
      </c>
      <c r="H14" s="49">
        <f>IF(VLOOKUP(Table91213[[#This Row],[Date]],'DB Details'!$A:$Q,8)=0,"",VLOOKUP(Table91213[[#This Row],[Date]],'DB Details'!$A:$Q,8))</f>
        <v>52.5</v>
      </c>
      <c r="I14" s="49">
        <f>IF(VLOOKUP(Table91213[[#This Row],[Date]],'DB Details'!$A:$Q,9)=0,"",VLOOKUP(Table91213[[#This Row],[Date]],'DB Details'!$A:$Q,9))</f>
        <v>52.5</v>
      </c>
      <c r="J14" s="49">
        <f>IF(VLOOKUP(Table91213[[#This Row],[Date]],'DB Details'!$A:$Q,10)=0,"",VLOOKUP(Table91213[[#This Row],[Date]],'DB Details'!$A:$Q,10))</f>
        <v>54.1</v>
      </c>
      <c r="K14" s="49">
        <f>IF(VLOOKUP(Table91213[[#This Row],[Date]],'DB Details'!$A:$Q,11)=0,"",VLOOKUP(Table91213[[#This Row],[Date]],'DB Details'!$A:$Q,11))</f>
        <v>58.5</v>
      </c>
      <c r="L14" s="47">
        <f>IF(VLOOKUP(Table91213[[#This Row],[Date]],'DB Details'!$A:$Q,12)=0,"",VLOOKUP(Table91213[[#This Row],[Date]],'DB Details'!$A:$Q,12))</f>
        <v>54.7</v>
      </c>
    </row>
    <row r="15" spans="1:12" x14ac:dyDescent="0.35">
      <c r="A15" s="50">
        <v>35886</v>
      </c>
      <c r="B15" s="47">
        <f>IF(VLOOKUP(Table91213[[#This Row],[Date]],'DB Details'!$A:$Q,2)=0,"",VLOOKUP(Table91213[[#This Row],[Date]],'DB Details'!$A:$Q,2))</f>
        <v>57.5</v>
      </c>
      <c r="C15" s="48">
        <f>IF(VLOOKUP(Table91213[[#This Row],[Date]],'DB Details'!$A:$Q,3)=0,"",VLOOKUP(Table91213[[#This Row],[Date]],'DB Details'!$A:$Q,3))</f>
        <v>52.1</v>
      </c>
      <c r="D15" s="48">
        <f>IF(VLOOKUP(Table91213[[#This Row],[Date]],'DB Details'!$A:$Q,4)=0,"",VLOOKUP(Table91213[[#This Row],[Date]],'DB Details'!$A:$Q,4))</f>
        <v>51</v>
      </c>
      <c r="E15" s="49">
        <f>IF(VLOOKUP(Table91213[[#This Row],[Date]],'DB Details'!$A:$Q,5)=0,"",VLOOKUP(Table91213[[#This Row],[Date]],'DB Details'!$A:$Q,5))</f>
        <v>46.8</v>
      </c>
      <c r="F15" s="48">
        <f>IF(VLOOKUP(Table91213[[#This Row],[Date]],'DB Details'!$A:$Q,6)=0,"",VLOOKUP(Table91213[[#This Row],[Date]],'DB Details'!$A:$Q,6))</f>
        <v>58.6</v>
      </c>
      <c r="G15" s="49">
        <f>IF(VLOOKUP(Table91213[[#This Row],[Date]],'DB Details'!$A:$Q,7)=0,"",VLOOKUP(Table91213[[#This Row],[Date]],'DB Details'!$A:$Q,7))</f>
        <v>66.5</v>
      </c>
      <c r="H15" s="49">
        <f>IF(VLOOKUP(Table91213[[#This Row],[Date]],'DB Details'!$A:$Q,8)=0,"",VLOOKUP(Table91213[[#This Row],[Date]],'DB Details'!$A:$Q,8))</f>
        <v>52.5</v>
      </c>
      <c r="I15" s="49">
        <f>IF(VLOOKUP(Table91213[[#This Row],[Date]],'DB Details'!$A:$Q,9)=0,"",VLOOKUP(Table91213[[#This Row],[Date]],'DB Details'!$A:$Q,9))</f>
        <v>52</v>
      </c>
      <c r="J15" s="49">
        <f>IF(VLOOKUP(Table91213[[#This Row],[Date]],'DB Details'!$A:$Q,10)=0,"",VLOOKUP(Table91213[[#This Row],[Date]],'DB Details'!$A:$Q,10))</f>
        <v>51.6</v>
      </c>
      <c r="K15" s="49">
        <f>IF(VLOOKUP(Table91213[[#This Row],[Date]],'DB Details'!$A:$Q,11)=0,"",VLOOKUP(Table91213[[#This Row],[Date]],'DB Details'!$A:$Q,11))</f>
        <v>56.5</v>
      </c>
      <c r="L15" s="47">
        <f>IF(VLOOKUP(Table91213[[#This Row],[Date]],'DB Details'!$A:$Q,12)=0,"",VLOOKUP(Table91213[[#This Row],[Date]],'DB Details'!$A:$Q,12))</f>
        <v>54.9</v>
      </c>
    </row>
    <row r="16" spans="1:12" x14ac:dyDescent="0.35">
      <c r="A16" s="50">
        <v>35916</v>
      </c>
      <c r="B16" s="47">
        <f>IF(VLOOKUP(Table91213[[#This Row],[Date]],'DB Details'!$A:$Q,2)=0,"",VLOOKUP(Table91213[[#This Row],[Date]],'DB Details'!$A:$Q,2))</f>
        <v>60.2</v>
      </c>
      <c r="C16" s="48">
        <f>IF(VLOOKUP(Table91213[[#This Row],[Date]],'DB Details'!$A:$Q,3)=0,"",VLOOKUP(Table91213[[#This Row],[Date]],'DB Details'!$A:$Q,3))</f>
        <v>52.8</v>
      </c>
      <c r="D16" s="48">
        <f>IF(VLOOKUP(Table91213[[#This Row],[Date]],'DB Details'!$A:$Q,4)=0,"",VLOOKUP(Table91213[[#This Row],[Date]],'DB Details'!$A:$Q,4))</f>
        <v>53</v>
      </c>
      <c r="E16" s="49">
        <f>IF(VLOOKUP(Table91213[[#This Row],[Date]],'DB Details'!$A:$Q,5)=0,"",VLOOKUP(Table91213[[#This Row],[Date]],'DB Details'!$A:$Q,5))</f>
        <v>47.2</v>
      </c>
      <c r="F16" s="48">
        <f>IF(VLOOKUP(Table91213[[#This Row],[Date]],'DB Details'!$A:$Q,6)=0,"",VLOOKUP(Table91213[[#This Row],[Date]],'DB Details'!$A:$Q,6))</f>
        <v>61.2</v>
      </c>
      <c r="G16" s="49">
        <f>IF(VLOOKUP(Table91213[[#This Row],[Date]],'DB Details'!$A:$Q,7)=0,"",VLOOKUP(Table91213[[#This Row],[Date]],'DB Details'!$A:$Q,7))</f>
        <v>63.5</v>
      </c>
      <c r="H16" s="49">
        <f>IF(VLOOKUP(Table91213[[#This Row],[Date]],'DB Details'!$A:$Q,8)=0,"",VLOOKUP(Table91213[[#This Row],[Date]],'DB Details'!$A:$Q,8))</f>
        <v>50</v>
      </c>
      <c r="I16" s="49">
        <f>IF(VLOOKUP(Table91213[[#This Row],[Date]],'DB Details'!$A:$Q,9)=0,"",VLOOKUP(Table91213[[#This Row],[Date]],'DB Details'!$A:$Q,9))</f>
        <v>50.5</v>
      </c>
      <c r="J16" s="49">
        <f>IF(VLOOKUP(Table91213[[#This Row],[Date]],'DB Details'!$A:$Q,10)=0,"",VLOOKUP(Table91213[[#This Row],[Date]],'DB Details'!$A:$Q,10))</f>
        <v>52.8</v>
      </c>
      <c r="K16" s="49">
        <f>IF(VLOOKUP(Table91213[[#This Row],[Date]],'DB Details'!$A:$Q,11)=0,"",VLOOKUP(Table91213[[#This Row],[Date]],'DB Details'!$A:$Q,11))</f>
        <v>48.5</v>
      </c>
      <c r="L16" s="47">
        <f>IF(VLOOKUP(Table91213[[#This Row],[Date]],'DB Details'!$A:$Q,12)=0,"",VLOOKUP(Table91213[[#This Row],[Date]],'DB Details'!$A:$Q,12))</f>
        <v>56.2</v>
      </c>
    </row>
    <row r="17" spans="1:12" x14ac:dyDescent="0.35">
      <c r="A17" s="50">
        <v>35947</v>
      </c>
      <c r="B17" s="47">
        <f>IF(VLOOKUP(Table91213[[#This Row],[Date]],'DB Details'!$A:$Q,2)=0,"",VLOOKUP(Table91213[[#This Row],[Date]],'DB Details'!$A:$Q,2))</f>
        <v>55.8</v>
      </c>
      <c r="C17" s="48">
        <f>IF(VLOOKUP(Table91213[[#This Row],[Date]],'DB Details'!$A:$Q,3)=0,"",VLOOKUP(Table91213[[#This Row],[Date]],'DB Details'!$A:$Q,3))</f>
        <v>54.5</v>
      </c>
      <c r="D17" s="48">
        <f>IF(VLOOKUP(Table91213[[#This Row],[Date]],'DB Details'!$A:$Q,4)=0,"",VLOOKUP(Table91213[[#This Row],[Date]],'DB Details'!$A:$Q,4))</f>
        <v>50</v>
      </c>
      <c r="E17" s="49">
        <f>IF(VLOOKUP(Table91213[[#This Row],[Date]],'DB Details'!$A:$Q,5)=0,"",VLOOKUP(Table91213[[#This Row],[Date]],'DB Details'!$A:$Q,5))</f>
        <v>45.5</v>
      </c>
      <c r="F17" s="48">
        <f>IF(VLOOKUP(Table91213[[#This Row],[Date]],'DB Details'!$A:$Q,6)=0,"",VLOOKUP(Table91213[[#This Row],[Date]],'DB Details'!$A:$Q,6))</f>
        <v>58.7</v>
      </c>
      <c r="G17" s="49">
        <f>IF(VLOOKUP(Table91213[[#This Row],[Date]],'DB Details'!$A:$Q,7)=0,"",VLOOKUP(Table91213[[#This Row],[Date]],'DB Details'!$A:$Q,7))</f>
        <v>69</v>
      </c>
      <c r="H17" s="49">
        <f>IF(VLOOKUP(Table91213[[#This Row],[Date]],'DB Details'!$A:$Q,8)=0,"",VLOOKUP(Table91213[[#This Row],[Date]],'DB Details'!$A:$Q,8))</f>
        <v>49.5</v>
      </c>
      <c r="I17" s="49">
        <f>IF(VLOOKUP(Table91213[[#This Row],[Date]],'DB Details'!$A:$Q,9)=0,"",VLOOKUP(Table91213[[#This Row],[Date]],'DB Details'!$A:$Q,9))</f>
        <v>53.5</v>
      </c>
      <c r="J17" s="49">
        <f>IF(VLOOKUP(Table91213[[#This Row],[Date]],'DB Details'!$A:$Q,10)=0,"",VLOOKUP(Table91213[[#This Row],[Date]],'DB Details'!$A:$Q,10))</f>
        <v>52.5</v>
      </c>
      <c r="K17" s="49">
        <f>IF(VLOOKUP(Table91213[[#This Row],[Date]],'DB Details'!$A:$Q,11)=0,"",VLOOKUP(Table91213[[#This Row],[Date]],'DB Details'!$A:$Q,11))</f>
        <v>55</v>
      </c>
      <c r="L17" s="47">
        <f>IF(VLOOKUP(Table91213[[#This Row],[Date]],'DB Details'!$A:$Q,12)=0,"",VLOOKUP(Table91213[[#This Row],[Date]],'DB Details'!$A:$Q,12))</f>
        <v>55.1</v>
      </c>
    </row>
    <row r="18" spans="1:12" x14ac:dyDescent="0.35">
      <c r="A18" s="50">
        <v>35977</v>
      </c>
      <c r="B18" s="47">
        <f>IF(VLOOKUP(Table91213[[#This Row],[Date]],'DB Details'!$A:$Q,2)=0,"",VLOOKUP(Table91213[[#This Row],[Date]],'DB Details'!$A:$Q,2))</f>
        <v>58.2</v>
      </c>
      <c r="C18" s="48">
        <f>IF(VLOOKUP(Table91213[[#This Row],[Date]],'DB Details'!$A:$Q,3)=0,"",VLOOKUP(Table91213[[#This Row],[Date]],'DB Details'!$A:$Q,3))</f>
        <v>50.9</v>
      </c>
      <c r="D18" s="48">
        <f>IF(VLOOKUP(Table91213[[#This Row],[Date]],'DB Details'!$A:$Q,4)=0,"",VLOOKUP(Table91213[[#This Row],[Date]],'DB Details'!$A:$Q,4))</f>
        <v>52</v>
      </c>
      <c r="E18" s="49">
        <f>IF(VLOOKUP(Table91213[[#This Row],[Date]],'DB Details'!$A:$Q,5)=0,"",VLOOKUP(Table91213[[#This Row],[Date]],'DB Details'!$A:$Q,5))</f>
        <v>47</v>
      </c>
      <c r="F18" s="48">
        <f>IF(VLOOKUP(Table91213[[#This Row],[Date]],'DB Details'!$A:$Q,6)=0,"",VLOOKUP(Table91213[[#This Row],[Date]],'DB Details'!$A:$Q,6))</f>
        <v>58.6</v>
      </c>
      <c r="G18" s="49">
        <f>IF(VLOOKUP(Table91213[[#This Row],[Date]],'DB Details'!$A:$Q,7)=0,"",VLOOKUP(Table91213[[#This Row],[Date]],'DB Details'!$A:$Q,7))</f>
        <v>60.5</v>
      </c>
      <c r="H18" s="49">
        <f>IF(VLOOKUP(Table91213[[#This Row],[Date]],'DB Details'!$A:$Q,8)=0,"",VLOOKUP(Table91213[[#This Row],[Date]],'DB Details'!$A:$Q,8))</f>
        <v>48</v>
      </c>
      <c r="I18" s="49">
        <f>IF(VLOOKUP(Table91213[[#This Row],[Date]],'DB Details'!$A:$Q,9)=0,"",VLOOKUP(Table91213[[#This Row],[Date]],'DB Details'!$A:$Q,9))</f>
        <v>54.5</v>
      </c>
      <c r="J18" s="49">
        <f>IF(VLOOKUP(Table91213[[#This Row],[Date]],'DB Details'!$A:$Q,10)=0,"",VLOOKUP(Table91213[[#This Row],[Date]],'DB Details'!$A:$Q,10))</f>
        <v>51.9</v>
      </c>
      <c r="K18" s="49">
        <f>IF(VLOOKUP(Table91213[[#This Row],[Date]],'DB Details'!$A:$Q,11)=0,"",VLOOKUP(Table91213[[#This Row],[Date]],'DB Details'!$A:$Q,11))</f>
        <v>51.5</v>
      </c>
      <c r="L18" s="47">
        <f>IF(VLOOKUP(Table91213[[#This Row],[Date]],'DB Details'!$A:$Q,12)=0,"",VLOOKUP(Table91213[[#This Row],[Date]],'DB Details'!$A:$Q,12))</f>
        <v>55.8</v>
      </c>
    </row>
    <row r="19" spans="1:12" x14ac:dyDescent="0.35">
      <c r="A19" s="50">
        <v>36008</v>
      </c>
      <c r="B19" s="47">
        <f>IF(VLOOKUP(Table91213[[#This Row],[Date]],'DB Details'!$A:$Q,2)=0,"",VLOOKUP(Table91213[[#This Row],[Date]],'DB Details'!$A:$Q,2))</f>
        <v>55.3</v>
      </c>
      <c r="C19" s="48">
        <f>IF(VLOOKUP(Table91213[[#This Row],[Date]],'DB Details'!$A:$Q,3)=0,"",VLOOKUP(Table91213[[#This Row],[Date]],'DB Details'!$A:$Q,3))</f>
        <v>55.2</v>
      </c>
      <c r="D19" s="48">
        <f>IF(VLOOKUP(Table91213[[#This Row],[Date]],'DB Details'!$A:$Q,4)=0,"",VLOOKUP(Table91213[[#This Row],[Date]],'DB Details'!$A:$Q,4))</f>
        <v>56.5</v>
      </c>
      <c r="E19" s="49">
        <f>IF(VLOOKUP(Table91213[[#This Row],[Date]],'DB Details'!$A:$Q,5)=0,"",VLOOKUP(Table91213[[#This Row],[Date]],'DB Details'!$A:$Q,5))</f>
        <v>47.9</v>
      </c>
      <c r="F19" s="48">
        <f>IF(VLOOKUP(Table91213[[#This Row],[Date]],'DB Details'!$A:$Q,6)=0,"",VLOOKUP(Table91213[[#This Row],[Date]],'DB Details'!$A:$Q,6))</f>
        <v>52.2</v>
      </c>
      <c r="G19" s="49">
        <f>IF(VLOOKUP(Table91213[[#This Row],[Date]],'DB Details'!$A:$Q,7)=0,"",VLOOKUP(Table91213[[#This Row],[Date]],'DB Details'!$A:$Q,7))</f>
        <v>62.5</v>
      </c>
      <c r="H19" s="49">
        <f>IF(VLOOKUP(Table91213[[#This Row],[Date]],'DB Details'!$A:$Q,8)=0,"",VLOOKUP(Table91213[[#This Row],[Date]],'DB Details'!$A:$Q,8))</f>
        <v>48</v>
      </c>
      <c r="I19" s="49">
        <f>IF(VLOOKUP(Table91213[[#This Row],[Date]],'DB Details'!$A:$Q,9)=0,"",VLOOKUP(Table91213[[#This Row],[Date]],'DB Details'!$A:$Q,9))</f>
        <v>54</v>
      </c>
      <c r="J19" s="49">
        <f>IF(VLOOKUP(Table91213[[#This Row],[Date]],'DB Details'!$A:$Q,10)=0,"",VLOOKUP(Table91213[[#This Row],[Date]],'DB Details'!$A:$Q,10))</f>
        <v>52.3</v>
      </c>
      <c r="K19" s="49">
        <f>IF(VLOOKUP(Table91213[[#This Row],[Date]],'DB Details'!$A:$Q,11)=0,"",VLOOKUP(Table91213[[#This Row],[Date]],'DB Details'!$A:$Q,11))</f>
        <v>54</v>
      </c>
      <c r="L19" s="47">
        <f>IF(VLOOKUP(Table91213[[#This Row],[Date]],'DB Details'!$A:$Q,12)=0,"",VLOOKUP(Table91213[[#This Row],[Date]],'DB Details'!$A:$Q,12))</f>
        <v>53.5</v>
      </c>
    </row>
    <row r="20" spans="1:12" x14ac:dyDescent="0.35">
      <c r="A20" s="50">
        <v>36039</v>
      </c>
      <c r="B20" s="47">
        <f>IF(VLOOKUP(Table91213[[#This Row],[Date]],'DB Details'!$A:$Q,2)=0,"",VLOOKUP(Table91213[[#This Row],[Date]],'DB Details'!$A:$Q,2))</f>
        <v>55.9</v>
      </c>
      <c r="C20" s="48">
        <f>IF(VLOOKUP(Table91213[[#This Row],[Date]],'DB Details'!$A:$Q,3)=0,"",VLOOKUP(Table91213[[#This Row],[Date]],'DB Details'!$A:$Q,3))</f>
        <v>52</v>
      </c>
      <c r="D20" s="48">
        <f>IF(VLOOKUP(Table91213[[#This Row],[Date]],'DB Details'!$A:$Q,4)=0,"",VLOOKUP(Table91213[[#This Row],[Date]],'DB Details'!$A:$Q,4))</f>
        <v>54</v>
      </c>
      <c r="E20" s="49">
        <f>IF(VLOOKUP(Table91213[[#This Row],[Date]],'DB Details'!$A:$Q,5)=0,"",VLOOKUP(Table91213[[#This Row],[Date]],'DB Details'!$A:$Q,5))</f>
        <v>46.2</v>
      </c>
      <c r="F20" s="48">
        <f>IF(VLOOKUP(Table91213[[#This Row],[Date]],'DB Details'!$A:$Q,6)=0,"",VLOOKUP(Table91213[[#This Row],[Date]],'DB Details'!$A:$Q,6))</f>
        <v>57.4</v>
      </c>
      <c r="G20" s="49">
        <f>IF(VLOOKUP(Table91213[[#This Row],[Date]],'DB Details'!$A:$Q,7)=0,"",VLOOKUP(Table91213[[#This Row],[Date]],'DB Details'!$A:$Q,7))</f>
        <v>65</v>
      </c>
      <c r="H20" s="49">
        <f>IF(VLOOKUP(Table91213[[#This Row],[Date]],'DB Details'!$A:$Q,8)=0,"",VLOOKUP(Table91213[[#This Row],[Date]],'DB Details'!$A:$Q,8))</f>
        <v>50.5</v>
      </c>
      <c r="I20" s="49">
        <f>IF(VLOOKUP(Table91213[[#This Row],[Date]],'DB Details'!$A:$Q,9)=0,"",VLOOKUP(Table91213[[#This Row],[Date]],'DB Details'!$A:$Q,9))</f>
        <v>53</v>
      </c>
      <c r="J20" s="49">
        <f>IF(VLOOKUP(Table91213[[#This Row],[Date]],'DB Details'!$A:$Q,10)=0,"",VLOOKUP(Table91213[[#This Row],[Date]],'DB Details'!$A:$Q,10))</f>
        <v>53.7</v>
      </c>
      <c r="K20" s="49">
        <f>IF(VLOOKUP(Table91213[[#This Row],[Date]],'DB Details'!$A:$Q,11)=0,"",VLOOKUP(Table91213[[#This Row],[Date]],'DB Details'!$A:$Q,11))</f>
        <v>54</v>
      </c>
      <c r="L20" s="47">
        <f>IF(VLOOKUP(Table91213[[#This Row],[Date]],'DB Details'!$A:$Q,12)=0,"",VLOOKUP(Table91213[[#This Row],[Date]],'DB Details'!$A:$Q,12))</f>
        <v>55</v>
      </c>
    </row>
    <row r="21" spans="1:12" x14ac:dyDescent="0.35">
      <c r="A21" s="50">
        <v>36069</v>
      </c>
      <c r="B21" s="47">
        <f>IF(VLOOKUP(Table91213[[#This Row],[Date]],'DB Details'!$A:$Q,2)=0,"",VLOOKUP(Table91213[[#This Row],[Date]],'DB Details'!$A:$Q,2))</f>
        <v>54.7</v>
      </c>
      <c r="C21" s="48">
        <f>IF(VLOOKUP(Table91213[[#This Row],[Date]],'DB Details'!$A:$Q,3)=0,"",VLOOKUP(Table91213[[#This Row],[Date]],'DB Details'!$A:$Q,3))</f>
        <v>48.8</v>
      </c>
      <c r="D21" s="48">
        <f>IF(VLOOKUP(Table91213[[#This Row],[Date]],'DB Details'!$A:$Q,4)=0,"",VLOOKUP(Table91213[[#This Row],[Date]],'DB Details'!$A:$Q,4))</f>
        <v>49</v>
      </c>
      <c r="E21" s="49">
        <f>IF(VLOOKUP(Table91213[[#This Row],[Date]],'DB Details'!$A:$Q,5)=0,"",VLOOKUP(Table91213[[#This Row],[Date]],'DB Details'!$A:$Q,5))</f>
        <v>49.3</v>
      </c>
      <c r="F21" s="48">
        <f>IF(VLOOKUP(Table91213[[#This Row],[Date]],'DB Details'!$A:$Q,6)=0,"",VLOOKUP(Table91213[[#This Row],[Date]],'DB Details'!$A:$Q,6))</f>
        <v>54</v>
      </c>
      <c r="G21" s="49">
        <f>IF(VLOOKUP(Table91213[[#This Row],[Date]],'DB Details'!$A:$Q,7)=0,"",VLOOKUP(Table91213[[#This Row],[Date]],'DB Details'!$A:$Q,7))</f>
        <v>65.5</v>
      </c>
      <c r="H21" s="49">
        <f>IF(VLOOKUP(Table91213[[#This Row],[Date]],'DB Details'!$A:$Q,8)=0,"",VLOOKUP(Table91213[[#This Row],[Date]],'DB Details'!$A:$Q,8))</f>
        <v>48.5</v>
      </c>
      <c r="I21" s="49">
        <f>IF(VLOOKUP(Table91213[[#This Row],[Date]],'DB Details'!$A:$Q,9)=0,"",VLOOKUP(Table91213[[#This Row],[Date]],'DB Details'!$A:$Q,9))</f>
        <v>53.5</v>
      </c>
      <c r="J21" s="49">
        <f>IF(VLOOKUP(Table91213[[#This Row],[Date]],'DB Details'!$A:$Q,10)=0,"",VLOOKUP(Table91213[[#This Row],[Date]],'DB Details'!$A:$Q,10))</f>
        <v>53.1</v>
      </c>
      <c r="K21" s="49">
        <f>IF(VLOOKUP(Table91213[[#This Row],[Date]],'DB Details'!$A:$Q,11)=0,"",VLOOKUP(Table91213[[#This Row],[Date]],'DB Details'!$A:$Q,11))</f>
        <v>48.5</v>
      </c>
      <c r="L21" s="47">
        <f>IF(VLOOKUP(Table91213[[#This Row],[Date]],'DB Details'!$A:$Q,12)=0,"",VLOOKUP(Table91213[[#This Row],[Date]],'DB Details'!$A:$Q,12))</f>
        <v>53.8</v>
      </c>
    </row>
    <row r="22" spans="1:12" x14ac:dyDescent="0.35">
      <c r="A22" s="50">
        <v>36100</v>
      </c>
      <c r="B22" s="47">
        <f>IF(VLOOKUP(Table91213[[#This Row],[Date]],'DB Details'!$A:$Q,2)=0,"",VLOOKUP(Table91213[[#This Row],[Date]],'DB Details'!$A:$Q,2))</f>
        <v>52.7</v>
      </c>
      <c r="C22" s="48">
        <f>IF(VLOOKUP(Table91213[[#This Row],[Date]],'DB Details'!$A:$Q,3)=0,"",VLOOKUP(Table91213[[#This Row],[Date]],'DB Details'!$A:$Q,3))</f>
        <v>50.7</v>
      </c>
      <c r="D22" s="48">
        <f>IF(VLOOKUP(Table91213[[#This Row],[Date]],'DB Details'!$A:$Q,4)=0,"",VLOOKUP(Table91213[[#This Row],[Date]],'DB Details'!$A:$Q,4))</f>
        <v>46.5</v>
      </c>
      <c r="E22" s="49">
        <f>IF(VLOOKUP(Table91213[[#This Row],[Date]],'DB Details'!$A:$Q,5)=0,"",VLOOKUP(Table91213[[#This Row],[Date]],'DB Details'!$A:$Q,5))</f>
        <v>47.3</v>
      </c>
      <c r="F22" s="48">
        <f>IF(VLOOKUP(Table91213[[#This Row],[Date]],'DB Details'!$A:$Q,6)=0,"",VLOOKUP(Table91213[[#This Row],[Date]],'DB Details'!$A:$Q,6))</f>
        <v>54.9</v>
      </c>
      <c r="G22" s="49">
        <f>IF(VLOOKUP(Table91213[[#This Row],[Date]],'DB Details'!$A:$Q,7)=0,"",VLOOKUP(Table91213[[#This Row],[Date]],'DB Details'!$A:$Q,7))</f>
        <v>63</v>
      </c>
      <c r="H22" s="49">
        <f>IF(VLOOKUP(Table91213[[#This Row],[Date]],'DB Details'!$A:$Q,8)=0,"",VLOOKUP(Table91213[[#This Row],[Date]],'DB Details'!$A:$Q,8))</f>
        <v>50</v>
      </c>
      <c r="I22" s="49">
        <f>IF(VLOOKUP(Table91213[[#This Row],[Date]],'DB Details'!$A:$Q,9)=0,"",VLOOKUP(Table91213[[#This Row],[Date]],'DB Details'!$A:$Q,9))</f>
        <v>50</v>
      </c>
      <c r="J22" s="49">
        <f>IF(VLOOKUP(Table91213[[#This Row],[Date]],'DB Details'!$A:$Q,10)=0,"",VLOOKUP(Table91213[[#This Row],[Date]],'DB Details'!$A:$Q,10))</f>
        <v>52.6</v>
      </c>
      <c r="K22" s="49">
        <f>IF(VLOOKUP(Table91213[[#This Row],[Date]],'DB Details'!$A:$Q,11)=0,"",VLOOKUP(Table91213[[#This Row],[Date]],'DB Details'!$A:$Q,11))</f>
        <v>45</v>
      </c>
      <c r="L22" s="47">
        <f>IF(VLOOKUP(Table91213[[#This Row],[Date]],'DB Details'!$A:$Q,12)=0,"",VLOOKUP(Table91213[[#This Row],[Date]],'DB Details'!$A:$Q,12))</f>
        <v>52.6</v>
      </c>
    </row>
    <row r="23" spans="1:12" x14ac:dyDescent="0.35">
      <c r="A23" s="50">
        <v>36130</v>
      </c>
      <c r="B23" s="47">
        <f>IF(VLOOKUP(Table91213[[#This Row],[Date]],'DB Details'!$A:$Q,2)=0,"",VLOOKUP(Table91213[[#This Row],[Date]],'DB Details'!$A:$Q,2))</f>
        <v>53.5</v>
      </c>
      <c r="C23" s="48">
        <f>IF(VLOOKUP(Table91213[[#This Row],[Date]],'DB Details'!$A:$Q,3)=0,"",VLOOKUP(Table91213[[#This Row],[Date]],'DB Details'!$A:$Q,3))</f>
        <v>50.3</v>
      </c>
      <c r="D23" s="48">
        <f>IF(VLOOKUP(Table91213[[#This Row],[Date]],'DB Details'!$A:$Q,4)=0,"",VLOOKUP(Table91213[[#This Row],[Date]],'DB Details'!$A:$Q,4))</f>
        <v>47</v>
      </c>
      <c r="E23" s="49">
        <f>IF(VLOOKUP(Table91213[[#This Row],[Date]],'DB Details'!$A:$Q,5)=0,"",VLOOKUP(Table91213[[#This Row],[Date]],'DB Details'!$A:$Q,5))</f>
        <v>48.5</v>
      </c>
      <c r="F23" s="48">
        <f>IF(VLOOKUP(Table91213[[#This Row],[Date]],'DB Details'!$A:$Q,6)=0,"",VLOOKUP(Table91213[[#This Row],[Date]],'DB Details'!$A:$Q,6))</f>
        <v>54.2</v>
      </c>
      <c r="G23" s="49">
        <f>IF(VLOOKUP(Table91213[[#This Row],[Date]],'DB Details'!$A:$Q,7)=0,"",VLOOKUP(Table91213[[#This Row],[Date]],'DB Details'!$A:$Q,7))</f>
        <v>64.5</v>
      </c>
      <c r="H23" s="49">
        <f>IF(VLOOKUP(Table91213[[#This Row],[Date]],'DB Details'!$A:$Q,8)=0,"",VLOOKUP(Table91213[[#This Row],[Date]],'DB Details'!$A:$Q,8))</f>
        <v>50.5</v>
      </c>
      <c r="I23" s="49">
        <f>IF(VLOOKUP(Table91213[[#This Row],[Date]],'DB Details'!$A:$Q,9)=0,"",VLOOKUP(Table91213[[#This Row],[Date]],'DB Details'!$A:$Q,9))</f>
        <v>53</v>
      </c>
      <c r="J23" s="49">
        <f>IF(VLOOKUP(Table91213[[#This Row],[Date]],'DB Details'!$A:$Q,10)=0,"",VLOOKUP(Table91213[[#This Row],[Date]],'DB Details'!$A:$Q,10))</f>
        <v>50.9</v>
      </c>
      <c r="K23" s="49">
        <f>IF(VLOOKUP(Table91213[[#This Row],[Date]],'DB Details'!$A:$Q,11)=0,"",VLOOKUP(Table91213[[#This Row],[Date]],'DB Details'!$A:$Q,11))</f>
        <v>49</v>
      </c>
      <c r="L23" s="47">
        <f>IF(VLOOKUP(Table91213[[#This Row],[Date]],'DB Details'!$A:$Q,12)=0,"",VLOOKUP(Table91213[[#This Row],[Date]],'DB Details'!$A:$Q,12))</f>
        <v>52.9</v>
      </c>
    </row>
    <row r="24" spans="1:12" x14ac:dyDescent="0.35">
      <c r="A24" s="50">
        <v>36161</v>
      </c>
      <c r="B24" s="47">
        <f>IF(VLOOKUP(Table91213[[#This Row],[Date]],'DB Details'!$A:$Q,2)=0,"",VLOOKUP(Table91213[[#This Row],[Date]],'DB Details'!$A:$Q,2))</f>
        <v>57.5</v>
      </c>
      <c r="C24" s="48">
        <f>IF(VLOOKUP(Table91213[[#This Row],[Date]],'DB Details'!$A:$Q,3)=0,"",VLOOKUP(Table91213[[#This Row],[Date]],'DB Details'!$A:$Q,3))</f>
        <v>53.1</v>
      </c>
      <c r="D24" s="48">
        <f>IF(VLOOKUP(Table91213[[#This Row],[Date]],'DB Details'!$A:$Q,4)=0,"",VLOOKUP(Table91213[[#This Row],[Date]],'DB Details'!$A:$Q,4))</f>
        <v>49</v>
      </c>
      <c r="E24" s="49">
        <f>IF(VLOOKUP(Table91213[[#This Row],[Date]],'DB Details'!$A:$Q,5)=0,"",VLOOKUP(Table91213[[#This Row],[Date]],'DB Details'!$A:$Q,5))</f>
        <v>47</v>
      </c>
      <c r="F24" s="48">
        <f>IF(VLOOKUP(Table91213[[#This Row],[Date]],'DB Details'!$A:$Q,6)=0,"",VLOOKUP(Table91213[[#This Row],[Date]],'DB Details'!$A:$Q,6))</f>
        <v>58.8</v>
      </c>
      <c r="G24" s="49">
        <f>IF(VLOOKUP(Table91213[[#This Row],[Date]],'DB Details'!$A:$Q,7)=0,"",VLOOKUP(Table91213[[#This Row],[Date]],'DB Details'!$A:$Q,7))</f>
        <v>61</v>
      </c>
      <c r="H24" s="49">
        <f>IF(VLOOKUP(Table91213[[#This Row],[Date]],'DB Details'!$A:$Q,8)=0,"",VLOOKUP(Table91213[[#This Row],[Date]],'DB Details'!$A:$Q,8))</f>
        <v>47</v>
      </c>
      <c r="I24" s="49">
        <f>IF(VLOOKUP(Table91213[[#This Row],[Date]],'DB Details'!$A:$Q,9)=0,"",VLOOKUP(Table91213[[#This Row],[Date]],'DB Details'!$A:$Q,9))</f>
        <v>54.5</v>
      </c>
      <c r="J24" s="49">
        <f>IF(VLOOKUP(Table91213[[#This Row],[Date]],'DB Details'!$A:$Q,10)=0,"",VLOOKUP(Table91213[[#This Row],[Date]],'DB Details'!$A:$Q,10))</f>
        <v>51.4</v>
      </c>
      <c r="K24" s="49">
        <f>IF(VLOOKUP(Table91213[[#This Row],[Date]],'DB Details'!$A:$Q,11)=0,"",VLOOKUP(Table91213[[#This Row],[Date]],'DB Details'!$A:$Q,11))</f>
        <v>46.5</v>
      </c>
      <c r="L24" s="47">
        <f>IF(VLOOKUP(Table91213[[#This Row],[Date]],'DB Details'!$A:$Q,12)=0,"",VLOOKUP(Table91213[[#This Row],[Date]],'DB Details'!$A:$Q,12))</f>
        <v>55.6</v>
      </c>
    </row>
    <row r="25" spans="1:12" x14ac:dyDescent="0.35">
      <c r="A25" s="50">
        <v>36192</v>
      </c>
      <c r="B25" s="47">
        <f>IF(VLOOKUP(Table91213[[#This Row],[Date]],'DB Details'!$A:$Q,2)=0,"",VLOOKUP(Table91213[[#This Row],[Date]],'DB Details'!$A:$Q,2))</f>
        <v>56.6</v>
      </c>
      <c r="C25" s="48">
        <f>IF(VLOOKUP(Table91213[[#This Row],[Date]],'DB Details'!$A:$Q,3)=0,"",VLOOKUP(Table91213[[#This Row],[Date]],'DB Details'!$A:$Q,3))</f>
        <v>52.7</v>
      </c>
      <c r="D25" s="48">
        <f>IF(VLOOKUP(Table91213[[#This Row],[Date]],'DB Details'!$A:$Q,4)=0,"",VLOOKUP(Table91213[[#This Row],[Date]],'DB Details'!$A:$Q,4))</f>
        <v>51.5</v>
      </c>
      <c r="E25" s="49">
        <f>IF(VLOOKUP(Table91213[[#This Row],[Date]],'DB Details'!$A:$Q,5)=0,"",VLOOKUP(Table91213[[#This Row],[Date]],'DB Details'!$A:$Q,5))</f>
        <v>45.5</v>
      </c>
      <c r="F25" s="48">
        <f>IF(VLOOKUP(Table91213[[#This Row],[Date]],'DB Details'!$A:$Q,6)=0,"",VLOOKUP(Table91213[[#This Row],[Date]],'DB Details'!$A:$Q,6))</f>
        <v>57.3</v>
      </c>
      <c r="G25" s="49">
        <f>IF(VLOOKUP(Table91213[[#This Row],[Date]],'DB Details'!$A:$Q,7)=0,"",VLOOKUP(Table91213[[#This Row],[Date]],'DB Details'!$A:$Q,7))</f>
        <v>60.5</v>
      </c>
      <c r="H25" s="49">
        <f>IF(VLOOKUP(Table91213[[#This Row],[Date]],'DB Details'!$A:$Q,8)=0,"",VLOOKUP(Table91213[[#This Row],[Date]],'DB Details'!$A:$Q,8))</f>
        <v>49.5</v>
      </c>
      <c r="I25" s="49">
        <f>IF(VLOOKUP(Table91213[[#This Row],[Date]],'DB Details'!$A:$Q,9)=0,"",VLOOKUP(Table91213[[#This Row],[Date]],'DB Details'!$A:$Q,9))</f>
        <v>51.5</v>
      </c>
      <c r="J25" s="49">
        <f>IF(VLOOKUP(Table91213[[#This Row],[Date]],'DB Details'!$A:$Q,10)=0,"",VLOOKUP(Table91213[[#This Row],[Date]],'DB Details'!$A:$Q,10))</f>
        <v>52.2</v>
      </c>
      <c r="K25" s="49">
        <f>IF(VLOOKUP(Table91213[[#This Row],[Date]],'DB Details'!$A:$Q,11)=0,"",VLOOKUP(Table91213[[#This Row],[Date]],'DB Details'!$A:$Q,11))</f>
        <v>47.5</v>
      </c>
      <c r="L25" s="47">
        <f>IF(VLOOKUP(Table91213[[#This Row],[Date]],'DB Details'!$A:$Q,12)=0,"",VLOOKUP(Table91213[[#This Row],[Date]],'DB Details'!$A:$Q,12))</f>
        <v>54.4</v>
      </c>
    </row>
    <row r="26" spans="1:12" x14ac:dyDescent="0.35">
      <c r="A26" s="50">
        <v>36220</v>
      </c>
      <c r="B26" s="47">
        <f>IF(VLOOKUP(Table91213[[#This Row],[Date]],'DB Details'!$A:$Q,2)=0,"",VLOOKUP(Table91213[[#This Row],[Date]],'DB Details'!$A:$Q,2))</f>
        <v>58.1</v>
      </c>
      <c r="C26" s="48">
        <f>IF(VLOOKUP(Table91213[[#This Row],[Date]],'DB Details'!$A:$Q,3)=0,"",VLOOKUP(Table91213[[#This Row],[Date]],'DB Details'!$A:$Q,3))</f>
        <v>55.3</v>
      </c>
      <c r="D26" s="48">
        <f>IF(VLOOKUP(Table91213[[#This Row],[Date]],'DB Details'!$A:$Q,4)=0,"",VLOOKUP(Table91213[[#This Row],[Date]],'DB Details'!$A:$Q,4))</f>
        <v>55.5</v>
      </c>
      <c r="E26" s="49">
        <f>IF(VLOOKUP(Table91213[[#This Row],[Date]],'DB Details'!$A:$Q,5)=0,"",VLOOKUP(Table91213[[#This Row],[Date]],'DB Details'!$A:$Q,5))</f>
        <v>48.9</v>
      </c>
      <c r="F26" s="48">
        <f>IF(VLOOKUP(Table91213[[#This Row],[Date]],'DB Details'!$A:$Q,6)=0,"",VLOOKUP(Table91213[[#This Row],[Date]],'DB Details'!$A:$Q,6))</f>
        <v>59.5</v>
      </c>
      <c r="G26" s="49">
        <f>IF(VLOOKUP(Table91213[[#This Row],[Date]],'DB Details'!$A:$Q,7)=0,"",VLOOKUP(Table91213[[#This Row],[Date]],'DB Details'!$A:$Q,7))</f>
        <v>61.5</v>
      </c>
      <c r="H26" s="49">
        <f>IF(VLOOKUP(Table91213[[#This Row],[Date]],'DB Details'!$A:$Q,8)=0,"",VLOOKUP(Table91213[[#This Row],[Date]],'DB Details'!$A:$Q,8))</f>
        <v>47.5</v>
      </c>
      <c r="I26" s="49">
        <f>IF(VLOOKUP(Table91213[[#This Row],[Date]],'DB Details'!$A:$Q,9)=0,"",VLOOKUP(Table91213[[#This Row],[Date]],'DB Details'!$A:$Q,9))</f>
        <v>52.5</v>
      </c>
      <c r="J26" s="49">
        <f>IF(VLOOKUP(Table91213[[#This Row],[Date]],'DB Details'!$A:$Q,10)=0,"",VLOOKUP(Table91213[[#This Row],[Date]],'DB Details'!$A:$Q,10))</f>
        <v>51.1</v>
      </c>
      <c r="K26" s="49">
        <f>IF(VLOOKUP(Table91213[[#This Row],[Date]],'DB Details'!$A:$Q,11)=0,"",VLOOKUP(Table91213[[#This Row],[Date]],'DB Details'!$A:$Q,11))</f>
        <v>58.5</v>
      </c>
      <c r="L26" s="47">
        <f>IF(VLOOKUP(Table91213[[#This Row],[Date]],'DB Details'!$A:$Q,12)=0,"",VLOOKUP(Table91213[[#This Row],[Date]],'DB Details'!$A:$Q,12))</f>
        <v>55.3</v>
      </c>
    </row>
    <row r="27" spans="1:12" x14ac:dyDescent="0.35">
      <c r="A27" s="50">
        <v>36251</v>
      </c>
      <c r="B27" s="47">
        <f>IF(VLOOKUP(Table91213[[#This Row],[Date]],'DB Details'!$A:$Q,2)=0,"",VLOOKUP(Table91213[[#This Row],[Date]],'DB Details'!$A:$Q,2))</f>
        <v>58.6</v>
      </c>
      <c r="C27" s="48">
        <f>IF(VLOOKUP(Table91213[[#This Row],[Date]],'DB Details'!$A:$Q,3)=0,"",VLOOKUP(Table91213[[#This Row],[Date]],'DB Details'!$A:$Q,3))</f>
        <v>52.6</v>
      </c>
      <c r="D27" s="48">
        <f>IF(VLOOKUP(Table91213[[#This Row],[Date]],'DB Details'!$A:$Q,4)=0,"",VLOOKUP(Table91213[[#This Row],[Date]],'DB Details'!$A:$Q,4))</f>
        <v>51</v>
      </c>
      <c r="E27" s="49">
        <f>IF(VLOOKUP(Table91213[[#This Row],[Date]],'DB Details'!$A:$Q,5)=0,"",VLOOKUP(Table91213[[#This Row],[Date]],'DB Details'!$A:$Q,5))</f>
        <v>51.4</v>
      </c>
      <c r="F27" s="48">
        <f>IF(VLOOKUP(Table91213[[#This Row],[Date]],'DB Details'!$A:$Q,6)=0,"",VLOOKUP(Table91213[[#This Row],[Date]],'DB Details'!$A:$Q,6))</f>
        <v>59.8</v>
      </c>
      <c r="G27" s="49">
        <f>IF(VLOOKUP(Table91213[[#This Row],[Date]],'DB Details'!$A:$Q,7)=0,"",VLOOKUP(Table91213[[#This Row],[Date]],'DB Details'!$A:$Q,7))</f>
        <v>63</v>
      </c>
      <c r="H27" s="49">
        <f>IF(VLOOKUP(Table91213[[#This Row],[Date]],'DB Details'!$A:$Q,8)=0,"",VLOOKUP(Table91213[[#This Row],[Date]],'DB Details'!$A:$Q,8))</f>
        <v>48.5</v>
      </c>
      <c r="I27" s="49">
        <f>IF(VLOOKUP(Table91213[[#This Row],[Date]],'DB Details'!$A:$Q,9)=0,"",VLOOKUP(Table91213[[#This Row],[Date]],'DB Details'!$A:$Q,9))</f>
        <v>51.5</v>
      </c>
      <c r="J27" s="49">
        <f>IF(VLOOKUP(Table91213[[#This Row],[Date]],'DB Details'!$A:$Q,10)=0,"",VLOOKUP(Table91213[[#This Row],[Date]],'DB Details'!$A:$Q,10))</f>
        <v>52</v>
      </c>
      <c r="K27" s="49">
        <f>IF(VLOOKUP(Table91213[[#This Row],[Date]],'DB Details'!$A:$Q,11)=0,"",VLOOKUP(Table91213[[#This Row],[Date]],'DB Details'!$A:$Q,11))</f>
        <v>56.5</v>
      </c>
      <c r="L27" s="47">
        <f>IF(VLOOKUP(Table91213[[#This Row],[Date]],'DB Details'!$A:$Q,12)=0,"",VLOOKUP(Table91213[[#This Row],[Date]],'DB Details'!$A:$Q,12))</f>
        <v>55.5</v>
      </c>
    </row>
    <row r="28" spans="1:12" x14ac:dyDescent="0.35">
      <c r="A28" s="50">
        <v>36281</v>
      </c>
      <c r="B28" s="47">
        <f>IF(VLOOKUP(Table91213[[#This Row],[Date]],'DB Details'!$A:$Q,2)=0,"",VLOOKUP(Table91213[[#This Row],[Date]],'DB Details'!$A:$Q,2))</f>
        <v>56.4</v>
      </c>
      <c r="C28" s="48">
        <f>IF(VLOOKUP(Table91213[[#This Row],[Date]],'DB Details'!$A:$Q,3)=0,"",VLOOKUP(Table91213[[#This Row],[Date]],'DB Details'!$A:$Q,3))</f>
        <v>54.4</v>
      </c>
      <c r="D28" s="48">
        <f>IF(VLOOKUP(Table91213[[#This Row],[Date]],'DB Details'!$A:$Q,4)=0,"",VLOOKUP(Table91213[[#This Row],[Date]],'DB Details'!$A:$Q,4))</f>
        <v>50.5</v>
      </c>
      <c r="E28" s="49">
        <f>IF(VLOOKUP(Table91213[[#This Row],[Date]],'DB Details'!$A:$Q,5)=0,"",VLOOKUP(Table91213[[#This Row],[Date]],'DB Details'!$A:$Q,5))</f>
        <v>52.9</v>
      </c>
      <c r="F28" s="48">
        <f>IF(VLOOKUP(Table91213[[#This Row],[Date]],'DB Details'!$A:$Q,6)=0,"",VLOOKUP(Table91213[[#This Row],[Date]],'DB Details'!$A:$Q,6))</f>
        <v>57.7</v>
      </c>
      <c r="G28" s="49">
        <f>IF(VLOOKUP(Table91213[[#This Row],[Date]],'DB Details'!$A:$Q,7)=0,"",VLOOKUP(Table91213[[#This Row],[Date]],'DB Details'!$A:$Q,7))</f>
        <v>61</v>
      </c>
      <c r="H28" s="49">
        <f>IF(VLOOKUP(Table91213[[#This Row],[Date]],'DB Details'!$A:$Q,8)=0,"",VLOOKUP(Table91213[[#This Row],[Date]],'DB Details'!$A:$Q,8))</f>
        <v>51.5</v>
      </c>
      <c r="I28" s="49">
        <f>IF(VLOOKUP(Table91213[[#This Row],[Date]],'DB Details'!$A:$Q,9)=0,"",VLOOKUP(Table91213[[#This Row],[Date]],'DB Details'!$A:$Q,9))</f>
        <v>54</v>
      </c>
      <c r="J28" s="49">
        <f>IF(VLOOKUP(Table91213[[#This Row],[Date]],'DB Details'!$A:$Q,10)=0,"",VLOOKUP(Table91213[[#This Row],[Date]],'DB Details'!$A:$Q,10))</f>
        <v>52.9</v>
      </c>
      <c r="K28" s="49">
        <f>IF(VLOOKUP(Table91213[[#This Row],[Date]],'DB Details'!$A:$Q,11)=0,"",VLOOKUP(Table91213[[#This Row],[Date]],'DB Details'!$A:$Q,11))</f>
        <v>58.5</v>
      </c>
      <c r="L28" s="47">
        <f>IF(VLOOKUP(Table91213[[#This Row],[Date]],'DB Details'!$A:$Q,12)=0,"",VLOOKUP(Table91213[[#This Row],[Date]],'DB Details'!$A:$Q,12))</f>
        <v>55.3</v>
      </c>
    </row>
    <row r="29" spans="1:12" x14ac:dyDescent="0.35">
      <c r="A29" s="50">
        <v>36312</v>
      </c>
      <c r="B29" s="47">
        <f>IF(VLOOKUP(Table91213[[#This Row],[Date]],'DB Details'!$A:$Q,2)=0,"",VLOOKUP(Table91213[[#This Row],[Date]],'DB Details'!$A:$Q,2))</f>
        <v>59.7</v>
      </c>
      <c r="C29" s="48">
        <f>IF(VLOOKUP(Table91213[[#This Row],[Date]],'DB Details'!$A:$Q,3)=0,"",VLOOKUP(Table91213[[#This Row],[Date]],'DB Details'!$A:$Q,3))</f>
        <v>51.9</v>
      </c>
      <c r="D29" s="48">
        <f>IF(VLOOKUP(Table91213[[#This Row],[Date]],'DB Details'!$A:$Q,4)=0,"",VLOOKUP(Table91213[[#This Row],[Date]],'DB Details'!$A:$Q,4))</f>
        <v>52</v>
      </c>
      <c r="E29" s="49">
        <f>IF(VLOOKUP(Table91213[[#This Row],[Date]],'DB Details'!$A:$Q,5)=0,"",VLOOKUP(Table91213[[#This Row],[Date]],'DB Details'!$A:$Q,5))</f>
        <v>53.2</v>
      </c>
      <c r="F29" s="48">
        <f>IF(VLOOKUP(Table91213[[#This Row],[Date]],'DB Details'!$A:$Q,6)=0,"",VLOOKUP(Table91213[[#This Row],[Date]],'DB Details'!$A:$Q,6))</f>
        <v>57.9</v>
      </c>
      <c r="G29" s="49">
        <f>IF(VLOOKUP(Table91213[[#This Row],[Date]],'DB Details'!$A:$Q,7)=0,"",VLOOKUP(Table91213[[#This Row],[Date]],'DB Details'!$A:$Q,7))</f>
        <v>61</v>
      </c>
      <c r="H29" s="49">
        <f>IF(VLOOKUP(Table91213[[#This Row],[Date]],'DB Details'!$A:$Q,8)=0,"",VLOOKUP(Table91213[[#This Row],[Date]],'DB Details'!$A:$Q,8))</f>
        <v>49.5</v>
      </c>
      <c r="I29" s="49">
        <f>IF(VLOOKUP(Table91213[[#This Row],[Date]],'DB Details'!$A:$Q,9)=0,"",VLOOKUP(Table91213[[#This Row],[Date]],'DB Details'!$A:$Q,9))</f>
        <v>54</v>
      </c>
      <c r="J29" s="49">
        <f>IF(VLOOKUP(Table91213[[#This Row],[Date]],'DB Details'!$A:$Q,10)=0,"",VLOOKUP(Table91213[[#This Row],[Date]],'DB Details'!$A:$Q,10))</f>
        <v>55.3</v>
      </c>
      <c r="K29" s="49">
        <f>IF(VLOOKUP(Table91213[[#This Row],[Date]],'DB Details'!$A:$Q,11)=0,"",VLOOKUP(Table91213[[#This Row],[Date]],'DB Details'!$A:$Q,11))</f>
        <v>53.5</v>
      </c>
      <c r="L29" s="47">
        <f>IF(VLOOKUP(Table91213[[#This Row],[Date]],'DB Details'!$A:$Q,12)=0,"",VLOOKUP(Table91213[[#This Row],[Date]],'DB Details'!$A:$Q,12))</f>
        <v>56.7</v>
      </c>
    </row>
    <row r="30" spans="1:12" x14ac:dyDescent="0.35">
      <c r="A30" s="50">
        <v>36342</v>
      </c>
      <c r="B30" s="47">
        <f>IF(VLOOKUP(Table91213[[#This Row],[Date]],'DB Details'!$A:$Q,2)=0,"",VLOOKUP(Table91213[[#This Row],[Date]],'DB Details'!$A:$Q,2))</f>
        <v>58.1</v>
      </c>
      <c r="C30" s="48">
        <f>IF(VLOOKUP(Table91213[[#This Row],[Date]],'DB Details'!$A:$Q,3)=0,"",VLOOKUP(Table91213[[#This Row],[Date]],'DB Details'!$A:$Q,3))</f>
        <v>55.9</v>
      </c>
      <c r="D30" s="48">
        <f>IF(VLOOKUP(Table91213[[#This Row],[Date]],'DB Details'!$A:$Q,4)=0,"",VLOOKUP(Table91213[[#This Row],[Date]],'DB Details'!$A:$Q,4))</f>
        <v>50</v>
      </c>
      <c r="E30" s="49">
        <f>IF(VLOOKUP(Table91213[[#This Row],[Date]],'DB Details'!$A:$Q,5)=0,"",VLOOKUP(Table91213[[#This Row],[Date]],'DB Details'!$A:$Q,5))</f>
        <v>57.7</v>
      </c>
      <c r="F30" s="48">
        <f>IF(VLOOKUP(Table91213[[#This Row],[Date]],'DB Details'!$A:$Q,6)=0,"",VLOOKUP(Table91213[[#This Row],[Date]],'DB Details'!$A:$Q,6))</f>
        <v>60.7</v>
      </c>
      <c r="G30" s="49">
        <f>IF(VLOOKUP(Table91213[[#This Row],[Date]],'DB Details'!$A:$Q,7)=0,"",VLOOKUP(Table91213[[#This Row],[Date]],'DB Details'!$A:$Q,7))</f>
        <v>61</v>
      </c>
      <c r="H30" s="49">
        <f>IF(VLOOKUP(Table91213[[#This Row],[Date]],'DB Details'!$A:$Q,8)=0,"",VLOOKUP(Table91213[[#This Row],[Date]],'DB Details'!$A:$Q,8))</f>
        <v>49.5</v>
      </c>
      <c r="I30" s="49">
        <f>IF(VLOOKUP(Table91213[[#This Row],[Date]],'DB Details'!$A:$Q,9)=0,"",VLOOKUP(Table91213[[#This Row],[Date]],'DB Details'!$A:$Q,9))</f>
        <v>52.5</v>
      </c>
      <c r="J30" s="49">
        <f>IF(VLOOKUP(Table91213[[#This Row],[Date]],'DB Details'!$A:$Q,10)=0,"",VLOOKUP(Table91213[[#This Row],[Date]],'DB Details'!$A:$Q,10))</f>
        <v>53.4</v>
      </c>
      <c r="K30" s="49">
        <f>IF(VLOOKUP(Table91213[[#This Row],[Date]],'DB Details'!$A:$Q,11)=0,"",VLOOKUP(Table91213[[#This Row],[Date]],'DB Details'!$A:$Q,11))</f>
        <v>57.5</v>
      </c>
      <c r="L30" s="47">
        <f>IF(VLOOKUP(Table91213[[#This Row],[Date]],'DB Details'!$A:$Q,12)=0,"",VLOOKUP(Table91213[[#This Row],[Date]],'DB Details'!$A:$Q,12))</f>
        <v>56.2</v>
      </c>
    </row>
    <row r="31" spans="1:12" x14ac:dyDescent="0.35">
      <c r="A31" s="50">
        <v>36373</v>
      </c>
      <c r="B31" s="47">
        <f>IF(VLOOKUP(Table91213[[#This Row],[Date]],'DB Details'!$A:$Q,2)=0,"",VLOOKUP(Table91213[[#This Row],[Date]],'DB Details'!$A:$Q,2))</f>
        <v>59.6</v>
      </c>
      <c r="C31" s="48">
        <f>IF(VLOOKUP(Table91213[[#This Row],[Date]],'DB Details'!$A:$Q,3)=0,"",VLOOKUP(Table91213[[#This Row],[Date]],'DB Details'!$A:$Q,3))</f>
        <v>52.3</v>
      </c>
      <c r="D31" s="48">
        <f>IF(VLOOKUP(Table91213[[#This Row],[Date]],'DB Details'!$A:$Q,4)=0,"",VLOOKUP(Table91213[[#This Row],[Date]],'DB Details'!$A:$Q,4))</f>
        <v>51.5</v>
      </c>
      <c r="E31" s="49">
        <f>IF(VLOOKUP(Table91213[[#This Row],[Date]],'DB Details'!$A:$Q,5)=0,"",VLOOKUP(Table91213[[#This Row],[Date]],'DB Details'!$A:$Q,5))</f>
        <v>58.9</v>
      </c>
      <c r="F31" s="48">
        <f>IF(VLOOKUP(Table91213[[#This Row],[Date]],'DB Details'!$A:$Q,6)=0,"",VLOOKUP(Table91213[[#This Row],[Date]],'DB Details'!$A:$Q,6))</f>
        <v>60.3</v>
      </c>
      <c r="G31" s="49">
        <f>IF(VLOOKUP(Table91213[[#This Row],[Date]],'DB Details'!$A:$Q,7)=0,"",VLOOKUP(Table91213[[#This Row],[Date]],'DB Details'!$A:$Q,7))</f>
        <v>63</v>
      </c>
      <c r="H31" s="49">
        <f>IF(VLOOKUP(Table91213[[#This Row],[Date]],'DB Details'!$A:$Q,8)=0,"",VLOOKUP(Table91213[[#This Row],[Date]],'DB Details'!$A:$Q,8))</f>
        <v>52</v>
      </c>
      <c r="I31" s="49">
        <f>IF(VLOOKUP(Table91213[[#This Row],[Date]],'DB Details'!$A:$Q,9)=0,"",VLOOKUP(Table91213[[#This Row],[Date]],'DB Details'!$A:$Q,9))</f>
        <v>53.5</v>
      </c>
      <c r="J31" s="49">
        <f>IF(VLOOKUP(Table91213[[#This Row],[Date]],'DB Details'!$A:$Q,10)=0,"",VLOOKUP(Table91213[[#This Row],[Date]],'DB Details'!$A:$Q,10))</f>
        <v>52.3</v>
      </c>
      <c r="K31" s="49">
        <f>IF(VLOOKUP(Table91213[[#This Row],[Date]],'DB Details'!$A:$Q,11)=0,"",VLOOKUP(Table91213[[#This Row],[Date]],'DB Details'!$A:$Q,11))</f>
        <v>58</v>
      </c>
      <c r="L31" s="47">
        <f>IF(VLOOKUP(Table91213[[#This Row],[Date]],'DB Details'!$A:$Q,12)=0,"",VLOOKUP(Table91213[[#This Row],[Date]],'DB Details'!$A:$Q,12))</f>
        <v>56.4</v>
      </c>
    </row>
    <row r="32" spans="1:12" x14ac:dyDescent="0.35">
      <c r="A32" s="50">
        <v>36404</v>
      </c>
      <c r="B32" s="47">
        <f>IF(VLOOKUP(Table91213[[#This Row],[Date]],'DB Details'!$A:$Q,2)=0,"",VLOOKUP(Table91213[[#This Row],[Date]],'DB Details'!$A:$Q,2))</f>
        <v>60.1</v>
      </c>
      <c r="C32" s="48">
        <f>IF(VLOOKUP(Table91213[[#This Row],[Date]],'DB Details'!$A:$Q,3)=0,"",VLOOKUP(Table91213[[#This Row],[Date]],'DB Details'!$A:$Q,3))</f>
        <v>55.5</v>
      </c>
      <c r="D32" s="48">
        <f>IF(VLOOKUP(Table91213[[#This Row],[Date]],'DB Details'!$A:$Q,4)=0,"",VLOOKUP(Table91213[[#This Row],[Date]],'DB Details'!$A:$Q,4))</f>
        <v>52.5</v>
      </c>
      <c r="E32" s="49">
        <f>IF(VLOOKUP(Table91213[[#This Row],[Date]],'DB Details'!$A:$Q,5)=0,"",VLOOKUP(Table91213[[#This Row],[Date]],'DB Details'!$A:$Q,5))</f>
        <v>64.2</v>
      </c>
      <c r="F32" s="48">
        <f>IF(VLOOKUP(Table91213[[#This Row],[Date]],'DB Details'!$A:$Q,6)=0,"",VLOOKUP(Table91213[[#This Row],[Date]],'DB Details'!$A:$Q,6))</f>
        <v>59.1</v>
      </c>
      <c r="G32" s="49">
        <f>IF(VLOOKUP(Table91213[[#This Row],[Date]],'DB Details'!$A:$Q,7)=0,"",VLOOKUP(Table91213[[#This Row],[Date]],'DB Details'!$A:$Q,7))</f>
        <v>61.5</v>
      </c>
      <c r="H32" s="49">
        <f>IF(VLOOKUP(Table91213[[#This Row],[Date]],'DB Details'!$A:$Q,8)=0,"",VLOOKUP(Table91213[[#This Row],[Date]],'DB Details'!$A:$Q,8))</f>
        <v>52</v>
      </c>
      <c r="I32" s="49">
        <f>IF(VLOOKUP(Table91213[[#This Row],[Date]],'DB Details'!$A:$Q,9)=0,"",VLOOKUP(Table91213[[#This Row],[Date]],'DB Details'!$A:$Q,9))</f>
        <v>54</v>
      </c>
      <c r="J32" s="49">
        <f>IF(VLOOKUP(Table91213[[#This Row],[Date]],'DB Details'!$A:$Q,10)=0,"",VLOOKUP(Table91213[[#This Row],[Date]],'DB Details'!$A:$Q,10))</f>
        <v>51.4</v>
      </c>
      <c r="K32" s="49">
        <f>IF(VLOOKUP(Table91213[[#This Row],[Date]],'DB Details'!$A:$Q,11)=0,"",VLOOKUP(Table91213[[#This Row],[Date]],'DB Details'!$A:$Q,11))</f>
        <v>62.5</v>
      </c>
      <c r="L32" s="47">
        <f>IF(VLOOKUP(Table91213[[#This Row],[Date]],'DB Details'!$A:$Q,12)=0,"",VLOOKUP(Table91213[[#This Row],[Date]],'DB Details'!$A:$Q,12))</f>
        <v>56.2</v>
      </c>
    </row>
    <row r="33" spans="1:12" x14ac:dyDescent="0.35">
      <c r="A33" s="50">
        <v>36434</v>
      </c>
      <c r="B33" s="47">
        <f>IF(VLOOKUP(Table91213[[#This Row],[Date]],'DB Details'!$A:$Q,2)=0,"",VLOOKUP(Table91213[[#This Row],[Date]],'DB Details'!$A:$Q,2))</f>
        <v>62</v>
      </c>
      <c r="C33" s="48">
        <f>IF(VLOOKUP(Table91213[[#This Row],[Date]],'DB Details'!$A:$Q,3)=0,"",VLOOKUP(Table91213[[#This Row],[Date]],'DB Details'!$A:$Q,3))</f>
        <v>55.7</v>
      </c>
      <c r="D33" s="48">
        <f>IF(VLOOKUP(Table91213[[#This Row],[Date]],'DB Details'!$A:$Q,4)=0,"",VLOOKUP(Table91213[[#This Row],[Date]],'DB Details'!$A:$Q,4))</f>
        <v>52</v>
      </c>
      <c r="E33" s="49">
        <f>IF(VLOOKUP(Table91213[[#This Row],[Date]],'DB Details'!$A:$Q,5)=0,"",VLOOKUP(Table91213[[#This Row],[Date]],'DB Details'!$A:$Q,5))</f>
        <v>58.9</v>
      </c>
      <c r="F33" s="48">
        <f>IF(VLOOKUP(Table91213[[#This Row],[Date]],'DB Details'!$A:$Q,6)=0,"",VLOOKUP(Table91213[[#This Row],[Date]],'DB Details'!$A:$Q,6))</f>
        <v>60.7</v>
      </c>
      <c r="G33" s="49">
        <f>IF(VLOOKUP(Table91213[[#This Row],[Date]],'DB Details'!$A:$Q,7)=0,"",VLOOKUP(Table91213[[#This Row],[Date]],'DB Details'!$A:$Q,7))</f>
        <v>58</v>
      </c>
      <c r="H33" s="49">
        <f>IF(VLOOKUP(Table91213[[#This Row],[Date]],'DB Details'!$A:$Q,8)=0,"",VLOOKUP(Table91213[[#This Row],[Date]],'DB Details'!$A:$Q,8))</f>
        <v>47.5</v>
      </c>
      <c r="I33" s="49">
        <f>IF(VLOOKUP(Table91213[[#This Row],[Date]],'DB Details'!$A:$Q,9)=0,"",VLOOKUP(Table91213[[#This Row],[Date]],'DB Details'!$A:$Q,9))</f>
        <v>56</v>
      </c>
      <c r="J33" s="49">
        <f>IF(VLOOKUP(Table91213[[#This Row],[Date]],'DB Details'!$A:$Q,10)=0,"",VLOOKUP(Table91213[[#This Row],[Date]],'DB Details'!$A:$Q,10))</f>
        <v>51.7</v>
      </c>
      <c r="K33" s="49">
        <f>IF(VLOOKUP(Table91213[[#This Row],[Date]],'DB Details'!$A:$Q,11)=0,"",VLOOKUP(Table91213[[#This Row],[Date]],'DB Details'!$A:$Q,11))</f>
        <v>54</v>
      </c>
      <c r="L33" s="47">
        <f>IF(VLOOKUP(Table91213[[#This Row],[Date]],'DB Details'!$A:$Q,12)=0,"",VLOOKUP(Table91213[[#This Row],[Date]],'DB Details'!$A:$Q,12))</f>
        <v>57.6</v>
      </c>
    </row>
    <row r="34" spans="1:12" x14ac:dyDescent="0.35">
      <c r="A34" s="50">
        <v>36465</v>
      </c>
      <c r="B34" s="47">
        <f>IF(VLOOKUP(Table91213[[#This Row],[Date]],'DB Details'!$A:$Q,2)=0,"",VLOOKUP(Table91213[[#This Row],[Date]],'DB Details'!$A:$Q,2))</f>
        <v>55.5</v>
      </c>
      <c r="C34" s="48">
        <f>IF(VLOOKUP(Table91213[[#This Row],[Date]],'DB Details'!$A:$Q,3)=0,"",VLOOKUP(Table91213[[#This Row],[Date]],'DB Details'!$A:$Q,3))</f>
        <v>53.8</v>
      </c>
      <c r="D34" s="48">
        <f>IF(VLOOKUP(Table91213[[#This Row],[Date]],'DB Details'!$A:$Q,4)=0,"",VLOOKUP(Table91213[[#This Row],[Date]],'DB Details'!$A:$Q,4))</f>
        <v>49</v>
      </c>
      <c r="E34" s="49">
        <f>IF(VLOOKUP(Table91213[[#This Row],[Date]],'DB Details'!$A:$Q,5)=0,"",VLOOKUP(Table91213[[#This Row],[Date]],'DB Details'!$A:$Q,5))</f>
        <v>61</v>
      </c>
      <c r="F34" s="48">
        <f>IF(VLOOKUP(Table91213[[#This Row],[Date]],'DB Details'!$A:$Q,6)=0,"",VLOOKUP(Table91213[[#This Row],[Date]],'DB Details'!$A:$Q,6))</f>
        <v>57</v>
      </c>
      <c r="G34" s="49">
        <f>IF(VLOOKUP(Table91213[[#This Row],[Date]],'DB Details'!$A:$Q,7)=0,"",VLOOKUP(Table91213[[#This Row],[Date]],'DB Details'!$A:$Q,7))</f>
        <v>62.5</v>
      </c>
      <c r="H34" s="49">
        <f>IF(VLOOKUP(Table91213[[#This Row],[Date]],'DB Details'!$A:$Q,8)=0,"",VLOOKUP(Table91213[[#This Row],[Date]],'DB Details'!$A:$Q,8))</f>
        <v>52.5</v>
      </c>
      <c r="I34" s="49">
        <f>IF(VLOOKUP(Table91213[[#This Row],[Date]],'DB Details'!$A:$Q,9)=0,"",VLOOKUP(Table91213[[#This Row],[Date]],'DB Details'!$A:$Q,9))</f>
        <v>56.5</v>
      </c>
      <c r="J34" s="49">
        <f>IF(VLOOKUP(Table91213[[#This Row],[Date]],'DB Details'!$A:$Q,10)=0,"",VLOOKUP(Table91213[[#This Row],[Date]],'DB Details'!$A:$Q,10))</f>
        <v>50.6</v>
      </c>
      <c r="K34" s="49">
        <f>IF(VLOOKUP(Table91213[[#This Row],[Date]],'DB Details'!$A:$Q,11)=0,"",VLOOKUP(Table91213[[#This Row],[Date]],'DB Details'!$A:$Q,11))</f>
        <v>56</v>
      </c>
      <c r="L34" s="47">
        <f>IF(VLOOKUP(Table91213[[#This Row],[Date]],'DB Details'!$A:$Q,12)=0,"",VLOOKUP(Table91213[[#This Row],[Date]],'DB Details'!$A:$Q,12))</f>
        <v>54.9</v>
      </c>
    </row>
    <row r="35" spans="1:12" x14ac:dyDescent="0.35">
      <c r="A35" s="50">
        <v>36495</v>
      </c>
      <c r="B35" s="47">
        <f>IF(VLOOKUP(Table91213[[#This Row],[Date]],'DB Details'!$A:$Q,2)=0,"",VLOOKUP(Table91213[[#This Row],[Date]],'DB Details'!$A:$Q,2))</f>
        <v>61.1</v>
      </c>
      <c r="C35" s="48">
        <f>IF(VLOOKUP(Table91213[[#This Row],[Date]],'DB Details'!$A:$Q,3)=0,"",VLOOKUP(Table91213[[#This Row],[Date]],'DB Details'!$A:$Q,3))</f>
        <v>50.8</v>
      </c>
      <c r="D35" s="48">
        <f>IF(VLOOKUP(Table91213[[#This Row],[Date]],'DB Details'!$A:$Q,4)=0,"",VLOOKUP(Table91213[[#This Row],[Date]],'DB Details'!$A:$Q,4))</f>
        <v>49</v>
      </c>
      <c r="E35" s="49">
        <f>IF(VLOOKUP(Table91213[[#This Row],[Date]],'DB Details'!$A:$Q,5)=0,"",VLOOKUP(Table91213[[#This Row],[Date]],'DB Details'!$A:$Q,5))</f>
        <v>60.5</v>
      </c>
      <c r="F35" s="48">
        <f>IF(VLOOKUP(Table91213[[#This Row],[Date]],'DB Details'!$A:$Q,6)=0,"",VLOOKUP(Table91213[[#This Row],[Date]],'DB Details'!$A:$Q,6))</f>
        <v>60.4</v>
      </c>
      <c r="G35" s="49">
        <f>IF(VLOOKUP(Table91213[[#This Row],[Date]],'DB Details'!$A:$Q,7)=0,"",VLOOKUP(Table91213[[#This Row],[Date]],'DB Details'!$A:$Q,7))</f>
        <v>61.5</v>
      </c>
      <c r="H35" s="49">
        <f>IF(VLOOKUP(Table91213[[#This Row],[Date]],'DB Details'!$A:$Q,8)=0,"",VLOOKUP(Table91213[[#This Row],[Date]],'DB Details'!$A:$Q,8))</f>
        <v>50</v>
      </c>
      <c r="I35" s="49">
        <f>IF(VLOOKUP(Table91213[[#This Row],[Date]],'DB Details'!$A:$Q,9)=0,"",VLOOKUP(Table91213[[#This Row],[Date]],'DB Details'!$A:$Q,9))</f>
        <v>53</v>
      </c>
      <c r="J35" s="49">
        <f>IF(VLOOKUP(Table91213[[#This Row],[Date]],'DB Details'!$A:$Q,10)=0,"",VLOOKUP(Table91213[[#This Row],[Date]],'DB Details'!$A:$Q,10))</f>
        <v>53</v>
      </c>
      <c r="K35" s="49">
        <f>IF(VLOOKUP(Table91213[[#This Row],[Date]],'DB Details'!$A:$Q,11)=0,"",VLOOKUP(Table91213[[#This Row],[Date]],'DB Details'!$A:$Q,11))</f>
        <v>58</v>
      </c>
      <c r="L35" s="47">
        <f>IF(VLOOKUP(Table91213[[#This Row],[Date]],'DB Details'!$A:$Q,12)=0,"",VLOOKUP(Table91213[[#This Row],[Date]],'DB Details'!$A:$Q,12))</f>
        <v>56.9</v>
      </c>
    </row>
    <row r="36" spans="1:12" x14ac:dyDescent="0.35">
      <c r="A36" s="50">
        <v>36526</v>
      </c>
      <c r="B36" s="47">
        <f>IF(VLOOKUP(Table91213[[#This Row],[Date]],'DB Details'!$A:$Q,2)=0,"",VLOOKUP(Table91213[[#This Row],[Date]],'DB Details'!$A:$Q,2))</f>
        <v>60.8</v>
      </c>
      <c r="C36" s="48">
        <f>IF(VLOOKUP(Table91213[[#This Row],[Date]],'DB Details'!$A:$Q,3)=0,"",VLOOKUP(Table91213[[#This Row],[Date]],'DB Details'!$A:$Q,3))</f>
        <v>54.9</v>
      </c>
      <c r="D36" s="48">
        <f>IF(VLOOKUP(Table91213[[#This Row],[Date]],'DB Details'!$A:$Q,4)=0,"",VLOOKUP(Table91213[[#This Row],[Date]],'DB Details'!$A:$Q,4))</f>
        <v>48.5</v>
      </c>
      <c r="E36" s="49">
        <f>IF(VLOOKUP(Table91213[[#This Row],[Date]],'DB Details'!$A:$Q,5)=0,"",VLOOKUP(Table91213[[#This Row],[Date]],'DB Details'!$A:$Q,5))</f>
        <v>61.4</v>
      </c>
      <c r="F36" s="48">
        <f>IF(VLOOKUP(Table91213[[#This Row],[Date]],'DB Details'!$A:$Q,6)=0,"",VLOOKUP(Table91213[[#This Row],[Date]],'DB Details'!$A:$Q,6))</f>
        <v>57.7</v>
      </c>
      <c r="G36" s="49">
        <f>IF(VLOOKUP(Table91213[[#This Row],[Date]],'DB Details'!$A:$Q,7)=0,"",VLOOKUP(Table91213[[#This Row],[Date]],'DB Details'!$A:$Q,7))</f>
        <v>67</v>
      </c>
      <c r="H36" s="49">
        <f>IF(VLOOKUP(Table91213[[#This Row],[Date]],'DB Details'!$A:$Q,8)=0,"",VLOOKUP(Table91213[[#This Row],[Date]],'DB Details'!$A:$Q,8))</f>
        <v>49.5</v>
      </c>
      <c r="I36" s="49">
        <f>IF(VLOOKUP(Table91213[[#This Row],[Date]],'DB Details'!$A:$Q,9)=0,"",VLOOKUP(Table91213[[#This Row],[Date]],'DB Details'!$A:$Q,9))</f>
        <v>55.5</v>
      </c>
      <c r="J36" s="49">
        <f>IF(VLOOKUP(Table91213[[#This Row],[Date]],'DB Details'!$A:$Q,10)=0,"",VLOOKUP(Table91213[[#This Row],[Date]],'DB Details'!$A:$Q,10))</f>
        <v>52.3</v>
      </c>
      <c r="K36" s="49">
        <f>IF(VLOOKUP(Table91213[[#This Row],[Date]],'DB Details'!$A:$Q,11)=0,"",VLOOKUP(Table91213[[#This Row],[Date]],'DB Details'!$A:$Q,11))</f>
        <v>57.5</v>
      </c>
      <c r="L36" s="47">
        <f>IF(VLOOKUP(Table91213[[#This Row],[Date]],'DB Details'!$A:$Q,12)=0,"",VLOOKUP(Table91213[[#This Row],[Date]],'DB Details'!$A:$Q,12))</f>
        <v>56.6</v>
      </c>
    </row>
    <row r="37" spans="1:12" x14ac:dyDescent="0.35">
      <c r="A37" s="50">
        <v>36557</v>
      </c>
      <c r="B37" s="47">
        <f>IF(VLOOKUP(Table91213[[#This Row],[Date]],'DB Details'!$A:$Q,2)=0,"",VLOOKUP(Table91213[[#This Row],[Date]],'DB Details'!$A:$Q,2))</f>
        <v>58.9</v>
      </c>
      <c r="C37" s="48">
        <f>IF(VLOOKUP(Table91213[[#This Row],[Date]],'DB Details'!$A:$Q,3)=0,"",VLOOKUP(Table91213[[#This Row],[Date]],'DB Details'!$A:$Q,3))</f>
        <v>51.9</v>
      </c>
      <c r="D37" s="48">
        <f>IF(VLOOKUP(Table91213[[#This Row],[Date]],'DB Details'!$A:$Q,4)=0,"",VLOOKUP(Table91213[[#This Row],[Date]],'DB Details'!$A:$Q,4))</f>
        <v>52</v>
      </c>
      <c r="E37" s="49">
        <f>IF(VLOOKUP(Table91213[[#This Row],[Date]],'DB Details'!$A:$Q,5)=0,"",VLOOKUP(Table91213[[#This Row],[Date]],'DB Details'!$A:$Q,5))</f>
        <v>66.5</v>
      </c>
      <c r="F37" s="48">
        <f>IF(VLOOKUP(Table91213[[#This Row],[Date]],'DB Details'!$A:$Q,6)=0,"",VLOOKUP(Table91213[[#This Row],[Date]],'DB Details'!$A:$Q,6))</f>
        <v>58.2</v>
      </c>
      <c r="G37" s="49">
        <f>IF(VLOOKUP(Table91213[[#This Row],[Date]],'DB Details'!$A:$Q,7)=0,"",VLOOKUP(Table91213[[#This Row],[Date]],'DB Details'!$A:$Q,7))</f>
        <v>66.5</v>
      </c>
      <c r="H37" s="49">
        <f>IF(VLOOKUP(Table91213[[#This Row],[Date]],'DB Details'!$A:$Q,8)=0,"",VLOOKUP(Table91213[[#This Row],[Date]],'DB Details'!$A:$Q,8))</f>
        <v>49.5</v>
      </c>
      <c r="I37" s="49">
        <f>IF(VLOOKUP(Table91213[[#This Row],[Date]],'DB Details'!$A:$Q,9)=0,"",VLOOKUP(Table91213[[#This Row],[Date]],'DB Details'!$A:$Q,9))</f>
        <v>55</v>
      </c>
      <c r="J37" s="49">
        <f>IF(VLOOKUP(Table91213[[#This Row],[Date]],'DB Details'!$A:$Q,10)=0,"",VLOOKUP(Table91213[[#This Row],[Date]],'DB Details'!$A:$Q,10))</f>
        <v>52.8</v>
      </c>
      <c r="K37" s="49">
        <f>IF(VLOOKUP(Table91213[[#This Row],[Date]],'DB Details'!$A:$Q,11)=0,"",VLOOKUP(Table91213[[#This Row],[Date]],'DB Details'!$A:$Q,11))</f>
        <v>47.5</v>
      </c>
      <c r="L37" s="47">
        <f>IF(VLOOKUP(Table91213[[#This Row],[Date]],'DB Details'!$A:$Q,12)=0,"",VLOOKUP(Table91213[[#This Row],[Date]],'DB Details'!$A:$Q,12))</f>
        <v>56.2</v>
      </c>
    </row>
    <row r="38" spans="1:12" x14ac:dyDescent="0.35">
      <c r="A38" s="50">
        <v>36586</v>
      </c>
      <c r="B38" s="47">
        <f>IF(VLOOKUP(Table91213[[#This Row],[Date]],'DB Details'!$A:$Q,2)=0,"",VLOOKUP(Table91213[[#This Row],[Date]],'DB Details'!$A:$Q,2))</f>
        <v>61.7</v>
      </c>
      <c r="C38" s="48">
        <f>IF(VLOOKUP(Table91213[[#This Row],[Date]],'DB Details'!$A:$Q,3)=0,"",VLOOKUP(Table91213[[#This Row],[Date]],'DB Details'!$A:$Q,3))</f>
        <v>54.7</v>
      </c>
      <c r="D38" s="48">
        <f>IF(VLOOKUP(Table91213[[#This Row],[Date]],'DB Details'!$A:$Q,4)=0,"",VLOOKUP(Table91213[[#This Row],[Date]],'DB Details'!$A:$Q,4))</f>
        <v>53</v>
      </c>
      <c r="E38" s="49">
        <f>IF(VLOOKUP(Table91213[[#This Row],[Date]],'DB Details'!$A:$Q,5)=0,"",VLOOKUP(Table91213[[#This Row],[Date]],'DB Details'!$A:$Q,5))</f>
        <v>68.599999999999994</v>
      </c>
      <c r="F38" s="48">
        <f>IF(VLOOKUP(Table91213[[#This Row],[Date]],'DB Details'!$A:$Q,6)=0,"",VLOOKUP(Table91213[[#This Row],[Date]],'DB Details'!$A:$Q,6))</f>
        <v>60.5</v>
      </c>
      <c r="G38" s="49">
        <f>IF(VLOOKUP(Table91213[[#This Row],[Date]],'DB Details'!$A:$Q,7)=0,"",VLOOKUP(Table91213[[#This Row],[Date]],'DB Details'!$A:$Q,7))</f>
        <v>60.5</v>
      </c>
      <c r="H38" s="49">
        <f>IF(VLOOKUP(Table91213[[#This Row],[Date]],'DB Details'!$A:$Q,8)=0,"",VLOOKUP(Table91213[[#This Row],[Date]],'DB Details'!$A:$Q,8))</f>
        <v>51.5</v>
      </c>
      <c r="I38" s="49">
        <f>IF(VLOOKUP(Table91213[[#This Row],[Date]],'DB Details'!$A:$Q,9)=0,"",VLOOKUP(Table91213[[#This Row],[Date]],'DB Details'!$A:$Q,9))</f>
        <v>52.5</v>
      </c>
      <c r="J38" s="49">
        <f>IF(VLOOKUP(Table91213[[#This Row],[Date]],'DB Details'!$A:$Q,10)=0,"",VLOOKUP(Table91213[[#This Row],[Date]],'DB Details'!$A:$Q,10))</f>
        <v>55</v>
      </c>
      <c r="K38" s="49">
        <f>IF(VLOOKUP(Table91213[[#This Row],[Date]],'DB Details'!$A:$Q,11)=0,"",VLOOKUP(Table91213[[#This Row],[Date]],'DB Details'!$A:$Q,11))</f>
        <v>55.5</v>
      </c>
      <c r="L38" s="47">
        <f>IF(VLOOKUP(Table91213[[#This Row],[Date]],'DB Details'!$A:$Q,12)=0,"",VLOOKUP(Table91213[[#This Row],[Date]],'DB Details'!$A:$Q,12))</f>
        <v>57.4</v>
      </c>
    </row>
    <row r="39" spans="1:12" x14ac:dyDescent="0.35">
      <c r="A39" s="50">
        <v>36617</v>
      </c>
      <c r="B39" s="47">
        <f>IF(VLOOKUP(Table91213[[#This Row],[Date]],'DB Details'!$A:$Q,2)=0,"",VLOOKUP(Table91213[[#This Row],[Date]],'DB Details'!$A:$Q,2))</f>
        <v>61.5</v>
      </c>
      <c r="C39" s="48">
        <f>IF(VLOOKUP(Table91213[[#This Row],[Date]],'DB Details'!$A:$Q,3)=0,"",VLOOKUP(Table91213[[#This Row],[Date]],'DB Details'!$A:$Q,3))</f>
        <v>54.6</v>
      </c>
      <c r="D39" s="48">
        <f>IF(VLOOKUP(Table91213[[#This Row],[Date]],'DB Details'!$A:$Q,4)=0,"",VLOOKUP(Table91213[[#This Row],[Date]],'DB Details'!$A:$Q,4))</f>
        <v>55.5</v>
      </c>
      <c r="E39" s="49">
        <f>IF(VLOOKUP(Table91213[[#This Row],[Date]],'DB Details'!$A:$Q,5)=0,"",VLOOKUP(Table91213[[#This Row],[Date]],'DB Details'!$A:$Q,5))</f>
        <v>65</v>
      </c>
      <c r="F39" s="48">
        <f>IF(VLOOKUP(Table91213[[#This Row],[Date]],'DB Details'!$A:$Q,6)=0,"",VLOOKUP(Table91213[[#This Row],[Date]],'DB Details'!$A:$Q,6))</f>
        <v>61.1</v>
      </c>
      <c r="G39" s="49">
        <f>IF(VLOOKUP(Table91213[[#This Row],[Date]],'DB Details'!$A:$Q,7)=0,"",VLOOKUP(Table91213[[#This Row],[Date]],'DB Details'!$A:$Q,7))</f>
        <v>64</v>
      </c>
      <c r="H39" s="49">
        <f>IF(VLOOKUP(Table91213[[#This Row],[Date]],'DB Details'!$A:$Q,8)=0,"",VLOOKUP(Table91213[[#This Row],[Date]],'DB Details'!$A:$Q,8))</f>
        <v>53.5</v>
      </c>
      <c r="I39" s="49">
        <f>IF(VLOOKUP(Table91213[[#This Row],[Date]],'DB Details'!$A:$Q,9)=0,"",VLOOKUP(Table91213[[#This Row],[Date]],'DB Details'!$A:$Q,9))</f>
        <v>55</v>
      </c>
      <c r="J39" s="49">
        <f>IF(VLOOKUP(Table91213[[#This Row],[Date]],'DB Details'!$A:$Q,10)=0,"",VLOOKUP(Table91213[[#This Row],[Date]],'DB Details'!$A:$Q,10))</f>
        <v>54.4</v>
      </c>
      <c r="K39" s="49">
        <f>IF(VLOOKUP(Table91213[[#This Row],[Date]],'DB Details'!$A:$Q,11)=0,"",VLOOKUP(Table91213[[#This Row],[Date]],'DB Details'!$A:$Q,11))</f>
        <v>59</v>
      </c>
      <c r="L39" s="47">
        <f>IF(VLOOKUP(Table91213[[#This Row],[Date]],'DB Details'!$A:$Q,12)=0,"",VLOOKUP(Table91213[[#This Row],[Date]],'DB Details'!$A:$Q,12))</f>
        <v>58</v>
      </c>
    </row>
    <row r="40" spans="1:12" x14ac:dyDescent="0.35">
      <c r="A40" s="50">
        <v>36647</v>
      </c>
      <c r="B40" s="47">
        <f>IF(VLOOKUP(Table91213[[#This Row],[Date]],'DB Details'!$A:$Q,2)=0,"",VLOOKUP(Table91213[[#This Row],[Date]],'DB Details'!$A:$Q,2))</f>
        <v>60.5</v>
      </c>
      <c r="C40" s="48">
        <f>IF(VLOOKUP(Table91213[[#This Row],[Date]],'DB Details'!$A:$Q,3)=0,"",VLOOKUP(Table91213[[#This Row],[Date]],'DB Details'!$A:$Q,3))</f>
        <v>54.7</v>
      </c>
      <c r="D40" s="48">
        <f>IF(VLOOKUP(Table91213[[#This Row],[Date]],'DB Details'!$A:$Q,4)=0,"",VLOOKUP(Table91213[[#This Row],[Date]],'DB Details'!$A:$Q,4))</f>
        <v>53.5</v>
      </c>
      <c r="E40" s="49">
        <f>IF(VLOOKUP(Table91213[[#This Row],[Date]],'DB Details'!$A:$Q,5)=0,"",VLOOKUP(Table91213[[#This Row],[Date]],'DB Details'!$A:$Q,5))</f>
        <v>64.2</v>
      </c>
      <c r="F40" s="48">
        <f>IF(VLOOKUP(Table91213[[#This Row],[Date]],'DB Details'!$A:$Q,6)=0,"",VLOOKUP(Table91213[[#This Row],[Date]],'DB Details'!$A:$Q,6))</f>
        <v>59.8</v>
      </c>
      <c r="G40" s="49">
        <f>IF(VLOOKUP(Table91213[[#This Row],[Date]],'DB Details'!$A:$Q,7)=0,"",VLOOKUP(Table91213[[#This Row],[Date]],'DB Details'!$A:$Q,7))</f>
        <v>63</v>
      </c>
      <c r="H40" s="49">
        <f>IF(VLOOKUP(Table91213[[#This Row],[Date]],'DB Details'!$A:$Q,8)=0,"",VLOOKUP(Table91213[[#This Row],[Date]],'DB Details'!$A:$Q,8))</f>
        <v>49.5</v>
      </c>
      <c r="I40" s="49">
        <f>IF(VLOOKUP(Table91213[[#This Row],[Date]],'DB Details'!$A:$Q,9)=0,"",VLOOKUP(Table91213[[#This Row],[Date]],'DB Details'!$A:$Q,9))</f>
        <v>57</v>
      </c>
      <c r="J40" s="49">
        <f>IF(VLOOKUP(Table91213[[#This Row],[Date]],'DB Details'!$A:$Q,10)=0,"",VLOOKUP(Table91213[[#This Row],[Date]],'DB Details'!$A:$Q,10))</f>
        <v>53.5</v>
      </c>
      <c r="K40" s="49">
        <f>IF(VLOOKUP(Table91213[[#This Row],[Date]],'DB Details'!$A:$Q,11)=0,"",VLOOKUP(Table91213[[#This Row],[Date]],'DB Details'!$A:$Q,11))</f>
        <v>62</v>
      </c>
      <c r="L40" s="47">
        <f>IF(VLOOKUP(Table91213[[#This Row],[Date]],'DB Details'!$A:$Q,12)=0,"",VLOOKUP(Table91213[[#This Row],[Date]],'DB Details'!$A:$Q,12))</f>
        <v>57.7</v>
      </c>
    </row>
    <row r="41" spans="1:12" x14ac:dyDescent="0.35">
      <c r="A41" s="50">
        <v>36678</v>
      </c>
      <c r="B41" s="47">
        <f>IF(VLOOKUP(Table91213[[#This Row],[Date]],'DB Details'!$A:$Q,2)=0,"",VLOOKUP(Table91213[[#This Row],[Date]],'DB Details'!$A:$Q,2))</f>
        <v>59.4</v>
      </c>
      <c r="C41" s="48">
        <f>IF(VLOOKUP(Table91213[[#This Row],[Date]],'DB Details'!$A:$Q,3)=0,"",VLOOKUP(Table91213[[#This Row],[Date]],'DB Details'!$A:$Q,3))</f>
        <v>52.6</v>
      </c>
      <c r="D41" s="48">
        <f>IF(VLOOKUP(Table91213[[#This Row],[Date]],'DB Details'!$A:$Q,4)=0,"",VLOOKUP(Table91213[[#This Row],[Date]],'DB Details'!$A:$Q,4))</f>
        <v>56.5</v>
      </c>
      <c r="E41" s="49">
        <f>IF(VLOOKUP(Table91213[[#This Row],[Date]],'DB Details'!$A:$Q,5)=0,"",VLOOKUP(Table91213[[#This Row],[Date]],'DB Details'!$A:$Q,5))</f>
        <v>65</v>
      </c>
      <c r="F41" s="48">
        <f>IF(VLOOKUP(Table91213[[#This Row],[Date]],'DB Details'!$A:$Q,6)=0,"",VLOOKUP(Table91213[[#This Row],[Date]],'DB Details'!$A:$Q,6))</f>
        <v>60.3</v>
      </c>
      <c r="G41" s="49">
        <f>IF(VLOOKUP(Table91213[[#This Row],[Date]],'DB Details'!$A:$Q,7)=0,"",VLOOKUP(Table91213[[#This Row],[Date]],'DB Details'!$A:$Q,7))</f>
        <v>66.5</v>
      </c>
      <c r="H41" s="49">
        <f>IF(VLOOKUP(Table91213[[#This Row],[Date]],'DB Details'!$A:$Q,8)=0,"",VLOOKUP(Table91213[[#This Row],[Date]],'DB Details'!$A:$Q,8))</f>
        <v>54</v>
      </c>
      <c r="I41" s="49">
        <f>IF(VLOOKUP(Table91213[[#This Row],[Date]],'DB Details'!$A:$Q,9)=0,"",VLOOKUP(Table91213[[#This Row],[Date]],'DB Details'!$A:$Q,9))</f>
        <v>53.5</v>
      </c>
      <c r="J41" s="49">
        <f>IF(VLOOKUP(Table91213[[#This Row],[Date]],'DB Details'!$A:$Q,10)=0,"",VLOOKUP(Table91213[[#This Row],[Date]],'DB Details'!$A:$Q,10))</f>
        <v>54.4</v>
      </c>
      <c r="K41" s="49">
        <f>IF(VLOOKUP(Table91213[[#This Row],[Date]],'DB Details'!$A:$Q,11)=0,"",VLOOKUP(Table91213[[#This Row],[Date]],'DB Details'!$A:$Q,11))</f>
        <v>57</v>
      </c>
      <c r="L41" s="47">
        <f>IF(VLOOKUP(Table91213[[#This Row],[Date]],'DB Details'!$A:$Q,12)=0,"",VLOOKUP(Table91213[[#This Row],[Date]],'DB Details'!$A:$Q,12))</f>
        <v>56.9</v>
      </c>
    </row>
    <row r="42" spans="1:12" x14ac:dyDescent="0.35">
      <c r="A42" s="50">
        <v>36708</v>
      </c>
      <c r="B42" s="47">
        <f>IF(VLOOKUP(Table91213[[#This Row],[Date]],'DB Details'!$A:$Q,2)=0,"",VLOOKUP(Table91213[[#This Row],[Date]],'DB Details'!$A:$Q,2))</f>
        <v>59.7</v>
      </c>
      <c r="C42" s="48">
        <f>IF(VLOOKUP(Table91213[[#This Row],[Date]],'DB Details'!$A:$Q,3)=0,"",VLOOKUP(Table91213[[#This Row],[Date]],'DB Details'!$A:$Q,3))</f>
        <v>53.1</v>
      </c>
      <c r="D42" s="48">
        <f>IF(VLOOKUP(Table91213[[#This Row],[Date]],'DB Details'!$A:$Q,4)=0,"",VLOOKUP(Table91213[[#This Row],[Date]],'DB Details'!$A:$Q,4))</f>
        <v>50.5</v>
      </c>
      <c r="E42" s="49">
        <f>IF(VLOOKUP(Table91213[[#This Row],[Date]],'DB Details'!$A:$Q,5)=0,"",VLOOKUP(Table91213[[#This Row],[Date]],'DB Details'!$A:$Q,5))</f>
        <v>62.1</v>
      </c>
      <c r="F42" s="48">
        <f>IF(VLOOKUP(Table91213[[#This Row],[Date]],'DB Details'!$A:$Q,6)=0,"",VLOOKUP(Table91213[[#This Row],[Date]],'DB Details'!$A:$Q,6))</f>
        <v>56.5</v>
      </c>
      <c r="G42" s="49">
        <f>IF(VLOOKUP(Table91213[[#This Row],[Date]],'DB Details'!$A:$Q,7)=0,"",VLOOKUP(Table91213[[#This Row],[Date]],'DB Details'!$A:$Q,7))</f>
        <v>68</v>
      </c>
      <c r="H42" s="49">
        <f>IF(VLOOKUP(Table91213[[#This Row],[Date]],'DB Details'!$A:$Q,8)=0,"",VLOOKUP(Table91213[[#This Row],[Date]],'DB Details'!$A:$Q,8))</f>
        <v>51</v>
      </c>
      <c r="I42" s="49">
        <f>IF(VLOOKUP(Table91213[[#This Row],[Date]],'DB Details'!$A:$Q,9)=0,"",VLOOKUP(Table91213[[#This Row],[Date]],'DB Details'!$A:$Q,9))</f>
        <v>54.5</v>
      </c>
      <c r="J42" s="49">
        <f>IF(VLOOKUP(Table91213[[#This Row],[Date]],'DB Details'!$A:$Q,10)=0,"",VLOOKUP(Table91213[[#This Row],[Date]],'DB Details'!$A:$Q,10))</f>
        <v>50.5</v>
      </c>
      <c r="K42" s="49">
        <f>IF(VLOOKUP(Table91213[[#This Row],[Date]],'DB Details'!$A:$Q,11)=0,"",VLOOKUP(Table91213[[#This Row],[Date]],'DB Details'!$A:$Q,11))</f>
        <v>53</v>
      </c>
      <c r="L42" s="47">
        <f>IF(VLOOKUP(Table91213[[#This Row],[Date]],'DB Details'!$A:$Q,12)=0,"",VLOOKUP(Table91213[[#This Row],[Date]],'DB Details'!$A:$Q,12))</f>
        <v>55.3</v>
      </c>
    </row>
    <row r="43" spans="1:12" x14ac:dyDescent="0.35">
      <c r="A43" s="50">
        <v>36739</v>
      </c>
      <c r="B43" s="47">
        <f>IF(VLOOKUP(Table91213[[#This Row],[Date]],'DB Details'!$A:$Q,2)=0,"",VLOOKUP(Table91213[[#This Row],[Date]],'DB Details'!$A:$Q,2))</f>
        <v>59.8</v>
      </c>
      <c r="C43" s="48">
        <f>IF(VLOOKUP(Table91213[[#This Row],[Date]],'DB Details'!$A:$Q,3)=0,"",VLOOKUP(Table91213[[#This Row],[Date]],'DB Details'!$A:$Q,3))</f>
        <v>53.9</v>
      </c>
      <c r="D43" s="48">
        <f>IF(VLOOKUP(Table91213[[#This Row],[Date]],'DB Details'!$A:$Q,4)=0,"",VLOOKUP(Table91213[[#This Row],[Date]],'DB Details'!$A:$Q,4))</f>
        <v>52</v>
      </c>
      <c r="E43" s="49">
        <f>IF(VLOOKUP(Table91213[[#This Row],[Date]],'DB Details'!$A:$Q,5)=0,"",VLOOKUP(Table91213[[#This Row],[Date]],'DB Details'!$A:$Q,5))</f>
        <v>59.2</v>
      </c>
      <c r="F43" s="48">
        <f>IF(VLOOKUP(Table91213[[#This Row],[Date]],'DB Details'!$A:$Q,6)=0,"",VLOOKUP(Table91213[[#This Row],[Date]],'DB Details'!$A:$Q,6))</f>
        <v>61.3</v>
      </c>
      <c r="G43" s="49">
        <f>IF(VLOOKUP(Table91213[[#This Row],[Date]],'DB Details'!$A:$Q,7)=0,"",VLOOKUP(Table91213[[#This Row],[Date]],'DB Details'!$A:$Q,7))</f>
        <v>61.5</v>
      </c>
      <c r="H43" s="49">
        <f>IF(VLOOKUP(Table91213[[#This Row],[Date]],'DB Details'!$A:$Q,8)=0,"",VLOOKUP(Table91213[[#This Row],[Date]],'DB Details'!$A:$Q,8))</f>
        <v>51</v>
      </c>
      <c r="I43" s="49">
        <f>IF(VLOOKUP(Table91213[[#This Row],[Date]],'DB Details'!$A:$Q,9)=0,"",VLOOKUP(Table91213[[#This Row],[Date]],'DB Details'!$A:$Q,9))</f>
        <v>55</v>
      </c>
      <c r="J43" s="49">
        <f>IF(VLOOKUP(Table91213[[#This Row],[Date]],'DB Details'!$A:$Q,10)=0,"",VLOOKUP(Table91213[[#This Row],[Date]],'DB Details'!$A:$Q,10))</f>
        <v>54.2</v>
      </c>
      <c r="K43" s="49">
        <f>IF(VLOOKUP(Table91213[[#This Row],[Date]],'DB Details'!$A:$Q,11)=0,"",VLOOKUP(Table91213[[#This Row],[Date]],'DB Details'!$A:$Q,11))</f>
        <v>56</v>
      </c>
      <c r="L43" s="47">
        <f>IF(VLOOKUP(Table91213[[#This Row],[Date]],'DB Details'!$A:$Q,12)=0,"",VLOOKUP(Table91213[[#This Row],[Date]],'DB Details'!$A:$Q,12))</f>
        <v>57.6</v>
      </c>
    </row>
    <row r="44" spans="1:12" x14ac:dyDescent="0.35">
      <c r="A44" s="50">
        <v>36770</v>
      </c>
      <c r="B44" s="47">
        <f>IF(VLOOKUP(Table91213[[#This Row],[Date]],'DB Details'!$A:$Q,2)=0,"",VLOOKUP(Table91213[[#This Row],[Date]],'DB Details'!$A:$Q,2))</f>
        <v>60.4</v>
      </c>
      <c r="C44" s="48">
        <f>IF(VLOOKUP(Table91213[[#This Row],[Date]],'DB Details'!$A:$Q,3)=0,"",VLOOKUP(Table91213[[#This Row],[Date]],'DB Details'!$A:$Q,3))</f>
        <v>46</v>
      </c>
      <c r="D44" s="48">
        <f>IF(VLOOKUP(Table91213[[#This Row],[Date]],'DB Details'!$A:$Q,4)=0,"",VLOOKUP(Table91213[[#This Row],[Date]],'DB Details'!$A:$Q,4))</f>
        <v>56.5</v>
      </c>
      <c r="E44" s="49">
        <f>IF(VLOOKUP(Table91213[[#This Row],[Date]],'DB Details'!$A:$Q,5)=0,"",VLOOKUP(Table91213[[#This Row],[Date]],'DB Details'!$A:$Q,5))</f>
        <v>62.1</v>
      </c>
      <c r="F44" s="48">
        <f>IF(VLOOKUP(Table91213[[#This Row],[Date]],'DB Details'!$A:$Q,6)=0,"",VLOOKUP(Table91213[[#This Row],[Date]],'DB Details'!$A:$Q,6))</f>
        <v>59.8</v>
      </c>
      <c r="G44" s="49">
        <f>IF(VLOOKUP(Table91213[[#This Row],[Date]],'DB Details'!$A:$Q,7)=0,"",VLOOKUP(Table91213[[#This Row],[Date]],'DB Details'!$A:$Q,7))</f>
        <v>65</v>
      </c>
      <c r="H44" s="49">
        <f>IF(VLOOKUP(Table91213[[#This Row],[Date]],'DB Details'!$A:$Q,8)=0,"",VLOOKUP(Table91213[[#This Row],[Date]],'DB Details'!$A:$Q,8))</f>
        <v>53.5</v>
      </c>
      <c r="I44" s="49">
        <f>IF(VLOOKUP(Table91213[[#This Row],[Date]],'DB Details'!$A:$Q,9)=0,"",VLOOKUP(Table91213[[#This Row],[Date]],'DB Details'!$A:$Q,9))</f>
        <v>53</v>
      </c>
      <c r="J44" s="49">
        <f>IF(VLOOKUP(Table91213[[#This Row],[Date]],'DB Details'!$A:$Q,10)=0,"",VLOOKUP(Table91213[[#This Row],[Date]],'DB Details'!$A:$Q,10))</f>
        <v>53.5</v>
      </c>
      <c r="K44" s="49">
        <f>IF(VLOOKUP(Table91213[[#This Row],[Date]],'DB Details'!$A:$Q,11)=0,"",VLOOKUP(Table91213[[#This Row],[Date]],'DB Details'!$A:$Q,11))</f>
        <v>51.5</v>
      </c>
      <c r="L44" s="47">
        <f>IF(VLOOKUP(Table91213[[#This Row],[Date]],'DB Details'!$A:$Q,12)=0,"",VLOOKUP(Table91213[[#This Row],[Date]],'DB Details'!$A:$Q,12))</f>
        <v>56.7</v>
      </c>
    </row>
    <row r="45" spans="1:12" x14ac:dyDescent="0.35">
      <c r="A45" s="50">
        <v>36800</v>
      </c>
      <c r="B45" s="47">
        <f>IF(VLOOKUP(Table91213[[#This Row],[Date]],'DB Details'!$A:$Q,2)=0,"",VLOOKUP(Table91213[[#This Row],[Date]],'DB Details'!$A:$Q,2))</f>
        <v>59.2</v>
      </c>
      <c r="C45" s="48">
        <f>IF(VLOOKUP(Table91213[[#This Row],[Date]],'DB Details'!$A:$Q,3)=0,"",VLOOKUP(Table91213[[#This Row],[Date]],'DB Details'!$A:$Q,3))</f>
        <v>58.9</v>
      </c>
      <c r="D45" s="48">
        <f>IF(VLOOKUP(Table91213[[#This Row],[Date]],'DB Details'!$A:$Q,4)=0,"",VLOOKUP(Table91213[[#This Row],[Date]],'DB Details'!$A:$Q,4))</f>
        <v>53.5</v>
      </c>
      <c r="E45" s="49">
        <f>IF(VLOOKUP(Table91213[[#This Row],[Date]],'DB Details'!$A:$Q,5)=0,"",VLOOKUP(Table91213[[#This Row],[Date]],'DB Details'!$A:$Q,5))</f>
        <v>63.7</v>
      </c>
      <c r="F45" s="48">
        <f>IF(VLOOKUP(Table91213[[#This Row],[Date]],'DB Details'!$A:$Q,6)=0,"",VLOOKUP(Table91213[[#This Row],[Date]],'DB Details'!$A:$Q,6))</f>
        <v>58.6</v>
      </c>
      <c r="G45" s="49">
        <f>IF(VLOOKUP(Table91213[[#This Row],[Date]],'DB Details'!$A:$Q,7)=0,"",VLOOKUP(Table91213[[#This Row],[Date]],'DB Details'!$A:$Q,7))</f>
        <v>67.5</v>
      </c>
      <c r="H45" s="49">
        <f>IF(VLOOKUP(Table91213[[#This Row],[Date]],'DB Details'!$A:$Q,8)=0,"",VLOOKUP(Table91213[[#This Row],[Date]],'DB Details'!$A:$Q,8))</f>
        <v>55</v>
      </c>
      <c r="I45" s="49">
        <f>IF(VLOOKUP(Table91213[[#This Row],[Date]],'DB Details'!$A:$Q,9)=0,"",VLOOKUP(Table91213[[#This Row],[Date]],'DB Details'!$A:$Q,9))</f>
        <v>54.5</v>
      </c>
      <c r="J45" s="49">
        <f>IF(VLOOKUP(Table91213[[#This Row],[Date]],'DB Details'!$A:$Q,10)=0,"",VLOOKUP(Table91213[[#This Row],[Date]],'DB Details'!$A:$Q,10))</f>
        <v>54.5</v>
      </c>
      <c r="K45" s="49">
        <f>IF(VLOOKUP(Table91213[[#This Row],[Date]],'DB Details'!$A:$Q,11)=0,"",VLOOKUP(Table91213[[#This Row],[Date]],'DB Details'!$A:$Q,11))</f>
        <v>55</v>
      </c>
      <c r="L45" s="47">
        <f>IF(VLOOKUP(Table91213[[#This Row],[Date]],'DB Details'!$A:$Q,12)=0,"",VLOOKUP(Table91213[[#This Row],[Date]],'DB Details'!$A:$Q,12))</f>
        <v>56.7</v>
      </c>
    </row>
    <row r="46" spans="1:12" x14ac:dyDescent="0.35">
      <c r="A46" s="50">
        <v>36831</v>
      </c>
      <c r="B46" s="47">
        <f>IF(VLOOKUP(Table91213[[#This Row],[Date]],'DB Details'!$A:$Q,2)=0,"",VLOOKUP(Table91213[[#This Row],[Date]],'DB Details'!$A:$Q,2))</f>
        <v>56.4</v>
      </c>
      <c r="C46" s="48">
        <f>IF(VLOOKUP(Table91213[[#This Row],[Date]],'DB Details'!$A:$Q,3)=0,"",VLOOKUP(Table91213[[#This Row],[Date]],'DB Details'!$A:$Q,3))</f>
        <v>54.7</v>
      </c>
      <c r="D46" s="48">
        <f>IF(VLOOKUP(Table91213[[#This Row],[Date]],'DB Details'!$A:$Q,4)=0,"",VLOOKUP(Table91213[[#This Row],[Date]],'DB Details'!$A:$Q,4))</f>
        <v>49.5</v>
      </c>
      <c r="E46" s="49">
        <f>IF(VLOOKUP(Table91213[[#This Row],[Date]],'DB Details'!$A:$Q,5)=0,"",VLOOKUP(Table91213[[#This Row],[Date]],'DB Details'!$A:$Q,5))</f>
        <v>60.9</v>
      </c>
      <c r="F46" s="48">
        <f>IF(VLOOKUP(Table91213[[#This Row],[Date]],'DB Details'!$A:$Q,6)=0,"",VLOOKUP(Table91213[[#This Row],[Date]],'DB Details'!$A:$Q,6))</f>
        <v>59.7</v>
      </c>
      <c r="G46" s="49">
        <f>IF(VLOOKUP(Table91213[[#This Row],[Date]],'DB Details'!$A:$Q,7)=0,"",VLOOKUP(Table91213[[#This Row],[Date]],'DB Details'!$A:$Q,7))</f>
        <v>66</v>
      </c>
      <c r="H46" s="49">
        <f>IF(VLOOKUP(Table91213[[#This Row],[Date]],'DB Details'!$A:$Q,8)=0,"",VLOOKUP(Table91213[[#This Row],[Date]],'DB Details'!$A:$Q,8))</f>
        <v>49.5</v>
      </c>
      <c r="I46" s="49">
        <f>IF(VLOOKUP(Table91213[[#This Row],[Date]],'DB Details'!$A:$Q,9)=0,"",VLOOKUP(Table91213[[#This Row],[Date]],'DB Details'!$A:$Q,9))</f>
        <v>54</v>
      </c>
      <c r="J46" s="49">
        <f>IF(VLOOKUP(Table91213[[#This Row],[Date]],'DB Details'!$A:$Q,10)=0,"",VLOOKUP(Table91213[[#This Row],[Date]],'DB Details'!$A:$Q,10))</f>
        <v>54.6</v>
      </c>
      <c r="K46" s="49">
        <f>IF(VLOOKUP(Table91213[[#This Row],[Date]],'DB Details'!$A:$Q,11)=0,"",VLOOKUP(Table91213[[#This Row],[Date]],'DB Details'!$A:$Q,11))</f>
        <v>55</v>
      </c>
      <c r="L46" s="47">
        <f>IF(VLOOKUP(Table91213[[#This Row],[Date]],'DB Details'!$A:$Q,12)=0,"",VLOOKUP(Table91213[[#This Row],[Date]],'DB Details'!$A:$Q,12))</f>
        <v>56.2</v>
      </c>
    </row>
    <row r="47" spans="1:12" x14ac:dyDescent="0.35">
      <c r="A47" s="50">
        <v>36861</v>
      </c>
      <c r="B47" s="47">
        <f>IF(VLOOKUP(Table91213[[#This Row],[Date]],'DB Details'!$A:$Q,2)=0,"",VLOOKUP(Table91213[[#This Row],[Date]],'DB Details'!$A:$Q,2))</f>
        <v>54.9</v>
      </c>
      <c r="C47" s="48">
        <f>IF(VLOOKUP(Table91213[[#This Row],[Date]],'DB Details'!$A:$Q,3)=0,"",VLOOKUP(Table91213[[#This Row],[Date]],'DB Details'!$A:$Q,3))</f>
        <v>53.4</v>
      </c>
      <c r="D47" s="48">
        <f>IF(VLOOKUP(Table91213[[#This Row],[Date]],'DB Details'!$A:$Q,4)=0,"",VLOOKUP(Table91213[[#This Row],[Date]],'DB Details'!$A:$Q,4))</f>
        <v>50.5</v>
      </c>
      <c r="E47" s="49">
        <f>IF(VLOOKUP(Table91213[[#This Row],[Date]],'DB Details'!$A:$Q,5)=0,"",VLOOKUP(Table91213[[#This Row],[Date]],'DB Details'!$A:$Q,5))</f>
        <v>63.5</v>
      </c>
      <c r="F47" s="48">
        <f>IF(VLOOKUP(Table91213[[#This Row],[Date]],'DB Details'!$A:$Q,6)=0,"",VLOOKUP(Table91213[[#This Row],[Date]],'DB Details'!$A:$Q,6))</f>
        <v>57.5</v>
      </c>
      <c r="G47" s="49">
        <f>IF(VLOOKUP(Table91213[[#This Row],[Date]],'DB Details'!$A:$Q,7)=0,"",VLOOKUP(Table91213[[#This Row],[Date]],'DB Details'!$A:$Q,7))</f>
        <v>65</v>
      </c>
      <c r="H47" s="49">
        <f>IF(VLOOKUP(Table91213[[#This Row],[Date]],'DB Details'!$A:$Q,8)=0,"",VLOOKUP(Table91213[[#This Row],[Date]],'DB Details'!$A:$Q,8))</f>
        <v>48.5</v>
      </c>
      <c r="I47" s="49">
        <f>IF(VLOOKUP(Table91213[[#This Row],[Date]],'DB Details'!$A:$Q,9)=0,"",VLOOKUP(Table91213[[#This Row],[Date]],'DB Details'!$A:$Q,9))</f>
        <v>51</v>
      </c>
      <c r="J47" s="49">
        <f>IF(VLOOKUP(Table91213[[#This Row],[Date]],'DB Details'!$A:$Q,10)=0,"",VLOOKUP(Table91213[[#This Row],[Date]],'DB Details'!$A:$Q,10))</f>
        <v>52.4</v>
      </c>
      <c r="K47" s="49">
        <f>IF(VLOOKUP(Table91213[[#This Row],[Date]],'DB Details'!$A:$Q,11)=0,"",VLOOKUP(Table91213[[#This Row],[Date]],'DB Details'!$A:$Q,11))</f>
        <v>56.5</v>
      </c>
      <c r="L47" s="47">
        <f>IF(VLOOKUP(Table91213[[#This Row],[Date]],'DB Details'!$A:$Q,12)=0,"",VLOOKUP(Table91213[[#This Row],[Date]],'DB Details'!$A:$Q,12))</f>
        <v>54</v>
      </c>
    </row>
    <row r="48" spans="1:12" x14ac:dyDescent="0.35">
      <c r="A48" s="50">
        <v>36892</v>
      </c>
      <c r="B48" s="47">
        <f>IF(VLOOKUP(Table91213[[#This Row],[Date]],'DB Details'!$A:$Q,2)=0,"",VLOOKUP(Table91213[[#This Row],[Date]],'DB Details'!$A:$Q,2))</f>
        <v>50.8</v>
      </c>
      <c r="C48" s="48">
        <f>IF(VLOOKUP(Table91213[[#This Row],[Date]],'DB Details'!$A:$Q,3)=0,"",VLOOKUP(Table91213[[#This Row],[Date]],'DB Details'!$A:$Q,3))</f>
        <v>49.8</v>
      </c>
      <c r="D48" s="48">
        <f>IF(VLOOKUP(Table91213[[#This Row],[Date]],'DB Details'!$A:$Q,4)=0,"",VLOOKUP(Table91213[[#This Row],[Date]],'DB Details'!$A:$Q,4))</f>
        <v>42.5</v>
      </c>
      <c r="E48" s="49">
        <f>IF(VLOOKUP(Table91213[[#This Row],[Date]],'DB Details'!$A:$Q,5)=0,"",VLOOKUP(Table91213[[#This Row],[Date]],'DB Details'!$A:$Q,5))</f>
        <v>61.8</v>
      </c>
      <c r="F48" s="48">
        <f>IF(VLOOKUP(Table91213[[#This Row],[Date]],'DB Details'!$A:$Q,6)=0,"",VLOOKUP(Table91213[[#This Row],[Date]],'DB Details'!$A:$Q,6))</f>
        <v>52.5</v>
      </c>
      <c r="G48" s="49">
        <f>IF(VLOOKUP(Table91213[[#This Row],[Date]],'DB Details'!$A:$Q,7)=0,"",VLOOKUP(Table91213[[#This Row],[Date]],'DB Details'!$A:$Q,7))</f>
        <v>67.5</v>
      </c>
      <c r="H48" s="49">
        <f>IF(VLOOKUP(Table91213[[#This Row],[Date]],'DB Details'!$A:$Q,8)=0,"",VLOOKUP(Table91213[[#This Row],[Date]],'DB Details'!$A:$Q,8))</f>
        <v>45.5</v>
      </c>
      <c r="I48" s="49">
        <f>IF(VLOOKUP(Table91213[[#This Row],[Date]],'DB Details'!$A:$Q,9)=0,"",VLOOKUP(Table91213[[#This Row],[Date]],'DB Details'!$A:$Q,9))</f>
        <v>51.5</v>
      </c>
      <c r="J48" s="49">
        <f>IF(VLOOKUP(Table91213[[#This Row],[Date]],'DB Details'!$A:$Q,10)=0,"",VLOOKUP(Table91213[[#This Row],[Date]],'DB Details'!$A:$Q,10))</f>
        <v>51.7</v>
      </c>
      <c r="K48" s="49">
        <f>IF(VLOOKUP(Table91213[[#This Row],[Date]],'DB Details'!$A:$Q,11)=0,"",VLOOKUP(Table91213[[#This Row],[Date]],'DB Details'!$A:$Q,11))</f>
        <v>55</v>
      </c>
      <c r="L48" s="47">
        <f>IF(VLOOKUP(Table91213[[#This Row],[Date]],'DB Details'!$A:$Q,12)=0,"",VLOOKUP(Table91213[[#This Row],[Date]],'DB Details'!$A:$Q,12))</f>
        <v>51.6</v>
      </c>
    </row>
    <row r="49" spans="1:12" x14ac:dyDescent="0.35">
      <c r="A49" s="50">
        <v>36923</v>
      </c>
      <c r="B49" s="47">
        <f>IF(VLOOKUP(Table91213[[#This Row],[Date]],'DB Details'!$A:$Q,2)=0,"",VLOOKUP(Table91213[[#This Row],[Date]],'DB Details'!$A:$Q,2))</f>
        <v>51.4</v>
      </c>
      <c r="C49" s="48">
        <f>IF(VLOOKUP(Table91213[[#This Row],[Date]],'DB Details'!$A:$Q,3)=0,"",VLOOKUP(Table91213[[#This Row],[Date]],'DB Details'!$A:$Q,3))</f>
        <v>48.7</v>
      </c>
      <c r="D49" s="48">
        <f>IF(VLOOKUP(Table91213[[#This Row],[Date]],'DB Details'!$A:$Q,4)=0,"",VLOOKUP(Table91213[[#This Row],[Date]],'DB Details'!$A:$Q,4))</f>
        <v>45.5</v>
      </c>
      <c r="E49" s="49">
        <f>IF(VLOOKUP(Table91213[[#This Row],[Date]],'DB Details'!$A:$Q,5)=0,"",VLOOKUP(Table91213[[#This Row],[Date]],'DB Details'!$A:$Q,5))</f>
        <v>58.1</v>
      </c>
      <c r="F49" s="48">
        <f>IF(VLOOKUP(Table91213[[#This Row],[Date]],'DB Details'!$A:$Q,6)=0,"",VLOOKUP(Table91213[[#This Row],[Date]],'DB Details'!$A:$Q,6))</f>
        <v>51.5</v>
      </c>
      <c r="G49" s="49">
        <f>IF(VLOOKUP(Table91213[[#This Row],[Date]],'DB Details'!$A:$Q,7)=0,"",VLOOKUP(Table91213[[#This Row],[Date]],'DB Details'!$A:$Q,7))</f>
        <v>65</v>
      </c>
      <c r="H49" s="49">
        <f>IF(VLOOKUP(Table91213[[#This Row],[Date]],'DB Details'!$A:$Q,8)=0,"",VLOOKUP(Table91213[[#This Row],[Date]],'DB Details'!$A:$Q,8))</f>
        <v>47</v>
      </c>
      <c r="I49" s="49">
        <f>IF(VLOOKUP(Table91213[[#This Row],[Date]],'DB Details'!$A:$Q,9)=0,"",VLOOKUP(Table91213[[#This Row],[Date]],'DB Details'!$A:$Q,9))</f>
        <v>51.5</v>
      </c>
      <c r="J49" s="49">
        <f>IF(VLOOKUP(Table91213[[#This Row],[Date]],'DB Details'!$A:$Q,10)=0,"",VLOOKUP(Table91213[[#This Row],[Date]],'DB Details'!$A:$Q,10))</f>
        <v>50.7</v>
      </c>
      <c r="K49" s="49">
        <f>IF(VLOOKUP(Table91213[[#This Row],[Date]],'DB Details'!$A:$Q,11)=0,"",VLOOKUP(Table91213[[#This Row],[Date]],'DB Details'!$A:$Q,11))</f>
        <v>53.5</v>
      </c>
      <c r="L49" s="47">
        <f>IF(VLOOKUP(Table91213[[#This Row],[Date]],'DB Details'!$A:$Q,12)=0,"",VLOOKUP(Table91213[[#This Row],[Date]],'DB Details'!$A:$Q,12))</f>
        <v>51.3</v>
      </c>
    </row>
    <row r="50" spans="1:12" x14ac:dyDescent="0.35">
      <c r="A50" s="50">
        <v>36951</v>
      </c>
      <c r="B50" s="47">
        <f>IF(VLOOKUP(Table91213[[#This Row],[Date]],'DB Details'!$A:$Q,2)=0,"",VLOOKUP(Table91213[[#This Row],[Date]],'DB Details'!$A:$Q,2))</f>
        <v>52.6</v>
      </c>
      <c r="C50" s="48">
        <f>IF(VLOOKUP(Table91213[[#This Row],[Date]],'DB Details'!$A:$Q,3)=0,"",VLOOKUP(Table91213[[#This Row],[Date]],'DB Details'!$A:$Q,3))</f>
        <v>48.4</v>
      </c>
      <c r="D50" s="48">
        <f>IF(VLOOKUP(Table91213[[#This Row],[Date]],'DB Details'!$A:$Q,4)=0,"",VLOOKUP(Table91213[[#This Row],[Date]],'DB Details'!$A:$Q,4))</f>
        <v>47.5</v>
      </c>
      <c r="E50" s="49">
        <f>IF(VLOOKUP(Table91213[[#This Row],[Date]],'DB Details'!$A:$Q,5)=0,"",VLOOKUP(Table91213[[#This Row],[Date]],'DB Details'!$A:$Q,5))</f>
        <v>55.8</v>
      </c>
      <c r="F50" s="48">
        <f>IF(VLOOKUP(Table91213[[#This Row],[Date]],'DB Details'!$A:$Q,6)=0,"",VLOOKUP(Table91213[[#This Row],[Date]],'DB Details'!$A:$Q,6))</f>
        <v>50</v>
      </c>
      <c r="G50" s="49">
        <f>IF(VLOOKUP(Table91213[[#This Row],[Date]],'DB Details'!$A:$Q,7)=0,"",VLOOKUP(Table91213[[#This Row],[Date]],'DB Details'!$A:$Q,7))</f>
        <v>69</v>
      </c>
      <c r="H50" s="49">
        <f>IF(VLOOKUP(Table91213[[#This Row],[Date]],'DB Details'!$A:$Q,8)=0,"",VLOOKUP(Table91213[[#This Row],[Date]],'DB Details'!$A:$Q,8))</f>
        <v>49</v>
      </c>
      <c r="I50" s="49">
        <f>IF(VLOOKUP(Table91213[[#This Row],[Date]],'DB Details'!$A:$Q,9)=0,"",VLOOKUP(Table91213[[#This Row],[Date]],'DB Details'!$A:$Q,9))</f>
        <v>50.5</v>
      </c>
      <c r="J50" s="49">
        <f>IF(VLOOKUP(Table91213[[#This Row],[Date]],'DB Details'!$A:$Q,10)=0,"",VLOOKUP(Table91213[[#This Row],[Date]],'DB Details'!$A:$Q,10))</f>
        <v>49.6</v>
      </c>
      <c r="K50" s="49">
        <f>IF(VLOOKUP(Table91213[[#This Row],[Date]],'DB Details'!$A:$Q,11)=0,"",VLOOKUP(Table91213[[#This Row],[Date]],'DB Details'!$A:$Q,11))</f>
        <v>49.5</v>
      </c>
      <c r="L50" s="47">
        <f>IF(VLOOKUP(Table91213[[#This Row],[Date]],'DB Details'!$A:$Q,12)=0,"",VLOOKUP(Table91213[[#This Row],[Date]],'DB Details'!$A:$Q,12))</f>
        <v>50.7</v>
      </c>
    </row>
    <row r="51" spans="1:12" x14ac:dyDescent="0.35">
      <c r="A51" s="50">
        <v>36982</v>
      </c>
      <c r="B51" s="47">
        <f>IF(VLOOKUP(Table91213[[#This Row],[Date]],'DB Details'!$A:$Q,2)=0,"",VLOOKUP(Table91213[[#This Row],[Date]],'DB Details'!$A:$Q,2))</f>
        <v>47.2</v>
      </c>
      <c r="C51" s="48">
        <f>IF(VLOOKUP(Table91213[[#This Row],[Date]],'DB Details'!$A:$Q,3)=0,"",VLOOKUP(Table91213[[#This Row],[Date]],'DB Details'!$A:$Q,3))</f>
        <v>49.8</v>
      </c>
      <c r="D51" s="48">
        <f>IF(VLOOKUP(Table91213[[#This Row],[Date]],'DB Details'!$A:$Q,4)=0,"",VLOOKUP(Table91213[[#This Row],[Date]],'DB Details'!$A:$Q,4))</f>
        <v>44</v>
      </c>
      <c r="E51" s="49">
        <f>IF(VLOOKUP(Table91213[[#This Row],[Date]],'DB Details'!$A:$Q,5)=0,"",VLOOKUP(Table91213[[#This Row],[Date]],'DB Details'!$A:$Q,5))</f>
        <v>53.8</v>
      </c>
      <c r="F51" s="48">
        <f>IF(VLOOKUP(Table91213[[#This Row],[Date]],'DB Details'!$A:$Q,6)=0,"",VLOOKUP(Table91213[[#This Row],[Date]],'DB Details'!$A:$Q,6))</f>
        <v>48.3</v>
      </c>
      <c r="G51" s="49">
        <f>IF(VLOOKUP(Table91213[[#This Row],[Date]],'DB Details'!$A:$Q,7)=0,"",VLOOKUP(Table91213[[#This Row],[Date]],'DB Details'!$A:$Q,7))</f>
        <v>64</v>
      </c>
      <c r="H51" s="49">
        <f>IF(VLOOKUP(Table91213[[#This Row],[Date]],'DB Details'!$A:$Q,8)=0,"",VLOOKUP(Table91213[[#This Row],[Date]],'DB Details'!$A:$Q,8))</f>
        <v>45.5</v>
      </c>
      <c r="I51" s="49">
        <f>IF(VLOOKUP(Table91213[[#This Row],[Date]],'DB Details'!$A:$Q,9)=0,"",VLOOKUP(Table91213[[#This Row],[Date]],'DB Details'!$A:$Q,9))</f>
        <v>51</v>
      </c>
      <c r="J51" s="49">
        <f>IF(VLOOKUP(Table91213[[#This Row],[Date]],'DB Details'!$A:$Q,10)=0,"",VLOOKUP(Table91213[[#This Row],[Date]],'DB Details'!$A:$Q,10))</f>
        <v>46.5</v>
      </c>
      <c r="K51" s="49">
        <f>IF(VLOOKUP(Table91213[[#This Row],[Date]],'DB Details'!$A:$Q,11)=0,"",VLOOKUP(Table91213[[#This Row],[Date]],'DB Details'!$A:$Q,11))</f>
        <v>55.5</v>
      </c>
      <c r="L51" s="47">
        <f>IF(VLOOKUP(Table91213[[#This Row],[Date]],'DB Details'!$A:$Q,12)=0,"",VLOOKUP(Table91213[[#This Row],[Date]],'DB Details'!$A:$Q,12))</f>
        <v>48.3</v>
      </c>
    </row>
    <row r="52" spans="1:12" x14ac:dyDescent="0.35">
      <c r="A52" s="50">
        <v>37012</v>
      </c>
      <c r="B52" s="47">
        <f>IF(VLOOKUP(Table91213[[#This Row],[Date]],'DB Details'!$A:$Q,2)=0,"",VLOOKUP(Table91213[[#This Row],[Date]],'DB Details'!$A:$Q,2))</f>
        <v>49.3</v>
      </c>
      <c r="C52" s="48">
        <f>IF(VLOOKUP(Table91213[[#This Row],[Date]],'DB Details'!$A:$Q,3)=0,"",VLOOKUP(Table91213[[#This Row],[Date]],'DB Details'!$A:$Q,3))</f>
        <v>48.7</v>
      </c>
      <c r="D52" s="48">
        <f>IF(VLOOKUP(Table91213[[#This Row],[Date]],'DB Details'!$A:$Q,4)=0,"",VLOOKUP(Table91213[[#This Row],[Date]],'DB Details'!$A:$Q,4))</f>
        <v>46.5</v>
      </c>
      <c r="E52" s="49">
        <f>IF(VLOOKUP(Table91213[[#This Row],[Date]],'DB Details'!$A:$Q,5)=0,"",VLOOKUP(Table91213[[#This Row],[Date]],'DB Details'!$A:$Q,5))</f>
        <v>58.5</v>
      </c>
      <c r="F52" s="48">
        <f>IF(VLOOKUP(Table91213[[#This Row],[Date]],'DB Details'!$A:$Q,6)=0,"",VLOOKUP(Table91213[[#This Row],[Date]],'DB Details'!$A:$Q,6))</f>
        <v>47.9</v>
      </c>
      <c r="G52" s="49">
        <f>IF(VLOOKUP(Table91213[[#This Row],[Date]],'DB Details'!$A:$Q,7)=0,"",VLOOKUP(Table91213[[#This Row],[Date]],'DB Details'!$A:$Q,7))</f>
        <v>63.5</v>
      </c>
      <c r="H52" s="49">
        <f>IF(VLOOKUP(Table91213[[#This Row],[Date]],'DB Details'!$A:$Q,8)=0,"",VLOOKUP(Table91213[[#This Row],[Date]],'DB Details'!$A:$Q,8))</f>
        <v>47.5</v>
      </c>
      <c r="I52" s="49">
        <f>IF(VLOOKUP(Table91213[[#This Row],[Date]],'DB Details'!$A:$Q,9)=0,"",VLOOKUP(Table91213[[#This Row],[Date]],'DB Details'!$A:$Q,9))</f>
        <v>52</v>
      </c>
      <c r="J52" s="49">
        <f>IF(VLOOKUP(Table91213[[#This Row],[Date]],'DB Details'!$A:$Q,10)=0,"",VLOOKUP(Table91213[[#This Row],[Date]],'DB Details'!$A:$Q,10))</f>
        <v>46.7</v>
      </c>
      <c r="K52" s="49">
        <f>IF(VLOOKUP(Table91213[[#This Row],[Date]],'DB Details'!$A:$Q,11)=0,"",VLOOKUP(Table91213[[#This Row],[Date]],'DB Details'!$A:$Q,11))</f>
        <v>48.5</v>
      </c>
      <c r="L52" s="47">
        <f>IF(VLOOKUP(Table91213[[#This Row],[Date]],'DB Details'!$A:$Q,12)=0,"",VLOOKUP(Table91213[[#This Row],[Date]],'DB Details'!$A:$Q,12))</f>
        <v>49</v>
      </c>
    </row>
    <row r="53" spans="1:12" x14ac:dyDescent="0.35">
      <c r="A53" s="50">
        <v>37043</v>
      </c>
      <c r="B53" s="47">
        <f>IF(VLOOKUP(Table91213[[#This Row],[Date]],'DB Details'!$A:$Q,2)=0,"",VLOOKUP(Table91213[[#This Row],[Date]],'DB Details'!$A:$Q,2))</f>
        <v>52.2</v>
      </c>
      <c r="C53" s="48">
        <f>IF(VLOOKUP(Table91213[[#This Row],[Date]],'DB Details'!$A:$Q,3)=0,"",VLOOKUP(Table91213[[#This Row],[Date]],'DB Details'!$A:$Q,3))</f>
        <v>50</v>
      </c>
      <c r="D53" s="48">
        <f>IF(VLOOKUP(Table91213[[#This Row],[Date]],'DB Details'!$A:$Q,4)=0,"",VLOOKUP(Table91213[[#This Row],[Date]],'DB Details'!$A:$Q,4))</f>
        <v>49</v>
      </c>
      <c r="E53" s="49">
        <f>IF(VLOOKUP(Table91213[[#This Row],[Date]],'DB Details'!$A:$Q,5)=0,"",VLOOKUP(Table91213[[#This Row],[Date]],'DB Details'!$A:$Q,5))</f>
        <v>54.5</v>
      </c>
      <c r="F53" s="48">
        <f>IF(VLOOKUP(Table91213[[#This Row],[Date]],'DB Details'!$A:$Q,6)=0,"",VLOOKUP(Table91213[[#This Row],[Date]],'DB Details'!$A:$Q,6))</f>
        <v>51.6</v>
      </c>
      <c r="G53" s="49">
        <f>IF(VLOOKUP(Table91213[[#This Row],[Date]],'DB Details'!$A:$Q,7)=0,"",VLOOKUP(Table91213[[#This Row],[Date]],'DB Details'!$A:$Q,7))</f>
        <v>65</v>
      </c>
      <c r="H53" s="49">
        <f>IF(VLOOKUP(Table91213[[#This Row],[Date]],'DB Details'!$A:$Q,8)=0,"",VLOOKUP(Table91213[[#This Row],[Date]],'DB Details'!$A:$Q,8))</f>
        <v>48.5</v>
      </c>
      <c r="I53" s="49">
        <f>IF(VLOOKUP(Table91213[[#This Row],[Date]],'DB Details'!$A:$Q,9)=0,"",VLOOKUP(Table91213[[#This Row],[Date]],'DB Details'!$A:$Q,9))</f>
        <v>51</v>
      </c>
      <c r="J53" s="49">
        <f>IF(VLOOKUP(Table91213[[#This Row],[Date]],'DB Details'!$A:$Q,10)=0,"",VLOOKUP(Table91213[[#This Row],[Date]],'DB Details'!$A:$Q,10))</f>
        <v>45.6</v>
      </c>
      <c r="K53" s="49">
        <f>IF(VLOOKUP(Table91213[[#This Row],[Date]],'DB Details'!$A:$Q,11)=0,"",VLOOKUP(Table91213[[#This Row],[Date]],'DB Details'!$A:$Q,11))</f>
        <v>49.5</v>
      </c>
      <c r="L53" s="47">
        <f>IF(VLOOKUP(Table91213[[#This Row],[Date]],'DB Details'!$A:$Q,12)=0,"",VLOOKUP(Table91213[[#This Row],[Date]],'DB Details'!$A:$Q,12))</f>
        <v>50.1</v>
      </c>
    </row>
    <row r="54" spans="1:12" x14ac:dyDescent="0.35">
      <c r="A54" s="50">
        <v>37073</v>
      </c>
      <c r="B54" s="47">
        <f>IF(VLOOKUP(Table91213[[#This Row],[Date]],'DB Details'!$A:$Q,2)=0,"",VLOOKUP(Table91213[[#This Row],[Date]],'DB Details'!$A:$Q,2))</f>
        <v>47.5</v>
      </c>
      <c r="C54" s="48">
        <f>IF(VLOOKUP(Table91213[[#This Row],[Date]],'DB Details'!$A:$Q,3)=0,"",VLOOKUP(Table91213[[#This Row],[Date]],'DB Details'!$A:$Q,3))</f>
        <v>50.1</v>
      </c>
      <c r="D54" s="48">
        <f>IF(VLOOKUP(Table91213[[#This Row],[Date]],'DB Details'!$A:$Q,4)=0,"",VLOOKUP(Table91213[[#This Row],[Date]],'DB Details'!$A:$Q,4))</f>
        <v>42.5</v>
      </c>
      <c r="E54" s="49">
        <f>IF(VLOOKUP(Table91213[[#This Row],[Date]],'DB Details'!$A:$Q,5)=0,"",VLOOKUP(Table91213[[#This Row],[Date]],'DB Details'!$A:$Q,5))</f>
        <v>49.9</v>
      </c>
      <c r="F54" s="48">
        <f>IF(VLOOKUP(Table91213[[#This Row],[Date]],'DB Details'!$A:$Q,6)=0,"",VLOOKUP(Table91213[[#This Row],[Date]],'DB Details'!$A:$Q,6))</f>
        <v>48.1</v>
      </c>
      <c r="G54" s="49">
        <f>IF(VLOOKUP(Table91213[[#This Row],[Date]],'DB Details'!$A:$Q,7)=0,"",VLOOKUP(Table91213[[#This Row],[Date]],'DB Details'!$A:$Q,7))</f>
        <v>61.5</v>
      </c>
      <c r="H54" s="49">
        <f>IF(VLOOKUP(Table91213[[#This Row],[Date]],'DB Details'!$A:$Q,8)=0,"",VLOOKUP(Table91213[[#This Row],[Date]],'DB Details'!$A:$Q,8))</f>
        <v>46</v>
      </c>
      <c r="I54" s="49">
        <f>IF(VLOOKUP(Table91213[[#This Row],[Date]],'DB Details'!$A:$Q,9)=0,"",VLOOKUP(Table91213[[#This Row],[Date]],'DB Details'!$A:$Q,9))</f>
        <v>50.5</v>
      </c>
      <c r="J54" s="49">
        <f>IF(VLOOKUP(Table91213[[#This Row],[Date]],'DB Details'!$A:$Q,10)=0,"",VLOOKUP(Table91213[[#This Row],[Date]],'DB Details'!$A:$Q,10))</f>
        <v>46.4</v>
      </c>
      <c r="K54" s="49">
        <f>IF(VLOOKUP(Table91213[[#This Row],[Date]],'DB Details'!$A:$Q,11)=0,"",VLOOKUP(Table91213[[#This Row],[Date]],'DB Details'!$A:$Q,11))</f>
        <v>53</v>
      </c>
      <c r="L54" s="47">
        <f>IF(VLOOKUP(Table91213[[#This Row],[Date]],'DB Details'!$A:$Q,12)=0,"",VLOOKUP(Table91213[[#This Row],[Date]],'DB Details'!$A:$Q,12))</f>
        <v>48.1</v>
      </c>
    </row>
    <row r="55" spans="1:12" x14ac:dyDescent="0.35">
      <c r="A55" s="50">
        <v>37104</v>
      </c>
      <c r="B55" s="47">
        <f>IF(VLOOKUP(Table91213[[#This Row],[Date]],'DB Details'!$A:$Q,2)=0,"",VLOOKUP(Table91213[[#This Row],[Date]],'DB Details'!$A:$Q,2))</f>
        <v>46.5</v>
      </c>
      <c r="C55" s="48">
        <f>IF(VLOOKUP(Table91213[[#This Row],[Date]],'DB Details'!$A:$Q,3)=0,"",VLOOKUP(Table91213[[#This Row],[Date]],'DB Details'!$A:$Q,3))</f>
        <v>52.8</v>
      </c>
      <c r="D55" s="48">
        <f>IF(VLOOKUP(Table91213[[#This Row],[Date]],'DB Details'!$A:$Q,4)=0,"",VLOOKUP(Table91213[[#This Row],[Date]],'DB Details'!$A:$Q,4))</f>
        <v>41.5</v>
      </c>
      <c r="E55" s="49">
        <f>IF(VLOOKUP(Table91213[[#This Row],[Date]],'DB Details'!$A:$Q,5)=0,"",VLOOKUP(Table91213[[#This Row],[Date]],'DB Details'!$A:$Q,5))</f>
        <v>48.9</v>
      </c>
      <c r="F55" s="48">
        <f>IF(VLOOKUP(Table91213[[#This Row],[Date]],'DB Details'!$A:$Q,6)=0,"",VLOOKUP(Table91213[[#This Row],[Date]],'DB Details'!$A:$Q,6))</f>
        <v>47.4</v>
      </c>
      <c r="G55" s="49">
        <f>IF(VLOOKUP(Table91213[[#This Row],[Date]],'DB Details'!$A:$Q,7)=0,"",VLOOKUP(Table91213[[#This Row],[Date]],'DB Details'!$A:$Q,7))</f>
        <v>65.5</v>
      </c>
      <c r="H55" s="49">
        <f>IF(VLOOKUP(Table91213[[#This Row],[Date]],'DB Details'!$A:$Q,8)=0,"",VLOOKUP(Table91213[[#This Row],[Date]],'DB Details'!$A:$Q,8))</f>
        <v>43.5</v>
      </c>
      <c r="I55" s="49">
        <f>IF(VLOOKUP(Table91213[[#This Row],[Date]],'DB Details'!$A:$Q,9)=0,"",VLOOKUP(Table91213[[#This Row],[Date]],'DB Details'!$A:$Q,9))</f>
        <v>48</v>
      </c>
      <c r="J55" s="49">
        <f>IF(VLOOKUP(Table91213[[#This Row],[Date]],'DB Details'!$A:$Q,10)=0,"",VLOOKUP(Table91213[[#This Row],[Date]],'DB Details'!$A:$Q,10))</f>
        <v>45.7</v>
      </c>
      <c r="K55" s="49">
        <f>IF(VLOOKUP(Table91213[[#This Row],[Date]],'DB Details'!$A:$Q,11)=0,"",VLOOKUP(Table91213[[#This Row],[Date]],'DB Details'!$A:$Q,11))</f>
        <v>47.5</v>
      </c>
      <c r="L55" s="47">
        <f>IF(VLOOKUP(Table91213[[#This Row],[Date]],'DB Details'!$A:$Q,12)=0,"",VLOOKUP(Table91213[[#This Row],[Date]],'DB Details'!$A:$Q,12))</f>
        <v>46.9</v>
      </c>
    </row>
    <row r="56" spans="1:12" x14ac:dyDescent="0.35">
      <c r="A56" s="50">
        <v>37135</v>
      </c>
      <c r="B56" s="47">
        <f>IF(VLOOKUP(Table91213[[#This Row],[Date]],'DB Details'!$A:$Q,2)=0,"",VLOOKUP(Table91213[[#This Row],[Date]],'DB Details'!$A:$Q,2))</f>
        <v>50.8</v>
      </c>
      <c r="C56" s="48">
        <f>IF(VLOOKUP(Table91213[[#This Row],[Date]],'DB Details'!$A:$Q,3)=0,"",VLOOKUP(Table91213[[#This Row],[Date]],'DB Details'!$A:$Q,3))</f>
        <v>52.7</v>
      </c>
      <c r="D56" s="48">
        <f>IF(VLOOKUP(Table91213[[#This Row],[Date]],'DB Details'!$A:$Q,4)=0,"",VLOOKUP(Table91213[[#This Row],[Date]],'DB Details'!$A:$Q,4))</f>
        <v>48.5</v>
      </c>
      <c r="E56" s="49">
        <f>IF(VLOOKUP(Table91213[[#This Row],[Date]],'DB Details'!$A:$Q,5)=0,"",VLOOKUP(Table91213[[#This Row],[Date]],'DB Details'!$A:$Q,5))</f>
        <v>50.2</v>
      </c>
      <c r="F56" s="48">
        <f>IF(VLOOKUP(Table91213[[#This Row],[Date]],'DB Details'!$A:$Q,6)=0,"",VLOOKUP(Table91213[[#This Row],[Date]],'DB Details'!$A:$Q,6))</f>
        <v>49.7</v>
      </c>
      <c r="G56" s="49">
        <f>IF(VLOOKUP(Table91213[[#This Row],[Date]],'DB Details'!$A:$Q,7)=0,"",VLOOKUP(Table91213[[#This Row],[Date]],'DB Details'!$A:$Q,7))</f>
        <v>64</v>
      </c>
      <c r="H56" s="49">
        <f>IF(VLOOKUP(Table91213[[#This Row],[Date]],'DB Details'!$A:$Q,8)=0,"",VLOOKUP(Table91213[[#This Row],[Date]],'DB Details'!$A:$Q,8))</f>
        <v>44.5</v>
      </c>
      <c r="I56" s="49">
        <f>IF(VLOOKUP(Table91213[[#This Row],[Date]],'DB Details'!$A:$Q,9)=0,"",VLOOKUP(Table91213[[#This Row],[Date]],'DB Details'!$A:$Q,9))</f>
        <v>51</v>
      </c>
      <c r="J56" s="49">
        <f>IF(VLOOKUP(Table91213[[#This Row],[Date]],'DB Details'!$A:$Q,10)=0,"",VLOOKUP(Table91213[[#This Row],[Date]],'DB Details'!$A:$Q,10))</f>
        <v>46.4</v>
      </c>
      <c r="K56" s="49">
        <f>IF(VLOOKUP(Table91213[[#This Row],[Date]],'DB Details'!$A:$Q,11)=0,"",VLOOKUP(Table91213[[#This Row],[Date]],'DB Details'!$A:$Q,11))</f>
        <v>53.5</v>
      </c>
      <c r="L56" s="47">
        <f>IF(VLOOKUP(Table91213[[#This Row],[Date]],'DB Details'!$A:$Q,12)=0,"",VLOOKUP(Table91213[[#This Row],[Date]],'DB Details'!$A:$Q,12))</f>
        <v>49.5</v>
      </c>
    </row>
    <row r="57" spans="1:12" x14ac:dyDescent="0.35">
      <c r="A57" s="50">
        <v>37165</v>
      </c>
      <c r="B57" s="47">
        <f>IF(VLOOKUP(Table91213[[#This Row],[Date]],'DB Details'!$A:$Q,2)=0,"",VLOOKUP(Table91213[[#This Row],[Date]],'DB Details'!$A:$Q,2))</f>
        <v>41.3</v>
      </c>
      <c r="C57" s="48">
        <f>IF(VLOOKUP(Table91213[[#This Row],[Date]],'DB Details'!$A:$Q,3)=0,"",VLOOKUP(Table91213[[#This Row],[Date]],'DB Details'!$A:$Q,3))</f>
        <v>50.7</v>
      </c>
      <c r="D57" s="48">
        <f>IF(VLOOKUP(Table91213[[#This Row],[Date]],'DB Details'!$A:$Q,4)=0,"",VLOOKUP(Table91213[[#This Row],[Date]],'DB Details'!$A:$Q,4))</f>
        <v>40.5</v>
      </c>
      <c r="E57" s="49">
        <f>IF(VLOOKUP(Table91213[[#This Row],[Date]],'DB Details'!$A:$Q,5)=0,"",VLOOKUP(Table91213[[#This Row],[Date]],'DB Details'!$A:$Q,5))</f>
        <v>43.4</v>
      </c>
      <c r="F57" s="48">
        <f>IF(VLOOKUP(Table91213[[#This Row],[Date]],'DB Details'!$A:$Q,6)=0,"",VLOOKUP(Table91213[[#This Row],[Date]],'DB Details'!$A:$Q,6))</f>
        <v>40.5</v>
      </c>
      <c r="G57" s="49">
        <f>IF(VLOOKUP(Table91213[[#This Row],[Date]],'DB Details'!$A:$Q,7)=0,"",VLOOKUP(Table91213[[#This Row],[Date]],'DB Details'!$A:$Q,7))</f>
        <v>68.5</v>
      </c>
      <c r="H57" s="49">
        <f>IF(VLOOKUP(Table91213[[#This Row],[Date]],'DB Details'!$A:$Q,8)=0,"",VLOOKUP(Table91213[[#This Row],[Date]],'DB Details'!$A:$Q,8))</f>
        <v>48</v>
      </c>
      <c r="I57" s="49">
        <f>IF(VLOOKUP(Table91213[[#This Row],[Date]],'DB Details'!$A:$Q,9)=0,"",VLOOKUP(Table91213[[#This Row],[Date]],'DB Details'!$A:$Q,9))</f>
        <v>53.5</v>
      </c>
      <c r="J57" s="49">
        <f>IF(VLOOKUP(Table91213[[#This Row],[Date]],'DB Details'!$A:$Q,10)=0,"",VLOOKUP(Table91213[[#This Row],[Date]],'DB Details'!$A:$Q,10))</f>
        <v>43.9</v>
      </c>
      <c r="K57" s="49">
        <f>IF(VLOOKUP(Table91213[[#This Row],[Date]],'DB Details'!$A:$Q,11)=0,"",VLOOKUP(Table91213[[#This Row],[Date]],'DB Details'!$A:$Q,11))</f>
        <v>44.5</v>
      </c>
      <c r="L57" s="47">
        <f>IF(VLOOKUP(Table91213[[#This Row],[Date]],'DB Details'!$A:$Q,12)=0,"",VLOOKUP(Table91213[[#This Row],[Date]],'DB Details'!$A:$Q,12))</f>
        <v>44.8</v>
      </c>
    </row>
    <row r="58" spans="1:12" x14ac:dyDescent="0.35">
      <c r="A58" s="50">
        <v>37196</v>
      </c>
      <c r="B58" s="47">
        <f>IF(VLOOKUP(Table91213[[#This Row],[Date]],'DB Details'!$A:$Q,2)=0,"",VLOOKUP(Table91213[[#This Row],[Date]],'DB Details'!$A:$Q,2))</f>
        <v>46.4</v>
      </c>
      <c r="C58" s="48">
        <f>IF(VLOOKUP(Table91213[[#This Row],[Date]],'DB Details'!$A:$Q,3)=0,"",VLOOKUP(Table91213[[#This Row],[Date]],'DB Details'!$A:$Q,3))</f>
        <v>51.6</v>
      </c>
      <c r="D58" s="48">
        <f>IF(VLOOKUP(Table91213[[#This Row],[Date]],'DB Details'!$A:$Q,4)=0,"",VLOOKUP(Table91213[[#This Row],[Date]],'DB Details'!$A:$Q,4))</f>
        <v>42</v>
      </c>
      <c r="E58" s="49">
        <f>IF(VLOOKUP(Table91213[[#This Row],[Date]],'DB Details'!$A:$Q,5)=0,"",VLOOKUP(Table91213[[#This Row],[Date]],'DB Details'!$A:$Q,5))</f>
        <v>41.3</v>
      </c>
      <c r="F58" s="48">
        <f>IF(VLOOKUP(Table91213[[#This Row],[Date]],'DB Details'!$A:$Q,6)=0,"",VLOOKUP(Table91213[[#This Row],[Date]],'DB Details'!$A:$Q,6))</f>
        <v>49.4</v>
      </c>
      <c r="G58" s="49">
        <f>IF(VLOOKUP(Table91213[[#This Row],[Date]],'DB Details'!$A:$Q,7)=0,"",VLOOKUP(Table91213[[#This Row],[Date]],'DB Details'!$A:$Q,7))</f>
        <v>67</v>
      </c>
      <c r="H58" s="49">
        <f>IF(VLOOKUP(Table91213[[#This Row],[Date]],'DB Details'!$A:$Q,8)=0,"",VLOOKUP(Table91213[[#This Row],[Date]],'DB Details'!$A:$Q,8))</f>
        <v>49.5</v>
      </c>
      <c r="I58" s="49">
        <f>IF(VLOOKUP(Table91213[[#This Row],[Date]],'DB Details'!$A:$Q,9)=0,"",VLOOKUP(Table91213[[#This Row],[Date]],'DB Details'!$A:$Q,9))</f>
        <v>52.5</v>
      </c>
      <c r="J58" s="49">
        <f>IF(VLOOKUP(Table91213[[#This Row],[Date]],'DB Details'!$A:$Q,10)=0,"",VLOOKUP(Table91213[[#This Row],[Date]],'DB Details'!$A:$Q,10))</f>
        <v>44.5</v>
      </c>
      <c r="K58" s="49">
        <f>IF(VLOOKUP(Table91213[[#This Row],[Date]],'DB Details'!$A:$Q,11)=0,"",VLOOKUP(Table91213[[#This Row],[Date]],'DB Details'!$A:$Q,11))</f>
        <v>48.5</v>
      </c>
      <c r="L58" s="47">
        <f>IF(VLOOKUP(Table91213[[#This Row],[Date]],'DB Details'!$A:$Q,12)=0,"",VLOOKUP(Table91213[[#This Row],[Date]],'DB Details'!$A:$Q,12))</f>
        <v>48.2</v>
      </c>
    </row>
    <row r="59" spans="1:12" x14ac:dyDescent="0.35">
      <c r="A59" s="50">
        <v>37226</v>
      </c>
      <c r="B59" s="47">
        <f>IF(VLOOKUP(Table91213[[#This Row],[Date]],'DB Details'!$A:$Q,2)=0,"",VLOOKUP(Table91213[[#This Row],[Date]],'DB Details'!$A:$Q,2))</f>
        <v>49.9</v>
      </c>
      <c r="C59" s="48">
        <f>IF(VLOOKUP(Table91213[[#This Row],[Date]],'DB Details'!$A:$Q,3)=0,"",VLOOKUP(Table91213[[#This Row],[Date]],'DB Details'!$A:$Q,3))</f>
        <v>55.9</v>
      </c>
      <c r="D59" s="48">
        <f>IF(VLOOKUP(Table91213[[#This Row],[Date]],'DB Details'!$A:$Q,4)=0,"",VLOOKUP(Table91213[[#This Row],[Date]],'DB Details'!$A:$Q,4))</f>
        <v>46.5</v>
      </c>
      <c r="E59" s="49">
        <f>IF(VLOOKUP(Table91213[[#This Row],[Date]],'DB Details'!$A:$Q,5)=0,"",VLOOKUP(Table91213[[#This Row],[Date]],'DB Details'!$A:$Q,5))</f>
        <v>42.3</v>
      </c>
      <c r="F59" s="48">
        <f>IF(VLOOKUP(Table91213[[#This Row],[Date]],'DB Details'!$A:$Q,6)=0,"",VLOOKUP(Table91213[[#This Row],[Date]],'DB Details'!$A:$Q,6))</f>
        <v>50.7</v>
      </c>
      <c r="G59" s="49">
        <f>IF(VLOOKUP(Table91213[[#This Row],[Date]],'DB Details'!$A:$Q,7)=0,"",VLOOKUP(Table91213[[#This Row],[Date]],'DB Details'!$A:$Q,7))</f>
        <v>66.5</v>
      </c>
      <c r="H59" s="49">
        <f>IF(VLOOKUP(Table91213[[#This Row],[Date]],'DB Details'!$A:$Q,8)=0,"",VLOOKUP(Table91213[[#This Row],[Date]],'DB Details'!$A:$Q,8))</f>
        <v>48.5</v>
      </c>
      <c r="I59" s="49">
        <f>IF(VLOOKUP(Table91213[[#This Row],[Date]],'DB Details'!$A:$Q,9)=0,"",VLOOKUP(Table91213[[#This Row],[Date]],'DB Details'!$A:$Q,9))</f>
        <v>53.5</v>
      </c>
      <c r="J59" s="49">
        <f>IF(VLOOKUP(Table91213[[#This Row],[Date]],'DB Details'!$A:$Q,10)=0,"",VLOOKUP(Table91213[[#This Row],[Date]],'DB Details'!$A:$Q,10))</f>
        <v>44.6</v>
      </c>
      <c r="K59" s="49">
        <f>IF(VLOOKUP(Table91213[[#This Row],[Date]],'DB Details'!$A:$Q,11)=0,"",VLOOKUP(Table91213[[#This Row],[Date]],'DB Details'!$A:$Q,11))</f>
        <v>55</v>
      </c>
      <c r="L59" s="47">
        <f>IF(VLOOKUP(Table91213[[#This Row],[Date]],'DB Details'!$A:$Q,12)=0,"",VLOOKUP(Table91213[[#This Row],[Date]],'DB Details'!$A:$Q,12))</f>
        <v>49.7</v>
      </c>
    </row>
    <row r="60" spans="1:12" x14ac:dyDescent="0.35">
      <c r="A60" s="50">
        <v>37257</v>
      </c>
      <c r="B60" s="47">
        <f>IF(VLOOKUP(Table91213[[#This Row],[Date]],'DB Details'!$A:$Q,2)=0,"",VLOOKUP(Table91213[[#This Row],[Date]],'DB Details'!$A:$Q,2))</f>
        <v>48.3</v>
      </c>
      <c r="C60" s="48">
        <f>IF(VLOOKUP(Table91213[[#This Row],[Date]],'DB Details'!$A:$Q,3)=0,"",VLOOKUP(Table91213[[#This Row],[Date]],'DB Details'!$A:$Q,3))</f>
        <v>55.3</v>
      </c>
      <c r="D60" s="48">
        <f>IF(VLOOKUP(Table91213[[#This Row],[Date]],'DB Details'!$A:$Q,4)=0,"",VLOOKUP(Table91213[[#This Row],[Date]],'DB Details'!$A:$Q,4))</f>
        <v>45.5</v>
      </c>
      <c r="E60" s="49">
        <f>IF(VLOOKUP(Table91213[[#This Row],[Date]],'DB Details'!$A:$Q,5)=0,"",VLOOKUP(Table91213[[#This Row],[Date]],'DB Details'!$A:$Q,5))</f>
        <v>48.8</v>
      </c>
      <c r="F60" s="48">
        <f>IF(VLOOKUP(Table91213[[#This Row],[Date]],'DB Details'!$A:$Q,6)=0,"",VLOOKUP(Table91213[[#This Row],[Date]],'DB Details'!$A:$Q,6))</f>
        <v>49.8</v>
      </c>
      <c r="G60" s="49">
        <f>IF(VLOOKUP(Table91213[[#This Row],[Date]],'DB Details'!$A:$Q,7)=0,"",VLOOKUP(Table91213[[#This Row],[Date]],'DB Details'!$A:$Q,7))</f>
        <v>64.5</v>
      </c>
      <c r="H60" s="49">
        <f>IF(VLOOKUP(Table91213[[#This Row],[Date]],'DB Details'!$A:$Q,8)=0,"",VLOOKUP(Table91213[[#This Row],[Date]],'DB Details'!$A:$Q,8))</f>
        <v>47.5</v>
      </c>
      <c r="I60" s="49">
        <f>IF(VLOOKUP(Table91213[[#This Row],[Date]],'DB Details'!$A:$Q,9)=0,"",VLOOKUP(Table91213[[#This Row],[Date]],'DB Details'!$A:$Q,9))</f>
        <v>53</v>
      </c>
      <c r="J60" s="49">
        <f>IF(VLOOKUP(Table91213[[#This Row],[Date]],'DB Details'!$A:$Q,10)=0,"",VLOOKUP(Table91213[[#This Row],[Date]],'DB Details'!$A:$Q,10))</f>
        <v>44.3</v>
      </c>
      <c r="K60" s="49">
        <f>IF(VLOOKUP(Table91213[[#This Row],[Date]],'DB Details'!$A:$Q,11)=0,"",VLOOKUP(Table91213[[#This Row],[Date]],'DB Details'!$A:$Q,11))</f>
        <v>56.5</v>
      </c>
      <c r="L60" s="47">
        <f>IF(VLOOKUP(Table91213[[#This Row],[Date]],'DB Details'!$A:$Q,12)=0,"",VLOOKUP(Table91213[[#This Row],[Date]],'DB Details'!$A:$Q,12))</f>
        <v>48.9</v>
      </c>
    </row>
    <row r="61" spans="1:12" x14ac:dyDescent="0.35">
      <c r="A61" s="50">
        <v>37288</v>
      </c>
      <c r="B61" s="47">
        <f>IF(VLOOKUP(Table91213[[#This Row],[Date]],'DB Details'!$A:$Q,2)=0,"",VLOOKUP(Table91213[[#This Row],[Date]],'DB Details'!$A:$Q,2))</f>
        <v>56.3</v>
      </c>
      <c r="C61" s="48">
        <f>IF(VLOOKUP(Table91213[[#This Row],[Date]],'DB Details'!$A:$Q,3)=0,"",VLOOKUP(Table91213[[#This Row],[Date]],'DB Details'!$A:$Q,3))</f>
        <v>54.3</v>
      </c>
      <c r="D61" s="48">
        <f>IF(VLOOKUP(Table91213[[#This Row],[Date]],'DB Details'!$A:$Q,4)=0,"",VLOOKUP(Table91213[[#This Row],[Date]],'DB Details'!$A:$Q,4))</f>
        <v>47.5</v>
      </c>
      <c r="E61" s="49">
        <f>IF(VLOOKUP(Table91213[[#This Row],[Date]],'DB Details'!$A:$Q,5)=0,"",VLOOKUP(Table91213[[#This Row],[Date]],'DB Details'!$A:$Q,5))</f>
        <v>47.6</v>
      </c>
      <c r="F61" s="48">
        <f>IF(VLOOKUP(Table91213[[#This Row],[Date]],'DB Details'!$A:$Q,6)=0,"",VLOOKUP(Table91213[[#This Row],[Date]],'DB Details'!$A:$Q,6))</f>
        <v>57.5</v>
      </c>
      <c r="G61" s="49">
        <f>IF(VLOOKUP(Table91213[[#This Row],[Date]],'DB Details'!$A:$Q,7)=0,"",VLOOKUP(Table91213[[#This Row],[Date]],'DB Details'!$A:$Q,7))</f>
        <v>66.5</v>
      </c>
      <c r="H61" s="49">
        <f>IF(VLOOKUP(Table91213[[#This Row],[Date]],'DB Details'!$A:$Q,8)=0,"",VLOOKUP(Table91213[[#This Row],[Date]],'DB Details'!$A:$Q,8))</f>
        <v>51.5</v>
      </c>
      <c r="I61" s="49">
        <f>IF(VLOOKUP(Table91213[[#This Row],[Date]],'DB Details'!$A:$Q,9)=0,"",VLOOKUP(Table91213[[#This Row],[Date]],'DB Details'!$A:$Q,9))</f>
        <v>53</v>
      </c>
      <c r="J61" s="49">
        <f>IF(VLOOKUP(Table91213[[#This Row],[Date]],'DB Details'!$A:$Q,10)=0,"",VLOOKUP(Table91213[[#This Row],[Date]],'DB Details'!$A:$Q,10))</f>
        <v>43.9</v>
      </c>
      <c r="K61" s="49">
        <f>IF(VLOOKUP(Table91213[[#This Row],[Date]],'DB Details'!$A:$Q,11)=0,"",VLOOKUP(Table91213[[#This Row],[Date]],'DB Details'!$A:$Q,11))</f>
        <v>52.5</v>
      </c>
      <c r="L61" s="47">
        <f>IF(VLOOKUP(Table91213[[#This Row],[Date]],'DB Details'!$A:$Q,12)=0,"",VLOOKUP(Table91213[[#This Row],[Date]],'DB Details'!$A:$Q,12))</f>
        <v>52.7</v>
      </c>
    </row>
    <row r="62" spans="1:12" x14ac:dyDescent="0.35">
      <c r="A62" s="50">
        <v>37316</v>
      </c>
      <c r="B62" s="47">
        <f>IF(VLOOKUP(Table91213[[#This Row],[Date]],'DB Details'!$A:$Q,2)=0,"",VLOOKUP(Table91213[[#This Row],[Date]],'DB Details'!$A:$Q,2))</f>
        <v>56.4</v>
      </c>
      <c r="C62" s="48">
        <f>IF(VLOOKUP(Table91213[[#This Row],[Date]],'DB Details'!$A:$Q,3)=0,"",VLOOKUP(Table91213[[#This Row],[Date]],'DB Details'!$A:$Q,3))</f>
        <v>48.9</v>
      </c>
      <c r="D62" s="48">
        <f>IF(VLOOKUP(Table91213[[#This Row],[Date]],'DB Details'!$A:$Q,4)=0,"",VLOOKUP(Table91213[[#This Row],[Date]],'DB Details'!$A:$Q,4))</f>
        <v>49.5</v>
      </c>
      <c r="E62" s="49">
        <f>IF(VLOOKUP(Table91213[[#This Row],[Date]],'DB Details'!$A:$Q,5)=0,"",VLOOKUP(Table91213[[#This Row],[Date]],'DB Details'!$A:$Q,5))</f>
        <v>49.2</v>
      </c>
      <c r="F62" s="48">
        <f>IF(VLOOKUP(Table91213[[#This Row],[Date]],'DB Details'!$A:$Q,6)=0,"",VLOOKUP(Table91213[[#This Row],[Date]],'DB Details'!$A:$Q,6))</f>
        <v>57.1</v>
      </c>
      <c r="G62" s="49">
        <f>IF(VLOOKUP(Table91213[[#This Row],[Date]],'DB Details'!$A:$Q,7)=0,"",VLOOKUP(Table91213[[#This Row],[Date]],'DB Details'!$A:$Q,7))</f>
        <v>65.5</v>
      </c>
      <c r="H62" s="49">
        <f>IF(VLOOKUP(Table91213[[#This Row],[Date]],'DB Details'!$A:$Q,8)=0,"",VLOOKUP(Table91213[[#This Row],[Date]],'DB Details'!$A:$Q,8))</f>
        <v>50</v>
      </c>
      <c r="I62" s="49">
        <f>IF(VLOOKUP(Table91213[[#This Row],[Date]],'DB Details'!$A:$Q,9)=0,"",VLOOKUP(Table91213[[#This Row],[Date]],'DB Details'!$A:$Q,9))</f>
        <v>52</v>
      </c>
      <c r="J62" s="49">
        <f>IF(VLOOKUP(Table91213[[#This Row],[Date]],'DB Details'!$A:$Q,10)=0,"",VLOOKUP(Table91213[[#This Row],[Date]],'DB Details'!$A:$Q,10))</f>
        <v>45.8</v>
      </c>
      <c r="K62" s="49">
        <f>IF(VLOOKUP(Table91213[[#This Row],[Date]],'DB Details'!$A:$Q,11)=0,"",VLOOKUP(Table91213[[#This Row],[Date]],'DB Details'!$A:$Q,11))</f>
        <v>49.5</v>
      </c>
      <c r="L62" s="47">
        <f>IF(VLOOKUP(Table91213[[#This Row],[Date]],'DB Details'!$A:$Q,12)=0,"",VLOOKUP(Table91213[[#This Row],[Date]],'DB Details'!$A:$Q,12))</f>
        <v>52.8</v>
      </c>
    </row>
    <row r="63" spans="1:12" x14ac:dyDescent="0.35">
      <c r="A63" s="50">
        <v>37347</v>
      </c>
      <c r="B63" s="47">
        <f>IF(VLOOKUP(Table91213[[#This Row],[Date]],'DB Details'!$A:$Q,2)=0,"",VLOOKUP(Table91213[[#This Row],[Date]],'DB Details'!$A:$Q,2))</f>
        <v>58.4</v>
      </c>
      <c r="C63" s="48">
        <f>IF(VLOOKUP(Table91213[[#This Row],[Date]],'DB Details'!$A:$Q,3)=0,"",VLOOKUP(Table91213[[#This Row],[Date]],'DB Details'!$A:$Q,3))</f>
        <v>56.2</v>
      </c>
      <c r="D63" s="48">
        <f>IF(VLOOKUP(Table91213[[#This Row],[Date]],'DB Details'!$A:$Q,4)=0,"",VLOOKUP(Table91213[[#This Row],[Date]],'DB Details'!$A:$Q,4))</f>
        <v>48.5</v>
      </c>
      <c r="E63" s="49">
        <f>IF(VLOOKUP(Table91213[[#This Row],[Date]],'DB Details'!$A:$Q,5)=0,"",VLOOKUP(Table91213[[#This Row],[Date]],'DB Details'!$A:$Q,5))</f>
        <v>53.7</v>
      </c>
      <c r="F63" s="48">
        <f>IF(VLOOKUP(Table91213[[#This Row],[Date]],'DB Details'!$A:$Q,6)=0,"",VLOOKUP(Table91213[[#This Row],[Date]],'DB Details'!$A:$Q,6))</f>
        <v>56.3</v>
      </c>
      <c r="G63" s="49">
        <f>IF(VLOOKUP(Table91213[[#This Row],[Date]],'DB Details'!$A:$Q,7)=0,"",VLOOKUP(Table91213[[#This Row],[Date]],'DB Details'!$A:$Q,7))</f>
        <v>63</v>
      </c>
      <c r="H63" s="49">
        <f>IF(VLOOKUP(Table91213[[#This Row],[Date]],'DB Details'!$A:$Q,8)=0,"",VLOOKUP(Table91213[[#This Row],[Date]],'DB Details'!$A:$Q,8))</f>
        <v>52.5</v>
      </c>
      <c r="I63" s="49">
        <f>IF(VLOOKUP(Table91213[[#This Row],[Date]],'DB Details'!$A:$Q,9)=0,"",VLOOKUP(Table91213[[#This Row],[Date]],'DB Details'!$A:$Q,9))</f>
        <v>51.5</v>
      </c>
      <c r="J63" s="49">
        <f>IF(VLOOKUP(Table91213[[#This Row],[Date]],'DB Details'!$A:$Q,10)=0,"",VLOOKUP(Table91213[[#This Row],[Date]],'DB Details'!$A:$Q,10))</f>
        <v>47.8</v>
      </c>
      <c r="K63" s="49">
        <f>IF(VLOOKUP(Table91213[[#This Row],[Date]],'DB Details'!$A:$Q,11)=0,"",VLOOKUP(Table91213[[#This Row],[Date]],'DB Details'!$A:$Q,11))</f>
        <v>52.5</v>
      </c>
      <c r="L63" s="47">
        <f>IF(VLOOKUP(Table91213[[#This Row],[Date]],'DB Details'!$A:$Q,12)=0,"",VLOOKUP(Table91213[[#This Row],[Date]],'DB Details'!$A:$Q,12))</f>
        <v>53.5</v>
      </c>
    </row>
    <row r="64" spans="1:12" x14ac:dyDescent="0.35">
      <c r="A64" s="50">
        <v>37377</v>
      </c>
      <c r="B64" s="47">
        <f>IF(VLOOKUP(Table91213[[#This Row],[Date]],'DB Details'!$A:$Q,2)=0,"",VLOOKUP(Table91213[[#This Row],[Date]],'DB Details'!$A:$Q,2))</f>
        <v>57.3</v>
      </c>
      <c r="C64" s="48">
        <f>IF(VLOOKUP(Table91213[[#This Row],[Date]],'DB Details'!$A:$Q,3)=0,"",VLOOKUP(Table91213[[#This Row],[Date]],'DB Details'!$A:$Q,3))</f>
        <v>54</v>
      </c>
      <c r="D64" s="48">
        <f>IF(VLOOKUP(Table91213[[#This Row],[Date]],'DB Details'!$A:$Q,4)=0,"",VLOOKUP(Table91213[[#This Row],[Date]],'DB Details'!$A:$Q,4))</f>
        <v>53.5</v>
      </c>
      <c r="E64" s="49">
        <f>IF(VLOOKUP(Table91213[[#This Row],[Date]],'DB Details'!$A:$Q,5)=0,"",VLOOKUP(Table91213[[#This Row],[Date]],'DB Details'!$A:$Q,5))</f>
        <v>55.2</v>
      </c>
      <c r="F64" s="48">
        <f>IF(VLOOKUP(Table91213[[#This Row],[Date]],'DB Details'!$A:$Q,6)=0,"",VLOOKUP(Table91213[[#This Row],[Date]],'DB Details'!$A:$Q,6))</f>
        <v>60.5</v>
      </c>
      <c r="G64" s="49">
        <f>IF(VLOOKUP(Table91213[[#This Row],[Date]],'DB Details'!$A:$Q,7)=0,"",VLOOKUP(Table91213[[#This Row],[Date]],'DB Details'!$A:$Q,7))</f>
        <v>65</v>
      </c>
      <c r="H64" s="49">
        <f>IF(VLOOKUP(Table91213[[#This Row],[Date]],'DB Details'!$A:$Q,8)=0,"",VLOOKUP(Table91213[[#This Row],[Date]],'DB Details'!$A:$Q,8))</f>
        <v>48.5</v>
      </c>
      <c r="I64" s="49">
        <f>IF(VLOOKUP(Table91213[[#This Row],[Date]],'DB Details'!$A:$Q,9)=0,"",VLOOKUP(Table91213[[#This Row],[Date]],'DB Details'!$A:$Q,9))</f>
        <v>52</v>
      </c>
      <c r="J64" s="49">
        <f>IF(VLOOKUP(Table91213[[#This Row],[Date]],'DB Details'!$A:$Q,10)=0,"",VLOOKUP(Table91213[[#This Row],[Date]],'DB Details'!$A:$Q,10))</f>
        <v>49.2</v>
      </c>
      <c r="K64" s="49">
        <f>IF(VLOOKUP(Table91213[[#This Row],[Date]],'DB Details'!$A:$Q,11)=0,"",VLOOKUP(Table91213[[#This Row],[Date]],'DB Details'!$A:$Q,11))</f>
        <v>61.5</v>
      </c>
      <c r="L64" s="47">
        <f>IF(VLOOKUP(Table91213[[#This Row],[Date]],'DB Details'!$A:$Q,12)=0,"",VLOOKUP(Table91213[[#This Row],[Date]],'DB Details'!$A:$Q,12))</f>
        <v>54.8</v>
      </c>
    </row>
    <row r="65" spans="1:12" x14ac:dyDescent="0.35">
      <c r="A65" s="50">
        <v>37408</v>
      </c>
      <c r="B65" s="47">
        <f>IF(VLOOKUP(Table91213[[#This Row],[Date]],'DB Details'!$A:$Q,2)=0,"",VLOOKUP(Table91213[[#This Row],[Date]],'DB Details'!$A:$Q,2))</f>
        <v>56.4</v>
      </c>
      <c r="C65" s="48">
        <f>IF(VLOOKUP(Table91213[[#This Row],[Date]],'DB Details'!$A:$Q,3)=0,"",VLOOKUP(Table91213[[#This Row],[Date]],'DB Details'!$A:$Q,3))</f>
        <v>55.2</v>
      </c>
      <c r="D65" s="48">
        <f>IF(VLOOKUP(Table91213[[#This Row],[Date]],'DB Details'!$A:$Q,4)=0,"",VLOOKUP(Table91213[[#This Row],[Date]],'DB Details'!$A:$Q,4))</f>
        <v>49</v>
      </c>
      <c r="E65" s="49">
        <f>IF(VLOOKUP(Table91213[[#This Row],[Date]],'DB Details'!$A:$Q,5)=0,"",VLOOKUP(Table91213[[#This Row],[Date]],'DB Details'!$A:$Q,5))</f>
        <v>53.1</v>
      </c>
      <c r="F65" s="48">
        <f>IF(VLOOKUP(Table91213[[#This Row],[Date]],'DB Details'!$A:$Q,6)=0,"",VLOOKUP(Table91213[[#This Row],[Date]],'DB Details'!$A:$Q,6))</f>
        <v>56.1</v>
      </c>
      <c r="G65" s="49">
        <f>IF(VLOOKUP(Table91213[[#This Row],[Date]],'DB Details'!$A:$Q,7)=0,"",VLOOKUP(Table91213[[#This Row],[Date]],'DB Details'!$A:$Q,7))</f>
        <v>66</v>
      </c>
      <c r="H65" s="49">
        <f>IF(VLOOKUP(Table91213[[#This Row],[Date]],'DB Details'!$A:$Q,8)=0,"",VLOOKUP(Table91213[[#This Row],[Date]],'DB Details'!$A:$Q,8))</f>
        <v>47.5</v>
      </c>
      <c r="I65" s="49">
        <f>IF(VLOOKUP(Table91213[[#This Row],[Date]],'DB Details'!$A:$Q,9)=0,"",VLOOKUP(Table91213[[#This Row],[Date]],'DB Details'!$A:$Q,9))</f>
        <v>53.5</v>
      </c>
      <c r="J65" s="49">
        <f>IF(VLOOKUP(Table91213[[#This Row],[Date]],'DB Details'!$A:$Q,10)=0,"",VLOOKUP(Table91213[[#This Row],[Date]],'DB Details'!$A:$Q,10))</f>
        <v>44</v>
      </c>
      <c r="K65" s="49">
        <f>IF(VLOOKUP(Table91213[[#This Row],[Date]],'DB Details'!$A:$Q,11)=0,"",VLOOKUP(Table91213[[#This Row],[Date]],'DB Details'!$A:$Q,11))</f>
        <v>57.5</v>
      </c>
      <c r="L65" s="47">
        <f>IF(VLOOKUP(Table91213[[#This Row],[Date]],'DB Details'!$A:$Q,12)=0,"",VLOOKUP(Table91213[[#This Row],[Date]],'DB Details'!$A:$Q,12))</f>
        <v>52.5</v>
      </c>
    </row>
    <row r="66" spans="1:12" x14ac:dyDescent="0.35">
      <c r="A66" s="50">
        <v>37438</v>
      </c>
      <c r="B66" s="47">
        <f>IF(VLOOKUP(Table91213[[#This Row],[Date]],'DB Details'!$A:$Q,2)=0,"",VLOOKUP(Table91213[[#This Row],[Date]],'DB Details'!$A:$Q,2))</f>
        <v>50.7</v>
      </c>
      <c r="C66" s="48">
        <f>IF(VLOOKUP(Table91213[[#This Row],[Date]],'DB Details'!$A:$Q,3)=0,"",VLOOKUP(Table91213[[#This Row],[Date]],'DB Details'!$A:$Q,3))</f>
        <v>52.6</v>
      </c>
      <c r="D66" s="48">
        <f>IF(VLOOKUP(Table91213[[#This Row],[Date]],'DB Details'!$A:$Q,4)=0,"",VLOOKUP(Table91213[[#This Row],[Date]],'DB Details'!$A:$Q,4))</f>
        <v>43.5</v>
      </c>
      <c r="E66" s="49">
        <f>IF(VLOOKUP(Table91213[[#This Row],[Date]],'DB Details'!$A:$Q,5)=0,"",VLOOKUP(Table91213[[#This Row],[Date]],'DB Details'!$A:$Q,5))</f>
        <v>60.5</v>
      </c>
      <c r="F66" s="48">
        <f>IF(VLOOKUP(Table91213[[#This Row],[Date]],'DB Details'!$A:$Q,6)=0,"",VLOOKUP(Table91213[[#This Row],[Date]],'DB Details'!$A:$Q,6))</f>
        <v>52.1</v>
      </c>
      <c r="G66" s="49">
        <f>IF(VLOOKUP(Table91213[[#This Row],[Date]],'DB Details'!$A:$Q,7)=0,"",VLOOKUP(Table91213[[#This Row],[Date]],'DB Details'!$A:$Q,7))</f>
        <v>66</v>
      </c>
      <c r="H66" s="49">
        <f>IF(VLOOKUP(Table91213[[#This Row],[Date]],'DB Details'!$A:$Q,8)=0,"",VLOOKUP(Table91213[[#This Row],[Date]],'DB Details'!$A:$Q,8))</f>
        <v>52</v>
      </c>
      <c r="I66" s="49">
        <f>IF(VLOOKUP(Table91213[[#This Row],[Date]],'DB Details'!$A:$Q,9)=0,"",VLOOKUP(Table91213[[#This Row],[Date]],'DB Details'!$A:$Q,9))</f>
        <v>52.5</v>
      </c>
      <c r="J66" s="49">
        <f>IF(VLOOKUP(Table91213[[#This Row],[Date]],'DB Details'!$A:$Q,10)=0,"",VLOOKUP(Table91213[[#This Row],[Date]],'DB Details'!$A:$Q,10))</f>
        <v>46.1</v>
      </c>
      <c r="K66" s="49">
        <f>IF(VLOOKUP(Table91213[[#This Row],[Date]],'DB Details'!$A:$Q,11)=0,"",VLOOKUP(Table91213[[#This Row],[Date]],'DB Details'!$A:$Q,11))</f>
        <v>59.5</v>
      </c>
      <c r="L66" s="47">
        <f>IF(VLOOKUP(Table91213[[#This Row],[Date]],'DB Details'!$A:$Q,12)=0,"",VLOOKUP(Table91213[[#This Row],[Date]],'DB Details'!$A:$Q,12))</f>
        <v>50.4</v>
      </c>
    </row>
    <row r="67" spans="1:12" x14ac:dyDescent="0.35">
      <c r="A67" s="50">
        <v>37469</v>
      </c>
      <c r="B67" s="47">
        <f>IF(VLOOKUP(Table91213[[#This Row],[Date]],'DB Details'!$A:$Q,2)=0,"",VLOOKUP(Table91213[[#This Row],[Date]],'DB Details'!$A:$Q,2))</f>
        <v>51.6</v>
      </c>
      <c r="C67" s="48">
        <f>IF(VLOOKUP(Table91213[[#This Row],[Date]],'DB Details'!$A:$Q,3)=0,"",VLOOKUP(Table91213[[#This Row],[Date]],'DB Details'!$A:$Q,3))</f>
        <v>48.3</v>
      </c>
      <c r="D67" s="48">
        <f>IF(VLOOKUP(Table91213[[#This Row],[Date]],'DB Details'!$A:$Q,4)=0,"",VLOOKUP(Table91213[[#This Row],[Date]],'DB Details'!$A:$Q,4))</f>
        <v>48</v>
      </c>
      <c r="E67" s="49">
        <f>IF(VLOOKUP(Table91213[[#This Row],[Date]],'DB Details'!$A:$Q,5)=0,"",VLOOKUP(Table91213[[#This Row],[Date]],'DB Details'!$A:$Q,5))</f>
        <v>55.1</v>
      </c>
      <c r="F67" s="48">
        <f>IF(VLOOKUP(Table91213[[#This Row],[Date]],'DB Details'!$A:$Q,6)=0,"",VLOOKUP(Table91213[[#This Row],[Date]],'DB Details'!$A:$Q,6))</f>
        <v>51.9</v>
      </c>
      <c r="G67" s="49">
        <f>IF(VLOOKUP(Table91213[[#This Row],[Date]],'DB Details'!$A:$Q,7)=0,"",VLOOKUP(Table91213[[#This Row],[Date]],'DB Details'!$A:$Q,7))</f>
        <v>62</v>
      </c>
      <c r="H67" s="49">
        <f>IF(VLOOKUP(Table91213[[#This Row],[Date]],'DB Details'!$A:$Q,8)=0,"",VLOOKUP(Table91213[[#This Row],[Date]],'DB Details'!$A:$Q,8))</f>
        <v>46</v>
      </c>
      <c r="I67" s="49">
        <f>IF(VLOOKUP(Table91213[[#This Row],[Date]],'DB Details'!$A:$Q,9)=0,"",VLOOKUP(Table91213[[#This Row],[Date]],'DB Details'!$A:$Q,9))</f>
        <v>53</v>
      </c>
      <c r="J67" s="49">
        <f>IF(VLOOKUP(Table91213[[#This Row],[Date]],'DB Details'!$A:$Q,10)=0,"",VLOOKUP(Table91213[[#This Row],[Date]],'DB Details'!$A:$Q,10))</f>
        <v>47.2</v>
      </c>
      <c r="K67" s="49">
        <f>IF(VLOOKUP(Table91213[[#This Row],[Date]],'DB Details'!$A:$Q,11)=0,"",VLOOKUP(Table91213[[#This Row],[Date]],'DB Details'!$A:$Q,11))</f>
        <v>46</v>
      </c>
      <c r="L67" s="47">
        <f>IF(VLOOKUP(Table91213[[#This Row],[Date]],'DB Details'!$A:$Q,12)=0,"",VLOOKUP(Table91213[[#This Row],[Date]],'DB Details'!$A:$Q,12))</f>
        <v>50.9</v>
      </c>
    </row>
    <row r="68" spans="1:12" x14ac:dyDescent="0.35">
      <c r="A68" s="50">
        <v>37500</v>
      </c>
      <c r="B68" s="47">
        <f>IF(VLOOKUP(Table91213[[#This Row],[Date]],'DB Details'!$A:$Q,2)=0,"",VLOOKUP(Table91213[[#This Row],[Date]],'DB Details'!$A:$Q,2))</f>
        <v>54.8</v>
      </c>
      <c r="C68" s="48">
        <f>IF(VLOOKUP(Table91213[[#This Row],[Date]],'DB Details'!$A:$Q,3)=0,"",VLOOKUP(Table91213[[#This Row],[Date]],'DB Details'!$A:$Q,3))</f>
        <v>44.7</v>
      </c>
      <c r="D68" s="48">
        <f>IF(VLOOKUP(Table91213[[#This Row],[Date]],'DB Details'!$A:$Q,4)=0,"",VLOOKUP(Table91213[[#This Row],[Date]],'DB Details'!$A:$Q,4))</f>
        <v>51</v>
      </c>
      <c r="E68" s="49">
        <f>IF(VLOOKUP(Table91213[[#This Row],[Date]],'DB Details'!$A:$Q,5)=0,"",VLOOKUP(Table91213[[#This Row],[Date]],'DB Details'!$A:$Q,5))</f>
        <v>53.4</v>
      </c>
      <c r="F68" s="48">
        <f>IF(VLOOKUP(Table91213[[#This Row],[Date]],'DB Details'!$A:$Q,6)=0,"",VLOOKUP(Table91213[[#This Row],[Date]],'DB Details'!$A:$Q,6))</f>
        <v>54.9</v>
      </c>
      <c r="G68" s="49">
        <f>IF(VLOOKUP(Table91213[[#This Row],[Date]],'DB Details'!$A:$Q,7)=0,"",VLOOKUP(Table91213[[#This Row],[Date]],'DB Details'!$A:$Q,7))</f>
        <v>66</v>
      </c>
      <c r="H68" s="49">
        <f>IF(VLOOKUP(Table91213[[#This Row],[Date]],'DB Details'!$A:$Q,8)=0,"",VLOOKUP(Table91213[[#This Row],[Date]],'DB Details'!$A:$Q,8))</f>
        <v>44.5</v>
      </c>
      <c r="I68" s="49">
        <f>IF(VLOOKUP(Table91213[[#This Row],[Date]],'DB Details'!$A:$Q,9)=0,"",VLOOKUP(Table91213[[#This Row],[Date]],'DB Details'!$A:$Q,9))</f>
        <v>52.5</v>
      </c>
      <c r="J68" s="49">
        <f>IF(VLOOKUP(Table91213[[#This Row],[Date]],'DB Details'!$A:$Q,10)=0,"",VLOOKUP(Table91213[[#This Row],[Date]],'DB Details'!$A:$Q,10))</f>
        <v>47.1</v>
      </c>
      <c r="K68" s="49">
        <f>IF(VLOOKUP(Table91213[[#This Row],[Date]],'DB Details'!$A:$Q,11)=0,"",VLOOKUP(Table91213[[#This Row],[Date]],'DB Details'!$A:$Q,11))</f>
        <v>57.5</v>
      </c>
      <c r="L68" s="47">
        <f>IF(VLOOKUP(Table91213[[#This Row],[Date]],'DB Details'!$A:$Q,12)=0,"",VLOOKUP(Table91213[[#This Row],[Date]],'DB Details'!$A:$Q,12))</f>
        <v>52.3</v>
      </c>
    </row>
    <row r="69" spans="1:12" x14ac:dyDescent="0.35">
      <c r="A69" s="50">
        <v>37530</v>
      </c>
      <c r="B69" s="47">
        <f>IF(VLOOKUP(Table91213[[#This Row],[Date]],'DB Details'!$A:$Q,2)=0,"",VLOOKUP(Table91213[[#This Row],[Date]],'DB Details'!$A:$Q,2))</f>
        <v>52.3</v>
      </c>
      <c r="C69" s="48">
        <f>IF(VLOOKUP(Table91213[[#This Row],[Date]],'DB Details'!$A:$Q,3)=0,"",VLOOKUP(Table91213[[#This Row],[Date]],'DB Details'!$A:$Q,3))</f>
        <v>54.9</v>
      </c>
      <c r="D69" s="48">
        <f>IF(VLOOKUP(Table91213[[#This Row],[Date]],'DB Details'!$A:$Q,4)=0,"",VLOOKUP(Table91213[[#This Row],[Date]],'DB Details'!$A:$Q,4))</f>
        <v>52</v>
      </c>
      <c r="E69" s="49">
        <f>IF(VLOOKUP(Table91213[[#This Row],[Date]],'DB Details'!$A:$Q,5)=0,"",VLOOKUP(Table91213[[#This Row],[Date]],'DB Details'!$A:$Q,5))</f>
        <v>56.1</v>
      </c>
      <c r="F69" s="48">
        <f>IF(VLOOKUP(Table91213[[#This Row],[Date]],'DB Details'!$A:$Q,6)=0,"",VLOOKUP(Table91213[[#This Row],[Date]],'DB Details'!$A:$Q,6))</f>
        <v>53.1</v>
      </c>
      <c r="G69" s="49">
        <f>IF(VLOOKUP(Table91213[[#This Row],[Date]],'DB Details'!$A:$Q,7)=0,"",VLOOKUP(Table91213[[#This Row],[Date]],'DB Details'!$A:$Q,7))</f>
        <v>64.5</v>
      </c>
      <c r="H69" s="49">
        <f>IF(VLOOKUP(Table91213[[#This Row],[Date]],'DB Details'!$A:$Q,8)=0,"",VLOOKUP(Table91213[[#This Row],[Date]],'DB Details'!$A:$Q,8))</f>
        <v>44</v>
      </c>
      <c r="I69" s="49">
        <f>IF(VLOOKUP(Table91213[[#This Row],[Date]],'DB Details'!$A:$Q,9)=0,"",VLOOKUP(Table91213[[#This Row],[Date]],'DB Details'!$A:$Q,9))</f>
        <v>53.5</v>
      </c>
      <c r="J69" s="49">
        <f>IF(VLOOKUP(Table91213[[#This Row],[Date]],'DB Details'!$A:$Q,10)=0,"",VLOOKUP(Table91213[[#This Row],[Date]],'DB Details'!$A:$Q,10))</f>
        <v>46.6</v>
      </c>
      <c r="K69" s="49">
        <f>IF(VLOOKUP(Table91213[[#This Row],[Date]],'DB Details'!$A:$Q,11)=0,"",VLOOKUP(Table91213[[#This Row],[Date]],'DB Details'!$A:$Q,11))</f>
        <v>49</v>
      </c>
      <c r="L69" s="47">
        <f>IF(VLOOKUP(Table91213[[#This Row],[Date]],'DB Details'!$A:$Q,12)=0,"",VLOOKUP(Table91213[[#This Row],[Date]],'DB Details'!$A:$Q,12))</f>
        <v>51.4</v>
      </c>
    </row>
    <row r="70" spans="1:12" x14ac:dyDescent="0.35">
      <c r="A70" s="50">
        <v>37561</v>
      </c>
      <c r="B70" s="47">
        <f>IF(VLOOKUP(Table91213[[#This Row],[Date]],'DB Details'!$A:$Q,2)=0,"",VLOOKUP(Table91213[[#This Row],[Date]],'DB Details'!$A:$Q,2))</f>
        <v>56.4</v>
      </c>
      <c r="C70" s="48">
        <f>IF(VLOOKUP(Table91213[[#This Row],[Date]],'DB Details'!$A:$Q,3)=0,"",VLOOKUP(Table91213[[#This Row],[Date]],'DB Details'!$A:$Q,3))</f>
        <v>55.1</v>
      </c>
      <c r="D70" s="48">
        <f>IF(VLOOKUP(Table91213[[#This Row],[Date]],'DB Details'!$A:$Q,4)=0,"",VLOOKUP(Table91213[[#This Row],[Date]],'DB Details'!$A:$Q,4))</f>
        <v>50.5</v>
      </c>
      <c r="E70" s="49">
        <f>IF(VLOOKUP(Table91213[[#This Row],[Date]],'DB Details'!$A:$Q,5)=0,"",VLOOKUP(Table91213[[#This Row],[Date]],'DB Details'!$A:$Q,5))</f>
        <v>57.6</v>
      </c>
      <c r="F70" s="48">
        <f>IF(VLOOKUP(Table91213[[#This Row],[Date]],'DB Details'!$A:$Q,6)=0,"",VLOOKUP(Table91213[[#This Row],[Date]],'DB Details'!$A:$Q,6))</f>
        <v>56.8</v>
      </c>
      <c r="G70" s="49">
        <f>IF(VLOOKUP(Table91213[[#This Row],[Date]],'DB Details'!$A:$Q,7)=0,"",VLOOKUP(Table91213[[#This Row],[Date]],'DB Details'!$A:$Q,7))</f>
        <v>61</v>
      </c>
      <c r="H70" s="49">
        <f>IF(VLOOKUP(Table91213[[#This Row],[Date]],'DB Details'!$A:$Q,8)=0,"",VLOOKUP(Table91213[[#This Row],[Date]],'DB Details'!$A:$Q,8))</f>
        <v>44</v>
      </c>
      <c r="I70" s="49">
        <f>IF(VLOOKUP(Table91213[[#This Row],[Date]],'DB Details'!$A:$Q,9)=0,"",VLOOKUP(Table91213[[#This Row],[Date]],'DB Details'!$A:$Q,9))</f>
        <v>52.5</v>
      </c>
      <c r="J70" s="49">
        <f>IF(VLOOKUP(Table91213[[#This Row],[Date]],'DB Details'!$A:$Q,10)=0,"",VLOOKUP(Table91213[[#This Row],[Date]],'DB Details'!$A:$Q,10))</f>
        <v>46</v>
      </c>
      <c r="K70" s="49">
        <f>IF(VLOOKUP(Table91213[[#This Row],[Date]],'DB Details'!$A:$Q,11)=0,"",VLOOKUP(Table91213[[#This Row],[Date]],'DB Details'!$A:$Q,11))</f>
        <v>58.5</v>
      </c>
      <c r="L70" s="47">
        <f>IF(VLOOKUP(Table91213[[#This Row],[Date]],'DB Details'!$A:$Q,12)=0,"",VLOOKUP(Table91213[[#This Row],[Date]],'DB Details'!$A:$Q,12))</f>
        <v>52.9</v>
      </c>
    </row>
    <row r="71" spans="1:12" x14ac:dyDescent="0.35">
      <c r="A71" s="50">
        <v>37591</v>
      </c>
      <c r="B71" s="47">
        <f>IF(VLOOKUP(Table91213[[#This Row],[Date]],'DB Details'!$A:$Q,2)=0,"",VLOOKUP(Table91213[[#This Row],[Date]],'DB Details'!$A:$Q,2))</f>
        <v>54.2</v>
      </c>
      <c r="C71" s="48">
        <f>IF(VLOOKUP(Table91213[[#This Row],[Date]],'DB Details'!$A:$Q,3)=0,"",VLOOKUP(Table91213[[#This Row],[Date]],'DB Details'!$A:$Q,3))</f>
        <v>51.8</v>
      </c>
      <c r="D71" s="48">
        <f>IF(VLOOKUP(Table91213[[#This Row],[Date]],'DB Details'!$A:$Q,4)=0,"",VLOOKUP(Table91213[[#This Row],[Date]],'DB Details'!$A:$Q,4))</f>
        <v>51.5</v>
      </c>
      <c r="E71" s="49">
        <f>IF(VLOOKUP(Table91213[[#This Row],[Date]],'DB Details'!$A:$Q,5)=0,"",VLOOKUP(Table91213[[#This Row],[Date]],'DB Details'!$A:$Q,5))</f>
        <v>56.5</v>
      </c>
      <c r="F71" s="48">
        <f>IF(VLOOKUP(Table91213[[#This Row],[Date]],'DB Details'!$A:$Q,6)=0,"",VLOOKUP(Table91213[[#This Row],[Date]],'DB Details'!$A:$Q,6))</f>
        <v>55.5</v>
      </c>
      <c r="G71" s="49">
        <f>IF(VLOOKUP(Table91213[[#This Row],[Date]],'DB Details'!$A:$Q,7)=0,"",VLOOKUP(Table91213[[#This Row],[Date]],'DB Details'!$A:$Q,7))</f>
        <v>63</v>
      </c>
      <c r="H71" s="49">
        <f>IF(VLOOKUP(Table91213[[#This Row],[Date]],'DB Details'!$A:$Q,8)=0,"",VLOOKUP(Table91213[[#This Row],[Date]],'DB Details'!$A:$Q,8))</f>
        <v>45.5</v>
      </c>
      <c r="I71" s="49">
        <f>IF(VLOOKUP(Table91213[[#This Row],[Date]],'DB Details'!$A:$Q,9)=0,"",VLOOKUP(Table91213[[#This Row],[Date]],'DB Details'!$A:$Q,9))</f>
        <v>52.5</v>
      </c>
      <c r="J71" s="49">
        <f>IF(VLOOKUP(Table91213[[#This Row],[Date]],'DB Details'!$A:$Q,10)=0,"",VLOOKUP(Table91213[[#This Row],[Date]],'DB Details'!$A:$Q,10))</f>
        <v>47</v>
      </c>
      <c r="K71" s="49">
        <f>IF(VLOOKUP(Table91213[[#This Row],[Date]],'DB Details'!$A:$Q,11)=0,"",VLOOKUP(Table91213[[#This Row],[Date]],'DB Details'!$A:$Q,11))</f>
        <v>54</v>
      </c>
      <c r="L71" s="47">
        <f>IF(VLOOKUP(Table91213[[#This Row],[Date]],'DB Details'!$A:$Q,12)=0,"",VLOOKUP(Table91213[[#This Row],[Date]],'DB Details'!$A:$Q,12))</f>
        <v>52.3</v>
      </c>
    </row>
    <row r="72" spans="1:12" x14ac:dyDescent="0.35">
      <c r="A72" s="50">
        <v>37622</v>
      </c>
      <c r="B72" s="47">
        <f>IF(VLOOKUP(Table91213[[#This Row],[Date]],'DB Details'!$A:$Q,2)=0,"",VLOOKUP(Table91213[[#This Row],[Date]],'DB Details'!$A:$Q,2))</f>
        <v>54.4</v>
      </c>
      <c r="C72" s="48">
        <f>IF(VLOOKUP(Table91213[[#This Row],[Date]],'DB Details'!$A:$Q,3)=0,"",VLOOKUP(Table91213[[#This Row],[Date]],'DB Details'!$A:$Q,3))</f>
        <v>56.5</v>
      </c>
      <c r="D72" s="48">
        <f>IF(VLOOKUP(Table91213[[#This Row],[Date]],'DB Details'!$A:$Q,4)=0,"",VLOOKUP(Table91213[[#This Row],[Date]],'DB Details'!$A:$Q,4))</f>
        <v>48</v>
      </c>
      <c r="E72" s="49">
        <f>IF(VLOOKUP(Table91213[[#This Row],[Date]],'DB Details'!$A:$Q,5)=0,"",VLOOKUP(Table91213[[#This Row],[Date]],'DB Details'!$A:$Q,5))</f>
        <v>58</v>
      </c>
      <c r="F72" s="48">
        <f>IF(VLOOKUP(Table91213[[#This Row],[Date]],'DB Details'!$A:$Q,6)=0,"",VLOOKUP(Table91213[[#This Row],[Date]],'DB Details'!$A:$Q,6))</f>
        <v>56.2</v>
      </c>
      <c r="G72" s="49">
        <f>IF(VLOOKUP(Table91213[[#This Row],[Date]],'DB Details'!$A:$Q,7)=0,"",VLOOKUP(Table91213[[#This Row],[Date]],'DB Details'!$A:$Q,7))</f>
        <v>64.5</v>
      </c>
      <c r="H72" s="49">
        <f>IF(VLOOKUP(Table91213[[#This Row],[Date]],'DB Details'!$A:$Q,8)=0,"",VLOOKUP(Table91213[[#This Row],[Date]],'DB Details'!$A:$Q,8))</f>
        <v>46.5</v>
      </c>
      <c r="I72" s="49">
        <f>IF(VLOOKUP(Table91213[[#This Row],[Date]],'DB Details'!$A:$Q,9)=0,"",VLOOKUP(Table91213[[#This Row],[Date]],'DB Details'!$A:$Q,9))</f>
        <v>52</v>
      </c>
      <c r="J72" s="49">
        <f>IF(VLOOKUP(Table91213[[#This Row],[Date]],'DB Details'!$A:$Q,10)=0,"",VLOOKUP(Table91213[[#This Row],[Date]],'DB Details'!$A:$Q,10))</f>
        <v>50.5</v>
      </c>
      <c r="K72" s="49">
        <f>IF(VLOOKUP(Table91213[[#This Row],[Date]],'DB Details'!$A:$Q,11)=0,"",VLOOKUP(Table91213[[#This Row],[Date]],'DB Details'!$A:$Q,11))</f>
        <v>53</v>
      </c>
      <c r="L72" s="47">
        <f>IF(VLOOKUP(Table91213[[#This Row],[Date]],'DB Details'!$A:$Q,12)=0,"",VLOOKUP(Table91213[[#This Row],[Date]],'DB Details'!$A:$Q,12))</f>
        <v>53.3</v>
      </c>
    </row>
    <row r="73" spans="1:12" x14ac:dyDescent="0.35">
      <c r="A73" s="50">
        <v>37653</v>
      </c>
      <c r="B73" s="47">
        <f>IF(VLOOKUP(Table91213[[#This Row],[Date]],'DB Details'!$A:$Q,2)=0,"",VLOOKUP(Table91213[[#This Row],[Date]],'DB Details'!$A:$Q,2))</f>
        <v>53.9</v>
      </c>
      <c r="C73" s="48">
        <f>IF(VLOOKUP(Table91213[[#This Row],[Date]],'DB Details'!$A:$Q,3)=0,"",VLOOKUP(Table91213[[#This Row],[Date]],'DB Details'!$A:$Q,3))</f>
        <v>51.5</v>
      </c>
      <c r="D73" s="48">
        <f>IF(VLOOKUP(Table91213[[#This Row],[Date]],'DB Details'!$A:$Q,4)=0,"",VLOOKUP(Table91213[[#This Row],[Date]],'DB Details'!$A:$Q,4))</f>
        <v>50</v>
      </c>
      <c r="E73" s="49">
        <f>IF(VLOOKUP(Table91213[[#This Row],[Date]],'DB Details'!$A:$Q,5)=0,"",VLOOKUP(Table91213[[#This Row],[Date]],'DB Details'!$A:$Q,5))</f>
        <v>60.5</v>
      </c>
      <c r="F73" s="48">
        <f>IF(VLOOKUP(Table91213[[#This Row],[Date]],'DB Details'!$A:$Q,6)=0,"",VLOOKUP(Table91213[[#This Row],[Date]],'DB Details'!$A:$Q,6))</f>
        <v>55.6</v>
      </c>
      <c r="G73" s="49">
        <f>IF(VLOOKUP(Table91213[[#This Row],[Date]],'DB Details'!$A:$Q,7)=0,"",VLOOKUP(Table91213[[#This Row],[Date]],'DB Details'!$A:$Q,7))</f>
        <v>66.5</v>
      </c>
      <c r="H73" s="49">
        <f>IF(VLOOKUP(Table91213[[#This Row],[Date]],'DB Details'!$A:$Q,8)=0,"",VLOOKUP(Table91213[[#This Row],[Date]],'DB Details'!$A:$Q,8))</f>
        <v>48.5</v>
      </c>
      <c r="I73" s="49">
        <f>IF(VLOOKUP(Table91213[[#This Row],[Date]],'DB Details'!$A:$Q,9)=0,"",VLOOKUP(Table91213[[#This Row],[Date]],'DB Details'!$A:$Q,9))</f>
        <v>52.5</v>
      </c>
      <c r="J73" s="49">
        <f>IF(VLOOKUP(Table91213[[#This Row],[Date]],'DB Details'!$A:$Q,10)=0,"",VLOOKUP(Table91213[[#This Row],[Date]],'DB Details'!$A:$Q,10))</f>
        <v>48.5</v>
      </c>
      <c r="K73" s="49">
        <f>IF(VLOOKUP(Table91213[[#This Row],[Date]],'DB Details'!$A:$Q,11)=0,"",VLOOKUP(Table91213[[#This Row],[Date]],'DB Details'!$A:$Q,11))</f>
        <v>58.5</v>
      </c>
      <c r="L73" s="47">
        <f>IF(VLOOKUP(Table91213[[#This Row],[Date]],'DB Details'!$A:$Q,12)=0,"",VLOOKUP(Table91213[[#This Row],[Date]],'DB Details'!$A:$Q,12))</f>
        <v>52.6</v>
      </c>
    </row>
    <row r="74" spans="1:12" x14ac:dyDescent="0.35">
      <c r="A74" s="50">
        <v>37681</v>
      </c>
      <c r="B74" s="47">
        <f>IF(VLOOKUP(Table91213[[#This Row],[Date]],'DB Details'!$A:$Q,2)=0,"",VLOOKUP(Table91213[[#This Row],[Date]],'DB Details'!$A:$Q,2))</f>
        <v>49.9</v>
      </c>
      <c r="C74" s="48">
        <f>IF(VLOOKUP(Table91213[[#This Row],[Date]],'DB Details'!$A:$Q,3)=0,"",VLOOKUP(Table91213[[#This Row],[Date]],'DB Details'!$A:$Q,3))</f>
        <v>55</v>
      </c>
      <c r="D74" s="48">
        <f>IF(VLOOKUP(Table91213[[#This Row],[Date]],'DB Details'!$A:$Q,4)=0,"",VLOOKUP(Table91213[[#This Row],[Date]],'DB Details'!$A:$Q,4))</f>
        <v>47.5</v>
      </c>
      <c r="E74" s="49">
        <f>IF(VLOOKUP(Table91213[[#This Row],[Date]],'DB Details'!$A:$Q,5)=0,"",VLOOKUP(Table91213[[#This Row],[Date]],'DB Details'!$A:$Q,5))</f>
        <v>59.4</v>
      </c>
      <c r="F74" s="48">
        <f>IF(VLOOKUP(Table91213[[#This Row],[Date]],'DB Details'!$A:$Q,6)=0,"",VLOOKUP(Table91213[[#This Row],[Date]],'DB Details'!$A:$Q,6))</f>
        <v>46.3</v>
      </c>
      <c r="G74" s="49">
        <f>IF(VLOOKUP(Table91213[[#This Row],[Date]],'DB Details'!$A:$Q,7)=0,"",VLOOKUP(Table91213[[#This Row],[Date]],'DB Details'!$A:$Q,7))</f>
        <v>66</v>
      </c>
      <c r="H74" s="49">
        <f>IF(VLOOKUP(Table91213[[#This Row],[Date]],'DB Details'!$A:$Q,8)=0,"",VLOOKUP(Table91213[[#This Row],[Date]],'DB Details'!$A:$Q,8))</f>
        <v>49.5</v>
      </c>
      <c r="I74" s="49">
        <f>IF(VLOOKUP(Table91213[[#This Row],[Date]],'DB Details'!$A:$Q,9)=0,"",VLOOKUP(Table91213[[#This Row],[Date]],'DB Details'!$A:$Q,9))</f>
        <v>52</v>
      </c>
      <c r="J74" s="49">
        <f>IF(VLOOKUP(Table91213[[#This Row],[Date]],'DB Details'!$A:$Q,10)=0,"",VLOOKUP(Table91213[[#This Row],[Date]],'DB Details'!$A:$Q,10))</f>
        <v>48.1</v>
      </c>
      <c r="K74" s="49">
        <f>IF(VLOOKUP(Table91213[[#This Row],[Date]],'DB Details'!$A:$Q,11)=0,"",VLOOKUP(Table91213[[#This Row],[Date]],'DB Details'!$A:$Q,11))</f>
        <v>48.5</v>
      </c>
      <c r="L74" s="47">
        <f>IF(VLOOKUP(Table91213[[#This Row],[Date]],'DB Details'!$A:$Q,12)=0,"",VLOOKUP(Table91213[[#This Row],[Date]],'DB Details'!$A:$Q,12))</f>
        <v>49.1</v>
      </c>
    </row>
    <row r="75" spans="1:12" x14ac:dyDescent="0.35">
      <c r="A75" s="50">
        <v>37712</v>
      </c>
      <c r="B75" s="47">
        <f>IF(VLOOKUP(Table91213[[#This Row],[Date]],'DB Details'!$A:$Q,2)=0,"",VLOOKUP(Table91213[[#This Row],[Date]],'DB Details'!$A:$Q,2))</f>
        <v>50.4</v>
      </c>
      <c r="C75" s="48">
        <f>IF(VLOOKUP(Table91213[[#This Row],[Date]],'DB Details'!$A:$Q,3)=0,"",VLOOKUP(Table91213[[#This Row],[Date]],'DB Details'!$A:$Q,3))</f>
        <v>50</v>
      </c>
      <c r="D75" s="48">
        <f>IF(VLOOKUP(Table91213[[#This Row],[Date]],'DB Details'!$A:$Q,4)=0,"",VLOOKUP(Table91213[[#This Row],[Date]],'DB Details'!$A:$Q,4))</f>
        <v>46</v>
      </c>
      <c r="E75" s="49">
        <f>IF(VLOOKUP(Table91213[[#This Row],[Date]],'DB Details'!$A:$Q,5)=0,"",VLOOKUP(Table91213[[#This Row],[Date]],'DB Details'!$A:$Q,5))</f>
        <v>55.7</v>
      </c>
      <c r="F75" s="48">
        <f>IF(VLOOKUP(Table91213[[#This Row],[Date]],'DB Details'!$A:$Q,6)=0,"",VLOOKUP(Table91213[[#This Row],[Date]],'DB Details'!$A:$Q,6))</f>
        <v>50.7</v>
      </c>
      <c r="G75" s="49">
        <f>IF(VLOOKUP(Table91213[[#This Row],[Date]],'DB Details'!$A:$Q,7)=0,"",VLOOKUP(Table91213[[#This Row],[Date]],'DB Details'!$A:$Q,7))</f>
        <v>62.5</v>
      </c>
      <c r="H75" s="49">
        <f>IF(VLOOKUP(Table91213[[#This Row],[Date]],'DB Details'!$A:$Q,8)=0,"",VLOOKUP(Table91213[[#This Row],[Date]],'DB Details'!$A:$Q,8))</f>
        <v>51</v>
      </c>
      <c r="I75" s="49">
        <f>IF(VLOOKUP(Table91213[[#This Row],[Date]],'DB Details'!$A:$Q,9)=0,"",VLOOKUP(Table91213[[#This Row],[Date]],'DB Details'!$A:$Q,9))</f>
        <v>50.5</v>
      </c>
      <c r="J75" s="49">
        <f>IF(VLOOKUP(Table91213[[#This Row],[Date]],'DB Details'!$A:$Q,10)=0,"",VLOOKUP(Table91213[[#This Row],[Date]],'DB Details'!$A:$Q,10))</f>
        <v>48.7</v>
      </c>
      <c r="K75" s="49">
        <f>IF(VLOOKUP(Table91213[[#This Row],[Date]],'DB Details'!$A:$Q,11)=0,"",VLOOKUP(Table91213[[#This Row],[Date]],'DB Details'!$A:$Q,11))</f>
        <v>52.5</v>
      </c>
      <c r="L75" s="47">
        <f>IF(VLOOKUP(Table91213[[#This Row],[Date]],'DB Details'!$A:$Q,12)=0,"",VLOOKUP(Table91213[[#This Row],[Date]],'DB Details'!$A:$Q,12))</f>
        <v>50.1</v>
      </c>
    </row>
    <row r="76" spans="1:12" x14ac:dyDescent="0.35">
      <c r="A76" s="50">
        <v>37742</v>
      </c>
      <c r="B76" s="47">
        <f>IF(VLOOKUP(Table91213[[#This Row],[Date]],'DB Details'!$A:$Q,2)=0,"",VLOOKUP(Table91213[[#This Row],[Date]],'DB Details'!$A:$Q,2))</f>
        <v>55.9</v>
      </c>
      <c r="C76" s="48">
        <f>IF(VLOOKUP(Table91213[[#This Row],[Date]],'DB Details'!$A:$Q,3)=0,"",VLOOKUP(Table91213[[#This Row],[Date]],'DB Details'!$A:$Q,3))</f>
        <v>58.5</v>
      </c>
      <c r="D76" s="48">
        <f>IF(VLOOKUP(Table91213[[#This Row],[Date]],'DB Details'!$A:$Q,4)=0,"",VLOOKUP(Table91213[[#This Row],[Date]],'DB Details'!$A:$Q,4))</f>
        <v>51</v>
      </c>
      <c r="E76" s="49">
        <f>IF(VLOOKUP(Table91213[[#This Row],[Date]],'DB Details'!$A:$Q,5)=0,"",VLOOKUP(Table91213[[#This Row],[Date]],'DB Details'!$A:$Q,5))</f>
        <v>50</v>
      </c>
      <c r="F76" s="48">
        <f>IF(VLOOKUP(Table91213[[#This Row],[Date]],'DB Details'!$A:$Q,6)=0,"",VLOOKUP(Table91213[[#This Row],[Date]],'DB Details'!$A:$Q,6))</f>
        <v>54.6</v>
      </c>
      <c r="G76" s="49">
        <f>IF(VLOOKUP(Table91213[[#This Row],[Date]],'DB Details'!$A:$Q,7)=0,"",VLOOKUP(Table91213[[#This Row],[Date]],'DB Details'!$A:$Q,7))</f>
        <v>63</v>
      </c>
      <c r="H76" s="49">
        <f>IF(VLOOKUP(Table91213[[#This Row],[Date]],'DB Details'!$A:$Q,8)=0,"",VLOOKUP(Table91213[[#This Row],[Date]],'DB Details'!$A:$Q,8))</f>
        <v>52.5</v>
      </c>
      <c r="I76" s="49">
        <f>IF(VLOOKUP(Table91213[[#This Row],[Date]],'DB Details'!$A:$Q,9)=0,"",VLOOKUP(Table91213[[#This Row],[Date]],'DB Details'!$A:$Q,9))</f>
        <v>52</v>
      </c>
      <c r="J76" s="49">
        <f>IF(VLOOKUP(Table91213[[#This Row],[Date]],'DB Details'!$A:$Q,10)=0,"",VLOOKUP(Table91213[[#This Row],[Date]],'DB Details'!$A:$Q,10))</f>
        <v>48.5</v>
      </c>
      <c r="K76" s="49">
        <f>IF(VLOOKUP(Table91213[[#This Row],[Date]],'DB Details'!$A:$Q,11)=0,"",VLOOKUP(Table91213[[#This Row],[Date]],'DB Details'!$A:$Q,11))</f>
        <v>49</v>
      </c>
      <c r="L76" s="47">
        <f>IF(VLOOKUP(Table91213[[#This Row],[Date]],'DB Details'!$A:$Q,12)=0,"",VLOOKUP(Table91213[[#This Row],[Date]],'DB Details'!$A:$Q,12))</f>
        <v>52.8</v>
      </c>
    </row>
    <row r="77" spans="1:12" x14ac:dyDescent="0.35">
      <c r="A77" s="50">
        <v>37773</v>
      </c>
      <c r="B77" s="47">
        <f>IF(VLOOKUP(Table91213[[#This Row],[Date]],'DB Details'!$A:$Q,2)=0,"",VLOOKUP(Table91213[[#This Row],[Date]],'DB Details'!$A:$Q,2))</f>
        <v>57.1</v>
      </c>
      <c r="C77" s="48">
        <f>IF(VLOOKUP(Table91213[[#This Row],[Date]],'DB Details'!$A:$Q,3)=0,"",VLOOKUP(Table91213[[#This Row],[Date]],'DB Details'!$A:$Q,3))</f>
        <v>50.5</v>
      </c>
      <c r="D77" s="48">
        <f>IF(VLOOKUP(Table91213[[#This Row],[Date]],'DB Details'!$A:$Q,4)=0,"",VLOOKUP(Table91213[[#This Row],[Date]],'DB Details'!$A:$Q,4))</f>
        <v>51.5</v>
      </c>
      <c r="E77" s="49">
        <f>IF(VLOOKUP(Table91213[[#This Row],[Date]],'DB Details'!$A:$Q,5)=0,"",VLOOKUP(Table91213[[#This Row],[Date]],'DB Details'!$A:$Q,5))</f>
        <v>52.3</v>
      </c>
      <c r="F77" s="48">
        <f>IF(VLOOKUP(Table91213[[#This Row],[Date]],'DB Details'!$A:$Q,6)=0,"",VLOOKUP(Table91213[[#This Row],[Date]],'DB Details'!$A:$Q,6))</f>
        <v>59.2</v>
      </c>
      <c r="G77" s="49">
        <f>IF(VLOOKUP(Table91213[[#This Row],[Date]],'DB Details'!$A:$Q,7)=0,"",VLOOKUP(Table91213[[#This Row],[Date]],'DB Details'!$A:$Q,7))</f>
        <v>62</v>
      </c>
      <c r="H77" s="49">
        <f>IF(VLOOKUP(Table91213[[#This Row],[Date]],'DB Details'!$A:$Q,8)=0,"",VLOOKUP(Table91213[[#This Row],[Date]],'DB Details'!$A:$Q,8))</f>
        <v>47</v>
      </c>
      <c r="I77" s="49">
        <f>IF(VLOOKUP(Table91213[[#This Row],[Date]],'DB Details'!$A:$Q,9)=0,"",VLOOKUP(Table91213[[#This Row],[Date]],'DB Details'!$A:$Q,9))</f>
        <v>51.5</v>
      </c>
      <c r="J77" s="49">
        <f>IF(VLOOKUP(Table91213[[#This Row],[Date]],'DB Details'!$A:$Q,10)=0,"",VLOOKUP(Table91213[[#This Row],[Date]],'DB Details'!$A:$Q,10))</f>
        <v>49.3</v>
      </c>
      <c r="K77" s="49">
        <f>IF(VLOOKUP(Table91213[[#This Row],[Date]],'DB Details'!$A:$Q,11)=0,"",VLOOKUP(Table91213[[#This Row],[Date]],'DB Details'!$A:$Q,11))</f>
        <v>49.5</v>
      </c>
      <c r="L77" s="47">
        <f>IF(VLOOKUP(Table91213[[#This Row],[Date]],'DB Details'!$A:$Q,12)=0,"",VLOOKUP(Table91213[[#This Row],[Date]],'DB Details'!$A:$Q,12))</f>
        <v>54.3</v>
      </c>
    </row>
    <row r="78" spans="1:12" x14ac:dyDescent="0.35">
      <c r="A78" s="50">
        <v>37803</v>
      </c>
      <c r="B78" s="47">
        <f>IF(VLOOKUP(Table91213[[#This Row],[Date]],'DB Details'!$A:$Q,2)=0,"",VLOOKUP(Table91213[[#This Row],[Date]],'DB Details'!$A:$Q,2))</f>
        <v>62.3</v>
      </c>
      <c r="C78" s="48">
        <f>IF(VLOOKUP(Table91213[[#This Row],[Date]],'DB Details'!$A:$Q,3)=0,"",VLOOKUP(Table91213[[#This Row],[Date]],'DB Details'!$A:$Q,3))</f>
        <v>54</v>
      </c>
      <c r="D78" s="48">
        <f>IF(VLOOKUP(Table91213[[#This Row],[Date]],'DB Details'!$A:$Q,4)=0,"",VLOOKUP(Table91213[[#This Row],[Date]],'DB Details'!$A:$Q,4))</f>
        <v>54.5</v>
      </c>
      <c r="E78" s="49">
        <f>IF(VLOOKUP(Table91213[[#This Row],[Date]],'DB Details'!$A:$Q,5)=0,"",VLOOKUP(Table91213[[#This Row],[Date]],'DB Details'!$A:$Q,5))</f>
        <v>51.4</v>
      </c>
      <c r="F78" s="48">
        <f>IF(VLOOKUP(Table91213[[#This Row],[Date]],'DB Details'!$A:$Q,6)=0,"",VLOOKUP(Table91213[[#This Row],[Date]],'DB Details'!$A:$Q,6))</f>
        <v>62.7</v>
      </c>
      <c r="G78" s="49">
        <f>IF(VLOOKUP(Table91213[[#This Row],[Date]],'DB Details'!$A:$Q,7)=0,"",VLOOKUP(Table91213[[#This Row],[Date]],'DB Details'!$A:$Q,7))</f>
        <v>60</v>
      </c>
      <c r="H78" s="49">
        <f>IF(VLOOKUP(Table91213[[#This Row],[Date]],'DB Details'!$A:$Q,8)=0,"",VLOOKUP(Table91213[[#This Row],[Date]],'DB Details'!$A:$Q,8))</f>
        <v>49.5</v>
      </c>
      <c r="I78" s="49">
        <f>IF(VLOOKUP(Table91213[[#This Row],[Date]],'DB Details'!$A:$Q,9)=0,"",VLOOKUP(Table91213[[#This Row],[Date]],'DB Details'!$A:$Q,9))</f>
        <v>53.5</v>
      </c>
      <c r="J78" s="49">
        <f>IF(VLOOKUP(Table91213[[#This Row],[Date]],'DB Details'!$A:$Q,10)=0,"",VLOOKUP(Table91213[[#This Row],[Date]],'DB Details'!$A:$Q,10))</f>
        <v>50.5</v>
      </c>
      <c r="K78" s="49">
        <f>IF(VLOOKUP(Table91213[[#This Row],[Date]],'DB Details'!$A:$Q,11)=0,"",VLOOKUP(Table91213[[#This Row],[Date]],'DB Details'!$A:$Q,11))</f>
        <v>47.5</v>
      </c>
      <c r="L78" s="47">
        <f>IF(VLOOKUP(Table91213[[#This Row],[Date]],'DB Details'!$A:$Q,12)=0,"",VLOOKUP(Table91213[[#This Row],[Date]],'DB Details'!$A:$Q,12))</f>
        <v>57.3</v>
      </c>
    </row>
    <row r="79" spans="1:12" x14ac:dyDescent="0.35">
      <c r="A79" s="50">
        <v>37834</v>
      </c>
      <c r="B79" s="47">
        <f>IF(VLOOKUP(Table91213[[#This Row],[Date]],'DB Details'!$A:$Q,2)=0,"",VLOOKUP(Table91213[[#This Row],[Date]],'DB Details'!$A:$Q,2))</f>
        <v>66.900000000000006</v>
      </c>
      <c r="C79" s="48">
        <f>IF(VLOOKUP(Table91213[[#This Row],[Date]],'DB Details'!$A:$Q,3)=0,"",VLOOKUP(Table91213[[#This Row],[Date]],'DB Details'!$A:$Q,3))</f>
        <v>60</v>
      </c>
      <c r="D79" s="48">
        <f>IF(VLOOKUP(Table91213[[#This Row],[Date]],'DB Details'!$A:$Q,4)=0,"",VLOOKUP(Table91213[[#This Row],[Date]],'DB Details'!$A:$Q,4))</f>
        <v>51.5</v>
      </c>
      <c r="E79" s="49">
        <f>IF(VLOOKUP(Table91213[[#This Row],[Date]],'DB Details'!$A:$Q,5)=0,"",VLOOKUP(Table91213[[#This Row],[Date]],'DB Details'!$A:$Q,5))</f>
        <v>56.1</v>
      </c>
      <c r="F79" s="48">
        <f>IF(VLOOKUP(Table91213[[#This Row],[Date]],'DB Details'!$A:$Q,6)=0,"",VLOOKUP(Table91213[[#This Row],[Date]],'DB Details'!$A:$Q,6))</f>
        <v>65.099999999999994</v>
      </c>
      <c r="G79" s="49">
        <f>IF(VLOOKUP(Table91213[[#This Row],[Date]],'DB Details'!$A:$Q,7)=0,"",VLOOKUP(Table91213[[#This Row],[Date]],'DB Details'!$A:$Q,7))</f>
        <v>62</v>
      </c>
      <c r="H79" s="49">
        <f>IF(VLOOKUP(Table91213[[#This Row],[Date]],'DB Details'!$A:$Q,8)=0,"",VLOOKUP(Table91213[[#This Row],[Date]],'DB Details'!$A:$Q,8))</f>
        <v>49</v>
      </c>
      <c r="I79" s="49">
        <f>IF(VLOOKUP(Table91213[[#This Row],[Date]],'DB Details'!$A:$Q,9)=0,"",VLOOKUP(Table91213[[#This Row],[Date]],'DB Details'!$A:$Q,9))</f>
        <v>52.5</v>
      </c>
      <c r="J79" s="49">
        <f>IF(VLOOKUP(Table91213[[#This Row],[Date]],'DB Details'!$A:$Q,10)=0,"",VLOOKUP(Table91213[[#This Row],[Date]],'DB Details'!$A:$Q,10))</f>
        <v>51.7</v>
      </c>
      <c r="K79" s="49">
        <f>IF(VLOOKUP(Table91213[[#This Row],[Date]],'DB Details'!$A:$Q,11)=0,"",VLOOKUP(Table91213[[#This Row],[Date]],'DB Details'!$A:$Q,11))</f>
        <v>58.5</v>
      </c>
      <c r="L79" s="47">
        <f>IF(VLOOKUP(Table91213[[#This Row],[Date]],'DB Details'!$A:$Q,12)=0,"",VLOOKUP(Table91213[[#This Row],[Date]],'DB Details'!$A:$Q,12))</f>
        <v>59.1</v>
      </c>
    </row>
    <row r="80" spans="1:12" x14ac:dyDescent="0.35">
      <c r="A80" s="50">
        <v>37865</v>
      </c>
      <c r="B80" s="47">
        <f>IF(VLOOKUP(Table91213[[#This Row],[Date]],'DB Details'!$A:$Q,2)=0,"",VLOOKUP(Table91213[[#This Row],[Date]],'DB Details'!$A:$Q,2))</f>
        <v>61.4</v>
      </c>
      <c r="C80" s="48">
        <f>IF(VLOOKUP(Table91213[[#This Row],[Date]],'DB Details'!$A:$Q,3)=0,"",VLOOKUP(Table91213[[#This Row],[Date]],'DB Details'!$A:$Q,3))</f>
        <v>55</v>
      </c>
      <c r="D80" s="48">
        <f>IF(VLOOKUP(Table91213[[#This Row],[Date]],'DB Details'!$A:$Q,4)=0,"",VLOOKUP(Table91213[[#This Row],[Date]],'DB Details'!$A:$Q,4))</f>
        <v>57</v>
      </c>
      <c r="E80" s="49">
        <f>IF(VLOOKUP(Table91213[[#This Row],[Date]],'DB Details'!$A:$Q,5)=0,"",VLOOKUP(Table91213[[#This Row],[Date]],'DB Details'!$A:$Q,5))</f>
        <v>59.5</v>
      </c>
      <c r="F80" s="48">
        <f>IF(VLOOKUP(Table91213[[#This Row],[Date]],'DB Details'!$A:$Q,6)=0,"",VLOOKUP(Table91213[[#This Row],[Date]],'DB Details'!$A:$Q,6))</f>
        <v>63.8</v>
      </c>
      <c r="G80" s="49">
        <f>IF(VLOOKUP(Table91213[[#This Row],[Date]],'DB Details'!$A:$Q,7)=0,"",VLOOKUP(Table91213[[#This Row],[Date]],'DB Details'!$A:$Q,7))</f>
        <v>60.5</v>
      </c>
      <c r="H80" s="49">
        <f>IF(VLOOKUP(Table91213[[#This Row],[Date]],'DB Details'!$A:$Q,8)=0,"",VLOOKUP(Table91213[[#This Row],[Date]],'DB Details'!$A:$Q,8))</f>
        <v>47.5</v>
      </c>
      <c r="I80" s="49">
        <f>IF(VLOOKUP(Table91213[[#This Row],[Date]],'DB Details'!$A:$Q,9)=0,"",VLOOKUP(Table91213[[#This Row],[Date]],'DB Details'!$A:$Q,9))</f>
        <v>55</v>
      </c>
      <c r="J80" s="49">
        <f>IF(VLOOKUP(Table91213[[#This Row],[Date]],'DB Details'!$A:$Q,10)=0,"",VLOOKUP(Table91213[[#This Row],[Date]],'DB Details'!$A:$Q,10))</f>
        <v>50.1</v>
      </c>
      <c r="K80" s="49">
        <f>IF(VLOOKUP(Table91213[[#This Row],[Date]],'DB Details'!$A:$Q,11)=0,"",VLOOKUP(Table91213[[#This Row],[Date]],'DB Details'!$A:$Q,11))</f>
        <v>56</v>
      </c>
      <c r="L80" s="47">
        <f>IF(VLOOKUP(Table91213[[#This Row],[Date]],'DB Details'!$A:$Q,12)=0,"",VLOOKUP(Table91213[[#This Row],[Date]],'DB Details'!$A:$Q,12))</f>
        <v>57.6</v>
      </c>
    </row>
    <row r="81" spans="1:12" x14ac:dyDescent="0.35">
      <c r="A81" s="50">
        <v>37895</v>
      </c>
      <c r="B81" s="47">
        <f>IF(VLOOKUP(Table91213[[#This Row],[Date]],'DB Details'!$A:$Q,2)=0,"",VLOOKUP(Table91213[[#This Row],[Date]],'DB Details'!$A:$Q,2))</f>
        <v>64.2</v>
      </c>
      <c r="C81" s="48">
        <f>IF(VLOOKUP(Table91213[[#This Row],[Date]],'DB Details'!$A:$Q,3)=0,"",VLOOKUP(Table91213[[#This Row],[Date]],'DB Details'!$A:$Q,3))</f>
        <v>56</v>
      </c>
      <c r="D81" s="48">
        <f>IF(VLOOKUP(Table91213[[#This Row],[Date]],'DB Details'!$A:$Q,4)=0,"",VLOOKUP(Table91213[[#This Row],[Date]],'DB Details'!$A:$Q,4))</f>
        <v>54</v>
      </c>
      <c r="E81" s="49">
        <f>IF(VLOOKUP(Table91213[[#This Row],[Date]],'DB Details'!$A:$Q,5)=0,"",VLOOKUP(Table91213[[#This Row],[Date]],'DB Details'!$A:$Q,5))</f>
        <v>57.2</v>
      </c>
      <c r="F81" s="48">
        <f>IF(VLOOKUP(Table91213[[#This Row],[Date]],'DB Details'!$A:$Q,6)=0,"",VLOOKUP(Table91213[[#This Row],[Date]],'DB Details'!$A:$Q,6))</f>
        <v>64.400000000000006</v>
      </c>
      <c r="G81" s="49">
        <f>IF(VLOOKUP(Table91213[[#This Row],[Date]],'DB Details'!$A:$Q,7)=0,"",VLOOKUP(Table91213[[#This Row],[Date]],'DB Details'!$A:$Q,7))</f>
        <v>60</v>
      </c>
      <c r="H81" s="49">
        <f>IF(VLOOKUP(Table91213[[#This Row],[Date]],'DB Details'!$A:$Q,8)=0,"",VLOOKUP(Table91213[[#This Row],[Date]],'DB Details'!$A:$Q,8))</f>
        <v>49</v>
      </c>
      <c r="I81" s="49">
        <f>IF(VLOOKUP(Table91213[[#This Row],[Date]],'DB Details'!$A:$Q,9)=0,"",VLOOKUP(Table91213[[#This Row],[Date]],'DB Details'!$A:$Q,9))</f>
        <v>53</v>
      </c>
      <c r="J81" s="49">
        <f>IF(VLOOKUP(Table91213[[#This Row],[Date]],'DB Details'!$A:$Q,10)=0,"",VLOOKUP(Table91213[[#This Row],[Date]],'DB Details'!$A:$Q,10))</f>
        <v>53</v>
      </c>
      <c r="K81" s="49">
        <f>IF(VLOOKUP(Table91213[[#This Row],[Date]],'DB Details'!$A:$Q,11)=0,"",VLOOKUP(Table91213[[#This Row],[Date]],'DB Details'!$A:$Q,11))</f>
        <v>58</v>
      </c>
      <c r="L81" s="47">
        <f>IF(VLOOKUP(Table91213[[#This Row],[Date]],'DB Details'!$A:$Q,12)=0,"",VLOOKUP(Table91213[[#This Row],[Date]],'DB Details'!$A:$Q,12))</f>
        <v>58.7</v>
      </c>
    </row>
    <row r="82" spans="1:12" x14ac:dyDescent="0.35">
      <c r="A82" s="50">
        <v>37926</v>
      </c>
      <c r="B82" s="47">
        <f>IF(VLOOKUP(Table91213[[#This Row],[Date]],'DB Details'!$A:$Q,2)=0,"",VLOOKUP(Table91213[[#This Row],[Date]],'DB Details'!$A:$Q,2))</f>
        <v>61.3</v>
      </c>
      <c r="C82" s="48">
        <f>IF(VLOOKUP(Table91213[[#This Row],[Date]],'DB Details'!$A:$Q,3)=0,"",VLOOKUP(Table91213[[#This Row],[Date]],'DB Details'!$A:$Q,3))</f>
        <v>57.5</v>
      </c>
      <c r="D82" s="48">
        <f>IF(VLOOKUP(Table91213[[#This Row],[Date]],'DB Details'!$A:$Q,4)=0,"",VLOOKUP(Table91213[[#This Row],[Date]],'DB Details'!$A:$Q,4))</f>
        <v>52.5</v>
      </c>
      <c r="E82" s="49">
        <f>IF(VLOOKUP(Table91213[[#This Row],[Date]],'DB Details'!$A:$Q,5)=0,"",VLOOKUP(Table91213[[#This Row],[Date]],'DB Details'!$A:$Q,5))</f>
        <v>58.5</v>
      </c>
      <c r="F82" s="48">
        <f>IF(VLOOKUP(Table91213[[#This Row],[Date]],'DB Details'!$A:$Q,6)=0,"",VLOOKUP(Table91213[[#This Row],[Date]],'DB Details'!$A:$Q,6))</f>
        <v>61.1</v>
      </c>
      <c r="G82" s="49">
        <f>IF(VLOOKUP(Table91213[[#This Row],[Date]],'DB Details'!$A:$Q,7)=0,"",VLOOKUP(Table91213[[#This Row],[Date]],'DB Details'!$A:$Q,7))</f>
        <v>62</v>
      </c>
      <c r="H82" s="49">
        <f>IF(VLOOKUP(Table91213[[#This Row],[Date]],'DB Details'!$A:$Q,8)=0,"",VLOOKUP(Table91213[[#This Row],[Date]],'DB Details'!$A:$Q,8))</f>
        <v>51</v>
      </c>
      <c r="I82" s="49">
        <f>IF(VLOOKUP(Table91213[[#This Row],[Date]],'DB Details'!$A:$Q,9)=0,"",VLOOKUP(Table91213[[#This Row],[Date]],'DB Details'!$A:$Q,9))</f>
        <v>53</v>
      </c>
      <c r="J82" s="49">
        <f>IF(VLOOKUP(Table91213[[#This Row],[Date]],'DB Details'!$A:$Q,10)=0,"",VLOOKUP(Table91213[[#This Row],[Date]],'DB Details'!$A:$Q,10))</f>
        <v>54.4</v>
      </c>
      <c r="K82" s="49">
        <f>IF(VLOOKUP(Table91213[[#This Row],[Date]],'DB Details'!$A:$Q,11)=0,"",VLOOKUP(Table91213[[#This Row],[Date]],'DB Details'!$A:$Q,11))</f>
        <v>54.5</v>
      </c>
      <c r="L82" s="47">
        <f>IF(VLOOKUP(Table91213[[#This Row],[Date]],'DB Details'!$A:$Q,12)=0,"",VLOOKUP(Table91213[[#This Row],[Date]],'DB Details'!$A:$Q,12))</f>
        <v>57.5</v>
      </c>
    </row>
    <row r="83" spans="1:12" x14ac:dyDescent="0.35">
      <c r="A83" s="50">
        <v>37956</v>
      </c>
      <c r="B83" s="47">
        <f>IF(VLOOKUP(Table91213[[#This Row],[Date]],'DB Details'!$A:$Q,2)=0,"",VLOOKUP(Table91213[[#This Row],[Date]],'DB Details'!$A:$Q,2))</f>
        <v>61.2</v>
      </c>
      <c r="C83" s="48">
        <f>IF(VLOOKUP(Table91213[[#This Row],[Date]],'DB Details'!$A:$Q,3)=0,"",VLOOKUP(Table91213[[#This Row],[Date]],'DB Details'!$A:$Q,3))</f>
        <v>57</v>
      </c>
      <c r="D83" s="48">
        <f>IF(VLOOKUP(Table91213[[#This Row],[Date]],'DB Details'!$A:$Q,4)=0,"",VLOOKUP(Table91213[[#This Row],[Date]],'DB Details'!$A:$Q,4))</f>
        <v>55.5</v>
      </c>
      <c r="E83" s="49">
        <f>IF(VLOOKUP(Table91213[[#This Row],[Date]],'DB Details'!$A:$Q,5)=0,"",VLOOKUP(Table91213[[#This Row],[Date]],'DB Details'!$A:$Q,5))</f>
        <v>61.1</v>
      </c>
      <c r="F83" s="48">
        <f>IF(VLOOKUP(Table91213[[#This Row],[Date]],'DB Details'!$A:$Q,6)=0,"",VLOOKUP(Table91213[[#This Row],[Date]],'DB Details'!$A:$Q,6))</f>
        <v>60</v>
      </c>
      <c r="G83" s="49">
        <f>IF(VLOOKUP(Table91213[[#This Row],[Date]],'DB Details'!$A:$Q,7)=0,"",VLOOKUP(Table91213[[#This Row],[Date]],'DB Details'!$A:$Q,7))</f>
        <v>62</v>
      </c>
      <c r="H83" s="49">
        <f>IF(VLOOKUP(Table91213[[#This Row],[Date]],'DB Details'!$A:$Q,8)=0,"",VLOOKUP(Table91213[[#This Row],[Date]],'DB Details'!$A:$Q,8))</f>
        <v>51.5</v>
      </c>
      <c r="I83" s="49">
        <f>IF(VLOOKUP(Table91213[[#This Row],[Date]],'DB Details'!$A:$Q,9)=0,"",VLOOKUP(Table91213[[#This Row],[Date]],'DB Details'!$A:$Q,9))</f>
        <v>52</v>
      </c>
      <c r="J83" s="49">
        <f>IF(VLOOKUP(Table91213[[#This Row],[Date]],'DB Details'!$A:$Q,10)=0,"",VLOOKUP(Table91213[[#This Row],[Date]],'DB Details'!$A:$Q,10))</f>
        <v>54</v>
      </c>
      <c r="K83" s="49">
        <f>IF(VLOOKUP(Table91213[[#This Row],[Date]],'DB Details'!$A:$Q,11)=0,"",VLOOKUP(Table91213[[#This Row],[Date]],'DB Details'!$A:$Q,11))</f>
        <v>57.5</v>
      </c>
      <c r="L83" s="47">
        <f>IF(VLOOKUP(Table91213[[#This Row],[Date]],'DB Details'!$A:$Q,12)=0,"",VLOOKUP(Table91213[[#This Row],[Date]],'DB Details'!$A:$Q,12))</f>
        <v>56.8</v>
      </c>
    </row>
    <row r="84" spans="1:12" x14ac:dyDescent="0.35">
      <c r="A84" s="50">
        <v>37987</v>
      </c>
      <c r="B84" s="47">
        <f>IF(VLOOKUP(Table91213[[#This Row],[Date]],'DB Details'!$A:$Q,2)=0,"",VLOOKUP(Table91213[[#This Row],[Date]],'DB Details'!$A:$Q,2))</f>
        <v>65.400000000000006</v>
      </c>
      <c r="C84" s="48">
        <f>IF(VLOOKUP(Table91213[[#This Row],[Date]],'DB Details'!$A:$Q,3)=0,"",VLOOKUP(Table91213[[#This Row],[Date]],'DB Details'!$A:$Q,3))</f>
        <v>54.5</v>
      </c>
      <c r="D84" s="48">
        <f>IF(VLOOKUP(Table91213[[#This Row],[Date]],'DB Details'!$A:$Q,4)=0,"",VLOOKUP(Table91213[[#This Row],[Date]],'DB Details'!$A:$Q,4))</f>
        <v>53.5</v>
      </c>
      <c r="E84" s="49">
        <f>IF(VLOOKUP(Table91213[[#This Row],[Date]],'DB Details'!$A:$Q,5)=0,"",VLOOKUP(Table91213[[#This Row],[Date]],'DB Details'!$A:$Q,5))</f>
        <v>62.2</v>
      </c>
      <c r="F84" s="48">
        <f>IF(VLOOKUP(Table91213[[#This Row],[Date]],'DB Details'!$A:$Q,6)=0,"",VLOOKUP(Table91213[[#This Row],[Date]],'DB Details'!$A:$Q,6))</f>
        <v>67.7</v>
      </c>
      <c r="G84" s="49">
        <f>IF(VLOOKUP(Table91213[[#This Row],[Date]],'DB Details'!$A:$Q,7)=0,"",VLOOKUP(Table91213[[#This Row],[Date]],'DB Details'!$A:$Q,7))</f>
        <v>59</v>
      </c>
      <c r="H84" s="49">
        <f>IF(VLOOKUP(Table91213[[#This Row],[Date]],'DB Details'!$A:$Q,8)=0,"",VLOOKUP(Table91213[[#This Row],[Date]],'DB Details'!$A:$Q,8))</f>
        <v>49.5</v>
      </c>
      <c r="I84" s="49">
        <f>IF(VLOOKUP(Table91213[[#This Row],[Date]],'DB Details'!$A:$Q,9)=0,"",VLOOKUP(Table91213[[#This Row],[Date]],'DB Details'!$A:$Q,9))</f>
        <v>56.5</v>
      </c>
      <c r="J84" s="49">
        <f>IF(VLOOKUP(Table91213[[#This Row],[Date]],'DB Details'!$A:$Q,10)=0,"",VLOOKUP(Table91213[[#This Row],[Date]],'DB Details'!$A:$Q,10))</f>
        <v>55.143160127252997</v>
      </c>
      <c r="K84" s="49">
        <f>IF(VLOOKUP(Table91213[[#This Row],[Date]],'DB Details'!$A:$Q,11)=0,"",VLOOKUP(Table91213[[#This Row],[Date]],'DB Details'!$A:$Q,11))</f>
        <v>51</v>
      </c>
      <c r="L84" s="47">
        <f>IF(VLOOKUP(Table91213[[#This Row],[Date]],'DB Details'!$A:$Q,12)=0,"",VLOOKUP(Table91213[[#This Row],[Date]],'DB Details'!$A:$Q,12))</f>
        <v>61.2</v>
      </c>
    </row>
    <row r="85" spans="1:12" x14ac:dyDescent="0.35">
      <c r="A85" s="50">
        <v>38018</v>
      </c>
      <c r="B85" s="47">
        <f>IF(VLOOKUP(Table91213[[#This Row],[Date]],'DB Details'!$A:$Q,2)=0,"",VLOOKUP(Table91213[[#This Row],[Date]],'DB Details'!$A:$Q,2))</f>
        <v>61.2</v>
      </c>
      <c r="C85" s="48">
        <f>IF(VLOOKUP(Table91213[[#This Row],[Date]],'DB Details'!$A:$Q,3)=0,"",VLOOKUP(Table91213[[#This Row],[Date]],'DB Details'!$A:$Q,3))</f>
        <v>58.5</v>
      </c>
      <c r="D85" s="48">
        <f>IF(VLOOKUP(Table91213[[#This Row],[Date]],'DB Details'!$A:$Q,4)=0,"",VLOOKUP(Table91213[[#This Row],[Date]],'DB Details'!$A:$Q,4))</f>
        <v>53</v>
      </c>
      <c r="E85" s="49">
        <f>IF(VLOOKUP(Table91213[[#This Row],[Date]],'DB Details'!$A:$Q,5)=0,"",VLOOKUP(Table91213[[#This Row],[Date]],'DB Details'!$A:$Q,5))</f>
        <v>59.5</v>
      </c>
      <c r="F85" s="48">
        <f>IF(VLOOKUP(Table91213[[#This Row],[Date]],'DB Details'!$A:$Q,6)=0,"",VLOOKUP(Table91213[[#This Row],[Date]],'DB Details'!$A:$Q,6))</f>
        <v>62.5</v>
      </c>
      <c r="G85" s="49">
        <f>IF(VLOOKUP(Table91213[[#This Row],[Date]],'DB Details'!$A:$Q,7)=0,"",VLOOKUP(Table91213[[#This Row],[Date]],'DB Details'!$A:$Q,7))</f>
        <v>58</v>
      </c>
      <c r="H85" s="49">
        <f>IF(VLOOKUP(Table91213[[#This Row],[Date]],'DB Details'!$A:$Q,8)=0,"",VLOOKUP(Table91213[[#This Row],[Date]],'DB Details'!$A:$Q,8))</f>
        <v>49</v>
      </c>
      <c r="I85" s="49">
        <f>IF(VLOOKUP(Table91213[[#This Row],[Date]],'DB Details'!$A:$Q,9)=0,"",VLOOKUP(Table91213[[#This Row],[Date]],'DB Details'!$A:$Q,9))</f>
        <v>55.5</v>
      </c>
      <c r="J85" s="49">
        <f>IF(VLOOKUP(Table91213[[#This Row],[Date]],'DB Details'!$A:$Q,10)=0,"",VLOOKUP(Table91213[[#This Row],[Date]],'DB Details'!$A:$Q,10))</f>
        <v>52.904564315352999</v>
      </c>
      <c r="K85" s="49">
        <f>IF(VLOOKUP(Table91213[[#This Row],[Date]],'DB Details'!$A:$Q,11)=0,"",VLOOKUP(Table91213[[#This Row],[Date]],'DB Details'!$A:$Q,11))</f>
        <v>55.5</v>
      </c>
      <c r="L85" s="47">
        <f>IF(VLOOKUP(Table91213[[#This Row],[Date]],'DB Details'!$A:$Q,12)=0,"",VLOOKUP(Table91213[[#This Row],[Date]],'DB Details'!$A:$Q,12))</f>
        <v>58</v>
      </c>
    </row>
    <row r="86" spans="1:12" x14ac:dyDescent="0.35">
      <c r="A86" s="50">
        <v>38047</v>
      </c>
      <c r="B86" s="47">
        <f>IF(VLOOKUP(Table91213[[#This Row],[Date]],'DB Details'!$A:$Q,2)=0,"",VLOOKUP(Table91213[[#This Row],[Date]],'DB Details'!$A:$Q,2))</f>
        <v>62.1</v>
      </c>
      <c r="C86" s="48">
        <f>IF(VLOOKUP(Table91213[[#This Row],[Date]],'DB Details'!$A:$Q,3)=0,"",VLOOKUP(Table91213[[#This Row],[Date]],'DB Details'!$A:$Q,3))</f>
        <v>60.5</v>
      </c>
      <c r="D86" s="48">
        <f>IF(VLOOKUP(Table91213[[#This Row],[Date]],'DB Details'!$A:$Q,4)=0,"",VLOOKUP(Table91213[[#This Row],[Date]],'DB Details'!$A:$Q,4))</f>
        <v>52.5</v>
      </c>
      <c r="E86" s="49">
        <f>IF(VLOOKUP(Table91213[[#This Row],[Date]],'DB Details'!$A:$Q,5)=0,"",VLOOKUP(Table91213[[#This Row],[Date]],'DB Details'!$A:$Q,5))</f>
        <v>65</v>
      </c>
      <c r="F86" s="48">
        <f>IF(VLOOKUP(Table91213[[#This Row],[Date]],'DB Details'!$A:$Q,6)=0,"",VLOOKUP(Table91213[[#This Row],[Date]],'DB Details'!$A:$Q,6))</f>
        <v>62.3</v>
      </c>
      <c r="G86" s="49">
        <f>IF(VLOOKUP(Table91213[[#This Row],[Date]],'DB Details'!$A:$Q,7)=0,"",VLOOKUP(Table91213[[#This Row],[Date]],'DB Details'!$A:$Q,7))</f>
        <v>60.5</v>
      </c>
      <c r="H86" s="49">
        <f>IF(VLOOKUP(Table91213[[#This Row],[Date]],'DB Details'!$A:$Q,8)=0,"",VLOOKUP(Table91213[[#This Row],[Date]],'DB Details'!$A:$Q,8))</f>
        <v>51.5</v>
      </c>
      <c r="I86" s="49">
        <f>IF(VLOOKUP(Table91213[[#This Row],[Date]],'DB Details'!$A:$Q,9)=0,"",VLOOKUP(Table91213[[#This Row],[Date]],'DB Details'!$A:$Q,9))</f>
        <v>55</v>
      </c>
      <c r="J86" s="49">
        <f>IF(VLOOKUP(Table91213[[#This Row],[Date]],'DB Details'!$A:$Q,10)=0,"",VLOOKUP(Table91213[[#This Row],[Date]],'DB Details'!$A:$Q,10))</f>
        <v>53.800592300098998</v>
      </c>
      <c r="K86" s="49">
        <f>IF(VLOOKUP(Table91213[[#This Row],[Date]],'DB Details'!$A:$Q,11)=0,"",VLOOKUP(Table91213[[#This Row],[Date]],'DB Details'!$A:$Q,11))</f>
        <v>51.5</v>
      </c>
      <c r="L86" s="47">
        <f>IF(VLOOKUP(Table91213[[#This Row],[Date]],'DB Details'!$A:$Q,12)=0,"",VLOOKUP(Table91213[[#This Row],[Date]],'DB Details'!$A:$Q,12))</f>
        <v>58.3</v>
      </c>
    </row>
    <row r="87" spans="1:12" x14ac:dyDescent="0.35">
      <c r="A87" s="50">
        <v>38078</v>
      </c>
      <c r="B87" s="47">
        <f>IF(VLOOKUP(Table91213[[#This Row],[Date]],'DB Details'!$A:$Q,2)=0,"",VLOOKUP(Table91213[[#This Row],[Date]],'DB Details'!$A:$Q,2))</f>
        <v>61.6</v>
      </c>
      <c r="C87" s="48">
        <f>IF(VLOOKUP(Table91213[[#This Row],[Date]],'DB Details'!$A:$Q,3)=0,"",VLOOKUP(Table91213[[#This Row],[Date]],'DB Details'!$A:$Q,3))</f>
        <v>60.5</v>
      </c>
      <c r="D87" s="48">
        <f>IF(VLOOKUP(Table91213[[#This Row],[Date]],'DB Details'!$A:$Q,4)=0,"",VLOOKUP(Table91213[[#This Row],[Date]],'DB Details'!$A:$Q,4))</f>
        <v>53.5</v>
      </c>
      <c r="E87" s="49">
        <f>IF(VLOOKUP(Table91213[[#This Row],[Date]],'DB Details'!$A:$Q,5)=0,"",VLOOKUP(Table91213[[#This Row],[Date]],'DB Details'!$A:$Q,5))</f>
        <v>68.599999999999994</v>
      </c>
      <c r="F87" s="48">
        <f>IF(VLOOKUP(Table91213[[#This Row],[Date]],'DB Details'!$A:$Q,6)=0,"",VLOOKUP(Table91213[[#This Row],[Date]],'DB Details'!$A:$Q,6))</f>
        <v>64</v>
      </c>
      <c r="G87" s="49">
        <f>IF(VLOOKUP(Table91213[[#This Row],[Date]],'DB Details'!$A:$Q,7)=0,"",VLOOKUP(Table91213[[#This Row],[Date]],'DB Details'!$A:$Q,7))</f>
        <v>58</v>
      </c>
      <c r="H87" s="49">
        <f>IF(VLOOKUP(Table91213[[#This Row],[Date]],'DB Details'!$A:$Q,8)=0,"",VLOOKUP(Table91213[[#This Row],[Date]],'DB Details'!$A:$Q,8))</f>
        <v>56.5</v>
      </c>
      <c r="I87" s="49">
        <f>IF(VLOOKUP(Table91213[[#This Row],[Date]],'DB Details'!$A:$Q,9)=0,"",VLOOKUP(Table91213[[#This Row],[Date]],'DB Details'!$A:$Q,9))</f>
        <v>58</v>
      </c>
      <c r="J87" s="49">
        <f>IF(VLOOKUP(Table91213[[#This Row],[Date]],'DB Details'!$A:$Q,10)=0,"",VLOOKUP(Table91213[[#This Row],[Date]],'DB Details'!$A:$Q,10))</f>
        <v>54.6875</v>
      </c>
      <c r="K87" s="49">
        <f>IF(VLOOKUP(Table91213[[#This Row],[Date]],'DB Details'!$A:$Q,11)=0,"",VLOOKUP(Table91213[[#This Row],[Date]],'DB Details'!$A:$Q,11))</f>
        <v>62</v>
      </c>
      <c r="L87" s="47">
        <f>IF(VLOOKUP(Table91213[[#This Row],[Date]],'DB Details'!$A:$Q,12)=0,"",VLOOKUP(Table91213[[#This Row],[Date]],'DB Details'!$A:$Q,12))</f>
        <v>59.6</v>
      </c>
    </row>
    <row r="88" spans="1:12" x14ac:dyDescent="0.35">
      <c r="A88" s="50">
        <v>38108</v>
      </c>
      <c r="B88" s="47">
        <f>IF(VLOOKUP(Table91213[[#This Row],[Date]],'DB Details'!$A:$Q,2)=0,"",VLOOKUP(Table91213[[#This Row],[Date]],'DB Details'!$A:$Q,2))</f>
        <v>60.7</v>
      </c>
      <c r="C88" s="48">
        <f>IF(VLOOKUP(Table91213[[#This Row],[Date]],'DB Details'!$A:$Q,3)=0,"",VLOOKUP(Table91213[[#This Row],[Date]],'DB Details'!$A:$Q,3))</f>
        <v>59.5</v>
      </c>
      <c r="D88" s="48">
        <f>IF(VLOOKUP(Table91213[[#This Row],[Date]],'DB Details'!$A:$Q,4)=0,"",VLOOKUP(Table91213[[#This Row],[Date]],'DB Details'!$A:$Q,4))</f>
        <v>56.5</v>
      </c>
      <c r="E88" s="49">
        <f>IF(VLOOKUP(Table91213[[#This Row],[Date]],'DB Details'!$A:$Q,5)=0,"",VLOOKUP(Table91213[[#This Row],[Date]],'DB Details'!$A:$Q,5))</f>
        <v>71</v>
      </c>
      <c r="F88" s="48">
        <f>IF(VLOOKUP(Table91213[[#This Row],[Date]],'DB Details'!$A:$Q,6)=0,"",VLOOKUP(Table91213[[#This Row],[Date]],'DB Details'!$A:$Q,6))</f>
        <v>62.6</v>
      </c>
      <c r="G88" s="49">
        <f>IF(VLOOKUP(Table91213[[#This Row],[Date]],'DB Details'!$A:$Q,7)=0,"",VLOOKUP(Table91213[[#This Row],[Date]],'DB Details'!$A:$Q,7))</f>
        <v>60</v>
      </c>
      <c r="H88" s="49">
        <f>IF(VLOOKUP(Table91213[[#This Row],[Date]],'DB Details'!$A:$Q,8)=0,"",VLOOKUP(Table91213[[#This Row],[Date]],'DB Details'!$A:$Q,8))</f>
        <v>54</v>
      </c>
      <c r="I88" s="49">
        <f>IF(VLOOKUP(Table91213[[#This Row],[Date]],'DB Details'!$A:$Q,9)=0,"",VLOOKUP(Table91213[[#This Row],[Date]],'DB Details'!$A:$Q,9))</f>
        <v>56</v>
      </c>
      <c r="J88" s="49">
        <f>IF(VLOOKUP(Table91213[[#This Row],[Date]],'DB Details'!$A:$Q,10)=0,"",VLOOKUP(Table91213[[#This Row],[Date]],'DB Details'!$A:$Q,10))</f>
        <v>54.545454545455001</v>
      </c>
      <c r="K88" s="49">
        <f>IF(VLOOKUP(Table91213[[#This Row],[Date]],'DB Details'!$A:$Q,11)=0,"",VLOOKUP(Table91213[[#This Row],[Date]],'DB Details'!$A:$Q,11))</f>
        <v>52</v>
      </c>
      <c r="L88" s="47">
        <f>IF(VLOOKUP(Table91213[[#This Row],[Date]],'DB Details'!$A:$Q,12)=0,"",VLOOKUP(Table91213[[#This Row],[Date]],'DB Details'!$A:$Q,12))</f>
        <v>58.5</v>
      </c>
    </row>
    <row r="89" spans="1:12" x14ac:dyDescent="0.35">
      <c r="A89" s="50">
        <v>38139</v>
      </c>
      <c r="B89" s="47">
        <f>IF(VLOOKUP(Table91213[[#This Row],[Date]],'DB Details'!$A:$Q,2)=0,"",VLOOKUP(Table91213[[#This Row],[Date]],'DB Details'!$A:$Q,2))</f>
        <v>62.1</v>
      </c>
      <c r="C89" s="48">
        <f>IF(VLOOKUP(Table91213[[#This Row],[Date]],'DB Details'!$A:$Q,3)=0,"",VLOOKUP(Table91213[[#This Row],[Date]],'DB Details'!$A:$Q,3))</f>
        <v>56.5</v>
      </c>
      <c r="D89" s="48">
        <f>IF(VLOOKUP(Table91213[[#This Row],[Date]],'DB Details'!$A:$Q,4)=0,"",VLOOKUP(Table91213[[#This Row],[Date]],'DB Details'!$A:$Q,4))</f>
        <v>55.5</v>
      </c>
      <c r="E89" s="49">
        <f>IF(VLOOKUP(Table91213[[#This Row],[Date]],'DB Details'!$A:$Q,5)=0,"",VLOOKUP(Table91213[[#This Row],[Date]],'DB Details'!$A:$Q,5))</f>
        <v>74.2</v>
      </c>
      <c r="F89" s="48">
        <f>IF(VLOOKUP(Table91213[[#This Row],[Date]],'DB Details'!$A:$Q,6)=0,"",VLOOKUP(Table91213[[#This Row],[Date]],'DB Details'!$A:$Q,6))</f>
        <v>59.2</v>
      </c>
      <c r="G89" s="49">
        <f>IF(VLOOKUP(Table91213[[#This Row],[Date]],'DB Details'!$A:$Q,7)=0,"",VLOOKUP(Table91213[[#This Row],[Date]],'DB Details'!$A:$Q,7))</f>
        <v>60.5</v>
      </c>
      <c r="H89" s="49">
        <f>IF(VLOOKUP(Table91213[[#This Row],[Date]],'DB Details'!$A:$Q,8)=0,"",VLOOKUP(Table91213[[#This Row],[Date]],'DB Details'!$A:$Q,8))</f>
        <v>57.5</v>
      </c>
      <c r="I89" s="49">
        <f>IF(VLOOKUP(Table91213[[#This Row],[Date]],'DB Details'!$A:$Q,9)=0,"",VLOOKUP(Table91213[[#This Row],[Date]],'DB Details'!$A:$Q,9))</f>
        <v>57.5</v>
      </c>
      <c r="J89" s="49">
        <f>IF(VLOOKUP(Table91213[[#This Row],[Date]],'DB Details'!$A:$Q,10)=0,"",VLOOKUP(Table91213[[#This Row],[Date]],'DB Details'!$A:$Q,10))</f>
        <v>55.555555555555998</v>
      </c>
      <c r="K89" s="49">
        <f>IF(VLOOKUP(Table91213[[#This Row],[Date]],'DB Details'!$A:$Q,11)=0,"",VLOOKUP(Table91213[[#This Row],[Date]],'DB Details'!$A:$Q,11))</f>
        <v>59.5</v>
      </c>
      <c r="L89" s="47">
        <f>IF(VLOOKUP(Table91213[[#This Row],[Date]],'DB Details'!$A:$Q,12)=0,"",VLOOKUP(Table91213[[#This Row],[Date]],'DB Details'!$A:$Q,12))</f>
        <v>58.6</v>
      </c>
    </row>
    <row r="90" spans="1:12" x14ac:dyDescent="0.35">
      <c r="A90" s="50">
        <v>38169</v>
      </c>
      <c r="B90" s="47">
        <f>IF(VLOOKUP(Table91213[[#This Row],[Date]],'DB Details'!$A:$Q,2)=0,"",VLOOKUP(Table91213[[#This Row],[Date]],'DB Details'!$A:$Q,2))</f>
        <v>63.2</v>
      </c>
      <c r="C90" s="48">
        <f>IF(VLOOKUP(Table91213[[#This Row],[Date]],'DB Details'!$A:$Q,3)=0,"",VLOOKUP(Table91213[[#This Row],[Date]],'DB Details'!$A:$Q,3))</f>
        <v>60.5</v>
      </c>
      <c r="D90" s="48">
        <f>IF(VLOOKUP(Table91213[[#This Row],[Date]],'DB Details'!$A:$Q,4)=0,"",VLOOKUP(Table91213[[#This Row],[Date]],'DB Details'!$A:$Q,4))</f>
        <v>55</v>
      </c>
      <c r="E90" s="49">
        <f>IF(VLOOKUP(Table91213[[#This Row],[Date]],'DB Details'!$A:$Q,5)=0,"",VLOOKUP(Table91213[[#This Row],[Date]],'DB Details'!$A:$Q,5))</f>
        <v>71.900000000000006</v>
      </c>
      <c r="F90" s="48">
        <f>IF(VLOOKUP(Table91213[[#This Row],[Date]],'DB Details'!$A:$Q,6)=0,"",VLOOKUP(Table91213[[#This Row],[Date]],'DB Details'!$A:$Q,6))</f>
        <v>63.2</v>
      </c>
      <c r="G90" s="49">
        <f>IF(VLOOKUP(Table91213[[#This Row],[Date]],'DB Details'!$A:$Q,7)=0,"",VLOOKUP(Table91213[[#This Row],[Date]],'DB Details'!$A:$Q,7))</f>
        <v>64</v>
      </c>
      <c r="H90" s="49">
        <f>IF(VLOOKUP(Table91213[[#This Row],[Date]],'DB Details'!$A:$Q,8)=0,"",VLOOKUP(Table91213[[#This Row],[Date]],'DB Details'!$A:$Q,8))</f>
        <v>54</v>
      </c>
      <c r="I90" s="49">
        <f>IF(VLOOKUP(Table91213[[#This Row],[Date]],'DB Details'!$A:$Q,9)=0,"",VLOOKUP(Table91213[[#This Row],[Date]],'DB Details'!$A:$Q,9))</f>
        <v>58</v>
      </c>
      <c r="J90" s="49">
        <f>IF(VLOOKUP(Table91213[[#This Row],[Date]],'DB Details'!$A:$Q,10)=0,"",VLOOKUP(Table91213[[#This Row],[Date]],'DB Details'!$A:$Q,10))</f>
        <v>49.665711556829002</v>
      </c>
      <c r="K90" s="49">
        <f>IF(VLOOKUP(Table91213[[#This Row],[Date]],'DB Details'!$A:$Q,11)=0,"",VLOOKUP(Table91213[[#This Row],[Date]],'DB Details'!$A:$Q,11))</f>
        <v>55.5</v>
      </c>
      <c r="L90" s="47">
        <f>IF(VLOOKUP(Table91213[[#This Row],[Date]],'DB Details'!$A:$Q,12)=0,"",VLOOKUP(Table91213[[#This Row],[Date]],'DB Details'!$A:$Q,12))</f>
        <v>58.5</v>
      </c>
    </row>
    <row r="91" spans="1:12" x14ac:dyDescent="0.35">
      <c r="A91" s="50">
        <v>38200</v>
      </c>
      <c r="B91" s="47">
        <f>IF(VLOOKUP(Table91213[[#This Row],[Date]],'DB Details'!$A:$Q,2)=0,"",VLOOKUP(Table91213[[#This Row],[Date]],'DB Details'!$A:$Q,2))</f>
        <v>59</v>
      </c>
      <c r="C91" s="48">
        <f>IF(VLOOKUP(Table91213[[#This Row],[Date]],'DB Details'!$A:$Q,3)=0,"",VLOOKUP(Table91213[[#This Row],[Date]],'DB Details'!$A:$Q,3))</f>
        <v>63.5</v>
      </c>
      <c r="D91" s="48">
        <f>IF(VLOOKUP(Table91213[[#This Row],[Date]],'DB Details'!$A:$Q,4)=0,"",VLOOKUP(Table91213[[#This Row],[Date]],'DB Details'!$A:$Q,4))</f>
        <v>53</v>
      </c>
      <c r="E91" s="49">
        <f>IF(VLOOKUP(Table91213[[#This Row],[Date]],'DB Details'!$A:$Q,5)=0,"",VLOOKUP(Table91213[[#This Row],[Date]],'DB Details'!$A:$Q,5))</f>
        <v>70.900000000000006</v>
      </c>
      <c r="F91" s="48">
        <f>IF(VLOOKUP(Table91213[[#This Row],[Date]],'DB Details'!$A:$Q,6)=0,"",VLOOKUP(Table91213[[#This Row],[Date]],'DB Details'!$A:$Q,6))</f>
        <v>59.7</v>
      </c>
      <c r="G91" s="49">
        <f>IF(VLOOKUP(Table91213[[#This Row],[Date]],'DB Details'!$A:$Q,7)=0,"",VLOOKUP(Table91213[[#This Row],[Date]],'DB Details'!$A:$Q,7))</f>
        <v>62.5</v>
      </c>
      <c r="H91" s="49">
        <f>IF(VLOOKUP(Table91213[[#This Row],[Date]],'DB Details'!$A:$Q,8)=0,"",VLOOKUP(Table91213[[#This Row],[Date]],'DB Details'!$A:$Q,8))</f>
        <v>53</v>
      </c>
      <c r="I91" s="49">
        <f>IF(VLOOKUP(Table91213[[#This Row],[Date]],'DB Details'!$A:$Q,9)=0,"",VLOOKUP(Table91213[[#This Row],[Date]],'DB Details'!$A:$Q,9))</f>
        <v>57</v>
      </c>
      <c r="J91" s="49">
        <f>IF(VLOOKUP(Table91213[[#This Row],[Date]],'DB Details'!$A:$Q,10)=0,"",VLOOKUP(Table91213[[#This Row],[Date]],'DB Details'!$A:$Q,10))</f>
        <v>53.516819571865</v>
      </c>
      <c r="K91" s="49">
        <f>IF(VLOOKUP(Table91213[[#This Row],[Date]],'DB Details'!$A:$Q,11)=0,"",VLOOKUP(Table91213[[#This Row],[Date]],'DB Details'!$A:$Q,11))</f>
        <v>55</v>
      </c>
      <c r="L91" s="47">
        <f>IF(VLOOKUP(Table91213[[#This Row],[Date]],'DB Details'!$A:$Q,12)=0,"",VLOOKUP(Table91213[[#This Row],[Date]],'DB Details'!$A:$Q,12))</f>
        <v>57.3</v>
      </c>
    </row>
    <row r="92" spans="1:12" x14ac:dyDescent="0.35">
      <c r="A92" s="50">
        <v>38231</v>
      </c>
      <c r="B92" s="47">
        <f>IF(VLOOKUP(Table91213[[#This Row],[Date]],'DB Details'!$A:$Q,2)=0,"",VLOOKUP(Table91213[[#This Row],[Date]],'DB Details'!$A:$Q,2))</f>
        <v>60.6</v>
      </c>
      <c r="C92" s="48">
        <f>IF(VLOOKUP(Table91213[[#This Row],[Date]],'DB Details'!$A:$Q,3)=0,"",VLOOKUP(Table91213[[#This Row],[Date]],'DB Details'!$A:$Q,3))</f>
        <v>56</v>
      </c>
      <c r="D92" s="48">
        <f>IF(VLOOKUP(Table91213[[#This Row],[Date]],'DB Details'!$A:$Q,4)=0,"",VLOOKUP(Table91213[[#This Row],[Date]],'DB Details'!$A:$Q,4))</f>
        <v>52.5</v>
      </c>
      <c r="E92" s="49">
        <f>IF(VLOOKUP(Table91213[[#This Row],[Date]],'DB Details'!$A:$Q,5)=0,"",VLOOKUP(Table91213[[#This Row],[Date]],'DB Details'!$A:$Q,5))</f>
        <v>67</v>
      </c>
      <c r="F92" s="48">
        <f>IF(VLOOKUP(Table91213[[#This Row],[Date]],'DB Details'!$A:$Q,6)=0,"",VLOOKUP(Table91213[[#This Row],[Date]],'DB Details'!$A:$Q,6))</f>
        <v>60</v>
      </c>
      <c r="G92" s="49">
        <f>IF(VLOOKUP(Table91213[[#This Row],[Date]],'DB Details'!$A:$Q,7)=0,"",VLOOKUP(Table91213[[#This Row],[Date]],'DB Details'!$A:$Q,7))</f>
        <v>61.5</v>
      </c>
      <c r="H92" s="49">
        <f>IF(VLOOKUP(Table91213[[#This Row],[Date]],'DB Details'!$A:$Q,8)=0,"",VLOOKUP(Table91213[[#This Row],[Date]],'DB Details'!$A:$Q,8))</f>
        <v>51.5</v>
      </c>
      <c r="I92" s="49">
        <f>IF(VLOOKUP(Table91213[[#This Row],[Date]],'DB Details'!$A:$Q,9)=0,"",VLOOKUP(Table91213[[#This Row],[Date]],'DB Details'!$A:$Q,9))</f>
        <v>55.5</v>
      </c>
      <c r="J92" s="49">
        <f>IF(VLOOKUP(Table91213[[#This Row],[Date]],'DB Details'!$A:$Q,10)=0,"",VLOOKUP(Table91213[[#This Row],[Date]],'DB Details'!$A:$Q,10))</f>
        <v>55.325749741468002</v>
      </c>
      <c r="K92" s="49">
        <f>IF(VLOOKUP(Table91213[[#This Row],[Date]],'DB Details'!$A:$Q,11)=0,"",VLOOKUP(Table91213[[#This Row],[Date]],'DB Details'!$A:$Q,11))</f>
        <v>55.5</v>
      </c>
      <c r="L92" s="47">
        <f>IF(VLOOKUP(Table91213[[#This Row],[Date]],'DB Details'!$A:$Q,12)=0,"",VLOOKUP(Table91213[[#This Row],[Date]],'DB Details'!$A:$Q,12))</f>
        <v>57.9</v>
      </c>
    </row>
    <row r="93" spans="1:12" x14ac:dyDescent="0.35">
      <c r="A93" s="50">
        <v>38261</v>
      </c>
      <c r="B93" s="47">
        <f>IF(VLOOKUP(Table91213[[#This Row],[Date]],'DB Details'!$A:$Q,2)=0,"",VLOOKUP(Table91213[[#This Row],[Date]],'DB Details'!$A:$Q,2))</f>
        <v>61.7</v>
      </c>
      <c r="C93" s="48">
        <f>IF(VLOOKUP(Table91213[[#This Row],[Date]],'DB Details'!$A:$Q,3)=0,"",VLOOKUP(Table91213[[#This Row],[Date]],'DB Details'!$A:$Q,3))</f>
        <v>57.5</v>
      </c>
      <c r="D93" s="48">
        <f>IF(VLOOKUP(Table91213[[#This Row],[Date]],'DB Details'!$A:$Q,4)=0,"",VLOOKUP(Table91213[[#This Row],[Date]],'DB Details'!$A:$Q,4))</f>
        <v>52.5</v>
      </c>
      <c r="E93" s="49">
        <f>IF(VLOOKUP(Table91213[[#This Row],[Date]],'DB Details'!$A:$Q,5)=0,"",VLOOKUP(Table91213[[#This Row],[Date]],'DB Details'!$A:$Q,5))</f>
        <v>72.8</v>
      </c>
      <c r="F93" s="48">
        <f>IF(VLOOKUP(Table91213[[#This Row],[Date]],'DB Details'!$A:$Q,6)=0,"",VLOOKUP(Table91213[[#This Row],[Date]],'DB Details'!$A:$Q,6))</f>
        <v>61</v>
      </c>
      <c r="G93" s="49">
        <f>IF(VLOOKUP(Table91213[[#This Row],[Date]],'DB Details'!$A:$Q,7)=0,"",VLOOKUP(Table91213[[#This Row],[Date]],'DB Details'!$A:$Q,7))</f>
        <v>60.5</v>
      </c>
      <c r="H93" s="49">
        <f>IF(VLOOKUP(Table91213[[#This Row],[Date]],'DB Details'!$A:$Q,8)=0,"",VLOOKUP(Table91213[[#This Row],[Date]],'DB Details'!$A:$Q,8))</f>
        <v>50</v>
      </c>
      <c r="I93" s="49">
        <f>IF(VLOOKUP(Table91213[[#This Row],[Date]],'DB Details'!$A:$Q,9)=0,"",VLOOKUP(Table91213[[#This Row],[Date]],'DB Details'!$A:$Q,9))</f>
        <v>56</v>
      </c>
      <c r="J93" s="49">
        <f>IF(VLOOKUP(Table91213[[#This Row],[Date]],'DB Details'!$A:$Q,10)=0,"",VLOOKUP(Table91213[[#This Row],[Date]],'DB Details'!$A:$Q,10))</f>
        <v>56.476683937823999</v>
      </c>
      <c r="K93" s="49">
        <f>IF(VLOOKUP(Table91213[[#This Row],[Date]],'DB Details'!$A:$Q,11)=0,"",VLOOKUP(Table91213[[#This Row],[Date]],'DB Details'!$A:$Q,11))</f>
        <v>55</v>
      </c>
      <c r="L93" s="47">
        <f>IF(VLOOKUP(Table91213[[#This Row],[Date]],'DB Details'!$A:$Q,12)=0,"",VLOOKUP(Table91213[[#This Row],[Date]],'DB Details'!$A:$Q,12))</f>
        <v>58.8</v>
      </c>
    </row>
    <row r="94" spans="1:12" x14ac:dyDescent="0.35">
      <c r="A94" s="50">
        <v>38292</v>
      </c>
      <c r="B94" s="47">
        <f>IF(VLOOKUP(Table91213[[#This Row],[Date]],'DB Details'!$A:$Q,2)=0,"",VLOOKUP(Table91213[[#This Row],[Date]],'DB Details'!$A:$Q,2))</f>
        <v>61.1</v>
      </c>
      <c r="C94" s="48">
        <f>IF(VLOOKUP(Table91213[[#This Row],[Date]],'DB Details'!$A:$Q,3)=0,"",VLOOKUP(Table91213[[#This Row],[Date]],'DB Details'!$A:$Q,3))</f>
        <v>62</v>
      </c>
      <c r="D94" s="48">
        <f>IF(VLOOKUP(Table91213[[#This Row],[Date]],'DB Details'!$A:$Q,4)=0,"",VLOOKUP(Table91213[[#This Row],[Date]],'DB Details'!$A:$Q,4))</f>
        <v>54</v>
      </c>
      <c r="E94" s="49">
        <f>IF(VLOOKUP(Table91213[[#This Row],[Date]],'DB Details'!$A:$Q,5)=0,"",VLOOKUP(Table91213[[#This Row],[Date]],'DB Details'!$A:$Q,5))</f>
        <v>70.599999999999994</v>
      </c>
      <c r="F94" s="48">
        <f>IF(VLOOKUP(Table91213[[#This Row],[Date]],'DB Details'!$A:$Q,6)=0,"",VLOOKUP(Table91213[[#This Row],[Date]],'DB Details'!$A:$Q,6))</f>
        <v>62.8</v>
      </c>
      <c r="G94" s="49">
        <f>IF(VLOOKUP(Table91213[[#This Row],[Date]],'DB Details'!$A:$Q,7)=0,"",VLOOKUP(Table91213[[#This Row],[Date]],'DB Details'!$A:$Q,7))</f>
        <v>61.5</v>
      </c>
      <c r="H94" s="49">
        <f>IF(VLOOKUP(Table91213[[#This Row],[Date]],'DB Details'!$A:$Q,8)=0,"",VLOOKUP(Table91213[[#This Row],[Date]],'DB Details'!$A:$Q,8))</f>
        <v>52.5</v>
      </c>
      <c r="I94" s="49">
        <f>IF(VLOOKUP(Table91213[[#This Row],[Date]],'DB Details'!$A:$Q,9)=0,"",VLOOKUP(Table91213[[#This Row],[Date]],'DB Details'!$A:$Q,9))</f>
        <v>55</v>
      </c>
      <c r="J94" s="49">
        <f>IF(VLOOKUP(Table91213[[#This Row],[Date]],'DB Details'!$A:$Q,10)=0,"",VLOOKUP(Table91213[[#This Row],[Date]],'DB Details'!$A:$Q,10))</f>
        <v>54.835493519441997</v>
      </c>
      <c r="K94" s="49">
        <f>IF(VLOOKUP(Table91213[[#This Row],[Date]],'DB Details'!$A:$Q,11)=0,"",VLOOKUP(Table91213[[#This Row],[Date]],'DB Details'!$A:$Q,11))</f>
        <v>53.5</v>
      </c>
      <c r="L94" s="47">
        <f>IF(VLOOKUP(Table91213[[#This Row],[Date]],'DB Details'!$A:$Q,12)=0,"",VLOOKUP(Table91213[[#This Row],[Date]],'DB Details'!$A:$Q,12))</f>
        <v>58.4</v>
      </c>
    </row>
    <row r="95" spans="1:12" x14ac:dyDescent="0.35">
      <c r="A95" s="50">
        <v>38322</v>
      </c>
      <c r="B95" s="47">
        <f>IF(VLOOKUP(Table91213[[#This Row],[Date]],'DB Details'!$A:$Q,2)=0,"",VLOOKUP(Table91213[[#This Row],[Date]],'DB Details'!$A:$Q,2))</f>
        <v>63.2</v>
      </c>
      <c r="C95" s="48">
        <f>IF(VLOOKUP(Table91213[[#This Row],[Date]],'DB Details'!$A:$Q,3)=0,"",VLOOKUP(Table91213[[#This Row],[Date]],'DB Details'!$A:$Q,3))</f>
        <v>61</v>
      </c>
      <c r="D95" s="48">
        <f>IF(VLOOKUP(Table91213[[#This Row],[Date]],'DB Details'!$A:$Q,4)=0,"",VLOOKUP(Table91213[[#This Row],[Date]],'DB Details'!$A:$Q,4))</f>
        <v>56.5</v>
      </c>
      <c r="E95" s="49">
        <f>IF(VLOOKUP(Table91213[[#This Row],[Date]],'DB Details'!$A:$Q,5)=0,"",VLOOKUP(Table91213[[#This Row],[Date]],'DB Details'!$A:$Q,5))</f>
        <v>71.3</v>
      </c>
      <c r="F95" s="48">
        <f>IF(VLOOKUP(Table91213[[#This Row],[Date]],'DB Details'!$A:$Q,6)=0,"",VLOOKUP(Table91213[[#This Row],[Date]],'DB Details'!$A:$Q,6))</f>
        <v>65</v>
      </c>
      <c r="G95" s="49">
        <f>IF(VLOOKUP(Table91213[[#This Row],[Date]],'DB Details'!$A:$Q,7)=0,"",VLOOKUP(Table91213[[#This Row],[Date]],'DB Details'!$A:$Q,7))</f>
        <v>64</v>
      </c>
      <c r="H95" s="49">
        <f>IF(VLOOKUP(Table91213[[#This Row],[Date]],'DB Details'!$A:$Q,8)=0,"",VLOOKUP(Table91213[[#This Row],[Date]],'DB Details'!$A:$Q,8))</f>
        <v>56</v>
      </c>
      <c r="I95" s="49">
        <f>IF(VLOOKUP(Table91213[[#This Row],[Date]],'DB Details'!$A:$Q,9)=0,"",VLOOKUP(Table91213[[#This Row],[Date]],'DB Details'!$A:$Q,9))</f>
        <v>55.5</v>
      </c>
      <c r="J95" s="49">
        <f>IF(VLOOKUP(Table91213[[#This Row],[Date]],'DB Details'!$A:$Q,10)=0,"",VLOOKUP(Table91213[[#This Row],[Date]],'DB Details'!$A:$Q,10))</f>
        <v>54.711246200608002</v>
      </c>
      <c r="K95" s="49">
        <f>IF(VLOOKUP(Table91213[[#This Row],[Date]],'DB Details'!$A:$Q,11)=0,"",VLOOKUP(Table91213[[#This Row],[Date]],'DB Details'!$A:$Q,11))</f>
        <v>55.5</v>
      </c>
      <c r="L95" s="47">
        <f>IF(VLOOKUP(Table91213[[#This Row],[Date]],'DB Details'!$A:$Q,12)=0,"",VLOOKUP(Table91213[[#This Row],[Date]],'DB Details'!$A:$Q,12))</f>
        <v>59.6</v>
      </c>
    </row>
    <row r="96" spans="1:12" x14ac:dyDescent="0.35">
      <c r="A96" s="50">
        <v>38353</v>
      </c>
      <c r="B96" s="47">
        <f>IF(VLOOKUP(Table91213[[#This Row],[Date]],'DB Details'!$A:$Q,2)=0,"",VLOOKUP(Table91213[[#This Row],[Date]],'DB Details'!$A:$Q,2))</f>
        <v>62.4</v>
      </c>
      <c r="C96" s="48">
        <f>IF(VLOOKUP(Table91213[[#This Row],[Date]],'DB Details'!$A:$Q,3)=0,"",VLOOKUP(Table91213[[#This Row],[Date]],'DB Details'!$A:$Q,3))</f>
        <v>53</v>
      </c>
      <c r="D96" s="48">
        <f>IF(VLOOKUP(Table91213[[#This Row],[Date]],'DB Details'!$A:$Q,4)=0,"",VLOOKUP(Table91213[[#This Row],[Date]],'DB Details'!$A:$Q,4))</f>
        <v>48</v>
      </c>
      <c r="E96" s="49">
        <f>IF(VLOOKUP(Table91213[[#This Row],[Date]],'DB Details'!$A:$Q,5)=0,"",VLOOKUP(Table91213[[#This Row],[Date]],'DB Details'!$A:$Q,5))</f>
        <v>69.099999999999994</v>
      </c>
      <c r="F96" s="48">
        <f>IF(VLOOKUP(Table91213[[#This Row],[Date]],'DB Details'!$A:$Q,6)=0,"",VLOOKUP(Table91213[[#This Row],[Date]],'DB Details'!$A:$Q,6))</f>
        <v>62.5</v>
      </c>
      <c r="G96" s="49">
        <f>IF(VLOOKUP(Table91213[[#This Row],[Date]],'DB Details'!$A:$Q,7)=0,"",VLOOKUP(Table91213[[#This Row],[Date]],'DB Details'!$A:$Q,7))</f>
        <v>64.5</v>
      </c>
      <c r="H96" s="49">
        <f>IF(VLOOKUP(Table91213[[#This Row],[Date]],'DB Details'!$A:$Q,8)=0,"",VLOOKUP(Table91213[[#This Row],[Date]],'DB Details'!$A:$Q,8))</f>
        <v>49.5</v>
      </c>
      <c r="I96" s="49">
        <f>IF(VLOOKUP(Table91213[[#This Row],[Date]],'DB Details'!$A:$Q,9)=0,"",VLOOKUP(Table91213[[#This Row],[Date]],'DB Details'!$A:$Q,9))</f>
        <v>52.5</v>
      </c>
      <c r="J96" s="49">
        <f>IF(VLOOKUP(Table91213[[#This Row],[Date]],'DB Details'!$A:$Q,10)=0,"",VLOOKUP(Table91213[[#This Row],[Date]],'DB Details'!$A:$Q,10))</f>
        <v>54.6</v>
      </c>
      <c r="K96" s="49">
        <f>IF(VLOOKUP(Table91213[[#This Row],[Date]],'DB Details'!$A:$Q,11)=0,"",VLOOKUP(Table91213[[#This Row],[Date]],'DB Details'!$A:$Q,11))</f>
        <v>52.5</v>
      </c>
      <c r="L96" s="47">
        <f>IF(VLOOKUP(Table91213[[#This Row],[Date]],'DB Details'!$A:$Q,12)=0,"",VLOOKUP(Table91213[[#This Row],[Date]],'DB Details'!$A:$Q,12))</f>
        <v>58</v>
      </c>
    </row>
    <row r="97" spans="1:12" x14ac:dyDescent="0.35">
      <c r="A97" s="50">
        <v>38384</v>
      </c>
      <c r="B97" s="47">
        <f>IF(VLOOKUP(Table91213[[#This Row],[Date]],'DB Details'!$A:$Q,2)=0,"",VLOOKUP(Table91213[[#This Row],[Date]],'DB Details'!$A:$Q,2))</f>
        <v>63.3</v>
      </c>
      <c r="C97" s="48">
        <f>IF(VLOOKUP(Table91213[[#This Row],[Date]],'DB Details'!$A:$Q,3)=0,"",VLOOKUP(Table91213[[#This Row],[Date]],'DB Details'!$A:$Q,3))</f>
        <v>57.5</v>
      </c>
      <c r="D97" s="48">
        <f>IF(VLOOKUP(Table91213[[#This Row],[Date]],'DB Details'!$A:$Q,4)=0,"",VLOOKUP(Table91213[[#This Row],[Date]],'DB Details'!$A:$Q,4))</f>
        <v>51.5</v>
      </c>
      <c r="E97" s="49">
        <f>IF(VLOOKUP(Table91213[[#This Row],[Date]],'DB Details'!$A:$Q,5)=0,"",VLOOKUP(Table91213[[#This Row],[Date]],'DB Details'!$A:$Q,5))</f>
        <v>69.7</v>
      </c>
      <c r="F97" s="48">
        <f>IF(VLOOKUP(Table91213[[#This Row],[Date]],'DB Details'!$A:$Q,6)=0,"",VLOOKUP(Table91213[[#This Row],[Date]],'DB Details'!$A:$Q,6))</f>
        <v>61.9</v>
      </c>
      <c r="G97" s="49">
        <f>IF(VLOOKUP(Table91213[[#This Row],[Date]],'DB Details'!$A:$Q,7)=0,"",VLOOKUP(Table91213[[#This Row],[Date]],'DB Details'!$A:$Q,7))</f>
        <v>64.5</v>
      </c>
      <c r="H97" s="49">
        <f>IF(VLOOKUP(Table91213[[#This Row],[Date]],'DB Details'!$A:$Q,8)=0,"",VLOOKUP(Table91213[[#This Row],[Date]],'DB Details'!$A:$Q,8))</f>
        <v>52</v>
      </c>
      <c r="I97" s="49">
        <f>IF(VLOOKUP(Table91213[[#This Row],[Date]],'DB Details'!$A:$Q,9)=0,"",VLOOKUP(Table91213[[#This Row],[Date]],'DB Details'!$A:$Q,9))</f>
        <v>52.5</v>
      </c>
      <c r="J97" s="49">
        <f>IF(VLOOKUP(Table91213[[#This Row],[Date]],'DB Details'!$A:$Q,10)=0,"",VLOOKUP(Table91213[[#This Row],[Date]],'DB Details'!$A:$Q,10))</f>
        <v>59.7</v>
      </c>
      <c r="K97" s="49">
        <f>IF(VLOOKUP(Table91213[[#This Row],[Date]],'DB Details'!$A:$Q,11)=0,"",VLOOKUP(Table91213[[#This Row],[Date]],'DB Details'!$A:$Q,11))</f>
        <v>56</v>
      </c>
      <c r="L97" s="47">
        <f>IF(VLOOKUP(Table91213[[#This Row],[Date]],'DB Details'!$A:$Q,12)=0,"",VLOOKUP(Table91213[[#This Row],[Date]],'DB Details'!$A:$Q,12))</f>
        <v>59.4</v>
      </c>
    </row>
    <row r="98" spans="1:12" x14ac:dyDescent="0.35">
      <c r="A98" s="50">
        <v>38412</v>
      </c>
      <c r="B98" s="47">
        <f>IF(VLOOKUP(Table91213[[#This Row],[Date]],'DB Details'!$A:$Q,2)=0,"",VLOOKUP(Table91213[[#This Row],[Date]],'DB Details'!$A:$Q,2))</f>
        <v>60.5</v>
      </c>
      <c r="C98" s="48">
        <f>IF(VLOOKUP(Table91213[[#This Row],[Date]],'DB Details'!$A:$Q,3)=0,"",VLOOKUP(Table91213[[#This Row],[Date]],'DB Details'!$A:$Q,3))</f>
        <v>59</v>
      </c>
      <c r="D98" s="48">
        <f>IF(VLOOKUP(Table91213[[#This Row],[Date]],'DB Details'!$A:$Q,4)=0,"",VLOOKUP(Table91213[[#This Row],[Date]],'DB Details'!$A:$Q,4))</f>
        <v>56.5</v>
      </c>
      <c r="E98" s="49">
        <f>IF(VLOOKUP(Table91213[[#This Row],[Date]],'DB Details'!$A:$Q,5)=0,"",VLOOKUP(Table91213[[#This Row],[Date]],'DB Details'!$A:$Q,5))</f>
        <v>65.599999999999994</v>
      </c>
      <c r="F98" s="48">
        <f>IF(VLOOKUP(Table91213[[#This Row],[Date]],'DB Details'!$A:$Q,6)=0,"",VLOOKUP(Table91213[[#This Row],[Date]],'DB Details'!$A:$Q,6))</f>
        <v>61.3</v>
      </c>
      <c r="G98" s="49">
        <f>IF(VLOOKUP(Table91213[[#This Row],[Date]],'DB Details'!$A:$Q,7)=0,"",VLOOKUP(Table91213[[#This Row],[Date]],'DB Details'!$A:$Q,7))</f>
        <v>64.5</v>
      </c>
      <c r="H98" s="49">
        <f>IF(VLOOKUP(Table91213[[#This Row],[Date]],'DB Details'!$A:$Q,8)=0,"",VLOOKUP(Table91213[[#This Row],[Date]],'DB Details'!$A:$Q,8))</f>
        <v>52.5</v>
      </c>
      <c r="I98" s="49">
        <f>IF(VLOOKUP(Table91213[[#This Row],[Date]],'DB Details'!$A:$Q,9)=0,"",VLOOKUP(Table91213[[#This Row],[Date]],'DB Details'!$A:$Q,9))</f>
        <v>53</v>
      </c>
      <c r="J98" s="49">
        <f>IF(VLOOKUP(Table91213[[#This Row],[Date]],'DB Details'!$A:$Q,10)=0,"",VLOOKUP(Table91213[[#This Row],[Date]],'DB Details'!$A:$Q,10))</f>
        <v>57.2</v>
      </c>
      <c r="K98" s="49">
        <f>IF(VLOOKUP(Table91213[[#This Row],[Date]],'DB Details'!$A:$Q,11)=0,"",VLOOKUP(Table91213[[#This Row],[Date]],'DB Details'!$A:$Q,11))</f>
        <v>51.5</v>
      </c>
      <c r="L98" s="47">
        <f>IF(VLOOKUP(Table91213[[#This Row],[Date]],'DB Details'!$A:$Q,12)=0,"",VLOOKUP(Table91213[[#This Row],[Date]],'DB Details'!$A:$Q,12))</f>
        <v>58</v>
      </c>
    </row>
    <row r="99" spans="1:12" x14ac:dyDescent="0.35">
      <c r="A99" s="50">
        <v>38443</v>
      </c>
      <c r="B99" s="47">
        <f>IF(VLOOKUP(Table91213[[#This Row],[Date]],'DB Details'!$A:$Q,2)=0,"",VLOOKUP(Table91213[[#This Row],[Date]],'DB Details'!$A:$Q,2))</f>
        <v>57.5</v>
      </c>
      <c r="C99" s="48">
        <f>IF(VLOOKUP(Table91213[[#This Row],[Date]],'DB Details'!$A:$Q,3)=0,"",VLOOKUP(Table91213[[#This Row],[Date]],'DB Details'!$A:$Q,3))</f>
        <v>58.5</v>
      </c>
      <c r="D99" s="48">
        <f>IF(VLOOKUP(Table91213[[#This Row],[Date]],'DB Details'!$A:$Q,4)=0,"",VLOOKUP(Table91213[[#This Row],[Date]],'DB Details'!$A:$Q,4))</f>
        <v>54</v>
      </c>
      <c r="E99" s="49">
        <f>IF(VLOOKUP(Table91213[[#This Row],[Date]],'DB Details'!$A:$Q,5)=0,"",VLOOKUP(Table91213[[#This Row],[Date]],'DB Details'!$A:$Q,5))</f>
        <v>62.4</v>
      </c>
      <c r="F99" s="48">
        <f>IF(VLOOKUP(Table91213[[#This Row],[Date]],'DB Details'!$A:$Q,6)=0,"",VLOOKUP(Table91213[[#This Row],[Date]],'DB Details'!$A:$Q,6))</f>
        <v>58.6</v>
      </c>
      <c r="G99" s="49">
        <f>IF(VLOOKUP(Table91213[[#This Row],[Date]],'DB Details'!$A:$Q,7)=0,"",VLOOKUP(Table91213[[#This Row],[Date]],'DB Details'!$A:$Q,7))</f>
        <v>60.5</v>
      </c>
      <c r="H99" s="49">
        <f>IF(VLOOKUP(Table91213[[#This Row],[Date]],'DB Details'!$A:$Q,8)=0,"",VLOOKUP(Table91213[[#This Row],[Date]],'DB Details'!$A:$Q,8))</f>
        <v>54.5</v>
      </c>
      <c r="I99" s="49">
        <f>IF(VLOOKUP(Table91213[[#This Row],[Date]],'DB Details'!$A:$Q,9)=0,"",VLOOKUP(Table91213[[#This Row],[Date]],'DB Details'!$A:$Q,9))</f>
        <v>53</v>
      </c>
      <c r="J99" s="49">
        <f>IF(VLOOKUP(Table91213[[#This Row],[Date]],'DB Details'!$A:$Q,10)=0,"",VLOOKUP(Table91213[[#This Row],[Date]],'DB Details'!$A:$Q,10))</f>
        <v>53.3</v>
      </c>
      <c r="K99" s="49">
        <f>IF(VLOOKUP(Table91213[[#This Row],[Date]],'DB Details'!$A:$Q,11)=0,"",VLOOKUP(Table91213[[#This Row],[Date]],'DB Details'!$A:$Q,11))</f>
        <v>52.5</v>
      </c>
      <c r="L99" s="47">
        <f>IF(VLOOKUP(Table91213[[#This Row],[Date]],'DB Details'!$A:$Q,12)=0,"",VLOOKUP(Table91213[[#This Row],[Date]],'DB Details'!$A:$Q,12))</f>
        <v>55.6</v>
      </c>
    </row>
    <row r="100" spans="1:12" x14ac:dyDescent="0.35">
      <c r="A100" s="50">
        <v>38473</v>
      </c>
      <c r="B100" s="47">
        <f>IF(VLOOKUP(Table91213[[#This Row],[Date]],'DB Details'!$A:$Q,2)=0,"",VLOOKUP(Table91213[[#This Row],[Date]],'DB Details'!$A:$Q,2))</f>
        <v>58.2</v>
      </c>
      <c r="C100" s="48">
        <f>IF(VLOOKUP(Table91213[[#This Row],[Date]],'DB Details'!$A:$Q,3)=0,"",VLOOKUP(Table91213[[#This Row],[Date]],'DB Details'!$A:$Q,3))</f>
        <v>57.5</v>
      </c>
      <c r="D100" s="48">
        <f>IF(VLOOKUP(Table91213[[#This Row],[Date]],'DB Details'!$A:$Q,4)=0,"",VLOOKUP(Table91213[[#This Row],[Date]],'DB Details'!$A:$Q,4))</f>
        <v>56.5</v>
      </c>
      <c r="E100" s="49">
        <f>IF(VLOOKUP(Table91213[[#This Row],[Date]],'DB Details'!$A:$Q,5)=0,"",VLOOKUP(Table91213[[#This Row],[Date]],'DB Details'!$A:$Q,5))</f>
        <v>57.6</v>
      </c>
      <c r="F100" s="48">
        <f>IF(VLOOKUP(Table91213[[#This Row],[Date]],'DB Details'!$A:$Q,6)=0,"",VLOOKUP(Table91213[[#This Row],[Date]],'DB Details'!$A:$Q,6))</f>
        <v>57.5</v>
      </c>
      <c r="G100" s="49">
        <f>IF(VLOOKUP(Table91213[[#This Row],[Date]],'DB Details'!$A:$Q,7)=0,"",VLOOKUP(Table91213[[#This Row],[Date]],'DB Details'!$A:$Q,7))</f>
        <v>63</v>
      </c>
      <c r="H100" s="49">
        <f>IF(VLOOKUP(Table91213[[#This Row],[Date]],'DB Details'!$A:$Q,8)=0,"",VLOOKUP(Table91213[[#This Row],[Date]],'DB Details'!$A:$Q,8))</f>
        <v>51.5</v>
      </c>
      <c r="I100" s="49">
        <f>IF(VLOOKUP(Table91213[[#This Row],[Date]],'DB Details'!$A:$Q,9)=0,"",VLOOKUP(Table91213[[#This Row],[Date]],'DB Details'!$A:$Q,9))</f>
        <v>53.5</v>
      </c>
      <c r="J100" s="49">
        <f>IF(VLOOKUP(Table91213[[#This Row],[Date]],'DB Details'!$A:$Q,10)=0,"",VLOOKUP(Table91213[[#This Row],[Date]],'DB Details'!$A:$Q,10))</f>
        <v>51.8</v>
      </c>
      <c r="K100" s="49">
        <f>IF(VLOOKUP(Table91213[[#This Row],[Date]],'DB Details'!$A:$Q,11)=0,"",VLOOKUP(Table91213[[#This Row],[Date]],'DB Details'!$A:$Q,11))</f>
        <v>62</v>
      </c>
      <c r="L100" s="47">
        <f>IF(VLOOKUP(Table91213[[#This Row],[Date]],'DB Details'!$A:$Q,12)=0,"",VLOOKUP(Table91213[[#This Row],[Date]],'DB Details'!$A:$Q,12))</f>
        <v>55.3</v>
      </c>
    </row>
    <row r="101" spans="1:12" x14ac:dyDescent="0.35">
      <c r="A101" s="50">
        <v>38504</v>
      </c>
      <c r="B101" s="47">
        <f>IF(VLOOKUP(Table91213[[#This Row],[Date]],'DB Details'!$A:$Q,2)=0,"",VLOOKUP(Table91213[[#This Row],[Date]],'DB Details'!$A:$Q,2))</f>
        <v>59.2</v>
      </c>
      <c r="C101" s="48">
        <f>IF(VLOOKUP(Table91213[[#This Row],[Date]],'DB Details'!$A:$Q,3)=0,"",VLOOKUP(Table91213[[#This Row],[Date]],'DB Details'!$A:$Q,3))</f>
        <v>58.5</v>
      </c>
      <c r="D101" s="48">
        <f>IF(VLOOKUP(Table91213[[#This Row],[Date]],'DB Details'!$A:$Q,4)=0,"",VLOOKUP(Table91213[[#This Row],[Date]],'DB Details'!$A:$Q,4))</f>
        <v>52.5</v>
      </c>
      <c r="E101" s="49">
        <f>IF(VLOOKUP(Table91213[[#This Row],[Date]],'DB Details'!$A:$Q,5)=0,"",VLOOKUP(Table91213[[#This Row],[Date]],'DB Details'!$A:$Q,5))</f>
        <v>58.4</v>
      </c>
      <c r="F101" s="48">
        <f>IF(VLOOKUP(Table91213[[#This Row],[Date]],'DB Details'!$A:$Q,6)=0,"",VLOOKUP(Table91213[[#This Row],[Date]],'DB Details'!$A:$Q,6))</f>
        <v>60.7</v>
      </c>
      <c r="G101" s="49">
        <f>IF(VLOOKUP(Table91213[[#This Row],[Date]],'DB Details'!$A:$Q,7)=0,"",VLOOKUP(Table91213[[#This Row],[Date]],'DB Details'!$A:$Q,7))</f>
        <v>64.5</v>
      </c>
      <c r="H101" s="49">
        <f>IF(VLOOKUP(Table91213[[#This Row],[Date]],'DB Details'!$A:$Q,8)=0,"",VLOOKUP(Table91213[[#This Row],[Date]],'DB Details'!$A:$Q,8))</f>
        <v>52</v>
      </c>
      <c r="I101" s="49">
        <f>IF(VLOOKUP(Table91213[[#This Row],[Date]],'DB Details'!$A:$Q,9)=0,"",VLOOKUP(Table91213[[#This Row],[Date]],'DB Details'!$A:$Q,9))</f>
        <v>56.5</v>
      </c>
      <c r="J101" s="49">
        <f>IF(VLOOKUP(Table91213[[#This Row],[Date]],'DB Details'!$A:$Q,10)=0,"",VLOOKUP(Table91213[[#This Row],[Date]],'DB Details'!$A:$Q,10))</f>
        <v>55.8</v>
      </c>
      <c r="K101" s="49">
        <f>IF(VLOOKUP(Table91213[[#This Row],[Date]],'DB Details'!$A:$Q,11)=0,"",VLOOKUP(Table91213[[#This Row],[Date]],'DB Details'!$A:$Q,11))</f>
        <v>50</v>
      </c>
      <c r="L101" s="47">
        <f>IF(VLOOKUP(Table91213[[#This Row],[Date]],'DB Details'!$A:$Q,12)=0,"",VLOOKUP(Table91213[[#This Row],[Date]],'DB Details'!$A:$Q,12))</f>
        <v>58.1</v>
      </c>
    </row>
    <row r="102" spans="1:12" x14ac:dyDescent="0.35">
      <c r="A102" s="50">
        <v>38534</v>
      </c>
      <c r="B102" s="47">
        <f>IF(VLOOKUP(Table91213[[#This Row],[Date]],'DB Details'!$A:$Q,2)=0,"",VLOOKUP(Table91213[[#This Row],[Date]],'DB Details'!$A:$Q,2))</f>
        <v>64.400000000000006</v>
      </c>
      <c r="C102" s="48">
        <f>IF(VLOOKUP(Table91213[[#This Row],[Date]],'DB Details'!$A:$Q,3)=0,"",VLOOKUP(Table91213[[#This Row],[Date]],'DB Details'!$A:$Q,3))</f>
        <v>62</v>
      </c>
      <c r="D102" s="48">
        <f>IF(VLOOKUP(Table91213[[#This Row],[Date]],'DB Details'!$A:$Q,4)=0,"",VLOOKUP(Table91213[[#This Row],[Date]],'DB Details'!$A:$Q,4))</f>
        <v>53.5</v>
      </c>
      <c r="E102" s="49">
        <f>IF(VLOOKUP(Table91213[[#This Row],[Date]],'DB Details'!$A:$Q,5)=0,"",VLOOKUP(Table91213[[#This Row],[Date]],'DB Details'!$A:$Q,5))</f>
        <v>65.8</v>
      </c>
      <c r="F102" s="48">
        <f>IF(VLOOKUP(Table91213[[#This Row],[Date]],'DB Details'!$A:$Q,6)=0,"",VLOOKUP(Table91213[[#This Row],[Date]],'DB Details'!$A:$Q,6))</f>
        <v>61.3</v>
      </c>
      <c r="G102" s="49">
        <f>IF(VLOOKUP(Table91213[[#This Row],[Date]],'DB Details'!$A:$Q,7)=0,"",VLOOKUP(Table91213[[#This Row],[Date]],'DB Details'!$A:$Q,7))</f>
        <v>64</v>
      </c>
      <c r="H102" s="49">
        <f>IF(VLOOKUP(Table91213[[#This Row],[Date]],'DB Details'!$A:$Q,8)=0,"",VLOOKUP(Table91213[[#This Row],[Date]],'DB Details'!$A:$Q,8))</f>
        <v>52.5</v>
      </c>
      <c r="I102" s="49">
        <f>IF(VLOOKUP(Table91213[[#This Row],[Date]],'DB Details'!$A:$Q,9)=0,"",VLOOKUP(Table91213[[#This Row],[Date]],'DB Details'!$A:$Q,9))</f>
        <v>57</v>
      </c>
      <c r="J102" s="49">
        <f>IF(VLOOKUP(Table91213[[#This Row],[Date]],'DB Details'!$A:$Q,10)=0,"",VLOOKUP(Table91213[[#This Row],[Date]],'DB Details'!$A:$Q,10))</f>
        <v>55.1</v>
      </c>
      <c r="K102" s="49">
        <f>IF(VLOOKUP(Table91213[[#This Row],[Date]],'DB Details'!$A:$Q,11)=0,"",VLOOKUP(Table91213[[#This Row],[Date]],'DB Details'!$A:$Q,11))</f>
        <v>53.5</v>
      </c>
      <c r="L102" s="47">
        <f>IF(VLOOKUP(Table91213[[#This Row],[Date]],'DB Details'!$A:$Q,12)=0,"",VLOOKUP(Table91213[[#This Row],[Date]],'DB Details'!$A:$Q,12))</f>
        <v>59.5</v>
      </c>
    </row>
    <row r="103" spans="1:12" x14ac:dyDescent="0.35">
      <c r="A103" s="50">
        <v>38565</v>
      </c>
      <c r="B103" s="47">
        <f>IF(VLOOKUP(Table91213[[#This Row],[Date]],'DB Details'!$A:$Q,2)=0,"",VLOOKUP(Table91213[[#This Row],[Date]],'DB Details'!$A:$Q,2))</f>
        <v>65.3</v>
      </c>
      <c r="C103" s="48">
        <f>IF(VLOOKUP(Table91213[[#This Row],[Date]],'DB Details'!$A:$Q,3)=0,"",VLOOKUP(Table91213[[#This Row],[Date]],'DB Details'!$A:$Q,3))</f>
        <v>61.5</v>
      </c>
      <c r="D103" s="48">
        <f>IF(VLOOKUP(Table91213[[#This Row],[Date]],'DB Details'!$A:$Q,4)=0,"",VLOOKUP(Table91213[[#This Row],[Date]],'DB Details'!$A:$Q,4))</f>
        <v>52</v>
      </c>
      <c r="E103" s="49">
        <f>IF(VLOOKUP(Table91213[[#This Row],[Date]],'DB Details'!$A:$Q,5)=0,"",VLOOKUP(Table91213[[#This Row],[Date]],'DB Details'!$A:$Q,5))</f>
        <v>66.099999999999994</v>
      </c>
      <c r="F103" s="48">
        <f>IF(VLOOKUP(Table91213[[#This Row],[Date]],'DB Details'!$A:$Q,6)=0,"",VLOOKUP(Table91213[[#This Row],[Date]],'DB Details'!$A:$Q,6))</f>
        <v>64.8</v>
      </c>
      <c r="G103" s="49">
        <f>IF(VLOOKUP(Table91213[[#This Row],[Date]],'DB Details'!$A:$Q,7)=0,"",VLOOKUP(Table91213[[#This Row],[Date]],'DB Details'!$A:$Q,7))</f>
        <v>67</v>
      </c>
      <c r="H103" s="49">
        <f>IF(VLOOKUP(Table91213[[#This Row],[Date]],'DB Details'!$A:$Q,8)=0,"",VLOOKUP(Table91213[[#This Row],[Date]],'DB Details'!$A:$Q,8))</f>
        <v>53.5</v>
      </c>
      <c r="I103" s="49">
        <f>IF(VLOOKUP(Table91213[[#This Row],[Date]],'DB Details'!$A:$Q,9)=0,"",VLOOKUP(Table91213[[#This Row],[Date]],'DB Details'!$A:$Q,9))</f>
        <v>55</v>
      </c>
      <c r="J103" s="49">
        <f>IF(VLOOKUP(Table91213[[#This Row],[Date]],'DB Details'!$A:$Q,10)=0,"",VLOOKUP(Table91213[[#This Row],[Date]],'DB Details'!$A:$Q,10))</f>
        <v>60.2</v>
      </c>
      <c r="K103" s="49">
        <f>IF(VLOOKUP(Table91213[[#This Row],[Date]],'DB Details'!$A:$Q,11)=0,"",VLOOKUP(Table91213[[#This Row],[Date]],'DB Details'!$A:$Q,11))</f>
        <v>63.5</v>
      </c>
      <c r="L103" s="47">
        <f>IF(VLOOKUP(Table91213[[#This Row],[Date]],'DB Details'!$A:$Q,12)=0,"",VLOOKUP(Table91213[[#This Row],[Date]],'DB Details'!$A:$Q,12))</f>
        <v>61.3</v>
      </c>
    </row>
    <row r="104" spans="1:12" x14ac:dyDescent="0.35">
      <c r="A104" s="50">
        <v>38596</v>
      </c>
      <c r="B104" s="47">
        <f>IF(VLOOKUP(Table91213[[#This Row],[Date]],'DB Details'!$A:$Q,2)=0,"",VLOOKUP(Table91213[[#This Row],[Date]],'DB Details'!$A:$Q,2))</f>
        <v>56.2</v>
      </c>
      <c r="C104" s="48">
        <f>IF(VLOOKUP(Table91213[[#This Row],[Date]],'DB Details'!$A:$Q,3)=0,"",VLOOKUP(Table91213[[#This Row],[Date]],'DB Details'!$A:$Q,3))</f>
        <v>58.5</v>
      </c>
      <c r="D104" s="48">
        <f>IF(VLOOKUP(Table91213[[#This Row],[Date]],'DB Details'!$A:$Q,4)=0,"",VLOOKUP(Table91213[[#This Row],[Date]],'DB Details'!$A:$Q,4))</f>
        <v>52</v>
      </c>
      <c r="E104" s="49">
        <f>IF(VLOOKUP(Table91213[[#This Row],[Date]],'DB Details'!$A:$Q,5)=0,"",VLOOKUP(Table91213[[#This Row],[Date]],'DB Details'!$A:$Q,5))</f>
        <v>83.5</v>
      </c>
      <c r="F104" s="48">
        <f>IF(VLOOKUP(Table91213[[#This Row],[Date]],'DB Details'!$A:$Q,6)=0,"",VLOOKUP(Table91213[[#This Row],[Date]],'DB Details'!$A:$Q,6))</f>
        <v>55.2</v>
      </c>
      <c r="G104" s="49">
        <f>IF(VLOOKUP(Table91213[[#This Row],[Date]],'DB Details'!$A:$Q,7)=0,"",VLOOKUP(Table91213[[#This Row],[Date]],'DB Details'!$A:$Q,7))</f>
        <v>64</v>
      </c>
      <c r="H104" s="49">
        <f>IF(VLOOKUP(Table91213[[#This Row],[Date]],'DB Details'!$A:$Q,8)=0,"",VLOOKUP(Table91213[[#This Row],[Date]],'DB Details'!$A:$Q,8))</f>
        <v>50</v>
      </c>
      <c r="I104" s="49">
        <f>IF(VLOOKUP(Table91213[[#This Row],[Date]],'DB Details'!$A:$Q,9)=0,"",VLOOKUP(Table91213[[#This Row],[Date]],'DB Details'!$A:$Q,9))</f>
        <v>56</v>
      </c>
      <c r="J104" s="49">
        <f>IF(VLOOKUP(Table91213[[#This Row],[Date]],'DB Details'!$A:$Q,10)=0,"",VLOOKUP(Table91213[[#This Row],[Date]],'DB Details'!$A:$Q,10))</f>
        <v>55.4</v>
      </c>
      <c r="K104" s="49">
        <f>IF(VLOOKUP(Table91213[[#This Row],[Date]],'DB Details'!$A:$Q,11)=0,"",VLOOKUP(Table91213[[#This Row],[Date]],'DB Details'!$A:$Q,11))</f>
        <v>55</v>
      </c>
      <c r="L104" s="47">
        <f>IF(VLOOKUP(Table91213[[#This Row],[Date]],'DB Details'!$A:$Q,12)=0,"",VLOOKUP(Table91213[[#This Row],[Date]],'DB Details'!$A:$Q,12))</f>
        <v>55.7</v>
      </c>
    </row>
    <row r="105" spans="1:12" x14ac:dyDescent="0.35">
      <c r="A105" s="50">
        <v>38626</v>
      </c>
      <c r="B105" s="47">
        <f>IF(VLOOKUP(Table91213[[#This Row],[Date]],'DB Details'!$A:$Q,2)=0,"",VLOOKUP(Table91213[[#This Row],[Date]],'DB Details'!$A:$Q,2))</f>
        <v>57.5</v>
      </c>
      <c r="C105" s="48">
        <f>IF(VLOOKUP(Table91213[[#This Row],[Date]],'DB Details'!$A:$Q,3)=0,"",VLOOKUP(Table91213[[#This Row],[Date]],'DB Details'!$A:$Q,3))</f>
        <v>53.5</v>
      </c>
      <c r="D105" s="48">
        <f>IF(VLOOKUP(Table91213[[#This Row],[Date]],'DB Details'!$A:$Q,4)=0,"",VLOOKUP(Table91213[[#This Row],[Date]],'DB Details'!$A:$Q,4))</f>
        <v>55</v>
      </c>
      <c r="E105" s="49">
        <f>IF(VLOOKUP(Table91213[[#This Row],[Date]],'DB Details'!$A:$Q,5)=0,"",VLOOKUP(Table91213[[#This Row],[Date]],'DB Details'!$A:$Q,5))</f>
        <v>79.2</v>
      </c>
      <c r="F105" s="48">
        <f>IF(VLOOKUP(Table91213[[#This Row],[Date]],'DB Details'!$A:$Q,6)=0,"",VLOOKUP(Table91213[[#This Row],[Date]],'DB Details'!$A:$Q,6))</f>
        <v>59.2</v>
      </c>
      <c r="G105" s="49">
        <f>IF(VLOOKUP(Table91213[[#This Row],[Date]],'DB Details'!$A:$Q,7)=0,"",VLOOKUP(Table91213[[#This Row],[Date]],'DB Details'!$A:$Q,7))</f>
        <v>55</v>
      </c>
      <c r="H105" s="49">
        <f>IF(VLOOKUP(Table91213[[#This Row],[Date]],'DB Details'!$A:$Q,8)=0,"",VLOOKUP(Table91213[[#This Row],[Date]],'DB Details'!$A:$Q,8))</f>
        <v>50</v>
      </c>
      <c r="I105" s="49">
        <f>IF(VLOOKUP(Table91213[[#This Row],[Date]],'DB Details'!$A:$Q,9)=0,"",VLOOKUP(Table91213[[#This Row],[Date]],'DB Details'!$A:$Q,9))</f>
        <v>58.5</v>
      </c>
      <c r="J105" s="49">
        <f>IF(VLOOKUP(Table91213[[#This Row],[Date]],'DB Details'!$A:$Q,10)=0,"",VLOOKUP(Table91213[[#This Row],[Date]],'DB Details'!$A:$Q,10))</f>
        <v>54.2</v>
      </c>
      <c r="K105" s="49">
        <f>IF(VLOOKUP(Table91213[[#This Row],[Date]],'DB Details'!$A:$Q,11)=0,"",VLOOKUP(Table91213[[#This Row],[Date]],'DB Details'!$A:$Q,11))</f>
        <v>54.5</v>
      </c>
      <c r="L105" s="47">
        <f>IF(VLOOKUP(Table91213[[#This Row],[Date]],'DB Details'!$A:$Q,12)=0,"",VLOOKUP(Table91213[[#This Row],[Date]],'DB Details'!$A:$Q,12))</f>
        <v>57.4</v>
      </c>
    </row>
    <row r="106" spans="1:12" x14ac:dyDescent="0.35">
      <c r="A106" s="50">
        <v>38657</v>
      </c>
      <c r="B106" s="47">
        <f>IF(VLOOKUP(Table91213[[#This Row],[Date]],'DB Details'!$A:$Q,2)=0,"",VLOOKUP(Table91213[[#This Row],[Date]],'DB Details'!$A:$Q,2))</f>
        <v>59.6</v>
      </c>
      <c r="C106" s="48">
        <f>IF(VLOOKUP(Table91213[[#This Row],[Date]],'DB Details'!$A:$Q,3)=0,"",VLOOKUP(Table91213[[#This Row],[Date]],'DB Details'!$A:$Q,3))</f>
        <v>56.5</v>
      </c>
      <c r="D106" s="48">
        <f>IF(VLOOKUP(Table91213[[#This Row],[Date]],'DB Details'!$A:$Q,4)=0,"",VLOOKUP(Table91213[[#This Row],[Date]],'DB Details'!$A:$Q,4))</f>
        <v>54</v>
      </c>
      <c r="E106" s="49">
        <f>IF(VLOOKUP(Table91213[[#This Row],[Date]],'DB Details'!$A:$Q,5)=0,"",VLOOKUP(Table91213[[#This Row],[Date]],'DB Details'!$A:$Q,5))</f>
        <v>72.599999999999994</v>
      </c>
      <c r="F106" s="48">
        <f>IF(VLOOKUP(Table91213[[#This Row],[Date]],'DB Details'!$A:$Q,6)=0,"",VLOOKUP(Table91213[[#This Row],[Date]],'DB Details'!$A:$Q,6))</f>
        <v>59.2</v>
      </c>
      <c r="G106" s="49">
        <f>IF(VLOOKUP(Table91213[[#This Row],[Date]],'DB Details'!$A:$Q,7)=0,"",VLOOKUP(Table91213[[#This Row],[Date]],'DB Details'!$A:$Q,7))</f>
        <v>60</v>
      </c>
      <c r="H106" s="49">
        <f>IF(VLOOKUP(Table91213[[#This Row],[Date]],'DB Details'!$A:$Q,8)=0,"",VLOOKUP(Table91213[[#This Row],[Date]],'DB Details'!$A:$Q,8))</f>
        <v>54</v>
      </c>
      <c r="I106" s="49">
        <f>IF(VLOOKUP(Table91213[[#This Row],[Date]],'DB Details'!$A:$Q,9)=0,"",VLOOKUP(Table91213[[#This Row],[Date]],'DB Details'!$A:$Q,9))</f>
        <v>60.5</v>
      </c>
      <c r="J106" s="49">
        <f>IF(VLOOKUP(Table91213[[#This Row],[Date]],'DB Details'!$A:$Q,10)=0,"",VLOOKUP(Table91213[[#This Row],[Date]],'DB Details'!$A:$Q,10))</f>
        <v>56.9</v>
      </c>
      <c r="K106" s="49">
        <f>IF(VLOOKUP(Table91213[[#This Row],[Date]],'DB Details'!$A:$Q,11)=0,"",VLOOKUP(Table91213[[#This Row],[Date]],'DB Details'!$A:$Q,11))</f>
        <v>57</v>
      </c>
      <c r="L106" s="47">
        <f>IF(VLOOKUP(Table91213[[#This Row],[Date]],'DB Details'!$A:$Q,12)=0,"",VLOOKUP(Table91213[[#This Row],[Date]],'DB Details'!$A:$Q,12))</f>
        <v>59.1</v>
      </c>
    </row>
    <row r="107" spans="1:12" x14ac:dyDescent="0.35">
      <c r="A107" s="50">
        <v>38687</v>
      </c>
      <c r="B107" s="47">
        <f>IF(VLOOKUP(Table91213[[#This Row],[Date]],'DB Details'!$A:$Q,2)=0,"",VLOOKUP(Table91213[[#This Row],[Date]],'DB Details'!$A:$Q,2))</f>
        <v>62.8</v>
      </c>
      <c r="C107" s="48">
        <f>IF(VLOOKUP(Table91213[[#This Row],[Date]],'DB Details'!$A:$Q,3)=0,"",VLOOKUP(Table91213[[#This Row],[Date]],'DB Details'!$A:$Q,3))</f>
        <v>56.5</v>
      </c>
      <c r="D107" s="48">
        <f>IF(VLOOKUP(Table91213[[#This Row],[Date]],'DB Details'!$A:$Q,4)=0,"",VLOOKUP(Table91213[[#This Row],[Date]],'DB Details'!$A:$Q,4))</f>
        <v>54</v>
      </c>
      <c r="E107" s="49">
        <f>IF(VLOOKUP(Table91213[[#This Row],[Date]],'DB Details'!$A:$Q,5)=0,"",VLOOKUP(Table91213[[#This Row],[Date]],'DB Details'!$A:$Q,5))</f>
        <v>68.900000000000006</v>
      </c>
      <c r="F107" s="48">
        <f>IF(VLOOKUP(Table91213[[#This Row],[Date]],'DB Details'!$A:$Q,6)=0,"",VLOOKUP(Table91213[[#This Row],[Date]],'DB Details'!$A:$Q,6))</f>
        <v>60.1</v>
      </c>
      <c r="G107" s="49">
        <f>IF(VLOOKUP(Table91213[[#This Row],[Date]],'DB Details'!$A:$Q,7)=0,"",VLOOKUP(Table91213[[#This Row],[Date]],'DB Details'!$A:$Q,7))</f>
        <v>59</v>
      </c>
      <c r="H107" s="49">
        <f>IF(VLOOKUP(Table91213[[#This Row],[Date]],'DB Details'!$A:$Q,8)=0,"",VLOOKUP(Table91213[[#This Row],[Date]],'DB Details'!$A:$Q,8))</f>
        <v>56</v>
      </c>
      <c r="I107" s="49">
        <f>IF(VLOOKUP(Table91213[[#This Row],[Date]],'DB Details'!$A:$Q,9)=0,"",VLOOKUP(Table91213[[#This Row],[Date]],'DB Details'!$A:$Q,9))</f>
        <v>56.5</v>
      </c>
      <c r="J107" s="49">
        <f>IF(VLOOKUP(Table91213[[#This Row],[Date]],'DB Details'!$A:$Q,10)=0,"",VLOOKUP(Table91213[[#This Row],[Date]],'DB Details'!$A:$Q,10))</f>
        <v>56.4</v>
      </c>
      <c r="K107" s="49">
        <f>IF(VLOOKUP(Table91213[[#This Row],[Date]],'DB Details'!$A:$Q,11)=0,"",VLOOKUP(Table91213[[#This Row],[Date]],'DB Details'!$A:$Q,11))</f>
        <v>61.5</v>
      </c>
      <c r="L107" s="47">
        <f>IF(VLOOKUP(Table91213[[#This Row],[Date]],'DB Details'!$A:$Q,12)=0,"",VLOOKUP(Table91213[[#This Row],[Date]],'DB Details'!$A:$Q,12))</f>
        <v>59</v>
      </c>
    </row>
    <row r="108" spans="1:12" x14ac:dyDescent="0.35">
      <c r="A108" s="50">
        <v>38718</v>
      </c>
      <c r="B108" s="47">
        <f>IF(VLOOKUP(Table91213[[#This Row],[Date]],'DB Details'!$A:$Q,2)=0,"",VLOOKUP(Table91213[[#This Row],[Date]],'DB Details'!$A:$Q,2))</f>
        <v>57.4</v>
      </c>
      <c r="C108" s="48">
        <f>IF(VLOOKUP(Table91213[[#This Row],[Date]],'DB Details'!$A:$Q,3)=0,"",VLOOKUP(Table91213[[#This Row],[Date]],'DB Details'!$A:$Q,3))</f>
        <v>49.5</v>
      </c>
      <c r="D108" s="48">
        <f>IF(VLOOKUP(Table91213[[#This Row],[Date]],'DB Details'!$A:$Q,4)=0,"",VLOOKUP(Table91213[[#This Row],[Date]],'DB Details'!$A:$Q,4))</f>
        <v>52.5</v>
      </c>
      <c r="E108" s="49">
        <f>IF(VLOOKUP(Table91213[[#This Row],[Date]],'DB Details'!$A:$Q,5)=0,"",VLOOKUP(Table91213[[#This Row],[Date]],'DB Details'!$A:$Q,5))</f>
        <v>69.900000000000006</v>
      </c>
      <c r="F108" s="48">
        <f>IF(VLOOKUP(Table91213[[#This Row],[Date]],'DB Details'!$A:$Q,6)=0,"",VLOOKUP(Table91213[[#This Row],[Date]],'DB Details'!$A:$Q,6))</f>
        <v>58.6</v>
      </c>
      <c r="G108" s="49">
        <f>IF(VLOOKUP(Table91213[[#This Row],[Date]],'DB Details'!$A:$Q,7)=0,"",VLOOKUP(Table91213[[#This Row],[Date]],'DB Details'!$A:$Q,7))</f>
        <v>63</v>
      </c>
      <c r="H108" s="49">
        <f>IF(VLOOKUP(Table91213[[#This Row],[Date]],'DB Details'!$A:$Q,8)=0,"",VLOOKUP(Table91213[[#This Row],[Date]],'DB Details'!$A:$Q,8))</f>
        <v>55</v>
      </c>
      <c r="I108" s="49">
        <f>IF(VLOOKUP(Table91213[[#This Row],[Date]],'DB Details'!$A:$Q,9)=0,"",VLOOKUP(Table91213[[#This Row],[Date]],'DB Details'!$A:$Q,9))</f>
        <v>54.5</v>
      </c>
      <c r="J108" s="49">
        <f>IF(VLOOKUP(Table91213[[#This Row],[Date]],'DB Details'!$A:$Q,10)=0,"",VLOOKUP(Table91213[[#This Row],[Date]],'DB Details'!$A:$Q,10))</f>
        <v>54.5</v>
      </c>
      <c r="K108" s="49">
        <f>IF(VLOOKUP(Table91213[[#This Row],[Date]],'DB Details'!$A:$Q,11)=0,"",VLOOKUP(Table91213[[#This Row],[Date]],'DB Details'!$A:$Q,11))</f>
        <v>58</v>
      </c>
      <c r="L108" s="47">
        <f>IF(VLOOKUP(Table91213[[#This Row],[Date]],'DB Details'!$A:$Q,12)=0,"",VLOOKUP(Table91213[[#This Row],[Date]],'DB Details'!$A:$Q,12))</f>
        <v>56.3</v>
      </c>
    </row>
    <row r="109" spans="1:12" x14ac:dyDescent="0.35">
      <c r="A109" s="50">
        <v>38749</v>
      </c>
      <c r="B109" s="47">
        <f>IF(VLOOKUP(Table91213[[#This Row],[Date]],'DB Details'!$A:$Q,2)=0,"",VLOOKUP(Table91213[[#This Row],[Date]],'DB Details'!$A:$Q,2))</f>
        <v>57.8</v>
      </c>
      <c r="C109" s="48">
        <f>IF(VLOOKUP(Table91213[[#This Row],[Date]],'DB Details'!$A:$Q,3)=0,"",VLOOKUP(Table91213[[#This Row],[Date]],'DB Details'!$A:$Q,3))</f>
        <v>55</v>
      </c>
      <c r="D109" s="48">
        <f>IF(VLOOKUP(Table91213[[#This Row],[Date]],'DB Details'!$A:$Q,4)=0,"",VLOOKUP(Table91213[[#This Row],[Date]],'DB Details'!$A:$Q,4))</f>
        <v>54</v>
      </c>
      <c r="E109" s="49">
        <f>IF(VLOOKUP(Table91213[[#This Row],[Date]],'DB Details'!$A:$Q,5)=0,"",VLOOKUP(Table91213[[#This Row],[Date]],'DB Details'!$A:$Q,5))</f>
        <v>67.8</v>
      </c>
      <c r="F109" s="48">
        <f>IF(VLOOKUP(Table91213[[#This Row],[Date]],'DB Details'!$A:$Q,6)=0,"",VLOOKUP(Table91213[[#This Row],[Date]],'DB Details'!$A:$Q,6))</f>
        <v>61.8</v>
      </c>
      <c r="G109" s="49">
        <f>IF(VLOOKUP(Table91213[[#This Row],[Date]],'DB Details'!$A:$Q,7)=0,"",VLOOKUP(Table91213[[#This Row],[Date]],'DB Details'!$A:$Q,7))</f>
        <v>63.5</v>
      </c>
      <c r="H109" s="49">
        <f>IF(VLOOKUP(Table91213[[#This Row],[Date]],'DB Details'!$A:$Q,8)=0,"",VLOOKUP(Table91213[[#This Row],[Date]],'DB Details'!$A:$Q,8))</f>
        <v>53</v>
      </c>
      <c r="I109" s="49">
        <f>IF(VLOOKUP(Table91213[[#This Row],[Date]],'DB Details'!$A:$Q,9)=0,"",VLOOKUP(Table91213[[#This Row],[Date]],'DB Details'!$A:$Q,9))</f>
        <v>52.5</v>
      </c>
      <c r="J109" s="49">
        <f>IF(VLOOKUP(Table91213[[#This Row],[Date]],'DB Details'!$A:$Q,10)=0,"",VLOOKUP(Table91213[[#This Row],[Date]],'DB Details'!$A:$Q,10))</f>
        <v>58.1</v>
      </c>
      <c r="K109" s="49">
        <f>IF(VLOOKUP(Table91213[[#This Row],[Date]],'DB Details'!$A:$Q,11)=0,"",VLOOKUP(Table91213[[#This Row],[Date]],'DB Details'!$A:$Q,11))</f>
        <v>60</v>
      </c>
      <c r="L109" s="47">
        <f>IF(VLOOKUP(Table91213[[#This Row],[Date]],'DB Details'!$A:$Q,12)=0,"",VLOOKUP(Table91213[[#This Row],[Date]],'DB Details'!$A:$Q,12))</f>
        <v>57.6</v>
      </c>
    </row>
    <row r="110" spans="1:12" x14ac:dyDescent="0.35">
      <c r="A110" s="50">
        <v>38777</v>
      </c>
      <c r="B110" s="47">
        <f>IF(VLOOKUP(Table91213[[#This Row],[Date]],'DB Details'!$A:$Q,2)=0,"",VLOOKUP(Table91213[[#This Row],[Date]],'DB Details'!$A:$Q,2))</f>
        <v>58.6</v>
      </c>
      <c r="C110" s="48">
        <f>IF(VLOOKUP(Table91213[[#This Row],[Date]],'DB Details'!$A:$Q,3)=0,"",VLOOKUP(Table91213[[#This Row],[Date]],'DB Details'!$A:$Q,3))</f>
        <v>60.5</v>
      </c>
      <c r="D110" s="48">
        <f>IF(VLOOKUP(Table91213[[#This Row],[Date]],'DB Details'!$A:$Q,4)=0,"",VLOOKUP(Table91213[[#This Row],[Date]],'DB Details'!$A:$Q,4))</f>
        <v>50.5</v>
      </c>
      <c r="E110" s="49">
        <f>IF(VLOOKUP(Table91213[[#This Row],[Date]],'DB Details'!$A:$Q,5)=0,"",VLOOKUP(Table91213[[#This Row],[Date]],'DB Details'!$A:$Q,5))</f>
        <v>60.1</v>
      </c>
      <c r="F110" s="48">
        <f>IF(VLOOKUP(Table91213[[#This Row],[Date]],'DB Details'!$A:$Q,6)=0,"",VLOOKUP(Table91213[[#This Row],[Date]],'DB Details'!$A:$Q,6))</f>
        <v>60</v>
      </c>
      <c r="G110" s="49">
        <f>IF(VLOOKUP(Table91213[[#This Row],[Date]],'DB Details'!$A:$Q,7)=0,"",VLOOKUP(Table91213[[#This Row],[Date]],'DB Details'!$A:$Q,7))</f>
        <v>63</v>
      </c>
      <c r="H110" s="49">
        <f>IF(VLOOKUP(Table91213[[#This Row],[Date]],'DB Details'!$A:$Q,8)=0,"",VLOOKUP(Table91213[[#This Row],[Date]],'DB Details'!$A:$Q,8))</f>
        <v>54</v>
      </c>
      <c r="I110" s="49">
        <f>IF(VLOOKUP(Table91213[[#This Row],[Date]],'DB Details'!$A:$Q,9)=0,"",VLOOKUP(Table91213[[#This Row],[Date]],'DB Details'!$A:$Q,9))</f>
        <v>54</v>
      </c>
      <c r="J110" s="49">
        <f>IF(VLOOKUP(Table91213[[#This Row],[Date]],'DB Details'!$A:$Q,10)=0,"",VLOOKUP(Table91213[[#This Row],[Date]],'DB Details'!$A:$Q,10))</f>
        <v>55.1</v>
      </c>
      <c r="K110" s="49">
        <f>IF(VLOOKUP(Table91213[[#This Row],[Date]],'DB Details'!$A:$Q,11)=0,"",VLOOKUP(Table91213[[#This Row],[Date]],'DB Details'!$A:$Q,11))</f>
        <v>63.5</v>
      </c>
      <c r="L110" s="47">
        <f>IF(VLOOKUP(Table91213[[#This Row],[Date]],'DB Details'!$A:$Q,12)=0,"",VLOOKUP(Table91213[[#This Row],[Date]],'DB Details'!$A:$Q,12))</f>
        <v>56.9</v>
      </c>
    </row>
    <row r="111" spans="1:12" x14ac:dyDescent="0.35">
      <c r="A111" s="50">
        <v>38808</v>
      </c>
      <c r="B111" s="47">
        <f>IF(VLOOKUP(Table91213[[#This Row],[Date]],'DB Details'!$A:$Q,2)=0,"",VLOOKUP(Table91213[[#This Row],[Date]],'DB Details'!$A:$Q,2))</f>
        <v>61.1</v>
      </c>
      <c r="C111" s="48">
        <f>IF(VLOOKUP(Table91213[[#This Row],[Date]],'DB Details'!$A:$Q,3)=0,"",VLOOKUP(Table91213[[#This Row],[Date]],'DB Details'!$A:$Q,3))</f>
        <v>57</v>
      </c>
      <c r="D111" s="48">
        <f>IF(VLOOKUP(Table91213[[#This Row],[Date]],'DB Details'!$A:$Q,4)=0,"",VLOOKUP(Table91213[[#This Row],[Date]],'DB Details'!$A:$Q,4))</f>
        <v>54</v>
      </c>
      <c r="E111" s="49">
        <f>IF(VLOOKUP(Table91213[[#This Row],[Date]],'DB Details'!$A:$Q,5)=0,"",VLOOKUP(Table91213[[#This Row],[Date]],'DB Details'!$A:$Q,5))</f>
        <v>68.5</v>
      </c>
      <c r="F111" s="48">
        <f>IF(VLOOKUP(Table91213[[#This Row],[Date]],'DB Details'!$A:$Q,6)=0,"",VLOOKUP(Table91213[[#This Row],[Date]],'DB Details'!$A:$Q,6))</f>
        <v>61.3</v>
      </c>
      <c r="G111" s="49">
        <f>IF(VLOOKUP(Table91213[[#This Row],[Date]],'DB Details'!$A:$Q,7)=0,"",VLOOKUP(Table91213[[#This Row],[Date]],'DB Details'!$A:$Q,7))</f>
        <v>60</v>
      </c>
      <c r="H111" s="49">
        <f>IF(VLOOKUP(Table91213[[#This Row],[Date]],'DB Details'!$A:$Q,8)=0,"",VLOOKUP(Table91213[[#This Row],[Date]],'DB Details'!$A:$Q,8))</f>
        <v>59</v>
      </c>
      <c r="I111" s="49">
        <f>IF(VLOOKUP(Table91213[[#This Row],[Date]],'DB Details'!$A:$Q,9)=0,"",VLOOKUP(Table91213[[#This Row],[Date]],'DB Details'!$A:$Q,9))</f>
        <v>54.5</v>
      </c>
      <c r="J111" s="49">
        <f>IF(VLOOKUP(Table91213[[#This Row],[Date]],'DB Details'!$A:$Q,10)=0,"",VLOOKUP(Table91213[[#This Row],[Date]],'DB Details'!$A:$Q,10))</f>
        <v>56.5</v>
      </c>
      <c r="K111" s="49">
        <f>IF(VLOOKUP(Table91213[[#This Row],[Date]],'DB Details'!$A:$Q,11)=0,"",VLOOKUP(Table91213[[#This Row],[Date]],'DB Details'!$A:$Q,11))</f>
        <v>59.5</v>
      </c>
      <c r="L111" s="47">
        <f>IF(VLOOKUP(Table91213[[#This Row],[Date]],'DB Details'!$A:$Q,12)=0,"",VLOOKUP(Table91213[[#This Row],[Date]],'DB Details'!$A:$Q,12))</f>
        <v>58.4</v>
      </c>
    </row>
    <row r="112" spans="1:12" x14ac:dyDescent="0.35">
      <c r="A112" s="50">
        <v>38838</v>
      </c>
      <c r="B112" s="47">
        <f>IF(VLOOKUP(Table91213[[#This Row],[Date]],'DB Details'!$A:$Q,2)=0,"",VLOOKUP(Table91213[[#This Row],[Date]],'DB Details'!$A:$Q,2))</f>
        <v>58.6</v>
      </c>
      <c r="C112" s="48">
        <f>IF(VLOOKUP(Table91213[[#This Row],[Date]],'DB Details'!$A:$Q,3)=0,"",VLOOKUP(Table91213[[#This Row],[Date]],'DB Details'!$A:$Q,3))</f>
        <v>58.5</v>
      </c>
      <c r="D112" s="48">
        <f>IF(VLOOKUP(Table91213[[#This Row],[Date]],'DB Details'!$A:$Q,4)=0,"",VLOOKUP(Table91213[[#This Row],[Date]],'DB Details'!$A:$Q,4))</f>
        <v>52</v>
      </c>
      <c r="E112" s="49">
        <f>IF(VLOOKUP(Table91213[[#This Row],[Date]],'DB Details'!$A:$Q,5)=0,"",VLOOKUP(Table91213[[#This Row],[Date]],'DB Details'!$A:$Q,5))</f>
        <v>70.5</v>
      </c>
      <c r="F112" s="48">
        <f>IF(VLOOKUP(Table91213[[#This Row],[Date]],'DB Details'!$A:$Q,6)=0,"",VLOOKUP(Table91213[[#This Row],[Date]],'DB Details'!$A:$Q,6))</f>
        <v>58.1</v>
      </c>
      <c r="G112" s="49">
        <f>IF(VLOOKUP(Table91213[[#This Row],[Date]],'DB Details'!$A:$Q,7)=0,"",VLOOKUP(Table91213[[#This Row],[Date]],'DB Details'!$A:$Q,7))</f>
        <v>59</v>
      </c>
      <c r="H112" s="49">
        <f>IF(VLOOKUP(Table91213[[#This Row],[Date]],'DB Details'!$A:$Q,8)=0,"",VLOOKUP(Table91213[[#This Row],[Date]],'DB Details'!$A:$Q,8))</f>
        <v>59</v>
      </c>
      <c r="I112" s="49">
        <f>IF(VLOOKUP(Table91213[[#This Row],[Date]],'DB Details'!$A:$Q,9)=0,"",VLOOKUP(Table91213[[#This Row],[Date]],'DB Details'!$A:$Q,9))</f>
        <v>56.5</v>
      </c>
      <c r="J112" s="49">
        <f>IF(VLOOKUP(Table91213[[#This Row],[Date]],'DB Details'!$A:$Q,10)=0,"",VLOOKUP(Table91213[[#This Row],[Date]],'DB Details'!$A:$Q,10))</f>
        <v>54.6</v>
      </c>
      <c r="K112" s="49">
        <f>IF(VLOOKUP(Table91213[[#This Row],[Date]],'DB Details'!$A:$Q,11)=0,"",VLOOKUP(Table91213[[#This Row],[Date]],'DB Details'!$A:$Q,11))</f>
        <v>64</v>
      </c>
      <c r="L112" s="47">
        <f>IF(VLOOKUP(Table91213[[#This Row],[Date]],'DB Details'!$A:$Q,12)=0,"",VLOOKUP(Table91213[[#This Row],[Date]],'DB Details'!$A:$Q,12))</f>
        <v>57</v>
      </c>
    </row>
    <row r="113" spans="1:12" x14ac:dyDescent="0.35">
      <c r="A113" s="50">
        <v>38869</v>
      </c>
      <c r="B113" s="47">
        <f>IF(VLOOKUP(Table91213[[#This Row],[Date]],'DB Details'!$A:$Q,2)=0,"",VLOOKUP(Table91213[[#This Row],[Date]],'DB Details'!$A:$Q,2))</f>
        <v>57</v>
      </c>
      <c r="C113" s="48">
        <f>IF(VLOOKUP(Table91213[[#This Row],[Date]],'DB Details'!$A:$Q,3)=0,"",VLOOKUP(Table91213[[#This Row],[Date]],'DB Details'!$A:$Q,3))</f>
        <v>55.5</v>
      </c>
      <c r="D113" s="48">
        <f>IF(VLOOKUP(Table91213[[#This Row],[Date]],'DB Details'!$A:$Q,4)=0,"",VLOOKUP(Table91213[[#This Row],[Date]],'DB Details'!$A:$Q,4))</f>
        <v>55</v>
      </c>
      <c r="E113" s="49">
        <f>IF(VLOOKUP(Table91213[[#This Row],[Date]],'DB Details'!$A:$Q,5)=0,"",VLOOKUP(Table91213[[#This Row],[Date]],'DB Details'!$A:$Q,5))</f>
        <v>69</v>
      </c>
      <c r="F113" s="48">
        <f>IF(VLOOKUP(Table91213[[#This Row],[Date]],'DB Details'!$A:$Q,6)=0,"",VLOOKUP(Table91213[[#This Row],[Date]],'DB Details'!$A:$Q,6))</f>
        <v>56.4</v>
      </c>
      <c r="G113" s="49">
        <f>IF(VLOOKUP(Table91213[[#This Row],[Date]],'DB Details'!$A:$Q,7)=0,"",VLOOKUP(Table91213[[#This Row],[Date]],'DB Details'!$A:$Q,7))</f>
        <v>63</v>
      </c>
      <c r="H113" s="49">
        <f>IF(VLOOKUP(Table91213[[#This Row],[Date]],'DB Details'!$A:$Q,8)=0,"",VLOOKUP(Table91213[[#This Row],[Date]],'DB Details'!$A:$Q,8))</f>
        <v>51.5</v>
      </c>
      <c r="I113" s="49">
        <f>IF(VLOOKUP(Table91213[[#This Row],[Date]],'DB Details'!$A:$Q,9)=0,"",VLOOKUP(Table91213[[#This Row],[Date]],'DB Details'!$A:$Q,9))</f>
        <v>56</v>
      </c>
      <c r="J113" s="49">
        <f>IF(VLOOKUP(Table91213[[#This Row],[Date]],'DB Details'!$A:$Q,10)=0,"",VLOOKUP(Table91213[[#This Row],[Date]],'DB Details'!$A:$Q,10))</f>
        <v>51.2</v>
      </c>
      <c r="K113" s="49">
        <f>IF(VLOOKUP(Table91213[[#This Row],[Date]],'DB Details'!$A:$Q,11)=0,"",VLOOKUP(Table91213[[#This Row],[Date]],'DB Details'!$A:$Q,11))</f>
        <v>54.5</v>
      </c>
      <c r="L113" s="47">
        <f>IF(VLOOKUP(Table91213[[#This Row],[Date]],'DB Details'!$A:$Q,12)=0,"",VLOOKUP(Table91213[[#This Row],[Date]],'DB Details'!$A:$Q,12))</f>
        <v>55.2</v>
      </c>
    </row>
    <row r="114" spans="1:12" x14ac:dyDescent="0.35">
      <c r="A114" s="50">
        <v>38899</v>
      </c>
      <c r="B114" s="47">
        <f>IF(VLOOKUP(Table91213[[#This Row],[Date]],'DB Details'!$A:$Q,2)=0,"",VLOOKUP(Table91213[[#This Row],[Date]],'DB Details'!$A:$Q,2))</f>
        <v>58.1</v>
      </c>
      <c r="C114" s="48">
        <f>IF(VLOOKUP(Table91213[[#This Row],[Date]],'DB Details'!$A:$Q,3)=0,"",VLOOKUP(Table91213[[#This Row],[Date]],'DB Details'!$A:$Q,3))</f>
        <v>60.5</v>
      </c>
      <c r="D114" s="48">
        <f>IF(VLOOKUP(Table91213[[#This Row],[Date]],'DB Details'!$A:$Q,4)=0,"",VLOOKUP(Table91213[[#This Row],[Date]],'DB Details'!$A:$Q,4))</f>
        <v>56</v>
      </c>
      <c r="E114" s="49">
        <f>IF(VLOOKUP(Table91213[[#This Row],[Date]],'DB Details'!$A:$Q,5)=0,"",VLOOKUP(Table91213[[#This Row],[Date]],'DB Details'!$A:$Q,5))</f>
        <v>70.599999999999994</v>
      </c>
      <c r="F114" s="48">
        <f>IF(VLOOKUP(Table91213[[#This Row],[Date]],'DB Details'!$A:$Q,6)=0,"",VLOOKUP(Table91213[[#This Row],[Date]],'DB Details'!$A:$Q,6))</f>
        <v>56.3</v>
      </c>
      <c r="G114" s="49">
        <f>IF(VLOOKUP(Table91213[[#This Row],[Date]],'DB Details'!$A:$Q,7)=0,"",VLOOKUP(Table91213[[#This Row],[Date]],'DB Details'!$A:$Q,7))</f>
        <v>60</v>
      </c>
      <c r="H114" s="49">
        <f>IF(VLOOKUP(Table91213[[#This Row],[Date]],'DB Details'!$A:$Q,8)=0,"",VLOOKUP(Table91213[[#This Row],[Date]],'DB Details'!$A:$Q,8))</f>
        <v>53</v>
      </c>
      <c r="I114" s="49">
        <f>IF(VLOOKUP(Table91213[[#This Row],[Date]],'DB Details'!$A:$Q,9)=0,"",VLOOKUP(Table91213[[#This Row],[Date]],'DB Details'!$A:$Q,9))</f>
        <v>54.5</v>
      </c>
      <c r="J114" s="49">
        <f>IF(VLOOKUP(Table91213[[#This Row],[Date]],'DB Details'!$A:$Q,10)=0,"",VLOOKUP(Table91213[[#This Row],[Date]],'DB Details'!$A:$Q,10))</f>
        <v>53.6</v>
      </c>
      <c r="K114" s="49">
        <f>IF(VLOOKUP(Table91213[[#This Row],[Date]],'DB Details'!$A:$Q,11)=0,"",VLOOKUP(Table91213[[#This Row],[Date]],'DB Details'!$A:$Q,11))</f>
        <v>56</v>
      </c>
      <c r="L114" s="47">
        <f>IF(VLOOKUP(Table91213[[#This Row],[Date]],'DB Details'!$A:$Q,12)=0,"",VLOOKUP(Table91213[[#This Row],[Date]],'DB Details'!$A:$Q,12))</f>
        <v>55.6</v>
      </c>
    </row>
    <row r="115" spans="1:12" x14ac:dyDescent="0.35">
      <c r="A115" s="50">
        <v>38930</v>
      </c>
      <c r="B115" s="47">
        <f>IF(VLOOKUP(Table91213[[#This Row],[Date]],'DB Details'!$A:$Q,2)=0,"",VLOOKUP(Table91213[[#This Row],[Date]],'DB Details'!$A:$Q,2))</f>
        <v>53.1</v>
      </c>
      <c r="C115" s="48">
        <f>IF(VLOOKUP(Table91213[[#This Row],[Date]],'DB Details'!$A:$Q,3)=0,"",VLOOKUP(Table91213[[#This Row],[Date]],'DB Details'!$A:$Q,3))</f>
        <v>60</v>
      </c>
      <c r="D115" s="48">
        <f>IF(VLOOKUP(Table91213[[#This Row],[Date]],'DB Details'!$A:$Q,4)=0,"",VLOOKUP(Table91213[[#This Row],[Date]],'DB Details'!$A:$Q,4))</f>
        <v>49.5</v>
      </c>
      <c r="E115" s="49">
        <f>IF(VLOOKUP(Table91213[[#This Row],[Date]],'DB Details'!$A:$Q,5)=0,"",VLOOKUP(Table91213[[#This Row],[Date]],'DB Details'!$A:$Q,5))</f>
        <v>72.2</v>
      </c>
      <c r="F115" s="48">
        <f>IF(VLOOKUP(Table91213[[#This Row],[Date]],'DB Details'!$A:$Q,6)=0,"",VLOOKUP(Table91213[[#This Row],[Date]],'DB Details'!$A:$Q,6))</f>
        <v>56.7</v>
      </c>
      <c r="G115" s="49">
        <f>IF(VLOOKUP(Table91213[[#This Row],[Date]],'DB Details'!$A:$Q,7)=0,"",VLOOKUP(Table91213[[#This Row],[Date]],'DB Details'!$A:$Q,7))</f>
        <v>59</v>
      </c>
      <c r="H115" s="49">
        <f>IF(VLOOKUP(Table91213[[#This Row],[Date]],'DB Details'!$A:$Q,8)=0,"",VLOOKUP(Table91213[[#This Row],[Date]],'DB Details'!$A:$Q,8))</f>
        <v>51.5</v>
      </c>
      <c r="I115" s="49">
        <f>IF(VLOOKUP(Table91213[[#This Row],[Date]],'DB Details'!$A:$Q,9)=0,"",VLOOKUP(Table91213[[#This Row],[Date]],'DB Details'!$A:$Q,9))</f>
        <v>53.5</v>
      </c>
      <c r="J115" s="49">
        <f>IF(VLOOKUP(Table91213[[#This Row],[Date]],'DB Details'!$A:$Q,10)=0,"",VLOOKUP(Table91213[[#This Row],[Date]],'DB Details'!$A:$Q,10))</f>
        <v>52.2</v>
      </c>
      <c r="K115" s="49">
        <f>IF(VLOOKUP(Table91213[[#This Row],[Date]],'DB Details'!$A:$Q,11)=0,"",VLOOKUP(Table91213[[#This Row],[Date]],'DB Details'!$A:$Q,11))</f>
        <v>53</v>
      </c>
      <c r="L115" s="47">
        <f>IF(VLOOKUP(Table91213[[#This Row],[Date]],'DB Details'!$A:$Q,12)=0,"",VLOOKUP(Table91213[[#This Row],[Date]],'DB Details'!$A:$Q,12))</f>
        <v>53.9</v>
      </c>
    </row>
    <row r="116" spans="1:12" x14ac:dyDescent="0.35">
      <c r="A116" s="50">
        <v>38961</v>
      </c>
      <c r="B116" s="47">
        <f>IF(VLOOKUP(Table91213[[#This Row],[Date]],'DB Details'!$A:$Q,2)=0,"",VLOOKUP(Table91213[[#This Row],[Date]],'DB Details'!$A:$Q,2))</f>
        <v>56.5</v>
      </c>
      <c r="C116" s="48">
        <f>IF(VLOOKUP(Table91213[[#This Row],[Date]],'DB Details'!$A:$Q,3)=0,"",VLOOKUP(Table91213[[#This Row],[Date]],'DB Details'!$A:$Q,3))</f>
        <v>55</v>
      </c>
      <c r="D116" s="48">
        <f>IF(VLOOKUP(Table91213[[#This Row],[Date]],'DB Details'!$A:$Q,4)=0,"",VLOOKUP(Table91213[[#This Row],[Date]],'DB Details'!$A:$Q,4))</f>
        <v>53</v>
      </c>
      <c r="E116" s="49">
        <f>IF(VLOOKUP(Table91213[[#This Row],[Date]],'DB Details'!$A:$Q,5)=0,"",VLOOKUP(Table91213[[#This Row],[Date]],'DB Details'!$A:$Q,5))</f>
        <v>60.6</v>
      </c>
      <c r="F116" s="48">
        <f>IF(VLOOKUP(Table91213[[#This Row],[Date]],'DB Details'!$A:$Q,6)=0,"",VLOOKUP(Table91213[[#This Row],[Date]],'DB Details'!$A:$Q,6))</f>
        <v>54.4</v>
      </c>
      <c r="G116" s="49">
        <f>IF(VLOOKUP(Table91213[[#This Row],[Date]],'DB Details'!$A:$Q,7)=0,"",VLOOKUP(Table91213[[#This Row],[Date]],'DB Details'!$A:$Q,7))</f>
        <v>63.5</v>
      </c>
      <c r="H116" s="49">
        <f>IF(VLOOKUP(Table91213[[#This Row],[Date]],'DB Details'!$A:$Q,8)=0,"",VLOOKUP(Table91213[[#This Row],[Date]],'DB Details'!$A:$Q,8))</f>
        <v>50.5</v>
      </c>
      <c r="I116" s="49">
        <f>IF(VLOOKUP(Table91213[[#This Row],[Date]],'DB Details'!$A:$Q,9)=0,"",VLOOKUP(Table91213[[#This Row],[Date]],'DB Details'!$A:$Q,9))</f>
        <v>54</v>
      </c>
      <c r="J116" s="49">
        <f>IF(VLOOKUP(Table91213[[#This Row],[Date]],'DB Details'!$A:$Q,10)=0,"",VLOOKUP(Table91213[[#This Row],[Date]],'DB Details'!$A:$Q,10))</f>
        <v>52.9</v>
      </c>
      <c r="K116" s="49">
        <f>IF(VLOOKUP(Table91213[[#This Row],[Date]],'DB Details'!$A:$Q,11)=0,"",VLOOKUP(Table91213[[#This Row],[Date]],'DB Details'!$A:$Q,11))</f>
        <v>59</v>
      </c>
      <c r="L116" s="47">
        <f>IF(VLOOKUP(Table91213[[#This Row],[Date]],'DB Details'!$A:$Q,12)=0,"",VLOOKUP(Table91213[[#This Row],[Date]],'DB Details'!$A:$Q,12))</f>
        <v>54.5</v>
      </c>
    </row>
    <row r="117" spans="1:12" x14ac:dyDescent="0.35">
      <c r="A117" s="50">
        <v>38991</v>
      </c>
      <c r="B117" s="47">
        <f>IF(VLOOKUP(Table91213[[#This Row],[Date]],'DB Details'!$A:$Q,2)=0,"",VLOOKUP(Table91213[[#This Row],[Date]],'DB Details'!$A:$Q,2))</f>
        <v>55.3</v>
      </c>
      <c r="C117" s="48">
        <f>IF(VLOOKUP(Table91213[[#This Row],[Date]],'DB Details'!$A:$Q,3)=0,"",VLOOKUP(Table91213[[#This Row],[Date]],'DB Details'!$A:$Q,3))</f>
        <v>57.5</v>
      </c>
      <c r="D117" s="48">
        <f>IF(VLOOKUP(Table91213[[#This Row],[Date]],'DB Details'!$A:$Q,4)=0,"",VLOOKUP(Table91213[[#This Row],[Date]],'DB Details'!$A:$Q,4))</f>
        <v>51.5</v>
      </c>
      <c r="E117" s="49">
        <f>IF(VLOOKUP(Table91213[[#This Row],[Date]],'DB Details'!$A:$Q,5)=0,"",VLOOKUP(Table91213[[#This Row],[Date]],'DB Details'!$A:$Q,5))</f>
        <v>56.5</v>
      </c>
      <c r="F117" s="48">
        <f>IF(VLOOKUP(Table91213[[#This Row],[Date]],'DB Details'!$A:$Q,6)=0,"",VLOOKUP(Table91213[[#This Row],[Date]],'DB Details'!$A:$Q,6))</f>
        <v>56.9</v>
      </c>
      <c r="G117" s="49">
        <f>IF(VLOOKUP(Table91213[[#This Row],[Date]],'DB Details'!$A:$Q,7)=0,"",VLOOKUP(Table91213[[#This Row],[Date]],'DB Details'!$A:$Q,7))</f>
        <v>64.5</v>
      </c>
      <c r="H117" s="49">
        <f>IF(VLOOKUP(Table91213[[#This Row],[Date]],'DB Details'!$A:$Q,8)=0,"",VLOOKUP(Table91213[[#This Row],[Date]],'DB Details'!$A:$Q,8))</f>
        <v>53</v>
      </c>
      <c r="I117" s="49">
        <f>IF(VLOOKUP(Table91213[[#This Row],[Date]],'DB Details'!$A:$Q,9)=0,"",VLOOKUP(Table91213[[#This Row],[Date]],'DB Details'!$A:$Q,9))</f>
        <v>54.5</v>
      </c>
      <c r="J117" s="49">
        <f>IF(VLOOKUP(Table91213[[#This Row],[Date]],'DB Details'!$A:$Q,10)=0,"",VLOOKUP(Table91213[[#This Row],[Date]],'DB Details'!$A:$Q,10))</f>
        <v>52.9</v>
      </c>
      <c r="K117" s="49">
        <f>IF(VLOOKUP(Table91213[[#This Row],[Date]],'DB Details'!$A:$Q,11)=0,"",VLOOKUP(Table91213[[#This Row],[Date]],'DB Details'!$A:$Q,11))</f>
        <v>63.5</v>
      </c>
      <c r="L117" s="47">
        <f>IF(VLOOKUP(Table91213[[#This Row],[Date]],'DB Details'!$A:$Q,12)=0,"",VLOOKUP(Table91213[[#This Row],[Date]],'DB Details'!$A:$Q,12))</f>
        <v>54.9</v>
      </c>
    </row>
    <row r="118" spans="1:12" x14ac:dyDescent="0.35">
      <c r="A118" s="50">
        <v>39022</v>
      </c>
      <c r="B118" s="47">
        <f>IF(VLOOKUP(Table91213[[#This Row],[Date]],'DB Details'!$A:$Q,2)=0,"",VLOOKUP(Table91213[[#This Row],[Date]],'DB Details'!$A:$Q,2))</f>
        <v>56.7</v>
      </c>
      <c r="C118" s="48">
        <f>IF(VLOOKUP(Table91213[[#This Row],[Date]],'DB Details'!$A:$Q,3)=0,"",VLOOKUP(Table91213[[#This Row],[Date]],'DB Details'!$A:$Q,3))</f>
        <v>59.5</v>
      </c>
      <c r="D118" s="48">
        <f>IF(VLOOKUP(Table91213[[#This Row],[Date]],'DB Details'!$A:$Q,4)=0,"",VLOOKUP(Table91213[[#This Row],[Date]],'DB Details'!$A:$Q,4))</f>
        <v>54.5</v>
      </c>
      <c r="E118" s="49">
        <f>IF(VLOOKUP(Table91213[[#This Row],[Date]],'DB Details'!$A:$Q,5)=0,"",VLOOKUP(Table91213[[#This Row],[Date]],'DB Details'!$A:$Q,5))</f>
        <v>56.7</v>
      </c>
      <c r="F118" s="48">
        <f>IF(VLOOKUP(Table91213[[#This Row],[Date]],'DB Details'!$A:$Q,6)=0,"",VLOOKUP(Table91213[[#This Row],[Date]],'DB Details'!$A:$Q,6))</f>
        <v>59.2</v>
      </c>
      <c r="G118" s="49">
        <f>IF(VLOOKUP(Table91213[[#This Row],[Date]],'DB Details'!$A:$Q,7)=0,"",VLOOKUP(Table91213[[#This Row],[Date]],'DB Details'!$A:$Q,7))</f>
        <v>57</v>
      </c>
      <c r="H118" s="49">
        <f>IF(VLOOKUP(Table91213[[#This Row],[Date]],'DB Details'!$A:$Q,8)=0,"",VLOOKUP(Table91213[[#This Row],[Date]],'DB Details'!$A:$Q,8))</f>
        <v>51.5</v>
      </c>
      <c r="I118" s="49">
        <f>IF(VLOOKUP(Table91213[[#This Row],[Date]],'DB Details'!$A:$Q,9)=0,"",VLOOKUP(Table91213[[#This Row],[Date]],'DB Details'!$A:$Q,9))</f>
        <v>50</v>
      </c>
      <c r="J118" s="49">
        <f>IF(VLOOKUP(Table91213[[#This Row],[Date]],'DB Details'!$A:$Q,10)=0,"",VLOOKUP(Table91213[[#This Row],[Date]],'DB Details'!$A:$Q,10))</f>
        <v>52.2</v>
      </c>
      <c r="K118" s="49">
        <f>IF(VLOOKUP(Table91213[[#This Row],[Date]],'DB Details'!$A:$Q,11)=0,"",VLOOKUP(Table91213[[#This Row],[Date]],'DB Details'!$A:$Q,11))</f>
        <v>58.5</v>
      </c>
      <c r="L118" s="47">
        <f>IF(VLOOKUP(Table91213[[#This Row],[Date]],'DB Details'!$A:$Q,12)=0,"",VLOOKUP(Table91213[[#This Row],[Date]],'DB Details'!$A:$Q,12))</f>
        <v>54.5</v>
      </c>
    </row>
    <row r="119" spans="1:12" x14ac:dyDescent="0.35">
      <c r="A119" s="50">
        <v>39052</v>
      </c>
      <c r="B119" s="47">
        <f>IF(VLOOKUP(Table91213[[#This Row],[Date]],'DB Details'!$A:$Q,2)=0,"",VLOOKUP(Table91213[[#This Row],[Date]],'DB Details'!$A:$Q,2))</f>
        <v>54.8</v>
      </c>
      <c r="C119" s="48">
        <f>IF(VLOOKUP(Table91213[[#This Row],[Date]],'DB Details'!$A:$Q,3)=0,"",VLOOKUP(Table91213[[#This Row],[Date]],'DB Details'!$A:$Q,3))</f>
        <v>62</v>
      </c>
      <c r="D119" s="48">
        <f>IF(VLOOKUP(Table91213[[#This Row],[Date]],'DB Details'!$A:$Q,4)=0,"",VLOOKUP(Table91213[[#This Row],[Date]],'DB Details'!$A:$Q,4))</f>
        <v>48</v>
      </c>
      <c r="E119" s="49">
        <f>IF(VLOOKUP(Table91213[[#This Row],[Date]],'DB Details'!$A:$Q,5)=0,"",VLOOKUP(Table91213[[#This Row],[Date]],'DB Details'!$A:$Q,5))</f>
        <v>60.5</v>
      </c>
      <c r="F119" s="48">
        <f>IF(VLOOKUP(Table91213[[#This Row],[Date]],'DB Details'!$A:$Q,6)=0,"",VLOOKUP(Table91213[[#This Row],[Date]],'DB Details'!$A:$Q,6))</f>
        <v>56.1</v>
      </c>
      <c r="G119" s="49">
        <f>IF(VLOOKUP(Table91213[[#This Row],[Date]],'DB Details'!$A:$Q,7)=0,"",VLOOKUP(Table91213[[#This Row],[Date]],'DB Details'!$A:$Q,7))</f>
        <v>63.5</v>
      </c>
      <c r="H119" s="49">
        <f>IF(VLOOKUP(Table91213[[#This Row],[Date]],'DB Details'!$A:$Q,8)=0,"",VLOOKUP(Table91213[[#This Row],[Date]],'DB Details'!$A:$Q,8))</f>
        <v>53.5</v>
      </c>
      <c r="I119" s="49">
        <f>IF(VLOOKUP(Table91213[[#This Row],[Date]],'DB Details'!$A:$Q,9)=0,"",VLOOKUP(Table91213[[#This Row],[Date]],'DB Details'!$A:$Q,9))</f>
        <v>51</v>
      </c>
      <c r="J119" s="49">
        <f>IF(VLOOKUP(Table91213[[#This Row],[Date]],'DB Details'!$A:$Q,10)=0,"",VLOOKUP(Table91213[[#This Row],[Date]],'DB Details'!$A:$Q,10))</f>
        <v>52.7</v>
      </c>
      <c r="K119" s="49">
        <f>IF(VLOOKUP(Table91213[[#This Row],[Date]],'DB Details'!$A:$Q,11)=0,"",VLOOKUP(Table91213[[#This Row],[Date]],'DB Details'!$A:$Q,11))</f>
        <v>61.5</v>
      </c>
      <c r="L119" s="47">
        <f>IF(VLOOKUP(Table91213[[#This Row],[Date]],'DB Details'!$A:$Q,12)=0,"",VLOOKUP(Table91213[[#This Row],[Date]],'DB Details'!$A:$Q,12))</f>
        <v>53.7</v>
      </c>
    </row>
    <row r="120" spans="1:12" x14ac:dyDescent="0.35">
      <c r="A120" s="50">
        <v>39083</v>
      </c>
      <c r="B120" s="47">
        <f>IF(VLOOKUP(Table91213[[#This Row],[Date]],'DB Details'!$A:$Q,2)=0,"",VLOOKUP(Table91213[[#This Row],[Date]],'DB Details'!$A:$Q,2))</f>
        <v>55.6</v>
      </c>
      <c r="C120" s="48">
        <f>IF(VLOOKUP(Table91213[[#This Row],[Date]],'DB Details'!$A:$Q,3)=0,"",VLOOKUP(Table91213[[#This Row],[Date]],'DB Details'!$A:$Q,3))</f>
        <v>52</v>
      </c>
      <c r="D120" s="48">
        <f>IF(VLOOKUP(Table91213[[#This Row],[Date]],'DB Details'!$A:$Q,4)=0,"",VLOOKUP(Table91213[[#This Row],[Date]],'DB Details'!$A:$Q,4))</f>
        <v>49</v>
      </c>
      <c r="E120" s="49">
        <f>IF(VLOOKUP(Table91213[[#This Row],[Date]],'DB Details'!$A:$Q,5)=0,"",VLOOKUP(Table91213[[#This Row],[Date]],'DB Details'!$A:$Q,5))</f>
        <v>57.5</v>
      </c>
      <c r="F120" s="48">
        <f>IF(VLOOKUP(Table91213[[#This Row],[Date]],'DB Details'!$A:$Q,6)=0,"",VLOOKUP(Table91213[[#This Row],[Date]],'DB Details'!$A:$Q,6))</f>
        <v>58.3</v>
      </c>
      <c r="G120" s="49">
        <f>IF(VLOOKUP(Table91213[[#This Row],[Date]],'DB Details'!$A:$Q,7)=0,"",VLOOKUP(Table91213[[#This Row],[Date]],'DB Details'!$A:$Q,7))</f>
        <v>65.5</v>
      </c>
      <c r="H120" s="49">
        <f>IF(VLOOKUP(Table91213[[#This Row],[Date]],'DB Details'!$A:$Q,8)=0,"",VLOOKUP(Table91213[[#This Row],[Date]],'DB Details'!$A:$Q,8))</f>
        <v>47</v>
      </c>
      <c r="I120" s="49">
        <f>IF(VLOOKUP(Table91213[[#This Row],[Date]],'DB Details'!$A:$Q,9)=0,"",VLOOKUP(Table91213[[#This Row],[Date]],'DB Details'!$A:$Q,9))</f>
        <v>53.5</v>
      </c>
      <c r="J120" s="49">
        <f>IF(VLOOKUP(Table91213[[#This Row],[Date]],'DB Details'!$A:$Q,10)=0,"",VLOOKUP(Table91213[[#This Row],[Date]],'DB Details'!$A:$Q,10))</f>
        <v>54.8</v>
      </c>
      <c r="K120" s="49">
        <f>IF(VLOOKUP(Table91213[[#This Row],[Date]],'DB Details'!$A:$Q,11)=0,"",VLOOKUP(Table91213[[#This Row],[Date]],'DB Details'!$A:$Q,11))</f>
        <v>55</v>
      </c>
      <c r="L120" s="47">
        <f>IF(VLOOKUP(Table91213[[#This Row],[Date]],'DB Details'!$A:$Q,12)=0,"",VLOOKUP(Table91213[[#This Row],[Date]],'DB Details'!$A:$Q,12))</f>
        <v>55.4</v>
      </c>
    </row>
    <row r="121" spans="1:12" x14ac:dyDescent="0.35">
      <c r="A121" s="50">
        <v>39114</v>
      </c>
      <c r="B121" s="47">
        <f>IF(VLOOKUP(Table91213[[#This Row],[Date]],'DB Details'!$A:$Q,2)=0,"",VLOOKUP(Table91213[[#This Row],[Date]],'DB Details'!$A:$Q,2))</f>
        <v>55.7</v>
      </c>
      <c r="C121" s="48">
        <f>IF(VLOOKUP(Table91213[[#This Row],[Date]],'DB Details'!$A:$Q,3)=0,"",VLOOKUP(Table91213[[#This Row],[Date]],'DB Details'!$A:$Q,3))</f>
        <v>54</v>
      </c>
      <c r="D121" s="48">
        <f>IF(VLOOKUP(Table91213[[#This Row],[Date]],'DB Details'!$A:$Q,4)=0,"",VLOOKUP(Table91213[[#This Row],[Date]],'DB Details'!$A:$Q,4))</f>
        <v>47</v>
      </c>
      <c r="E121" s="49">
        <f>IF(VLOOKUP(Table91213[[#This Row],[Date]],'DB Details'!$A:$Q,5)=0,"",VLOOKUP(Table91213[[#This Row],[Date]],'DB Details'!$A:$Q,5))</f>
        <v>57</v>
      </c>
      <c r="F121" s="48">
        <f>IF(VLOOKUP(Table91213[[#This Row],[Date]],'DB Details'!$A:$Q,6)=0,"",VLOOKUP(Table91213[[#This Row],[Date]],'DB Details'!$A:$Q,6))</f>
        <v>56</v>
      </c>
      <c r="G121" s="49">
        <f>IF(VLOOKUP(Table91213[[#This Row],[Date]],'DB Details'!$A:$Q,7)=0,"",VLOOKUP(Table91213[[#This Row],[Date]],'DB Details'!$A:$Q,7))</f>
        <v>61.5</v>
      </c>
      <c r="H121" s="49">
        <f>IF(VLOOKUP(Table91213[[#This Row],[Date]],'DB Details'!$A:$Q,8)=0,"",VLOOKUP(Table91213[[#This Row],[Date]],'DB Details'!$A:$Q,8))</f>
        <v>50.5</v>
      </c>
      <c r="I121" s="49">
        <f>IF(VLOOKUP(Table91213[[#This Row],[Date]],'DB Details'!$A:$Q,9)=0,"",VLOOKUP(Table91213[[#This Row],[Date]],'DB Details'!$A:$Q,9))</f>
        <v>52.5</v>
      </c>
      <c r="J121" s="49">
        <f>IF(VLOOKUP(Table91213[[#This Row],[Date]],'DB Details'!$A:$Q,10)=0,"",VLOOKUP(Table91213[[#This Row],[Date]],'DB Details'!$A:$Q,10))</f>
        <v>52.7</v>
      </c>
      <c r="K121" s="49">
        <f>IF(VLOOKUP(Table91213[[#This Row],[Date]],'DB Details'!$A:$Q,11)=0,"",VLOOKUP(Table91213[[#This Row],[Date]],'DB Details'!$A:$Q,11))</f>
        <v>59</v>
      </c>
      <c r="L121" s="47">
        <f>IF(VLOOKUP(Table91213[[#This Row],[Date]],'DB Details'!$A:$Q,12)=0,"",VLOOKUP(Table91213[[#This Row],[Date]],'DB Details'!$A:$Q,12))</f>
        <v>54.2</v>
      </c>
    </row>
    <row r="122" spans="1:12" x14ac:dyDescent="0.35">
      <c r="A122" s="50">
        <v>39142</v>
      </c>
      <c r="B122" s="47">
        <f>IF(VLOOKUP(Table91213[[#This Row],[Date]],'DB Details'!$A:$Q,2)=0,"",VLOOKUP(Table91213[[#This Row],[Date]],'DB Details'!$A:$Q,2))</f>
        <v>53.2</v>
      </c>
      <c r="C122" s="48">
        <f>IF(VLOOKUP(Table91213[[#This Row],[Date]],'DB Details'!$A:$Q,3)=0,"",VLOOKUP(Table91213[[#This Row],[Date]],'DB Details'!$A:$Q,3))</f>
        <v>50</v>
      </c>
      <c r="D122" s="48">
        <f>IF(VLOOKUP(Table91213[[#This Row],[Date]],'DB Details'!$A:$Q,4)=0,"",VLOOKUP(Table91213[[#This Row],[Date]],'DB Details'!$A:$Q,4))</f>
        <v>52.5</v>
      </c>
      <c r="E122" s="49">
        <f>IF(VLOOKUP(Table91213[[#This Row],[Date]],'DB Details'!$A:$Q,5)=0,"",VLOOKUP(Table91213[[#This Row],[Date]],'DB Details'!$A:$Q,5))</f>
        <v>64.2</v>
      </c>
      <c r="F122" s="48">
        <f>IF(VLOOKUP(Table91213[[#This Row],[Date]],'DB Details'!$A:$Q,6)=0,"",VLOOKUP(Table91213[[#This Row],[Date]],'DB Details'!$A:$Q,6))</f>
        <v>52.8</v>
      </c>
      <c r="G122" s="49">
        <f>IF(VLOOKUP(Table91213[[#This Row],[Date]],'DB Details'!$A:$Q,7)=0,"",VLOOKUP(Table91213[[#This Row],[Date]],'DB Details'!$A:$Q,7))</f>
        <v>63</v>
      </c>
      <c r="H122" s="49">
        <f>IF(VLOOKUP(Table91213[[#This Row],[Date]],'DB Details'!$A:$Q,8)=0,"",VLOOKUP(Table91213[[#This Row],[Date]],'DB Details'!$A:$Q,8))</f>
        <v>52</v>
      </c>
      <c r="I122" s="49">
        <f>IF(VLOOKUP(Table91213[[#This Row],[Date]],'DB Details'!$A:$Q,9)=0,"",VLOOKUP(Table91213[[#This Row],[Date]],'DB Details'!$A:$Q,9))</f>
        <v>50</v>
      </c>
      <c r="J122" s="49">
        <f>IF(VLOOKUP(Table91213[[#This Row],[Date]],'DB Details'!$A:$Q,10)=0,"",VLOOKUP(Table91213[[#This Row],[Date]],'DB Details'!$A:$Q,10))</f>
        <v>51.9</v>
      </c>
      <c r="K122" s="49">
        <f>IF(VLOOKUP(Table91213[[#This Row],[Date]],'DB Details'!$A:$Q,11)=0,"",VLOOKUP(Table91213[[#This Row],[Date]],'DB Details'!$A:$Q,11))</f>
        <v>48.5</v>
      </c>
      <c r="L122" s="47">
        <f>IF(VLOOKUP(Table91213[[#This Row],[Date]],'DB Details'!$A:$Q,12)=0,"",VLOOKUP(Table91213[[#This Row],[Date]],'DB Details'!$A:$Q,12))</f>
        <v>52.1</v>
      </c>
    </row>
    <row r="123" spans="1:12" x14ac:dyDescent="0.35">
      <c r="A123" s="50">
        <v>39173</v>
      </c>
      <c r="B123" s="47">
        <f>IF(VLOOKUP(Table91213[[#This Row],[Date]],'DB Details'!$A:$Q,2)=0,"",VLOOKUP(Table91213[[#This Row],[Date]],'DB Details'!$A:$Q,2))</f>
        <v>54.9</v>
      </c>
      <c r="C123" s="48">
        <f>IF(VLOOKUP(Table91213[[#This Row],[Date]],'DB Details'!$A:$Q,3)=0,"",VLOOKUP(Table91213[[#This Row],[Date]],'DB Details'!$A:$Q,3))</f>
        <v>52.5</v>
      </c>
      <c r="D123" s="48">
        <f>IF(VLOOKUP(Table91213[[#This Row],[Date]],'DB Details'!$A:$Q,4)=0,"",VLOOKUP(Table91213[[#This Row],[Date]],'DB Details'!$A:$Q,4))</f>
        <v>50</v>
      </c>
      <c r="E123" s="49">
        <f>IF(VLOOKUP(Table91213[[#This Row],[Date]],'DB Details'!$A:$Q,5)=0,"",VLOOKUP(Table91213[[#This Row],[Date]],'DB Details'!$A:$Q,5))</f>
        <v>63.2</v>
      </c>
      <c r="F123" s="48">
        <f>IF(VLOOKUP(Table91213[[#This Row],[Date]],'DB Details'!$A:$Q,6)=0,"",VLOOKUP(Table91213[[#This Row],[Date]],'DB Details'!$A:$Q,6))</f>
        <v>56.1</v>
      </c>
      <c r="G123" s="49">
        <f>IF(VLOOKUP(Table91213[[#This Row],[Date]],'DB Details'!$A:$Q,7)=0,"",VLOOKUP(Table91213[[#This Row],[Date]],'DB Details'!$A:$Q,7))</f>
        <v>60.5</v>
      </c>
      <c r="H123" s="49">
        <f>IF(VLOOKUP(Table91213[[#This Row],[Date]],'DB Details'!$A:$Q,8)=0,"",VLOOKUP(Table91213[[#This Row],[Date]],'DB Details'!$A:$Q,8))</f>
        <v>52</v>
      </c>
      <c r="I123" s="49">
        <f>IF(VLOOKUP(Table91213[[#This Row],[Date]],'DB Details'!$A:$Q,9)=0,"",VLOOKUP(Table91213[[#This Row],[Date]],'DB Details'!$A:$Q,9))</f>
        <v>51</v>
      </c>
      <c r="J123" s="49">
        <f>IF(VLOOKUP(Table91213[[#This Row],[Date]],'DB Details'!$A:$Q,10)=0,"",VLOOKUP(Table91213[[#This Row],[Date]],'DB Details'!$A:$Q,10))</f>
        <v>51.1</v>
      </c>
      <c r="K123" s="49">
        <f>IF(VLOOKUP(Table91213[[#This Row],[Date]],'DB Details'!$A:$Q,11)=0,"",VLOOKUP(Table91213[[#This Row],[Date]],'DB Details'!$A:$Q,11))</f>
        <v>55.5</v>
      </c>
      <c r="L123" s="47">
        <f>IF(VLOOKUP(Table91213[[#This Row],[Date]],'DB Details'!$A:$Q,12)=0,"",VLOOKUP(Table91213[[#This Row],[Date]],'DB Details'!$A:$Q,12))</f>
        <v>53.4</v>
      </c>
    </row>
    <row r="124" spans="1:12" x14ac:dyDescent="0.35">
      <c r="A124" s="50">
        <v>39203</v>
      </c>
      <c r="B124" s="47">
        <f>IF(VLOOKUP(Table91213[[#This Row],[Date]],'DB Details'!$A:$Q,2)=0,"",VLOOKUP(Table91213[[#This Row],[Date]],'DB Details'!$A:$Q,2))</f>
        <v>57.1</v>
      </c>
      <c r="C124" s="48">
        <f>IF(VLOOKUP(Table91213[[#This Row],[Date]],'DB Details'!$A:$Q,3)=0,"",VLOOKUP(Table91213[[#This Row],[Date]],'DB Details'!$A:$Q,3))</f>
        <v>55.5</v>
      </c>
      <c r="D124" s="48">
        <f>IF(VLOOKUP(Table91213[[#This Row],[Date]],'DB Details'!$A:$Q,4)=0,"",VLOOKUP(Table91213[[#This Row],[Date]],'DB Details'!$A:$Q,4))</f>
        <v>48</v>
      </c>
      <c r="E124" s="49">
        <f>IF(VLOOKUP(Table91213[[#This Row],[Date]],'DB Details'!$A:$Q,5)=0,"",VLOOKUP(Table91213[[#This Row],[Date]],'DB Details'!$A:$Q,5))</f>
        <v>62.8</v>
      </c>
      <c r="F124" s="48">
        <f>IF(VLOOKUP(Table91213[[#This Row],[Date]],'DB Details'!$A:$Q,6)=0,"",VLOOKUP(Table91213[[#This Row],[Date]],'DB Details'!$A:$Q,6))</f>
        <v>58.1</v>
      </c>
      <c r="G124" s="49">
        <f>IF(VLOOKUP(Table91213[[#This Row],[Date]],'DB Details'!$A:$Q,7)=0,"",VLOOKUP(Table91213[[#This Row],[Date]],'DB Details'!$A:$Q,7))</f>
        <v>61</v>
      </c>
      <c r="H124" s="49">
        <f>IF(VLOOKUP(Table91213[[#This Row],[Date]],'DB Details'!$A:$Q,8)=0,"",VLOOKUP(Table91213[[#This Row],[Date]],'DB Details'!$A:$Q,8))</f>
        <v>61</v>
      </c>
      <c r="I124" s="49">
        <f>IF(VLOOKUP(Table91213[[#This Row],[Date]],'DB Details'!$A:$Q,9)=0,"",VLOOKUP(Table91213[[#This Row],[Date]],'DB Details'!$A:$Q,9))</f>
        <v>49.5</v>
      </c>
      <c r="J124" s="49">
        <f>IF(VLOOKUP(Table91213[[#This Row],[Date]],'DB Details'!$A:$Q,10)=0,"",VLOOKUP(Table91213[[#This Row],[Date]],'DB Details'!$A:$Q,10))</f>
        <v>52.2</v>
      </c>
      <c r="K124" s="49">
        <f>IF(VLOOKUP(Table91213[[#This Row],[Date]],'DB Details'!$A:$Q,11)=0,"",VLOOKUP(Table91213[[#This Row],[Date]],'DB Details'!$A:$Q,11))</f>
        <v>66</v>
      </c>
      <c r="L124" s="47">
        <f>IF(VLOOKUP(Table91213[[#This Row],[Date]],'DB Details'!$A:$Q,12)=0,"",VLOOKUP(Table91213[[#This Row],[Date]],'DB Details'!$A:$Q,12))</f>
        <v>54.3</v>
      </c>
    </row>
    <row r="125" spans="1:12" x14ac:dyDescent="0.35">
      <c r="A125" s="50">
        <v>39234</v>
      </c>
      <c r="B125" s="47">
        <f>IF(VLOOKUP(Table91213[[#This Row],[Date]],'DB Details'!$A:$Q,2)=0,"",VLOOKUP(Table91213[[#This Row],[Date]],'DB Details'!$A:$Q,2))</f>
        <v>57.2</v>
      </c>
      <c r="C125" s="48">
        <f>IF(VLOOKUP(Table91213[[#This Row],[Date]],'DB Details'!$A:$Q,3)=0,"",VLOOKUP(Table91213[[#This Row],[Date]],'DB Details'!$A:$Q,3))</f>
        <v>57.5</v>
      </c>
      <c r="D125" s="48">
        <f>IF(VLOOKUP(Table91213[[#This Row],[Date]],'DB Details'!$A:$Q,4)=0,"",VLOOKUP(Table91213[[#This Row],[Date]],'DB Details'!$A:$Q,4))</f>
        <v>46.5</v>
      </c>
      <c r="E125" s="49">
        <f>IF(VLOOKUP(Table91213[[#This Row],[Date]],'DB Details'!$A:$Q,5)=0,"",VLOOKUP(Table91213[[#This Row],[Date]],'DB Details'!$A:$Q,5))</f>
        <v>61.6</v>
      </c>
      <c r="F125" s="48">
        <f>IF(VLOOKUP(Table91213[[#This Row],[Date]],'DB Details'!$A:$Q,6)=0,"",VLOOKUP(Table91213[[#This Row],[Date]],'DB Details'!$A:$Q,6))</f>
        <v>60.1</v>
      </c>
      <c r="G125" s="49">
        <f>IF(VLOOKUP(Table91213[[#This Row],[Date]],'DB Details'!$A:$Q,7)=0,"",VLOOKUP(Table91213[[#This Row],[Date]],'DB Details'!$A:$Q,7))</f>
        <v>60.5</v>
      </c>
      <c r="H125" s="49">
        <f>IF(VLOOKUP(Table91213[[#This Row],[Date]],'DB Details'!$A:$Q,8)=0,"",VLOOKUP(Table91213[[#This Row],[Date]],'DB Details'!$A:$Q,8))</f>
        <v>52.5</v>
      </c>
      <c r="I125" s="49">
        <f>IF(VLOOKUP(Table91213[[#This Row],[Date]],'DB Details'!$A:$Q,9)=0,"",VLOOKUP(Table91213[[#This Row],[Date]],'DB Details'!$A:$Q,9))</f>
        <v>50.5</v>
      </c>
      <c r="J125" s="49">
        <f>IF(VLOOKUP(Table91213[[#This Row],[Date]],'DB Details'!$A:$Q,10)=0,"",VLOOKUP(Table91213[[#This Row],[Date]],'DB Details'!$A:$Q,10))</f>
        <v>53.3</v>
      </c>
      <c r="K125" s="49">
        <f>IF(VLOOKUP(Table91213[[#This Row],[Date]],'DB Details'!$A:$Q,11)=0,"",VLOOKUP(Table91213[[#This Row],[Date]],'DB Details'!$A:$Q,11))</f>
        <v>59</v>
      </c>
      <c r="L125" s="47">
        <f>IF(VLOOKUP(Table91213[[#This Row],[Date]],'DB Details'!$A:$Q,12)=0,"",VLOOKUP(Table91213[[#This Row],[Date]],'DB Details'!$A:$Q,12))</f>
        <v>54.9</v>
      </c>
    </row>
    <row r="126" spans="1:12" x14ac:dyDescent="0.35">
      <c r="A126" s="50">
        <v>39264</v>
      </c>
      <c r="B126" s="47">
        <f>IF(VLOOKUP(Table91213[[#This Row],[Date]],'DB Details'!$A:$Q,2)=0,"",VLOOKUP(Table91213[[#This Row],[Date]],'DB Details'!$A:$Q,2))</f>
        <v>54.5</v>
      </c>
      <c r="C126" s="48">
        <f>IF(VLOOKUP(Table91213[[#This Row],[Date]],'DB Details'!$A:$Q,3)=0,"",VLOOKUP(Table91213[[#This Row],[Date]],'DB Details'!$A:$Q,3))</f>
        <v>54.5</v>
      </c>
      <c r="D126" s="48">
        <f>IF(VLOOKUP(Table91213[[#This Row],[Date]],'DB Details'!$A:$Q,4)=0,"",VLOOKUP(Table91213[[#This Row],[Date]],'DB Details'!$A:$Q,4))</f>
        <v>53</v>
      </c>
      <c r="E126" s="49">
        <f>IF(VLOOKUP(Table91213[[#This Row],[Date]],'DB Details'!$A:$Q,5)=0,"",VLOOKUP(Table91213[[#This Row],[Date]],'DB Details'!$A:$Q,5))</f>
        <v>59.7</v>
      </c>
      <c r="F126" s="48">
        <f>IF(VLOOKUP(Table91213[[#This Row],[Date]],'DB Details'!$A:$Q,6)=0,"",VLOOKUP(Table91213[[#This Row],[Date]],'DB Details'!$A:$Q,6))</f>
        <v>57.1</v>
      </c>
      <c r="G126" s="49">
        <f>IF(VLOOKUP(Table91213[[#This Row],[Date]],'DB Details'!$A:$Q,7)=0,"",VLOOKUP(Table91213[[#This Row],[Date]],'DB Details'!$A:$Q,7))</f>
        <v>65</v>
      </c>
      <c r="H126" s="49">
        <f>IF(VLOOKUP(Table91213[[#This Row],[Date]],'DB Details'!$A:$Q,8)=0,"",VLOOKUP(Table91213[[#This Row],[Date]],'DB Details'!$A:$Q,8))</f>
        <v>55</v>
      </c>
      <c r="I126" s="49">
        <f>IF(VLOOKUP(Table91213[[#This Row],[Date]],'DB Details'!$A:$Q,9)=0,"",VLOOKUP(Table91213[[#This Row],[Date]],'DB Details'!$A:$Q,9))</f>
        <v>51.5</v>
      </c>
      <c r="J126" s="49">
        <f>IF(VLOOKUP(Table91213[[#This Row],[Date]],'DB Details'!$A:$Q,10)=0,"",VLOOKUP(Table91213[[#This Row],[Date]],'DB Details'!$A:$Q,10))</f>
        <v>51.1</v>
      </c>
      <c r="K126" s="49">
        <f>IF(VLOOKUP(Table91213[[#This Row],[Date]],'DB Details'!$A:$Q,11)=0,"",VLOOKUP(Table91213[[#This Row],[Date]],'DB Details'!$A:$Q,11))</f>
        <v>52.5</v>
      </c>
      <c r="L126" s="47">
        <f>IF(VLOOKUP(Table91213[[#This Row],[Date]],'DB Details'!$A:$Q,12)=0,"",VLOOKUP(Table91213[[#This Row],[Date]],'DB Details'!$A:$Q,12))</f>
        <v>53.6</v>
      </c>
    </row>
    <row r="127" spans="1:12" x14ac:dyDescent="0.35">
      <c r="A127" s="50">
        <v>39295</v>
      </c>
      <c r="B127" s="47">
        <f>IF(VLOOKUP(Table91213[[#This Row],[Date]],'DB Details'!$A:$Q,2)=0,"",VLOOKUP(Table91213[[#This Row],[Date]],'DB Details'!$A:$Q,2))</f>
        <v>56.7</v>
      </c>
      <c r="C127" s="48">
        <f>IF(VLOOKUP(Table91213[[#This Row],[Date]],'DB Details'!$A:$Q,3)=0,"",VLOOKUP(Table91213[[#This Row],[Date]],'DB Details'!$A:$Q,3))</f>
        <v>55</v>
      </c>
      <c r="D127" s="48">
        <f>IF(VLOOKUP(Table91213[[#This Row],[Date]],'DB Details'!$A:$Q,4)=0,"",VLOOKUP(Table91213[[#This Row],[Date]],'DB Details'!$A:$Q,4))</f>
        <v>58.6</v>
      </c>
      <c r="E127" s="49">
        <f>IF(VLOOKUP(Table91213[[#This Row],[Date]],'DB Details'!$A:$Q,5)=0,"",VLOOKUP(Table91213[[#This Row],[Date]],'DB Details'!$A:$Q,5))</f>
        <v>60</v>
      </c>
      <c r="F127" s="48">
        <f>IF(VLOOKUP(Table91213[[#This Row],[Date]],'DB Details'!$A:$Q,6)=0,"",VLOOKUP(Table91213[[#This Row],[Date]],'DB Details'!$A:$Q,6))</f>
        <v>55.7</v>
      </c>
      <c r="G127" s="49">
        <f>IF(VLOOKUP(Table91213[[#This Row],[Date]],'DB Details'!$A:$Q,7)=0,"",VLOOKUP(Table91213[[#This Row],[Date]],'DB Details'!$A:$Q,7))</f>
        <v>61.5</v>
      </c>
      <c r="H127" s="49">
        <f>IF(VLOOKUP(Table91213[[#This Row],[Date]],'DB Details'!$A:$Q,8)=0,"",VLOOKUP(Table91213[[#This Row],[Date]],'DB Details'!$A:$Q,8))</f>
        <v>57</v>
      </c>
      <c r="I127" s="49">
        <f>IF(VLOOKUP(Table91213[[#This Row],[Date]],'DB Details'!$A:$Q,9)=0,"",VLOOKUP(Table91213[[#This Row],[Date]],'DB Details'!$A:$Q,9))</f>
        <v>50.5</v>
      </c>
      <c r="J127" s="49">
        <f>IF(VLOOKUP(Table91213[[#This Row],[Date]],'DB Details'!$A:$Q,10)=0,"",VLOOKUP(Table91213[[#This Row],[Date]],'DB Details'!$A:$Q,10))</f>
        <v>48.3</v>
      </c>
      <c r="K127" s="49">
        <f>IF(VLOOKUP(Table91213[[#This Row],[Date]],'DB Details'!$A:$Q,11)=0,"",VLOOKUP(Table91213[[#This Row],[Date]],'DB Details'!$A:$Q,11))</f>
        <v>53.5</v>
      </c>
      <c r="L127" s="47">
        <f>IF(VLOOKUP(Table91213[[#This Row],[Date]],'DB Details'!$A:$Q,12)=0,"",VLOOKUP(Table91213[[#This Row],[Date]],'DB Details'!$A:$Q,12))</f>
        <v>52.7</v>
      </c>
    </row>
    <row r="128" spans="1:12" x14ac:dyDescent="0.35">
      <c r="A128" s="50">
        <v>39326</v>
      </c>
      <c r="B128" s="47">
        <f>IF(VLOOKUP(Table91213[[#This Row],[Date]],'DB Details'!$A:$Q,2)=0,"",VLOOKUP(Table91213[[#This Row],[Date]],'DB Details'!$A:$Q,2))</f>
        <v>52.6</v>
      </c>
      <c r="C128" s="48">
        <f>IF(VLOOKUP(Table91213[[#This Row],[Date]],'DB Details'!$A:$Q,3)=0,"",VLOOKUP(Table91213[[#This Row],[Date]],'DB Details'!$A:$Q,3))</f>
        <v>51</v>
      </c>
      <c r="D128" s="48">
        <f>IF(VLOOKUP(Table91213[[#This Row],[Date]],'DB Details'!$A:$Q,4)=0,"",VLOOKUP(Table91213[[#This Row],[Date]],'DB Details'!$A:$Q,4))</f>
        <v>47</v>
      </c>
      <c r="E128" s="49">
        <f>IF(VLOOKUP(Table91213[[#This Row],[Date]],'DB Details'!$A:$Q,5)=0,"",VLOOKUP(Table91213[[#This Row],[Date]],'DB Details'!$A:$Q,5))</f>
        <v>66.7</v>
      </c>
      <c r="F128" s="48">
        <f>IF(VLOOKUP(Table91213[[#This Row],[Date]],'DB Details'!$A:$Q,6)=0,"",VLOOKUP(Table91213[[#This Row],[Date]],'DB Details'!$A:$Q,6))</f>
        <v>54.2</v>
      </c>
      <c r="G128" s="49">
        <f>IF(VLOOKUP(Table91213[[#This Row],[Date]],'DB Details'!$A:$Q,7)=0,"",VLOOKUP(Table91213[[#This Row],[Date]],'DB Details'!$A:$Q,7))</f>
        <v>62</v>
      </c>
      <c r="H128" s="49">
        <f>IF(VLOOKUP(Table91213[[#This Row],[Date]],'DB Details'!$A:$Q,8)=0,"",VLOOKUP(Table91213[[#This Row],[Date]],'DB Details'!$A:$Q,8))</f>
        <v>50</v>
      </c>
      <c r="I128" s="49">
        <f>IF(VLOOKUP(Table91213[[#This Row],[Date]],'DB Details'!$A:$Q,9)=0,"",VLOOKUP(Table91213[[#This Row],[Date]],'DB Details'!$A:$Q,9))</f>
        <v>50.5</v>
      </c>
      <c r="J128" s="49">
        <f>IF(VLOOKUP(Table91213[[#This Row],[Date]],'DB Details'!$A:$Q,10)=0,"",VLOOKUP(Table91213[[#This Row],[Date]],'DB Details'!$A:$Q,10))</f>
        <v>52.5</v>
      </c>
      <c r="K128" s="49">
        <f>IF(VLOOKUP(Table91213[[#This Row],[Date]],'DB Details'!$A:$Q,11)=0,"",VLOOKUP(Table91213[[#This Row],[Date]],'DB Details'!$A:$Q,11))</f>
        <v>50</v>
      </c>
      <c r="L128" s="47">
        <f>IF(VLOOKUP(Table91213[[#This Row],[Date]],'DB Details'!$A:$Q,12)=0,"",VLOOKUP(Table91213[[#This Row],[Date]],'DB Details'!$A:$Q,12))</f>
        <v>52.6</v>
      </c>
    </row>
    <row r="129" spans="1:12" x14ac:dyDescent="0.35">
      <c r="A129" s="50">
        <v>39356</v>
      </c>
      <c r="B129" s="47">
        <f>IF(VLOOKUP(Table91213[[#This Row],[Date]],'DB Details'!$A:$Q,2)=0,"",VLOOKUP(Table91213[[#This Row],[Date]],'DB Details'!$A:$Q,2))</f>
        <v>55.3</v>
      </c>
      <c r="C129" s="48">
        <f>IF(VLOOKUP(Table91213[[#This Row],[Date]],'DB Details'!$A:$Q,3)=0,"",VLOOKUP(Table91213[[#This Row],[Date]],'DB Details'!$A:$Q,3))</f>
        <v>55.5</v>
      </c>
      <c r="D129" s="48">
        <f>IF(VLOOKUP(Table91213[[#This Row],[Date]],'DB Details'!$A:$Q,4)=0,"",VLOOKUP(Table91213[[#This Row],[Date]],'DB Details'!$A:$Q,4))</f>
        <v>43.5</v>
      </c>
      <c r="E129" s="49">
        <f>IF(VLOOKUP(Table91213[[#This Row],[Date]],'DB Details'!$A:$Q,5)=0,"",VLOOKUP(Table91213[[#This Row],[Date]],'DB Details'!$A:$Q,5))</f>
        <v>66.2</v>
      </c>
      <c r="F129" s="48">
        <f>IF(VLOOKUP(Table91213[[#This Row],[Date]],'DB Details'!$A:$Q,6)=0,"",VLOOKUP(Table91213[[#This Row],[Date]],'DB Details'!$A:$Q,6))</f>
        <v>55.1</v>
      </c>
      <c r="G129" s="49">
        <f>IF(VLOOKUP(Table91213[[#This Row],[Date]],'DB Details'!$A:$Q,7)=0,"",VLOOKUP(Table91213[[#This Row],[Date]],'DB Details'!$A:$Q,7))</f>
        <v>60</v>
      </c>
      <c r="H129" s="49">
        <f>IF(VLOOKUP(Table91213[[#This Row],[Date]],'DB Details'!$A:$Q,8)=0,"",VLOOKUP(Table91213[[#This Row],[Date]],'DB Details'!$A:$Q,8))</f>
        <v>49.5</v>
      </c>
      <c r="I129" s="49">
        <f>IF(VLOOKUP(Table91213[[#This Row],[Date]],'DB Details'!$A:$Q,9)=0,"",VLOOKUP(Table91213[[#This Row],[Date]],'DB Details'!$A:$Q,9))</f>
        <v>50</v>
      </c>
      <c r="J129" s="49">
        <f>IF(VLOOKUP(Table91213[[#This Row],[Date]],'DB Details'!$A:$Q,10)=0,"",VLOOKUP(Table91213[[#This Row],[Date]],'DB Details'!$A:$Q,10))</f>
        <v>53.6</v>
      </c>
      <c r="K129" s="49">
        <f>IF(VLOOKUP(Table91213[[#This Row],[Date]],'DB Details'!$A:$Q,11)=0,"",VLOOKUP(Table91213[[#This Row],[Date]],'DB Details'!$A:$Q,11))</f>
        <v>56</v>
      </c>
      <c r="L129" s="47">
        <f>IF(VLOOKUP(Table91213[[#This Row],[Date]],'DB Details'!$A:$Q,12)=0,"",VLOOKUP(Table91213[[#This Row],[Date]],'DB Details'!$A:$Q,12))</f>
        <v>53.6</v>
      </c>
    </row>
    <row r="130" spans="1:12" x14ac:dyDescent="0.35">
      <c r="A130" s="50">
        <v>39387</v>
      </c>
      <c r="B130" s="47">
        <f>IF(VLOOKUP(Table91213[[#This Row],[Date]],'DB Details'!$A:$Q,2)=0,"",VLOOKUP(Table91213[[#This Row],[Date]],'DB Details'!$A:$Q,2))</f>
        <v>51.9</v>
      </c>
      <c r="C130" s="48">
        <f>IF(VLOOKUP(Table91213[[#This Row],[Date]],'DB Details'!$A:$Q,3)=0,"",VLOOKUP(Table91213[[#This Row],[Date]],'DB Details'!$A:$Q,3))</f>
        <v>49.5</v>
      </c>
      <c r="D130" s="48">
        <f>IF(VLOOKUP(Table91213[[#This Row],[Date]],'DB Details'!$A:$Q,4)=0,"",VLOOKUP(Table91213[[#This Row],[Date]],'DB Details'!$A:$Q,4))</f>
        <v>48.5</v>
      </c>
      <c r="E130" s="49">
        <f>IF(VLOOKUP(Table91213[[#This Row],[Date]],'DB Details'!$A:$Q,5)=0,"",VLOOKUP(Table91213[[#This Row],[Date]],'DB Details'!$A:$Q,5))</f>
        <v>75.3</v>
      </c>
      <c r="F130" s="48">
        <f>IF(VLOOKUP(Table91213[[#This Row],[Date]],'DB Details'!$A:$Q,6)=0,"",VLOOKUP(Table91213[[#This Row],[Date]],'DB Details'!$A:$Q,6))</f>
        <v>55.7</v>
      </c>
      <c r="G130" s="49">
        <f>IF(VLOOKUP(Table91213[[#This Row],[Date]],'DB Details'!$A:$Q,7)=0,"",VLOOKUP(Table91213[[#This Row],[Date]],'DB Details'!$A:$Q,7))</f>
        <v>61.5</v>
      </c>
      <c r="H130" s="49">
        <f>IF(VLOOKUP(Table91213[[#This Row],[Date]],'DB Details'!$A:$Q,8)=0,"",VLOOKUP(Table91213[[#This Row],[Date]],'DB Details'!$A:$Q,8))</f>
        <v>50.5</v>
      </c>
      <c r="I130" s="49">
        <f>IF(VLOOKUP(Table91213[[#This Row],[Date]],'DB Details'!$A:$Q,9)=0,"",VLOOKUP(Table91213[[#This Row],[Date]],'DB Details'!$A:$Q,9))</f>
        <v>51.5</v>
      </c>
      <c r="J130" s="49">
        <f>IF(VLOOKUP(Table91213[[#This Row],[Date]],'DB Details'!$A:$Q,10)=0,"",VLOOKUP(Table91213[[#This Row],[Date]],'DB Details'!$A:$Q,10))</f>
        <v>51.6</v>
      </c>
      <c r="K130" s="49">
        <f>IF(VLOOKUP(Table91213[[#This Row],[Date]],'DB Details'!$A:$Q,11)=0,"",VLOOKUP(Table91213[[#This Row],[Date]],'DB Details'!$A:$Q,11))</f>
        <v>55.5</v>
      </c>
      <c r="L130" s="47">
        <f>IF(VLOOKUP(Table91213[[#This Row],[Date]],'DB Details'!$A:$Q,12)=0,"",VLOOKUP(Table91213[[#This Row],[Date]],'DB Details'!$A:$Q,12))</f>
        <v>52.8</v>
      </c>
    </row>
    <row r="131" spans="1:12" x14ac:dyDescent="0.35">
      <c r="A131" s="50">
        <v>39417</v>
      </c>
      <c r="B131" s="47">
        <f>IF(VLOOKUP(Table91213[[#This Row],[Date]],'DB Details'!$A:$Q,2)=0,"",VLOOKUP(Table91213[[#This Row],[Date]],'DB Details'!$A:$Q,2))</f>
        <v>52.5</v>
      </c>
      <c r="C131" s="48">
        <f>IF(VLOOKUP(Table91213[[#This Row],[Date]],'DB Details'!$A:$Q,3)=0,"",VLOOKUP(Table91213[[#This Row],[Date]],'DB Details'!$A:$Q,3))</f>
        <v>50.5</v>
      </c>
      <c r="D131" s="48">
        <f>IF(VLOOKUP(Table91213[[#This Row],[Date]],'DB Details'!$A:$Q,4)=0,"",VLOOKUP(Table91213[[#This Row],[Date]],'DB Details'!$A:$Q,4))</f>
        <v>49</v>
      </c>
      <c r="E131" s="49">
        <f>IF(VLOOKUP(Table91213[[#This Row],[Date]],'DB Details'!$A:$Q,5)=0,"",VLOOKUP(Table91213[[#This Row],[Date]],'DB Details'!$A:$Q,5))</f>
        <v>72</v>
      </c>
      <c r="F131" s="48">
        <f>IF(VLOOKUP(Table91213[[#This Row],[Date]],'DB Details'!$A:$Q,6)=0,"",VLOOKUP(Table91213[[#This Row],[Date]],'DB Details'!$A:$Q,6))</f>
        <v>53.2</v>
      </c>
      <c r="G131" s="49">
        <f>IF(VLOOKUP(Table91213[[#This Row],[Date]],'DB Details'!$A:$Q,7)=0,"",VLOOKUP(Table91213[[#This Row],[Date]],'DB Details'!$A:$Q,7))</f>
        <v>64.5</v>
      </c>
      <c r="H131" s="49">
        <f>IF(VLOOKUP(Table91213[[#This Row],[Date]],'DB Details'!$A:$Q,8)=0,"",VLOOKUP(Table91213[[#This Row],[Date]],'DB Details'!$A:$Q,8))</f>
        <v>50.5</v>
      </c>
      <c r="I131" s="49">
        <f>IF(VLOOKUP(Table91213[[#This Row],[Date]],'DB Details'!$A:$Q,9)=0,"",VLOOKUP(Table91213[[#This Row],[Date]],'DB Details'!$A:$Q,9))</f>
        <v>52.5</v>
      </c>
      <c r="J131" s="49">
        <f>IF(VLOOKUP(Table91213[[#This Row],[Date]],'DB Details'!$A:$Q,10)=0,"",VLOOKUP(Table91213[[#This Row],[Date]],'DB Details'!$A:$Q,10))</f>
        <v>51.8</v>
      </c>
      <c r="K131" s="49">
        <f>IF(VLOOKUP(Table91213[[#This Row],[Date]],'DB Details'!$A:$Q,11)=0,"",VLOOKUP(Table91213[[#This Row],[Date]],'DB Details'!$A:$Q,11))</f>
        <v>50</v>
      </c>
      <c r="L131" s="47">
        <f>IF(VLOOKUP(Table91213[[#This Row],[Date]],'DB Details'!$A:$Q,12)=0,"",VLOOKUP(Table91213[[#This Row],[Date]],'DB Details'!$A:$Q,12))</f>
        <v>52.5</v>
      </c>
    </row>
    <row r="132" spans="1:12" x14ac:dyDescent="0.35">
      <c r="A132" s="50">
        <v>39448</v>
      </c>
      <c r="B132" s="47">
        <f>IF(VLOOKUP(Table91213[[#This Row],[Date]],'DB Details'!$A:$Q,2)=0,"",VLOOKUP(Table91213[[#This Row],[Date]],'DB Details'!$A:$Q,2))</f>
        <v>43.3</v>
      </c>
      <c r="C132" s="48">
        <f>IF(VLOOKUP(Table91213[[#This Row],[Date]],'DB Details'!$A:$Q,3)=0,"",VLOOKUP(Table91213[[#This Row],[Date]],'DB Details'!$A:$Q,3))</f>
        <v>41.5</v>
      </c>
      <c r="D132" s="48">
        <f>IF(VLOOKUP(Table91213[[#This Row],[Date]],'DB Details'!$A:$Q,4)=0,"",VLOOKUP(Table91213[[#This Row],[Date]],'DB Details'!$A:$Q,4))</f>
        <v>46</v>
      </c>
      <c r="E132" s="49">
        <f>IF(VLOOKUP(Table91213[[#This Row],[Date]],'DB Details'!$A:$Q,5)=0,"",VLOOKUP(Table91213[[#This Row],[Date]],'DB Details'!$A:$Q,5))</f>
        <v>71.599999999999994</v>
      </c>
      <c r="F132" s="48">
        <f>IF(VLOOKUP(Table91213[[#This Row],[Date]],'DB Details'!$A:$Q,6)=0,"",VLOOKUP(Table91213[[#This Row],[Date]],'DB Details'!$A:$Q,6))</f>
        <v>41.9</v>
      </c>
      <c r="G132" s="49">
        <f>IF(VLOOKUP(Table91213[[#This Row],[Date]],'DB Details'!$A:$Q,7)=0,"",VLOOKUP(Table91213[[#This Row],[Date]],'DB Details'!$A:$Q,7))</f>
        <v>57</v>
      </c>
      <c r="H132" s="49">
        <f>IF(VLOOKUP(Table91213[[#This Row],[Date]],'DB Details'!$A:$Q,8)=0,"",VLOOKUP(Table91213[[#This Row],[Date]],'DB Details'!$A:$Q,8))</f>
        <v>44.5</v>
      </c>
      <c r="I132" s="49">
        <f>IF(VLOOKUP(Table91213[[#This Row],[Date]],'DB Details'!$A:$Q,9)=0,"",VLOOKUP(Table91213[[#This Row],[Date]],'DB Details'!$A:$Q,9))</f>
        <v>49</v>
      </c>
      <c r="J132" s="49">
        <f>IF(VLOOKUP(Table91213[[#This Row],[Date]],'DB Details'!$A:$Q,10)=0,"",VLOOKUP(Table91213[[#This Row],[Date]],'DB Details'!$A:$Q,10))</f>
        <v>45.7</v>
      </c>
      <c r="K132" s="49">
        <f>IF(VLOOKUP(Table91213[[#This Row],[Date]],'DB Details'!$A:$Q,11)=0,"",VLOOKUP(Table91213[[#This Row],[Date]],'DB Details'!$A:$Q,11))</f>
        <v>52</v>
      </c>
      <c r="L132" s="47">
        <f>IF(VLOOKUP(Table91213[[#This Row],[Date]],'DB Details'!$A:$Q,12)=0,"",VLOOKUP(Table91213[[#This Row],[Date]],'DB Details'!$A:$Q,12))</f>
        <v>44.8</v>
      </c>
    </row>
    <row r="133" spans="1:12" x14ac:dyDescent="0.35">
      <c r="A133" s="50">
        <v>39479</v>
      </c>
      <c r="B133" s="47">
        <f>IF(VLOOKUP(Table91213[[#This Row],[Date]],'DB Details'!$A:$Q,2)=0,"",VLOOKUP(Table91213[[#This Row],[Date]],'DB Details'!$A:$Q,2))</f>
        <v>50.1</v>
      </c>
      <c r="C133" s="48">
        <f>IF(VLOOKUP(Table91213[[#This Row],[Date]],'DB Details'!$A:$Q,3)=0,"",VLOOKUP(Table91213[[#This Row],[Date]],'DB Details'!$A:$Q,3))</f>
        <v>49</v>
      </c>
      <c r="D133" s="48">
        <f>IF(VLOOKUP(Table91213[[#This Row],[Date]],'DB Details'!$A:$Q,4)=0,"",VLOOKUP(Table91213[[#This Row],[Date]],'DB Details'!$A:$Q,4))</f>
        <v>49.5</v>
      </c>
      <c r="E133" s="49">
        <f>IF(VLOOKUP(Table91213[[#This Row],[Date]],'DB Details'!$A:$Q,5)=0,"",VLOOKUP(Table91213[[#This Row],[Date]],'DB Details'!$A:$Q,5))</f>
        <v>71.7</v>
      </c>
      <c r="F133" s="48">
        <f>IF(VLOOKUP(Table91213[[#This Row],[Date]],'DB Details'!$A:$Q,6)=0,"",VLOOKUP(Table91213[[#This Row],[Date]],'DB Details'!$A:$Q,6))</f>
        <v>52.2</v>
      </c>
      <c r="G133" s="49">
        <f>IF(VLOOKUP(Table91213[[#This Row],[Date]],'DB Details'!$A:$Q,7)=0,"",VLOOKUP(Table91213[[#This Row],[Date]],'DB Details'!$A:$Q,7))</f>
        <v>60.5</v>
      </c>
      <c r="H133" s="49">
        <f>IF(VLOOKUP(Table91213[[#This Row],[Date]],'DB Details'!$A:$Q,8)=0,"",VLOOKUP(Table91213[[#This Row],[Date]],'DB Details'!$A:$Q,8))</f>
        <v>50</v>
      </c>
      <c r="I133" s="49">
        <f>IF(VLOOKUP(Table91213[[#This Row],[Date]],'DB Details'!$A:$Q,9)=0,"",VLOOKUP(Table91213[[#This Row],[Date]],'DB Details'!$A:$Q,9))</f>
        <v>50</v>
      </c>
      <c r="J133" s="49">
        <f>IF(VLOOKUP(Table91213[[#This Row],[Date]],'DB Details'!$A:$Q,10)=0,"",VLOOKUP(Table91213[[#This Row],[Date]],'DB Details'!$A:$Q,10))</f>
        <v>47.3</v>
      </c>
      <c r="K133" s="49">
        <f>IF(VLOOKUP(Table91213[[#This Row],[Date]],'DB Details'!$A:$Q,11)=0,"",VLOOKUP(Table91213[[#This Row],[Date]],'DB Details'!$A:$Q,11))</f>
        <v>46.5</v>
      </c>
      <c r="L133" s="47">
        <f>IF(VLOOKUP(Table91213[[#This Row],[Date]],'DB Details'!$A:$Q,12)=0,"",VLOOKUP(Table91213[[#This Row],[Date]],'DB Details'!$A:$Q,12))</f>
        <v>49.9</v>
      </c>
    </row>
    <row r="134" spans="1:12" x14ac:dyDescent="0.35">
      <c r="A134" s="50">
        <v>39508</v>
      </c>
      <c r="B134" s="47">
        <f>IF(VLOOKUP(Table91213[[#This Row],[Date]],'DB Details'!$A:$Q,2)=0,"",VLOOKUP(Table91213[[#This Row],[Date]],'DB Details'!$A:$Q,2))</f>
        <v>49.3</v>
      </c>
      <c r="C134" s="48">
        <f>IF(VLOOKUP(Table91213[[#This Row],[Date]],'DB Details'!$A:$Q,3)=0,"",VLOOKUP(Table91213[[#This Row],[Date]],'DB Details'!$A:$Q,3))</f>
        <v>54.5</v>
      </c>
      <c r="D134" s="48">
        <f>IF(VLOOKUP(Table91213[[#This Row],[Date]],'DB Details'!$A:$Q,4)=0,"",VLOOKUP(Table91213[[#This Row],[Date]],'DB Details'!$A:$Q,4))</f>
        <v>47.5</v>
      </c>
      <c r="E134" s="49">
        <f>IF(VLOOKUP(Table91213[[#This Row],[Date]],'DB Details'!$A:$Q,5)=0,"",VLOOKUP(Table91213[[#This Row],[Date]],'DB Details'!$A:$Q,5))</f>
        <v>72.7</v>
      </c>
      <c r="F134" s="48">
        <f>IF(VLOOKUP(Table91213[[#This Row],[Date]],'DB Details'!$A:$Q,6)=0,"",VLOOKUP(Table91213[[#This Row],[Date]],'DB Details'!$A:$Q,6))</f>
        <v>51.7</v>
      </c>
      <c r="G134" s="49">
        <f>IF(VLOOKUP(Table91213[[#This Row],[Date]],'DB Details'!$A:$Q,7)=0,"",VLOOKUP(Table91213[[#This Row],[Date]],'DB Details'!$A:$Q,7))</f>
        <v>60.5</v>
      </c>
      <c r="H134" s="49">
        <f>IF(VLOOKUP(Table91213[[#This Row],[Date]],'DB Details'!$A:$Q,8)=0,"",VLOOKUP(Table91213[[#This Row],[Date]],'DB Details'!$A:$Q,8))</f>
        <v>51.5</v>
      </c>
      <c r="I134" s="49">
        <f>IF(VLOOKUP(Table91213[[#This Row],[Date]],'DB Details'!$A:$Q,9)=0,"",VLOOKUP(Table91213[[#This Row],[Date]],'DB Details'!$A:$Q,9))</f>
        <v>49</v>
      </c>
      <c r="J134" s="49">
        <f>IF(VLOOKUP(Table91213[[#This Row],[Date]],'DB Details'!$A:$Q,10)=0,"",VLOOKUP(Table91213[[#This Row],[Date]],'DB Details'!$A:$Q,10))</f>
        <v>47.4</v>
      </c>
      <c r="K134" s="49">
        <f>IF(VLOOKUP(Table91213[[#This Row],[Date]],'DB Details'!$A:$Q,11)=0,"",VLOOKUP(Table91213[[#This Row],[Date]],'DB Details'!$A:$Q,11))</f>
        <v>55</v>
      </c>
      <c r="L134" s="47">
        <f>IF(VLOOKUP(Table91213[[#This Row],[Date]],'DB Details'!$A:$Q,12)=0,"",VLOOKUP(Table91213[[#This Row],[Date]],'DB Details'!$A:$Q,12))</f>
        <v>49.4</v>
      </c>
    </row>
    <row r="135" spans="1:12" x14ac:dyDescent="0.35">
      <c r="A135" s="50">
        <v>39539</v>
      </c>
      <c r="B135" s="47">
        <f>IF(VLOOKUP(Table91213[[#This Row],[Date]],'DB Details'!$A:$Q,2)=0,"",VLOOKUP(Table91213[[#This Row],[Date]],'DB Details'!$A:$Q,2))</f>
        <v>50.3</v>
      </c>
      <c r="C135" s="48">
        <f>IF(VLOOKUP(Table91213[[#This Row],[Date]],'DB Details'!$A:$Q,3)=0,"",VLOOKUP(Table91213[[#This Row],[Date]],'DB Details'!$A:$Q,3))</f>
        <v>50</v>
      </c>
      <c r="D135" s="48">
        <f>IF(VLOOKUP(Table91213[[#This Row],[Date]],'DB Details'!$A:$Q,4)=0,"",VLOOKUP(Table91213[[#This Row],[Date]],'DB Details'!$A:$Q,4))</f>
        <v>50</v>
      </c>
      <c r="E135" s="49">
        <f>IF(VLOOKUP(Table91213[[#This Row],[Date]],'DB Details'!$A:$Q,5)=0,"",VLOOKUP(Table91213[[#This Row],[Date]],'DB Details'!$A:$Q,5))</f>
        <v>71.900000000000006</v>
      </c>
      <c r="F135" s="48">
        <f>IF(VLOOKUP(Table91213[[#This Row],[Date]],'DB Details'!$A:$Q,6)=0,"",VLOOKUP(Table91213[[#This Row],[Date]],'DB Details'!$A:$Q,6))</f>
        <v>51.1</v>
      </c>
      <c r="G135" s="49">
        <f>IF(VLOOKUP(Table91213[[#This Row],[Date]],'DB Details'!$A:$Q,7)=0,"",VLOOKUP(Table91213[[#This Row],[Date]],'DB Details'!$A:$Q,7))</f>
        <v>63</v>
      </c>
      <c r="H135" s="49">
        <f>IF(VLOOKUP(Table91213[[#This Row],[Date]],'DB Details'!$A:$Q,8)=0,"",VLOOKUP(Table91213[[#This Row],[Date]],'DB Details'!$A:$Q,8))</f>
        <v>47</v>
      </c>
      <c r="I135" s="49">
        <f>IF(VLOOKUP(Table91213[[#This Row],[Date]],'DB Details'!$A:$Q,9)=0,"",VLOOKUP(Table91213[[#This Row],[Date]],'DB Details'!$A:$Q,9))</f>
        <v>56</v>
      </c>
      <c r="J135" s="49">
        <f>IF(VLOOKUP(Table91213[[#This Row],[Date]],'DB Details'!$A:$Q,10)=0,"",VLOOKUP(Table91213[[#This Row],[Date]],'DB Details'!$A:$Q,10))</f>
        <v>49.7</v>
      </c>
      <c r="K135" s="49">
        <f>IF(VLOOKUP(Table91213[[#This Row],[Date]],'DB Details'!$A:$Q,11)=0,"",VLOOKUP(Table91213[[#This Row],[Date]],'DB Details'!$A:$Q,11))</f>
        <v>48.5</v>
      </c>
      <c r="L135" s="47">
        <f>IF(VLOOKUP(Table91213[[#This Row],[Date]],'DB Details'!$A:$Q,12)=0,"",VLOOKUP(Table91213[[#This Row],[Date]],'DB Details'!$A:$Q,12))</f>
        <v>51.9</v>
      </c>
    </row>
    <row r="136" spans="1:12" x14ac:dyDescent="0.35">
      <c r="A136" s="50">
        <v>39569</v>
      </c>
      <c r="B136" s="47">
        <f>IF(VLOOKUP(Table91213[[#This Row],[Date]],'DB Details'!$A:$Q,2)=0,"",VLOOKUP(Table91213[[#This Row],[Date]],'DB Details'!$A:$Q,2))</f>
        <v>54.2</v>
      </c>
      <c r="C136" s="48">
        <f>IF(VLOOKUP(Table91213[[#This Row],[Date]],'DB Details'!$A:$Q,3)=0,"",VLOOKUP(Table91213[[#This Row],[Date]],'DB Details'!$A:$Q,3))</f>
        <v>48</v>
      </c>
      <c r="D136" s="48">
        <f>IF(VLOOKUP(Table91213[[#This Row],[Date]],'DB Details'!$A:$Q,4)=0,"",VLOOKUP(Table91213[[#This Row],[Date]],'DB Details'!$A:$Q,4))</f>
        <v>49</v>
      </c>
      <c r="E136" s="49">
        <f>IF(VLOOKUP(Table91213[[#This Row],[Date]],'DB Details'!$A:$Q,5)=0,"",VLOOKUP(Table91213[[#This Row],[Date]],'DB Details'!$A:$Q,5))</f>
        <v>75.2</v>
      </c>
      <c r="F136" s="48">
        <f>IF(VLOOKUP(Table91213[[#This Row],[Date]],'DB Details'!$A:$Q,6)=0,"",VLOOKUP(Table91213[[#This Row],[Date]],'DB Details'!$A:$Q,6))</f>
        <v>53.3</v>
      </c>
      <c r="G136" s="49">
        <f>IF(VLOOKUP(Table91213[[#This Row],[Date]],'DB Details'!$A:$Q,7)=0,"",VLOOKUP(Table91213[[#This Row],[Date]],'DB Details'!$A:$Q,7))</f>
        <v>66.5</v>
      </c>
      <c r="H136" s="49">
        <f>IF(VLOOKUP(Table91213[[#This Row],[Date]],'DB Details'!$A:$Q,8)=0,"",VLOOKUP(Table91213[[#This Row],[Date]],'DB Details'!$A:$Q,8))</f>
        <v>54</v>
      </c>
      <c r="I136" s="49">
        <f>IF(VLOOKUP(Table91213[[#This Row],[Date]],'DB Details'!$A:$Q,9)=0,"",VLOOKUP(Table91213[[#This Row],[Date]],'DB Details'!$A:$Q,9))</f>
        <v>51</v>
      </c>
      <c r="J136" s="49">
        <f>IF(VLOOKUP(Table91213[[#This Row],[Date]],'DB Details'!$A:$Q,10)=0,"",VLOOKUP(Table91213[[#This Row],[Date]],'DB Details'!$A:$Q,10))</f>
        <v>47.2</v>
      </c>
      <c r="K136" s="49">
        <f>IF(VLOOKUP(Table91213[[#This Row],[Date]],'DB Details'!$A:$Q,11)=0,"",VLOOKUP(Table91213[[#This Row],[Date]],'DB Details'!$A:$Q,11))</f>
        <v>54</v>
      </c>
      <c r="L136" s="47">
        <f>IF(VLOOKUP(Table91213[[#This Row],[Date]],'DB Details'!$A:$Q,12)=0,"",VLOOKUP(Table91213[[#This Row],[Date]],'DB Details'!$A:$Q,12))</f>
        <v>51.5</v>
      </c>
    </row>
    <row r="137" spans="1:12" x14ac:dyDescent="0.35">
      <c r="A137" s="50">
        <v>39600</v>
      </c>
      <c r="B137" s="47">
        <f>IF(VLOOKUP(Table91213[[#This Row],[Date]],'DB Details'!$A:$Q,2)=0,"",VLOOKUP(Table91213[[#This Row],[Date]],'DB Details'!$A:$Q,2))</f>
        <v>49.2</v>
      </c>
      <c r="C137" s="48">
        <f>IF(VLOOKUP(Table91213[[#This Row],[Date]],'DB Details'!$A:$Q,3)=0,"",VLOOKUP(Table91213[[#This Row],[Date]],'DB Details'!$A:$Q,3))</f>
        <v>50.5</v>
      </c>
      <c r="D137" s="48">
        <f>IF(VLOOKUP(Table91213[[#This Row],[Date]],'DB Details'!$A:$Q,4)=0,"",VLOOKUP(Table91213[[#This Row],[Date]],'DB Details'!$A:$Q,4))</f>
        <v>49</v>
      </c>
      <c r="E137" s="49">
        <f>IF(VLOOKUP(Table91213[[#This Row],[Date]],'DB Details'!$A:$Q,5)=0,"",VLOOKUP(Table91213[[#This Row],[Date]],'DB Details'!$A:$Q,5))</f>
        <v>79.599999999999994</v>
      </c>
      <c r="F137" s="48">
        <f>IF(VLOOKUP(Table91213[[#This Row],[Date]],'DB Details'!$A:$Q,6)=0,"",VLOOKUP(Table91213[[#This Row],[Date]],'DB Details'!$A:$Q,6))</f>
        <v>50.2</v>
      </c>
      <c r="G137" s="49">
        <f>IF(VLOOKUP(Table91213[[#This Row],[Date]],'DB Details'!$A:$Q,7)=0,"",VLOOKUP(Table91213[[#This Row],[Date]],'DB Details'!$A:$Q,7))</f>
        <v>60</v>
      </c>
      <c r="H137" s="49">
        <f>IF(VLOOKUP(Table91213[[#This Row],[Date]],'DB Details'!$A:$Q,8)=0,"",VLOOKUP(Table91213[[#This Row],[Date]],'DB Details'!$A:$Q,8))</f>
        <v>53</v>
      </c>
      <c r="I137" s="49">
        <f>IF(VLOOKUP(Table91213[[#This Row],[Date]],'DB Details'!$A:$Q,9)=0,"",VLOOKUP(Table91213[[#This Row],[Date]],'DB Details'!$A:$Q,9))</f>
        <v>50.5</v>
      </c>
      <c r="J137" s="49">
        <f>IF(VLOOKUP(Table91213[[#This Row],[Date]],'DB Details'!$A:$Q,10)=0,"",VLOOKUP(Table91213[[#This Row],[Date]],'DB Details'!$A:$Q,10))</f>
        <v>43.4</v>
      </c>
      <c r="K137" s="49">
        <f>IF(VLOOKUP(Table91213[[#This Row],[Date]],'DB Details'!$A:$Q,11)=0,"",VLOOKUP(Table91213[[#This Row],[Date]],'DB Details'!$A:$Q,11))</f>
        <v>52</v>
      </c>
      <c r="L137" s="47">
        <f>IF(VLOOKUP(Table91213[[#This Row],[Date]],'DB Details'!$A:$Q,12)=0,"",VLOOKUP(Table91213[[#This Row],[Date]],'DB Details'!$A:$Q,12))</f>
        <v>48.1</v>
      </c>
    </row>
    <row r="138" spans="1:12" x14ac:dyDescent="0.35">
      <c r="A138" s="50">
        <v>39630</v>
      </c>
      <c r="B138" s="47">
        <f>IF(VLOOKUP(Table91213[[#This Row],[Date]],'DB Details'!$A:$Q,2)=0,"",VLOOKUP(Table91213[[#This Row],[Date]],'DB Details'!$A:$Q,2))</f>
        <v>49</v>
      </c>
      <c r="C138" s="48">
        <f>IF(VLOOKUP(Table91213[[#This Row],[Date]],'DB Details'!$A:$Q,3)=0,"",VLOOKUP(Table91213[[#This Row],[Date]],'DB Details'!$A:$Q,3))</f>
        <v>49</v>
      </c>
      <c r="D138" s="48">
        <f>IF(VLOOKUP(Table91213[[#This Row],[Date]],'DB Details'!$A:$Q,4)=0,"",VLOOKUP(Table91213[[#This Row],[Date]],'DB Details'!$A:$Q,4))</f>
        <v>52</v>
      </c>
      <c r="E138" s="49">
        <f>IF(VLOOKUP(Table91213[[#This Row],[Date]],'DB Details'!$A:$Q,5)=0,"",VLOOKUP(Table91213[[#This Row],[Date]],'DB Details'!$A:$Q,5))</f>
        <v>77.400000000000006</v>
      </c>
      <c r="F138" s="48">
        <f>IF(VLOOKUP(Table91213[[#This Row],[Date]],'DB Details'!$A:$Q,6)=0,"",VLOOKUP(Table91213[[#This Row],[Date]],'DB Details'!$A:$Q,6))</f>
        <v>51</v>
      </c>
      <c r="G138" s="49">
        <f>IF(VLOOKUP(Table91213[[#This Row],[Date]],'DB Details'!$A:$Q,7)=0,"",VLOOKUP(Table91213[[#This Row],[Date]],'DB Details'!$A:$Q,7))</f>
        <v>62.5</v>
      </c>
      <c r="H138" s="49">
        <f>IF(VLOOKUP(Table91213[[#This Row],[Date]],'DB Details'!$A:$Q,8)=0,"",VLOOKUP(Table91213[[#This Row],[Date]],'DB Details'!$A:$Q,8))</f>
        <v>54.5</v>
      </c>
      <c r="I138" s="49">
        <f>IF(VLOOKUP(Table91213[[#This Row],[Date]],'DB Details'!$A:$Q,9)=0,"",VLOOKUP(Table91213[[#This Row],[Date]],'DB Details'!$A:$Q,9))</f>
        <v>53.5</v>
      </c>
      <c r="J138" s="49">
        <f>IF(VLOOKUP(Table91213[[#This Row],[Date]],'DB Details'!$A:$Q,10)=0,"",VLOOKUP(Table91213[[#This Row],[Date]],'DB Details'!$A:$Q,10))</f>
        <v>46.3</v>
      </c>
      <c r="K138" s="49">
        <f>IF(VLOOKUP(Table91213[[#This Row],[Date]],'DB Details'!$A:$Q,11)=0,"",VLOOKUP(Table91213[[#This Row],[Date]],'DB Details'!$A:$Q,11))</f>
        <v>47.5</v>
      </c>
      <c r="L138" s="47">
        <f>IF(VLOOKUP(Table91213[[#This Row],[Date]],'DB Details'!$A:$Q,12)=0,"",VLOOKUP(Table91213[[#This Row],[Date]],'DB Details'!$A:$Q,12))</f>
        <v>50.1</v>
      </c>
    </row>
    <row r="139" spans="1:12" x14ac:dyDescent="0.35">
      <c r="A139" s="50">
        <v>39661</v>
      </c>
      <c r="B139" s="47">
        <f>IF(VLOOKUP(Table91213[[#This Row],[Date]],'DB Details'!$A:$Q,2)=0,"",VLOOKUP(Table91213[[#This Row],[Date]],'DB Details'!$A:$Q,2))</f>
        <v>50.7</v>
      </c>
      <c r="C139" s="48">
        <f>IF(VLOOKUP(Table91213[[#This Row],[Date]],'DB Details'!$A:$Q,3)=0,"",VLOOKUP(Table91213[[#This Row],[Date]],'DB Details'!$A:$Q,3))</f>
        <v>46</v>
      </c>
      <c r="D139" s="48">
        <f>IF(VLOOKUP(Table91213[[#This Row],[Date]],'DB Details'!$A:$Q,4)=0,"",VLOOKUP(Table91213[[#This Row],[Date]],'DB Details'!$A:$Q,4))</f>
        <v>49</v>
      </c>
      <c r="E139" s="49">
        <f>IF(VLOOKUP(Table91213[[#This Row],[Date]],'DB Details'!$A:$Q,5)=0,"",VLOOKUP(Table91213[[#This Row],[Date]],'DB Details'!$A:$Q,5))</f>
        <v>72.400000000000006</v>
      </c>
      <c r="F139" s="48">
        <f>IF(VLOOKUP(Table91213[[#This Row],[Date]],'DB Details'!$A:$Q,6)=0,"",VLOOKUP(Table91213[[#This Row],[Date]],'DB Details'!$A:$Q,6))</f>
        <v>51.1</v>
      </c>
      <c r="G139" s="49">
        <f>IF(VLOOKUP(Table91213[[#This Row],[Date]],'DB Details'!$A:$Q,7)=0,"",VLOOKUP(Table91213[[#This Row],[Date]],'DB Details'!$A:$Q,7))</f>
        <v>66</v>
      </c>
      <c r="H139" s="49">
        <f>IF(VLOOKUP(Table91213[[#This Row],[Date]],'DB Details'!$A:$Q,8)=0,"",VLOOKUP(Table91213[[#This Row],[Date]],'DB Details'!$A:$Q,8))</f>
        <v>53.5</v>
      </c>
      <c r="I139" s="49">
        <f>IF(VLOOKUP(Table91213[[#This Row],[Date]],'DB Details'!$A:$Q,9)=0,"",VLOOKUP(Table91213[[#This Row],[Date]],'DB Details'!$A:$Q,9))</f>
        <v>55.5</v>
      </c>
      <c r="J139" s="49">
        <f>IF(VLOOKUP(Table91213[[#This Row],[Date]],'DB Details'!$A:$Q,10)=0,"",VLOOKUP(Table91213[[#This Row],[Date]],'DB Details'!$A:$Q,10))</f>
        <v>45.2</v>
      </c>
      <c r="K139" s="49">
        <f>IF(VLOOKUP(Table91213[[#This Row],[Date]],'DB Details'!$A:$Q,11)=0,"",VLOOKUP(Table91213[[#This Row],[Date]],'DB Details'!$A:$Q,11))</f>
        <v>44.5</v>
      </c>
      <c r="L139" s="47">
        <f>IF(VLOOKUP(Table91213[[#This Row],[Date]],'DB Details'!$A:$Q,12)=0,"",VLOOKUP(Table91213[[#This Row],[Date]],'DB Details'!$A:$Q,12))</f>
        <v>50.6</v>
      </c>
    </row>
    <row r="140" spans="1:12" x14ac:dyDescent="0.35">
      <c r="A140" s="50">
        <v>39692</v>
      </c>
      <c r="B140" s="47">
        <f>IF(VLOOKUP(Table91213[[#This Row],[Date]],'DB Details'!$A:$Q,2)=0,"",VLOOKUP(Table91213[[#This Row],[Date]],'DB Details'!$A:$Q,2))</f>
        <v>49.5</v>
      </c>
      <c r="C140" s="48">
        <f>IF(VLOOKUP(Table91213[[#This Row],[Date]],'DB Details'!$A:$Q,3)=0,"",VLOOKUP(Table91213[[#This Row],[Date]],'DB Details'!$A:$Q,3))</f>
        <v>47.5</v>
      </c>
      <c r="D140" s="48">
        <f>IF(VLOOKUP(Table91213[[#This Row],[Date]],'DB Details'!$A:$Q,4)=0,"",VLOOKUP(Table91213[[#This Row],[Date]],'DB Details'!$A:$Q,4))</f>
        <v>46.5</v>
      </c>
      <c r="E140" s="49">
        <f>IF(VLOOKUP(Table91213[[#This Row],[Date]],'DB Details'!$A:$Q,5)=0,"",VLOOKUP(Table91213[[#This Row],[Date]],'DB Details'!$A:$Q,5))</f>
        <v>71.900000000000006</v>
      </c>
      <c r="F140" s="48">
        <f>IF(VLOOKUP(Table91213[[#This Row],[Date]],'DB Details'!$A:$Q,6)=0,"",VLOOKUP(Table91213[[#This Row],[Date]],'DB Details'!$A:$Q,6))</f>
        <v>50.4</v>
      </c>
      <c r="G140" s="49">
        <f>IF(VLOOKUP(Table91213[[#This Row],[Date]],'DB Details'!$A:$Q,7)=0,"",VLOOKUP(Table91213[[#This Row],[Date]],'DB Details'!$A:$Q,7))</f>
        <v>62.5</v>
      </c>
      <c r="H140" s="49">
        <f>IF(VLOOKUP(Table91213[[#This Row],[Date]],'DB Details'!$A:$Q,8)=0,"",VLOOKUP(Table91213[[#This Row],[Date]],'DB Details'!$A:$Q,8))</f>
        <v>45.5</v>
      </c>
      <c r="I140" s="49">
        <f>IF(VLOOKUP(Table91213[[#This Row],[Date]],'DB Details'!$A:$Q,9)=0,"",VLOOKUP(Table91213[[#This Row],[Date]],'DB Details'!$A:$Q,9))</f>
        <v>53.5</v>
      </c>
      <c r="J140" s="49">
        <f>IF(VLOOKUP(Table91213[[#This Row],[Date]],'DB Details'!$A:$Q,10)=0,"",VLOOKUP(Table91213[[#This Row],[Date]],'DB Details'!$A:$Q,10))</f>
        <v>44.3</v>
      </c>
      <c r="K140" s="49">
        <f>IF(VLOOKUP(Table91213[[#This Row],[Date]],'DB Details'!$A:$Q,11)=0,"",VLOOKUP(Table91213[[#This Row],[Date]],'DB Details'!$A:$Q,11))</f>
        <v>50.5</v>
      </c>
      <c r="L140" s="47">
        <f>IF(VLOOKUP(Table91213[[#This Row],[Date]],'DB Details'!$A:$Q,12)=0,"",VLOOKUP(Table91213[[#This Row],[Date]],'DB Details'!$A:$Q,12))</f>
        <v>49.4</v>
      </c>
    </row>
    <row r="141" spans="1:12" x14ac:dyDescent="0.35">
      <c r="A141" s="50">
        <v>39722</v>
      </c>
      <c r="B141" s="47">
        <f>IF(VLOOKUP(Table91213[[#This Row],[Date]],'DB Details'!$A:$Q,2)=0,"",VLOOKUP(Table91213[[#This Row],[Date]],'DB Details'!$A:$Q,2))</f>
        <v>44.1</v>
      </c>
      <c r="C141" s="48">
        <f>IF(VLOOKUP(Table91213[[#This Row],[Date]],'DB Details'!$A:$Q,3)=0,"",VLOOKUP(Table91213[[#This Row],[Date]],'DB Details'!$A:$Q,3))</f>
        <v>52</v>
      </c>
      <c r="D141" s="48">
        <f>IF(VLOOKUP(Table91213[[#This Row],[Date]],'DB Details'!$A:$Q,4)=0,"",VLOOKUP(Table91213[[#This Row],[Date]],'DB Details'!$A:$Q,4))</f>
        <v>44</v>
      </c>
      <c r="E141" s="49">
        <f>IF(VLOOKUP(Table91213[[#This Row],[Date]],'DB Details'!$A:$Q,5)=0,"",VLOOKUP(Table91213[[#This Row],[Date]],'DB Details'!$A:$Q,5))</f>
        <v>53.9</v>
      </c>
      <c r="F141" s="48">
        <f>IF(VLOOKUP(Table91213[[#This Row],[Date]],'DB Details'!$A:$Q,6)=0,"",VLOOKUP(Table91213[[#This Row],[Date]],'DB Details'!$A:$Q,6))</f>
        <v>43.8</v>
      </c>
      <c r="G141" s="49">
        <f>IF(VLOOKUP(Table91213[[#This Row],[Date]],'DB Details'!$A:$Q,7)=0,"",VLOOKUP(Table91213[[#This Row],[Date]],'DB Details'!$A:$Q,7))</f>
        <v>67.5</v>
      </c>
      <c r="H141" s="49">
        <f>IF(VLOOKUP(Table91213[[#This Row],[Date]],'DB Details'!$A:$Q,8)=0,"",VLOOKUP(Table91213[[#This Row],[Date]],'DB Details'!$A:$Q,8))</f>
        <v>48</v>
      </c>
      <c r="I141" s="49">
        <f>IF(VLOOKUP(Table91213[[#This Row],[Date]],'DB Details'!$A:$Q,9)=0,"",VLOOKUP(Table91213[[#This Row],[Date]],'DB Details'!$A:$Q,9))</f>
        <v>48</v>
      </c>
      <c r="J141" s="49">
        <f>IF(VLOOKUP(Table91213[[#This Row],[Date]],'DB Details'!$A:$Q,10)=0,"",VLOOKUP(Table91213[[#This Row],[Date]],'DB Details'!$A:$Q,10))</f>
        <v>42.8</v>
      </c>
      <c r="K141" s="49">
        <f>IF(VLOOKUP(Table91213[[#This Row],[Date]],'DB Details'!$A:$Q,11)=0,"",VLOOKUP(Table91213[[#This Row],[Date]],'DB Details'!$A:$Q,11))</f>
        <v>50</v>
      </c>
      <c r="L141" s="47">
        <f>IF(VLOOKUP(Table91213[[#This Row],[Date]],'DB Details'!$A:$Q,12)=0,"",VLOOKUP(Table91213[[#This Row],[Date]],'DB Details'!$A:$Q,12))</f>
        <v>44.7</v>
      </c>
    </row>
    <row r="142" spans="1:12" x14ac:dyDescent="0.35">
      <c r="A142" s="50">
        <v>39753</v>
      </c>
      <c r="B142" s="47">
        <f>IF(VLOOKUP(Table91213[[#This Row],[Date]],'DB Details'!$A:$Q,2)=0,"",VLOOKUP(Table91213[[#This Row],[Date]],'DB Details'!$A:$Q,2))</f>
        <v>35.299999999999997</v>
      </c>
      <c r="C142" s="48">
        <f>IF(VLOOKUP(Table91213[[#This Row],[Date]],'DB Details'!$A:$Q,3)=0,"",VLOOKUP(Table91213[[#This Row],[Date]],'DB Details'!$A:$Q,3))</f>
        <v>40</v>
      </c>
      <c r="D142" s="48">
        <f>IF(VLOOKUP(Table91213[[#This Row],[Date]],'DB Details'!$A:$Q,4)=0,"",VLOOKUP(Table91213[[#This Row],[Date]],'DB Details'!$A:$Q,4))</f>
        <v>39.5</v>
      </c>
      <c r="E142" s="49">
        <f>IF(VLOOKUP(Table91213[[#This Row],[Date]],'DB Details'!$A:$Q,5)=0,"",VLOOKUP(Table91213[[#This Row],[Date]],'DB Details'!$A:$Q,5))</f>
        <v>37.4</v>
      </c>
      <c r="F142" s="48">
        <f>IF(VLOOKUP(Table91213[[#This Row],[Date]],'DB Details'!$A:$Q,6)=0,"",VLOOKUP(Table91213[[#This Row],[Date]],'DB Details'!$A:$Q,6))</f>
        <v>34.200000000000003</v>
      </c>
      <c r="G142" s="49">
        <f>IF(VLOOKUP(Table91213[[#This Row],[Date]],'DB Details'!$A:$Q,7)=0,"",VLOOKUP(Table91213[[#This Row],[Date]],'DB Details'!$A:$Q,7))</f>
        <v>65</v>
      </c>
      <c r="H142" s="49">
        <f>IF(VLOOKUP(Table91213[[#This Row],[Date]],'DB Details'!$A:$Q,8)=0,"",VLOOKUP(Table91213[[#This Row],[Date]],'DB Details'!$A:$Q,8))</f>
        <v>46</v>
      </c>
      <c r="I142" s="49">
        <f>IF(VLOOKUP(Table91213[[#This Row],[Date]],'DB Details'!$A:$Q,9)=0,"",VLOOKUP(Table91213[[#This Row],[Date]],'DB Details'!$A:$Q,9))</f>
        <v>49.5</v>
      </c>
      <c r="J142" s="49">
        <f>IF(VLOOKUP(Table91213[[#This Row],[Date]],'DB Details'!$A:$Q,10)=0,"",VLOOKUP(Table91213[[#This Row],[Date]],'DB Details'!$A:$Q,10))</f>
        <v>31.5</v>
      </c>
      <c r="K142" s="49">
        <f>IF(VLOOKUP(Table91213[[#This Row],[Date]],'DB Details'!$A:$Q,11)=0,"",VLOOKUP(Table91213[[#This Row],[Date]],'DB Details'!$A:$Q,11))</f>
        <v>34.5</v>
      </c>
      <c r="L142" s="47">
        <f>IF(VLOOKUP(Table91213[[#This Row],[Date]],'DB Details'!$A:$Q,12)=0,"",VLOOKUP(Table91213[[#This Row],[Date]],'DB Details'!$A:$Q,12))</f>
        <v>37.799999999999997</v>
      </c>
    </row>
    <row r="143" spans="1:12" x14ac:dyDescent="0.35">
      <c r="A143" s="50">
        <v>39783</v>
      </c>
      <c r="B143" s="47">
        <f>IF(VLOOKUP(Table91213[[#This Row],[Date]],'DB Details'!$A:$Q,2)=0,"",VLOOKUP(Table91213[[#This Row],[Date]],'DB Details'!$A:$Q,2))</f>
        <v>38.700000000000003</v>
      </c>
      <c r="C143" s="48">
        <f>IF(VLOOKUP(Table91213[[#This Row],[Date]],'DB Details'!$A:$Q,3)=0,"",VLOOKUP(Table91213[[#This Row],[Date]],'DB Details'!$A:$Q,3))</f>
        <v>32.5</v>
      </c>
      <c r="D143" s="48">
        <f>IF(VLOOKUP(Table91213[[#This Row],[Date]],'DB Details'!$A:$Q,4)=0,"",VLOOKUP(Table91213[[#This Row],[Date]],'DB Details'!$A:$Q,4))</f>
        <v>42.5</v>
      </c>
      <c r="E143" s="49">
        <f>IF(VLOOKUP(Table91213[[#This Row],[Date]],'DB Details'!$A:$Q,5)=0,"",VLOOKUP(Table91213[[#This Row],[Date]],'DB Details'!$A:$Q,5))</f>
        <v>36.1</v>
      </c>
      <c r="F143" s="48">
        <f>IF(VLOOKUP(Table91213[[#This Row],[Date]],'DB Details'!$A:$Q,6)=0,"",VLOOKUP(Table91213[[#This Row],[Date]],'DB Details'!$A:$Q,6))</f>
        <v>38.299999999999997</v>
      </c>
      <c r="G143" s="49">
        <f>IF(VLOOKUP(Table91213[[#This Row],[Date]],'DB Details'!$A:$Q,7)=0,"",VLOOKUP(Table91213[[#This Row],[Date]],'DB Details'!$A:$Q,7))</f>
        <v>65.5</v>
      </c>
      <c r="H143" s="49">
        <f>IF(VLOOKUP(Table91213[[#This Row],[Date]],'DB Details'!$A:$Q,8)=0,"",VLOOKUP(Table91213[[#This Row],[Date]],'DB Details'!$A:$Q,8))</f>
        <v>49</v>
      </c>
      <c r="I143" s="49">
        <f>IF(VLOOKUP(Table91213[[#This Row],[Date]],'DB Details'!$A:$Q,9)=0,"",VLOOKUP(Table91213[[#This Row],[Date]],'DB Details'!$A:$Q,9))</f>
        <v>48</v>
      </c>
      <c r="J143" s="49">
        <f>IF(VLOOKUP(Table91213[[#This Row],[Date]],'DB Details'!$A:$Q,10)=0,"",VLOOKUP(Table91213[[#This Row],[Date]],'DB Details'!$A:$Q,10))</f>
        <v>34.9</v>
      </c>
      <c r="K143" s="49">
        <f>IF(VLOOKUP(Table91213[[#This Row],[Date]],'DB Details'!$A:$Q,11)=0,"",VLOOKUP(Table91213[[#This Row],[Date]],'DB Details'!$A:$Q,11))</f>
        <v>39.5</v>
      </c>
      <c r="L143" s="47">
        <f>IF(VLOOKUP(Table91213[[#This Row],[Date]],'DB Details'!$A:$Q,12)=0,"",VLOOKUP(Table91213[[#This Row],[Date]],'DB Details'!$A:$Q,12))</f>
        <v>40</v>
      </c>
    </row>
    <row r="144" spans="1:12" x14ac:dyDescent="0.35">
      <c r="A144" s="50">
        <v>39814</v>
      </c>
      <c r="B144" s="47">
        <f>IF(VLOOKUP(Table91213[[#This Row],[Date]],'DB Details'!$A:$Q,2)=0,"",VLOOKUP(Table91213[[#This Row],[Date]],'DB Details'!$A:$Q,2))</f>
        <v>40.700000000000003</v>
      </c>
      <c r="C144" s="48">
        <f>IF(VLOOKUP(Table91213[[#This Row],[Date]],'DB Details'!$A:$Q,3)=0,"",VLOOKUP(Table91213[[#This Row],[Date]],'DB Details'!$A:$Q,3))</f>
        <v>40.5</v>
      </c>
      <c r="D144" s="48">
        <f>IF(VLOOKUP(Table91213[[#This Row],[Date]],'DB Details'!$A:$Q,4)=0,"",VLOOKUP(Table91213[[#This Row],[Date]],'DB Details'!$A:$Q,4))</f>
        <v>37.5</v>
      </c>
      <c r="E144" s="49">
        <f>IF(VLOOKUP(Table91213[[#This Row],[Date]],'DB Details'!$A:$Q,5)=0,"",VLOOKUP(Table91213[[#This Row],[Date]],'DB Details'!$A:$Q,5))</f>
        <v>41.7</v>
      </c>
      <c r="F144" s="48">
        <f>IF(VLOOKUP(Table91213[[#This Row],[Date]],'DB Details'!$A:$Q,6)=0,"",VLOOKUP(Table91213[[#This Row],[Date]],'DB Details'!$A:$Q,6))</f>
        <v>44.1</v>
      </c>
      <c r="G144" s="49">
        <f>IF(VLOOKUP(Table91213[[#This Row],[Date]],'DB Details'!$A:$Q,7)=0,"",VLOOKUP(Table91213[[#This Row],[Date]],'DB Details'!$A:$Q,7))</f>
        <v>62.5</v>
      </c>
      <c r="H144" s="49">
        <f>IF(VLOOKUP(Table91213[[#This Row],[Date]],'DB Details'!$A:$Q,8)=0,"",VLOOKUP(Table91213[[#This Row],[Date]],'DB Details'!$A:$Q,8))</f>
        <v>41.5</v>
      </c>
      <c r="I144" s="49">
        <f>IF(VLOOKUP(Table91213[[#This Row],[Date]],'DB Details'!$A:$Q,9)=0,"",VLOOKUP(Table91213[[#This Row],[Date]],'DB Details'!$A:$Q,9))</f>
        <v>51.5</v>
      </c>
      <c r="J144" s="49">
        <f>IF(VLOOKUP(Table91213[[#This Row],[Date]],'DB Details'!$A:$Q,10)=0,"",VLOOKUP(Table91213[[#This Row],[Date]],'DB Details'!$A:$Q,10))</f>
        <v>36.200000000000003</v>
      </c>
      <c r="K144" s="49">
        <f>IF(VLOOKUP(Table91213[[#This Row],[Date]],'DB Details'!$A:$Q,11)=0,"",VLOOKUP(Table91213[[#This Row],[Date]],'DB Details'!$A:$Q,11))</f>
        <v>39</v>
      </c>
      <c r="L144" s="47">
        <f>IF(VLOOKUP(Table91213[[#This Row],[Date]],'DB Details'!$A:$Q,12)=0,"",VLOOKUP(Table91213[[#This Row],[Date]],'DB Details'!$A:$Q,12))</f>
        <v>43</v>
      </c>
    </row>
    <row r="145" spans="1:12" x14ac:dyDescent="0.35">
      <c r="A145" s="50">
        <v>39845</v>
      </c>
      <c r="B145" s="47">
        <f>IF(VLOOKUP(Table91213[[#This Row],[Date]],'DB Details'!$A:$Q,2)=0,"",VLOOKUP(Table91213[[#This Row],[Date]],'DB Details'!$A:$Q,2))</f>
        <v>40.4</v>
      </c>
      <c r="C145" s="48">
        <f>IF(VLOOKUP(Table91213[[#This Row],[Date]],'DB Details'!$A:$Q,3)=0,"",VLOOKUP(Table91213[[#This Row],[Date]],'DB Details'!$A:$Q,3))</f>
        <v>39</v>
      </c>
      <c r="D145" s="48">
        <f>IF(VLOOKUP(Table91213[[#This Row],[Date]],'DB Details'!$A:$Q,4)=0,"",VLOOKUP(Table91213[[#This Row],[Date]],'DB Details'!$A:$Q,4))</f>
        <v>36.5</v>
      </c>
      <c r="E145" s="49">
        <f>IF(VLOOKUP(Table91213[[#This Row],[Date]],'DB Details'!$A:$Q,5)=0,"",VLOOKUP(Table91213[[#This Row],[Date]],'DB Details'!$A:$Q,5))</f>
        <v>48.6</v>
      </c>
      <c r="F145" s="48">
        <f>IF(VLOOKUP(Table91213[[#This Row],[Date]],'DB Details'!$A:$Q,6)=0,"",VLOOKUP(Table91213[[#This Row],[Date]],'DB Details'!$A:$Q,6))</f>
        <v>40.6</v>
      </c>
      <c r="G145" s="49">
        <f>IF(VLOOKUP(Table91213[[#This Row],[Date]],'DB Details'!$A:$Q,7)=0,"",VLOOKUP(Table91213[[#This Row],[Date]],'DB Details'!$A:$Q,7))</f>
        <v>66.5</v>
      </c>
      <c r="H145" s="49">
        <f>IF(VLOOKUP(Table91213[[#This Row],[Date]],'DB Details'!$A:$Q,8)=0,"",VLOOKUP(Table91213[[#This Row],[Date]],'DB Details'!$A:$Q,8))</f>
        <v>39</v>
      </c>
      <c r="I145" s="49">
        <f>IF(VLOOKUP(Table91213[[#This Row],[Date]],'DB Details'!$A:$Q,9)=0,"",VLOOKUP(Table91213[[#This Row],[Date]],'DB Details'!$A:$Q,9))</f>
        <v>48</v>
      </c>
      <c r="J145" s="49">
        <f>IF(VLOOKUP(Table91213[[#This Row],[Date]],'DB Details'!$A:$Q,10)=0,"",VLOOKUP(Table91213[[#This Row],[Date]],'DB Details'!$A:$Q,10))</f>
        <v>37</v>
      </c>
      <c r="K145" s="49">
        <f>IF(VLOOKUP(Table91213[[#This Row],[Date]],'DB Details'!$A:$Q,11)=0,"",VLOOKUP(Table91213[[#This Row],[Date]],'DB Details'!$A:$Q,11))</f>
        <v>40</v>
      </c>
      <c r="L145" s="47">
        <f>IF(VLOOKUP(Table91213[[#This Row],[Date]],'DB Details'!$A:$Q,12)=0,"",VLOOKUP(Table91213[[#This Row],[Date]],'DB Details'!$A:$Q,12))</f>
        <v>41.6</v>
      </c>
    </row>
    <row r="146" spans="1:12" x14ac:dyDescent="0.35">
      <c r="A146" s="50">
        <v>39873</v>
      </c>
      <c r="B146" s="47">
        <f>IF(VLOOKUP(Table91213[[#This Row],[Date]],'DB Details'!$A:$Q,2)=0,"",VLOOKUP(Table91213[[#This Row],[Date]],'DB Details'!$A:$Q,2))</f>
        <v>37.200000000000003</v>
      </c>
      <c r="C146" s="48">
        <f>IF(VLOOKUP(Table91213[[#This Row],[Date]],'DB Details'!$A:$Q,3)=0,"",VLOOKUP(Table91213[[#This Row],[Date]],'DB Details'!$A:$Q,3))</f>
        <v>37</v>
      </c>
      <c r="D146" s="48">
        <f>IF(VLOOKUP(Table91213[[#This Row],[Date]],'DB Details'!$A:$Q,4)=0,"",VLOOKUP(Table91213[[#This Row],[Date]],'DB Details'!$A:$Q,4))</f>
        <v>41</v>
      </c>
      <c r="E146" s="49">
        <f>IF(VLOOKUP(Table91213[[#This Row],[Date]],'DB Details'!$A:$Q,5)=0,"",VLOOKUP(Table91213[[#This Row],[Date]],'DB Details'!$A:$Q,5))</f>
        <v>40</v>
      </c>
      <c r="F146" s="48">
        <f>IF(VLOOKUP(Table91213[[#This Row],[Date]],'DB Details'!$A:$Q,6)=0,"",VLOOKUP(Table91213[[#This Row],[Date]],'DB Details'!$A:$Q,6))</f>
        <v>42.8</v>
      </c>
      <c r="G146" s="49">
        <f>IF(VLOOKUP(Table91213[[#This Row],[Date]],'DB Details'!$A:$Q,7)=0,"",VLOOKUP(Table91213[[#This Row],[Date]],'DB Details'!$A:$Q,7))</f>
        <v>60</v>
      </c>
      <c r="H146" s="49">
        <f>IF(VLOOKUP(Table91213[[#This Row],[Date]],'DB Details'!$A:$Q,8)=0,"",VLOOKUP(Table91213[[#This Row],[Date]],'DB Details'!$A:$Q,8))</f>
        <v>40</v>
      </c>
      <c r="I146" s="49">
        <f>IF(VLOOKUP(Table91213[[#This Row],[Date]],'DB Details'!$A:$Q,9)=0,"",VLOOKUP(Table91213[[#This Row],[Date]],'DB Details'!$A:$Q,9))</f>
        <v>48</v>
      </c>
      <c r="J146" s="49">
        <f>IF(VLOOKUP(Table91213[[#This Row],[Date]],'DB Details'!$A:$Q,10)=0,"",VLOOKUP(Table91213[[#This Row],[Date]],'DB Details'!$A:$Q,10))</f>
        <v>31.9</v>
      </c>
      <c r="K146" s="49">
        <f>IF(VLOOKUP(Table91213[[#This Row],[Date]],'DB Details'!$A:$Q,11)=0,"",VLOOKUP(Table91213[[#This Row],[Date]],'DB Details'!$A:$Q,11))</f>
        <v>39</v>
      </c>
      <c r="L146" s="47">
        <f>IF(VLOOKUP(Table91213[[#This Row],[Date]],'DB Details'!$A:$Q,12)=0,"",VLOOKUP(Table91213[[#This Row],[Date]],'DB Details'!$A:$Q,12))</f>
        <v>40.1</v>
      </c>
    </row>
    <row r="147" spans="1:12" x14ac:dyDescent="0.35">
      <c r="A147" s="50">
        <v>39904</v>
      </c>
      <c r="B147" s="47">
        <f>IF(VLOOKUP(Table91213[[#This Row],[Date]],'DB Details'!$A:$Q,2)=0,"",VLOOKUP(Table91213[[#This Row],[Date]],'DB Details'!$A:$Q,2))</f>
        <v>46.8</v>
      </c>
      <c r="C147" s="48">
        <f>IF(VLOOKUP(Table91213[[#This Row],[Date]],'DB Details'!$A:$Q,3)=0,"",VLOOKUP(Table91213[[#This Row],[Date]],'DB Details'!$A:$Q,3))</f>
        <v>48.5</v>
      </c>
      <c r="D147" s="48">
        <f>IF(VLOOKUP(Table91213[[#This Row],[Date]],'DB Details'!$A:$Q,4)=0,"",VLOOKUP(Table91213[[#This Row],[Date]],'DB Details'!$A:$Q,4))</f>
        <v>44</v>
      </c>
      <c r="E147" s="49">
        <f>IF(VLOOKUP(Table91213[[#This Row],[Date]],'DB Details'!$A:$Q,5)=0,"",VLOOKUP(Table91213[[#This Row],[Date]],'DB Details'!$A:$Q,5))</f>
        <v>39.9</v>
      </c>
      <c r="F147" s="48">
        <f>IF(VLOOKUP(Table91213[[#This Row],[Date]],'DB Details'!$A:$Q,6)=0,"",VLOOKUP(Table91213[[#This Row],[Date]],'DB Details'!$A:$Q,6))</f>
        <v>45</v>
      </c>
      <c r="G147" s="49">
        <f>IF(VLOOKUP(Table91213[[#This Row],[Date]],'DB Details'!$A:$Q,7)=0,"",VLOOKUP(Table91213[[#This Row],[Date]],'DB Details'!$A:$Q,7))</f>
        <v>62.5</v>
      </c>
      <c r="H147" s="49">
        <f>IF(VLOOKUP(Table91213[[#This Row],[Date]],'DB Details'!$A:$Q,8)=0,"",VLOOKUP(Table91213[[#This Row],[Date]],'DB Details'!$A:$Q,8))</f>
        <v>43</v>
      </c>
      <c r="I147" s="49">
        <f>IF(VLOOKUP(Table91213[[#This Row],[Date]],'DB Details'!$A:$Q,9)=0,"",VLOOKUP(Table91213[[#This Row],[Date]],'DB Details'!$A:$Q,9))</f>
        <v>45.5</v>
      </c>
      <c r="J147" s="49">
        <f>IF(VLOOKUP(Table91213[[#This Row],[Date]],'DB Details'!$A:$Q,10)=0,"",VLOOKUP(Table91213[[#This Row],[Date]],'DB Details'!$A:$Q,10))</f>
        <v>36.299999999999997</v>
      </c>
      <c r="K147" s="49">
        <f>IF(VLOOKUP(Table91213[[#This Row],[Date]],'DB Details'!$A:$Q,11)=0,"",VLOOKUP(Table91213[[#This Row],[Date]],'DB Details'!$A:$Q,11))</f>
        <v>48.5</v>
      </c>
      <c r="L147" s="47">
        <f>IF(VLOOKUP(Table91213[[#This Row],[Date]],'DB Details'!$A:$Q,12)=0,"",VLOOKUP(Table91213[[#This Row],[Date]],'DB Details'!$A:$Q,12))</f>
        <v>43.7</v>
      </c>
    </row>
    <row r="148" spans="1:12" x14ac:dyDescent="0.35">
      <c r="A148" s="50">
        <v>39934</v>
      </c>
      <c r="B148" s="47">
        <f>IF(VLOOKUP(Table91213[[#This Row],[Date]],'DB Details'!$A:$Q,2)=0,"",VLOOKUP(Table91213[[#This Row],[Date]],'DB Details'!$A:$Q,2))</f>
        <v>45.9</v>
      </c>
      <c r="C148" s="48">
        <f>IF(VLOOKUP(Table91213[[#This Row],[Date]],'DB Details'!$A:$Q,3)=0,"",VLOOKUP(Table91213[[#This Row],[Date]],'DB Details'!$A:$Q,3))</f>
        <v>46</v>
      </c>
      <c r="D148" s="48">
        <f>IF(VLOOKUP(Table91213[[#This Row],[Date]],'DB Details'!$A:$Q,4)=0,"",VLOOKUP(Table91213[[#This Row],[Date]],'DB Details'!$A:$Q,4))</f>
        <v>40</v>
      </c>
      <c r="E148" s="49">
        <f>IF(VLOOKUP(Table91213[[#This Row],[Date]],'DB Details'!$A:$Q,5)=0,"",VLOOKUP(Table91213[[#This Row],[Date]],'DB Details'!$A:$Q,5))</f>
        <v>47.1</v>
      </c>
      <c r="F148" s="48">
        <f>IF(VLOOKUP(Table91213[[#This Row],[Date]],'DB Details'!$A:$Q,6)=0,"",VLOOKUP(Table91213[[#This Row],[Date]],'DB Details'!$A:$Q,6))</f>
        <v>43.1</v>
      </c>
      <c r="G148" s="49">
        <f>IF(VLOOKUP(Table91213[[#This Row],[Date]],'DB Details'!$A:$Q,7)=0,"",VLOOKUP(Table91213[[#This Row],[Date]],'DB Details'!$A:$Q,7))</f>
        <v>62.5</v>
      </c>
      <c r="H148" s="49">
        <f>IF(VLOOKUP(Table91213[[#This Row],[Date]],'DB Details'!$A:$Q,8)=0,"",VLOOKUP(Table91213[[#This Row],[Date]],'DB Details'!$A:$Q,8))</f>
        <v>47</v>
      </c>
      <c r="I148" s="49">
        <f>IF(VLOOKUP(Table91213[[#This Row],[Date]],'DB Details'!$A:$Q,9)=0,"",VLOOKUP(Table91213[[#This Row],[Date]],'DB Details'!$A:$Q,9))</f>
        <v>50</v>
      </c>
      <c r="J148" s="49">
        <f>IF(VLOOKUP(Table91213[[#This Row],[Date]],'DB Details'!$A:$Q,10)=0,"",VLOOKUP(Table91213[[#This Row],[Date]],'DB Details'!$A:$Q,10))</f>
        <v>37.9</v>
      </c>
      <c r="K148" s="49">
        <f>IF(VLOOKUP(Table91213[[#This Row],[Date]],'DB Details'!$A:$Q,11)=0,"",VLOOKUP(Table91213[[#This Row],[Date]],'DB Details'!$A:$Q,11))</f>
        <v>47</v>
      </c>
      <c r="L148" s="47">
        <f>IF(VLOOKUP(Table91213[[#This Row],[Date]],'DB Details'!$A:$Q,12)=0,"",VLOOKUP(Table91213[[#This Row],[Date]],'DB Details'!$A:$Q,12))</f>
        <v>44.4</v>
      </c>
    </row>
    <row r="149" spans="1:12" x14ac:dyDescent="0.35">
      <c r="A149" s="50">
        <v>39965</v>
      </c>
      <c r="B149" s="47">
        <f>IF(VLOOKUP(Table91213[[#This Row],[Date]],'DB Details'!$A:$Q,2)=0,"",VLOOKUP(Table91213[[#This Row],[Date]],'DB Details'!$A:$Q,2))</f>
        <v>49.6</v>
      </c>
      <c r="C149" s="48">
        <f>IF(VLOOKUP(Table91213[[#This Row],[Date]],'DB Details'!$A:$Q,3)=0,"",VLOOKUP(Table91213[[#This Row],[Date]],'DB Details'!$A:$Q,3))</f>
        <v>47</v>
      </c>
      <c r="D149" s="48">
        <f>IF(VLOOKUP(Table91213[[#This Row],[Date]],'DB Details'!$A:$Q,4)=0,"",VLOOKUP(Table91213[[#This Row],[Date]],'DB Details'!$A:$Q,4))</f>
        <v>46</v>
      </c>
      <c r="E149" s="49">
        <f>IF(VLOOKUP(Table91213[[#This Row],[Date]],'DB Details'!$A:$Q,5)=0,"",VLOOKUP(Table91213[[#This Row],[Date]],'DB Details'!$A:$Q,5))</f>
        <v>52.9</v>
      </c>
      <c r="F149" s="48">
        <f>IF(VLOOKUP(Table91213[[#This Row],[Date]],'DB Details'!$A:$Q,6)=0,"",VLOOKUP(Table91213[[#This Row],[Date]],'DB Details'!$A:$Q,6))</f>
        <v>50.1</v>
      </c>
      <c r="G149" s="49">
        <f>IF(VLOOKUP(Table91213[[#This Row],[Date]],'DB Details'!$A:$Q,7)=0,"",VLOOKUP(Table91213[[#This Row],[Date]],'DB Details'!$A:$Q,7))</f>
        <v>67</v>
      </c>
      <c r="H149" s="49">
        <f>IF(VLOOKUP(Table91213[[#This Row],[Date]],'DB Details'!$A:$Q,8)=0,"",VLOOKUP(Table91213[[#This Row],[Date]],'DB Details'!$A:$Q,8))</f>
        <v>45</v>
      </c>
      <c r="I149" s="49">
        <f>IF(VLOOKUP(Table91213[[#This Row],[Date]],'DB Details'!$A:$Q,9)=0,"",VLOOKUP(Table91213[[#This Row],[Date]],'DB Details'!$A:$Q,9))</f>
        <v>46</v>
      </c>
      <c r="J149" s="49">
        <f>IF(VLOOKUP(Table91213[[#This Row],[Date]],'DB Details'!$A:$Q,10)=0,"",VLOOKUP(Table91213[[#This Row],[Date]],'DB Details'!$A:$Q,10))</f>
        <v>41.5</v>
      </c>
      <c r="K149" s="49">
        <f>IF(VLOOKUP(Table91213[[#This Row],[Date]],'DB Details'!$A:$Q,11)=0,"",VLOOKUP(Table91213[[#This Row],[Date]],'DB Details'!$A:$Q,11))</f>
        <v>54.5</v>
      </c>
      <c r="L149" s="47">
        <f>IF(VLOOKUP(Table91213[[#This Row],[Date]],'DB Details'!$A:$Q,12)=0,"",VLOOKUP(Table91213[[#This Row],[Date]],'DB Details'!$A:$Q,12))</f>
        <v>46.4</v>
      </c>
    </row>
    <row r="150" spans="1:12" x14ac:dyDescent="0.35">
      <c r="A150" s="50">
        <v>39995</v>
      </c>
      <c r="B150" s="47">
        <f>IF(VLOOKUP(Table91213[[#This Row],[Date]],'DB Details'!$A:$Q,2)=0,"",VLOOKUP(Table91213[[#This Row],[Date]],'DB Details'!$A:$Q,2))</f>
        <v>49.7</v>
      </c>
      <c r="C150" s="48">
        <f>IF(VLOOKUP(Table91213[[#This Row],[Date]],'DB Details'!$A:$Q,3)=0,"",VLOOKUP(Table91213[[#This Row],[Date]],'DB Details'!$A:$Q,3))</f>
        <v>45</v>
      </c>
      <c r="D150" s="48">
        <f>IF(VLOOKUP(Table91213[[#This Row],[Date]],'DB Details'!$A:$Q,4)=0,"",VLOOKUP(Table91213[[#This Row],[Date]],'DB Details'!$A:$Q,4))</f>
        <v>42</v>
      </c>
      <c r="E150" s="49">
        <f>IF(VLOOKUP(Table91213[[#This Row],[Date]],'DB Details'!$A:$Q,5)=0,"",VLOOKUP(Table91213[[#This Row],[Date]],'DB Details'!$A:$Q,5))</f>
        <v>41.5</v>
      </c>
      <c r="F150" s="48">
        <f>IF(VLOOKUP(Table91213[[#This Row],[Date]],'DB Details'!$A:$Q,6)=0,"",VLOOKUP(Table91213[[#This Row],[Date]],'DB Details'!$A:$Q,6))</f>
        <v>47</v>
      </c>
      <c r="G150" s="49">
        <f>IF(VLOOKUP(Table91213[[#This Row],[Date]],'DB Details'!$A:$Q,7)=0,"",VLOOKUP(Table91213[[#This Row],[Date]],'DB Details'!$A:$Q,7))</f>
        <v>62.5</v>
      </c>
      <c r="H150" s="49">
        <f>IF(VLOOKUP(Table91213[[#This Row],[Date]],'DB Details'!$A:$Q,8)=0,"",VLOOKUP(Table91213[[#This Row],[Date]],'DB Details'!$A:$Q,8))</f>
        <v>47</v>
      </c>
      <c r="I150" s="49">
        <f>IF(VLOOKUP(Table91213[[#This Row],[Date]],'DB Details'!$A:$Q,9)=0,"",VLOOKUP(Table91213[[#This Row],[Date]],'DB Details'!$A:$Q,9))</f>
        <v>50</v>
      </c>
      <c r="J150" s="49">
        <f>IF(VLOOKUP(Table91213[[#This Row],[Date]],'DB Details'!$A:$Q,10)=0,"",VLOOKUP(Table91213[[#This Row],[Date]],'DB Details'!$A:$Q,10))</f>
        <v>41.3</v>
      </c>
      <c r="K150" s="49">
        <f>IF(VLOOKUP(Table91213[[#This Row],[Date]],'DB Details'!$A:$Q,11)=0,"",VLOOKUP(Table91213[[#This Row],[Date]],'DB Details'!$A:$Q,11))</f>
        <v>47.5</v>
      </c>
      <c r="L150" s="47">
        <f>IF(VLOOKUP(Table91213[[#This Row],[Date]],'DB Details'!$A:$Q,12)=0,"",VLOOKUP(Table91213[[#This Row],[Date]],'DB Details'!$A:$Q,12))</f>
        <v>47.1</v>
      </c>
    </row>
    <row r="151" spans="1:12" x14ac:dyDescent="0.35">
      <c r="A151" s="50">
        <v>40026</v>
      </c>
      <c r="B151" s="47">
        <f>IF(VLOOKUP(Table91213[[#This Row],[Date]],'DB Details'!$A:$Q,2)=0,"",VLOOKUP(Table91213[[#This Row],[Date]],'DB Details'!$A:$Q,2))</f>
        <v>51.7</v>
      </c>
      <c r="C151" s="48">
        <f>IF(VLOOKUP(Table91213[[#This Row],[Date]],'DB Details'!$A:$Q,3)=0,"",VLOOKUP(Table91213[[#This Row],[Date]],'DB Details'!$A:$Q,3))</f>
        <v>49</v>
      </c>
      <c r="D151" s="48">
        <f>IF(VLOOKUP(Table91213[[#This Row],[Date]],'DB Details'!$A:$Q,4)=0,"",VLOOKUP(Table91213[[#This Row],[Date]],'DB Details'!$A:$Q,4))</f>
        <v>41</v>
      </c>
      <c r="E151" s="49">
        <f>IF(VLOOKUP(Table91213[[#This Row],[Date]],'DB Details'!$A:$Q,5)=0,"",VLOOKUP(Table91213[[#This Row],[Date]],'DB Details'!$A:$Q,5))</f>
        <v>60.8</v>
      </c>
      <c r="F151" s="48">
        <f>IF(VLOOKUP(Table91213[[#This Row],[Date]],'DB Details'!$A:$Q,6)=0,"",VLOOKUP(Table91213[[#This Row],[Date]],'DB Details'!$A:$Q,6))</f>
        <v>52.1</v>
      </c>
      <c r="G151" s="49">
        <f>IF(VLOOKUP(Table91213[[#This Row],[Date]],'DB Details'!$A:$Q,7)=0,"",VLOOKUP(Table91213[[#This Row],[Date]],'DB Details'!$A:$Q,7))</f>
        <v>67.5</v>
      </c>
      <c r="H151" s="49">
        <f>IF(VLOOKUP(Table91213[[#This Row],[Date]],'DB Details'!$A:$Q,8)=0,"",VLOOKUP(Table91213[[#This Row],[Date]],'DB Details'!$A:$Q,8))</f>
        <v>43</v>
      </c>
      <c r="I151" s="49">
        <f>IF(VLOOKUP(Table91213[[#This Row],[Date]],'DB Details'!$A:$Q,9)=0,"",VLOOKUP(Table91213[[#This Row],[Date]],'DB Details'!$A:$Q,9))</f>
        <v>49</v>
      </c>
      <c r="J151" s="49">
        <f>IF(VLOOKUP(Table91213[[#This Row],[Date]],'DB Details'!$A:$Q,10)=0,"",VLOOKUP(Table91213[[#This Row],[Date]],'DB Details'!$A:$Q,10))</f>
        <v>43.4</v>
      </c>
      <c r="K151" s="49">
        <f>IF(VLOOKUP(Table91213[[#This Row],[Date]],'DB Details'!$A:$Q,11)=0,"",VLOOKUP(Table91213[[#This Row],[Date]],'DB Details'!$A:$Q,11))</f>
        <v>54</v>
      </c>
      <c r="L151" s="47">
        <f>IF(VLOOKUP(Table91213[[#This Row],[Date]],'DB Details'!$A:$Q,12)=0,"",VLOOKUP(Table91213[[#This Row],[Date]],'DB Details'!$A:$Q,12))</f>
        <v>48.9</v>
      </c>
    </row>
    <row r="152" spans="1:12" x14ac:dyDescent="0.35">
      <c r="A152" s="50">
        <v>40057</v>
      </c>
      <c r="B152" s="47">
        <f>IF(VLOOKUP(Table91213[[#This Row],[Date]],'DB Details'!$A:$Q,2)=0,"",VLOOKUP(Table91213[[#This Row],[Date]],'DB Details'!$A:$Q,2))</f>
        <v>53.3</v>
      </c>
      <c r="C152" s="48">
        <f>IF(VLOOKUP(Table91213[[#This Row],[Date]],'DB Details'!$A:$Q,3)=0,"",VLOOKUP(Table91213[[#This Row],[Date]],'DB Details'!$A:$Q,3))</f>
        <v>51.5</v>
      </c>
      <c r="D152" s="48">
        <f>IF(VLOOKUP(Table91213[[#This Row],[Date]],'DB Details'!$A:$Q,4)=0,"",VLOOKUP(Table91213[[#This Row],[Date]],'DB Details'!$A:$Q,4))</f>
        <v>51.5</v>
      </c>
      <c r="E152" s="49">
        <f>IF(VLOOKUP(Table91213[[#This Row],[Date]],'DB Details'!$A:$Q,5)=0,"",VLOOKUP(Table91213[[#This Row],[Date]],'DB Details'!$A:$Q,5))</f>
        <v>49.6</v>
      </c>
      <c r="F152" s="48">
        <f>IF(VLOOKUP(Table91213[[#This Row],[Date]],'DB Details'!$A:$Q,6)=0,"",VLOOKUP(Table91213[[#This Row],[Date]],'DB Details'!$A:$Q,6))</f>
        <v>53.8</v>
      </c>
      <c r="G152" s="49">
        <f>IF(VLOOKUP(Table91213[[#This Row],[Date]],'DB Details'!$A:$Q,7)=0,"",VLOOKUP(Table91213[[#This Row],[Date]],'DB Details'!$A:$Q,7))</f>
        <v>62</v>
      </c>
      <c r="H152" s="49">
        <f>IF(VLOOKUP(Table91213[[#This Row],[Date]],'DB Details'!$A:$Q,8)=0,"",VLOOKUP(Table91213[[#This Row],[Date]],'DB Details'!$A:$Q,8))</f>
        <v>47.5</v>
      </c>
      <c r="I152" s="49">
        <f>IF(VLOOKUP(Table91213[[#This Row],[Date]],'DB Details'!$A:$Q,9)=0,"",VLOOKUP(Table91213[[#This Row],[Date]],'DB Details'!$A:$Q,9))</f>
        <v>50</v>
      </c>
      <c r="J152" s="49">
        <f>IF(VLOOKUP(Table91213[[#This Row],[Date]],'DB Details'!$A:$Q,10)=0,"",VLOOKUP(Table91213[[#This Row],[Date]],'DB Details'!$A:$Q,10))</f>
        <v>44.7</v>
      </c>
      <c r="K152" s="49">
        <f>IF(VLOOKUP(Table91213[[#This Row],[Date]],'DB Details'!$A:$Q,11)=0,"",VLOOKUP(Table91213[[#This Row],[Date]],'DB Details'!$A:$Q,11))</f>
        <v>48.5</v>
      </c>
      <c r="L152" s="47">
        <f>IF(VLOOKUP(Table91213[[#This Row],[Date]],'DB Details'!$A:$Q,12)=0,"",VLOOKUP(Table91213[[#This Row],[Date]],'DB Details'!$A:$Q,12))</f>
        <v>50.1</v>
      </c>
    </row>
    <row r="153" spans="1:12" x14ac:dyDescent="0.35">
      <c r="A153" s="50">
        <v>40087</v>
      </c>
      <c r="B153" s="47">
        <f>IF(VLOOKUP(Table91213[[#This Row],[Date]],'DB Details'!$A:$Q,2)=0,"",VLOOKUP(Table91213[[#This Row],[Date]],'DB Details'!$A:$Q,2))</f>
        <v>55.4</v>
      </c>
      <c r="C153" s="48">
        <f>IF(VLOOKUP(Table91213[[#This Row],[Date]],'DB Details'!$A:$Q,3)=0,"",VLOOKUP(Table91213[[#This Row],[Date]],'DB Details'!$A:$Q,3))</f>
        <v>46</v>
      </c>
      <c r="D153" s="48">
        <f>IF(VLOOKUP(Table91213[[#This Row],[Date]],'DB Details'!$A:$Q,4)=0,"",VLOOKUP(Table91213[[#This Row],[Date]],'DB Details'!$A:$Q,4))</f>
        <v>53.5</v>
      </c>
      <c r="E153" s="49">
        <f>IF(VLOOKUP(Table91213[[#This Row],[Date]],'DB Details'!$A:$Q,5)=0,"",VLOOKUP(Table91213[[#This Row],[Date]],'DB Details'!$A:$Q,5))</f>
        <v>53.5</v>
      </c>
      <c r="F153" s="48">
        <f>IF(VLOOKUP(Table91213[[#This Row],[Date]],'DB Details'!$A:$Q,6)=0,"",VLOOKUP(Table91213[[#This Row],[Date]],'DB Details'!$A:$Q,6))</f>
        <v>55</v>
      </c>
      <c r="G153" s="49">
        <f>IF(VLOOKUP(Table91213[[#This Row],[Date]],'DB Details'!$A:$Q,7)=0,"",VLOOKUP(Table91213[[#This Row],[Date]],'DB Details'!$A:$Q,7))</f>
        <v>63.5</v>
      </c>
      <c r="H153" s="49">
        <f>IF(VLOOKUP(Table91213[[#This Row],[Date]],'DB Details'!$A:$Q,8)=0,"",VLOOKUP(Table91213[[#This Row],[Date]],'DB Details'!$A:$Q,8))</f>
        <v>43</v>
      </c>
      <c r="I153" s="49">
        <f>IF(VLOOKUP(Table91213[[#This Row],[Date]],'DB Details'!$A:$Q,9)=0,"",VLOOKUP(Table91213[[#This Row],[Date]],'DB Details'!$A:$Q,9))</f>
        <v>50.5</v>
      </c>
      <c r="J153" s="49">
        <f>IF(VLOOKUP(Table91213[[#This Row],[Date]],'DB Details'!$A:$Q,10)=0,"",VLOOKUP(Table91213[[#This Row],[Date]],'DB Details'!$A:$Q,10))</f>
        <v>42.6</v>
      </c>
      <c r="K153" s="49">
        <f>IF(VLOOKUP(Table91213[[#This Row],[Date]],'DB Details'!$A:$Q,11)=0,"",VLOOKUP(Table91213[[#This Row],[Date]],'DB Details'!$A:$Q,11))</f>
        <v>53.5</v>
      </c>
      <c r="L153" s="47">
        <f>IF(VLOOKUP(Table91213[[#This Row],[Date]],'DB Details'!$A:$Q,12)=0,"",VLOOKUP(Table91213[[#This Row],[Date]],'DB Details'!$A:$Q,12))</f>
        <v>51</v>
      </c>
    </row>
    <row r="154" spans="1:12" x14ac:dyDescent="0.35">
      <c r="A154" s="50">
        <v>40118</v>
      </c>
      <c r="B154" s="47">
        <f>IF(VLOOKUP(Table91213[[#This Row],[Date]],'DB Details'!$A:$Q,2)=0,"",VLOOKUP(Table91213[[#This Row],[Date]],'DB Details'!$A:$Q,2))</f>
        <v>54.9</v>
      </c>
      <c r="C154" s="48">
        <f>IF(VLOOKUP(Table91213[[#This Row],[Date]],'DB Details'!$A:$Q,3)=0,"",VLOOKUP(Table91213[[#This Row],[Date]],'DB Details'!$A:$Q,3))</f>
        <v>46</v>
      </c>
      <c r="D154" s="48">
        <f>IF(VLOOKUP(Table91213[[#This Row],[Date]],'DB Details'!$A:$Q,4)=0,"",VLOOKUP(Table91213[[#This Row],[Date]],'DB Details'!$A:$Q,4))</f>
        <v>48.5</v>
      </c>
      <c r="E154" s="49">
        <f>IF(VLOOKUP(Table91213[[#This Row],[Date]],'DB Details'!$A:$Q,5)=0,"",VLOOKUP(Table91213[[#This Row],[Date]],'DB Details'!$A:$Q,5))</f>
        <v>58.9</v>
      </c>
      <c r="F154" s="48">
        <f>IF(VLOOKUP(Table91213[[#This Row],[Date]],'DB Details'!$A:$Q,6)=0,"",VLOOKUP(Table91213[[#This Row],[Date]],'DB Details'!$A:$Q,6))</f>
        <v>50.9</v>
      </c>
      <c r="G154" s="49">
        <f>IF(VLOOKUP(Table91213[[#This Row],[Date]],'DB Details'!$A:$Q,7)=0,"",VLOOKUP(Table91213[[#This Row],[Date]],'DB Details'!$A:$Q,7))</f>
        <v>61.5</v>
      </c>
      <c r="H154" s="49">
        <f>IF(VLOOKUP(Table91213[[#This Row],[Date]],'DB Details'!$A:$Q,8)=0,"",VLOOKUP(Table91213[[#This Row],[Date]],'DB Details'!$A:$Q,8))</f>
        <v>45.5</v>
      </c>
      <c r="I154" s="49">
        <f>IF(VLOOKUP(Table91213[[#This Row],[Date]],'DB Details'!$A:$Q,9)=0,"",VLOOKUP(Table91213[[#This Row],[Date]],'DB Details'!$A:$Q,9))</f>
        <v>48.5</v>
      </c>
      <c r="J154" s="49">
        <f>IF(VLOOKUP(Table91213[[#This Row],[Date]],'DB Details'!$A:$Q,10)=0,"",VLOOKUP(Table91213[[#This Row],[Date]],'DB Details'!$A:$Q,10))</f>
        <v>42.8</v>
      </c>
      <c r="K154" s="49">
        <f>IF(VLOOKUP(Table91213[[#This Row],[Date]],'DB Details'!$A:$Q,11)=0,"",VLOOKUP(Table91213[[#This Row],[Date]],'DB Details'!$A:$Q,11))</f>
        <v>54.5</v>
      </c>
      <c r="L154" s="47">
        <f>IF(VLOOKUP(Table91213[[#This Row],[Date]],'DB Details'!$A:$Q,12)=0,"",VLOOKUP(Table91213[[#This Row],[Date]],'DB Details'!$A:$Q,12))</f>
        <v>49.5</v>
      </c>
    </row>
    <row r="155" spans="1:12" x14ac:dyDescent="0.35">
      <c r="A155" s="50">
        <v>40148</v>
      </c>
      <c r="B155" s="47">
        <f>IF(VLOOKUP(Table91213[[#This Row],[Date]],'DB Details'!$A:$Q,2)=0,"",VLOOKUP(Table91213[[#This Row],[Date]],'DB Details'!$A:$Q,2))</f>
        <v>51.6</v>
      </c>
      <c r="C155" s="48">
        <f>IF(VLOOKUP(Table91213[[#This Row],[Date]],'DB Details'!$A:$Q,3)=0,"",VLOOKUP(Table91213[[#This Row],[Date]],'DB Details'!$A:$Q,3))</f>
        <v>52.5</v>
      </c>
      <c r="D155" s="48">
        <f>IF(VLOOKUP(Table91213[[#This Row],[Date]],'DB Details'!$A:$Q,4)=0,"",VLOOKUP(Table91213[[#This Row],[Date]],'DB Details'!$A:$Q,4))</f>
        <v>48</v>
      </c>
      <c r="E155" s="49">
        <f>IF(VLOOKUP(Table91213[[#This Row],[Date]],'DB Details'!$A:$Q,5)=0,"",VLOOKUP(Table91213[[#This Row],[Date]],'DB Details'!$A:$Q,5))</f>
        <v>58.9</v>
      </c>
      <c r="F155" s="48">
        <f>IF(VLOOKUP(Table91213[[#This Row],[Date]],'DB Details'!$A:$Q,6)=0,"",VLOOKUP(Table91213[[#This Row],[Date]],'DB Details'!$A:$Q,6))</f>
        <v>53</v>
      </c>
      <c r="G155" s="49">
        <f>IF(VLOOKUP(Table91213[[#This Row],[Date]],'DB Details'!$A:$Q,7)=0,"",VLOOKUP(Table91213[[#This Row],[Date]],'DB Details'!$A:$Q,7))</f>
        <v>61</v>
      </c>
      <c r="H155" s="49">
        <f>IF(VLOOKUP(Table91213[[#This Row],[Date]],'DB Details'!$A:$Q,8)=0,"",VLOOKUP(Table91213[[#This Row],[Date]],'DB Details'!$A:$Q,8))</f>
        <v>51.5</v>
      </c>
      <c r="I155" s="49">
        <f>IF(VLOOKUP(Table91213[[#This Row],[Date]],'DB Details'!$A:$Q,9)=0,"",VLOOKUP(Table91213[[#This Row],[Date]],'DB Details'!$A:$Q,9))</f>
        <v>50.5</v>
      </c>
      <c r="J155" s="49">
        <f>IF(VLOOKUP(Table91213[[#This Row],[Date]],'DB Details'!$A:$Q,10)=0,"",VLOOKUP(Table91213[[#This Row],[Date]],'DB Details'!$A:$Q,10))</f>
        <v>44.6</v>
      </c>
      <c r="K155" s="49">
        <f>IF(VLOOKUP(Table91213[[#This Row],[Date]],'DB Details'!$A:$Q,11)=0,"",VLOOKUP(Table91213[[#This Row],[Date]],'DB Details'!$A:$Q,11))</f>
        <v>46</v>
      </c>
      <c r="L155" s="47">
        <f>IF(VLOOKUP(Table91213[[#This Row],[Date]],'DB Details'!$A:$Q,12)=0,"",VLOOKUP(Table91213[[#This Row],[Date]],'DB Details'!$A:$Q,12))</f>
        <v>49.7</v>
      </c>
    </row>
    <row r="156" spans="1:12" x14ac:dyDescent="0.35">
      <c r="A156" s="50">
        <v>40179</v>
      </c>
      <c r="B156" s="47">
        <f>IF(VLOOKUP(Table91213[[#This Row],[Date]],'DB Details'!$A:$Q,2)=0,"",VLOOKUP(Table91213[[#This Row],[Date]],'DB Details'!$A:$Q,2))</f>
        <v>52.9</v>
      </c>
      <c r="C156" s="48">
        <f>IF(VLOOKUP(Table91213[[#This Row],[Date]],'DB Details'!$A:$Q,3)=0,"",VLOOKUP(Table91213[[#This Row],[Date]],'DB Details'!$A:$Q,3))</f>
        <v>47</v>
      </c>
      <c r="D156" s="48">
        <f>IF(VLOOKUP(Table91213[[#This Row],[Date]],'DB Details'!$A:$Q,4)=0,"",VLOOKUP(Table91213[[#This Row],[Date]],'DB Details'!$A:$Q,4))</f>
        <v>45.5</v>
      </c>
      <c r="E156" s="49">
        <f>IF(VLOOKUP(Table91213[[#This Row],[Date]],'DB Details'!$A:$Q,5)=0,"",VLOOKUP(Table91213[[#This Row],[Date]],'DB Details'!$A:$Q,5))</f>
        <v>59.4</v>
      </c>
      <c r="F156" s="48">
        <f>IF(VLOOKUP(Table91213[[#This Row],[Date]],'DB Details'!$A:$Q,6)=0,"",VLOOKUP(Table91213[[#This Row],[Date]],'DB Details'!$A:$Q,6))</f>
        <v>51.5</v>
      </c>
      <c r="G156" s="49">
        <f>IF(VLOOKUP(Table91213[[#This Row],[Date]],'DB Details'!$A:$Q,7)=0,"",VLOOKUP(Table91213[[#This Row],[Date]],'DB Details'!$A:$Q,7))</f>
        <v>64.5</v>
      </c>
      <c r="H156" s="49">
        <f>IF(VLOOKUP(Table91213[[#This Row],[Date]],'DB Details'!$A:$Q,8)=0,"",VLOOKUP(Table91213[[#This Row],[Date]],'DB Details'!$A:$Q,8))</f>
        <v>46.5</v>
      </c>
      <c r="I156" s="49">
        <f>IF(VLOOKUP(Table91213[[#This Row],[Date]],'DB Details'!$A:$Q,9)=0,"",VLOOKUP(Table91213[[#This Row],[Date]],'DB Details'!$A:$Q,9))</f>
        <v>50.5</v>
      </c>
      <c r="J156" s="49">
        <f>IF(VLOOKUP(Table91213[[#This Row],[Date]],'DB Details'!$A:$Q,10)=0,"",VLOOKUP(Table91213[[#This Row],[Date]],'DB Details'!$A:$Q,10))</f>
        <v>44.8</v>
      </c>
      <c r="K156" s="49">
        <f>IF(VLOOKUP(Table91213[[#This Row],[Date]],'DB Details'!$A:$Q,11)=0,"",VLOOKUP(Table91213[[#This Row],[Date]],'DB Details'!$A:$Q,11))</f>
        <v>46</v>
      </c>
      <c r="L156" s="47">
        <f>IF(VLOOKUP(Table91213[[#This Row],[Date]],'DB Details'!$A:$Q,12)=0,"",VLOOKUP(Table91213[[#This Row],[Date]],'DB Details'!$A:$Q,12))</f>
        <v>50</v>
      </c>
    </row>
    <row r="157" spans="1:12" x14ac:dyDescent="0.35">
      <c r="A157" s="50">
        <v>40210</v>
      </c>
      <c r="B157" s="47">
        <f>IF(VLOOKUP(Table91213[[#This Row],[Date]],'DB Details'!$A:$Q,2)=0,"",VLOOKUP(Table91213[[#This Row],[Date]],'DB Details'!$A:$Q,2))</f>
        <v>53.4</v>
      </c>
      <c r="C157" s="48">
        <f>IF(VLOOKUP(Table91213[[#This Row],[Date]],'DB Details'!$A:$Q,3)=0,"",VLOOKUP(Table91213[[#This Row],[Date]],'DB Details'!$A:$Q,3))</f>
        <v>48.5</v>
      </c>
      <c r="D157" s="48">
        <f>IF(VLOOKUP(Table91213[[#This Row],[Date]],'DB Details'!$A:$Q,4)=0,"",VLOOKUP(Table91213[[#This Row],[Date]],'DB Details'!$A:$Q,4))</f>
        <v>46</v>
      </c>
      <c r="E157" s="49">
        <f>IF(VLOOKUP(Table91213[[#This Row],[Date]],'DB Details'!$A:$Q,5)=0,"",VLOOKUP(Table91213[[#This Row],[Date]],'DB Details'!$A:$Q,5))</f>
        <v>58.7</v>
      </c>
      <c r="F157" s="48">
        <f>IF(VLOOKUP(Table91213[[#This Row],[Date]],'DB Details'!$A:$Q,6)=0,"",VLOOKUP(Table91213[[#This Row],[Date]],'DB Details'!$A:$Q,6))</f>
        <v>53</v>
      </c>
      <c r="G157" s="49">
        <f>IF(VLOOKUP(Table91213[[#This Row],[Date]],'DB Details'!$A:$Q,7)=0,"",VLOOKUP(Table91213[[#This Row],[Date]],'DB Details'!$A:$Q,7))</f>
        <v>60</v>
      </c>
      <c r="H157" s="49">
        <f>IF(VLOOKUP(Table91213[[#This Row],[Date]],'DB Details'!$A:$Q,8)=0,"",VLOOKUP(Table91213[[#This Row],[Date]],'DB Details'!$A:$Q,8))</f>
        <v>45</v>
      </c>
      <c r="I157" s="49">
        <f>IF(VLOOKUP(Table91213[[#This Row],[Date]],'DB Details'!$A:$Q,9)=0,"",VLOOKUP(Table91213[[#This Row],[Date]],'DB Details'!$A:$Q,9))</f>
        <v>53.5</v>
      </c>
      <c r="J157" s="49">
        <f>IF(VLOOKUP(Table91213[[#This Row],[Date]],'DB Details'!$A:$Q,10)=0,"",VLOOKUP(Table91213[[#This Row],[Date]],'DB Details'!$A:$Q,10))</f>
        <v>46</v>
      </c>
      <c r="K157" s="49">
        <f>IF(VLOOKUP(Table91213[[#This Row],[Date]],'DB Details'!$A:$Q,11)=0,"",VLOOKUP(Table91213[[#This Row],[Date]],'DB Details'!$A:$Q,11))</f>
        <v>47</v>
      </c>
      <c r="L157" s="47">
        <f>IF(VLOOKUP(Table91213[[#This Row],[Date]],'DB Details'!$A:$Q,12)=0,"",VLOOKUP(Table91213[[#This Row],[Date]],'DB Details'!$A:$Q,12))</f>
        <v>51.7</v>
      </c>
    </row>
    <row r="158" spans="1:12" x14ac:dyDescent="0.35">
      <c r="A158" s="50">
        <v>40238</v>
      </c>
      <c r="B158" s="47">
        <f>IF(VLOOKUP(Table91213[[#This Row],[Date]],'DB Details'!$A:$Q,2)=0,"",VLOOKUP(Table91213[[#This Row],[Date]],'DB Details'!$A:$Q,2))</f>
        <v>58.1</v>
      </c>
      <c r="C158" s="48">
        <f>IF(VLOOKUP(Table91213[[#This Row],[Date]],'DB Details'!$A:$Q,3)=0,"",VLOOKUP(Table91213[[#This Row],[Date]],'DB Details'!$A:$Q,3))</f>
        <v>51</v>
      </c>
      <c r="D158" s="48">
        <f>IF(VLOOKUP(Table91213[[#This Row],[Date]],'DB Details'!$A:$Q,4)=0,"",VLOOKUP(Table91213[[#This Row],[Date]],'DB Details'!$A:$Q,4))</f>
        <v>55.5</v>
      </c>
      <c r="E158" s="49">
        <f>IF(VLOOKUP(Table91213[[#This Row],[Date]],'DB Details'!$A:$Q,5)=0,"",VLOOKUP(Table91213[[#This Row],[Date]],'DB Details'!$A:$Q,5))</f>
        <v>60.9</v>
      </c>
      <c r="F158" s="48">
        <f>IF(VLOOKUP(Table91213[[#This Row],[Date]],'DB Details'!$A:$Q,6)=0,"",VLOOKUP(Table91213[[#This Row],[Date]],'DB Details'!$A:$Q,6))</f>
        <v>57.7</v>
      </c>
      <c r="G158" s="49">
        <f>IF(VLOOKUP(Table91213[[#This Row],[Date]],'DB Details'!$A:$Q,7)=0,"",VLOOKUP(Table91213[[#This Row],[Date]],'DB Details'!$A:$Q,7))</f>
        <v>52.5</v>
      </c>
      <c r="H158" s="49">
        <f>IF(VLOOKUP(Table91213[[#This Row],[Date]],'DB Details'!$A:$Q,8)=0,"",VLOOKUP(Table91213[[#This Row],[Date]],'DB Details'!$A:$Q,8))</f>
        <v>46.5</v>
      </c>
      <c r="I158" s="49">
        <f>IF(VLOOKUP(Table91213[[#This Row],[Date]],'DB Details'!$A:$Q,9)=0,"",VLOOKUP(Table91213[[#This Row],[Date]],'DB Details'!$A:$Q,9))</f>
        <v>49.5</v>
      </c>
      <c r="J158" s="49">
        <f>IF(VLOOKUP(Table91213[[#This Row],[Date]],'DB Details'!$A:$Q,10)=0,"",VLOOKUP(Table91213[[#This Row],[Date]],'DB Details'!$A:$Q,10))</f>
        <v>47.4</v>
      </c>
      <c r="K158" s="49">
        <f>IF(VLOOKUP(Table91213[[#This Row],[Date]],'DB Details'!$A:$Q,11)=0,"",VLOOKUP(Table91213[[#This Row],[Date]],'DB Details'!$A:$Q,11))</f>
        <v>57.5</v>
      </c>
      <c r="L158" s="47">
        <f>IF(VLOOKUP(Table91213[[#This Row],[Date]],'DB Details'!$A:$Q,12)=0,"",VLOOKUP(Table91213[[#This Row],[Date]],'DB Details'!$A:$Q,12))</f>
        <v>53.3</v>
      </c>
    </row>
    <row r="159" spans="1:12" x14ac:dyDescent="0.35">
      <c r="A159" s="50">
        <v>40269</v>
      </c>
      <c r="B159" s="47">
        <f>IF(VLOOKUP(Table91213[[#This Row],[Date]],'DB Details'!$A:$Q,2)=0,"",VLOOKUP(Table91213[[#This Row],[Date]],'DB Details'!$A:$Q,2))</f>
        <v>58.1</v>
      </c>
      <c r="C159" s="48">
        <f>IF(VLOOKUP(Table91213[[#This Row],[Date]],'DB Details'!$A:$Q,3)=0,"",VLOOKUP(Table91213[[#This Row],[Date]],'DB Details'!$A:$Q,3))</f>
        <v>56.5</v>
      </c>
      <c r="D159" s="48">
        <f>IF(VLOOKUP(Table91213[[#This Row],[Date]],'DB Details'!$A:$Q,4)=0,"",VLOOKUP(Table91213[[#This Row],[Date]],'DB Details'!$A:$Q,4))</f>
        <v>49.5</v>
      </c>
      <c r="E159" s="49">
        <f>IF(VLOOKUP(Table91213[[#This Row],[Date]],'DB Details'!$A:$Q,5)=0,"",VLOOKUP(Table91213[[#This Row],[Date]],'DB Details'!$A:$Q,5))</f>
        <v>63.8</v>
      </c>
      <c r="F159" s="48">
        <f>IF(VLOOKUP(Table91213[[#This Row],[Date]],'DB Details'!$A:$Q,6)=0,"",VLOOKUP(Table91213[[#This Row],[Date]],'DB Details'!$A:$Q,6))</f>
        <v>59.8</v>
      </c>
      <c r="G159" s="49">
        <f>IF(VLOOKUP(Table91213[[#This Row],[Date]],'DB Details'!$A:$Q,7)=0,"",VLOOKUP(Table91213[[#This Row],[Date]],'DB Details'!$A:$Q,7))</f>
        <v>53.5</v>
      </c>
      <c r="H159" s="49">
        <f>IF(VLOOKUP(Table91213[[#This Row],[Date]],'DB Details'!$A:$Q,8)=0,"",VLOOKUP(Table91213[[#This Row],[Date]],'DB Details'!$A:$Q,8))</f>
        <v>54.5</v>
      </c>
      <c r="I159" s="49">
        <f>IF(VLOOKUP(Table91213[[#This Row],[Date]],'DB Details'!$A:$Q,9)=0,"",VLOOKUP(Table91213[[#This Row],[Date]],'DB Details'!$A:$Q,9))</f>
        <v>53.5</v>
      </c>
      <c r="J159" s="49">
        <f>IF(VLOOKUP(Table91213[[#This Row],[Date]],'DB Details'!$A:$Q,10)=0,"",VLOOKUP(Table91213[[#This Row],[Date]],'DB Details'!$A:$Q,10))</f>
        <v>49.3</v>
      </c>
      <c r="K159" s="49">
        <f>IF(VLOOKUP(Table91213[[#This Row],[Date]],'DB Details'!$A:$Q,11)=0,"",VLOOKUP(Table91213[[#This Row],[Date]],'DB Details'!$A:$Q,11))</f>
        <v>57</v>
      </c>
      <c r="L159" s="47">
        <f>IF(VLOOKUP(Table91213[[#This Row],[Date]],'DB Details'!$A:$Q,12)=0,"",VLOOKUP(Table91213[[#This Row],[Date]],'DB Details'!$A:$Q,12))</f>
        <v>55.3</v>
      </c>
    </row>
    <row r="160" spans="1:12" x14ac:dyDescent="0.35">
      <c r="A160" s="50">
        <v>40299</v>
      </c>
      <c r="B160" s="47">
        <f>IF(VLOOKUP(Table91213[[#This Row],[Date]],'DB Details'!$A:$Q,2)=0,"",VLOOKUP(Table91213[[#This Row],[Date]],'DB Details'!$A:$Q,2))</f>
        <v>57.9</v>
      </c>
      <c r="C160" s="48">
        <f>IF(VLOOKUP(Table91213[[#This Row],[Date]],'DB Details'!$A:$Q,3)=0,"",VLOOKUP(Table91213[[#This Row],[Date]],'DB Details'!$A:$Q,3))</f>
        <v>56.5</v>
      </c>
      <c r="D160" s="48">
        <f>IF(VLOOKUP(Table91213[[#This Row],[Date]],'DB Details'!$A:$Q,4)=0,"",VLOOKUP(Table91213[[#This Row],[Date]],'DB Details'!$A:$Q,4))</f>
        <v>56</v>
      </c>
      <c r="E160" s="49">
        <f>IF(VLOOKUP(Table91213[[#This Row],[Date]],'DB Details'!$A:$Q,5)=0,"",VLOOKUP(Table91213[[#This Row],[Date]],'DB Details'!$A:$Q,5))</f>
        <v>60.8</v>
      </c>
      <c r="F160" s="48">
        <f>IF(VLOOKUP(Table91213[[#This Row],[Date]],'DB Details'!$A:$Q,6)=0,"",VLOOKUP(Table91213[[#This Row],[Date]],'DB Details'!$A:$Q,6))</f>
        <v>61.3</v>
      </c>
      <c r="G160" s="49">
        <f>IF(VLOOKUP(Table91213[[#This Row],[Date]],'DB Details'!$A:$Q,7)=0,"",VLOOKUP(Table91213[[#This Row],[Date]],'DB Details'!$A:$Q,7))</f>
        <v>60.5</v>
      </c>
      <c r="H160" s="49">
        <f>IF(VLOOKUP(Table91213[[#This Row],[Date]],'DB Details'!$A:$Q,8)=0,"",VLOOKUP(Table91213[[#This Row],[Date]],'DB Details'!$A:$Q,8))</f>
        <v>62.5</v>
      </c>
      <c r="I160" s="49">
        <f>IF(VLOOKUP(Table91213[[#This Row],[Date]],'DB Details'!$A:$Q,9)=0,"",VLOOKUP(Table91213[[#This Row],[Date]],'DB Details'!$A:$Q,9))</f>
        <v>53</v>
      </c>
      <c r="J160" s="49">
        <f>IF(VLOOKUP(Table91213[[#This Row],[Date]],'DB Details'!$A:$Q,10)=0,"",VLOOKUP(Table91213[[#This Row],[Date]],'DB Details'!$A:$Q,10))</f>
        <v>49.6</v>
      </c>
      <c r="K160" s="49">
        <f>IF(VLOOKUP(Table91213[[#This Row],[Date]],'DB Details'!$A:$Q,11)=0,"",VLOOKUP(Table91213[[#This Row],[Date]],'DB Details'!$A:$Q,11))</f>
        <v>53.5</v>
      </c>
      <c r="L160" s="47">
        <f>IF(VLOOKUP(Table91213[[#This Row],[Date]],'DB Details'!$A:$Q,12)=0,"",VLOOKUP(Table91213[[#This Row],[Date]],'DB Details'!$A:$Q,12))</f>
        <v>55.5</v>
      </c>
    </row>
    <row r="161" spans="1:12" x14ac:dyDescent="0.35">
      <c r="A161" s="50">
        <v>40330</v>
      </c>
      <c r="B161" s="47">
        <f>IF(VLOOKUP(Table91213[[#This Row],[Date]],'DB Details'!$A:$Q,2)=0,"",VLOOKUP(Table91213[[#This Row],[Date]],'DB Details'!$A:$Q,2))</f>
        <v>56.6</v>
      </c>
      <c r="C161" s="48">
        <f>IF(VLOOKUP(Table91213[[#This Row],[Date]],'DB Details'!$A:$Q,3)=0,"",VLOOKUP(Table91213[[#This Row],[Date]],'DB Details'!$A:$Q,3))</f>
        <v>48</v>
      </c>
      <c r="D161" s="48">
        <f>IF(VLOOKUP(Table91213[[#This Row],[Date]],'DB Details'!$A:$Q,4)=0,"",VLOOKUP(Table91213[[#This Row],[Date]],'DB Details'!$A:$Q,4))</f>
        <v>55.5</v>
      </c>
      <c r="E161" s="49">
        <f>IF(VLOOKUP(Table91213[[#This Row],[Date]],'DB Details'!$A:$Q,5)=0,"",VLOOKUP(Table91213[[#This Row],[Date]],'DB Details'!$A:$Q,5))</f>
        <v>56.7</v>
      </c>
      <c r="F161" s="48">
        <f>IF(VLOOKUP(Table91213[[#This Row],[Date]],'DB Details'!$A:$Q,6)=0,"",VLOOKUP(Table91213[[#This Row],[Date]],'DB Details'!$A:$Q,6))</f>
        <v>59.4</v>
      </c>
      <c r="G161" s="49">
        <f>IF(VLOOKUP(Table91213[[#This Row],[Date]],'DB Details'!$A:$Q,7)=0,"",VLOOKUP(Table91213[[#This Row],[Date]],'DB Details'!$A:$Q,7))</f>
        <v>59</v>
      </c>
      <c r="H161" s="49">
        <f>IF(VLOOKUP(Table91213[[#This Row],[Date]],'DB Details'!$A:$Q,8)=0,"",VLOOKUP(Table91213[[#This Row],[Date]],'DB Details'!$A:$Q,8))</f>
        <v>58.5</v>
      </c>
      <c r="I161" s="49">
        <f>IF(VLOOKUP(Table91213[[#This Row],[Date]],'DB Details'!$A:$Q,9)=0,"",VLOOKUP(Table91213[[#This Row],[Date]],'DB Details'!$A:$Q,9))</f>
        <v>53</v>
      </c>
      <c r="J161" s="49">
        <f>IF(VLOOKUP(Table91213[[#This Row],[Date]],'DB Details'!$A:$Q,10)=0,"",VLOOKUP(Table91213[[#This Row],[Date]],'DB Details'!$A:$Q,10))</f>
        <v>48.5</v>
      </c>
      <c r="K161" s="49">
        <f>IF(VLOOKUP(Table91213[[#This Row],[Date]],'DB Details'!$A:$Q,11)=0,"",VLOOKUP(Table91213[[#This Row],[Date]],'DB Details'!$A:$Q,11))</f>
        <v>48</v>
      </c>
      <c r="L161" s="47">
        <f>IF(VLOOKUP(Table91213[[#This Row],[Date]],'DB Details'!$A:$Q,12)=0,"",VLOOKUP(Table91213[[#This Row],[Date]],'DB Details'!$A:$Q,12))</f>
        <v>54.4</v>
      </c>
    </row>
    <row r="162" spans="1:12" x14ac:dyDescent="0.35">
      <c r="A162" s="50">
        <v>40360</v>
      </c>
      <c r="B162" s="47">
        <f>IF(VLOOKUP(Table91213[[#This Row],[Date]],'DB Details'!$A:$Q,2)=0,"",VLOOKUP(Table91213[[#This Row],[Date]],'DB Details'!$A:$Q,2))</f>
        <v>58.2</v>
      </c>
      <c r="C162" s="48">
        <f>IF(VLOOKUP(Table91213[[#This Row],[Date]],'DB Details'!$A:$Q,3)=0,"",VLOOKUP(Table91213[[#This Row],[Date]],'DB Details'!$A:$Q,3))</f>
        <v>48</v>
      </c>
      <c r="D162" s="48">
        <f>IF(VLOOKUP(Table91213[[#This Row],[Date]],'DB Details'!$A:$Q,4)=0,"",VLOOKUP(Table91213[[#This Row],[Date]],'DB Details'!$A:$Q,4))</f>
        <v>52</v>
      </c>
      <c r="E162" s="49">
        <f>IF(VLOOKUP(Table91213[[#This Row],[Date]],'DB Details'!$A:$Q,5)=0,"",VLOOKUP(Table91213[[#This Row],[Date]],'DB Details'!$A:$Q,5))</f>
        <v>56.1</v>
      </c>
      <c r="F162" s="48">
        <f>IF(VLOOKUP(Table91213[[#This Row],[Date]],'DB Details'!$A:$Q,6)=0,"",VLOOKUP(Table91213[[#This Row],[Date]],'DB Details'!$A:$Q,6))</f>
        <v>57.4</v>
      </c>
      <c r="G162" s="49">
        <f>IF(VLOOKUP(Table91213[[#This Row],[Date]],'DB Details'!$A:$Q,7)=0,"",VLOOKUP(Table91213[[#This Row],[Date]],'DB Details'!$A:$Q,7))</f>
        <v>59</v>
      </c>
      <c r="H162" s="49">
        <f>IF(VLOOKUP(Table91213[[#This Row],[Date]],'DB Details'!$A:$Q,8)=0,"",VLOOKUP(Table91213[[#This Row],[Date]],'DB Details'!$A:$Q,8))</f>
        <v>55.5</v>
      </c>
      <c r="I162" s="49">
        <f>IF(VLOOKUP(Table91213[[#This Row],[Date]],'DB Details'!$A:$Q,9)=0,"",VLOOKUP(Table91213[[#This Row],[Date]],'DB Details'!$A:$Q,9))</f>
        <v>52</v>
      </c>
      <c r="J162" s="49">
        <f>IF(VLOOKUP(Table91213[[#This Row],[Date]],'DB Details'!$A:$Q,10)=0,"",VLOOKUP(Table91213[[#This Row],[Date]],'DB Details'!$A:$Q,10))</f>
        <v>50.7</v>
      </c>
      <c r="K162" s="49">
        <f>IF(VLOOKUP(Table91213[[#This Row],[Date]],'DB Details'!$A:$Q,11)=0,"",VLOOKUP(Table91213[[#This Row],[Date]],'DB Details'!$A:$Q,11))</f>
        <v>52</v>
      </c>
      <c r="L162" s="47">
        <f>IF(VLOOKUP(Table91213[[#This Row],[Date]],'DB Details'!$A:$Q,12)=0,"",VLOOKUP(Table91213[[#This Row],[Date]],'DB Details'!$A:$Q,12))</f>
        <v>54.6</v>
      </c>
    </row>
    <row r="163" spans="1:12" x14ac:dyDescent="0.35">
      <c r="A163" s="50">
        <v>40391</v>
      </c>
      <c r="B163" s="47">
        <f>IF(VLOOKUP(Table91213[[#This Row],[Date]],'DB Details'!$A:$Q,2)=0,"",VLOOKUP(Table91213[[#This Row],[Date]],'DB Details'!$A:$Q,2))</f>
        <v>54.4</v>
      </c>
      <c r="C163" s="48">
        <f>IF(VLOOKUP(Table91213[[#This Row],[Date]],'DB Details'!$A:$Q,3)=0,"",VLOOKUP(Table91213[[#This Row],[Date]],'DB Details'!$A:$Q,3))</f>
        <v>50.5</v>
      </c>
      <c r="D163" s="48">
        <f>IF(VLOOKUP(Table91213[[#This Row],[Date]],'DB Details'!$A:$Q,4)=0,"",VLOOKUP(Table91213[[#This Row],[Date]],'DB Details'!$A:$Q,4))</f>
        <v>50.5</v>
      </c>
      <c r="E163" s="49">
        <f>IF(VLOOKUP(Table91213[[#This Row],[Date]],'DB Details'!$A:$Q,5)=0,"",VLOOKUP(Table91213[[#This Row],[Date]],'DB Details'!$A:$Q,5))</f>
        <v>59.2</v>
      </c>
      <c r="F163" s="48">
        <f>IF(VLOOKUP(Table91213[[#This Row],[Date]],'DB Details'!$A:$Q,6)=0,"",VLOOKUP(Table91213[[#This Row],[Date]],'DB Details'!$A:$Q,6))</f>
        <v>55.8</v>
      </c>
      <c r="G163" s="49">
        <f>IF(VLOOKUP(Table91213[[#This Row],[Date]],'DB Details'!$A:$Q,7)=0,"",VLOOKUP(Table91213[[#This Row],[Date]],'DB Details'!$A:$Q,7))</f>
        <v>60</v>
      </c>
      <c r="H163" s="49">
        <f>IF(VLOOKUP(Table91213[[#This Row],[Date]],'DB Details'!$A:$Q,8)=0,"",VLOOKUP(Table91213[[#This Row],[Date]],'DB Details'!$A:$Q,8))</f>
        <v>53.5</v>
      </c>
      <c r="I163" s="49">
        <f>IF(VLOOKUP(Table91213[[#This Row],[Date]],'DB Details'!$A:$Q,9)=0,"",VLOOKUP(Table91213[[#This Row],[Date]],'DB Details'!$A:$Q,9))</f>
        <v>51</v>
      </c>
      <c r="J163" s="49">
        <f>IF(VLOOKUP(Table91213[[#This Row],[Date]],'DB Details'!$A:$Q,10)=0,"",VLOOKUP(Table91213[[#This Row],[Date]],'DB Details'!$A:$Q,10))</f>
        <v>48.9</v>
      </c>
      <c r="K163" s="49">
        <f>IF(VLOOKUP(Table91213[[#This Row],[Date]],'DB Details'!$A:$Q,11)=0,"",VLOOKUP(Table91213[[#This Row],[Date]],'DB Details'!$A:$Q,11))</f>
        <v>46.5</v>
      </c>
      <c r="L163" s="47">
        <f>IF(VLOOKUP(Table91213[[#This Row],[Date]],'DB Details'!$A:$Q,12)=0,"",VLOOKUP(Table91213[[#This Row],[Date]],'DB Details'!$A:$Q,12))</f>
        <v>52.4</v>
      </c>
    </row>
    <row r="164" spans="1:12" x14ac:dyDescent="0.35">
      <c r="A164" s="50">
        <v>40422</v>
      </c>
      <c r="B164" s="47">
        <f>IF(VLOOKUP(Table91213[[#This Row],[Date]],'DB Details'!$A:$Q,2)=0,"",VLOOKUP(Table91213[[#This Row],[Date]],'DB Details'!$A:$Q,2))</f>
        <v>54.3</v>
      </c>
      <c r="C164" s="48">
        <f>IF(VLOOKUP(Table91213[[#This Row],[Date]],'DB Details'!$A:$Q,3)=0,"",VLOOKUP(Table91213[[#This Row],[Date]],'DB Details'!$A:$Q,3))</f>
        <v>53</v>
      </c>
      <c r="D164" s="48">
        <f>IF(VLOOKUP(Table91213[[#This Row],[Date]],'DB Details'!$A:$Q,4)=0,"",VLOOKUP(Table91213[[#This Row],[Date]],'DB Details'!$A:$Q,4))</f>
        <v>48</v>
      </c>
      <c r="E164" s="49">
        <f>IF(VLOOKUP(Table91213[[#This Row],[Date]],'DB Details'!$A:$Q,5)=0,"",VLOOKUP(Table91213[[#This Row],[Date]],'DB Details'!$A:$Q,5))</f>
        <v>59.5</v>
      </c>
      <c r="F164" s="48">
        <f>IF(VLOOKUP(Table91213[[#This Row],[Date]],'DB Details'!$A:$Q,6)=0,"",VLOOKUP(Table91213[[#This Row],[Date]],'DB Details'!$A:$Q,6))</f>
        <v>53.3</v>
      </c>
      <c r="G164" s="49">
        <f>IF(VLOOKUP(Table91213[[#This Row],[Date]],'DB Details'!$A:$Q,7)=0,"",VLOOKUP(Table91213[[#This Row],[Date]],'DB Details'!$A:$Q,7))</f>
        <v>59.5</v>
      </c>
      <c r="H164" s="49">
        <f>IF(VLOOKUP(Table91213[[#This Row],[Date]],'DB Details'!$A:$Q,8)=0,"",VLOOKUP(Table91213[[#This Row],[Date]],'DB Details'!$A:$Q,8))</f>
        <v>47</v>
      </c>
      <c r="I164" s="49">
        <f>IF(VLOOKUP(Table91213[[#This Row],[Date]],'DB Details'!$A:$Q,9)=0,"",VLOOKUP(Table91213[[#This Row],[Date]],'DB Details'!$A:$Q,9))</f>
        <v>55</v>
      </c>
      <c r="J164" s="49">
        <f>IF(VLOOKUP(Table91213[[#This Row],[Date]],'DB Details'!$A:$Q,10)=0,"",VLOOKUP(Table91213[[#This Row],[Date]],'DB Details'!$A:$Q,10))</f>
        <v>51.5</v>
      </c>
      <c r="K164" s="49">
        <f>IF(VLOOKUP(Table91213[[#This Row],[Date]],'DB Details'!$A:$Q,11)=0,"",VLOOKUP(Table91213[[#This Row],[Date]],'DB Details'!$A:$Q,11))</f>
        <v>58</v>
      </c>
      <c r="L164" s="47">
        <f>IF(VLOOKUP(Table91213[[#This Row],[Date]],'DB Details'!$A:$Q,12)=0,"",VLOOKUP(Table91213[[#This Row],[Date]],'DB Details'!$A:$Q,12))</f>
        <v>53.3</v>
      </c>
    </row>
    <row r="165" spans="1:12" x14ac:dyDescent="0.35">
      <c r="A165" s="50">
        <v>40452</v>
      </c>
      <c r="B165" s="47">
        <f>IF(VLOOKUP(Table91213[[#This Row],[Date]],'DB Details'!$A:$Q,2)=0,"",VLOOKUP(Table91213[[#This Row],[Date]],'DB Details'!$A:$Q,2))</f>
        <v>58.3</v>
      </c>
      <c r="C165" s="48">
        <f>IF(VLOOKUP(Table91213[[#This Row],[Date]],'DB Details'!$A:$Q,3)=0,"",VLOOKUP(Table91213[[#This Row],[Date]],'DB Details'!$A:$Q,3))</f>
        <v>54</v>
      </c>
      <c r="D165" s="48">
        <f>IF(VLOOKUP(Table91213[[#This Row],[Date]],'DB Details'!$A:$Q,4)=0,"",VLOOKUP(Table91213[[#This Row],[Date]],'DB Details'!$A:$Q,4))</f>
        <v>52</v>
      </c>
      <c r="E165" s="49">
        <f>IF(VLOOKUP(Table91213[[#This Row],[Date]],'DB Details'!$A:$Q,5)=0,"",VLOOKUP(Table91213[[#This Row],[Date]],'DB Details'!$A:$Q,5))</f>
        <v>68.2</v>
      </c>
      <c r="F165" s="48">
        <f>IF(VLOOKUP(Table91213[[#This Row],[Date]],'DB Details'!$A:$Q,6)=0,"",VLOOKUP(Table91213[[#This Row],[Date]],'DB Details'!$A:$Q,6))</f>
        <v>59.7</v>
      </c>
      <c r="G165" s="49">
        <f>IF(VLOOKUP(Table91213[[#This Row],[Date]],'DB Details'!$A:$Q,7)=0,"",VLOOKUP(Table91213[[#This Row],[Date]],'DB Details'!$A:$Q,7))</f>
        <v>61.5</v>
      </c>
      <c r="H165" s="49">
        <f>IF(VLOOKUP(Table91213[[#This Row],[Date]],'DB Details'!$A:$Q,8)=0,"",VLOOKUP(Table91213[[#This Row],[Date]],'DB Details'!$A:$Q,8))</f>
        <v>47.5</v>
      </c>
      <c r="I165" s="49">
        <f>IF(VLOOKUP(Table91213[[#This Row],[Date]],'DB Details'!$A:$Q,9)=0,"",VLOOKUP(Table91213[[#This Row],[Date]],'DB Details'!$A:$Q,9))</f>
        <v>51</v>
      </c>
      <c r="J165" s="49">
        <f>IF(VLOOKUP(Table91213[[#This Row],[Date]],'DB Details'!$A:$Q,10)=0,"",VLOOKUP(Table91213[[#This Row],[Date]],'DB Details'!$A:$Q,10))</f>
        <v>52.1</v>
      </c>
      <c r="K165" s="49">
        <f>IF(VLOOKUP(Table91213[[#This Row],[Date]],'DB Details'!$A:$Q,11)=0,"",VLOOKUP(Table91213[[#This Row],[Date]],'DB Details'!$A:$Q,11))</f>
        <v>55.5</v>
      </c>
      <c r="L165" s="47">
        <f>IF(VLOOKUP(Table91213[[#This Row],[Date]],'DB Details'!$A:$Q,12)=0,"",VLOOKUP(Table91213[[#This Row],[Date]],'DB Details'!$A:$Q,12))</f>
        <v>55.3</v>
      </c>
    </row>
    <row r="166" spans="1:12" x14ac:dyDescent="0.35">
      <c r="A166" s="50">
        <v>40483</v>
      </c>
      <c r="B166" s="47">
        <f>IF(VLOOKUP(Table91213[[#This Row],[Date]],'DB Details'!$A:$Q,2)=0,"",VLOOKUP(Table91213[[#This Row],[Date]],'DB Details'!$A:$Q,2))</f>
        <v>58.4</v>
      </c>
      <c r="C166" s="48">
        <f>IF(VLOOKUP(Table91213[[#This Row],[Date]],'DB Details'!$A:$Q,3)=0,"",VLOOKUP(Table91213[[#This Row],[Date]],'DB Details'!$A:$Q,3))</f>
        <v>54.5</v>
      </c>
      <c r="D166" s="48">
        <f>IF(VLOOKUP(Table91213[[#This Row],[Date]],'DB Details'!$A:$Q,4)=0,"",VLOOKUP(Table91213[[#This Row],[Date]],'DB Details'!$A:$Q,4))</f>
        <v>51.5</v>
      </c>
      <c r="E166" s="49">
        <f>IF(VLOOKUP(Table91213[[#This Row],[Date]],'DB Details'!$A:$Q,5)=0,"",VLOOKUP(Table91213[[#This Row],[Date]],'DB Details'!$A:$Q,5))</f>
        <v>65.599999999999994</v>
      </c>
      <c r="F166" s="48">
        <f>IF(VLOOKUP(Table91213[[#This Row],[Date]],'DB Details'!$A:$Q,6)=0,"",VLOOKUP(Table91213[[#This Row],[Date]],'DB Details'!$A:$Q,6))</f>
        <v>59.1</v>
      </c>
      <c r="G166" s="49">
        <f>IF(VLOOKUP(Table91213[[#This Row],[Date]],'DB Details'!$A:$Q,7)=0,"",VLOOKUP(Table91213[[#This Row],[Date]],'DB Details'!$A:$Q,7))</f>
        <v>60</v>
      </c>
      <c r="H166" s="49">
        <f>IF(VLOOKUP(Table91213[[#This Row],[Date]],'DB Details'!$A:$Q,8)=0,"",VLOOKUP(Table91213[[#This Row],[Date]],'DB Details'!$A:$Q,8))</f>
        <v>51.5</v>
      </c>
      <c r="I166" s="49">
        <f>IF(VLOOKUP(Table91213[[#This Row],[Date]],'DB Details'!$A:$Q,9)=0,"",VLOOKUP(Table91213[[#This Row],[Date]],'DB Details'!$A:$Q,9))</f>
        <v>52.5</v>
      </c>
      <c r="J166" s="49">
        <f>IF(VLOOKUP(Table91213[[#This Row],[Date]],'DB Details'!$A:$Q,10)=0,"",VLOOKUP(Table91213[[#This Row],[Date]],'DB Details'!$A:$Q,10))</f>
        <v>56.6</v>
      </c>
      <c r="K166" s="49">
        <f>IF(VLOOKUP(Table91213[[#This Row],[Date]],'DB Details'!$A:$Q,11)=0,"",VLOOKUP(Table91213[[#This Row],[Date]],'DB Details'!$A:$Q,11))</f>
        <v>59.5</v>
      </c>
      <c r="L166" s="47">
        <f>IF(VLOOKUP(Table91213[[#This Row],[Date]],'DB Details'!$A:$Q,12)=0,"",VLOOKUP(Table91213[[#This Row],[Date]],'DB Details'!$A:$Q,12))</f>
        <v>56.4</v>
      </c>
    </row>
    <row r="167" spans="1:12" x14ac:dyDescent="0.35">
      <c r="A167" s="50">
        <v>40513</v>
      </c>
      <c r="B167" s="47">
        <f>IF(VLOOKUP(Table91213[[#This Row],[Date]],'DB Details'!$A:$Q,2)=0,"",VLOOKUP(Table91213[[#This Row],[Date]],'DB Details'!$A:$Q,2))</f>
        <v>62.1</v>
      </c>
      <c r="C167" s="48">
        <f>IF(VLOOKUP(Table91213[[#This Row],[Date]],'DB Details'!$A:$Q,3)=0,"",VLOOKUP(Table91213[[#This Row],[Date]],'DB Details'!$A:$Q,3))</f>
        <v>51</v>
      </c>
      <c r="D167" s="48">
        <f>IF(VLOOKUP(Table91213[[#This Row],[Date]],'DB Details'!$A:$Q,4)=0,"",VLOOKUP(Table91213[[#This Row],[Date]],'DB Details'!$A:$Q,4))</f>
        <v>48.5</v>
      </c>
      <c r="E167" s="49">
        <f>IF(VLOOKUP(Table91213[[#This Row],[Date]],'DB Details'!$A:$Q,5)=0,"",VLOOKUP(Table91213[[#This Row],[Date]],'DB Details'!$A:$Q,5))</f>
        <v>69.3</v>
      </c>
      <c r="F167" s="48">
        <f>IF(VLOOKUP(Table91213[[#This Row],[Date]],'DB Details'!$A:$Q,6)=0,"",VLOOKUP(Table91213[[#This Row],[Date]],'DB Details'!$A:$Q,6))</f>
        <v>62.2</v>
      </c>
      <c r="G167" s="49">
        <f>IF(VLOOKUP(Table91213[[#This Row],[Date]],'DB Details'!$A:$Q,7)=0,"",VLOOKUP(Table91213[[#This Row],[Date]],'DB Details'!$A:$Q,7))</f>
        <v>61.5</v>
      </c>
      <c r="H167" s="49">
        <f>IF(VLOOKUP(Table91213[[#This Row],[Date]],'DB Details'!$A:$Q,8)=0,"",VLOOKUP(Table91213[[#This Row],[Date]],'DB Details'!$A:$Q,8))</f>
        <v>52.5</v>
      </c>
      <c r="I167" s="49">
        <f>IF(VLOOKUP(Table91213[[#This Row],[Date]],'DB Details'!$A:$Q,9)=0,"",VLOOKUP(Table91213[[#This Row],[Date]],'DB Details'!$A:$Q,9))</f>
        <v>51.5</v>
      </c>
      <c r="J167" s="49">
        <f>IF(VLOOKUP(Table91213[[#This Row],[Date]],'DB Details'!$A:$Q,10)=0,"",VLOOKUP(Table91213[[#This Row],[Date]],'DB Details'!$A:$Q,10))</f>
        <v>52.2</v>
      </c>
      <c r="K167" s="49">
        <f>IF(VLOOKUP(Table91213[[#This Row],[Date]],'DB Details'!$A:$Q,11)=0,"",VLOOKUP(Table91213[[#This Row],[Date]],'DB Details'!$A:$Q,11))</f>
        <v>56</v>
      </c>
      <c r="L167" s="47">
        <f>IF(VLOOKUP(Table91213[[#This Row],[Date]],'DB Details'!$A:$Q,12)=0,"",VLOOKUP(Table91213[[#This Row],[Date]],'DB Details'!$A:$Q,12))</f>
        <v>56.9</v>
      </c>
    </row>
    <row r="168" spans="1:12" x14ac:dyDescent="0.35">
      <c r="A168" s="50">
        <v>40544</v>
      </c>
      <c r="B168" s="47">
        <f>IF(VLOOKUP(Table91213[[#This Row],[Date]],'DB Details'!$A:$Q,2)=0,"",VLOOKUP(Table91213[[#This Row],[Date]],'DB Details'!$A:$Q,2))</f>
        <v>63</v>
      </c>
      <c r="C168" s="48">
        <f>IF(VLOOKUP(Table91213[[#This Row],[Date]],'DB Details'!$A:$Q,3)=0,"",VLOOKUP(Table91213[[#This Row],[Date]],'DB Details'!$A:$Q,3))</f>
        <v>53.5</v>
      </c>
      <c r="D168" s="48">
        <f>IF(VLOOKUP(Table91213[[#This Row],[Date]],'DB Details'!$A:$Q,4)=0,"",VLOOKUP(Table91213[[#This Row],[Date]],'DB Details'!$A:$Q,4))</f>
        <v>50.5</v>
      </c>
      <c r="E168" s="49">
        <f>IF(VLOOKUP(Table91213[[#This Row],[Date]],'DB Details'!$A:$Q,5)=0,"",VLOOKUP(Table91213[[#This Row],[Date]],'DB Details'!$A:$Q,5))</f>
        <v>70</v>
      </c>
      <c r="F168" s="48">
        <f>IF(VLOOKUP(Table91213[[#This Row],[Date]],'DB Details'!$A:$Q,6)=0,"",VLOOKUP(Table91213[[#This Row],[Date]],'DB Details'!$A:$Q,6))</f>
        <v>61.6</v>
      </c>
      <c r="G168" s="49">
        <f>IF(VLOOKUP(Table91213[[#This Row],[Date]],'DB Details'!$A:$Q,7)=0,"",VLOOKUP(Table91213[[#This Row],[Date]],'DB Details'!$A:$Q,7))</f>
        <v>60</v>
      </c>
      <c r="H168" s="49">
        <f>IF(VLOOKUP(Table91213[[#This Row],[Date]],'DB Details'!$A:$Q,8)=0,"",VLOOKUP(Table91213[[#This Row],[Date]],'DB Details'!$A:$Q,8))</f>
        <v>49</v>
      </c>
      <c r="I168" s="49">
        <f>IF(VLOOKUP(Table91213[[#This Row],[Date]],'DB Details'!$A:$Q,9)=0,"",VLOOKUP(Table91213[[#This Row],[Date]],'DB Details'!$A:$Q,9))</f>
        <v>53.5</v>
      </c>
      <c r="J168" s="49">
        <f>IF(VLOOKUP(Table91213[[#This Row],[Date]],'DB Details'!$A:$Q,10)=0,"",VLOOKUP(Table91213[[#This Row],[Date]],'DB Details'!$A:$Q,10))</f>
        <v>52.1</v>
      </c>
      <c r="K168" s="49">
        <f>IF(VLOOKUP(Table91213[[#This Row],[Date]],'DB Details'!$A:$Q,11)=0,"",VLOOKUP(Table91213[[#This Row],[Date]],'DB Details'!$A:$Q,11))</f>
        <v>53.5</v>
      </c>
      <c r="L168" s="47">
        <f>IF(VLOOKUP(Table91213[[#This Row],[Date]],'DB Details'!$A:$Q,12)=0,"",VLOOKUP(Table91213[[#This Row],[Date]],'DB Details'!$A:$Q,12))</f>
        <v>57.6</v>
      </c>
    </row>
    <row r="169" spans="1:12" x14ac:dyDescent="0.35">
      <c r="A169" s="50">
        <v>40575</v>
      </c>
      <c r="B169" s="47">
        <f>IF(VLOOKUP(Table91213[[#This Row],[Date]],'DB Details'!$A:$Q,2)=0,"",VLOOKUP(Table91213[[#This Row],[Date]],'DB Details'!$A:$Q,2))</f>
        <v>61.9</v>
      </c>
      <c r="C169" s="48">
        <f>IF(VLOOKUP(Table91213[[#This Row],[Date]],'DB Details'!$A:$Q,3)=0,"",VLOOKUP(Table91213[[#This Row],[Date]],'DB Details'!$A:$Q,3))</f>
        <v>53.5</v>
      </c>
      <c r="D169" s="48">
        <f>IF(VLOOKUP(Table91213[[#This Row],[Date]],'DB Details'!$A:$Q,4)=0,"",VLOOKUP(Table91213[[#This Row],[Date]],'DB Details'!$A:$Q,4))</f>
        <v>52</v>
      </c>
      <c r="E169" s="49">
        <f>IF(VLOOKUP(Table91213[[#This Row],[Date]],'DB Details'!$A:$Q,5)=0,"",VLOOKUP(Table91213[[#This Row],[Date]],'DB Details'!$A:$Q,5))</f>
        <v>70.900000000000006</v>
      </c>
      <c r="F169" s="48">
        <f>IF(VLOOKUP(Table91213[[#This Row],[Date]],'DB Details'!$A:$Q,6)=0,"",VLOOKUP(Table91213[[#This Row],[Date]],'DB Details'!$A:$Q,6))</f>
        <v>63.3</v>
      </c>
      <c r="G169" s="49">
        <f>IF(VLOOKUP(Table91213[[#This Row],[Date]],'DB Details'!$A:$Q,7)=0,"",VLOOKUP(Table91213[[#This Row],[Date]],'DB Details'!$A:$Q,7))</f>
        <v>57.5</v>
      </c>
      <c r="H169" s="49">
        <f>IF(VLOOKUP(Table91213[[#This Row],[Date]],'DB Details'!$A:$Q,8)=0,"",VLOOKUP(Table91213[[#This Row],[Date]],'DB Details'!$A:$Q,8))</f>
        <v>55.5</v>
      </c>
      <c r="I169" s="49">
        <f>IF(VLOOKUP(Table91213[[#This Row],[Date]],'DB Details'!$A:$Q,9)=0,"",VLOOKUP(Table91213[[#This Row],[Date]],'DB Details'!$A:$Q,9))</f>
        <v>52</v>
      </c>
      <c r="J169" s="49">
        <f>IF(VLOOKUP(Table91213[[#This Row],[Date]],'DB Details'!$A:$Q,10)=0,"",VLOOKUP(Table91213[[#This Row],[Date]],'DB Details'!$A:$Q,10))</f>
        <v>53.6</v>
      </c>
      <c r="K169" s="49">
        <f>IF(VLOOKUP(Table91213[[#This Row],[Date]],'DB Details'!$A:$Q,11)=0,"",VLOOKUP(Table91213[[#This Row],[Date]],'DB Details'!$A:$Q,11))</f>
        <v>56.5</v>
      </c>
      <c r="L169" s="47">
        <f>IF(VLOOKUP(Table91213[[#This Row],[Date]],'DB Details'!$A:$Q,12)=0,"",VLOOKUP(Table91213[[#This Row],[Date]],'DB Details'!$A:$Q,12))</f>
        <v>58</v>
      </c>
    </row>
    <row r="170" spans="1:12" x14ac:dyDescent="0.35">
      <c r="A170" s="50">
        <v>40603</v>
      </c>
      <c r="B170" s="47">
        <f>IF(VLOOKUP(Table91213[[#This Row],[Date]],'DB Details'!$A:$Q,2)=0,"",VLOOKUP(Table91213[[#This Row],[Date]],'DB Details'!$A:$Q,2))</f>
        <v>59.5</v>
      </c>
      <c r="C170" s="48">
        <f>IF(VLOOKUP(Table91213[[#This Row],[Date]],'DB Details'!$A:$Q,3)=0,"",VLOOKUP(Table91213[[#This Row],[Date]],'DB Details'!$A:$Q,3))</f>
        <v>50</v>
      </c>
      <c r="D170" s="48">
        <f>IF(VLOOKUP(Table91213[[#This Row],[Date]],'DB Details'!$A:$Q,4)=0,"",VLOOKUP(Table91213[[#This Row],[Date]],'DB Details'!$A:$Q,4))</f>
        <v>56</v>
      </c>
      <c r="E170" s="49">
        <f>IF(VLOOKUP(Table91213[[#This Row],[Date]],'DB Details'!$A:$Q,5)=0,"",VLOOKUP(Table91213[[#This Row],[Date]],'DB Details'!$A:$Q,5))</f>
        <v>70.900000000000006</v>
      </c>
      <c r="F170" s="48">
        <f>IF(VLOOKUP(Table91213[[#This Row],[Date]],'DB Details'!$A:$Q,6)=0,"",VLOOKUP(Table91213[[#This Row],[Date]],'DB Details'!$A:$Q,6))</f>
        <v>58.2</v>
      </c>
      <c r="G170" s="49">
        <f>IF(VLOOKUP(Table91213[[#This Row],[Date]],'DB Details'!$A:$Q,7)=0,"",VLOOKUP(Table91213[[#This Row],[Date]],'DB Details'!$A:$Q,7))</f>
        <v>67</v>
      </c>
      <c r="H170" s="49">
        <f>IF(VLOOKUP(Table91213[[#This Row],[Date]],'DB Details'!$A:$Q,8)=0,"",VLOOKUP(Table91213[[#This Row],[Date]],'DB Details'!$A:$Q,8))</f>
        <v>55.5</v>
      </c>
      <c r="I170" s="49">
        <f>IF(VLOOKUP(Table91213[[#This Row],[Date]],'DB Details'!$A:$Q,9)=0,"",VLOOKUP(Table91213[[#This Row],[Date]],'DB Details'!$A:$Q,9))</f>
        <v>51.5</v>
      </c>
      <c r="J170" s="49">
        <f>IF(VLOOKUP(Table91213[[#This Row],[Date]],'DB Details'!$A:$Q,10)=0,"",VLOOKUP(Table91213[[#This Row],[Date]],'DB Details'!$A:$Q,10))</f>
        <v>52.9</v>
      </c>
      <c r="K170" s="49">
        <f>IF(VLOOKUP(Table91213[[#This Row],[Date]],'DB Details'!$A:$Q,11)=0,"",VLOOKUP(Table91213[[#This Row],[Date]],'DB Details'!$A:$Q,11))</f>
        <v>59</v>
      </c>
      <c r="L170" s="47">
        <f>IF(VLOOKUP(Table91213[[#This Row],[Date]],'DB Details'!$A:$Q,12)=0,"",VLOOKUP(Table91213[[#This Row],[Date]],'DB Details'!$A:$Q,12))</f>
        <v>55.8</v>
      </c>
    </row>
    <row r="171" spans="1:12" x14ac:dyDescent="0.35">
      <c r="A171" s="50">
        <v>40634</v>
      </c>
      <c r="B171" s="47">
        <f>IF(VLOOKUP(Table91213[[#This Row],[Date]],'DB Details'!$A:$Q,2)=0,"",VLOOKUP(Table91213[[#This Row],[Date]],'DB Details'!$A:$Q,2))</f>
        <v>56.3</v>
      </c>
      <c r="C171" s="48">
        <f>IF(VLOOKUP(Table91213[[#This Row],[Date]],'DB Details'!$A:$Q,3)=0,"",VLOOKUP(Table91213[[#This Row],[Date]],'DB Details'!$A:$Q,3))</f>
        <v>57</v>
      </c>
      <c r="D171" s="48">
        <f>IF(VLOOKUP(Table91213[[#This Row],[Date]],'DB Details'!$A:$Q,4)=0,"",VLOOKUP(Table91213[[#This Row],[Date]],'DB Details'!$A:$Q,4))</f>
        <v>55.5</v>
      </c>
      <c r="E171" s="49">
        <f>IF(VLOOKUP(Table91213[[#This Row],[Date]],'DB Details'!$A:$Q,5)=0,"",VLOOKUP(Table91213[[#This Row],[Date]],'DB Details'!$A:$Q,5))</f>
        <v>71</v>
      </c>
      <c r="F171" s="48">
        <f>IF(VLOOKUP(Table91213[[#This Row],[Date]],'DB Details'!$A:$Q,6)=0,"",VLOOKUP(Table91213[[#This Row],[Date]],'DB Details'!$A:$Q,6))</f>
        <v>56.9</v>
      </c>
      <c r="G171" s="49">
        <f>IF(VLOOKUP(Table91213[[#This Row],[Date]],'DB Details'!$A:$Q,7)=0,"",VLOOKUP(Table91213[[#This Row],[Date]],'DB Details'!$A:$Q,7))</f>
        <v>57.5</v>
      </c>
      <c r="H171" s="49">
        <f>IF(VLOOKUP(Table91213[[#This Row],[Date]],'DB Details'!$A:$Q,8)=0,"",VLOOKUP(Table91213[[#This Row],[Date]],'DB Details'!$A:$Q,8))</f>
        <v>55.5</v>
      </c>
      <c r="I171" s="49">
        <f>IF(VLOOKUP(Table91213[[#This Row],[Date]],'DB Details'!$A:$Q,9)=0,"",VLOOKUP(Table91213[[#This Row],[Date]],'DB Details'!$A:$Q,9))</f>
        <v>53</v>
      </c>
      <c r="J171" s="49">
        <f>IF(VLOOKUP(Table91213[[#This Row],[Date]],'DB Details'!$A:$Q,10)=0,"",VLOOKUP(Table91213[[#This Row],[Date]],'DB Details'!$A:$Q,10))</f>
        <v>53.6</v>
      </c>
      <c r="K171" s="49">
        <f>IF(VLOOKUP(Table91213[[#This Row],[Date]],'DB Details'!$A:$Q,11)=0,"",VLOOKUP(Table91213[[#This Row],[Date]],'DB Details'!$A:$Q,11))</f>
        <v>53.5</v>
      </c>
      <c r="L171" s="47">
        <f>IF(VLOOKUP(Table91213[[#This Row],[Date]],'DB Details'!$A:$Q,12)=0,"",VLOOKUP(Table91213[[#This Row],[Date]],'DB Details'!$A:$Q,12))</f>
        <v>55.2</v>
      </c>
    </row>
    <row r="172" spans="1:12" x14ac:dyDescent="0.35">
      <c r="A172" s="50">
        <v>40664</v>
      </c>
      <c r="B172" s="47">
        <f>IF(VLOOKUP(Table91213[[#This Row],[Date]],'DB Details'!$A:$Q,2)=0,"",VLOOKUP(Table91213[[#This Row],[Date]],'DB Details'!$A:$Q,2))</f>
        <v>56</v>
      </c>
      <c r="C172" s="48">
        <f>IF(VLOOKUP(Table91213[[#This Row],[Date]],'DB Details'!$A:$Q,3)=0,"",VLOOKUP(Table91213[[#This Row],[Date]],'DB Details'!$A:$Q,3))</f>
        <v>50.5</v>
      </c>
      <c r="D172" s="48">
        <f>IF(VLOOKUP(Table91213[[#This Row],[Date]],'DB Details'!$A:$Q,4)=0,"",VLOOKUP(Table91213[[#This Row],[Date]],'DB Details'!$A:$Q,4))</f>
        <v>55</v>
      </c>
      <c r="E172" s="49">
        <f>IF(VLOOKUP(Table91213[[#This Row],[Date]],'DB Details'!$A:$Q,5)=0,"",VLOOKUP(Table91213[[#This Row],[Date]],'DB Details'!$A:$Q,5))</f>
        <v>70.3</v>
      </c>
      <c r="F172" s="48">
        <f>IF(VLOOKUP(Table91213[[#This Row],[Date]],'DB Details'!$A:$Q,6)=0,"",VLOOKUP(Table91213[[#This Row],[Date]],'DB Details'!$A:$Q,6))</f>
        <v>55</v>
      </c>
      <c r="G172" s="49">
        <f>IF(VLOOKUP(Table91213[[#This Row],[Date]],'DB Details'!$A:$Q,7)=0,"",VLOOKUP(Table91213[[#This Row],[Date]],'DB Details'!$A:$Q,7))</f>
        <v>55</v>
      </c>
      <c r="H172" s="49">
        <f>IF(VLOOKUP(Table91213[[#This Row],[Date]],'DB Details'!$A:$Q,8)=0,"",VLOOKUP(Table91213[[#This Row],[Date]],'DB Details'!$A:$Q,8))</f>
        <v>55</v>
      </c>
      <c r="I172" s="49">
        <f>IF(VLOOKUP(Table91213[[#This Row],[Date]],'DB Details'!$A:$Q,9)=0,"",VLOOKUP(Table91213[[#This Row],[Date]],'DB Details'!$A:$Q,9))</f>
        <v>54</v>
      </c>
      <c r="J172" s="49">
        <f>IF(VLOOKUP(Table91213[[#This Row],[Date]],'DB Details'!$A:$Q,10)=0,"",VLOOKUP(Table91213[[#This Row],[Date]],'DB Details'!$A:$Q,10))</f>
        <v>54.4</v>
      </c>
      <c r="K172" s="49">
        <f>IF(VLOOKUP(Table91213[[#This Row],[Date]],'DB Details'!$A:$Q,11)=0,"",VLOOKUP(Table91213[[#This Row],[Date]],'DB Details'!$A:$Q,11))</f>
        <v>57</v>
      </c>
      <c r="L172" s="47">
        <f>IF(VLOOKUP(Table91213[[#This Row],[Date]],'DB Details'!$A:$Q,12)=0,"",VLOOKUP(Table91213[[#This Row],[Date]],'DB Details'!$A:$Q,12))</f>
        <v>55</v>
      </c>
    </row>
    <row r="173" spans="1:12" x14ac:dyDescent="0.35">
      <c r="A173" s="50">
        <v>40695</v>
      </c>
      <c r="B173" s="47">
        <f>IF(VLOOKUP(Table91213[[#This Row],[Date]],'DB Details'!$A:$Q,2)=0,"",VLOOKUP(Table91213[[#This Row],[Date]],'DB Details'!$A:$Q,2))</f>
        <v>55.4</v>
      </c>
      <c r="C173" s="48">
        <f>IF(VLOOKUP(Table91213[[#This Row],[Date]],'DB Details'!$A:$Q,3)=0,"",VLOOKUP(Table91213[[#This Row],[Date]],'DB Details'!$A:$Q,3))</f>
        <v>46.5</v>
      </c>
      <c r="D173" s="48">
        <f>IF(VLOOKUP(Table91213[[#This Row],[Date]],'DB Details'!$A:$Q,4)=0,"",VLOOKUP(Table91213[[#This Row],[Date]],'DB Details'!$A:$Q,4))</f>
        <v>48.5</v>
      </c>
      <c r="E173" s="49">
        <f>IF(VLOOKUP(Table91213[[#This Row],[Date]],'DB Details'!$A:$Q,5)=0,"",VLOOKUP(Table91213[[#This Row],[Date]],'DB Details'!$A:$Q,5))</f>
        <v>62.4</v>
      </c>
      <c r="F173" s="48">
        <f>IF(VLOOKUP(Table91213[[#This Row],[Date]],'DB Details'!$A:$Q,6)=0,"",VLOOKUP(Table91213[[#This Row],[Date]],'DB Details'!$A:$Q,6))</f>
        <v>55.7</v>
      </c>
      <c r="G173" s="49">
        <f>IF(VLOOKUP(Table91213[[#This Row],[Date]],'DB Details'!$A:$Q,7)=0,"",VLOOKUP(Table91213[[#This Row],[Date]],'DB Details'!$A:$Q,7))</f>
        <v>58.5</v>
      </c>
      <c r="H173" s="49">
        <f>IF(VLOOKUP(Table91213[[#This Row],[Date]],'DB Details'!$A:$Q,8)=0,"",VLOOKUP(Table91213[[#This Row],[Date]],'DB Details'!$A:$Q,8))</f>
        <v>53.5</v>
      </c>
      <c r="I173" s="49">
        <f>IF(VLOOKUP(Table91213[[#This Row],[Date]],'DB Details'!$A:$Q,9)=0,"",VLOOKUP(Table91213[[#This Row],[Date]],'DB Details'!$A:$Q,9))</f>
        <v>52</v>
      </c>
      <c r="J173" s="49">
        <f>IF(VLOOKUP(Table91213[[#This Row],[Date]],'DB Details'!$A:$Q,10)=0,"",VLOOKUP(Table91213[[#This Row],[Date]],'DB Details'!$A:$Q,10))</f>
        <v>52.9</v>
      </c>
      <c r="K173" s="49">
        <f>IF(VLOOKUP(Table91213[[#This Row],[Date]],'DB Details'!$A:$Q,11)=0,"",VLOOKUP(Table91213[[#This Row],[Date]],'DB Details'!$A:$Q,11))</f>
        <v>57</v>
      </c>
      <c r="L173" s="47">
        <f>IF(VLOOKUP(Table91213[[#This Row],[Date]],'DB Details'!$A:$Q,12)=0,"",VLOOKUP(Table91213[[#This Row],[Date]],'DB Details'!$A:$Q,12))</f>
        <v>54.2</v>
      </c>
    </row>
    <row r="174" spans="1:12" x14ac:dyDescent="0.35">
      <c r="A174" s="50">
        <v>40725</v>
      </c>
      <c r="B174" s="47">
        <f>IF(VLOOKUP(Table91213[[#This Row],[Date]],'DB Details'!$A:$Q,2)=0,"",VLOOKUP(Table91213[[#This Row],[Date]],'DB Details'!$A:$Q,2))</f>
        <v>53.7</v>
      </c>
      <c r="C174" s="48">
        <f>IF(VLOOKUP(Table91213[[#This Row],[Date]],'DB Details'!$A:$Q,3)=0,"",VLOOKUP(Table91213[[#This Row],[Date]],'DB Details'!$A:$Q,3))</f>
        <v>47.5</v>
      </c>
      <c r="D174" s="48">
        <f>IF(VLOOKUP(Table91213[[#This Row],[Date]],'DB Details'!$A:$Q,4)=0,"",VLOOKUP(Table91213[[#This Row],[Date]],'DB Details'!$A:$Q,4))</f>
        <v>44</v>
      </c>
      <c r="E174" s="49">
        <f>IF(VLOOKUP(Table91213[[#This Row],[Date]],'DB Details'!$A:$Q,5)=0,"",VLOOKUP(Table91213[[#This Row],[Date]],'DB Details'!$A:$Q,5))</f>
        <v>60.7</v>
      </c>
      <c r="F174" s="48">
        <f>IF(VLOOKUP(Table91213[[#This Row],[Date]],'DB Details'!$A:$Q,6)=0,"",VLOOKUP(Table91213[[#This Row],[Date]],'DB Details'!$A:$Q,6))</f>
        <v>56.6</v>
      </c>
      <c r="G174" s="49">
        <f>IF(VLOOKUP(Table91213[[#This Row],[Date]],'DB Details'!$A:$Q,7)=0,"",VLOOKUP(Table91213[[#This Row],[Date]],'DB Details'!$A:$Q,7))</f>
        <v>59.5</v>
      </c>
      <c r="H174" s="49">
        <f>IF(VLOOKUP(Table91213[[#This Row],[Date]],'DB Details'!$A:$Q,8)=0,"",VLOOKUP(Table91213[[#This Row],[Date]],'DB Details'!$A:$Q,8))</f>
        <v>56.5</v>
      </c>
      <c r="I174" s="49">
        <f>IF(VLOOKUP(Table91213[[#This Row],[Date]],'DB Details'!$A:$Q,9)=0,"",VLOOKUP(Table91213[[#This Row],[Date]],'DB Details'!$A:$Q,9))</f>
        <v>50.5</v>
      </c>
      <c r="J174" s="49">
        <f>IF(VLOOKUP(Table91213[[#This Row],[Date]],'DB Details'!$A:$Q,10)=0,"",VLOOKUP(Table91213[[#This Row],[Date]],'DB Details'!$A:$Q,10))</f>
        <v>53.3</v>
      </c>
      <c r="K174" s="49">
        <f>IF(VLOOKUP(Table91213[[#This Row],[Date]],'DB Details'!$A:$Q,11)=0,"",VLOOKUP(Table91213[[#This Row],[Date]],'DB Details'!$A:$Q,11))</f>
        <v>49</v>
      </c>
      <c r="L174" s="47">
        <f>IF(VLOOKUP(Table91213[[#This Row],[Date]],'DB Details'!$A:$Q,12)=0,"",VLOOKUP(Table91213[[#This Row],[Date]],'DB Details'!$A:$Q,12))</f>
        <v>53.5</v>
      </c>
    </row>
    <row r="175" spans="1:12" x14ac:dyDescent="0.35">
      <c r="A175" s="50">
        <v>40756</v>
      </c>
      <c r="B175" s="47">
        <f>IF(VLOOKUP(Table91213[[#This Row],[Date]],'DB Details'!$A:$Q,2)=0,"",VLOOKUP(Table91213[[#This Row],[Date]],'DB Details'!$A:$Q,2))</f>
        <v>53.9</v>
      </c>
      <c r="C175" s="48">
        <f>IF(VLOOKUP(Table91213[[#This Row],[Date]],'DB Details'!$A:$Q,3)=0,"",VLOOKUP(Table91213[[#This Row],[Date]],'DB Details'!$A:$Q,3))</f>
        <v>53.5</v>
      </c>
      <c r="D175" s="48">
        <f>IF(VLOOKUP(Table91213[[#This Row],[Date]],'DB Details'!$A:$Q,4)=0,"",VLOOKUP(Table91213[[#This Row],[Date]],'DB Details'!$A:$Q,4))</f>
        <v>47.5</v>
      </c>
      <c r="E175" s="49">
        <f>IF(VLOOKUP(Table91213[[#This Row],[Date]],'DB Details'!$A:$Q,5)=0,"",VLOOKUP(Table91213[[#This Row],[Date]],'DB Details'!$A:$Q,5))</f>
        <v>61.3</v>
      </c>
      <c r="F175" s="48">
        <f>IF(VLOOKUP(Table91213[[#This Row],[Date]],'DB Details'!$A:$Q,6)=0,"",VLOOKUP(Table91213[[#This Row],[Date]],'DB Details'!$A:$Q,6))</f>
        <v>56.5</v>
      </c>
      <c r="G175" s="49">
        <f>IF(VLOOKUP(Table91213[[#This Row],[Date]],'DB Details'!$A:$Q,7)=0,"",VLOOKUP(Table91213[[#This Row],[Date]],'DB Details'!$A:$Q,7))</f>
        <v>56</v>
      </c>
      <c r="H175" s="49">
        <f>IF(VLOOKUP(Table91213[[#This Row],[Date]],'DB Details'!$A:$Q,8)=0,"",VLOOKUP(Table91213[[#This Row],[Date]],'DB Details'!$A:$Q,8))</f>
        <v>53.5</v>
      </c>
      <c r="I175" s="49">
        <f>IF(VLOOKUP(Table91213[[#This Row],[Date]],'DB Details'!$A:$Q,9)=0,"",VLOOKUP(Table91213[[#This Row],[Date]],'DB Details'!$A:$Q,9))</f>
        <v>53</v>
      </c>
      <c r="J175" s="49">
        <f>IF(VLOOKUP(Table91213[[#This Row],[Date]],'DB Details'!$A:$Q,10)=0,"",VLOOKUP(Table91213[[#This Row],[Date]],'DB Details'!$A:$Q,10))</f>
        <v>51.9</v>
      </c>
      <c r="K175" s="49">
        <f>IF(VLOOKUP(Table91213[[#This Row],[Date]],'DB Details'!$A:$Q,11)=0,"",VLOOKUP(Table91213[[#This Row],[Date]],'DB Details'!$A:$Q,11))</f>
        <v>56.5</v>
      </c>
      <c r="L175" s="47">
        <f>IF(VLOOKUP(Table91213[[#This Row],[Date]],'DB Details'!$A:$Q,12)=0,"",VLOOKUP(Table91213[[#This Row],[Date]],'DB Details'!$A:$Q,12))</f>
        <v>53.5</v>
      </c>
    </row>
    <row r="176" spans="1:12" x14ac:dyDescent="0.35">
      <c r="A176" s="50">
        <v>40787</v>
      </c>
      <c r="B176" s="47">
        <f>IF(VLOOKUP(Table91213[[#This Row],[Date]],'DB Details'!$A:$Q,2)=0,"",VLOOKUP(Table91213[[#This Row],[Date]],'DB Details'!$A:$Q,2))</f>
        <v>54.6</v>
      </c>
      <c r="C176" s="48">
        <f>IF(VLOOKUP(Table91213[[#This Row],[Date]],'DB Details'!$A:$Q,3)=0,"",VLOOKUP(Table91213[[#This Row],[Date]],'DB Details'!$A:$Q,3))</f>
        <v>47.5</v>
      </c>
      <c r="D176" s="48">
        <f>IF(VLOOKUP(Table91213[[#This Row],[Date]],'DB Details'!$A:$Q,4)=0,"",VLOOKUP(Table91213[[#This Row],[Date]],'DB Details'!$A:$Q,4))</f>
        <v>52.5</v>
      </c>
      <c r="E176" s="49">
        <f>IF(VLOOKUP(Table91213[[#This Row],[Date]],'DB Details'!$A:$Q,5)=0,"",VLOOKUP(Table91213[[#This Row],[Date]],'DB Details'!$A:$Q,5))</f>
        <v>60.9</v>
      </c>
      <c r="F176" s="48">
        <f>IF(VLOOKUP(Table91213[[#This Row],[Date]],'DB Details'!$A:$Q,6)=0,"",VLOOKUP(Table91213[[#This Row],[Date]],'DB Details'!$A:$Q,6))</f>
        <v>56.8</v>
      </c>
      <c r="G176" s="49">
        <f>IF(VLOOKUP(Table91213[[#This Row],[Date]],'DB Details'!$A:$Q,7)=0,"",VLOOKUP(Table91213[[#This Row],[Date]],'DB Details'!$A:$Q,7))</f>
        <v>59</v>
      </c>
      <c r="H176" s="49">
        <f>IF(VLOOKUP(Table91213[[#This Row],[Date]],'DB Details'!$A:$Q,8)=0,"",VLOOKUP(Table91213[[#This Row],[Date]],'DB Details'!$A:$Q,8))</f>
        <v>51.5</v>
      </c>
      <c r="I176" s="49">
        <f>IF(VLOOKUP(Table91213[[#This Row],[Date]],'DB Details'!$A:$Q,9)=0,"",VLOOKUP(Table91213[[#This Row],[Date]],'DB Details'!$A:$Q,9))</f>
        <v>49.5</v>
      </c>
      <c r="J176" s="49">
        <f>IF(VLOOKUP(Table91213[[#This Row],[Date]],'DB Details'!$A:$Q,10)=0,"",VLOOKUP(Table91213[[#This Row],[Date]],'DB Details'!$A:$Q,10))</f>
        <v>49.4</v>
      </c>
      <c r="K176" s="49">
        <f>IF(VLOOKUP(Table91213[[#This Row],[Date]],'DB Details'!$A:$Q,11)=0,"",VLOOKUP(Table91213[[#This Row],[Date]],'DB Details'!$A:$Q,11))</f>
        <v>52</v>
      </c>
      <c r="L176" s="47">
        <f>IF(VLOOKUP(Table91213[[#This Row],[Date]],'DB Details'!$A:$Q,12)=0,"",VLOOKUP(Table91213[[#This Row],[Date]],'DB Details'!$A:$Q,12))</f>
        <v>52.3</v>
      </c>
    </row>
    <row r="177" spans="1:12" x14ac:dyDescent="0.35">
      <c r="A177" s="50">
        <v>40817</v>
      </c>
      <c r="B177" s="47">
        <f>IF(VLOOKUP(Table91213[[#This Row],[Date]],'DB Details'!$A:$Q,2)=0,"",VLOOKUP(Table91213[[#This Row],[Date]],'DB Details'!$A:$Q,2))</f>
        <v>53.4</v>
      </c>
      <c r="C177" s="48">
        <f>IF(VLOOKUP(Table91213[[#This Row],[Date]],'DB Details'!$A:$Q,3)=0,"",VLOOKUP(Table91213[[#This Row],[Date]],'DB Details'!$A:$Q,3))</f>
        <v>48</v>
      </c>
      <c r="D177" s="48">
        <f>IF(VLOOKUP(Table91213[[#This Row],[Date]],'DB Details'!$A:$Q,4)=0,"",VLOOKUP(Table91213[[#This Row],[Date]],'DB Details'!$A:$Q,4))</f>
        <v>47</v>
      </c>
      <c r="E177" s="49">
        <f>IF(VLOOKUP(Table91213[[#This Row],[Date]],'DB Details'!$A:$Q,5)=0,"",VLOOKUP(Table91213[[#This Row],[Date]],'DB Details'!$A:$Q,5))</f>
        <v>57.7</v>
      </c>
      <c r="F177" s="48">
        <f>IF(VLOOKUP(Table91213[[#This Row],[Date]],'DB Details'!$A:$Q,6)=0,"",VLOOKUP(Table91213[[#This Row],[Date]],'DB Details'!$A:$Q,6))</f>
        <v>53.9</v>
      </c>
      <c r="G177" s="49">
        <f>IF(VLOOKUP(Table91213[[#This Row],[Date]],'DB Details'!$A:$Q,7)=0,"",VLOOKUP(Table91213[[#This Row],[Date]],'DB Details'!$A:$Q,7))</f>
        <v>57.5</v>
      </c>
      <c r="H177" s="49">
        <f>IF(VLOOKUP(Table91213[[#This Row],[Date]],'DB Details'!$A:$Q,8)=0,"",VLOOKUP(Table91213[[#This Row],[Date]],'DB Details'!$A:$Q,8))</f>
        <v>45.5</v>
      </c>
      <c r="I177" s="49">
        <f>IF(VLOOKUP(Table91213[[#This Row],[Date]],'DB Details'!$A:$Q,9)=0,"",VLOOKUP(Table91213[[#This Row],[Date]],'DB Details'!$A:$Q,9))</f>
        <v>52</v>
      </c>
      <c r="J177" s="49">
        <f>IF(VLOOKUP(Table91213[[#This Row],[Date]],'DB Details'!$A:$Q,10)=0,"",VLOOKUP(Table91213[[#This Row],[Date]],'DB Details'!$A:$Q,10))</f>
        <v>52.3</v>
      </c>
      <c r="K177" s="49">
        <f>IF(VLOOKUP(Table91213[[#This Row],[Date]],'DB Details'!$A:$Q,11)=0,"",VLOOKUP(Table91213[[#This Row],[Date]],'DB Details'!$A:$Q,11))</f>
        <v>54</v>
      </c>
      <c r="L177" s="47">
        <f>IF(VLOOKUP(Table91213[[#This Row],[Date]],'DB Details'!$A:$Q,12)=0,"",VLOOKUP(Table91213[[#This Row],[Date]],'DB Details'!$A:$Q,12))</f>
        <v>52.8</v>
      </c>
    </row>
    <row r="178" spans="1:12" x14ac:dyDescent="0.35">
      <c r="A178" s="50">
        <v>40848</v>
      </c>
      <c r="B178" s="47">
        <f>IF(VLOOKUP(Table91213[[#This Row],[Date]],'DB Details'!$A:$Q,2)=0,"",VLOOKUP(Table91213[[#This Row],[Date]],'DB Details'!$A:$Q,2))</f>
        <v>53.4</v>
      </c>
      <c r="C178" s="48">
        <f>IF(VLOOKUP(Table91213[[#This Row],[Date]],'DB Details'!$A:$Q,3)=0,"",VLOOKUP(Table91213[[#This Row],[Date]],'DB Details'!$A:$Q,3))</f>
        <v>48.5</v>
      </c>
      <c r="D178" s="48">
        <f>IF(VLOOKUP(Table91213[[#This Row],[Date]],'DB Details'!$A:$Q,4)=0,"",VLOOKUP(Table91213[[#This Row],[Date]],'DB Details'!$A:$Q,4))</f>
        <v>48</v>
      </c>
      <c r="E178" s="49">
        <f>IF(VLOOKUP(Table91213[[#This Row],[Date]],'DB Details'!$A:$Q,5)=0,"",VLOOKUP(Table91213[[#This Row],[Date]],'DB Details'!$A:$Q,5))</f>
        <v>63.4</v>
      </c>
      <c r="F178" s="48">
        <f>IF(VLOOKUP(Table91213[[#This Row],[Date]],'DB Details'!$A:$Q,6)=0,"",VLOOKUP(Table91213[[#This Row],[Date]],'DB Details'!$A:$Q,6))</f>
        <v>56.1</v>
      </c>
      <c r="G178" s="49">
        <f>IF(VLOOKUP(Table91213[[#This Row],[Date]],'DB Details'!$A:$Q,7)=0,"",VLOOKUP(Table91213[[#This Row],[Date]],'DB Details'!$A:$Q,7))</f>
        <v>63</v>
      </c>
      <c r="H178" s="49">
        <f>IF(VLOOKUP(Table91213[[#This Row],[Date]],'DB Details'!$A:$Q,8)=0,"",VLOOKUP(Table91213[[#This Row],[Date]],'DB Details'!$A:$Q,8))</f>
        <v>52.5</v>
      </c>
      <c r="I178" s="49">
        <f>IF(VLOOKUP(Table91213[[#This Row],[Date]],'DB Details'!$A:$Q,9)=0,"",VLOOKUP(Table91213[[#This Row],[Date]],'DB Details'!$A:$Q,9))</f>
        <v>50</v>
      </c>
      <c r="J178" s="49">
        <f>IF(VLOOKUP(Table91213[[#This Row],[Date]],'DB Details'!$A:$Q,10)=0,"",VLOOKUP(Table91213[[#This Row],[Date]],'DB Details'!$A:$Q,10))</f>
        <v>53.1</v>
      </c>
      <c r="K178" s="49">
        <f>IF(VLOOKUP(Table91213[[#This Row],[Date]],'DB Details'!$A:$Q,11)=0,"",VLOOKUP(Table91213[[#This Row],[Date]],'DB Details'!$A:$Q,11))</f>
        <v>55.5</v>
      </c>
      <c r="L178" s="47">
        <f>IF(VLOOKUP(Table91213[[#This Row],[Date]],'DB Details'!$A:$Q,12)=0,"",VLOOKUP(Table91213[[#This Row],[Date]],'DB Details'!$A:$Q,12))</f>
        <v>52.9</v>
      </c>
    </row>
    <row r="179" spans="1:12" x14ac:dyDescent="0.35">
      <c r="A179" s="50">
        <v>40878</v>
      </c>
      <c r="B179" s="47">
        <f>IF(VLOOKUP(Table91213[[#This Row],[Date]],'DB Details'!$A:$Q,2)=0,"",VLOOKUP(Table91213[[#This Row],[Date]],'DB Details'!$A:$Q,2))</f>
        <v>54.1</v>
      </c>
      <c r="C179" s="48">
        <f>IF(VLOOKUP(Table91213[[#This Row],[Date]],'DB Details'!$A:$Q,3)=0,"",VLOOKUP(Table91213[[#This Row],[Date]],'DB Details'!$A:$Q,3))</f>
        <v>54</v>
      </c>
      <c r="D179" s="48">
        <f>IF(VLOOKUP(Table91213[[#This Row],[Date]],'DB Details'!$A:$Q,4)=0,"",VLOOKUP(Table91213[[#This Row],[Date]],'DB Details'!$A:$Q,4))</f>
        <v>45.5</v>
      </c>
      <c r="E179" s="49">
        <f>IF(VLOOKUP(Table91213[[#This Row],[Date]],'DB Details'!$A:$Q,5)=0,"",VLOOKUP(Table91213[[#This Row],[Date]],'DB Details'!$A:$Q,5))</f>
        <v>62.2</v>
      </c>
      <c r="F179" s="48">
        <f>IF(VLOOKUP(Table91213[[#This Row],[Date]],'DB Details'!$A:$Q,6)=0,"",VLOOKUP(Table91213[[#This Row],[Date]],'DB Details'!$A:$Q,6))</f>
        <v>55.6</v>
      </c>
      <c r="G179" s="49">
        <f>IF(VLOOKUP(Table91213[[#This Row],[Date]],'DB Details'!$A:$Q,7)=0,"",VLOOKUP(Table91213[[#This Row],[Date]],'DB Details'!$A:$Q,7))</f>
        <v>59.5</v>
      </c>
      <c r="H179" s="49">
        <f>IF(VLOOKUP(Table91213[[#This Row],[Date]],'DB Details'!$A:$Q,8)=0,"",VLOOKUP(Table91213[[#This Row],[Date]],'DB Details'!$A:$Q,8))</f>
        <v>48.5</v>
      </c>
      <c r="I179" s="49">
        <f>IF(VLOOKUP(Table91213[[#This Row],[Date]],'DB Details'!$A:$Q,9)=0,"",VLOOKUP(Table91213[[#This Row],[Date]],'DB Details'!$A:$Q,9))</f>
        <v>51.5</v>
      </c>
      <c r="J179" s="49">
        <f>IF(VLOOKUP(Table91213[[#This Row],[Date]],'DB Details'!$A:$Q,10)=0,"",VLOOKUP(Table91213[[#This Row],[Date]],'DB Details'!$A:$Q,10))</f>
        <v>49</v>
      </c>
      <c r="K179" s="49">
        <f>IF(VLOOKUP(Table91213[[#This Row],[Date]],'DB Details'!$A:$Q,11)=0,"",VLOOKUP(Table91213[[#This Row],[Date]],'DB Details'!$A:$Q,11))</f>
        <v>51</v>
      </c>
      <c r="L179" s="47">
        <f>IF(VLOOKUP(Table91213[[#This Row],[Date]],'DB Details'!$A:$Q,12)=0,"",VLOOKUP(Table91213[[#This Row],[Date]],'DB Details'!$A:$Q,12))</f>
        <v>52.6</v>
      </c>
    </row>
    <row r="180" spans="1:12" x14ac:dyDescent="0.35">
      <c r="A180" s="50">
        <v>40909</v>
      </c>
      <c r="B180" s="47">
        <f>IF(VLOOKUP(Table91213[[#This Row],[Date]],'DB Details'!$A:$Q,2)=0,"",VLOOKUP(Table91213[[#This Row],[Date]],'DB Details'!$A:$Q,2))</f>
        <v>59.5</v>
      </c>
      <c r="C180" s="48">
        <f>IF(VLOOKUP(Table91213[[#This Row],[Date]],'DB Details'!$A:$Q,3)=0,"",VLOOKUP(Table91213[[#This Row],[Date]],'DB Details'!$A:$Q,3))</f>
        <v>55</v>
      </c>
      <c r="D180" s="48">
        <f>IF(VLOOKUP(Table91213[[#This Row],[Date]],'DB Details'!$A:$Q,4)=0,"",VLOOKUP(Table91213[[#This Row],[Date]],'DB Details'!$A:$Q,4))</f>
        <v>49.5</v>
      </c>
      <c r="E180" s="49">
        <f>IF(VLOOKUP(Table91213[[#This Row],[Date]],'DB Details'!$A:$Q,5)=0,"",VLOOKUP(Table91213[[#This Row],[Date]],'DB Details'!$A:$Q,5))</f>
        <v>61.4</v>
      </c>
      <c r="F180" s="48">
        <f>IF(VLOOKUP(Table91213[[#This Row],[Date]],'DB Details'!$A:$Q,6)=0,"",VLOOKUP(Table91213[[#This Row],[Date]],'DB Details'!$A:$Q,6))</f>
        <v>58.7</v>
      </c>
      <c r="G180" s="49">
        <f>IF(VLOOKUP(Table91213[[#This Row],[Date]],'DB Details'!$A:$Q,7)=0,"",VLOOKUP(Table91213[[#This Row],[Date]],'DB Details'!$A:$Q,7))</f>
        <v>58.5</v>
      </c>
      <c r="H180" s="49">
        <f>IF(VLOOKUP(Table91213[[#This Row],[Date]],'DB Details'!$A:$Q,8)=0,"",VLOOKUP(Table91213[[#This Row],[Date]],'DB Details'!$A:$Q,8))</f>
        <v>47</v>
      </c>
      <c r="I180" s="49">
        <f>IF(VLOOKUP(Table91213[[#This Row],[Date]],'DB Details'!$A:$Q,9)=0,"",VLOOKUP(Table91213[[#This Row],[Date]],'DB Details'!$A:$Q,9))</f>
        <v>51</v>
      </c>
      <c r="J180" s="49">
        <f>IF(VLOOKUP(Table91213[[#This Row],[Date]],'DB Details'!$A:$Q,10)=0,"",VLOOKUP(Table91213[[#This Row],[Date]],'DB Details'!$A:$Q,10))</f>
        <v>54.9</v>
      </c>
      <c r="K180" s="49">
        <f>IF(VLOOKUP(Table91213[[#This Row],[Date]],'DB Details'!$A:$Q,11)=0,"",VLOOKUP(Table91213[[#This Row],[Date]],'DB Details'!$A:$Q,11))</f>
        <v>56.5</v>
      </c>
      <c r="L180" s="47">
        <f>IF(VLOOKUP(Table91213[[#This Row],[Date]],'DB Details'!$A:$Q,12)=0,"",VLOOKUP(Table91213[[#This Row],[Date]],'DB Details'!$A:$Q,12))</f>
        <v>56</v>
      </c>
    </row>
    <row r="181" spans="1:12" x14ac:dyDescent="0.35">
      <c r="A181" s="50">
        <v>40940</v>
      </c>
      <c r="B181" s="47">
        <f>IF(VLOOKUP(Table91213[[#This Row],[Date]],'DB Details'!$A:$Q,2)=0,"",VLOOKUP(Table91213[[#This Row],[Date]],'DB Details'!$A:$Q,2))</f>
        <v>59.9</v>
      </c>
      <c r="C181" s="48">
        <f>IF(VLOOKUP(Table91213[[#This Row],[Date]],'DB Details'!$A:$Q,3)=0,"",VLOOKUP(Table91213[[#This Row],[Date]],'DB Details'!$A:$Q,3))</f>
        <v>52</v>
      </c>
      <c r="D181" s="48">
        <f>IF(VLOOKUP(Table91213[[#This Row],[Date]],'DB Details'!$A:$Q,4)=0,"",VLOOKUP(Table91213[[#This Row],[Date]],'DB Details'!$A:$Q,4))</f>
        <v>53</v>
      </c>
      <c r="E181" s="49">
        <f>IF(VLOOKUP(Table91213[[#This Row],[Date]],'DB Details'!$A:$Q,5)=0,"",VLOOKUP(Table91213[[#This Row],[Date]],'DB Details'!$A:$Q,5))</f>
        <v>67.400000000000006</v>
      </c>
      <c r="F181" s="48">
        <f>IF(VLOOKUP(Table91213[[#This Row],[Date]],'DB Details'!$A:$Q,6)=0,"",VLOOKUP(Table91213[[#This Row],[Date]],'DB Details'!$A:$Q,6))</f>
        <v>59.9</v>
      </c>
      <c r="G181" s="49">
        <f>IF(VLOOKUP(Table91213[[#This Row],[Date]],'DB Details'!$A:$Q,7)=0,"",VLOOKUP(Table91213[[#This Row],[Date]],'DB Details'!$A:$Q,7))</f>
        <v>61.5</v>
      </c>
      <c r="H181" s="49">
        <f>IF(VLOOKUP(Table91213[[#This Row],[Date]],'DB Details'!$A:$Q,8)=0,"",VLOOKUP(Table91213[[#This Row],[Date]],'DB Details'!$A:$Q,8))</f>
        <v>53.5</v>
      </c>
      <c r="I181" s="49">
        <f>IF(VLOOKUP(Table91213[[#This Row],[Date]],'DB Details'!$A:$Q,9)=0,"",VLOOKUP(Table91213[[#This Row],[Date]],'DB Details'!$A:$Q,9))</f>
        <v>49.5</v>
      </c>
      <c r="J181" s="49">
        <f>IF(VLOOKUP(Table91213[[#This Row],[Date]],'DB Details'!$A:$Q,10)=0,"",VLOOKUP(Table91213[[#This Row],[Date]],'DB Details'!$A:$Q,10))</f>
        <v>53.2</v>
      </c>
      <c r="K181" s="49">
        <f>IF(VLOOKUP(Table91213[[#This Row],[Date]],'DB Details'!$A:$Q,11)=0,"",VLOOKUP(Table91213[[#This Row],[Date]],'DB Details'!$A:$Q,11))</f>
        <v>54.5</v>
      </c>
      <c r="L181" s="47">
        <f>IF(VLOOKUP(Table91213[[#This Row],[Date]],'DB Details'!$A:$Q,12)=0,"",VLOOKUP(Table91213[[#This Row],[Date]],'DB Details'!$A:$Q,12))</f>
        <v>56</v>
      </c>
    </row>
    <row r="182" spans="1:12" x14ac:dyDescent="0.35">
      <c r="A182" s="50">
        <v>40969</v>
      </c>
      <c r="B182" s="47">
        <f>IF(VLOOKUP(Table91213[[#This Row],[Date]],'DB Details'!$A:$Q,2)=0,"",VLOOKUP(Table91213[[#This Row],[Date]],'DB Details'!$A:$Q,2))</f>
        <v>57.9</v>
      </c>
      <c r="C182" s="48">
        <f>IF(VLOOKUP(Table91213[[#This Row],[Date]],'DB Details'!$A:$Q,3)=0,"",VLOOKUP(Table91213[[#This Row],[Date]],'DB Details'!$A:$Q,3))</f>
        <v>56</v>
      </c>
      <c r="D182" s="48">
        <f>IF(VLOOKUP(Table91213[[#This Row],[Date]],'DB Details'!$A:$Q,4)=0,"",VLOOKUP(Table91213[[#This Row],[Date]],'DB Details'!$A:$Q,4))</f>
        <v>49.5</v>
      </c>
      <c r="E182" s="49">
        <f>IF(VLOOKUP(Table91213[[#This Row],[Date]],'DB Details'!$A:$Q,5)=0,"",VLOOKUP(Table91213[[#This Row],[Date]],'DB Details'!$A:$Q,5))</f>
        <v>65</v>
      </c>
      <c r="F182" s="48">
        <f>IF(VLOOKUP(Table91213[[#This Row],[Date]],'DB Details'!$A:$Q,6)=0,"",VLOOKUP(Table91213[[#This Row],[Date]],'DB Details'!$A:$Q,6))</f>
        <v>58.5</v>
      </c>
      <c r="G182" s="49">
        <f>IF(VLOOKUP(Table91213[[#This Row],[Date]],'DB Details'!$A:$Q,7)=0,"",VLOOKUP(Table91213[[#This Row],[Date]],'DB Details'!$A:$Q,7))</f>
        <v>58.5</v>
      </c>
      <c r="H182" s="49">
        <f>IF(VLOOKUP(Table91213[[#This Row],[Date]],'DB Details'!$A:$Q,8)=0,"",VLOOKUP(Table91213[[#This Row],[Date]],'DB Details'!$A:$Q,8))</f>
        <v>54</v>
      </c>
      <c r="I182" s="49">
        <f>IF(VLOOKUP(Table91213[[#This Row],[Date]],'DB Details'!$A:$Q,9)=0,"",VLOOKUP(Table91213[[#This Row],[Date]],'DB Details'!$A:$Q,9))</f>
        <v>49.5</v>
      </c>
      <c r="J182" s="49">
        <f>IF(VLOOKUP(Table91213[[#This Row],[Date]],'DB Details'!$A:$Q,10)=0,"",VLOOKUP(Table91213[[#This Row],[Date]],'DB Details'!$A:$Q,10))</f>
        <v>55.2</v>
      </c>
      <c r="K182" s="49">
        <f>IF(VLOOKUP(Table91213[[#This Row],[Date]],'DB Details'!$A:$Q,11)=0,"",VLOOKUP(Table91213[[#This Row],[Date]],'DB Details'!$A:$Q,11))</f>
        <v>52.5</v>
      </c>
      <c r="L182" s="47">
        <f>IF(VLOOKUP(Table91213[[#This Row],[Date]],'DB Details'!$A:$Q,12)=0,"",VLOOKUP(Table91213[[#This Row],[Date]],'DB Details'!$A:$Q,12))</f>
        <v>55.6</v>
      </c>
    </row>
    <row r="183" spans="1:12" x14ac:dyDescent="0.35">
      <c r="A183" s="50">
        <v>41000</v>
      </c>
      <c r="B183" s="47">
        <f>IF(VLOOKUP(Table91213[[#This Row],[Date]],'DB Details'!$A:$Q,2)=0,"",VLOOKUP(Table91213[[#This Row],[Date]],'DB Details'!$A:$Q,2))</f>
        <v>55.1</v>
      </c>
      <c r="C183" s="48">
        <f>IF(VLOOKUP(Table91213[[#This Row],[Date]],'DB Details'!$A:$Q,3)=0,"",VLOOKUP(Table91213[[#This Row],[Date]],'DB Details'!$A:$Q,3))</f>
        <v>56.5</v>
      </c>
      <c r="D183" s="48">
        <f>IF(VLOOKUP(Table91213[[#This Row],[Date]],'DB Details'!$A:$Q,4)=0,"",VLOOKUP(Table91213[[#This Row],[Date]],'DB Details'!$A:$Q,4))</f>
        <v>53</v>
      </c>
      <c r="E183" s="49">
        <f>IF(VLOOKUP(Table91213[[#This Row],[Date]],'DB Details'!$A:$Q,5)=0,"",VLOOKUP(Table91213[[#This Row],[Date]],'DB Details'!$A:$Q,5))</f>
        <v>56.6</v>
      </c>
      <c r="F183" s="48">
        <f>IF(VLOOKUP(Table91213[[#This Row],[Date]],'DB Details'!$A:$Q,6)=0,"",VLOOKUP(Table91213[[#This Row],[Date]],'DB Details'!$A:$Q,6))</f>
        <v>56</v>
      </c>
      <c r="G183" s="49">
        <f>IF(VLOOKUP(Table91213[[#This Row],[Date]],'DB Details'!$A:$Q,7)=0,"",VLOOKUP(Table91213[[#This Row],[Date]],'DB Details'!$A:$Q,7))</f>
        <v>61</v>
      </c>
      <c r="H183" s="49">
        <f>IF(VLOOKUP(Table91213[[#This Row],[Date]],'DB Details'!$A:$Q,8)=0,"",VLOOKUP(Table91213[[#This Row],[Date]],'DB Details'!$A:$Q,8))</f>
        <v>54</v>
      </c>
      <c r="I183" s="49">
        <f>IF(VLOOKUP(Table91213[[#This Row],[Date]],'DB Details'!$A:$Q,9)=0,"",VLOOKUP(Table91213[[#This Row],[Date]],'DB Details'!$A:$Q,9))</f>
        <v>51.5</v>
      </c>
      <c r="J183" s="49">
        <f>IF(VLOOKUP(Table91213[[#This Row],[Date]],'DB Details'!$A:$Q,10)=0,"",VLOOKUP(Table91213[[#This Row],[Date]],'DB Details'!$A:$Q,10))</f>
        <v>54.5</v>
      </c>
      <c r="K183" s="49">
        <f>IF(VLOOKUP(Table91213[[#This Row],[Date]],'DB Details'!$A:$Q,11)=0,"",VLOOKUP(Table91213[[#This Row],[Date]],'DB Details'!$A:$Q,11))</f>
        <v>58</v>
      </c>
      <c r="L183" s="47">
        <f>IF(VLOOKUP(Table91213[[#This Row],[Date]],'DB Details'!$A:$Q,12)=0,"",VLOOKUP(Table91213[[#This Row],[Date]],'DB Details'!$A:$Q,12))</f>
        <v>54.4</v>
      </c>
    </row>
    <row r="184" spans="1:12" x14ac:dyDescent="0.35">
      <c r="A184" s="50">
        <v>41030</v>
      </c>
      <c r="B184" s="47">
        <f>IF(VLOOKUP(Table91213[[#This Row],[Date]],'DB Details'!$A:$Q,2)=0,"",VLOOKUP(Table91213[[#This Row],[Date]],'DB Details'!$A:$Q,2))</f>
        <v>55.6</v>
      </c>
      <c r="C184" s="48">
        <f>IF(VLOOKUP(Table91213[[#This Row],[Date]],'DB Details'!$A:$Q,3)=0,"",VLOOKUP(Table91213[[#This Row],[Date]],'DB Details'!$A:$Q,3))</f>
        <v>53</v>
      </c>
      <c r="D184" s="48">
        <f>IF(VLOOKUP(Table91213[[#This Row],[Date]],'DB Details'!$A:$Q,4)=0,"",VLOOKUP(Table91213[[#This Row],[Date]],'DB Details'!$A:$Q,4))</f>
        <v>53</v>
      </c>
      <c r="E184" s="49">
        <f>IF(VLOOKUP(Table91213[[#This Row],[Date]],'DB Details'!$A:$Q,5)=0,"",VLOOKUP(Table91213[[#This Row],[Date]],'DB Details'!$A:$Q,5))</f>
        <v>52.8</v>
      </c>
      <c r="F184" s="48">
        <f>IF(VLOOKUP(Table91213[[#This Row],[Date]],'DB Details'!$A:$Q,6)=0,"",VLOOKUP(Table91213[[#This Row],[Date]],'DB Details'!$A:$Q,6))</f>
        <v>56.4</v>
      </c>
      <c r="G184" s="49">
        <f>IF(VLOOKUP(Table91213[[#This Row],[Date]],'DB Details'!$A:$Q,7)=0,"",VLOOKUP(Table91213[[#This Row],[Date]],'DB Details'!$A:$Q,7))</f>
        <v>63</v>
      </c>
      <c r="H184" s="49">
        <f>IF(VLOOKUP(Table91213[[#This Row],[Date]],'DB Details'!$A:$Q,8)=0,"",VLOOKUP(Table91213[[#This Row],[Date]],'DB Details'!$A:$Q,8))</f>
        <v>56</v>
      </c>
      <c r="I184" s="49">
        <f>IF(VLOOKUP(Table91213[[#This Row],[Date]],'DB Details'!$A:$Q,9)=0,"",VLOOKUP(Table91213[[#This Row],[Date]],'DB Details'!$A:$Q,9))</f>
        <v>53</v>
      </c>
      <c r="J184" s="49">
        <f>IF(VLOOKUP(Table91213[[#This Row],[Date]],'DB Details'!$A:$Q,10)=0,"",VLOOKUP(Table91213[[#This Row],[Date]],'DB Details'!$A:$Q,10))</f>
        <v>51.9</v>
      </c>
      <c r="K184" s="49">
        <f>IF(VLOOKUP(Table91213[[#This Row],[Date]],'DB Details'!$A:$Q,11)=0,"",VLOOKUP(Table91213[[#This Row],[Date]],'DB Details'!$A:$Q,11))</f>
        <v>53</v>
      </c>
      <c r="L184" s="47">
        <f>IF(VLOOKUP(Table91213[[#This Row],[Date]],'DB Details'!$A:$Q,12)=0,"",VLOOKUP(Table91213[[#This Row],[Date]],'DB Details'!$A:$Q,12))</f>
        <v>54.5</v>
      </c>
    </row>
    <row r="185" spans="1:12" x14ac:dyDescent="0.35">
      <c r="A185" s="50">
        <v>41061</v>
      </c>
      <c r="B185" s="47">
        <f>IF(VLOOKUP(Table91213[[#This Row],[Date]],'DB Details'!$A:$Q,2)=0,"",VLOOKUP(Table91213[[#This Row],[Date]],'DB Details'!$A:$Q,2))</f>
        <v>55.7</v>
      </c>
      <c r="C185" s="48">
        <f>IF(VLOOKUP(Table91213[[#This Row],[Date]],'DB Details'!$A:$Q,3)=0,"",VLOOKUP(Table91213[[#This Row],[Date]],'DB Details'!$A:$Q,3))</f>
        <v>53.5</v>
      </c>
      <c r="D185" s="48">
        <f>IF(VLOOKUP(Table91213[[#This Row],[Date]],'DB Details'!$A:$Q,4)=0,"",VLOOKUP(Table91213[[#This Row],[Date]],'DB Details'!$A:$Q,4))</f>
        <v>47.5</v>
      </c>
      <c r="E185" s="49">
        <f>IF(VLOOKUP(Table91213[[#This Row],[Date]],'DB Details'!$A:$Q,5)=0,"",VLOOKUP(Table91213[[#This Row],[Date]],'DB Details'!$A:$Q,5))</f>
        <v>49.7</v>
      </c>
      <c r="F185" s="48">
        <f>IF(VLOOKUP(Table91213[[#This Row],[Date]],'DB Details'!$A:$Q,6)=0,"",VLOOKUP(Table91213[[#This Row],[Date]],'DB Details'!$A:$Q,6))</f>
        <v>53.6</v>
      </c>
      <c r="G185" s="49">
        <f>IF(VLOOKUP(Table91213[[#This Row],[Date]],'DB Details'!$A:$Q,7)=0,"",VLOOKUP(Table91213[[#This Row],[Date]],'DB Details'!$A:$Q,7))</f>
        <v>64.5</v>
      </c>
      <c r="H185" s="49">
        <f>IF(VLOOKUP(Table91213[[#This Row],[Date]],'DB Details'!$A:$Q,8)=0,"",VLOOKUP(Table91213[[#This Row],[Date]],'DB Details'!$A:$Q,8))</f>
        <v>53</v>
      </c>
      <c r="I185" s="49">
        <f>IF(VLOOKUP(Table91213[[#This Row],[Date]],'DB Details'!$A:$Q,9)=0,"",VLOOKUP(Table91213[[#This Row],[Date]],'DB Details'!$A:$Q,9))</f>
        <v>51</v>
      </c>
      <c r="J185" s="49">
        <f>IF(VLOOKUP(Table91213[[#This Row],[Date]],'DB Details'!$A:$Q,10)=0,"",VLOOKUP(Table91213[[#This Row],[Date]],'DB Details'!$A:$Q,10))</f>
        <v>52.5</v>
      </c>
      <c r="K185" s="49">
        <f>IF(VLOOKUP(Table91213[[#This Row],[Date]],'DB Details'!$A:$Q,11)=0,"",VLOOKUP(Table91213[[#This Row],[Date]],'DB Details'!$A:$Q,11))</f>
        <v>49.5</v>
      </c>
      <c r="L185" s="47">
        <f>IF(VLOOKUP(Table91213[[#This Row],[Date]],'DB Details'!$A:$Q,12)=0,"",VLOOKUP(Table91213[[#This Row],[Date]],'DB Details'!$A:$Q,12))</f>
        <v>53.7</v>
      </c>
    </row>
    <row r="186" spans="1:12" x14ac:dyDescent="0.35">
      <c r="A186" s="50">
        <v>41091</v>
      </c>
      <c r="B186" s="47">
        <f>IF(VLOOKUP(Table91213[[#This Row],[Date]],'DB Details'!$A:$Q,2)=0,"",VLOOKUP(Table91213[[#This Row],[Date]],'DB Details'!$A:$Q,2))</f>
        <v>54.3</v>
      </c>
      <c r="C186" s="48">
        <f>IF(VLOOKUP(Table91213[[#This Row],[Date]],'DB Details'!$A:$Q,3)=0,"",VLOOKUP(Table91213[[#This Row],[Date]],'DB Details'!$A:$Q,3))</f>
        <v>44.5</v>
      </c>
      <c r="D186" s="48">
        <f>IF(VLOOKUP(Table91213[[#This Row],[Date]],'DB Details'!$A:$Q,4)=0,"",VLOOKUP(Table91213[[#This Row],[Date]],'DB Details'!$A:$Q,4))</f>
        <v>44.5</v>
      </c>
      <c r="E186" s="49">
        <f>IF(VLOOKUP(Table91213[[#This Row],[Date]],'DB Details'!$A:$Q,5)=0,"",VLOOKUP(Table91213[[#This Row],[Date]],'DB Details'!$A:$Q,5))</f>
        <v>54.8</v>
      </c>
      <c r="F186" s="48">
        <f>IF(VLOOKUP(Table91213[[#This Row],[Date]],'DB Details'!$A:$Q,6)=0,"",VLOOKUP(Table91213[[#This Row],[Date]],'DB Details'!$A:$Q,6))</f>
        <v>56.2</v>
      </c>
      <c r="G186" s="49">
        <f>IF(VLOOKUP(Table91213[[#This Row],[Date]],'DB Details'!$A:$Q,7)=0,"",VLOOKUP(Table91213[[#This Row],[Date]],'DB Details'!$A:$Q,7))</f>
        <v>59</v>
      </c>
      <c r="H186" s="49">
        <f>IF(VLOOKUP(Table91213[[#This Row],[Date]],'DB Details'!$A:$Q,8)=0,"",VLOOKUP(Table91213[[#This Row],[Date]],'DB Details'!$A:$Q,8))</f>
        <v>54.5</v>
      </c>
      <c r="I186" s="49">
        <f>IF(VLOOKUP(Table91213[[#This Row],[Date]],'DB Details'!$A:$Q,9)=0,"",VLOOKUP(Table91213[[#This Row],[Date]],'DB Details'!$A:$Q,9))</f>
        <v>49.5</v>
      </c>
      <c r="J186" s="49">
        <f>IF(VLOOKUP(Table91213[[#This Row],[Date]],'DB Details'!$A:$Q,10)=0,"",VLOOKUP(Table91213[[#This Row],[Date]],'DB Details'!$A:$Q,10))</f>
        <v>50.3</v>
      </c>
      <c r="K186" s="49">
        <f>IF(VLOOKUP(Table91213[[#This Row],[Date]],'DB Details'!$A:$Q,11)=0,"",VLOOKUP(Table91213[[#This Row],[Date]],'DB Details'!$A:$Q,11))</f>
        <v>51</v>
      </c>
      <c r="L186" s="47">
        <f>IF(VLOOKUP(Table91213[[#This Row],[Date]],'DB Details'!$A:$Q,12)=0,"",VLOOKUP(Table91213[[#This Row],[Date]],'DB Details'!$A:$Q,12))</f>
        <v>52.4</v>
      </c>
    </row>
    <row r="187" spans="1:12" x14ac:dyDescent="0.35">
      <c r="A187" s="50">
        <v>41122</v>
      </c>
      <c r="B187" s="47">
        <f>IF(VLOOKUP(Table91213[[#This Row],[Date]],'DB Details'!$A:$Q,2)=0,"",VLOOKUP(Table91213[[#This Row],[Date]],'DB Details'!$A:$Q,2))</f>
        <v>53.6</v>
      </c>
      <c r="C187" s="48">
        <f>IF(VLOOKUP(Table91213[[#This Row],[Date]],'DB Details'!$A:$Q,3)=0,"",VLOOKUP(Table91213[[#This Row],[Date]],'DB Details'!$A:$Q,3))</f>
        <v>49.5</v>
      </c>
      <c r="D187" s="48">
        <f>IF(VLOOKUP(Table91213[[#This Row],[Date]],'DB Details'!$A:$Q,4)=0,"",VLOOKUP(Table91213[[#This Row],[Date]],'DB Details'!$A:$Q,4))</f>
        <v>50.5</v>
      </c>
      <c r="E187" s="49">
        <f>IF(VLOOKUP(Table91213[[#This Row],[Date]],'DB Details'!$A:$Q,5)=0,"",VLOOKUP(Table91213[[#This Row],[Date]],'DB Details'!$A:$Q,5))</f>
        <v>61.8</v>
      </c>
      <c r="F187" s="48">
        <f>IF(VLOOKUP(Table91213[[#This Row],[Date]],'DB Details'!$A:$Q,6)=0,"",VLOOKUP(Table91213[[#This Row],[Date]],'DB Details'!$A:$Q,6))</f>
        <v>55.3</v>
      </c>
      <c r="G187" s="49">
        <f>IF(VLOOKUP(Table91213[[#This Row],[Date]],'DB Details'!$A:$Q,7)=0,"",VLOOKUP(Table91213[[#This Row],[Date]],'DB Details'!$A:$Q,7))</f>
        <v>67</v>
      </c>
      <c r="H187" s="49">
        <f>IF(VLOOKUP(Table91213[[#This Row],[Date]],'DB Details'!$A:$Q,8)=0,"",VLOOKUP(Table91213[[#This Row],[Date]],'DB Details'!$A:$Q,8))</f>
        <v>52.5</v>
      </c>
      <c r="I187" s="49">
        <f>IF(VLOOKUP(Table91213[[#This Row],[Date]],'DB Details'!$A:$Q,9)=0,"",VLOOKUP(Table91213[[#This Row],[Date]],'DB Details'!$A:$Q,9))</f>
        <v>51.5</v>
      </c>
      <c r="J187" s="49">
        <f>IF(VLOOKUP(Table91213[[#This Row],[Date]],'DB Details'!$A:$Q,10)=0,"",VLOOKUP(Table91213[[#This Row],[Date]],'DB Details'!$A:$Q,10))</f>
        <v>53.3</v>
      </c>
      <c r="K187" s="49">
        <f>IF(VLOOKUP(Table91213[[#This Row],[Date]],'DB Details'!$A:$Q,11)=0,"",VLOOKUP(Table91213[[#This Row],[Date]],'DB Details'!$A:$Q,11))</f>
        <v>52</v>
      </c>
      <c r="L187" s="47">
        <f>IF(VLOOKUP(Table91213[[#This Row],[Date]],'DB Details'!$A:$Q,12)=0,"",VLOOKUP(Table91213[[#This Row],[Date]],'DB Details'!$A:$Q,12))</f>
        <v>52.9</v>
      </c>
    </row>
    <row r="188" spans="1:12" x14ac:dyDescent="0.35">
      <c r="A188" s="50">
        <v>41153</v>
      </c>
      <c r="B188" s="47">
        <f>IF(VLOOKUP(Table91213[[#This Row],[Date]],'DB Details'!$A:$Q,2)=0,"",VLOOKUP(Table91213[[#This Row],[Date]],'DB Details'!$A:$Q,2))</f>
        <v>55.6</v>
      </c>
      <c r="C188" s="48">
        <f>IF(VLOOKUP(Table91213[[#This Row],[Date]],'DB Details'!$A:$Q,3)=0,"",VLOOKUP(Table91213[[#This Row],[Date]],'DB Details'!$A:$Q,3))</f>
        <v>50</v>
      </c>
      <c r="D188" s="48">
        <f>IF(VLOOKUP(Table91213[[#This Row],[Date]],'DB Details'!$A:$Q,4)=0,"",VLOOKUP(Table91213[[#This Row],[Date]],'DB Details'!$A:$Q,4))</f>
        <v>48</v>
      </c>
      <c r="E188" s="49">
        <f>IF(VLOOKUP(Table91213[[#This Row],[Date]],'DB Details'!$A:$Q,5)=0,"",VLOOKUP(Table91213[[#This Row],[Date]],'DB Details'!$A:$Q,5))</f>
        <v>65.900000000000006</v>
      </c>
      <c r="F188" s="48">
        <f>IF(VLOOKUP(Table91213[[#This Row],[Date]],'DB Details'!$A:$Q,6)=0,"",VLOOKUP(Table91213[[#This Row],[Date]],'DB Details'!$A:$Q,6))</f>
        <v>60.2</v>
      </c>
      <c r="G188" s="49">
        <f>IF(VLOOKUP(Table91213[[#This Row],[Date]],'DB Details'!$A:$Q,7)=0,"",VLOOKUP(Table91213[[#This Row],[Date]],'DB Details'!$A:$Q,7))</f>
        <v>65</v>
      </c>
      <c r="H188" s="49">
        <f>IF(VLOOKUP(Table91213[[#This Row],[Date]],'DB Details'!$A:$Q,8)=0,"",VLOOKUP(Table91213[[#This Row],[Date]],'DB Details'!$A:$Q,8))</f>
        <v>48.5</v>
      </c>
      <c r="I188" s="49">
        <f>IF(VLOOKUP(Table91213[[#This Row],[Date]],'DB Details'!$A:$Q,9)=0,"",VLOOKUP(Table91213[[#This Row],[Date]],'DB Details'!$A:$Q,9))</f>
        <v>51.5</v>
      </c>
      <c r="J188" s="49">
        <f>IF(VLOOKUP(Table91213[[#This Row],[Date]],'DB Details'!$A:$Q,10)=0,"",VLOOKUP(Table91213[[#This Row],[Date]],'DB Details'!$A:$Q,10))</f>
        <v>53.2</v>
      </c>
      <c r="K188" s="49">
        <f>IF(VLOOKUP(Table91213[[#This Row],[Date]],'DB Details'!$A:$Q,11)=0,"",VLOOKUP(Table91213[[#This Row],[Date]],'DB Details'!$A:$Q,11))</f>
        <v>50.5</v>
      </c>
      <c r="L188" s="47">
        <f>IF(VLOOKUP(Table91213[[#This Row],[Date]],'DB Details'!$A:$Q,12)=0,"",VLOOKUP(Table91213[[#This Row],[Date]],'DB Details'!$A:$Q,12))</f>
        <v>54.6</v>
      </c>
    </row>
    <row r="189" spans="1:12" x14ac:dyDescent="0.35">
      <c r="A189" s="50">
        <v>41183</v>
      </c>
      <c r="B189" s="47">
        <f>IF(VLOOKUP(Table91213[[#This Row],[Date]],'DB Details'!$A:$Q,2)=0,"",VLOOKUP(Table91213[[#This Row],[Date]],'DB Details'!$A:$Q,2))</f>
        <v>55.5</v>
      </c>
      <c r="C189" s="48">
        <f>IF(VLOOKUP(Table91213[[#This Row],[Date]],'DB Details'!$A:$Q,3)=0,"",VLOOKUP(Table91213[[#This Row],[Date]],'DB Details'!$A:$Q,3))</f>
        <v>49.5</v>
      </c>
      <c r="D189" s="48">
        <f>IF(VLOOKUP(Table91213[[#This Row],[Date]],'DB Details'!$A:$Q,4)=0,"",VLOOKUP(Table91213[[#This Row],[Date]],'DB Details'!$A:$Q,4))</f>
        <v>49</v>
      </c>
      <c r="E189" s="49">
        <f>IF(VLOOKUP(Table91213[[#This Row],[Date]],'DB Details'!$A:$Q,5)=0,"",VLOOKUP(Table91213[[#This Row],[Date]],'DB Details'!$A:$Q,5))</f>
        <v>61.7</v>
      </c>
      <c r="F189" s="48">
        <f>IF(VLOOKUP(Table91213[[#This Row],[Date]],'DB Details'!$A:$Q,6)=0,"",VLOOKUP(Table91213[[#This Row],[Date]],'DB Details'!$A:$Q,6))</f>
        <v>56.1</v>
      </c>
      <c r="G189" s="49">
        <f>IF(VLOOKUP(Table91213[[#This Row],[Date]],'DB Details'!$A:$Q,7)=0,"",VLOOKUP(Table91213[[#This Row],[Date]],'DB Details'!$A:$Q,7))</f>
        <v>64</v>
      </c>
      <c r="H189" s="49">
        <f>IF(VLOOKUP(Table91213[[#This Row],[Date]],'DB Details'!$A:$Q,8)=0,"",VLOOKUP(Table91213[[#This Row],[Date]],'DB Details'!$A:$Q,8))</f>
        <v>46.5</v>
      </c>
      <c r="I189" s="49">
        <f>IF(VLOOKUP(Table91213[[#This Row],[Date]],'DB Details'!$A:$Q,9)=0,"",VLOOKUP(Table91213[[#This Row],[Date]],'DB Details'!$A:$Q,9))</f>
        <v>51.5</v>
      </c>
      <c r="J189" s="49">
        <f>IF(VLOOKUP(Table91213[[#This Row],[Date]],'DB Details'!$A:$Q,10)=0,"",VLOOKUP(Table91213[[#This Row],[Date]],'DB Details'!$A:$Q,10))</f>
        <v>54.7</v>
      </c>
      <c r="K189" s="49">
        <f>IF(VLOOKUP(Table91213[[#This Row],[Date]],'DB Details'!$A:$Q,11)=0,"",VLOOKUP(Table91213[[#This Row],[Date]],'DB Details'!$A:$Q,11))</f>
        <v>47.5</v>
      </c>
      <c r="L189" s="47">
        <f>IF(VLOOKUP(Table91213[[#This Row],[Date]],'DB Details'!$A:$Q,12)=0,"",VLOOKUP(Table91213[[#This Row],[Date]],'DB Details'!$A:$Q,12))</f>
        <v>54.2</v>
      </c>
    </row>
    <row r="190" spans="1:12" x14ac:dyDescent="0.35">
      <c r="A190" s="50">
        <v>41214</v>
      </c>
      <c r="B190" s="47">
        <f>IF(VLOOKUP(Table91213[[#This Row],[Date]],'DB Details'!$A:$Q,2)=0,"",VLOOKUP(Table91213[[#This Row],[Date]],'DB Details'!$A:$Q,2))</f>
        <v>57.1</v>
      </c>
      <c r="C190" s="48">
        <f>IF(VLOOKUP(Table91213[[#This Row],[Date]],'DB Details'!$A:$Q,3)=0,"",VLOOKUP(Table91213[[#This Row],[Date]],'DB Details'!$A:$Q,3))</f>
        <v>55.5</v>
      </c>
      <c r="D190" s="48">
        <f>IF(VLOOKUP(Table91213[[#This Row],[Date]],'DB Details'!$A:$Q,4)=0,"",VLOOKUP(Table91213[[#This Row],[Date]],'DB Details'!$A:$Q,4))</f>
        <v>53.5</v>
      </c>
      <c r="E190" s="49">
        <f>IF(VLOOKUP(Table91213[[#This Row],[Date]],'DB Details'!$A:$Q,5)=0,"",VLOOKUP(Table91213[[#This Row],[Date]],'DB Details'!$A:$Q,5))</f>
        <v>57.9</v>
      </c>
      <c r="F190" s="48">
        <f>IF(VLOOKUP(Table91213[[#This Row],[Date]],'DB Details'!$A:$Q,6)=0,"",VLOOKUP(Table91213[[#This Row],[Date]],'DB Details'!$A:$Q,6))</f>
        <v>60.9</v>
      </c>
      <c r="G190" s="49">
        <f>IF(VLOOKUP(Table91213[[#This Row],[Date]],'DB Details'!$A:$Q,7)=0,"",VLOOKUP(Table91213[[#This Row],[Date]],'DB Details'!$A:$Q,7))</f>
        <v>62.5</v>
      </c>
      <c r="H190" s="49">
        <f>IF(VLOOKUP(Table91213[[#This Row],[Date]],'DB Details'!$A:$Q,8)=0,"",VLOOKUP(Table91213[[#This Row],[Date]],'DB Details'!$A:$Q,8))</f>
        <v>47</v>
      </c>
      <c r="I190" s="49">
        <f>IF(VLOOKUP(Table91213[[#This Row],[Date]],'DB Details'!$A:$Q,9)=0,"",VLOOKUP(Table91213[[#This Row],[Date]],'DB Details'!$A:$Q,9))</f>
        <v>49</v>
      </c>
      <c r="J190" s="49">
        <f>IF(VLOOKUP(Table91213[[#This Row],[Date]],'DB Details'!$A:$Q,10)=0,"",VLOOKUP(Table91213[[#This Row],[Date]],'DB Details'!$A:$Q,10))</f>
        <v>53.3</v>
      </c>
      <c r="K190" s="49">
        <f>IF(VLOOKUP(Table91213[[#This Row],[Date]],'DB Details'!$A:$Q,11)=0,"",VLOOKUP(Table91213[[#This Row],[Date]],'DB Details'!$A:$Q,11))</f>
        <v>48</v>
      </c>
      <c r="L190" s="47">
        <f>IF(VLOOKUP(Table91213[[#This Row],[Date]],'DB Details'!$A:$Q,12)=0,"",VLOOKUP(Table91213[[#This Row],[Date]],'DB Details'!$A:$Q,12))</f>
        <v>54.8</v>
      </c>
    </row>
    <row r="191" spans="1:12" x14ac:dyDescent="0.35">
      <c r="A191" s="50">
        <v>41244</v>
      </c>
      <c r="B191" s="47">
        <f>IF(VLOOKUP(Table91213[[#This Row],[Date]],'DB Details'!$A:$Q,2)=0,"",VLOOKUP(Table91213[[#This Row],[Date]],'DB Details'!$A:$Q,2))</f>
        <v>58.8</v>
      </c>
      <c r="C191" s="48">
        <f>IF(VLOOKUP(Table91213[[#This Row],[Date]],'DB Details'!$A:$Q,3)=0,"",VLOOKUP(Table91213[[#This Row],[Date]],'DB Details'!$A:$Q,3))</f>
        <v>49</v>
      </c>
      <c r="D191" s="48">
        <f>IF(VLOOKUP(Table91213[[#This Row],[Date]],'DB Details'!$A:$Q,4)=0,"",VLOOKUP(Table91213[[#This Row],[Date]],'DB Details'!$A:$Q,4))</f>
        <v>49.5</v>
      </c>
      <c r="E191" s="49">
        <f>IF(VLOOKUP(Table91213[[#This Row],[Date]],'DB Details'!$A:$Q,5)=0,"",VLOOKUP(Table91213[[#This Row],[Date]],'DB Details'!$A:$Q,5))</f>
        <v>56.9</v>
      </c>
      <c r="F191" s="48">
        <f>IF(VLOOKUP(Table91213[[#This Row],[Date]],'DB Details'!$A:$Q,6)=0,"",VLOOKUP(Table91213[[#This Row],[Date]],'DB Details'!$A:$Q,6))</f>
        <v>60</v>
      </c>
      <c r="G191" s="49">
        <f>IF(VLOOKUP(Table91213[[#This Row],[Date]],'DB Details'!$A:$Q,7)=0,"",VLOOKUP(Table91213[[#This Row],[Date]],'DB Details'!$A:$Q,7))</f>
        <v>58</v>
      </c>
      <c r="H191" s="49">
        <f>IF(VLOOKUP(Table91213[[#This Row],[Date]],'DB Details'!$A:$Q,8)=0,"",VLOOKUP(Table91213[[#This Row],[Date]],'DB Details'!$A:$Q,8))</f>
        <v>50</v>
      </c>
      <c r="I191" s="49">
        <f>IF(VLOOKUP(Table91213[[#This Row],[Date]],'DB Details'!$A:$Q,9)=0,"",VLOOKUP(Table91213[[#This Row],[Date]],'DB Details'!$A:$Q,9))</f>
        <v>48.5</v>
      </c>
      <c r="J191" s="49">
        <f>IF(VLOOKUP(Table91213[[#This Row],[Date]],'DB Details'!$A:$Q,10)=0,"",VLOOKUP(Table91213[[#This Row],[Date]],'DB Details'!$A:$Q,10))</f>
        <v>55.2</v>
      </c>
      <c r="K191" s="49">
        <f>IF(VLOOKUP(Table91213[[#This Row],[Date]],'DB Details'!$A:$Q,11)=0,"",VLOOKUP(Table91213[[#This Row],[Date]],'DB Details'!$A:$Q,11))</f>
        <v>49.5</v>
      </c>
      <c r="L191" s="47">
        <f>IF(VLOOKUP(Table91213[[#This Row],[Date]],'DB Details'!$A:$Q,12)=0,"",VLOOKUP(Table91213[[#This Row],[Date]],'DB Details'!$A:$Q,12))</f>
        <v>55.6</v>
      </c>
    </row>
    <row r="192" spans="1:12" x14ac:dyDescent="0.35">
      <c r="A192" s="50">
        <v>41275</v>
      </c>
      <c r="B192" s="47">
        <f>IF(VLOOKUP(Table91213[[#This Row],[Date]],'DB Details'!$A:$Q,2)=0,"",VLOOKUP(Table91213[[#This Row],[Date]],'DB Details'!$A:$Q,2))</f>
        <v>56.7</v>
      </c>
      <c r="C192" s="48">
        <f>IF(VLOOKUP(Table91213[[#This Row],[Date]],'DB Details'!$A:$Q,3)=0,"",VLOOKUP(Table91213[[#This Row],[Date]],'DB Details'!$A:$Q,3))</f>
        <v>51</v>
      </c>
      <c r="D192" s="48">
        <f>IF(VLOOKUP(Table91213[[#This Row],[Date]],'DB Details'!$A:$Q,4)=0,"",VLOOKUP(Table91213[[#This Row],[Date]],'DB Details'!$A:$Q,4))</f>
        <v>49</v>
      </c>
      <c r="E192" s="49">
        <f>IF(VLOOKUP(Table91213[[#This Row],[Date]],'DB Details'!$A:$Q,5)=0,"",VLOOKUP(Table91213[[#This Row],[Date]],'DB Details'!$A:$Q,5))</f>
        <v>57.4</v>
      </c>
      <c r="F192" s="48">
        <f>IF(VLOOKUP(Table91213[[#This Row],[Date]],'DB Details'!$A:$Q,6)=0,"",VLOOKUP(Table91213[[#This Row],[Date]],'DB Details'!$A:$Q,6))</f>
        <v>56.4</v>
      </c>
      <c r="G192" s="49">
        <f>IF(VLOOKUP(Table91213[[#This Row],[Date]],'DB Details'!$A:$Q,7)=0,"",VLOOKUP(Table91213[[#This Row],[Date]],'DB Details'!$A:$Q,7))</f>
        <v>64</v>
      </c>
      <c r="H192" s="49">
        <f>IF(VLOOKUP(Table91213[[#This Row],[Date]],'DB Details'!$A:$Q,8)=0,"",VLOOKUP(Table91213[[#This Row],[Date]],'DB Details'!$A:$Q,8))</f>
        <v>47</v>
      </c>
      <c r="I192" s="49">
        <f>IF(VLOOKUP(Table91213[[#This Row],[Date]],'DB Details'!$A:$Q,9)=0,"",VLOOKUP(Table91213[[#This Row],[Date]],'DB Details'!$A:$Q,9))</f>
        <v>52.5</v>
      </c>
      <c r="J192" s="49">
        <f>IF(VLOOKUP(Table91213[[#This Row],[Date]],'DB Details'!$A:$Q,10)=0,"",VLOOKUP(Table91213[[#This Row],[Date]],'DB Details'!$A:$Q,10))</f>
        <v>55.6</v>
      </c>
      <c r="K192" s="49">
        <f>IF(VLOOKUP(Table91213[[#This Row],[Date]],'DB Details'!$A:$Q,11)=0,"",VLOOKUP(Table91213[[#This Row],[Date]],'DB Details'!$A:$Q,11))</f>
        <v>55.5</v>
      </c>
      <c r="L192" s="47">
        <f>IF(VLOOKUP(Table91213[[#This Row],[Date]],'DB Details'!$A:$Q,12)=0,"",VLOOKUP(Table91213[[#This Row],[Date]],'DB Details'!$A:$Q,12))</f>
        <v>55.3</v>
      </c>
    </row>
    <row r="193" spans="1:12" x14ac:dyDescent="0.35">
      <c r="A193" s="50">
        <v>41306</v>
      </c>
      <c r="B193" s="47">
        <f>IF(VLOOKUP(Table91213[[#This Row],[Date]],'DB Details'!$A:$Q,2)=0,"",VLOOKUP(Table91213[[#This Row],[Date]],'DB Details'!$A:$Q,2))</f>
        <v>58.9</v>
      </c>
      <c r="C193" s="48">
        <f>IF(VLOOKUP(Table91213[[#This Row],[Date]],'DB Details'!$A:$Q,3)=0,"",VLOOKUP(Table91213[[#This Row],[Date]],'DB Details'!$A:$Q,3))</f>
        <v>52.5</v>
      </c>
      <c r="D193" s="48">
        <f>IF(VLOOKUP(Table91213[[#This Row],[Date]],'DB Details'!$A:$Q,4)=0,"",VLOOKUP(Table91213[[#This Row],[Date]],'DB Details'!$A:$Q,4))</f>
        <v>54.5</v>
      </c>
      <c r="E193" s="49">
        <f>IF(VLOOKUP(Table91213[[#This Row],[Date]],'DB Details'!$A:$Q,5)=0,"",VLOOKUP(Table91213[[#This Row],[Date]],'DB Details'!$A:$Q,5))</f>
        <v>61</v>
      </c>
      <c r="F193" s="48">
        <f>IF(VLOOKUP(Table91213[[#This Row],[Date]],'DB Details'!$A:$Q,6)=0,"",VLOOKUP(Table91213[[#This Row],[Date]],'DB Details'!$A:$Q,6))</f>
        <v>56.3</v>
      </c>
      <c r="G193" s="49">
        <f>IF(VLOOKUP(Table91213[[#This Row],[Date]],'DB Details'!$A:$Q,7)=0,"",VLOOKUP(Table91213[[#This Row],[Date]],'DB Details'!$A:$Q,7))</f>
        <v>62.5</v>
      </c>
      <c r="H193" s="49">
        <f>IF(VLOOKUP(Table91213[[#This Row],[Date]],'DB Details'!$A:$Q,8)=0,"",VLOOKUP(Table91213[[#This Row],[Date]],'DB Details'!$A:$Q,8))</f>
        <v>54</v>
      </c>
      <c r="I193" s="49">
        <f>IF(VLOOKUP(Table91213[[#This Row],[Date]],'DB Details'!$A:$Q,9)=0,"",VLOOKUP(Table91213[[#This Row],[Date]],'DB Details'!$A:$Q,9))</f>
        <v>51.5</v>
      </c>
      <c r="J193" s="49">
        <f>IF(VLOOKUP(Table91213[[#This Row],[Date]],'DB Details'!$A:$Q,10)=0,"",VLOOKUP(Table91213[[#This Row],[Date]],'DB Details'!$A:$Q,10))</f>
        <v>55.5</v>
      </c>
      <c r="K193" s="49">
        <f>IF(VLOOKUP(Table91213[[#This Row],[Date]],'DB Details'!$A:$Q,11)=0,"",VLOOKUP(Table91213[[#This Row],[Date]],'DB Details'!$A:$Q,11))</f>
        <v>60.5</v>
      </c>
      <c r="L193" s="47">
        <f>IF(VLOOKUP(Table91213[[#This Row],[Date]],'DB Details'!$A:$Q,12)=0,"",VLOOKUP(Table91213[[#This Row],[Date]],'DB Details'!$A:$Q,12))</f>
        <v>56.1</v>
      </c>
    </row>
    <row r="194" spans="1:12" x14ac:dyDescent="0.35">
      <c r="A194" s="50">
        <v>41334</v>
      </c>
      <c r="B194" s="47">
        <f>IF(VLOOKUP(Table91213[[#This Row],[Date]],'DB Details'!$A:$Q,2)=0,"",VLOOKUP(Table91213[[#This Row],[Date]],'DB Details'!$A:$Q,2))</f>
        <v>56.5</v>
      </c>
      <c r="C194" s="48">
        <f>IF(VLOOKUP(Table91213[[#This Row],[Date]],'DB Details'!$A:$Q,3)=0,"",VLOOKUP(Table91213[[#This Row],[Date]],'DB Details'!$A:$Q,3))</f>
        <v>57.5</v>
      </c>
      <c r="D194" s="48">
        <f>IF(VLOOKUP(Table91213[[#This Row],[Date]],'DB Details'!$A:$Q,4)=0,"",VLOOKUP(Table91213[[#This Row],[Date]],'DB Details'!$A:$Q,4))</f>
        <v>54.5</v>
      </c>
      <c r="E194" s="49">
        <f>IF(VLOOKUP(Table91213[[#This Row],[Date]],'DB Details'!$A:$Q,5)=0,"",VLOOKUP(Table91213[[#This Row],[Date]],'DB Details'!$A:$Q,5))</f>
        <v>56.2</v>
      </c>
      <c r="F194" s="48">
        <f>IF(VLOOKUP(Table91213[[#This Row],[Date]],'DB Details'!$A:$Q,6)=0,"",VLOOKUP(Table91213[[#This Row],[Date]],'DB Details'!$A:$Q,6))</f>
        <v>56.6</v>
      </c>
      <c r="G194" s="49">
        <f>IF(VLOOKUP(Table91213[[#This Row],[Date]],'DB Details'!$A:$Q,7)=0,"",VLOOKUP(Table91213[[#This Row],[Date]],'DB Details'!$A:$Q,7))</f>
        <v>59.5</v>
      </c>
      <c r="H194" s="49">
        <f>IF(VLOOKUP(Table91213[[#This Row],[Date]],'DB Details'!$A:$Q,8)=0,"",VLOOKUP(Table91213[[#This Row],[Date]],'DB Details'!$A:$Q,8))</f>
        <v>51.5</v>
      </c>
      <c r="I194" s="49">
        <f>IF(VLOOKUP(Table91213[[#This Row],[Date]],'DB Details'!$A:$Q,9)=0,"",VLOOKUP(Table91213[[#This Row],[Date]],'DB Details'!$A:$Q,9))</f>
        <v>53</v>
      </c>
      <c r="J194" s="49">
        <f>IF(VLOOKUP(Table91213[[#This Row],[Date]],'DB Details'!$A:$Q,10)=0,"",VLOOKUP(Table91213[[#This Row],[Date]],'DB Details'!$A:$Q,10))</f>
        <v>53.2</v>
      </c>
      <c r="K194" s="49">
        <f>IF(VLOOKUP(Table91213[[#This Row],[Date]],'DB Details'!$A:$Q,11)=0,"",VLOOKUP(Table91213[[#This Row],[Date]],'DB Details'!$A:$Q,11))</f>
        <v>56.5</v>
      </c>
      <c r="L194" s="47">
        <f>IF(VLOOKUP(Table91213[[#This Row],[Date]],'DB Details'!$A:$Q,12)=0,"",VLOOKUP(Table91213[[#This Row],[Date]],'DB Details'!$A:$Q,12))</f>
        <v>55.2</v>
      </c>
    </row>
    <row r="195" spans="1:12" x14ac:dyDescent="0.35">
      <c r="A195" s="50">
        <v>41365</v>
      </c>
      <c r="B195" s="47">
        <f>IF(VLOOKUP(Table91213[[#This Row],[Date]],'DB Details'!$A:$Q,2)=0,"",VLOOKUP(Table91213[[#This Row],[Date]],'DB Details'!$A:$Q,2))</f>
        <v>55.4</v>
      </c>
      <c r="C195" s="48">
        <f>IF(VLOOKUP(Table91213[[#This Row],[Date]],'DB Details'!$A:$Q,3)=0,"",VLOOKUP(Table91213[[#This Row],[Date]],'DB Details'!$A:$Q,3))</f>
        <v>58.5</v>
      </c>
      <c r="D195" s="48">
        <f>IF(VLOOKUP(Table91213[[#This Row],[Date]],'DB Details'!$A:$Q,4)=0,"",VLOOKUP(Table91213[[#This Row],[Date]],'DB Details'!$A:$Q,4))</f>
        <v>51.5</v>
      </c>
      <c r="E195" s="49">
        <f>IF(VLOOKUP(Table91213[[#This Row],[Date]],'DB Details'!$A:$Q,5)=0,"",VLOOKUP(Table91213[[#This Row],[Date]],'DB Details'!$A:$Q,5))</f>
        <v>52.7</v>
      </c>
      <c r="F195" s="48">
        <f>IF(VLOOKUP(Table91213[[#This Row],[Date]],'DB Details'!$A:$Q,6)=0,"",VLOOKUP(Table91213[[#This Row],[Date]],'DB Details'!$A:$Q,6))</f>
        <v>55.9</v>
      </c>
      <c r="G195" s="49">
        <f>IF(VLOOKUP(Table91213[[#This Row],[Date]],'DB Details'!$A:$Q,7)=0,"",VLOOKUP(Table91213[[#This Row],[Date]],'DB Details'!$A:$Q,7))</f>
        <v>60.5</v>
      </c>
      <c r="H195" s="49">
        <f>IF(VLOOKUP(Table91213[[#This Row],[Date]],'DB Details'!$A:$Q,8)=0,"",VLOOKUP(Table91213[[#This Row],[Date]],'DB Details'!$A:$Q,8))</f>
        <v>56</v>
      </c>
      <c r="I195" s="49">
        <f>IF(VLOOKUP(Table91213[[#This Row],[Date]],'DB Details'!$A:$Q,9)=0,"",VLOOKUP(Table91213[[#This Row],[Date]],'DB Details'!$A:$Q,9))</f>
        <v>51</v>
      </c>
      <c r="J195" s="49">
        <f>IF(VLOOKUP(Table91213[[#This Row],[Date]],'DB Details'!$A:$Q,10)=0,"",VLOOKUP(Table91213[[#This Row],[Date]],'DB Details'!$A:$Q,10))</f>
        <v>52.6</v>
      </c>
      <c r="K195" s="49">
        <f>IF(VLOOKUP(Table91213[[#This Row],[Date]],'DB Details'!$A:$Q,11)=0,"",VLOOKUP(Table91213[[#This Row],[Date]],'DB Details'!$A:$Q,11))</f>
        <v>53.5</v>
      </c>
      <c r="L195" s="47">
        <f>IF(VLOOKUP(Table91213[[#This Row],[Date]],'DB Details'!$A:$Q,12)=0,"",VLOOKUP(Table91213[[#This Row],[Date]],'DB Details'!$A:$Q,12))</f>
        <v>53.9</v>
      </c>
    </row>
    <row r="196" spans="1:12" x14ac:dyDescent="0.35">
      <c r="A196" s="50">
        <v>41395</v>
      </c>
      <c r="B196" s="47">
        <f>IF(VLOOKUP(Table91213[[#This Row],[Date]],'DB Details'!$A:$Q,2)=0,"",VLOOKUP(Table91213[[#This Row],[Date]],'DB Details'!$A:$Q,2))</f>
        <v>56.1</v>
      </c>
      <c r="C196" s="48">
        <f>IF(VLOOKUP(Table91213[[#This Row],[Date]],'DB Details'!$A:$Q,3)=0,"",VLOOKUP(Table91213[[#This Row],[Date]],'DB Details'!$A:$Q,3))</f>
        <v>49.5</v>
      </c>
      <c r="D196" s="48">
        <f>IF(VLOOKUP(Table91213[[#This Row],[Date]],'DB Details'!$A:$Q,4)=0,"",VLOOKUP(Table91213[[#This Row],[Date]],'DB Details'!$A:$Q,4))</f>
        <v>51.5</v>
      </c>
      <c r="E196" s="49">
        <f>IF(VLOOKUP(Table91213[[#This Row],[Date]],'DB Details'!$A:$Q,5)=0,"",VLOOKUP(Table91213[[#This Row],[Date]],'DB Details'!$A:$Q,5))</f>
        <v>52.6</v>
      </c>
      <c r="F196" s="48">
        <f>IF(VLOOKUP(Table91213[[#This Row],[Date]],'DB Details'!$A:$Q,6)=0,"",VLOOKUP(Table91213[[#This Row],[Date]],'DB Details'!$A:$Q,6))</f>
        <v>57</v>
      </c>
      <c r="G196" s="49">
        <f>IF(VLOOKUP(Table91213[[#This Row],[Date]],'DB Details'!$A:$Q,7)=0,"",VLOOKUP(Table91213[[#This Row],[Date]],'DB Details'!$A:$Q,7))</f>
        <v>62.5</v>
      </c>
      <c r="H196" s="49">
        <f>IF(VLOOKUP(Table91213[[#This Row],[Date]],'DB Details'!$A:$Q,8)=0,"",VLOOKUP(Table91213[[#This Row],[Date]],'DB Details'!$A:$Q,8))</f>
        <v>51.5</v>
      </c>
      <c r="I196" s="49">
        <f>IF(VLOOKUP(Table91213[[#This Row],[Date]],'DB Details'!$A:$Q,9)=0,"",VLOOKUP(Table91213[[#This Row],[Date]],'DB Details'!$A:$Q,9))</f>
        <v>52</v>
      </c>
      <c r="J196" s="49">
        <f>IF(VLOOKUP(Table91213[[#This Row],[Date]],'DB Details'!$A:$Q,10)=0,"",VLOOKUP(Table91213[[#This Row],[Date]],'DB Details'!$A:$Q,10))</f>
        <v>50.3</v>
      </c>
      <c r="K196" s="49">
        <f>IF(VLOOKUP(Table91213[[#This Row],[Date]],'DB Details'!$A:$Q,11)=0,"",VLOOKUP(Table91213[[#This Row],[Date]],'DB Details'!$A:$Q,11))</f>
        <v>50</v>
      </c>
      <c r="L196" s="47">
        <f>IF(VLOOKUP(Table91213[[#This Row],[Date]],'DB Details'!$A:$Q,12)=0,"",VLOOKUP(Table91213[[#This Row],[Date]],'DB Details'!$A:$Q,12))</f>
        <v>54.4</v>
      </c>
    </row>
    <row r="197" spans="1:12" x14ac:dyDescent="0.35">
      <c r="A197" s="50">
        <v>41426</v>
      </c>
      <c r="B197" s="47">
        <f>IF(VLOOKUP(Table91213[[#This Row],[Date]],'DB Details'!$A:$Q,2)=0,"",VLOOKUP(Table91213[[#This Row],[Date]],'DB Details'!$A:$Q,2))</f>
        <v>54.1</v>
      </c>
      <c r="C197" s="48">
        <f>IF(VLOOKUP(Table91213[[#This Row],[Date]],'DB Details'!$A:$Q,3)=0,"",VLOOKUP(Table91213[[#This Row],[Date]],'DB Details'!$A:$Q,3))</f>
        <v>53.5</v>
      </c>
      <c r="D197" s="48">
        <f>IF(VLOOKUP(Table91213[[#This Row],[Date]],'DB Details'!$A:$Q,4)=0,"",VLOOKUP(Table91213[[#This Row],[Date]],'DB Details'!$A:$Q,4))</f>
        <v>52</v>
      </c>
      <c r="E197" s="49">
        <f>IF(VLOOKUP(Table91213[[#This Row],[Date]],'DB Details'!$A:$Q,5)=0,"",VLOOKUP(Table91213[[#This Row],[Date]],'DB Details'!$A:$Q,5))</f>
        <v>54.8</v>
      </c>
      <c r="F197" s="48">
        <f>IF(VLOOKUP(Table91213[[#This Row],[Date]],'DB Details'!$A:$Q,6)=0,"",VLOOKUP(Table91213[[#This Row],[Date]],'DB Details'!$A:$Q,6))</f>
        <v>53.3</v>
      </c>
      <c r="G197" s="49">
        <f>IF(VLOOKUP(Table91213[[#This Row],[Date]],'DB Details'!$A:$Q,7)=0,"",VLOOKUP(Table91213[[#This Row],[Date]],'DB Details'!$A:$Q,7))</f>
        <v>61.5</v>
      </c>
      <c r="H197" s="49">
        <f>IF(VLOOKUP(Table91213[[#This Row],[Date]],'DB Details'!$A:$Q,8)=0,"",VLOOKUP(Table91213[[#This Row],[Date]],'DB Details'!$A:$Q,8))</f>
        <v>54.5</v>
      </c>
      <c r="I197" s="49">
        <f>IF(VLOOKUP(Table91213[[#This Row],[Date]],'DB Details'!$A:$Q,9)=0,"",VLOOKUP(Table91213[[#This Row],[Date]],'DB Details'!$A:$Q,9))</f>
        <v>51.5</v>
      </c>
      <c r="J197" s="49">
        <f>IF(VLOOKUP(Table91213[[#This Row],[Date]],'DB Details'!$A:$Q,10)=0,"",VLOOKUP(Table91213[[#This Row],[Date]],'DB Details'!$A:$Q,10))</f>
        <v>54.9</v>
      </c>
      <c r="K197" s="49">
        <f>IF(VLOOKUP(Table91213[[#This Row],[Date]],'DB Details'!$A:$Q,11)=0,"",VLOOKUP(Table91213[[#This Row],[Date]],'DB Details'!$A:$Q,11))</f>
        <v>47.5</v>
      </c>
      <c r="L197" s="47">
        <f>IF(VLOOKUP(Table91213[[#This Row],[Date]],'DB Details'!$A:$Q,12)=0,"",VLOOKUP(Table91213[[#This Row],[Date]],'DB Details'!$A:$Q,12))</f>
        <v>54.1</v>
      </c>
    </row>
    <row r="198" spans="1:12" x14ac:dyDescent="0.35">
      <c r="A198" s="50">
        <v>41456</v>
      </c>
      <c r="B198" s="47">
        <f>IF(VLOOKUP(Table91213[[#This Row],[Date]],'DB Details'!$A:$Q,2)=0,"",VLOOKUP(Table91213[[#This Row],[Date]],'DB Details'!$A:$Q,2))</f>
        <v>55.3</v>
      </c>
      <c r="C198" s="48">
        <f>IF(VLOOKUP(Table91213[[#This Row],[Date]],'DB Details'!$A:$Q,3)=0,"",VLOOKUP(Table91213[[#This Row],[Date]],'DB Details'!$A:$Q,3))</f>
        <v>50.5</v>
      </c>
      <c r="D198" s="48">
        <f>IF(VLOOKUP(Table91213[[#This Row],[Date]],'DB Details'!$A:$Q,4)=0,"",VLOOKUP(Table91213[[#This Row],[Date]],'DB Details'!$A:$Q,4))</f>
        <v>46.5</v>
      </c>
      <c r="E198" s="49">
        <f>IF(VLOOKUP(Table91213[[#This Row],[Date]],'DB Details'!$A:$Q,5)=0,"",VLOOKUP(Table91213[[#This Row],[Date]],'DB Details'!$A:$Q,5))</f>
        <v>56.9</v>
      </c>
      <c r="F198" s="48">
        <f>IF(VLOOKUP(Table91213[[#This Row],[Date]],'DB Details'!$A:$Q,6)=0,"",VLOOKUP(Table91213[[#This Row],[Date]],'DB Details'!$A:$Q,6))</f>
        <v>59.5</v>
      </c>
      <c r="G198" s="49">
        <f>IF(VLOOKUP(Table91213[[#This Row],[Date]],'DB Details'!$A:$Q,7)=0,"",VLOOKUP(Table91213[[#This Row],[Date]],'DB Details'!$A:$Q,7))</f>
        <v>64</v>
      </c>
      <c r="H198" s="49">
        <f>IF(VLOOKUP(Table91213[[#This Row],[Date]],'DB Details'!$A:$Q,8)=0,"",VLOOKUP(Table91213[[#This Row],[Date]],'DB Details'!$A:$Q,8))</f>
        <v>53.5</v>
      </c>
      <c r="I198" s="49">
        <f>IF(VLOOKUP(Table91213[[#This Row],[Date]],'DB Details'!$A:$Q,9)=0,"",VLOOKUP(Table91213[[#This Row],[Date]],'DB Details'!$A:$Q,9))</f>
        <v>52.5</v>
      </c>
      <c r="J198" s="49">
        <f>IF(VLOOKUP(Table91213[[#This Row],[Date]],'DB Details'!$A:$Q,10)=0,"",VLOOKUP(Table91213[[#This Row],[Date]],'DB Details'!$A:$Q,10))</f>
        <v>53.9</v>
      </c>
      <c r="K198" s="49">
        <f>IF(VLOOKUP(Table91213[[#This Row],[Date]],'DB Details'!$A:$Q,11)=0,"",VLOOKUP(Table91213[[#This Row],[Date]],'DB Details'!$A:$Q,11))</f>
        <v>49.5</v>
      </c>
      <c r="L198" s="47">
        <f>IF(VLOOKUP(Table91213[[#This Row],[Date]],'DB Details'!$A:$Q,12)=0,"",VLOOKUP(Table91213[[#This Row],[Date]],'DB Details'!$A:$Q,12))</f>
        <v>54.9</v>
      </c>
    </row>
    <row r="199" spans="1:12" x14ac:dyDescent="0.35">
      <c r="A199" s="50">
        <v>41487</v>
      </c>
      <c r="B199" s="47">
        <f>IF(VLOOKUP(Table91213[[#This Row],[Date]],'DB Details'!$A:$Q,2)=0,"",VLOOKUP(Table91213[[#This Row],[Date]],'DB Details'!$A:$Q,2))</f>
        <v>57.8</v>
      </c>
      <c r="C199" s="48">
        <f>IF(VLOOKUP(Table91213[[#This Row],[Date]],'DB Details'!$A:$Q,3)=0,"",VLOOKUP(Table91213[[#This Row],[Date]],'DB Details'!$A:$Q,3))</f>
        <v>55</v>
      </c>
      <c r="D199" s="48">
        <f>IF(VLOOKUP(Table91213[[#This Row],[Date]],'DB Details'!$A:$Q,4)=0,"",VLOOKUP(Table91213[[#This Row],[Date]],'DB Details'!$A:$Q,4))</f>
        <v>50.5</v>
      </c>
      <c r="E199" s="49">
        <f>IF(VLOOKUP(Table91213[[#This Row],[Date]],'DB Details'!$A:$Q,5)=0,"",VLOOKUP(Table91213[[#This Row],[Date]],'DB Details'!$A:$Q,5))</f>
        <v>53.2</v>
      </c>
      <c r="F199" s="48">
        <f>IF(VLOOKUP(Table91213[[#This Row],[Date]],'DB Details'!$A:$Q,6)=0,"",VLOOKUP(Table91213[[#This Row],[Date]],'DB Details'!$A:$Q,6))</f>
        <v>61</v>
      </c>
      <c r="G199" s="49">
        <f>IF(VLOOKUP(Table91213[[#This Row],[Date]],'DB Details'!$A:$Q,7)=0,"",VLOOKUP(Table91213[[#This Row],[Date]],'DB Details'!$A:$Q,7))</f>
        <v>63.5</v>
      </c>
      <c r="H199" s="49">
        <f>IF(VLOOKUP(Table91213[[#This Row],[Date]],'DB Details'!$A:$Q,8)=0,"",VLOOKUP(Table91213[[#This Row],[Date]],'DB Details'!$A:$Q,8))</f>
        <v>56</v>
      </c>
      <c r="I199" s="49">
        <f>IF(VLOOKUP(Table91213[[#This Row],[Date]],'DB Details'!$A:$Q,9)=0,"",VLOOKUP(Table91213[[#This Row],[Date]],'DB Details'!$A:$Q,9))</f>
        <v>54.5</v>
      </c>
      <c r="J199" s="49">
        <f>IF(VLOOKUP(Table91213[[#This Row],[Date]],'DB Details'!$A:$Q,10)=0,"",VLOOKUP(Table91213[[#This Row],[Date]],'DB Details'!$A:$Q,10))</f>
        <v>56.3</v>
      </c>
      <c r="K199" s="49">
        <f>IF(VLOOKUP(Table91213[[#This Row],[Date]],'DB Details'!$A:$Q,11)=0,"",VLOOKUP(Table91213[[#This Row],[Date]],'DB Details'!$A:$Q,11))</f>
        <v>50.5</v>
      </c>
      <c r="L199" s="47">
        <f>IF(VLOOKUP(Table91213[[#This Row],[Date]],'DB Details'!$A:$Q,12)=0,"",VLOOKUP(Table91213[[#This Row],[Date]],'DB Details'!$A:$Q,12))</f>
        <v>56.6</v>
      </c>
    </row>
    <row r="200" spans="1:12" x14ac:dyDescent="0.35">
      <c r="A200" s="50">
        <v>41518</v>
      </c>
      <c r="B200" s="47">
        <f>IF(VLOOKUP(Table91213[[#This Row],[Date]],'DB Details'!$A:$Q,2)=0,"",VLOOKUP(Table91213[[#This Row],[Date]],'DB Details'!$A:$Q,2))</f>
        <v>57.1</v>
      </c>
      <c r="C200" s="48">
        <f>IF(VLOOKUP(Table91213[[#This Row],[Date]],'DB Details'!$A:$Q,3)=0,"",VLOOKUP(Table91213[[#This Row],[Date]],'DB Details'!$A:$Q,3))</f>
        <v>51.5</v>
      </c>
      <c r="D200" s="48">
        <f>IF(VLOOKUP(Table91213[[#This Row],[Date]],'DB Details'!$A:$Q,4)=0,"",VLOOKUP(Table91213[[#This Row],[Date]],'DB Details'!$A:$Q,4))</f>
        <v>50.5</v>
      </c>
      <c r="E200" s="49">
        <f>IF(VLOOKUP(Table91213[[#This Row],[Date]],'DB Details'!$A:$Q,5)=0,"",VLOOKUP(Table91213[[#This Row],[Date]],'DB Details'!$A:$Q,5))</f>
        <v>57</v>
      </c>
      <c r="F200" s="48">
        <f>IF(VLOOKUP(Table91213[[#This Row],[Date]],'DB Details'!$A:$Q,6)=0,"",VLOOKUP(Table91213[[#This Row],[Date]],'DB Details'!$A:$Q,6))</f>
        <v>55.8</v>
      </c>
      <c r="G200" s="49">
        <f>IF(VLOOKUP(Table91213[[#This Row],[Date]],'DB Details'!$A:$Q,7)=0,"",VLOOKUP(Table91213[[#This Row],[Date]],'DB Details'!$A:$Q,7))</f>
        <v>62</v>
      </c>
      <c r="H200" s="49">
        <f>IF(VLOOKUP(Table91213[[#This Row],[Date]],'DB Details'!$A:$Q,8)=0,"",VLOOKUP(Table91213[[#This Row],[Date]],'DB Details'!$A:$Q,8))</f>
        <v>54.5</v>
      </c>
      <c r="I200" s="49">
        <f>IF(VLOOKUP(Table91213[[#This Row],[Date]],'DB Details'!$A:$Q,9)=0,"",VLOOKUP(Table91213[[#This Row],[Date]],'DB Details'!$A:$Q,9))</f>
        <v>50</v>
      </c>
      <c r="J200" s="49">
        <f>IF(VLOOKUP(Table91213[[#This Row],[Date]],'DB Details'!$A:$Q,10)=0,"",VLOOKUP(Table91213[[#This Row],[Date]],'DB Details'!$A:$Q,10))</f>
        <v>54.1</v>
      </c>
      <c r="K200" s="49">
        <f>IF(VLOOKUP(Table91213[[#This Row],[Date]],'DB Details'!$A:$Q,11)=0,"",VLOOKUP(Table91213[[#This Row],[Date]],'DB Details'!$A:$Q,11))</f>
        <v>57.5</v>
      </c>
      <c r="L200" s="47">
        <f>IF(VLOOKUP(Table91213[[#This Row],[Date]],'DB Details'!$A:$Q,12)=0,"",VLOOKUP(Table91213[[#This Row],[Date]],'DB Details'!$A:$Q,12))</f>
        <v>53.6</v>
      </c>
    </row>
    <row r="201" spans="1:12" x14ac:dyDescent="0.35">
      <c r="A201" s="50">
        <v>41548</v>
      </c>
      <c r="B201" s="47">
        <f>IF(VLOOKUP(Table91213[[#This Row],[Date]],'DB Details'!$A:$Q,2)=0,"",VLOOKUP(Table91213[[#This Row],[Date]],'DB Details'!$A:$Q,2))</f>
        <v>56</v>
      </c>
      <c r="C201" s="48">
        <f>IF(VLOOKUP(Table91213[[#This Row],[Date]],'DB Details'!$A:$Q,3)=0,"",VLOOKUP(Table91213[[#This Row],[Date]],'DB Details'!$A:$Q,3))</f>
        <v>55</v>
      </c>
      <c r="D201" s="48">
        <f>IF(VLOOKUP(Table91213[[#This Row],[Date]],'DB Details'!$A:$Q,4)=0,"",VLOOKUP(Table91213[[#This Row],[Date]],'DB Details'!$A:$Q,4))</f>
        <v>50</v>
      </c>
      <c r="E201" s="49">
        <f>IF(VLOOKUP(Table91213[[#This Row],[Date]],'DB Details'!$A:$Q,5)=0,"",VLOOKUP(Table91213[[#This Row],[Date]],'DB Details'!$A:$Q,5))</f>
        <v>56.7</v>
      </c>
      <c r="F201" s="48">
        <f>IF(VLOOKUP(Table91213[[#This Row],[Date]],'DB Details'!$A:$Q,6)=0,"",VLOOKUP(Table91213[[#This Row],[Date]],'DB Details'!$A:$Q,6))</f>
        <v>58.9</v>
      </c>
      <c r="G201" s="49">
        <f>IF(VLOOKUP(Table91213[[#This Row],[Date]],'DB Details'!$A:$Q,7)=0,"",VLOOKUP(Table91213[[#This Row],[Date]],'DB Details'!$A:$Q,7))</f>
        <v>62.5</v>
      </c>
      <c r="H201" s="49">
        <f>IF(VLOOKUP(Table91213[[#This Row],[Date]],'DB Details'!$A:$Q,8)=0,"",VLOOKUP(Table91213[[#This Row],[Date]],'DB Details'!$A:$Q,8))</f>
        <v>54.5</v>
      </c>
      <c r="I201" s="49">
        <f>IF(VLOOKUP(Table91213[[#This Row],[Date]],'DB Details'!$A:$Q,9)=0,"",VLOOKUP(Table91213[[#This Row],[Date]],'DB Details'!$A:$Q,9))</f>
        <v>49</v>
      </c>
      <c r="J201" s="49">
        <f>IF(VLOOKUP(Table91213[[#This Row],[Date]],'DB Details'!$A:$Q,10)=0,"",VLOOKUP(Table91213[[#This Row],[Date]],'DB Details'!$A:$Q,10))</f>
        <v>56</v>
      </c>
      <c r="K201" s="49">
        <f>IF(VLOOKUP(Table91213[[#This Row],[Date]],'DB Details'!$A:$Q,11)=0,"",VLOOKUP(Table91213[[#This Row],[Date]],'DB Details'!$A:$Q,11))</f>
        <v>53</v>
      </c>
      <c r="L201" s="47">
        <f>IF(VLOOKUP(Table91213[[#This Row],[Date]],'DB Details'!$A:$Q,12)=0,"",VLOOKUP(Table91213[[#This Row],[Date]],'DB Details'!$A:$Q,12))</f>
        <v>54.5</v>
      </c>
    </row>
    <row r="202" spans="1:12" x14ac:dyDescent="0.35">
      <c r="A202" s="50">
        <v>41579</v>
      </c>
      <c r="B202" s="47">
        <f>IF(VLOOKUP(Table91213[[#This Row],[Date]],'DB Details'!$A:$Q,2)=0,"",VLOOKUP(Table91213[[#This Row],[Date]],'DB Details'!$A:$Q,2))</f>
        <v>55.4</v>
      </c>
      <c r="C202" s="48">
        <f>IF(VLOOKUP(Table91213[[#This Row],[Date]],'DB Details'!$A:$Q,3)=0,"",VLOOKUP(Table91213[[#This Row],[Date]],'DB Details'!$A:$Q,3))</f>
        <v>55</v>
      </c>
      <c r="D202" s="48">
        <f>IF(VLOOKUP(Table91213[[#This Row],[Date]],'DB Details'!$A:$Q,4)=0,"",VLOOKUP(Table91213[[#This Row],[Date]],'DB Details'!$A:$Q,4))</f>
        <v>49</v>
      </c>
      <c r="E202" s="49">
        <f>IF(VLOOKUP(Table91213[[#This Row],[Date]],'DB Details'!$A:$Q,5)=0,"",VLOOKUP(Table91213[[#This Row],[Date]],'DB Details'!$A:$Q,5))</f>
        <v>52.9</v>
      </c>
      <c r="F202" s="48">
        <f>IF(VLOOKUP(Table91213[[#This Row],[Date]],'DB Details'!$A:$Q,6)=0,"",VLOOKUP(Table91213[[#This Row],[Date]],'DB Details'!$A:$Q,6))</f>
        <v>55.3</v>
      </c>
      <c r="G202" s="49">
        <f>IF(VLOOKUP(Table91213[[#This Row],[Date]],'DB Details'!$A:$Q,7)=0,"",VLOOKUP(Table91213[[#This Row],[Date]],'DB Details'!$A:$Q,7))</f>
        <v>60.5</v>
      </c>
      <c r="H202" s="49">
        <f>IF(VLOOKUP(Table91213[[#This Row],[Date]],'DB Details'!$A:$Q,8)=0,"",VLOOKUP(Table91213[[#This Row],[Date]],'DB Details'!$A:$Q,8))</f>
        <v>54</v>
      </c>
      <c r="I202" s="49">
        <f>IF(VLOOKUP(Table91213[[#This Row],[Date]],'DB Details'!$A:$Q,9)=0,"",VLOOKUP(Table91213[[#This Row],[Date]],'DB Details'!$A:$Q,9))</f>
        <v>51</v>
      </c>
      <c r="J202" s="49">
        <f>IF(VLOOKUP(Table91213[[#This Row],[Date]],'DB Details'!$A:$Q,10)=0,"",VLOOKUP(Table91213[[#This Row],[Date]],'DB Details'!$A:$Q,10))</f>
        <v>54.5</v>
      </c>
      <c r="K202" s="49">
        <f>IF(VLOOKUP(Table91213[[#This Row],[Date]],'DB Details'!$A:$Q,11)=0,"",VLOOKUP(Table91213[[#This Row],[Date]],'DB Details'!$A:$Q,11))</f>
        <v>58</v>
      </c>
      <c r="L202" s="47">
        <f>IF(VLOOKUP(Table91213[[#This Row],[Date]],'DB Details'!$A:$Q,12)=0,"",VLOOKUP(Table91213[[#This Row],[Date]],'DB Details'!$A:$Q,12))</f>
        <v>53.8</v>
      </c>
    </row>
    <row r="203" spans="1:12" x14ac:dyDescent="0.35">
      <c r="A203" s="50">
        <v>41609</v>
      </c>
      <c r="B203" s="47">
        <f>IF(VLOOKUP(Table91213[[#This Row],[Date]],'DB Details'!$A:$Q,2)=0,"",VLOOKUP(Table91213[[#This Row],[Date]],'DB Details'!$A:$Q,2))</f>
        <v>50.2</v>
      </c>
      <c r="C203" s="48">
        <f>IF(VLOOKUP(Table91213[[#This Row],[Date]],'DB Details'!$A:$Q,3)=0,"",VLOOKUP(Table91213[[#This Row],[Date]],'DB Details'!$A:$Q,3))</f>
        <v>50.5</v>
      </c>
      <c r="D203" s="48">
        <f>IF(VLOOKUP(Table91213[[#This Row],[Date]],'DB Details'!$A:$Q,4)=0,"",VLOOKUP(Table91213[[#This Row],[Date]],'DB Details'!$A:$Q,4))</f>
        <v>46</v>
      </c>
      <c r="E203" s="49">
        <f>IF(VLOOKUP(Table91213[[#This Row],[Date]],'DB Details'!$A:$Q,5)=0,"",VLOOKUP(Table91213[[#This Row],[Date]],'DB Details'!$A:$Q,5))</f>
        <v>56</v>
      </c>
      <c r="F203" s="48">
        <f>IF(VLOOKUP(Table91213[[#This Row],[Date]],'DB Details'!$A:$Q,6)=0,"",VLOOKUP(Table91213[[#This Row],[Date]],'DB Details'!$A:$Q,6))</f>
        <v>54.3</v>
      </c>
      <c r="G203" s="49">
        <f>IF(VLOOKUP(Table91213[[#This Row],[Date]],'DB Details'!$A:$Q,7)=0,"",VLOOKUP(Table91213[[#This Row],[Date]],'DB Details'!$A:$Q,7))</f>
        <v>57.5</v>
      </c>
      <c r="H203" s="49">
        <f>IF(VLOOKUP(Table91213[[#This Row],[Date]],'DB Details'!$A:$Q,8)=0,"",VLOOKUP(Table91213[[#This Row],[Date]],'DB Details'!$A:$Q,8))</f>
        <v>48</v>
      </c>
      <c r="I203" s="49">
        <f>IF(VLOOKUP(Table91213[[#This Row],[Date]],'DB Details'!$A:$Q,9)=0,"",VLOOKUP(Table91213[[#This Row],[Date]],'DB Details'!$A:$Q,9))</f>
        <v>51.5</v>
      </c>
      <c r="J203" s="49">
        <f>IF(VLOOKUP(Table91213[[#This Row],[Date]],'DB Details'!$A:$Q,10)=0,"",VLOOKUP(Table91213[[#This Row],[Date]],'DB Details'!$A:$Q,10))</f>
        <v>55.6</v>
      </c>
      <c r="K203" s="49">
        <f>IF(VLOOKUP(Table91213[[#This Row],[Date]],'DB Details'!$A:$Q,11)=0,"",VLOOKUP(Table91213[[#This Row],[Date]],'DB Details'!$A:$Q,11))</f>
        <v>51.5</v>
      </c>
      <c r="L203" s="47">
        <f>IF(VLOOKUP(Table91213[[#This Row],[Date]],'DB Details'!$A:$Q,12)=0,"",VLOOKUP(Table91213[[#This Row],[Date]],'DB Details'!$A:$Q,12))</f>
        <v>52.9</v>
      </c>
    </row>
    <row r="204" spans="1:12" x14ac:dyDescent="0.35">
      <c r="A204" s="50">
        <v>41640</v>
      </c>
      <c r="B204" s="47">
        <f>IF(VLOOKUP(Table91213[[#This Row],[Date]],'DB Details'!$A:$Q,2)=0,"",VLOOKUP(Table91213[[#This Row],[Date]],'DB Details'!$A:$Q,2))</f>
        <v>52.9</v>
      </c>
      <c r="C204" s="48">
        <f>IF(VLOOKUP(Table91213[[#This Row],[Date]],'DB Details'!$A:$Q,3)=0,"",VLOOKUP(Table91213[[#This Row],[Date]],'DB Details'!$A:$Q,3))</f>
        <v>48</v>
      </c>
      <c r="D204" s="48">
        <f>IF(VLOOKUP(Table91213[[#This Row],[Date]],'DB Details'!$A:$Q,4)=0,"",VLOOKUP(Table91213[[#This Row],[Date]],'DB Details'!$A:$Q,4))</f>
        <v>49</v>
      </c>
      <c r="E204" s="49">
        <f>IF(VLOOKUP(Table91213[[#This Row],[Date]],'DB Details'!$A:$Q,5)=0,"",VLOOKUP(Table91213[[#This Row],[Date]],'DB Details'!$A:$Q,5))</f>
        <v>58.1</v>
      </c>
      <c r="F204" s="48">
        <f>IF(VLOOKUP(Table91213[[#This Row],[Date]],'DB Details'!$A:$Q,6)=0,"",VLOOKUP(Table91213[[#This Row],[Date]],'DB Details'!$A:$Q,6))</f>
        <v>56.3</v>
      </c>
      <c r="G204" s="49">
        <f>IF(VLOOKUP(Table91213[[#This Row],[Date]],'DB Details'!$A:$Q,7)=0,"",VLOOKUP(Table91213[[#This Row],[Date]],'DB Details'!$A:$Q,7))</f>
        <v>63</v>
      </c>
      <c r="H204" s="49">
        <f>IF(VLOOKUP(Table91213[[#This Row],[Date]],'DB Details'!$A:$Q,8)=0,"",VLOOKUP(Table91213[[#This Row],[Date]],'DB Details'!$A:$Q,8))</f>
        <v>50.5</v>
      </c>
      <c r="I204" s="49">
        <f>IF(VLOOKUP(Table91213[[#This Row],[Date]],'DB Details'!$A:$Q,9)=0,"",VLOOKUP(Table91213[[#This Row],[Date]],'DB Details'!$A:$Q,9))</f>
        <v>52.5</v>
      </c>
      <c r="J204" s="49">
        <f>IF(VLOOKUP(Table91213[[#This Row],[Date]],'DB Details'!$A:$Q,10)=0,"",VLOOKUP(Table91213[[#This Row],[Date]],'DB Details'!$A:$Q,10))</f>
        <v>56.4</v>
      </c>
      <c r="K204" s="49">
        <f>IF(VLOOKUP(Table91213[[#This Row],[Date]],'DB Details'!$A:$Q,11)=0,"",VLOOKUP(Table91213[[#This Row],[Date]],'DB Details'!$A:$Q,11))</f>
        <v>49</v>
      </c>
      <c r="L204" s="47">
        <f>IF(VLOOKUP(Table91213[[#This Row],[Date]],'DB Details'!$A:$Q,12)=0,"",VLOOKUP(Table91213[[#This Row],[Date]],'DB Details'!$A:$Q,12))</f>
        <v>54.7</v>
      </c>
    </row>
    <row r="205" spans="1:12" x14ac:dyDescent="0.35">
      <c r="A205" s="50">
        <v>41671</v>
      </c>
      <c r="B205" s="47">
        <f>IF(VLOOKUP(Table91213[[#This Row],[Date]],'DB Details'!$A:$Q,2)=0,"",VLOOKUP(Table91213[[#This Row],[Date]],'DB Details'!$A:$Q,2))</f>
        <v>54.4</v>
      </c>
      <c r="C205" s="48">
        <f>IF(VLOOKUP(Table91213[[#This Row],[Date]],'DB Details'!$A:$Q,3)=0,"",VLOOKUP(Table91213[[#This Row],[Date]],'DB Details'!$A:$Q,3))</f>
        <v>47</v>
      </c>
      <c r="D205" s="48">
        <f>IF(VLOOKUP(Table91213[[#This Row],[Date]],'DB Details'!$A:$Q,4)=0,"",VLOOKUP(Table91213[[#This Row],[Date]],'DB Details'!$A:$Q,4))</f>
        <v>52</v>
      </c>
      <c r="E205" s="49">
        <f>IF(VLOOKUP(Table91213[[#This Row],[Date]],'DB Details'!$A:$Q,5)=0,"",VLOOKUP(Table91213[[#This Row],[Date]],'DB Details'!$A:$Q,5))</f>
        <v>56.9</v>
      </c>
      <c r="F205" s="48">
        <f>IF(VLOOKUP(Table91213[[#This Row],[Date]],'DB Details'!$A:$Q,6)=0,"",VLOOKUP(Table91213[[#This Row],[Date]],'DB Details'!$A:$Q,6))</f>
        <v>54.6</v>
      </c>
      <c r="G205" s="49">
        <f>IF(VLOOKUP(Table91213[[#This Row],[Date]],'DB Details'!$A:$Q,7)=0,"",VLOOKUP(Table91213[[#This Row],[Date]],'DB Details'!$A:$Q,7))</f>
        <v>62</v>
      </c>
      <c r="H205" s="49">
        <f>IF(VLOOKUP(Table91213[[#This Row],[Date]],'DB Details'!$A:$Q,8)=0,"",VLOOKUP(Table91213[[#This Row],[Date]],'DB Details'!$A:$Q,8))</f>
        <v>50.5</v>
      </c>
      <c r="I205" s="49">
        <f>IF(VLOOKUP(Table91213[[#This Row],[Date]],'DB Details'!$A:$Q,9)=0,"",VLOOKUP(Table91213[[#This Row],[Date]],'DB Details'!$A:$Q,9))</f>
        <v>53</v>
      </c>
      <c r="J205" s="49">
        <f>IF(VLOOKUP(Table91213[[#This Row],[Date]],'DB Details'!$A:$Q,10)=0,"",VLOOKUP(Table91213[[#This Row],[Date]],'DB Details'!$A:$Q,10))</f>
        <v>47.5</v>
      </c>
      <c r="K205" s="49">
        <f>IF(VLOOKUP(Table91213[[#This Row],[Date]],'DB Details'!$A:$Q,11)=0,"",VLOOKUP(Table91213[[#This Row],[Date]],'DB Details'!$A:$Q,11))</f>
        <v>47.5</v>
      </c>
      <c r="L205" s="47">
        <f>IF(VLOOKUP(Table91213[[#This Row],[Date]],'DB Details'!$A:$Q,12)=0,"",VLOOKUP(Table91213[[#This Row],[Date]],'DB Details'!$A:$Q,12))</f>
        <v>53</v>
      </c>
    </row>
    <row r="206" spans="1:12" x14ac:dyDescent="0.35">
      <c r="A206" s="50">
        <v>41699</v>
      </c>
      <c r="B206" s="47">
        <f>IF(VLOOKUP(Table91213[[#This Row],[Date]],'DB Details'!$A:$Q,2)=0,"",VLOOKUP(Table91213[[#This Row],[Date]],'DB Details'!$A:$Q,2))</f>
        <v>55.3</v>
      </c>
      <c r="C206" s="48">
        <f>IF(VLOOKUP(Table91213[[#This Row],[Date]],'DB Details'!$A:$Q,3)=0,"",VLOOKUP(Table91213[[#This Row],[Date]],'DB Details'!$A:$Q,3))</f>
        <v>50.5</v>
      </c>
      <c r="D206" s="48">
        <f>IF(VLOOKUP(Table91213[[#This Row],[Date]],'DB Details'!$A:$Q,4)=0,"",VLOOKUP(Table91213[[#This Row],[Date]],'DB Details'!$A:$Q,4))</f>
        <v>51.5</v>
      </c>
      <c r="E206" s="49">
        <f>IF(VLOOKUP(Table91213[[#This Row],[Date]],'DB Details'!$A:$Q,5)=0,"",VLOOKUP(Table91213[[#This Row],[Date]],'DB Details'!$A:$Q,5))</f>
        <v>58.4</v>
      </c>
      <c r="F206" s="48">
        <f>IF(VLOOKUP(Table91213[[#This Row],[Date]],'DB Details'!$A:$Q,6)=0,"",VLOOKUP(Table91213[[#This Row],[Date]],'DB Details'!$A:$Q,6))</f>
        <v>53.4</v>
      </c>
      <c r="G206" s="49">
        <f>IF(VLOOKUP(Table91213[[#This Row],[Date]],'DB Details'!$A:$Q,7)=0,"",VLOOKUP(Table91213[[#This Row],[Date]],'DB Details'!$A:$Q,7))</f>
        <v>60.5</v>
      </c>
      <c r="H206" s="49">
        <f>IF(VLOOKUP(Table91213[[#This Row],[Date]],'DB Details'!$A:$Q,8)=0,"",VLOOKUP(Table91213[[#This Row],[Date]],'DB Details'!$A:$Q,8))</f>
        <v>48</v>
      </c>
      <c r="I206" s="49">
        <f>IF(VLOOKUP(Table91213[[#This Row],[Date]],'DB Details'!$A:$Q,9)=0,"",VLOOKUP(Table91213[[#This Row],[Date]],'DB Details'!$A:$Q,9))</f>
        <v>52</v>
      </c>
      <c r="J206" s="49">
        <f>IF(VLOOKUP(Table91213[[#This Row],[Date]],'DB Details'!$A:$Q,10)=0,"",VLOOKUP(Table91213[[#This Row],[Date]],'DB Details'!$A:$Q,10))</f>
        <v>53.6</v>
      </c>
      <c r="K206" s="49">
        <f>IF(VLOOKUP(Table91213[[#This Row],[Date]],'DB Details'!$A:$Q,11)=0,"",VLOOKUP(Table91213[[#This Row],[Date]],'DB Details'!$A:$Q,11))</f>
        <v>49.5</v>
      </c>
      <c r="L206" s="47">
        <f>IF(VLOOKUP(Table91213[[#This Row],[Date]],'DB Details'!$A:$Q,12)=0,"",VLOOKUP(Table91213[[#This Row],[Date]],'DB Details'!$A:$Q,12))</f>
        <v>54.2</v>
      </c>
    </row>
    <row r="207" spans="1:12" x14ac:dyDescent="0.35">
      <c r="A207" s="50">
        <v>41730</v>
      </c>
      <c r="B207" s="47">
        <f>IF(VLOOKUP(Table91213[[#This Row],[Date]],'DB Details'!$A:$Q,2)=0,"",VLOOKUP(Table91213[[#This Row],[Date]],'DB Details'!$A:$Q,2))</f>
        <v>58</v>
      </c>
      <c r="C207" s="48">
        <f>IF(VLOOKUP(Table91213[[#This Row],[Date]],'DB Details'!$A:$Q,3)=0,"",VLOOKUP(Table91213[[#This Row],[Date]],'DB Details'!$A:$Q,3))</f>
        <v>55.5</v>
      </c>
      <c r="D207" s="48">
        <f>IF(VLOOKUP(Table91213[[#This Row],[Date]],'DB Details'!$A:$Q,4)=0,"",VLOOKUP(Table91213[[#This Row],[Date]],'DB Details'!$A:$Q,4))</f>
        <v>49</v>
      </c>
      <c r="E207" s="49">
        <f>IF(VLOOKUP(Table91213[[#This Row],[Date]],'DB Details'!$A:$Q,5)=0,"",VLOOKUP(Table91213[[#This Row],[Date]],'DB Details'!$A:$Q,5))</f>
        <v>60.5</v>
      </c>
      <c r="F207" s="48">
        <f>IF(VLOOKUP(Table91213[[#This Row],[Date]],'DB Details'!$A:$Q,6)=0,"",VLOOKUP(Table91213[[#This Row],[Date]],'DB Details'!$A:$Q,6))</f>
        <v>60.9</v>
      </c>
      <c r="G207" s="49">
        <f>IF(VLOOKUP(Table91213[[#This Row],[Date]],'DB Details'!$A:$Q,7)=0,"",VLOOKUP(Table91213[[#This Row],[Date]],'DB Details'!$A:$Q,7))</f>
        <v>65</v>
      </c>
      <c r="H207" s="49">
        <f>IF(VLOOKUP(Table91213[[#This Row],[Date]],'DB Details'!$A:$Q,8)=0,"",VLOOKUP(Table91213[[#This Row],[Date]],'DB Details'!$A:$Q,8))</f>
        <v>55.5</v>
      </c>
      <c r="I207" s="49">
        <f>IF(VLOOKUP(Table91213[[#This Row],[Date]],'DB Details'!$A:$Q,9)=0,"",VLOOKUP(Table91213[[#This Row],[Date]],'DB Details'!$A:$Q,9))</f>
        <v>50.5</v>
      </c>
      <c r="J207" s="49">
        <f>IF(VLOOKUP(Table91213[[#This Row],[Date]],'DB Details'!$A:$Q,10)=0,"",VLOOKUP(Table91213[[#This Row],[Date]],'DB Details'!$A:$Q,10))</f>
        <v>51.3</v>
      </c>
      <c r="K207" s="49">
        <f>IF(VLOOKUP(Table91213[[#This Row],[Date]],'DB Details'!$A:$Q,11)=0,"",VLOOKUP(Table91213[[#This Row],[Date]],'DB Details'!$A:$Q,11))</f>
        <v>57</v>
      </c>
      <c r="L207" s="47">
        <f>IF(VLOOKUP(Table91213[[#This Row],[Date]],'DB Details'!$A:$Q,12)=0,"",VLOOKUP(Table91213[[#This Row],[Date]],'DB Details'!$A:$Q,12))</f>
        <v>55.2</v>
      </c>
    </row>
    <row r="208" spans="1:12" x14ac:dyDescent="0.35">
      <c r="A208" s="50">
        <v>41760</v>
      </c>
      <c r="B208" s="47">
        <f>IF(VLOOKUP(Table91213[[#This Row],[Date]],'DB Details'!$A:$Q,2)=0,"",VLOOKUP(Table91213[[#This Row],[Date]],'DB Details'!$A:$Q,2))</f>
        <v>60.2</v>
      </c>
      <c r="C208" s="48">
        <f>IF(VLOOKUP(Table91213[[#This Row],[Date]],'DB Details'!$A:$Q,3)=0,"",VLOOKUP(Table91213[[#This Row],[Date]],'DB Details'!$A:$Q,3))</f>
        <v>55.5</v>
      </c>
      <c r="D208" s="48">
        <f>IF(VLOOKUP(Table91213[[#This Row],[Date]],'DB Details'!$A:$Q,4)=0,"",VLOOKUP(Table91213[[#This Row],[Date]],'DB Details'!$A:$Q,4))</f>
        <v>54</v>
      </c>
      <c r="E208" s="49">
        <f>IF(VLOOKUP(Table91213[[#This Row],[Date]],'DB Details'!$A:$Q,5)=0,"",VLOOKUP(Table91213[[#This Row],[Date]],'DB Details'!$A:$Q,5))</f>
        <v>58.7</v>
      </c>
      <c r="F208" s="48">
        <f>IF(VLOOKUP(Table91213[[#This Row],[Date]],'DB Details'!$A:$Q,6)=0,"",VLOOKUP(Table91213[[#This Row],[Date]],'DB Details'!$A:$Q,6))</f>
        <v>62.1</v>
      </c>
      <c r="G208" s="49">
        <f>IF(VLOOKUP(Table91213[[#This Row],[Date]],'DB Details'!$A:$Q,7)=0,"",VLOOKUP(Table91213[[#This Row],[Date]],'DB Details'!$A:$Q,7))</f>
        <v>63</v>
      </c>
      <c r="H208" s="49">
        <f>IF(VLOOKUP(Table91213[[#This Row],[Date]],'DB Details'!$A:$Q,8)=0,"",VLOOKUP(Table91213[[#This Row],[Date]],'DB Details'!$A:$Q,8))</f>
        <v>55.5</v>
      </c>
      <c r="I208" s="49">
        <f>IF(VLOOKUP(Table91213[[#This Row],[Date]],'DB Details'!$A:$Q,9)=0,"",VLOOKUP(Table91213[[#This Row],[Date]],'DB Details'!$A:$Q,9))</f>
        <v>50</v>
      </c>
      <c r="J208" s="49">
        <f>IF(VLOOKUP(Table91213[[#This Row],[Date]],'DB Details'!$A:$Q,10)=0,"",VLOOKUP(Table91213[[#This Row],[Date]],'DB Details'!$A:$Q,10))</f>
        <v>52.4</v>
      </c>
      <c r="K208" s="49">
        <f>IF(VLOOKUP(Table91213[[#This Row],[Date]],'DB Details'!$A:$Q,11)=0,"",VLOOKUP(Table91213[[#This Row],[Date]],'DB Details'!$A:$Q,11))</f>
        <v>53</v>
      </c>
      <c r="L208" s="47">
        <f>IF(VLOOKUP(Table91213[[#This Row],[Date]],'DB Details'!$A:$Q,12)=0,"",VLOOKUP(Table91213[[#This Row],[Date]],'DB Details'!$A:$Q,12))</f>
        <v>56.9</v>
      </c>
    </row>
    <row r="209" spans="1:12" x14ac:dyDescent="0.35">
      <c r="A209" s="50">
        <v>41791</v>
      </c>
      <c r="B209" s="47">
        <f>IF(VLOOKUP(Table91213[[#This Row],[Date]],'DB Details'!$A:$Q,2)=0,"",VLOOKUP(Table91213[[#This Row],[Date]],'DB Details'!$A:$Q,2))</f>
        <v>60.9</v>
      </c>
      <c r="C209" s="48">
        <f>IF(VLOOKUP(Table91213[[#This Row],[Date]],'DB Details'!$A:$Q,3)=0,"",VLOOKUP(Table91213[[#This Row],[Date]],'DB Details'!$A:$Q,3))</f>
        <v>53</v>
      </c>
      <c r="D209" s="48">
        <f>IF(VLOOKUP(Table91213[[#This Row],[Date]],'DB Details'!$A:$Q,4)=0,"",VLOOKUP(Table91213[[#This Row],[Date]],'DB Details'!$A:$Q,4))</f>
        <v>53</v>
      </c>
      <c r="E209" s="49">
        <f>IF(VLOOKUP(Table91213[[#This Row],[Date]],'DB Details'!$A:$Q,5)=0,"",VLOOKUP(Table91213[[#This Row],[Date]],'DB Details'!$A:$Q,5))</f>
        <v>59.3</v>
      </c>
      <c r="F209" s="48">
        <f>IF(VLOOKUP(Table91213[[#This Row],[Date]],'DB Details'!$A:$Q,6)=0,"",VLOOKUP(Table91213[[#This Row],[Date]],'DB Details'!$A:$Q,6))</f>
        <v>57.5</v>
      </c>
      <c r="G209" s="49">
        <f>IF(VLOOKUP(Table91213[[#This Row],[Date]],'DB Details'!$A:$Q,7)=0,"",VLOOKUP(Table91213[[#This Row],[Date]],'DB Details'!$A:$Q,7))</f>
        <v>60.5</v>
      </c>
      <c r="H209" s="49">
        <f>IF(VLOOKUP(Table91213[[#This Row],[Date]],'DB Details'!$A:$Q,8)=0,"",VLOOKUP(Table91213[[#This Row],[Date]],'DB Details'!$A:$Q,8))</f>
        <v>53.5</v>
      </c>
      <c r="I209" s="49">
        <f>IF(VLOOKUP(Table91213[[#This Row],[Date]],'DB Details'!$A:$Q,9)=0,"",VLOOKUP(Table91213[[#This Row],[Date]],'DB Details'!$A:$Q,9))</f>
        <v>51</v>
      </c>
      <c r="J209" s="49">
        <f>IF(VLOOKUP(Table91213[[#This Row],[Date]],'DB Details'!$A:$Q,10)=0,"",VLOOKUP(Table91213[[#This Row],[Date]],'DB Details'!$A:$Q,10))</f>
        <v>54.4</v>
      </c>
      <c r="K209" s="49">
        <f>IF(VLOOKUP(Table91213[[#This Row],[Date]],'DB Details'!$A:$Q,11)=0,"",VLOOKUP(Table91213[[#This Row],[Date]],'DB Details'!$A:$Q,11))</f>
        <v>55</v>
      </c>
      <c r="L209" s="47">
        <f>IF(VLOOKUP(Table91213[[#This Row],[Date]],'DB Details'!$A:$Q,12)=0,"",VLOOKUP(Table91213[[#This Row],[Date]],'DB Details'!$A:$Q,12))</f>
        <v>56.6</v>
      </c>
    </row>
    <row r="210" spans="1:12" x14ac:dyDescent="0.35">
      <c r="A210" s="50">
        <v>41821</v>
      </c>
      <c r="B210" s="47">
        <f>IF(VLOOKUP(Table91213[[#This Row],[Date]],'DB Details'!$A:$Q,2)=0,"",VLOOKUP(Table91213[[#This Row],[Date]],'DB Details'!$A:$Q,2))</f>
        <v>60.7</v>
      </c>
      <c r="C210" s="48">
        <f>IF(VLOOKUP(Table91213[[#This Row],[Date]],'DB Details'!$A:$Q,3)=0,"",VLOOKUP(Table91213[[#This Row],[Date]],'DB Details'!$A:$Q,3))</f>
        <v>54.5</v>
      </c>
      <c r="D210" s="48">
        <f>IF(VLOOKUP(Table91213[[#This Row],[Date]],'DB Details'!$A:$Q,4)=0,"",VLOOKUP(Table91213[[#This Row],[Date]],'DB Details'!$A:$Q,4))</f>
        <v>53</v>
      </c>
      <c r="E210" s="49">
        <f>IF(VLOOKUP(Table91213[[#This Row],[Date]],'DB Details'!$A:$Q,5)=0,"",VLOOKUP(Table91213[[#This Row],[Date]],'DB Details'!$A:$Q,5))</f>
        <v>59.1</v>
      </c>
      <c r="F210" s="48">
        <f>IF(VLOOKUP(Table91213[[#This Row],[Date]],'DB Details'!$A:$Q,6)=0,"",VLOOKUP(Table91213[[#This Row],[Date]],'DB Details'!$A:$Q,6))</f>
        <v>62.4</v>
      </c>
      <c r="G210" s="49">
        <f>IF(VLOOKUP(Table91213[[#This Row],[Date]],'DB Details'!$A:$Q,7)=0,"",VLOOKUP(Table91213[[#This Row],[Date]],'DB Details'!$A:$Q,7))</f>
        <v>58</v>
      </c>
      <c r="H210" s="49">
        <f>IF(VLOOKUP(Table91213[[#This Row],[Date]],'DB Details'!$A:$Q,8)=0,"",VLOOKUP(Table91213[[#This Row],[Date]],'DB Details'!$A:$Q,8))</f>
        <v>51</v>
      </c>
      <c r="I210" s="49">
        <f>IF(VLOOKUP(Table91213[[#This Row],[Date]],'DB Details'!$A:$Q,9)=0,"",VLOOKUP(Table91213[[#This Row],[Date]],'DB Details'!$A:$Q,9))</f>
        <v>51.5</v>
      </c>
      <c r="J210" s="49">
        <f>IF(VLOOKUP(Table91213[[#This Row],[Date]],'DB Details'!$A:$Q,10)=0,"",VLOOKUP(Table91213[[#This Row],[Date]],'DB Details'!$A:$Q,10))</f>
        <v>56</v>
      </c>
      <c r="K210" s="49">
        <f>IF(VLOOKUP(Table91213[[#This Row],[Date]],'DB Details'!$A:$Q,11)=0,"",VLOOKUP(Table91213[[#This Row],[Date]],'DB Details'!$A:$Q,11))</f>
        <v>53</v>
      </c>
      <c r="L210" s="47">
        <f>IF(VLOOKUP(Table91213[[#This Row],[Date]],'DB Details'!$A:$Q,12)=0,"",VLOOKUP(Table91213[[#This Row],[Date]],'DB Details'!$A:$Q,12))</f>
        <v>57.1</v>
      </c>
    </row>
    <row r="211" spans="1:12" x14ac:dyDescent="0.35">
      <c r="A211" s="50">
        <v>41852</v>
      </c>
      <c r="B211" s="47">
        <f>IF(VLOOKUP(Table91213[[#This Row],[Date]],'DB Details'!$A:$Q,2)=0,"",VLOOKUP(Table91213[[#This Row],[Date]],'DB Details'!$A:$Q,2))</f>
        <v>61.4</v>
      </c>
      <c r="C211" s="48">
        <f>IF(VLOOKUP(Table91213[[#This Row],[Date]],'DB Details'!$A:$Q,3)=0,"",VLOOKUP(Table91213[[#This Row],[Date]],'DB Details'!$A:$Q,3))</f>
        <v>51</v>
      </c>
      <c r="D211" s="48">
        <f>IF(VLOOKUP(Table91213[[#This Row],[Date]],'DB Details'!$A:$Q,4)=0,"",VLOOKUP(Table91213[[#This Row],[Date]],'DB Details'!$A:$Q,4))</f>
        <v>54.5</v>
      </c>
      <c r="E211" s="49">
        <f>IF(VLOOKUP(Table91213[[#This Row],[Date]],'DB Details'!$A:$Q,5)=0,"",VLOOKUP(Table91213[[#This Row],[Date]],'DB Details'!$A:$Q,5))</f>
        <v>57.5</v>
      </c>
      <c r="F211" s="48">
        <f>IF(VLOOKUP(Table91213[[#This Row],[Date]],'DB Details'!$A:$Q,6)=0,"",VLOOKUP(Table91213[[#This Row],[Date]],'DB Details'!$A:$Q,6))</f>
        <v>65</v>
      </c>
      <c r="G211" s="49">
        <f>IF(VLOOKUP(Table91213[[#This Row],[Date]],'DB Details'!$A:$Q,7)=0,"",VLOOKUP(Table91213[[#This Row],[Date]],'DB Details'!$A:$Q,7))</f>
        <v>55</v>
      </c>
      <c r="H211" s="49">
        <f>IF(VLOOKUP(Table91213[[#This Row],[Date]],'DB Details'!$A:$Q,8)=0,"",VLOOKUP(Table91213[[#This Row],[Date]],'DB Details'!$A:$Q,8))</f>
        <v>51</v>
      </c>
      <c r="I211" s="49">
        <f>IF(VLOOKUP(Table91213[[#This Row],[Date]],'DB Details'!$A:$Q,9)=0,"",VLOOKUP(Table91213[[#This Row],[Date]],'DB Details'!$A:$Q,9))</f>
        <v>52.5</v>
      </c>
      <c r="J211" s="49">
        <f>IF(VLOOKUP(Table91213[[#This Row],[Date]],'DB Details'!$A:$Q,10)=0,"",VLOOKUP(Table91213[[#This Row],[Date]],'DB Details'!$A:$Q,10))</f>
        <v>57.1</v>
      </c>
      <c r="K211" s="49">
        <f>IF(VLOOKUP(Table91213[[#This Row],[Date]],'DB Details'!$A:$Q,11)=0,"",VLOOKUP(Table91213[[#This Row],[Date]],'DB Details'!$A:$Q,11))</f>
        <v>52.5</v>
      </c>
      <c r="L211" s="47">
        <f>IF(VLOOKUP(Table91213[[#This Row],[Date]],'DB Details'!$A:$Q,12)=0,"",VLOOKUP(Table91213[[#This Row],[Date]],'DB Details'!$A:$Q,12))</f>
        <v>58</v>
      </c>
    </row>
    <row r="212" spans="1:12" x14ac:dyDescent="0.35">
      <c r="A212" s="50">
        <v>41883</v>
      </c>
      <c r="B212" s="47">
        <f>IF(VLOOKUP(Table91213[[#This Row],[Date]],'DB Details'!$A:$Q,2)=0,"",VLOOKUP(Table91213[[#This Row],[Date]],'DB Details'!$A:$Q,2))</f>
        <v>59.9</v>
      </c>
      <c r="C212" s="48">
        <f>IF(VLOOKUP(Table91213[[#This Row],[Date]],'DB Details'!$A:$Q,3)=0,"",VLOOKUP(Table91213[[#This Row],[Date]],'DB Details'!$A:$Q,3))</f>
        <v>52.5</v>
      </c>
      <c r="D212" s="48">
        <f>IF(VLOOKUP(Table91213[[#This Row],[Date]],'DB Details'!$A:$Q,4)=0,"",VLOOKUP(Table91213[[#This Row],[Date]],'DB Details'!$A:$Q,4))</f>
        <v>52</v>
      </c>
      <c r="E212" s="49">
        <f>IF(VLOOKUP(Table91213[[#This Row],[Date]],'DB Details'!$A:$Q,5)=0,"",VLOOKUP(Table91213[[#This Row],[Date]],'DB Details'!$A:$Q,5))</f>
        <v>55.3</v>
      </c>
      <c r="F212" s="48">
        <f>IF(VLOOKUP(Table91213[[#This Row],[Date]],'DB Details'!$A:$Q,6)=0,"",VLOOKUP(Table91213[[#This Row],[Date]],'DB Details'!$A:$Q,6))</f>
        <v>62.9</v>
      </c>
      <c r="G212" s="49">
        <f>IF(VLOOKUP(Table91213[[#This Row],[Date]],'DB Details'!$A:$Q,7)=0,"",VLOOKUP(Table91213[[#This Row],[Date]],'DB Details'!$A:$Q,7))</f>
        <v>60</v>
      </c>
      <c r="H212" s="49">
        <f>IF(VLOOKUP(Table91213[[#This Row],[Date]],'DB Details'!$A:$Q,8)=0,"",VLOOKUP(Table91213[[#This Row],[Date]],'DB Details'!$A:$Q,8))</f>
        <v>52</v>
      </c>
      <c r="I212" s="49">
        <f>IF(VLOOKUP(Table91213[[#This Row],[Date]],'DB Details'!$A:$Q,9)=0,"",VLOOKUP(Table91213[[#This Row],[Date]],'DB Details'!$A:$Q,9))</f>
        <v>52</v>
      </c>
      <c r="J212" s="49">
        <f>IF(VLOOKUP(Table91213[[#This Row],[Date]],'DB Details'!$A:$Q,10)=0,"",VLOOKUP(Table91213[[#This Row],[Date]],'DB Details'!$A:$Q,10))</f>
        <v>58.5</v>
      </c>
      <c r="K212" s="49">
        <f>IF(VLOOKUP(Table91213[[#This Row],[Date]],'DB Details'!$A:$Q,11)=0,"",VLOOKUP(Table91213[[#This Row],[Date]],'DB Details'!$A:$Q,11))</f>
        <v>57.5</v>
      </c>
      <c r="L212" s="47">
        <f>IF(VLOOKUP(Table91213[[#This Row],[Date]],'DB Details'!$A:$Q,12)=0,"",VLOOKUP(Table91213[[#This Row],[Date]],'DB Details'!$A:$Q,12))</f>
        <v>57.4</v>
      </c>
    </row>
    <row r="213" spans="1:12" x14ac:dyDescent="0.35">
      <c r="A213" s="50">
        <v>41913</v>
      </c>
      <c r="B213" s="47">
        <f>IF(VLOOKUP(Table91213[[#This Row],[Date]],'DB Details'!$A:$Q,2)=0,"",VLOOKUP(Table91213[[#This Row],[Date]],'DB Details'!$A:$Q,2))</f>
        <v>58.5</v>
      </c>
      <c r="C213" s="48">
        <f>IF(VLOOKUP(Table91213[[#This Row],[Date]],'DB Details'!$A:$Q,3)=0,"",VLOOKUP(Table91213[[#This Row],[Date]],'DB Details'!$A:$Q,3))</f>
        <v>56</v>
      </c>
      <c r="D213" s="48">
        <f>IF(VLOOKUP(Table91213[[#This Row],[Date]],'DB Details'!$A:$Q,4)=0,"",VLOOKUP(Table91213[[#This Row],[Date]],'DB Details'!$A:$Q,4))</f>
        <v>51.5</v>
      </c>
      <c r="E213" s="49">
        <f>IF(VLOOKUP(Table91213[[#This Row],[Date]],'DB Details'!$A:$Q,5)=0,"",VLOOKUP(Table91213[[#This Row],[Date]],'DB Details'!$A:$Q,5))</f>
        <v>52.3</v>
      </c>
      <c r="F213" s="48">
        <f>IF(VLOOKUP(Table91213[[#This Row],[Date]],'DB Details'!$A:$Q,6)=0,"",VLOOKUP(Table91213[[#This Row],[Date]],'DB Details'!$A:$Q,6))</f>
        <v>60</v>
      </c>
      <c r="G213" s="49">
        <f>IF(VLOOKUP(Table91213[[#This Row],[Date]],'DB Details'!$A:$Q,7)=0,"",VLOOKUP(Table91213[[#This Row],[Date]],'DB Details'!$A:$Q,7))</f>
        <v>58.5</v>
      </c>
      <c r="H213" s="49">
        <f>IF(VLOOKUP(Table91213[[#This Row],[Date]],'DB Details'!$A:$Q,8)=0,"",VLOOKUP(Table91213[[#This Row],[Date]],'DB Details'!$A:$Q,8))</f>
        <v>49.5</v>
      </c>
      <c r="I213" s="49">
        <f>IF(VLOOKUP(Table91213[[#This Row],[Date]],'DB Details'!$A:$Q,9)=0,"",VLOOKUP(Table91213[[#This Row],[Date]],'DB Details'!$A:$Q,9))</f>
        <v>49.5</v>
      </c>
      <c r="J213" s="49">
        <f>IF(VLOOKUP(Table91213[[#This Row],[Date]],'DB Details'!$A:$Q,10)=0,"",VLOOKUP(Table91213[[#This Row],[Date]],'DB Details'!$A:$Q,10))</f>
        <v>59.6</v>
      </c>
      <c r="K213" s="49">
        <f>IF(VLOOKUP(Table91213[[#This Row],[Date]],'DB Details'!$A:$Q,11)=0,"",VLOOKUP(Table91213[[#This Row],[Date]],'DB Details'!$A:$Q,11))</f>
        <v>53.5</v>
      </c>
      <c r="L213" s="47">
        <f>IF(VLOOKUP(Table91213[[#This Row],[Date]],'DB Details'!$A:$Q,12)=0,"",VLOOKUP(Table91213[[#This Row],[Date]],'DB Details'!$A:$Q,12))</f>
        <v>56</v>
      </c>
    </row>
    <row r="214" spans="1:12" x14ac:dyDescent="0.35">
      <c r="A214" s="50">
        <v>41944</v>
      </c>
      <c r="B214" s="47">
        <f>IF(VLOOKUP(Table91213[[#This Row],[Date]],'DB Details'!$A:$Q,2)=0,"",VLOOKUP(Table91213[[#This Row],[Date]],'DB Details'!$A:$Q,2))</f>
        <v>61.4</v>
      </c>
      <c r="C214" s="48">
        <f>IF(VLOOKUP(Table91213[[#This Row],[Date]],'DB Details'!$A:$Q,3)=0,"",VLOOKUP(Table91213[[#This Row],[Date]],'DB Details'!$A:$Q,3))</f>
        <v>53.5</v>
      </c>
      <c r="D214" s="48">
        <f>IF(VLOOKUP(Table91213[[#This Row],[Date]],'DB Details'!$A:$Q,4)=0,"",VLOOKUP(Table91213[[#This Row],[Date]],'DB Details'!$A:$Q,4))</f>
        <v>55.5</v>
      </c>
      <c r="E214" s="49">
        <f>IF(VLOOKUP(Table91213[[#This Row],[Date]],'DB Details'!$A:$Q,5)=0,"",VLOOKUP(Table91213[[#This Row],[Date]],'DB Details'!$A:$Q,5))</f>
        <v>54.3</v>
      </c>
      <c r="F214" s="48">
        <f>IF(VLOOKUP(Table91213[[#This Row],[Date]],'DB Details'!$A:$Q,6)=0,"",VLOOKUP(Table91213[[#This Row],[Date]],'DB Details'!$A:$Q,6))</f>
        <v>64.400000000000006</v>
      </c>
      <c r="G214" s="49">
        <f>IF(VLOOKUP(Table91213[[#This Row],[Date]],'DB Details'!$A:$Q,7)=0,"",VLOOKUP(Table91213[[#This Row],[Date]],'DB Details'!$A:$Q,7))</f>
        <v>63</v>
      </c>
      <c r="H214" s="49">
        <f>IF(VLOOKUP(Table91213[[#This Row],[Date]],'DB Details'!$A:$Q,8)=0,"",VLOOKUP(Table91213[[#This Row],[Date]],'DB Details'!$A:$Q,8))</f>
        <v>55.5</v>
      </c>
      <c r="I214" s="49">
        <f>IF(VLOOKUP(Table91213[[#This Row],[Date]],'DB Details'!$A:$Q,9)=0,"",VLOOKUP(Table91213[[#This Row],[Date]],'DB Details'!$A:$Q,9))</f>
        <v>54.5</v>
      </c>
      <c r="J214" s="49">
        <f>IF(VLOOKUP(Table91213[[#This Row],[Date]],'DB Details'!$A:$Q,10)=0,"",VLOOKUP(Table91213[[#This Row],[Date]],'DB Details'!$A:$Q,10))</f>
        <v>56.7</v>
      </c>
      <c r="K214" s="49">
        <f>IF(VLOOKUP(Table91213[[#This Row],[Date]],'DB Details'!$A:$Q,11)=0,"",VLOOKUP(Table91213[[#This Row],[Date]],'DB Details'!$A:$Q,11))</f>
        <v>57</v>
      </c>
      <c r="L214" s="47">
        <f>IF(VLOOKUP(Table91213[[#This Row],[Date]],'DB Details'!$A:$Q,12)=0,"",VLOOKUP(Table91213[[#This Row],[Date]],'DB Details'!$A:$Q,12))</f>
        <v>58.7</v>
      </c>
    </row>
    <row r="215" spans="1:12" x14ac:dyDescent="0.35">
      <c r="A215" s="50">
        <v>41974</v>
      </c>
      <c r="B215" s="47">
        <f>IF(VLOOKUP(Table91213[[#This Row],[Date]],'DB Details'!$A:$Q,2)=0,"",VLOOKUP(Table91213[[#This Row],[Date]],'DB Details'!$A:$Q,2))</f>
        <v>58.7</v>
      </c>
      <c r="C215" s="48">
        <f>IF(VLOOKUP(Table91213[[#This Row],[Date]],'DB Details'!$A:$Q,3)=0,"",VLOOKUP(Table91213[[#This Row],[Date]],'DB Details'!$A:$Q,3))</f>
        <v>50</v>
      </c>
      <c r="D215" s="48">
        <f>IF(VLOOKUP(Table91213[[#This Row],[Date]],'DB Details'!$A:$Q,4)=0,"",VLOOKUP(Table91213[[#This Row],[Date]],'DB Details'!$A:$Q,4))</f>
        <v>49.5</v>
      </c>
      <c r="E215" s="49">
        <f>IF(VLOOKUP(Table91213[[#This Row],[Date]],'DB Details'!$A:$Q,5)=0,"",VLOOKUP(Table91213[[#This Row],[Date]],'DB Details'!$A:$Q,5))</f>
        <v>50.3</v>
      </c>
      <c r="F215" s="48">
        <f>IF(VLOOKUP(Table91213[[#This Row],[Date]],'DB Details'!$A:$Q,6)=0,"",VLOOKUP(Table91213[[#This Row],[Date]],'DB Details'!$A:$Q,6))</f>
        <v>57.2</v>
      </c>
      <c r="G215" s="49">
        <f>IF(VLOOKUP(Table91213[[#This Row],[Date]],'DB Details'!$A:$Q,7)=0,"",VLOOKUP(Table91213[[#This Row],[Date]],'DB Details'!$A:$Q,7))</f>
        <v>59</v>
      </c>
      <c r="H215" s="49">
        <f>IF(VLOOKUP(Table91213[[#This Row],[Date]],'DB Details'!$A:$Q,8)=0,"",VLOOKUP(Table91213[[#This Row],[Date]],'DB Details'!$A:$Q,8))</f>
        <v>50</v>
      </c>
      <c r="I215" s="49">
        <f>IF(VLOOKUP(Table91213[[#This Row],[Date]],'DB Details'!$A:$Q,9)=0,"",VLOOKUP(Table91213[[#This Row],[Date]],'DB Details'!$A:$Q,9))</f>
        <v>52.5</v>
      </c>
      <c r="J215" s="49">
        <f>IF(VLOOKUP(Table91213[[#This Row],[Date]],'DB Details'!$A:$Q,10)=0,"",VLOOKUP(Table91213[[#This Row],[Date]],'DB Details'!$A:$Q,10))</f>
        <v>56</v>
      </c>
      <c r="K215" s="49">
        <f>IF(VLOOKUP(Table91213[[#This Row],[Date]],'DB Details'!$A:$Q,11)=0,"",VLOOKUP(Table91213[[#This Row],[Date]],'DB Details'!$A:$Q,11))</f>
        <v>53.5</v>
      </c>
      <c r="L215" s="47">
        <f>IF(VLOOKUP(Table91213[[#This Row],[Date]],'DB Details'!$A:$Q,12)=0,"",VLOOKUP(Table91213[[#This Row],[Date]],'DB Details'!$A:$Q,12))</f>
        <v>56.4</v>
      </c>
    </row>
    <row r="216" spans="1:12" x14ac:dyDescent="0.35">
      <c r="A216" s="50">
        <v>42005</v>
      </c>
      <c r="B216" s="47">
        <f>IF(VLOOKUP(Table91213[[#This Row],[Date]],'DB Details'!$A:$Q,2)=0,"",VLOOKUP(Table91213[[#This Row],[Date]],'DB Details'!$A:$Q,2))</f>
        <v>60.5</v>
      </c>
      <c r="C216" s="48">
        <f>IF(VLOOKUP(Table91213[[#This Row],[Date]],'DB Details'!$A:$Q,3)=0,"",VLOOKUP(Table91213[[#This Row],[Date]],'DB Details'!$A:$Q,3))</f>
        <v>46.5</v>
      </c>
      <c r="D216" s="48">
        <f>IF(VLOOKUP(Table91213[[#This Row],[Date]],'DB Details'!$A:$Q,4)=0,"",VLOOKUP(Table91213[[#This Row],[Date]],'DB Details'!$A:$Q,4))</f>
        <v>49</v>
      </c>
      <c r="E216" s="49">
        <f>IF(VLOOKUP(Table91213[[#This Row],[Date]],'DB Details'!$A:$Q,5)=0,"",VLOOKUP(Table91213[[#This Row],[Date]],'DB Details'!$A:$Q,5))</f>
        <v>47.1</v>
      </c>
      <c r="F216" s="48">
        <f>IF(VLOOKUP(Table91213[[#This Row],[Date]],'DB Details'!$A:$Q,6)=0,"",VLOOKUP(Table91213[[#This Row],[Date]],'DB Details'!$A:$Q,6))</f>
        <v>61.5</v>
      </c>
      <c r="G216" s="49">
        <f>IF(VLOOKUP(Table91213[[#This Row],[Date]],'DB Details'!$A:$Q,7)=0,"",VLOOKUP(Table91213[[#This Row],[Date]],'DB Details'!$A:$Q,7))</f>
        <v>61.5</v>
      </c>
      <c r="H216" s="49">
        <f>IF(VLOOKUP(Table91213[[#This Row],[Date]],'DB Details'!$A:$Q,8)=0,"",VLOOKUP(Table91213[[#This Row],[Date]],'DB Details'!$A:$Q,8))</f>
        <v>52.5</v>
      </c>
      <c r="I216" s="49">
        <f>IF(VLOOKUP(Table91213[[#This Row],[Date]],'DB Details'!$A:$Q,9)=0,"",VLOOKUP(Table91213[[#This Row],[Date]],'DB Details'!$A:$Q,9))</f>
        <v>54</v>
      </c>
      <c r="J216" s="49">
        <f>IF(VLOOKUP(Table91213[[#This Row],[Date]],'DB Details'!$A:$Q,10)=0,"",VLOOKUP(Table91213[[#This Row],[Date]],'DB Details'!$A:$Q,10))</f>
        <v>51.6</v>
      </c>
      <c r="K216" s="49">
        <f>IF(VLOOKUP(Table91213[[#This Row],[Date]],'DB Details'!$A:$Q,11)=0,"",VLOOKUP(Table91213[[#This Row],[Date]],'DB Details'!$A:$Q,11))</f>
        <v>52.5</v>
      </c>
      <c r="L216" s="47">
        <f>IF(VLOOKUP(Table91213[[#This Row],[Date]],'DB Details'!$A:$Q,12)=0,"",VLOOKUP(Table91213[[#This Row],[Date]],'DB Details'!$A:$Q,12))</f>
        <v>57.3</v>
      </c>
    </row>
    <row r="217" spans="1:12" x14ac:dyDescent="0.35">
      <c r="A217" s="50">
        <v>42036</v>
      </c>
      <c r="B217" s="47">
        <f>IF(VLOOKUP(Table91213[[#This Row],[Date]],'DB Details'!$A:$Q,2)=0,"",VLOOKUP(Table91213[[#This Row],[Date]],'DB Details'!$A:$Q,2))</f>
        <v>58.8</v>
      </c>
      <c r="C217" s="48">
        <f>IF(VLOOKUP(Table91213[[#This Row],[Date]],'DB Details'!$A:$Q,3)=0,"",VLOOKUP(Table91213[[#This Row],[Date]],'DB Details'!$A:$Q,3))</f>
        <v>51</v>
      </c>
      <c r="D217" s="48">
        <f>IF(VLOOKUP(Table91213[[#This Row],[Date]],'DB Details'!$A:$Q,4)=0,"",VLOOKUP(Table91213[[#This Row],[Date]],'DB Details'!$A:$Q,4))</f>
        <v>53</v>
      </c>
      <c r="E217" s="49">
        <f>IF(VLOOKUP(Table91213[[#This Row],[Date]],'DB Details'!$A:$Q,5)=0,"",VLOOKUP(Table91213[[#This Row],[Date]],'DB Details'!$A:$Q,5))</f>
        <v>50.7</v>
      </c>
      <c r="F217" s="48">
        <f>IF(VLOOKUP(Table91213[[#This Row],[Date]],'DB Details'!$A:$Q,6)=0,"",VLOOKUP(Table91213[[#This Row],[Date]],'DB Details'!$A:$Q,6))</f>
        <v>59.4</v>
      </c>
      <c r="G217" s="49">
        <f>IF(VLOOKUP(Table91213[[#This Row],[Date]],'DB Details'!$A:$Q,7)=0,"",VLOOKUP(Table91213[[#This Row],[Date]],'DB Details'!$A:$Q,7))</f>
        <v>62</v>
      </c>
      <c r="H217" s="49">
        <f>IF(VLOOKUP(Table91213[[#This Row],[Date]],'DB Details'!$A:$Q,8)=0,"",VLOOKUP(Table91213[[#This Row],[Date]],'DB Details'!$A:$Q,8))</f>
        <v>54.5</v>
      </c>
      <c r="I217" s="49">
        <f>IF(VLOOKUP(Table91213[[#This Row],[Date]],'DB Details'!$A:$Q,9)=0,"",VLOOKUP(Table91213[[#This Row],[Date]],'DB Details'!$A:$Q,9))</f>
        <v>55</v>
      </c>
      <c r="J217" s="49">
        <f>IF(VLOOKUP(Table91213[[#This Row],[Date]],'DB Details'!$A:$Q,10)=0,"",VLOOKUP(Table91213[[#This Row],[Date]],'DB Details'!$A:$Q,10))</f>
        <v>56.4</v>
      </c>
      <c r="K217" s="49">
        <f>IF(VLOOKUP(Table91213[[#This Row],[Date]],'DB Details'!$A:$Q,11)=0,"",VLOOKUP(Table91213[[#This Row],[Date]],'DB Details'!$A:$Q,11))</f>
        <v>53</v>
      </c>
      <c r="L217" s="47">
        <f>IF(VLOOKUP(Table91213[[#This Row],[Date]],'DB Details'!$A:$Q,12)=0,"",VLOOKUP(Table91213[[#This Row],[Date]],'DB Details'!$A:$Q,12))</f>
        <v>57.6</v>
      </c>
    </row>
    <row r="218" spans="1:12" x14ac:dyDescent="0.35">
      <c r="A218" s="50">
        <v>42064</v>
      </c>
      <c r="B218" s="47">
        <f>IF(VLOOKUP(Table91213[[#This Row],[Date]],'DB Details'!$A:$Q,2)=0,"",VLOOKUP(Table91213[[#This Row],[Date]],'DB Details'!$A:$Q,2))</f>
        <v>58.9</v>
      </c>
      <c r="C218" s="48">
        <f>IF(VLOOKUP(Table91213[[#This Row],[Date]],'DB Details'!$A:$Q,3)=0,"",VLOOKUP(Table91213[[#This Row],[Date]],'DB Details'!$A:$Q,3))</f>
        <v>55.5</v>
      </c>
      <c r="D218" s="48">
        <f>IF(VLOOKUP(Table91213[[#This Row],[Date]],'DB Details'!$A:$Q,4)=0,"",VLOOKUP(Table91213[[#This Row],[Date]],'DB Details'!$A:$Q,4))</f>
        <v>53.5</v>
      </c>
      <c r="E218" s="49">
        <f>IF(VLOOKUP(Table91213[[#This Row],[Date]],'DB Details'!$A:$Q,5)=0,"",VLOOKUP(Table91213[[#This Row],[Date]],'DB Details'!$A:$Q,5))</f>
        <v>53.3</v>
      </c>
      <c r="F218" s="48">
        <f>IF(VLOOKUP(Table91213[[#This Row],[Date]],'DB Details'!$A:$Q,6)=0,"",VLOOKUP(Table91213[[#This Row],[Date]],'DB Details'!$A:$Q,6))</f>
        <v>57.5</v>
      </c>
      <c r="G218" s="49">
        <f>IF(VLOOKUP(Table91213[[#This Row],[Date]],'DB Details'!$A:$Q,7)=0,"",VLOOKUP(Table91213[[#This Row],[Date]],'DB Details'!$A:$Q,7))</f>
        <v>61</v>
      </c>
      <c r="H218" s="49">
        <f>IF(VLOOKUP(Table91213[[#This Row],[Date]],'DB Details'!$A:$Q,8)=0,"",VLOOKUP(Table91213[[#This Row],[Date]],'DB Details'!$A:$Q,8))</f>
        <v>49.5</v>
      </c>
      <c r="I218" s="49">
        <f>IF(VLOOKUP(Table91213[[#This Row],[Date]],'DB Details'!$A:$Q,9)=0,"",VLOOKUP(Table91213[[#This Row],[Date]],'DB Details'!$A:$Q,9))</f>
        <v>54</v>
      </c>
      <c r="J218" s="49">
        <f>IF(VLOOKUP(Table91213[[#This Row],[Date]],'DB Details'!$A:$Q,10)=0,"",VLOOKUP(Table91213[[#This Row],[Date]],'DB Details'!$A:$Q,10))</f>
        <v>56.6</v>
      </c>
      <c r="K218" s="49">
        <f>IF(VLOOKUP(Table91213[[#This Row],[Date]],'DB Details'!$A:$Q,11)=0,"",VLOOKUP(Table91213[[#This Row],[Date]],'DB Details'!$A:$Q,11))</f>
        <v>59</v>
      </c>
      <c r="L218" s="47">
        <f>IF(VLOOKUP(Table91213[[#This Row],[Date]],'DB Details'!$A:$Q,12)=0,"",VLOOKUP(Table91213[[#This Row],[Date]],'DB Details'!$A:$Q,12))</f>
        <v>57.5</v>
      </c>
    </row>
    <row r="219" spans="1:12" x14ac:dyDescent="0.35">
      <c r="A219" s="50">
        <v>42095</v>
      </c>
      <c r="B219" s="47">
        <f>IF(VLOOKUP(Table91213[[#This Row],[Date]],'DB Details'!$A:$Q,2)=0,"",VLOOKUP(Table91213[[#This Row],[Date]],'DB Details'!$A:$Q,2))</f>
        <v>58.7</v>
      </c>
      <c r="C219" s="48">
        <f>IF(VLOOKUP(Table91213[[#This Row],[Date]],'DB Details'!$A:$Q,3)=0,"",VLOOKUP(Table91213[[#This Row],[Date]],'DB Details'!$A:$Q,3))</f>
        <v>51.5</v>
      </c>
      <c r="D219" s="48">
        <f>IF(VLOOKUP(Table91213[[#This Row],[Date]],'DB Details'!$A:$Q,4)=0,"",VLOOKUP(Table91213[[#This Row],[Date]],'DB Details'!$A:$Q,4))</f>
        <v>54.5</v>
      </c>
      <c r="E219" s="49">
        <f>IF(VLOOKUP(Table91213[[#This Row],[Date]],'DB Details'!$A:$Q,5)=0,"",VLOOKUP(Table91213[[#This Row],[Date]],'DB Details'!$A:$Q,5))</f>
        <v>50.2</v>
      </c>
      <c r="F219" s="48">
        <f>IF(VLOOKUP(Table91213[[#This Row],[Date]],'DB Details'!$A:$Q,6)=0,"",VLOOKUP(Table91213[[#This Row],[Date]],'DB Details'!$A:$Q,6))</f>
        <v>61.6</v>
      </c>
      <c r="G219" s="49">
        <f>IF(VLOOKUP(Table91213[[#This Row],[Date]],'DB Details'!$A:$Q,7)=0,"",VLOOKUP(Table91213[[#This Row],[Date]],'DB Details'!$A:$Q,7))</f>
        <v>59.5</v>
      </c>
      <c r="H219" s="49">
        <f>IF(VLOOKUP(Table91213[[#This Row],[Date]],'DB Details'!$A:$Q,8)=0,"",VLOOKUP(Table91213[[#This Row],[Date]],'DB Details'!$A:$Q,8))</f>
        <v>51</v>
      </c>
      <c r="I219" s="49">
        <f>IF(VLOOKUP(Table91213[[#This Row],[Date]],'DB Details'!$A:$Q,9)=0,"",VLOOKUP(Table91213[[#This Row],[Date]],'DB Details'!$A:$Q,9))</f>
        <v>53.5</v>
      </c>
      <c r="J219" s="49">
        <f>IF(VLOOKUP(Table91213[[#This Row],[Date]],'DB Details'!$A:$Q,10)=0,"",VLOOKUP(Table91213[[#This Row],[Date]],'DB Details'!$A:$Q,10))</f>
        <v>56.7</v>
      </c>
      <c r="K219" s="49">
        <f>IF(VLOOKUP(Table91213[[#This Row],[Date]],'DB Details'!$A:$Q,11)=0,"",VLOOKUP(Table91213[[#This Row],[Date]],'DB Details'!$A:$Q,11))</f>
        <v>48.5</v>
      </c>
      <c r="L219" s="47">
        <f>IF(VLOOKUP(Table91213[[#This Row],[Date]],'DB Details'!$A:$Q,12)=0,"",VLOOKUP(Table91213[[#This Row],[Date]],'DB Details'!$A:$Q,12))</f>
        <v>57.5</v>
      </c>
    </row>
    <row r="220" spans="1:12" x14ac:dyDescent="0.35">
      <c r="A220" s="50">
        <v>42125</v>
      </c>
      <c r="B220" s="47">
        <f>IF(VLOOKUP(Table91213[[#This Row],[Date]],'DB Details'!$A:$Q,2)=0,"",VLOOKUP(Table91213[[#This Row],[Date]],'DB Details'!$A:$Q,2))</f>
        <v>58.4</v>
      </c>
      <c r="C220" s="48">
        <f>IF(VLOOKUP(Table91213[[#This Row],[Date]],'DB Details'!$A:$Q,3)=0,"",VLOOKUP(Table91213[[#This Row],[Date]],'DB Details'!$A:$Q,3))</f>
        <v>53.5</v>
      </c>
      <c r="D220" s="48">
        <f>IF(VLOOKUP(Table91213[[#This Row],[Date]],'DB Details'!$A:$Q,4)=0,"",VLOOKUP(Table91213[[#This Row],[Date]],'DB Details'!$A:$Q,4))</f>
        <v>48.5</v>
      </c>
      <c r="E220" s="49">
        <f>IF(VLOOKUP(Table91213[[#This Row],[Date]],'DB Details'!$A:$Q,5)=0,"",VLOOKUP(Table91213[[#This Row],[Date]],'DB Details'!$A:$Q,5))</f>
        <v>54</v>
      </c>
      <c r="F220" s="48">
        <f>IF(VLOOKUP(Table91213[[#This Row],[Date]],'DB Details'!$A:$Q,6)=0,"",VLOOKUP(Table91213[[#This Row],[Date]],'DB Details'!$A:$Q,6))</f>
        <v>59.5</v>
      </c>
      <c r="G220" s="49">
        <f>IF(VLOOKUP(Table91213[[#This Row],[Date]],'DB Details'!$A:$Q,7)=0,"",VLOOKUP(Table91213[[#This Row],[Date]],'DB Details'!$A:$Q,7))</f>
        <v>59</v>
      </c>
      <c r="H220" s="49">
        <f>IF(VLOOKUP(Table91213[[#This Row],[Date]],'DB Details'!$A:$Q,8)=0,"",VLOOKUP(Table91213[[#This Row],[Date]],'DB Details'!$A:$Q,8))</f>
        <v>51</v>
      </c>
      <c r="I220" s="49">
        <f>IF(VLOOKUP(Table91213[[#This Row],[Date]],'DB Details'!$A:$Q,9)=0,"",VLOOKUP(Table91213[[#This Row],[Date]],'DB Details'!$A:$Q,9))</f>
        <v>50</v>
      </c>
      <c r="J220" s="49">
        <f>IF(VLOOKUP(Table91213[[#This Row],[Date]],'DB Details'!$A:$Q,10)=0,"",VLOOKUP(Table91213[[#This Row],[Date]],'DB Details'!$A:$Q,10))</f>
        <v>55.3</v>
      </c>
      <c r="K220" s="49">
        <f>IF(VLOOKUP(Table91213[[#This Row],[Date]],'DB Details'!$A:$Q,11)=0,"",VLOOKUP(Table91213[[#This Row],[Date]],'DB Details'!$A:$Q,11))</f>
        <v>55</v>
      </c>
      <c r="L220" s="47">
        <f>IF(VLOOKUP(Table91213[[#This Row],[Date]],'DB Details'!$A:$Q,12)=0,"",VLOOKUP(Table91213[[#This Row],[Date]],'DB Details'!$A:$Q,12))</f>
        <v>56.8</v>
      </c>
    </row>
    <row r="221" spans="1:12" x14ac:dyDescent="0.35">
      <c r="A221" s="50">
        <v>42156</v>
      </c>
      <c r="B221" s="47">
        <f>IF(VLOOKUP(Table91213[[#This Row],[Date]],'DB Details'!$A:$Q,2)=0,"",VLOOKUP(Table91213[[#This Row],[Date]],'DB Details'!$A:$Q,2))</f>
        <v>58.3</v>
      </c>
      <c r="C221" s="48">
        <f>IF(VLOOKUP(Table91213[[#This Row],[Date]],'DB Details'!$A:$Q,3)=0,"",VLOOKUP(Table91213[[#This Row],[Date]],'DB Details'!$A:$Q,3))</f>
        <v>48</v>
      </c>
      <c r="D221" s="48">
        <f>IF(VLOOKUP(Table91213[[#This Row],[Date]],'DB Details'!$A:$Q,4)=0,"",VLOOKUP(Table91213[[#This Row],[Date]],'DB Details'!$A:$Q,4))</f>
        <v>50.5</v>
      </c>
      <c r="E221" s="49">
        <f>IF(VLOOKUP(Table91213[[#This Row],[Date]],'DB Details'!$A:$Q,5)=0,"",VLOOKUP(Table91213[[#This Row],[Date]],'DB Details'!$A:$Q,5))</f>
        <v>52.3</v>
      </c>
      <c r="F221" s="48">
        <f>IF(VLOOKUP(Table91213[[#This Row],[Date]],'DB Details'!$A:$Q,6)=0,"",VLOOKUP(Table91213[[#This Row],[Date]],'DB Details'!$A:$Q,6))</f>
        <v>61.5</v>
      </c>
      <c r="G221" s="49">
        <f>IF(VLOOKUP(Table91213[[#This Row],[Date]],'DB Details'!$A:$Q,7)=0,"",VLOOKUP(Table91213[[#This Row],[Date]],'DB Details'!$A:$Q,7))</f>
        <v>65</v>
      </c>
      <c r="H221" s="49">
        <f>IF(VLOOKUP(Table91213[[#This Row],[Date]],'DB Details'!$A:$Q,8)=0,"",VLOOKUP(Table91213[[#This Row],[Date]],'DB Details'!$A:$Q,8))</f>
        <v>55</v>
      </c>
      <c r="I221" s="49">
        <f>IF(VLOOKUP(Table91213[[#This Row],[Date]],'DB Details'!$A:$Q,9)=0,"",VLOOKUP(Table91213[[#This Row],[Date]],'DB Details'!$A:$Q,9))</f>
        <v>51.5</v>
      </c>
      <c r="J221" s="49">
        <f>IF(VLOOKUP(Table91213[[#This Row],[Date]],'DB Details'!$A:$Q,10)=0,"",VLOOKUP(Table91213[[#This Row],[Date]],'DB Details'!$A:$Q,10))</f>
        <v>52.7</v>
      </c>
      <c r="K221" s="49">
        <f>IF(VLOOKUP(Table91213[[#This Row],[Date]],'DB Details'!$A:$Q,11)=0,"",VLOOKUP(Table91213[[#This Row],[Date]],'DB Details'!$A:$Q,11))</f>
        <v>52</v>
      </c>
      <c r="L221" s="47">
        <f>IF(VLOOKUP(Table91213[[#This Row],[Date]],'DB Details'!$A:$Q,12)=0,"",VLOOKUP(Table91213[[#This Row],[Date]],'DB Details'!$A:$Q,12))</f>
        <v>56</v>
      </c>
    </row>
    <row r="222" spans="1:12" x14ac:dyDescent="0.35">
      <c r="A222" s="50">
        <v>42186</v>
      </c>
      <c r="B222" s="47">
        <f>IF(VLOOKUP(Table91213[[#This Row],[Date]],'DB Details'!$A:$Q,2)=0,"",VLOOKUP(Table91213[[#This Row],[Date]],'DB Details'!$A:$Q,2))</f>
        <v>60.9</v>
      </c>
      <c r="C222" s="48">
        <f>IF(VLOOKUP(Table91213[[#This Row],[Date]],'DB Details'!$A:$Q,3)=0,"",VLOOKUP(Table91213[[#This Row],[Date]],'DB Details'!$A:$Q,3))</f>
        <v>50.5</v>
      </c>
      <c r="D222" s="48">
        <f>IF(VLOOKUP(Table91213[[#This Row],[Date]],'DB Details'!$A:$Q,4)=0,"",VLOOKUP(Table91213[[#This Row],[Date]],'DB Details'!$A:$Q,4))</f>
        <v>54</v>
      </c>
      <c r="E222" s="49">
        <f>IF(VLOOKUP(Table91213[[#This Row],[Date]],'DB Details'!$A:$Q,5)=0,"",VLOOKUP(Table91213[[#This Row],[Date]],'DB Details'!$A:$Q,5))</f>
        <v>52.8</v>
      </c>
      <c r="F222" s="48">
        <f>IF(VLOOKUP(Table91213[[#This Row],[Date]],'DB Details'!$A:$Q,6)=0,"",VLOOKUP(Table91213[[#This Row],[Date]],'DB Details'!$A:$Q,6))</f>
        <v>64.900000000000006</v>
      </c>
      <c r="G222" s="49">
        <f>IF(VLOOKUP(Table91213[[#This Row],[Date]],'DB Details'!$A:$Q,7)=0,"",VLOOKUP(Table91213[[#This Row],[Date]],'DB Details'!$A:$Q,7))</f>
        <v>63.5</v>
      </c>
      <c r="H222" s="49">
        <f>IF(VLOOKUP(Table91213[[#This Row],[Date]],'DB Details'!$A:$Q,8)=0,"",VLOOKUP(Table91213[[#This Row],[Date]],'DB Details'!$A:$Q,8))</f>
        <v>57</v>
      </c>
      <c r="I222" s="49">
        <f>IF(VLOOKUP(Table91213[[#This Row],[Date]],'DB Details'!$A:$Q,9)=0,"",VLOOKUP(Table91213[[#This Row],[Date]],'DB Details'!$A:$Q,9))</f>
        <v>53</v>
      </c>
      <c r="J222" s="49">
        <f>IF(VLOOKUP(Table91213[[#This Row],[Date]],'DB Details'!$A:$Q,10)=0,"",VLOOKUP(Table91213[[#This Row],[Date]],'DB Details'!$A:$Q,10))</f>
        <v>59.6</v>
      </c>
      <c r="K222" s="49">
        <f>IF(VLOOKUP(Table91213[[#This Row],[Date]],'DB Details'!$A:$Q,11)=0,"",VLOOKUP(Table91213[[#This Row],[Date]],'DB Details'!$A:$Q,11))</f>
        <v>56.5</v>
      </c>
      <c r="L222" s="47">
        <f>IF(VLOOKUP(Table91213[[#This Row],[Date]],'DB Details'!$A:$Q,12)=0,"",VLOOKUP(Table91213[[#This Row],[Date]],'DB Details'!$A:$Q,12))</f>
        <v>59.3</v>
      </c>
    </row>
    <row r="223" spans="1:12" x14ac:dyDescent="0.35">
      <c r="A223" s="50">
        <v>42217</v>
      </c>
      <c r="B223" s="47">
        <f>IF(VLOOKUP(Table91213[[#This Row],[Date]],'DB Details'!$A:$Q,2)=0,"",VLOOKUP(Table91213[[#This Row],[Date]],'DB Details'!$A:$Q,2))</f>
        <v>62.7</v>
      </c>
      <c r="C223" s="48">
        <f>IF(VLOOKUP(Table91213[[#This Row],[Date]],'DB Details'!$A:$Q,3)=0,"",VLOOKUP(Table91213[[#This Row],[Date]],'DB Details'!$A:$Q,3))</f>
        <v>51.5</v>
      </c>
      <c r="D223" s="48">
        <f>IF(VLOOKUP(Table91213[[#This Row],[Date]],'DB Details'!$A:$Q,4)=0,"",VLOOKUP(Table91213[[#This Row],[Date]],'DB Details'!$A:$Q,4))</f>
        <v>56.5</v>
      </c>
      <c r="E223" s="49">
        <f>IF(VLOOKUP(Table91213[[#This Row],[Date]],'DB Details'!$A:$Q,5)=0,"",VLOOKUP(Table91213[[#This Row],[Date]],'DB Details'!$A:$Q,5))</f>
        <v>50.9</v>
      </c>
      <c r="F223" s="48">
        <f>IF(VLOOKUP(Table91213[[#This Row],[Date]],'DB Details'!$A:$Q,6)=0,"",VLOOKUP(Table91213[[#This Row],[Date]],'DB Details'!$A:$Q,6))</f>
        <v>63.9</v>
      </c>
      <c r="G223" s="49">
        <f>IF(VLOOKUP(Table91213[[#This Row],[Date]],'DB Details'!$A:$Q,7)=0,"",VLOOKUP(Table91213[[#This Row],[Date]],'DB Details'!$A:$Q,7))</f>
        <v>69</v>
      </c>
      <c r="H223" s="49">
        <f>IF(VLOOKUP(Table91213[[#This Row],[Date]],'DB Details'!$A:$Q,8)=0,"",VLOOKUP(Table91213[[#This Row],[Date]],'DB Details'!$A:$Q,8))</f>
        <v>54.5</v>
      </c>
      <c r="I223" s="49">
        <f>IF(VLOOKUP(Table91213[[#This Row],[Date]],'DB Details'!$A:$Q,9)=0,"",VLOOKUP(Table91213[[#This Row],[Date]],'DB Details'!$A:$Q,9))</f>
        <v>52.5</v>
      </c>
      <c r="J223" s="49">
        <f>IF(VLOOKUP(Table91213[[#This Row],[Date]],'DB Details'!$A:$Q,10)=0,"",VLOOKUP(Table91213[[#This Row],[Date]],'DB Details'!$A:$Q,10))</f>
        <v>56</v>
      </c>
      <c r="K223" s="49">
        <f>IF(VLOOKUP(Table91213[[#This Row],[Date]],'DB Details'!$A:$Q,11)=0,"",VLOOKUP(Table91213[[#This Row],[Date]],'DB Details'!$A:$Q,11))</f>
        <v>52</v>
      </c>
      <c r="L223" s="47">
        <f>IF(VLOOKUP(Table91213[[#This Row],[Date]],'DB Details'!$A:$Q,12)=0,"",VLOOKUP(Table91213[[#This Row],[Date]],'DB Details'!$A:$Q,12))</f>
        <v>58.4</v>
      </c>
    </row>
    <row r="224" spans="1:12" x14ac:dyDescent="0.35">
      <c r="A224" s="50">
        <v>42248</v>
      </c>
      <c r="B224" s="47">
        <f>IF(VLOOKUP(Table91213[[#This Row],[Date]],'DB Details'!$A:$Q,2)=0,"",VLOOKUP(Table91213[[#This Row],[Date]],'DB Details'!$A:$Q,2))</f>
        <v>56</v>
      </c>
      <c r="C224" s="48">
        <f>IF(VLOOKUP(Table91213[[#This Row],[Date]],'DB Details'!$A:$Q,3)=0,"",VLOOKUP(Table91213[[#This Row],[Date]],'DB Details'!$A:$Q,3))</f>
        <v>53</v>
      </c>
      <c r="D224" s="48">
        <f>IF(VLOOKUP(Table91213[[#This Row],[Date]],'DB Details'!$A:$Q,4)=0,"",VLOOKUP(Table91213[[#This Row],[Date]],'DB Details'!$A:$Q,4))</f>
        <v>54.5</v>
      </c>
      <c r="E224" s="49">
        <f>IF(VLOOKUP(Table91213[[#This Row],[Date]],'DB Details'!$A:$Q,5)=0,"",VLOOKUP(Table91213[[#This Row],[Date]],'DB Details'!$A:$Q,5))</f>
        <v>48.7</v>
      </c>
      <c r="F224" s="48">
        <f>IF(VLOOKUP(Table91213[[#This Row],[Date]],'DB Details'!$A:$Q,6)=0,"",VLOOKUP(Table91213[[#This Row],[Date]],'DB Details'!$A:$Q,6))</f>
        <v>60.2</v>
      </c>
      <c r="G224" s="49">
        <f>IF(VLOOKUP(Table91213[[#This Row],[Date]],'DB Details'!$A:$Q,7)=0,"",VLOOKUP(Table91213[[#This Row],[Date]],'DB Details'!$A:$Q,7))</f>
        <v>65</v>
      </c>
      <c r="H224" s="49">
        <f>IF(VLOOKUP(Table91213[[#This Row],[Date]],'DB Details'!$A:$Q,8)=0,"",VLOOKUP(Table91213[[#This Row],[Date]],'DB Details'!$A:$Q,8))</f>
        <v>51</v>
      </c>
      <c r="I224" s="49">
        <f>IF(VLOOKUP(Table91213[[#This Row],[Date]],'DB Details'!$A:$Q,9)=0,"",VLOOKUP(Table91213[[#This Row],[Date]],'DB Details'!$A:$Q,9))</f>
        <v>52.5</v>
      </c>
      <c r="J224" s="49">
        <f>IF(VLOOKUP(Table91213[[#This Row],[Date]],'DB Details'!$A:$Q,10)=0,"",VLOOKUP(Table91213[[#This Row],[Date]],'DB Details'!$A:$Q,10))</f>
        <v>58.3</v>
      </c>
      <c r="K224" s="49">
        <f>IF(VLOOKUP(Table91213[[#This Row],[Date]],'DB Details'!$A:$Q,11)=0,"",VLOOKUP(Table91213[[#This Row],[Date]],'DB Details'!$A:$Q,11))</f>
        <v>52.5</v>
      </c>
      <c r="L224" s="47">
        <f>IF(VLOOKUP(Table91213[[#This Row],[Date]],'DB Details'!$A:$Q,12)=0,"",VLOOKUP(Table91213[[#This Row],[Date]],'DB Details'!$A:$Q,12))</f>
        <v>56.1</v>
      </c>
    </row>
    <row r="225" spans="1:12" x14ac:dyDescent="0.35">
      <c r="A225" s="50">
        <v>42278</v>
      </c>
      <c r="B225" s="47">
        <f>IF(VLOOKUP(Table91213[[#This Row],[Date]],'DB Details'!$A:$Q,2)=0,"",VLOOKUP(Table91213[[#This Row],[Date]],'DB Details'!$A:$Q,2))</f>
        <v>61</v>
      </c>
      <c r="C225" s="48">
        <f>IF(VLOOKUP(Table91213[[#This Row],[Date]],'DB Details'!$A:$Q,3)=0,"",VLOOKUP(Table91213[[#This Row],[Date]],'DB Details'!$A:$Q,3))</f>
        <v>54.5</v>
      </c>
      <c r="D225" s="48">
        <f>IF(VLOOKUP(Table91213[[#This Row],[Date]],'DB Details'!$A:$Q,4)=0,"",VLOOKUP(Table91213[[#This Row],[Date]],'DB Details'!$A:$Q,4))</f>
        <v>54.5</v>
      </c>
      <c r="E225" s="49">
        <f>IF(VLOOKUP(Table91213[[#This Row],[Date]],'DB Details'!$A:$Q,5)=0,"",VLOOKUP(Table91213[[#This Row],[Date]],'DB Details'!$A:$Q,5))</f>
        <v>48.4</v>
      </c>
      <c r="F225" s="48">
        <f>IF(VLOOKUP(Table91213[[#This Row],[Date]],'DB Details'!$A:$Q,6)=0,"",VLOOKUP(Table91213[[#This Row],[Date]],'DB Details'!$A:$Q,6))</f>
        <v>63</v>
      </c>
      <c r="G225" s="49">
        <f>IF(VLOOKUP(Table91213[[#This Row],[Date]],'DB Details'!$A:$Q,7)=0,"",VLOOKUP(Table91213[[#This Row],[Date]],'DB Details'!$A:$Q,7))</f>
        <v>63</v>
      </c>
      <c r="H225" s="49">
        <f>IF(VLOOKUP(Table91213[[#This Row],[Date]],'DB Details'!$A:$Q,8)=0,"",VLOOKUP(Table91213[[#This Row],[Date]],'DB Details'!$A:$Q,8))</f>
        <v>52.5</v>
      </c>
      <c r="I225" s="49">
        <f>IF(VLOOKUP(Table91213[[#This Row],[Date]],'DB Details'!$A:$Q,9)=0,"",VLOOKUP(Table91213[[#This Row],[Date]],'DB Details'!$A:$Q,9))</f>
        <v>52</v>
      </c>
      <c r="J225" s="49">
        <f>IF(VLOOKUP(Table91213[[#This Row],[Date]],'DB Details'!$A:$Q,10)=0,"",VLOOKUP(Table91213[[#This Row],[Date]],'DB Details'!$A:$Q,10))</f>
        <v>59.2</v>
      </c>
      <c r="K225" s="49">
        <f>IF(VLOOKUP(Table91213[[#This Row],[Date]],'DB Details'!$A:$Q,11)=0,"",VLOOKUP(Table91213[[#This Row],[Date]],'DB Details'!$A:$Q,11))</f>
        <v>54.5</v>
      </c>
      <c r="L225" s="47">
        <f>IF(VLOOKUP(Table91213[[#This Row],[Date]],'DB Details'!$A:$Q,12)=0,"",VLOOKUP(Table91213[[#This Row],[Date]],'DB Details'!$A:$Q,12))</f>
        <v>57.9</v>
      </c>
    </row>
    <row r="226" spans="1:12" x14ac:dyDescent="0.35">
      <c r="A226" s="50">
        <v>42309</v>
      </c>
      <c r="B226" s="47">
        <f>IF(VLOOKUP(Table91213[[#This Row],[Date]],'DB Details'!$A:$Q,2)=0,"",VLOOKUP(Table91213[[#This Row],[Date]],'DB Details'!$A:$Q,2))</f>
        <v>58.2</v>
      </c>
      <c r="C226" s="48">
        <f>IF(VLOOKUP(Table91213[[#This Row],[Date]],'DB Details'!$A:$Q,3)=0,"",VLOOKUP(Table91213[[#This Row],[Date]],'DB Details'!$A:$Q,3))</f>
        <v>51</v>
      </c>
      <c r="D226" s="48">
        <f>IF(VLOOKUP(Table91213[[#This Row],[Date]],'DB Details'!$A:$Q,4)=0,"",VLOOKUP(Table91213[[#This Row],[Date]],'DB Details'!$A:$Q,4))</f>
        <v>51.5</v>
      </c>
      <c r="E226" s="49">
        <f>IF(VLOOKUP(Table91213[[#This Row],[Date]],'DB Details'!$A:$Q,5)=0,"",VLOOKUP(Table91213[[#This Row],[Date]],'DB Details'!$A:$Q,5))</f>
        <v>49.1</v>
      </c>
      <c r="F226" s="48">
        <f>IF(VLOOKUP(Table91213[[#This Row],[Date]],'DB Details'!$A:$Q,6)=0,"",VLOOKUP(Table91213[[#This Row],[Date]],'DB Details'!$A:$Q,6))</f>
        <v>58.2</v>
      </c>
      <c r="G226" s="49">
        <f>IF(VLOOKUP(Table91213[[#This Row],[Date]],'DB Details'!$A:$Q,7)=0,"",VLOOKUP(Table91213[[#This Row],[Date]],'DB Details'!$A:$Q,7))</f>
        <v>63.5</v>
      </c>
      <c r="H226" s="49">
        <f>IF(VLOOKUP(Table91213[[#This Row],[Date]],'DB Details'!$A:$Q,8)=0,"",VLOOKUP(Table91213[[#This Row],[Date]],'DB Details'!$A:$Q,8))</f>
        <v>54.5</v>
      </c>
      <c r="I226" s="49">
        <f>IF(VLOOKUP(Table91213[[#This Row],[Date]],'DB Details'!$A:$Q,9)=0,"",VLOOKUP(Table91213[[#This Row],[Date]],'DB Details'!$A:$Q,9))</f>
        <v>53</v>
      </c>
      <c r="J226" s="49">
        <f>IF(VLOOKUP(Table91213[[#This Row],[Date]],'DB Details'!$A:$Q,10)=0,"",VLOOKUP(Table91213[[#This Row],[Date]],'DB Details'!$A:$Q,10))</f>
        <v>55</v>
      </c>
      <c r="K226" s="49">
        <f>IF(VLOOKUP(Table91213[[#This Row],[Date]],'DB Details'!$A:$Q,11)=0,"",VLOOKUP(Table91213[[#This Row],[Date]],'DB Details'!$A:$Q,11))</f>
        <v>49.5</v>
      </c>
      <c r="L226" s="47">
        <f>IF(VLOOKUP(Table91213[[#This Row],[Date]],'DB Details'!$A:$Q,12)=0,"",VLOOKUP(Table91213[[#This Row],[Date]],'DB Details'!$A:$Q,12))</f>
        <v>55.8</v>
      </c>
    </row>
    <row r="227" spans="1:12" x14ac:dyDescent="0.35">
      <c r="A227" s="50">
        <v>42339</v>
      </c>
      <c r="B227" s="47">
        <f>IF(VLOOKUP(Table91213[[#This Row],[Date]],'DB Details'!$A:$Q,2)=0,"",VLOOKUP(Table91213[[#This Row],[Date]],'DB Details'!$A:$Q,2))</f>
        <v>57.9</v>
      </c>
      <c r="C227" s="48">
        <f>IF(VLOOKUP(Table91213[[#This Row],[Date]],'DB Details'!$A:$Q,3)=0,"",VLOOKUP(Table91213[[#This Row],[Date]],'DB Details'!$A:$Q,3))</f>
        <v>49</v>
      </c>
      <c r="D227" s="48">
        <f>IF(VLOOKUP(Table91213[[#This Row],[Date]],'DB Details'!$A:$Q,4)=0,"",VLOOKUP(Table91213[[#This Row],[Date]],'DB Details'!$A:$Q,4))</f>
        <v>50</v>
      </c>
      <c r="E227" s="49">
        <f>IF(VLOOKUP(Table91213[[#This Row],[Date]],'DB Details'!$A:$Q,5)=0,"",VLOOKUP(Table91213[[#This Row],[Date]],'DB Details'!$A:$Q,5))</f>
        <v>50.1</v>
      </c>
      <c r="F227" s="48">
        <f>IF(VLOOKUP(Table91213[[#This Row],[Date]],'DB Details'!$A:$Q,6)=0,"",VLOOKUP(Table91213[[#This Row],[Date]],'DB Details'!$A:$Q,6))</f>
        <v>58.7</v>
      </c>
      <c r="G227" s="49">
        <f>IF(VLOOKUP(Table91213[[#This Row],[Date]],'DB Details'!$A:$Q,7)=0,"",VLOOKUP(Table91213[[#This Row],[Date]],'DB Details'!$A:$Q,7))</f>
        <v>64.5</v>
      </c>
      <c r="H227" s="49">
        <f>IF(VLOOKUP(Table91213[[#This Row],[Date]],'DB Details'!$A:$Q,8)=0,"",VLOOKUP(Table91213[[#This Row],[Date]],'DB Details'!$A:$Q,8))</f>
        <v>53</v>
      </c>
      <c r="I227" s="49">
        <f>IF(VLOOKUP(Table91213[[#This Row],[Date]],'DB Details'!$A:$Q,9)=0,"",VLOOKUP(Table91213[[#This Row],[Date]],'DB Details'!$A:$Q,9))</f>
        <v>48.5</v>
      </c>
      <c r="J227" s="49">
        <f>IF(VLOOKUP(Table91213[[#This Row],[Date]],'DB Details'!$A:$Q,10)=0,"",VLOOKUP(Table91213[[#This Row],[Date]],'DB Details'!$A:$Q,10))</f>
        <v>55.7</v>
      </c>
      <c r="K227" s="49">
        <f>IF(VLOOKUP(Table91213[[#This Row],[Date]],'DB Details'!$A:$Q,11)=0,"",VLOOKUP(Table91213[[#This Row],[Date]],'DB Details'!$A:$Q,11))</f>
        <v>53.5</v>
      </c>
      <c r="L227" s="47">
        <f>IF(VLOOKUP(Table91213[[#This Row],[Date]],'DB Details'!$A:$Q,12)=0,"",VLOOKUP(Table91213[[#This Row],[Date]],'DB Details'!$A:$Q,12))</f>
        <v>55.3</v>
      </c>
    </row>
    <row r="228" spans="1:12" x14ac:dyDescent="0.35">
      <c r="A228" s="50">
        <v>42370</v>
      </c>
      <c r="B228" s="47">
        <f>IF(VLOOKUP(Table91213[[#This Row],[Date]],'DB Details'!$A:$Q,2)=0,"",VLOOKUP(Table91213[[#This Row],[Date]],'DB Details'!$A:$Q,2))</f>
        <v>57</v>
      </c>
      <c r="C228" s="48">
        <f>IF(VLOOKUP(Table91213[[#This Row],[Date]],'DB Details'!$A:$Q,3)=0,"",VLOOKUP(Table91213[[#This Row],[Date]],'DB Details'!$A:$Q,3))</f>
        <v>46</v>
      </c>
      <c r="D228" s="48">
        <f>IF(VLOOKUP(Table91213[[#This Row],[Date]],'DB Details'!$A:$Q,4)=0,"",VLOOKUP(Table91213[[#This Row],[Date]],'DB Details'!$A:$Q,4))</f>
        <v>52</v>
      </c>
      <c r="E228" s="49">
        <f>IF(VLOOKUP(Table91213[[#This Row],[Date]],'DB Details'!$A:$Q,5)=0,"",VLOOKUP(Table91213[[#This Row],[Date]],'DB Details'!$A:$Q,5))</f>
        <v>47.3</v>
      </c>
      <c r="F228" s="48">
        <f>IF(VLOOKUP(Table91213[[#This Row],[Date]],'DB Details'!$A:$Q,6)=0,"",VLOOKUP(Table91213[[#This Row],[Date]],'DB Details'!$A:$Q,6))</f>
        <v>53.9</v>
      </c>
      <c r="G228" s="49">
        <f>IF(VLOOKUP(Table91213[[#This Row],[Date]],'DB Details'!$A:$Q,7)=0,"",VLOOKUP(Table91213[[#This Row],[Date]],'DB Details'!$A:$Q,7))</f>
        <v>61.5</v>
      </c>
      <c r="H228" s="49">
        <f>IF(VLOOKUP(Table91213[[#This Row],[Date]],'DB Details'!$A:$Q,8)=0,"",VLOOKUP(Table91213[[#This Row],[Date]],'DB Details'!$A:$Q,8))</f>
        <v>51.5</v>
      </c>
      <c r="I228" s="49">
        <f>IF(VLOOKUP(Table91213[[#This Row],[Date]],'DB Details'!$A:$Q,9)=0,"",VLOOKUP(Table91213[[#This Row],[Date]],'DB Details'!$A:$Q,9))</f>
        <v>51.5</v>
      </c>
      <c r="J228" s="49">
        <f>IF(VLOOKUP(Table91213[[#This Row],[Date]],'DB Details'!$A:$Q,10)=0,"",VLOOKUP(Table91213[[#This Row],[Date]],'DB Details'!$A:$Q,10))</f>
        <v>52.1</v>
      </c>
      <c r="K228" s="49">
        <f>IF(VLOOKUP(Table91213[[#This Row],[Date]],'DB Details'!$A:$Q,11)=0,"",VLOOKUP(Table91213[[#This Row],[Date]],'DB Details'!$A:$Q,11))</f>
        <v>45.5</v>
      </c>
      <c r="L228" s="47">
        <f>IF(VLOOKUP(Table91213[[#This Row],[Date]],'DB Details'!$A:$Q,12)=0,"",VLOOKUP(Table91213[[#This Row],[Date]],'DB Details'!$A:$Q,12))</f>
        <v>54</v>
      </c>
    </row>
    <row r="229" spans="1:12" x14ac:dyDescent="0.35">
      <c r="A229" s="50">
        <v>42401</v>
      </c>
      <c r="B229" s="47">
        <f>IF(VLOOKUP(Table91213[[#This Row],[Date]],'DB Details'!$A:$Q,2)=0,"",VLOOKUP(Table91213[[#This Row],[Date]],'DB Details'!$A:$Q,2))</f>
        <v>56.8</v>
      </c>
      <c r="C229" s="48">
        <f>IF(VLOOKUP(Table91213[[#This Row],[Date]],'DB Details'!$A:$Q,3)=0,"",VLOOKUP(Table91213[[#This Row],[Date]],'DB Details'!$A:$Q,3))</f>
        <v>55.5</v>
      </c>
      <c r="D229" s="48">
        <f>IF(VLOOKUP(Table91213[[#This Row],[Date]],'DB Details'!$A:$Q,4)=0,"",VLOOKUP(Table91213[[#This Row],[Date]],'DB Details'!$A:$Q,4))</f>
        <v>52</v>
      </c>
      <c r="E229" s="49">
        <f>IF(VLOOKUP(Table91213[[#This Row],[Date]],'DB Details'!$A:$Q,5)=0,"",VLOOKUP(Table91213[[#This Row],[Date]],'DB Details'!$A:$Q,5))</f>
        <v>45.6</v>
      </c>
      <c r="F229" s="48">
        <f>IF(VLOOKUP(Table91213[[#This Row],[Date]],'DB Details'!$A:$Q,6)=0,"",VLOOKUP(Table91213[[#This Row],[Date]],'DB Details'!$A:$Q,6))</f>
        <v>57.8</v>
      </c>
      <c r="G229" s="49">
        <f>IF(VLOOKUP(Table91213[[#This Row],[Date]],'DB Details'!$A:$Q,7)=0,"",VLOOKUP(Table91213[[#This Row],[Date]],'DB Details'!$A:$Q,7))</f>
        <v>62</v>
      </c>
      <c r="H229" s="49">
        <f>IF(VLOOKUP(Table91213[[#This Row],[Date]],'DB Details'!$A:$Q,8)=0,"",VLOOKUP(Table91213[[#This Row],[Date]],'DB Details'!$A:$Q,8))</f>
        <v>52.5</v>
      </c>
      <c r="I229" s="49">
        <f>IF(VLOOKUP(Table91213[[#This Row],[Date]],'DB Details'!$A:$Q,9)=0,"",VLOOKUP(Table91213[[#This Row],[Date]],'DB Details'!$A:$Q,9))</f>
        <v>50.5</v>
      </c>
      <c r="J229" s="49">
        <f>IF(VLOOKUP(Table91213[[#This Row],[Date]],'DB Details'!$A:$Q,10)=0,"",VLOOKUP(Table91213[[#This Row],[Date]],'DB Details'!$A:$Q,10))</f>
        <v>49.7</v>
      </c>
      <c r="K229" s="49">
        <f>IF(VLOOKUP(Table91213[[#This Row],[Date]],'DB Details'!$A:$Q,11)=0,"",VLOOKUP(Table91213[[#This Row],[Date]],'DB Details'!$A:$Q,11))</f>
        <v>53.5</v>
      </c>
      <c r="L229" s="47">
        <f>IF(VLOOKUP(Table91213[[#This Row],[Date]],'DB Details'!$A:$Q,12)=0,"",VLOOKUP(Table91213[[#This Row],[Date]],'DB Details'!$A:$Q,12))</f>
        <v>54</v>
      </c>
    </row>
    <row r="230" spans="1:12" x14ac:dyDescent="0.35">
      <c r="A230" s="50">
        <v>42430</v>
      </c>
      <c r="B230" s="47">
        <f>IF(VLOOKUP(Table91213[[#This Row],[Date]],'DB Details'!$A:$Q,2)=0,"",VLOOKUP(Table91213[[#This Row],[Date]],'DB Details'!$A:$Q,2))</f>
        <v>57.4</v>
      </c>
      <c r="C230" s="48">
        <f>IF(VLOOKUP(Table91213[[#This Row],[Date]],'DB Details'!$A:$Q,3)=0,"",VLOOKUP(Table91213[[#This Row],[Date]],'DB Details'!$A:$Q,3))</f>
        <v>53</v>
      </c>
      <c r="D230" s="48">
        <f>IF(VLOOKUP(Table91213[[#This Row],[Date]],'DB Details'!$A:$Q,4)=0,"",VLOOKUP(Table91213[[#This Row],[Date]],'DB Details'!$A:$Q,4))</f>
        <v>52</v>
      </c>
      <c r="E230" s="49">
        <f>IF(VLOOKUP(Table91213[[#This Row],[Date]],'DB Details'!$A:$Q,5)=0,"",VLOOKUP(Table91213[[#This Row],[Date]],'DB Details'!$A:$Q,5))</f>
        <v>50.4</v>
      </c>
      <c r="F230" s="48">
        <f>IF(VLOOKUP(Table91213[[#This Row],[Date]],'DB Details'!$A:$Q,6)=0,"",VLOOKUP(Table91213[[#This Row],[Date]],'DB Details'!$A:$Q,6))</f>
        <v>59.8</v>
      </c>
      <c r="G230" s="49">
        <f>IF(VLOOKUP(Table91213[[#This Row],[Date]],'DB Details'!$A:$Q,7)=0,"",VLOOKUP(Table91213[[#This Row],[Date]],'DB Details'!$A:$Q,7))</f>
        <v>62.5</v>
      </c>
      <c r="H230" s="49">
        <f>IF(VLOOKUP(Table91213[[#This Row],[Date]],'DB Details'!$A:$Q,8)=0,"",VLOOKUP(Table91213[[#This Row],[Date]],'DB Details'!$A:$Q,8))</f>
        <v>52.5</v>
      </c>
      <c r="I230" s="49">
        <f>IF(VLOOKUP(Table91213[[#This Row],[Date]],'DB Details'!$A:$Q,9)=0,"",VLOOKUP(Table91213[[#This Row],[Date]],'DB Details'!$A:$Q,9))</f>
        <v>51</v>
      </c>
      <c r="J230" s="49">
        <f>IF(VLOOKUP(Table91213[[#This Row],[Date]],'DB Details'!$A:$Q,10)=0,"",VLOOKUP(Table91213[[#This Row],[Date]],'DB Details'!$A:$Q,10))</f>
        <v>50.3</v>
      </c>
      <c r="K230" s="49">
        <f>IF(VLOOKUP(Table91213[[#This Row],[Date]],'DB Details'!$A:$Q,11)=0,"",VLOOKUP(Table91213[[#This Row],[Date]],'DB Details'!$A:$Q,11))</f>
        <v>58.5</v>
      </c>
      <c r="L230" s="47">
        <f>IF(VLOOKUP(Table91213[[#This Row],[Date]],'DB Details'!$A:$Q,12)=0,"",VLOOKUP(Table91213[[#This Row],[Date]],'DB Details'!$A:$Q,12))</f>
        <v>55.2</v>
      </c>
    </row>
    <row r="231" spans="1:12" x14ac:dyDescent="0.35">
      <c r="A231" s="50">
        <v>42461</v>
      </c>
      <c r="B231" s="47">
        <f>IF(VLOOKUP(Table91213[[#This Row],[Date]],'DB Details'!$A:$Q,2)=0,"",VLOOKUP(Table91213[[#This Row],[Date]],'DB Details'!$A:$Q,2))</f>
        <v>59.5</v>
      </c>
      <c r="C231" s="48">
        <f>IF(VLOOKUP(Table91213[[#This Row],[Date]],'DB Details'!$A:$Q,3)=0,"",VLOOKUP(Table91213[[#This Row],[Date]],'DB Details'!$A:$Q,3))</f>
        <v>54</v>
      </c>
      <c r="D231" s="48">
        <f>IF(VLOOKUP(Table91213[[#This Row],[Date]],'DB Details'!$A:$Q,4)=0,"",VLOOKUP(Table91213[[#This Row],[Date]],'DB Details'!$A:$Q,4))</f>
        <v>51.5</v>
      </c>
      <c r="E231" s="49">
        <f>IF(VLOOKUP(Table91213[[#This Row],[Date]],'DB Details'!$A:$Q,5)=0,"",VLOOKUP(Table91213[[#This Row],[Date]],'DB Details'!$A:$Q,5))</f>
        <v>53.6</v>
      </c>
      <c r="F231" s="48">
        <f>IF(VLOOKUP(Table91213[[#This Row],[Date]],'DB Details'!$A:$Q,6)=0,"",VLOOKUP(Table91213[[#This Row],[Date]],'DB Details'!$A:$Q,6))</f>
        <v>58.8</v>
      </c>
      <c r="G231" s="49">
        <f>IF(VLOOKUP(Table91213[[#This Row],[Date]],'DB Details'!$A:$Q,7)=0,"",VLOOKUP(Table91213[[#This Row],[Date]],'DB Details'!$A:$Q,7))</f>
        <v>61</v>
      </c>
      <c r="H231" s="49">
        <f>IF(VLOOKUP(Table91213[[#This Row],[Date]],'DB Details'!$A:$Q,8)=0,"",VLOOKUP(Table91213[[#This Row],[Date]],'DB Details'!$A:$Q,8))</f>
        <v>54</v>
      </c>
      <c r="I231" s="49">
        <f>IF(VLOOKUP(Table91213[[#This Row],[Date]],'DB Details'!$A:$Q,9)=0,"",VLOOKUP(Table91213[[#This Row],[Date]],'DB Details'!$A:$Q,9))</f>
        <v>51</v>
      </c>
      <c r="J231" s="49">
        <f>IF(VLOOKUP(Table91213[[#This Row],[Date]],'DB Details'!$A:$Q,10)=0,"",VLOOKUP(Table91213[[#This Row],[Date]],'DB Details'!$A:$Q,10))</f>
        <v>53</v>
      </c>
      <c r="K231" s="49">
        <f>IF(VLOOKUP(Table91213[[#This Row],[Date]],'DB Details'!$A:$Q,11)=0,"",VLOOKUP(Table91213[[#This Row],[Date]],'DB Details'!$A:$Q,11))</f>
        <v>56.5</v>
      </c>
      <c r="L231" s="47">
        <f>IF(VLOOKUP(Table91213[[#This Row],[Date]],'DB Details'!$A:$Q,12)=0,"",VLOOKUP(Table91213[[#This Row],[Date]],'DB Details'!$A:$Q,12))</f>
        <v>55.6</v>
      </c>
    </row>
    <row r="232" spans="1:12" x14ac:dyDescent="0.35">
      <c r="A232" s="50">
        <v>42491</v>
      </c>
      <c r="B232" s="47">
        <f>IF(VLOOKUP(Table91213[[#This Row],[Date]],'DB Details'!$A:$Q,2)=0,"",VLOOKUP(Table91213[[#This Row],[Date]],'DB Details'!$A:$Q,2))</f>
        <v>54.8</v>
      </c>
      <c r="C232" s="48">
        <f>IF(VLOOKUP(Table91213[[#This Row],[Date]],'DB Details'!$A:$Q,3)=0,"",VLOOKUP(Table91213[[#This Row],[Date]],'DB Details'!$A:$Q,3))</f>
        <v>53.5</v>
      </c>
      <c r="D232" s="48">
        <f>IF(VLOOKUP(Table91213[[#This Row],[Date]],'DB Details'!$A:$Q,4)=0,"",VLOOKUP(Table91213[[#This Row],[Date]],'DB Details'!$A:$Q,4))</f>
        <v>50</v>
      </c>
      <c r="E232" s="49">
        <f>IF(VLOOKUP(Table91213[[#This Row],[Date]],'DB Details'!$A:$Q,5)=0,"",VLOOKUP(Table91213[[#This Row],[Date]],'DB Details'!$A:$Q,5))</f>
        <v>55.5</v>
      </c>
      <c r="F232" s="48">
        <f>IF(VLOOKUP(Table91213[[#This Row],[Date]],'DB Details'!$A:$Q,6)=0,"",VLOOKUP(Table91213[[#This Row],[Date]],'DB Details'!$A:$Q,6))</f>
        <v>55.1</v>
      </c>
      <c r="G232" s="49">
        <f>IF(VLOOKUP(Table91213[[#This Row],[Date]],'DB Details'!$A:$Q,7)=0,"",VLOOKUP(Table91213[[#This Row],[Date]],'DB Details'!$A:$Q,7))</f>
        <v>60</v>
      </c>
      <c r="H232" s="49">
        <f>IF(VLOOKUP(Table91213[[#This Row],[Date]],'DB Details'!$A:$Q,8)=0,"",VLOOKUP(Table91213[[#This Row],[Date]],'DB Details'!$A:$Q,8))</f>
        <v>54</v>
      </c>
      <c r="I232" s="49">
        <f>IF(VLOOKUP(Table91213[[#This Row],[Date]],'DB Details'!$A:$Q,9)=0,"",VLOOKUP(Table91213[[#This Row],[Date]],'DB Details'!$A:$Q,9))</f>
        <v>52.5</v>
      </c>
      <c r="J232" s="49">
        <f>IF(VLOOKUP(Table91213[[#This Row],[Date]],'DB Details'!$A:$Q,10)=0,"",VLOOKUP(Table91213[[#This Row],[Date]],'DB Details'!$A:$Q,10))</f>
        <v>49.7</v>
      </c>
      <c r="K232" s="49">
        <f>IF(VLOOKUP(Table91213[[#This Row],[Date]],'DB Details'!$A:$Q,11)=0,"",VLOOKUP(Table91213[[#This Row],[Date]],'DB Details'!$A:$Q,11))</f>
        <v>49</v>
      </c>
      <c r="L232" s="47">
        <f>IF(VLOOKUP(Table91213[[#This Row],[Date]],'DB Details'!$A:$Q,12)=0,"",VLOOKUP(Table91213[[#This Row],[Date]],'DB Details'!$A:$Q,12))</f>
        <v>53.8</v>
      </c>
    </row>
    <row r="233" spans="1:12" x14ac:dyDescent="0.35">
      <c r="A233" s="50">
        <v>42522</v>
      </c>
      <c r="B233" s="47">
        <f>IF(VLOOKUP(Table91213[[#This Row],[Date]],'DB Details'!$A:$Q,2)=0,"",VLOOKUP(Table91213[[#This Row],[Date]],'DB Details'!$A:$Q,2))</f>
        <v>58.9</v>
      </c>
      <c r="C233" s="48">
        <f>IF(VLOOKUP(Table91213[[#This Row],[Date]],'DB Details'!$A:$Q,3)=0,"",VLOOKUP(Table91213[[#This Row],[Date]],'DB Details'!$A:$Q,3))</f>
        <v>54</v>
      </c>
      <c r="D233" s="48">
        <f>IF(VLOOKUP(Table91213[[#This Row],[Date]],'DB Details'!$A:$Q,4)=0,"",VLOOKUP(Table91213[[#This Row],[Date]],'DB Details'!$A:$Q,4))</f>
        <v>47.5</v>
      </c>
      <c r="E233" s="49">
        <f>IF(VLOOKUP(Table91213[[#This Row],[Date]],'DB Details'!$A:$Q,5)=0,"",VLOOKUP(Table91213[[#This Row],[Date]],'DB Details'!$A:$Q,5))</f>
        <v>55.7</v>
      </c>
      <c r="F233" s="48">
        <f>IF(VLOOKUP(Table91213[[#This Row],[Date]],'DB Details'!$A:$Q,6)=0,"",VLOOKUP(Table91213[[#This Row],[Date]],'DB Details'!$A:$Q,6))</f>
        <v>59.5</v>
      </c>
      <c r="G233" s="49">
        <f>IF(VLOOKUP(Table91213[[#This Row],[Date]],'DB Details'!$A:$Q,7)=0,"",VLOOKUP(Table91213[[#This Row],[Date]],'DB Details'!$A:$Q,7))</f>
        <v>62.5</v>
      </c>
      <c r="H233" s="49">
        <f>IF(VLOOKUP(Table91213[[#This Row],[Date]],'DB Details'!$A:$Q,8)=0,"",VLOOKUP(Table91213[[#This Row],[Date]],'DB Details'!$A:$Q,8))</f>
        <v>55.5</v>
      </c>
      <c r="I233" s="49">
        <f>IF(VLOOKUP(Table91213[[#This Row],[Date]],'DB Details'!$A:$Q,9)=0,"",VLOOKUP(Table91213[[#This Row],[Date]],'DB Details'!$A:$Q,9))</f>
        <v>54</v>
      </c>
      <c r="J233" s="49">
        <f>IF(VLOOKUP(Table91213[[#This Row],[Date]],'DB Details'!$A:$Q,10)=0,"",VLOOKUP(Table91213[[#This Row],[Date]],'DB Details'!$A:$Q,10))</f>
        <v>52.7</v>
      </c>
      <c r="K233" s="49">
        <f>IF(VLOOKUP(Table91213[[#This Row],[Date]],'DB Details'!$A:$Q,11)=0,"",VLOOKUP(Table91213[[#This Row],[Date]],'DB Details'!$A:$Q,11))</f>
        <v>53</v>
      </c>
      <c r="L233" s="47">
        <f>IF(VLOOKUP(Table91213[[#This Row],[Date]],'DB Details'!$A:$Q,12)=0,"",VLOOKUP(Table91213[[#This Row],[Date]],'DB Details'!$A:$Q,12))</f>
        <v>56</v>
      </c>
    </row>
    <row r="234" spans="1:12" x14ac:dyDescent="0.35">
      <c r="A234" s="50">
        <v>42552</v>
      </c>
      <c r="B234" s="47">
        <f>IF(VLOOKUP(Table91213[[#This Row],[Date]],'DB Details'!$A:$Q,2)=0,"",VLOOKUP(Table91213[[#This Row],[Date]],'DB Details'!$A:$Q,2))</f>
        <v>58.5</v>
      </c>
      <c r="C234" s="48">
        <f>IF(VLOOKUP(Table91213[[#This Row],[Date]],'DB Details'!$A:$Q,3)=0,"",VLOOKUP(Table91213[[#This Row],[Date]],'DB Details'!$A:$Q,3))</f>
        <v>53</v>
      </c>
      <c r="D234" s="48">
        <f>IF(VLOOKUP(Table91213[[#This Row],[Date]],'DB Details'!$A:$Q,4)=0,"",VLOOKUP(Table91213[[#This Row],[Date]],'DB Details'!$A:$Q,4))</f>
        <v>51</v>
      </c>
      <c r="E234" s="49">
        <f>IF(VLOOKUP(Table91213[[#This Row],[Date]],'DB Details'!$A:$Q,5)=0,"",VLOOKUP(Table91213[[#This Row],[Date]],'DB Details'!$A:$Q,5))</f>
        <v>52.7</v>
      </c>
      <c r="F234" s="48">
        <f>IF(VLOOKUP(Table91213[[#This Row],[Date]],'DB Details'!$A:$Q,6)=0,"",VLOOKUP(Table91213[[#This Row],[Date]],'DB Details'!$A:$Q,6))</f>
        <v>59.3</v>
      </c>
      <c r="G234" s="49">
        <f>IF(VLOOKUP(Table91213[[#This Row],[Date]],'DB Details'!$A:$Q,7)=0,"",VLOOKUP(Table91213[[#This Row],[Date]],'DB Details'!$A:$Q,7))</f>
        <v>63</v>
      </c>
      <c r="H234" s="49">
        <f>IF(VLOOKUP(Table91213[[#This Row],[Date]],'DB Details'!$A:$Q,8)=0,"",VLOOKUP(Table91213[[#This Row],[Date]],'DB Details'!$A:$Q,8))</f>
        <v>54</v>
      </c>
      <c r="I234" s="49">
        <f>IF(VLOOKUP(Table91213[[#This Row],[Date]],'DB Details'!$A:$Q,9)=0,"",VLOOKUP(Table91213[[#This Row],[Date]],'DB Details'!$A:$Q,9))</f>
        <v>51</v>
      </c>
      <c r="J234" s="49">
        <f>IF(VLOOKUP(Table91213[[#This Row],[Date]],'DB Details'!$A:$Q,10)=0,"",VLOOKUP(Table91213[[#This Row],[Date]],'DB Details'!$A:$Q,10))</f>
        <v>51.4</v>
      </c>
      <c r="K234" s="49">
        <f>IF(VLOOKUP(Table91213[[#This Row],[Date]],'DB Details'!$A:$Q,11)=0,"",VLOOKUP(Table91213[[#This Row],[Date]],'DB Details'!$A:$Q,11))</f>
        <v>55.5</v>
      </c>
      <c r="L234" s="47">
        <f>IF(VLOOKUP(Table91213[[#This Row],[Date]],'DB Details'!$A:$Q,12)=0,"",VLOOKUP(Table91213[[#This Row],[Date]],'DB Details'!$A:$Q,12))</f>
        <v>55.2</v>
      </c>
    </row>
    <row r="235" spans="1:12" x14ac:dyDescent="0.35">
      <c r="A235" s="50">
        <v>42583</v>
      </c>
      <c r="B235" s="47">
        <f>IF(VLOOKUP(Table91213[[#This Row],[Date]],'DB Details'!$A:$Q,2)=0,"",VLOOKUP(Table91213[[#This Row],[Date]],'DB Details'!$A:$Q,2))</f>
        <v>52</v>
      </c>
      <c r="C235" s="48">
        <f>IF(VLOOKUP(Table91213[[#This Row],[Date]],'DB Details'!$A:$Q,3)=0,"",VLOOKUP(Table91213[[#This Row],[Date]],'DB Details'!$A:$Q,3))</f>
        <v>50.5</v>
      </c>
      <c r="D235" s="48">
        <f>IF(VLOOKUP(Table91213[[#This Row],[Date]],'DB Details'!$A:$Q,4)=0,"",VLOOKUP(Table91213[[#This Row],[Date]],'DB Details'!$A:$Q,4))</f>
        <v>49.5</v>
      </c>
      <c r="E235" s="49">
        <f>IF(VLOOKUP(Table91213[[#This Row],[Date]],'DB Details'!$A:$Q,5)=0,"",VLOOKUP(Table91213[[#This Row],[Date]],'DB Details'!$A:$Q,5))</f>
        <v>52</v>
      </c>
      <c r="F235" s="48">
        <f>IF(VLOOKUP(Table91213[[#This Row],[Date]],'DB Details'!$A:$Q,6)=0,"",VLOOKUP(Table91213[[#This Row],[Date]],'DB Details'!$A:$Q,6))</f>
        <v>51.8</v>
      </c>
      <c r="G235" s="49">
        <f>IF(VLOOKUP(Table91213[[#This Row],[Date]],'DB Details'!$A:$Q,7)=0,"",VLOOKUP(Table91213[[#This Row],[Date]],'DB Details'!$A:$Q,7))</f>
        <v>64</v>
      </c>
      <c r="H235" s="49">
        <f>IF(VLOOKUP(Table91213[[#This Row],[Date]],'DB Details'!$A:$Q,8)=0,"",VLOOKUP(Table91213[[#This Row],[Date]],'DB Details'!$A:$Q,8))</f>
        <v>48</v>
      </c>
      <c r="I235" s="49">
        <f>IF(VLOOKUP(Table91213[[#This Row],[Date]],'DB Details'!$A:$Q,9)=0,"",VLOOKUP(Table91213[[#This Row],[Date]],'DB Details'!$A:$Q,9))</f>
        <v>51.5</v>
      </c>
      <c r="J235" s="49">
        <f>IF(VLOOKUP(Table91213[[#This Row],[Date]],'DB Details'!$A:$Q,10)=0,"",VLOOKUP(Table91213[[#This Row],[Date]],'DB Details'!$A:$Q,10))</f>
        <v>50.7</v>
      </c>
      <c r="K235" s="49">
        <f>IF(VLOOKUP(Table91213[[#This Row],[Date]],'DB Details'!$A:$Q,11)=0,"",VLOOKUP(Table91213[[#This Row],[Date]],'DB Details'!$A:$Q,11))</f>
        <v>46.5</v>
      </c>
      <c r="L235" s="47">
        <f>IF(VLOOKUP(Table91213[[#This Row],[Date]],'DB Details'!$A:$Q,12)=0,"",VLOOKUP(Table91213[[#This Row],[Date]],'DB Details'!$A:$Q,12))</f>
        <v>51.6</v>
      </c>
    </row>
    <row r="236" spans="1:12" x14ac:dyDescent="0.35">
      <c r="A236" s="50">
        <v>42614</v>
      </c>
      <c r="B236" s="47">
        <f>IF(VLOOKUP(Table91213[[#This Row],[Date]],'DB Details'!$A:$Q,2)=0,"",VLOOKUP(Table91213[[#This Row],[Date]],'DB Details'!$A:$Q,2))</f>
        <v>59.6</v>
      </c>
      <c r="C236" s="48">
        <f>IF(VLOOKUP(Table91213[[#This Row],[Date]],'DB Details'!$A:$Q,3)=0,"",VLOOKUP(Table91213[[#This Row],[Date]],'DB Details'!$A:$Q,3))</f>
        <v>51</v>
      </c>
      <c r="D236" s="48">
        <f>IF(VLOOKUP(Table91213[[#This Row],[Date]],'DB Details'!$A:$Q,4)=0,"",VLOOKUP(Table91213[[#This Row],[Date]],'DB Details'!$A:$Q,4))</f>
        <v>52</v>
      </c>
      <c r="E236" s="49">
        <f>IF(VLOOKUP(Table91213[[#This Row],[Date]],'DB Details'!$A:$Q,5)=0,"",VLOOKUP(Table91213[[#This Row],[Date]],'DB Details'!$A:$Q,5))</f>
        <v>53.4</v>
      </c>
      <c r="F236" s="48">
        <f>IF(VLOOKUP(Table91213[[#This Row],[Date]],'DB Details'!$A:$Q,6)=0,"",VLOOKUP(Table91213[[#This Row],[Date]],'DB Details'!$A:$Q,6))</f>
        <v>60.3</v>
      </c>
      <c r="G236" s="49">
        <f>IF(VLOOKUP(Table91213[[#This Row],[Date]],'DB Details'!$A:$Q,7)=0,"",VLOOKUP(Table91213[[#This Row],[Date]],'DB Details'!$A:$Q,7))</f>
        <v>64.5</v>
      </c>
      <c r="H236" s="49">
        <f>IF(VLOOKUP(Table91213[[#This Row],[Date]],'DB Details'!$A:$Q,8)=0,"",VLOOKUP(Table91213[[#This Row],[Date]],'DB Details'!$A:$Q,8))</f>
        <v>51.5</v>
      </c>
      <c r="I236" s="49">
        <f>IF(VLOOKUP(Table91213[[#This Row],[Date]],'DB Details'!$A:$Q,9)=0,"",VLOOKUP(Table91213[[#This Row],[Date]],'DB Details'!$A:$Q,9))</f>
        <v>51</v>
      </c>
      <c r="J236" s="49">
        <f>IF(VLOOKUP(Table91213[[#This Row],[Date]],'DB Details'!$A:$Q,10)=0,"",VLOOKUP(Table91213[[#This Row],[Date]],'DB Details'!$A:$Q,10))</f>
        <v>57.2</v>
      </c>
      <c r="K236" s="49">
        <f>IF(VLOOKUP(Table91213[[#This Row],[Date]],'DB Details'!$A:$Q,11)=0,"",VLOOKUP(Table91213[[#This Row],[Date]],'DB Details'!$A:$Q,11))</f>
        <v>56.5</v>
      </c>
      <c r="L236" s="47">
        <f>IF(VLOOKUP(Table91213[[#This Row],[Date]],'DB Details'!$A:$Q,12)=0,"",VLOOKUP(Table91213[[#This Row],[Date]],'DB Details'!$A:$Q,12))</f>
        <v>56.3</v>
      </c>
    </row>
    <row r="237" spans="1:12" x14ac:dyDescent="0.35">
      <c r="A237" s="50">
        <v>42644</v>
      </c>
      <c r="B237" s="47">
        <f>IF(VLOOKUP(Table91213[[#This Row],[Date]],'DB Details'!$A:$Q,2)=0,"",VLOOKUP(Table91213[[#This Row],[Date]],'DB Details'!$A:$Q,2))</f>
        <v>57.7</v>
      </c>
      <c r="C237" s="48">
        <f>IF(VLOOKUP(Table91213[[#This Row],[Date]],'DB Details'!$A:$Q,3)=0,"",VLOOKUP(Table91213[[#This Row],[Date]],'DB Details'!$A:$Q,3))</f>
        <v>53</v>
      </c>
      <c r="D237" s="48">
        <f>IF(VLOOKUP(Table91213[[#This Row],[Date]],'DB Details'!$A:$Q,4)=0,"",VLOOKUP(Table91213[[#This Row],[Date]],'DB Details'!$A:$Q,4))</f>
        <v>52</v>
      </c>
      <c r="E237" s="49">
        <f>IF(VLOOKUP(Table91213[[#This Row],[Date]],'DB Details'!$A:$Q,5)=0,"",VLOOKUP(Table91213[[#This Row],[Date]],'DB Details'!$A:$Q,5))</f>
        <v>54.9</v>
      </c>
      <c r="F237" s="48">
        <f>IF(VLOOKUP(Table91213[[#This Row],[Date]],'DB Details'!$A:$Q,6)=0,"",VLOOKUP(Table91213[[#This Row],[Date]],'DB Details'!$A:$Q,6))</f>
        <v>57.7</v>
      </c>
      <c r="G237" s="49">
        <f>IF(VLOOKUP(Table91213[[#This Row],[Date]],'DB Details'!$A:$Q,7)=0,"",VLOOKUP(Table91213[[#This Row],[Date]],'DB Details'!$A:$Q,7))</f>
        <v>62</v>
      </c>
      <c r="H237" s="49">
        <f>IF(VLOOKUP(Table91213[[#This Row],[Date]],'DB Details'!$A:$Q,8)=0,"",VLOOKUP(Table91213[[#This Row],[Date]],'DB Details'!$A:$Q,8))</f>
        <v>52</v>
      </c>
      <c r="I237" s="49">
        <f>IF(VLOOKUP(Table91213[[#This Row],[Date]],'DB Details'!$A:$Q,9)=0,"",VLOOKUP(Table91213[[#This Row],[Date]],'DB Details'!$A:$Q,9))</f>
        <v>50.5</v>
      </c>
      <c r="J237" s="49">
        <f>IF(VLOOKUP(Table91213[[#This Row],[Date]],'DB Details'!$A:$Q,10)=0,"",VLOOKUP(Table91213[[#This Row],[Date]],'DB Details'!$A:$Q,10))</f>
        <v>53.1</v>
      </c>
      <c r="K237" s="49">
        <f>IF(VLOOKUP(Table91213[[#This Row],[Date]],'DB Details'!$A:$Q,11)=0,"",VLOOKUP(Table91213[[#This Row],[Date]],'DB Details'!$A:$Q,11))</f>
        <v>55.5</v>
      </c>
      <c r="L237" s="47">
        <f>IF(VLOOKUP(Table91213[[#This Row],[Date]],'DB Details'!$A:$Q,12)=0,"",VLOOKUP(Table91213[[#This Row],[Date]],'DB Details'!$A:$Q,12))</f>
        <v>54.4</v>
      </c>
    </row>
    <row r="238" spans="1:12" x14ac:dyDescent="0.35">
      <c r="A238" s="50">
        <v>42675</v>
      </c>
      <c r="B238" s="47">
        <f>IF(VLOOKUP(Table91213[[#This Row],[Date]],'DB Details'!$A:$Q,2)=0,"",VLOOKUP(Table91213[[#This Row],[Date]],'DB Details'!$A:$Q,2))</f>
        <v>57.4</v>
      </c>
      <c r="C238" s="48">
        <f>IF(VLOOKUP(Table91213[[#This Row],[Date]],'DB Details'!$A:$Q,3)=0,"",VLOOKUP(Table91213[[#This Row],[Date]],'DB Details'!$A:$Q,3))</f>
        <v>54</v>
      </c>
      <c r="D238" s="48">
        <f>IF(VLOOKUP(Table91213[[#This Row],[Date]],'DB Details'!$A:$Q,4)=0,"",VLOOKUP(Table91213[[#This Row],[Date]],'DB Details'!$A:$Q,4))</f>
        <v>51</v>
      </c>
      <c r="E238" s="49">
        <f>IF(VLOOKUP(Table91213[[#This Row],[Date]],'DB Details'!$A:$Q,5)=0,"",VLOOKUP(Table91213[[#This Row],[Date]],'DB Details'!$A:$Q,5))</f>
        <v>55</v>
      </c>
      <c r="F238" s="48">
        <f>IF(VLOOKUP(Table91213[[#This Row],[Date]],'DB Details'!$A:$Q,6)=0,"",VLOOKUP(Table91213[[#This Row],[Date]],'DB Details'!$A:$Q,6))</f>
        <v>61.7</v>
      </c>
      <c r="G238" s="49">
        <f>IF(VLOOKUP(Table91213[[#This Row],[Date]],'DB Details'!$A:$Q,7)=0,"",VLOOKUP(Table91213[[#This Row],[Date]],'DB Details'!$A:$Q,7))</f>
        <v>60.5</v>
      </c>
      <c r="H238" s="49">
        <f>IF(VLOOKUP(Table91213[[#This Row],[Date]],'DB Details'!$A:$Q,8)=0,"",VLOOKUP(Table91213[[#This Row],[Date]],'DB Details'!$A:$Q,8))</f>
        <v>51.5</v>
      </c>
      <c r="I238" s="49">
        <f>IF(VLOOKUP(Table91213[[#This Row],[Date]],'DB Details'!$A:$Q,9)=0,"",VLOOKUP(Table91213[[#This Row],[Date]],'DB Details'!$A:$Q,9))</f>
        <v>52</v>
      </c>
      <c r="J238" s="49">
        <f>IF(VLOOKUP(Table91213[[#This Row],[Date]],'DB Details'!$A:$Q,10)=0,"",VLOOKUP(Table91213[[#This Row],[Date]],'DB Details'!$A:$Q,10))</f>
        <v>58.2</v>
      </c>
      <c r="K238" s="49">
        <f>IF(VLOOKUP(Table91213[[#This Row],[Date]],'DB Details'!$A:$Q,11)=0,"",VLOOKUP(Table91213[[#This Row],[Date]],'DB Details'!$A:$Q,11))</f>
        <v>57</v>
      </c>
      <c r="L238" s="47">
        <f>IF(VLOOKUP(Table91213[[#This Row],[Date]],'DB Details'!$A:$Q,12)=0,"",VLOOKUP(Table91213[[#This Row],[Date]],'DB Details'!$A:$Q,12))</f>
        <v>56.2</v>
      </c>
    </row>
    <row r="239" spans="1:12" x14ac:dyDescent="0.35">
      <c r="A239" s="50">
        <v>42705</v>
      </c>
      <c r="B239" s="47">
        <f>IF(VLOOKUP(Table91213[[#This Row],[Date]],'DB Details'!$A:$Q,2)=0,"",VLOOKUP(Table91213[[#This Row],[Date]],'DB Details'!$A:$Q,2))</f>
        <v>60.7</v>
      </c>
      <c r="C239" s="48">
        <f>IF(VLOOKUP(Table91213[[#This Row],[Date]],'DB Details'!$A:$Q,3)=0,"",VLOOKUP(Table91213[[#This Row],[Date]],'DB Details'!$A:$Q,3))</f>
        <v>50</v>
      </c>
      <c r="D239" s="48">
        <f>IF(VLOOKUP(Table91213[[#This Row],[Date]],'DB Details'!$A:$Q,4)=0,"",VLOOKUP(Table91213[[#This Row],[Date]],'DB Details'!$A:$Q,4))</f>
        <v>48</v>
      </c>
      <c r="E239" s="49">
        <f>IF(VLOOKUP(Table91213[[#This Row],[Date]],'DB Details'!$A:$Q,5)=0,"",VLOOKUP(Table91213[[#This Row],[Date]],'DB Details'!$A:$Q,5))</f>
        <v>55.4</v>
      </c>
      <c r="F239" s="48">
        <f>IF(VLOOKUP(Table91213[[#This Row],[Date]],'DB Details'!$A:$Q,6)=0,"",VLOOKUP(Table91213[[#This Row],[Date]],'DB Details'!$A:$Q,6))</f>
        <v>61.4</v>
      </c>
      <c r="G239" s="49">
        <f>IF(VLOOKUP(Table91213[[#This Row],[Date]],'DB Details'!$A:$Q,7)=0,"",VLOOKUP(Table91213[[#This Row],[Date]],'DB Details'!$A:$Q,7))</f>
        <v>61.5</v>
      </c>
      <c r="H239" s="49">
        <f>IF(VLOOKUP(Table91213[[#This Row],[Date]],'DB Details'!$A:$Q,8)=0,"",VLOOKUP(Table91213[[#This Row],[Date]],'DB Details'!$A:$Q,8))</f>
        <v>52</v>
      </c>
      <c r="I239" s="49">
        <f>IF(VLOOKUP(Table91213[[#This Row],[Date]],'DB Details'!$A:$Q,9)=0,"",VLOOKUP(Table91213[[#This Row],[Date]],'DB Details'!$A:$Q,9))</f>
        <v>52</v>
      </c>
      <c r="J239" s="49">
        <f>IF(VLOOKUP(Table91213[[#This Row],[Date]],'DB Details'!$A:$Q,10)=0,"",VLOOKUP(Table91213[[#This Row],[Date]],'DB Details'!$A:$Q,10))</f>
        <v>53.8</v>
      </c>
      <c r="K239" s="49">
        <f>IF(VLOOKUP(Table91213[[#This Row],[Date]],'DB Details'!$A:$Q,11)=0,"",VLOOKUP(Table91213[[#This Row],[Date]],'DB Details'!$A:$Q,11))</f>
        <v>53</v>
      </c>
      <c r="L239" s="47">
        <f>IF(VLOOKUP(Table91213[[#This Row],[Date]],'DB Details'!$A:$Q,12)=0,"",VLOOKUP(Table91213[[#This Row],[Date]],'DB Details'!$A:$Q,12))</f>
        <v>56.7</v>
      </c>
    </row>
    <row r="240" spans="1:12" x14ac:dyDescent="0.35">
      <c r="A240" s="50">
        <v>42736</v>
      </c>
      <c r="B240" s="47">
        <f>IF(VLOOKUP(Table91213[[#This Row],[Date]],'DB Details'!$A:$Q,2)=0,"",VLOOKUP(Table91213[[#This Row],[Date]],'DB Details'!$A:$Q,2))</f>
        <v>58.6</v>
      </c>
      <c r="C240" s="48">
        <f>IF(VLOOKUP(Table91213[[#This Row],[Date]],'DB Details'!$A:$Q,3)=0,"",VLOOKUP(Table91213[[#This Row],[Date]],'DB Details'!$A:$Q,3))</f>
        <v>54</v>
      </c>
      <c r="D240" s="48">
        <f>IF(VLOOKUP(Table91213[[#This Row],[Date]],'DB Details'!$A:$Q,4)=0,"",VLOOKUP(Table91213[[#This Row],[Date]],'DB Details'!$A:$Q,4))</f>
        <v>50</v>
      </c>
      <c r="E240" s="49">
        <f>IF(VLOOKUP(Table91213[[#This Row],[Date]],'DB Details'!$A:$Q,5)=0,"",VLOOKUP(Table91213[[#This Row],[Date]],'DB Details'!$A:$Q,5))</f>
        <v>57.5</v>
      </c>
      <c r="F240" s="48">
        <f>IF(VLOOKUP(Table91213[[#This Row],[Date]],'DB Details'!$A:$Q,6)=0,"",VLOOKUP(Table91213[[#This Row],[Date]],'DB Details'!$A:$Q,6))</f>
        <v>60.3</v>
      </c>
      <c r="G240" s="49">
        <f>IF(VLOOKUP(Table91213[[#This Row],[Date]],'DB Details'!$A:$Q,7)=0,"",VLOOKUP(Table91213[[#This Row],[Date]],'DB Details'!$A:$Q,7))</f>
        <v>62</v>
      </c>
      <c r="H240" s="49">
        <f>IF(VLOOKUP(Table91213[[#This Row],[Date]],'DB Details'!$A:$Q,8)=0,"",VLOOKUP(Table91213[[#This Row],[Date]],'DB Details'!$A:$Q,8))</f>
        <v>48</v>
      </c>
      <c r="I240" s="49">
        <f>IF(VLOOKUP(Table91213[[#This Row],[Date]],'DB Details'!$A:$Q,9)=0,"",VLOOKUP(Table91213[[#This Row],[Date]],'DB Details'!$A:$Q,9))</f>
        <v>52.5</v>
      </c>
      <c r="J240" s="49">
        <f>IF(VLOOKUP(Table91213[[#This Row],[Date]],'DB Details'!$A:$Q,10)=0,"",VLOOKUP(Table91213[[#This Row],[Date]],'DB Details'!$A:$Q,10))</f>
        <v>54.7</v>
      </c>
      <c r="K240" s="49">
        <f>IF(VLOOKUP(Table91213[[#This Row],[Date]],'DB Details'!$A:$Q,11)=0,"",VLOOKUP(Table91213[[#This Row],[Date]],'DB Details'!$A:$Q,11))</f>
        <v>48</v>
      </c>
      <c r="L240" s="47">
        <f>IF(VLOOKUP(Table91213[[#This Row],[Date]],'DB Details'!$A:$Q,12)=0,"",VLOOKUP(Table91213[[#This Row],[Date]],'DB Details'!$A:$Q,12))</f>
        <v>56.8</v>
      </c>
    </row>
    <row r="241" spans="1:12" x14ac:dyDescent="0.35">
      <c r="A241" s="50">
        <v>42767</v>
      </c>
      <c r="B241" s="47">
        <f>IF(VLOOKUP(Table91213[[#This Row],[Date]],'DB Details'!$A:$Q,2)=0,"",VLOOKUP(Table91213[[#This Row],[Date]],'DB Details'!$A:$Q,2))</f>
        <v>61.2</v>
      </c>
      <c r="C241" s="48">
        <f>IF(VLOOKUP(Table91213[[#This Row],[Date]],'DB Details'!$A:$Q,3)=0,"",VLOOKUP(Table91213[[#This Row],[Date]],'DB Details'!$A:$Q,3))</f>
        <v>51</v>
      </c>
      <c r="D241" s="48">
        <f>IF(VLOOKUP(Table91213[[#This Row],[Date]],'DB Details'!$A:$Q,4)=0,"",VLOOKUP(Table91213[[#This Row],[Date]],'DB Details'!$A:$Q,4))</f>
        <v>54</v>
      </c>
      <c r="E241" s="49">
        <f>IF(VLOOKUP(Table91213[[#This Row],[Date]],'DB Details'!$A:$Q,5)=0,"",VLOOKUP(Table91213[[#This Row],[Date]],'DB Details'!$A:$Q,5))</f>
        <v>57.1</v>
      </c>
      <c r="F241" s="48">
        <f>IF(VLOOKUP(Table91213[[#This Row],[Date]],'DB Details'!$A:$Q,6)=0,"",VLOOKUP(Table91213[[#This Row],[Date]],'DB Details'!$A:$Q,6))</f>
        <v>63.6</v>
      </c>
      <c r="G241" s="49">
        <f>IF(VLOOKUP(Table91213[[#This Row],[Date]],'DB Details'!$A:$Q,7)=0,"",VLOOKUP(Table91213[[#This Row],[Date]],'DB Details'!$A:$Q,7))</f>
        <v>64.5</v>
      </c>
      <c r="H241" s="49">
        <f>IF(VLOOKUP(Table91213[[#This Row],[Date]],'DB Details'!$A:$Q,8)=0,"",VLOOKUP(Table91213[[#This Row],[Date]],'DB Details'!$A:$Q,8))</f>
        <v>52</v>
      </c>
      <c r="I241" s="49">
        <f>IF(VLOOKUP(Table91213[[#This Row],[Date]],'DB Details'!$A:$Q,9)=0,"",VLOOKUP(Table91213[[#This Row],[Date]],'DB Details'!$A:$Q,9))</f>
        <v>50.5</v>
      </c>
      <c r="J241" s="49">
        <f>IF(VLOOKUP(Table91213[[#This Row],[Date]],'DB Details'!$A:$Q,10)=0,"",VLOOKUP(Table91213[[#This Row],[Date]],'DB Details'!$A:$Q,10))</f>
        <v>55.2</v>
      </c>
      <c r="K241" s="49">
        <f>IF(VLOOKUP(Table91213[[#This Row],[Date]],'DB Details'!$A:$Q,11)=0,"",VLOOKUP(Table91213[[#This Row],[Date]],'DB Details'!$A:$Q,11))</f>
        <v>57</v>
      </c>
      <c r="L241" s="47">
        <f>IF(VLOOKUP(Table91213[[#This Row],[Date]],'DB Details'!$A:$Q,12)=0,"",VLOOKUP(Table91213[[#This Row],[Date]],'DB Details'!$A:$Q,12))</f>
        <v>57.4</v>
      </c>
    </row>
    <row r="242" spans="1:12" x14ac:dyDescent="0.35">
      <c r="A242" s="50">
        <v>42795</v>
      </c>
      <c r="B242" s="47">
        <f>IF(VLOOKUP(Table91213[[#This Row],[Date]],'DB Details'!$A:$Q,2)=0,"",VLOOKUP(Table91213[[#This Row],[Date]],'DB Details'!$A:$Q,2))</f>
        <v>58.9</v>
      </c>
      <c r="C242" s="48">
        <f>IF(VLOOKUP(Table91213[[#This Row],[Date]],'DB Details'!$A:$Q,3)=0,"",VLOOKUP(Table91213[[#This Row],[Date]],'DB Details'!$A:$Q,3))</f>
        <v>56.5</v>
      </c>
      <c r="D242" s="48">
        <f>IF(VLOOKUP(Table91213[[#This Row],[Date]],'DB Details'!$A:$Q,4)=0,"",VLOOKUP(Table91213[[#This Row],[Date]],'DB Details'!$A:$Q,4))</f>
        <v>53</v>
      </c>
      <c r="E242" s="49">
        <f>IF(VLOOKUP(Table91213[[#This Row],[Date]],'DB Details'!$A:$Q,5)=0,"",VLOOKUP(Table91213[[#This Row],[Date]],'DB Details'!$A:$Q,5))</f>
        <v>54.3</v>
      </c>
      <c r="F242" s="48">
        <f>IF(VLOOKUP(Table91213[[#This Row],[Date]],'DB Details'!$A:$Q,6)=0,"",VLOOKUP(Table91213[[#This Row],[Date]],'DB Details'!$A:$Q,6))</f>
        <v>58.9</v>
      </c>
      <c r="G242" s="49">
        <f>IF(VLOOKUP(Table91213[[#This Row],[Date]],'DB Details'!$A:$Q,7)=0,"",VLOOKUP(Table91213[[#This Row],[Date]],'DB Details'!$A:$Q,7))</f>
        <v>65</v>
      </c>
      <c r="H242" s="49">
        <f>IF(VLOOKUP(Table91213[[#This Row],[Date]],'DB Details'!$A:$Q,8)=0,"",VLOOKUP(Table91213[[#This Row],[Date]],'DB Details'!$A:$Q,8))</f>
        <v>48.5</v>
      </c>
      <c r="I242" s="49">
        <f>IF(VLOOKUP(Table91213[[#This Row],[Date]],'DB Details'!$A:$Q,9)=0,"",VLOOKUP(Table91213[[#This Row],[Date]],'DB Details'!$A:$Q,9))</f>
        <v>51.5</v>
      </c>
      <c r="J242" s="49">
        <f>IF(VLOOKUP(Table91213[[#This Row],[Date]],'DB Details'!$A:$Q,10)=0,"",VLOOKUP(Table91213[[#This Row],[Date]],'DB Details'!$A:$Q,10))</f>
        <v>51.6</v>
      </c>
      <c r="K242" s="49">
        <f>IF(VLOOKUP(Table91213[[#This Row],[Date]],'DB Details'!$A:$Q,11)=0,"",VLOOKUP(Table91213[[#This Row],[Date]],'DB Details'!$A:$Q,11))</f>
        <v>62.5</v>
      </c>
      <c r="L242" s="47">
        <f>IF(VLOOKUP(Table91213[[#This Row],[Date]],'DB Details'!$A:$Q,12)=0,"",VLOOKUP(Table91213[[#This Row],[Date]],'DB Details'!$A:$Q,12))</f>
        <v>55.6</v>
      </c>
    </row>
    <row r="243" spans="1:12" x14ac:dyDescent="0.35">
      <c r="A243" s="50">
        <v>42826</v>
      </c>
      <c r="B243" s="47">
        <f>IF(VLOOKUP(Table91213[[#This Row],[Date]],'DB Details'!$A:$Q,2)=0,"",VLOOKUP(Table91213[[#This Row],[Date]],'DB Details'!$A:$Q,2))</f>
        <v>63.2</v>
      </c>
      <c r="C243" s="48">
        <f>IF(VLOOKUP(Table91213[[#This Row],[Date]],'DB Details'!$A:$Q,3)=0,"",VLOOKUP(Table91213[[#This Row],[Date]],'DB Details'!$A:$Q,3))</f>
        <v>53</v>
      </c>
      <c r="D243" s="48">
        <f>IF(VLOOKUP(Table91213[[#This Row],[Date]],'DB Details'!$A:$Q,4)=0,"",VLOOKUP(Table91213[[#This Row],[Date]],'DB Details'!$A:$Q,4))</f>
        <v>53.5</v>
      </c>
      <c r="E243" s="49">
        <f>IF(VLOOKUP(Table91213[[#This Row],[Date]],'DB Details'!$A:$Q,5)=0,"",VLOOKUP(Table91213[[#This Row],[Date]],'DB Details'!$A:$Q,5))</f>
        <v>58</v>
      </c>
      <c r="F243" s="48">
        <f>IF(VLOOKUP(Table91213[[#This Row],[Date]],'DB Details'!$A:$Q,6)=0,"",VLOOKUP(Table91213[[#This Row],[Date]],'DB Details'!$A:$Q,6))</f>
        <v>62.4</v>
      </c>
      <c r="G243" s="49">
        <f>IF(VLOOKUP(Table91213[[#This Row],[Date]],'DB Details'!$A:$Q,7)=0,"",VLOOKUP(Table91213[[#This Row],[Date]],'DB Details'!$A:$Q,7))</f>
        <v>60</v>
      </c>
      <c r="H243" s="49">
        <f>IF(VLOOKUP(Table91213[[#This Row],[Date]],'DB Details'!$A:$Q,8)=0,"",VLOOKUP(Table91213[[#This Row],[Date]],'DB Details'!$A:$Q,8))</f>
        <v>52.5</v>
      </c>
      <c r="I243" s="49">
        <f>IF(VLOOKUP(Table91213[[#This Row],[Date]],'DB Details'!$A:$Q,9)=0,"",VLOOKUP(Table91213[[#This Row],[Date]],'DB Details'!$A:$Q,9))</f>
        <v>53</v>
      </c>
      <c r="J243" s="49">
        <f>IF(VLOOKUP(Table91213[[#This Row],[Date]],'DB Details'!$A:$Q,10)=0,"",VLOOKUP(Table91213[[#This Row],[Date]],'DB Details'!$A:$Q,10))</f>
        <v>51.4</v>
      </c>
      <c r="K243" s="49">
        <f>IF(VLOOKUP(Table91213[[#This Row],[Date]],'DB Details'!$A:$Q,11)=0,"",VLOOKUP(Table91213[[#This Row],[Date]],'DB Details'!$A:$Q,11))</f>
        <v>65.5</v>
      </c>
      <c r="L243" s="47">
        <f>IF(VLOOKUP(Table91213[[#This Row],[Date]],'DB Details'!$A:$Q,12)=0,"",VLOOKUP(Table91213[[#This Row],[Date]],'DB Details'!$A:$Q,12))</f>
        <v>57.3</v>
      </c>
    </row>
    <row r="244" spans="1:12" x14ac:dyDescent="0.35">
      <c r="A244" s="50">
        <v>42856</v>
      </c>
      <c r="B244" s="47">
        <f>IF(VLOOKUP(Table91213[[#This Row],[Date]],'DB Details'!$A:$Q,2)=0,"",VLOOKUP(Table91213[[#This Row],[Date]],'DB Details'!$A:$Q,2))</f>
        <v>57.7</v>
      </c>
      <c r="C244" s="48">
        <f>IF(VLOOKUP(Table91213[[#This Row],[Date]],'DB Details'!$A:$Q,3)=0,"",VLOOKUP(Table91213[[#This Row],[Date]],'DB Details'!$A:$Q,3))</f>
        <v>48.5</v>
      </c>
      <c r="D244" s="48">
        <f>IF(VLOOKUP(Table91213[[#This Row],[Date]],'DB Details'!$A:$Q,4)=0,"",VLOOKUP(Table91213[[#This Row],[Date]],'DB Details'!$A:$Q,4))</f>
        <v>57</v>
      </c>
      <c r="E244" s="49">
        <f>IF(VLOOKUP(Table91213[[#This Row],[Date]],'DB Details'!$A:$Q,5)=0,"",VLOOKUP(Table91213[[#This Row],[Date]],'DB Details'!$A:$Q,5))</f>
        <v>50.1</v>
      </c>
      <c r="F244" s="48">
        <f>IF(VLOOKUP(Table91213[[#This Row],[Date]],'DB Details'!$A:$Q,6)=0,"",VLOOKUP(Table91213[[#This Row],[Date]],'DB Details'!$A:$Q,6))</f>
        <v>60.7</v>
      </c>
      <c r="G244" s="49">
        <f>IF(VLOOKUP(Table91213[[#This Row],[Date]],'DB Details'!$A:$Q,7)=0,"",VLOOKUP(Table91213[[#This Row],[Date]],'DB Details'!$A:$Q,7))</f>
        <v>63</v>
      </c>
      <c r="H244" s="49">
        <f>IF(VLOOKUP(Table91213[[#This Row],[Date]],'DB Details'!$A:$Q,8)=0,"",VLOOKUP(Table91213[[#This Row],[Date]],'DB Details'!$A:$Q,8))</f>
        <v>54</v>
      </c>
      <c r="I244" s="49">
        <f>IF(VLOOKUP(Table91213[[#This Row],[Date]],'DB Details'!$A:$Q,9)=0,"",VLOOKUP(Table91213[[#This Row],[Date]],'DB Details'!$A:$Q,9))</f>
        <v>51.5</v>
      </c>
      <c r="J244" s="49">
        <f>IF(VLOOKUP(Table91213[[#This Row],[Date]],'DB Details'!$A:$Q,10)=0,"",VLOOKUP(Table91213[[#This Row],[Date]],'DB Details'!$A:$Q,10))</f>
        <v>57.8</v>
      </c>
      <c r="K244" s="49">
        <f>IF(VLOOKUP(Table91213[[#This Row],[Date]],'DB Details'!$A:$Q,11)=0,"",VLOOKUP(Table91213[[#This Row],[Date]],'DB Details'!$A:$Q,11))</f>
        <v>54.5</v>
      </c>
      <c r="L244" s="47">
        <f>IF(VLOOKUP(Table91213[[#This Row],[Date]],'DB Details'!$A:$Q,12)=0,"",VLOOKUP(Table91213[[#This Row],[Date]],'DB Details'!$A:$Q,12))</f>
        <v>57.1</v>
      </c>
    </row>
    <row r="245" spans="1:12" x14ac:dyDescent="0.35">
      <c r="A245" s="50">
        <v>42887</v>
      </c>
      <c r="B245" s="47">
        <f>IF(VLOOKUP(Table91213[[#This Row],[Date]],'DB Details'!$A:$Q,2)=0,"",VLOOKUP(Table91213[[#This Row],[Date]],'DB Details'!$A:$Q,2))</f>
        <v>60.5</v>
      </c>
      <c r="C245" s="48">
        <f>IF(VLOOKUP(Table91213[[#This Row],[Date]],'DB Details'!$A:$Q,3)=0,"",VLOOKUP(Table91213[[#This Row],[Date]],'DB Details'!$A:$Q,3))</f>
        <v>51</v>
      </c>
      <c r="D245" s="48">
        <f>IF(VLOOKUP(Table91213[[#This Row],[Date]],'DB Details'!$A:$Q,4)=0,"",VLOOKUP(Table91213[[#This Row],[Date]],'DB Details'!$A:$Q,4))</f>
        <v>52.5</v>
      </c>
      <c r="E245" s="49">
        <f>IF(VLOOKUP(Table91213[[#This Row],[Date]],'DB Details'!$A:$Q,5)=0,"",VLOOKUP(Table91213[[#This Row],[Date]],'DB Details'!$A:$Q,5))</f>
        <v>53.3</v>
      </c>
      <c r="F245" s="48">
        <f>IF(VLOOKUP(Table91213[[#This Row],[Date]],'DB Details'!$A:$Q,6)=0,"",VLOOKUP(Table91213[[#This Row],[Date]],'DB Details'!$A:$Q,6))</f>
        <v>60.8</v>
      </c>
      <c r="G245" s="49">
        <f>IF(VLOOKUP(Table91213[[#This Row],[Date]],'DB Details'!$A:$Q,7)=0,"",VLOOKUP(Table91213[[#This Row],[Date]],'DB Details'!$A:$Q,7))</f>
        <v>62</v>
      </c>
      <c r="H245" s="49">
        <f>IF(VLOOKUP(Table91213[[#This Row],[Date]],'DB Details'!$A:$Q,8)=0,"",VLOOKUP(Table91213[[#This Row],[Date]],'DB Details'!$A:$Q,8))</f>
        <v>57.5</v>
      </c>
      <c r="I245" s="49">
        <f>IF(VLOOKUP(Table91213[[#This Row],[Date]],'DB Details'!$A:$Q,9)=0,"",VLOOKUP(Table91213[[#This Row],[Date]],'DB Details'!$A:$Q,9))</f>
        <v>52.5</v>
      </c>
      <c r="J245" s="49">
        <f>IF(VLOOKUP(Table91213[[#This Row],[Date]],'DB Details'!$A:$Q,10)=0,"",VLOOKUP(Table91213[[#This Row],[Date]],'DB Details'!$A:$Q,10))</f>
        <v>55.8</v>
      </c>
      <c r="K245" s="49">
        <f>IF(VLOOKUP(Table91213[[#This Row],[Date]],'DB Details'!$A:$Q,11)=0,"",VLOOKUP(Table91213[[#This Row],[Date]],'DB Details'!$A:$Q,11))</f>
        <v>55</v>
      </c>
      <c r="L245" s="47">
        <f>IF(VLOOKUP(Table91213[[#This Row],[Date]],'DB Details'!$A:$Q,12)=0,"",VLOOKUP(Table91213[[#This Row],[Date]],'DB Details'!$A:$Q,12))</f>
        <v>57.2</v>
      </c>
    </row>
    <row r="246" spans="1:12" x14ac:dyDescent="0.35">
      <c r="A246" s="50">
        <v>42917</v>
      </c>
      <c r="B246" s="47">
        <f>IF(VLOOKUP(Table91213[[#This Row],[Date]],'DB Details'!$A:$Q,2)=0,"",VLOOKUP(Table91213[[#This Row],[Date]],'DB Details'!$A:$Q,2))</f>
        <v>55.1</v>
      </c>
      <c r="C246" s="48">
        <f>IF(VLOOKUP(Table91213[[#This Row],[Date]],'DB Details'!$A:$Q,3)=0,"",VLOOKUP(Table91213[[#This Row],[Date]],'DB Details'!$A:$Q,3))</f>
        <v>51.5</v>
      </c>
      <c r="D246" s="48">
        <f>IF(VLOOKUP(Table91213[[#This Row],[Date]],'DB Details'!$A:$Q,4)=0,"",VLOOKUP(Table91213[[#This Row],[Date]],'DB Details'!$A:$Q,4))</f>
        <v>52</v>
      </c>
      <c r="E246" s="49">
        <f>IF(VLOOKUP(Table91213[[#This Row],[Date]],'DB Details'!$A:$Q,5)=0,"",VLOOKUP(Table91213[[#This Row],[Date]],'DB Details'!$A:$Q,5))</f>
        <v>56.4</v>
      </c>
      <c r="F246" s="48">
        <f>IF(VLOOKUP(Table91213[[#This Row],[Date]],'DB Details'!$A:$Q,6)=0,"",VLOOKUP(Table91213[[#This Row],[Date]],'DB Details'!$A:$Q,6))</f>
        <v>55.9</v>
      </c>
      <c r="G246" s="49">
        <f>IF(VLOOKUP(Table91213[[#This Row],[Date]],'DB Details'!$A:$Q,7)=0,"",VLOOKUP(Table91213[[#This Row],[Date]],'DB Details'!$A:$Q,7))</f>
        <v>67.5</v>
      </c>
      <c r="H246" s="49">
        <f>IF(VLOOKUP(Table91213[[#This Row],[Date]],'DB Details'!$A:$Q,8)=0,"",VLOOKUP(Table91213[[#This Row],[Date]],'DB Details'!$A:$Q,8))</f>
        <v>56.5</v>
      </c>
      <c r="I246" s="49">
        <f>IF(VLOOKUP(Table91213[[#This Row],[Date]],'DB Details'!$A:$Q,9)=0,"",VLOOKUP(Table91213[[#This Row],[Date]],'DB Details'!$A:$Q,9))</f>
        <v>51</v>
      </c>
      <c r="J246" s="49">
        <f>IF(VLOOKUP(Table91213[[#This Row],[Date]],'DB Details'!$A:$Q,10)=0,"",VLOOKUP(Table91213[[#This Row],[Date]],'DB Details'!$A:$Q,10))</f>
        <v>53.6</v>
      </c>
      <c r="K246" s="49">
        <f>IF(VLOOKUP(Table91213[[#This Row],[Date]],'DB Details'!$A:$Q,11)=0,"",VLOOKUP(Table91213[[#This Row],[Date]],'DB Details'!$A:$Q,11))</f>
        <v>53</v>
      </c>
      <c r="L246" s="47">
        <f>IF(VLOOKUP(Table91213[[#This Row],[Date]],'DB Details'!$A:$Q,12)=0,"",VLOOKUP(Table91213[[#This Row],[Date]],'DB Details'!$A:$Q,12))</f>
        <v>54.3</v>
      </c>
    </row>
    <row r="247" spans="1:12" x14ac:dyDescent="0.35">
      <c r="A247" s="50">
        <v>42948</v>
      </c>
      <c r="B247" s="47">
        <f>IF(VLOOKUP(Table91213[[#This Row],[Date]],'DB Details'!$A:$Q,2)=0,"",VLOOKUP(Table91213[[#This Row],[Date]],'DB Details'!$A:$Q,2))</f>
        <v>57.1</v>
      </c>
      <c r="C247" s="48">
        <f>IF(VLOOKUP(Table91213[[#This Row],[Date]],'DB Details'!$A:$Q,3)=0,"",VLOOKUP(Table91213[[#This Row],[Date]],'DB Details'!$A:$Q,3))</f>
        <v>50.5</v>
      </c>
      <c r="D247" s="48">
        <f>IF(VLOOKUP(Table91213[[#This Row],[Date]],'DB Details'!$A:$Q,4)=0,"",VLOOKUP(Table91213[[#This Row],[Date]],'DB Details'!$A:$Q,4))</f>
        <v>53.5</v>
      </c>
      <c r="E247" s="49">
        <f>IF(VLOOKUP(Table91213[[#This Row],[Date]],'DB Details'!$A:$Q,5)=0,"",VLOOKUP(Table91213[[#This Row],[Date]],'DB Details'!$A:$Q,5))</f>
        <v>58.1</v>
      </c>
      <c r="F247" s="48">
        <f>IF(VLOOKUP(Table91213[[#This Row],[Date]],'DB Details'!$A:$Q,6)=0,"",VLOOKUP(Table91213[[#This Row],[Date]],'DB Details'!$A:$Q,6))</f>
        <v>57.5</v>
      </c>
      <c r="G247" s="49">
        <f>IF(VLOOKUP(Table91213[[#This Row],[Date]],'DB Details'!$A:$Q,7)=0,"",VLOOKUP(Table91213[[#This Row],[Date]],'DB Details'!$A:$Q,7))</f>
        <v>61</v>
      </c>
      <c r="H247" s="49">
        <f>IF(VLOOKUP(Table91213[[#This Row],[Date]],'DB Details'!$A:$Q,8)=0,"",VLOOKUP(Table91213[[#This Row],[Date]],'DB Details'!$A:$Q,8))</f>
        <v>53.5</v>
      </c>
      <c r="I247" s="49">
        <f>IF(VLOOKUP(Table91213[[#This Row],[Date]],'DB Details'!$A:$Q,9)=0,"",VLOOKUP(Table91213[[#This Row],[Date]],'DB Details'!$A:$Q,9))</f>
        <v>50.5</v>
      </c>
      <c r="J247" s="49">
        <f>IF(VLOOKUP(Table91213[[#This Row],[Date]],'DB Details'!$A:$Q,10)=0,"",VLOOKUP(Table91213[[#This Row],[Date]],'DB Details'!$A:$Q,10))</f>
        <v>56.2</v>
      </c>
      <c r="K247" s="49">
        <f>IF(VLOOKUP(Table91213[[#This Row],[Date]],'DB Details'!$A:$Q,11)=0,"",VLOOKUP(Table91213[[#This Row],[Date]],'DB Details'!$A:$Q,11))</f>
        <v>55</v>
      </c>
      <c r="L247" s="47">
        <f>IF(VLOOKUP(Table91213[[#This Row],[Date]],'DB Details'!$A:$Q,12)=0,"",VLOOKUP(Table91213[[#This Row],[Date]],'DB Details'!$A:$Q,12))</f>
        <v>55.2</v>
      </c>
    </row>
    <row r="248" spans="1:12" x14ac:dyDescent="0.35">
      <c r="A248" s="50">
        <v>42979</v>
      </c>
      <c r="B248" s="47">
        <f>IF(VLOOKUP(Table91213[[#This Row],[Date]],'DB Details'!$A:$Q,2)=0,"",VLOOKUP(Table91213[[#This Row],[Date]],'DB Details'!$A:$Q,2))</f>
        <v>63</v>
      </c>
      <c r="C248" s="48">
        <f>IF(VLOOKUP(Table91213[[#This Row],[Date]],'DB Details'!$A:$Q,3)=0,"",VLOOKUP(Table91213[[#This Row],[Date]],'DB Details'!$A:$Q,3))</f>
        <v>52</v>
      </c>
      <c r="D248" s="48">
        <f>IF(VLOOKUP(Table91213[[#This Row],[Date]],'DB Details'!$A:$Q,4)=0,"",VLOOKUP(Table91213[[#This Row],[Date]],'DB Details'!$A:$Q,4))</f>
        <v>56</v>
      </c>
      <c r="E248" s="49">
        <f>IF(VLOOKUP(Table91213[[#This Row],[Date]],'DB Details'!$A:$Q,5)=0,"",VLOOKUP(Table91213[[#This Row],[Date]],'DB Details'!$A:$Q,5))</f>
        <v>65.900000000000006</v>
      </c>
      <c r="F248" s="48">
        <f>IF(VLOOKUP(Table91213[[#This Row],[Date]],'DB Details'!$A:$Q,6)=0,"",VLOOKUP(Table91213[[#This Row],[Date]],'DB Details'!$A:$Q,6))</f>
        <v>61.3</v>
      </c>
      <c r="G248" s="49">
        <f>IF(VLOOKUP(Table91213[[#This Row],[Date]],'DB Details'!$A:$Q,7)=0,"",VLOOKUP(Table91213[[#This Row],[Date]],'DB Details'!$A:$Q,7))</f>
        <v>58.5</v>
      </c>
      <c r="H248" s="49">
        <f>IF(VLOOKUP(Table91213[[#This Row],[Date]],'DB Details'!$A:$Q,8)=0,"",VLOOKUP(Table91213[[#This Row],[Date]],'DB Details'!$A:$Q,8))</f>
        <v>51.5</v>
      </c>
      <c r="I248" s="49">
        <f>IF(VLOOKUP(Table91213[[#This Row],[Date]],'DB Details'!$A:$Q,9)=0,"",VLOOKUP(Table91213[[#This Row],[Date]],'DB Details'!$A:$Q,9))</f>
        <v>58</v>
      </c>
      <c r="J248" s="49">
        <f>IF(VLOOKUP(Table91213[[#This Row],[Date]],'DB Details'!$A:$Q,10)=0,"",VLOOKUP(Table91213[[#This Row],[Date]],'DB Details'!$A:$Q,10))</f>
        <v>56.8</v>
      </c>
      <c r="K248" s="49">
        <f>IF(VLOOKUP(Table91213[[#This Row],[Date]],'DB Details'!$A:$Q,11)=0,"",VLOOKUP(Table91213[[#This Row],[Date]],'DB Details'!$A:$Q,11))</f>
        <v>56</v>
      </c>
      <c r="L248" s="47">
        <f>IF(VLOOKUP(Table91213[[#This Row],[Date]],'DB Details'!$A:$Q,12)=0,"",VLOOKUP(Table91213[[#This Row],[Date]],'DB Details'!$A:$Q,12))</f>
        <v>59.4</v>
      </c>
    </row>
    <row r="249" spans="1:12" x14ac:dyDescent="0.35">
      <c r="A249" s="50">
        <v>43009</v>
      </c>
      <c r="B249" s="47">
        <f>IF(VLOOKUP(Table91213[[#This Row],[Date]],'DB Details'!$A:$Q,2)=0,"",VLOOKUP(Table91213[[#This Row],[Date]],'DB Details'!$A:$Q,2))</f>
        <v>62.8</v>
      </c>
      <c r="C249" s="48">
        <f>IF(VLOOKUP(Table91213[[#This Row],[Date]],'DB Details'!$A:$Q,3)=0,"",VLOOKUP(Table91213[[#This Row],[Date]],'DB Details'!$A:$Q,3))</f>
        <v>52</v>
      </c>
      <c r="D249" s="48">
        <f>IF(VLOOKUP(Table91213[[#This Row],[Date]],'DB Details'!$A:$Q,4)=0,"",VLOOKUP(Table91213[[#This Row],[Date]],'DB Details'!$A:$Q,4))</f>
        <v>53.5</v>
      </c>
      <c r="E249" s="49">
        <f>IF(VLOOKUP(Table91213[[#This Row],[Date]],'DB Details'!$A:$Q,5)=0,"",VLOOKUP(Table91213[[#This Row],[Date]],'DB Details'!$A:$Q,5))</f>
        <v>61.5</v>
      </c>
      <c r="F249" s="48">
        <f>IF(VLOOKUP(Table91213[[#This Row],[Date]],'DB Details'!$A:$Q,6)=0,"",VLOOKUP(Table91213[[#This Row],[Date]],'DB Details'!$A:$Q,6))</f>
        <v>62.2</v>
      </c>
      <c r="G249" s="49">
        <f>IF(VLOOKUP(Table91213[[#This Row],[Date]],'DB Details'!$A:$Q,7)=0,"",VLOOKUP(Table91213[[#This Row],[Date]],'DB Details'!$A:$Q,7))</f>
        <v>61</v>
      </c>
      <c r="H249" s="49">
        <f>IF(VLOOKUP(Table91213[[#This Row],[Date]],'DB Details'!$A:$Q,8)=0,"",VLOOKUP(Table91213[[#This Row],[Date]],'DB Details'!$A:$Q,8))</f>
        <v>52.5</v>
      </c>
      <c r="I249" s="49">
        <f>IF(VLOOKUP(Table91213[[#This Row],[Date]],'DB Details'!$A:$Q,9)=0,"",VLOOKUP(Table91213[[#This Row],[Date]],'DB Details'!$A:$Q,9))</f>
        <v>58</v>
      </c>
      <c r="J249" s="49">
        <f>IF(VLOOKUP(Table91213[[#This Row],[Date]],'DB Details'!$A:$Q,10)=0,"",VLOOKUP(Table91213[[#This Row],[Date]],'DB Details'!$A:$Q,10))</f>
        <v>57.5</v>
      </c>
      <c r="K249" s="49">
        <f>IF(VLOOKUP(Table91213[[#This Row],[Date]],'DB Details'!$A:$Q,11)=0,"",VLOOKUP(Table91213[[#This Row],[Date]],'DB Details'!$A:$Q,11))</f>
        <v>60</v>
      </c>
      <c r="L249" s="47">
        <f>IF(VLOOKUP(Table91213[[#This Row],[Date]],'DB Details'!$A:$Q,12)=0,"",VLOOKUP(Table91213[[#This Row],[Date]],'DB Details'!$A:$Q,12))</f>
        <v>59.8</v>
      </c>
    </row>
    <row r="250" spans="1:12" x14ac:dyDescent="0.35">
      <c r="A250" s="50">
        <v>43040</v>
      </c>
      <c r="B250" s="47">
        <f>IF(VLOOKUP(Table91213[[#This Row],[Date]],'DB Details'!$A:$Q,2)=0,"",VLOOKUP(Table91213[[#This Row],[Date]],'DB Details'!$A:$Q,2))</f>
        <v>58.7</v>
      </c>
      <c r="C250" s="48">
        <f>IF(VLOOKUP(Table91213[[#This Row],[Date]],'DB Details'!$A:$Q,3)=0,"",VLOOKUP(Table91213[[#This Row],[Date]],'DB Details'!$A:$Q,3))</f>
        <v>52.5</v>
      </c>
      <c r="D250" s="48">
        <f>IF(VLOOKUP(Table91213[[#This Row],[Date]],'DB Details'!$A:$Q,4)=0,"",VLOOKUP(Table91213[[#This Row],[Date]],'DB Details'!$A:$Q,4))</f>
        <v>51.5</v>
      </c>
      <c r="E250" s="49">
        <f>IF(VLOOKUP(Table91213[[#This Row],[Date]],'DB Details'!$A:$Q,5)=0,"",VLOOKUP(Table91213[[#This Row],[Date]],'DB Details'!$A:$Q,5))</f>
        <v>60.1</v>
      </c>
      <c r="F250" s="48">
        <f>IF(VLOOKUP(Table91213[[#This Row],[Date]],'DB Details'!$A:$Q,6)=0,"",VLOOKUP(Table91213[[#This Row],[Date]],'DB Details'!$A:$Q,6))</f>
        <v>61.4</v>
      </c>
      <c r="G250" s="49">
        <f>IF(VLOOKUP(Table91213[[#This Row],[Date]],'DB Details'!$A:$Q,7)=0,"",VLOOKUP(Table91213[[#This Row],[Date]],'DB Details'!$A:$Q,7))</f>
        <v>56</v>
      </c>
      <c r="H250" s="49">
        <f>IF(VLOOKUP(Table91213[[#This Row],[Date]],'DB Details'!$A:$Q,8)=0,"",VLOOKUP(Table91213[[#This Row],[Date]],'DB Details'!$A:$Q,8))</f>
        <v>54.5</v>
      </c>
      <c r="I250" s="49">
        <f>IF(VLOOKUP(Table91213[[#This Row],[Date]],'DB Details'!$A:$Q,9)=0,"",VLOOKUP(Table91213[[#This Row],[Date]],'DB Details'!$A:$Q,9))</f>
        <v>54</v>
      </c>
      <c r="J250" s="49">
        <f>IF(VLOOKUP(Table91213[[#This Row],[Date]],'DB Details'!$A:$Q,10)=0,"",VLOOKUP(Table91213[[#This Row],[Date]],'DB Details'!$A:$Q,10))</f>
        <v>55.3</v>
      </c>
      <c r="K250" s="49">
        <f>IF(VLOOKUP(Table91213[[#This Row],[Date]],'DB Details'!$A:$Q,11)=0,"",VLOOKUP(Table91213[[#This Row],[Date]],'DB Details'!$A:$Q,11))</f>
        <v>57</v>
      </c>
      <c r="L250" s="47">
        <f>IF(VLOOKUP(Table91213[[#This Row],[Date]],'DB Details'!$A:$Q,12)=0,"",VLOOKUP(Table91213[[#This Row],[Date]],'DB Details'!$A:$Q,12))</f>
        <v>57.3</v>
      </c>
    </row>
    <row r="251" spans="1:12" x14ac:dyDescent="0.35">
      <c r="A251" s="50">
        <v>43070</v>
      </c>
      <c r="B251" s="47">
        <f>IF(VLOOKUP(Table91213[[#This Row],[Date]],'DB Details'!$A:$Q,2)=0,"",VLOOKUP(Table91213[[#This Row],[Date]],'DB Details'!$A:$Q,2))</f>
        <v>54.3</v>
      </c>
      <c r="C251" s="48">
        <f>IF(VLOOKUP(Table91213[[#This Row],[Date]],'DB Details'!$A:$Q,3)=0,"",VLOOKUP(Table91213[[#This Row],[Date]],'DB Details'!$A:$Q,3))</f>
        <v>52.5</v>
      </c>
      <c r="D251" s="48">
        <f>IF(VLOOKUP(Table91213[[#This Row],[Date]],'DB Details'!$A:$Q,4)=0,"",VLOOKUP(Table91213[[#This Row],[Date]],'DB Details'!$A:$Q,4))</f>
        <v>50</v>
      </c>
      <c r="E251" s="49">
        <f>IF(VLOOKUP(Table91213[[#This Row],[Date]],'DB Details'!$A:$Q,5)=0,"",VLOOKUP(Table91213[[#This Row],[Date]],'DB Details'!$A:$Q,5))</f>
        <v>59.9</v>
      </c>
      <c r="F251" s="48">
        <f>IF(VLOOKUP(Table91213[[#This Row],[Date]],'DB Details'!$A:$Q,6)=0,"",VLOOKUP(Table91213[[#This Row],[Date]],'DB Details'!$A:$Q,6))</f>
        <v>57.3</v>
      </c>
      <c r="G251" s="49">
        <f>IF(VLOOKUP(Table91213[[#This Row],[Date]],'DB Details'!$A:$Q,7)=0,"",VLOOKUP(Table91213[[#This Row],[Date]],'DB Details'!$A:$Q,7))</f>
        <v>62.5</v>
      </c>
      <c r="H251" s="49">
        <f>IF(VLOOKUP(Table91213[[#This Row],[Date]],'DB Details'!$A:$Q,8)=0,"",VLOOKUP(Table91213[[#This Row],[Date]],'DB Details'!$A:$Q,8))</f>
        <v>53.5</v>
      </c>
      <c r="I251" s="49">
        <f>IF(VLOOKUP(Table91213[[#This Row],[Date]],'DB Details'!$A:$Q,9)=0,"",VLOOKUP(Table91213[[#This Row],[Date]],'DB Details'!$A:$Q,9))</f>
        <v>55.5</v>
      </c>
      <c r="J251" s="49">
        <f>IF(VLOOKUP(Table91213[[#This Row],[Date]],'DB Details'!$A:$Q,10)=0,"",VLOOKUP(Table91213[[#This Row],[Date]],'DB Details'!$A:$Q,10))</f>
        <v>56.3</v>
      </c>
      <c r="K251" s="49">
        <f>IF(VLOOKUP(Table91213[[#This Row],[Date]],'DB Details'!$A:$Q,11)=0,"",VLOOKUP(Table91213[[#This Row],[Date]],'DB Details'!$A:$Q,11))</f>
        <v>56.5</v>
      </c>
      <c r="L251" s="47">
        <f>IF(VLOOKUP(Table91213[[#This Row],[Date]],'DB Details'!$A:$Q,12)=0,"",VLOOKUP(Table91213[[#This Row],[Date]],'DB Details'!$A:$Q,12))</f>
        <v>56</v>
      </c>
    </row>
    <row r="252" spans="1:12" x14ac:dyDescent="0.35">
      <c r="A252" s="50">
        <v>43101</v>
      </c>
      <c r="B252" s="47">
        <f>IF(VLOOKUP(Table91213[[#This Row],[Date]],'DB Details'!$A:$Q,2)=0,"",VLOOKUP(Table91213[[#This Row],[Date]],'DB Details'!$A:$Q,2))</f>
        <v>62.7</v>
      </c>
      <c r="C252" s="48">
        <f>IF(VLOOKUP(Table91213[[#This Row],[Date]],'DB Details'!$A:$Q,3)=0,"",VLOOKUP(Table91213[[#This Row],[Date]],'DB Details'!$A:$Q,3))</f>
        <v>54</v>
      </c>
      <c r="D252" s="48">
        <f>IF(VLOOKUP(Table91213[[#This Row],[Date]],'DB Details'!$A:$Q,4)=0,"",VLOOKUP(Table91213[[#This Row],[Date]],'DB Details'!$A:$Q,4))</f>
        <v>50.5</v>
      </c>
      <c r="E252" s="49">
        <f>IF(VLOOKUP(Table91213[[#This Row],[Date]],'DB Details'!$A:$Q,5)=0,"",VLOOKUP(Table91213[[#This Row],[Date]],'DB Details'!$A:$Q,5))</f>
        <v>61.9</v>
      </c>
      <c r="F252" s="48">
        <f>IF(VLOOKUP(Table91213[[#This Row],[Date]],'DB Details'!$A:$Q,6)=0,"",VLOOKUP(Table91213[[#This Row],[Date]],'DB Details'!$A:$Q,6))</f>
        <v>59.8</v>
      </c>
      <c r="G252" s="49">
        <f>IF(VLOOKUP(Table91213[[#This Row],[Date]],'DB Details'!$A:$Q,7)=0,"",VLOOKUP(Table91213[[#This Row],[Date]],'DB Details'!$A:$Q,7))</f>
        <v>61</v>
      </c>
      <c r="H252" s="49">
        <f>IF(VLOOKUP(Table91213[[#This Row],[Date]],'DB Details'!$A:$Q,8)=0,"",VLOOKUP(Table91213[[#This Row],[Date]],'DB Details'!$A:$Q,8))</f>
        <v>49</v>
      </c>
      <c r="I252" s="49">
        <f>IF(VLOOKUP(Table91213[[#This Row],[Date]],'DB Details'!$A:$Q,9)=0,"",VLOOKUP(Table91213[[#This Row],[Date]],'DB Details'!$A:$Q,9))</f>
        <v>55.5</v>
      </c>
      <c r="J252" s="49">
        <f>IF(VLOOKUP(Table91213[[#This Row],[Date]],'DB Details'!$A:$Q,10)=0,"",VLOOKUP(Table91213[[#This Row],[Date]],'DB Details'!$A:$Q,10))</f>
        <v>61.6</v>
      </c>
      <c r="K252" s="49">
        <f>IF(VLOOKUP(Table91213[[#This Row],[Date]],'DB Details'!$A:$Q,11)=0,"",VLOOKUP(Table91213[[#This Row],[Date]],'DB Details'!$A:$Q,11))</f>
        <v>58</v>
      </c>
      <c r="L252" s="47">
        <f>IF(VLOOKUP(Table91213[[#This Row],[Date]],'DB Details'!$A:$Q,12)=0,"",VLOOKUP(Table91213[[#This Row],[Date]],'DB Details'!$A:$Q,12))</f>
        <v>59.9</v>
      </c>
    </row>
    <row r="253" spans="1:12" x14ac:dyDescent="0.35">
      <c r="A253" s="50">
        <v>43132</v>
      </c>
      <c r="B253" s="47">
        <f>IF(VLOOKUP(Table91213[[#This Row],[Date]],'DB Details'!$A:$Q,2)=0,"",VLOOKUP(Table91213[[#This Row],[Date]],'DB Details'!$A:$Q,2))</f>
        <v>64.8</v>
      </c>
      <c r="C253" s="48">
        <f>IF(VLOOKUP(Table91213[[#This Row],[Date]],'DB Details'!$A:$Q,3)=0,"",VLOOKUP(Table91213[[#This Row],[Date]],'DB Details'!$A:$Q,3))</f>
        <v>50</v>
      </c>
      <c r="D253" s="48">
        <f>IF(VLOOKUP(Table91213[[#This Row],[Date]],'DB Details'!$A:$Q,4)=0,"",VLOOKUP(Table91213[[#This Row],[Date]],'DB Details'!$A:$Q,4))</f>
        <v>56</v>
      </c>
      <c r="E253" s="49">
        <f>IF(VLOOKUP(Table91213[[#This Row],[Date]],'DB Details'!$A:$Q,5)=0,"",VLOOKUP(Table91213[[#This Row],[Date]],'DB Details'!$A:$Q,5))</f>
        <v>61</v>
      </c>
      <c r="F253" s="48">
        <f>IF(VLOOKUP(Table91213[[#This Row],[Date]],'DB Details'!$A:$Q,6)=0,"",VLOOKUP(Table91213[[#This Row],[Date]],'DB Details'!$A:$Q,6))</f>
        <v>62.8</v>
      </c>
      <c r="G253" s="49">
        <f>IF(VLOOKUP(Table91213[[#This Row],[Date]],'DB Details'!$A:$Q,7)=0,"",VLOOKUP(Table91213[[#This Row],[Date]],'DB Details'!$A:$Q,7))</f>
        <v>61</v>
      </c>
      <c r="H253" s="49">
        <f>IF(VLOOKUP(Table91213[[#This Row],[Date]],'DB Details'!$A:$Q,8)=0,"",VLOOKUP(Table91213[[#This Row],[Date]],'DB Details'!$A:$Q,8))</f>
        <v>53.5</v>
      </c>
      <c r="I253" s="49">
        <f>IF(VLOOKUP(Table91213[[#This Row],[Date]],'DB Details'!$A:$Q,9)=0,"",VLOOKUP(Table91213[[#This Row],[Date]],'DB Details'!$A:$Q,9))</f>
        <v>55.5</v>
      </c>
      <c r="J253" s="49">
        <f>IF(VLOOKUP(Table91213[[#This Row],[Date]],'DB Details'!$A:$Q,10)=0,"",VLOOKUP(Table91213[[#This Row],[Date]],'DB Details'!$A:$Q,10))</f>
        <v>55</v>
      </c>
      <c r="K253" s="49">
        <f>IF(VLOOKUP(Table91213[[#This Row],[Date]],'DB Details'!$A:$Q,11)=0,"",VLOOKUP(Table91213[[#This Row],[Date]],'DB Details'!$A:$Q,11))</f>
        <v>59.5</v>
      </c>
      <c r="L253" s="47">
        <f>IF(VLOOKUP(Table91213[[#This Row],[Date]],'DB Details'!$A:$Q,12)=0,"",VLOOKUP(Table91213[[#This Row],[Date]],'DB Details'!$A:$Q,12))</f>
        <v>59.5</v>
      </c>
    </row>
    <row r="254" spans="1:12" x14ac:dyDescent="0.35">
      <c r="A254" s="50">
        <v>43160</v>
      </c>
      <c r="B254" s="47">
        <f>IF(VLOOKUP(Table91213[[#This Row],[Date]],'DB Details'!$A:$Q,2)=0,"",VLOOKUP(Table91213[[#This Row],[Date]],'DB Details'!$A:$Q,2))</f>
        <v>59.5</v>
      </c>
      <c r="C254" s="48">
        <f>IF(VLOOKUP(Table91213[[#This Row],[Date]],'DB Details'!$A:$Q,3)=0,"",VLOOKUP(Table91213[[#This Row],[Date]],'DB Details'!$A:$Q,3))</f>
        <v>55</v>
      </c>
      <c r="D254" s="48">
        <f>IF(VLOOKUP(Table91213[[#This Row],[Date]],'DB Details'!$A:$Q,4)=0,"",VLOOKUP(Table91213[[#This Row],[Date]],'DB Details'!$A:$Q,4))</f>
        <v>56.5</v>
      </c>
      <c r="E254" s="49">
        <f>IF(VLOOKUP(Table91213[[#This Row],[Date]],'DB Details'!$A:$Q,5)=0,"",VLOOKUP(Table91213[[#This Row],[Date]],'DB Details'!$A:$Q,5))</f>
        <v>61.5</v>
      </c>
      <c r="F254" s="48">
        <f>IF(VLOOKUP(Table91213[[#This Row],[Date]],'DB Details'!$A:$Q,6)=0,"",VLOOKUP(Table91213[[#This Row],[Date]],'DB Details'!$A:$Q,6))</f>
        <v>60.6</v>
      </c>
      <c r="G254" s="49">
        <f>IF(VLOOKUP(Table91213[[#This Row],[Date]],'DB Details'!$A:$Q,7)=0,"",VLOOKUP(Table91213[[#This Row],[Date]],'DB Details'!$A:$Q,7))</f>
        <v>58.5</v>
      </c>
      <c r="H254" s="49">
        <f>IF(VLOOKUP(Table91213[[#This Row],[Date]],'DB Details'!$A:$Q,8)=0,"",VLOOKUP(Table91213[[#This Row],[Date]],'DB Details'!$A:$Q,8))</f>
        <v>53.5</v>
      </c>
      <c r="I254" s="49">
        <f>IF(VLOOKUP(Table91213[[#This Row],[Date]],'DB Details'!$A:$Q,9)=0,"",VLOOKUP(Table91213[[#This Row],[Date]],'DB Details'!$A:$Q,9))</f>
        <v>58.5</v>
      </c>
      <c r="J254" s="49">
        <f>IF(VLOOKUP(Table91213[[#This Row],[Date]],'DB Details'!$A:$Q,10)=0,"",VLOOKUP(Table91213[[#This Row],[Date]],'DB Details'!$A:$Q,10))</f>
        <v>56.6</v>
      </c>
      <c r="K254" s="49">
        <f>IF(VLOOKUP(Table91213[[#This Row],[Date]],'DB Details'!$A:$Q,11)=0,"",VLOOKUP(Table91213[[#This Row],[Date]],'DB Details'!$A:$Q,11))</f>
        <v>58</v>
      </c>
      <c r="L254" s="47">
        <f>IF(VLOOKUP(Table91213[[#This Row],[Date]],'DB Details'!$A:$Q,12)=0,"",VLOOKUP(Table91213[[#This Row],[Date]],'DB Details'!$A:$Q,12))</f>
        <v>58.8</v>
      </c>
    </row>
    <row r="255" spans="1:12" x14ac:dyDescent="0.35">
      <c r="A255" s="50">
        <v>43191</v>
      </c>
      <c r="B255" s="47">
        <f>IF(VLOOKUP(Table91213[[#This Row],[Date]],'DB Details'!$A:$Q,2)=0,"",VLOOKUP(Table91213[[#This Row],[Date]],'DB Details'!$A:$Q,2))</f>
        <v>60</v>
      </c>
      <c r="C255" s="48">
        <f>IF(VLOOKUP(Table91213[[#This Row],[Date]],'DB Details'!$A:$Q,3)=0,"",VLOOKUP(Table91213[[#This Row],[Date]],'DB Details'!$A:$Q,3))</f>
        <v>54.5</v>
      </c>
      <c r="D255" s="48">
        <f>IF(VLOOKUP(Table91213[[#This Row],[Date]],'DB Details'!$A:$Q,4)=0,"",VLOOKUP(Table91213[[#This Row],[Date]],'DB Details'!$A:$Q,4))</f>
        <v>52</v>
      </c>
      <c r="E255" s="49">
        <f>IF(VLOOKUP(Table91213[[#This Row],[Date]],'DB Details'!$A:$Q,5)=0,"",VLOOKUP(Table91213[[#This Row],[Date]],'DB Details'!$A:$Q,5))</f>
        <v>61.8</v>
      </c>
      <c r="F255" s="48">
        <f>IF(VLOOKUP(Table91213[[#This Row],[Date]],'DB Details'!$A:$Q,6)=0,"",VLOOKUP(Table91213[[#This Row],[Date]],'DB Details'!$A:$Q,6))</f>
        <v>59.1</v>
      </c>
      <c r="G255" s="49">
        <f>IF(VLOOKUP(Table91213[[#This Row],[Date]],'DB Details'!$A:$Q,7)=0,"",VLOOKUP(Table91213[[#This Row],[Date]],'DB Details'!$A:$Q,7))</f>
        <v>60</v>
      </c>
      <c r="H255" s="49">
        <f>IF(VLOOKUP(Table91213[[#This Row],[Date]],'DB Details'!$A:$Q,8)=0,"",VLOOKUP(Table91213[[#This Row],[Date]],'DB Details'!$A:$Q,8))</f>
        <v>57</v>
      </c>
      <c r="I255" s="49">
        <f>IF(VLOOKUP(Table91213[[#This Row],[Date]],'DB Details'!$A:$Q,9)=0,"",VLOOKUP(Table91213[[#This Row],[Date]],'DB Details'!$A:$Q,9))</f>
        <v>54.5</v>
      </c>
      <c r="J255" s="49">
        <f>IF(VLOOKUP(Table91213[[#This Row],[Date]],'DB Details'!$A:$Q,10)=0,"",VLOOKUP(Table91213[[#This Row],[Date]],'DB Details'!$A:$Q,10))</f>
        <v>53.6</v>
      </c>
      <c r="K255" s="49">
        <f>IF(VLOOKUP(Table91213[[#This Row],[Date]],'DB Details'!$A:$Q,11)=0,"",VLOOKUP(Table91213[[#This Row],[Date]],'DB Details'!$A:$Q,11))</f>
        <v>61.5</v>
      </c>
      <c r="L255" s="47">
        <f>IF(VLOOKUP(Table91213[[#This Row],[Date]],'DB Details'!$A:$Q,12)=0,"",VLOOKUP(Table91213[[#This Row],[Date]],'DB Details'!$A:$Q,12))</f>
        <v>56.8</v>
      </c>
    </row>
    <row r="256" spans="1:12" x14ac:dyDescent="0.35">
      <c r="A256" s="50">
        <v>43221</v>
      </c>
      <c r="B256" s="47">
        <f>IF(VLOOKUP(Table91213[[#This Row],[Date]],'DB Details'!$A:$Q,2)=0,"",VLOOKUP(Table91213[[#This Row],[Date]],'DB Details'!$A:$Q,2))</f>
        <v>60.5</v>
      </c>
      <c r="C256" s="48">
        <f>IF(VLOOKUP(Table91213[[#This Row],[Date]],'DB Details'!$A:$Q,3)=0,"",VLOOKUP(Table91213[[#This Row],[Date]],'DB Details'!$A:$Q,3))</f>
        <v>54</v>
      </c>
      <c r="D256" s="48">
        <f>IF(VLOOKUP(Table91213[[#This Row],[Date]],'DB Details'!$A:$Q,4)=0,"",VLOOKUP(Table91213[[#This Row],[Date]],'DB Details'!$A:$Q,4))</f>
        <v>60.5</v>
      </c>
      <c r="E256" s="49">
        <f>IF(VLOOKUP(Table91213[[#This Row],[Date]],'DB Details'!$A:$Q,5)=0,"",VLOOKUP(Table91213[[#This Row],[Date]],'DB Details'!$A:$Q,5))</f>
        <v>64.3</v>
      </c>
      <c r="F256" s="48">
        <f>IF(VLOOKUP(Table91213[[#This Row],[Date]],'DB Details'!$A:$Q,6)=0,"",VLOOKUP(Table91213[[#This Row],[Date]],'DB Details'!$A:$Q,6))</f>
        <v>61.3</v>
      </c>
      <c r="G256" s="49">
        <f>IF(VLOOKUP(Table91213[[#This Row],[Date]],'DB Details'!$A:$Q,7)=0,"",VLOOKUP(Table91213[[#This Row],[Date]],'DB Details'!$A:$Q,7))</f>
        <v>61</v>
      </c>
      <c r="H256" s="49">
        <f>IF(VLOOKUP(Table91213[[#This Row],[Date]],'DB Details'!$A:$Q,8)=0,"",VLOOKUP(Table91213[[#This Row],[Date]],'DB Details'!$A:$Q,8))</f>
        <v>57.5</v>
      </c>
      <c r="I256" s="49">
        <f>IF(VLOOKUP(Table91213[[#This Row],[Date]],'DB Details'!$A:$Q,9)=0,"",VLOOKUP(Table91213[[#This Row],[Date]],'DB Details'!$A:$Q,9))</f>
        <v>58.5</v>
      </c>
      <c r="J256" s="49">
        <f>IF(VLOOKUP(Table91213[[#This Row],[Date]],'DB Details'!$A:$Q,10)=0,"",VLOOKUP(Table91213[[#This Row],[Date]],'DB Details'!$A:$Q,10))</f>
        <v>54.1</v>
      </c>
      <c r="K256" s="49">
        <f>IF(VLOOKUP(Table91213[[#This Row],[Date]],'DB Details'!$A:$Q,11)=0,"",VLOOKUP(Table91213[[#This Row],[Date]],'DB Details'!$A:$Q,11))</f>
        <v>57.5</v>
      </c>
      <c r="L256" s="47">
        <f>IF(VLOOKUP(Table91213[[#This Row],[Date]],'DB Details'!$A:$Q,12)=0,"",VLOOKUP(Table91213[[#This Row],[Date]],'DB Details'!$A:$Q,12))</f>
        <v>58.6</v>
      </c>
    </row>
    <row r="257" spans="1:12" x14ac:dyDescent="0.35">
      <c r="A257" s="50">
        <v>43252</v>
      </c>
      <c r="B257" s="47">
        <f>IF(VLOOKUP(Table91213[[#This Row],[Date]],'DB Details'!$A:$Q,2)=0,"",VLOOKUP(Table91213[[#This Row],[Date]],'DB Details'!$A:$Q,2))</f>
        <v>63.2</v>
      </c>
      <c r="C257" s="48">
        <f>IF(VLOOKUP(Table91213[[#This Row],[Date]],'DB Details'!$A:$Q,3)=0,"",VLOOKUP(Table91213[[#This Row],[Date]],'DB Details'!$A:$Q,3))</f>
        <v>51.5</v>
      </c>
      <c r="D257" s="48">
        <f>IF(VLOOKUP(Table91213[[#This Row],[Date]],'DB Details'!$A:$Q,4)=0,"",VLOOKUP(Table91213[[#This Row],[Date]],'DB Details'!$A:$Q,4))</f>
        <v>56.5</v>
      </c>
      <c r="E257" s="49">
        <f>IF(VLOOKUP(Table91213[[#This Row],[Date]],'DB Details'!$A:$Q,5)=0,"",VLOOKUP(Table91213[[#This Row],[Date]],'DB Details'!$A:$Q,5))</f>
        <v>60.7</v>
      </c>
      <c r="F257" s="48">
        <f>IF(VLOOKUP(Table91213[[#This Row],[Date]],'DB Details'!$A:$Q,6)=0,"",VLOOKUP(Table91213[[#This Row],[Date]],'DB Details'!$A:$Q,6))</f>
        <v>63.9</v>
      </c>
      <c r="G257" s="49">
        <f>IF(VLOOKUP(Table91213[[#This Row],[Date]],'DB Details'!$A:$Q,7)=0,"",VLOOKUP(Table91213[[#This Row],[Date]],'DB Details'!$A:$Q,7))</f>
        <v>57.5</v>
      </c>
      <c r="H257" s="49">
        <f>IF(VLOOKUP(Table91213[[#This Row],[Date]],'DB Details'!$A:$Q,8)=0,"",VLOOKUP(Table91213[[#This Row],[Date]],'DB Details'!$A:$Q,8))</f>
        <v>53.5</v>
      </c>
      <c r="I257" s="49">
        <f>IF(VLOOKUP(Table91213[[#This Row],[Date]],'DB Details'!$A:$Q,9)=0,"",VLOOKUP(Table91213[[#This Row],[Date]],'DB Details'!$A:$Q,9))</f>
        <v>55.5</v>
      </c>
      <c r="J257" s="49">
        <f>IF(VLOOKUP(Table91213[[#This Row],[Date]],'DB Details'!$A:$Q,10)=0,"",VLOOKUP(Table91213[[#This Row],[Date]],'DB Details'!$A:$Q,10))</f>
        <v>53.6</v>
      </c>
      <c r="K257" s="49">
        <f>IF(VLOOKUP(Table91213[[#This Row],[Date]],'DB Details'!$A:$Q,11)=0,"",VLOOKUP(Table91213[[#This Row],[Date]],'DB Details'!$A:$Q,11))</f>
        <v>60.5</v>
      </c>
      <c r="L257" s="47">
        <f>IF(VLOOKUP(Table91213[[#This Row],[Date]],'DB Details'!$A:$Q,12)=0,"",VLOOKUP(Table91213[[#This Row],[Date]],'DB Details'!$A:$Q,12))</f>
        <v>59.1</v>
      </c>
    </row>
    <row r="258" spans="1:12" x14ac:dyDescent="0.35">
      <c r="A258" s="50">
        <v>43282</v>
      </c>
      <c r="B258" s="47">
        <f>IF(VLOOKUP(Table91213[[#This Row],[Date]],'DB Details'!$A:$Q,2)=0,"",VLOOKUP(Table91213[[#This Row],[Date]],'DB Details'!$A:$Q,2))</f>
        <v>57</v>
      </c>
      <c r="C258" s="48">
        <f>IF(VLOOKUP(Table91213[[#This Row],[Date]],'DB Details'!$A:$Q,3)=0,"",VLOOKUP(Table91213[[#This Row],[Date]],'DB Details'!$A:$Q,3))</f>
        <v>52.5</v>
      </c>
      <c r="D258" s="48">
        <f>IF(VLOOKUP(Table91213[[#This Row],[Date]],'DB Details'!$A:$Q,4)=0,"",VLOOKUP(Table91213[[#This Row],[Date]],'DB Details'!$A:$Q,4))</f>
        <v>51.5</v>
      </c>
      <c r="E258" s="49">
        <f>IF(VLOOKUP(Table91213[[#This Row],[Date]],'DB Details'!$A:$Q,5)=0,"",VLOOKUP(Table91213[[#This Row],[Date]],'DB Details'!$A:$Q,5))</f>
        <v>63.4</v>
      </c>
      <c r="F258" s="48">
        <f>IF(VLOOKUP(Table91213[[#This Row],[Date]],'DB Details'!$A:$Q,6)=0,"",VLOOKUP(Table91213[[#This Row],[Date]],'DB Details'!$A:$Q,6))</f>
        <v>56.5</v>
      </c>
      <c r="G258" s="49">
        <f>IF(VLOOKUP(Table91213[[#This Row],[Date]],'DB Details'!$A:$Q,7)=0,"",VLOOKUP(Table91213[[#This Row],[Date]],'DB Details'!$A:$Q,7))</f>
        <v>58</v>
      </c>
      <c r="H258" s="49">
        <f>IF(VLOOKUP(Table91213[[#This Row],[Date]],'DB Details'!$A:$Q,8)=0,"",VLOOKUP(Table91213[[#This Row],[Date]],'DB Details'!$A:$Q,8))</f>
        <v>53.5</v>
      </c>
      <c r="I258" s="49">
        <f>IF(VLOOKUP(Table91213[[#This Row],[Date]],'DB Details'!$A:$Q,9)=0,"",VLOOKUP(Table91213[[#This Row],[Date]],'DB Details'!$A:$Q,9))</f>
        <v>53</v>
      </c>
      <c r="J258" s="49">
        <f>IF(VLOOKUP(Table91213[[#This Row],[Date]],'DB Details'!$A:$Q,10)=0,"",VLOOKUP(Table91213[[#This Row],[Date]],'DB Details'!$A:$Q,10))</f>
        <v>56.1</v>
      </c>
      <c r="K258" s="49">
        <f>IF(VLOOKUP(Table91213[[#This Row],[Date]],'DB Details'!$A:$Q,11)=0,"",VLOOKUP(Table91213[[#This Row],[Date]],'DB Details'!$A:$Q,11))</f>
        <v>58</v>
      </c>
      <c r="L258" s="47">
        <f>IF(VLOOKUP(Table91213[[#This Row],[Date]],'DB Details'!$A:$Q,12)=0,"",VLOOKUP(Table91213[[#This Row],[Date]],'DB Details'!$A:$Q,12))</f>
        <v>55.7</v>
      </c>
    </row>
    <row r="259" spans="1:12" x14ac:dyDescent="0.35">
      <c r="A259" s="50">
        <v>43313</v>
      </c>
      <c r="B259" s="47">
        <f>IF(VLOOKUP(Table91213[[#This Row],[Date]],'DB Details'!$A:$Q,2)=0,"",VLOOKUP(Table91213[[#This Row],[Date]],'DB Details'!$A:$Q,2))</f>
        <v>60.4</v>
      </c>
      <c r="C259" s="48">
        <f>IF(VLOOKUP(Table91213[[#This Row],[Date]],'DB Details'!$A:$Q,3)=0,"",VLOOKUP(Table91213[[#This Row],[Date]],'DB Details'!$A:$Q,3))</f>
        <v>52</v>
      </c>
      <c r="D259" s="48">
        <f>IF(VLOOKUP(Table91213[[#This Row],[Date]],'DB Details'!$A:$Q,4)=0,"",VLOOKUP(Table91213[[#This Row],[Date]],'DB Details'!$A:$Q,4))</f>
        <v>56.5</v>
      </c>
      <c r="E259" s="49">
        <f>IF(VLOOKUP(Table91213[[#This Row],[Date]],'DB Details'!$A:$Q,5)=0,"",VLOOKUP(Table91213[[#This Row],[Date]],'DB Details'!$A:$Q,5))</f>
        <v>62.8</v>
      </c>
      <c r="F259" s="48">
        <f>IF(VLOOKUP(Table91213[[#This Row],[Date]],'DB Details'!$A:$Q,6)=0,"",VLOOKUP(Table91213[[#This Row],[Date]],'DB Details'!$A:$Q,6))</f>
        <v>60.7</v>
      </c>
      <c r="G259" s="49">
        <f>IF(VLOOKUP(Table91213[[#This Row],[Date]],'DB Details'!$A:$Q,7)=0,"",VLOOKUP(Table91213[[#This Row],[Date]],'DB Details'!$A:$Q,7))</f>
        <v>59.5</v>
      </c>
      <c r="H259" s="49">
        <f>IF(VLOOKUP(Table91213[[#This Row],[Date]],'DB Details'!$A:$Q,8)=0,"",VLOOKUP(Table91213[[#This Row],[Date]],'DB Details'!$A:$Q,8))</f>
        <v>53.5</v>
      </c>
      <c r="I259" s="49">
        <f>IF(VLOOKUP(Table91213[[#This Row],[Date]],'DB Details'!$A:$Q,9)=0,"",VLOOKUP(Table91213[[#This Row],[Date]],'DB Details'!$A:$Q,9))</f>
        <v>56</v>
      </c>
      <c r="J259" s="49">
        <f>IF(VLOOKUP(Table91213[[#This Row],[Date]],'DB Details'!$A:$Q,10)=0,"",VLOOKUP(Table91213[[#This Row],[Date]],'DB Details'!$A:$Q,10))</f>
        <v>56.7</v>
      </c>
      <c r="K259" s="49">
        <f>IF(VLOOKUP(Table91213[[#This Row],[Date]],'DB Details'!$A:$Q,11)=0,"",VLOOKUP(Table91213[[#This Row],[Date]],'DB Details'!$A:$Q,11))</f>
        <v>60.5</v>
      </c>
      <c r="L259" s="47">
        <f>IF(VLOOKUP(Table91213[[#This Row],[Date]],'DB Details'!$A:$Q,12)=0,"",VLOOKUP(Table91213[[#This Row],[Date]],'DB Details'!$A:$Q,12))</f>
        <v>58.5</v>
      </c>
    </row>
    <row r="260" spans="1:12" x14ac:dyDescent="0.35">
      <c r="A260" s="50">
        <v>43344</v>
      </c>
      <c r="B260" s="47">
        <f>IF(VLOOKUP(Table91213[[#This Row],[Date]],'DB Details'!$A:$Q,2)=0,"",VLOOKUP(Table91213[[#This Row],[Date]],'DB Details'!$A:$Q,2))</f>
        <v>61.6</v>
      </c>
      <c r="C260" s="48">
        <f>IF(VLOOKUP(Table91213[[#This Row],[Date]],'DB Details'!$A:$Q,3)=0,"",VLOOKUP(Table91213[[#This Row],[Date]],'DB Details'!$A:$Q,3))</f>
        <v>55</v>
      </c>
      <c r="D260" s="48">
        <f>IF(VLOOKUP(Table91213[[#This Row],[Date]],'DB Details'!$A:$Q,4)=0,"",VLOOKUP(Table91213[[#This Row],[Date]],'DB Details'!$A:$Q,4))</f>
        <v>58.5</v>
      </c>
      <c r="E260" s="49">
        <f>IF(VLOOKUP(Table91213[[#This Row],[Date]],'DB Details'!$A:$Q,5)=0,"",VLOOKUP(Table91213[[#This Row],[Date]],'DB Details'!$A:$Q,5))</f>
        <v>64.2</v>
      </c>
      <c r="F260" s="48">
        <f>IF(VLOOKUP(Table91213[[#This Row],[Date]],'DB Details'!$A:$Q,6)=0,"",VLOOKUP(Table91213[[#This Row],[Date]],'DB Details'!$A:$Q,6))</f>
        <v>65.2</v>
      </c>
      <c r="G260" s="49">
        <f>IF(VLOOKUP(Table91213[[#This Row],[Date]],'DB Details'!$A:$Q,7)=0,"",VLOOKUP(Table91213[[#This Row],[Date]],'DB Details'!$A:$Q,7))</f>
        <v>59.5</v>
      </c>
      <c r="H260" s="49">
        <f>IF(VLOOKUP(Table91213[[#This Row],[Date]],'DB Details'!$A:$Q,8)=0,"",VLOOKUP(Table91213[[#This Row],[Date]],'DB Details'!$A:$Q,8))</f>
        <v>54.5</v>
      </c>
      <c r="I260" s="49">
        <f>IF(VLOOKUP(Table91213[[#This Row],[Date]],'DB Details'!$A:$Q,9)=0,"",VLOOKUP(Table91213[[#This Row],[Date]],'DB Details'!$A:$Q,9))</f>
        <v>57</v>
      </c>
      <c r="J260" s="49">
        <f>IF(VLOOKUP(Table91213[[#This Row],[Date]],'DB Details'!$A:$Q,10)=0,"",VLOOKUP(Table91213[[#This Row],[Date]],'DB Details'!$A:$Q,10))</f>
        <v>62.4</v>
      </c>
      <c r="K260" s="49">
        <f>IF(VLOOKUP(Table91213[[#This Row],[Date]],'DB Details'!$A:$Q,11)=0,"",VLOOKUP(Table91213[[#This Row],[Date]],'DB Details'!$A:$Q,11))</f>
        <v>61</v>
      </c>
      <c r="L260" s="47">
        <f>IF(VLOOKUP(Table91213[[#This Row],[Date]],'DB Details'!$A:$Q,12)=0,"",VLOOKUP(Table91213[[#This Row],[Date]],'DB Details'!$A:$Q,12))</f>
        <v>61.6</v>
      </c>
    </row>
    <row r="261" spans="1:12" x14ac:dyDescent="0.35">
      <c r="A261" s="50">
        <v>43374</v>
      </c>
      <c r="B261" s="47">
        <f>IF(VLOOKUP(Table91213[[#This Row],[Date]],'DB Details'!$A:$Q,2)=0,"",VLOOKUP(Table91213[[#This Row],[Date]],'DB Details'!$A:$Q,2))</f>
        <v>61.5</v>
      </c>
      <c r="C261" s="48">
        <f>IF(VLOOKUP(Table91213[[#This Row],[Date]],'DB Details'!$A:$Q,3)=0,"",VLOOKUP(Table91213[[#This Row],[Date]],'DB Details'!$A:$Q,3))</f>
        <v>51</v>
      </c>
      <c r="D261" s="48">
        <f>IF(VLOOKUP(Table91213[[#This Row],[Date]],'DB Details'!$A:$Q,4)=0,"",VLOOKUP(Table91213[[#This Row],[Date]],'DB Details'!$A:$Q,4))</f>
        <v>53.5</v>
      </c>
      <c r="E261" s="49">
        <f>IF(VLOOKUP(Table91213[[#This Row],[Date]],'DB Details'!$A:$Q,5)=0,"",VLOOKUP(Table91213[[#This Row],[Date]],'DB Details'!$A:$Q,5))</f>
        <v>61.7</v>
      </c>
      <c r="F261" s="48">
        <f>IF(VLOOKUP(Table91213[[#This Row],[Date]],'DB Details'!$A:$Q,6)=0,"",VLOOKUP(Table91213[[#This Row],[Date]],'DB Details'!$A:$Q,6))</f>
        <v>62.5</v>
      </c>
      <c r="G261" s="49">
        <f>IF(VLOOKUP(Table91213[[#This Row],[Date]],'DB Details'!$A:$Q,7)=0,"",VLOOKUP(Table91213[[#This Row],[Date]],'DB Details'!$A:$Q,7))</f>
        <v>62</v>
      </c>
      <c r="H261" s="49">
        <f>IF(VLOOKUP(Table91213[[#This Row],[Date]],'DB Details'!$A:$Q,8)=0,"",VLOOKUP(Table91213[[#This Row],[Date]],'DB Details'!$A:$Q,8))</f>
        <v>56</v>
      </c>
      <c r="I261" s="49">
        <f>IF(VLOOKUP(Table91213[[#This Row],[Date]],'DB Details'!$A:$Q,9)=0,"",VLOOKUP(Table91213[[#This Row],[Date]],'DB Details'!$A:$Q,9))</f>
        <v>57.5</v>
      </c>
      <c r="J261" s="49">
        <f>IF(VLOOKUP(Table91213[[#This Row],[Date]],'DB Details'!$A:$Q,10)=0,"",VLOOKUP(Table91213[[#This Row],[Date]],'DB Details'!$A:$Q,10))</f>
        <v>59.7</v>
      </c>
      <c r="K261" s="49">
        <f>IF(VLOOKUP(Table91213[[#This Row],[Date]],'DB Details'!$A:$Q,11)=0,"",VLOOKUP(Table91213[[#This Row],[Date]],'DB Details'!$A:$Q,11))</f>
        <v>61</v>
      </c>
      <c r="L261" s="47">
        <f>IF(VLOOKUP(Table91213[[#This Row],[Date]],'DB Details'!$A:$Q,12)=0,"",VLOOKUP(Table91213[[#This Row],[Date]],'DB Details'!$A:$Q,12))</f>
        <v>60.3</v>
      </c>
    </row>
    <row r="262" spans="1:12" x14ac:dyDescent="0.35">
      <c r="A262" s="50">
        <v>43405</v>
      </c>
      <c r="B262" s="47">
        <f>IF(VLOOKUP(Table91213[[#This Row],[Date]],'DB Details'!$A:$Q,2)=0,"",VLOOKUP(Table91213[[#This Row],[Date]],'DB Details'!$A:$Q,2))</f>
        <v>62.5</v>
      </c>
      <c r="C262" s="48">
        <f>IF(VLOOKUP(Table91213[[#This Row],[Date]],'DB Details'!$A:$Q,3)=0,"",VLOOKUP(Table91213[[#This Row],[Date]],'DB Details'!$A:$Q,3))</f>
        <v>54.5</v>
      </c>
      <c r="D262" s="48">
        <f>IF(VLOOKUP(Table91213[[#This Row],[Date]],'DB Details'!$A:$Q,4)=0,"",VLOOKUP(Table91213[[#This Row],[Date]],'DB Details'!$A:$Q,4))</f>
        <v>55.5</v>
      </c>
      <c r="E262" s="49">
        <f>IF(VLOOKUP(Table91213[[#This Row],[Date]],'DB Details'!$A:$Q,5)=0,"",VLOOKUP(Table91213[[#This Row],[Date]],'DB Details'!$A:$Q,5))</f>
        <v>64.3</v>
      </c>
      <c r="F262" s="48">
        <f>IF(VLOOKUP(Table91213[[#This Row],[Date]],'DB Details'!$A:$Q,6)=0,"",VLOOKUP(Table91213[[#This Row],[Date]],'DB Details'!$A:$Q,6))</f>
        <v>65.2</v>
      </c>
      <c r="G262" s="49">
        <f>IF(VLOOKUP(Table91213[[#This Row],[Date]],'DB Details'!$A:$Q,7)=0,"",VLOOKUP(Table91213[[#This Row],[Date]],'DB Details'!$A:$Q,7))</f>
        <v>60</v>
      </c>
      <c r="H262" s="49">
        <f>IF(VLOOKUP(Table91213[[#This Row],[Date]],'DB Details'!$A:$Q,8)=0,"",VLOOKUP(Table91213[[#This Row],[Date]],'DB Details'!$A:$Q,8))</f>
        <v>57.5</v>
      </c>
      <c r="I262" s="49">
        <f>IF(VLOOKUP(Table91213[[#This Row],[Date]],'DB Details'!$A:$Q,9)=0,"",VLOOKUP(Table91213[[#This Row],[Date]],'DB Details'!$A:$Q,9))</f>
        <v>56.5</v>
      </c>
      <c r="J262" s="49">
        <f>IF(VLOOKUP(Table91213[[#This Row],[Date]],'DB Details'!$A:$Q,10)=0,"",VLOOKUP(Table91213[[#This Row],[Date]],'DB Details'!$A:$Q,10))</f>
        <v>58.4</v>
      </c>
      <c r="K262" s="49">
        <f>IF(VLOOKUP(Table91213[[#This Row],[Date]],'DB Details'!$A:$Q,11)=0,"",VLOOKUP(Table91213[[#This Row],[Date]],'DB Details'!$A:$Q,11))</f>
        <v>57.5</v>
      </c>
      <c r="L262" s="47">
        <f>IF(VLOOKUP(Table91213[[#This Row],[Date]],'DB Details'!$A:$Q,12)=0,"",VLOOKUP(Table91213[[#This Row],[Date]],'DB Details'!$A:$Q,12))</f>
        <v>60.7</v>
      </c>
    </row>
    <row r="263" spans="1:12" x14ac:dyDescent="0.35">
      <c r="A263" s="50">
        <v>43435</v>
      </c>
      <c r="B263" s="47">
        <f>IF(VLOOKUP(Table91213[[#This Row],[Date]],'DB Details'!$A:$Q,2)=0,"",VLOOKUP(Table91213[[#This Row],[Date]],'DB Details'!$A:$Q,2))</f>
        <v>62.7</v>
      </c>
      <c r="C263" s="48">
        <f>IF(VLOOKUP(Table91213[[#This Row],[Date]],'DB Details'!$A:$Q,3)=0,"",VLOOKUP(Table91213[[#This Row],[Date]],'DB Details'!$A:$Q,3))</f>
        <v>53.5</v>
      </c>
      <c r="D263" s="48">
        <f>IF(VLOOKUP(Table91213[[#This Row],[Date]],'DB Details'!$A:$Q,4)=0,"",VLOOKUP(Table91213[[#This Row],[Date]],'DB Details'!$A:$Q,4))</f>
        <v>50.5</v>
      </c>
      <c r="E263" s="49">
        <f>IF(VLOOKUP(Table91213[[#This Row],[Date]],'DB Details'!$A:$Q,5)=0,"",VLOOKUP(Table91213[[#This Row],[Date]],'DB Details'!$A:$Q,5))</f>
        <v>57.6</v>
      </c>
      <c r="F263" s="48">
        <f>IF(VLOOKUP(Table91213[[#This Row],[Date]],'DB Details'!$A:$Q,6)=0,"",VLOOKUP(Table91213[[#This Row],[Date]],'DB Details'!$A:$Q,6))</f>
        <v>59.9</v>
      </c>
      <c r="G263" s="49">
        <f>IF(VLOOKUP(Table91213[[#This Row],[Date]],'DB Details'!$A:$Q,7)=0,"",VLOOKUP(Table91213[[#This Row],[Date]],'DB Details'!$A:$Q,7))</f>
        <v>59</v>
      </c>
      <c r="H263" s="49">
        <f>IF(VLOOKUP(Table91213[[#This Row],[Date]],'DB Details'!$A:$Q,8)=0,"",VLOOKUP(Table91213[[#This Row],[Date]],'DB Details'!$A:$Q,8))</f>
        <v>51.5</v>
      </c>
      <c r="I263" s="49">
        <f>IF(VLOOKUP(Table91213[[#This Row],[Date]],'DB Details'!$A:$Q,9)=0,"",VLOOKUP(Table91213[[#This Row],[Date]],'DB Details'!$A:$Q,9))</f>
        <v>51.5</v>
      </c>
      <c r="J263" s="49">
        <f>IF(VLOOKUP(Table91213[[#This Row],[Date]],'DB Details'!$A:$Q,10)=0,"",VLOOKUP(Table91213[[#This Row],[Date]],'DB Details'!$A:$Q,10))</f>
        <v>56.3</v>
      </c>
      <c r="K263" s="49">
        <f>IF(VLOOKUP(Table91213[[#This Row],[Date]],'DB Details'!$A:$Q,11)=0,"",VLOOKUP(Table91213[[#This Row],[Date]],'DB Details'!$A:$Q,11))</f>
        <v>59.5</v>
      </c>
      <c r="L263" s="47">
        <f>IF(VLOOKUP(Table91213[[#This Row],[Date]],'DB Details'!$A:$Q,12)=0,"",VLOOKUP(Table91213[[#This Row],[Date]],'DB Details'!$A:$Q,12))</f>
        <v>57.6</v>
      </c>
    </row>
    <row r="264" spans="1:12" x14ac:dyDescent="0.35">
      <c r="A264" s="50">
        <v>43466</v>
      </c>
      <c r="B264" s="47">
        <f>IF(VLOOKUP(Table91213[[#This Row],[Date]],'DB Details'!$A:$Q,2)=0,"",VLOOKUP(Table91213[[#This Row],[Date]],'DB Details'!$A:$Q,2))</f>
        <v>57.7</v>
      </c>
      <c r="C264" s="48">
        <f>IF(VLOOKUP(Table91213[[#This Row],[Date]],'DB Details'!$A:$Q,3)=0,"",VLOOKUP(Table91213[[#This Row],[Date]],'DB Details'!$A:$Q,3))</f>
        <v>52</v>
      </c>
      <c r="D264" s="48">
        <f>IF(VLOOKUP(Table91213[[#This Row],[Date]],'DB Details'!$A:$Q,4)=0,"",VLOOKUP(Table91213[[#This Row],[Date]],'DB Details'!$A:$Q,4))</f>
        <v>52.5</v>
      </c>
      <c r="E264" s="49">
        <f>IF(VLOOKUP(Table91213[[#This Row],[Date]],'DB Details'!$A:$Q,5)=0,"",VLOOKUP(Table91213[[#This Row],[Date]],'DB Details'!$A:$Q,5))</f>
        <v>59.4</v>
      </c>
      <c r="F264" s="48">
        <f>IF(VLOOKUP(Table91213[[#This Row],[Date]],'DB Details'!$A:$Q,6)=0,"",VLOOKUP(Table91213[[#This Row],[Date]],'DB Details'!$A:$Q,6))</f>
        <v>59.7</v>
      </c>
      <c r="G264" s="49">
        <f>IF(VLOOKUP(Table91213[[#This Row],[Date]],'DB Details'!$A:$Q,7)=0,"",VLOOKUP(Table91213[[#This Row],[Date]],'DB Details'!$A:$Q,7))</f>
        <v>60.5</v>
      </c>
      <c r="H264" s="49">
        <f>IF(VLOOKUP(Table91213[[#This Row],[Date]],'DB Details'!$A:$Q,8)=0,"",VLOOKUP(Table91213[[#This Row],[Date]],'DB Details'!$A:$Q,8))</f>
        <v>49</v>
      </c>
      <c r="I264" s="49">
        <f>IF(VLOOKUP(Table91213[[#This Row],[Date]],'DB Details'!$A:$Q,9)=0,"",VLOOKUP(Table91213[[#This Row],[Date]],'DB Details'!$A:$Q,9))</f>
        <v>51.5</v>
      </c>
      <c r="J264" s="49">
        <f>IF(VLOOKUP(Table91213[[#This Row],[Date]],'DB Details'!$A:$Q,10)=0,"",VLOOKUP(Table91213[[#This Row],[Date]],'DB Details'!$A:$Q,10))</f>
        <v>57.8</v>
      </c>
      <c r="K264" s="49">
        <f>IF(VLOOKUP(Table91213[[#This Row],[Date]],'DB Details'!$A:$Q,11)=0,"",VLOOKUP(Table91213[[#This Row],[Date]],'DB Details'!$A:$Q,11))</f>
        <v>50.5</v>
      </c>
      <c r="L264" s="47">
        <f>IF(VLOOKUP(Table91213[[#This Row],[Date]],'DB Details'!$A:$Q,12)=0,"",VLOOKUP(Table91213[[#This Row],[Date]],'DB Details'!$A:$Q,12))</f>
        <v>56.7</v>
      </c>
    </row>
    <row r="265" spans="1:12" x14ac:dyDescent="0.35">
      <c r="A265" s="50">
        <v>43497</v>
      </c>
      <c r="B265" s="47">
        <f>IF(VLOOKUP(Table91213[[#This Row],[Date]],'DB Details'!$A:$Q,2)=0,"",VLOOKUP(Table91213[[#This Row],[Date]],'DB Details'!$A:$Q,2))</f>
        <v>65.2</v>
      </c>
      <c r="C265" s="48">
        <f>IF(VLOOKUP(Table91213[[#This Row],[Date]],'DB Details'!$A:$Q,3)=0,"",VLOOKUP(Table91213[[#This Row],[Date]],'DB Details'!$A:$Q,3))</f>
        <v>48.5</v>
      </c>
      <c r="D265" s="48">
        <f>IF(VLOOKUP(Table91213[[#This Row],[Date]],'DB Details'!$A:$Q,4)=0,"",VLOOKUP(Table91213[[#This Row],[Date]],'DB Details'!$A:$Q,4))</f>
        <v>55.5</v>
      </c>
      <c r="E265" s="49">
        <f>IF(VLOOKUP(Table91213[[#This Row],[Date]],'DB Details'!$A:$Q,5)=0,"",VLOOKUP(Table91213[[#This Row],[Date]],'DB Details'!$A:$Q,5))</f>
        <v>54.4</v>
      </c>
      <c r="F265" s="48">
        <f>IF(VLOOKUP(Table91213[[#This Row],[Date]],'DB Details'!$A:$Q,6)=0,"",VLOOKUP(Table91213[[#This Row],[Date]],'DB Details'!$A:$Q,6))</f>
        <v>64.7</v>
      </c>
      <c r="G265" s="49">
        <f>IF(VLOOKUP(Table91213[[#This Row],[Date]],'DB Details'!$A:$Q,7)=0,"",VLOOKUP(Table91213[[#This Row],[Date]],'DB Details'!$A:$Q,7))</f>
        <v>59</v>
      </c>
      <c r="H265" s="49">
        <f>IF(VLOOKUP(Table91213[[#This Row],[Date]],'DB Details'!$A:$Q,8)=0,"",VLOOKUP(Table91213[[#This Row],[Date]],'DB Details'!$A:$Q,8))</f>
        <v>51</v>
      </c>
      <c r="I265" s="49">
        <f>IF(VLOOKUP(Table91213[[#This Row],[Date]],'DB Details'!$A:$Q,9)=0,"",VLOOKUP(Table91213[[#This Row],[Date]],'DB Details'!$A:$Q,9))</f>
        <v>53.5</v>
      </c>
      <c r="J265" s="49">
        <f>IF(VLOOKUP(Table91213[[#This Row],[Date]],'DB Details'!$A:$Q,10)=0,"",VLOOKUP(Table91213[[#This Row],[Date]],'DB Details'!$A:$Q,10))</f>
        <v>55.2</v>
      </c>
      <c r="K265" s="49">
        <f>IF(VLOOKUP(Table91213[[#This Row],[Date]],'DB Details'!$A:$Q,11)=0,"",VLOOKUP(Table91213[[#This Row],[Date]],'DB Details'!$A:$Q,11))</f>
        <v>55</v>
      </c>
      <c r="L265" s="47">
        <f>IF(VLOOKUP(Table91213[[#This Row],[Date]],'DB Details'!$A:$Q,12)=0,"",VLOOKUP(Table91213[[#This Row],[Date]],'DB Details'!$A:$Q,12))</f>
        <v>59.7</v>
      </c>
    </row>
    <row r="266" spans="1:12" x14ac:dyDescent="0.35">
      <c r="A266" s="50">
        <v>43525</v>
      </c>
      <c r="B266" s="47">
        <f>IF(VLOOKUP(Table91213[[#This Row],[Date]],'DB Details'!$A:$Q,2)=0,"",VLOOKUP(Table91213[[#This Row],[Date]],'DB Details'!$A:$Q,2))</f>
        <v>59</v>
      </c>
      <c r="C266" s="48">
        <f>IF(VLOOKUP(Table91213[[#This Row],[Date]],'DB Details'!$A:$Q,3)=0,"",VLOOKUP(Table91213[[#This Row],[Date]],'DB Details'!$A:$Q,3))</f>
        <v>51.5</v>
      </c>
      <c r="D266" s="48">
        <f>IF(VLOOKUP(Table91213[[#This Row],[Date]],'DB Details'!$A:$Q,4)=0,"",VLOOKUP(Table91213[[#This Row],[Date]],'DB Details'!$A:$Q,4))</f>
        <v>56.5</v>
      </c>
      <c r="E266" s="49">
        <f>IF(VLOOKUP(Table91213[[#This Row],[Date]],'DB Details'!$A:$Q,5)=0,"",VLOOKUP(Table91213[[#This Row],[Date]],'DB Details'!$A:$Q,5))</f>
        <v>58.7</v>
      </c>
      <c r="F266" s="48">
        <f>IF(VLOOKUP(Table91213[[#This Row],[Date]],'DB Details'!$A:$Q,6)=0,"",VLOOKUP(Table91213[[#This Row],[Date]],'DB Details'!$A:$Q,6))</f>
        <v>57.4</v>
      </c>
      <c r="G266" s="49">
        <f>IF(VLOOKUP(Table91213[[#This Row],[Date]],'DB Details'!$A:$Q,7)=0,"",VLOOKUP(Table91213[[#This Row],[Date]],'DB Details'!$A:$Q,7))</f>
        <v>62.5</v>
      </c>
      <c r="H266" s="49">
        <f>IF(VLOOKUP(Table91213[[#This Row],[Date]],'DB Details'!$A:$Q,8)=0,"",VLOOKUP(Table91213[[#This Row],[Date]],'DB Details'!$A:$Q,8))</f>
        <v>50</v>
      </c>
      <c r="I266" s="49">
        <f>IF(VLOOKUP(Table91213[[#This Row],[Date]],'DB Details'!$A:$Q,9)=0,"",VLOOKUP(Table91213[[#This Row],[Date]],'DB Details'!$A:$Q,9))</f>
        <v>52</v>
      </c>
      <c r="J266" s="49">
        <f>IF(VLOOKUP(Table91213[[#This Row],[Date]],'DB Details'!$A:$Q,10)=0,"",VLOOKUP(Table91213[[#This Row],[Date]],'DB Details'!$A:$Q,10))</f>
        <v>55.9</v>
      </c>
      <c r="K266" s="49">
        <f>IF(VLOOKUP(Table91213[[#This Row],[Date]],'DB Details'!$A:$Q,11)=0,"",VLOOKUP(Table91213[[#This Row],[Date]],'DB Details'!$A:$Q,11))</f>
        <v>52.5</v>
      </c>
      <c r="L266" s="47">
        <f>IF(VLOOKUP(Table91213[[#This Row],[Date]],'DB Details'!$A:$Q,12)=0,"",VLOOKUP(Table91213[[#This Row],[Date]],'DB Details'!$A:$Q,12))</f>
        <v>56.1</v>
      </c>
    </row>
    <row r="267" spans="1:12" x14ac:dyDescent="0.35">
      <c r="A267" s="50">
        <v>43556</v>
      </c>
      <c r="B267" s="47">
        <f>IF(VLOOKUP(Table91213[[#This Row],[Date]],'DB Details'!$A:$Q,2)=0,"",VLOOKUP(Table91213[[#This Row],[Date]],'DB Details'!$A:$Q,2))</f>
        <v>58.1</v>
      </c>
      <c r="C267" s="48">
        <f>IF(VLOOKUP(Table91213[[#This Row],[Date]],'DB Details'!$A:$Q,3)=0,"",VLOOKUP(Table91213[[#This Row],[Date]],'DB Details'!$A:$Q,3))</f>
        <v>55</v>
      </c>
      <c r="D267" s="48">
        <f>IF(VLOOKUP(Table91213[[#This Row],[Date]],'DB Details'!$A:$Q,4)=0,"",VLOOKUP(Table91213[[#This Row],[Date]],'DB Details'!$A:$Q,4))</f>
        <v>55</v>
      </c>
      <c r="E267" s="49">
        <f>IF(VLOOKUP(Table91213[[#This Row],[Date]],'DB Details'!$A:$Q,5)=0,"",VLOOKUP(Table91213[[#This Row],[Date]],'DB Details'!$A:$Q,5))</f>
        <v>55.7</v>
      </c>
      <c r="F267" s="48">
        <f>IF(VLOOKUP(Table91213[[#This Row],[Date]],'DB Details'!$A:$Q,6)=0,"",VLOOKUP(Table91213[[#This Row],[Date]],'DB Details'!$A:$Q,6))</f>
        <v>59.5</v>
      </c>
      <c r="G267" s="49">
        <f>IF(VLOOKUP(Table91213[[#This Row],[Date]],'DB Details'!$A:$Q,7)=0,"",VLOOKUP(Table91213[[#This Row],[Date]],'DB Details'!$A:$Q,7))</f>
        <v>60</v>
      </c>
      <c r="H267" s="49">
        <f>IF(VLOOKUP(Table91213[[#This Row],[Date]],'DB Details'!$A:$Q,8)=0,"",VLOOKUP(Table91213[[#This Row],[Date]],'DB Details'!$A:$Q,8))</f>
        <v>51.5</v>
      </c>
      <c r="I267" s="49">
        <f>IF(VLOOKUP(Table91213[[#This Row],[Date]],'DB Details'!$A:$Q,9)=0,"",VLOOKUP(Table91213[[#This Row],[Date]],'DB Details'!$A:$Q,9))</f>
        <v>50.5</v>
      </c>
      <c r="J267" s="49">
        <f>IF(VLOOKUP(Table91213[[#This Row],[Date]],'DB Details'!$A:$Q,10)=0,"",VLOOKUP(Table91213[[#This Row],[Date]],'DB Details'!$A:$Q,10))</f>
        <v>53.7</v>
      </c>
      <c r="K267" s="49">
        <f>IF(VLOOKUP(Table91213[[#This Row],[Date]],'DB Details'!$A:$Q,11)=0,"",VLOOKUP(Table91213[[#This Row],[Date]],'DB Details'!$A:$Q,11))</f>
        <v>57</v>
      </c>
      <c r="L267" s="47">
        <f>IF(VLOOKUP(Table91213[[#This Row],[Date]],'DB Details'!$A:$Q,12)=0,"",VLOOKUP(Table91213[[#This Row],[Date]],'DB Details'!$A:$Q,12))</f>
        <v>55.5</v>
      </c>
    </row>
    <row r="268" spans="1:12" x14ac:dyDescent="0.35">
      <c r="A268" s="50">
        <v>43586</v>
      </c>
      <c r="B268" s="47">
        <f>IF(VLOOKUP(Table91213[[#This Row],[Date]],'DB Details'!$A:$Q,2)=0,"",VLOOKUP(Table91213[[#This Row],[Date]],'DB Details'!$A:$Q,2))</f>
        <v>58.6</v>
      </c>
      <c r="C268" s="48">
        <f>IF(VLOOKUP(Table91213[[#This Row],[Date]],'DB Details'!$A:$Q,3)=0,"",VLOOKUP(Table91213[[#This Row],[Date]],'DB Details'!$A:$Q,3))</f>
        <v>50</v>
      </c>
      <c r="D268" s="48">
        <f>IF(VLOOKUP(Table91213[[#This Row],[Date]],'DB Details'!$A:$Q,4)=0,"",VLOOKUP(Table91213[[#This Row],[Date]],'DB Details'!$A:$Q,4))</f>
        <v>52.5</v>
      </c>
      <c r="E268" s="49">
        <f>IF(VLOOKUP(Table91213[[#This Row],[Date]],'DB Details'!$A:$Q,5)=0,"",VLOOKUP(Table91213[[#This Row],[Date]],'DB Details'!$A:$Q,5))</f>
        <v>55.4</v>
      </c>
      <c r="F268" s="48">
        <f>IF(VLOOKUP(Table91213[[#This Row],[Date]],'DB Details'!$A:$Q,6)=0,"",VLOOKUP(Table91213[[#This Row],[Date]],'DB Details'!$A:$Q,6))</f>
        <v>61.2</v>
      </c>
      <c r="G268" s="49">
        <f>IF(VLOOKUP(Table91213[[#This Row],[Date]],'DB Details'!$A:$Q,7)=0,"",VLOOKUP(Table91213[[#This Row],[Date]],'DB Details'!$A:$Q,7))</f>
        <v>58.5</v>
      </c>
      <c r="H268" s="49">
        <f>IF(VLOOKUP(Table91213[[#This Row],[Date]],'DB Details'!$A:$Q,8)=0,"",VLOOKUP(Table91213[[#This Row],[Date]],'DB Details'!$A:$Q,8))</f>
        <v>54</v>
      </c>
      <c r="I268" s="49">
        <f>IF(VLOOKUP(Table91213[[#This Row],[Date]],'DB Details'!$A:$Q,9)=0,"",VLOOKUP(Table91213[[#This Row],[Date]],'DB Details'!$A:$Q,9))</f>
        <v>49.5</v>
      </c>
      <c r="J268" s="49">
        <f>IF(VLOOKUP(Table91213[[#This Row],[Date]],'DB Details'!$A:$Q,10)=0,"",VLOOKUP(Table91213[[#This Row],[Date]],'DB Details'!$A:$Q,10))</f>
        <v>58.1</v>
      </c>
      <c r="K268" s="49">
        <f>IF(VLOOKUP(Table91213[[#This Row],[Date]],'DB Details'!$A:$Q,11)=0,"",VLOOKUP(Table91213[[#This Row],[Date]],'DB Details'!$A:$Q,11))</f>
        <v>55.5</v>
      </c>
      <c r="L268" s="47">
        <f>IF(VLOOKUP(Table91213[[#This Row],[Date]],'DB Details'!$A:$Q,12)=0,"",VLOOKUP(Table91213[[#This Row],[Date]],'DB Details'!$A:$Q,12))</f>
        <v>56.9</v>
      </c>
    </row>
    <row r="269" spans="1:12" x14ac:dyDescent="0.35">
      <c r="A269" s="50">
        <v>43617</v>
      </c>
      <c r="B269" s="47">
        <f>IF(VLOOKUP(Table91213[[#This Row],[Date]],'DB Details'!$A:$Q,2)=0,"",VLOOKUP(Table91213[[#This Row],[Date]],'DB Details'!$A:$Q,2))</f>
        <v>55.8</v>
      </c>
      <c r="C269" s="48">
        <f>IF(VLOOKUP(Table91213[[#This Row],[Date]],'DB Details'!$A:$Q,3)=0,"",VLOOKUP(Table91213[[#This Row],[Date]],'DB Details'!$A:$Q,3))</f>
        <v>50</v>
      </c>
      <c r="D269" s="48">
        <f>IF(VLOOKUP(Table91213[[#This Row],[Date]],'DB Details'!$A:$Q,4)=0,"",VLOOKUP(Table91213[[#This Row],[Date]],'DB Details'!$A:$Q,4))</f>
        <v>56</v>
      </c>
      <c r="E269" s="49">
        <f>IF(VLOOKUP(Table91213[[#This Row],[Date]],'DB Details'!$A:$Q,5)=0,"",VLOOKUP(Table91213[[#This Row],[Date]],'DB Details'!$A:$Q,5))</f>
        <v>58.9</v>
      </c>
      <c r="F269" s="48">
        <f>IF(VLOOKUP(Table91213[[#This Row],[Date]],'DB Details'!$A:$Q,6)=0,"",VLOOKUP(Table91213[[#This Row],[Date]],'DB Details'!$A:$Q,6))</f>
        <v>58.2</v>
      </c>
      <c r="G269" s="49">
        <f>IF(VLOOKUP(Table91213[[#This Row],[Date]],'DB Details'!$A:$Q,7)=0,"",VLOOKUP(Table91213[[#This Row],[Date]],'DB Details'!$A:$Q,7))</f>
        <v>58.5</v>
      </c>
      <c r="H269" s="49">
        <f>IF(VLOOKUP(Table91213[[#This Row],[Date]],'DB Details'!$A:$Q,8)=0,"",VLOOKUP(Table91213[[#This Row],[Date]],'DB Details'!$A:$Q,8))</f>
        <v>55</v>
      </c>
      <c r="I269" s="49">
        <f>IF(VLOOKUP(Table91213[[#This Row],[Date]],'DB Details'!$A:$Q,9)=0,"",VLOOKUP(Table91213[[#This Row],[Date]],'DB Details'!$A:$Q,9))</f>
        <v>51.5</v>
      </c>
      <c r="J269" s="49">
        <f>IF(VLOOKUP(Table91213[[#This Row],[Date]],'DB Details'!$A:$Q,10)=0,"",VLOOKUP(Table91213[[#This Row],[Date]],'DB Details'!$A:$Q,10))</f>
        <v>55</v>
      </c>
      <c r="K269" s="49">
        <f>IF(VLOOKUP(Table91213[[#This Row],[Date]],'DB Details'!$A:$Q,11)=0,"",VLOOKUP(Table91213[[#This Row],[Date]],'DB Details'!$A:$Q,11))</f>
        <v>55.5</v>
      </c>
      <c r="L269" s="47">
        <f>IF(VLOOKUP(Table91213[[#This Row],[Date]],'DB Details'!$A:$Q,12)=0,"",VLOOKUP(Table91213[[#This Row],[Date]],'DB Details'!$A:$Q,12))</f>
        <v>55.1</v>
      </c>
    </row>
    <row r="270" spans="1:12" x14ac:dyDescent="0.35">
      <c r="A270" s="50">
        <v>43647</v>
      </c>
      <c r="B270" s="47">
        <f>IF(VLOOKUP(Table91213[[#This Row],[Date]],'DB Details'!$A:$Q,2)=0,"",VLOOKUP(Table91213[[#This Row],[Date]],'DB Details'!$A:$Q,2))</f>
        <v>54.1</v>
      </c>
      <c r="C270" s="48">
        <f>IF(VLOOKUP(Table91213[[#This Row],[Date]],'DB Details'!$A:$Q,3)=0,"",VLOOKUP(Table91213[[#This Row],[Date]],'DB Details'!$A:$Q,3))</f>
        <v>53.5</v>
      </c>
      <c r="D270" s="48">
        <f>IF(VLOOKUP(Table91213[[#This Row],[Date]],'DB Details'!$A:$Q,4)=0,"",VLOOKUP(Table91213[[#This Row],[Date]],'DB Details'!$A:$Q,4))</f>
        <v>53.5</v>
      </c>
      <c r="E270" s="49">
        <f>IF(VLOOKUP(Table91213[[#This Row],[Date]],'DB Details'!$A:$Q,5)=0,"",VLOOKUP(Table91213[[#This Row],[Date]],'DB Details'!$A:$Q,5))</f>
        <v>56.5</v>
      </c>
      <c r="F270" s="48">
        <f>IF(VLOOKUP(Table91213[[#This Row],[Date]],'DB Details'!$A:$Q,6)=0,"",VLOOKUP(Table91213[[#This Row],[Date]],'DB Details'!$A:$Q,6))</f>
        <v>53.1</v>
      </c>
      <c r="G270" s="49">
        <f>IF(VLOOKUP(Table91213[[#This Row],[Date]],'DB Details'!$A:$Q,7)=0,"",VLOOKUP(Table91213[[#This Row],[Date]],'DB Details'!$A:$Q,7))</f>
        <v>60.5</v>
      </c>
      <c r="H270" s="49">
        <f>IF(VLOOKUP(Table91213[[#This Row],[Date]],'DB Details'!$A:$Q,8)=0,"",VLOOKUP(Table91213[[#This Row],[Date]],'DB Details'!$A:$Q,8))</f>
        <v>50</v>
      </c>
      <c r="I270" s="49">
        <f>IF(VLOOKUP(Table91213[[#This Row],[Date]],'DB Details'!$A:$Q,9)=0,"",VLOOKUP(Table91213[[#This Row],[Date]],'DB Details'!$A:$Q,9))</f>
        <v>51.5</v>
      </c>
      <c r="J270" s="49">
        <f>IF(VLOOKUP(Table91213[[#This Row],[Date]],'DB Details'!$A:$Q,10)=0,"",VLOOKUP(Table91213[[#This Row],[Date]],'DB Details'!$A:$Q,10))</f>
        <v>56.2</v>
      </c>
      <c r="K270" s="49">
        <f>IF(VLOOKUP(Table91213[[#This Row],[Date]],'DB Details'!$A:$Q,11)=0,"",VLOOKUP(Table91213[[#This Row],[Date]],'DB Details'!$A:$Q,11))</f>
        <v>53.5</v>
      </c>
      <c r="L270" s="47">
        <f>IF(VLOOKUP(Table91213[[#This Row],[Date]],'DB Details'!$A:$Q,12)=0,"",VLOOKUP(Table91213[[#This Row],[Date]],'DB Details'!$A:$Q,12))</f>
        <v>53.7</v>
      </c>
    </row>
    <row r="271" spans="1:12" x14ac:dyDescent="0.35">
      <c r="A271" s="50">
        <v>43678</v>
      </c>
      <c r="B271" s="47">
        <f>IF(VLOOKUP(Table91213[[#This Row],[Date]],'DB Details'!$A:$Q,2)=0,"",VLOOKUP(Table91213[[#This Row],[Date]],'DB Details'!$A:$Q,2))</f>
        <v>60.3</v>
      </c>
      <c r="C271" s="48">
        <f>IF(VLOOKUP(Table91213[[#This Row],[Date]],'DB Details'!$A:$Q,3)=0,"",VLOOKUP(Table91213[[#This Row],[Date]],'DB Details'!$A:$Q,3))</f>
        <v>50.5</v>
      </c>
      <c r="D271" s="48">
        <f>IF(VLOOKUP(Table91213[[#This Row],[Date]],'DB Details'!$A:$Q,4)=0,"",VLOOKUP(Table91213[[#This Row],[Date]],'DB Details'!$A:$Q,4))</f>
        <v>49</v>
      </c>
      <c r="E271" s="49">
        <f>IF(VLOOKUP(Table91213[[#This Row],[Date]],'DB Details'!$A:$Q,5)=0,"",VLOOKUP(Table91213[[#This Row],[Date]],'DB Details'!$A:$Q,5))</f>
        <v>58.2</v>
      </c>
      <c r="F271" s="48">
        <f>IF(VLOOKUP(Table91213[[#This Row],[Date]],'DB Details'!$A:$Q,6)=0,"",VLOOKUP(Table91213[[#This Row],[Date]],'DB Details'!$A:$Q,6))</f>
        <v>61.5</v>
      </c>
      <c r="G271" s="49">
        <f>IF(VLOOKUP(Table91213[[#This Row],[Date]],'DB Details'!$A:$Q,7)=0,"",VLOOKUP(Table91213[[#This Row],[Date]],'DB Details'!$A:$Q,7))</f>
        <v>56</v>
      </c>
      <c r="H271" s="49">
        <f>IF(VLOOKUP(Table91213[[#This Row],[Date]],'DB Details'!$A:$Q,8)=0,"",VLOOKUP(Table91213[[#This Row],[Date]],'DB Details'!$A:$Q,8))</f>
        <v>55</v>
      </c>
      <c r="I271" s="49">
        <f>IF(VLOOKUP(Table91213[[#This Row],[Date]],'DB Details'!$A:$Q,9)=0,"",VLOOKUP(Table91213[[#This Row],[Date]],'DB Details'!$A:$Q,9))</f>
        <v>50.5</v>
      </c>
      <c r="J271" s="49">
        <f>IF(VLOOKUP(Table91213[[#This Row],[Date]],'DB Details'!$A:$Q,10)=0,"",VLOOKUP(Table91213[[#This Row],[Date]],'DB Details'!$A:$Q,10))</f>
        <v>53.1</v>
      </c>
      <c r="K271" s="49">
        <f>IF(VLOOKUP(Table91213[[#This Row],[Date]],'DB Details'!$A:$Q,11)=0,"",VLOOKUP(Table91213[[#This Row],[Date]],'DB Details'!$A:$Q,11))</f>
        <v>50.5</v>
      </c>
      <c r="L271" s="47">
        <f>IF(VLOOKUP(Table91213[[#This Row],[Date]],'DB Details'!$A:$Q,12)=0,"",VLOOKUP(Table91213[[#This Row],[Date]],'DB Details'!$A:$Q,12))</f>
        <v>56.4</v>
      </c>
    </row>
    <row r="272" spans="1:12" x14ac:dyDescent="0.35">
      <c r="A272" s="50">
        <v>43709</v>
      </c>
      <c r="B272" s="47">
        <f>IF(VLOOKUP(Table91213[[#This Row],[Date]],'DB Details'!$A:$Q,2)=0,"",VLOOKUP(Table91213[[#This Row],[Date]],'DB Details'!$A:$Q,2))</f>
        <v>53.7</v>
      </c>
      <c r="C272" s="48">
        <f>IF(VLOOKUP(Table91213[[#This Row],[Date]],'DB Details'!$A:$Q,3)=0,"",VLOOKUP(Table91213[[#This Row],[Date]],'DB Details'!$A:$Q,3))</f>
        <v>49</v>
      </c>
      <c r="D272" s="48">
        <f>IF(VLOOKUP(Table91213[[#This Row],[Date]],'DB Details'!$A:$Q,4)=0,"",VLOOKUP(Table91213[[#This Row],[Date]],'DB Details'!$A:$Q,4))</f>
        <v>54</v>
      </c>
      <c r="E272" s="49">
        <f>IF(VLOOKUP(Table91213[[#This Row],[Date]],'DB Details'!$A:$Q,5)=0,"",VLOOKUP(Table91213[[#This Row],[Date]],'DB Details'!$A:$Q,5))</f>
        <v>60</v>
      </c>
      <c r="F272" s="48">
        <f>IF(VLOOKUP(Table91213[[#This Row],[Date]],'DB Details'!$A:$Q,6)=0,"",VLOOKUP(Table91213[[#This Row],[Date]],'DB Details'!$A:$Q,6))</f>
        <v>55.2</v>
      </c>
      <c r="G272" s="49">
        <f>IF(VLOOKUP(Table91213[[#This Row],[Date]],'DB Details'!$A:$Q,7)=0,"",VLOOKUP(Table91213[[#This Row],[Date]],'DB Details'!$A:$Q,7))</f>
        <v>58</v>
      </c>
      <c r="H272" s="49">
        <f>IF(VLOOKUP(Table91213[[#This Row],[Date]],'DB Details'!$A:$Q,8)=0,"",VLOOKUP(Table91213[[#This Row],[Date]],'DB Details'!$A:$Q,8))</f>
        <v>53</v>
      </c>
      <c r="I272" s="49">
        <f>IF(VLOOKUP(Table91213[[#This Row],[Date]],'DB Details'!$A:$Q,9)=0,"",VLOOKUP(Table91213[[#This Row],[Date]],'DB Details'!$A:$Q,9))</f>
        <v>51</v>
      </c>
      <c r="J272" s="49">
        <f>IF(VLOOKUP(Table91213[[#This Row],[Date]],'DB Details'!$A:$Q,10)=0,"",VLOOKUP(Table91213[[#This Row],[Date]],'DB Details'!$A:$Q,10))</f>
        <v>50.4</v>
      </c>
      <c r="K272" s="49">
        <f>IF(VLOOKUP(Table91213[[#This Row],[Date]],'DB Details'!$A:$Q,11)=0,"",VLOOKUP(Table91213[[#This Row],[Date]],'DB Details'!$A:$Q,11))</f>
        <v>52</v>
      </c>
      <c r="L272" s="47">
        <f>IF(VLOOKUP(Table91213[[#This Row],[Date]],'DB Details'!$A:$Q,12)=0,"",VLOOKUP(Table91213[[#This Row],[Date]],'DB Details'!$A:$Q,12))</f>
        <v>52.6</v>
      </c>
    </row>
    <row r="273" spans="1:12" x14ac:dyDescent="0.35">
      <c r="A273" s="50">
        <v>43739</v>
      </c>
      <c r="B273" s="47">
        <f>IF(VLOOKUP(Table91213[[#This Row],[Date]],'DB Details'!$A:$Q,2)=0,"",VLOOKUP(Table91213[[#This Row],[Date]],'DB Details'!$A:$Q,2))</f>
        <v>55.6</v>
      </c>
      <c r="C273" s="48">
        <f>IF(VLOOKUP(Table91213[[#This Row],[Date]],'DB Details'!$A:$Q,3)=0,"",VLOOKUP(Table91213[[#This Row],[Date]],'DB Details'!$A:$Q,3))</f>
        <v>48.5</v>
      </c>
      <c r="D273" s="48">
        <f>IF(VLOOKUP(Table91213[[#This Row],[Date]],'DB Details'!$A:$Q,4)=0,"",VLOOKUP(Table91213[[#This Row],[Date]],'DB Details'!$A:$Q,4))</f>
        <v>48.5</v>
      </c>
      <c r="E273" s="49">
        <f>IF(VLOOKUP(Table91213[[#This Row],[Date]],'DB Details'!$A:$Q,5)=0,"",VLOOKUP(Table91213[[#This Row],[Date]],'DB Details'!$A:$Q,5))</f>
        <v>56.6</v>
      </c>
      <c r="F273" s="48">
        <f>IF(VLOOKUP(Table91213[[#This Row],[Date]],'DB Details'!$A:$Q,6)=0,"",VLOOKUP(Table91213[[#This Row],[Date]],'DB Details'!$A:$Q,6))</f>
        <v>57</v>
      </c>
      <c r="G273" s="49">
        <f>IF(VLOOKUP(Table91213[[#This Row],[Date]],'DB Details'!$A:$Q,7)=0,"",VLOOKUP(Table91213[[#This Row],[Date]],'DB Details'!$A:$Q,7))</f>
        <v>57</v>
      </c>
      <c r="H273" s="49">
        <f>IF(VLOOKUP(Table91213[[#This Row],[Date]],'DB Details'!$A:$Q,8)=0,"",VLOOKUP(Table91213[[#This Row],[Date]],'DB Details'!$A:$Q,8))</f>
        <v>50.5</v>
      </c>
      <c r="I273" s="49">
        <f>IF(VLOOKUP(Table91213[[#This Row],[Date]],'DB Details'!$A:$Q,9)=0,"",VLOOKUP(Table91213[[#This Row],[Date]],'DB Details'!$A:$Q,9))</f>
        <v>52.5</v>
      </c>
      <c r="J273" s="49">
        <f>IF(VLOOKUP(Table91213[[#This Row],[Date]],'DB Details'!$A:$Q,10)=0,"",VLOOKUP(Table91213[[#This Row],[Date]],'DB Details'!$A:$Q,10))</f>
        <v>53.7</v>
      </c>
      <c r="K273" s="49">
        <f>IF(VLOOKUP(Table91213[[#This Row],[Date]],'DB Details'!$A:$Q,11)=0,"",VLOOKUP(Table91213[[#This Row],[Date]],'DB Details'!$A:$Q,11))</f>
        <v>50</v>
      </c>
      <c r="L273" s="47">
        <f>IF(VLOOKUP(Table91213[[#This Row],[Date]],'DB Details'!$A:$Q,12)=0,"",VLOOKUP(Table91213[[#This Row],[Date]],'DB Details'!$A:$Q,12))</f>
        <v>54.7</v>
      </c>
    </row>
    <row r="274" spans="1:12" x14ac:dyDescent="0.35">
      <c r="A274" s="50">
        <v>43770</v>
      </c>
      <c r="B274" s="47">
        <f>IF(VLOOKUP(Table91213[[#This Row],[Date]],'DB Details'!$A:$Q,2)=0,"",VLOOKUP(Table91213[[#This Row],[Date]],'DB Details'!$A:$Q,2))</f>
        <v>57.1</v>
      </c>
      <c r="C274" s="48">
        <f>IF(VLOOKUP(Table91213[[#This Row],[Date]],'DB Details'!$A:$Q,3)=0,"",VLOOKUP(Table91213[[#This Row],[Date]],'DB Details'!$A:$Q,3))</f>
        <v>45</v>
      </c>
      <c r="D274" s="48">
        <f>IF(VLOOKUP(Table91213[[#This Row],[Date]],'DB Details'!$A:$Q,4)=0,"",VLOOKUP(Table91213[[#This Row],[Date]],'DB Details'!$A:$Q,4))</f>
        <v>48.5</v>
      </c>
      <c r="E274" s="49">
        <f>IF(VLOOKUP(Table91213[[#This Row],[Date]],'DB Details'!$A:$Q,5)=0,"",VLOOKUP(Table91213[[#This Row],[Date]],'DB Details'!$A:$Q,5))</f>
        <v>58.5</v>
      </c>
      <c r="F274" s="48">
        <f>IF(VLOOKUP(Table91213[[#This Row],[Date]],'DB Details'!$A:$Q,6)=0,"",VLOOKUP(Table91213[[#This Row],[Date]],'DB Details'!$A:$Q,6))</f>
        <v>51.6</v>
      </c>
      <c r="G274" s="49">
        <f>IF(VLOOKUP(Table91213[[#This Row],[Date]],'DB Details'!$A:$Q,7)=0,"",VLOOKUP(Table91213[[#This Row],[Date]],'DB Details'!$A:$Q,7))</f>
        <v>58.5</v>
      </c>
      <c r="H274" s="49">
        <f>IF(VLOOKUP(Table91213[[#This Row],[Date]],'DB Details'!$A:$Q,8)=0,"",VLOOKUP(Table91213[[#This Row],[Date]],'DB Details'!$A:$Q,8))</f>
        <v>50.5</v>
      </c>
      <c r="I274" s="49">
        <f>IF(VLOOKUP(Table91213[[#This Row],[Date]],'DB Details'!$A:$Q,9)=0,"",VLOOKUP(Table91213[[#This Row],[Date]],'DB Details'!$A:$Q,9))</f>
        <v>51.5</v>
      </c>
      <c r="J274" s="49">
        <f>IF(VLOOKUP(Table91213[[#This Row],[Date]],'DB Details'!$A:$Q,10)=0,"",VLOOKUP(Table91213[[#This Row],[Date]],'DB Details'!$A:$Q,10))</f>
        <v>55.5</v>
      </c>
      <c r="K274" s="49">
        <f>IF(VLOOKUP(Table91213[[#This Row],[Date]],'DB Details'!$A:$Q,11)=0,"",VLOOKUP(Table91213[[#This Row],[Date]],'DB Details'!$A:$Q,11))</f>
        <v>52</v>
      </c>
      <c r="L274" s="47">
        <f>IF(VLOOKUP(Table91213[[#This Row],[Date]],'DB Details'!$A:$Q,12)=0,"",VLOOKUP(Table91213[[#This Row],[Date]],'DB Details'!$A:$Q,12))</f>
        <v>53.9</v>
      </c>
    </row>
    <row r="275" spans="1:12" x14ac:dyDescent="0.35">
      <c r="A275" s="50">
        <v>43800</v>
      </c>
      <c r="B275" s="47">
        <f>IF(VLOOKUP(Table91213[[#This Row],[Date]],'DB Details'!$A:$Q,2)=0,"",VLOOKUP(Table91213[[#This Row],[Date]],'DB Details'!$A:$Q,2))</f>
        <v>54.9</v>
      </c>
      <c r="C275" s="48">
        <f>IF(VLOOKUP(Table91213[[#This Row],[Date]],'DB Details'!$A:$Q,3)=0,"",VLOOKUP(Table91213[[#This Row],[Date]],'DB Details'!$A:$Q,3))</f>
        <v>48</v>
      </c>
      <c r="D275" s="48">
        <f>IF(VLOOKUP(Table91213[[#This Row],[Date]],'DB Details'!$A:$Q,4)=0,"",VLOOKUP(Table91213[[#This Row],[Date]],'DB Details'!$A:$Q,4))</f>
        <v>47.5</v>
      </c>
      <c r="E275" s="49">
        <f>IF(VLOOKUP(Table91213[[#This Row],[Date]],'DB Details'!$A:$Q,5)=0,"",VLOOKUP(Table91213[[#This Row],[Date]],'DB Details'!$A:$Q,5))</f>
        <v>58.5</v>
      </c>
      <c r="F275" s="48">
        <f>IF(VLOOKUP(Table91213[[#This Row],[Date]],'DB Details'!$A:$Q,6)=0,"",VLOOKUP(Table91213[[#This Row],[Date]],'DB Details'!$A:$Q,6))</f>
        <v>57.2</v>
      </c>
      <c r="G275" s="49">
        <f>IF(VLOOKUP(Table91213[[#This Row],[Date]],'DB Details'!$A:$Q,7)=0,"",VLOOKUP(Table91213[[#This Row],[Date]],'DB Details'!$A:$Q,7))</f>
        <v>60</v>
      </c>
      <c r="H275" s="49">
        <f>IF(VLOOKUP(Table91213[[#This Row],[Date]],'DB Details'!$A:$Q,8)=0,"",VLOOKUP(Table91213[[#This Row],[Date]],'DB Details'!$A:$Q,8))</f>
        <v>51</v>
      </c>
      <c r="I275" s="49">
        <f>IF(VLOOKUP(Table91213[[#This Row],[Date]],'DB Details'!$A:$Q,9)=0,"",VLOOKUP(Table91213[[#This Row],[Date]],'DB Details'!$A:$Q,9))</f>
        <v>52.5</v>
      </c>
      <c r="J275" s="49">
        <f>IF(VLOOKUP(Table91213[[#This Row],[Date]],'DB Details'!$A:$Q,10)=0,"",VLOOKUP(Table91213[[#This Row],[Date]],'DB Details'!$A:$Q,10))</f>
        <v>55.2</v>
      </c>
      <c r="K275" s="49">
        <f>IF(VLOOKUP(Table91213[[#This Row],[Date]],'DB Details'!$A:$Q,11)=0,"",VLOOKUP(Table91213[[#This Row],[Date]],'DB Details'!$A:$Q,11))</f>
        <v>51</v>
      </c>
      <c r="L275" s="47">
        <f>IF(VLOOKUP(Table91213[[#This Row],[Date]],'DB Details'!$A:$Q,12)=0,"",VLOOKUP(Table91213[[#This Row],[Date]],'DB Details'!$A:$Q,12))</f>
        <v>55</v>
      </c>
    </row>
    <row r="276" spans="1:12" x14ac:dyDescent="0.35">
      <c r="A276" s="50">
        <v>43831</v>
      </c>
      <c r="B276" s="47">
        <f>IF(VLOOKUP(Table91213[[#This Row],[Date]],'DB Details'!$A:$Q,2)=0,"",VLOOKUP(Table91213[[#This Row],[Date]],'DB Details'!$A:$Q,2))</f>
        <v>56.2</v>
      </c>
      <c r="C276" s="48">
        <f>IF(VLOOKUP(Table91213[[#This Row],[Date]],'DB Details'!$A:$Q,3)=0,"",VLOOKUP(Table91213[[#This Row],[Date]],'DB Details'!$A:$Q,3))</f>
        <v>55.1</v>
      </c>
      <c r="D276" s="48">
        <f>IF(VLOOKUP(Table91213[[#This Row],[Date]],'DB Details'!$A:$Q,4)=0,"",VLOOKUP(Table91213[[#This Row],[Date]],'DB Details'!$A:$Q,4))</f>
        <v>45.5</v>
      </c>
      <c r="E276" s="49">
        <f>IF(VLOOKUP(Table91213[[#This Row],[Date]],'DB Details'!$A:$Q,5)=0,"",VLOOKUP(Table91213[[#This Row],[Date]],'DB Details'!$A:$Q,5))</f>
        <v>55.5</v>
      </c>
      <c r="F276" s="48">
        <f>IF(VLOOKUP(Table91213[[#This Row],[Date]],'DB Details'!$A:$Q,6)=0,"",VLOOKUP(Table91213[[#This Row],[Date]],'DB Details'!$A:$Q,6))</f>
        <v>60.9</v>
      </c>
      <c r="G276" s="49">
        <f>IF(VLOOKUP(Table91213[[#This Row],[Date]],'DB Details'!$A:$Q,7)=0,"",VLOOKUP(Table91213[[#This Row],[Date]],'DB Details'!$A:$Q,7))</f>
        <v>54.9</v>
      </c>
      <c r="H276" s="49">
        <f>IF(VLOOKUP(Table91213[[#This Row],[Date]],'DB Details'!$A:$Q,8)=0,"",VLOOKUP(Table91213[[#This Row],[Date]],'DB Details'!$A:$Q,8))</f>
        <v>46.5</v>
      </c>
      <c r="I276" s="49">
        <f>IF(VLOOKUP(Table91213[[#This Row],[Date]],'DB Details'!$A:$Q,9)=0,"",VLOOKUP(Table91213[[#This Row],[Date]],'DB Details'!$A:$Q,9))</f>
        <v>51.7</v>
      </c>
      <c r="J276" s="49">
        <f>IF(VLOOKUP(Table91213[[#This Row],[Date]],'DB Details'!$A:$Q,10)=0,"",VLOOKUP(Table91213[[#This Row],[Date]],'DB Details'!$A:$Q,10))</f>
        <v>53.1</v>
      </c>
      <c r="K276" s="49">
        <f>IF(VLOOKUP(Table91213[[#This Row],[Date]],'DB Details'!$A:$Q,11)=0,"",VLOOKUP(Table91213[[#This Row],[Date]],'DB Details'!$A:$Q,11))</f>
        <v>50.1</v>
      </c>
      <c r="L276" s="47">
        <f>IF(VLOOKUP(Table91213[[#This Row],[Date]],'DB Details'!$A:$Q,12)=0,"",VLOOKUP(Table91213[[#This Row],[Date]],'DB Details'!$A:$Q,12))</f>
        <v>55.5</v>
      </c>
    </row>
    <row r="277" spans="1:12" x14ac:dyDescent="0.35">
      <c r="A277" s="50">
        <v>43862</v>
      </c>
      <c r="B277" s="47">
        <f>IF(VLOOKUP(Table91213[[#This Row],[Date]],'DB Details'!$A:$Q,2)=0,"",VLOOKUP(Table91213[[#This Row],[Date]],'DB Details'!$A:$Q,2))</f>
        <v>63.1</v>
      </c>
      <c r="C277" s="48">
        <f>IF(VLOOKUP(Table91213[[#This Row],[Date]],'DB Details'!$A:$Q,3)=0,"",VLOOKUP(Table91213[[#This Row],[Date]],'DB Details'!$A:$Q,3))</f>
        <v>52.6</v>
      </c>
      <c r="D277" s="48">
        <f>IF(VLOOKUP(Table91213[[#This Row],[Date]],'DB Details'!$A:$Q,4)=0,"",VLOOKUP(Table91213[[#This Row],[Date]],'DB Details'!$A:$Q,4))</f>
        <v>53.2</v>
      </c>
      <c r="E277" s="49">
        <f>IF(VLOOKUP(Table91213[[#This Row],[Date]],'DB Details'!$A:$Q,5)=0,"",VLOOKUP(Table91213[[#This Row],[Date]],'DB Details'!$A:$Q,5))</f>
        <v>50.8</v>
      </c>
      <c r="F277" s="48">
        <f>IF(VLOOKUP(Table91213[[#This Row],[Date]],'DB Details'!$A:$Q,6)=0,"",VLOOKUP(Table91213[[#This Row],[Date]],'DB Details'!$A:$Q,6))</f>
        <v>57.8</v>
      </c>
      <c r="G277" s="49">
        <f>IF(VLOOKUP(Table91213[[#This Row],[Date]],'DB Details'!$A:$Q,7)=0,"",VLOOKUP(Table91213[[#This Row],[Date]],'DB Details'!$A:$Q,7))</f>
        <v>59.3</v>
      </c>
      <c r="H277" s="49">
        <f>IF(VLOOKUP(Table91213[[#This Row],[Date]],'DB Details'!$A:$Q,8)=0,"",VLOOKUP(Table91213[[#This Row],[Date]],'DB Details'!$A:$Q,8))</f>
        <v>53.9</v>
      </c>
      <c r="I277" s="49">
        <f>IF(VLOOKUP(Table91213[[#This Row],[Date]],'DB Details'!$A:$Q,9)=0,"",VLOOKUP(Table91213[[#This Row],[Date]],'DB Details'!$A:$Q,9))</f>
        <v>52.4</v>
      </c>
      <c r="J277" s="49">
        <f>IF(VLOOKUP(Table91213[[#This Row],[Date]],'DB Details'!$A:$Q,10)=0,"",VLOOKUP(Table91213[[#This Row],[Date]],'DB Details'!$A:$Q,10))</f>
        <v>55.6</v>
      </c>
      <c r="K277" s="49">
        <f>IF(VLOOKUP(Table91213[[#This Row],[Date]],'DB Details'!$A:$Q,11)=0,"",VLOOKUP(Table91213[[#This Row],[Date]],'DB Details'!$A:$Q,11))</f>
        <v>55.6</v>
      </c>
      <c r="L277" s="47">
        <f>IF(VLOOKUP(Table91213[[#This Row],[Date]],'DB Details'!$A:$Q,12)=0,"",VLOOKUP(Table91213[[#This Row],[Date]],'DB Details'!$A:$Q,12))</f>
        <v>57.3</v>
      </c>
    </row>
    <row r="278" spans="1:12" x14ac:dyDescent="0.35">
      <c r="A278" s="50">
        <v>43891</v>
      </c>
      <c r="B278" s="47">
        <f>IF(VLOOKUP(Table91213[[#This Row],[Date]],'DB Details'!$A:$Q,2)=0,"",VLOOKUP(Table91213[[#This Row],[Date]],'DB Details'!$A:$Q,2))</f>
        <v>52.9</v>
      </c>
      <c r="C278" s="48">
        <f>IF(VLOOKUP(Table91213[[#This Row],[Date]],'DB Details'!$A:$Q,3)=0,"",VLOOKUP(Table91213[[#This Row],[Date]],'DB Details'!$A:$Q,3))</f>
        <v>40.200000000000003</v>
      </c>
      <c r="D278" s="48">
        <f>IF(VLOOKUP(Table91213[[#This Row],[Date]],'DB Details'!$A:$Q,4)=0,"",VLOOKUP(Table91213[[#This Row],[Date]],'DB Details'!$A:$Q,4))</f>
        <v>55</v>
      </c>
      <c r="E278" s="49">
        <f>IF(VLOOKUP(Table91213[[#This Row],[Date]],'DB Details'!$A:$Q,5)=0,"",VLOOKUP(Table91213[[#This Row],[Date]],'DB Details'!$A:$Q,5))</f>
        <v>50</v>
      </c>
      <c r="F278" s="48">
        <f>IF(VLOOKUP(Table91213[[#This Row],[Date]],'DB Details'!$A:$Q,6)=0,"",VLOOKUP(Table91213[[#This Row],[Date]],'DB Details'!$A:$Q,6))</f>
        <v>48</v>
      </c>
      <c r="G278" s="49">
        <f>IF(VLOOKUP(Table91213[[#This Row],[Date]],'DB Details'!$A:$Q,7)=0,"",VLOOKUP(Table91213[[#This Row],[Date]],'DB Details'!$A:$Q,7))</f>
        <v>47.8</v>
      </c>
      <c r="H278" s="49">
        <f>IF(VLOOKUP(Table91213[[#This Row],[Date]],'DB Details'!$A:$Q,8)=0,"",VLOOKUP(Table91213[[#This Row],[Date]],'DB Details'!$A:$Q,8))</f>
        <v>41.5</v>
      </c>
      <c r="I278" s="49">
        <f>IF(VLOOKUP(Table91213[[#This Row],[Date]],'DB Details'!$A:$Q,9)=0,"",VLOOKUP(Table91213[[#This Row],[Date]],'DB Details'!$A:$Q,9))</f>
        <v>62.1</v>
      </c>
      <c r="J278" s="49">
        <f>IF(VLOOKUP(Table91213[[#This Row],[Date]],'DB Details'!$A:$Q,10)=0,"",VLOOKUP(Table91213[[#This Row],[Date]],'DB Details'!$A:$Q,10))</f>
        <v>47</v>
      </c>
      <c r="K278" s="49">
        <f>IF(VLOOKUP(Table91213[[#This Row],[Date]],'DB Details'!$A:$Q,11)=0,"",VLOOKUP(Table91213[[#This Row],[Date]],'DB Details'!$A:$Q,11))</f>
        <v>45.9</v>
      </c>
      <c r="L278" s="47">
        <f>IF(VLOOKUP(Table91213[[#This Row],[Date]],'DB Details'!$A:$Q,12)=0,"",VLOOKUP(Table91213[[#This Row],[Date]],'DB Details'!$A:$Q,12))</f>
        <v>52.5</v>
      </c>
    </row>
    <row r="279" spans="1:12" x14ac:dyDescent="0.35">
      <c r="A279" s="50">
        <v>43922</v>
      </c>
      <c r="B279" s="47">
        <f>IF(VLOOKUP(Table91213[[#This Row],[Date]],'DB Details'!$A:$Q,2)=0,"",VLOOKUP(Table91213[[#This Row],[Date]],'DB Details'!$A:$Q,2))</f>
        <v>32.9</v>
      </c>
      <c r="C279" s="48">
        <f>IF(VLOOKUP(Table91213[[#This Row],[Date]],'DB Details'!$A:$Q,3)=0,"",VLOOKUP(Table91213[[#This Row],[Date]],'DB Details'!$A:$Q,3))</f>
        <v>49.3</v>
      </c>
      <c r="D279" s="48">
        <f>IF(VLOOKUP(Table91213[[#This Row],[Date]],'DB Details'!$A:$Q,4)=0,"",VLOOKUP(Table91213[[#This Row],[Date]],'DB Details'!$A:$Q,4))</f>
        <v>47.7</v>
      </c>
      <c r="E279" s="49">
        <f>IF(VLOOKUP(Table91213[[#This Row],[Date]],'DB Details'!$A:$Q,5)=0,"",VLOOKUP(Table91213[[#This Row],[Date]],'DB Details'!$A:$Q,5))</f>
        <v>55.1</v>
      </c>
      <c r="F279" s="48">
        <f>IF(VLOOKUP(Table91213[[#This Row],[Date]],'DB Details'!$A:$Q,6)=0,"",VLOOKUP(Table91213[[#This Row],[Date]],'DB Details'!$A:$Q,6))</f>
        <v>26</v>
      </c>
      <c r="G279" s="49">
        <f>IF(VLOOKUP(Table91213[[#This Row],[Date]],'DB Details'!$A:$Q,7)=0,"",VLOOKUP(Table91213[[#This Row],[Date]],'DB Details'!$A:$Q,7))</f>
        <v>62.6</v>
      </c>
      <c r="H279" s="49">
        <f>IF(VLOOKUP(Table91213[[#This Row],[Date]],'DB Details'!$A:$Q,8)=0,"",VLOOKUP(Table91213[[#This Row],[Date]],'DB Details'!$A:$Q,8))</f>
        <v>46.9</v>
      </c>
      <c r="I279" s="49">
        <f>IF(VLOOKUP(Table91213[[#This Row],[Date]],'DB Details'!$A:$Q,9)=0,"",VLOOKUP(Table91213[[#This Row],[Date]],'DB Details'!$A:$Q,9))</f>
        <v>78.3</v>
      </c>
      <c r="J279" s="49">
        <f>IF(VLOOKUP(Table91213[[#This Row],[Date]],'DB Details'!$A:$Q,10)=0,"",VLOOKUP(Table91213[[#This Row],[Date]],'DB Details'!$A:$Q,10))</f>
        <v>30</v>
      </c>
      <c r="K279" s="49">
        <f>IF(VLOOKUP(Table91213[[#This Row],[Date]],'DB Details'!$A:$Q,11)=0,"",VLOOKUP(Table91213[[#This Row],[Date]],'DB Details'!$A:$Q,11))</f>
        <v>36.299999999999997</v>
      </c>
      <c r="L279" s="47">
        <f>IF(VLOOKUP(Table91213[[#This Row],[Date]],'DB Details'!$A:$Q,12)=0,"",VLOOKUP(Table91213[[#This Row],[Date]],'DB Details'!$A:$Q,12))</f>
        <v>41.8</v>
      </c>
    </row>
    <row r="280" spans="1:12" x14ac:dyDescent="0.35">
      <c r="A280" s="50">
        <v>43952</v>
      </c>
      <c r="B280" s="47">
        <f>IF(VLOOKUP(Table91213[[#This Row],[Date]],'DB Details'!$A:$Q,2)=0,"",VLOOKUP(Table91213[[#This Row],[Date]],'DB Details'!$A:$Q,2))</f>
        <v>41.9</v>
      </c>
      <c r="C280" s="48">
        <f>IF(VLOOKUP(Table91213[[#This Row],[Date]],'DB Details'!$A:$Q,3)=0,"",VLOOKUP(Table91213[[#This Row],[Date]],'DB Details'!$A:$Q,3))</f>
        <v>43.7</v>
      </c>
      <c r="D280" s="48">
        <f>IF(VLOOKUP(Table91213[[#This Row],[Date]],'DB Details'!$A:$Q,4)=0,"",VLOOKUP(Table91213[[#This Row],[Date]],'DB Details'!$A:$Q,4))</f>
        <v>46.4</v>
      </c>
      <c r="E280" s="49">
        <f>IF(VLOOKUP(Table91213[[#This Row],[Date]],'DB Details'!$A:$Q,5)=0,"",VLOOKUP(Table91213[[#This Row],[Date]],'DB Details'!$A:$Q,5))</f>
        <v>55.6</v>
      </c>
      <c r="F280" s="48">
        <f>IF(VLOOKUP(Table91213[[#This Row],[Date]],'DB Details'!$A:$Q,6)=0,"",VLOOKUP(Table91213[[#This Row],[Date]],'DB Details'!$A:$Q,6))</f>
        <v>41</v>
      </c>
      <c r="G280" s="49">
        <f>IF(VLOOKUP(Table91213[[#This Row],[Date]],'DB Details'!$A:$Q,7)=0,"",VLOOKUP(Table91213[[#This Row],[Date]],'DB Details'!$A:$Q,7))</f>
        <v>55.1</v>
      </c>
      <c r="H280" s="49">
        <f>IF(VLOOKUP(Table91213[[#This Row],[Date]],'DB Details'!$A:$Q,8)=0,"",VLOOKUP(Table91213[[#This Row],[Date]],'DB Details'!$A:$Q,8))</f>
        <v>48</v>
      </c>
      <c r="I280" s="49">
        <f>IF(VLOOKUP(Table91213[[#This Row],[Date]],'DB Details'!$A:$Q,9)=0,"",VLOOKUP(Table91213[[#This Row],[Date]],'DB Details'!$A:$Q,9))</f>
        <v>67</v>
      </c>
      <c r="J280" s="49">
        <f>IF(VLOOKUP(Table91213[[#This Row],[Date]],'DB Details'!$A:$Q,10)=0,"",VLOOKUP(Table91213[[#This Row],[Date]],'DB Details'!$A:$Q,10))</f>
        <v>31.8</v>
      </c>
      <c r="K280" s="49">
        <f>IF(VLOOKUP(Table91213[[#This Row],[Date]],'DB Details'!$A:$Q,11)=0,"",VLOOKUP(Table91213[[#This Row],[Date]],'DB Details'!$A:$Q,11))</f>
        <v>41.5</v>
      </c>
      <c r="L280" s="47">
        <f>IF(VLOOKUP(Table91213[[#This Row],[Date]],'DB Details'!$A:$Q,12)=0,"",VLOOKUP(Table91213[[#This Row],[Date]],'DB Details'!$A:$Q,12))</f>
        <v>45.4</v>
      </c>
    </row>
    <row r="281" spans="1:12" x14ac:dyDescent="0.35">
      <c r="A281" s="50">
        <v>43983</v>
      </c>
      <c r="B281" s="47">
        <f>IF(VLOOKUP(Table91213[[#This Row],[Date]],'DB Details'!$A:$Q,2)=0,"",VLOOKUP(Table91213[[#This Row],[Date]],'DB Details'!$A:$Q,2))</f>
        <v>61.6</v>
      </c>
      <c r="C281" s="48">
        <f>IF(VLOOKUP(Table91213[[#This Row],[Date]],'DB Details'!$A:$Q,3)=0,"",VLOOKUP(Table91213[[#This Row],[Date]],'DB Details'!$A:$Q,3))</f>
        <v>52.9</v>
      </c>
      <c r="D281" s="48">
        <f>IF(VLOOKUP(Table91213[[#This Row],[Date]],'DB Details'!$A:$Q,4)=0,"",VLOOKUP(Table91213[[#This Row],[Date]],'DB Details'!$A:$Q,4))</f>
        <v>41.9</v>
      </c>
      <c r="E281" s="49">
        <f>IF(VLOOKUP(Table91213[[#This Row],[Date]],'DB Details'!$A:$Q,5)=0,"",VLOOKUP(Table91213[[#This Row],[Date]],'DB Details'!$A:$Q,5))</f>
        <v>62.4</v>
      </c>
      <c r="F281" s="48">
        <f>IF(VLOOKUP(Table91213[[#This Row],[Date]],'DB Details'!$A:$Q,6)=0,"",VLOOKUP(Table91213[[#This Row],[Date]],'DB Details'!$A:$Q,6))</f>
        <v>66</v>
      </c>
      <c r="G281" s="49">
        <f>IF(VLOOKUP(Table91213[[#This Row],[Date]],'DB Details'!$A:$Q,7)=0,"",VLOOKUP(Table91213[[#This Row],[Date]],'DB Details'!$A:$Q,7))</f>
        <v>55.9</v>
      </c>
      <c r="H281" s="49">
        <f>IF(VLOOKUP(Table91213[[#This Row],[Date]],'DB Details'!$A:$Q,8)=0,"",VLOOKUP(Table91213[[#This Row],[Date]],'DB Details'!$A:$Q,8))</f>
        <v>60.7</v>
      </c>
      <c r="I281" s="49">
        <f>IF(VLOOKUP(Table91213[[#This Row],[Date]],'DB Details'!$A:$Q,9)=0,"",VLOOKUP(Table91213[[#This Row],[Date]],'DB Details'!$A:$Q,9))</f>
        <v>57.5</v>
      </c>
      <c r="J281" s="49">
        <f>IF(VLOOKUP(Table91213[[#This Row],[Date]],'DB Details'!$A:$Q,10)=0,"",VLOOKUP(Table91213[[#This Row],[Date]],'DB Details'!$A:$Q,10))</f>
        <v>43.1</v>
      </c>
      <c r="K281" s="49">
        <f>IF(VLOOKUP(Table91213[[#This Row],[Date]],'DB Details'!$A:$Q,11)=0,"",VLOOKUP(Table91213[[#This Row],[Date]],'DB Details'!$A:$Q,11))</f>
        <v>58.9</v>
      </c>
      <c r="L281" s="47">
        <f>IF(VLOOKUP(Table91213[[#This Row],[Date]],'DB Details'!$A:$Q,12)=0,"",VLOOKUP(Table91213[[#This Row],[Date]],'DB Details'!$A:$Q,12))</f>
        <v>57.1</v>
      </c>
    </row>
    <row r="282" spans="1:12" x14ac:dyDescent="0.35">
      <c r="A282" s="50">
        <v>44013</v>
      </c>
      <c r="B282" s="47">
        <f>IF(VLOOKUP(Table91213[[#This Row],[Date]],'DB Details'!$A:$Q,2)=0,"",VLOOKUP(Table91213[[#This Row],[Date]],'DB Details'!$A:$Q,2))</f>
        <v>67.7</v>
      </c>
      <c r="C282" s="48">
        <f>IF(VLOOKUP(Table91213[[#This Row],[Date]],'DB Details'!$A:$Q,3)=0,"",VLOOKUP(Table91213[[#This Row],[Date]],'DB Details'!$A:$Q,3))</f>
        <v>46.3</v>
      </c>
      <c r="D282" s="48">
        <f>IF(VLOOKUP(Table91213[[#This Row],[Date]],'DB Details'!$A:$Q,4)=0,"",VLOOKUP(Table91213[[#This Row],[Date]],'DB Details'!$A:$Q,4))</f>
        <v>55.9</v>
      </c>
      <c r="E282" s="49">
        <f>IF(VLOOKUP(Table91213[[#This Row],[Date]],'DB Details'!$A:$Q,5)=0,"",VLOOKUP(Table91213[[#This Row],[Date]],'DB Details'!$A:$Q,5))</f>
        <v>57.6</v>
      </c>
      <c r="F282" s="48">
        <f>IF(VLOOKUP(Table91213[[#This Row],[Date]],'DB Details'!$A:$Q,6)=0,"",VLOOKUP(Table91213[[#This Row],[Date]],'DB Details'!$A:$Q,6))</f>
        <v>67.2</v>
      </c>
      <c r="G282" s="49">
        <f>IF(VLOOKUP(Table91213[[#This Row],[Date]],'DB Details'!$A:$Q,7)=0,"",VLOOKUP(Table91213[[#This Row],[Date]],'DB Details'!$A:$Q,7))</f>
        <v>50</v>
      </c>
      <c r="H282" s="49">
        <f>IF(VLOOKUP(Table91213[[#This Row],[Date]],'DB Details'!$A:$Q,8)=0,"",VLOOKUP(Table91213[[#This Row],[Date]],'DB Details'!$A:$Q,8))</f>
        <v>52</v>
      </c>
      <c r="I282" s="49">
        <f>IF(VLOOKUP(Table91213[[#This Row],[Date]],'DB Details'!$A:$Q,9)=0,"",VLOOKUP(Table91213[[#This Row],[Date]],'DB Details'!$A:$Q,9))</f>
        <v>55.2</v>
      </c>
      <c r="J282" s="49">
        <f>IF(VLOOKUP(Table91213[[#This Row],[Date]],'DB Details'!$A:$Q,10)=0,"",VLOOKUP(Table91213[[#This Row],[Date]],'DB Details'!$A:$Q,10))</f>
        <v>42.1</v>
      </c>
      <c r="K282" s="49">
        <f>IF(VLOOKUP(Table91213[[#This Row],[Date]],'DB Details'!$A:$Q,11)=0,"",VLOOKUP(Table91213[[#This Row],[Date]],'DB Details'!$A:$Q,11))</f>
        <v>49.3</v>
      </c>
      <c r="L282" s="47">
        <f>IF(VLOOKUP(Table91213[[#This Row],[Date]],'DB Details'!$A:$Q,12)=0,"",VLOOKUP(Table91213[[#This Row],[Date]],'DB Details'!$A:$Q,12))</f>
        <v>58.1</v>
      </c>
    </row>
    <row r="283" spans="1:12" x14ac:dyDescent="0.35">
      <c r="A283" s="50">
        <v>44044</v>
      </c>
      <c r="B283" s="47">
        <f>IF(VLOOKUP(Table91213[[#This Row],[Date]],'DB Details'!$A:$Q,2)=0,"",VLOOKUP(Table91213[[#This Row],[Date]],'DB Details'!$A:$Q,2))</f>
        <v>56.8</v>
      </c>
      <c r="C283" s="48">
        <f>IF(VLOOKUP(Table91213[[#This Row],[Date]],'DB Details'!$A:$Q,3)=0,"",VLOOKUP(Table91213[[#This Row],[Date]],'DB Details'!$A:$Q,3))</f>
        <v>50.8</v>
      </c>
      <c r="D283" s="48">
        <f>IF(VLOOKUP(Table91213[[#This Row],[Date]],'DB Details'!$A:$Q,4)=0,"",VLOOKUP(Table91213[[#This Row],[Date]],'DB Details'!$A:$Q,4))</f>
        <v>56.6</v>
      </c>
      <c r="E283" s="49">
        <f>IF(VLOOKUP(Table91213[[#This Row],[Date]],'DB Details'!$A:$Q,5)=0,"",VLOOKUP(Table91213[[#This Row],[Date]],'DB Details'!$A:$Q,5))</f>
        <v>64.2</v>
      </c>
      <c r="F283" s="48">
        <f>IF(VLOOKUP(Table91213[[#This Row],[Date]],'DB Details'!$A:$Q,6)=0,"",VLOOKUP(Table91213[[#This Row],[Date]],'DB Details'!$A:$Q,6))</f>
        <v>62.4</v>
      </c>
      <c r="G283" s="49">
        <f>IF(VLOOKUP(Table91213[[#This Row],[Date]],'DB Details'!$A:$Q,7)=0,"",VLOOKUP(Table91213[[#This Row],[Date]],'DB Details'!$A:$Q,7))</f>
        <v>52.5</v>
      </c>
      <c r="H283" s="49">
        <f>IF(VLOOKUP(Table91213[[#This Row],[Date]],'DB Details'!$A:$Q,8)=0,"",VLOOKUP(Table91213[[#This Row],[Date]],'DB Details'!$A:$Q,8))</f>
        <v>45.8</v>
      </c>
      <c r="I283" s="49">
        <f>IF(VLOOKUP(Table91213[[#This Row],[Date]],'DB Details'!$A:$Q,9)=0,"",VLOOKUP(Table91213[[#This Row],[Date]],'DB Details'!$A:$Q,9))</f>
        <v>60.5</v>
      </c>
      <c r="J283" s="49">
        <f>IF(VLOOKUP(Table91213[[#This Row],[Date]],'DB Details'!$A:$Q,10)=0,"",VLOOKUP(Table91213[[#This Row],[Date]],'DB Details'!$A:$Q,10))</f>
        <v>47.9</v>
      </c>
      <c r="K283" s="49">
        <f>IF(VLOOKUP(Table91213[[#This Row],[Date]],'DB Details'!$A:$Q,11)=0,"",VLOOKUP(Table91213[[#This Row],[Date]],'DB Details'!$A:$Q,11))</f>
        <v>55.8</v>
      </c>
      <c r="L283" s="47">
        <f>IF(VLOOKUP(Table91213[[#This Row],[Date]],'DB Details'!$A:$Q,12)=0,"",VLOOKUP(Table91213[[#This Row],[Date]],'DB Details'!$A:$Q,12))</f>
        <v>56.9</v>
      </c>
    </row>
    <row r="284" spans="1:12" x14ac:dyDescent="0.35">
      <c r="A284" s="50">
        <v>44075</v>
      </c>
      <c r="B284" s="47">
        <f>IF(VLOOKUP(Table91213[[#This Row],[Date]],'DB Details'!$A:$Q,2)=0,"",VLOOKUP(Table91213[[#This Row],[Date]],'DB Details'!$A:$Q,2))</f>
        <v>61.5</v>
      </c>
      <c r="C284" s="48">
        <f>IF(VLOOKUP(Table91213[[#This Row],[Date]],'DB Details'!$A:$Q,3)=0,"",VLOOKUP(Table91213[[#This Row],[Date]],'DB Details'!$A:$Q,3))</f>
        <v>46.6</v>
      </c>
      <c r="D284" s="48">
        <f>IF(VLOOKUP(Table91213[[#This Row],[Date]],'DB Details'!$A:$Q,4)=0,"",VLOOKUP(Table91213[[#This Row],[Date]],'DB Details'!$A:$Q,4))</f>
        <v>50.1</v>
      </c>
      <c r="E284" s="49">
        <f>IF(VLOOKUP(Table91213[[#This Row],[Date]],'DB Details'!$A:$Q,5)=0,"",VLOOKUP(Table91213[[#This Row],[Date]],'DB Details'!$A:$Q,5))</f>
        <v>59</v>
      </c>
      <c r="F284" s="48">
        <f>IF(VLOOKUP(Table91213[[#This Row],[Date]],'DB Details'!$A:$Q,6)=0,"",VLOOKUP(Table91213[[#This Row],[Date]],'DB Details'!$A:$Q,6))</f>
        <v>63</v>
      </c>
      <c r="G284" s="49">
        <f>IF(VLOOKUP(Table91213[[#This Row],[Date]],'DB Details'!$A:$Q,7)=0,"",VLOOKUP(Table91213[[#This Row],[Date]],'DB Details'!$A:$Q,7))</f>
        <v>55.4</v>
      </c>
      <c r="H284" s="49">
        <f>IF(VLOOKUP(Table91213[[#This Row],[Date]],'DB Details'!$A:$Q,8)=0,"",VLOOKUP(Table91213[[#This Row],[Date]],'DB Details'!$A:$Q,8))</f>
        <v>48.8</v>
      </c>
      <c r="I284" s="49">
        <f>IF(VLOOKUP(Table91213[[#This Row],[Date]],'DB Details'!$A:$Q,9)=0,"",VLOOKUP(Table91213[[#This Row],[Date]],'DB Details'!$A:$Q,9))</f>
        <v>54.9</v>
      </c>
      <c r="J284" s="49">
        <f>IF(VLOOKUP(Table91213[[#This Row],[Date]],'DB Details'!$A:$Q,10)=0,"",VLOOKUP(Table91213[[#This Row],[Date]],'DB Details'!$A:$Q,10))</f>
        <v>51.8</v>
      </c>
      <c r="K284" s="49">
        <f>IF(VLOOKUP(Table91213[[#This Row],[Date]],'DB Details'!$A:$Q,11)=0,"",VLOOKUP(Table91213[[#This Row],[Date]],'DB Details'!$A:$Q,11))</f>
        <v>52.6</v>
      </c>
      <c r="L284" s="47">
        <f>IF(VLOOKUP(Table91213[[#This Row],[Date]],'DB Details'!$A:$Q,12)=0,"",VLOOKUP(Table91213[[#This Row],[Date]],'DB Details'!$A:$Q,12))</f>
        <v>57.8</v>
      </c>
    </row>
    <row r="285" spans="1:12" x14ac:dyDescent="0.35">
      <c r="A285" s="50">
        <v>44105</v>
      </c>
      <c r="B285" s="47">
        <f>IF(VLOOKUP(Table91213[[#This Row],[Date]],'DB Details'!$A:$Q,2)=0,"",VLOOKUP(Table91213[[#This Row],[Date]],'DB Details'!$A:$Q,2))</f>
        <v>58.8</v>
      </c>
      <c r="C285" s="48">
        <f>IF(VLOOKUP(Table91213[[#This Row],[Date]],'DB Details'!$A:$Q,3)=0,"",VLOOKUP(Table91213[[#This Row],[Date]],'DB Details'!$A:$Q,3))</f>
        <v>52.5</v>
      </c>
      <c r="D285" s="48">
        <f>IF(VLOOKUP(Table91213[[#This Row],[Date]],'DB Details'!$A:$Q,4)=0,"",VLOOKUP(Table91213[[#This Row],[Date]],'DB Details'!$A:$Q,4))</f>
        <v>54.4</v>
      </c>
      <c r="E285" s="49">
        <f>IF(VLOOKUP(Table91213[[#This Row],[Date]],'DB Details'!$A:$Q,5)=0,"",VLOOKUP(Table91213[[#This Row],[Date]],'DB Details'!$A:$Q,5))</f>
        <v>63.9</v>
      </c>
      <c r="F285" s="48">
        <f>IF(VLOOKUP(Table91213[[#This Row],[Date]],'DB Details'!$A:$Q,6)=0,"",VLOOKUP(Table91213[[#This Row],[Date]],'DB Details'!$A:$Q,6))</f>
        <v>61.2</v>
      </c>
      <c r="G285" s="49">
        <f>IF(VLOOKUP(Table91213[[#This Row],[Date]],'DB Details'!$A:$Q,7)=0,"",VLOOKUP(Table91213[[#This Row],[Date]],'DB Details'!$A:$Q,7))</f>
        <v>51.1</v>
      </c>
      <c r="H285" s="49">
        <f>IF(VLOOKUP(Table91213[[#This Row],[Date]],'DB Details'!$A:$Q,8)=0,"",VLOOKUP(Table91213[[#This Row],[Date]],'DB Details'!$A:$Q,8))</f>
        <v>53.1</v>
      </c>
      <c r="I285" s="49">
        <f>IF(VLOOKUP(Table91213[[#This Row],[Date]],'DB Details'!$A:$Q,9)=0,"",VLOOKUP(Table91213[[#This Row],[Date]],'DB Details'!$A:$Q,9))</f>
        <v>56.2</v>
      </c>
      <c r="J285" s="49">
        <f>IF(VLOOKUP(Table91213[[#This Row],[Date]],'DB Details'!$A:$Q,10)=0,"",VLOOKUP(Table91213[[#This Row],[Date]],'DB Details'!$A:$Q,10))</f>
        <v>50.1</v>
      </c>
      <c r="K285" s="49">
        <f>IF(VLOOKUP(Table91213[[#This Row],[Date]],'DB Details'!$A:$Q,11)=0,"",VLOOKUP(Table91213[[#This Row],[Date]],'DB Details'!$A:$Q,11))</f>
        <v>53.7</v>
      </c>
      <c r="L285" s="47">
        <f>IF(VLOOKUP(Table91213[[#This Row],[Date]],'DB Details'!$A:$Q,12)=0,"",VLOOKUP(Table91213[[#This Row],[Date]],'DB Details'!$A:$Q,12))</f>
        <v>56.6</v>
      </c>
    </row>
    <row r="286" spans="1:12" x14ac:dyDescent="0.35">
      <c r="A286" s="50">
        <v>44136</v>
      </c>
      <c r="B286" s="47">
        <f>IF(VLOOKUP(Table91213[[#This Row],[Date]],'DB Details'!$A:$Q,2)=0,"",VLOOKUP(Table91213[[#This Row],[Date]],'DB Details'!$A:$Q,2))</f>
        <v>57.2</v>
      </c>
      <c r="C286" s="48">
        <f>IF(VLOOKUP(Table91213[[#This Row],[Date]],'DB Details'!$A:$Q,3)=0,"",VLOOKUP(Table91213[[#This Row],[Date]],'DB Details'!$A:$Q,3))</f>
        <v>55</v>
      </c>
      <c r="D286" s="48">
        <f>IF(VLOOKUP(Table91213[[#This Row],[Date]],'DB Details'!$A:$Q,4)=0,"",VLOOKUP(Table91213[[#This Row],[Date]],'DB Details'!$A:$Q,4))</f>
        <v>50.7</v>
      </c>
      <c r="E286" s="49">
        <f>IF(VLOOKUP(Table91213[[#This Row],[Date]],'DB Details'!$A:$Q,5)=0,"",VLOOKUP(Table91213[[#This Row],[Date]],'DB Details'!$A:$Q,5))</f>
        <v>66.099999999999994</v>
      </c>
      <c r="F286" s="48">
        <f>IF(VLOOKUP(Table91213[[#This Row],[Date]],'DB Details'!$A:$Q,6)=0,"",VLOOKUP(Table91213[[#This Row],[Date]],'DB Details'!$A:$Q,6))</f>
        <v>58</v>
      </c>
      <c r="G286" s="49">
        <f>IF(VLOOKUP(Table91213[[#This Row],[Date]],'DB Details'!$A:$Q,7)=0,"",VLOOKUP(Table91213[[#This Row],[Date]],'DB Details'!$A:$Q,7))</f>
        <v>49.9</v>
      </c>
      <c r="H286" s="49">
        <f>IF(VLOOKUP(Table91213[[#This Row],[Date]],'DB Details'!$A:$Q,8)=0,"",VLOOKUP(Table91213[[#This Row],[Date]],'DB Details'!$A:$Q,8))</f>
        <v>49.3</v>
      </c>
      <c r="I286" s="49">
        <f>IF(VLOOKUP(Table91213[[#This Row],[Date]],'DB Details'!$A:$Q,9)=0,"",VLOOKUP(Table91213[[#This Row],[Date]],'DB Details'!$A:$Q,9))</f>
        <v>57</v>
      </c>
      <c r="J286" s="49">
        <f>IF(VLOOKUP(Table91213[[#This Row],[Date]],'DB Details'!$A:$Q,10)=0,"",VLOOKUP(Table91213[[#This Row],[Date]],'DB Details'!$A:$Q,10))</f>
        <v>51.5</v>
      </c>
      <c r="K286" s="49">
        <f>IF(VLOOKUP(Table91213[[#This Row],[Date]],'DB Details'!$A:$Q,11)=0,"",VLOOKUP(Table91213[[#This Row],[Date]],'DB Details'!$A:$Q,11))</f>
        <v>50.4</v>
      </c>
      <c r="L286" s="47">
        <f>IF(VLOOKUP(Table91213[[#This Row],[Date]],'DB Details'!$A:$Q,12)=0,"",VLOOKUP(Table91213[[#This Row],[Date]],'DB Details'!$A:$Q,12))</f>
        <v>55.9</v>
      </c>
    </row>
    <row r="287" spans="1:12" x14ac:dyDescent="0.35">
      <c r="A287" s="50">
        <v>44166</v>
      </c>
      <c r="B287" s="47">
        <f>IF(VLOOKUP(Table91213[[#This Row],[Date]],'DB Details'!$A:$Q,2)=0,"",VLOOKUP(Table91213[[#This Row],[Date]],'DB Details'!$A:$Q,2))</f>
        <v>58.5</v>
      </c>
      <c r="C287" s="48">
        <f>IF(VLOOKUP(Table91213[[#This Row],[Date]],'DB Details'!$A:$Q,3)=0,"",VLOOKUP(Table91213[[#This Row],[Date]],'DB Details'!$A:$Q,3))</f>
        <v>51.8</v>
      </c>
      <c r="D287" s="48">
        <f>IF(VLOOKUP(Table91213[[#This Row],[Date]],'DB Details'!$A:$Q,4)=0,"",VLOOKUP(Table91213[[#This Row],[Date]],'DB Details'!$A:$Q,4))</f>
        <v>48.7</v>
      </c>
      <c r="E287" s="49">
        <f>IF(VLOOKUP(Table91213[[#This Row],[Date]],'DB Details'!$A:$Q,5)=0,"",VLOOKUP(Table91213[[#This Row],[Date]],'DB Details'!$A:$Q,5))</f>
        <v>64.8</v>
      </c>
      <c r="F287" s="48">
        <f>IF(VLOOKUP(Table91213[[#This Row],[Date]],'DB Details'!$A:$Q,6)=0,"",VLOOKUP(Table91213[[#This Row],[Date]],'DB Details'!$A:$Q,6))</f>
        <v>59.4</v>
      </c>
      <c r="G287" s="49">
        <f>IF(VLOOKUP(Table91213[[#This Row],[Date]],'DB Details'!$A:$Q,7)=0,"",VLOOKUP(Table91213[[#This Row],[Date]],'DB Details'!$A:$Q,7))</f>
        <v>47.7</v>
      </c>
      <c r="H287" s="49">
        <f>IF(VLOOKUP(Table91213[[#This Row],[Date]],'DB Details'!$A:$Q,8)=0,"",VLOOKUP(Table91213[[#This Row],[Date]],'DB Details'!$A:$Q,8))</f>
        <v>58.2</v>
      </c>
      <c r="I287" s="49">
        <f>IF(VLOOKUP(Table91213[[#This Row],[Date]],'DB Details'!$A:$Q,9)=0,"",VLOOKUP(Table91213[[#This Row],[Date]],'DB Details'!$A:$Q,9))</f>
        <v>62.8</v>
      </c>
      <c r="J287" s="49">
        <f>IF(VLOOKUP(Table91213[[#This Row],[Date]],'DB Details'!$A:$Q,10)=0,"",VLOOKUP(Table91213[[#This Row],[Date]],'DB Details'!$A:$Q,10))</f>
        <v>48.2</v>
      </c>
      <c r="K287" s="49">
        <f>IF(VLOOKUP(Table91213[[#This Row],[Date]],'DB Details'!$A:$Q,11)=0,"",VLOOKUP(Table91213[[#This Row],[Date]],'DB Details'!$A:$Q,11))</f>
        <v>57.3</v>
      </c>
      <c r="L287" s="47">
        <f>IF(VLOOKUP(Table91213[[#This Row],[Date]],'DB Details'!$A:$Q,12)=0,"",VLOOKUP(Table91213[[#This Row],[Date]],'DB Details'!$A:$Q,12))</f>
        <v>57.2</v>
      </c>
    </row>
    <row r="288" spans="1:12" x14ac:dyDescent="0.35">
      <c r="A288" s="50">
        <v>44197</v>
      </c>
      <c r="B288" s="47">
        <f>IF(VLOOKUP(Table91213[[#This Row],[Date]],'DB Details'!$A:$Q,2)=0,"",VLOOKUP(Table91213[[#This Row],[Date]],'DB Details'!$A:$Q,2))</f>
        <v>61.8</v>
      </c>
      <c r="C288" s="48">
        <f>IF(VLOOKUP(Table91213[[#This Row],[Date]],'DB Details'!$A:$Q,3)=0,"",VLOOKUP(Table91213[[#This Row],[Date]],'DB Details'!$A:$Q,3))</f>
        <v>53.5</v>
      </c>
      <c r="D288" s="48">
        <f>IF(VLOOKUP(Table91213[[#This Row],[Date]],'DB Details'!$A:$Q,4)=0,"",VLOOKUP(Table91213[[#This Row],[Date]],'DB Details'!$A:$Q,4))</f>
        <v>50.9</v>
      </c>
      <c r="E288" s="49">
        <f>IF(VLOOKUP(Table91213[[#This Row],[Date]],'DB Details'!$A:$Q,5)=0,"",VLOOKUP(Table91213[[#This Row],[Date]],'DB Details'!$A:$Q,5))</f>
        <v>64.2</v>
      </c>
      <c r="F288" s="48">
        <f>IF(VLOOKUP(Table91213[[#This Row],[Date]],'DB Details'!$A:$Q,6)=0,"",VLOOKUP(Table91213[[#This Row],[Date]],'DB Details'!$A:$Q,6))</f>
        <v>59.9</v>
      </c>
      <c r="G288" s="49">
        <f>IF(VLOOKUP(Table91213[[#This Row],[Date]],'DB Details'!$A:$Q,7)=0,"",VLOOKUP(Table91213[[#This Row],[Date]],'DB Details'!$A:$Q,7))</f>
        <v>49.7</v>
      </c>
      <c r="H288" s="49">
        <f>IF(VLOOKUP(Table91213[[#This Row],[Date]],'DB Details'!$A:$Q,8)=0,"",VLOOKUP(Table91213[[#This Row],[Date]],'DB Details'!$A:$Q,8))</f>
        <v>49.2</v>
      </c>
      <c r="I288" s="49">
        <f>IF(VLOOKUP(Table91213[[#This Row],[Date]],'DB Details'!$A:$Q,9)=0,"",VLOOKUP(Table91213[[#This Row],[Date]],'DB Details'!$A:$Q,9))</f>
        <v>57.8</v>
      </c>
      <c r="J288" s="49">
        <f>IF(VLOOKUP(Table91213[[#This Row],[Date]],'DB Details'!$A:$Q,10)=0,"",VLOOKUP(Table91213[[#This Row],[Date]],'DB Details'!$A:$Q,10))</f>
        <v>55.2</v>
      </c>
      <c r="K288" s="49">
        <f>IF(VLOOKUP(Table91213[[#This Row],[Date]],'DB Details'!$A:$Q,11)=0,"",VLOOKUP(Table91213[[#This Row],[Date]],'DB Details'!$A:$Q,11))</f>
        <v>47</v>
      </c>
      <c r="L288" s="47">
        <f>IF(VLOOKUP(Table91213[[#This Row],[Date]],'DB Details'!$A:$Q,12)=0,"",VLOOKUP(Table91213[[#This Row],[Date]],'DB Details'!$A:$Q,12))</f>
        <v>58.7</v>
      </c>
    </row>
    <row r="289" spans="1:12" x14ac:dyDescent="0.35">
      <c r="A289" s="50">
        <v>44228</v>
      </c>
      <c r="B289" s="47">
        <f>IF(VLOOKUP(Table91213[[#This Row],[Date]],'DB Details'!$A:$Q,2)=0,"",VLOOKUP(Table91213[[#This Row],[Date]],'DB Details'!$A:$Q,2))</f>
        <v>51.9</v>
      </c>
      <c r="C289" s="48">
        <f>IF(VLOOKUP(Table91213[[#This Row],[Date]],'DB Details'!$A:$Q,3)=0,"",VLOOKUP(Table91213[[#This Row],[Date]],'DB Details'!$A:$Q,3))</f>
        <v>50.5</v>
      </c>
      <c r="D289" s="48">
        <f>IF(VLOOKUP(Table91213[[#This Row],[Date]],'DB Details'!$A:$Q,4)=0,"",VLOOKUP(Table91213[[#This Row],[Date]],'DB Details'!$A:$Q,4))</f>
        <v>55.2</v>
      </c>
      <c r="E289" s="49">
        <f>IF(VLOOKUP(Table91213[[#This Row],[Date]],'DB Details'!$A:$Q,5)=0,"",VLOOKUP(Table91213[[#This Row],[Date]],'DB Details'!$A:$Q,5))</f>
        <v>71.8</v>
      </c>
      <c r="F289" s="48">
        <f>IF(VLOOKUP(Table91213[[#This Row],[Date]],'DB Details'!$A:$Q,6)=0,"",VLOOKUP(Table91213[[#This Row],[Date]],'DB Details'!$A:$Q,6))</f>
        <v>55.5</v>
      </c>
      <c r="G289" s="49">
        <f>IF(VLOOKUP(Table91213[[#This Row],[Date]],'DB Details'!$A:$Q,7)=0,"",VLOOKUP(Table91213[[#This Row],[Date]],'DB Details'!$A:$Q,7))</f>
        <v>54.3</v>
      </c>
      <c r="H289" s="49">
        <f>IF(VLOOKUP(Table91213[[#This Row],[Date]],'DB Details'!$A:$Q,8)=0,"",VLOOKUP(Table91213[[#This Row],[Date]],'DB Details'!$A:$Q,8))</f>
        <v>58.9</v>
      </c>
      <c r="I289" s="49">
        <f>IF(VLOOKUP(Table91213[[#This Row],[Date]],'DB Details'!$A:$Q,9)=0,"",VLOOKUP(Table91213[[#This Row],[Date]],'DB Details'!$A:$Q,9))</f>
        <v>60.8</v>
      </c>
      <c r="J289" s="49">
        <f>IF(VLOOKUP(Table91213[[#This Row],[Date]],'DB Details'!$A:$Q,10)=0,"",VLOOKUP(Table91213[[#This Row],[Date]],'DB Details'!$A:$Q,10))</f>
        <v>52.7</v>
      </c>
      <c r="K289" s="49">
        <f>IF(VLOOKUP(Table91213[[#This Row],[Date]],'DB Details'!$A:$Q,11)=0,"",VLOOKUP(Table91213[[#This Row],[Date]],'DB Details'!$A:$Q,11))</f>
        <v>57.6</v>
      </c>
      <c r="L289" s="47">
        <f>IF(VLOOKUP(Table91213[[#This Row],[Date]],'DB Details'!$A:$Q,12)=0,"",VLOOKUP(Table91213[[#This Row],[Date]],'DB Details'!$A:$Q,12))</f>
        <v>55.3</v>
      </c>
    </row>
    <row r="290" spans="1:12" x14ac:dyDescent="0.35">
      <c r="A290" s="50">
        <v>44256</v>
      </c>
      <c r="B290" s="47">
        <f>IF(VLOOKUP(Table91213[[#This Row],[Date]],'DB Details'!$A:$Q,2)=0,"",VLOOKUP(Table91213[[#This Row],[Date]],'DB Details'!$A:$Q,2))</f>
        <v>67.2</v>
      </c>
      <c r="C290" s="48">
        <f>IF(VLOOKUP(Table91213[[#This Row],[Date]],'DB Details'!$A:$Q,3)=0,"",VLOOKUP(Table91213[[#This Row],[Date]],'DB Details'!$A:$Q,3))</f>
        <v>74</v>
      </c>
      <c r="D290" s="48">
        <f>IF(VLOOKUP(Table91213[[#This Row],[Date]],'DB Details'!$A:$Q,4)=0,"",VLOOKUP(Table91213[[#This Row],[Date]],'DB Details'!$A:$Q,4))</f>
        <v>50.2</v>
      </c>
      <c r="E290" s="49">
        <f>IF(VLOOKUP(Table91213[[#This Row],[Date]],'DB Details'!$A:$Q,5)=0,"",VLOOKUP(Table91213[[#This Row],[Date]],'DB Details'!$A:$Q,5))</f>
        <v>74</v>
      </c>
      <c r="F290" s="48">
        <f>IF(VLOOKUP(Table91213[[#This Row],[Date]],'DB Details'!$A:$Q,6)=0,"",VLOOKUP(Table91213[[#This Row],[Date]],'DB Details'!$A:$Q,6))</f>
        <v>69.400000000000006</v>
      </c>
      <c r="G290" s="49">
        <f>IF(VLOOKUP(Table91213[[#This Row],[Date]],'DB Details'!$A:$Q,7)=0,"",VLOOKUP(Table91213[[#This Row],[Date]],'DB Details'!$A:$Q,7))</f>
        <v>52.7</v>
      </c>
      <c r="H290" s="49">
        <f>IF(VLOOKUP(Table91213[[#This Row],[Date]],'DB Details'!$A:$Q,8)=0,"",VLOOKUP(Table91213[[#This Row],[Date]],'DB Details'!$A:$Q,8))</f>
        <v>54</v>
      </c>
      <c r="I290" s="49">
        <f>IF(VLOOKUP(Table91213[[#This Row],[Date]],'DB Details'!$A:$Q,9)=0,"",VLOOKUP(Table91213[[#This Row],[Date]],'DB Details'!$A:$Q,9))</f>
        <v>61</v>
      </c>
      <c r="J290" s="49">
        <f>IF(VLOOKUP(Table91213[[#This Row],[Date]],'DB Details'!$A:$Q,10)=0,"",VLOOKUP(Table91213[[#This Row],[Date]],'DB Details'!$A:$Q,10))</f>
        <v>57.2</v>
      </c>
      <c r="K290" s="49">
        <f>IF(VLOOKUP(Table91213[[#This Row],[Date]],'DB Details'!$A:$Q,11)=0,"",VLOOKUP(Table91213[[#This Row],[Date]],'DB Details'!$A:$Q,11))</f>
        <v>55.5</v>
      </c>
      <c r="L290" s="47">
        <f>IF(VLOOKUP(Table91213[[#This Row],[Date]],'DB Details'!$A:$Q,12)=0,"",VLOOKUP(Table91213[[#This Row],[Date]],'DB Details'!$A:$Q,12))</f>
        <v>63.7</v>
      </c>
    </row>
    <row r="291" spans="1:12" x14ac:dyDescent="0.35">
      <c r="A291" s="50">
        <v>44287</v>
      </c>
      <c r="B291" s="47">
        <f>IF(VLOOKUP(Table91213[[#This Row],[Date]],'DB Details'!$A:$Q,2)=0,"",VLOOKUP(Table91213[[#This Row],[Date]],'DB Details'!$A:$Q,2))</f>
        <v>63.2</v>
      </c>
      <c r="C291" s="48">
        <f>IF(VLOOKUP(Table91213[[#This Row],[Date]],'DB Details'!$A:$Q,3)=0,"",VLOOKUP(Table91213[[#This Row],[Date]],'DB Details'!$A:$Q,3))</f>
        <v>55.7</v>
      </c>
      <c r="D291" s="48">
        <f>IF(VLOOKUP(Table91213[[#This Row],[Date]],'DB Details'!$A:$Q,4)=0,"",VLOOKUP(Table91213[[#This Row],[Date]],'DB Details'!$A:$Q,4))</f>
        <v>55.7</v>
      </c>
      <c r="E291" s="49">
        <f>IF(VLOOKUP(Table91213[[#This Row],[Date]],'DB Details'!$A:$Q,5)=0,"",VLOOKUP(Table91213[[#This Row],[Date]],'DB Details'!$A:$Q,5))</f>
        <v>76.8</v>
      </c>
      <c r="F291" s="48">
        <f>IF(VLOOKUP(Table91213[[#This Row],[Date]],'DB Details'!$A:$Q,6)=0,"",VLOOKUP(Table91213[[#This Row],[Date]],'DB Details'!$A:$Q,6))</f>
        <v>62.7</v>
      </c>
      <c r="G291" s="49">
        <f>IF(VLOOKUP(Table91213[[#This Row],[Date]],'DB Details'!$A:$Q,7)=0,"",VLOOKUP(Table91213[[#This Row],[Date]],'DB Details'!$A:$Q,7))</f>
        <v>46.8</v>
      </c>
      <c r="H291" s="49">
        <f>IF(VLOOKUP(Table91213[[#This Row],[Date]],'DB Details'!$A:$Q,8)=0,"",VLOOKUP(Table91213[[#This Row],[Date]],'DB Details'!$A:$Q,8))</f>
        <v>49.1</v>
      </c>
      <c r="I291" s="49">
        <f>IF(VLOOKUP(Table91213[[#This Row],[Date]],'DB Details'!$A:$Q,9)=0,"",VLOOKUP(Table91213[[#This Row],[Date]],'DB Details'!$A:$Q,9))</f>
        <v>66.099999999999994</v>
      </c>
      <c r="J291" s="49">
        <f>IF(VLOOKUP(Table91213[[#This Row],[Date]],'DB Details'!$A:$Q,10)=0,"",VLOOKUP(Table91213[[#This Row],[Date]],'DB Details'!$A:$Q,10))</f>
        <v>58.8</v>
      </c>
      <c r="K291" s="49">
        <f>IF(VLOOKUP(Table91213[[#This Row],[Date]],'DB Details'!$A:$Q,11)=0,"",VLOOKUP(Table91213[[#This Row],[Date]],'DB Details'!$A:$Q,11))</f>
        <v>58.6</v>
      </c>
      <c r="L291" s="47">
        <f>IF(VLOOKUP(Table91213[[#This Row],[Date]],'DB Details'!$A:$Q,12)=0,"",VLOOKUP(Table91213[[#This Row],[Date]],'DB Details'!$A:$Q,12))</f>
        <v>62.7</v>
      </c>
    </row>
    <row r="292" spans="1:12" x14ac:dyDescent="0.35">
      <c r="A292" s="50">
        <v>44317</v>
      </c>
      <c r="B292" s="47">
        <f>IF(VLOOKUP(Table91213[[#This Row],[Date]],'DB Details'!$A:$Q,2)=0,"",VLOOKUP(Table91213[[#This Row],[Date]],'DB Details'!$A:$Q,2))</f>
        <v>63.9</v>
      </c>
      <c r="C292" s="48">
        <f>IF(VLOOKUP(Table91213[[#This Row],[Date]],'DB Details'!$A:$Q,3)=0,"",VLOOKUP(Table91213[[#This Row],[Date]],'DB Details'!$A:$Q,3))</f>
        <v>50.4</v>
      </c>
      <c r="D292" s="48">
        <f>IF(VLOOKUP(Table91213[[#This Row],[Date]],'DB Details'!$A:$Q,4)=0,"",VLOOKUP(Table91213[[#This Row],[Date]],'DB Details'!$A:$Q,4))</f>
        <v>61.1</v>
      </c>
      <c r="E292" s="49">
        <f>IF(VLOOKUP(Table91213[[#This Row],[Date]],'DB Details'!$A:$Q,5)=0,"",VLOOKUP(Table91213[[#This Row],[Date]],'DB Details'!$A:$Q,5))</f>
        <v>80.599999999999994</v>
      </c>
      <c r="F292" s="48">
        <f>IF(VLOOKUP(Table91213[[#This Row],[Date]],'DB Details'!$A:$Q,6)=0,"",VLOOKUP(Table91213[[#This Row],[Date]],'DB Details'!$A:$Q,6))</f>
        <v>66.2</v>
      </c>
      <c r="G292" s="49">
        <f>IF(VLOOKUP(Table91213[[#This Row],[Date]],'DB Details'!$A:$Q,7)=0,"",VLOOKUP(Table91213[[#This Row],[Date]],'DB Details'!$A:$Q,7))</f>
        <v>40.5</v>
      </c>
      <c r="H292" s="49">
        <f>IF(VLOOKUP(Table91213[[#This Row],[Date]],'DB Details'!$A:$Q,8)=0,"",VLOOKUP(Table91213[[#This Row],[Date]],'DB Details'!$A:$Q,8))</f>
        <v>51.5</v>
      </c>
      <c r="I292" s="49">
        <f>IF(VLOOKUP(Table91213[[#This Row],[Date]],'DB Details'!$A:$Q,9)=0,"",VLOOKUP(Table91213[[#This Row],[Date]],'DB Details'!$A:$Q,9))</f>
        <v>70.400000000000006</v>
      </c>
      <c r="J292" s="49">
        <f>IF(VLOOKUP(Table91213[[#This Row],[Date]],'DB Details'!$A:$Q,10)=0,"",VLOOKUP(Table91213[[#This Row],[Date]],'DB Details'!$A:$Q,10))</f>
        <v>55.3</v>
      </c>
      <c r="K292" s="49">
        <f>IF(VLOOKUP(Table91213[[#This Row],[Date]],'DB Details'!$A:$Q,11)=0,"",VLOOKUP(Table91213[[#This Row],[Date]],'DB Details'!$A:$Q,11))</f>
        <v>60</v>
      </c>
      <c r="L292" s="47">
        <f>IF(VLOOKUP(Table91213[[#This Row],[Date]],'DB Details'!$A:$Q,12)=0,"",VLOOKUP(Table91213[[#This Row],[Date]],'DB Details'!$A:$Q,12))</f>
        <v>64</v>
      </c>
    </row>
    <row r="293" spans="1:12" x14ac:dyDescent="0.35">
      <c r="A293" s="50">
        <v>44348</v>
      </c>
      <c r="B293" s="47">
        <f>IF(VLOOKUP(Table91213[[#This Row],[Date]],'DB Details'!$A:$Q,2)=0,"",VLOOKUP(Table91213[[#This Row],[Date]],'DB Details'!$A:$Q,2))</f>
        <v>62.1</v>
      </c>
      <c r="C293" s="48">
        <f>IF(VLOOKUP(Table91213[[#This Row],[Date]],'DB Details'!$A:$Q,3)=0,"",VLOOKUP(Table91213[[#This Row],[Date]],'DB Details'!$A:$Q,3))</f>
        <v>58.2</v>
      </c>
      <c r="D293" s="48">
        <f>IF(VLOOKUP(Table91213[[#This Row],[Date]],'DB Details'!$A:$Q,4)=0,"",VLOOKUP(Table91213[[#This Row],[Date]],'DB Details'!$A:$Q,4))</f>
        <v>65.8</v>
      </c>
      <c r="E293" s="49">
        <f>IF(VLOOKUP(Table91213[[#This Row],[Date]],'DB Details'!$A:$Q,5)=0,"",VLOOKUP(Table91213[[#This Row],[Date]],'DB Details'!$A:$Q,5))</f>
        <v>79.5</v>
      </c>
      <c r="F293" s="48">
        <f>IF(VLOOKUP(Table91213[[#This Row],[Date]],'DB Details'!$A:$Q,6)=0,"",VLOOKUP(Table91213[[#This Row],[Date]],'DB Details'!$A:$Q,6))</f>
        <v>60.4</v>
      </c>
      <c r="G293" s="49">
        <f>IF(VLOOKUP(Table91213[[#This Row],[Date]],'DB Details'!$A:$Q,7)=0,"",VLOOKUP(Table91213[[#This Row],[Date]],'DB Details'!$A:$Q,7))</f>
        <v>37.200000000000003</v>
      </c>
      <c r="H293" s="49">
        <f>IF(VLOOKUP(Table91213[[#This Row],[Date]],'DB Details'!$A:$Q,8)=0,"",VLOOKUP(Table91213[[#This Row],[Date]],'DB Details'!$A:$Q,8))</f>
        <v>49.9</v>
      </c>
      <c r="I293" s="49">
        <f>IF(VLOOKUP(Table91213[[#This Row],[Date]],'DB Details'!$A:$Q,9)=0,"",VLOOKUP(Table91213[[#This Row],[Date]],'DB Details'!$A:$Q,9))</f>
        <v>68.5</v>
      </c>
      <c r="J293" s="49">
        <f>IF(VLOOKUP(Table91213[[#This Row],[Date]],'DB Details'!$A:$Q,10)=0,"",VLOOKUP(Table91213[[#This Row],[Date]],'DB Details'!$A:$Q,10))</f>
        <v>49.3</v>
      </c>
      <c r="K293" s="49">
        <f>IF(VLOOKUP(Table91213[[#This Row],[Date]],'DB Details'!$A:$Q,11)=0,"",VLOOKUP(Table91213[[#This Row],[Date]],'DB Details'!$A:$Q,11))</f>
        <v>50.7</v>
      </c>
      <c r="L293" s="47">
        <f>IF(VLOOKUP(Table91213[[#This Row],[Date]],'DB Details'!$A:$Q,12)=0,"",VLOOKUP(Table91213[[#This Row],[Date]],'DB Details'!$A:$Q,12))</f>
        <v>60.1</v>
      </c>
    </row>
    <row r="294" spans="1:12" x14ac:dyDescent="0.35">
      <c r="A294" s="50">
        <v>44378</v>
      </c>
      <c r="B294" s="47">
        <f>IF(VLOOKUP(Table91213[[#This Row],[Date]],'DB Details'!$A:$Q,2)=0,"",VLOOKUP(Table91213[[#This Row],[Date]],'DB Details'!$A:$Q,2))</f>
        <v>63.7</v>
      </c>
      <c r="C294" s="48">
        <f>IF(VLOOKUP(Table91213[[#This Row],[Date]],'DB Details'!$A:$Q,3)=0,"",VLOOKUP(Table91213[[#This Row],[Date]],'DB Details'!$A:$Q,3))</f>
        <v>51.6</v>
      </c>
      <c r="D294" s="48">
        <f>IF(VLOOKUP(Table91213[[#This Row],[Date]],'DB Details'!$A:$Q,4)=0,"",VLOOKUP(Table91213[[#This Row],[Date]],'DB Details'!$A:$Q,4))</f>
        <v>63.5</v>
      </c>
      <c r="E294" s="49">
        <f>IF(VLOOKUP(Table91213[[#This Row],[Date]],'DB Details'!$A:$Q,5)=0,"",VLOOKUP(Table91213[[#This Row],[Date]],'DB Details'!$A:$Q,5))</f>
        <v>82.3</v>
      </c>
      <c r="F294" s="48">
        <f>IF(VLOOKUP(Table91213[[#This Row],[Date]],'DB Details'!$A:$Q,6)=0,"",VLOOKUP(Table91213[[#This Row],[Date]],'DB Details'!$A:$Q,6))</f>
        <v>67</v>
      </c>
      <c r="G294" s="49">
        <f>IF(VLOOKUP(Table91213[[#This Row],[Date]],'DB Details'!$A:$Q,7)=0,"",VLOOKUP(Table91213[[#This Row],[Date]],'DB Details'!$A:$Q,7))</f>
        <v>40.299999999999997</v>
      </c>
      <c r="H294" s="49">
        <f>IF(VLOOKUP(Table91213[[#This Row],[Date]],'DB Details'!$A:$Q,8)=0,"",VLOOKUP(Table91213[[#This Row],[Date]],'DB Details'!$A:$Q,8))</f>
        <v>49.2</v>
      </c>
      <c r="I294" s="49">
        <f>IF(VLOOKUP(Table91213[[#This Row],[Date]],'DB Details'!$A:$Q,9)=0,"",VLOOKUP(Table91213[[#This Row],[Date]],'DB Details'!$A:$Q,9))</f>
        <v>72</v>
      </c>
      <c r="J294" s="49">
        <f>IF(VLOOKUP(Table91213[[#This Row],[Date]],'DB Details'!$A:$Q,10)=0,"",VLOOKUP(Table91213[[#This Row],[Date]],'DB Details'!$A:$Q,10))</f>
        <v>53.8</v>
      </c>
      <c r="K294" s="49">
        <f>IF(VLOOKUP(Table91213[[#This Row],[Date]],'DB Details'!$A:$Q,11)=0,"",VLOOKUP(Table91213[[#This Row],[Date]],'DB Details'!$A:$Q,11))</f>
        <v>65.8</v>
      </c>
      <c r="L294" s="47">
        <f>IF(VLOOKUP(Table91213[[#This Row],[Date]],'DB Details'!$A:$Q,12)=0,"",VLOOKUP(Table91213[[#This Row],[Date]],'DB Details'!$A:$Q,12))</f>
        <v>64.099999999999994</v>
      </c>
    </row>
    <row r="295" spans="1:12" x14ac:dyDescent="0.35">
      <c r="A295" s="50">
        <v>44409</v>
      </c>
      <c r="B295" s="47">
        <f>IF(VLOOKUP(Table91213[[#This Row],[Date]],'DB Details'!$A:$Q,2)=0,"",VLOOKUP(Table91213[[#This Row],[Date]],'DB Details'!$A:$Q,2))</f>
        <v>63.2</v>
      </c>
      <c r="C295" s="48">
        <f>IF(VLOOKUP(Table91213[[#This Row],[Date]],'DB Details'!$A:$Q,3)=0,"",VLOOKUP(Table91213[[#This Row],[Date]],'DB Details'!$A:$Q,3))</f>
        <v>48.7</v>
      </c>
      <c r="D295" s="48">
        <f>IF(VLOOKUP(Table91213[[#This Row],[Date]],'DB Details'!$A:$Q,4)=0,"",VLOOKUP(Table91213[[#This Row],[Date]],'DB Details'!$A:$Q,4))</f>
        <v>61.3</v>
      </c>
      <c r="E295" s="49">
        <f>IF(VLOOKUP(Table91213[[#This Row],[Date]],'DB Details'!$A:$Q,5)=0,"",VLOOKUP(Table91213[[#This Row],[Date]],'DB Details'!$A:$Q,5))</f>
        <v>75.400000000000006</v>
      </c>
      <c r="F295" s="48">
        <f>IF(VLOOKUP(Table91213[[#This Row],[Date]],'DB Details'!$A:$Q,6)=0,"",VLOOKUP(Table91213[[#This Row],[Date]],'DB Details'!$A:$Q,6))</f>
        <v>60.1</v>
      </c>
      <c r="G295" s="49">
        <f>IF(VLOOKUP(Table91213[[#This Row],[Date]],'DB Details'!$A:$Q,7)=0,"",VLOOKUP(Table91213[[#This Row],[Date]],'DB Details'!$A:$Q,7))</f>
        <v>41.4</v>
      </c>
      <c r="H295" s="49">
        <f>IF(VLOOKUP(Table91213[[#This Row],[Date]],'DB Details'!$A:$Q,8)=0,"",VLOOKUP(Table91213[[#This Row],[Date]],'DB Details'!$A:$Q,8))</f>
        <v>46.9</v>
      </c>
      <c r="I295" s="49">
        <f>IF(VLOOKUP(Table91213[[#This Row],[Date]],'DB Details'!$A:$Q,9)=0,"",VLOOKUP(Table91213[[#This Row],[Date]],'DB Details'!$A:$Q,9))</f>
        <v>69.599999999999994</v>
      </c>
      <c r="J295" s="49">
        <f>IF(VLOOKUP(Table91213[[#This Row],[Date]],'DB Details'!$A:$Q,10)=0,"",VLOOKUP(Table91213[[#This Row],[Date]],'DB Details'!$A:$Q,10))</f>
        <v>53.7</v>
      </c>
      <c r="K295" s="49">
        <f>IF(VLOOKUP(Table91213[[#This Row],[Date]],'DB Details'!$A:$Q,11)=0,"",VLOOKUP(Table91213[[#This Row],[Date]],'DB Details'!$A:$Q,11))</f>
        <v>60.6</v>
      </c>
      <c r="L295" s="47">
        <f>IF(VLOOKUP(Table91213[[#This Row],[Date]],'DB Details'!$A:$Q,12)=0,"",VLOOKUP(Table91213[[#This Row],[Date]],'DB Details'!$A:$Q,12))</f>
        <v>61.7</v>
      </c>
    </row>
    <row r="296" spans="1:12" x14ac:dyDescent="0.35">
      <c r="A296" s="50">
        <v>44440</v>
      </c>
      <c r="B296" s="47">
        <f>IF(VLOOKUP(Table91213[[#This Row],[Date]],'DB Details'!$A:$Q,2)=0,"",VLOOKUP(Table91213[[#This Row],[Date]],'DB Details'!$A:$Q,2))</f>
        <v>63.5</v>
      </c>
      <c r="C296" s="48">
        <f>IF(VLOOKUP(Table91213[[#This Row],[Date]],'DB Details'!$A:$Q,3)=0,"",VLOOKUP(Table91213[[#This Row],[Date]],'DB Details'!$A:$Q,3))</f>
        <v>47.7</v>
      </c>
      <c r="D296" s="48">
        <f>IF(VLOOKUP(Table91213[[#This Row],[Date]],'DB Details'!$A:$Q,4)=0,"",VLOOKUP(Table91213[[#This Row],[Date]],'DB Details'!$A:$Q,4))</f>
        <v>61.9</v>
      </c>
      <c r="E296" s="49">
        <f>IF(VLOOKUP(Table91213[[#This Row],[Date]],'DB Details'!$A:$Q,5)=0,"",VLOOKUP(Table91213[[#This Row],[Date]],'DB Details'!$A:$Q,5))</f>
        <v>77.5</v>
      </c>
      <c r="F296" s="48">
        <f>IF(VLOOKUP(Table91213[[#This Row],[Date]],'DB Details'!$A:$Q,6)=0,"",VLOOKUP(Table91213[[#This Row],[Date]],'DB Details'!$A:$Q,6))</f>
        <v>62.3</v>
      </c>
      <c r="G296" s="49">
        <f>IF(VLOOKUP(Table91213[[#This Row],[Date]],'DB Details'!$A:$Q,7)=0,"",VLOOKUP(Table91213[[#This Row],[Date]],'DB Details'!$A:$Q,7))</f>
        <v>46.3</v>
      </c>
      <c r="H296" s="49">
        <f>IF(VLOOKUP(Table91213[[#This Row],[Date]],'DB Details'!$A:$Q,8)=0,"",VLOOKUP(Table91213[[#This Row],[Date]],'DB Details'!$A:$Q,8))</f>
        <v>46.1</v>
      </c>
      <c r="I296" s="49">
        <f>IF(VLOOKUP(Table91213[[#This Row],[Date]],'DB Details'!$A:$Q,9)=0,"",VLOOKUP(Table91213[[#This Row],[Date]],'DB Details'!$A:$Q,9))</f>
        <v>68.8</v>
      </c>
      <c r="J296" s="49">
        <f>IF(VLOOKUP(Table91213[[#This Row],[Date]],'DB Details'!$A:$Q,10)=0,"",VLOOKUP(Table91213[[#This Row],[Date]],'DB Details'!$A:$Q,10))</f>
        <v>53</v>
      </c>
      <c r="K296" s="49">
        <f>IF(VLOOKUP(Table91213[[#This Row],[Date]],'DB Details'!$A:$Q,11)=0,"",VLOOKUP(Table91213[[#This Row],[Date]],'DB Details'!$A:$Q,11))</f>
        <v>59.5</v>
      </c>
      <c r="L296" s="47">
        <f>IF(VLOOKUP(Table91213[[#This Row],[Date]],'DB Details'!$A:$Q,12)=0,"",VLOOKUP(Table91213[[#This Row],[Date]],'DB Details'!$A:$Q,12))</f>
        <v>61.9</v>
      </c>
    </row>
    <row r="297" spans="1:12" x14ac:dyDescent="0.35">
      <c r="A297" s="50">
        <v>44470</v>
      </c>
      <c r="B297" s="47">
        <f>IF(VLOOKUP(Table91213[[#This Row],[Date]],'DB Details'!$A:$Q,2)=0,"",VLOOKUP(Table91213[[#This Row],[Date]],'DB Details'!$A:$Q,2))</f>
        <v>69.7</v>
      </c>
      <c r="C297" s="48">
        <f>IF(VLOOKUP(Table91213[[#This Row],[Date]],'DB Details'!$A:$Q,3)=0,"",VLOOKUP(Table91213[[#This Row],[Date]],'DB Details'!$A:$Q,3))</f>
        <v>53.3</v>
      </c>
      <c r="D297" s="48">
        <f>IF(VLOOKUP(Table91213[[#This Row],[Date]],'DB Details'!$A:$Q,4)=0,"",VLOOKUP(Table91213[[#This Row],[Date]],'DB Details'!$A:$Q,4))</f>
        <v>67.3</v>
      </c>
      <c r="E297" s="49">
        <f>IF(VLOOKUP(Table91213[[#This Row],[Date]],'DB Details'!$A:$Q,5)=0,"",VLOOKUP(Table91213[[#This Row],[Date]],'DB Details'!$A:$Q,5))</f>
        <v>82.9</v>
      </c>
      <c r="F297" s="48">
        <f>IF(VLOOKUP(Table91213[[#This Row],[Date]],'DB Details'!$A:$Q,6)=0,"",VLOOKUP(Table91213[[#This Row],[Date]],'DB Details'!$A:$Q,6))</f>
        <v>69.8</v>
      </c>
      <c r="G297" s="49">
        <f>IF(VLOOKUP(Table91213[[#This Row],[Date]],'DB Details'!$A:$Q,7)=0,"",VLOOKUP(Table91213[[#This Row],[Date]],'DB Details'!$A:$Q,7))</f>
        <v>37.299999999999997</v>
      </c>
      <c r="H297" s="49">
        <f>IF(VLOOKUP(Table91213[[#This Row],[Date]],'DB Details'!$A:$Q,8)=0,"",VLOOKUP(Table91213[[#This Row],[Date]],'DB Details'!$A:$Q,8))</f>
        <v>42.2</v>
      </c>
      <c r="I297" s="49">
        <f>IF(VLOOKUP(Table91213[[#This Row],[Date]],'DB Details'!$A:$Q,9)=0,"",VLOOKUP(Table91213[[#This Row],[Date]],'DB Details'!$A:$Q,9))</f>
        <v>75.7</v>
      </c>
      <c r="J297" s="49">
        <f>IF(VLOOKUP(Table91213[[#This Row],[Date]],'DB Details'!$A:$Q,10)=0,"",VLOOKUP(Table91213[[#This Row],[Date]],'DB Details'!$A:$Q,10))</f>
        <v>51.6</v>
      </c>
      <c r="K297" s="49">
        <f>IF(VLOOKUP(Table91213[[#This Row],[Date]],'DB Details'!$A:$Q,11)=0,"",VLOOKUP(Table91213[[#This Row],[Date]],'DB Details'!$A:$Q,11))</f>
        <v>62.3</v>
      </c>
      <c r="L297" s="47">
        <f>IF(VLOOKUP(Table91213[[#This Row],[Date]],'DB Details'!$A:$Q,12)=0,"",VLOOKUP(Table91213[[#This Row],[Date]],'DB Details'!$A:$Q,12))</f>
        <v>66.7</v>
      </c>
    </row>
    <row r="298" spans="1:12" x14ac:dyDescent="0.35">
      <c r="A298" s="50">
        <v>44501</v>
      </c>
      <c r="B298" s="47">
        <f>IF(VLOOKUP(Table91213[[#This Row],[Date]],'DB Details'!$A:$Q,2)=0,"",VLOOKUP(Table91213[[#This Row],[Date]],'DB Details'!$A:$Q,2))</f>
        <v>69.7</v>
      </c>
      <c r="C298" s="48">
        <f>IF(VLOOKUP(Table91213[[#This Row],[Date]],'DB Details'!$A:$Q,3)=0,"",VLOOKUP(Table91213[[#This Row],[Date]],'DB Details'!$A:$Q,3))</f>
        <v>50.5</v>
      </c>
      <c r="D298" s="48">
        <f>IF(VLOOKUP(Table91213[[#This Row],[Date]],'DB Details'!$A:$Q,4)=0,"",VLOOKUP(Table91213[[#This Row],[Date]],'DB Details'!$A:$Q,4))</f>
        <v>65.900000000000006</v>
      </c>
      <c r="E298" s="49">
        <f>IF(VLOOKUP(Table91213[[#This Row],[Date]],'DB Details'!$A:$Q,5)=0,"",VLOOKUP(Table91213[[#This Row],[Date]],'DB Details'!$A:$Q,5))</f>
        <v>82.3</v>
      </c>
      <c r="F298" s="48">
        <f>IF(VLOOKUP(Table91213[[#This Row],[Date]],'DB Details'!$A:$Q,6)=0,"",VLOOKUP(Table91213[[#This Row],[Date]],'DB Details'!$A:$Q,6))</f>
        <v>74.599999999999994</v>
      </c>
      <c r="G298" s="49">
        <f>IF(VLOOKUP(Table91213[[#This Row],[Date]],'DB Details'!$A:$Q,7)=0,"",VLOOKUP(Table91213[[#This Row],[Date]],'DB Details'!$A:$Q,7))</f>
        <v>36.4</v>
      </c>
      <c r="H298" s="49">
        <f>IF(VLOOKUP(Table91213[[#This Row],[Date]],'DB Details'!$A:$Q,8)=0,"",VLOOKUP(Table91213[[#This Row],[Date]],'DB Details'!$A:$Q,8))</f>
        <v>48.2</v>
      </c>
      <c r="I298" s="49">
        <f>IF(VLOOKUP(Table91213[[#This Row],[Date]],'DB Details'!$A:$Q,9)=0,"",VLOOKUP(Table91213[[#This Row],[Date]],'DB Details'!$A:$Q,9))</f>
        <v>75.7</v>
      </c>
      <c r="J298" s="49">
        <f>IF(VLOOKUP(Table91213[[#This Row],[Date]],'DB Details'!$A:$Q,10)=0,"",VLOOKUP(Table91213[[#This Row],[Date]],'DB Details'!$A:$Q,10))</f>
        <v>56.5</v>
      </c>
      <c r="K298" s="49">
        <f>IF(VLOOKUP(Table91213[[#This Row],[Date]],'DB Details'!$A:$Q,11)=0,"",VLOOKUP(Table91213[[#This Row],[Date]],'DB Details'!$A:$Q,11))</f>
        <v>57.9</v>
      </c>
      <c r="L298" s="47">
        <f>IF(VLOOKUP(Table91213[[#This Row],[Date]],'DB Details'!$A:$Q,12)=0,"",VLOOKUP(Table91213[[#This Row],[Date]],'DB Details'!$A:$Q,12))</f>
        <v>69.099999999999994</v>
      </c>
    </row>
    <row r="299" spans="1:12" x14ac:dyDescent="0.35">
      <c r="A299" s="50">
        <v>44531</v>
      </c>
      <c r="B299" s="47">
        <f>IF(VLOOKUP(Table91213[[#This Row],[Date]],'DB Details'!$A:$Q,2)=0,"",VLOOKUP(Table91213[[#This Row],[Date]],'DB Details'!$A:$Q,2))</f>
        <v>61.5</v>
      </c>
      <c r="C299" s="48">
        <f>IF(VLOOKUP(Table91213[[#This Row],[Date]],'DB Details'!$A:$Q,3)=0,"",VLOOKUP(Table91213[[#This Row],[Date]],'DB Details'!$A:$Q,3))</f>
        <v>55.5</v>
      </c>
      <c r="D299" s="48">
        <f>IF(VLOOKUP(Table91213[[#This Row],[Date]],'DB Details'!$A:$Q,4)=0,"",VLOOKUP(Table91213[[#This Row],[Date]],'DB Details'!$A:$Q,4))</f>
        <v>62.3</v>
      </c>
      <c r="E299" s="49">
        <f>IF(VLOOKUP(Table91213[[#This Row],[Date]],'DB Details'!$A:$Q,5)=0,"",VLOOKUP(Table91213[[#This Row],[Date]],'DB Details'!$A:$Q,5))</f>
        <v>82.5</v>
      </c>
      <c r="F299" s="48">
        <f>IF(VLOOKUP(Table91213[[#This Row],[Date]],'DB Details'!$A:$Q,6)=0,"",VLOOKUP(Table91213[[#This Row],[Date]],'DB Details'!$A:$Q,6))</f>
        <v>67.599999999999994</v>
      </c>
      <c r="G299" s="49">
        <f>IF(VLOOKUP(Table91213[[#This Row],[Date]],'DB Details'!$A:$Q,7)=0,"",VLOOKUP(Table91213[[#This Row],[Date]],'DB Details'!$A:$Q,7))</f>
        <v>38.299999999999997</v>
      </c>
      <c r="H299" s="49">
        <f>IF(VLOOKUP(Table91213[[#This Row],[Date]],'DB Details'!$A:$Q,8)=0,"",VLOOKUP(Table91213[[#This Row],[Date]],'DB Details'!$A:$Q,8))</f>
        <v>46.7</v>
      </c>
      <c r="I299" s="49">
        <f>IF(VLOOKUP(Table91213[[#This Row],[Date]],'DB Details'!$A:$Q,9)=0,"",VLOOKUP(Table91213[[#This Row],[Date]],'DB Details'!$A:$Q,9))</f>
        <v>63.9</v>
      </c>
      <c r="J299" s="49">
        <f>IF(VLOOKUP(Table91213[[#This Row],[Date]],'DB Details'!$A:$Q,10)=0,"",VLOOKUP(Table91213[[#This Row],[Date]],'DB Details'!$A:$Q,10))</f>
        <v>54.9</v>
      </c>
      <c r="K299" s="49">
        <f>IF(VLOOKUP(Table91213[[#This Row],[Date]],'DB Details'!$A:$Q,11)=0,"",VLOOKUP(Table91213[[#This Row],[Date]],'DB Details'!$A:$Q,11))</f>
        <v>61.5</v>
      </c>
      <c r="L299" s="47">
        <f>IF(VLOOKUP(Table91213[[#This Row],[Date]],'DB Details'!$A:$Q,12)=0,"",VLOOKUP(Table91213[[#This Row],[Date]],'DB Details'!$A:$Q,12))</f>
        <v>62</v>
      </c>
    </row>
    <row r="300" spans="1:12" x14ac:dyDescent="0.35">
      <c r="A300" s="50">
        <v>44562</v>
      </c>
      <c r="B300" s="47">
        <f>IF(VLOOKUP(Table91213[[#This Row],[Date]],'DB Details'!$A:$Q,2)=0,"",VLOOKUP(Table91213[[#This Row],[Date]],'DB Details'!$A:$Q,2))</f>
        <v>61.7</v>
      </c>
      <c r="C300" s="48">
        <f>IF(VLOOKUP(Table91213[[#This Row],[Date]],'DB Details'!$A:$Q,3)=0,"",VLOOKUP(Table91213[[#This Row],[Date]],'DB Details'!$A:$Q,3))</f>
        <v>51.1</v>
      </c>
      <c r="D300" s="48">
        <f>IF(VLOOKUP(Table91213[[#This Row],[Date]],'DB Details'!$A:$Q,4)=0,"",VLOOKUP(Table91213[[#This Row],[Date]],'DB Details'!$A:$Q,4))</f>
        <v>57.4</v>
      </c>
      <c r="E300" s="49">
        <f>IF(VLOOKUP(Table91213[[#This Row],[Date]],'DB Details'!$A:$Q,5)=0,"",VLOOKUP(Table91213[[#This Row],[Date]],'DB Details'!$A:$Q,5))</f>
        <v>82.3</v>
      </c>
      <c r="F300" s="48">
        <f>IF(VLOOKUP(Table91213[[#This Row],[Date]],'DB Details'!$A:$Q,6)=0,"",VLOOKUP(Table91213[[#This Row],[Date]],'DB Details'!$A:$Q,6))</f>
        <v>59.9</v>
      </c>
      <c r="G300" s="49">
        <f>IF(VLOOKUP(Table91213[[#This Row],[Date]],'DB Details'!$A:$Q,7)=0,"",VLOOKUP(Table91213[[#This Row],[Date]],'DB Details'!$A:$Q,7))</f>
        <v>47.5</v>
      </c>
      <c r="H300" s="49">
        <f>IF(VLOOKUP(Table91213[[#This Row],[Date]],'DB Details'!$A:$Q,8)=0,"",VLOOKUP(Table91213[[#This Row],[Date]],'DB Details'!$A:$Q,8))</f>
        <v>49.4</v>
      </c>
      <c r="I300" s="49">
        <f>IF(VLOOKUP(Table91213[[#This Row],[Date]],'DB Details'!$A:$Q,9)=0,"",VLOOKUP(Table91213[[#This Row],[Date]],'DB Details'!$A:$Q,9))</f>
        <v>65.7</v>
      </c>
      <c r="J300" s="49">
        <f>IF(VLOOKUP(Table91213[[#This Row],[Date]],'DB Details'!$A:$Q,10)=0,"",VLOOKUP(Table91213[[#This Row],[Date]],'DB Details'!$A:$Q,10))</f>
        <v>52.3</v>
      </c>
      <c r="K300" s="49">
        <f>IF(VLOOKUP(Table91213[[#This Row],[Date]],'DB Details'!$A:$Q,11)=0,"",VLOOKUP(Table91213[[#This Row],[Date]],'DB Details'!$A:$Q,11))</f>
        <v>45.9</v>
      </c>
      <c r="L300" s="47">
        <f>IF(VLOOKUP(Table91213[[#This Row],[Date]],'DB Details'!$A:$Q,12)=0,"",VLOOKUP(Table91213[[#This Row],[Date]],'DB Details'!$A:$Q,12))</f>
        <v>59.9</v>
      </c>
    </row>
    <row r="301" spans="1:12" x14ac:dyDescent="0.35">
      <c r="A301" s="50">
        <v>44593</v>
      </c>
      <c r="B301" s="47">
        <f>IF(VLOOKUP(Table91213[[#This Row],[Date]],'DB Details'!$A:$Q,2)=0,"",VLOOKUP(Table91213[[#This Row],[Date]],'DB Details'!$A:$Q,2))</f>
        <v>56.1</v>
      </c>
      <c r="C301" s="48">
        <f>IF(VLOOKUP(Table91213[[#This Row],[Date]],'DB Details'!$A:$Q,3)=0,"",VLOOKUP(Table91213[[#This Row],[Date]],'DB Details'!$A:$Q,3))</f>
        <v>51.7</v>
      </c>
      <c r="D301" s="48">
        <f>IF(VLOOKUP(Table91213[[#This Row],[Date]],'DB Details'!$A:$Q,4)=0,"",VLOOKUP(Table91213[[#This Row],[Date]],'DB Details'!$A:$Q,4))</f>
        <v>64.2</v>
      </c>
      <c r="E301" s="49">
        <f>IF(VLOOKUP(Table91213[[#This Row],[Date]],'DB Details'!$A:$Q,5)=0,"",VLOOKUP(Table91213[[#This Row],[Date]],'DB Details'!$A:$Q,5))</f>
        <v>83.1</v>
      </c>
      <c r="F301" s="48">
        <f>IF(VLOOKUP(Table91213[[#This Row],[Date]],'DB Details'!$A:$Q,6)=0,"",VLOOKUP(Table91213[[#This Row],[Date]],'DB Details'!$A:$Q,6))</f>
        <v>55.1</v>
      </c>
      <c r="G301" s="49">
        <f>IF(VLOOKUP(Table91213[[#This Row],[Date]],'DB Details'!$A:$Q,7)=0,"",VLOOKUP(Table91213[[#This Row],[Date]],'DB Details'!$A:$Q,7))</f>
        <v>55.3</v>
      </c>
      <c r="H301" s="49">
        <f>IF(VLOOKUP(Table91213[[#This Row],[Date]],'DB Details'!$A:$Q,8)=0,"",VLOOKUP(Table91213[[#This Row],[Date]],'DB Details'!$A:$Q,8))</f>
        <v>50.8</v>
      </c>
      <c r="I301" s="49">
        <f>IF(VLOOKUP(Table91213[[#This Row],[Date]],'DB Details'!$A:$Q,9)=0,"",VLOOKUP(Table91213[[#This Row],[Date]],'DB Details'!$A:$Q,9))</f>
        <v>66.2</v>
      </c>
      <c r="J301" s="49">
        <f>IF(VLOOKUP(Table91213[[#This Row],[Date]],'DB Details'!$A:$Q,10)=0,"",VLOOKUP(Table91213[[#This Row],[Date]],'DB Details'!$A:$Q,10))</f>
        <v>48.5</v>
      </c>
      <c r="K301" s="49">
        <f>IF(VLOOKUP(Table91213[[#This Row],[Date]],'DB Details'!$A:$Q,11)=0,"",VLOOKUP(Table91213[[#This Row],[Date]],'DB Details'!$A:$Q,11))</f>
        <v>53</v>
      </c>
      <c r="L301" s="47">
        <f>IF(VLOOKUP(Table91213[[#This Row],[Date]],'DB Details'!$A:$Q,12)=0,"",VLOOKUP(Table91213[[#This Row],[Date]],'DB Details'!$A:$Q,12))</f>
        <v>56.5</v>
      </c>
    </row>
    <row r="302" spans="1:12" x14ac:dyDescent="0.35">
      <c r="A302" s="50">
        <v>44621</v>
      </c>
      <c r="B302" s="47">
        <f>IF(VLOOKUP(Table91213[[#This Row],[Date]],'DB Details'!$A:$Q,2)=0,"",VLOOKUP(Table91213[[#This Row],[Date]],'DB Details'!$A:$Q,2))</f>
        <v>60.1</v>
      </c>
      <c r="C302" s="48">
        <f>IF(VLOOKUP(Table91213[[#This Row],[Date]],'DB Details'!$A:$Q,3)=0,"",VLOOKUP(Table91213[[#This Row],[Date]],'DB Details'!$A:$Q,3))</f>
        <v>45</v>
      </c>
      <c r="D302" s="48">
        <f>IF(VLOOKUP(Table91213[[#This Row],[Date]],'DB Details'!$A:$Q,4)=0,"",VLOOKUP(Table91213[[#This Row],[Date]],'DB Details'!$A:$Q,4))</f>
        <v>64.5</v>
      </c>
      <c r="E302" s="49">
        <f>IF(VLOOKUP(Table91213[[#This Row],[Date]],'DB Details'!$A:$Q,5)=0,"",VLOOKUP(Table91213[[#This Row],[Date]],'DB Details'!$A:$Q,5))</f>
        <v>83.8</v>
      </c>
      <c r="F302" s="48">
        <f>IF(VLOOKUP(Table91213[[#This Row],[Date]],'DB Details'!$A:$Q,6)=0,"",VLOOKUP(Table91213[[#This Row],[Date]],'DB Details'!$A:$Q,6))</f>
        <v>55.5</v>
      </c>
      <c r="G302" s="49">
        <f>IF(VLOOKUP(Table91213[[#This Row],[Date]],'DB Details'!$A:$Q,7)=0,"",VLOOKUP(Table91213[[#This Row],[Date]],'DB Details'!$A:$Q,7))</f>
        <v>40.200000000000003</v>
      </c>
      <c r="H302" s="49">
        <f>IF(VLOOKUP(Table91213[[#This Row],[Date]],'DB Details'!$A:$Q,8)=0,"",VLOOKUP(Table91213[[#This Row],[Date]],'DB Details'!$A:$Q,8))</f>
        <v>51.7</v>
      </c>
      <c r="I302" s="49">
        <f>IF(VLOOKUP(Table91213[[#This Row],[Date]],'DB Details'!$A:$Q,9)=0,"",VLOOKUP(Table91213[[#This Row],[Date]],'DB Details'!$A:$Q,9))</f>
        <v>63.4</v>
      </c>
      <c r="J302" s="49">
        <f>IF(VLOOKUP(Table91213[[#This Row],[Date]],'DB Details'!$A:$Q,10)=0,"",VLOOKUP(Table91213[[#This Row],[Date]],'DB Details'!$A:$Q,10))</f>
        <v>54</v>
      </c>
      <c r="K302" s="49">
        <f>IF(VLOOKUP(Table91213[[#This Row],[Date]],'DB Details'!$A:$Q,11)=0,"",VLOOKUP(Table91213[[#This Row],[Date]],'DB Details'!$A:$Q,11))</f>
        <v>61</v>
      </c>
      <c r="L302" s="47">
        <f>IF(VLOOKUP(Table91213[[#This Row],[Date]],'DB Details'!$A:$Q,12)=0,"",VLOOKUP(Table91213[[#This Row],[Date]],'DB Details'!$A:$Q,12))</f>
        <v>58.3</v>
      </c>
    </row>
    <row r="303" spans="1:12" x14ac:dyDescent="0.35">
      <c r="A303" s="50">
        <v>44652</v>
      </c>
      <c r="B303" s="47">
        <f>IF(VLOOKUP(Table91213[[#This Row],[Date]],'DB Details'!$A:$Q,2)=0,"",VLOOKUP(Table91213[[#This Row],[Date]],'DB Details'!$A:$Q,2))</f>
        <v>54.6</v>
      </c>
      <c r="C303" s="48">
        <f>IF(VLOOKUP(Table91213[[#This Row],[Date]],'DB Details'!$A:$Q,3)=0,"",VLOOKUP(Table91213[[#This Row],[Date]],'DB Details'!$A:$Q,3))</f>
        <v>52.9</v>
      </c>
      <c r="D303" s="48">
        <f>IF(VLOOKUP(Table91213[[#This Row],[Date]],'DB Details'!$A:$Q,4)=0,"",VLOOKUP(Table91213[[#This Row],[Date]],'DB Details'!$A:$Q,4))</f>
        <v>59.4</v>
      </c>
      <c r="E303" s="49">
        <f>IF(VLOOKUP(Table91213[[#This Row],[Date]],'DB Details'!$A:$Q,5)=0,"",VLOOKUP(Table91213[[#This Row],[Date]],'DB Details'!$A:$Q,5))</f>
        <v>84.6</v>
      </c>
      <c r="F303" s="48">
        <f>IF(VLOOKUP(Table91213[[#This Row],[Date]],'DB Details'!$A:$Q,6)=0,"",VLOOKUP(Table91213[[#This Row],[Date]],'DB Details'!$A:$Q,6))</f>
        <v>59.1</v>
      </c>
      <c r="G303" s="49">
        <f>IF(VLOOKUP(Table91213[[#This Row],[Date]],'DB Details'!$A:$Q,7)=0,"",VLOOKUP(Table91213[[#This Row],[Date]],'DB Details'!$A:$Q,7))</f>
        <v>46.7</v>
      </c>
      <c r="H303" s="49">
        <f>IF(VLOOKUP(Table91213[[#This Row],[Date]],'DB Details'!$A:$Q,8)=0,"",VLOOKUP(Table91213[[#This Row],[Date]],'DB Details'!$A:$Q,8))</f>
        <v>52.3</v>
      </c>
      <c r="I303" s="49">
        <f>IF(VLOOKUP(Table91213[[#This Row],[Date]],'DB Details'!$A:$Q,9)=0,"",VLOOKUP(Table91213[[#This Row],[Date]],'DB Details'!$A:$Q,9))</f>
        <v>65.099999999999994</v>
      </c>
      <c r="J303" s="49">
        <f>IF(VLOOKUP(Table91213[[#This Row],[Date]],'DB Details'!$A:$Q,10)=0,"",VLOOKUP(Table91213[[#This Row],[Date]],'DB Details'!$A:$Q,10))</f>
        <v>49.5</v>
      </c>
      <c r="K303" s="49">
        <f>IF(VLOOKUP(Table91213[[#This Row],[Date]],'DB Details'!$A:$Q,11)=0,"",VLOOKUP(Table91213[[#This Row],[Date]],'DB Details'!$A:$Q,11))</f>
        <v>58.1</v>
      </c>
      <c r="L303" s="47">
        <f>IF(VLOOKUP(Table91213[[#This Row],[Date]],'DB Details'!$A:$Q,12)=0,"",VLOOKUP(Table91213[[#This Row],[Date]],'DB Details'!$A:$Q,12))</f>
        <v>57.1</v>
      </c>
    </row>
    <row r="304" spans="1:12" x14ac:dyDescent="0.35">
      <c r="A304" s="50">
        <v>44682</v>
      </c>
      <c r="B304" s="47">
        <f>IF(VLOOKUP(Table91213[[#This Row],[Date]],'DB Details'!$A:$Q,2)=0,"",VLOOKUP(Table91213[[#This Row],[Date]],'DB Details'!$A:$Q,2))</f>
        <v>57.6</v>
      </c>
      <c r="C304" s="48">
        <f>IF(VLOOKUP(Table91213[[#This Row],[Date]],'DB Details'!$A:$Q,3)=0,"",VLOOKUP(Table91213[[#This Row],[Date]],'DB Details'!$A:$Q,3))</f>
        <v>52.8</v>
      </c>
      <c r="D304" s="48">
        <f>IF(VLOOKUP(Table91213[[#This Row],[Date]],'DB Details'!$A:$Q,4)=0,"",VLOOKUP(Table91213[[#This Row],[Date]],'DB Details'!$A:$Q,4))</f>
        <v>52</v>
      </c>
      <c r="E304" s="49">
        <f>IF(VLOOKUP(Table91213[[#This Row],[Date]],'DB Details'!$A:$Q,5)=0,"",VLOOKUP(Table91213[[#This Row],[Date]],'DB Details'!$A:$Q,5))</f>
        <v>82.1</v>
      </c>
      <c r="F304" s="48">
        <f>IF(VLOOKUP(Table91213[[#This Row],[Date]],'DB Details'!$A:$Q,6)=0,"",VLOOKUP(Table91213[[#This Row],[Date]],'DB Details'!$A:$Q,6))</f>
        <v>54.5</v>
      </c>
      <c r="G304" s="49">
        <f>IF(VLOOKUP(Table91213[[#This Row],[Date]],'DB Details'!$A:$Q,7)=0,"",VLOOKUP(Table91213[[#This Row],[Date]],'DB Details'!$A:$Q,7))</f>
        <v>44.5</v>
      </c>
      <c r="H304" s="49">
        <f>IF(VLOOKUP(Table91213[[#This Row],[Date]],'DB Details'!$A:$Q,8)=0,"",VLOOKUP(Table91213[[#This Row],[Date]],'DB Details'!$A:$Q,8))</f>
        <v>51</v>
      </c>
      <c r="I304" s="49">
        <f>IF(VLOOKUP(Table91213[[#This Row],[Date]],'DB Details'!$A:$Q,9)=0,"",VLOOKUP(Table91213[[#This Row],[Date]],'DB Details'!$A:$Q,9))</f>
        <v>61.3</v>
      </c>
      <c r="J304" s="49">
        <f>IF(VLOOKUP(Table91213[[#This Row],[Date]],'DB Details'!$A:$Q,10)=0,"",VLOOKUP(Table91213[[#This Row],[Date]],'DB Details'!$A:$Q,10))</f>
        <v>50.2</v>
      </c>
      <c r="K304" s="49">
        <f>IF(VLOOKUP(Table91213[[#This Row],[Date]],'DB Details'!$A:$Q,11)=0,"",VLOOKUP(Table91213[[#This Row],[Date]],'DB Details'!$A:$Q,11))</f>
        <v>60.9</v>
      </c>
      <c r="L304" s="47">
        <f>IF(VLOOKUP(Table91213[[#This Row],[Date]],'DB Details'!$A:$Q,12)=0,"",VLOOKUP(Table91213[[#This Row],[Date]],'DB Details'!$A:$Q,12))</f>
        <v>55.9</v>
      </c>
    </row>
    <row r="305" spans="1:12" x14ac:dyDescent="0.35">
      <c r="A305" s="50">
        <v>44713</v>
      </c>
      <c r="B305" s="47">
        <f>IF(VLOOKUP(Table91213[[#This Row],[Date]],'DB Details'!$A:$Q,2)=0,"",VLOOKUP(Table91213[[#This Row],[Date]],'DB Details'!$A:$Q,2))</f>
        <v>55.6</v>
      </c>
      <c r="C305" s="48">
        <f>IF(VLOOKUP(Table91213[[#This Row],[Date]],'DB Details'!$A:$Q,3)=0,"",VLOOKUP(Table91213[[#This Row],[Date]],'DB Details'!$A:$Q,3))</f>
        <v>46.3</v>
      </c>
      <c r="D305" s="48">
        <f>IF(VLOOKUP(Table91213[[#This Row],[Date]],'DB Details'!$A:$Q,4)=0,"",VLOOKUP(Table91213[[#This Row],[Date]],'DB Details'!$A:$Q,4))</f>
        <v>60.5</v>
      </c>
      <c r="E305" s="49">
        <f>IF(VLOOKUP(Table91213[[#This Row],[Date]],'DB Details'!$A:$Q,5)=0,"",VLOOKUP(Table91213[[#This Row],[Date]],'DB Details'!$A:$Q,5))</f>
        <v>80.099999999999994</v>
      </c>
      <c r="F305" s="48">
        <f>IF(VLOOKUP(Table91213[[#This Row],[Date]],'DB Details'!$A:$Q,6)=0,"",VLOOKUP(Table91213[[#This Row],[Date]],'DB Details'!$A:$Q,6))</f>
        <v>56.1</v>
      </c>
      <c r="G305" s="49">
        <f>IF(VLOOKUP(Table91213[[#This Row],[Date]],'DB Details'!$A:$Q,7)=0,"",VLOOKUP(Table91213[[#This Row],[Date]],'DB Details'!$A:$Q,7))</f>
        <v>46.2</v>
      </c>
      <c r="H305" s="49">
        <f>IF(VLOOKUP(Table91213[[#This Row],[Date]],'DB Details'!$A:$Q,8)=0,"",VLOOKUP(Table91213[[#This Row],[Date]],'DB Details'!$A:$Q,8))</f>
        <v>47.5</v>
      </c>
      <c r="I305" s="49">
        <f>IF(VLOOKUP(Table91213[[#This Row],[Date]],'DB Details'!$A:$Q,9)=0,"",VLOOKUP(Table91213[[#This Row],[Date]],'DB Details'!$A:$Q,9))</f>
        <v>61.9</v>
      </c>
      <c r="J305" s="49">
        <f>IF(VLOOKUP(Table91213[[#This Row],[Date]],'DB Details'!$A:$Q,10)=0,"",VLOOKUP(Table91213[[#This Row],[Date]],'DB Details'!$A:$Q,10))</f>
        <v>47.4</v>
      </c>
      <c r="K305" s="49">
        <f>IF(VLOOKUP(Table91213[[#This Row],[Date]],'DB Details'!$A:$Q,11)=0,"",VLOOKUP(Table91213[[#This Row],[Date]],'DB Details'!$A:$Q,11))</f>
        <v>57.5</v>
      </c>
      <c r="L305" s="47">
        <f>IF(VLOOKUP(Table91213[[#This Row],[Date]],'DB Details'!$A:$Q,12)=0,"",VLOOKUP(Table91213[[#This Row],[Date]],'DB Details'!$A:$Q,12))</f>
        <v>55.3</v>
      </c>
    </row>
    <row r="306" spans="1:12" x14ac:dyDescent="0.35">
      <c r="A306" s="50">
        <v>44743</v>
      </c>
      <c r="B306" s="47">
        <f>IF(VLOOKUP(Table91213[[#This Row],[Date]],'DB Details'!$A:$Q,2)=0,"",VLOOKUP(Table91213[[#This Row],[Date]],'DB Details'!$A:$Q,2))</f>
        <v>59.9</v>
      </c>
      <c r="C306" s="48">
        <f>IF(VLOOKUP(Table91213[[#This Row],[Date]],'DB Details'!$A:$Q,3)=0,"",VLOOKUP(Table91213[[#This Row],[Date]],'DB Details'!$A:$Q,3))</f>
        <v>48</v>
      </c>
      <c r="D306" s="48">
        <f>IF(VLOOKUP(Table91213[[#This Row],[Date]],'DB Details'!$A:$Q,4)=0,"",VLOOKUP(Table91213[[#This Row],[Date]],'DB Details'!$A:$Q,4))</f>
        <v>58.3</v>
      </c>
      <c r="E306" s="49">
        <f>IF(VLOOKUP(Table91213[[#This Row],[Date]],'DB Details'!$A:$Q,5)=0,"",VLOOKUP(Table91213[[#This Row],[Date]],'DB Details'!$A:$Q,5))</f>
        <v>72.3</v>
      </c>
      <c r="F306" s="48">
        <f>IF(VLOOKUP(Table91213[[#This Row],[Date]],'DB Details'!$A:$Q,6)=0,"",VLOOKUP(Table91213[[#This Row],[Date]],'DB Details'!$A:$Q,6))</f>
        <v>59.9</v>
      </c>
      <c r="G306" s="49">
        <f>IF(VLOOKUP(Table91213[[#This Row],[Date]],'DB Details'!$A:$Q,7)=0,"",VLOOKUP(Table91213[[#This Row],[Date]],'DB Details'!$A:$Q,7))</f>
        <v>50.1</v>
      </c>
      <c r="H306" s="49">
        <f>IF(VLOOKUP(Table91213[[#This Row],[Date]],'DB Details'!$A:$Q,8)=0,"",VLOOKUP(Table91213[[#This Row],[Date]],'DB Details'!$A:$Q,8))</f>
        <v>45</v>
      </c>
      <c r="I306" s="49">
        <f>IF(VLOOKUP(Table91213[[#This Row],[Date]],'DB Details'!$A:$Q,9)=0,"",VLOOKUP(Table91213[[#This Row],[Date]],'DB Details'!$A:$Q,9))</f>
        <v>57.8</v>
      </c>
      <c r="J306" s="49">
        <f>IF(VLOOKUP(Table91213[[#This Row],[Date]],'DB Details'!$A:$Q,10)=0,"",VLOOKUP(Table91213[[#This Row],[Date]],'DB Details'!$A:$Q,10))</f>
        <v>49.1</v>
      </c>
      <c r="K306" s="49">
        <f>IF(VLOOKUP(Table91213[[#This Row],[Date]],'DB Details'!$A:$Q,11)=0,"",VLOOKUP(Table91213[[#This Row],[Date]],'DB Details'!$A:$Q,11))</f>
        <v>59.5</v>
      </c>
      <c r="L306" s="47">
        <f>IF(VLOOKUP(Table91213[[#This Row],[Date]],'DB Details'!$A:$Q,12)=0,"",VLOOKUP(Table91213[[#This Row],[Date]],'DB Details'!$A:$Q,12))</f>
        <v>56.7</v>
      </c>
    </row>
    <row r="307" spans="1:12" x14ac:dyDescent="0.35">
      <c r="A307" s="50">
        <v>44774</v>
      </c>
      <c r="B307" s="47">
        <f>IF(VLOOKUP(Table91213[[#This Row],[Date]],'DB Details'!$A:$Q,2)=0,"",VLOOKUP(Table91213[[#This Row],[Date]],'DB Details'!$A:$Q,2))</f>
        <v>61.8</v>
      </c>
      <c r="C307" s="48">
        <f>IF(VLOOKUP(Table91213[[#This Row],[Date]],'DB Details'!$A:$Q,3)=0,"",VLOOKUP(Table91213[[#This Row],[Date]],'DB Details'!$A:$Q,3))</f>
        <v>48.2</v>
      </c>
      <c r="D307" s="48">
        <f>IF(VLOOKUP(Table91213[[#This Row],[Date]],'DB Details'!$A:$Q,4)=0,"",VLOOKUP(Table91213[[#This Row],[Date]],'DB Details'!$A:$Q,4))</f>
        <v>53.9</v>
      </c>
      <c r="E307" s="49">
        <f>IF(VLOOKUP(Table91213[[#This Row],[Date]],'DB Details'!$A:$Q,5)=0,"",VLOOKUP(Table91213[[#This Row],[Date]],'DB Details'!$A:$Q,5))</f>
        <v>71.5</v>
      </c>
      <c r="F307" s="48">
        <f>IF(VLOOKUP(Table91213[[#This Row],[Date]],'DB Details'!$A:$Q,6)=0,"",VLOOKUP(Table91213[[#This Row],[Date]],'DB Details'!$A:$Q,6))</f>
        <v>60.9</v>
      </c>
      <c r="G307" s="49">
        <f>IF(VLOOKUP(Table91213[[#This Row],[Date]],'DB Details'!$A:$Q,7)=0,"",VLOOKUP(Table91213[[#This Row],[Date]],'DB Details'!$A:$Q,7))</f>
        <v>47.1</v>
      </c>
      <c r="H307" s="49">
        <f>IF(VLOOKUP(Table91213[[#This Row],[Date]],'DB Details'!$A:$Q,8)=0,"",VLOOKUP(Table91213[[#This Row],[Date]],'DB Details'!$A:$Q,8))</f>
        <v>46.2</v>
      </c>
      <c r="I307" s="49">
        <f>IF(VLOOKUP(Table91213[[#This Row],[Date]],'DB Details'!$A:$Q,9)=0,"",VLOOKUP(Table91213[[#This Row],[Date]],'DB Details'!$A:$Q,9))</f>
        <v>54.5</v>
      </c>
      <c r="J307" s="49">
        <f>IF(VLOOKUP(Table91213[[#This Row],[Date]],'DB Details'!$A:$Q,10)=0,"",VLOOKUP(Table91213[[#This Row],[Date]],'DB Details'!$A:$Q,10))</f>
        <v>50.2</v>
      </c>
      <c r="K307" s="49">
        <f>IF(VLOOKUP(Table91213[[#This Row],[Date]],'DB Details'!$A:$Q,11)=0,"",VLOOKUP(Table91213[[#This Row],[Date]],'DB Details'!$A:$Q,11))</f>
        <v>61.9</v>
      </c>
      <c r="L307" s="47">
        <f>IF(VLOOKUP(Table91213[[#This Row],[Date]],'DB Details'!$A:$Q,12)=0,"",VLOOKUP(Table91213[[#This Row],[Date]],'DB Details'!$A:$Q,12))</f>
        <v>56.9</v>
      </c>
    </row>
    <row r="308" spans="1:12" x14ac:dyDescent="0.35">
      <c r="A308" s="50">
        <v>44805</v>
      </c>
      <c r="B308" s="47">
        <f>IF(VLOOKUP(Table91213[[#This Row],[Date]],'DB Details'!$A:$Q,2)=0,"",VLOOKUP(Table91213[[#This Row],[Date]],'DB Details'!$A:$Q,2))</f>
        <v>60.6</v>
      </c>
      <c r="C308" s="48">
        <f>IF(VLOOKUP(Table91213[[#This Row],[Date]],'DB Details'!$A:$Q,3)=0,"",VLOOKUP(Table91213[[#This Row],[Date]],'DB Details'!$A:$Q,3))</f>
        <v>51.3</v>
      </c>
      <c r="D308" s="48">
        <f>IF(VLOOKUP(Table91213[[#This Row],[Date]],'DB Details'!$A:$Q,4)=0,"",VLOOKUP(Table91213[[#This Row],[Date]],'DB Details'!$A:$Q,4))</f>
        <v>52.5</v>
      </c>
      <c r="E308" s="49">
        <f>IF(VLOOKUP(Table91213[[#This Row],[Date]],'DB Details'!$A:$Q,5)=0,"",VLOOKUP(Table91213[[#This Row],[Date]],'DB Details'!$A:$Q,5))</f>
        <v>68.7</v>
      </c>
      <c r="F308" s="48">
        <f>IF(VLOOKUP(Table91213[[#This Row],[Date]],'DB Details'!$A:$Q,6)=0,"",VLOOKUP(Table91213[[#This Row],[Date]],'DB Details'!$A:$Q,6))</f>
        <v>59.1</v>
      </c>
      <c r="G308" s="49">
        <f>IF(VLOOKUP(Table91213[[#This Row],[Date]],'DB Details'!$A:$Q,7)=0,"",VLOOKUP(Table91213[[#This Row],[Date]],'DB Details'!$A:$Q,7))</f>
        <v>47.2</v>
      </c>
      <c r="H308" s="49">
        <f>IF(VLOOKUP(Table91213[[#This Row],[Date]],'DB Details'!$A:$Q,8)=0,"",VLOOKUP(Table91213[[#This Row],[Date]],'DB Details'!$A:$Q,8))</f>
        <v>44.1</v>
      </c>
      <c r="I308" s="49">
        <f>IF(VLOOKUP(Table91213[[#This Row],[Date]],'DB Details'!$A:$Q,9)=0,"",VLOOKUP(Table91213[[#This Row],[Date]],'DB Details'!$A:$Q,9))</f>
        <v>53.9</v>
      </c>
      <c r="J308" s="49">
        <f>IF(VLOOKUP(Table91213[[#This Row],[Date]],'DB Details'!$A:$Q,10)=0,"",VLOOKUP(Table91213[[#This Row],[Date]],'DB Details'!$A:$Q,10))</f>
        <v>53</v>
      </c>
      <c r="K308" s="49">
        <f>IF(VLOOKUP(Table91213[[#This Row],[Date]],'DB Details'!$A:$Q,11)=0,"",VLOOKUP(Table91213[[#This Row],[Date]],'DB Details'!$A:$Q,11))</f>
        <v>65.099999999999994</v>
      </c>
      <c r="L308" s="47">
        <f>IF(VLOOKUP(Table91213[[#This Row],[Date]],'DB Details'!$A:$Q,12)=0,"",VLOOKUP(Table91213[[#This Row],[Date]],'DB Details'!$A:$Q,12))</f>
        <v>56.7</v>
      </c>
    </row>
    <row r="309" spans="1:12" x14ac:dyDescent="0.35">
      <c r="A309" s="50">
        <v>44835</v>
      </c>
      <c r="B309" s="47">
        <f>IF(VLOOKUP(Table91213[[#This Row],[Date]],'DB Details'!$A:$Q,2)=0,"",VLOOKUP(Table91213[[#This Row],[Date]],'DB Details'!$A:$Q,2))</f>
        <v>56.5</v>
      </c>
      <c r="C309" s="48">
        <f>IF(VLOOKUP(Table91213[[#This Row],[Date]],'DB Details'!$A:$Q,3)=0,"",VLOOKUP(Table91213[[#This Row],[Date]],'DB Details'!$A:$Q,3))</f>
        <v>50.4</v>
      </c>
      <c r="D309" s="48">
        <f>IF(VLOOKUP(Table91213[[#This Row],[Date]],'DB Details'!$A:$Q,4)=0,"",VLOOKUP(Table91213[[#This Row],[Date]],'DB Details'!$A:$Q,4))</f>
        <v>52.2</v>
      </c>
      <c r="E309" s="49">
        <f>IF(VLOOKUP(Table91213[[#This Row],[Date]],'DB Details'!$A:$Q,5)=0,"",VLOOKUP(Table91213[[#This Row],[Date]],'DB Details'!$A:$Q,5))</f>
        <v>70.7</v>
      </c>
      <c r="F309" s="48">
        <f>IF(VLOOKUP(Table91213[[#This Row],[Date]],'DB Details'!$A:$Q,6)=0,"",VLOOKUP(Table91213[[#This Row],[Date]],'DB Details'!$A:$Q,6))</f>
        <v>55.7</v>
      </c>
      <c r="G309" s="49">
        <f>IF(VLOOKUP(Table91213[[#This Row],[Date]],'DB Details'!$A:$Q,7)=0,"",VLOOKUP(Table91213[[#This Row],[Date]],'DB Details'!$A:$Q,7))</f>
        <v>46.4</v>
      </c>
      <c r="H309" s="49">
        <f>IF(VLOOKUP(Table91213[[#This Row],[Date]],'DB Details'!$A:$Q,8)=0,"",VLOOKUP(Table91213[[#This Row],[Date]],'DB Details'!$A:$Q,8))</f>
        <v>47.2</v>
      </c>
      <c r="I309" s="49">
        <f>IF(VLOOKUP(Table91213[[#This Row],[Date]],'DB Details'!$A:$Q,9)=0,"",VLOOKUP(Table91213[[#This Row],[Date]],'DB Details'!$A:$Q,9))</f>
        <v>56.2</v>
      </c>
      <c r="J309" s="49">
        <f>IF(VLOOKUP(Table91213[[#This Row],[Date]],'DB Details'!$A:$Q,10)=0,"",VLOOKUP(Table91213[[#This Row],[Date]],'DB Details'!$A:$Q,10))</f>
        <v>49.1</v>
      </c>
      <c r="K309" s="49">
        <f>IF(VLOOKUP(Table91213[[#This Row],[Date]],'DB Details'!$A:$Q,11)=0,"",VLOOKUP(Table91213[[#This Row],[Date]],'DB Details'!$A:$Q,11))</f>
        <v>47.7</v>
      </c>
      <c r="L309" s="47">
        <f>IF(VLOOKUP(Table91213[[#This Row],[Date]],'DB Details'!$A:$Q,12)=0,"",VLOOKUP(Table91213[[#This Row],[Date]],'DB Details'!$A:$Q,12))</f>
        <v>54.4</v>
      </c>
    </row>
    <row r="310" spans="1:12" x14ac:dyDescent="0.35">
      <c r="A310" s="50">
        <v>44866</v>
      </c>
      <c r="B310" s="47">
        <f>IF(VLOOKUP(Table91213[[#This Row],[Date]],'DB Details'!$A:$Q,2)=0,"",VLOOKUP(Table91213[[#This Row],[Date]],'DB Details'!$A:$Q,2))</f>
        <v>56</v>
      </c>
      <c r="C310" s="48">
        <f>IF(VLOOKUP(Table91213[[#This Row],[Date]],'DB Details'!$A:$Q,3)=0,"",VLOOKUP(Table91213[[#This Row],[Date]],'DB Details'!$A:$Q,3))</f>
        <v>59.5</v>
      </c>
      <c r="D310" s="48">
        <f>IF(VLOOKUP(Table91213[[#This Row],[Date]],'DB Details'!$A:$Q,4)=0,"",VLOOKUP(Table91213[[#This Row],[Date]],'DB Details'!$A:$Q,4))</f>
        <v>51.8</v>
      </c>
      <c r="E310" s="49">
        <f>IF(VLOOKUP(Table91213[[#This Row],[Date]],'DB Details'!$A:$Q,5)=0,"",VLOOKUP(Table91213[[#This Row],[Date]],'DB Details'!$A:$Q,5))</f>
        <v>70</v>
      </c>
      <c r="F310" s="48">
        <f>IF(VLOOKUP(Table91213[[#This Row],[Date]],'DB Details'!$A:$Q,6)=0,"",VLOOKUP(Table91213[[#This Row],[Date]],'DB Details'!$A:$Q,6))</f>
        <v>64.7</v>
      </c>
      <c r="G310" s="49">
        <f>IF(VLOOKUP(Table91213[[#This Row],[Date]],'DB Details'!$A:$Q,7)=0,"",VLOOKUP(Table91213[[#This Row],[Date]],'DB Details'!$A:$Q,7))</f>
        <v>44.2</v>
      </c>
      <c r="H310" s="49">
        <f>IF(VLOOKUP(Table91213[[#This Row],[Date]],'DB Details'!$A:$Q,8)=0,"",VLOOKUP(Table91213[[#This Row],[Date]],'DB Details'!$A:$Q,8))</f>
        <v>47.9</v>
      </c>
      <c r="I310" s="49">
        <f>IF(VLOOKUP(Table91213[[#This Row],[Date]],'DB Details'!$A:$Q,9)=0,"",VLOOKUP(Table91213[[#This Row],[Date]],'DB Details'!$A:$Q,9))</f>
        <v>53.8</v>
      </c>
      <c r="J310" s="49">
        <f>IF(VLOOKUP(Table91213[[#This Row],[Date]],'DB Details'!$A:$Q,10)=0,"",VLOOKUP(Table91213[[#This Row],[Date]],'DB Details'!$A:$Q,10))</f>
        <v>51.5</v>
      </c>
      <c r="K310" s="49">
        <f>IF(VLOOKUP(Table91213[[#This Row],[Date]],'DB Details'!$A:$Q,11)=0,"",VLOOKUP(Table91213[[#This Row],[Date]],'DB Details'!$A:$Q,11))</f>
        <v>38.4</v>
      </c>
      <c r="L310" s="47">
        <f>IF(VLOOKUP(Table91213[[#This Row],[Date]],'DB Details'!$A:$Q,12)=0,"",VLOOKUP(Table91213[[#This Row],[Date]],'DB Details'!$A:$Q,12))</f>
        <v>56.5</v>
      </c>
    </row>
    <row r="311" spans="1:12" x14ac:dyDescent="0.35">
      <c r="A311" s="50">
        <v>44896</v>
      </c>
      <c r="B311" s="47">
        <f>IF(VLOOKUP(Table91213[[#This Row],[Date]],'DB Details'!$A:$Q,2)=0,"",VLOOKUP(Table91213[[#This Row],[Date]],'DB Details'!$A:$Q,2))</f>
        <v>45.2</v>
      </c>
      <c r="C311" s="48">
        <f>IF(VLOOKUP(Table91213[[#This Row],[Date]],'DB Details'!$A:$Q,3)=0,"",VLOOKUP(Table91213[[#This Row],[Date]],'DB Details'!$A:$Q,3))</f>
        <v>52.7</v>
      </c>
      <c r="D311" s="48">
        <f>IF(VLOOKUP(Table91213[[#This Row],[Date]],'DB Details'!$A:$Q,4)=0,"",VLOOKUP(Table91213[[#This Row],[Date]],'DB Details'!$A:$Q,4))</f>
        <v>51.5</v>
      </c>
      <c r="E311" s="49">
        <f>IF(VLOOKUP(Table91213[[#This Row],[Date]],'DB Details'!$A:$Q,5)=0,"",VLOOKUP(Table91213[[#This Row],[Date]],'DB Details'!$A:$Q,5))</f>
        <v>67.599999999999994</v>
      </c>
      <c r="F311" s="48">
        <f>IF(VLOOKUP(Table91213[[#This Row],[Date]],'DB Details'!$A:$Q,6)=0,"",VLOOKUP(Table91213[[#This Row],[Date]],'DB Details'!$A:$Q,6))</f>
        <v>54.7</v>
      </c>
      <c r="G311" s="49">
        <f>IF(VLOOKUP(Table91213[[#This Row],[Date]],'DB Details'!$A:$Q,7)=0,"",VLOOKUP(Table91213[[#This Row],[Date]],'DB Details'!$A:$Q,7))</f>
        <v>55.9</v>
      </c>
      <c r="H311" s="49">
        <f>IF(VLOOKUP(Table91213[[#This Row],[Date]],'DB Details'!$A:$Q,8)=0,"",VLOOKUP(Table91213[[#This Row],[Date]],'DB Details'!$A:$Q,8))</f>
        <v>45.1</v>
      </c>
      <c r="I311" s="49">
        <f>IF(VLOOKUP(Table91213[[#This Row],[Date]],'DB Details'!$A:$Q,9)=0,"",VLOOKUP(Table91213[[#This Row],[Date]],'DB Details'!$A:$Q,9))</f>
        <v>48.5</v>
      </c>
      <c r="J311" s="49">
        <f>IF(VLOOKUP(Table91213[[#This Row],[Date]],'DB Details'!$A:$Q,10)=0,"",VLOOKUP(Table91213[[#This Row],[Date]],'DB Details'!$A:$Q,10))</f>
        <v>49.8</v>
      </c>
      <c r="K311" s="49">
        <f>IF(VLOOKUP(Table91213[[#This Row],[Date]],'DB Details'!$A:$Q,11)=0,"",VLOOKUP(Table91213[[#This Row],[Date]],'DB Details'!$A:$Q,11))</f>
        <v>47.7</v>
      </c>
      <c r="L311" s="47">
        <f>IF(VLOOKUP(Table91213[[#This Row],[Date]],'DB Details'!$A:$Q,12)=0,"",VLOOKUP(Table91213[[#This Row],[Date]],'DB Details'!$A:$Q,12))</f>
        <v>49.6</v>
      </c>
    </row>
    <row r="312" spans="1:12" x14ac:dyDescent="0.35">
      <c r="A312" s="50">
        <v>44927</v>
      </c>
      <c r="B312" s="47">
        <f>IF(VLOOKUP(Table91213[[#This Row],[Date]],'DB Details'!$A:$Q,2)=0,"",VLOOKUP(Table91213[[#This Row],[Date]],'DB Details'!$A:$Q,2))</f>
        <v>60.4</v>
      </c>
      <c r="C312" s="48">
        <f>IF(VLOOKUP(Table91213[[#This Row],[Date]],'DB Details'!$A:$Q,3)=0,"",VLOOKUP(Table91213[[#This Row],[Date]],'DB Details'!$A:$Q,3))</f>
        <v>53</v>
      </c>
      <c r="D312" s="48">
        <f>IF(VLOOKUP(Table91213[[#This Row],[Date]],'DB Details'!$A:$Q,4)=0,"",VLOOKUP(Table91213[[#This Row],[Date]],'DB Details'!$A:$Q,4))</f>
        <v>52.9</v>
      </c>
      <c r="E312" s="49">
        <f>IF(VLOOKUP(Table91213[[#This Row],[Date]],'DB Details'!$A:$Q,5)=0,"",VLOOKUP(Table91213[[#This Row],[Date]],'DB Details'!$A:$Q,5))</f>
        <v>67.8</v>
      </c>
      <c r="F312" s="48">
        <f>IF(VLOOKUP(Table91213[[#This Row],[Date]],'DB Details'!$A:$Q,6)=0,"",VLOOKUP(Table91213[[#This Row],[Date]],'DB Details'!$A:$Q,6))</f>
        <v>60.4</v>
      </c>
      <c r="G312" s="49">
        <f>IF(VLOOKUP(Table91213[[#This Row],[Date]],'DB Details'!$A:$Q,7)=0,"",VLOOKUP(Table91213[[#This Row],[Date]],'DB Details'!$A:$Q,7))</f>
        <v>55.8</v>
      </c>
      <c r="H312" s="49">
        <f>IF(VLOOKUP(Table91213[[#This Row],[Date]],'DB Details'!$A:$Q,8)=0,"",VLOOKUP(Table91213[[#This Row],[Date]],'DB Details'!$A:$Q,8))</f>
        <v>49.2</v>
      </c>
      <c r="I312" s="49">
        <f>IF(VLOOKUP(Table91213[[#This Row],[Date]],'DB Details'!$A:$Q,9)=0,"",VLOOKUP(Table91213[[#This Row],[Date]],'DB Details'!$A:$Q,9))</f>
        <v>50</v>
      </c>
      <c r="J312" s="49">
        <f>IF(VLOOKUP(Table91213[[#This Row],[Date]],'DB Details'!$A:$Q,10)=0,"",VLOOKUP(Table91213[[#This Row],[Date]],'DB Details'!$A:$Q,10))</f>
        <v>50</v>
      </c>
      <c r="K312" s="49">
        <f>IF(VLOOKUP(Table91213[[#This Row],[Date]],'DB Details'!$A:$Q,11)=0,"",VLOOKUP(Table91213[[#This Row],[Date]],'DB Details'!$A:$Q,11))</f>
        <v>59</v>
      </c>
      <c r="L312" s="47">
        <f>IF(VLOOKUP(Table91213[[#This Row],[Date]],'DB Details'!$A:$Q,12)=0,"",VLOOKUP(Table91213[[#This Row],[Date]],'DB Details'!$A:$Q,12))</f>
        <v>55.2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topLeftCell="A23" zoomScale="60" zoomScaleNormal="60" workbookViewId="0">
      <selection activeCell="AF56" sqref="AF56"/>
    </sheetView>
  </sheetViews>
  <sheetFormatPr defaultColWidth="9.1796875" defaultRowHeight="14.5" x14ac:dyDescent="0.35"/>
  <cols>
    <col min="1" max="26" width="9.1796875" style="62" customWidth="1"/>
    <col min="27" max="16384" width="9.1796875" style="62"/>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312"/>
  <sheetViews>
    <sheetView zoomScale="90" zoomScaleNormal="90" workbookViewId="0">
      <pane ySplit="5" topLeftCell="A283" activePane="bottomLeft" state="frozen"/>
      <selection activeCell="F274" sqref="F274"/>
      <selection pane="bottomLeft" activeCell="A307" sqref="A307:E312"/>
    </sheetView>
  </sheetViews>
  <sheetFormatPr defaultColWidth="9.1796875" defaultRowHeight="14.5" x14ac:dyDescent="0.35"/>
  <cols>
    <col min="1" max="1" width="12.36328125" style="62" customWidth="1"/>
    <col min="2" max="5" width="14.6328125" style="62" customWidth="1"/>
    <col min="6" max="31" width="9.1796875" style="62" customWidth="1"/>
    <col min="32" max="16384" width="9.1796875" style="62"/>
  </cols>
  <sheetData>
    <row r="1" spans="1:5" x14ac:dyDescent="0.35">
      <c r="A1" s="25" t="s">
        <v>78</v>
      </c>
    </row>
    <row r="2" spans="1:5" ht="3.75" customHeight="1" x14ac:dyDescent="0.35"/>
    <row r="3" spans="1:5" ht="3.75" customHeight="1" x14ac:dyDescent="0.35"/>
    <row r="4" spans="1:5" ht="16" customHeight="1" thickBot="1" x14ac:dyDescent="0.4"/>
    <row r="5" spans="1:5" ht="25" customHeight="1" thickBot="1" x14ac:dyDescent="0.4">
      <c r="A5" s="52" t="s">
        <v>77</v>
      </c>
      <c r="B5" s="53" t="s">
        <v>14</v>
      </c>
      <c r="C5" s="54" t="s">
        <v>79</v>
      </c>
      <c r="D5" s="55" t="s">
        <v>80</v>
      </c>
      <c r="E5" s="56" t="s">
        <v>81</v>
      </c>
    </row>
    <row r="6" spans="1:5" x14ac:dyDescent="0.35">
      <c r="A6" s="57">
        <v>35612</v>
      </c>
      <c r="B6" s="47">
        <f>IF(VLOOKUP(Table311[[#This Row],[Date]],'DB Details'!$A:$Q,12)=0,"",VLOOKUP(Table311[[#This Row],[Date]],'DB Details'!$A:$Q,12))</f>
        <v>56.7</v>
      </c>
      <c r="C6" s="58">
        <f>IF(VLOOKUP(Table311[[#This Row],[Date]],'DB Details'!$A:$Q,16)=0,"",VLOOKUP(Table311[[#This Row],[Date]],'DB Details'!$A:$Q,16))</f>
        <v>4.6738025753933231E-2</v>
      </c>
      <c r="D6" s="58">
        <f>IF(VLOOKUP(Table311[[#This Row],[Date]],'DB Details'!$A:$Q,15)=0,"",VLOOKUP(Table311[[#This Row],[Date]],'DB Details'!$A:$Q,15))</f>
        <v>1.2507785733139491E-2</v>
      </c>
      <c r="E6" s="58">
        <f>IF(VLOOKUP(Table311[[#This Row],[Date]],'DB Details'!$A:$Q,17)=0,"",VLOOKUP(Table311[[#This Row],[Date]],'DB Details'!$A:$Q,17))</f>
        <v>5.0977662738524332E-2</v>
      </c>
    </row>
    <row r="7" spans="1:5" x14ac:dyDescent="0.35">
      <c r="A7" s="57">
        <v>35643</v>
      </c>
      <c r="B7" s="47">
        <f>IF(VLOOKUP(Table311[[#This Row],[Date]],'DB Details'!$A:$Q,12)=0,"",VLOOKUP(Table311[[#This Row],[Date]],'DB Details'!$A:$Q,12))</f>
        <v>62</v>
      </c>
      <c r="C7" s="58">
        <f>IF(VLOOKUP(Table311[[#This Row],[Date]],'DB Details'!$A:$Q,16)=0,"",VLOOKUP(Table311[[#This Row],[Date]],'DB Details'!$A:$Q,16))</f>
        <v>4.6738025753933231E-2</v>
      </c>
      <c r="D7" s="58">
        <f>IF(VLOOKUP(Table311[[#This Row],[Date]],'DB Details'!$A:$Q,15)=0,"",VLOOKUP(Table311[[#This Row],[Date]],'DB Details'!$A:$Q,15))</f>
        <v>1.2507785733139491E-2</v>
      </c>
      <c r="E7" s="58">
        <f>IF(VLOOKUP(Table311[[#This Row],[Date]],'DB Details'!$A:$Q,17)=0,"",VLOOKUP(Table311[[#This Row],[Date]],'DB Details'!$A:$Q,17))</f>
        <v>5.0977662738524332E-2</v>
      </c>
    </row>
    <row r="8" spans="1:5" x14ac:dyDescent="0.35">
      <c r="A8" s="57">
        <v>35674</v>
      </c>
      <c r="B8" s="47">
        <f>IF(VLOOKUP(Table311[[#This Row],[Date]],'DB Details'!$A:$Q,12)=0,"",VLOOKUP(Table311[[#This Row],[Date]],'DB Details'!$A:$Q,12))</f>
        <v>56.2</v>
      </c>
      <c r="C8" s="58">
        <f>IF(VLOOKUP(Table311[[#This Row],[Date]],'DB Details'!$A:$Q,16)=0,"",VLOOKUP(Table311[[#This Row],[Date]],'DB Details'!$A:$Q,16))</f>
        <v>4.6738025753933231E-2</v>
      </c>
      <c r="D8" s="58">
        <f>IF(VLOOKUP(Table311[[#This Row],[Date]],'DB Details'!$A:$Q,15)=0,"",VLOOKUP(Table311[[#This Row],[Date]],'DB Details'!$A:$Q,15))</f>
        <v>1.2507785733139491E-2</v>
      </c>
      <c r="E8" s="58">
        <f>IF(VLOOKUP(Table311[[#This Row],[Date]],'DB Details'!$A:$Q,17)=0,"",VLOOKUP(Table311[[#This Row],[Date]],'DB Details'!$A:$Q,17))</f>
        <v>5.0977662738524332E-2</v>
      </c>
    </row>
    <row r="9" spans="1:5" x14ac:dyDescent="0.35">
      <c r="A9" s="57">
        <v>35704</v>
      </c>
      <c r="B9" s="47">
        <f>IF(VLOOKUP(Table311[[#This Row],[Date]],'DB Details'!$A:$Q,12)=0,"",VLOOKUP(Table311[[#This Row],[Date]],'DB Details'!$A:$Q,12))</f>
        <v>56.6</v>
      </c>
      <c r="C9" s="58">
        <f>IF(VLOOKUP(Table311[[#This Row],[Date]],'DB Details'!$A:$Q,16)=0,"",VLOOKUP(Table311[[#This Row],[Date]],'DB Details'!$A:$Q,16))</f>
        <v>4.4876844577145122E-2</v>
      </c>
      <c r="D9" s="58">
        <f>IF(VLOOKUP(Table311[[#This Row],[Date]],'DB Details'!$A:$Q,15)=0,"",VLOOKUP(Table311[[#This Row],[Date]],'DB Details'!$A:$Q,15))</f>
        <v>8.5874356260664548E-3</v>
      </c>
      <c r="E9" s="58">
        <f>IF(VLOOKUP(Table311[[#This Row],[Date]],'DB Details'!$A:$Q,17)=0,"",VLOOKUP(Table311[[#This Row],[Date]],'DB Details'!$A:$Q,17))</f>
        <v>3.4794745335392292E-2</v>
      </c>
    </row>
    <row r="10" spans="1:5" x14ac:dyDescent="0.35">
      <c r="A10" s="57">
        <v>35735</v>
      </c>
      <c r="B10" s="47">
        <f>IF(VLOOKUP(Table311[[#This Row],[Date]],'DB Details'!$A:$Q,12)=0,"",VLOOKUP(Table311[[#This Row],[Date]],'DB Details'!$A:$Q,12))</f>
        <v>58.5</v>
      </c>
      <c r="C10" s="58">
        <f>IF(VLOOKUP(Table311[[#This Row],[Date]],'DB Details'!$A:$Q,16)=0,"",VLOOKUP(Table311[[#This Row],[Date]],'DB Details'!$A:$Q,16))</f>
        <v>4.4876844577145122E-2</v>
      </c>
      <c r="D10" s="58">
        <f>IF(VLOOKUP(Table311[[#This Row],[Date]],'DB Details'!$A:$Q,15)=0,"",VLOOKUP(Table311[[#This Row],[Date]],'DB Details'!$A:$Q,15))</f>
        <v>8.5874356260664548E-3</v>
      </c>
      <c r="E10" s="58">
        <f>IF(VLOOKUP(Table311[[#This Row],[Date]],'DB Details'!$A:$Q,17)=0,"",VLOOKUP(Table311[[#This Row],[Date]],'DB Details'!$A:$Q,17))</f>
        <v>3.4794745335392292E-2</v>
      </c>
    </row>
    <row r="11" spans="1:5" x14ac:dyDescent="0.35">
      <c r="A11" s="57">
        <v>35765</v>
      </c>
      <c r="B11" s="47">
        <f>IF(VLOOKUP(Table311[[#This Row],[Date]],'DB Details'!$A:$Q,12)=0,"",VLOOKUP(Table311[[#This Row],[Date]],'DB Details'!$A:$Q,12))</f>
        <v>55.5</v>
      </c>
      <c r="C11" s="58">
        <f>IF(VLOOKUP(Table311[[#This Row],[Date]],'DB Details'!$A:$Q,16)=0,"",VLOOKUP(Table311[[#This Row],[Date]],'DB Details'!$A:$Q,16))</f>
        <v>4.4876844577145122E-2</v>
      </c>
      <c r="D11" s="58">
        <f>IF(VLOOKUP(Table311[[#This Row],[Date]],'DB Details'!$A:$Q,15)=0,"",VLOOKUP(Table311[[#This Row],[Date]],'DB Details'!$A:$Q,15))</f>
        <v>8.5874356260664548E-3</v>
      </c>
      <c r="E11" s="58">
        <f>IF(VLOOKUP(Table311[[#This Row],[Date]],'DB Details'!$A:$Q,17)=0,"",VLOOKUP(Table311[[#This Row],[Date]],'DB Details'!$A:$Q,17))</f>
        <v>3.4794745335392292E-2</v>
      </c>
    </row>
    <row r="12" spans="1:5" x14ac:dyDescent="0.35">
      <c r="A12" s="57">
        <v>35796</v>
      </c>
      <c r="B12" s="47">
        <f>IF(VLOOKUP(Table311[[#This Row],[Date]],'DB Details'!$A:$Q,12)=0,"",VLOOKUP(Table311[[#This Row],[Date]],'DB Details'!$A:$Q,12))</f>
        <v>57</v>
      </c>
      <c r="C12" s="58">
        <f>IF(VLOOKUP(Table311[[#This Row],[Date]],'DB Details'!$A:$Q,16)=0,"",VLOOKUP(Table311[[#This Row],[Date]],'DB Details'!$A:$Q,16))</f>
        <v>4.8550058826576883E-2</v>
      </c>
      <c r="D12" s="58">
        <f>IF(VLOOKUP(Table311[[#This Row],[Date]],'DB Details'!$A:$Q,15)=0,"",VLOOKUP(Table311[[#This Row],[Date]],'DB Details'!$A:$Q,15))</f>
        <v>9.9937540103740806E-3</v>
      </c>
      <c r="E12" s="58">
        <f>IF(VLOOKUP(Table311[[#This Row],[Date]],'DB Details'!$A:$Q,17)=0,"",VLOOKUP(Table311[[#This Row],[Date]],'DB Details'!$A:$Q,17))</f>
        <v>4.0578269241347893E-2</v>
      </c>
    </row>
    <row r="13" spans="1:5" x14ac:dyDescent="0.35">
      <c r="A13" s="57">
        <v>35827</v>
      </c>
      <c r="B13" s="47">
        <f>IF(VLOOKUP(Table311[[#This Row],[Date]],'DB Details'!$A:$Q,12)=0,"",VLOOKUP(Table311[[#This Row],[Date]],'DB Details'!$A:$Q,12))</f>
        <v>56.2</v>
      </c>
      <c r="C13" s="58">
        <f>IF(VLOOKUP(Table311[[#This Row],[Date]],'DB Details'!$A:$Q,16)=0,"",VLOOKUP(Table311[[#This Row],[Date]],'DB Details'!$A:$Q,16))</f>
        <v>4.8550058826576883E-2</v>
      </c>
      <c r="D13" s="58">
        <f>IF(VLOOKUP(Table311[[#This Row],[Date]],'DB Details'!$A:$Q,15)=0,"",VLOOKUP(Table311[[#This Row],[Date]],'DB Details'!$A:$Q,15))</f>
        <v>9.9937540103740806E-3</v>
      </c>
      <c r="E13" s="58">
        <f>IF(VLOOKUP(Table311[[#This Row],[Date]],'DB Details'!$A:$Q,17)=0,"",VLOOKUP(Table311[[#This Row],[Date]],'DB Details'!$A:$Q,17))</f>
        <v>4.0578269241347893E-2</v>
      </c>
    </row>
    <row r="14" spans="1:5" x14ac:dyDescent="0.35">
      <c r="A14" s="57">
        <v>35855</v>
      </c>
      <c r="B14" s="47">
        <f>IF(VLOOKUP(Table311[[#This Row],[Date]],'DB Details'!$A:$Q,12)=0,"",VLOOKUP(Table311[[#This Row],[Date]],'DB Details'!$A:$Q,12))</f>
        <v>54.7</v>
      </c>
      <c r="C14" s="58">
        <f>IF(VLOOKUP(Table311[[#This Row],[Date]],'DB Details'!$A:$Q,16)=0,"",VLOOKUP(Table311[[#This Row],[Date]],'DB Details'!$A:$Q,16))</f>
        <v>4.8550058826576883E-2</v>
      </c>
      <c r="D14" s="58">
        <f>IF(VLOOKUP(Table311[[#This Row],[Date]],'DB Details'!$A:$Q,15)=0,"",VLOOKUP(Table311[[#This Row],[Date]],'DB Details'!$A:$Q,15))</f>
        <v>9.9937540103740806E-3</v>
      </c>
      <c r="E14" s="58">
        <f>IF(VLOOKUP(Table311[[#This Row],[Date]],'DB Details'!$A:$Q,17)=0,"",VLOOKUP(Table311[[#This Row],[Date]],'DB Details'!$A:$Q,17))</f>
        <v>4.0578269241347893E-2</v>
      </c>
    </row>
    <row r="15" spans="1:5" x14ac:dyDescent="0.35">
      <c r="A15" s="57">
        <v>35886</v>
      </c>
      <c r="B15" s="47">
        <f>IF(VLOOKUP(Table311[[#This Row],[Date]],'DB Details'!$A:$Q,12)=0,"",VLOOKUP(Table311[[#This Row],[Date]],'DB Details'!$A:$Q,12))</f>
        <v>54.9</v>
      </c>
      <c r="C15" s="58">
        <f>IF(VLOOKUP(Table311[[#This Row],[Date]],'DB Details'!$A:$Q,16)=0,"",VLOOKUP(Table311[[#This Row],[Date]],'DB Details'!$A:$Q,16))</f>
        <v>4.0957268412006649E-2</v>
      </c>
      <c r="D15" s="58">
        <f>IF(VLOOKUP(Table311[[#This Row],[Date]],'DB Details'!$A:$Q,15)=0,"",VLOOKUP(Table311[[#This Row],[Date]],'DB Details'!$A:$Q,15))</f>
        <v>9.2582050690395729E-3</v>
      </c>
      <c r="E15" s="58">
        <f>IF(VLOOKUP(Table311[[#This Row],[Date]],'DB Details'!$A:$Q,17)=0,"",VLOOKUP(Table311[[#This Row],[Date]],'DB Details'!$A:$Q,17))</f>
        <v>3.7550288034241763E-2</v>
      </c>
    </row>
    <row r="16" spans="1:5" x14ac:dyDescent="0.35">
      <c r="A16" s="57">
        <v>35916</v>
      </c>
      <c r="B16" s="47">
        <f>IF(VLOOKUP(Table311[[#This Row],[Date]],'DB Details'!$A:$Q,12)=0,"",VLOOKUP(Table311[[#This Row],[Date]],'DB Details'!$A:$Q,12))</f>
        <v>56.2</v>
      </c>
      <c r="C16" s="58">
        <f>IF(VLOOKUP(Table311[[#This Row],[Date]],'DB Details'!$A:$Q,16)=0,"",VLOOKUP(Table311[[#This Row],[Date]],'DB Details'!$A:$Q,16))</f>
        <v>4.0957268412006649E-2</v>
      </c>
      <c r="D16" s="58">
        <f>IF(VLOOKUP(Table311[[#This Row],[Date]],'DB Details'!$A:$Q,15)=0,"",VLOOKUP(Table311[[#This Row],[Date]],'DB Details'!$A:$Q,15))</f>
        <v>9.2582050690395729E-3</v>
      </c>
      <c r="E16" s="58">
        <f>IF(VLOOKUP(Table311[[#This Row],[Date]],'DB Details'!$A:$Q,17)=0,"",VLOOKUP(Table311[[#This Row],[Date]],'DB Details'!$A:$Q,17))</f>
        <v>3.7550288034241763E-2</v>
      </c>
    </row>
    <row r="17" spans="1:5" x14ac:dyDescent="0.35">
      <c r="A17" s="57">
        <v>35947</v>
      </c>
      <c r="B17" s="47">
        <f>IF(VLOOKUP(Table311[[#This Row],[Date]],'DB Details'!$A:$Q,12)=0,"",VLOOKUP(Table311[[#This Row],[Date]],'DB Details'!$A:$Q,12))</f>
        <v>55.1</v>
      </c>
      <c r="C17" s="58">
        <f>IF(VLOOKUP(Table311[[#This Row],[Date]],'DB Details'!$A:$Q,16)=0,"",VLOOKUP(Table311[[#This Row],[Date]],'DB Details'!$A:$Q,16))</f>
        <v>4.0957268412006649E-2</v>
      </c>
      <c r="D17" s="58">
        <f>IF(VLOOKUP(Table311[[#This Row],[Date]],'DB Details'!$A:$Q,15)=0,"",VLOOKUP(Table311[[#This Row],[Date]],'DB Details'!$A:$Q,15))</f>
        <v>9.2582050690395729E-3</v>
      </c>
      <c r="E17" s="58">
        <f>IF(VLOOKUP(Table311[[#This Row],[Date]],'DB Details'!$A:$Q,17)=0,"",VLOOKUP(Table311[[#This Row],[Date]],'DB Details'!$A:$Q,17))</f>
        <v>3.7550288034241763E-2</v>
      </c>
    </row>
    <row r="18" spans="1:5" x14ac:dyDescent="0.35">
      <c r="A18" s="57">
        <v>35977</v>
      </c>
      <c r="B18" s="47">
        <f>IF(VLOOKUP(Table311[[#This Row],[Date]],'DB Details'!$A:$Q,12)=0,"",VLOOKUP(Table311[[#This Row],[Date]],'DB Details'!$A:$Q,12))</f>
        <v>55.8</v>
      </c>
      <c r="C18" s="58">
        <f>IF(VLOOKUP(Table311[[#This Row],[Date]],'DB Details'!$A:$Q,16)=0,"",VLOOKUP(Table311[[#This Row],[Date]],'DB Details'!$A:$Q,16))</f>
        <v>4.0977686226798142E-2</v>
      </c>
      <c r="D18" s="58">
        <f>IF(VLOOKUP(Table311[[#This Row],[Date]],'DB Details'!$A:$Q,15)=0,"",VLOOKUP(Table311[[#This Row],[Date]],'DB Details'!$A:$Q,15))</f>
        <v>1.252764552668854E-2</v>
      </c>
      <c r="E18" s="58">
        <f>IF(VLOOKUP(Table311[[#This Row],[Date]],'DB Details'!$A:$Q,17)=0,"",VLOOKUP(Table311[[#This Row],[Date]],'DB Details'!$A:$Q,17))</f>
        <v>5.1060122602257341E-2</v>
      </c>
    </row>
    <row r="19" spans="1:5" x14ac:dyDescent="0.35">
      <c r="A19" s="57">
        <v>36008</v>
      </c>
      <c r="B19" s="47">
        <f>IF(VLOOKUP(Table311[[#This Row],[Date]],'DB Details'!$A:$Q,12)=0,"",VLOOKUP(Table311[[#This Row],[Date]],'DB Details'!$A:$Q,12))</f>
        <v>53.5</v>
      </c>
      <c r="C19" s="58">
        <f>IF(VLOOKUP(Table311[[#This Row],[Date]],'DB Details'!$A:$Q,16)=0,"",VLOOKUP(Table311[[#This Row],[Date]],'DB Details'!$A:$Q,16))</f>
        <v>4.0977686226798142E-2</v>
      </c>
      <c r="D19" s="58">
        <f>IF(VLOOKUP(Table311[[#This Row],[Date]],'DB Details'!$A:$Q,15)=0,"",VLOOKUP(Table311[[#This Row],[Date]],'DB Details'!$A:$Q,15))</f>
        <v>1.252764552668854E-2</v>
      </c>
      <c r="E19" s="58">
        <f>IF(VLOOKUP(Table311[[#This Row],[Date]],'DB Details'!$A:$Q,17)=0,"",VLOOKUP(Table311[[#This Row],[Date]],'DB Details'!$A:$Q,17))</f>
        <v>5.1060122602257341E-2</v>
      </c>
    </row>
    <row r="20" spans="1:5" x14ac:dyDescent="0.35">
      <c r="A20" s="57">
        <v>36039</v>
      </c>
      <c r="B20" s="47">
        <f>IF(VLOOKUP(Table311[[#This Row],[Date]],'DB Details'!$A:$Q,12)=0,"",VLOOKUP(Table311[[#This Row],[Date]],'DB Details'!$A:$Q,12))</f>
        <v>55</v>
      </c>
      <c r="C20" s="58">
        <f>IF(VLOOKUP(Table311[[#This Row],[Date]],'DB Details'!$A:$Q,16)=0,"",VLOOKUP(Table311[[#This Row],[Date]],'DB Details'!$A:$Q,16))</f>
        <v>4.0977686226798142E-2</v>
      </c>
      <c r="D20" s="58">
        <f>IF(VLOOKUP(Table311[[#This Row],[Date]],'DB Details'!$A:$Q,15)=0,"",VLOOKUP(Table311[[#This Row],[Date]],'DB Details'!$A:$Q,15))</f>
        <v>1.252764552668854E-2</v>
      </c>
      <c r="E20" s="58">
        <f>IF(VLOOKUP(Table311[[#This Row],[Date]],'DB Details'!$A:$Q,17)=0,"",VLOOKUP(Table311[[#This Row],[Date]],'DB Details'!$A:$Q,17))</f>
        <v>5.1060122602257341E-2</v>
      </c>
    </row>
    <row r="21" spans="1:5" x14ac:dyDescent="0.35">
      <c r="A21" s="57">
        <v>36069</v>
      </c>
      <c r="B21" s="47">
        <f>IF(VLOOKUP(Table311[[#This Row],[Date]],'DB Details'!$A:$Q,12)=0,"",VLOOKUP(Table311[[#This Row],[Date]],'DB Details'!$A:$Q,12))</f>
        <v>53.8</v>
      </c>
      <c r="C21" s="58">
        <f>IF(VLOOKUP(Table311[[#This Row],[Date]],'DB Details'!$A:$Q,16)=0,"",VLOOKUP(Table311[[#This Row],[Date]],'DB Details'!$A:$Q,16))</f>
        <v>4.8795407755980173E-2</v>
      </c>
      <c r="D21" s="58">
        <f>IF(VLOOKUP(Table311[[#This Row],[Date]],'DB Details'!$A:$Q,15)=0,"",VLOOKUP(Table311[[#This Row],[Date]],'DB Details'!$A:$Q,15))</f>
        <v>1.6161907023370281E-2</v>
      </c>
      <c r="E21" s="58">
        <f>IF(VLOOKUP(Table311[[#This Row],[Date]],'DB Details'!$A:$Q,17)=0,"",VLOOKUP(Table311[[#This Row],[Date]],'DB Details'!$A:$Q,17))</f>
        <v>6.6231826182913345E-2</v>
      </c>
    </row>
    <row r="22" spans="1:5" x14ac:dyDescent="0.35">
      <c r="A22" s="57">
        <v>36100</v>
      </c>
      <c r="B22" s="47">
        <f>IF(VLOOKUP(Table311[[#This Row],[Date]],'DB Details'!$A:$Q,12)=0,"",VLOOKUP(Table311[[#This Row],[Date]],'DB Details'!$A:$Q,12))</f>
        <v>52.6</v>
      </c>
      <c r="C22" s="58">
        <f>IF(VLOOKUP(Table311[[#This Row],[Date]],'DB Details'!$A:$Q,16)=0,"",VLOOKUP(Table311[[#This Row],[Date]],'DB Details'!$A:$Q,16))</f>
        <v>4.8795407755980173E-2</v>
      </c>
      <c r="D22" s="58">
        <f>IF(VLOOKUP(Table311[[#This Row],[Date]],'DB Details'!$A:$Q,15)=0,"",VLOOKUP(Table311[[#This Row],[Date]],'DB Details'!$A:$Q,15))</f>
        <v>1.6161907023370281E-2</v>
      </c>
      <c r="E22" s="58">
        <f>IF(VLOOKUP(Table311[[#This Row],[Date]],'DB Details'!$A:$Q,17)=0,"",VLOOKUP(Table311[[#This Row],[Date]],'DB Details'!$A:$Q,17))</f>
        <v>6.6231826182913345E-2</v>
      </c>
    </row>
    <row r="23" spans="1:5" x14ac:dyDescent="0.35">
      <c r="A23" s="57">
        <v>36130</v>
      </c>
      <c r="B23" s="47">
        <f>IF(VLOOKUP(Table311[[#This Row],[Date]],'DB Details'!$A:$Q,12)=0,"",VLOOKUP(Table311[[#This Row],[Date]],'DB Details'!$A:$Q,12))</f>
        <v>52.9</v>
      </c>
      <c r="C23" s="58">
        <f>IF(VLOOKUP(Table311[[#This Row],[Date]],'DB Details'!$A:$Q,16)=0,"",VLOOKUP(Table311[[#This Row],[Date]],'DB Details'!$A:$Q,16))</f>
        <v>4.8795407755980173E-2</v>
      </c>
      <c r="D23" s="58">
        <f>IF(VLOOKUP(Table311[[#This Row],[Date]],'DB Details'!$A:$Q,15)=0,"",VLOOKUP(Table311[[#This Row],[Date]],'DB Details'!$A:$Q,15))</f>
        <v>1.6161907023370281E-2</v>
      </c>
      <c r="E23" s="58">
        <f>IF(VLOOKUP(Table311[[#This Row],[Date]],'DB Details'!$A:$Q,17)=0,"",VLOOKUP(Table311[[#This Row],[Date]],'DB Details'!$A:$Q,17))</f>
        <v>6.6231826182913345E-2</v>
      </c>
    </row>
    <row r="24" spans="1:5" x14ac:dyDescent="0.35">
      <c r="A24" s="57">
        <v>36161</v>
      </c>
      <c r="B24" s="47">
        <f>IF(VLOOKUP(Table311[[#This Row],[Date]],'DB Details'!$A:$Q,12)=0,"",VLOOKUP(Table311[[#This Row],[Date]],'DB Details'!$A:$Q,12))</f>
        <v>55.6</v>
      </c>
      <c r="C24" s="58">
        <f>IF(VLOOKUP(Table311[[#This Row],[Date]],'DB Details'!$A:$Q,16)=0,"",VLOOKUP(Table311[[#This Row],[Date]],'DB Details'!$A:$Q,16))</f>
        <v>4.8218579316202298E-2</v>
      </c>
      <c r="D24" s="58">
        <f>IF(VLOOKUP(Table311[[#This Row],[Date]],'DB Details'!$A:$Q,15)=0,"",VLOOKUP(Table311[[#This Row],[Date]],'DB Details'!$A:$Q,15))</f>
        <v>9.438266145912767E-3</v>
      </c>
      <c r="E24" s="58">
        <f>IF(VLOOKUP(Table311[[#This Row],[Date]],'DB Details'!$A:$Q,17)=0,"",VLOOKUP(Table311[[#This Row],[Date]],'DB Details'!$A:$Q,17))</f>
        <v>3.8290920801855137E-2</v>
      </c>
    </row>
    <row r="25" spans="1:5" x14ac:dyDescent="0.35">
      <c r="A25" s="57">
        <v>36192</v>
      </c>
      <c r="B25" s="47">
        <f>IF(VLOOKUP(Table311[[#This Row],[Date]],'DB Details'!$A:$Q,12)=0,"",VLOOKUP(Table311[[#This Row],[Date]],'DB Details'!$A:$Q,12))</f>
        <v>54.4</v>
      </c>
      <c r="C25" s="58">
        <f>IF(VLOOKUP(Table311[[#This Row],[Date]],'DB Details'!$A:$Q,16)=0,"",VLOOKUP(Table311[[#This Row],[Date]],'DB Details'!$A:$Q,16))</f>
        <v>4.8218579316202298E-2</v>
      </c>
      <c r="D25" s="58">
        <f>IF(VLOOKUP(Table311[[#This Row],[Date]],'DB Details'!$A:$Q,15)=0,"",VLOOKUP(Table311[[#This Row],[Date]],'DB Details'!$A:$Q,15))</f>
        <v>9.438266145912767E-3</v>
      </c>
      <c r="E25" s="58">
        <f>IF(VLOOKUP(Table311[[#This Row],[Date]],'DB Details'!$A:$Q,17)=0,"",VLOOKUP(Table311[[#This Row],[Date]],'DB Details'!$A:$Q,17))</f>
        <v>3.8290920801855137E-2</v>
      </c>
    </row>
    <row r="26" spans="1:5" x14ac:dyDescent="0.35">
      <c r="A26" s="57">
        <v>36220</v>
      </c>
      <c r="B26" s="47">
        <f>IF(VLOOKUP(Table311[[#This Row],[Date]],'DB Details'!$A:$Q,12)=0,"",VLOOKUP(Table311[[#This Row],[Date]],'DB Details'!$A:$Q,12))</f>
        <v>55.3</v>
      </c>
      <c r="C26" s="58">
        <f>IF(VLOOKUP(Table311[[#This Row],[Date]],'DB Details'!$A:$Q,16)=0,"",VLOOKUP(Table311[[#This Row],[Date]],'DB Details'!$A:$Q,16))</f>
        <v>4.8218579316202298E-2</v>
      </c>
      <c r="D26" s="58">
        <f>IF(VLOOKUP(Table311[[#This Row],[Date]],'DB Details'!$A:$Q,15)=0,"",VLOOKUP(Table311[[#This Row],[Date]],'DB Details'!$A:$Q,15))</f>
        <v>9.438266145912767E-3</v>
      </c>
      <c r="E26" s="58">
        <f>IF(VLOOKUP(Table311[[#This Row],[Date]],'DB Details'!$A:$Q,17)=0,"",VLOOKUP(Table311[[#This Row],[Date]],'DB Details'!$A:$Q,17))</f>
        <v>3.8290920801855137E-2</v>
      </c>
    </row>
    <row r="27" spans="1:5" x14ac:dyDescent="0.35">
      <c r="A27" s="57">
        <v>36251</v>
      </c>
      <c r="B27" s="47">
        <f>IF(VLOOKUP(Table311[[#This Row],[Date]],'DB Details'!$A:$Q,12)=0,"",VLOOKUP(Table311[[#This Row],[Date]],'DB Details'!$A:$Q,12))</f>
        <v>55.5</v>
      </c>
      <c r="C27" s="58">
        <f>IF(VLOOKUP(Table311[[#This Row],[Date]],'DB Details'!$A:$Q,16)=0,"",VLOOKUP(Table311[[#This Row],[Date]],'DB Details'!$A:$Q,16))</f>
        <v>4.7275315134735367E-2</v>
      </c>
      <c r="D27" s="58">
        <f>IF(VLOOKUP(Table311[[#This Row],[Date]],'DB Details'!$A:$Q,15)=0,"",VLOOKUP(Table311[[#This Row],[Date]],'DB Details'!$A:$Q,15))</f>
        <v>8.3500002981279006E-3</v>
      </c>
      <c r="E27" s="58">
        <f>IF(VLOOKUP(Table311[[#This Row],[Date]],'DB Details'!$A:$Q,17)=0,"",VLOOKUP(Table311[[#This Row],[Date]],'DB Details'!$A:$Q,17))</f>
        <v>3.3820669815360922E-2</v>
      </c>
    </row>
    <row r="28" spans="1:5" x14ac:dyDescent="0.35">
      <c r="A28" s="57">
        <v>36281</v>
      </c>
      <c r="B28" s="47">
        <f>IF(VLOOKUP(Table311[[#This Row],[Date]],'DB Details'!$A:$Q,12)=0,"",VLOOKUP(Table311[[#This Row],[Date]],'DB Details'!$A:$Q,12))</f>
        <v>55.3</v>
      </c>
      <c r="C28" s="58">
        <f>IF(VLOOKUP(Table311[[#This Row],[Date]],'DB Details'!$A:$Q,16)=0,"",VLOOKUP(Table311[[#This Row],[Date]],'DB Details'!$A:$Q,16))</f>
        <v>4.7275315134735367E-2</v>
      </c>
      <c r="D28" s="58">
        <f>IF(VLOOKUP(Table311[[#This Row],[Date]],'DB Details'!$A:$Q,15)=0,"",VLOOKUP(Table311[[#This Row],[Date]],'DB Details'!$A:$Q,15))</f>
        <v>8.3500002981279006E-3</v>
      </c>
      <c r="E28" s="58">
        <f>IF(VLOOKUP(Table311[[#This Row],[Date]],'DB Details'!$A:$Q,17)=0,"",VLOOKUP(Table311[[#This Row],[Date]],'DB Details'!$A:$Q,17))</f>
        <v>3.3820669815360922E-2</v>
      </c>
    </row>
    <row r="29" spans="1:5" x14ac:dyDescent="0.35">
      <c r="A29" s="57">
        <v>36312</v>
      </c>
      <c r="B29" s="47">
        <f>IF(VLOOKUP(Table311[[#This Row],[Date]],'DB Details'!$A:$Q,12)=0,"",VLOOKUP(Table311[[#This Row],[Date]],'DB Details'!$A:$Q,12))</f>
        <v>56.7</v>
      </c>
      <c r="C29" s="58">
        <f>IF(VLOOKUP(Table311[[#This Row],[Date]],'DB Details'!$A:$Q,16)=0,"",VLOOKUP(Table311[[#This Row],[Date]],'DB Details'!$A:$Q,16))</f>
        <v>4.7275315134735367E-2</v>
      </c>
      <c r="D29" s="58">
        <f>IF(VLOOKUP(Table311[[#This Row],[Date]],'DB Details'!$A:$Q,15)=0,"",VLOOKUP(Table311[[#This Row],[Date]],'DB Details'!$A:$Q,15))</f>
        <v>8.3500002981279006E-3</v>
      </c>
      <c r="E29" s="58">
        <f>IF(VLOOKUP(Table311[[#This Row],[Date]],'DB Details'!$A:$Q,17)=0,"",VLOOKUP(Table311[[#This Row],[Date]],'DB Details'!$A:$Q,17))</f>
        <v>3.3820669815360922E-2</v>
      </c>
    </row>
    <row r="30" spans="1:5" x14ac:dyDescent="0.35">
      <c r="A30" s="57">
        <v>36342</v>
      </c>
      <c r="B30" s="47">
        <f>IF(VLOOKUP(Table311[[#This Row],[Date]],'DB Details'!$A:$Q,12)=0,"",VLOOKUP(Table311[[#This Row],[Date]],'DB Details'!$A:$Q,12))</f>
        <v>56.2</v>
      </c>
      <c r="C30" s="58">
        <f>IF(VLOOKUP(Table311[[#This Row],[Date]],'DB Details'!$A:$Q,16)=0,"",VLOOKUP(Table311[[#This Row],[Date]],'DB Details'!$A:$Q,16))</f>
        <v>4.8002052368625307E-2</v>
      </c>
      <c r="D30" s="58">
        <f>IF(VLOOKUP(Table311[[#This Row],[Date]],'DB Details'!$A:$Q,15)=0,"",VLOOKUP(Table311[[#This Row],[Date]],'DB Details'!$A:$Q,15))</f>
        <v>1.3230270261286141E-2</v>
      </c>
      <c r="E30" s="58">
        <f>IF(VLOOKUP(Table311[[#This Row],[Date]],'DB Details'!$A:$Q,17)=0,"",VLOOKUP(Table311[[#This Row],[Date]],'DB Details'!$A:$Q,17))</f>
        <v>5.3980615300018853E-2</v>
      </c>
    </row>
    <row r="31" spans="1:5" x14ac:dyDescent="0.35">
      <c r="A31" s="57">
        <v>36373</v>
      </c>
      <c r="B31" s="47">
        <f>IF(VLOOKUP(Table311[[#This Row],[Date]],'DB Details'!$A:$Q,12)=0,"",VLOOKUP(Table311[[#This Row],[Date]],'DB Details'!$A:$Q,12))</f>
        <v>56.4</v>
      </c>
      <c r="C31" s="58">
        <f>IF(VLOOKUP(Table311[[#This Row],[Date]],'DB Details'!$A:$Q,16)=0,"",VLOOKUP(Table311[[#This Row],[Date]],'DB Details'!$A:$Q,16))</f>
        <v>4.8002052368625307E-2</v>
      </c>
      <c r="D31" s="58">
        <f>IF(VLOOKUP(Table311[[#This Row],[Date]],'DB Details'!$A:$Q,15)=0,"",VLOOKUP(Table311[[#This Row],[Date]],'DB Details'!$A:$Q,15))</f>
        <v>1.3230270261286141E-2</v>
      </c>
      <c r="E31" s="58">
        <f>IF(VLOOKUP(Table311[[#This Row],[Date]],'DB Details'!$A:$Q,17)=0,"",VLOOKUP(Table311[[#This Row],[Date]],'DB Details'!$A:$Q,17))</f>
        <v>5.3980615300018853E-2</v>
      </c>
    </row>
    <row r="32" spans="1:5" x14ac:dyDescent="0.35">
      <c r="A32" s="57">
        <v>36404</v>
      </c>
      <c r="B32" s="47">
        <f>IF(VLOOKUP(Table311[[#This Row],[Date]],'DB Details'!$A:$Q,12)=0,"",VLOOKUP(Table311[[#This Row],[Date]],'DB Details'!$A:$Q,12))</f>
        <v>56.2</v>
      </c>
      <c r="C32" s="58">
        <f>IF(VLOOKUP(Table311[[#This Row],[Date]],'DB Details'!$A:$Q,16)=0,"",VLOOKUP(Table311[[#This Row],[Date]],'DB Details'!$A:$Q,16))</f>
        <v>4.8002052368625307E-2</v>
      </c>
      <c r="D32" s="58">
        <f>IF(VLOOKUP(Table311[[#This Row],[Date]],'DB Details'!$A:$Q,15)=0,"",VLOOKUP(Table311[[#This Row],[Date]],'DB Details'!$A:$Q,15))</f>
        <v>1.3230270261286141E-2</v>
      </c>
      <c r="E32" s="58">
        <f>IF(VLOOKUP(Table311[[#This Row],[Date]],'DB Details'!$A:$Q,17)=0,"",VLOOKUP(Table311[[#This Row],[Date]],'DB Details'!$A:$Q,17))</f>
        <v>5.3980615300018853E-2</v>
      </c>
    </row>
    <row r="33" spans="1:5" x14ac:dyDescent="0.35">
      <c r="A33" s="57">
        <v>36434</v>
      </c>
      <c r="B33" s="47">
        <f>IF(VLOOKUP(Table311[[#This Row],[Date]],'DB Details'!$A:$Q,12)=0,"",VLOOKUP(Table311[[#This Row],[Date]],'DB Details'!$A:$Q,12))</f>
        <v>57.6</v>
      </c>
      <c r="C33" s="58">
        <f>IF(VLOOKUP(Table311[[#This Row],[Date]],'DB Details'!$A:$Q,16)=0,"",VLOOKUP(Table311[[#This Row],[Date]],'DB Details'!$A:$Q,16))</f>
        <v>4.827626650330151E-2</v>
      </c>
      <c r="D33" s="58">
        <f>IF(VLOOKUP(Table311[[#This Row],[Date]],'DB Details'!$A:$Q,15)=0,"",VLOOKUP(Table311[[#This Row],[Date]],'DB Details'!$A:$Q,15))</f>
        <v>1.6427790050407821E-2</v>
      </c>
      <c r="E33" s="58">
        <f>IF(VLOOKUP(Table311[[#This Row],[Date]],'DB Details'!$A:$Q,17)=0,"",VLOOKUP(Table311[[#This Row],[Date]],'DB Details'!$A:$Q,17))</f>
        <v>6.734820036933864E-2</v>
      </c>
    </row>
    <row r="34" spans="1:5" x14ac:dyDescent="0.35">
      <c r="A34" s="57">
        <v>36465</v>
      </c>
      <c r="B34" s="47">
        <f>IF(VLOOKUP(Table311[[#This Row],[Date]],'DB Details'!$A:$Q,12)=0,"",VLOOKUP(Table311[[#This Row],[Date]],'DB Details'!$A:$Q,12))</f>
        <v>54.9</v>
      </c>
      <c r="C34" s="58">
        <f>IF(VLOOKUP(Table311[[#This Row],[Date]],'DB Details'!$A:$Q,16)=0,"",VLOOKUP(Table311[[#This Row],[Date]],'DB Details'!$A:$Q,16))</f>
        <v>4.827626650330151E-2</v>
      </c>
      <c r="D34" s="58">
        <f>IF(VLOOKUP(Table311[[#This Row],[Date]],'DB Details'!$A:$Q,15)=0,"",VLOOKUP(Table311[[#This Row],[Date]],'DB Details'!$A:$Q,15))</f>
        <v>1.6427790050407821E-2</v>
      </c>
      <c r="E34" s="58">
        <f>IF(VLOOKUP(Table311[[#This Row],[Date]],'DB Details'!$A:$Q,17)=0,"",VLOOKUP(Table311[[#This Row],[Date]],'DB Details'!$A:$Q,17))</f>
        <v>6.734820036933864E-2</v>
      </c>
    </row>
    <row r="35" spans="1:5" x14ac:dyDescent="0.35">
      <c r="A35" s="57">
        <v>36495</v>
      </c>
      <c r="B35" s="47">
        <f>IF(VLOOKUP(Table311[[#This Row],[Date]],'DB Details'!$A:$Q,12)=0,"",VLOOKUP(Table311[[#This Row],[Date]],'DB Details'!$A:$Q,12))</f>
        <v>56.9</v>
      </c>
      <c r="C35" s="58">
        <f>IF(VLOOKUP(Table311[[#This Row],[Date]],'DB Details'!$A:$Q,16)=0,"",VLOOKUP(Table311[[#This Row],[Date]],'DB Details'!$A:$Q,16))</f>
        <v>4.827626650330151E-2</v>
      </c>
      <c r="D35" s="58">
        <f>IF(VLOOKUP(Table311[[#This Row],[Date]],'DB Details'!$A:$Q,15)=0,"",VLOOKUP(Table311[[#This Row],[Date]],'DB Details'!$A:$Q,15))</f>
        <v>1.6427790050407821E-2</v>
      </c>
      <c r="E35" s="58">
        <f>IF(VLOOKUP(Table311[[#This Row],[Date]],'DB Details'!$A:$Q,17)=0,"",VLOOKUP(Table311[[#This Row],[Date]],'DB Details'!$A:$Q,17))</f>
        <v>6.734820036933864E-2</v>
      </c>
    </row>
    <row r="36" spans="1:5" x14ac:dyDescent="0.35">
      <c r="A36" s="57">
        <v>36526</v>
      </c>
      <c r="B36" s="47">
        <f>IF(VLOOKUP(Table311[[#This Row],[Date]],'DB Details'!$A:$Q,12)=0,"",VLOOKUP(Table311[[#This Row],[Date]],'DB Details'!$A:$Q,12))</f>
        <v>56.6</v>
      </c>
      <c r="C36" s="58">
        <f>IF(VLOOKUP(Table311[[#This Row],[Date]],'DB Details'!$A:$Q,16)=0,"",VLOOKUP(Table311[[#This Row],[Date]],'DB Details'!$A:$Q,16))</f>
        <v>4.225955858689924E-2</v>
      </c>
      <c r="D36" s="58">
        <f>IF(VLOOKUP(Table311[[#This Row],[Date]],'DB Details'!$A:$Q,15)=0,"",VLOOKUP(Table311[[#This Row],[Date]],'DB Details'!$A:$Q,15))</f>
        <v>3.6444736113372721E-3</v>
      </c>
      <c r="E36" s="58">
        <f>IF(VLOOKUP(Table311[[#This Row],[Date]],'DB Details'!$A:$Q,17)=0,"",VLOOKUP(Table311[[#This Row],[Date]],'DB Details'!$A:$Q,17))</f>
        <v>1.46577813755211E-2</v>
      </c>
    </row>
    <row r="37" spans="1:5" x14ac:dyDescent="0.35">
      <c r="A37" s="57">
        <v>36557</v>
      </c>
      <c r="B37" s="47">
        <f>IF(VLOOKUP(Table311[[#This Row],[Date]],'DB Details'!$A:$Q,12)=0,"",VLOOKUP(Table311[[#This Row],[Date]],'DB Details'!$A:$Q,12))</f>
        <v>56.2</v>
      </c>
      <c r="C37" s="58">
        <f>IF(VLOOKUP(Table311[[#This Row],[Date]],'DB Details'!$A:$Q,16)=0,"",VLOOKUP(Table311[[#This Row],[Date]],'DB Details'!$A:$Q,16))</f>
        <v>4.225955858689924E-2</v>
      </c>
      <c r="D37" s="58">
        <f>IF(VLOOKUP(Table311[[#This Row],[Date]],'DB Details'!$A:$Q,15)=0,"",VLOOKUP(Table311[[#This Row],[Date]],'DB Details'!$A:$Q,15))</f>
        <v>3.6444736113372721E-3</v>
      </c>
      <c r="E37" s="58">
        <f>IF(VLOOKUP(Table311[[#This Row],[Date]],'DB Details'!$A:$Q,17)=0,"",VLOOKUP(Table311[[#This Row],[Date]],'DB Details'!$A:$Q,17))</f>
        <v>1.46577813755211E-2</v>
      </c>
    </row>
    <row r="38" spans="1:5" x14ac:dyDescent="0.35">
      <c r="A38" s="57">
        <v>36586</v>
      </c>
      <c r="B38" s="47">
        <f>IF(VLOOKUP(Table311[[#This Row],[Date]],'DB Details'!$A:$Q,12)=0,"",VLOOKUP(Table311[[#This Row],[Date]],'DB Details'!$A:$Q,12))</f>
        <v>57.4</v>
      </c>
      <c r="C38" s="58">
        <f>IF(VLOOKUP(Table311[[#This Row],[Date]],'DB Details'!$A:$Q,16)=0,"",VLOOKUP(Table311[[#This Row],[Date]],'DB Details'!$A:$Q,16))</f>
        <v>4.225955858689924E-2</v>
      </c>
      <c r="D38" s="58">
        <f>IF(VLOOKUP(Table311[[#This Row],[Date]],'DB Details'!$A:$Q,15)=0,"",VLOOKUP(Table311[[#This Row],[Date]],'DB Details'!$A:$Q,15))</f>
        <v>3.6444736113372721E-3</v>
      </c>
      <c r="E38" s="58">
        <f>IF(VLOOKUP(Table311[[#This Row],[Date]],'DB Details'!$A:$Q,17)=0,"",VLOOKUP(Table311[[#This Row],[Date]],'DB Details'!$A:$Q,17))</f>
        <v>1.46577813755211E-2</v>
      </c>
    </row>
    <row r="39" spans="1:5" x14ac:dyDescent="0.35">
      <c r="A39" s="57">
        <v>36617</v>
      </c>
      <c r="B39" s="47">
        <f>IF(VLOOKUP(Table311[[#This Row],[Date]],'DB Details'!$A:$Q,12)=0,"",VLOOKUP(Table311[[#This Row],[Date]],'DB Details'!$A:$Q,12))</f>
        <v>58</v>
      </c>
      <c r="C39" s="58">
        <f>IF(VLOOKUP(Table311[[#This Row],[Date]],'DB Details'!$A:$Q,16)=0,"",VLOOKUP(Table311[[#This Row],[Date]],'DB Details'!$A:$Q,16))</f>
        <v>5.2446827688533121E-2</v>
      </c>
      <c r="D39" s="58">
        <f>IF(VLOOKUP(Table311[[#This Row],[Date]],'DB Details'!$A:$Q,15)=0,"",VLOOKUP(Table311[[#This Row],[Date]],'DB Details'!$A:$Q,15))</f>
        <v>1.820583008355766E-2</v>
      </c>
      <c r="E39" s="58">
        <f>IF(VLOOKUP(Table311[[#This Row],[Date]],'DB Details'!$A:$Q,17)=0,"",VLOOKUP(Table311[[#This Row],[Date]],'DB Details'!$A:$Q,17))</f>
        <v>7.4836281142319105E-2</v>
      </c>
    </row>
    <row r="40" spans="1:5" x14ac:dyDescent="0.35">
      <c r="A40" s="57">
        <v>36647</v>
      </c>
      <c r="B40" s="47">
        <f>IF(VLOOKUP(Table311[[#This Row],[Date]],'DB Details'!$A:$Q,12)=0,"",VLOOKUP(Table311[[#This Row],[Date]],'DB Details'!$A:$Q,12))</f>
        <v>57.7</v>
      </c>
      <c r="C40" s="58">
        <f>IF(VLOOKUP(Table311[[#This Row],[Date]],'DB Details'!$A:$Q,16)=0,"",VLOOKUP(Table311[[#This Row],[Date]],'DB Details'!$A:$Q,16))</f>
        <v>5.2446827688533121E-2</v>
      </c>
      <c r="D40" s="58">
        <f>IF(VLOOKUP(Table311[[#This Row],[Date]],'DB Details'!$A:$Q,15)=0,"",VLOOKUP(Table311[[#This Row],[Date]],'DB Details'!$A:$Q,15))</f>
        <v>1.820583008355766E-2</v>
      </c>
      <c r="E40" s="58">
        <f>IF(VLOOKUP(Table311[[#This Row],[Date]],'DB Details'!$A:$Q,17)=0,"",VLOOKUP(Table311[[#This Row],[Date]],'DB Details'!$A:$Q,17))</f>
        <v>7.4836281142319105E-2</v>
      </c>
    </row>
    <row r="41" spans="1:5" x14ac:dyDescent="0.35">
      <c r="A41" s="57">
        <v>36678</v>
      </c>
      <c r="B41" s="47">
        <f>IF(VLOOKUP(Table311[[#This Row],[Date]],'DB Details'!$A:$Q,12)=0,"",VLOOKUP(Table311[[#This Row],[Date]],'DB Details'!$A:$Q,12))</f>
        <v>56.9</v>
      </c>
      <c r="C41" s="58">
        <f>IF(VLOOKUP(Table311[[#This Row],[Date]],'DB Details'!$A:$Q,16)=0,"",VLOOKUP(Table311[[#This Row],[Date]],'DB Details'!$A:$Q,16))</f>
        <v>5.2446827688533121E-2</v>
      </c>
      <c r="D41" s="58">
        <f>IF(VLOOKUP(Table311[[#This Row],[Date]],'DB Details'!$A:$Q,15)=0,"",VLOOKUP(Table311[[#This Row],[Date]],'DB Details'!$A:$Q,15))</f>
        <v>1.820583008355766E-2</v>
      </c>
      <c r="E41" s="58">
        <f>IF(VLOOKUP(Table311[[#This Row],[Date]],'DB Details'!$A:$Q,17)=0,"",VLOOKUP(Table311[[#This Row],[Date]],'DB Details'!$A:$Q,17))</f>
        <v>7.4836281142319105E-2</v>
      </c>
    </row>
    <row r="42" spans="1:5" x14ac:dyDescent="0.35">
      <c r="A42" s="57">
        <v>36708</v>
      </c>
      <c r="B42" s="47">
        <f>IF(VLOOKUP(Table311[[#This Row],[Date]],'DB Details'!$A:$Q,12)=0,"",VLOOKUP(Table311[[#This Row],[Date]],'DB Details'!$A:$Q,12))</f>
        <v>55.3</v>
      </c>
      <c r="C42" s="58">
        <f>IF(VLOOKUP(Table311[[#This Row],[Date]],'DB Details'!$A:$Q,16)=0,"",VLOOKUP(Table311[[#This Row],[Date]],'DB Details'!$A:$Q,16))</f>
        <v>3.9740844955791207E-2</v>
      </c>
      <c r="D42" s="58">
        <f>IF(VLOOKUP(Table311[[#This Row],[Date]],'DB Details'!$A:$Q,15)=0,"",VLOOKUP(Table311[[#This Row],[Date]],'DB Details'!$A:$Q,15))</f>
        <v>9.9774128259521319E-4</v>
      </c>
      <c r="E42" s="58">
        <f>IF(VLOOKUP(Table311[[#This Row],[Date]],'DB Details'!$A:$Q,17)=0,"",VLOOKUP(Table311[[#This Row],[Date]],'DB Details'!$A:$Q,17))</f>
        <v>3.9969420303305192E-3</v>
      </c>
    </row>
    <row r="43" spans="1:5" x14ac:dyDescent="0.35">
      <c r="A43" s="57">
        <v>36739</v>
      </c>
      <c r="B43" s="47">
        <f>IF(VLOOKUP(Table311[[#This Row],[Date]],'DB Details'!$A:$Q,12)=0,"",VLOOKUP(Table311[[#This Row],[Date]],'DB Details'!$A:$Q,12))</f>
        <v>57.6</v>
      </c>
      <c r="C43" s="58">
        <f>IF(VLOOKUP(Table311[[#This Row],[Date]],'DB Details'!$A:$Q,16)=0,"",VLOOKUP(Table311[[#This Row],[Date]],'DB Details'!$A:$Q,16))</f>
        <v>3.9740844955791207E-2</v>
      </c>
      <c r="D43" s="58">
        <f>IF(VLOOKUP(Table311[[#This Row],[Date]],'DB Details'!$A:$Q,15)=0,"",VLOOKUP(Table311[[#This Row],[Date]],'DB Details'!$A:$Q,15))</f>
        <v>9.9774128259521319E-4</v>
      </c>
      <c r="E43" s="58">
        <f>IF(VLOOKUP(Table311[[#This Row],[Date]],'DB Details'!$A:$Q,17)=0,"",VLOOKUP(Table311[[#This Row],[Date]],'DB Details'!$A:$Q,17))</f>
        <v>3.9969420303305192E-3</v>
      </c>
    </row>
    <row r="44" spans="1:5" x14ac:dyDescent="0.35">
      <c r="A44" s="57">
        <v>36770</v>
      </c>
      <c r="B44" s="47">
        <f>IF(VLOOKUP(Table311[[#This Row],[Date]],'DB Details'!$A:$Q,12)=0,"",VLOOKUP(Table311[[#This Row],[Date]],'DB Details'!$A:$Q,12))</f>
        <v>56.7</v>
      </c>
      <c r="C44" s="58">
        <f>IF(VLOOKUP(Table311[[#This Row],[Date]],'DB Details'!$A:$Q,16)=0,"",VLOOKUP(Table311[[#This Row],[Date]],'DB Details'!$A:$Q,16))</f>
        <v>3.9740844955791207E-2</v>
      </c>
      <c r="D44" s="58">
        <f>IF(VLOOKUP(Table311[[#This Row],[Date]],'DB Details'!$A:$Q,15)=0,"",VLOOKUP(Table311[[#This Row],[Date]],'DB Details'!$A:$Q,15))</f>
        <v>9.9774128259521319E-4</v>
      </c>
      <c r="E44" s="58">
        <f>IF(VLOOKUP(Table311[[#This Row],[Date]],'DB Details'!$A:$Q,17)=0,"",VLOOKUP(Table311[[#This Row],[Date]],'DB Details'!$A:$Q,17))</f>
        <v>3.9969420303305192E-3</v>
      </c>
    </row>
    <row r="45" spans="1:5" x14ac:dyDescent="0.35">
      <c r="A45" s="57">
        <v>36800</v>
      </c>
      <c r="B45" s="47">
        <f>IF(VLOOKUP(Table311[[#This Row],[Date]],'DB Details'!$A:$Q,12)=0,"",VLOOKUP(Table311[[#This Row],[Date]],'DB Details'!$A:$Q,12))</f>
        <v>56.7</v>
      </c>
      <c r="C45" s="58">
        <f>IF(VLOOKUP(Table311[[#This Row],[Date]],'DB Details'!$A:$Q,16)=0,"",VLOOKUP(Table311[[#This Row],[Date]],'DB Details'!$A:$Q,16))</f>
        <v>2.9016204721172601E-2</v>
      </c>
      <c r="D45" s="58">
        <f>IF(VLOOKUP(Table311[[#This Row],[Date]],'DB Details'!$A:$Q,15)=0,"",VLOOKUP(Table311[[#This Row],[Date]],'DB Details'!$A:$Q,15))</f>
        <v>5.9436175514207554E-3</v>
      </c>
      <c r="E45" s="58">
        <f>IF(VLOOKUP(Table311[[#This Row],[Date]],'DB Details'!$A:$Q,17)=0,"",VLOOKUP(Table311[[#This Row],[Date]],'DB Details'!$A:$Q,17))</f>
        <v>2.3987270862187989E-2</v>
      </c>
    </row>
    <row r="46" spans="1:5" x14ac:dyDescent="0.35">
      <c r="A46" s="57">
        <v>36831</v>
      </c>
      <c r="B46" s="47">
        <f>IF(VLOOKUP(Table311[[#This Row],[Date]],'DB Details'!$A:$Q,12)=0,"",VLOOKUP(Table311[[#This Row],[Date]],'DB Details'!$A:$Q,12))</f>
        <v>56.2</v>
      </c>
      <c r="C46" s="58">
        <f>IF(VLOOKUP(Table311[[#This Row],[Date]],'DB Details'!$A:$Q,16)=0,"",VLOOKUP(Table311[[#This Row],[Date]],'DB Details'!$A:$Q,16))</f>
        <v>2.9016204721172601E-2</v>
      </c>
      <c r="D46" s="58">
        <f>IF(VLOOKUP(Table311[[#This Row],[Date]],'DB Details'!$A:$Q,15)=0,"",VLOOKUP(Table311[[#This Row],[Date]],'DB Details'!$A:$Q,15))</f>
        <v>5.9436175514207554E-3</v>
      </c>
      <c r="E46" s="58">
        <f>IF(VLOOKUP(Table311[[#This Row],[Date]],'DB Details'!$A:$Q,17)=0,"",VLOOKUP(Table311[[#This Row],[Date]],'DB Details'!$A:$Q,17))</f>
        <v>2.3987270862187989E-2</v>
      </c>
    </row>
    <row r="47" spans="1:5" x14ac:dyDescent="0.35">
      <c r="A47" s="57">
        <v>36861</v>
      </c>
      <c r="B47" s="47">
        <f>IF(VLOOKUP(Table311[[#This Row],[Date]],'DB Details'!$A:$Q,12)=0,"",VLOOKUP(Table311[[#This Row],[Date]],'DB Details'!$A:$Q,12))</f>
        <v>54</v>
      </c>
      <c r="C47" s="58">
        <f>IF(VLOOKUP(Table311[[#This Row],[Date]],'DB Details'!$A:$Q,16)=0,"",VLOOKUP(Table311[[#This Row],[Date]],'DB Details'!$A:$Q,16))</f>
        <v>2.9016204721172601E-2</v>
      </c>
      <c r="D47" s="58">
        <f>IF(VLOOKUP(Table311[[#This Row],[Date]],'DB Details'!$A:$Q,15)=0,"",VLOOKUP(Table311[[#This Row],[Date]],'DB Details'!$A:$Q,15))</f>
        <v>5.9436175514207554E-3</v>
      </c>
      <c r="E47" s="58">
        <f>IF(VLOOKUP(Table311[[#This Row],[Date]],'DB Details'!$A:$Q,17)=0,"",VLOOKUP(Table311[[#This Row],[Date]],'DB Details'!$A:$Q,17))</f>
        <v>2.3987270862187989E-2</v>
      </c>
    </row>
    <row r="48" spans="1:5" x14ac:dyDescent="0.35">
      <c r="A48" s="57">
        <v>36892</v>
      </c>
      <c r="B48" s="47">
        <f>IF(VLOOKUP(Table311[[#This Row],[Date]],'DB Details'!$A:$Q,12)=0,"",VLOOKUP(Table311[[#This Row],[Date]],'DB Details'!$A:$Q,12))</f>
        <v>51.6</v>
      </c>
      <c r="C48" s="58">
        <f>IF(VLOOKUP(Table311[[#This Row],[Date]],'DB Details'!$A:$Q,16)=0,"",VLOOKUP(Table311[[#This Row],[Date]],'DB Details'!$A:$Q,16))</f>
        <v>2.1955428467879849E-2</v>
      </c>
      <c r="D48" s="58">
        <f>IF(VLOOKUP(Table311[[#This Row],[Date]],'DB Details'!$A:$Q,15)=0,"",VLOOKUP(Table311[[#This Row],[Date]],'DB Details'!$A:$Q,15))</f>
        <v>-3.2422100322343338E-3</v>
      </c>
      <c r="E48" s="58">
        <f>IF(VLOOKUP(Table311[[#This Row],[Date]],'DB Details'!$A:$Q,17)=0,"",VLOOKUP(Table311[[#This Row],[Date]],'DB Details'!$A:$Q,17))</f>
        <v>-1.2905904790564421E-2</v>
      </c>
    </row>
    <row r="49" spans="1:5" x14ac:dyDescent="0.35">
      <c r="A49" s="57">
        <v>36923</v>
      </c>
      <c r="B49" s="47">
        <f>IF(VLOOKUP(Table311[[#This Row],[Date]],'DB Details'!$A:$Q,12)=0,"",VLOOKUP(Table311[[#This Row],[Date]],'DB Details'!$A:$Q,12))</f>
        <v>51.3</v>
      </c>
      <c r="C49" s="58">
        <f>IF(VLOOKUP(Table311[[#This Row],[Date]],'DB Details'!$A:$Q,16)=0,"",VLOOKUP(Table311[[#This Row],[Date]],'DB Details'!$A:$Q,16))</f>
        <v>2.1955428467879849E-2</v>
      </c>
      <c r="D49" s="58">
        <f>IF(VLOOKUP(Table311[[#This Row],[Date]],'DB Details'!$A:$Q,15)=0,"",VLOOKUP(Table311[[#This Row],[Date]],'DB Details'!$A:$Q,15))</f>
        <v>-3.2422100322343338E-3</v>
      </c>
      <c r="E49" s="58">
        <f>IF(VLOOKUP(Table311[[#This Row],[Date]],'DB Details'!$A:$Q,17)=0,"",VLOOKUP(Table311[[#This Row],[Date]],'DB Details'!$A:$Q,17))</f>
        <v>-1.2905904790564421E-2</v>
      </c>
    </row>
    <row r="50" spans="1:5" x14ac:dyDescent="0.35">
      <c r="A50" s="57">
        <v>36951</v>
      </c>
      <c r="B50" s="47">
        <f>IF(VLOOKUP(Table311[[#This Row],[Date]],'DB Details'!$A:$Q,12)=0,"",VLOOKUP(Table311[[#This Row],[Date]],'DB Details'!$A:$Q,12))</f>
        <v>50.7</v>
      </c>
      <c r="C50" s="58">
        <f>IF(VLOOKUP(Table311[[#This Row],[Date]],'DB Details'!$A:$Q,16)=0,"",VLOOKUP(Table311[[#This Row],[Date]],'DB Details'!$A:$Q,16))</f>
        <v>2.1955428467879849E-2</v>
      </c>
      <c r="D50" s="58">
        <f>IF(VLOOKUP(Table311[[#This Row],[Date]],'DB Details'!$A:$Q,15)=0,"",VLOOKUP(Table311[[#This Row],[Date]],'DB Details'!$A:$Q,15))</f>
        <v>-3.2422100322343338E-3</v>
      </c>
      <c r="E50" s="58">
        <f>IF(VLOOKUP(Table311[[#This Row],[Date]],'DB Details'!$A:$Q,17)=0,"",VLOOKUP(Table311[[#This Row],[Date]],'DB Details'!$A:$Q,17))</f>
        <v>-1.2905904790564421E-2</v>
      </c>
    </row>
    <row r="51" spans="1:5" x14ac:dyDescent="0.35">
      <c r="A51" s="57">
        <v>36982</v>
      </c>
      <c r="B51" s="47">
        <f>IF(VLOOKUP(Table311[[#This Row],[Date]],'DB Details'!$A:$Q,12)=0,"",VLOOKUP(Table311[[#This Row],[Date]],'DB Details'!$A:$Q,12))</f>
        <v>48.3</v>
      </c>
      <c r="C51" s="58">
        <f>IF(VLOOKUP(Table311[[#This Row],[Date]],'DB Details'!$A:$Q,16)=0,"",VLOOKUP(Table311[[#This Row],[Date]],'DB Details'!$A:$Q,16))</f>
        <v>9.9193295688802842E-3</v>
      </c>
      <c r="D51" s="58">
        <f>IF(VLOOKUP(Table311[[#This Row],[Date]],'DB Details'!$A:$Q,15)=0,"",VLOOKUP(Table311[[#This Row],[Date]],'DB Details'!$A:$Q,15))</f>
        <v>6.2138921486550201E-3</v>
      </c>
      <c r="E51" s="58">
        <f>IF(VLOOKUP(Table311[[#This Row],[Date]],'DB Details'!$A:$Q,17)=0,"",VLOOKUP(Table311[[#This Row],[Date]],'DB Details'!$A:$Q,17))</f>
        <v>2.508820455389205E-2</v>
      </c>
    </row>
    <row r="52" spans="1:5" x14ac:dyDescent="0.35">
      <c r="A52" s="57">
        <v>37012</v>
      </c>
      <c r="B52" s="47">
        <f>IF(VLOOKUP(Table311[[#This Row],[Date]],'DB Details'!$A:$Q,12)=0,"",VLOOKUP(Table311[[#This Row],[Date]],'DB Details'!$A:$Q,12))</f>
        <v>49</v>
      </c>
      <c r="C52" s="58">
        <f>IF(VLOOKUP(Table311[[#This Row],[Date]],'DB Details'!$A:$Q,16)=0,"",VLOOKUP(Table311[[#This Row],[Date]],'DB Details'!$A:$Q,16))</f>
        <v>9.9193295688802842E-3</v>
      </c>
      <c r="D52" s="58">
        <f>IF(VLOOKUP(Table311[[#This Row],[Date]],'DB Details'!$A:$Q,15)=0,"",VLOOKUP(Table311[[#This Row],[Date]],'DB Details'!$A:$Q,15))</f>
        <v>6.2138921486550201E-3</v>
      </c>
      <c r="E52" s="58">
        <f>IF(VLOOKUP(Table311[[#This Row],[Date]],'DB Details'!$A:$Q,17)=0,"",VLOOKUP(Table311[[#This Row],[Date]],'DB Details'!$A:$Q,17))</f>
        <v>2.508820455389205E-2</v>
      </c>
    </row>
    <row r="53" spans="1:5" x14ac:dyDescent="0.35">
      <c r="A53" s="57">
        <v>37043</v>
      </c>
      <c r="B53" s="47">
        <f>IF(VLOOKUP(Table311[[#This Row],[Date]],'DB Details'!$A:$Q,12)=0,"",VLOOKUP(Table311[[#This Row],[Date]],'DB Details'!$A:$Q,12))</f>
        <v>50.1</v>
      </c>
      <c r="C53" s="58">
        <f>IF(VLOOKUP(Table311[[#This Row],[Date]],'DB Details'!$A:$Q,16)=0,"",VLOOKUP(Table311[[#This Row],[Date]],'DB Details'!$A:$Q,16))</f>
        <v>9.9193295688802842E-3</v>
      </c>
      <c r="D53" s="58">
        <f>IF(VLOOKUP(Table311[[#This Row],[Date]],'DB Details'!$A:$Q,15)=0,"",VLOOKUP(Table311[[#This Row],[Date]],'DB Details'!$A:$Q,15))</f>
        <v>6.2138921486550201E-3</v>
      </c>
      <c r="E53" s="58">
        <f>IF(VLOOKUP(Table311[[#This Row],[Date]],'DB Details'!$A:$Q,17)=0,"",VLOOKUP(Table311[[#This Row],[Date]],'DB Details'!$A:$Q,17))</f>
        <v>2.508820455389205E-2</v>
      </c>
    </row>
    <row r="54" spans="1:5" x14ac:dyDescent="0.35">
      <c r="A54" s="57">
        <v>37073</v>
      </c>
      <c r="B54" s="47">
        <f>IF(VLOOKUP(Table311[[#This Row],[Date]],'DB Details'!$A:$Q,12)=0,"",VLOOKUP(Table311[[#This Row],[Date]],'DB Details'!$A:$Q,12))</f>
        <v>48.1</v>
      </c>
      <c r="C54" s="58">
        <f>IF(VLOOKUP(Table311[[#This Row],[Date]],'DB Details'!$A:$Q,16)=0,"",VLOOKUP(Table311[[#This Row],[Date]],'DB Details'!$A:$Q,16))</f>
        <v>4.8735236716932872E-3</v>
      </c>
      <c r="D54" s="58">
        <f>IF(VLOOKUP(Table311[[#This Row],[Date]],'DB Details'!$A:$Q,15)=0,"",VLOOKUP(Table311[[#This Row],[Date]],'DB Details'!$A:$Q,15))</f>
        <v>-4.0034901605050122E-3</v>
      </c>
      <c r="E54" s="58">
        <f>IF(VLOOKUP(Table311[[#This Row],[Date]],'DB Details'!$A:$Q,17)=0,"",VLOOKUP(Table311[[#This Row],[Date]],'DB Details'!$A:$Q,17))</f>
        <v>-1.5918049455029729E-2</v>
      </c>
    </row>
    <row r="55" spans="1:5" x14ac:dyDescent="0.35">
      <c r="A55" s="57">
        <v>37104</v>
      </c>
      <c r="B55" s="47">
        <f>IF(VLOOKUP(Table311[[#This Row],[Date]],'DB Details'!$A:$Q,12)=0,"",VLOOKUP(Table311[[#This Row],[Date]],'DB Details'!$A:$Q,12))</f>
        <v>46.9</v>
      </c>
      <c r="C55" s="58">
        <f>IF(VLOOKUP(Table311[[#This Row],[Date]],'DB Details'!$A:$Q,16)=0,"",VLOOKUP(Table311[[#This Row],[Date]],'DB Details'!$A:$Q,16))</f>
        <v>4.8735236716932872E-3</v>
      </c>
      <c r="D55" s="58">
        <f>IF(VLOOKUP(Table311[[#This Row],[Date]],'DB Details'!$A:$Q,15)=0,"",VLOOKUP(Table311[[#This Row],[Date]],'DB Details'!$A:$Q,15))</f>
        <v>-4.0034901605050122E-3</v>
      </c>
      <c r="E55" s="58">
        <f>IF(VLOOKUP(Table311[[#This Row],[Date]],'DB Details'!$A:$Q,17)=0,"",VLOOKUP(Table311[[#This Row],[Date]],'DB Details'!$A:$Q,17))</f>
        <v>-1.5918049455029729E-2</v>
      </c>
    </row>
    <row r="56" spans="1:5" x14ac:dyDescent="0.35">
      <c r="A56" s="57">
        <v>37135</v>
      </c>
      <c r="B56" s="47">
        <f>IF(VLOOKUP(Table311[[#This Row],[Date]],'DB Details'!$A:$Q,12)=0,"",VLOOKUP(Table311[[#This Row],[Date]],'DB Details'!$A:$Q,12))</f>
        <v>49.5</v>
      </c>
      <c r="C56" s="58">
        <f>IF(VLOOKUP(Table311[[#This Row],[Date]],'DB Details'!$A:$Q,16)=0,"",VLOOKUP(Table311[[#This Row],[Date]],'DB Details'!$A:$Q,16))</f>
        <v>4.8735236716932872E-3</v>
      </c>
      <c r="D56" s="58">
        <f>IF(VLOOKUP(Table311[[#This Row],[Date]],'DB Details'!$A:$Q,15)=0,"",VLOOKUP(Table311[[#This Row],[Date]],'DB Details'!$A:$Q,15))</f>
        <v>-4.0034901605050122E-3</v>
      </c>
      <c r="E56" s="58">
        <f>IF(VLOOKUP(Table311[[#This Row],[Date]],'DB Details'!$A:$Q,17)=0,"",VLOOKUP(Table311[[#This Row],[Date]],'DB Details'!$A:$Q,17))</f>
        <v>-1.5918049455029729E-2</v>
      </c>
    </row>
    <row r="57" spans="1:5" x14ac:dyDescent="0.35">
      <c r="A57" s="57">
        <v>37165</v>
      </c>
      <c r="B57" s="47">
        <f>IF(VLOOKUP(Table311[[#This Row],[Date]],'DB Details'!$A:$Q,12)=0,"",VLOOKUP(Table311[[#This Row],[Date]],'DB Details'!$A:$Q,12))</f>
        <v>44.8</v>
      </c>
      <c r="C57" s="58">
        <f>IF(VLOOKUP(Table311[[#This Row],[Date]],'DB Details'!$A:$Q,16)=0,"",VLOOKUP(Table311[[#This Row],[Date]],'DB Details'!$A:$Q,16))</f>
        <v>1.706422364229252E-3</v>
      </c>
      <c r="D57" s="58">
        <f>IF(VLOOKUP(Table311[[#This Row],[Date]],'DB Details'!$A:$Q,15)=0,"",VLOOKUP(Table311[[#This Row],[Date]],'DB Details'!$A:$Q,15))</f>
        <v>2.7731435849645621E-3</v>
      </c>
      <c r="E57" s="58">
        <f>IF(VLOOKUP(Table311[[#This Row],[Date]],'DB Details'!$A:$Q,17)=0,"",VLOOKUP(Table311[[#This Row],[Date]],'DB Details'!$A:$Q,17))</f>
        <v>1.113880165656167E-2</v>
      </c>
    </row>
    <row r="58" spans="1:5" x14ac:dyDescent="0.35">
      <c r="A58" s="57">
        <v>37196</v>
      </c>
      <c r="B58" s="47">
        <f>IF(VLOOKUP(Table311[[#This Row],[Date]],'DB Details'!$A:$Q,12)=0,"",VLOOKUP(Table311[[#This Row],[Date]],'DB Details'!$A:$Q,12))</f>
        <v>48.2</v>
      </c>
      <c r="C58" s="58">
        <f>IF(VLOOKUP(Table311[[#This Row],[Date]],'DB Details'!$A:$Q,16)=0,"",VLOOKUP(Table311[[#This Row],[Date]],'DB Details'!$A:$Q,16))</f>
        <v>1.706422364229252E-3</v>
      </c>
      <c r="D58" s="58">
        <f>IF(VLOOKUP(Table311[[#This Row],[Date]],'DB Details'!$A:$Q,15)=0,"",VLOOKUP(Table311[[#This Row],[Date]],'DB Details'!$A:$Q,15))</f>
        <v>2.7731435849645621E-3</v>
      </c>
      <c r="E58" s="58">
        <f>IF(VLOOKUP(Table311[[#This Row],[Date]],'DB Details'!$A:$Q,17)=0,"",VLOOKUP(Table311[[#This Row],[Date]],'DB Details'!$A:$Q,17))</f>
        <v>1.113880165656167E-2</v>
      </c>
    </row>
    <row r="59" spans="1:5" x14ac:dyDescent="0.35">
      <c r="A59" s="57">
        <v>37226</v>
      </c>
      <c r="B59" s="47">
        <f>IF(VLOOKUP(Table311[[#This Row],[Date]],'DB Details'!$A:$Q,12)=0,"",VLOOKUP(Table311[[#This Row],[Date]],'DB Details'!$A:$Q,12))</f>
        <v>49.7</v>
      </c>
      <c r="C59" s="58">
        <f>IF(VLOOKUP(Table311[[#This Row],[Date]],'DB Details'!$A:$Q,16)=0,"",VLOOKUP(Table311[[#This Row],[Date]],'DB Details'!$A:$Q,16))</f>
        <v>1.706422364229252E-3</v>
      </c>
      <c r="D59" s="58">
        <f>IF(VLOOKUP(Table311[[#This Row],[Date]],'DB Details'!$A:$Q,15)=0,"",VLOOKUP(Table311[[#This Row],[Date]],'DB Details'!$A:$Q,15))</f>
        <v>2.7731435849645621E-3</v>
      </c>
      <c r="E59" s="58">
        <f>IF(VLOOKUP(Table311[[#This Row],[Date]],'DB Details'!$A:$Q,17)=0,"",VLOOKUP(Table311[[#This Row],[Date]],'DB Details'!$A:$Q,17))</f>
        <v>1.113880165656167E-2</v>
      </c>
    </row>
    <row r="60" spans="1:5" x14ac:dyDescent="0.35">
      <c r="A60" s="57">
        <v>37257</v>
      </c>
      <c r="B60" s="47">
        <f>IF(VLOOKUP(Table311[[#This Row],[Date]],'DB Details'!$A:$Q,12)=0,"",VLOOKUP(Table311[[#This Row],[Date]],'DB Details'!$A:$Q,12))</f>
        <v>48.9</v>
      </c>
      <c r="C60" s="58">
        <f>IF(VLOOKUP(Table311[[#This Row],[Date]],'DB Details'!$A:$Q,16)=0,"",VLOOKUP(Table311[[#This Row],[Date]],'DB Details'!$A:$Q,16))</f>
        <v>1.3288120484284601E-2</v>
      </c>
      <c r="D60" s="58">
        <f>IF(VLOOKUP(Table311[[#This Row],[Date]],'DB Details'!$A:$Q,15)=0,"",VLOOKUP(Table311[[#This Row],[Date]],'DB Details'!$A:$Q,15))</f>
        <v>8.2822721558439595E-3</v>
      </c>
      <c r="E60" s="58">
        <f>IF(VLOOKUP(Table311[[#This Row],[Date]],'DB Details'!$A:$Q,17)=0,"",VLOOKUP(Table311[[#This Row],[Date]],'DB Details'!$A:$Q,17))</f>
        <v>3.354294204519781E-2</v>
      </c>
    </row>
    <row r="61" spans="1:5" x14ac:dyDescent="0.35">
      <c r="A61" s="57">
        <v>37288</v>
      </c>
      <c r="B61" s="47">
        <f>IF(VLOOKUP(Table311[[#This Row],[Date]],'DB Details'!$A:$Q,12)=0,"",VLOOKUP(Table311[[#This Row],[Date]],'DB Details'!$A:$Q,12))</f>
        <v>52.7</v>
      </c>
      <c r="C61" s="58">
        <f>IF(VLOOKUP(Table311[[#This Row],[Date]],'DB Details'!$A:$Q,16)=0,"",VLOOKUP(Table311[[#This Row],[Date]],'DB Details'!$A:$Q,16))</f>
        <v>1.3288120484284601E-2</v>
      </c>
      <c r="D61" s="58">
        <f>IF(VLOOKUP(Table311[[#This Row],[Date]],'DB Details'!$A:$Q,15)=0,"",VLOOKUP(Table311[[#This Row],[Date]],'DB Details'!$A:$Q,15))</f>
        <v>8.2822721558439595E-3</v>
      </c>
      <c r="E61" s="58">
        <f>IF(VLOOKUP(Table311[[#This Row],[Date]],'DB Details'!$A:$Q,17)=0,"",VLOOKUP(Table311[[#This Row],[Date]],'DB Details'!$A:$Q,17))</f>
        <v>3.354294204519781E-2</v>
      </c>
    </row>
    <row r="62" spans="1:5" x14ac:dyDescent="0.35">
      <c r="A62" s="57">
        <v>37316</v>
      </c>
      <c r="B62" s="47">
        <f>IF(VLOOKUP(Table311[[#This Row],[Date]],'DB Details'!$A:$Q,12)=0,"",VLOOKUP(Table311[[#This Row],[Date]],'DB Details'!$A:$Q,12))</f>
        <v>52.8</v>
      </c>
      <c r="C62" s="58">
        <f>IF(VLOOKUP(Table311[[#This Row],[Date]],'DB Details'!$A:$Q,16)=0,"",VLOOKUP(Table311[[#This Row],[Date]],'DB Details'!$A:$Q,16))</f>
        <v>1.3288120484284601E-2</v>
      </c>
      <c r="D62" s="58">
        <f>IF(VLOOKUP(Table311[[#This Row],[Date]],'DB Details'!$A:$Q,15)=0,"",VLOOKUP(Table311[[#This Row],[Date]],'DB Details'!$A:$Q,15))</f>
        <v>8.2822721558439595E-3</v>
      </c>
      <c r="E62" s="58">
        <f>IF(VLOOKUP(Table311[[#This Row],[Date]],'DB Details'!$A:$Q,17)=0,"",VLOOKUP(Table311[[#This Row],[Date]],'DB Details'!$A:$Q,17))</f>
        <v>3.354294204519781E-2</v>
      </c>
    </row>
    <row r="63" spans="1:5" x14ac:dyDescent="0.35">
      <c r="A63" s="57">
        <v>37347</v>
      </c>
      <c r="B63" s="47">
        <f>IF(VLOOKUP(Table311[[#This Row],[Date]],'DB Details'!$A:$Q,12)=0,"",VLOOKUP(Table311[[#This Row],[Date]],'DB Details'!$A:$Q,12))</f>
        <v>53.5</v>
      </c>
      <c r="C63" s="58">
        <f>IF(VLOOKUP(Table311[[#This Row],[Date]],'DB Details'!$A:$Q,16)=0,"",VLOOKUP(Table311[[#This Row],[Date]],'DB Details'!$A:$Q,16))</f>
        <v>1.322883902243626E-2</v>
      </c>
      <c r="D63" s="58">
        <f>IF(VLOOKUP(Table311[[#This Row],[Date]],'DB Details'!$A:$Q,15)=0,"",VLOOKUP(Table311[[#This Row],[Date]],'DB Details'!$A:$Q,15))</f>
        <v>6.1550245578357683E-3</v>
      </c>
      <c r="E63" s="58">
        <f>IF(VLOOKUP(Table311[[#This Row],[Date]],'DB Details'!$A:$Q,17)=0,"",VLOOKUP(Table311[[#This Row],[Date]],'DB Details'!$A:$Q,17))</f>
        <v>2.484833834627009E-2</v>
      </c>
    </row>
    <row r="64" spans="1:5" x14ac:dyDescent="0.35">
      <c r="A64" s="57">
        <v>37377</v>
      </c>
      <c r="B64" s="47">
        <f>IF(VLOOKUP(Table311[[#This Row],[Date]],'DB Details'!$A:$Q,12)=0,"",VLOOKUP(Table311[[#This Row],[Date]],'DB Details'!$A:$Q,12))</f>
        <v>54.8</v>
      </c>
      <c r="C64" s="58">
        <f>IF(VLOOKUP(Table311[[#This Row],[Date]],'DB Details'!$A:$Q,16)=0,"",VLOOKUP(Table311[[#This Row],[Date]],'DB Details'!$A:$Q,16))</f>
        <v>1.322883902243626E-2</v>
      </c>
      <c r="D64" s="58">
        <f>IF(VLOOKUP(Table311[[#This Row],[Date]],'DB Details'!$A:$Q,15)=0,"",VLOOKUP(Table311[[#This Row],[Date]],'DB Details'!$A:$Q,15))</f>
        <v>6.1550245578357683E-3</v>
      </c>
      <c r="E64" s="58">
        <f>IF(VLOOKUP(Table311[[#This Row],[Date]],'DB Details'!$A:$Q,17)=0,"",VLOOKUP(Table311[[#This Row],[Date]],'DB Details'!$A:$Q,17))</f>
        <v>2.484833834627009E-2</v>
      </c>
    </row>
    <row r="65" spans="1:5" x14ac:dyDescent="0.35">
      <c r="A65" s="57">
        <v>37408</v>
      </c>
      <c r="B65" s="47">
        <f>IF(VLOOKUP(Table311[[#This Row],[Date]],'DB Details'!$A:$Q,12)=0,"",VLOOKUP(Table311[[#This Row],[Date]],'DB Details'!$A:$Q,12))</f>
        <v>52.5</v>
      </c>
      <c r="C65" s="58">
        <f>IF(VLOOKUP(Table311[[#This Row],[Date]],'DB Details'!$A:$Q,16)=0,"",VLOOKUP(Table311[[#This Row],[Date]],'DB Details'!$A:$Q,16))</f>
        <v>1.322883902243626E-2</v>
      </c>
      <c r="D65" s="58">
        <f>IF(VLOOKUP(Table311[[#This Row],[Date]],'DB Details'!$A:$Q,15)=0,"",VLOOKUP(Table311[[#This Row],[Date]],'DB Details'!$A:$Q,15))</f>
        <v>6.1550245578357683E-3</v>
      </c>
      <c r="E65" s="58">
        <f>IF(VLOOKUP(Table311[[#This Row],[Date]],'DB Details'!$A:$Q,17)=0,"",VLOOKUP(Table311[[#This Row],[Date]],'DB Details'!$A:$Q,17))</f>
        <v>2.484833834627009E-2</v>
      </c>
    </row>
    <row r="66" spans="1:5" x14ac:dyDescent="0.35">
      <c r="A66" s="57">
        <v>37438</v>
      </c>
      <c r="B66" s="47">
        <f>IF(VLOOKUP(Table311[[#This Row],[Date]],'DB Details'!$A:$Q,12)=0,"",VLOOKUP(Table311[[#This Row],[Date]],'DB Details'!$A:$Q,12))</f>
        <v>50.4</v>
      </c>
      <c r="C66" s="58">
        <f>IF(VLOOKUP(Table311[[#This Row],[Date]],'DB Details'!$A:$Q,16)=0,"",VLOOKUP(Table311[[#This Row],[Date]],'DB Details'!$A:$Q,16))</f>
        <v>2.140669989799325E-2</v>
      </c>
      <c r="D66" s="58">
        <f>IF(VLOOKUP(Table311[[#This Row],[Date]],'DB Details'!$A:$Q,15)=0,"",VLOOKUP(Table311[[#This Row],[Date]],'DB Details'!$A:$Q,15))</f>
        <v>4.0352870399802624E-3</v>
      </c>
      <c r="E66" s="58">
        <f>IF(VLOOKUP(Table311[[#This Row],[Date]],'DB Details'!$A:$Q,17)=0,"",VLOOKUP(Table311[[#This Row],[Date]],'DB Details'!$A:$Q,17))</f>
        <v>1.6239112509100821E-2</v>
      </c>
    </row>
    <row r="67" spans="1:5" x14ac:dyDescent="0.35">
      <c r="A67" s="57">
        <v>37469</v>
      </c>
      <c r="B67" s="47">
        <f>IF(VLOOKUP(Table311[[#This Row],[Date]],'DB Details'!$A:$Q,12)=0,"",VLOOKUP(Table311[[#This Row],[Date]],'DB Details'!$A:$Q,12))</f>
        <v>50.9</v>
      </c>
      <c r="C67" s="58">
        <f>IF(VLOOKUP(Table311[[#This Row],[Date]],'DB Details'!$A:$Q,16)=0,"",VLOOKUP(Table311[[#This Row],[Date]],'DB Details'!$A:$Q,16))</f>
        <v>2.140669989799325E-2</v>
      </c>
      <c r="D67" s="58">
        <f>IF(VLOOKUP(Table311[[#This Row],[Date]],'DB Details'!$A:$Q,15)=0,"",VLOOKUP(Table311[[#This Row],[Date]],'DB Details'!$A:$Q,15))</f>
        <v>4.0352870399802624E-3</v>
      </c>
      <c r="E67" s="58">
        <f>IF(VLOOKUP(Table311[[#This Row],[Date]],'DB Details'!$A:$Q,17)=0,"",VLOOKUP(Table311[[#This Row],[Date]],'DB Details'!$A:$Q,17))</f>
        <v>1.6239112509100821E-2</v>
      </c>
    </row>
    <row r="68" spans="1:5" x14ac:dyDescent="0.35">
      <c r="A68" s="57">
        <v>37500</v>
      </c>
      <c r="B68" s="47">
        <f>IF(VLOOKUP(Table311[[#This Row],[Date]],'DB Details'!$A:$Q,12)=0,"",VLOOKUP(Table311[[#This Row],[Date]],'DB Details'!$A:$Q,12))</f>
        <v>52.3</v>
      </c>
      <c r="C68" s="58">
        <f>IF(VLOOKUP(Table311[[#This Row],[Date]],'DB Details'!$A:$Q,16)=0,"",VLOOKUP(Table311[[#This Row],[Date]],'DB Details'!$A:$Q,16))</f>
        <v>2.140669989799325E-2</v>
      </c>
      <c r="D68" s="58">
        <f>IF(VLOOKUP(Table311[[#This Row],[Date]],'DB Details'!$A:$Q,15)=0,"",VLOOKUP(Table311[[#This Row],[Date]],'DB Details'!$A:$Q,15))</f>
        <v>4.0352870399802624E-3</v>
      </c>
      <c r="E68" s="58">
        <f>IF(VLOOKUP(Table311[[#This Row],[Date]],'DB Details'!$A:$Q,17)=0,"",VLOOKUP(Table311[[#This Row],[Date]],'DB Details'!$A:$Q,17))</f>
        <v>1.6239112509100821E-2</v>
      </c>
    </row>
    <row r="69" spans="1:5" x14ac:dyDescent="0.35">
      <c r="A69" s="57">
        <v>37530</v>
      </c>
      <c r="B69" s="47">
        <f>IF(VLOOKUP(Table311[[#This Row],[Date]],'DB Details'!$A:$Q,12)=0,"",VLOOKUP(Table311[[#This Row],[Date]],'DB Details'!$A:$Q,12))</f>
        <v>51.4</v>
      </c>
      <c r="C69" s="58">
        <f>IF(VLOOKUP(Table311[[#This Row],[Date]],'DB Details'!$A:$Q,16)=0,"",VLOOKUP(Table311[[#This Row],[Date]],'DB Details'!$A:$Q,16))</f>
        <v>1.9912861846485559E-2</v>
      </c>
      <c r="D69" s="58">
        <f>IF(VLOOKUP(Table311[[#This Row],[Date]],'DB Details'!$A:$Q,15)=0,"",VLOOKUP(Table311[[#This Row],[Date]],'DB Details'!$A:$Q,15))</f>
        <v>1.306557670590968E-3</v>
      </c>
      <c r="E69" s="58">
        <f>IF(VLOOKUP(Table311[[#This Row],[Date]],'DB Details'!$A:$Q,17)=0,"",VLOOKUP(Table311[[#This Row],[Date]],'DB Details'!$A:$Q,17))</f>
        <v>5.2364821646193596E-3</v>
      </c>
    </row>
    <row r="70" spans="1:5" x14ac:dyDescent="0.35">
      <c r="A70" s="57">
        <v>37561</v>
      </c>
      <c r="B70" s="47">
        <f>IF(VLOOKUP(Table311[[#This Row],[Date]],'DB Details'!$A:$Q,12)=0,"",VLOOKUP(Table311[[#This Row],[Date]],'DB Details'!$A:$Q,12))</f>
        <v>52.9</v>
      </c>
      <c r="C70" s="58">
        <f>IF(VLOOKUP(Table311[[#This Row],[Date]],'DB Details'!$A:$Q,16)=0,"",VLOOKUP(Table311[[#This Row],[Date]],'DB Details'!$A:$Q,16))</f>
        <v>1.9912861846485559E-2</v>
      </c>
      <c r="D70" s="58">
        <f>IF(VLOOKUP(Table311[[#This Row],[Date]],'DB Details'!$A:$Q,15)=0,"",VLOOKUP(Table311[[#This Row],[Date]],'DB Details'!$A:$Q,15))</f>
        <v>1.306557670590968E-3</v>
      </c>
      <c r="E70" s="58">
        <f>IF(VLOOKUP(Table311[[#This Row],[Date]],'DB Details'!$A:$Q,17)=0,"",VLOOKUP(Table311[[#This Row],[Date]],'DB Details'!$A:$Q,17))</f>
        <v>5.2364821646193596E-3</v>
      </c>
    </row>
    <row r="71" spans="1:5" x14ac:dyDescent="0.35">
      <c r="A71" s="57">
        <v>37591</v>
      </c>
      <c r="B71" s="47">
        <f>IF(VLOOKUP(Table311[[#This Row],[Date]],'DB Details'!$A:$Q,12)=0,"",VLOOKUP(Table311[[#This Row],[Date]],'DB Details'!$A:$Q,12))</f>
        <v>52.3</v>
      </c>
      <c r="C71" s="58">
        <f>IF(VLOOKUP(Table311[[#This Row],[Date]],'DB Details'!$A:$Q,16)=0,"",VLOOKUP(Table311[[#This Row],[Date]],'DB Details'!$A:$Q,16))</f>
        <v>1.9912861846485559E-2</v>
      </c>
      <c r="D71" s="58">
        <f>IF(VLOOKUP(Table311[[#This Row],[Date]],'DB Details'!$A:$Q,15)=0,"",VLOOKUP(Table311[[#This Row],[Date]],'DB Details'!$A:$Q,15))</f>
        <v>1.306557670590968E-3</v>
      </c>
      <c r="E71" s="58">
        <f>IF(VLOOKUP(Table311[[#This Row],[Date]],'DB Details'!$A:$Q,17)=0,"",VLOOKUP(Table311[[#This Row],[Date]],'DB Details'!$A:$Q,17))</f>
        <v>5.2364821646193596E-3</v>
      </c>
    </row>
    <row r="72" spans="1:5" x14ac:dyDescent="0.35">
      <c r="A72" s="57">
        <v>37622</v>
      </c>
      <c r="B72" s="47">
        <f>IF(VLOOKUP(Table311[[#This Row],[Date]],'DB Details'!$A:$Q,12)=0,"",VLOOKUP(Table311[[#This Row],[Date]],'DB Details'!$A:$Q,12))</f>
        <v>53.3</v>
      </c>
      <c r="C72" s="58">
        <f>IF(VLOOKUP(Table311[[#This Row],[Date]],'DB Details'!$A:$Q,16)=0,"",VLOOKUP(Table311[[#This Row],[Date]],'DB Details'!$A:$Q,16))</f>
        <v>1.676188940425874E-2</v>
      </c>
      <c r="D72" s="58">
        <f>IF(VLOOKUP(Table311[[#This Row],[Date]],'DB Details'!$A:$Q,15)=0,"",VLOOKUP(Table311[[#This Row],[Date]],'DB Details'!$A:$Q,15))</f>
        <v>5.1672318691698346E-3</v>
      </c>
      <c r="E72" s="58">
        <f>IF(VLOOKUP(Table311[[#This Row],[Date]],'DB Details'!$A:$Q,17)=0,"",VLOOKUP(Table311[[#This Row],[Date]],'DB Details'!$A:$Q,17))</f>
        <v>2.0829681766981079E-2</v>
      </c>
    </row>
    <row r="73" spans="1:5" x14ac:dyDescent="0.35">
      <c r="A73" s="57">
        <v>37653</v>
      </c>
      <c r="B73" s="47">
        <f>IF(VLOOKUP(Table311[[#This Row],[Date]],'DB Details'!$A:$Q,12)=0,"",VLOOKUP(Table311[[#This Row],[Date]],'DB Details'!$A:$Q,12))</f>
        <v>52.6</v>
      </c>
      <c r="C73" s="58">
        <f>IF(VLOOKUP(Table311[[#This Row],[Date]],'DB Details'!$A:$Q,16)=0,"",VLOOKUP(Table311[[#This Row],[Date]],'DB Details'!$A:$Q,16))</f>
        <v>1.676188940425874E-2</v>
      </c>
      <c r="D73" s="58">
        <f>IF(VLOOKUP(Table311[[#This Row],[Date]],'DB Details'!$A:$Q,15)=0,"",VLOOKUP(Table311[[#This Row],[Date]],'DB Details'!$A:$Q,15))</f>
        <v>5.1672318691698346E-3</v>
      </c>
      <c r="E73" s="58">
        <f>IF(VLOOKUP(Table311[[#This Row],[Date]],'DB Details'!$A:$Q,17)=0,"",VLOOKUP(Table311[[#This Row],[Date]],'DB Details'!$A:$Q,17))</f>
        <v>2.0829681766981079E-2</v>
      </c>
    </row>
    <row r="74" spans="1:5" x14ac:dyDescent="0.35">
      <c r="A74" s="57">
        <v>37681</v>
      </c>
      <c r="B74" s="47">
        <f>IF(VLOOKUP(Table311[[#This Row],[Date]],'DB Details'!$A:$Q,12)=0,"",VLOOKUP(Table311[[#This Row],[Date]],'DB Details'!$A:$Q,12))</f>
        <v>49.1</v>
      </c>
      <c r="C74" s="58">
        <f>IF(VLOOKUP(Table311[[#This Row],[Date]],'DB Details'!$A:$Q,16)=0,"",VLOOKUP(Table311[[#This Row],[Date]],'DB Details'!$A:$Q,16))</f>
        <v>1.676188940425874E-2</v>
      </c>
      <c r="D74" s="58">
        <f>IF(VLOOKUP(Table311[[#This Row],[Date]],'DB Details'!$A:$Q,15)=0,"",VLOOKUP(Table311[[#This Row],[Date]],'DB Details'!$A:$Q,15))</f>
        <v>5.1672318691698346E-3</v>
      </c>
      <c r="E74" s="58">
        <f>IF(VLOOKUP(Table311[[#This Row],[Date]],'DB Details'!$A:$Q,17)=0,"",VLOOKUP(Table311[[#This Row],[Date]],'DB Details'!$A:$Q,17))</f>
        <v>2.0829681766981079E-2</v>
      </c>
    </row>
    <row r="75" spans="1:5" x14ac:dyDescent="0.35">
      <c r="A75" s="57">
        <v>37712</v>
      </c>
      <c r="B75" s="47">
        <f>IF(VLOOKUP(Table311[[#This Row],[Date]],'DB Details'!$A:$Q,12)=0,"",VLOOKUP(Table311[[#This Row],[Date]],'DB Details'!$A:$Q,12))</f>
        <v>50.1</v>
      </c>
      <c r="C75" s="58">
        <f>IF(VLOOKUP(Table311[[#This Row],[Date]],'DB Details'!$A:$Q,16)=0,"",VLOOKUP(Table311[[#This Row],[Date]],'DB Details'!$A:$Q,16))</f>
        <v>1.9569936417795909E-2</v>
      </c>
      <c r="D75" s="58">
        <f>IF(VLOOKUP(Table311[[#This Row],[Date]],'DB Details'!$A:$Q,15)=0,"",VLOOKUP(Table311[[#This Row],[Date]],'DB Details'!$A:$Q,15))</f>
        <v>8.9337780116266717E-3</v>
      </c>
      <c r="E75" s="58">
        <f>IF(VLOOKUP(Table311[[#This Row],[Date]],'DB Details'!$A:$Q,17)=0,"",VLOOKUP(Table311[[#This Row],[Date]],'DB Details'!$A:$Q,17))</f>
        <v>3.621684485857446E-2</v>
      </c>
    </row>
    <row r="76" spans="1:5" x14ac:dyDescent="0.35">
      <c r="A76" s="57">
        <v>37742</v>
      </c>
      <c r="B76" s="47">
        <f>IF(VLOOKUP(Table311[[#This Row],[Date]],'DB Details'!$A:$Q,12)=0,"",VLOOKUP(Table311[[#This Row],[Date]],'DB Details'!$A:$Q,12))</f>
        <v>52.8</v>
      </c>
      <c r="C76" s="58">
        <f>IF(VLOOKUP(Table311[[#This Row],[Date]],'DB Details'!$A:$Q,16)=0,"",VLOOKUP(Table311[[#This Row],[Date]],'DB Details'!$A:$Q,16))</f>
        <v>1.9569936417795909E-2</v>
      </c>
      <c r="D76" s="58">
        <f>IF(VLOOKUP(Table311[[#This Row],[Date]],'DB Details'!$A:$Q,15)=0,"",VLOOKUP(Table311[[#This Row],[Date]],'DB Details'!$A:$Q,15))</f>
        <v>8.9337780116266717E-3</v>
      </c>
      <c r="E76" s="58">
        <f>IF(VLOOKUP(Table311[[#This Row],[Date]],'DB Details'!$A:$Q,17)=0,"",VLOOKUP(Table311[[#This Row],[Date]],'DB Details'!$A:$Q,17))</f>
        <v>3.621684485857446E-2</v>
      </c>
    </row>
    <row r="77" spans="1:5" x14ac:dyDescent="0.35">
      <c r="A77" s="57">
        <v>37773</v>
      </c>
      <c r="B77" s="47">
        <f>IF(VLOOKUP(Table311[[#This Row],[Date]],'DB Details'!$A:$Q,12)=0,"",VLOOKUP(Table311[[#This Row],[Date]],'DB Details'!$A:$Q,12))</f>
        <v>54.3</v>
      </c>
      <c r="C77" s="58">
        <f>IF(VLOOKUP(Table311[[#This Row],[Date]],'DB Details'!$A:$Q,16)=0,"",VLOOKUP(Table311[[#This Row],[Date]],'DB Details'!$A:$Q,16))</f>
        <v>1.9569936417795909E-2</v>
      </c>
      <c r="D77" s="58">
        <f>IF(VLOOKUP(Table311[[#This Row],[Date]],'DB Details'!$A:$Q,15)=0,"",VLOOKUP(Table311[[#This Row],[Date]],'DB Details'!$A:$Q,15))</f>
        <v>8.9337780116266717E-3</v>
      </c>
      <c r="E77" s="58">
        <f>IF(VLOOKUP(Table311[[#This Row],[Date]],'DB Details'!$A:$Q,17)=0,"",VLOOKUP(Table311[[#This Row],[Date]],'DB Details'!$A:$Q,17))</f>
        <v>3.621684485857446E-2</v>
      </c>
    </row>
    <row r="78" spans="1:5" x14ac:dyDescent="0.35">
      <c r="A78" s="57">
        <v>37803</v>
      </c>
      <c r="B78" s="47">
        <f>IF(VLOOKUP(Table311[[#This Row],[Date]],'DB Details'!$A:$Q,12)=0,"",VLOOKUP(Table311[[#This Row],[Date]],'DB Details'!$A:$Q,12))</f>
        <v>57.3</v>
      </c>
      <c r="C78" s="58">
        <f>IF(VLOOKUP(Table311[[#This Row],[Date]],'DB Details'!$A:$Q,16)=0,"",VLOOKUP(Table311[[#This Row],[Date]],'DB Details'!$A:$Q,16))</f>
        <v>3.2399083015260143E-2</v>
      </c>
      <c r="D78" s="58">
        <f>IF(VLOOKUP(Table311[[#This Row],[Date]],'DB Details'!$A:$Q,15)=0,"",VLOOKUP(Table311[[#This Row],[Date]],'DB Details'!$A:$Q,15))</f>
        <v>1.666896269711016E-2</v>
      </c>
      <c r="E78" s="58">
        <f>IF(VLOOKUP(Table311[[#This Row],[Date]],'DB Details'!$A:$Q,17)=0,"",VLOOKUP(Table311[[#This Row],[Date]],'DB Details'!$A:$Q,17))</f>
        <v>6.8361580068855954E-2</v>
      </c>
    </row>
    <row r="79" spans="1:5" x14ac:dyDescent="0.35">
      <c r="A79" s="57">
        <v>37834</v>
      </c>
      <c r="B79" s="47">
        <f>IF(VLOOKUP(Table311[[#This Row],[Date]],'DB Details'!$A:$Q,12)=0,"",VLOOKUP(Table311[[#This Row],[Date]],'DB Details'!$A:$Q,12))</f>
        <v>59.1</v>
      </c>
      <c r="C79" s="58">
        <f>IF(VLOOKUP(Table311[[#This Row],[Date]],'DB Details'!$A:$Q,16)=0,"",VLOOKUP(Table311[[#This Row],[Date]],'DB Details'!$A:$Q,16))</f>
        <v>3.2399083015260143E-2</v>
      </c>
      <c r="D79" s="58">
        <f>IF(VLOOKUP(Table311[[#This Row],[Date]],'DB Details'!$A:$Q,15)=0,"",VLOOKUP(Table311[[#This Row],[Date]],'DB Details'!$A:$Q,15))</f>
        <v>1.666896269711016E-2</v>
      </c>
      <c r="E79" s="58">
        <f>IF(VLOOKUP(Table311[[#This Row],[Date]],'DB Details'!$A:$Q,17)=0,"",VLOOKUP(Table311[[#This Row],[Date]],'DB Details'!$A:$Q,17))</f>
        <v>6.8361580068855954E-2</v>
      </c>
    </row>
    <row r="80" spans="1:5" x14ac:dyDescent="0.35">
      <c r="A80" s="57">
        <v>37865</v>
      </c>
      <c r="B80" s="47">
        <f>IF(VLOOKUP(Table311[[#This Row],[Date]],'DB Details'!$A:$Q,12)=0,"",VLOOKUP(Table311[[#This Row],[Date]],'DB Details'!$A:$Q,12))</f>
        <v>57.6</v>
      </c>
      <c r="C80" s="58">
        <f>IF(VLOOKUP(Table311[[#This Row],[Date]],'DB Details'!$A:$Q,16)=0,"",VLOOKUP(Table311[[#This Row],[Date]],'DB Details'!$A:$Q,16))</f>
        <v>3.2399083015260143E-2</v>
      </c>
      <c r="D80" s="58">
        <f>IF(VLOOKUP(Table311[[#This Row],[Date]],'DB Details'!$A:$Q,15)=0,"",VLOOKUP(Table311[[#This Row],[Date]],'DB Details'!$A:$Q,15))</f>
        <v>1.666896269711016E-2</v>
      </c>
      <c r="E80" s="58">
        <f>IF(VLOOKUP(Table311[[#This Row],[Date]],'DB Details'!$A:$Q,17)=0,"",VLOOKUP(Table311[[#This Row],[Date]],'DB Details'!$A:$Q,17))</f>
        <v>6.8361580068855954E-2</v>
      </c>
    </row>
    <row r="81" spans="1:5" x14ac:dyDescent="0.35">
      <c r="A81" s="57">
        <v>37895</v>
      </c>
      <c r="B81" s="47">
        <f>IF(VLOOKUP(Table311[[#This Row],[Date]],'DB Details'!$A:$Q,12)=0,"",VLOOKUP(Table311[[#This Row],[Date]],'DB Details'!$A:$Q,12))</f>
        <v>58.7</v>
      </c>
      <c r="C81" s="58">
        <f>IF(VLOOKUP(Table311[[#This Row],[Date]],'DB Details'!$A:$Q,16)=0,"",VLOOKUP(Table311[[#This Row],[Date]],'DB Details'!$A:$Q,16))</f>
        <v>4.2950765202439317E-2</v>
      </c>
      <c r="D81" s="58">
        <f>IF(VLOOKUP(Table311[[#This Row],[Date]],'DB Details'!$A:$Q,15)=0,"",VLOOKUP(Table311[[#This Row],[Date]],'DB Details'!$A:$Q,15))</f>
        <v>1.154045727617818E-2</v>
      </c>
      <c r="E81" s="58">
        <f>IF(VLOOKUP(Table311[[#This Row],[Date]],'DB Details'!$A:$Q,17)=0,"",VLOOKUP(Table311[[#This Row],[Date]],'DB Details'!$A:$Q,17))</f>
        <v>4.6967087698897902E-2</v>
      </c>
    </row>
    <row r="82" spans="1:5" x14ac:dyDescent="0.35">
      <c r="A82" s="57">
        <v>37926</v>
      </c>
      <c r="B82" s="47">
        <f>IF(VLOOKUP(Table311[[#This Row],[Date]],'DB Details'!$A:$Q,12)=0,"",VLOOKUP(Table311[[#This Row],[Date]],'DB Details'!$A:$Q,12))</f>
        <v>57.5</v>
      </c>
      <c r="C82" s="58">
        <f>IF(VLOOKUP(Table311[[#This Row],[Date]],'DB Details'!$A:$Q,16)=0,"",VLOOKUP(Table311[[#This Row],[Date]],'DB Details'!$A:$Q,16))</f>
        <v>4.2950765202439317E-2</v>
      </c>
      <c r="D82" s="58">
        <f>IF(VLOOKUP(Table311[[#This Row],[Date]],'DB Details'!$A:$Q,15)=0,"",VLOOKUP(Table311[[#This Row],[Date]],'DB Details'!$A:$Q,15))</f>
        <v>1.154045727617818E-2</v>
      </c>
      <c r="E82" s="58">
        <f>IF(VLOOKUP(Table311[[#This Row],[Date]],'DB Details'!$A:$Q,17)=0,"",VLOOKUP(Table311[[#This Row],[Date]],'DB Details'!$A:$Q,17))</f>
        <v>4.6967087698897902E-2</v>
      </c>
    </row>
    <row r="83" spans="1:5" x14ac:dyDescent="0.35">
      <c r="A83" s="57">
        <v>37956</v>
      </c>
      <c r="B83" s="47">
        <f>IF(VLOOKUP(Table311[[#This Row],[Date]],'DB Details'!$A:$Q,12)=0,"",VLOOKUP(Table311[[#This Row],[Date]],'DB Details'!$A:$Q,12))</f>
        <v>56.8</v>
      </c>
      <c r="C83" s="58">
        <f>IF(VLOOKUP(Table311[[#This Row],[Date]],'DB Details'!$A:$Q,16)=0,"",VLOOKUP(Table311[[#This Row],[Date]],'DB Details'!$A:$Q,16))</f>
        <v>4.2950765202439317E-2</v>
      </c>
      <c r="D83" s="58">
        <f>IF(VLOOKUP(Table311[[#This Row],[Date]],'DB Details'!$A:$Q,15)=0,"",VLOOKUP(Table311[[#This Row],[Date]],'DB Details'!$A:$Q,15))</f>
        <v>1.154045727617818E-2</v>
      </c>
      <c r="E83" s="58">
        <f>IF(VLOOKUP(Table311[[#This Row],[Date]],'DB Details'!$A:$Q,17)=0,"",VLOOKUP(Table311[[#This Row],[Date]],'DB Details'!$A:$Q,17))</f>
        <v>4.6967087698897902E-2</v>
      </c>
    </row>
    <row r="84" spans="1:5" x14ac:dyDescent="0.35">
      <c r="A84" s="57">
        <v>37987</v>
      </c>
      <c r="B84" s="47">
        <f>IF(VLOOKUP(Table311[[#This Row],[Date]],'DB Details'!$A:$Q,12)=0,"",VLOOKUP(Table311[[#This Row],[Date]],'DB Details'!$A:$Q,12))</f>
        <v>61.2</v>
      </c>
      <c r="C84" s="58">
        <f>IF(VLOOKUP(Table311[[#This Row],[Date]],'DB Details'!$A:$Q,16)=0,"",VLOOKUP(Table311[[#This Row],[Date]],'DB Details'!$A:$Q,16))</f>
        <v>4.3533820862159241E-2</v>
      </c>
      <c r="D84" s="58">
        <f>IF(VLOOKUP(Table311[[#This Row],[Date]],'DB Details'!$A:$Q,15)=0,"",VLOOKUP(Table311[[#This Row],[Date]],'DB Details'!$A:$Q,15))</f>
        <v>5.7291648606975533E-3</v>
      </c>
      <c r="E84" s="58">
        <f>IF(VLOOKUP(Table311[[#This Row],[Date]],'DB Details'!$A:$Q,17)=0,"",VLOOKUP(Table311[[#This Row],[Date]],'DB Details'!$A:$Q,17))</f>
        <v>2.3114352701243179E-2</v>
      </c>
    </row>
    <row r="85" spans="1:5" x14ac:dyDescent="0.35">
      <c r="A85" s="57">
        <v>38018</v>
      </c>
      <c r="B85" s="47">
        <f>IF(VLOOKUP(Table311[[#This Row],[Date]],'DB Details'!$A:$Q,12)=0,"",VLOOKUP(Table311[[#This Row],[Date]],'DB Details'!$A:$Q,12))</f>
        <v>58</v>
      </c>
      <c r="C85" s="58">
        <f>IF(VLOOKUP(Table311[[#This Row],[Date]],'DB Details'!$A:$Q,16)=0,"",VLOOKUP(Table311[[#This Row],[Date]],'DB Details'!$A:$Q,16))</f>
        <v>4.3533820862159241E-2</v>
      </c>
      <c r="D85" s="58">
        <f>IF(VLOOKUP(Table311[[#This Row],[Date]],'DB Details'!$A:$Q,15)=0,"",VLOOKUP(Table311[[#This Row],[Date]],'DB Details'!$A:$Q,15))</f>
        <v>5.7291648606975533E-3</v>
      </c>
      <c r="E85" s="58">
        <f>IF(VLOOKUP(Table311[[#This Row],[Date]],'DB Details'!$A:$Q,17)=0,"",VLOOKUP(Table311[[#This Row],[Date]],'DB Details'!$A:$Q,17))</f>
        <v>2.3114352701243179E-2</v>
      </c>
    </row>
    <row r="86" spans="1:5" x14ac:dyDescent="0.35">
      <c r="A86" s="57">
        <v>38047</v>
      </c>
      <c r="B86" s="47">
        <f>IF(VLOOKUP(Table311[[#This Row],[Date]],'DB Details'!$A:$Q,12)=0,"",VLOOKUP(Table311[[#This Row],[Date]],'DB Details'!$A:$Q,12))</f>
        <v>58.3</v>
      </c>
      <c r="C86" s="58">
        <f>IF(VLOOKUP(Table311[[#This Row],[Date]],'DB Details'!$A:$Q,16)=0,"",VLOOKUP(Table311[[#This Row],[Date]],'DB Details'!$A:$Q,16))</f>
        <v>4.3533820862159241E-2</v>
      </c>
      <c r="D86" s="58">
        <f>IF(VLOOKUP(Table311[[#This Row],[Date]],'DB Details'!$A:$Q,15)=0,"",VLOOKUP(Table311[[#This Row],[Date]],'DB Details'!$A:$Q,15))</f>
        <v>5.7291648606975533E-3</v>
      </c>
      <c r="E86" s="58">
        <f>IF(VLOOKUP(Table311[[#This Row],[Date]],'DB Details'!$A:$Q,17)=0,"",VLOOKUP(Table311[[#This Row],[Date]],'DB Details'!$A:$Q,17))</f>
        <v>2.3114352701243179E-2</v>
      </c>
    </row>
    <row r="87" spans="1:5" x14ac:dyDescent="0.35">
      <c r="A87" s="57">
        <v>38078</v>
      </c>
      <c r="B87" s="47">
        <f>IF(VLOOKUP(Table311[[#This Row],[Date]],'DB Details'!$A:$Q,12)=0,"",VLOOKUP(Table311[[#This Row],[Date]],'DB Details'!$A:$Q,12))</f>
        <v>59.6</v>
      </c>
      <c r="C87" s="58">
        <f>IF(VLOOKUP(Table311[[#This Row],[Date]],'DB Details'!$A:$Q,16)=0,"",VLOOKUP(Table311[[#This Row],[Date]],'DB Details'!$A:$Q,16))</f>
        <v>4.2348116494544417E-2</v>
      </c>
      <c r="D87" s="58">
        <f>IF(VLOOKUP(Table311[[#This Row],[Date]],'DB Details'!$A:$Q,15)=0,"",VLOOKUP(Table311[[#This Row],[Date]],'DB Details'!$A:$Q,15))</f>
        <v>7.7873875800888301E-3</v>
      </c>
      <c r="E87" s="58">
        <f>IF(VLOOKUP(Table311[[#This Row],[Date]],'DB Details'!$A:$Q,17)=0,"",VLOOKUP(Table311[[#This Row],[Date]],'DB Details'!$A:$Q,17))</f>
        <v>3.1515303444719089E-2</v>
      </c>
    </row>
    <row r="88" spans="1:5" x14ac:dyDescent="0.35">
      <c r="A88" s="57">
        <v>38108</v>
      </c>
      <c r="B88" s="47">
        <f>IF(VLOOKUP(Table311[[#This Row],[Date]],'DB Details'!$A:$Q,12)=0,"",VLOOKUP(Table311[[#This Row],[Date]],'DB Details'!$A:$Q,12))</f>
        <v>58.5</v>
      </c>
      <c r="C88" s="58">
        <f>IF(VLOOKUP(Table311[[#This Row],[Date]],'DB Details'!$A:$Q,16)=0,"",VLOOKUP(Table311[[#This Row],[Date]],'DB Details'!$A:$Q,16))</f>
        <v>4.2348116494544417E-2</v>
      </c>
      <c r="D88" s="58">
        <f>IF(VLOOKUP(Table311[[#This Row],[Date]],'DB Details'!$A:$Q,15)=0,"",VLOOKUP(Table311[[#This Row],[Date]],'DB Details'!$A:$Q,15))</f>
        <v>7.7873875800888301E-3</v>
      </c>
      <c r="E88" s="58">
        <f>IF(VLOOKUP(Table311[[#This Row],[Date]],'DB Details'!$A:$Q,17)=0,"",VLOOKUP(Table311[[#This Row],[Date]],'DB Details'!$A:$Q,17))</f>
        <v>3.1515303444719089E-2</v>
      </c>
    </row>
    <row r="89" spans="1:5" x14ac:dyDescent="0.35">
      <c r="A89" s="57">
        <v>38139</v>
      </c>
      <c r="B89" s="47">
        <f>IF(VLOOKUP(Table311[[#This Row],[Date]],'DB Details'!$A:$Q,12)=0,"",VLOOKUP(Table311[[#This Row],[Date]],'DB Details'!$A:$Q,12))</f>
        <v>58.6</v>
      </c>
      <c r="C89" s="58">
        <f>IF(VLOOKUP(Table311[[#This Row],[Date]],'DB Details'!$A:$Q,16)=0,"",VLOOKUP(Table311[[#This Row],[Date]],'DB Details'!$A:$Q,16))</f>
        <v>4.2348116494544417E-2</v>
      </c>
      <c r="D89" s="58">
        <f>IF(VLOOKUP(Table311[[#This Row],[Date]],'DB Details'!$A:$Q,15)=0,"",VLOOKUP(Table311[[#This Row],[Date]],'DB Details'!$A:$Q,15))</f>
        <v>7.7873875800888301E-3</v>
      </c>
      <c r="E89" s="58">
        <f>IF(VLOOKUP(Table311[[#This Row],[Date]],'DB Details'!$A:$Q,17)=0,"",VLOOKUP(Table311[[#This Row],[Date]],'DB Details'!$A:$Q,17))</f>
        <v>3.1515303444719089E-2</v>
      </c>
    </row>
    <row r="90" spans="1:5" x14ac:dyDescent="0.35">
      <c r="A90" s="57">
        <v>38169</v>
      </c>
      <c r="B90" s="47">
        <f>IF(VLOOKUP(Table311[[#This Row],[Date]],'DB Details'!$A:$Q,12)=0,"",VLOOKUP(Table311[[#This Row],[Date]],'DB Details'!$A:$Q,12))</f>
        <v>58.5</v>
      </c>
      <c r="C90" s="58">
        <f>IF(VLOOKUP(Table311[[#This Row],[Date]],'DB Details'!$A:$Q,16)=0,"",VLOOKUP(Table311[[#This Row],[Date]],'DB Details'!$A:$Q,16))</f>
        <v>3.4908340686507763E-2</v>
      </c>
      <c r="D90" s="58">
        <f>IF(VLOOKUP(Table311[[#This Row],[Date]],'DB Details'!$A:$Q,15)=0,"",VLOOKUP(Table311[[#This Row],[Date]],'DB Details'!$A:$Q,15))</f>
        <v>9.4124722465944513E-3</v>
      </c>
      <c r="E90" s="58">
        <f>IF(VLOOKUP(Table311[[#This Row],[Date]],'DB Details'!$A:$Q,17)=0,"",VLOOKUP(Table311[[#This Row],[Date]],'DB Details'!$A:$Q,17))</f>
        <v>3.8184800216271693E-2</v>
      </c>
    </row>
    <row r="91" spans="1:5" x14ac:dyDescent="0.35">
      <c r="A91" s="57">
        <v>38200</v>
      </c>
      <c r="B91" s="47">
        <f>IF(VLOOKUP(Table311[[#This Row],[Date]],'DB Details'!$A:$Q,12)=0,"",VLOOKUP(Table311[[#This Row],[Date]],'DB Details'!$A:$Q,12))</f>
        <v>57.3</v>
      </c>
      <c r="C91" s="58">
        <f>IF(VLOOKUP(Table311[[#This Row],[Date]],'DB Details'!$A:$Q,16)=0,"",VLOOKUP(Table311[[#This Row],[Date]],'DB Details'!$A:$Q,16))</f>
        <v>3.4908340686507763E-2</v>
      </c>
      <c r="D91" s="58">
        <f>IF(VLOOKUP(Table311[[#This Row],[Date]],'DB Details'!$A:$Q,15)=0,"",VLOOKUP(Table311[[#This Row],[Date]],'DB Details'!$A:$Q,15))</f>
        <v>9.4124722465944513E-3</v>
      </c>
      <c r="E91" s="58">
        <f>IF(VLOOKUP(Table311[[#This Row],[Date]],'DB Details'!$A:$Q,17)=0,"",VLOOKUP(Table311[[#This Row],[Date]],'DB Details'!$A:$Q,17))</f>
        <v>3.8184800216271693E-2</v>
      </c>
    </row>
    <row r="92" spans="1:5" x14ac:dyDescent="0.35">
      <c r="A92" s="57">
        <v>38231</v>
      </c>
      <c r="B92" s="47">
        <f>IF(VLOOKUP(Table311[[#This Row],[Date]],'DB Details'!$A:$Q,12)=0,"",VLOOKUP(Table311[[#This Row],[Date]],'DB Details'!$A:$Q,12))</f>
        <v>57.9</v>
      </c>
      <c r="C92" s="58">
        <f>IF(VLOOKUP(Table311[[#This Row],[Date]],'DB Details'!$A:$Q,16)=0,"",VLOOKUP(Table311[[#This Row],[Date]],'DB Details'!$A:$Q,16))</f>
        <v>3.4908340686507763E-2</v>
      </c>
      <c r="D92" s="58">
        <f>IF(VLOOKUP(Table311[[#This Row],[Date]],'DB Details'!$A:$Q,15)=0,"",VLOOKUP(Table311[[#This Row],[Date]],'DB Details'!$A:$Q,15))</f>
        <v>9.4124722465944513E-3</v>
      </c>
      <c r="E92" s="58">
        <f>IF(VLOOKUP(Table311[[#This Row],[Date]],'DB Details'!$A:$Q,17)=0,"",VLOOKUP(Table311[[#This Row],[Date]],'DB Details'!$A:$Q,17))</f>
        <v>3.8184800216271693E-2</v>
      </c>
    </row>
    <row r="93" spans="1:5" x14ac:dyDescent="0.35">
      <c r="A93" s="57">
        <v>38261</v>
      </c>
      <c r="B93" s="47">
        <f>IF(VLOOKUP(Table311[[#This Row],[Date]],'DB Details'!$A:$Q,12)=0,"",VLOOKUP(Table311[[#This Row],[Date]],'DB Details'!$A:$Q,12))</f>
        <v>58.8</v>
      </c>
      <c r="C93" s="58">
        <f>IF(VLOOKUP(Table311[[#This Row],[Date]],'DB Details'!$A:$Q,16)=0,"",VLOOKUP(Table311[[#This Row],[Date]],'DB Details'!$A:$Q,16))</f>
        <v>3.3557659164048917E-2</v>
      </c>
      <c r="D93" s="58">
        <f>IF(VLOOKUP(Table311[[#This Row],[Date]],'DB Details'!$A:$Q,15)=0,"",VLOOKUP(Table311[[#This Row],[Date]],'DB Details'!$A:$Q,15))</f>
        <v>1.0220273689720489E-2</v>
      </c>
      <c r="E93" s="58">
        <f>IF(VLOOKUP(Table311[[#This Row],[Date]],'DB Details'!$A:$Q,17)=0,"",VLOOKUP(Table311[[#This Row],[Date]],'DB Details'!$A:$Q,17))</f>
        <v>4.1512099828914462E-2</v>
      </c>
    </row>
    <row r="94" spans="1:5" x14ac:dyDescent="0.35">
      <c r="A94" s="57">
        <v>38292</v>
      </c>
      <c r="B94" s="47">
        <f>IF(VLOOKUP(Table311[[#This Row],[Date]],'DB Details'!$A:$Q,12)=0,"",VLOOKUP(Table311[[#This Row],[Date]],'DB Details'!$A:$Q,12))</f>
        <v>58.4</v>
      </c>
      <c r="C94" s="58">
        <f>IF(VLOOKUP(Table311[[#This Row],[Date]],'DB Details'!$A:$Q,16)=0,"",VLOOKUP(Table311[[#This Row],[Date]],'DB Details'!$A:$Q,16))</f>
        <v>3.3557659164048917E-2</v>
      </c>
      <c r="D94" s="58">
        <f>IF(VLOOKUP(Table311[[#This Row],[Date]],'DB Details'!$A:$Q,15)=0,"",VLOOKUP(Table311[[#This Row],[Date]],'DB Details'!$A:$Q,15))</f>
        <v>1.0220273689720489E-2</v>
      </c>
      <c r="E94" s="58">
        <f>IF(VLOOKUP(Table311[[#This Row],[Date]],'DB Details'!$A:$Q,17)=0,"",VLOOKUP(Table311[[#This Row],[Date]],'DB Details'!$A:$Q,17))</f>
        <v>4.1512099828914462E-2</v>
      </c>
    </row>
    <row r="95" spans="1:5" x14ac:dyDescent="0.35">
      <c r="A95" s="57">
        <v>38322</v>
      </c>
      <c r="B95" s="47">
        <f>IF(VLOOKUP(Table311[[#This Row],[Date]],'DB Details'!$A:$Q,12)=0,"",VLOOKUP(Table311[[#This Row],[Date]],'DB Details'!$A:$Q,12))</f>
        <v>59.6</v>
      </c>
      <c r="C95" s="58">
        <f>IF(VLOOKUP(Table311[[#This Row],[Date]],'DB Details'!$A:$Q,16)=0,"",VLOOKUP(Table311[[#This Row],[Date]],'DB Details'!$A:$Q,16))</f>
        <v>3.3557659164048917E-2</v>
      </c>
      <c r="D95" s="58">
        <f>IF(VLOOKUP(Table311[[#This Row],[Date]],'DB Details'!$A:$Q,15)=0,"",VLOOKUP(Table311[[#This Row],[Date]],'DB Details'!$A:$Q,15))</f>
        <v>1.0220273689720489E-2</v>
      </c>
      <c r="E95" s="58">
        <f>IF(VLOOKUP(Table311[[#This Row],[Date]],'DB Details'!$A:$Q,17)=0,"",VLOOKUP(Table311[[#This Row],[Date]],'DB Details'!$A:$Q,17))</f>
        <v>4.1512099828914462E-2</v>
      </c>
    </row>
    <row r="96" spans="1:5" x14ac:dyDescent="0.35">
      <c r="A96" s="57">
        <v>38353</v>
      </c>
      <c r="B96" s="47">
        <f>IF(VLOOKUP(Table311[[#This Row],[Date]],'DB Details'!$A:$Q,12)=0,"",VLOOKUP(Table311[[#This Row],[Date]],'DB Details'!$A:$Q,12))</f>
        <v>58</v>
      </c>
      <c r="C96" s="58">
        <f>IF(VLOOKUP(Table311[[#This Row],[Date]],'DB Details'!$A:$Q,16)=0,"",VLOOKUP(Table311[[#This Row],[Date]],'DB Details'!$A:$Q,16))</f>
        <v>3.9086174408999461E-2</v>
      </c>
      <c r="D96" s="58">
        <f>IF(VLOOKUP(Table311[[#This Row],[Date]],'DB Details'!$A:$Q,15)=0,"",VLOOKUP(Table311[[#This Row],[Date]],'DB Details'!$A:$Q,15))</f>
        <v>1.110882507696538E-2</v>
      </c>
      <c r="E96" s="58">
        <f>IF(VLOOKUP(Table311[[#This Row],[Date]],'DB Details'!$A:$Q,17)=0,"",VLOOKUP(Table311[[#This Row],[Date]],'DB Details'!$A:$Q,17))</f>
        <v>4.5181235086873883E-2</v>
      </c>
    </row>
    <row r="97" spans="1:5" x14ac:dyDescent="0.35">
      <c r="A97" s="57">
        <v>38384</v>
      </c>
      <c r="B97" s="47">
        <f>IF(VLOOKUP(Table311[[#This Row],[Date]],'DB Details'!$A:$Q,12)=0,"",VLOOKUP(Table311[[#This Row],[Date]],'DB Details'!$A:$Q,12))</f>
        <v>59.4</v>
      </c>
      <c r="C97" s="58">
        <f>IF(VLOOKUP(Table311[[#This Row],[Date]],'DB Details'!$A:$Q,16)=0,"",VLOOKUP(Table311[[#This Row],[Date]],'DB Details'!$A:$Q,16))</f>
        <v>3.9086174408999461E-2</v>
      </c>
      <c r="D97" s="58">
        <f>IF(VLOOKUP(Table311[[#This Row],[Date]],'DB Details'!$A:$Q,15)=0,"",VLOOKUP(Table311[[#This Row],[Date]],'DB Details'!$A:$Q,15))</f>
        <v>1.110882507696538E-2</v>
      </c>
      <c r="E97" s="58">
        <f>IF(VLOOKUP(Table311[[#This Row],[Date]],'DB Details'!$A:$Q,17)=0,"",VLOOKUP(Table311[[#This Row],[Date]],'DB Details'!$A:$Q,17))</f>
        <v>4.5181235086873883E-2</v>
      </c>
    </row>
    <row r="98" spans="1:5" x14ac:dyDescent="0.35">
      <c r="A98" s="57">
        <v>38412</v>
      </c>
      <c r="B98" s="47">
        <f>IF(VLOOKUP(Table311[[#This Row],[Date]],'DB Details'!$A:$Q,12)=0,"",VLOOKUP(Table311[[#This Row],[Date]],'DB Details'!$A:$Q,12))</f>
        <v>58</v>
      </c>
      <c r="C98" s="58">
        <f>IF(VLOOKUP(Table311[[#This Row],[Date]],'DB Details'!$A:$Q,16)=0,"",VLOOKUP(Table311[[#This Row],[Date]],'DB Details'!$A:$Q,16))</f>
        <v>3.9086174408999461E-2</v>
      </c>
      <c r="D98" s="58">
        <f>IF(VLOOKUP(Table311[[#This Row],[Date]],'DB Details'!$A:$Q,15)=0,"",VLOOKUP(Table311[[#This Row],[Date]],'DB Details'!$A:$Q,15))</f>
        <v>1.110882507696538E-2</v>
      </c>
      <c r="E98" s="58">
        <f>IF(VLOOKUP(Table311[[#This Row],[Date]],'DB Details'!$A:$Q,17)=0,"",VLOOKUP(Table311[[#This Row],[Date]],'DB Details'!$A:$Q,17))</f>
        <v>4.5181235086873883E-2</v>
      </c>
    </row>
    <row r="99" spans="1:5" x14ac:dyDescent="0.35">
      <c r="A99" s="57">
        <v>38443</v>
      </c>
      <c r="B99" s="47">
        <f>IF(VLOOKUP(Table311[[#This Row],[Date]],'DB Details'!$A:$Q,12)=0,"",VLOOKUP(Table311[[#This Row],[Date]],'DB Details'!$A:$Q,12))</f>
        <v>55.6</v>
      </c>
      <c r="C99" s="58">
        <f>IF(VLOOKUP(Table311[[#This Row],[Date]],'DB Details'!$A:$Q,16)=0,"",VLOOKUP(Table311[[#This Row],[Date]],'DB Details'!$A:$Q,16))</f>
        <v>3.6074103661260792E-2</v>
      </c>
      <c r="D99" s="58">
        <f>IF(VLOOKUP(Table311[[#This Row],[Date]],'DB Details'!$A:$Q,15)=0,"",VLOOKUP(Table311[[#This Row],[Date]],'DB Details'!$A:$Q,15))</f>
        <v>4.8660447840531912E-3</v>
      </c>
      <c r="E99" s="58">
        <f>IF(VLOOKUP(Table311[[#This Row],[Date]],'DB Details'!$A:$Q,17)=0,"",VLOOKUP(Table311[[#This Row],[Date]],'DB Details'!$A:$Q,17))</f>
        <v>1.9606710928381729E-2</v>
      </c>
    </row>
    <row r="100" spans="1:5" x14ac:dyDescent="0.35">
      <c r="A100" s="57">
        <v>38473</v>
      </c>
      <c r="B100" s="47">
        <f>IF(VLOOKUP(Table311[[#This Row],[Date]],'DB Details'!$A:$Q,12)=0,"",VLOOKUP(Table311[[#This Row],[Date]],'DB Details'!$A:$Q,12))</f>
        <v>55.3</v>
      </c>
      <c r="C100" s="58">
        <f>IF(VLOOKUP(Table311[[#This Row],[Date]],'DB Details'!$A:$Q,16)=0,"",VLOOKUP(Table311[[#This Row],[Date]],'DB Details'!$A:$Q,16))</f>
        <v>3.6074103661260792E-2</v>
      </c>
      <c r="D100" s="58">
        <f>IF(VLOOKUP(Table311[[#This Row],[Date]],'DB Details'!$A:$Q,15)=0,"",VLOOKUP(Table311[[#This Row],[Date]],'DB Details'!$A:$Q,15))</f>
        <v>4.8660447840531912E-3</v>
      </c>
      <c r="E100" s="58">
        <f>IF(VLOOKUP(Table311[[#This Row],[Date]],'DB Details'!$A:$Q,17)=0,"",VLOOKUP(Table311[[#This Row],[Date]],'DB Details'!$A:$Q,17))</f>
        <v>1.9606710928381729E-2</v>
      </c>
    </row>
    <row r="101" spans="1:5" x14ac:dyDescent="0.35">
      <c r="A101" s="57">
        <v>38504</v>
      </c>
      <c r="B101" s="47">
        <f>IF(VLOOKUP(Table311[[#This Row],[Date]],'DB Details'!$A:$Q,12)=0,"",VLOOKUP(Table311[[#This Row],[Date]],'DB Details'!$A:$Q,12))</f>
        <v>58.1</v>
      </c>
      <c r="C101" s="58">
        <f>IF(VLOOKUP(Table311[[#This Row],[Date]],'DB Details'!$A:$Q,16)=0,"",VLOOKUP(Table311[[#This Row],[Date]],'DB Details'!$A:$Q,16))</f>
        <v>3.6074103661260792E-2</v>
      </c>
      <c r="D101" s="58">
        <f>IF(VLOOKUP(Table311[[#This Row],[Date]],'DB Details'!$A:$Q,15)=0,"",VLOOKUP(Table311[[#This Row],[Date]],'DB Details'!$A:$Q,15))</f>
        <v>4.8660447840531912E-3</v>
      </c>
      <c r="E101" s="58">
        <f>IF(VLOOKUP(Table311[[#This Row],[Date]],'DB Details'!$A:$Q,17)=0,"",VLOOKUP(Table311[[#This Row],[Date]],'DB Details'!$A:$Q,17))</f>
        <v>1.9606710928381729E-2</v>
      </c>
    </row>
    <row r="102" spans="1:5" x14ac:dyDescent="0.35">
      <c r="A102" s="57">
        <v>38534</v>
      </c>
      <c r="B102" s="47">
        <f>IF(VLOOKUP(Table311[[#This Row],[Date]],'DB Details'!$A:$Q,12)=0,"",VLOOKUP(Table311[[#This Row],[Date]],'DB Details'!$A:$Q,12))</f>
        <v>59.5</v>
      </c>
      <c r="C102" s="58">
        <f>IF(VLOOKUP(Table311[[#This Row],[Date]],'DB Details'!$A:$Q,16)=0,"",VLOOKUP(Table311[[#This Row],[Date]],'DB Details'!$A:$Q,16))</f>
        <v>3.4476745891085119E-2</v>
      </c>
      <c r="D102" s="58">
        <f>IF(VLOOKUP(Table311[[#This Row],[Date]],'DB Details'!$A:$Q,15)=0,"",VLOOKUP(Table311[[#This Row],[Date]],'DB Details'!$A:$Q,15))</f>
        <v>7.8562198027224469E-3</v>
      </c>
      <c r="E102" s="58">
        <f>IF(VLOOKUP(Table311[[#This Row],[Date]],'DB Details'!$A:$Q,17)=0,"",VLOOKUP(Table311[[#This Row],[Date]],'DB Details'!$A:$Q,17))</f>
        <v>3.1797143707306803E-2</v>
      </c>
    </row>
    <row r="103" spans="1:5" x14ac:dyDescent="0.35">
      <c r="A103" s="57">
        <v>38565</v>
      </c>
      <c r="B103" s="47">
        <f>IF(VLOOKUP(Table311[[#This Row],[Date]],'DB Details'!$A:$Q,12)=0,"",VLOOKUP(Table311[[#This Row],[Date]],'DB Details'!$A:$Q,12))</f>
        <v>61.3</v>
      </c>
      <c r="C103" s="58">
        <f>IF(VLOOKUP(Table311[[#This Row],[Date]],'DB Details'!$A:$Q,16)=0,"",VLOOKUP(Table311[[#This Row],[Date]],'DB Details'!$A:$Q,16))</f>
        <v>3.4476745891085119E-2</v>
      </c>
      <c r="D103" s="58">
        <f>IF(VLOOKUP(Table311[[#This Row],[Date]],'DB Details'!$A:$Q,15)=0,"",VLOOKUP(Table311[[#This Row],[Date]],'DB Details'!$A:$Q,15))</f>
        <v>7.8562198027224469E-3</v>
      </c>
      <c r="E103" s="58">
        <f>IF(VLOOKUP(Table311[[#This Row],[Date]],'DB Details'!$A:$Q,17)=0,"",VLOOKUP(Table311[[#This Row],[Date]],'DB Details'!$A:$Q,17))</f>
        <v>3.1797143707306803E-2</v>
      </c>
    </row>
    <row r="104" spans="1:5" x14ac:dyDescent="0.35">
      <c r="A104" s="57">
        <v>38596</v>
      </c>
      <c r="B104" s="47">
        <f>IF(VLOOKUP(Table311[[#This Row],[Date]],'DB Details'!$A:$Q,12)=0,"",VLOOKUP(Table311[[#This Row],[Date]],'DB Details'!$A:$Q,12))</f>
        <v>55.7</v>
      </c>
      <c r="C104" s="58">
        <f>IF(VLOOKUP(Table311[[#This Row],[Date]],'DB Details'!$A:$Q,16)=0,"",VLOOKUP(Table311[[#This Row],[Date]],'DB Details'!$A:$Q,16))</f>
        <v>3.4476745891085119E-2</v>
      </c>
      <c r="D104" s="58">
        <f>IF(VLOOKUP(Table311[[#This Row],[Date]],'DB Details'!$A:$Q,15)=0,"",VLOOKUP(Table311[[#This Row],[Date]],'DB Details'!$A:$Q,15))</f>
        <v>7.8562198027224469E-3</v>
      </c>
      <c r="E104" s="58">
        <f>IF(VLOOKUP(Table311[[#This Row],[Date]],'DB Details'!$A:$Q,17)=0,"",VLOOKUP(Table311[[#This Row],[Date]],'DB Details'!$A:$Q,17))</f>
        <v>3.1797143707306803E-2</v>
      </c>
    </row>
    <row r="105" spans="1:5" x14ac:dyDescent="0.35">
      <c r="A105" s="57">
        <v>38626</v>
      </c>
      <c r="B105" s="47">
        <f>IF(VLOOKUP(Table311[[#This Row],[Date]],'DB Details'!$A:$Q,12)=0,"",VLOOKUP(Table311[[#This Row],[Date]],'DB Details'!$A:$Q,12))</f>
        <v>57.4</v>
      </c>
      <c r="C105" s="58">
        <f>IF(VLOOKUP(Table311[[#This Row],[Date]],'DB Details'!$A:$Q,16)=0,"",VLOOKUP(Table311[[#This Row],[Date]],'DB Details'!$A:$Q,16))</f>
        <v>2.9826720513611439E-2</v>
      </c>
      <c r="D105" s="58">
        <f>IF(VLOOKUP(Table311[[#This Row],[Date]],'DB Details'!$A:$Q,15)=0,"",VLOOKUP(Table311[[#This Row],[Date]],'DB Details'!$A:$Q,15))</f>
        <v>5.6792823835803089E-3</v>
      </c>
      <c r="E105" s="58">
        <f>IF(VLOOKUP(Table311[[#This Row],[Date]],'DB Details'!$A:$Q,17)=0,"",VLOOKUP(Table311[[#This Row],[Date]],'DB Details'!$A:$Q,17))</f>
        <v>2.2911388788951159E-2</v>
      </c>
    </row>
    <row r="106" spans="1:5" x14ac:dyDescent="0.35">
      <c r="A106" s="57">
        <v>38657</v>
      </c>
      <c r="B106" s="47">
        <f>IF(VLOOKUP(Table311[[#This Row],[Date]],'DB Details'!$A:$Q,12)=0,"",VLOOKUP(Table311[[#This Row],[Date]],'DB Details'!$A:$Q,12))</f>
        <v>59.1</v>
      </c>
      <c r="C106" s="58">
        <f>IF(VLOOKUP(Table311[[#This Row],[Date]],'DB Details'!$A:$Q,16)=0,"",VLOOKUP(Table311[[#This Row],[Date]],'DB Details'!$A:$Q,16))</f>
        <v>2.9826720513611439E-2</v>
      </c>
      <c r="D106" s="58">
        <f>IF(VLOOKUP(Table311[[#This Row],[Date]],'DB Details'!$A:$Q,15)=0,"",VLOOKUP(Table311[[#This Row],[Date]],'DB Details'!$A:$Q,15))</f>
        <v>5.6792823835803089E-3</v>
      </c>
      <c r="E106" s="58">
        <f>IF(VLOOKUP(Table311[[#This Row],[Date]],'DB Details'!$A:$Q,17)=0,"",VLOOKUP(Table311[[#This Row],[Date]],'DB Details'!$A:$Q,17))</f>
        <v>2.2911388788951159E-2</v>
      </c>
    </row>
    <row r="107" spans="1:5" x14ac:dyDescent="0.35">
      <c r="A107" s="57">
        <v>38687</v>
      </c>
      <c r="B107" s="47">
        <f>IF(VLOOKUP(Table311[[#This Row],[Date]],'DB Details'!$A:$Q,12)=0,"",VLOOKUP(Table311[[#This Row],[Date]],'DB Details'!$A:$Q,12))</f>
        <v>59</v>
      </c>
      <c r="C107" s="58">
        <f>IF(VLOOKUP(Table311[[#This Row],[Date]],'DB Details'!$A:$Q,16)=0,"",VLOOKUP(Table311[[#This Row],[Date]],'DB Details'!$A:$Q,16))</f>
        <v>2.9826720513611439E-2</v>
      </c>
      <c r="D107" s="58">
        <f>IF(VLOOKUP(Table311[[#This Row],[Date]],'DB Details'!$A:$Q,15)=0,"",VLOOKUP(Table311[[#This Row],[Date]],'DB Details'!$A:$Q,15))</f>
        <v>5.6792823835803089E-3</v>
      </c>
      <c r="E107" s="58">
        <f>IF(VLOOKUP(Table311[[#This Row],[Date]],'DB Details'!$A:$Q,17)=0,"",VLOOKUP(Table311[[#This Row],[Date]],'DB Details'!$A:$Q,17))</f>
        <v>2.2911388788951159E-2</v>
      </c>
    </row>
    <row r="108" spans="1:5" x14ac:dyDescent="0.35">
      <c r="A108" s="57">
        <v>38718</v>
      </c>
      <c r="B108" s="47">
        <f>IF(VLOOKUP(Table311[[#This Row],[Date]],'DB Details'!$A:$Q,12)=0,"",VLOOKUP(Table311[[#This Row],[Date]],'DB Details'!$A:$Q,12))</f>
        <v>56.3</v>
      </c>
      <c r="C108" s="58">
        <f>IF(VLOOKUP(Table311[[#This Row],[Date]],'DB Details'!$A:$Q,16)=0,"",VLOOKUP(Table311[[#This Row],[Date]],'DB Details'!$A:$Q,16))</f>
        <v>3.2248575723230061E-2</v>
      </c>
      <c r="D108" s="58">
        <f>IF(VLOOKUP(Table311[[#This Row],[Date]],'DB Details'!$A:$Q,15)=0,"",VLOOKUP(Table311[[#This Row],[Date]],'DB Details'!$A:$Q,15))</f>
        <v>1.3486661199029431E-2</v>
      </c>
      <c r="E108" s="58">
        <f>IF(VLOOKUP(Table311[[#This Row],[Date]],'DB Details'!$A:$Q,17)=0,"",VLOOKUP(Table311[[#This Row],[Date]],'DB Details'!$A:$Q,17))</f>
        <v>5.5047830418741617E-2</v>
      </c>
    </row>
    <row r="109" spans="1:5" x14ac:dyDescent="0.35">
      <c r="A109" s="57">
        <v>38749</v>
      </c>
      <c r="B109" s="47">
        <f>IF(VLOOKUP(Table311[[#This Row],[Date]],'DB Details'!$A:$Q,12)=0,"",VLOOKUP(Table311[[#This Row],[Date]],'DB Details'!$A:$Q,12))</f>
        <v>57.6</v>
      </c>
      <c r="C109" s="58">
        <f>IF(VLOOKUP(Table311[[#This Row],[Date]],'DB Details'!$A:$Q,16)=0,"",VLOOKUP(Table311[[#This Row],[Date]],'DB Details'!$A:$Q,16))</f>
        <v>3.2248575723230061E-2</v>
      </c>
      <c r="D109" s="58">
        <f>IF(VLOOKUP(Table311[[#This Row],[Date]],'DB Details'!$A:$Q,15)=0,"",VLOOKUP(Table311[[#This Row],[Date]],'DB Details'!$A:$Q,15))</f>
        <v>1.3486661199029431E-2</v>
      </c>
      <c r="E109" s="58">
        <f>IF(VLOOKUP(Table311[[#This Row],[Date]],'DB Details'!$A:$Q,17)=0,"",VLOOKUP(Table311[[#This Row],[Date]],'DB Details'!$A:$Q,17))</f>
        <v>5.5047830418741617E-2</v>
      </c>
    </row>
    <row r="110" spans="1:5" x14ac:dyDescent="0.35">
      <c r="A110" s="57">
        <v>38777</v>
      </c>
      <c r="B110" s="47">
        <f>IF(VLOOKUP(Table311[[#This Row],[Date]],'DB Details'!$A:$Q,12)=0,"",VLOOKUP(Table311[[#This Row],[Date]],'DB Details'!$A:$Q,12))</f>
        <v>56.9</v>
      </c>
      <c r="C110" s="58">
        <f>IF(VLOOKUP(Table311[[#This Row],[Date]],'DB Details'!$A:$Q,16)=0,"",VLOOKUP(Table311[[#This Row],[Date]],'DB Details'!$A:$Q,16))</f>
        <v>3.2248575723230061E-2</v>
      </c>
      <c r="D110" s="58">
        <f>IF(VLOOKUP(Table311[[#This Row],[Date]],'DB Details'!$A:$Q,15)=0,"",VLOOKUP(Table311[[#This Row],[Date]],'DB Details'!$A:$Q,15))</f>
        <v>1.3486661199029431E-2</v>
      </c>
      <c r="E110" s="58">
        <f>IF(VLOOKUP(Table311[[#This Row],[Date]],'DB Details'!$A:$Q,17)=0,"",VLOOKUP(Table311[[#This Row],[Date]],'DB Details'!$A:$Q,17))</f>
        <v>5.5047830418741617E-2</v>
      </c>
    </row>
    <row r="111" spans="1:5" x14ac:dyDescent="0.35">
      <c r="A111" s="57">
        <v>38808</v>
      </c>
      <c r="B111" s="47">
        <f>IF(VLOOKUP(Table311[[#This Row],[Date]],'DB Details'!$A:$Q,12)=0,"",VLOOKUP(Table311[[#This Row],[Date]],'DB Details'!$A:$Q,12))</f>
        <v>58.4</v>
      </c>
      <c r="C111" s="58">
        <f>IF(VLOOKUP(Table311[[#This Row],[Date]],'DB Details'!$A:$Q,16)=0,"",VLOOKUP(Table311[[#This Row],[Date]],'DB Details'!$A:$Q,16))</f>
        <v>2.977269025594638E-2</v>
      </c>
      <c r="D111" s="58">
        <f>IF(VLOOKUP(Table311[[#This Row],[Date]],'DB Details'!$A:$Q,15)=0,"",VLOOKUP(Table311[[#This Row],[Date]],'DB Details'!$A:$Q,15))</f>
        <v>2.4558373055836402E-3</v>
      </c>
      <c r="E111" s="58">
        <f>IF(VLOOKUP(Table311[[#This Row],[Date]],'DB Details'!$A:$Q,17)=0,"",VLOOKUP(Table311[[#This Row],[Date]],'DB Details'!$A:$Q,17))</f>
        <v>9.8595953259017488E-3</v>
      </c>
    </row>
    <row r="112" spans="1:5" x14ac:dyDescent="0.35">
      <c r="A112" s="57">
        <v>38838</v>
      </c>
      <c r="B112" s="47">
        <f>IF(VLOOKUP(Table311[[#This Row],[Date]],'DB Details'!$A:$Q,12)=0,"",VLOOKUP(Table311[[#This Row],[Date]],'DB Details'!$A:$Q,12))</f>
        <v>57</v>
      </c>
      <c r="C112" s="58">
        <f>IF(VLOOKUP(Table311[[#This Row],[Date]],'DB Details'!$A:$Q,16)=0,"",VLOOKUP(Table311[[#This Row],[Date]],'DB Details'!$A:$Q,16))</f>
        <v>2.977269025594638E-2</v>
      </c>
      <c r="D112" s="58">
        <f>IF(VLOOKUP(Table311[[#This Row],[Date]],'DB Details'!$A:$Q,15)=0,"",VLOOKUP(Table311[[#This Row],[Date]],'DB Details'!$A:$Q,15))</f>
        <v>2.4558373055836402E-3</v>
      </c>
      <c r="E112" s="58">
        <f>IF(VLOOKUP(Table311[[#This Row],[Date]],'DB Details'!$A:$Q,17)=0,"",VLOOKUP(Table311[[#This Row],[Date]],'DB Details'!$A:$Q,17))</f>
        <v>9.8595953259017488E-3</v>
      </c>
    </row>
    <row r="113" spans="1:5" x14ac:dyDescent="0.35">
      <c r="A113" s="57">
        <v>38869</v>
      </c>
      <c r="B113" s="47">
        <f>IF(VLOOKUP(Table311[[#This Row],[Date]],'DB Details'!$A:$Q,12)=0,"",VLOOKUP(Table311[[#This Row],[Date]],'DB Details'!$A:$Q,12))</f>
        <v>55.2</v>
      </c>
      <c r="C113" s="58">
        <f>IF(VLOOKUP(Table311[[#This Row],[Date]],'DB Details'!$A:$Q,16)=0,"",VLOOKUP(Table311[[#This Row],[Date]],'DB Details'!$A:$Q,16))</f>
        <v>2.977269025594638E-2</v>
      </c>
      <c r="D113" s="58">
        <f>IF(VLOOKUP(Table311[[#This Row],[Date]],'DB Details'!$A:$Q,15)=0,"",VLOOKUP(Table311[[#This Row],[Date]],'DB Details'!$A:$Q,15))</f>
        <v>2.4558373055836402E-3</v>
      </c>
      <c r="E113" s="58">
        <f>IF(VLOOKUP(Table311[[#This Row],[Date]],'DB Details'!$A:$Q,17)=0,"",VLOOKUP(Table311[[#This Row],[Date]],'DB Details'!$A:$Q,17))</f>
        <v>9.8595953259017488E-3</v>
      </c>
    </row>
    <row r="114" spans="1:5" x14ac:dyDescent="0.35">
      <c r="A114" s="57">
        <v>38899</v>
      </c>
      <c r="B114" s="47">
        <f>IF(VLOOKUP(Table311[[#This Row],[Date]],'DB Details'!$A:$Q,12)=0,"",VLOOKUP(Table311[[#This Row],[Date]],'DB Details'!$A:$Q,12))</f>
        <v>55.6</v>
      </c>
      <c r="C114" s="58">
        <f>IF(VLOOKUP(Table311[[#This Row],[Date]],'DB Details'!$A:$Q,16)=0,"",VLOOKUP(Table311[[#This Row],[Date]],'DB Details'!$A:$Q,16))</f>
        <v>2.328291151863791E-2</v>
      </c>
      <c r="D114" s="58">
        <f>IF(VLOOKUP(Table311[[#This Row],[Date]],'DB Details'!$A:$Q,15)=0,"",VLOOKUP(Table311[[#This Row],[Date]],'DB Details'!$A:$Q,15))</f>
        <v>1.5045618810949951E-3</v>
      </c>
      <c r="E114" s="58">
        <f>IF(VLOOKUP(Table311[[#This Row],[Date]],'DB Details'!$A:$Q,17)=0,"",VLOOKUP(Table311[[#This Row],[Date]],'DB Details'!$A:$Q,17))</f>
        <v>6.0318433917740943E-3</v>
      </c>
    </row>
    <row r="115" spans="1:5" x14ac:dyDescent="0.35">
      <c r="A115" s="57">
        <v>38930</v>
      </c>
      <c r="B115" s="47">
        <f>IF(VLOOKUP(Table311[[#This Row],[Date]],'DB Details'!$A:$Q,12)=0,"",VLOOKUP(Table311[[#This Row],[Date]],'DB Details'!$A:$Q,12))</f>
        <v>53.9</v>
      </c>
      <c r="C115" s="58">
        <f>IF(VLOOKUP(Table311[[#This Row],[Date]],'DB Details'!$A:$Q,16)=0,"",VLOOKUP(Table311[[#This Row],[Date]],'DB Details'!$A:$Q,16))</f>
        <v>2.328291151863791E-2</v>
      </c>
      <c r="D115" s="58">
        <f>IF(VLOOKUP(Table311[[#This Row],[Date]],'DB Details'!$A:$Q,15)=0,"",VLOOKUP(Table311[[#This Row],[Date]],'DB Details'!$A:$Q,15))</f>
        <v>1.5045618810949951E-3</v>
      </c>
      <c r="E115" s="58">
        <f>IF(VLOOKUP(Table311[[#This Row],[Date]],'DB Details'!$A:$Q,17)=0,"",VLOOKUP(Table311[[#This Row],[Date]],'DB Details'!$A:$Q,17))</f>
        <v>6.0318433917740943E-3</v>
      </c>
    </row>
    <row r="116" spans="1:5" x14ac:dyDescent="0.35">
      <c r="A116" s="57">
        <v>38961</v>
      </c>
      <c r="B116" s="47">
        <f>IF(VLOOKUP(Table311[[#This Row],[Date]],'DB Details'!$A:$Q,12)=0,"",VLOOKUP(Table311[[#This Row],[Date]],'DB Details'!$A:$Q,12))</f>
        <v>54.5</v>
      </c>
      <c r="C116" s="58">
        <f>IF(VLOOKUP(Table311[[#This Row],[Date]],'DB Details'!$A:$Q,16)=0,"",VLOOKUP(Table311[[#This Row],[Date]],'DB Details'!$A:$Q,16))</f>
        <v>2.328291151863791E-2</v>
      </c>
      <c r="D116" s="58">
        <f>IF(VLOOKUP(Table311[[#This Row],[Date]],'DB Details'!$A:$Q,15)=0,"",VLOOKUP(Table311[[#This Row],[Date]],'DB Details'!$A:$Q,15))</f>
        <v>1.5045618810949951E-3</v>
      </c>
      <c r="E116" s="58">
        <f>IF(VLOOKUP(Table311[[#This Row],[Date]],'DB Details'!$A:$Q,17)=0,"",VLOOKUP(Table311[[#This Row],[Date]],'DB Details'!$A:$Q,17))</f>
        <v>6.0318433917740943E-3</v>
      </c>
    </row>
    <row r="117" spans="1:5" x14ac:dyDescent="0.35">
      <c r="A117" s="57">
        <v>38991</v>
      </c>
      <c r="B117" s="47">
        <f>IF(VLOOKUP(Table311[[#This Row],[Date]],'DB Details'!$A:$Q,12)=0,"",VLOOKUP(Table311[[#This Row],[Date]],'DB Details'!$A:$Q,12))</f>
        <v>54.9</v>
      </c>
      <c r="C117" s="58">
        <f>IF(VLOOKUP(Table311[[#This Row],[Date]],'DB Details'!$A:$Q,16)=0,"",VLOOKUP(Table311[[#This Row],[Date]],'DB Details'!$A:$Q,16))</f>
        <v>2.6089019835609219E-2</v>
      </c>
      <c r="D117" s="58">
        <f>IF(VLOOKUP(Table311[[#This Row],[Date]],'DB Details'!$A:$Q,15)=0,"",VLOOKUP(Table311[[#This Row],[Date]],'DB Details'!$A:$Q,15))</f>
        <v>8.4371169635735783E-3</v>
      </c>
      <c r="E117" s="58">
        <f>IF(VLOOKUP(Table311[[#This Row],[Date]],'DB Details'!$A:$Q,17)=0,"",VLOOKUP(Table311[[#This Row],[Date]],'DB Details'!$A:$Q,17))</f>
        <v>3.4177984960281238E-2</v>
      </c>
    </row>
    <row r="118" spans="1:5" x14ac:dyDescent="0.35">
      <c r="A118" s="57">
        <v>39022</v>
      </c>
      <c r="B118" s="47">
        <f>IF(VLOOKUP(Table311[[#This Row],[Date]],'DB Details'!$A:$Q,12)=0,"",VLOOKUP(Table311[[#This Row],[Date]],'DB Details'!$A:$Q,12))</f>
        <v>54.5</v>
      </c>
      <c r="C118" s="58">
        <f>IF(VLOOKUP(Table311[[#This Row],[Date]],'DB Details'!$A:$Q,16)=0,"",VLOOKUP(Table311[[#This Row],[Date]],'DB Details'!$A:$Q,16))</f>
        <v>2.6089019835609219E-2</v>
      </c>
      <c r="D118" s="58">
        <f>IF(VLOOKUP(Table311[[#This Row],[Date]],'DB Details'!$A:$Q,15)=0,"",VLOOKUP(Table311[[#This Row],[Date]],'DB Details'!$A:$Q,15))</f>
        <v>8.4371169635735783E-3</v>
      </c>
      <c r="E118" s="58">
        <f>IF(VLOOKUP(Table311[[#This Row],[Date]],'DB Details'!$A:$Q,17)=0,"",VLOOKUP(Table311[[#This Row],[Date]],'DB Details'!$A:$Q,17))</f>
        <v>3.4177984960281238E-2</v>
      </c>
    </row>
    <row r="119" spans="1:5" x14ac:dyDescent="0.35">
      <c r="A119" s="57">
        <v>39052</v>
      </c>
      <c r="B119" s="47">
        <f>IF(VLOOKUP(Table311[[#This Row],[Date]],'DB Details'!$A:$Q,12)=0,"",VLOOKUP(Table311[[#This Row],[Date]],'DB Details'!$A:$Q,12))</f>
        <v>53.7</v>
      </c>
      <c r="C119" s="58">
        <f>IF(VLOOKUP(Table311[[#This Row],[Date]],'DB Details'!$A:$Q,16)=0,"",VLOOKUP(Table311[[#This Row],[Date]],'DB Details'!$A:$Q,16))</f>
        <v>2.6089019835609219E-2</v>
      </c>
      <c r="D119" s="58">
        <f>IF(VLOOKUP(Table311[[#This Row],[Date]],'DB Details'!$A:$Q,15)=0,"",VLOOKUP(Table311[[#This Row],[Date]],'DB Details'!$A:$Q,15))</f>
        <v>8.4371169635735783E-3</v>
      </c>
      <c r="E119" s="58">
        <f>IF(VLOOKUP(Table311[[#This Row],[Date]],'DB Details'!$A:$Q,17)=0,"",VLOOKUP(Table311[[#This Row],[Date]],'DB Details'!$A:$Q,17))</f>
        <v>3.4177984960281238E-2</v>
      </c>
    </row>
    <row r="120" spans="1:5" x14ac:dyDescent="0.35">
      <c r="A120" s="57">
        <v>39083</v>
      </c>
      <c r="B120" s="47">
        <f>IF(VLOOKUP(Table311[[#This Row],[Date]],'DB Details'!$A:$Q,12)=0,"",VLOOKUP(Table311[[#This Row],[Date]],'DB Details'!$A:$Q,12))</f>
        <v>55.4</v>
      </c>
      <c r="C120" s="58">
        <f>IF(VLOOKUP(Table311[[#This Row],[Date]],'DB Details'!$A:$Q,16)=0,"",VLOOKUP(Table311[[#This Row],[Date]],'DB Details'!$A:$Q,16))</f>
        <v>1.540715325180492E-2</v>
      </c>
      <c r="D120" s="58">
        <f>IF(VLOOKUP(Table311[[#This Row],[Date]],'DB Details'!$A:$Q,15)=0,"",VLOOKUP(Table311[[#This Row],[Date]],'DB Details'!$A:$Q,15))</f>
        <v>2.9359886061897439E-3</v>
      </c>
      <c r="E120" s="58">
        <f>IF(VLOOKUP(Table311[[#This Row],[Date]],'DB Details'!$A:$Q,17)=0,"",VLOOKUP(Table311[[#This Row],[Date]],'DB Details'!$A:$Q,17))</f>
        <v>1.1795775906866529E-2</v>
      </c>
    </row>
    <row r="121" spans="1:5" x14ac:dyDescent="0.35">
      <c r="A121" s="57">
        <v>39114</v>
      </c>
      <c r="B121" s="47">
        <f>IF(VLOOKUP(Table311[[#This Row],[Date]],'DB Details'!$A:$Q,12)=0,"",VLOOKUP(Table311[[#This Row],[Date]],'DB Details'!$A:$Q,12))</f>
        <v>54.2</v>
      </c>
      <c r="C121" s="58">
        <f>IF(VLOOKUP(Table311[[#This Row],[Date]],'DB Details'!$A:$Q,16)=0,"",VLOOKUP(Table311[[#This Row],[Date]],'DB Details'!$A:$Q,16))</f>
        <v>1.540715325180492E-2</v>
      </c>
      <c r="D121" s="58">
        <f>IF(VLOOKUP(Table311[[#This Row],[Date]],'DB Details'!$A:$Q,15)=0,"",VLOOKUP(Table311[[#This Row],[Date]],'DB Details'!$A:$Q,15))</f>
        <v>2.9359886061897439E-3</v>
      </c>
      <c r="E121" s="58">
        <f>IF(VLOOKUP(Table311[[#This Row],[Date]],'DB Details'!$A:$Q,17)=0,"",VLOOKUP(Table311[[#This Row],[Date]],'DB Details'!$A:$Q,17))</f>
        <v>1.1795775906866529E-2</v>
      </c>
    </row>
    <row r="122" spans="1:5" x14ac:dyDescent="0.35">
      <c r="A122" s="57">
        <v>39142</v>
      </c>
      <c r="B122" s="47">
        <f>IF(VLOOKUP(Table311[[#This Row],[Date]],'DB Details'!$A:$Q,12)=0,"",VLOOKUP(Table311[[#This Row],[Date]],'DB Details'!$A:$Q,12))</f>
        <v>52.1</v>
      </c>
      <c r="C122" s="58">
        <f>IF(VLOOKUP(Table311[[#This Row],[Date]],'DB Details'!$A:$Q,16)=0,"",VLOOKUP(Table311[[#This Row],[Date]],'DB Details'!$A:$Q,16))</f>
        <v>1.540715325180492E-2</v>
      </c>
      <c r="D122" s="58">
        <f>IF(VLOOKUP(Table311[[#This Row],[Date]],'DB Details'!$A:$Q,15)=0,"",VLOOKUP(Table311[[#This Row],[Date]],'DB Details'!$A:$Q,15))</f>
        <v>2.9359886061897439E-3</v>
      </c>
      <c r="E122" s="58">
        <f>IF(VLOOKUP(Table311[[#This Row],[Date]],'DB Details'!$A:$Q,17)=0,"",VLOOKUP(Table311[[#This Row],[Date]],'DB Details'!$A:$Q,17))</f>
        <v>1.1795775906866529E-2</v>
      </c>
    </row>
    <row r="123" spans="1:5" x14ac:dyDescent="0.35">
      <c r="A123" s="57">
        <v>39173</v>
      </c>
      <c r="B123" s="47">
        <f>IF(VLOOKUP(Table311[[#This Row],[Date]],'DB Details'!$A:$Q,12)=0,"",VLOOKUP(Table311[[#This Row],[Date]],'DB Details'!$A:$Q,12))</f>
        <v>53.4</v>
      </c>
      <c r="C123" s="58">
        <f>IF(VLOOKUP(Table311[[#This Row],[Date]],'DB Details'!$A:$Q,16)=0,"",VLOOKUP(Table311[[#This Row],[Date]],'DB Details'!$A:$Q,16))</f>
        <v>1.938641594997887E-2</v>
      </c>
      <c r="D123" s="58">
        <f>IF(VLOOKUP(Table311[[#This Row],[Date]],'DB Details'!$A:$Q,15)=0,"",VLOOKUP(Table311[[#This Row],[Date]],'DB Details'!$A:$Q,15))</f>
        <v>6.3843453008071297E-3</v>
      </c>
      <c r="E123" s="58">
        <f>IF(VLOOKUP(Table311[[#This Row],[Date]],'DB Details'!$A:$Q,17)=0,"",VLOOKUP(Table311[[#This Row],[Date]],'DB Details'!$A:$Q,17))</f>
        <v>2.578298295432346E-2</v>
      </c>
    </row>
    <row r="124" spans="1:5" x14ac:dyDescent="0.35">
      <c r="A124" s="57">
        <v>39203</v>
      </c>
      <c r="B124" s="47">
        <f>IF(VLOOKUP(Table311[[#This Row],[Date]],'DB Details'!$A:$Q,12)=0,"",VLOOKUP(Table311[[#This Row],[Date]],'DB Details'!$A:$Q,12))</f>
        <v>54.3</v>
      </c>
      <c r="C124" s="58">
        <f>IF(VLOOKUP(Table311[[#This Row],[Date]],'DB Details'!$A:$Q,16)=0,"",VLOOKUP(Table311[[#This Row],[Date]],'DB Details'!$A:$Q,16))</f>
        <v>1.938641594997887E-2</v>
      </c>
      <c r="D124" s="58">
        <f>IF(VLOOKUP(Table311[[#This Row],[Date]],'DB Details'!$A:$Q,15)=0,"",VLOOKUP(Table311[[#This Row],[Date]],'DB Details'!$A:$Q,15))</f>
        <v>6.3843453008071297E-3</v>
      </c>
      <c r="E124" s="58">
        <f>IF(VLOOKUP(Table311[[#This Row],[Date]],'DB Details'!$A:$Q,17)=0,"",VLOOKUP(Table311[[#This Row],[Date]],'DB Details'!$A:$Q,17))</f>
        <v>2.578298295432346E-2</v>
      </c>
    </row>
    <row r="125" spans="1:5" x14ac:dyDescent="0.35">
      <c r="A125" s="57">
        <v>39234</v>
      </c>
      <c r="B125" s="47">
        <f>IF(VLOOKUP(Table311[[#This Row],[Date]],'DB Details'!$A:$Q,12)=0,"",VLOOKUP(Table311[[#This Row],[Date]],'DB Details'!$A:$Q,12))</f>
        <v>54.9</v>
      </c>
      <c r="C125" s="58">
        <f>IF(VLOOKUP(Table311[[#This Row],[Date]],'DB Details'!$A:$Q,16)=0,"",VLOOKUP(Table311[[#This Row],[Date]],'DB Details'!$A:$Q,16))</f>
        <v>1.938641594997887E-2</v>
      </c>
      <c r="D125" s="58">
        <f>IF(VLOOKUP(Table311[[#This Row],[Date]],'DB Details'!$A:$Q,15)=0,"",VLOOKUP(Table311[[#This Row],[Date]],'DB Details'!$A:$Q,15))</f>
        <v>6.3843453008071297E-3</v>
      </c>
      <c r="E125" s="58">
        <f>IF(VLOOKUP(Table311[[#This Row],[Date]],'DB Details'!$A:$Q,17)=0,"",VLOOKUP(Table311[[#This Row],[Date]],'DB Details'!$A:$Q,17))</f>
        <v>2.578298295432346E-2</v>
      </c>
    </row>
    <row r="126" spans="1:5" x14ac:dyDescent="0.35">
      <c r="A126" s="57">
        <v>39264</v>
      </c>
      <c r="B126" s="47">
        <f>IF(VLOOKUP(Table311[[#This Row],[Date]],'DB Details'!$A:$Q,12)=0,"",VLOOKUP(Table311[[#This Row],[Date]],'DB Details'!$A:$Q,12))</f>
        <v>53.6</v>
      </c>
      <c r="C126" s="58">
        <f>IF(VLOOKUP(Table311[[#This Row],[Date]],'DB Details'!$A:$Q,16)=0,"",VLOOKUP(Table311[[#This Row],[Date]],'DB Details'!$A:$Q,16))</f>
        <v>2.3985598500102932E-2</v>
      </c>
      <c r="D126" s="58">
        <f>IF(VLOOKUP(Table311[[#This Row],[Date]],'DB Details'!$A:$Q,15)=0,"",VLOOKUP(Table311[[#This Row],[Date]],'DB Details'!$A:$Q,15))</f>
        <v>6.0230665745096982E-3</v>
      </c>
      <c r="E126" s="58">
        <f>IF(VLOOKUP(Table311[[#This Row],[Date]],'DB Details'!$A:$Q,17)=0,"",VLOOKUP(Table311[[#This Row],[Date]],'DB Details'!$A:$Q,17))</f>
        <v>2.4310805602967941E-2</v>
      </c>
    </row>
    <row r="127" spans="1:5" x14ac:dyDescent="0.35">
      <c r="A127" s="57">
        <v>39295</v>
      </c>
      <c r="B127" s="47">
        <f>IF(VLOOKUP(Table311[[#This Row],[Date]],'DB Details'!$A:$Q,12)=0,"",VLOOKUP(Table311[[#This Row],[Date]],'DB Details'!$A:$Q,12))</f>
        <v>52.7</v>
      </c>
      <c r="C127" s="58">
        <f>IF(VLOOKUP(Table311[[#This Row],[Date]],'DB Details'!$A:$Q,16)=0,"",VLOOKUP(Table311[[#This Row],[Date]],'DB Details'!$A:$Q,16))</f>
        <v>2.3985598500102932E-2</v>
      </c>
      <c r="D127" s="58">
        <f>IF(VLOOKUP(Table311[[#This Row],[Date]],'DB Details'!$A:$Q,15)=0,"",VLOOKUP(Table311[[#This Row],[Date]],'DB Details'!$A:$Q,15))</f>
        <v>6.0230665745096982E-3</v>
      </c>
      <c r="E127" s="58">
        <f>IF(VLOOKUP(Table311[[#This Row],[Date]],'DB Details'!$A:$Q,17)=0,"",VLOOKUP(Table311[[#This Row],[Date]],'DB Details'!$A:$Q,17))</f>
        <v>2.4310805602967941E-2</v>
      </c>
    </row>
    <row r="128" spans="1:5" x14ac:dyDescent="0.35">
      <c r="A128" s="57">
        <v>39326</v>
      </c>
      <c r="B128" s="47">
        <f>IF(VLOOKUP(Table311[[#This Row],[Date]],'DB Details'!$A:$Q,12)=0,"",VLOOKUP(Table311[[#This Row],[Date]],'DB Details'!$A:$Q,12))</f>
        <v>52.6</v>
      </c>
      <c r="C128" s="58">
        <f>IF(VLOOKUP(Table311[[#This Row],[Date]],'DB Details'!$A:$Q,16)=0,"",VLOOKUP(Table311[[#This Row],[Date]],'DB Details'!$A:$Q,16))</f>
        <v>2.3985598500102932E-2</v>
      </c>
      <c r="D128" s="58">
        <f>IF(VLOOKUP(Table311[[#This Row],[Date]],'DB Details'!$A:$Q,15)=0,"",VLOOKUP(Table311[[#This Row],[Date]],'DB Details'!$A:$Q,15))</f>
        <v>6.0230665745096982E-3</v>
      </c>
      <c r="E128" s="58">
        <f>IF(VLOOKUP(Table311[[#This Row],[Date]],'DB Details'!$A:$Q,17)=0,"",VLOOKUP(Table311[[#This Row],[Date]],'DB Details'!$A:$Q,17))</f>
        <v>2.4310805602967941E-2</v>
      </c>
    </row>
    <row r="129" spans="1:5" x14ac:dyDescent="0.35">
      <c r="A129" s="57">
        <v>39356</v>
      </c>
      <c r="B129" s="47">
        <f>IF(VLOOKUP(Table311[[#This Row],[Date]],'DB Details'!$A:$Q,12)=0,"",VLOOKUP(Table311[[#This Row],[Date]],'DB Details'!$A:$Q,12))</f>
        <v>53.6</v>
      </c>
      <c r="C129" s="58">
        <f>IF(VLOOKUP(Table311[[#This Row],[Date]],'DB Details'!$A:$Q,16)=0,"",VLOOKUP(Table311[[#This Row],[Date]],'DB Details'!$A:$Q,16))</f>
        <v>2.1608832081965391E-2</v>
      </c>
      <c r="D129" s="58">
        <f>IF(VLOOKUP(Table311[[#This Row],[Date]],'DB Details'!$A:$Q,15)=0,"",VLOOKUP(Table311[[#This Row],[Date]],'DB Details'!$A:$Q,15))</f>
        <v>6.0964400264045121E-3</v>
      </c>
      <c r="E129" s="58">
        <f>IF(VLOOKUP(Table311[[#This Row],[Date]],'DB Details'!$A:$Q,17)=0,"",VLOOKUP(Table311[[#This Row],[Date]],'DB Details'!$A:$Q,17))</f>
        <v>2.46096673082743E-2</v>
      </c>
    </row>
    <row r="130" spans="1:5" x14ac:dyDescent="0.35">
      <c r="A130" s="57">
        <v>39387</v>
      </c>
      <c r="B130" s="47">
        <f>IF(VLOOKUP(Table311[[#This Row],[Date]],'DB Details'!$A:$Q,12)=0,"",VLOOKUP(Table311[[#This Row],[Date]],'DB Details'!$A:$Q,12))</f>
        <v>52.8</v>
      </c>
      <c r="C130" s="58">
        <f>IF(VLOOKUP(Table311[[#This Row],[Date]],'DB Details'!$A:$Q,16)=0,"",VLOOKUP(Table311[[#This Row],[Date]],'DB Details'!$A:$Q,16))</f>
        <v>2.1608832081965391E-2</v>
      </c>
      <c r="D130" s="58">
        <f>IF(VLOOKUP(Table311[[#This Row],[Date]],'DB Details'!$A:$Q,15)=0,"",VLOOKUP(Table311[[#This Row],[Date]],'DB Details'!$A:$Q,15))</f>
        <v>6.0964400264045121E-3</v>
      </c>
      <c r="E130" s="58">
        <f>IF(VLOOKUP(Table311[[#This Row],[Date]],'DB Details'!$A:$Q,17)=0,"",VLOOKUP(Table311[[#This Row],[Date]],'DB Details'!$A:$Q,17))</f>
        <v>2.46096673082743E-2</v>
      </c>
    </row>
    <row r="131" spans="1:5" x14ac:dyDescent="0.35">
      <c r="A131" s="57">
        <v>39417</v>
      </c>
      <c r="B131" s="47">
        <f>IF(VLOOKUP(Table311[[#This Row],[Date]],'DB Details'!$A:$Q,12)=0,"",VLOOKUP(Table311[[#This Row],[Date]],'DB Details'!$A:$Q,12))</f>
        <v>52.5</v>
      </c>
      <c r="C131" s="58">
        <f>IF(VLOOKUP(Table311[[#This Row],[Date]],'DB Details'!$A:$Q,16)=0,"",VLOOKUP(Table311[[#This Row],[Date]],'DB Details'!$A:$Q,16))</f>
        <v>2.1608832081965391E-2</v>
      </c>
      <c r="D131" s="58">
        <f>IF(VLOOKUP(Table311[[#This Row],[Date]],'DB Details'!$A:$Q,15)=0,"",VLOOKUP(Table311[[#This Row],[Date]],'DB Details'!$A:$Q,15))</f>
        <v>6.0964400264045121E-3</v>
      </c>
      <c r="E131" s="58">
        <f>IF(VLOOKUP(Table311[[#This Row],[Date]],'DB Details'!$A:$Q,17)=0,"",VLOOKUP(Table311[[#This Row],[Date]],'DB Details'!$A:$Q,17))</f>
        <v>2.46096673082743E-2</v>
      </c>
    </row>
    <row r="132" spans="1:5" x14ac:dyDescent="0.35">
      <c r="A132" s="57">
        <v>39448</v>
      </c>
      <c r="B132" s="47">
        <f>IF(VLOOKUP(Table311[[#This Row],[Date]],'DB Details'!$A:$Q,12)=0,"",VLOOKUP(Table311[[#This Row],[Date]],'DB Details'!$A:$Q,12))</f>
        <v>44.8</v>
      </c>
      <c r="C132" s="58">
        <f>IF(VLOOKUP(Table311[[#This Row],[Date]],'DB Details'!$A:$Q,16)=0,"",VLOOKUP(Table311[[#This Row],[Date]],'DB Details'!$A:$Q,16))</f>
        <v>1.4468030014427379E-2</v>
      </c>
      <c r="D132" s="58">
        <f>IF(VLOOKUP(Table311[[#This Row],[Date]],'DB Details'!$A:$Q,15)=0,"",VLOOKUP(Table311[[#This Row],[Date]],'DB Details'!$A:$Q,15))</f>
        <v>-4.0742947392000926E-3</v>
      </c>
      <c r="E132" s="58">
        <f>IF(VLOOKUP(Table311[[#This Row],[Date]],'DB Details'!$A:$Q,17)=0,"",VLOOKUP(Table311[[#This Row],[Date]],'DB Details'!$A:$Q,17))</f>
        <v>-1.619784994668938E-2</v>
      </c>
    </row>
    <row r="133" spans="1:5" x14ac:dyDescent="0.35">
      <c r="A133" s="57">
        <v>39479</v>
      </c>
      <c r="B133" s="47">
        <f>IF(VLOOKUP(Table311[[#This Row],[Date]],'DB Details'!$A:$Q,12)=0,"",VLOOKUP(Table311[[#This Row],[Date]],'DB Details'!$A:$Q,12))</f>
        <v>49.9</v>
      </c>
      <c r="C133" s="58">
        <f>IF(VLOOKUP(Table311[[#This Row],[Date]],'DB Details'!$A:$Q,16)=0,"",VLOOKUP(Table311[[#This Row],[Date]],'DB Details'!$A:$Q,16))</f>
        <v>1.4468030014427379E-2</v>
      </c>
      <c r="D133" s="58">
        <f>IF(VLOOKUP(Table311[[#This Row],[Date]],'DB Details'!$A:$Q,15)=0,"",VLOOKUP(Table311[[#This Row],[Date]],'DB Details'!$A:$Q,15))</f>
        <v>-4.0742947392000926E-3</v>
      </c>
      <c r="E133" s="58">
        <f>IF(VLOOKUP(Table311[[#This Row],[Date]],'DB Details'!$A:$Q,17)=0,"",VLOOKUP(Table311[[#This Row],[Date]],'DB Details'!$A:$Q,17))</f>
        <v>-1.619784994668938E-2</v>
      </c>
    </row>
    <row r="134" spans="1:5" x14ac:dyDescent="0.35">
      <c r="A134" s="57">
        <v>39508</v>
      </c>
      <c r="B134" s="47">
        <f>IF(VLOOKUP(Table311[[#This Row],[Date]],'DB Details'!$A:$Q,12)=0,"",VLOOKUP(Table311[[#This Row],[Date]],'DB Details'!$A:$Q,12))</f>
        <v>49.4</v>
      </c>
      <c r="C134" s="58">
        <f>IF(VLOOKUP(Table311[[#This Row],[Date]],'DB Details'!$A:$Q,16)=0,"",VLOOKUP(Table311[[#This Row],[Date]],'DB Details'!$A:$Q,16))</f>
        <v>1.4468030014427379E-2</v>
      </c>
      <c r="D134" s="58">
        <f>IF(VLOOKUP(Table311[[#This Row],[Date]],'DB Details'!$A:$Q,15)=0,"",VLOOKUP(Table311[[#This Row],[Date]],'DB Details'!$A:$Q,15))</f>
        <v>-4.0742947392000926E-3</v>
      </c>
      <c r="E134" s="58">
        <f>IF(VLOOKUP(Table311[[#This Row],[Date]],'DB Details'!$A:$Q,17)=0,"",VLOOKUP(Table311[[#This Row],[Date]],'DB Details'!$A:$Q,17))</f>
        <v>-1.619784994668938E-2</v>
      </c>
    </row>
    <row r="135" spans="1:5" x14ac:dyDescent="0.35">
      <c r="A135" s="57">
        <v>39539</v>
      </c>
      <c r="B135" s="47">
        <f>IF(VLOOKUP(Table311[[#This Row],[Date]],'DB Details'!$A:$Q,12)=0,"",VLOOKUP(Table311[[#This Row],[Date]],'DB Details'!$A:$Q,12))</f>
        <v>51.9</v>
      </c>
      <c r="C135" s="58">
        <f>IF(VLOOKUP(Table311[[#This Row],[Date]],'DB Details'!$A:$Q,16)=0,"",VLOOKUP(Table311[[#This Row],[Date]],'DB Details'!$A:$Q,16))</f>
        <v>1.3801325593333859E-2</v>
      </c>
      <c r="D135" s="58">
        <f>IF(VLOOKUP(Table311[[#This Row],[Date]],'DB Details'!$A:$Q,15)=0,"",VLOOKUP(Table311[[#This Row],[Date]],'DB Details'!$A:$Q,15))</f>
        <v>5.7229534456869546E-3</v>
      </c>
      <c r="E135" s="58">
        <f>IF(VLOOKUP(Table311[[#This Row],[Date]],'DB Details'!$A:$Q,17)=0,"",VLOOKUP(Table311[[#This Row],[Date]],'DB Details'!$A:$Q,17))</f>
        <v>2.3089077789477889E-2</v>
      </c>
    </row>
    <row r="136" spans="1:5" x14ac:dyDescent="0.35">
      <c r="A136" s="57">
        <v>39569</v>
      </c>
      <c r="B136" s="47">
        <f>IF(VLOOKUP(Table311[[#This Row],[Date]],'DB Details'!$A:$Q,12)=0,"",VLOOKUP(Table311[[#This Row],[Date]],'DB Details'!$A:$Q,12))</f>
        <v>51.5</v>
      </c>
      <c r="C136" s="58">
        <f>IF(VLOOKUP(Table311[[#This Row],[Date]],'DB Details'!$A:$Q,16)=0,"",VLOOKUP(Table311[[#This Row],[Date]],'DB Details'!$A:$Q,16))</f>
        <v>1.3801325593333859E-2</v>
      </c>
      <c r="D136" s="58">
        <f>IF(VLOOKUP(Table311[[#This Row],[Date]],'DB Details'!$A:$Q,15)=0,"",VLOOKUP(Table311[[#This Row],[Date]],'DB Details'!$A:$Q,15))</f>
        <v>5.7229534456869546E-3</v>
      </c>
      <c r="E136" s="58">
        <f>IF(VLOOKUP(Table311[[#This Row],[Date]],'DB Details'!$A:$Q,17)=0,"",VLOOKUP(Table311[[#This Row],[Date]],'DB Details'!$A:$Q,17))</f>
        <v>2.3089077789477889E-2</v>
      </c>
    </row>
    <row r="137" spans="1:5" x14ac:dyDescent="0.35">
      <c r="A137" s="57">
        <v>39600</v>
      </c>
      <c r="B137" s="47">
        <f>IF(VLOOKUP(Table311[[#This Row],[Date]],'DB Details'!$A:$Q,12)=0,"",VLOOKUP(Table311[[#This Row],[Date]],'DB Details'!$A:$Q,12))</f>
        <v>48.1</v>
      </c>
      <c r="C137" s="58">
        <f>IF(VLOOKUP(Table311[[#This Row],[Date]],'DB Details'!$A:$Q,16)=0,"",VLOOKUP(Table311[[#This Row],[Date]],'DB Details'!$A:$Q,16))</f>
        <v>1.3801325593333859E-2</v>
      </c>
      <c r="D137" s="58">
        <f>IF(VLOOKUP(Table311[[#This Row],[Date]],'DB Details'!$A:$Q,15)=0,"",VLOOKUP(Table311[[#This Row],[Date]],'DB Details'!$A:$Q,15))</f>
        <v>5.7229534456869546E-3</v>
      </c>
      <c r="E137" s="58">
        <f>IF(VLOOKUP(Table311[[#This Row],[Date]],'DB Details'!$A:$Q,17)=0,"",VLOOKUP(Table311[[#This Row],[Date]],'DB Details'!$A:$Q,17))</f>
        <v>2.3089077789477889E-2</v>
      </c>
    </row>
    <row r="138" spans="1:5" x14ac:dyDescent="0.35">
      <c r="A138" s="57">
        <v>39630</v>
      </c>
      <c r="B138" s="47">
        <f>IF(VLOOKUP(Table311[[#This Row],[Date]],'DB Details'!$A:$Q,12)=0,"",VLOOKUP(Table311[[#This Row],[Date]],'DB Details'!$A:$Q,12))</f>
        <v>50.1</v>
      </c>
      <c r="C138" s="58">
        <f>IF(VLOOKUP(Table311[[#This Row],[Date]],'DB Details'!$A:$Q,16)=0,"",VLOOKUP(Table311[[#This Row],[Date]],'DB Details'!$A:$Q,16))</f>
        <v>2.4220237812272792E-3</v>
      </c>
      <c r="D138" s="58">
        <f>IF(VLOOKUP(Table311[[#This Row],[Date]],'DB Details'!$A:$Q,15)=0,"",VLOOKUP(Table311[[#This Row],[Date]],'DB Details'!$A:$Q,15))</f>
        <v>-5.2689290221545849E-3</v>
      </c>
      <c r="E138" s="58">
        <f>IF(VLOOKUP(Table311[[#This Row],[Date]],'DB Details'!$A:$Q,17)=0,"",VLOOKUP(Table311[[#This Row],[Date]],'DB Details'!$A:$Q,17))</f>
        <v>-2.0909730735542809E-2</v>
      </c>
    </row>
    <row r="139" spans="1:5" x14ac:dyDescent="0.35">
      <c r="A139" s="57">
        <v>39661</v>
      </c>
      <c r="B139" s="47">
        <f>IF(VLOOKUP(Table311[[#This Row],[Date]],'DB Details'!$A:$Q,12)=0,"",VLOOKUP(Table311[[#This Row],[Date]],'DB Details'!$A:$Q,12))</f>
        <v>50.6</v>
      </c>
      <c r="C139" s="58">
        <f>IF(VLOOKUP(Table311[[#This Row],[Date]],'DB Details'!$A:$Q,16)=0,"",VLOOKUP(Table311[[#This Row],[Date]],'DB Details'!$A:$Q,16))</f>
        <v>2.4220237812272792E-3</v>
      </c>
      <c r="D139" s="58">
        <f>IF(VLOOKUP(Table311[[#This Row],[Date]],'DB Details'!$A:$Q,15)=0,"",VLOOKUP(Table311[[#This Row],[Date]],'DB Details'!$A:$Q,15))</f>
        <v>-5.2689290221545849E-3</v>
      </c>
      <c r="E139" s="58">
        <f>IF(VLOOKUP(Table311[[#This Row],[Date]],'DB Details'!$A:$Q,17)=0,"",VLOOKUP(Table311[[#This Row],[Date]],'DB Details'!$A:$Q,17))</f>
        <v>-2.0909730735542809E-2</v>
      </c>
    </row>
    <row r="140" spans="1:5" x14ac:dyDescent="0.35">
      <c r="A140" s="57">
        <v>39692</v>
      </c>
      <c r="B140" s="47">
        <f>IF(VLOOKUP(Table311[[#This Row],[Date]],'DB Details'!$A:$Q,12)=0,"",VLOOKUP(Table311[[#This Row],[Date]],'DB Details'!$A:$Q,12))</f>
        <v>49.4</v>
      </c>
      <c r="C140" s="58">
        <f>IF(VLOOKUP(Table311[[#This Row],[Date]],'DB Details'!$A:$Q,16)=0,"",VLOOKUP(Table311[[#This Row],[Date]],'DB Details'!$A:$Q,16))</f>
        <v>2.4220237812272792E-3</v>
      </c>
      <c r="D140" s="58">
        <f>IF(VLOOKUP(Table311[[#This Row],[Date]],'DB Details'!$A:$Q,15)=0,"",VLOOKUP(Table311[[#This Row],[Date]],'DB Details'!$A:$Q,15))</f>
        <v>-5.2689290221545849E-3</v>
      </c>
      <c r="E140" s="58">
        <f>IF(VLOOKUP(Table311[[#This Row],[Date]],'DB Details'!$A:$Q,17)=0,"",VLOOKUP(Table311[[#This Row],[Date]],'DB Details'!$A:$Q,17))</f>
        <v>-2.0909730735542809E-2</v>
      </c>
    </row>
    <row r="141" spans="1:5" x14ac:dyDescent="0.35">
      <c r="A141" s="57">
        <v>39722</v>
      </c>
      <c r="B141" s="47">
        <f>IF(VLOOKUP(Table311[[#This Row],[Date]],'DB Details'!$A:$Q,12)=0,"",VLOOKUP(Table311[[#This Row],[Date]],'DB Details'!$A:$Q,12))</f>
        <v>44.7</v>
      </c>
      <c r="C141" s="58">
        <f>IF(VLOOKUP(Table311[[#This Row],[Date]],'DB Details'!$A:$Q,16)=0,"",VLOOKUP(Table311[[#This Row],[Date]],'DB Details'!$A:$Q,16))</f>
        <v>-2.5403392598762051E-2</v>
      </c>
      <c r="D141" s="58">
        <f>IF(VLOOKUP(Table311[[#This Row],[Date]],'DB Details'!$A:$Q,15)=0,"",VLOOKUP(Table311[[#This Row],[Date]],'DB Details'!$A:$Q,15))</f>
        <v>-2.1830971480936261E-2</v>
      </c>
      <c r="E141" s="58">
        <f>IF(VLOOKUP(Table311[[#This Row],[Date]],'DB Details'!$A:$Q,17)=0,"",VLOOKUP(Table311[[#This Row],[Date]],'DB Details'!$A:$Q,17))</f>
        <v>-8.4505728695347337E-2</v>
      </c>
    </row>
    <row r="142" spans="1:5" x14ac:dyDescent="0.35">
      <c r="A142" s="57">
        <v>39753</v>
      </c>
      <c r="B142" s="47">
        <f>IF(VLOOKUP(Table311[[#This Row],[Date]],'DB Details'!$A:$Q,12)=0,"",VLOOKUP(Table311[[#This Row],[Date]],'DB Details'!$A:$Q,12))</f>
        <v>37.799999999999997</v>
      </c>
      <c r="C142" s="58">
        <f>IF(VLOOKUP(Table311[[#This Row],[Date]],'DB Details'!$A:$Q,16)=0,"",VLOOKUP(Table311[[#This Row],[Date]],'DB Details'!$A:$Q,16))</f>
        <v>-2.5403392598762051E-2</v>
      </c>
      <c r="D142" s="58">
        <f>IF(VLOOKUP(Table311[[#This Row],[Date]],'DB Details'!$A:$Q,15)=0,"",VLOOKUP(Table311[[#This Row],[Date]],'DB Details'!$A:$Q,15))</f>
        <v>-2.1830971480936261E-2</v>
      </c>
      <c r="E142" s="58">
        <f>IF(VLOOKUP(Table311[[#This Row],[Date]],'DB Details'!$A:$Q,17)=0,"",VLOOKUP(Table311[[#This Row],[Date]],'DB Details'!$A:$Q,17))</f>
        <v>-8.4505728695347337E-2</v>
      </c>
    </row>
    <row r="143" spans="1:5" x14ac:dyDescent="0.35">
      <c r="A143" s="57">
        <v>39783</v>
      </c>
      <c r="B143" s="47">
        <f>IF(VLOOKUP(Table311[[#This Row],[Date]],'DB Details'!$A:$Q,12)=0,"",VLOOKUP(Table311[[#This Row],[Date]],'DB Details'!$A:$Q,12))</f>
        <v>40</v>
      </c>
      <c r="C143" s="58">
        <f>IF(VLOOKUP(Table311[[#This Row],[Date]],'DB Details'!$A:$Q,16)=0,"",VLOOKUP(Table311[[#This Row],[Date]],'DB Details'!$A:$Q,16))</f>
        <v>-2.5403392598762051E-2</v>
      </c>
      <c r="D143" s="58">
        <f>IF(VLOOKUP(Table311[[#This Row],[Date]],'DB Details'!$A:$Q,15)=0,"",VLOOKUP(Table311[[#This Row],[Date]],'DB Details'!$A:$Q,15))</f>
        <v>-2.1830971480936261E-2</v>
      </c>
      <c r="E143" s="58">
        <f>IF(VLOOKUP(Table311[[#This Row],[Date]],'DB Details'!$A:$Q,17)=0,"",VLOOKUP(Table311[[#This Row],[Date]],'DB Details'!$A:$Q,17))</f>
        <v>-8.4505728695347337E-2</v>
      </c>
    </row>
    <row r="144" spans="1:5" x14ac:dyDescent="0.35">
      <c r="A144" s="57">
        <v>39814</v>
      </c>
      <c r="B144" s="47">
        <f>IF(VLOOKUP(Table311[[#This Row],[Date]],'DB Details'!$A:$Q,12)=0,"",VLOOKUP(Table311[[#This Row],[Date]],'DB Details'!$A:$Q,12))</f>
        <v>43</v>
      </c>
      <c r="C144" s="58">
        <f>IF(VLOOKUP(Table311[[#This Row],[Date]],'DB Details'!$A:$Q,16)=0,"",VLOOKUP(Table311[[#This Row],[Date]],'DB Details'!$A:$Q,16))</f>
        <v>-3.2823924437935283E-2</v>
      </c>
      <c r="D144" s="58">
        <f>IF(VLOOKUP(Table311[[#This Row],[Date]],'DB Details'!$A:$Q,15)=0,"",VLOOKUP(Table311[[#This Row],[Date]],'DB Details'!$A:$Q,15))</f>
        <v>-1.165722530679672E-2</v>
      </c>
      <c r="E144" s="58">
        <f>IF(VLOOKUP(Table311[[#This Row],[Date]],'DB Details'!$A:$Q,17)=0,"",VLOOKUP(Table311[[#This Row],[Date]],'DB Details'!$A:$Q,17))</f>
        <v>-4.5819873793169208E-2</v>
      </c>
    </row>
    <row r="145" spans="1:5" x14ac:dyDescent="0.35">
      <c r="A145" s="57">
        <v>39845</v>
      </c>
      <c r="B145" s="47">
        <f>IF(VLOOKUP(Table311[[#This Row],[Date]],'DB Details'!$A:$Q,12)=0,"",VLOOKUP(Table311[[#This Row],[Date]],'DB Details'!$A:$Q,12))</f>
        <v>41.6</v>
      </c>
      <c r="C145" s="58">
        <f>IF(VLOOKUP(Table311[[#This Row],[Date]],'DB Details'!$A:$Q,16)=0,"",VLOOKUP(Table311[[#This Row],[Date]],'DB Details'!$A:$Q,16))</f>
        <v>-3.2823924437935283E-2</v>
      </c>
      <c r="D145" s="58">
        <f>IF(VLOOKUP(Table311[[#This Row],[Date]],'DB Details'!$A:$Q,15)=0,"",VLOOKUP(Table311[[#This Row],[Date]],'DB Details'!$A:$Q,15))</f>
        <v>-1.165722530679672E-2</v>
      </c>
      <c r="E145" s="58">
        <f>IF(VLOOKUP(Table311[[#This Row],[Date]],'DB Details'!$A:$Q,17)=0,"",VLOOKUP(Table311[[#This Row],[Date]],'DB Details'!$A:$Q,17))</f>
        <v>-4.5819873793169208E-2</v>
      </c>
    </row>
    <row r="146" spans="1:5" x14ac:dyDescent="0.35">
      <c r="A146" s="57">
        <v>39873</v>
      </c>
      <c r="B146" s="47">
        <f>IF(VLOOKUP(Table311[[#This Row],[Date]],'DB Details'!$A:$Q,12)=0,"",VLOOKUP(Table311[[#This Row],[Date]],'DB Details'!$A:$Q,12))</f>
        <v>40.1</v>
      </c>
      <c r="C146" s="58">
        <f>IF(VLOOKUP(Table311[[#This Row],[Date]],'DB Details'!$A:$Q,16)=0,"",VLOOKUP(Table311[[#This Row],[Date]],'DB Details'!$A:$Q,16))</f>
        <v>-3.2823924437935283E-2</v>
      </c>
      <c r="D146" s="58">
        <f>IF(VLOOKUP(Table311[[#This Row],[Date]],'DB Details'!$A:$Q,15)=0,"",VLOOKUP(Table311[[#This Row],[Date]],'DB Details'!$A:$Q,15))</f>
        <v>-1.165722530679672E-2</v>
      </c>
      <c r="E146" s="58">
        <f>IF(VLOOKUP(Table311[[#This Row],[Date]],'DB Details'!$A:$Q,17)=0,"",VLOOKUP(Table311[[#This Row],[Date]],'DB Details'!$A:$Q,17))</f>
        <v>-4.5819873793169208E-2</v>
      </c>
    </row>
    <row r="147" spans="1:5" x14ac:dyDescent="0.35">
      <c r="A147" s="57">
        <v>39904</v>
      </c>
      <c r="B147" s="47">
        <f>IF(VLOOKUP(Table311[[#This Row],[Date]],'DB Details'!$A:$Q,12)=0,"",VLOOKUP(Table311[[#This Row],[Date]],'DB Details'!$A:$Q,12))</f>
        <v>43.7</v>
      </c>
      <c r="C147" s="58">
        <f>IF(VLOOKUP(Table311[[#This Row],[Date]],'DB Details'!$A:$Q,16)=0,"",VLOOKUP(Table311[[#This Row],[Date]],'DB Details'!$A:$Q,16))</f>
        <v>-3.995504779306322E-2</v>
      </c>
      <c r="D147" s="58">
        <f>IF(VLOOKUP(Table311[[#This Row],[Date]],'DB Details'!$A:$Q,15)=0,"",VLOOKUP(Table311[[#This Row],[Date]],'DB Details'!$A:$Q,15))</f>
        <v>-1.692381386635996E-3</v>
      </c>
      <c r="E147" s="58">
        <f>IF(VLOOKUP(Table311[[#This Row],[Date]],'DB Details'!$A:$Q,17)=0,"",VLOOKUP(Table311[[#This Row],[Date]],'DB Details'!$A:$Q,17))</f>
        <v>-6.7523599987623362E-3</v>
      </c>
    </row>
    <row r="148" spans="1:5" x14ac:dyDescent="0.35">
      <c r="A148" s="57">
        <v>39934</v>
      </c>
      <c r="B148" s="47">
        <f>IF(VLOOKUP(Table311[[#This Row],[Date]],'DB Details'!$A:$Q,12)=0,"",VLOOKUP(Table311[[#This Row],[Date]],'DB Details'!$A:$Q,12))</f>
        <v>44.4</v>
      </c>
      <c r="C148" s="58">
        <f>IF(VLOOKUP(Table311[[#This Row],[Date]],'DB Details'!$A:$Q,16)=0,"",VLOOKUP(Table311[[#This Row],[Date]],'DB Details'!$A:$Q,16))</f>
        <v>-3.995504779306322E-2</v>
      </c>
      <c r="D148" s="58">
        <f>IF(VLOOKUP(Table311[[#This Row],[Date]],'DB Details'!$A:$Q,15)=0,"",VLOOKUP(Table311[[#This Row],[Date]],'DB Details'!$A:$Q,15))</f>
        <v>-1.692381386635996E-3</v>
      </c>
      <c r="E148" s="58">
        <f>IF(VLOOKUP(Table311[[#This Row],[Date]],'DB Details'!$A:$Q,17)=0,"",VLOOKUP(Table311[[#This Row],[Date]],'DB Details'!$A:$Q,17))</f>
        <v>-6.7523599987623362E-3</v>
      </c>
    </row>
    <row r="149" spans="1:5" x14ac:dyDescent="0.35">
      <c r="A149" s="57">
        <v>39965</v>
      </c>
      <c r="B149" s="47">
        <f>IF(VLOOKUP(Table311[[#This Row],[Date]],'DB Details'!$A:$Q,12)=0,"",VLOOKUP(Table311[[#This Row],[Date]],'DB Details'!$A:$Q,12))</f>
        <v>46.4</v>
      </c>
      <c r="C149" s="58">
        <f>IF(VLOOKUP(Table311[[#This Row],[Date]],'DB Details'!$A:$Q,16)=0,"",VLOOKUP(Table311[[#This Row],[Date]],'DB Details'!$A:$Q,16))</f>
        <v>-3.995504779306322E-2</v>
      </c>
      <c r="D149" s="58">
        <f>IF(VLOOKUP(Table311[[#This Row],[Date]],'DB Details'!$A:$Q,15)=0,"",VLOOKUP(Table311[[#This Row],[Date]],'DB Details'!$A:$Q,15))</f>
        <v>-1.692381386635996E-3</v>
      </c>
      <c r="E149" s="58">
        <f>IF(VLOOKUP(Table311[[#This Row],[Date]],'DB Details'!$A:$Q,17)=0,"",VLOOKUP(Table311[[#This Row],[Date]],'DB Details'!$A:$Q,17))</f>
        <v>-6.7523599987623362E-3</v>
      </c>
    </row>
    <row r="150" spans="1:5" x14ac:dyDescent="0.35">
      <c r="A150" s="57">
        <v>39995</v>
      </c>
      <c r="B150" s="47">
        <f>IF(VLOOKUP(Table311[[#This Row],[Date]],'DB Details'!$A:$Q,12)=0,"",VLOOKUP(Table311[[#This Row],[Date]],'DB Details'!$A:$Q,12))</f>
        <v>47.1</v>
      </c>
      <c r="C150" s="58">
        <f>IF(VLOOKUP(Table311[[#This Row],[Date]],'DB Details'!$A:$Q,16)=0,"",VLOOKUP(Table311[[#This Row],[Date]],'DB Details'!$A:$Q,16))</f>
        <v>-3.1376750032878008E-2</v>
      </c>
      <c r="D150" s="58">
        <f>IF(VLOOKUP(Table311[[#This Row],[Date]],'DB Details'!$A:$Q,15)=0,"",VLOOKUP(Table311[[#This Row],[Date]],'DB Details'!$A:$Q,15))</f>
        <v>3.6192999076888901E-3</v>
      </c>
      <c r="E150" s="58">
        <f>IF(VLOOKUP(Table311[[#This Row],[Date]],'DB Details'!$A:$Q,17)=0,"",VLOOKUP(Table311[[#This Row],[Date]],'DB Details'!$A:$Q,17))</f>
        <v>1.4555985434920871E-2</v>
      </c>
    </row>
    <row r="151" spans="1:5" x14ac:dyDescent="0.35">
      <c r="A151" s="57">
        <v>40026</v>
      </c>
      <c r="B151" s="47">
        <f>IF(VLOOKUP(Table311[[#This Row],[Date]],'DB Details'!$A:$Q,12)=0,"",VLOOKUP(Table311[[#This Row],[Date]],'DB Details'!$A:$Q,12))</f>
        <v>48.9</v>
      </c>
      <c r="C151" s="58">
        <f>IF(VLOOKUP(Table311[[#This Row],[Date]],'DB Details'!$A:$Q,16)=0,"",VLOOKUP(Table311[[#This Row],[Date]],'DB Details'!$A:$Q,16))</f>
        <v>-3.1376750032878008E-2</v>
      </c>
      <c r="D151" s="58">
        <f>IF(VLOOKUP(Table311[[#This Row],[Date]],'DB Details'!$A:$Q,15)=0,"",VLOOKUP(Table311[[#This Row],[Date]],'DB Details'!$A:$Q,15))</f>
        <v>3.6192999076888901E-3</v>
      </c>
      <c r="E151" s="58">
        <f>IF(VLOOKUP(Table311[[#This Row],[Date]],'DB Details'!$A:$Q,17)=0,"",VLOOKUP(Table311[[#This Row],[Date]],'DB Details'!$A:$Q,17))</f>
        <v>1.4555985434920871E-2</v>
      </c>
    </row>
    <row r="152" spans="1:5" x14ac:dyDescent="0.35">
      <c r="A152" s="57">
        <v>40057</v>
      </c>
      <c r="B152" s="47">
        <f>IF(VLOOKUP(Table311[[#This Row],[Date]],'DB Details'!$A:$Q,12)=0,"",VLOOKUP(Table311[[#This Row],[Date]],'DB Details'!$A:$Q,12))</f>
        <v>50.1</v>
      </c>
      <c r="C152" s="58">
        <f>IF(VLOOKUP(Table311[[#This Row],[Date]],'DB Details'!$A:$Q,16)=0,"",VLOOKUP(Table311[[#This Row],[Date]],'DB Details'!$A:$Q,16))</f>
        <v>-3.1376750032878008E-2</v>
      </c>
      <c r="D152" s="58">
        <f>IF(VLOOKUP(Table311[[#This Row],[Date]],'DB Details'!$A:$Q,15)=0,"",VLOOKUP(Table311[[#This Row],[Date]],'DB Details'!$A:$Q,15))</f>
        <v>3.6192999076888901E-3</v>
      </c>
      <c r="E152" s="58">
        <f>IF(VLOOKUP(Table311[[#This Row],[Date]],'DB Details'!$A:$Q,17)=0,"",VLOOKUP(Table311[[#This Row],[Date]],'DB Details'!$A:$Q,17))</f>
        <v>1.4555985434920871E-2</v>
      </c>
    </row>
    <row r="153" spans="1:5" x14ac:dyDescent="0.35">
      <c r="A153" s="57">
        <v>40087</v>
      </c>
      <c r="B153" s="47">
        <f>IF(VLOOKUP(Table311[[#This Row],[Date]],'DB Details'!$A:$Q,12)=0,"",VLOOKUP(Table311[[#This Row],[Date]],'DB Details'!$A:$Q,12))</f>
        <v>51</v>
      </c>
      <c r="C153" s="58">
        <f>IF(VLOOKUP(Table311[[#This Row],[Date]],'DB Details'!$A:$Q,16)=0,"",VLOOKUP(Table311[[#This Row],[Date]],'DB Details'!$A:$Q,16))</f>
        <v>8.1657583876523191E-4</v>
      </c>
      <c r="D153" s="58">
        <f>IF(VLOOKUP(Table311[[#This Row],[Date]],'DB Details'!$A:$Q,15)=0,"",VLOOKUP(Table311[[#This Row],[Date]],'DB Details'!$A:$Q,15))</f>
        <v>1.0679619498303389E-2</v>
      </c>
      <c r="E153" s="58">
        <f>IF(VLOOKUP(Table311[[#This Row],[Date]],'DB Details'!$A:$Q,17)=0,"",VLOOKUP(Table311[[#This Row],[Date]],'DB Details'!$A:$Q,17))</f>
        <v>4.34076888622974E-2</v>
      </c>
    </row>
    <row r="154" spans="1:5" x14ac:dyDescent="0.35">
      <c r="A154" s="57">
        <v>40118</v>
      </c>
      <c r="B154" s="47">
        <f>IF(VLOOKUP(Table311[[#This Row],[Date]],'DB Details'!$A:$Q,12)=0,"",VLOOKUP(Table311[[#This Row],[Date]],'DB Details'!$A:$Q,12))</f>
        <v>49.5</v>
      </c>
      <c r="C154" s="58">
        <f>IF(VLOOKUP(Table311[[#This Row],[Date]],'DB Details'!$A:$Q,16)=0,"",VLOOKUP(Table311[[#This Row],[Date]],'DB Details'!$A:$Q,16))</f>
        <v>8.1657583876523191E-4</v>
      </c>
      <c r="D154" s="58">
        <f>IF(VLOOKUP(Table311[[#This Row],[Date]],'DB Details'!$A:$Q,15)=0,"",VLOOKUP(Table311[[#This Row],[Date]],'DB Details'!$A:$Q,15))</f>
        <v>1.0679619498303389E-2</v>
      </c>
      <c r="E154" s="58">
        <f>IF(VLOOKUP(Table311[[#This Row],[Date]],'DB Details'!$A:$Q,17)=0,"",VLOOKUP(Table311[[#This Row],[Date]],'DB Details'!$A:$Q,17))</f>
        <v>4.34076888622974E-2</v>
      </c>
    </row>
    <row r="155" spans="1:5" x14ac:dyDescent="0.35">
      <c r="A155" s="57">
        <v>40148</v>
      </c>
      <c r="B155" s="47">
        <f>IF(VLOOKUP(Table311[[#This Row],[Date]],'DB Details'!$A:$Q,12)=0,"",VLOOKUP(Table311[[#This Row],[Date]],'DB Details'!$A:$Q,12))</f>
        <v>49.7</v>
      </c>
      <c r="C155" s="58">
        <f>IF(VLOOKUP(Table311[[#This Row],[Date]],'DB Details'!$A:$Q,16)=0,"",VLOOKUP(Table311[[#This Row],[Date]],'DB Details'!$A:$Q,16))</f>
        <v>8.1657583876523191E-4</v>
      </c>
      <c r="D155" s="58">
        <f>IF(VLOOKUP(Table311[[#This Row],[Date]],'DB Details'!$A:$Q,15)=0,"",VLOOKUP(Table311[[#This Row],[Date]],'DB Details'!$A:$Q,15))</f>
        <v>1.0679619498303389E-2</v>
      </c>
      <c r="E155" s="58">
        <f>IF(VLOOKUP(Table311[[#This Row],[Date]],'DB Details'!$A:$Q,17)=0,"",VLOOKUP(Table311[[#This Row],[Date]],'DB Details'!$A:$Q,17))</f>
        <v>4.34076888622974E-2</v>
      </c>
    </row>
    <row r="156" spans="1:5" x14ac:dyDescent="0.35">
      <c r="A156" s="57">
        <v>40179</v>
      </c>
      <c r="B156" s="47">
        <f>IF(VLOOKUP(Table311[[#This Row],[Date]],'DB Details'!$A:$Q,12)=0,"",VLOOKUP(Table311[[#This Row],[Date]],'DB Details'!$A:$Q,12))</f>
        <v>50</v>
      </c>
      <c r="C156" s="58">
        <f>IF(VLOOKUP(Table311[[#This Row],[Date]],'DB Details'!$A:$Q,16)=0,"",VLOOKUP(Table311[[#This Row],[Date]],'DB Details'!$A:$Q,16))</f>
        <v>1.768457232028358E-2</v>
      </c>
      <c r="D156" s="58">
        <f>IF(VLOOKUP(Table311[[#This Row],[Date]],'DB Details'!$A:$Q,15)=0,"",VLOOKUP(Table311[[#This Row],[Date]],'DB Details'!$A:$Q,15))</f>
        <v>5.0005348148190604E-3</v>
      </c>
      <c r="E156" s="58">
        <f>IF(VLOOKUP(Table311[[#This Row],[Date]],'DB Details'!$A:$Q,17)=0,"",VLOOKUP(Table311[[#This Row],[Date]],'DB Details'!$A:$Q,17))</f>
        <v>2.0152672135610231E-2</v>
      </c>
    </row>
    <row r="157" spans="1:5" x14ac:dyDescent="0.35">
      <c r="A157" s="57">
        <v>40210</v>
      </c>
      <c r="B157" s="47">
        <f>IF(VLOOKUP(Table311[[#This Row],[Date]],'DB Details'!$A:$Q,12)=0,"",VLOOKUP(Table311[[#This Row],[Date]],'DB Details'!$A:$Q,12))</f>
        <v>51.7</v>
      </c>
      <c r="C157" s="58">
        <f>IF(VLOOKUP(Table311[[#This Row],[Date]],'DB Details'!$A:$Q,16)=0,"",VLOOKUP(Table311[[#This Row],[Date]],'DB Details'!$A:$Q,16))</f>
        <v>1.768457232028358E-2</v>
      </c>
      <c r="D157" s="58">
        <f>IF(VLOOKUP(Table311[[#This Row],[Date]],'DB Details'!$A:$Q,15)=0,"",VLOOKUP(Table311[[#This Row],[Date]],'DB Details'!$A:$Q,15))</f>
        <v>5.0005348148190604E-3</v>
      </c>
      <c r="E157" s="58">
        <f>IF(VLOOKUP(Table311[[#This Row],[Date]],'DB Details'!$A:$Q,17)=0,"",VLOOKUP(Table311[[#This Row],[Date]],'DB Details'!$A:$Q,17))</f>
        <v>2.0152672135610231E-2</v>
      </c>
    </row>
    <row r="158" spans="1:5" x14ac:dyDescent="0.35">
      <c r="A158" s="57">
        <v>40238</v>
      </c>
      <c r="B158" s="47">
        <f>IF(VLOOKUP(Table311[[#This Row],[Date]],'DB Details'!$A:$Q,12)=0,"",VLOOKUP(Table311[[#This Row],[Date]],'DB Details'!$A:$Q,12))</f>
        <v>53.3</v>
      </c>
      <c r="C158" s="58">
        <f>IF(VLOOKUP(Table311[[#This Row],[Date]],'DB Details'!$A:$Q,16)=0,"",VLOOKUP(Table311[[#This Row],[Date]],'DB Details'!$A:$Q,16))</f>
        <v>1.768457232028358E-2</v>
      </c>
      <c r="D158" s="58">
        <f>IF(VLOOKUP(Table311[[#This Row],[Date]],'DB Details'!$A:$Q,15)=0,"",VLOOKUP(Table311[[#This Row],[Date]],'DB Details'!$A:$Q,15))</f>
        <v>5.0005348148190604E-3</v>
      </c>
      <c r="E158" s="58">
        <f>IF(VLOOKUP(Table311[[#This Row],[Date]],'DB Details'!$A:$Q,17)=0,"",VLOOKUP(Table311[[#This Row],[Date]],'DB Details'!$A:$Q,17))</f>
        <v>2.0152672135610231E-2</v>
      </c>
    </row>
    <row r="159" spans="1:5" x14ac:dyDescent="0.35">
      <c r="A159" s="57">
        <v>40269</v>
      </c>
      <c r="B159" s="47">
        <f>IF(VLOOKUP(Table311[[#This Row],[Date]],'DB Details'!$A:$Q,12)=0,"",VLOOKUP(Table311[[#This Row],[Date]],'DB Details'!$A:$Q,12))</f>
        <v>55.3</v>
      </c>
      <c r="C159" s="58">
        <f>IF(VLOOKUP(Table311[[#This Row],[Date]],'DB Details'!$A:$Q,16)=0,"",VLOOKUP(Table311[[#This Row],[Date]],'DB Details'!$A:$Q,16))</f>
        <v>2.9274678447875339E-2</v>
      </c>
      <c r="D159" s="58">
        <f>IF(VLOOKUP(Table311[[#This Row],[Date]],'DB Details'!$A:$Q,15)=0,"",VLOOKUP(Table311[[#This Row],[Date]],'DB Details'!$A:$Q,15))</f>
        <v>9.6770463932624312E-3</v>
      </c>
      <c r="E159" s="58">
        <f>IF(VLOOKUP(Table311[[#This Row],[Date]],'DB Details'!$A:$Q,17)=0,"",VLOOKUP(Table311[[#This Row],[Date]],'DB Details'!$A:$Q,17))</f>
        <v>3.9273690540683408E-2</v>
      </c>
    </row>
    <row r="160" spans="1:5" x14ac:dyDescent="0.35">
      <c r="A160" s="57">
        <v>40299</v>
      </c>
      <c r="B160" s="47">
        <f>IF(VLOOKUP(Table311[[#This Row],[Date]],'DB Details'!$A:$Q,12)=0,"",VLOOKUP(Table311[[#This Row],[Date]],'DB Details'!$A:$Q,12))</f>
        <v>55.5</v>
      </c>
      <c r="C160" s="58">
        <f>IF(VLOOKUP(Table311[[#This Row],[Date]],'DB Details'!$A:$Q,16)=0,"",VLOOKUP(Table311[[#This Row],[Date]],'DB Details'!$A:$Q,16))</f>
        <v>2.9274678447875339E-2</v>
      </c>
      <c r="D160" s="58">
        <f>IF(VLOOKUP(Table311[[#This Row],[Date]],'DB Details'!$A:$Q,15)=0,"",VLOOKUP(Table311[[#This Row],[Date]],'DB Details'!$A:$Q,15))</f>
        <v>9.6770463932624312E-3</v>
      </c>
      <c r="E160" s="58">
        <f>IF(VLOOKUP(Table311[[#This Row],[Date]],'DB Details'!$A:$Q,17)=0,"",VLOOKUP(Table311[[#This Row],[Date]],'DB Details'!$A:$Q,17))</f>
        <v>3.9273690540683408E-2</v>
      </c>
    </row>
    <row r="161" spans="1:5" x14ac:dyDescent="0.35">
      <c r="A161" s="57">
        <v>40330</v>
      </c>
      <c r="B161" s="47">
        <f>IF(VLOOKUP(Table311[[#This Row],[Date]],'DB Details'!$A:$Q,12)=0,"",VLOOKUP(Table311[[#This Row],[Date]],'DB Details'!$A:$Q,12))</f>
        <v>54.4</v>
      </c>
      <c r="C161" s="58">
        <f>IF(VLOOKUP(Table311[[#This Row],[Date]],'DB Details'!$A:$Q,16)=0,"",VLOOKUP(Table311[[#This Row],[Date]],'DB Details'!$A:$Q,16))</f>
        <v>2.9274678447875339E-2</v>
      </c>
      <c r="D161" s="58">
        <f>IF(VLOOKUP(Table311[[#This Row],[Date]],'DB Details'!$A:$Q,15)=0,"",VLOOKUP(Table311[[#This Row],[Date]],'DB Details'!$A:$Q,15))</f>
        <v>9.6770463932624312E-3</v>
      </c>
      <c r="E161" s="58">
        <f>IF(VLOOKUP(Table311[[#This Row],[Date]],'DB Details'!$A:$Q,17)=0,"",VLOOKUP(Table311[[#This Row],[Date]],'DB Details'!$A:$Q,17))</f>
        <v>3.9273690540683408E-2</v>
      </c>
    </row>
    <row r="162" spans="1:5" x14ac:dyDescent="0.35">
      <c r="A162" s="57">
        <v>40360</v>
      </c>
      <c r="B162" s="47">
        <f>IF(VLOOKUP(Table311[[#This Row],[Date]],'DB Details'!$A:$Q,12)=0,"",VLOOKUP(Table311[[#This Row],[Date]],'DB Details'!$A:$Q,12))</f>
        <v>54.6</v>
      </c>
      <c r="C162" s="58">
        <f>IF(VLOOKUP(Table311[[#This Row],[Date]],'DB Details'!$A:$Q,16)=0,"",VLOOKUP(Table311[[#This Row],[Date]],'DB Details'!$A:$Q,16))</f>
        <v>3.3491938138539873E-2</v>
      </c>
      <c r="D162" s="58">
        <f>IF(VLOOKUP(Table311[[#This Row],[Date]],'DB Details'!$A:$Q,15)=0,"",VLOOKUP(Table311[[#This Row],[Date]],'DB Details'!$A:$Q,15))</f>
        <v>7.7314415030268974E-3</v>
      </c>
      <c r="E162" s="58">
        <f>IF(VLOOKUP(Table311[[#This Row],[Date]],'DB Details'!$A:$Q,17)=0,"",VLOOKUP(Table311[[#This Row],[Date]],'DB Details'!$A:$Q,17))</f>
        <v>3.128626930493783E-2</v>
      </c>
    </row>
    <row r="163" spans="1:5" x14ac:dyDescent="0.35">
      <c r="A163" s="57">
        <v>40391</v>
      </c>
      <c r="B163" s="47">
        <f>IF(VLOOKUP(Table311[[#This Row],[Date]],'DB Details'!$A:$Q,12)=0,"",VLOOKUP(Table311[[#This Row],[Date]],'DB Details'!$A:$Q,12))</f>
        <v>52.4</v>
      </c>
      <c r="C163" s="58">
        <f>IF(VLOOKUP(Table311[[#This Row],[Date]],'DB Details'!$A:$Q,16)=0,"",VLOOKUP(Table311[[#This Row],[Date]],'DB Details'!$A:$Q,16))</f>
        <v>3.3491938138539873E-2</v>
      </c>
      <c r="D163" s="58">
        <f>IF(VLOOKUP(Table311[[#This Row],[Date]],'DB Details'!$A:$Q,15)=0,"",VLOOKUP(Table311[[#This Row],[Date]],'DB Details'!$A:$Q,15))</f>
        <v>7.7314415030268974E-3</v>
      </c>
      <c r="E163" s="58">
        <f>IF(VLOOKUP(Table311[[#This Row],[Date]],'DB Details'!$A:$Q,17)=0,"",VLOOKUP(Table311[[#This Row],[Date]],'DB Details'!$A:$Q,17))</f>
        <v>3.128626930493783E-2</v>
      </c>
    </row>
    <row r="164" spans="1:5" x14ac:dyDescent="0.35">
      <c r="A164" s="57">
        <v>40422</v>
      </c>
      <c r="B164" s="47">
        <f>IF(VLOOKUP(Table311[[#This Row],[Date]],'DB Details'!$A:$Q,12)=0,"",VLOOKUP(Table311[[#This Row],[Date]],'DB Details'!$A:$Q,12))</f>
        <v>53.3</v>
      </c>
      <c r="C164" s="58">
        <f>IF(VLOOKUP(Table311[[#This Row],[Date]],'DB Details'!$A:$Q,16)=0,"",VLOOKUP(Table311[[#This Row],[Date]],'DB Details'!$A:$Q,16))</f>
        <v>3.3491938138539873E-2</v>
      </c>
      <c r="D164" s="58">
        <f>IF(VLOOKUP(Table311[[#This Row],[Date]],'DB Details'!$A:$Q,15)=0,"",VLOOKUP(Table311[[#This Row],[Date]],'DB Details'!$A:$Q,15))</f>
        <v>7.7314415030268974E-3</v>
      </c>
      <c r="E164" s="58">
        <f>IF(VLOOKUP(Table311[[#This Row],[Date]],'DB Details'!$A:$Q,17)=0,"",VLOOKUP(Table311[[#This Row],[Date]],'DB Details'!$A:$Q,17))</f>
        <v>3.128626930493783E-2</v>
      </c>
    </row>
    <row r="165" spans="1:5" x14ac:dyDescent="0.35">
      <c r="A165" s="57">
        <v>40452</v>
      </c>
      <c r="B165" s="47">
        <f>IF(VLOOKUP(Table311[[#This Row],[Date]],'DB Details'!$A:$Q,12)=0,"",VLOOKUP(Table311[[#This Row],[Date]],'DB Details'!$A:$Q,12))</f>
        <v>55.3</v>
      </c>
      <c r="C165" s="58">
        <f>IF(VLOOKUP(Table311[[#This Row],[Date]],'DB Details'!$A:$Q,16)=0,"",VLOOKUP(Table311[[#This Row],[Date]],'DB Details'!$A:$Q,16))</f>
        <v>2.7884496905064039E-2</v>
      </c>
      <c r="D165" s="58">
        <f>IF(VLOOKUP(Table311[[#This Row],[Date]],'DB Details'!$A:$Q,15)=0,"",VLOOKUP(Table311[[#This Row],[Date]],'DB Details'!$A:$Q,15))</f>
        <v>5.1959515923726638E-3</v>
      </c>
      <c r="E165" s="58">
        <f>IF(VLOOKUP(Table311[[#This Row],[Date]],'DB Details'!$A:$Q,17)=0,"",VLOOKUP(Table311[[#This Row],[Date]],'DB Details'!$A:$Q,17))</f>
        <v>2.094635569547498E-2</v>
      </c>
    </row>
    <row r="166" spans="1:5" x14ac:dyDescent="0.35">
      <c r="A166" s="57">
        <v>40483</v>
      </c>
      <c r="B166" s="47">
        <f>IF(VLOOKUP(Table311[[#This Row],[Date]],'DB Details'!$A:$Q,12)=0,"",VLOOKUP(Table311[[#This Row],[Date]],'DB Details'!$A:$Q,12))</f>
        <v>56.4</v>
      </c>
      <c r="C166" s="58">
        <f>IF(VLOOKUP(Table311[[#This Row],[Date]],'DB Details'!$A:$Q,16)=0,"",VLOOKUP(Table311[[#This Row],[Date]],'DB Details'!$A:$Q,16))</f>
        <v>2.7884496905064039E-2</v>
      </c>
      <c r="D166" s="58">
        <f>IF(VLOOKUP(Table311[[#This Row],[Date]],'DB Details'!$A:$Q,15)=0,"",VLOOKUP(Table311[[#This Row],[Date]],'DB Details'!$A:$Q,15))</f>
        <v>5.1959515923726638E-3</v>
      </c>
      <c r="E166" s="58">
        <f>IF(VLOOKUP(Table311[[#This Row],[Date]],'DB Details'!$A:$Q,17)=0,"",VLOOKUP(Table311[[#This Row],[Date]],'DB Details'!$A:$Q,17))</f>
        <v>2.094635569547498E-2</v>
      </c>
    </row>
    <row r="167" spans="1:5" x14ac:dyDescent="0.35">
      <c r="A167" s="57">
        <v>40513</v>
      </c>
      <c r="B167" s="47">
        <f>IF(VLOOKUP(Table311[[#This Row],[Date]],'DB Details'!$A:$Q,12)=0,"",VLOOKUP(Table311[[#This Row],[Date]],'DB Details'!$A:$Q,12))</f>
        <v>56.9</v>
      </c>
      <c r="C167" s="58">
        <f>IF(VLOOKUP(Table311[[#This Row],[Date]],'DB Details'!$A:$Q,16)=0,"",VLOOKUP(Table311[[#This Row],[Date]],'DB Details'!$A:$Q,16))</f>
        <v>2.7884496905064039E-2</v>
      </c>
      <c r="D167" s="58">
        <f>IF(VLOOKUP(Table311[[#This Row],[Date]],'DB Details'!$A:$Q,15)=0,"",VLOOKUP(Table311[[#This Row],[Date]],'DB Details'!$A:$Q,15))</f>
        <v>5.1959515923726638E-3</v>
      </c>
      <c r="E167" s="58">
        <f>IF(VLOOKUP(Table311[[#This Row],[Date]],'DB Details'!$A:$Q,17)=0,"",VLOOKUP(Table311[[#This Row],[Date]],'DB Details'!$A:$Q,17))</f>
        <v>2.094635569547498E-2</v>
      </c>
    </row>
    <row r="168" spans="1:5" x14ac:dyDescent="0.35">
      <c r="A168" s="57">
        <v>40544</v>
      </c>
      <c r="B168" s="47">
        <f>IF(VLOOKUP(Table311[[#This Row],[Date]],'DB Details'!$A:$Q,12)=0,"",VLOOKUP(Table311[[#This Row],[Date]],'DB Details'!$A:$Q,12))</f>
        <v>57.6</v>
      </c>
      <c r="C168" s="58">
        <f>IF(VLOOKUP(Table311[[#This Row],[Date]],'DB Details'!$A:$Q,16)=0,"",VLOOKUP(Table311[[#This Row],[Date]],'DB Details'!$A:$Q,16))</f>
        <v>2.0306081906131489E-2</v>
      </c>
      <c r="D168" s="58">
        <f>IF(VLOOKUP(Table311[[#This Row],[Date]],'DB Details'!$A:$Q,15)=0,"",VLOOKUP(Table311[[#This Row],[Date]],'DB Details'!$A:$Q,15))</f>
        <v>-2.409160681035181E-3</v>
      </c>
      <c r="E168" s="58">
        <f>IF(VLOOKUP(Table311[[#This Row],[Date]],'DB Details'!$A:$Q,17)=0,"",VLOOKUP(Table311[[#This Row],[Date]],'DB Details'!$A:$Q,17))</f>
        <v>-9.6018742909373955E-3</v>
      </c>
    </row>
    <row r="169" spans="1:5" x14ac:dyDescent="0.35">
      <c r="A169" s="57">
        <v>40575</v>
      </c>
      <c r="B169" s="47">
        <f>IF(VLOOKUP(Table311[[#This Row],[Date]],'DB Details'!$A:$Q,12)=0,"",VLOOKUP(Table311[[#This Row],[Date]],'DB Details'!$A:$Q,12))</f>
        <v>58</v>
      </c>
      <c r="C169" s="58">
        <f>IF(VLOOKUP(Table311[[#This Row],[Date]],'DB Details'!$A:$Q,16)=0,"",VLOOKUP(Table311[[#This Row],[Date]],'DB Details'!$A:$Q,16))</f>
        <v>2.0306081906131489E-2</v>
      </c>
      <c r="D169" s="58">
        <f>IF(VLOOKUP(Table311[[#This Row],[Date]],'DB Details'!$A:$Q,15)=0,"",VLOOKUP(Table311[[#This Row],[Date]],'DB Details'!$A:$Q,15))</f>
        <v>-2.409160681035181E-3</v>
      </c>
      <c r="E169" s="58">
        <f>IF(VLOOKUP(Table311[[#This Row],[Date]],'DB Details'!$A:$Q,17)=0,"",VLOOKUP(Table311[[#This Row],[Date]],'DB Details'!$A:$Q,17))</f>
        <v>-9.6018742909373955E-3</v>
      </c>
    </row>
    <row r="170" spans="1:5" x14ac:dyDescent="0.35">
      <c r="A170" s="57">
        <v>40603</v>
      </c>
      <c r="B170" s="47">
        <f>IF(VLOOKUP(Table311[[#This Row],[Date]],'DB Details'!$A:$Q,12)=0,"",VLOOKUP(Table311[[#This Row],[Date]],'DB Details'!$A:$Q,12))</f>
        <v>55.8</v>
      </c>
      <c r="C170" s="58">
        <f>IF(VLOOKUP(Table311[[#This Row],[Date]],'DB Details'!$A:$Q,16)=0,"",VLOOKUP(Table311[[#This Row],[Date]],'DB Details'!$A:$Q,16))</f>
        <v>2.0306081906131489E-2</v>
      </c>
      <c r="D170" s="58">
        <f>IF(VLOOKUP(Table311[[#This Row],[Date]],'DB Details'!$A:$Q,15)=0,"",VLOOKUP(Table311[[#This Row],[Date]],'DB Details'!$A:$Q,15))</f>
        <v>-2.409160681035181E-3</v>
      </c>
      <c r="E170" s="58">
        <f>IF(VLOOKUP(Table311[[#This Row],[Date]],'DB Details'!$A:$Q,17)=0,"",VLOOKUP(Table311[[#This Row],[Date]],'DB Details'!$A:$Q,17))</f>
        <v>-9.6018742909373955E-3</v>
      </c>
    </row>
    <row r="171" spans="1:5" x14ac:dyDescent="0.35">
      <c r="A171" s="57">
        <v>40634</v>
      </c>
      <c r="B171" s="47">
        <f>IF(VLOOKUP(Table311[[#This Row],[Date]],'DB Details'!$A:$Q,12)=0,"",VLOOKUP(Table311[[#This Row],[Date]],'DB Details'!$A:$Q,12))</f>
        <v>55.2</v>
      </c>
      <c r="C171" s="58">
        <f>IF(VLOOKUP(Table311[[#This Row],[Date]],'DB Details'!$A:$Q,16)=0,"",VLOOKUP(Table311[[#This Row],[Date]],'DB Details'!$A:$Q,16))</f>
        <v>1.7379050686072959E-2</v>
      </c>
      <c r="D171" s="58">
        <f>IF(VLOOKUP(Table311[[#This Row],[Date]],'DB Details'!$A:$Q,15)=0,"",VLOOKUP(Table311[[#This Row],[Date]],'DB Details'!$A:$Q,15))</f>
        <v>6.7805075120588752E-3</v>
      </c>
      <c r="E171" s="58">
        <f>IF(VLOOKUP(Table311[[#This Row],[Date]],'DB Details'!$A:$Q,17)=0,"",VLOOKUP(Table311[[#This Row],[Date]],'DB Details'!$A:$Q,17))</f>
        <v>2.739913079767153E-2</v>
      </c>
    </row>
    <row r="172" spans="1:5" x14ac:dyDescent="0.35">
      <c r="A172" s="57">
        <v>40664</v>
      </c>
      <c r="B172" s="47">
        <f>IF(VLOOKUP(Table311[[#This Row],[Date]],'DB Details'!$A:$Q,12)=0,"",VLOOKUP(Table311[[#This Row],[Date]],'DB Details'!$A:$Q,12))</f>
        <v>55</v>
      </c>
      <c r="C172" s="58">
        <f>IF(VLOOKUP(Table311[[#This Row],[Date]],'DB Details'!$A:$Q,16)=0,"",VLOOKUP(Table311[[#This Row],[Date]],'DB Details'!$A:$Q,16))</f>
        <v>1.7379050686072959E-2</v>
      </c>
      <c r="D172" s="58">
        <f>IF(VLOOKUP(Table311[[#This Row],[Date]],'DB Details'!$A:$Q,15)=0,"",VLOOKUP(Table311[[#This Row],[Date]],'DB Details'!$A:$Q,15))</f>
        <v>6.7805075120588752E-3</v>
      </c>
      <c r="E172" s="58">
        <f>IF(VLOOKUP(Table311[[#This Row],[Date]],'DB Details'!$A:$Q,17)=0,"",VLOOKUP(Table311[[#This Row],[Date]],'DB Details'!$A:$Q,17))</f>
        <v>2.739913079767153E-2</v>
      </c>
    </row>
    <row r="173" spans="1:5" x14ac:dyDescent="0.35">
      <c r="A173" s="57">
        <v>40695</v>
      </c>
      <c r="B173" s="47">
        <f>IF(VLOOKUP(Table311[[#This Row],[Date]],'DB Details'!$A:$Q,12)=0,"",VLOOKUP(Table311[[#This Row],[Date]],'DB Details'!$A:$Q,12))</f>
        <v>54.2</v>
      </c>
      <c r="C173" s="58">
        <f>IF(VLOOKUP(Table311[[#This Row],[Date]],'DB Details'!$A:$Q,16)=0,"",VLOOKUP(Table311[[#This Row],[Date]],'DB Details'!$A:$Q,16))</f>
        <v>1.7379050686072959E-2</v>
      </c>
      <c r="D173" s="58">
        <f>IF(VLOOKUP(Table311[[#This Row],[Date]],'DB Details'!$A:$Q,15)=0,"",VLOOKUP(Table311[[#This Row],[Date]],'DB Details'!$A:$Q,15))</f>
        <v>6.7805075120588752E-3</v>
      </c>
      <c r="E173" s="58">
        <f>IF(VLOOKUP(Table311[[#This Row],[Date]],'DB Details'!$A:$Q,17)=0,"",VLOOKUP(Table311[[#This Row],[Date]],'DB Details'!$A:$Q,17))</f>
        <v>2.739913079767153E-2</v>
      </c>
    </row>
    <row r="174" spans="1:5" x14ac:dyDescent="0.35">
      <c r="A174" s="57">
        <v>40725</v>
      </c>
      <c r="B174" s="47">
        <f>IF(VLOOKUP(Table311[[#This Row],[Date]],'DB Details'!$A:$Q,12)=0,"",VLOOKUP(Table311[[#This Row],[Date]],'DB Details'!$A:$Q,12))</f>
        <v>53.5</v>
      </c>
      <c r="C174" s="58">
        <f>IF(VLOOKUP(Table311[[#This Row],[Date]],'DB Details'!$A:$Q,16)=0,"",VLOOKUP(Table311[[#This Row],[Date]],'DB Details'!$A:$Q,16))</f>
        <v>9.1822084838616043E-3</v>
      </c>
      <c r="D174" s="58">
        <f>IF(VLOOKUP(Table311[[#This Row],[Date]],'DB Details'!$A:$Q,15)=0,"",VLOOKUP(Table311[[#This Row],[Date]],'DB Details'!$A:$Q,15))</f>
        <v>-3.8767162657507928E-4</v>
      </c>
      <c r="E174" s="58">
        <f>IF(VLOOKUP(Table311[[#This Row],[Date]],'DB Details'!$A:$Q,17)=0,"",VLOOKUP(Table311[[#This Row],[Date]],'DB Details'!$A:$Q,17))</f>
        <v>-1.5497850035888221E-3</v>
      </c>
    </row>
    <row r="175" spans="1:5" x14ac:dyDescent="0.35">
      <c r="A175" s="57">
        <v>40756</v>
      </c>
      <c r="B175" s="47">
        <f>IF(VLOOKUP(Table311[[#This Row],[Date]],'DB Details'!$A:$Q,12)=0,"",VLOOKUP(Table311[[#This Row],[Date]],'DB Details'!$A:$Q,12))</f>
        <v>53.5</v>
      </c>
      <c r="C175" s="58">
        <f>IF(VLOOKUP(Table311[[#This Row],[Date]],'DB Details'!$A:$Q,16)=0,"",VLOOKUP(Table311[[#This Row],[Date]],'DB Details'!$A:$Q,16))</f>
        <v>9.1822084838616043E-3</v>
      </c>
      <c r="D175" s="58">
        <f>IF(VLOOKUP(Table311[[#This Row],[Date]],'DB Details'!$A:$Q,15)=0,"",VLOOKUP(Table311[[#This Row],[Date]],'DB Details'!$A:$Q,15))</f>
        <v>-3.8767162657507928E-4</v>
      </c>
      <c r="E175" s="58">
        <f>IF(VLOOKUP(Table311[[#This Row],[Date]],'DB Details'!$A:$Q,17)=0,"",VLOOKUP(Table311[[#This Row],[Date]],'DB Details'!$A:$Q,17))</f>
        <v>-1.5497850035888221E-3</v>
      </c>
    </row>
    <row r="176" spans="1:5" x14ac:dyDescent="0.35">
      <c r="A176" s="57">
        <v>40787</v>
      </c>
      <c r="B176" s="47">
        <f>IF(VLOOKUP(Table311[[#This Row],[Date]],'DB Details'!$A:$Q,12)=0,"",VLOOKUP(Table311[[#This Row],[Date]],'DB Details'!$A:$Q,12))</f>
        <v>52.3</v>
      </c>
      <c r="C176" s="58">
        <f>IF(VLOOKUP(Table311[[#This Row],[Date]],'DB Details'!$A:$Q,16)=0,"",VLOOKUP(Table311[[#This Row],[Date]],'DB Details'!$A:$Q,16))</f>
        <v>9.1822084838616043E-3</v>
      </c>
      <c r="D176" s="58">
        <f>IF(VLOOKUP(Table311[[#This Row],[Date]],'DB Details'!$A:$Q,15)=0,"",VLOOKUP(Table311[[#This Row],[Date]],'DB Details'!$A:$Q,15))</f>
        <v>-3.8767162657507928E-4</v>
      </c>
      <c r="E176" s="58">
        <f>IF(VLOOKUP(Table311[[#This Row],[Date]],'DB Details'!$A:$Q,17)=0,"",VLOOKUP(Table311[[#This Row],[Date]],'DB Details'!$A:$Q,17))</f>
        <v>-1.5497850035888221E-3</v>
      </c>
    </row>
    <row r="177" spans="1:5" x14ac:dyDescent="0.35">
      <c r="A177" s="57">
        <v>40817</v>
      </c>
      <c r="B177" s="47">
        <f>IF(VLOOKUP(Table311[[#This Row],[Date]],'DB Details'!$A:$Q,12)=0,"",VLOOKUP(Table311[[#This Row],[Date]],'DB Details'!$A:$Q,12))</f>
        <v>52.8</v>
      </c>
      <c r="C177" s="58">
        <f>IF(VLOOKUP(Table311[[#This Row],[Date]],'DB Details'!$A:$Q,16)=0,"",VLOOKUP(Table311[[#This Row],[Date]],'DB Details'!$A:$Q,16))</f>
        <v>1.52269152413066E-2</v>
      </c>
      <c r="D177" s="58">
        <f>IF(VLOOKUP(Table311[[#This Row],[Date]],'DB Details'!$A:$Q,15)=0,"",VLOOKUP(Table311[[#This Row],[Date]],'DB Details'!$A:$Q,15))</f>
        <v>1.121678183498582E-2</v>
      </c>
      <c r="E177" s="58">
        <f>IF(VLOOKUP(Table311[[#This Row],[Date]],'DB Details'!$A:$Q,17)=0,"",VLOOKUP(Table311[[#This Row],[Date]],'DB Details'!$A:$Q,17))</f>
        <v>4.5627685349290507E-2</v>
      </c>
    </row>
    <row r="178" spans="1:5" x14ac:dyDescent="0.35">
      <c r="A178" s="57">
        <v>40848</v>
      </c>
      <c r="B178" s="47">
        <f>IF(VLOOKUP(Table311[[#This Row],[Date]],'DB Details'!$A:$Q,12)=0,"",VLOOKUP(Table311[[#This Row],[Date]],'DB Details'!$A:$Q,12))</f>
        <v>52.9</v>
      </c>
      <c r="C178" s="58">
        <f>IF(VLOOKUP(Table311[[#This Row],[Date]],'DB Details'!$A:$Q,16)=0,"",VLOOKUP(Table311[[#This Row],[Date]],'DB Details'!$A:$Q,16))</f>
        <v>1.52269152413066E-2</v>
      </c>
      <c r="D178" s="58">
        <f>IF(VLOOKUP(Table311[[#This Row],[Date]],'DB Details'!$A:$Q,15)=0,"",VLOOKUP(Table311[[#This Row],[Date]],'DB Details'!$A:$Q,15))</f>
        <v>1.121678183498582E-2</v>
      </c>
      <c r="E178" s="58">
        <f>IF(VLOOKUP(Table311[[#This Row],[Date]],'DB Details'!$A:$Q,17)=0,"",VLOOKUP(Table311[[#This Row],[Date]],'DB Details'!$A:$Q,17))</f>
        <v>4.5627685349290507E-2</v>
      </c>
    </row>
    <row r="179" spans="1:5" x14ac:dyDescent="0.35">
      <c r="A179" s="57">
        <v>40878</v>
      </c>
      <c r="B179" s="47">
        <f>IF(VLOOKUP(Table311[[#This Row],[Date]],'DB Details'!$A:$Q,12)=0,"",VLOOKUP(Table311[[#This Row],[Date]],'DB Details'!$A:$Q,12))</f>
        <v>52.6</v>
      </c>
      <c r="C179" s="58">
        <f>IF(VLOOKUP(Table311[[#This Row],[Date]],'DB Details'!$A:$Q,16)=0,"",VLOOKUP(Table311[[#This Row],[Date]],'DB Details'!$A:$Q,16))</f>
        <v>1.52269152413066E-2</v>
      </c>
      <c r="D179" s="58">
        <f>IF(VLOOKUP(Table311[[#This Row],[Date]],'DB Details'!$A:$Q,15)=0,"",VLOOKUP(Table311[[#This Row],[Date]],'DB Details'!$A:$Q,15))</f>
        <v>1.121678183498582E-2</v>
      </c>
      <c r="E179" s="58">
        <f>IF(VLOOKUP(Table311[[#This Row],[Date]],'DB Details'!$A:$Q,17)=0,"",VLOOKUP(Table311[[#This Row],[Date]],'DB Details'!$A:$Q,17))</f>
        <v>4.5627685349290507E-2</v>
      </c>
    </row>
    <row r="180" spans="1:5" x14ac:dyDescent="0.35">
      <c r="A180" s="57">
        <v>40909</v>
      </c>
      <c r="B180" s="47">
        <f>IF(VLOOKUP(Table311[[#This Row],[Date]],'DB Details'!$A:$Q,12)=0,"",VLOOKUP(Table311[[#This Row],[Date]],'DB Details'!$A:$Q,12))</f>
        <v>56</v>
      </c>
      <c r="C180" s="58">
        <f>IF(VLOOKUP(Table311[[#This Row],[Date]],'DB Details'!$A:$Q,16)=0,"",VLOOKUP(Table311[[#This Row],[Date]],'DB Details'!$A:$Q,16))</f>
        <v>2.6002492975388428E-2</v>
      </c>
      <c r="D180" s="58">
        <f>IF(VLOOKUP(Table311[[#This Row],[Date]],'DB Details'!$A:$Q,15)=0,"",VLOOKUP(Table311[[#This Row],[Date]],'DB Details'!$A:$Q,15))</f>
        <v>8.1792284509988062E-3</v>
      </c>
      <c r="E180" s="58">
        <f>IF(VLOOKUP(Table311[[#This Row],[Date]],'DB Details'!$A:$Q,17)=0,"",VLOOKUP(Table311[[#This Row],[Date]],'DB Details'!$A:$Q,17))</f>
        <v>3.3120505702169067E-2</v>
      </c>
    </row>
    <row r="181" spans="1:5" x14ac:dyDescent="0.35">
      <c r="A181" s="57">
        <v>40940</v>
      </c>
      <c r="B181" s="47">
        <f>IF(VLOOKUP(Table311[[#This Row],[Date]],'DB Details'!$A:$Q,12)=0,"",VLOOKUP(Table311[[#This Row],[Date]],'DB Details'!$A:$Q,12))</f>
        <v>56</v>
      </c>
      <c r="C181" s="58">
        <f>IF(VLOOKUP(Table311[[#This Row],[Date]],'DB Details'!$A:$Q,16)=0,"",VLOOKUP(Table311[[#This Row],[Date]],'DB Details'!$A:$Q,16))</f>
        <v>2.6002492975388428E-2</v>
      </c>
      <c r="D181" s="58">
        <f>IF(VLOOKUP(Table311[[#This Row],[Date]],'DB Details'!$A:$Q,15)=0,"",VLOOKUP(Table311[[#This Row],[Date]],'DB Details'!$A:$Q,15))</f>
        <v>8.1792284509988062E-3</v>
      </c>
      <c r="E181" s="58">
        <f>IF(VLOOKUP(Table311[[#This Row],[Date]],'DB Details'!$A:$Q,17)=0,"",VLOOKUP(Table311[[#This Row],[Date]],'DB Details'!$A:$Q,17))</f>
        <v>3.3120505702169067E-2</v>
      </c>
    </row>
    <row r="182" spans="1:5" x14ac:dyDescent="0.35">
      <c r="A182" s="57">
        <v>40969</v>
      </c>
      <c r="B182" s="47">
        <f>IF(VLOOKUP(Table311[[#This Row],[Date]],'DB Details'!$A:$Q,12)=0,"",VLOOKUP(Table311[[#This Row],[Date]],'DB Details'!$A:$Q,12))</f>
        <v>55.6</v>
      </c>
      <c r="C182" s="58">
        <f>IF(VLOOKUP(Table311[[#This Row],[Date]],'DB Details'!$A:$Q,16)=0,"",VLOOKUP(Table311[[#This Row],[Date]],'DB Details'!$A:$Q,16))</f>
        <v>2.6002492975388428E-2</v>
      </c>
      <c r="D182" s="58">
        <f>IF(VLOOKUP(Table311[[#This Row],[Date]],'DB Details'!$A:$Q,15)=0,"",VLOOKUP(Table311[[#This Row],[Date]],'DB Details'!$A:$Q,15))</f>
        <v>8.1792284509988062E-3</v>
      </c>
      <c r="E182" s="58">
        <f>IF(VLOOKUP(Table311[[#This Row],[Date]],'DB Details'!$A:$Q,17)=0,"",VLOOKUP(Table311[[#This Row],[Date]],'DB Details'!$A:$Q,17))</f>
        <v>3.3120505702169067E-2</v>
      </c>
    </row>
    <row r="183" spans="1:5" x14ac:dyDescent="0.35">
      <c r="A183" s="57">
        <v>41000</v>
      </c>
      <c r="B183" s="47">
        <f>IF(VLOOKUP(Table311[[#This Row],[Date]],'DB Details'!$A:$Q,12)=0,"",VLOOKUP(Table311[[#This Row],[Date]],'DB Details'!$A:$Q,12))</f>
        <v>54.4</v>
      </c>
      <c r="C183" s="58">
        <f>IF(VLOOKUP(Table311[[#This Row],[Date]],'DB Details'!$A:$Q,16)=0,"",VLOOKUP(Table311[[#This Row],[Date]],'DB Details'!$A:$Q,16))</f>
        <v>2.3738163497154609E-2</v>
      </c>
      <c r="D183" s="58">
        <f>IF(VLOOKUP(Table311[[#This Row],[Date]],'DB Details'!$A:$Q,15)=0,"",VLOOKUP(Table311[[#This Row],[Date]],'DB Details'!$A:$Q,15))</f>
        <v>4.5585998686771077E-3</v>
      </c>
      <c r="E183" s="58">
        <f>IF(VLOOKUP(Table311[[#This Row],[Date]],'DB Details'!$A:$Q,17)=0,"",VLOOKUP(Table311[[#This Row],[Date]],'DB Details'!$A:$Q,17))</f>
        <v>1.8359463829133341E-2</v>
      </c>
    </row>
    <row r="184" spans="1:5" x14ac:dyDescent="0.35">
      <c r="A184" s="57">
        <v>41030</v>
      </c>
      <c r="B184" s="47">
        <f>IF(VLOOKUP(Table311[[#This Row],[Date]],'DB Details'!$A:$Q,12)=0,"",VLOOKUP(Table311[[#This Row],[Date]],'DB Details'!$A:$Q,12))</f>
        <v>54.5</v>
      </c>
      <c r="C184" s="58">
        <f>IF(VLOOKUP(Table311[[#This Row],[Date]],'DB Details'!$A:$Q,16)=0,"",VLOOKUP(Table311[[#This Row],[Date]],'DB Details'!$A:$Q,16))</f>
        <v>2.3738163497154609E-2</v>
      </c>
      <c r="D184" s="58">
        <f>IF(VLOOKUP(Table311[[#This Row],[Date]],'DB Details'!$A:$Q,15)=0,"",VLOOKUP(Table311[[#This Row],[Date]],'DB Details'!$A:$Q,15))</f>
        <v>4.5585998686771077E-3</v>
      </c>
      <c r="E184" s="58">
        <f>IF(VLOOKUP(Table311[[#This Row],[Date]],'DB Details'!$A:$Q,17)=0,"",VLOOKUP(Table311[[#This Row],[Date]],'DB Details'!$A:$Q,17))</f>
        <v>1.8359463829133341E-2</v>
      </c>
    </row>
    <row r="185" spans="1:5" x14ac:dyDescent="0.35">
      <c r="A185" s="57">
        <v>41061</v>
      </c>
      <c r="B185" s="47">
        <f>IF(VLOOKUP(Table311[[#This Row],[Date]],'DB Details'!$A:$Q,12)=0,"",VLOOKUP(Table311[[#This Row],[Date]],'DB Details'!$A:$Q,12))</f>
        <v>53.7</v>
      </c>
      <c r="C185" s="58">
        <f>IF(VLOOKUP(Table311[[#This Row],[Date]],'DB Details'!$A:$Q,16)=0,"",VLOOKUP(Table311[[#This Row],[Date]],'DB Details'!$A:$Q,16))</f>
        <v>2.3738163497154609E-2</v>
      </c>
      <c r="D185" s="58">
        <f>IF(VLOOKUP(Table311[[#This Row],[Date]],'DB Details'!$A:$Q,15)=0,"",VLOOKUP(Table311[[#This Row],[Date]],'DB Details'!$A:$Q,15))</f>
        <v>4.5585998686771077E-3</v>
      </c>
      <c r="E185" s="58">
        <f>IF(VLOOKUP(Table311[[#This Row],[Date]],'DB Details'!$A:$Q,17)=0,"",VLOOKUP(Table311[[#This Row],[Date]],'DB Details'!$A:$Q,17))</f>
        <v>1.8359463829133341E-2</v>
      </c>
    </row>
    <row r="186" spans="1:5" x14ac:dyDescent="0.35">
      <c r="A186" s="57">
        <v>41091</v>
      </c>
      <c r="B186" s="47">
        <f>IF(VLOOKUP(Table311[[#This Row],[Date]],'DB Details'!$A:$Q,12)=0,"",VLOOKUP(Table311[[#This Row],[Date]],'DB Details'!$A:$Q,12))</f>
        <v>52.4</v>
      </c>
      <c r="C186" s="58">
        <f>IF(VLOOKUP(Table311[[#This Row],[Date]],'DB Details'!$A:$Q,16)=0,"",VLOOKUP(Table311[[#This Row],[Date]],'DB Details'!$A:$Q,16))</f>
        <v>2.5926229770563171E-2</v>
      </c>
      <c r="D186" s="58">
        <f>IF(VLOOKUP(Table311[[#This Row],[Date]],'DB Details'!$A:$Q,15)=0,"",VLOOKUP(Table311[[#This Row],[Date]],'DB Details'!$A:$Q,15))</f>
        <v>1.748829776015621E-3</v>
      </c>
      <c r="E186" s="58">
        <f>IF(VLOOKUP(Table311[[#This Row],[Date]],'DB Details'!$A:$Q,17)=0,"",VLOOKUP(Table311[[#This Row],[Date]],'DB Details'!$A:$Q,17))</f>
        <v>7.0136909414519888E-3</v>
      </c>
    </row>
    <row r="187" spans="1:5" x14ac:dyDescent="0.35">
      <c r="A187" s="57">
        <v>41122</v>
      </c>
      <c r="B187" s="47">
        <f>IF(VLOOKUP(Table311[[#This Row],[Date]],'DB Details'!$A:$Q,12)=0,"",VLOOKUP(Table311[[#This Row],[Date]],'DB Details'!$A:$Q,12))</f>
        <v>52.9</v>
      </c>
      <c r="C187" s="58">
        <f>IF(VLOOKUP(Table311[[#This Row],[Date]],'DB Details'!$A:$Q,16)=0,"",VLOOKUP(Table311[[#This Row],[Date]],'DB Details'!$A:$Q,16))</f>
        <v>2.5926229770563171E-2</v>
      </c>
      <c r="D187" s="58">
        <f>IF(VLOOKUP(Table311[[#This Row],[Date]],'DB Details'!$A:$Q,15)=0,"",VLOOKUP(Table311[[#This Row],[Date]],'DB Details'!$A:$Q,15))</f>
        <v>1.748829776015621E-3</v>
      </c>
      <c r="E187" s="58">
        <f>IF(VLOOKUP(Table311[[#This Row],[Date]],'DB Details'!$A:$Q,17)=0,"",VLOOKUP(Table311[[#This Row],[Date]],'DB Details'!$A:$Q,17))</f>
        <v>7.0136909414519888E-3</v>
      </c>
    </row>
    <row r="188" spans="1:5" x14ac:dyDescent="0.35">
      <c r="A188" s="57">
        <v>41153</v>
      </c>
      <c r="B188" s="47">
        <f>IF(VLOOKUP(Table311[[#This Row],[Date]],'DB Details'!$A:$Q,12)=0,"",VLOOKUP(Table311[[#This Row],[Date]],'DB Details'!$A:$Q,12))</f>
        <v>54.6</v>
      </c>
      <c r="C188" s="58">
        <f>IF(VLOOKUP(Table311[[#This Row],[Date]],'DB Details'!$A:$Q,16)=0,"",VLOOKUP(Table311[[#This Row],[Date]],'DB Details'!$A:$Q,16))</f>
        <v>2.5926229770563171E-2</v>
      </c>
      <c r="D188" s="58">
        <f>IF(VLOOKUP(Table311[[#This Row],[Date]],'DB Details'!$A:$Q,15)=0,"",VLOOKUP(Table311[[#This Row],[Date]],'DB Details'!$A:$Q,15))</f>
        <v>1.748829776015621E-3</v>
      </c>
      <c r="E188" s="58">
        <f>IF(VLOOKUP(Table311[[#This Row],[Date]],'DB Details'!$A:$Q,17)=0,"",VLOOKUP(Table311[[#This Row],[Date]],'DB Details'!$A:$Q,17))</f>
        <v>7.0136909414519888E-3</v>
      </c>
    </row>
    <row r="189" spans="1:5" x14ac:dyDescent="0.35">
      <c r="A189" s="57">
        <v>41183</v>
      </c>
      <c r="B189" s="47">
        <f>IF(VLOOKUP(Table311[[#This Row],[Date]],'DB Details'!$A:$Q,12)=0,"",VLOOKUP(Table311[[#This Row],[Date]],'DB Details'!$A:$Q,12))</f>
        <v>54.2</v>
      </c>
      <c r="C189" s="58">
        <f>IF(VLOOKUP(Table311[[#This Row],[Date]],'DB Details'!$A:$Q,16)=0,"",VLOOKUP(Table311[[#This Row],[Date]],'DB Details'!$A:$Q,16))</f>
        <v>1.56606434588916E-2</v>
      </c>
      <c r="D189" s="58">
        <f>IF(VLOOKUP(Table311[[#This Row],[Date]],'DB Details'!$A:$Q,15)=0,"",VLOOKUP(Table311[[#This Row],[Date]],'DB Details'!$A:$Q,15))</f>
        <v>1.0983806746418219E-3</v>
      </c>
      <c r="E189" s="58">
        <f>IF(VLOOKUP(Table311[[#This Row],[Date]],'DB Details'!$A:$Q,17)=0,"",VLOOKUP(Table311[[#This Row],[Date]],'DB Details'!$A:$Q,17))</f>
        <v>4.4007666411833854E-3</v>
      </c>
    </row>
    <row r="190" spans="1:5" x14ac:dyDescent="0.35">
      <c r="A190" s="57">
        <v>41214</v>
      </c>
      <c r="B190" s="47">
        <f>IF(VLOOKUP(Table311[[#This Row],[Date]],'DB Details'!$A:$Q,12)=0,"",VLOOKUP(Table311[[#This Row],[Date]],'DB Details'!$A:$Q,12))</f>
        <v>54.8</v>
      </c>
      <c r="C190" s="58">
        <f>IF(VLOOKUP(Table311[[#This Row],[Date]],'DB Details'!$A:$Q,16)=0,"",VLOOKUP(Table311[[#This Row],[Date]],'DB Details'!$A:$Q,16))</f>
        <v>1.56606434588916E-2</v>
      </c>
      <c r="D190" s="58">
        <f>IF(VLOOKUP(Table311[[#This Row],[Date]],'DB Details'!$A:$Q,15)=0,"",VLOOKUP(Table311[[#This Row],[Date]],'DB Details'!$A:$Q,15))</f>
        <v>1.0983806746418219E-3</v>
      </c>
      <c r="E190" s="58">
        <f>IF(VLOOKUP(Table311[[#This Row],[Date]],'DB Details'!$A:$Q,17)=0,"",VLOOKUP(Table311[[#This Row],[Date]],'DB Details'!$A:$Q,17))</f>
        <v>4.4007666411833854E-3</v>
      </c>
    </row>
    <row r="191" spans="1:5" x14ac:dyDescent="0.35">
      <c r="A191" s="57">
        <v>41244</v>
      </c>
      <c r="B191" s="47">
        <f>IF(VLOOKUP(Table311[[#This Row],[Date]],'DB Details'!$A:$Q,12)=0,"",VLOOKUP(Table311[[#This Row],[Date]],'DB Details'!$A:$Q,12))</f>
        <v>55.6</v>
      </c>
      <c r="C191" s="58">
        <f>IF(VLOOKUP(Table311[[#This Row],[Date]],'DB Details'!$A:$Q,16)=0,"",VLOOKUP(Table311[[#This Row],[Date]],'DB Details'!$A:$Q,16))</f>
        <v>1.56606434588916E-2</v>
      </c>
      <c r="D191" s="58">
        <f>IF(VLOOKUP(Table311[[#This Row],[Date]],'DB Details'!$A:$Q,15)=0,"",VLOOKUP(Table311[[#This Row],[Date]],'DB Details'!$A:$Q,15))</f>
        <v>1.0983806746418219E-3</v>
      </c>
      <c r="E191" s="58">
        <f>IF(VLOOKUP(Table311[[#This Row],[Date]],'DB Details'!$A:$Q,17)=0,"",VLOOKUP(Table311[[#This Row],[Date]],'DB Details'!$A:$Q,17))</f>
        <v>4.4007666411833854E-3</v>
      </c>
    </row>
    <row r="192" spans="1:5" x14ac:dyDescent="0.35">
      <c r="A192" s="57">
        <v>41275</v>
      </c>
      <c r="B192" s="47">
        <f>IF(VLOOKUP(Table311[[#This Row],[Date]],'DB Details'!$A:$Q,12)=0,"",VLOOKUP(Table311[[#This Row],[Date]],'DB Details'!$A:$Q,12))</f>
        <v>55.3</v>
      </c>
      <c r="C192" s="58">
        <f>IF(VLOOKUP(Table311[[#This Row],[Date]],'DB Details'!$A:$Q,16)=0,"",VLOOKUP(Table311[[#This Row],[Date]],'DB Details'!$A:$Q,16))</f>
        <v>1.6163010952802859E-2</v>
      </c>
      <c r="D192" s="58">
        <f>IF(VLOOKUP(Table311[[#This Row],[Date]],'DB Details'!$A:$Q,15)=0,"",VLOOKUP(Table311[[#This Row],[Date]],'DB Details'!$A:$Q,15))</f>
        <v>8.6778954769115967E-3</v>
      </c>
      <c r="E192" s="58">
        <f>IF(VLOOKUP(Table311[[#This Row],[Date]],'DB Details'!$A:$Q,17)=0,"",VLOOKUP(Table311[[#This Row],[Date]],'DB Details'!$A:$Q,17))</f>
        <v>3.5166036783941028E-2</v>
      </c>
    </row>
    <row r="193" spans="1:5" x14ac:dyDescent="0.35">
      <c r="A193" s="57">
        <v>41306</v>
      </c>
      <c r="B193" s="47">
        <f>IF(VLOOKUP(Table311[[#This Row],[Date]],'DB Details'!$A:$Q,12)=0,"",VLOOKUP(Table311[[#This Row],[Date]],'DB Details'!$A:$Q,12))</f>
        <v>56.1</v>
      </c>
      <c r="C193" s="58">
        <f>IF(VLOOKUP(Table311[[#This Row],[Date]],'DB Details'!$A:$Q,16)=0,"",VLOOKUP(Table311[[#This Row],[Date]],'DB Details'!$A:$Q,16))</f>
        <v>1.6163010952802859E-2</v>
      </c>
      <c r="D193" s="58">
        <f>IF(VLOOKUP(Table311[[#This Row],[Date]],'DB Details'!$A:$Q,15)=0,"",VLOOKUP(Table311[[#This Row],[Date]],'DB Details'!$A:$Q,15))</f>
        <v>8.6778954769115967E-3</v>
      </c>
      <c r="E193" s="58">
        <f>IF(VLOOKUP(Table311[[#This Row],[Date]],'DB Details'!$A:$Q,17)=0,"",VLOOKUP(Table311[[#This Row],[Date]],'DB Details'!$A:$Q,17))</f>
        <v>3.5166036783941028E-2</v>
      </c>
    </row>
    <row r="194" spans="1:5" x14ac:dyDescent="0.35">
      <c r="A194" s="57">
        <v>41334</v>
      </c>
      <c r="B194" s="47">
        <f>IF(VLOOKUP(Table311[[#This Row],[Date]],'DB Details'!$A:$Q,12)=0,"",VLOOKUP(Table311[[#This Row],[Date]],'DB Details'!$A:$Q,12))</f>
        <v>55.2</v>
      </c>
      <c r="C194" s="58">
        <f>IF(VLOOKUP(Table311[[#This Row],[Date]],'DB Details'!$A:$Q,16)=0,"",VLOOKUP(Table311[[#This Row],[Date]],'DB Details'!$A:$Q,16))</f>
        <v>1.6163010952802859E-2</v>
      </c>
      <c r="D194" s="58">
        <f>IF(VLOOKUP(Table311[[#This Row],[Date]],'DB Details'!$A:$Q,15)=0,"",VLOOKUP(Table311[[#This Row],[Date]],'DB Details'!$A:$Q,15))</f>
        <v>8.6778954769115967E-3</v>
      </c>
      <c r="E194" s="58">
        <f>IF(VLOOKUP(Table311[[#This Row],[Date]],'DB Details'!$A:$Q,17)=0,"",VLOOKUP(Table311[[#This Row],[Date]],'DB Details'!$A:$Q,17))</f>
        <v>3.5166036783941028E-2</v>
      </c>
    </row>
    <row r="195" spans="1:5" x14ac:dyDescent="0.35">
      <c r="A195" s="57">
        <v>41365</v>
      </c>
      <c r="B195" s="47">
        <f>IF(VLOOKUP(Table311[[#This Row],[Date]],'DB Details'!$A:$Q,12)=0,"",VLOOKUP(Table311[[#This Row],[Date]],'DB Details'!$A:$Q,12))</f>
        <v>53.9</v>
      </c>
      <c r="C195" s="58">
        <f>IF(VLOOKUP(Table311[[#This Row],[Date]],'DB Details'!$A:$Q,16)=0,"",VLOOKUP(Table311[[#This Row],[Date]],'DB Details'!$A:$Q,16))</f>
        <v>1.2961704903847749E-2</v>
      </c>
      <c r="D195" s="58">
        <f>IF(VLOOKUP(Table311[[#This Row],[Date]],'DB Details'!$A:$Q,15)=0,"",VLOOKUP(Table311[[#This Row],[Date]],'DB Details'!$A:$Q,15))</f>
        <v>1.393852197657185E-3</v>
      </c>
      <c r="E195" s="58">
        <f>IF(VLOOKUP(Table311[[#This Row],[Date]],'DB Details'!$A:$Q,17)=0,"",VLOOKUP(Table311[[#This Row],[Date]],'DB Details'!$A:$Q,17))</f>
        <v>5.5870765701340197E-3</v>
      </c>
    </row>
    <row r="196" spans="1:5" x14ac:dyDescent="0.35">
      <c r="A196" s="57">
        <v>41395</v>
      </c>
      <c r="B196" s="47">
        <f>IF(VLOOKUP(Table311[[#This Row],[Date]],'DB Details'!$A:$Q,12)=0,"",VLOOKUP(Table311[[#This Row],[Date]],'DB Details'!$A:$Q,12))</f>
        <v>54.4</v>
      </c>
      <c r="C196" s="58">
        <f>IF(VLOOKUP(Table311[[#This Row],[Date]],'DB Details'!$A:$Q,16)=0,"",VLOOKUP(Table311[[#This Row],[Date]],'DB Details'!$A:$Q,16))</f>
        <v>1.2961704903847749E-2</v>
      </c>
      <c r="D196" s="58">
        <f>IF(VLOOKUP(Table311[[#This Row],[Date]],'DB Details'!$A:$Q,15)=0,"",VLOOKUP(Table311[[#This Row],[Date]],'DB Details'!$A:$Q,15))</f>
        <v>1.393852197657185E-3</v>
      </c>
      <c r="E196" s="58">
        <f>IF(VLOOKUP(Table311[[#This Row],[Date]],'DB Details'!$A:$Q,17)=0,"",VLOOKUP(Table311[[#This Row],[Date]],'DB Details'!$A:$Q,17))</f>
        <v>5.5870765701340197E-3</v>
      </c>
    </row>
    <row r="197" spans="1:5" x14ac:dyDescent="0.35">
      <c r="A197" s="57">
        <v>41426</v>
      </c>
      <c r="B197" s="47">
        <f>IF(VLOOKUP(Table311[[#This Row],[Date]],'DB Details'!$A:$Q,12)=0,"",VLOOKUP(Table311[[#This Row],[Date]],'DB Details'!$A:$Q,12))</f>
        <v>54.1</v>
      </c>
      <c r="C197" s="58">
        <f>IF(VLOOKUP(Table311[[#This Row],[Date]],'DB Details'!$A:$Q,16)=0,"",VLOOKUP(Table311[[#This Row],[Date]],'DB Details'!$A:$Q,16))</f>
        <v>1.2961704903847749E-2</v>
      </c>
      <c r="D197" s="58">
        <f>IF(VLOOKUP(Table311[[#This Row],[Date]],'DB Details'!$A:$Q,15)=0,"",VLOOKUP(Table311[[#This Row],[Date]],'DB Details'!$A:$Q,15))</f>
        <v>1.393852197657185E-3</v>
      </c>
      <c r="E197" s="58">
        <f>IF(VLOOKUP(Table311[[#This Row],[Date]],'DB Details'!$A:$Q,17)=0,"",VLOOKUP(Table311[[#This Row],[Date]],'DB Details'!$A:$Q,17))</f>
        <v>5.5870765701340197E-3</v>
      </c>
    </row>
    <row r="198" spans="1:5" x14ac:dyDescent="0.35">
      <c r="A198" s="57">
        <v>41456</v>
      </c>
      <c r="B198" s="47">
        <f>IF(VLOOKUP(Table311[[#This Row],[Date]],'DB Details'!$A:$Q,12)=0,"",VLOOKUP(Table311[[#This Row],[Date]],'DB Details'!$A:$Q,12))</f>
        <v>54.9</v>
      </c>
      <c r="C198" s="58">
        <f>IF(VLOOKUP(Table311[[#This Row],[Date]],'DB Details'!$A:$Q,16)=0,"",VLOOKUP(Table311[[#This Row],[Date]],'DB Details'!$A:$Q,16))</f>
        <v>1.919844620038217E-2</v>
      </c>
      <c r="D198" s="58">
        <f>IF(VLOOKUP(Table311[[#This Row],[Date]],'DB Details'!$A:$Q,15)=0,"",VLOOKUP(Table311[[#This Row],[Date]],'DB Details'!$A:$Q,15))</f>
        <v>7.9165341079500094E-3</v>
      </c>
      <c r="E198" s="58">
        <f>IF(VLOOKUP(Table311[[#This Row],[Date]],'DB Details'!$A:$Q,17)=0,"",VLOOKUP(Table311[[#This Row],[Date]],'DB Details'!$A:$Q,17))</f>
        <v>3.2044153997870417E-2</v>
      </c>
    </row>
    <row r="199" spans="1:5" x14ac:dyDescent="0.35">
      <c r="A199" s="57">
        <v>41487</v>
      </c>
      <c r="B199" s="47">
        <f>IF(VLOOKUP(Table311[[#This Row],[Date]],'DB Details'!$A:$Q,12)=0,"",VLOOKUP(Table311[[#This Row],[Date]],'DB Details'!$A:$Q,12))</f>
        <v>56.6</v>
      </c>
      <c r="C199" s="58">
        <f>IF(VLOOKUP(Table311[[#This Row],[Date]],'DB Details'!$A:$Q,16)=0,"",VLOOKUP(Table311[[#This Row],[Date]],'DB Details'!$A:$Q,16))</f>
        <v>1.919844620038217E-2</v>
      </c>
      <c r="D199" s="58">
        <f>IF(VLOOKUP(Table311[[#This Row],[Date]],'DB Details'!$A:$Q,15)=0,"",VLOOKUP(Table311[[#This Row],[Date]],'DB Details'!$A:$Q,15))</f>
        <v>7.9165341079500094E-3</v>
      </c>
      <c r="E199" s="58">
        <f>IF(VLOOKUP(Table311[[#This Row],[Date]],'DB Details'!$A:$Q,17)=0,"",VLOOKUP(Table311[[#This Row],[Date]],'DB Details'!$A:$Q,17))</f>
        <v>3.2044153997870417E-2</v>
      </c>
    </row>
    <row r="200" spans="1:5" x14ac:dyDescent="0.35">
      <c r="A200" s="57">
        <v>41518</v>
      </c>
      <c r="B200" s="47">
        <f>IF(VLOOKUP(Table311[[#This Row],[Date]],'DB Details'!$A:$Q,12)=0,"",VLOOKUP(Table311[[#This Row],[Date]],'DB Details'!$A:$Q,12))</f>
        <v>53.6</v>
      </c>
      <c r="C200" s="58">
        <f>IF(VLOOKUP(Table311[[#This Row],[Date]],'DB Details'!$A:$Q,16)=0,"",VLOOKUP(Table311[[#This Row],[Date]],'DB Details'!$A:$Q,16))</f>
        <v>1.919844620038217E-2</v>
      </c>
      <c r="D200" s="58">
        <f>IF(VLOOKUP(Table311[[#This Row],[Date]],'DB Details'!$A:$Q,15)=0,"",VLOOKUP(Table311[[#This Row],[Date]],'DB Details'!$A:$Q,15))</f>
        <v>7.9165341079500094E-3</v>
      </c>
      <c r="E200" s="58">
        <f>IF(VLOOKUP(Table311[[#This Row],[Date]],'DB Details'!$A:$Q,17)=0,"",VLOOKUP(Table311[[#This Row],[Date]],'DB Details'!$A:$Q,17))</f>
        <v>3.2044153997870417E-2</v>
      </c>
    </row>
    <row r="201" spans="1:5" x14ac:dyDescent="0.35">
      <c r="A201" s="57">
        <v>41548</v>
      </c>
      <c r="B201" s="47">
        <f>IF(VLOOKUP(Table311[[#This Row],[Date]],'DB Details'!$A:$Q,12)=0,"",VLOOKUP(Table311[[#This Row],[Date]],'DB Details'!$A:$Q,12))</f>
        <v>54.5</v>
      </c>
      <c r="C201" s="58">
        <f>IF(VLOOKUP(Table311[[#This Row],[Date]],'DB Details'!$A:$Q,16)=0,"",VLOOKUP(Table311[[#This Row],[Date]],'DB Details'!$A:$Q,16))</f>
        <v>2.532049777807217E-2</v>
      </c>
      <c r="D201" s="58">
        <f>IF(VLOOKUP(Table311[[#This Row],[Date]],'DB Details'!$A:$Q,15)=0,"",VLOOKUP(Table311[[#This Row],[Date]],'DB Details'!$A:$Q,15))</f>
        <v>7.1117100156356649E-3</v>
      </c>
      <c r="E201" s="58">
        <f>IF(VLOOKUP(Table311[[#This Row],[Date]],'DB Details'!$A:$Q,17)=0,"",VLOOKUP(Table311[[#This Row],[Date]],'DB Details'!$A:$Q,17))</f>
        <v>2.875173987590807E-2</v>
      </c>
    </row>
    <row r="202" spans="1:5" x14ac:dyDescent="0.35">
      <c r="A202" s="57">
        <v>41579</v>
      </c>
      <c r="B202" s="47">
        <f>IF(VLOOKUP(Table311[[#This Row],[Date]],'DB Details'!$A:$Q,12)=0,"",VLOOKUP(Table311[[#This Row],[Date]],'DB Details'!$A:$Q,12))</f>
        <v>53.8</v>
      </c>
      <c r="C202" s="58">
        <f>IF(VLOOKUP(Table311[[#This Row],[Date]],'DB Details'!$A:$Q,16)=0,"",VLOOKUP(Table311[[#This Row],[Date]],'DB Details'!$A:$Q,16))</f>
        <v>2.532049777807217E-2</v>
      </c>
      <c r="D202" s="58">
        <f>IF(VLOOKUP(Table311[[#This Row],[Date]],'DB Details'!$A:$Q,15)=0,"",VLOOKUP(Table311[[#This Row],[Date]],'DB Details'!$A:$Q,15))</f>
        <v>7.1117100156356649E-3</v>
      </c>
      <c r="E202" s="58">
        <f>IF(VLOOKUP(Table311[[#This Row],[Date]],'DB Details'!$A:$Q,17)=0,"",VLOOKUP(Table311[[#This Row],[Date]],'DB Details'!$A:$Q,17))</f>
        <v>2.875173987590807E-2</v>
      </c>
    </row>
    <row r="203" spans="1:5" x14ac:dyDescent="0.35">
      <c r="A203" s="57">
        <v>41609</v>
      </c>
      <c r="B203" s="47">
        <f>IF(VLOOKUP(Table311[[#This Row],[Date]],'DB Details'!$A:$Q,12)=0,"",VLOOKUP(Table311[[#This Row],[Date]],'DB Details'!$A:$Q,12))</f>
        <v>52.9</v>
      </c>
      <c r="C203" s="58">
        <f>IF(VLOOKUP(Table311[[#This Row],[Date]],'DB Details'!$A:$Q,16)=0,"",VLOOKUP(Table311[[#This Row],[Date]],'DB Details'!$A:$Q,16))</f>
        <v>2.532049777807217E-2</v>
      </c>
      <c r="D203" s="58">
        <f>IF(VLOOKUP(Table311[[#This Row],[Date]],'DB Details'!$A:$Q,15)=0,"",VLOOKUP(Table311[[#This Row],[Date]],'DB Details'!$A:$Q,15))</f>
        <v>7.1117100156356649E-3</v>
      </c>
      <c r="E203" s="58">
        <f>IF(VLOOKUP(Table311[[#This Row],[Date]],'DB Details'!$A:$Q,17)=0,"",VLOOKUP(Table311[[#This Row],[Date]],'DB Details'!$A:$Q,17))</f>
        <v>2.875173987590807E-2</v>
      </c>
    </row>
    <row r="204" spans="1:5" x14ac:dyDescent="0.35">
      <c r="A204" s="57">
        <v>41640</v>
      </c>
      <c r="B204" s="47">
        <f>IF(VLOOKUP(Table311[[#This Row],[Date]],'DB Details'!$A:$Q,12)=0,"",VLOOKUP(Table311[[#This Row],[Date]],'DB Details'!$A:$Q,12))</f>
        <v>54.7</v>
      </c>
      <c r="C204" s="58">
        <f>IF(VLOOKUP(Table311[[#This Row],[Date]],'DB Details'!$A:$Q,16)=0,"",VLOOKUP(Table311[[#This Row],[Date]],'DB Details'!$A:$Q,16))</f>
        <v>1.294055859309538E-2</v>
      </c>
      <c r="D204" s="58">
        <f>IF(VLOOKUP(Table311[[#This Row],[Date]],'DB Details'!$A:$Q,15)=0,"",VLOOKUP(Table311[[#This Row],[Date]],'DB Details'!$A:$Q,15))</f>
        <v>-3.5010973651269459E-3</v>
      </c>
      <c r="E204" s="58">
        <f>IF(VLOOKUP(Table311[[#This Row],[Date]],'DB Details'!$A:$Q,17)=0,"",VLOOKUP(Table311[[#This Row],[Date]],'DB Details'!$A:$Q,17))</f>
        <v>-1.393101487505966E-2</v>
      </c>
    </row>
    <row r="205" spans="1:5" x14ac:dyDescent="0.35">
      <c r="A205" s="57">
        <v>41671</v>
      </c>
      <c r="B205" s="47">
        <f>IF(VLOOKUP(Table311[[#This Row],[Date]],'DB Details'!$A:$Q,12)=0,"",VLOOKUP(Table311[[#This Row],[Date]],'DB Details'!$A:$Q,12))</f>
        <v>53</v>
      </c>
      <c r="C205" s="58">
        <f>IF(VLOOKUP(Table311[[#This Row],[Date]],'DB Details'!$A:$Q,16)=0,"",VLOOKUP(Table311[[#This Row],[Date]],'DB Details'!$A:$Q,16))</f>
        <v>1.294055859309538E-2</v>
      </c>
      <c r="D205" s="58">
        <f>IF(VLOOKUP(Table311[[#This Row],[Date]],'DB Details'!$A:$Q,15)=0,"",VLOOKUP(Table311[[#This Row],[Date]],'DB Details'!$A:$Q,15))</f>
        <v>-3.5010973651269459E-3</v>
      </c>
      <c r="E205" s="58">
        <f>IF(VLOOKUP(Table311[[#This Row],[Date]],'DB Details'!$A:$Q,17)=0,"",VLOOKUP(Table311[[#This Row],[Date]],'DB Details'!$A:$Q,17))</f>
        <v>-1.393101487505966E-2</v>
      </c>
    </row>
    <row r="206" spans="1:5" x14ac:dyDescent="0.35">
      <c r="A206" s="57">
        <v>41699</v>
      </c>
      <c r="B206" s="47">
        <f>IF(VLOOKUP(Table311[[#This Row],[Date]],'DB Details'!$A:$Q,12)=0,"",VLOOKUP(Table311[[#This Row],[Date]],'DB Details'!$A:$Q,12))</f>
        <v>54.2</v>
      </c>
      <c r="C206" s="58">
        <f>IF(VLOOKUP(Table311[[#This Row],[Date]],'DB Details'!$A:$Q,16)=0,"",VLOOKUP(Table311[[#This Row],[Date]],'DB Details'!$A:$Q,16))</f>
        <v>1.294055859309538E-2</v>
      </c>
      <c r="D206" s="58">
        <f>IF(VLOOKUP(Table311[[#This Row],[Date]],'DB Details'!$A:$Q,15)=0,"",VLOOKUP(Table311[[#This Row],[Date]],'DB Details'!$A:$Q,15))</f>
        <v>-3.5010973651269459E-3</v>
      </c>
      <c r="E206" s="58">
        <f>IF(VLOOKUP(Table311[[#This Row],[Date]],'DB Details'!$A:$Q,17)=0,"",VLOOKUP(Table311[[#This Row],[Date]],'DB Details'!$A:$Q,17))</f>
        <v>-1.393101487505966E-2</v>
      </c>
    </row>
    <row r="207" spans="1:5" x14ac:dyDescent="0.35">
      <c r="A207" s="57">
        <v>41730</v>
      </c>
      <c r="B207" s="47">
        <f>IF(VLOOKUP(Table311[[#This Row],[Date]],'DB Details'!$A:$Q,12)=0,"",VLOOKUP(Table311[[#This Row],[Date]],'DB Details'!$A:$Q,12))</f>
        <v>55.2</v>
      </c>
      <c r="C207" s="58">
        <f>IF(VLOOKUP(Table311[[#This Row],[Date]],'DB Details'!$A:$Q,16)=0,"",VLOOKUP(Table311[[#This Row],[Date]],'DB Details'!$A:$Q,16))</f>
        <v>2.45199916765882E-2</v>
      </c>
      <c r="D207" s="58">
        <f>IF(VLOOKUP(Table311[[#This Row],[Date]],'DB Details'!$A:$Q,15)=0,"",VLOOKUP(Table311[[#This Row],[Date]],'DB Details'!$A:$Q,15))</f>
        <v>1.2841289071790579E-2</v>
      </c>
      <c r="E207" s="58">
        <f>IF(VLOOKUP(Table311[[#This Row],[Date]],'DB Details'!$A:$Q,17)=0,"",VLOOKUP(Table311[[#This Row],[Date]],'DB Details'!$A:$Q,17))</f>
        <v>5.2363045756652182E-2</v>
      </c>
    </row>
    <row r="208" spans="1:5" x14ac:dyDescent="0.35">
      <c r="A208" s="57">
        <v>41760</v>
      </c>
      <c r="B208" s="47">
        <f>IF(VLOOKUP(Table311[[#This Row],[Date]],'DB Details'!$A:$Q,12)=0,"",VLOOKUP(Table311[[#This Row],[Date]],'DB Details'!$A:$Q,12))</f>
        <v>56.9</v>
      </c>
      <c r="C208" s="58">
        <f>IF(VLOOKUP(Table311[[#This Row],[Date]],'DB Details'!$A:$Q,16)=0,"",VLOOKUP(Table311[[#This Row],[Date]],'DB Details'!$A:$Q,16))</f>
        <v>2.45199916765882E-2</v>
      </c>
      <c r="D208" s="58">
        <f>IF(VLOOKUP(Table311[[#This Row],[Date]],'DB Details'!$A:$Q,15)=0,"",VLOOKUP(Table311[[#This Row],[Date]],'DB Details'!$A:$Q,15))</f>
        <v>1.2841289071790579E-2</v>
      </c>
      <c r="E208" s="58">
        <f>IF(VLOOKUP(Table311[[#This Row],[Date]],'DB Details'!$A:$Q,17)=0,"",VLOOKUP(Table311[[#This Row],[Date]],'DB Details'!$A:$Q,17))</f>
        <v>5.2363045756652182E-2</v>
      </c>
    </row>
    <row r="209" spans="1:5" x14ac:dyDescent="0.35">
      <c r="A209" s="57">
        <v>41791</v>
      </c>
      <c r="B209" s="47">
        <f>IF(VLOOKUP(Table311[[#This Row],[Date]],'DB Details'!$A:$Q,12)=0,"",VLOOKUP(Table311[[#This Row],[Date]],'DB Details'!$A:$Q,12))</f>
        <v>56.6</v>
      </c>
      <c r="C209" s="58">
        <f>IF(VLOOKUP(Table311[[#This Row],[Date]],'DB Details'!$A:$Q,16)=0,"",VLOOKUP(Table311[[#This Row],[Date]],'DB Details'!$A:$Q,16))</f>
        <v>2.45199916765882E-2</v>
      </c>
      <c r="D209" s="58">
        <f>IF(VLOOKUP(Table311[[#This Row],[Date]],'DB Details'!$A:$Q,15)=0,"",VLOOKUP(Table311[[#This Row],[Date]],'DB Details'!$A:$Q,15))</f>
        <v>1.2841289071790579E-2</v>
      </c>
      <c r="E209" s="58">
        <f>IF(VLOOKUP(Table311[[#This Row],[Date]],'DB Details'!$A:$Q,17)=0,"",VLOOKUP(Table311[[#This Row],[Date]],'DB Details'!$A:$Q,17))</f>
        <v>5.2363045756652182E-2</v>
      </c>
    </row>
    <row r="210" spans="1:5" x14ac:dyDescent="0.35">
      <c r="A210" s="57">
        <v>41821</v>
      </c>
      <c r="B210" s="47">
        <f>IF(VLOOKUP(Table311[[#This Row],[Date]],'DB Details'!$A:$Q,12)=0,"",VLOOKUP(Table311[[#This Row],[Date]],'DB Details'!$A:$Q,12))</f>
        <v>57.1</v>
      </c>
      <c r="C210" s="58">
        <f>IF(VLOOKUP(Table311[[#This Row],[Date]],'DB Details'!$A:$Q,16)=0,"",VLOOKUP(Table311[[#This Row],[Date]],'DB Details'!$A:$Q,16))</f>
        <v>2.831456925846958E-2</v>
      </c>
      <c r="D210" s="58">
        <f>IF(VLOOKUP(Table311[[#This Row],[Date]],'DB Details'!$A:$Q,15)=0,"",VLOOKUP(Table311[[#This Row],[Date]],'DB Details'!$A:$Q,15))</f>
        <v>1.1649616444854689E-2</v>
      </c>
      <c r="E210" s="58">
        <f>IF(VLOOKUP(Table311[[#This Row],[Date]],'DB Details'!$A:$Q,17)=0,"",VLOOKUP(Table311[[#This Row],[Date]],'DB Details'!$A:$Q,17))</f>
        <v>4.7419089621299371E-2</v>
      </c>
    </row>
    <row r="211" spans="1:5" x14ac:dyDescent="0.35">
      <c r="A211" s="57">
        <v>41852</v>
      </c>
      <c r="B211" s="47">
        <f>IF(VLOOKUP(Table311[[#This Row],[Date]],'DB Details'!$A:$Q,12)=0,"",VLOOKUP(Table311[[#This Row],[Date]],'DB Details'!$A:$Q,12))</f>
        <v>58</v>
      </c>
      <c r="C211" s="58">
        <f>IF(VLOOKUP(Table311[[#This Row],[Date]],'DB Details'!$A:$Q,16)=0,"",VLOOKUP(Table311[[#This Row],[Date]],'DB Details'!$A:$Q,16))</f>
        <v>2.831456925846958E-2</v>
      </c>
      <c r="D211" s="58">
        <f>IF(VLOOKUP(Table311[[#This Row],[Date]],'DB Details'!$A:$Q,15)=0,"",VLOOKUP(Table311[[#This Row],[Date]],'DB Details'!$A:$Q,15))</f>
        <v>1.1649616444854689E-2</v>
      </c>
      <c r="E211" s="58">
        <f>IF(VLOOKUP(Table311[[#This Row],[Date]],'DB Details'!$A:$Q,17)=0,"",VLOOKUP(Table311[[#This Row],[Date]],'DB Details'!$A:$Q,17))</f>
        <v>4.7419089621299371E-2</v>
      </c>
    </row>
    <row r="212" spans="1:5" x14ac:dyDescent="0.35">
      <c r="A212" s="57">
        <v>41883</v>
      </c>
      <c r="B212" s="47">
        <f>IF(VLOOKUP(Table311[[#This Row],[Date]],'DB Details'!$A:$Q,12)=0,"",VLOOKUP(Table311[[#This Row],[Date]],'DB Details'!$A:$Q,12))</f>
        <v>57.4</v>
      </c>
      <c r="C212" s="58">
        <f>IF(VLOOKUP(Table311[[#This Row],[Date]],'DB Details'!$A:$Q,16)=0,"",VLOOKUP(Table311[[#This Row],[Date]],'DB Details'!$A:$Q,16))</f>
        <v>2.831456925846958E-2</v>
      </c>
      <c r="D212" s="58">
        <f>IF(VLOOKUP(Table311[[#This Row],[Date]],'DB Details'!$A:$Q,15)=0,"",VLOOKUP(Table311[[#This Row],[Date]],'DB Details'!$A:$Q,15))</f>
        <v>1.1649616444854689E-2</v>
      </c>
      <c r="E212" s="58">
        <f>IF(VLOOKUP(Table311[[#This Row],[Date]],'DB Details'!$A:$Q,17)=0,"",VLOOKUP(Table311[[#This Row],[Date]],'DB Details'!$A:$Q,17))</f>
        <v>4.7419089621299371E-2</v>
      </c>
    </row>
    <row r="213" spans="1:5" x14ac:dyDescent="0.35">
      <c r="A213" s="57">
        <v>41913</v>
      </c>
      <c r="B213" s="47">
        <f>IF(VLOOKUP(Table311[[#This Row],[Date]],'DB Details'!$A:$Q,12)=0,"",VLOOKUP(Table311[[#This Row],[Date]],'DB Details'!$A:$Q,12))</f>
        <v>56</v>
      </c>
      <c r="C213" s="58">
        <f>IF(VLOOKUP(Table311[[#This Row],[Date]],'DB Details'!$A:$Q,16)=0,"",VLOOKUP(Table311[[#This Row],[Date]],'DB Details'!$A:$Q,16))</f>
        <v>2.5637596662669859E-2</v>
      </c>
      <c r="D213" s="58">
        <f>IF(VLOOKUP(Table311[[#This Row],[Date]],'DB Details'!$A:$Q,15)=0,"",VLOOKUP(Table311[[#This Row],[Date]],'DB Details'!$A:$Q,15))</f>
        <v>4.4899340248851054E-3</v>
      </c>
      <c r="E213" s="58">
        <f>IF(VLOOKUP(Table311[[#This Row],[Date]],'DB Details'!$A:$Q,17)=0,"",VLOOKUP(Table311[[#This Row],[Date]],'DB Details'!$A:$Q,17))</f>
        <v>1.808105561066875E-2</v>
      </c>
    </row>
    <row r="214" spans="1:5" x14ac:dyDescent="0.35">
      <c r="A214" s="57">
        <v>41944</v>
      </c>
      <c r="B214" s="47">
        <f>IF(VLOOKUP(Table311[[#This Row],[Date]],'DB Details'!$A:$Q,12)=0,"",VLOOKUP(Table311[[#This Row],[Date]],'DB Details'!$A:$Q,12))</f>
        <v>58.7</v>
      </c>
      <c r="C214" s="58">
        <f>IF(VLOOKUP(Table311[[#This Row],[Date]],'DB Details'!$A:$Q,16)=0,"",VLOOKUP(Table311[[#This Row],[Date]],'DB Details'!$A:$Q,16))</f>
        <v>2.5637596662669859E-2</v>
      </c>
      <c r="D214" s="58">
        <f>IF(VLOOKUP(Table311[[#This Row],[Date]],'DB Details'!$A:$Q,15)=0,"",VLOOKUP(Table311[[#This Row],[Date]],'DB Details'!$A:$Q,15))</f>
        <v>4.4899340248851054E-3</v>
      </c>
      <c r="E214" s="58">
        <f>IF(VLOOKUP(Table311[[#This Row],[Date]],'DB Details'!$A:$Q,17)=0,"",VLOOKUP(Table311[[#This Row],[Date]],'DB Details'!$A:$Q,17))</f>
        <v>1.808105561066875E-2</v>
      </c>
    </row>
    <row r="215" spans="1:5" x14ac:dyDescent="0.35">
      <c r="A215" s="57">
        <v>41974</v>
      </c>
      <c r="B215" s="47">
        <f>IF(VLOOKUP(Table311[[#This Row],[Date]],'DB Details'!$A:$Q,12)=0,"",VLOOKUP(Table311[[#This Row],[Date]],'DB Details'!$A:$Q,12))</f>
        <v>56.4</v>
      </c>
      <c r="C215" s="58">
        <f>IF(VLOOKUP(Table311[[#This Row],[Date]],'DB Details'!$A:$Q,16)=0,"",VLOOKUP(Table311[[#This Row],[Date]],'DB Details'!$A:$Q,16))</f>
        <v>2.5637596662669859E-2</v>
      </c>
      <c r="D215" s="58">
        <f>IF(VLOOKUP(Table311[[#This Row],[Date]],'DB Details'!$A:$Q,15)=0,"",VLOOKUP(Table311[[#This Row],[Date]],'DB Details'!$A:$Q,15))</f>
        <v>4.4899340248851054E-3</v>
      </c>
      <c r="E215" s="58">
        <f>IF(VLOOKUP(Table311[[#This Row],[Date]],'DB Details'!$A:$Q,17)=0,"",VLOOKUP(Table311[[#This Row],[Date]],'DB Details'!$A:$Q,17))</f>
        <v>1.808105561066875E-2</v>
      </c>
    </row>
    <row r="216" spans="1:5" x14ac:dyDescent="0.35">
      <c r="A216" s="57">
        <v>42005</v>
      </c>
      <c r="B216" s="47">
        <f>IF(VLOOKUP(Table311[[#This Row],[Date]],'DB Details'!$A:$Q,12)=0,"",VLOOKUP(Table311[[#This Row],[Date]],'DB Details'!$A:$Q,12))</f>
        <v>57.3</v>
      </c>
      <c r="C216" s="58">
        <f>IF(VLOOKUP(Table311[[#This Row],[Date]],'DB Details'!$A:$Q,16)=0,"",VLOOKUP(Table311[[#This Row],[Date]],'DB Details'!$A:$Q,16))</f>
        <v>3.7612027730824553E-2</v>
      </c>
      <c r="D216" s="58">
        <f>IF(VLOOKUP(Table311[[#This Row],[Date]],'DB Details'!$A:$Q,15)=0,"",VLOOKUP(Table311[[#This Row],[Date]],'DB Details'!$A:$Q,15))</f>
        <v>8.1331362646857273E-3</v>
      </c>
      <c r="E216" s="58">
        <f>IF(VLOOKUP(Table311[[#This Row],[Date]],'DB Details'!$A:$Q,17)=0,"",VLOOKUP(Table311[[#This Row],[Date]],'DB Details'!$A:$Q,17))</f>
        <v>3.2931588827004088E-2</v>
      </c>
    </row>
    <row r="217" spans="1:5" x14ac:dyDescent="0.35">
      <c r="A217" s="57">
        <v>42036</v>
      </c>
      <c r="B217" s="47">
        <f>IF(VLOOKUP(Table311[[#This Row],[Date]],'DB Details'!$A:$Q,12)=0,"",VLOOKUP(Table311[[#This Row],[Date]],'DB Details'!$A:$Q,12))</f>
        <v>57.6</v>
      </c>
      <c r="C217" s="58">
        <f>IF(VLOOKUP(Table311[[#This Row],[Date]],'DB Details'!$A:$Q,16)=0,"",VLOOKUP(Table311[[#This Row],[Date]],'DB Details'!$A:$Q,16))</f>
        <v>3.7612027730824553E-2</v>
      </c>
      <c r="D217" s="58">
        <f>IF(VLOOKUP(Table311[[#This Row],[Date]],'DB Details'!$A:$Q,15)=0,"",VLOOKUP(Table311[[#This Row],[Date]],'DB Details'!$A:$Q,15))</f>
        <v>8.1331362646857273E-3</v>
      </c>
      <c r="E217" s="58">
        <f>IF(VLOOKUP(Table311[[#This Row],[Date]],'DB Details'!$A:$Q,17)=0,"",VLOOKUP(Table311[[#This Row],[Date]],'DB Details'!$A:$Q,17))</f>
        <v>3.2931588827004088E-2</v>
      </c>
    </row>
    <row r="218" spans="1:5" x14ac:dyDescent="0.35">
      <c r="A218" s="57">
        <v>42064</v>
      </c>
      <c r="B218" s="47">
        <f>IF(VLOOKUP(Table311[[#This Row],[Date]],'DB Details'!$A:$Q,12)=0,"",VLOOKUP(Table311[[#This Row],[Date]],'DB Details'!$A:$Q,12))</f>
        <v>57.5</v>
      </c>
      <c r="C218" s="58">
        <f>IF(VLOOKUP(Table311[[#This Row],[Date]],'DB Details'!$A:$Q,16)=0,"",VLOOKUP(Table311[[#This Row],[Date]],'DB Details'!$A:$Q,16))</f>
        <v>3.7612027730824553E-2</v>
      </c>
      <c r="D218" s="58">
        <f>IF(VLOOKUP(Table311[[#This Row],[Date]],'DB Details'!$A:$Q,15)=0,"",VLOOKUP(Table311[[#This Row],[Date]],'DB Details'!$A:$Q,15))</f>
        <v>8.1331362646857273E-3</v>
      </c>
      <c r="E218" s="58">
        <f>IF(VLOOKUP(Table311[[#This Row],[Date]],'DB Details'!$A:$Q,17)=0,"",VLOOKUP(Table311[[#This Row],[Date]],'DB Details'!$A:$Q,17))</f>
        <v>3.2931588827004088E-2</v>
      </c>
    </row>
    <row r="219" spans="1:5" x14ac:dyDescent="0.35">
      <c r="A219" s="57">
        <v>42095</v>
      </c>
      <c r="B219" s="47">
        <f>IF(VLOOKUP(Table311[[#This Row],[Date]],'DB Details'!$A:$Q,12)=0,"",VLOOKUP(Table311[[#This Row],[Date]],'DB Details'!$A:$Q,12))</f>
        <v>57.5</v>
      </c>
      <c r="C219" s="58">
        <f>IF(VLOOKUP(Table311[[#This Row],[Date]],'DB Details'!$A:$Q,16)=0,"",VLOOKUP(Table311[[#This Row],[Date]],'DB Details'!$A:$Q,16))</f>
        <v>3.0398546748778989E-2</v>
      </c>
      <c r="D219" s="58">
        <f>IF(VLOOKUP(Table311[[#This Row],[Date]],'DB Details'!$A:$Q,15)=0,"",VLOOKUP(Table311[[#This Row],[Date]],'DB Details'!$A:$Q,15))</f>
        <v>5.800014316593537E-3</v>
      </c>
      <c r="E219" s="58">
        <f>IF(VLOOKUP(Table311[[#This Row],[Date]],'DB Details'!$A:$Q,17)=0,"",VLOOKUP(Table311[[#This Row],[Date]],'DB Details'!$A:$Q,17))</f>
        <v>2.3402679848250289E-2</v>
      </c>
    </row>
    <row r="220" spans="1:5" x14ac:dyDescent="0.35">
      <c r="A220" s="57">
        <v>42125</v>
      </c>
      <c r="B220" s="47">
        <f>IF(VLOOKUP(Table311[[#This Row],[Date]],'DB Details'!$A:$Q,12)=0,"",VLOOKUP(Table311[[#This Row],[Date]],'DB Details'!$A:$Q,12))</f>
        <v>56.8</v>
      </c>
      <c r="C220" s="58">
        <f>IF(VLOOKUP(Table311[[#This Row],[Date]],'DB Details'!$A:$Q,16)=0,"",VLOOKUP(Table311[[#This Row],[Date]],'DB Details'!$A:$Q,16))</f>
        <v>3.0398546748778989E-2</v>
      </c>
      <c r="D220" s="58">
        <f>IF(VLOOKUP(Table311[[#This Row],[Date]],'DB Details'!$A:$Q,15)=0,"",VLOOKUP(Table311[[#This Row],[Date]],'DB Details'!$A:$Q,15))</f>
        <v>5.800014316593537E-3</v>
      </c>
      <c r="E220" s="58">
        <f>IF(VLOOKUP(Table311[[#This Row],[Date]],'DB Details'!$A:$Q,17)=0,"",VLOOKUP(Table311[[#This Row],[Date]],'DB Details'!$A:$Q,17))</f>
        <v>2.3402679848250289E-2</v>
      </c>
    </row>
    <row r="221" spans="1:5" x14ac:dyDescent="0.35">
      <c r="A221" s="57">
        <v>42156</v>
      </c>
      <c r="B221" s="47">
        <f>IF(VLOOKUP(Table311[[#This Row],[Date]],'DB Details'!$A:$Q,12)=0,"",VLOOKUP(Table311[[#This Row],[Date]],'DB Details'!$A:$Q,12))</f>
        <v>56</v>
      </c>
      <c r="C221" s="58">
        <f>IF(VLOOKUP(Table311[[#This Row],[Date]],'DB Details'!$A:$Q,16)=0,"",VLOOKUP(Table311[[#This Row],[Date]],'DB Details'!$A:$Q,16))</f>
        <v>3.0398546748778989E-2</v>
      </c>
      <c r="D221" s="58">
        <f>IF(VLOOKUP(Table311[[#This Row],[Date]],'DB Details'!$A:$Q,15)=0,"",VLOOKUP(Table311[[#This Row],[Date]],'DB Details'!$A:$Q,15))</f>
        <v>5.800014316593537E-3</v>
      </c>
      <c r="E221" s="58">
        <f>IF(VLOOKUP(Table311[[#This Row],[Date]],'DB Details'!$A:$Q,17)=0,"",VLOOKUP(Table311[[#This Row],[Date]],'DB Details'!$A:$Q,17))</f>
        <v>2.3402679848250289E-2</v>
      </c>
    </row>
    <row r="222" spans="1:5" x14ac:dyDescent="0.35">
      <c r="A222" s="57">
        <v>42186</v>
      </c>
      <c r="B222" s="47">
        <f>IF(VLOOKUP(Table311[[#This Row],[Date]],'DB Details'!$A:$Q,12)=0,"",VLOOKUP(Table311[[#This Row],[Date]],'DB Details'!$A:$Q,12))</f>
        <v>59.3</v>
      </c>
      <c r="C222" s="58">
        <f>IF(VLOOKUP(Table311[[#This Row],[Date]],'DB Details'!$A:$Q,16)=0,"",VLOOKUP(Table311[[#This Row],[Date]],'DB Details'!$A:$Q,16))</f>
        <v>2.1826685112633061E-2</v>
      </c>
      <c r="D222" s="58">
        <f>IF(VLOOKUP(Table311[[#This Row],[Date]],'DB Details'!$A:$Q,15)=0,"",VLOOKUP(Table311[[#This Row],[Date]],'DB Details'!$A:$Q,15))</f>
        <v>3.233726725495796E-3</v>
      </c>
      <c r="E222" s="58">
        <f>IF(VLOOKUP(Table311[[#This Row],[Date]],'DB Details'!$A:$Q,17)=0,"",VLOOKUP(Table311[[#This Row],[Date]],'DB Details'!$A:$Q,17))</f>
        <v>1.299778420271624E-2</v>
      </c>
    </row>
    <row r="223" spans="1:5" x14ac:dyDescent="0.35">
      <c r="A223" s="57">
        <v>42217</v>
      </c>
      <c r="B223" s="47">
        <f>IF(VLOOKUP(Table311[[#This Row],[Date]],'DB Details'!$A:$Q,12)=0,"",VLOOKUP(Table311[[#This Row],[Date]],'DB Details'!$A:$Q,12))</f>
        <v>58.4</v>
      </c>
      <c r="C223" s="58">
        <f>IF(VLOOKUP(Table311[[#This Row],[Date]],'DB Details'!$A:$Q,16)=0,"",VLOOKUP(Table311[[#This Row],[Date]],'DB Details'!$A:$Q,16))</f>
        <v>2.1826685112633061E-2</v>
      </c>
      <c r="D223" s="58">
        <f>IF(VLOOKUP(Table311[[#This Row],[Date]],'DB Details'!$A:$Q,15)=0,"",VLOOKUP(Table311[[#This Row],[Date]],'DB Details'!$A:$Q,15))</f>
        <v>3.233726725495796E-3</v>
      </c>
      <c r="E223" s="58">
        <f>IF(VLOOKUP(Table311[[#This Row],[Date]],'DB Details'!$A:$Q,17)=0,"",VLOOKUP(Table311[[#This Row],[Date]],'DB Details'!$A:$Q,17))</f>
        <v>1.299778420271624E-2</v>
      </c>
    </row>
    <row r="224" spans="1:5" x14ac:dyDescent="0.35">
      <c r="A224" s="57">
        <v>42248</v>
      </c>
      <c r="B224" s="47">
        <f>IF(VLOOKUP(Table311[[#This Row],[Date]],'DB Details'!$A:$Q,12)=0,"",VLOOKUP(Table311[[#This Row],[Date]],'DB Details'!$A:$Q,12))</f>
        <v>56.1</v>
      </c>
      <c r="C224" s="58">
        <f>IF(VLOOKUP(Table311[[#This Row],[Date]],'DB Details'!$A:$Q,16)=0,"",VLOOKUP(Table311[[#This Row],[Date]],'DB Details'!$A:$Q,16))</f>
        <v>2.1826685112633061E-2</v>
      </c>
      <c r="D224" s="58">
        <f>IF(VLOOKUP(Table311[[#This Row],[Date]],'DB Details'!$A:$Q,15)=0,"",VLOOKUP(Table311[[#This Row],[Date]],'DB Details'!$A:$Q,15))</f>
        <v>3.233726725495796E-3</v>
      </c>
      <c r="E224" s="58">
        <f>IF(VLOOKUP(Table311[[#This Row],[Date]],'DB Details'!$A:$Q,17)=0,"",VLOOKUP(Table311[[#This Row],[Date]],'DB Details'!$A:$Q,17))</f>
        <v>1.299778420271624E-2</v>
      </c>
    </row>
    <row r="225" spans="1:5" x14ac:dyDescent="0.35">
      <c r="A225" s="57">
        <v>42278</v>
      </c>
      <c r="B225" s="47">
        <f>IF(VLOOKUP(Table311[[#This Row],[Date]],'DB Details'!$A:$Q,12)=0,"",VLOOKUP(Table311[[#This Row],[Date]],'DB Details'!$A:$Q,12))</f>
        <v>57.9</v>
      </c>
      <c r="C225" s="58">
        <f>IF(VLOOKUP(Table311[[#This Row],[Date]],'DB Details'!$A:$Q,16)=0,"",VLOOKUP(Table311[[#This Row],[Date]],'DB Details'!$A:$Q,16))</f>
        <v>1.874684058645722E-2</v>
      </c>
      <c r="D225" s="58">
        <f>IF(VLOOKUP(Table311[[#This Row],[Date]],'DB Details'!$A:$Q,15)=0,"",VLOOKUP(Table311[[#This Row],[Date]],'DB Details'!$A:$Q,15))</f>
        <v>1.462343465763751E-3</v>
      </c>
      <c r="E225" s="58">
        <f>IF(VLOOKUP(Table311[[#This Row],[Date]],'DB Details'!$A:$Q,17)=0,"",VLOOKUP(Table311[[#This Row],[Date]],'DB Details'!$A:$Q,17))</f>
        <v>5.8622170666831064E-3</v>
      </c>
    </row>
    <row r="226" spans="1:5" x14ac:dyDescent="0.35">
      <c r="A226" s="57">
        <v>42309</v>
      </c>
      <c r="B226" s="47">
        <f>IF(VLOOKUP(Table311[[#This Row],[Date]],'DB Details'!$A:$Q,12)=0,"",VLOOKUP(Table311[[#This Row],[Date]],'DB Details'!$A:$Q,12))</f>
        <v>55.8</v>
      </c>
      <c r="C226" s="58">
        <f>IF(VLOOKUP(Table311[[#This Row],[Date]],'DB Details'!$A:$Q,16)=0,"",VLOOKUP(Table311[[#This Row],[Date]],'DB Details'!$A:$Q,16))</f>
        <v>1.874684058645722E-2</v>
      </c>
      <c r="D226" s="58">
        <f>IF(VLOOKUP(Table311[[#This Row],[Date]],'DB Details'!$A:$Q,15)=0,"",VLOOKUP(Table311[[#This Row],[Date]],'DB Details'!$A:$Q,15))</f>
        <v>1.462343465763751E-3</v>
      </c>
      <c r="E226" s="58">
        <f>IF(VLOOKUP(Table311[[#This Row],[Date]],'DB Details'!$A:$Q,17)=0,"",VLOOKUP(Table311[[#This Row],[Date]],'DB Details'!$A:$Q,17))</f>
        <v>5.8622170666831064E-3</v>
      </c>
    </row>
    <row r="227" spans="1:5" x14ac:dyDescent="0.35">
      <c r="A227" s="57">
        <v>42339</v>
      </c>
      <c r="B227" s="47">
        <f>IF(VLOOKUP(Table311[[#This Row],[Date]],'DB Details'!$A:$Q,12)=0,"",VLOOKUP(Table311[[#This Row],[Date]],'DB Details'!$A:$Q,12))</f>
        <v>55.3</v>
      </c>
      <c r="C227" s="58">
        <f>IF(VLOOKUP(Table311[[#This Row],[Date]],'DB Details'!$A:$Q,16)=0,"",VLOOKUP(Table311[[#This Row],[Date]],'DB Details'!$A:$Q,16))</f>
        <v>1.874684058645722E-2</v>
      </c>
      <c r="D227" s="58">
        <f>IF(VLOOKUP(Table311[[#This Row],[Date]],'DB Details'!$A:$Q,15)=0,"",VLOOKUP(Table311[[#This Row],[Date]],'DB Details'!$A:$Q,15))</f>
        <v>1.462343465763751E-3</v>
      </c>
      <c r="E227" s="58">
        <f>IF(VLOOKUP(Table311[[#This Row],[Date]],'DB Details'!$A:$Q,17)=0,"",VLOOKUP(Table311[[#This Row],[Date]],'DB Details'!$A:$Q,17))</f>
        <v>5.8622170666831064E-3</v>
      </c>
    </row>
    <row r="228" spans="1:5" x14ac:dyDescent="0.35">
      <c r="A228" s="57">
        <v>42370</v>
      </c>
      <c r="B228" s="47">
        <f>IF(VLOOKUP(Table311[[#This Row],[Date]],'DB Details'!$A:$Q,12)=0,"",VLOOKUP(Table311[[#This Row],[Date]],'DB Details'!$A:$Q,12))</f>
        <v>54</v>
      </c>
      <c r="C228" s="58">
        <f>IF(VLOOKUP(Table311[[#This Row],[Date]],'DB Details'!$A:$Q,16)=0,"",VLOOKUP(Table311[[#This Row],[Date]],'DB Details'!$A:$Q,16))</f>
        <v>1.6481906030485969E-2</v>
      </c>
      <c r="D228" s="58">
        <f>IF(VLOOKUP(Table311[[#This Row],[Date]],'DB Details'!$A:$Q,15)=0,"",VLOOKUP(Table311[[#This Row],[Date]],'DB Details'!$A:$Q,15))</f>
        <v>5.8917986856350706E-3</v>
      </c>
      <c r="E228" s="58">
        <f>IF(VLOOKUP(Table311[[#This Row],[Date]],'DB Details'!$A:$Q,17)=0,"",VLOOKUP(Table311[[#This Row],[Date]],'DB Details'!$A:$Q,17))</f>
        <v>2.377629379297197E-2</v>
      </c>
    </row>
    <row r="229" spans="1:5" x14ac:dyDescent="0.35">
      <c r="A229" s="57">
        <v>42401</v>
      </c>
      <c r="B229" s="47">
        <f>IF(VLOOKUP(Table311[[#This Row],[Date]],'DB Details'!$A:$Q,12)=0,"",VLOOKUP(Table311[[#This Row],[Date]],'DB Details'!$A:$Q,12))</f>
        <v>54</v>
      </c>
      <c r="C229" s="58">
        <f>IF(VLOOKUP(Table311[[#This Row],[Date]],'DB Details'!$A:$Q,16)=0,"",VLOOKUP(Table311[[#This Row],[Date]],'DB Details'!$A:$Q,16))</f>
        <v>1.6481906030485969E-2</v>
      </c>
      <c r="D229" s="58">
        <f>IF(VLOOKUP(Table311[[#This Row],[Date]],'DB Details'!$A:$Q,15)=0,"",VLOOKUP(Table311[[#This Row],[Date]],'DB Details'!$A:$Q,15))</f>
        <v>5.8917986856350706E-3</v>
      </c>
      <c r="E229" s="58">
        <f>IF(VLOOKUP(Table311[[#This Row],[Date]],'DB Details'!$A:$Q,17)=0,"",VLOOKUP(Table311[[#This Row],[Date]],'DB Details'!$A:$Q,17))</f>
        <v>2.377629379297197E-2</v>
      </c>
    </row>
    <row r="230" spans="1:5" x14ac:dyDescent="0.35">
      <c r="A230" s="57">
        <v>42430</v>
      </c>
      <c r="B230" s="47">
        <f>IF(VLOOKUP(Table311[[#This Row],[Date]],'DB Details'!$A:$Q,12)=0,"",VLOOKUP(Table311[[#This Row],[Date]],'DB Details'!$A:$Q,12))</f>
        <v>55.2</v>
      </c>
      <c r="C230" s="58">
        <f>IF(VLOOKUP(Table311[[#This Row],[Date]],'DB Details'!$A:$Q,16)=0,"",VLOOKUP(Table311[[#This Row],[Date]],'DB Details'!$A:$Q,16))</f>
        <v>1.6481906030485969E-2</v>
      </c>
      <c r="D230" s="58">
        <f>IF(VLOOKUP(Table311[[#This Row],[Date]],'DB Details'!$A:$Q,15)=0,"",VLOOKUP(Table311[[#This Row],[Date]],'DB Details'!$A:$Q,15))</f>
        <v>5.8917986856350706E-3</v>
      </c>
      <c r="E230" s="58">
        <f>IF(VLOOKUP(Table311[[#This Row],[Date]],'DB Details'!$A:$Q,17)=0,"",VLOOKUP(Table311[[#This Row],[Date]],'DB Details'!$A:$Q,17))</f>
        <v>2.377629379297197E-2</v>
      </c>
    </row>
    <row r="231" spans="1:5" x14ac:dyDescent="0.35">
      <c r="A231" s="57">
        <v>42461</v>
      </c>
      <c r="B231" s="47">
        <f>IF(VLOOKUP(Table311[[#This Row],[Date]],'DB Details'!$A:$Q,12)=0,"",VLOOKUP(Table311[[#This Row],[Date]],'DB Details'!$A:$Q,12))</f>
        <v>55.6</v>
      </c>
      <c r="C231" s="58">
        <f>IF(VLOOKUP(Table311[[#This Row],[Date]],'DB Details'!$A:$Q,16)=0,"",VLOOKUP(Table311[[#This Row],[Date]],'DB Details'!$A:$Q,16))</f>
        <v>1.367629650405968E-2</v>
      </c>
      <c r="D231" s="58">
        <f>IF(VLOOKUP(Table311[[#This Row],[Date]],'DB Details'!$A:$Q,15)=0,"",VLOOKUP(Table311[[#This Row],[Date]],'DB Details'!$A:$Q,15))</f>
        <v>3.0238880667262818E-3</v>
      </c>
      <c r="E231" s="58">
        <f>IF(VLOOKUP(Table311[[#This Row],[Date]],'DB Details'!$A:$Q,17)=0,"",VLOOKUP(Table311[[#This Row],[Date]],'DB Details'!$A:$Q,17))</f>
        <v>1.21505263452657E-2</v>
      </c>
    </row>
    <row r="232" spans="1:5" x14ac:dyDescent="0.35">
      <c r="A232" s="57">
        <v>42491</v>
      </c>
      <c r="B232" s="47">
        <f>IF(VLOOKUP(Table311[[#This Row],[Date]],'DB Details'!$A:$Q,12)=0,"",VLOOKUP(Table311[[#This Row],[Date]],'DB Details'!$A:$Q,12))</f>
        <v>53.8</v>
      </c>
      <c r="C232" s="58">
        <f>IF(VLOOKUP(Table311[[#This Row],[Date]],'DB Details'!$A:$Q,16)=0,"",VLOOKUP(Table311[[#This Row],[Date]],'DB Details'!$A:$Q,16))</f>
        <v>1.367629650405968E-2</v>
      </c>
      <c r="D232" s="58">
        <f>IF(VLOOKUP(Table311[[#This Row],[Date]],'DB Details'!$A:$Q,15)=0,"",VLOOKUP(Table311[[#This Row],[Date]],'DB Details'!$A:$Q,15))</f>
        <v>3.0238880667262818E-3</v>
      </c>
      <c r="E232" s="58">
        <f>IF(VLOOKUP(Table311[[#This Row],[Date]],'DB Details'!$A:$Q,17)=0,"",VLOOKUP(Table311[[#This Row],[Date]],'DB Details'!$A:$Q,17))</f>
        <v>1.21505263452657E-2</v>
      </c>
    </row>
    <row r="233" spans="1:5" x14ac:dyDescent="0.35">
      <c r="A233" s="57">
        <v>42522</v>
      </c>
      <c r="B233" s="47">
        <f>IF(VLOOKUP(Table311[[#This Row],[Date]],'DB Details'!$A:$Q,12)=0,"",VLOOKUP(Table311[[#This Row],[Date]],'DB Details'!$A:$Q,12))</f>
        <v>56</v>
      </c>
      <c r="C233" s="58">
        <f>IF(VLOOKUP(Table311[[#This Row],[Date]],'DB Details'!$A:$Q,16)=0,"",VLOOKUP(Table311[[#This Row],[Date]],'DB Details'!$A:$Q,16))</f>
        <v>1.367629650405968E-2</v>
      </c>
      <c r="D233" s="58">
        <f>IF(VLOOKUP(Table311[[#This Row],[Date]],'DB Details'!$A:$Q,15)=0,"",VLOOKUP(Table311[[#This Row],[Date]],'DB Details'!$A:$Q,15))</f>
        <v>3.0238880667262818E-3</v>
      </c>
      <c r="E233" s="58">
        <f>IF(VLOOKUP(Table311[[#This Row],[Date]],'DB Details'!$A:$Q,17)=0,"",VLOOKUP(Table311[[#This Row],[Date]],'DB Details'!$A:$Q,17))</f>
        <v>1.21505263452657E-2</v>
      </c>
    </row>
    <row r="234" spans="1:5" x14ac:dyDescent="0.35">
      <c r="A234" s="57">
        <v>42552</v>
      </c>
      <c r="B234" s="47">
        <f>IF(VLOOKUP(Table311[[#This Row],[Date]],'DB Details'!$A:$Q,12)=0,"",VLOOKUP(Table311[[#This Row],[Date]],'DB Details'!$A:$Q,12))</f>
        <v>55.2</v>
      </c>
      <c r="C234" s="58">
        <f>IF(VLOOKUP(Table311[[#This Row],[Date]],'DB Details'!$A:$Q,16)=0,"",VLOOKUP(Table311[[#This Row],[Date]],'DB Details'!$A:$Q,16))</f>
        <v>1.6482633560206159E-2</v>
      </c>
      <c r="D234" s="58">
        <f>IF(VLOOKUP(Table311[[#This Row],[Date]],'DB Details'!$A:$Q,15)=0,"",VLOOKUP(Table311[[#This Row],[Date]],'DB Details'!$A:$Q,15))</f>
        <v>6.0111537926921072E-3</v>
      </c>
      <c r="E234" s="58">
        <f>IF(VLOOKUP(Table311[[#This Row],[Date]],'DB Details'!$A:$Q,17)=0,"",VLOOKUP(Table311[[#This Row],[Date]],'DB Details'!$A:$Q,17))</f>
        <v>2.426228912334993E-2</v>
      </c>
    </row>
    <row r="235" spans="1:5" x14ac:dyDescent="0.35">
      <c r="A235" s="57">
        <v>42583</v>
      </c>
      <c r="B235" s="47">
        <f>IF(VLOOKUP(Table311[[#This Row],[Date]],'DB Details'!$A:$Q,12)=0,"",VLOOKUP(Table311[[#This Row],[Date]],'DB Details'!$A:$Q,12))</f>
        <v>51.6</v>
      </c>
      <c r="C235" s="58">
        <f>IF(VLOOKUP(Table311[[#This Row],[Date]],'DB Details'!$A:$Q,16)=0,"",VLOOKUP(Table311[[#This Row],[Date]],'DB Details'!$A:$Q,16))</f>
        <v>1.6482633560206159E-2</v>
      </c>
      <c r="D235" s="58">
        <f>IF(VLOOKUP(Table311[[#This Row],[Date]],'DB Details'!$A:$Q,15)=0,"",VLOOKUP(Table311[[#This Row],[Date]],'DB Details'!$A:$Q,15))</f>
        <v>6.0111537926921072E-3</v>
      </c>
      <c r="E235" s="58">
        <f>IF(VLOOKUP(Table311[[#This Row],[Date]],'DB Details'!$A:$Q,17)=0,"",VLOOKUP(Table311[[#This Row],[Date]],'DB Details'!$A:$Q,17))</f>
        <v>2.426228912334993E-2</v>
      </c>
    </row>
    <row r="236" spans="1:5" x14ac:dyDescent="0.35">
      <c r="A236" s="57">
        <v>42614</v>
      </c>
      <c r="B236" s="47">
        <f>IF(VLOOKUP(Table311[[#This Row],[Date]],'DB Details'!$A:$Q,12)=0,"",VLOOKUP(Table311[[#This Row],[Date]],'DB Details'!$A:$Q,12))</f>
        <v>56.3</v>
      </c>
      <c r="C236" s="58">
        <f>IF(VLOOKUP(Table311[[#This Row],[Date]],'DB Details'!$A:$Q,16)=0,"",VLOOKUP(Table311[[#This Row],[Date]],'DB Details'!$A:$Q,16))</f>
        <v>1.6482633560206159E-2</v>
      </c>
      <c r="D236" s="58">
        <f>IF(VLOOKUP(Table311[[#This Row],[Date]],'DB Details'!$A:$Q,15)=0,"",VLOOKUP(Table311[[#This Row],[Date]],'DB Details'!$A:$Q,15))</f>
        <v>6.0111537926921072E-3</v>
      </c>
      <c r="E236" s="58">
        <f>IF(VLOOKUP(Table311[[#This Row],[Date]],'DB Details'!$A:$Q,17)=0,"",VLOOKUP(Table311[[#This Row],[Date]],'DB Details'!$A:$Q,17))</f>
        <v>2.426228912334993E-2</v>
      </c>
    </row>
    <row r="237" spans="1:5" x14ac:dyDescent="0.35">
      <c r="A237" s="57">
        <v>42644</v>
      </c>
      <c r="B237" s="47">
        <f>IF(VLOOKUP(Table311[[#This Row],[Date]],'DB Details'!$A:$Q,12)=0,"",VLOOKUP(Table311[[#This Row],[Date]],'DB Details'!$A:$Q,12))</f>
        <v>54.4</v>
      </c>
      <c r="C237" s="58">
        <f>IF(VLOOKUP(Table311[[#This Row],[Date]],'DB Details'!$A:$Q,16)=0,"",VLOOKUP(Table311[[#This Row],[Date]],'DB Details'!$A:$Q,16))</f>
        <v>2.0041770462427101E-2</v>
      </c>
      <c r="D237" s="58">
        <f>IF(VLOOKUP(Table311[[#This Row],[Date]],'DB Details'!$A:$Q,15)=0,"",VLOOKUP(Table311[[#This Row],[Date]],'DB Details'!$A:$Q,15))</f>
        <v>4.9688879606063626E-3</v>
      </c>
      <c r="E237" s="58">
        <f>IF(VLOOKUP(Table311[[#This Row],[Date]],'DB Details'!$A:$Q,17)=0,"",VLOOKUP(Table311[[#This Row],[Date]],'DB Details'!$A:$Q,17))</f>
        <v>2.002418226174996E-2</v>
      </c>
    </row>
    <row r="238" spans="1:5" x14ac:dyDescent="0.35">
      <c r="A238" s="57">
        <v>42675</v>
      </c>
      <c r="B238" s="47">
        <f>IF(VLOOKUP(Table311[[#This Row],[Date]],'DB Details'!$A:$Q,12)=0,"",VLOOKUP(Table311[[#This Row],[Date]],'DB Details'!$A:$Q,12))</f>
        <v>56.2</v>
      </c>
      <c r="C238" s="58">
        <f>IF(VLOOKUP(Table311[[#This Row],[Date]],'DB Details'!$A:$Q,16)=0,"",VLOOKUP(Table311[[#This Row],[Date]],'DB Details'!$A:$Q,16))</f>
        <v>2.0041770462427101E-2</v>
      </c>
      <c r="D238" s="58">
        <f>IF(VLOOKUP(Table311[[#This Row],[Date]],'DB Details'!$A:$Q,15)=0,"",VLOOKUP(Table311[[#This Row],[Date]],'DB Details'!$A:$Q,15))</f>
        <v>4.9688879606063626E-3</v>
      </c>
      <c r="E238" s="58">
        <f>IF(VLOOKUP(Table311[[#This Row],[Date]],'DB Details'!$A:$Q,17)=0,"",VLOOKUP(Table311[[#This Row],[Date]],'DB Details'!$A:$Q,17))</f>
        <v>2.002418226174996E-2</v>
      </c>
    </row>
    <row r="239" spans="1:5" x14ac:dyDescent="0.35">
      <c r="A239" s="57">
        <v>42705</v>
      </c>
      <c r="B239" s="47">
        <f>IF(VLOOKUP(Table311[[#This Row],[Date]],'DB Details'!$A:$Q,12)=0,"",VLOOKUP(Table311[[#This Row],[Date]],'DB Details'!$A:$Q,12))</f>
        <v>56.7</v>
      </c>
      <c r="C239" s="58">
        <f>IF(VLOOKUP(Table311[[#This Row],[Date]],'DB Details'!$A:$Q,16)=0,"",VLOOKUP(Table311[[#This Row],[Date]],'DB Details'!$A:$Q,16))</f>
        <v>2.0041770462427101E-2</v>
      </c>
      <c r="D239" s="58">
        <f>IF(VLOOKUP(Table311[[#This Row],[Date]],'DB Details'!$A:$Q,15)=0,"",VLOOKUP(Table311[[#This Row],[Date]],'DB Details'!$A:$Q,15))</f>
        <v>4.9688879606063626E-3</v>
      </c>
      <c r="E239" s="58">
        <f>IF(VLOOKUP(Table311[[#This Row],[Date]],'DB Details'!$A:$Q,17)=0,"",VLOOKUP(Table311[[#This Row],[Date]],'DB Details'!$A:$Q,17))</f>
        <v>2.002418226174996E-2</v>
      </c>
    </row>
    <row r="240" spans="1:5" x14ac:dyDescent="0.35">
      <c r="A240" s="57">
        <v>42736</v>
      </c>
      <c r="B240" s="47">
        <f>IF(VLOOKUP(Table311[[#This Row],[Date]],'DB Details'!$A:$Q,12)=0,"",VLOOKUP(Table311[[#This Row],[Date]],'DB Details'!$A:$Q,12))</f>
        <v>56.8</v>
      </c>
      <c r="C240" s="58">
        <f>IF(VLOOKUP(Table311[[#This Row],[Date]],'DB Details'!$A:$Q,16)=0,"",VLOOKUP(Table311[[#This Row],[Date]],'DB Details'!$A:$Q,16))</f>
        <v>1.8852788696456339E-2</v>
      </c>
      <c r="D240" s="58">
        <f>IF(VLOOKUP(Table311[[#This Row],[Date]],'DB Details'!$A:$Q,15)=0,"",VLOOKUP(Table311[[#This Row],[Date]],'DB Details'!$A:$Q,15))</f>
        <v>4.719310419164807E-3</v>
      </c>
      <c r="E240" s="58">
        <f>IF(VLOOKUP(Table311[[#This Row],[Date]],'DB Details'!$A:$Q,17)=0,"",VLOOKUP(Table311[[#This Row],[Date]],'DB Details'!$A:$Q,17))</f>
        <v>1.9011293949556581E-2</v>
      </c>
    </row>
    <row r="241" spans="1:5" x14ac:dyDescent="0.35">
      <c r="A241" s="57">
        <v>42767</v>
      </c>
      <c r="B241" s="47">
        <f>IF(VLOOKUP(Table311[[#This Row],[Date]],'DB Details'!$A:$Q,12)=0,"",VLOOKUP(Table311[[#This Row],[Date]],'DB Details'!$A:$Q,12))</f>
        <v>57.4</v>
      </c>
      <c r="C241" s="58">
        <f>IF(VLOOKUP(Table311[[#This Row],[Date]],'DB Details'!$A:$Q,16)=0,"",VLOOKUP(Table311[[#This Row],[Date]],'DB Details'!$A:$Q,16))</f>
        <v>1.8852788696456339E-2</v>
      </c>
      <c r="D241" s="58">
        <f>IF(VLOOKUP(Table311[[#This Row],[Date]],'DB Details'!$A:$Q,15)=0,"",VLOOKUP(Table311[[#This Row],[Date]],'DB Details'!$A:$Q,15))</f>
        <v>4.719310419164807E-3</v>
      </c>
      <c r="E241" s="58">
        <f>IF(VLOOKUP(Table311[[#This Row],[Date]],'DB Details'!$A:$Q,17)=0,"",VLOOKUP(Table311[[#This Row],[Date]],'DB Details'!$A:$Q,17))</f>
        <v>1.9011293949556581E-2</v>
      </c>
    </row>
    <row r="242" spans="1:5" x14ac:dyDescent="0.35">
      <c r="A242" s="57">
        <v>42795</v>
      </c>
      <c r="B242" s="47">
        <f>IF(VLOOKUP(Table311[[#This Row],[Date]],'DB Details'!$A:$Q,12)=0,"",VLOOKUP(Table311[[#This Row],[Date]],'DB Details'!$A:$Q,12))</f>
        <v>55.6</v>
      </c>
      <c r="C242" s="58">
        <f>IF(VLOOKUP(Table311[[#This Row],[Date]],'DB Details'!$A:$Q,16)=0,"",VLOOKUP(Table311[[#This Row],[Date]],'DB Details'!$A:$Q,16))</f>
        <v>1.8852788696456339E-2</v>
      </c>
      <c r="D242" s="58">
        <f>IF(VLOOKUP(Table311[[#This Row],[Date]],'DB Details'!$A:$Q,15)=0,"",VLOOKUP(Table311[[#This Row],[Date]],'DB Details'!$A:$Q,15))</f>
        <v>4.719310419164807E-3</v>
      </c>
      <c r="E242" s="58">
        <f>IF(VLOOKUP(Table311[[#This Row],[Date]],'DB Details'!$A:$Q,17)=0,"",VLOOKUP(Table311[[#This Row],[Date]],'DB Details'!$A:$Q,17))</f>
        <v>1.9011293949556581E-2</v>
      </c>
    </row>
    <row r="243" spans="1:5" x14ac:dyDescent="0.35">
      <c r="A243" s="57">
        <v>42826</v>
      </c>
      <c r="B243" s="47">
        <f>IF(VLOOKUP(Table311[[#This Row],[Date]],'DB Details'!$A:$Q,12)=0,"",VLOOKUP(Table311[[#This Row],[Date]],'DB Details'!$A:$Q,12))</f>
        <v>57.3</v>
      </c>
      <c r="C243" s="58">
        <f>IF(VLOOKUP(Table311[[#This Row],[Date]],'DB Details'!$A:$Q,16)=0,"",VLOOKUP(Table311[[#This Row],[Date]],'DB Details'!$A:$Q,16))</f>
        <v>2.1467165829075641E-2</v>
      </c>
      <c r="D243" s="58">
        <f>IF(VLOOKUP(Table311[[#This Row],[Date]],'DB Details'!$A:$Q,15)=0,"",VLOOKUP(Table311[[#This Row],[Date]],'DB Details'!$A:$Q,15))</f>
        <v>5.5976482267073562E-3</v>
      </c>
      <c r="E243" s="58">
        <f>IF(VLOOKUP(Table311[[#This Row],[Date]],'DB Details'!$A:$Q,17)=0,"",VLOOKUP(Table311[[#This Row],[Date]],'DB Details'!$A:$Q,17))</f>
        <v>2.2579297461999829E-2</v>
      </c>
    </row>
    <row r="244" spans="1:5" x14ac:dyDescent="0.35">
      <c r="A244" s="57">
        <v>42856</v>
      </c>
      <c r="B244" s="47">
        <f>IF(VLOOKUP(Table311[[#This Row],[Date]],'DB Details'!$A:$Q,12)=0,"",VLOOKUP(Table311[[#This Row],[Date]],'DB Details'!$A:$Q,12))</f>
        <v>57.1</v>
      </c>
      <c r="C244" s="58">
        <f>IF(VLOOKUP(Table311[[#This Row],[Date]],'DB Details'!$A:$Q,16)=0,"",VLOOKUP(Table311[[#This Row],[Date]],'DB Details'!$A:$Q,16))</f>
        <v>2.1467165829075641E-2</v>
      </c>
      <c r="D244" s="58">
        <f>IF(VLOOKUP(Table311[[#This Row],[Date]],'DB Details'!$A:$Q,15)=0,"",VLOOKUP(Table311[[#This Row],[Date]],'DB Details'!$A:$Q,15))</f>
        <v>5.5976482267073562E-3</v>
      </c>
      <c r="E244" s="58">
        <f>IF(VLOOKUP(Table311[[#This Row],[Date]],'DB Details'!$A:$Q,17)=0,"",VLOOKUP(Table311[[#This Row],[Date]],'DB Details'!$A:$Q,17))</f>
        <v>2.2579297461999829E-2</v>
      </c>
    </row>
    <row r="245" spans="1:5" x14ac:dyDescent="0.35">
      <c r="A245" s="57">
        <v>42887</v>
      </c>
      <c r="B245" s="47">
        <f>IF(VLOOKUP(Table311[[#This Row],[Date]],'DB Details'!$A:$Q,12)=0,"",VLOOKUP(Table311[[#This Row],[Date]],'DB Details'!$A:$Q,12))</f>
        <v>57.2</v>
      </c>
      <c r="C245" s="58">
        <f>IF(VLOOKUP(Table311[[#This Row],[Date]],'DB Details'!$A:$Q,16)=0,"",VLOOKUP(Table311[[#This Row],[Date]],'DB Details'!$A:$Q,16))</f>
        <v>2.1467165829075641E-2</v>
      </c>
      <c r="D245" s="58">
        <f>IF(VLOOKUP(Table311[[#This Row],[Date]],'DB Details'!$A:$Q,15)=0,"",VLOOKUP(Table311[[#This Row],[Date]],'DB Details'!$A:$Q,15))</f>
        <v>5.5976482267073562E-3</v>
      </c>
      <c r="E245" s="58">
        <f>IF(VLOOKUP(Table311[[#This Row],[Date]],'DB Details'!$A:$Q,17)=0,"",VLOOKUP(Table311[[#This Row],[Date]],'DB Details'!$A:$Q,17))</f>
        <v>2.2579297461999829E-2</v>
      </c>
    </row>
    <row r="246" spans="1:5" x14ac:dyDescent="0.35">
      <c r="A246" s="57">
        <v>42917</v>
      </c>
      <c r="B246" s="47">
        <f>IF(VLOOKUP(Table311[[#This Row],[Date]],'DB Details'!$A:$Q,12)=0,"",VLOOKUP(Table311[[#This Row],[Date]],'DB Details'!$A:$Q,12))</f>
        <v>54.3</v>
      </c>
      <c r="C246" s="58">
        <f>IF(VLOOKUP(Table311[[#This Row],[Date]],'DB Details'!$A:$Q,16)=0,"",VLOOKUP(Table311[[#This Row],[Date]],'DB Details'!$A:$Q,16))</f>
        <v>2.2665646383373719E-2</v>
      </c>
      <c r="D246" s="58">
        <f>IF(VLOOKUP(Table311[[#This Row],[Date]],'DB Details'!$A:$Q,15)=0,"",VLOOKUP(Table311[[#This Row],[Date]],'DB Details'!$A:$Q,15))</f>
        <v>7.1914999120398764E-3</v>
      </c>
      <c r="E246" s="58">
        <f>IF(VLOOKUP(Table311[[#This Row],[Date]],'DB Details'!$A:$Q,17)=0,"",VLOOKUP(Table311[[#This Row],[Date]],'DB Details'!$A:$Q,17))</f>
        <v>2.9077796059291838E-2</v>
      </c>
    </row>
    <row r="247" spans="1:5" x14ac:dyDescent="0.35">
      <c r="A247" s="57">
        <v>42948</v>
      </c>
      <c r="B247" s="47">
        <f>IF(VLOOKUP(Table311[[#This Row],[Date]],'DB Details'!$A:$Q,12)=0,"",VLOOKUP(Table311[[#This Row],[Date]],'DB Details'!$A:$Q,12))</f>
        <v>55.2</v>
      </c>
      <c r="C247" s="58">
        <f>IF(VLOOKUP(Table311[[#This Row],[Date]],'DB Details'!$A:$Q,16)=0,"",VLOOKUP(Table311[[#This Row],[Date]],'DB Details'!$A:$Q,16))</f>
        <v>2.2665646383373719E-2</v>
      </c>
      <c r="D247" s="58">
        <f>IF(VLOOKUP(Table311[[#This Row],[Date]],'DB Details'!$A:$Q,15)=0,"",VLOOKUP(Table311[[#This Row],[Date]],'DB Details'!$A:$Q,15))</f>
        <v>7.1914999120398764E-3</v>
      </c>
      <c r="E247" s="58">
        <f>IF(VLOOKUP(Table311[[#This Row],[Date]],'DB Details'!$A:$Q,17)=0,"",VLOOKUP(Table311[[#This Row],[Date]],'DB Details'!$A:$Q,17))</f>
        <v>2.9077796059291838E-2</v>
      </c>
    </row>
    <row r="248" spans="1:5" x14ac:dyDescent="0.35">
      <c r="A248" s="57">
        <v>42979</v>
      </c>
      <c r="B248" s="47">
        <f>IF(VLOOKUP(Table311[[#This Row],[Date]],'DB Details'!$A:$Q,12)=0,"",VLOOKUP(Table311[[#This Row],[Date]],'DB Details'!$A:$Q,12))</f>
        <v>59.4</v>
      </c>
      <c r="C248" s="58">
        <f>IF(VLOOKUP(Table311[[#This Row],[Date]],'DB Details'!$A:$Q,16)=0,"",VLOOKUP(Table311[[#This Row],[Date]],'DB Details'!$A:$Q,16))</f>
        <v>2.2665646383373719E-2</v>
      </c>
      <c r="D248" s="58">
        <f>IF(VLOOKUP(Table311[[#This Row],[Date]],'DB Details'!$A:$Q,15)=0,"",VLOOKUP(Table311[[#This Row],[Date]],'DB Details'!$A:$Q,15))</f>
        <v>7.1914999120398764E-3</v>
      </c>
      <c r="E248" s="58">
        <f>IF(VLOOKUP(Table311[[#This Row],[Date]],'DB Details'!$A:$Q,17)=0,"",VLOOKUP(Table311[[#This Row],[Date]],'DB Details'!$A:$Q,17))</f>
        <v>2.9077796059291838E-2</v>
      </c>
    </row>
    <row r="249" spans="1:5" x14ac:dyDescent="0.35">
      <c r="A249" s="57">
        <v>43009</v>
      </c>
      <c r="B249" s="47">
        <f>IF(VLOOKUP(Table311[[#This Row],[Date]],'DB Details'!$A:$Q,12)=0,"",VLOOKUP(Table311[[#This Row],[Date]],'DB Details'!$A:$Q,12))</f>
        <v>59.8</v>
      </c>
      <c r="C249" s="58">
        <f>IF(VLOOKUP(Table311[[#This Row],[Date]],'DB Details'!$A:$Q,16)=0,"",VLOOKUP(Table311[[#This Row],[Date]],'DB Details'!$A:$Q,16))</f>
        <v>2.7178855818590929E-2</v>
      </c>
      <c r="D249" s="58">
        <f>IF(VLOOKUP(Table311[[#This Row],[Date]],'DB Details'!$A:$Q,15)=0,"",VLOOKUP(Table311[[#This Row],[Date]],'DB Details'!$A:$Q,15))</f>
        <v>9.403998383337081E-3</v>
      </c>
      <c r="E249" s="58">
        <f>IF(VLOOKUP(Table311[[#This Row],[Date]],'DB Details'!$A:$Q,17)=0,"",VLOOKUP(Table311[[#This Row],[Date]],'DB Details'!$A:$Q,17))</f>
        <v>3.814993904506303E-2</v>
      </c>
    </row>
    <row r="250" spans="1:5" x14ac:dyDescent="0.35">
      <c r="A250" s="57">
        <v>43040</v>
      </c>
      <c r="B250" s="47">
        <f>IF(VLOOKUP(Table311[[#This Row],[Date]],'DB Details'!$A:$Q,12)=0,"",VLOOKUP(Table311[[#This Row],[Date]],'DB Details'!$A:$Q,12))</f>
        <v>57.3</v>
      </c>
      <c r="C250" s="58">
        <f>IF(VLOOKUP(Table311[[#This Row],[Date]],'DB Details'!$A:$Q,16)=0,"",VLOOKUP(Table311[[#This Row],[Date]],'DB Details'!$A:$Q,16))</f>
        <v>2.7178855818590929E-2</v>
      </c>
      <c r="D250" s="58">
        <f>IF(VLOOKUP(Table311[[#This Row],[Date]],'DB Details'!$A:$Q,15)=0,"",VLOOKUP(Table311[[#This Row],[Date]],'DB Details'!$A:$Q,15))</f>
        <v>9.403998383337081E-3</v>
      </c>
      <c r="E250" s="58">
        <f>IF(VLOOKUP(Table311[[#This Row],[Date]],'DB Details'!$A:$Q,17)=0,"",VLOOKUP(Table311[[#This Row],[Date]],'DB Details'!$A:$Q,17))</f>
        <v>3.814993904506303E-2</v>
      </c>
    </row>
    <row r="251" spans="1:5" x14ac:dyDescent="0.35">
      <c r="A251" s="57">
        <v>43070</v>
      </c>
      <c r="B251" s="47">
        <f>IF(VLOOKUP(Table311[[#This Row],[Date]],'DB Details'!$A:$Q,12)=0,"",VLOOKUP(Table311[[#This Row],[Date]],'DB Details'!$A:$Q,12))</f>
        <v>56</v>
      </c>
      <c r="C251" s="58">
        <f>IF(VLOOKUP(Table311[[#This Row],[Date]],'DB Details'!$A:$Q,16)=0,"",VLOOKUP(Table311[[#This Row],[Date]],'DB Details'!$A:$Q,16))</f>
        <v>2.7178855818590929E-2</v>
      </c>
      <c r="D251" s="58">
        <f>IF(VLOOKUP(Table311[[#This Row],[Date]],'DB Details'!$A:$Q,15)=0,"",VLOOKUP(Table311[[#This Row],[Date]],'DB Details'!$A:$Q,15))</f>
        <v>9.403998383337081E-3</v>
      </c>
      <c r="E251" s="58">
        <f>IF(VLOOKUP(Table311[[#This Row],[Date]],'DB Details'!$A:$Q,17)=0,"",VLOOKUP(Table311[[#This Row],[Date]],'DB Details'!$A:$Q,17))</f>
        <v>3.814993904506303E-2</v>
      </c>
    </row>
    <row r="252" spans="1:5" x14ac:dyDescent="0.35">
      <c r="A252" s="57">
        <v>43101</v>
      </c>
      <c r="B252" s="47">
        <f>IF(VLOOKUP(Table311[[#This Row],[Date]],'DB Details'!$A:$Q,12)=0,"",VLOOKUP(Table311[[#This Row],[Date]],'DB Details'!$A:$Q,12))</f>
        <v>59.9</v>
      </c>
      <c r="C252" s="58">
        <f>IF(VLOOKUP(Table311[[#This Row],[Date]],'DB Details'!$A:$Q,16)=0,"",VLOOKUP(Table311[[#This Row],[Date]],'DB Details'!$A:$Q,16))</f>
        <v>3.0153118831413011E-2</v>
      </c>
      <c r="D252" s="58">
        <f>IF(VLOOKUP(Table311[[#This Row],[Date]],'DB Details'!$A:$Q,15)=0,"",VLOOKUP(Table311[[#This Row],[Date]],'DB Details'!$A:$Q,15))</f>
        <v>7.6285403612729556E-3</v>
      </c>
      <c r="E252" s="58">
        <f>IF(VLOOKUP(Table311[[#This Row],[Date]],'DB Details'!$A:$Q,17)=0,"",VLOOKUP(Table311[[#This Row],[Date]],'DB Details'!$A:$Q,17))</f>
        <v>3.0865108360243591E-2</v>
      </c>
    </row>
    <row r="253" spans="1:5" x14ac:dyDescent="0.35">
      <c r="A253" s="57">
        <v>43132</v>
      </c>
      <c r="B253" s="47">
        <f>IF(VLOOKUP(Table311[[#This Row],[Date]],'DB Details'!$A:$Q,12)=0,"",VLOOKUP(Table311[[#This Row],[Date]],'DB Details'!$A:$Q,12))</f>
        <v>59.5</v>
      </c>
      <c r="C253" s="58">
        <f>IF(VLOOKUP(Table311[[#This Row],[Date]],'DB Details'!$A:$Q,16)=0,"",VLOOKUP(Table311[[#This Row],[Date]],'DB Details'!$A:$Q,16))</f>
        <v>3.0153118831413011E-2</v>
      </c>
      <c r="D253" s="58">
        <f>IF(VLOOKUP(Table311[[#This Row],[Date]],'DB Details'!$A:$Q,15)=0,"",VLOOKUP(Table311[[#This Row],[Date]],'DB Details'!$A:$Q,15))</f>
        <v>7.6285403612729556E-3</v>
      </c>
      <c r="E253" s="58">
        <f>IF(VLOOKUP(Table311[[#This Row],[Date]],'DB Details'!$A:$Q,17)=0,"",VLOOKUP(Table311[[#This Row],[Date]],'DB Details'!$A:$Q,17))</f>
        <v>3.0865108360243591E-2</v>
      </c>
    </row>
    <row r="254" spans="1:5" x14ac:dyDescent="0.35">
      <c r="A254" s="57">
        <v>43160</v>
      </c>
      <c r="B254" s="47">
        <f>IF(VLOOKUP(Table311[[#This Row],[Date]],'DB Details'!$A:$Q,12)=0,"",VLOOKUP(Table311[[#This Row],[Date]],'DB Details'!$A:$Q,12))</f>
        <v>58.8</v>
      </c>
      <c r="C254" s="58">
        <f>IF(VLOOKUP(Table311[[#This Row],[Date]],'DB Details'!$A:$Q,16)=0,"",VLOOKUP(Table311[[#This Row],[Date]],'DB Details'!$A:$Q,16))</f>
        <v>3.0153118831413011E-2</v>
      </c>
      <c r="D254" s="58">
        <f>IF(VLOOKUP(Table311[[#This Row],[Date]],'DB Details'!$A:$Q,15)=0,"",VLOOKUP(Table311[[#This Row],[Date]],'DB Details'!$A:$Q,15))</f>
        <v>7.6285403612729556E-3</v>
      </c>
      <c r="E254" s="58">
        <f>IF(VLOOKUP(Table311[[#This Row],[Date]],'DB Details'!$A:$Q,17)=0,"",VLOOKUP(Table311[[#This Row],[Date]],'DB Details'!$A:$Q,17))</f>
        <v>3.0865108360243591E-2</v>
      </c>
    </row>
    <row r="255" spans="1:5" x14ac:dyDescent="0.35">
      <c r="A255" s="57">
        <v>43191</v>
      </c>
      <c r="B255" s="47">
        <f>IF(VLOOKUP(Table311[[#This Row],[Date]],'DB Details'!$A:$Q,12)=0,"",VLOOKUP(Table311[[#This Row],[Date]],'DB Details'!$A:$Q,12))</f>
        <v>56.8</v>
      </c>
      <c r="C255" s="58">
        <f>IF(VLOOKUP(Table311[[#This Row],[Date]],'DB Details'!$A:$Q,16)=0,"",VLOOKUP(Table311[[#This Row],[Date]],'DB Details'!$A:$Q,16))</f>
        <v>3.296152283055629E-2</v>
      </c>
      <c r="D255" s="58">
        <f>IF(VLOOKUP(Table311[[#This Row],[Date]],'DB Details'!$A:$Q,15)=0,"",VLOOKUP(Table311[[#This Row],[Date]],'DB Details'!$A:$Q,15))</f>
        <v>8.339109088382559E-3</v>
      </c>
      <c r="E255" s="58">
        <f>IF(VLOOKUP(Table311[[#This Row],[Date]],'DB Details'!$A:$Q,17)=0,"",VLOOKUP(Table311[[#This Row],[Date]],'DB Details'!$A:$Q,17))</f>
        <v>3.3776005263053577E-2</v>
      </c>
    </row>
    <row r="256" spans="1:5" x14ac:dyDescent="0.35">
      <c r="A256" s="57">
        <v>43221</v>
      </c>
      <c r="B256" s="47">
        <f>IF(VLOOKUP(Table311[[#This Row],[Date]],'DB Details'!$A:$Q,12)=0,"",VLOOKUP(Table311[[#This Row],[Date]],'DB Details'!$A:$Q,12))</f>
        <v>58.6</v>
      </c>
      <c r="C256" s="58">
        <f>IF(VLOOKUP(Table311[[#This Row],[Date]],'DB Details'!$A:$Q,16)=0,"",VLOOKUP(Table311[[#This Row],[Date]],'DB Details'!$A:$Q,16))</f>
        <v>3.296152283055629E-2</v>
      </c>
      <c r="D256" s="58">
        <f>IF(VLOOKUP(Table311[[#This Row],[Date]],'DB Details'!$A:$Q,15)=0,"",VLOOKUP(Table311[[#This Row],[Date]],'DB Details'!$A:$Q,15))</f>
        <v>8.339109088382559E-3</v>
      </c>
      <c r="E256" s="58">
        <f>IF(VLOOKUP(Table311[[#This Row],[Date]],'DB Details'!$A:$Q,17)=0,"",VLOOKUP(Table311[[#This Row],[Date]],'DB Details'!$A:$Q,17))</f>
        <v>3.3776005263053577E-2</v>
      </c>
    </row>
    <row r="257" spans="1:5" x14ac:dyDescent="0.35">
      <c r="A257" s="57">
        <v>43252</v>
      </c>
      <c r="B257" s="47">
        <f>IF(VLOOKUP(Table311[[#This Row],[Date]],'DB Details'!$A:$Q,12)=0,"",VLOOKUP(Table311[[#This Row],[Date]],'DB Details'!$A:$Q,12))</f>
        <v>59.1</v>
      </c>
      <c r="C257" s="58">
        <f>IF(VLOOKUP(Table311[[#This Row],[Date]],'DB Details'!$A:$Q,16)=0,"",VLOOKUP(Table311[[#This Row],[Date]],'DB Details'!$A:$Q,16))</f>
        <v>3.296152283055629E-2</v>
      </c>
      <c r="D257" s="58">
        <f>IF(VLOOKUP(Table311[[#This Row],[Date]],'DB Details'!$A:$Q,15)=0,"",VLOOKUP(Table311[[#This Row],[Date]],'DB Details'!$A:$Q,15))</f>
        <v>8.339109088382559E-3</v>
      </c>
      <c r="E257" s="58">
        <f>IF(VLOOKUP(Table311[[#This Row],[Date]],'DB Details'!$A:$Q,17)=0,"",VLOOKUP(Table311[[#This Row],[Date]],'DB Details'!$A:$Q,17))</f>
        <v>3.3776005263053577E-2</v>
      </c>
    </row>
    <row r="258" spans="1:5" x14ac:dyDescent="0.35">
      <c r="A258" s="57">
        <v>43282</v>
      </c>
      <c r="B258" s="47">
        <f>IF(VLOOKUP(Table311[[#This Row],[Date]],'DB Details'!$A:$Q,12)=0,"",VLOOKUP(Table311[[#This Row],[Date]],'DB Details'!$A:$Q,12))</f>
        <v>55.7</v>
      </c>
      <c r="C258" s="58">
        <f>IF(VLOOKUP(Table311[[#This Row],[Date]],'DB Details'!$A:$Q,16)=0,"",VLOOKUP(Table311[[#This Row],[Date]],'DB Details'!$A:$Q,16))</f>
        <v>3.0528859123791111E-2</v>
      </c>
      <c r="D258" s="58">
        <f>IF(VLOOKUP(Table311[[#This Row],[Date]],'DB Details'!$A:$Q,15)=0,"",VLOOKUP(Table311[[#This Row],[Date]],'DB Details'!$A:$Q,15))</f>
        <v>4.819525590204151E-3</v>
      </c>
      <c r="E258" s="58">
        <f>IF(VLOOKUP(Table311[[#This Row],[Date]],'DB Details'!$A:$Q,17)=0,"",VLOOKUP(Table311[[#This Row],[Date]],'DB Details'!$A:$Q,17))</f>
        <v>1.9417917650261129E-2</v>
      </c>
    </row>
    <row r="259" spans="1:5" x14ac:dyDescent="0.35">
      <c r="A259" s="57">
        <v>43313</v>
      </c>
      <c r="B259" s="47">
        <f>IF(VLOOKUP(Table311[[#This Row],[Date]],'DB Details'!$A:$Q,12)=0,"",VLOOKUP(Table311[[#This Row],[Date]],'DB Details'!$A:$Q,12))</f>
        <v>58.5</v>
      </c>
      <c r="C259" s="58">
        <f>IF(VLOOKUP(Table311[[#This Row],[Date]],'DB Details'!$A:$Q,16)=0,"",VLOOKUP(Table311[[#This Row],[Date]],'DB Details'!$A:$Q,16))</f>
        <v>3.0528859123791111E-2</v>
      </c>
      <c r="D259" s="58">
        <f>IF(VLOOKUP(Table311[[#This Row],[Date]],'DB Details'!$A:$Q,15)=0,"",VLOOKUP(Table311[[#This Row],[Date]],'DB Details'!$A:$Q,15))</f>
        <v>4.819525590204151E-3</v>
      </c>
      <c r="E259" s="58">
        <f>IF(VLOOKUP(Table311[[#This Row],[Date]],'DB Details'!$A:$Q,17)=0,"",VLOOKUP(Table311[[#This Row],[Date]],'DB Details'!$A:$Q,17))</f>
        <v>1.9417917650261129E-2</v>
      </c>
    </row>
    <row r="260" spans="1:5" x14ac:dyDescent="0.35">
      <c r="A260" s="57">
        <v>43344</v>
      </c>
      <c r="B260" s="47">
        <f>IF(VLOOKUP(Table311[[#This Row],[Date]],'DB Details'!$A:$Q,12)=0,"",VLOOKUP(Table311[[#This Row],[Date]],'DB Details'!$A:$Q,12))</f>
        <v>61.6</v>
      </c>
      <c r="C260" s="58">
        <f>IF(VLOOKUP(Table311[[#This Row],[Date]],'DB Details'!$A:$Q,16)=0,"",VLOOKUP(Table311[[#This Row],[Date]],'DB Details'!$A:$Q,16))</f>
        <v>3.0528859123791111E-2</v>
      </c>
      <c r="D260" s="58">
        <f>IF(VLOOKUP(Table311[[#This Row],[Date]],'DB Details'!$A:$Q,15)=0,"",VLOOKUP(Table311[[#This Row],[Date]],'DB Details'!$A:$Q,15))</f>
        <v>4.819525590204151E-3</v>
      </c>
      <c r="E260" s="58">
        <f>IF(VLOOKUP(Table311[[#This Row],[Date]],'DB Details'!$A:$Q,17)=0,"",VLOOKUP(Table311[[#This Row],[Date]],'DB Details'!$A:$Q,17))</f>
        <v>1.9417917650261129E-2</v>
      </c>
    </row>
    <row r="261" spans="1:5" x14ac:dyDescent="0.35">
      <c r="A261" s="57">
        <v>43374</v>
      </c>
      <c r="B261" s="47">
        <f>IF(VLOOKUP(Table311[[#This Row],[Date]],'DB Details'!$A:$Q,12)=0,"",VLOOKUP(Table311[[#This Row],[Date]],'DB Details'!$A:$Q,12))</f>
        <v>60.3</v>
      </c>
      <c r="C261" s="58">
        <f>IF(VLOOKUP(Table311[[#This Row],[Date]],'DB Details'!$A:$Q,16)=0,"",VLOOKUP(Table311[[#This Row],[Date]],'DB Details'!$A:$Q,16))</f>
        <v>2.3206170953918571E-2</v>
      </c>
      <c r="D261" s="58">
        <f>IF(VLOOKUP(Table311[[#This Row],[Date]],'DB Details'!$A:$Q,15)=0,"",VLOOKUP(Table311[[#This Row],[Date]],'DB Details'!$A:$Q,15))</f>
        <v>2.2314183511113221E-3</v>
      </c>
      <c r="E261" s="58">
        <f>IF(VLOOKUP(Table311[[#This Row],[Date]],'DB Details'!$A:$Q,17)=0,"",VLOOKUP(Table311[[#This Row],[Date]],'DB Details'!$A:$Q,17))</f>
        <v>8.9555932393461379E-3</v>
      </c>
    </row>
    <row r="262" spans="1:5" x14ac:dyDescent="0.35">
      <c r="A262" s="57">
        <v>43405</v>
      </c>
      <c r="B262" s="47">
        <f>IF(VLOOKUP(Table311[[#This Row],[Date]],'DB Details'!$A:$Q,12)=0,"",VLOOKUP(Table311[[#This Row],[Date]],'DB Details'!$A:$Q,12))</f>
        <v>60.7</v>
      </c>
      <c r="C262" s="58">
        <f>IF(VLOOKUP(Table311[[#This Row],[Date]],'DB Details'!$A:$Q,16)=0,"",VLOOKUP(Table311[[#This Row],[Date]],'DB Details'!$A:$Q,16))</f>
        <v>2.3206170953918571E-2</v>
      </c>
      <c r="D262" s="58">
        <f>IF(VLOOKUP(Table311[[#This Row],[Date]],'DB Details'!$A:$Q,15)=0,"",VLOOKUP(Table311[[#This Row],[Date]],'DB Details'!$A:$Q,15))</f>
        <v>2.2314183511113221E-3</v>
      </c>
      <c r="E262" s="58">
        <f>IF(VLOOKUP(Table311[[#This Row],[Date]],'DB Details'!$A:$Q,17)=0,"",VLOOKUP(Table311[[#This Row],[Date]],'DB Details'!$A:$Q,17))</f>
        <v>8.9555932393461379E-3</v>
      </c>
    </row>
    <row r="263" spans="1:5" x14ac:dyDescent="0.35">
      <c r="A263" s="57">
        <v>43435</v>
      </c>
      <c r="B263" s="47">
        <f>IF(VLOOKUP(Table311[[#This Row],[Date]],'DB Details'!$A:$Q,12)=0,"",VLOOKUP(Table311[[#This Row],[Date]],'DB Details'!$A:$Q,12))</f>
        <v>57.6</v>
      </c>
      <c r="C263" s="58">
        <f>IF(VLOOKUP(Table311[[#This Row],[Date]],'DB Details'!$A:$Q,16)=0,"",VLOOKUP(Table311[[#This Row],[Date]],'DB Details'!$A:$Q,16))</f>
        <v>2.3206170953918571E-2</v>
      </c>
      <c r="D263" s="58">
        <f>IF(VLOOKUP(Table311[[#This Row],[Date]],'DB Details'!$A:$Q,15)=0,"",VLOOKUP(Table311[[#This Row],[Date]],'DB Details'!$A:$Q,15))</f>
        <v>2.2314183511113221E-3</v>
      </c>
      <c r="E263" s="58">
        <f>IF(VLOOKUP(Table311[[#This Row],[Date]],'DB Details'!$A:$Q,17)=0,"",VLOOKUP(Table311[[#This Row],[Date]],'DB Details'!$A:$Q,17))</f>
        <v>8.9555932393461379E-3</v>
      </c>
    </row>
    <row r="264" spans="1:5" x14ac:dyDescent="0.35">
      <c r="A264" s="57">
        <v>43466</v>
      </c>
      <c r="B264" s="47">
        <f>IF(VLOOKUP(Table311[[#This Row],[Date]],'DB Details'!$A:$Q,12)=0,"",VLOOKUP(Table311[[#This Row],[Date]],'DB Details'!$A:$Q,12))</f>
        <v>56.7</v>
      </c>
      <c r="C264" s="58">
        <f>IF(VLOOKUP(Table311[[#This Row],[Date]],'DB Details'!$A:$Q,16)=0,"",VLOOKUP(Table311[[#This Row],[Date]],'DB Details'!$A:$Q,16))</f>
        <v>2.1530015140813302E-2</v>
      </c>
      <c r="D264" s="58">
        <f>IF(VLOOKUP(Table311[[#This Row],[Date]],'DB Details'!$A:$Q,15)=0,"",VLOOKUP(Table311[[#This Row],[Date]],'DB Details'!$A:$Q,15))</f>
        <v>5.9779029009820791E-3</v>
      </c>
      <c r="E264" s="58">
        <f>IF(VLOOKUP(Table311[[#This Row],[Date]],'DB Details'!$A:$Q,17)=0,"",VLOOKUP(Table311[[#This Row],[Date]],'DB Details'!$A:$Q,17))</f>
        <v>2.4126879308669521E-2</v>
      </c>
    </row>
    <row r="265" spans="1:5" x14ac:dyDescent="0.35">
      <c r="A265" s="57">
        <v>43497</v>
      </c>
      <c r="B265" s="47">
        <f>IF(VLOOKUP(Table311[[#This Row],[Date]],'DB Details'!$A:$Q,12)=0,"",VLOOKUP(Table311[[#This Row],[Date]],'DB Details'!$A:$Q,12))</f>
        <v>59.7</v>
      </c>
      <c r="C265" s="58">
        <f>IF(VLOOKUP(Table311[[#This Row],[Date]],'DB Details'!$A:$Q,16)=0,"",VLOOKUP(Table311[[#This Row],[Date]],'DB Details'!$A:$Q,16))</f>
        <v>2.1530015140813302E-2</v>
      </c>
      <c r="D265" s="58">
        <f>IF(VLOOKUP(Table311[[#This Row],[Date]],'DB Details'!$A:$Q,15)=0,"",VLOOKUP(Table311[[#This Row],[Date]],'DB Details'!$A:$Q,15))</f>
        <v>5.9779029009820791E-3</v>
      </c>
      <c r="E265" s="58">
        <f>IF(VLOOKUP(Table311[[#This Row],[Date]],'DB Details'!$A:$Q,17)=0,"",VLOOKUP(Table311[[#This Row],[Date]],'DB Details'!$A:$Q,17))</f>
        <v>2.4126879308669521E-2</v>
      </c>
    </row>
    <row r="266" spans="1:5" x14ac:dyDescent="0.35">
      <c r="A266" s="57">
        <v>43525</v>
      </c>
      <c r="B266" s="47">
        <f>IF(VLOOKUP(Table311[[#This Row],[Date]],'DB Details'!$A:$Q,12)=0,"",VLOOKUP(Table311[[#This Row],[Date]],'DB Details'!$A:$Q,12))</f>
        <v>56.1</v>
      </c>
      <c r="C266" s="58">
        <f>IF(VLOOKUP(Table311[[#This Row],[Date]],'DB Details'!$A:$Q,16)=0,"",VLOOKUP(Table311[[#This Row],[Date]],'DB Details'!$A:$Q,16))</f>
        <v>2.1530015140813302E-2</v>
      </c>
      <c r="D266" s="58">
        <f>IF(VLOOKUP(Table311[[#This Row],[Date]],'DB Details'!$A:$Q,15)=0,"",VLOOKUP(Table311[[#This Row],[Date]],'DB Details'!$A:$Q,15))</f>
        <v>5.9779029009820791E-3</v>
      </c>
      <c r="E266" s="58">
        <f>IF(VLOOKUP(Table311[[#This Row],[Date]],'DB Details'!$A:$Q,17)=0,"",VLOOKUP(Table311[[#This Row],[Date]],'DB Details'!$A:$Q,17))</f>
        <v>2.4126879308669521E-2</v>
      </c>
    </row>
    <row r="267" spans="1:5" x14ac:dyDescent="0.35">
      <c r="A267" s="57">
        <v>43556</v>
      </c>
      <c r="B267" s="47">
        <f>IF(VLOOKUP(Table311[[#This Row],[Date]],'DB Details'!$A:$Q,12)=0,"",VLOOKUP(Table311[[#This Row],[Date]],'DB Details'!$A:$Q,12))</f>
        <v>55.5</v>
      </c>
      <c r="C267" s="58">
        <f>IF(VLOOKUP(Table311[[#This Row],[Date]],'DB Details'!$A:$Q,16)=0,"",VLOOKUP(Table311[[#This Row],[Date]],'DB Details'!$A:$Q,16))</f>
        <v>2.111478835615084E-2</v>
      </c>
      <c r="D267" s="58">
        <f>IF(VLOOKUP(Table311[[#This Row],[Date]],'DB Details'!$A:$Q,15)=0,"",VLOOKUP(Table311[[#This Row],[Date]],'DB Details'!$A:$Q,15))</f>
        <v>7.9292440820582337E-3</v>
      </c>
      <c r="E267" s="58">
        <f>IF(VLOOKUP(Table311[[#This Row],[Date]],'DB Details'!$A:$Q,17)=0,"",VLOOKUP(Table311[[#This Row],[Date]],'DB Details'!$A:$Q,17))</f>
        <v>3.2096211890165323E-2</v>
      </c>
    </row>
    <row r="268" spans="1:5" x14ac:dyDescent="0.35">
      <c r="A268" s="57">
        <v>43586</v>
      </c>
      <c r="B268" s="47">
        <f>IF(VLOOKUP(Table311[[#This Row],[Date]],'DB Details'!$A:$Q,12)=0,"",VLOOKUP(Table311[[#This Row],[Date]],'DB Details'!$A:$Q,12))</f>
        <v>56.9</v>
      </c>
      <c r="C268" s="58">
        <f>IF(VLOOKUP(Table311[[#This Row],[Date]],'DB Details'!$A:$Q,16)=0,"",VLOOKUP(Table311[[#This Row],[Date]],'DB Details'!$A:$Q,16))</f>
        <v>2.111478835615084E-2</v>
      </c>
      <c r="D268" s="58">
        <f>IF(VLOOKUP(Table311[[#This Row],[Date]],'DB Details'!$A:$Q,15)=0,"",VLOOKUP(Table311[[#This Row],[Date]],'DB Details'!$A:$Q,15))</f>
        <v>7.9292440820582337E-3</v>
      </c>
      <c r="E268" s="58">
        <f>IF(VLOOKUP(Table311[[#This Row],[Date]],'DB Details'!$A:$Q,17)=0,"",VLOOKUP(Table311[[#This Row],[Date]],'DB Details'!$A:$Q,17))</f>
        <v>3.2096211890165323E-2</v>
      </c>
    </row>
    <row r="269" spans="1:5" x14ac:dyDescent="0.35">
      <c r="A269" s="57">
        <v>43617</v>
      </c>
      <c r="B269" s="47">
        <f>IF(VLOOKUP(Table311[[#This Row],[Date]],'DB Details'!$A:$Q,12)=0,"",VLOOKUP(Table311[[#This Row],[Date]],'DB Details'!$A:$Q,12))</f>
        <v>55.1</v>
      </c>
      <c r="C269" s="58">
        <f>IF(VLOOKUP(Table311[[#This Row],[Date]],'DB Details'!$A:$Q,16)=0,"",VLOOKUP(Table311[[#This Row],[Date]],'DB Details'!$A:$Q,16))</f>
        <v>2.111478835615084E-2</v>
      </c>
      <c r="D269" s="58">
        <f>IF(VLOOKUP(Table311[[#This Row],[Date]],'DB Details'!$A:$Q,15)=0,"",VLOOKUP(Table311[[#This Row],[Date]],'DB Details'!$A:$Q,15))</f>
        <v>7.9292440820582337E-3</v>
      </c>
      <c r="E269" s="58">
        <f>IF(VLOOKUP(Table311[[#This Row],[Date]],'DB Details'!$A:$Q,17)=0,"",VLOOKUP(Table311[[#This Row],[Date]],'DB Details'!$A:$Q,17))</f>
        <v>3.2096211890165323E-2</v>
      </c>
    </row>
    <row r="270" spans="1:5" x14ac:dyDescent="0.35">
      <c r="A270" s="57">
        <v>43647</v>
      </c>
      <c r="B270" s="47">
        <f>IF(VLOOKUP(Table311[[#This Row],[Date]],'DB Details'!$A:$Q,12)=0,"",VLOOKUP(Table311[[#This Row],[Date]],'DB Details'!$A:$Q,12))</f>
        <v>53.7</v>
      </c>
      <c r="C270" s="58">
        <f>IF(VLOOKUP(Table311[[#This Row],[Date]],'DB Details'!$A:$Q,16)=0,"",VLOOKUP(Table311[[#This Row],[Date]],'DB Details'!$A:$Q,16))</f>
        <v>2.3183259983257681E-2</v>
      </c>
      <c r="D270" s="58">
        <f>IF(VLOOKUP(Table311[[#This Row],[Date]],'DB Details'!$A:$Q,15)=0,"",VLOOKUP(Table311[[#This Row],[Date]],'DB Details'!$A:$Q,15))</f>
        <v>6.8549879130956641E-3</v>
      </c>
      <c r="E270" s="58">
        <f>IF(VLOOKUP(Table311[[#This Row],[Date]],'DB Details'!$A:$Q,17)=0,"",VLOOKUP(Table311[[#This Row],[Date]],'DB Details'!$A:$Q,17))</f>
        <v>2.770318750334555E-2</v>
      </c>
    </row>
    <row r="271" spans="1:5" x14ac:dyDescent="0.35">
      <c r="A271" s="57">
        <v>43678</v>
      </c>
      <c r="B271" s="47">
        <f>IF(VLOOKUP(Table311[[#This Row],[Date]],'DB Details'!$A:$Q,12)=0,"",VLOOKUP(Table311[[#This Row],[Date]],'DB Details'!$A:$Q,12))</f>
        <v>56.4</v>
      </c>
      <c r="C271" s="58">
        <f>IF(VLOOKUP(Table311[[#This Row],[Date]],'DB Details'!$A:$Q,16)=0,"",VLOOKUP(Table311[[#This Row],[Date]],'DB Details'!$A:$Q,16))</f>
        <v>2.3183259983257681E-2</v>
      </c>
      <c r="D271" s="58">
        <f>IF(VLOOKUP(Table311[[#This Row],[Date]],'DB Details'!$A:$Q,15)=0,"",VLOOKUP(Table311[[#This Row],[Date]],'DB Details'!$A:$Q,15))</f>
        <v>6.8549879130956641E-3</v>
      </c>
      <c r="E271" s="58">
        <f>IF(VLOOKUP(Table311[[#This Row],[Date]],'DB Details'!$A:$Q,17)=0,"",VLOOKUP(Table311[[#This Row],[Date]],'DB Details'!$A:$Q,17))</f>
        <v>2.770318750334555E-2</v>
      </c>
    </row>
    <row r="272" spans="1:5" x14ac:dyDescent="0.35">
      <c r="A272" s="57">
        <v>43709</v>
      </c>
      <c r="B272" s="47">
        <f>IF(VLOOKUP(Table311[[#This Row],[Date]],'DB Details'!$A:$Q,12)=0,"",VLOOKUP(Table311[[#This Row],[Date]],'DB Details'!$A:$Q,12))</f>
        <v>52.6</v>
      </c>
      <c r="C272" s="58">
        <f>IF(VLOOKUP(Table311[[#This Row],[Date]],'DB Details'!$A:$Q,16)=0,"",VLOOKUP(Table311[[#This Row],[Date]],'DB Details'!$A:$Q,16))</f>
        <v>2.3183259983257681E-2</v>
      </c>
      <c r="D272" s="58">
        <f>IF(VLOOKUP(Table311[[#This Row],[Date]],'DB Details'!$A:$Q,15)=0,"",VLOOKUP(Table311[[#This Row],[Date]],'DB Details'!$A:$Q,15))</f>
        <v>6.8549879130956641E-3</v>
      </c>
      <c r="E272" s="58">
        <f>IF(VLOOKUP(Table311[[#This Row],[Date]],'DB Details'!$A:$Q,17)=0,"",VLOOKUP(Table311[[#This Row],[Date]],'DB Details'!$A:$Q,17))</f>
        <v>2.770318750334555E-2</v>
      </c>
    </row>
    <row r="273" spans="1:5" x14ac:dyDescent="0.35">
      <c r="A273" s="57">
        <v>43739</v>
      </c>
      <c r="B273" s="47">
        <f>IF(VLOOKUP(Table311[[#This Row],[Date]],'DB Details'!$A:$Q,12)=0,"",VLOOKUP(Table311[[#This Row],[Date]],'DB Details'!$A:$Q,12))</f>
        <v>54.7</v>
      </c>
      <c r="C273" s="58">
        <f>IF(VLOOKUP(Table311[[#This Row],[Date]],'DB Details'!$A:$Q,16)=0,"",VLOOKUP(Table311[[#This Row],[Date]],'DB Details'!$A:$Q,16))</f>
        <v>2.5694235346395491E-2</v>
      </c>
      <c r="D273" s="58">
        <f>IF(VLOOKUP(Table311[[#This Row],[Date]],'DB Details'!$A:$Q,15)=0,"",VLOOKUP(Table311[[#This Row],[Date]],'DB Details'!$A:$Q,15))</f>
        <v>4.690976182113644E-3</v>
      </c>
      <c r="E273" s="58">
        <f>IF(VLOOKUP(Table311[[#This Row],[Date]],'DB Details'!$A:$Q,17)=0,"",VLOOKUP(Table311[[#This Row],[Date]],'DB Details'!$A:$Q,17))</f>
        <v>1.8896349662488991E-2</v>
      </c>
    </row>
    <row r="274" spans="1:5" x14ac:dyDescent="0.35">
      <c r="A274" s="57">
        <v>43770</v>
      </c>
      <c r="B274" s="47">
        <f>IF(VLOOKUP(Table311[[#This Row],[Date]],'DB Details'!$A:$Q,12)=0,"",VLOOKUP(Table311[[#This Row],[Date]],'DB Details'!$A:$Q,12))</f>
        <v>53.9</v>
      </c>
      <c r="C274" s="58">
        <f>IF(VLOOKUP(Table311[[#This Row],[Date]],'DB Details'!$A:$Q,16)=0,"",VLOOKUP(Table311[[#This Row],[Date]],'DB Details'!$A:$Q,16))</f>
        <v>2.5694235346395491E-2</v>
      </c>
      <c r="D274" s="58">
        <f>IF(VLOOKUP(Table311[[#This Row],[Date]],'DB Details'!$A:$Q,15)=0,"",VLOOKUP(Table311[[#This Row],[Date]],'DB Details'!$A:$Q,15))</f>
        <v>4.690976182113644E-3</v>
      </c>
      <c r="E274" s="58">
        <f>IF(VLOOKUP(Table311[[#This Row],[Date]],'DB Details'!$A:$Q,17)=0,"",VLOOKUP(Table311[[#This Row],[Date]],'DB Details'!$A:$Q,17))</f>
        <v>1.8896349662488991E-2</v>
      </c>
    </row>
    <row r="275" spans="1:5" x14ac:dyDescent="0.35">
      <c r="A275" s="57">
        <v>43800</v>
      </c>
      <c r="B275" s="47">
        <f>IF(VLOOKUP(Table311[[#This Row],[Date]],'DB Details'!$A:$Q,12)=0,"",VLOOKUP(Table311[[#This Row],[Date]],'DB Details'!$A:$Q,12))</f>
        <v>55</v>
      </c>
      <c r="C275" s="58">
        <f>IF(VLOOKUP(Table311[[#This Row],[Date]],'DB Details'!$A:$Q,16)=0,"",VLOOKUP(Table311[[#This Row],[Date]],'DB Details'!$A:$Q,16))</f>
        <v>2.5694235346395491E-2</v>
      </c>
      <c r="D275" s="58">
        <f>IF(VLOOKUP(Table311[[#This Row],[Date]],'DB Details'!$A:$Q,15)=0,"",VLOOKUP(Table311[[#This Row],[Date]],'DB Details'!$A:$Q,15))</f>
        <v>4.690976182113644E-3</v>
      </c>
      <c r="E275" s="58">
        <f>IF(VLOOKUP(Table311[[#This Row],[Date]],'DB Details'!$A:$Q,17)=0,"",VLOOKUP(Table311[[#This Row],[Date]],'DB Details'!$A:$Q,17))</f>
        <v>1.8896349662488991E-2</v>
      </c>
    </row>
    <row r="276" spans="1:5" x14ac:dyDescent="0.35">
      <c r="A276" s="57">
        <v>43831</v>
      </c>
      <c r="B276" s="47">
        <f>IF(VLOOKUP(Table311[[#This Row],[Date]],'DB Details'!$A:$Q,12)=0,"",VLOOKUP(Table311[[#This Row],[Date]],'DB Details'!$A:$Q,12))</f>
        <v>55.5</v>
      </c>
      <c r="C276" s="58">
        <f>IF(VLOOKUP(Table311[[#This Row],[Date]],'DB Details'!$A:$Q,16)=0,"",VLOOKUP(Table311[[#This Row],[Date]],'DB Details'!$A:$Q,16))</f>
        <v>6.3078516417420767E-3</v>
      </c>
      <c r="D276" s="58">
        <f>IF(VLOOKUP(Table311[[#This Row],[Date]],'DB Details'!$A:$Q,15)=0,"",VLOOKUP(Table311[[#This Row],[Date]],'DB Details'!$A:$Q,15))</f>
        <v>-1.303582746034216E-2</v>
      </c>
      <c r="E276" s="58">
        <f>IF(VLOOKUP(Table311[[#This Row],[Date]],'DB Details'!$A:$Q,17)=0,"",VLOOKUP(Table311[[#This Row],[Date]],'DB Details'!$A:$Q,17))</f>
        <v>-5.1132545037274268E-2</v>
      </c>
    </row>
    <row r="277" spans="1:5" x14ac:dyDescent="0.35">
      <c r="A277" s="57">
        <v>43862</v>
      </c>
      <c r="B277" s="47">
        <f>IF(VLOOKUP(Table311[[#This Row],[Date]],'DB Details'!$A:$Q,12)=0,"",VLOOKUP(Table311[[#This Row],[Date]],'DB Details'!$A:$Q,12))</f>
        <v>57.3</v>
      </c>
      <c r="C277" s="58">
        <f>IF(VLOOKUP(Table311[[#This Row],[Date]],'DB Details'!$A:$Q,16)=0,"",VLOOKUP(Table311[[#This Row],[Date]],'DB Details'!$A:$Q,16))</f>
        <v>6.3078516417420767E-3</v>
      </c>
      <c r="D277" s="58">
        <f>IF(VLOOKUP(Table311[[#This Row],[Date]],'DB Details'!$A:$Q,15)=0,"",VLOOKUP(Table311[[#This Row],[Date]],'DB Details'!$A:$Q,15))</f>
        <v>-1.303582746034216E-2</v>
      </c>
      <c r="E277" s="58">
        <f>IF(VLOOKUP(Table311[[#This Row],[Date]],'DB Details'!$A:$Q,17)=0,"",VLOOKUP(Table311[[#This Row],[Date]],'DB Details'!$A:$Q,17))</f>
        <v>-5.1132545037274268E-2</v>
      </c>
    </row>
    <row r="278" spans="1:5" x14ac:dyDescent="0.35">
      <c r="A278" s="57">
        <v>43891</v>
      </c>
      <c r="B278" s="47">
        <f>IF(VLOOKUP(Table311[[#This Row],[Date]],'DB Details'!$A:$Q,12)=0,"",VLOOKUP(Table311[[#This Row],[Date]],'DB Details'!$A:$Q,12))</f>
        <v>52.5</v>
      </c>
      <c r="C278" s="58">
        <f>IF(VLOOKUP(Table311[[#This Row],[Date]],'DB Details'!$A:$Q,16)=0,"",VLOOKUP(Table311[[#This Row],[Date]],'DB Details'!$A:$Q,16))</f>
        <v>6.3078516417420767E-3</v>
      </c>
      <c r="D278" s="58">
        <f>IF(VLOOKUP(Table311[[#This Row],[Date]],'DB Details'!$A:$Q,15)=0,"",VLOOKUP(Table311[[#This Row],[Date]],'DB Details'!$A:$Q,15))</f>
        <v>-1.303582746034216E-2</v>
      </c>
      <c r="E278" s="58">
        <f>IF(VLOOKUP(Table311[[#This Row],[Date]],'DB Details'!$A:$Q,17)=0,"",VLOOKUP(Table311[[#This Row],[Date]],'DB Details'!$A:$Q,17))</f>
        <v>-5.1132545037274268E-2</v>
      </c>
    </row>
    <row r="279" spans="1:5" x14ac:dyDescent="0.35">
      <c r="A279" s="57">
        <v>43922</v>
      </c>
      <c r="B279" s="47">
        <f>IF(VLOOKUP(Table311[[#This Row],[Date]],'DB Details'!$A:$Q,12)=0,"",VLOOKUP(Table311[[#This Row],[Date]],'DB Details'!$A:$Q,12))</f>
        <v>41.8</v>
      </c>
      <c r="C279" s="58">
        <f>IF(VLOOKUP(Table311[[#This Row],[Date]],'DB Details'!$A:$Q,16)=0,"",VLOOKUP(Table311[[#This Row],[Date]],'DB Details'!$A:$Q,16))</f>
        <v>-9.0837374242250385E-2</v>
      </c>
      <c r="D279" s="58">
        <f>IF(VLOOKUP(Table311[[#This Row],[Date]],'DB Details'!$A:$Q,15)=0,"",VLOOKUP(Table311[[#This Row],[Date]],'DB Details'!$A:$Q,15))</f>
        <v>-8.9372505011610218E-2</v>
      </c>
      <c r="E279" s="58">
        <f>IF(VLOOKUP(Table311[[#This Row],[Date]],'DB Details'!$A:$Q,17)=0,"",VLOOKUP(Table311[[#This Row],[Date]],'DB Details'!$A:$Q,17))</f>
        <v>-0.31235698461085082</v>
      </c>
    </row>
    <row r="280" spans="1:5" x14ac:dyDescent="0.35">
      <c r="A280" s="57">
        <v>43952</v>
      </c>
      <c r="B280" s="47">
        <f>IF(VLOOKUP(Table311[[#This Row],[Date]],'DB Details'!$A:$Q,12)=0,"",VLOOKUP(Table311[[#This Row],[Date]],'DB Details'!$A:$Q,12))</f>
        <v>45.4</v>
      </c>
      <c r="C280" s="58">
        <f>IF(VLOOKUP(Table311[[#This Row],[Date]],'DB Details'!$A:$Q,16)=0,"",VLOOKUP(Table311[[#This Row],[Date]],'DB Details'!$A:$Q,16))</f>
        <v>-9.0837374242250385E-2</v>
      </c>
      <c r="D280" s="58">
        <f>IF(VLOOKUP(Table311[[#This Row],[Date]],'DB Details'!$A:$Q,15)=0,"",VLOOKUP(Table311[[#This Row],[Date]],'DB Details'!$A:$Q,15))</f>
        <v>-8.9372505011610218E-2</v>
      </c>
      <c r="E280" s="58">
        <f>IF(VLOOKUP(Table311[[#This Row],[Date]],'DB Details'!$A:$Q,17)=0,"",VLOOKUP(Table311[[#This Row],[Date]],'DB Details'!$A:$Q,17))</f>
        <v>-0.31235698461085082</v>
      </c>
    </row>
    <row r="281" spans="1:5" x14ac:dyDescent="0.35">
      <c r="A281" s="57">
        <v>43983</v>
      </c>
      <c r="B281" s="47">
        <f>IF(VLOOKUP(Table311[[#This Row],[Date]],'DB Details'!$A:$Q,12)=0,"",VLOOKUP(Table311[[#This Row],[Date]],'DB Details'!$A:$Q,12))</f>
        <v>57.1</v>
      </c>
      <c r="C281" s="58">
        <f>IF(VLOOKUP(Table311[[#This Row],[Date]],'DB Details'!$A:$Q,16)=0,"",VLOOKUP(Table311[[#This Row],[Date]],'DB Details'!$A:$Q,16))</f>
        <v>-9.0837374242250385E-2</v>
      </c>
      <c r="D281" s="58">
        <f>IF(VLOOKUP(Table311[[#This Row],[Date]],'DB Details'!$A:$Q,15)=0,"",VLOOKUP(Table311[[#This Row],[Date]],'DB Details'!$A:$Q,15))</f>
        <v>-8.9372505011610218E-2</v>
      </c>
      <c r="E281" s="58">
        <f>IF(VLOOKUP(Table311[[#This Row],[Date]],'DB Details'!$A:$Q,17)=0,"",VLOOKUP(Table311[[#This Row],[Date]],'DB Details'!$A:$Q,17))</f>
        <v>-0.31235698461085082</v>
      </c>
    </row>
    <row r="282" spans="1:5" x14ac:dyDescent="0.35">
      <c r="A282" s="57">
        <v>44013</v>
      </c>
      <c r="B282" s="47">
        <f>IF(VLOOKUP(Table311[[#This Row],[Date]],'DB Details'!$A:$Q,12)=0,"",VLOOKUP(Table311[[#This Row],[Date]],'DB Details'!$A:$Q,12))</f>
        <v>58.1</v>
      </c>
      <c r="C282" s="58">
        <f>IF(VLOOKUP(Table311[[#This Row],[Date]],'DB Details'!$A:$Q,16)=0,"",VLOOKUP(Table311[[#This Row],[Date]],'DB Details'!$A:$Q,16))</f>
        <v>-2.8875059888336659E-2</v>
      </c>
      <c r="D282" s="58">
        <f>IF(VLOOKUP(Table311[[#This Row],[Date]],'DB Details'!$A:$Q,15)=0,"",VLOOKUP(Table311[[#This Row],[Date]],'DB Details'!$A:$Q,15))</f>
        <v>7.547534636423657E-2</v>
      </c>
      <c r="E282" s="58">
        <f>IF(VLOOKUP(Table311[[#This Row],[Date]],'DB Details'!$A:$Q,17)=0,"",VLOOKUP(Table311[[#This Row],[Date]],'DB Details'!$A:$Q,17))</f>
        <v>0.33783279300793229</v>
      </c>
    </row>
    <row r="283" spans="1:5" x14ac:dyDescent="0.35">
      <c r="A283" s="57">
        <v>44044</v>
      </c>
      <c r="B283" s="47">
        <f>IF(VLOOKUP(Table311[[#This Row],[Date]],'DB Details'!$A:$Q,12)=0,"",VLOOKUP(Table311[[#This Row],[Date]],'DB Details'!$A:$Q,12))</f>
        <v>56.9</v>
      </c>
      <c r="C283" s="58">
        <f>IF(VLOOKUP(Table311[[#This Row],[Date]],'DB Details'!$A:$Q,16)=0,"",VLOOKUP(Table311[[#This Row],[Date]],'DB Details'!$A:$Q,16))</f>
        <v>-2.8875059888336659E-2</v>
      </c>
      <c r="D283" s="58">
        <f>IF(VLOOKUP(Table311[[#This Row],[Date]],'DB Details'!$A:$Q,15)=0,"",VLOOKUP(Table311[[#This Row],[Date]],'DB Details'!$A:$Q,15))</f>
        <v>7.547534636423657E-2</v>
      </c>
      <c r="E283" s="58">
        <f>IF(VLOOKUP(Table311[[#This Row],[Date]],'DB Details'!$A:$Q,17)=0,"",VLOOKUP(Table311[[#This Row],[Date]],'DB Details'!$A:$Q,17))</f>
        <v>0.33783279300793229</v>
      </c>
    </row>
    <row r="284" spans="1:5" x14ac:dyDescent="0.35">
      <c r="A284" s="57">
        <v>44075</v>
      </c>
      <c r="B284" s="47">
        <f>IF(VLOOKUP(Table311[[#This Row],[Date]],'DB Details'!$A:$Q,12)=0,"",VLOOKUP(Table311[[#This Row],[Date]],'DB Details'!$A:$Q,12))</f>
        <v>57.8</v>
      </c>
      <c r="C284" s="58">
        <f>IF(VLOOKUP(Table311[[#This Row],[Date]],'DB Details'!$A:$Q,16)=0,"",VLOOKUP(Table311[[#This Row],[Date]],'DB Details'!$A:$Q,16))</f>
        <v>-2.8875059888336659E-2</v>
      </c>
      <c r="D284" s="58">
        <f>IF(VLOOKUP(Table311[[#This Row],[Date]],'DB Details'!$A:$Q,15)=0,"",VLOOKUP(Table311[[#This Row],[Date]],'DB Details'!$A:$Q,15))</f>
        <v>7.547534636423657E-2</v>
      </c>
      <c r="E284" s="58">
        <f>IF(VLOOKUP(Table311[[#This Row],[Date]],'DB Details'!$A:$Q,17)=0,"",VLOOKUP(Table311[[#This Row],[Date]],'DB Details'!$A:$Q,17))</f>
        <v>0.33783279300793229</v>
      </c>
    </row>
    <row r="285" spans="1:5" x14ac:dyDescent="0.35">
      <c r="A285" s="57">
        <v>44105</v>
      </c>
      <c r="B285" s="47">
        <f>IF(VLOOKUP(Table311[[#This Row],[Date]],'DB Details'!$A:$Q,12)=0,"",VLOOKUP(Table311[[#This Row],[Date]],'DB Details'!$A:$Q,12))</f>
        <v>56.6</v>
      </c>
      <c r="C285" s="58">
        <f>IF(VLOOKUP(Table311[[#This Row],[Date]],'DB Details'!$A:$Q,16)=0,"",VLOOKUP(Table311[[#This Row],[Date]],'DB Details'!$A:$Q,16))</f>
        <v>-2.2629152430098401E-2</v>
      </c>
      <c r="D285" s="58">
        <f>IF(VLOOKUP(Table311[[#This Row],[Date]],'DB Details'!$A:$Q,15)=0,"",VLOOKUP(Table311[[#This Row],[Date]],'DB Details'!$A:$Q,15))</f>
        <v>1.115276765936578E-2</v>
      </c>
      <c r="E285" s="58">
        <f>IF(VLOOKUP(Table311[[#This Row],[Date]],'DB Details'!$A:$Q,17)=0,"",VLOOKUP(Table311[[#This Row],[Date]],'DB Details'!$A:$Q,17))</f>
        <v>4.536294038119415E-2</v>
      </c>
    </row>
    <row r="286" spans="1:5" x14ac:dyDescent="0.35">
      <c r="A286" s="57">
        <v>44136</v>
      </c>
      <c r="B286" s="47">
        <f>IF(VLOOKUP(Table311[[#This Row],[Date]],'DB Details'!$A:$Q,12)=0,"",VLOOKUP(Table311[[#This Row],[Date]],'DB Details'!$A:$Q,12))</f>
        <v>55.9</v>
      </c>
      <c r="C286" s="58">
        <f>IF(VLOOKUP(Table311[[#This Row],[Date]],'DB Details'!$A:$Q,16)=0,"",VLOOKUP(Table311[[#This Row],[Date]],'DB Details'!$A:$Q,16))</f>
        <v>-2.2629152430098401E-2</v>
      </c>
      <c r="D286" s="58">
        <f>IF(VLOOKUP(Table311[[#This Row],[Date]],'DB Details'!$A:$Q,15)=0,"",VLOOKUP(Table311[[#This Row],[Date]],'DB Details'!$A:$Q,15))</f>
        <v>1.115276765936578E-2</v>
      </c>
      <c r="E286" s="58">
        <f>IF(VLOOKUP(Table311[[#This Row],[Date]],'DB Details'!$A:$Q,17)=0,"",VLOOKUP(Table311[[#This Row],[Date]],'DB Details'!$A:$Q,17))</f>
        <v>4.536294038119415E-2</v>
      </c>
    </row>
    <row r="287" spans="1:5" x14ac:dyDescent="0.35">
      <c r="A287" s="57">
        <v>44166</v>
      </c>
      <c r="B287" s="47">
        <f>IF(VLOOKUP(Table311[[#This Row],[Date]],'DB Details'!$A:$Q,12)=0,"",VLOOKUP(Table311[[#This Row],[Date]],'DB Details'!$A:$Q,12))</f>
        <v>57.2</v>
      </c>
      <c r="C287" s="58">
        <f>IF(VLOOKUP(Table311[[#This Row],[Date]],'DB Details'!$A:$Q,16)=0,"",VLOOKUP(Table311[[#This Row],[Date]],'DB Details'!$A:$Q,16))</f>
        <v>-2.2629152430098401E-2</v>
      </c>
      <c r="D287" s="58">
        <f>IF(VLOOKUP(Table311[[#This Row],[Date]],'DB Details'!$A:$Q,15)=0,"",VLOOKUP(Table311[[#This Row],[Date]],'DB Details'!$A:$Q,15))</f>
        <v>1.115276765936578E-2</v>
      </c>
      <c r="E287" s="58">
        <f>IF(VLOOKUP(Table311[[#This Row],[Date]],'DB Details'!$A:$Q,17)=0,"",VLOOKUP(Table311[[#This Row],[Date]],'DB Details'!$A:$Q,17))</f>
        <v>4.536294038119415E-2</v>
      </c>
    </row>
    <row r="288" spans="1:5" x14ac:dyDescent="0.35">
      <c r="A288" s="57">
        <v>44197</v>
      </c>
      <c r="B288" s="47">
        <f>IF(VLOOKUP(Table311[[#This Row],[Date]],'DB Details'!$A:$Q,12)=0,"",VLOOKUP(Table311[[#This Row],[Date]],'DB Details'!$A:$Q,12))</f>
        <v>58.7</v>
      </c>
      <c r="C288" s="58">
        <f>IF(VLOOKUP(Table311[[#This Row],[Date]],'DB Details'!$A:$Q,16)=0,"",VLOOKUP(Table311[[#This Row],[Date]],'DB Details'!$A:$Q,16))</f>
        <v>5.4697680328273934E-3</v>
      </c>
      <c r="D288" s="58">
        <f>IF(VLOOKUP(Table311[[#This Row],[Date]],'DB Details'!$A:$Q,15)=0,"",VLOOKUP(Table311[[#This Row],[Date]],'DB Details'!$A:$Q,15))</f>
        <v>1.533889627211066E-2</v>
      </c>
      <c r="E288" s="58">
        <f>IF(VLOOKUP(Table311[[#This Row],[Date]],'DB Details'!$A:$Q,17)=0,"",VLOOKUP(Table311[[#This Row],[Date]],'DB Details'!$A:$Q,17))</f>
        <v>6.278176672776592E-2</v>
      </c>
    </row>
    <row r="289" spans="1:5" x14ac:dyDescent="0.35">
      <c r="A289" s="57">
        <v>44228</v>
      </c>
      <c r="B289" s="47">
        <f>IF(VLOOKUP(Table311[[#This Row],[Date]],'DB Details'!$A:$Q,12)=0,"",VLOOKUP(Table311[[#This Row],[Date]],'DB Details'!$A:$Q,12))</f>
        <v>55.3</v>
      </c>
      <c r="C289" s="58">
        <f>IF(VLOOKUP(Table311[[#This Row],[Date]],'DB Details'!$A:$Q,16)=0,"",VLOOKUP(Table311[[#This Row],[Date]],'DB Details'!$A:$Q,16))</f>
        <v>5.4697680328273934E-3</v>
      </c>
      <c r="D289" s="58">
        <f>IF(VLOOKUP(Table311[[#This Row],[Date]],'DB Details'!$A:$Q,15)=0,"",VLOOKUP(Table311[[#This Row],[Date]],'DB Details'!$A:$Q,15))</f>
        <v>1.533889627211066E-2</v>
      </c>
      <c r="E289" s="58">
        <f>IF(VLOOKUP(Table311[[#This Row],[Date]],'DB Details'!$A:$Q,17)=0,"",VLOOKUP(Table311[[#This Row],[Date]],'DB Details'!$A:$Q,17))</f>
        <v>6.278176672776592E-2</v>
      </c>
    </row>
    <row r="290" spans="1:5" x14ac:dyDescent="0.35">
      <c r="A290" s="57">
        <v>44256</v>
      </c>
      <c r="B290" s="47">
        <f>IF(VLOOKUP(Table311[[#This Row],[Date]],'DB Details'!$A:$Q,12)=0,"",VLOOKUP(Table311[[#This Row],[Date]],'DB Details'!$A:$Q,12))</f>
        <v>63.7</v>
      </c>
      <c r="C290" s="58">
        <f>IF(VLOOKUP(Table311[[#This Row],[Date]],'DB Details'!$A:$Q,16)=0,"",VLOOKUP(Table311[[#This Row],[Date]],'DB Details'!$A:$Q,16))</f>
        <v>5.4697680328273934E-3</v>
      </c>
      <c r="D290" s="58">
        <f>IF(VLOOKUP(Table311[[#This Row],[Date]],'DB Details'!$A:$Q,15)=0,"",VLOOKUP(Table311[[#This Row],[Date]],'DB Details'!$A:$Q,15))</f>
        <v>1.533889627211066E-2</v>
      </c>
      <c r="E290" s="58">
        <f>IF(VLOOKUP(Table311[[#This Row],[Date]],'DB Details'!$A:$Q,17)=0,"",VLOOKUP(Table311[[#This Row],[Date]],'DB Details'!$A:$Q,17))</f>
        <v>6.278176672776592E-2</v>
      </c>
    </row>
    <row r="291" spans="1:5" x14ac:dyDescent="0.35">
      <c r="A291" s="57">
        <v>44287</v>
      </c>
      <c r="B291" s="47">
        <f>IF(VLOOKUP(Table311[[#This Row],[Date]],'DB Details'!$A:$Q,12)=0,"",VLOOKUP(Table311[[#This Row],[Date]],'DB Details'!$A:$Q,12))</f>
        <v>62.7</v>
      </c>
      <c r="C291" s="58">
        <f>IF(VLOOKUP(Table311[[#This Row],[Date]],'DB Details'!$A:$Q,16)=0,"",VLOOKUP(Table311[[#This Row],[Date]],'DB Details'!$A:$Q,16))</f>
        <v>0.12226677108077</v>
      </c>
      <c r="D291" s="58">
        <f>IF(VLOOKUP(Table311[[#This Row],[Date]],'DB Details'!$A:$Q,15)=0,"",VLOOKUP(Table311[[#This Row],[Date]],'DB Details'!$A:$Q,15))</f>
        <v>1.6407465395443108E-2</v>
      </c>
      <c r="E291" s="58">
        <f>IF(VLOOKUP(Table311[[#This Row],[Date]],'DB Details'!$A:$Q,17)=0,"",VLOOKUP(Table311[[#This Row],[Date]],'DB Details'!$A:$Q,17))</f>
        <v>6.7262831458960726E-2</v>
      </c>
    </row>
    <row r="292" spans="1:5" x14ac:dyDescent="0.35">
      <c r="A292" s="57">
        <v>44317</v>
      </c>
      <c r="B292" s="47">
        <f>IF(VLOOKUP(Table311[[#This Row],[Date]],'DB Details'!$A:$Q,12)=0,"",VLOOKUP(Table311[[#This Row],[Date]],'DB Details'!$A:$Q,12))</f>
        <v>64</v>
      </c>
      <c r="C292" s="58">
        <f>IF(VLOOKUP(Table311[[#This Row],[Date]],'DB Details'!$A:$Q,16)=0,"",VLOOKUP(Table311[[#This Row],[Date]],'DB Details'!$A:$Q,16))</f>
        <v>0.12226677108077</v>
      </c>
      <c r="D292" s="58">
        <f>IF(VLOOKUP(Table311[[#This Row],[Date]],'DB Details'!$A:$Q,15)=0,"",VLOOKUP(Table311[[#This Row],[Date]],'DB Details'!$A:$Q,15))</f>
        <v>1.6407465395443108E-2</v>
      </c>
      <c r="E292" s="58">
        <f>IF(VLOOKUP(Table311[[#This Row],[Date]],'DB Details'!$A:$Q,17)=0,"",VLOOKUP(Table311[[#This Row],[Date]],'DB Details'!$A:$Q,17))</f>
        <v>6.7262831458960726E-2</v>
      </c>
    </row>
    <row r="293" spans="1:5" x14ac:dyDescent="0.35">
      <c r="A293" s="57">
        <v>44348</v>
      </c>
      <c r="B293" s="47">
        <f>IF(VLOOKUP(Table311[[#This Row],[Date]],'DB Details'!$A:$Q,12)=0,"",VLOOKUP(Table311[[#This Row],[Date]],'DB Details'!$A:$Q,12))</f>
        <v>60.1</v>
      </c>
      <c r="C293" s="58">
        <f>IF(VLOOKUP(Table311[[#This Row],[Date]],'DB Details'!$A:$Q,16)=0,"",VLOOKUP(Table311[[#This Row],[Date]],'DB Details'!$A:$Q,16))</f>
        <v>0.12226677108077</v>
      </c>
      <c r="D293" s="58">
        <f>IF(VLOOKUP(Table311[[#This Row],[Date]],'DB Details'!$A:$Q,15)=0,"",VLOOKUP(Table311[[#This Row],[Date]],'DB Details'!$A:$Q,15))</f>
        <v>1.6407465395443108E-2</v>
      </c>
      <c r="E293" s="58">
        <f>IF(VLOOKUP(Table311[[#This Row],[Date]],'DB Details'!$A:$Q,17)=0,"",VLOOKUP(Table311[[#This Row],[Date]],'DB Details'!$A:$Q,17))</f>
        <v>6.7262831458960726E-2</v>
      </c>
    </row>
    <row r="294" spans="1:5" x14ac:dyDescent="0.35">
      <c r="A294" s="57">
        <v>44378</v>
      </c>
      <c r="B294" s="47">
        <f>IF(VLOOKUP(Table311[[#This Row],[Date]],'DB Details'!$A:$Q,12)=0,"",VLOOKUP(Table311[[#This Row],[Date]],'DB Details'!$A:$Q,12))</f>
        <v>64.099999999999994</v>
      </c>
      <c r="C294" s="58">
        <f>IF(VLOOKUP(Table311[[#This Row],[Date]],'DB Details'!$A:$Q,16)=0,"",VLOOKUP(Table311[[#This Row],[Date]],'DB Details'!$A:$Q,16))</f>
        <v>4.9465555692882128E-2</v>
      </c>
      <c r="D294" s="58">
        <f>IF(VLOOKUP(Table311[[#This Row],[Date]],'DB Details'!$A:$Q,15)=0,"",VLOOKUP(Table311[[#This Row],[Date]],'DB Details'!$A:$Q,15))</f>
        <v>5.7094811059921454E-3</v>
      </c>
      <c r="E294" s="58">
        <f>IF(VLOOKUP(Table311[[#This Row],[Date]],'DB Details'!$A:$Q,17)=0,"",VLOOKUP(Table311[[#This Row],[Date]],'DB Details'!$A:$Q,17))</f>
        <v>2.303425900825307E-2</v>
      </c>
    </row>
    <row r="295" spans="1:5" x14ac:dyDescent="0.35">
      <c r="A295" s="57">
        <v>44409</v>
      </c>
      <c r="B295" s="47">
        <f>IF(VLOOKUP(Table311[[#This Row],[Date]],'DB Details'!$A:$Q,12)=0,"",VLOOKUP(Table311[[#This Row],[Date]],'DB Details'!$A:$Q,12))</f>
        <v>61.7</v>
      </c>
      <c r="C295" s="58">
        <f>IF(VLOOKUP(Table311[[#This Row],[Date]],'DB Details'!$A:$Q,16)=0,"",VLOOKUP(Table311[[#This Row],[Date]],'DB Details'!$A:$Q,16))</f>
        <v>4.9465555692882128E-2</v>
      </c>
      <c r="D295" s="58">
        <f>IF(VLOOKUP(Table311[[#This Row],[Date]],'DB Details'!$A:$Q,15)=0,"",VLOOKUP(Table311[[#This Row],[Date]],'DB Details'!$A:$Q,15))</f>
        <v>5.7094811059921454E-3</v>
      </c>
      <c r="E295" s="58">
        <f>IF(VLOOKUP(Table311[[#This Row],[Date]],'DB Details'!$A:$Q,17)=0,"",VLOOKUP(Table311[[#This Row],[Date]],'DB Details'!$A:$Q,17))</f>
        <v>2.303425900825307E-2</v>
      </c>
    </row>
    <row r="296" spans="1:5" x14ac:dyDescent="0.35">
      <c r="A296" s="57">
        <v>44440</v>
      </c>
      <c r="B296" s="47">
        <f>IF(VLOOKUP(Table311[[#This Row],[Date]],'DB Details'!$A:$Q,12)=0,"",VLOOKUP(Table311[[#This Row],[Date]],'DB Details'!$A:$Q,12))</f>
        <v>61.9</v>
      </c>
      <c r="C296" s="58">
        <f>IF(VLOOKUP(Table311[[#This Row],[Date]],'DB Details'!$A:$Q,16)=0,"",VLOOKUP(Table311[[#This Row],[Date]],'DB Details'!$A:$Q,16))</f>
        <v>4.9465555692882128E-2</v>
      </c>
      <c r="D296" s="58">
        <f>IF(VLOOKUP(Table311[[#This Row],[Date]],'DB Details'!$A:$Q,15)=0,"",VLOOKUP(Table311[[#This Row],[Date]],'DB Details'!$A:$Q,15))</f>
        <v>5.7094811059921454E-3</v>
      </c>
      <c r="E296" s="58">
        <f>IF(VLOOKUP(Table311[[#This Row],[Date]],'DB Details'!$A:$Q,17)=0,"",VLOOKUP(Table311[[#This Row],[Date]],'DB Details'!$A:$Q,17))</f>
        <v>2.303425900825307E-2</v>
      </c>
    </row>
    <row r="297" spans="1:5" x14ac:dyDescent="0.35">
      <c r="A297" s="57">
        <v>44470</v>
      </c>
      <c r="B297" s="47">
        <f>IF(VLOOKUP(Table311[[#This Row],[Date]],'DB Details'!$A:$Q,12)=0,"",VLOOKUP(Table311[[#This Row],[Date]],'DB Details'!$A:$Q,12))</f>
        <v>66.7</v>
      </c>
      <c r="C297" s="58">
        <f>IF(VLOOKUP(Table311[[#This Row],[Date]],'DB Details'!$A:$Q,16)=0,"",VLOOKUP(Table311[[#This Row],[Date]],'DB Details'!$A:$Q,16))</f>
        <v>5.5317363621841711E-2</v>
      </c>
      <c r="D297" s="58">
        <f>IF(VLOOKUP(Table311[[#This Row],[Date]],'DB Details'!$A:$Q,15)=0,"",VLOOKUP(Table311[[#This Row],[Date]],'DB Details'!$A:$Q,15))</f>
        <v>1.6790943920683761E-2</v>
      </c>
      <c r="E297" s="58">
        <f>IF(VLOOKUP(Table311[[#This Row],[Date]],'DB Details'!$A:$Q,17)=0,"",VLOOKUP(Table311[[#This Row],[Date]],'DB Details'!$A:$Q,17))</f>
        <v>6.8874405829691066E-2</v>
      </c>
    </row>
    <row r="298" spans="1:5" x14ac:dyDescent="0.35">
      <c r="A298" s="57">
        <v>44501</v>
      </c>
      <c r="B298" s="47">
        <f>IF(VLOOKUP(Table311[[#This Row],[Date]],'DB Details'!$A:$Q,12)=0,"",VLOOKUP(Table311[[#This Row],[Date]],'DB Details'!$A:$Q,12))</f>
        <v>69.099999999999994</v>
      </c>
      <c r="C298" s="58">
        <f>IF(VLOOKUP(Table311[[#This Row],[Date]],'DB Details'!$A:$Q,16)=0,"",VLOOKUP(Table311[[#This Row],[Date]],'DB Details'!$A:$Q,16))</f>
        <v>5.5317363621841711E-2</v>
      </c>
      <c r="D298" s="58">
        <f>IF(VLOOKUP(Table311[[#This Row],[Date]],'DB Details'!$A:$Q,15)=0,"",VLOOKUP(Table311[[#This Row],[Date]],'DB Details'!$A:$Q,15))</f>
        <v>1.6790943920683761E-2</v>
      </c>
      <c r="E298" s="58">
        <f>IF(VLOOKUP(Table311[[#This Row],[Date]],'DB Details'!$A:$Q,17)=0,"",VLOOKUP(Table311[[#This Row],[Date]],'DB Details'!$A:$Q,17))</f>
        <v>6.8874405829691066E-2</v>
      </c>
    </row>
    <row r="299" spans="1:5" x14ac:dyDescent="0.35">
      <c r="A299" s="57">
        <v>44531</v>
      </c>
      <c r="B299" s="47">
        <f>IF(VLOOKUP(Table311[[#This Row],[Date]],'DB Details'!$A:$Q,12)=0,"",VLOOKUP(Table311[[#This Row],[Date]],'DB Details'!$A:$Q,12))</f>
        <v>62</v>
      </c>
      <c r="C299" s="58">
        <f>IF(VLOOKUP(Table311[[#This Row],[Date]],'DB Details'!$A:$Q,16)=0,"",VLOOKUP(Table311[[#This Row],[Date]],'DB Details'!$A:$Q,16))</f>
        <v>5.5317363621841711E-2</v>
      </c>
      <c r="D299" s="58">
        <f>IF(VLOOKUP(Table311[[#This Row],[Date]],'DB Details'!$A:$Q,15)=0,"",VLOOKUP(Table311[[#This Row],[Date]],'DB Details'!$A:$Q,15))</f>
        <v>1.6790943920683761E-2</v>
      </c>
      <c r="E299" s="58">
        <f>IF(VLOOKUP(Table311[[#This Row],[Date]],'DB Details'!$A:$Q,17)=0,"",VLOOKUP(Table311[[#This Row],[Date]],'DB Details'!$A:$Q,17))</f>
        <v>6.8874405829691066E-2</v>
      </c>
    </row>
    <row r="300" spans="1:5" x14ac:dyDescent="0.35">
      <c r="A300" s="57">
        <v>44562</v>
      </c>
      <c r="B300" s="47">
        <f>IF(VLOOKUP(Table311[[#This Row],[Date]],'DB Details'!$A:$Q,12)=0,"",VLOOKUP(Table311[[#This Row],[Date]],'DB Details'!$A:$Q,12))</f>
        <v>59.9</v>
      </c>
      <c r="C300" s="58">
        <f>IF(VLOOKUP(Table311[[#This Row],[Date]],'DB Details'!$A:$Q,16)=0,"",VLOOKUP(Table311[[#This Row],[Date]],'DB Details'!$A:$Q,16))</f>
        <v>5.5317363621841711E-2</v>
      </c>
      <c r="D300" s="58">
        <f>IF(VLOOKUP(Table311[[#This Row],[Date]],'DB Details'!$A:$Q,15)=0,"",VLOOKUP(Table311[[#This Row],[Date]],'DB Details'!$A:$Q,15))</f>
        <v>1.6790943920683761E-2</v>
      </c>
      <c r="E300" s="58">
        <f>IF(VLOOKUP(Table311[[#This Row],[Date]],'DB Details'!$A:$Q,17)=0,"",VLOOKUP(Table311[[#This Row],[Date]],'DB Details'!$A:$Q,17))</f>
        <v>6.8874405829691066E-2</v>
      </c>
    </row>
    <row r="301" spans="1:5" x14ac:dyDescent="0.35">
      <c r="A301" s="57">
        <v>44593</v>
      </c>
      <c r="B301" s="47">
        <f>IF(VLOOKUP(Table311[[#This Row],[Date]],'DB Details'!$A:$Q,12)=0,"",VLOOKUP(Table311[[#This Row],[Date]],'DB Details'!$A:$Q,12))</f>
        <v>56.5</v>
      </c>
      <c r="C301" s="58">
        <f>IF(VLOOKUP(Table311[[#This Row],[Date]],'DB Details'!$A:$Q,16)=0,"",VLOOKUP(Table311[[#This Row],[Date]],'DB Details'!$A:$Q,16))</f>
        <v>5.5317363621841711E-2</v>
      </c>
      <c r="D301" s="58">
        <f>IF(VLOOKUP(Table311[[#This Row],[Date]],'DB Details'!$A:$Q,15)=0,"",VLOOKUP(Table311[[#This Row],[Date]],'DB Details'!$A:$Q,15))</f>
        <v>1.6790943920683761E-2</v>
      </c>
      <c r="E301" s="58">
        <f>IF(VLOOKUP(Table311[[#This Row],[Date]],'DB Details'!$A:$Q,17)=0,"",VLOOKUP(Table311[[#This Row],[Date]],'DB Details'!$A:$Q,17))</f>
        <v>6.8874405829691066E-2</v>
      </c>
    </row>
    <row r="302" spans="1:5" x14ac:dyDescent="0.35">
      <c r="A302" s="57">
        <v>44621</v>
      </c>
      <c r="B302" s="47">
        <f>IF(VLOOKUP(Table311[[#This Row],[Date]],'DB Details'!$A:$Q,12)=0,"",VLOOKUP(Table311[[#This Row],[Date]],'DB Details'!$A:$Q,12))</f>
        <v>58.3</v>
      </c>
      <c r="C302" s="58">
        <f>IF(VLOOKUP(Table311[[#This Row],[Date]],'DB Details'!$A:$Q,16)=0,"",VLOOKUP(Table311[[#This Row],[Date]],'DB Details'!$A:$Q,16))</f>
        <v>5.5317363621841711E-2</v>
      </c>
      <c r="D302" s="58">
        <f>IF(VLOOKUP(Table311[[#This Row],[Date]],'DB Details'!$A:$Q,15)=0,"",VLOOKUP(Table311[[#This Row],[Date]],'DB Details'!$A:$Q,15))</f>
        <v>1.6790943920683761E-2</v>
      </c>
      <c r="E302" s="58">
        <f>IF(VLOOKUP(Table311[[#This Row],[Date]],'DB Details'!$A:$Q,17)=0,"",VLOOKUP(Table311[[#This Row],[Date]],'DB Details'!$A:$Q,17))</f>
        <v>6.8874405829691066E-2</v>
      </c>
    </row>
    <row r="303" spans="1:5" x14ac:dyDescent="0.35">
      <c r="A303" s="57">
        <v>44652</v>
      </c>
      <c r="B303" s="47">
        <f>IF(VLOOKUP(Table311[[#This Row],[Date]],'DB Details'!$A:$Q,12)=0,"",VLOOKUP(Table311[[#This Row],[Date]],'DB Details'!$A:$Q,12))</f>
        <v>57.1</v>
      </c>
      <c r="C303" s="58">
        <f>IF(VLOOKUP(Table311[[#This Row],[Date]],'DB Details'!$A:$Q,16)=0,"",VLOOKUP(Table311[[#This Row],[Date]],'DB Details'!$A:$Q,16))</f>
        <v>5.5317363621841711E-2</v>
      </c>
      <c r="D303" s="58">
        <f>IF(VLOOKUP(Table311[[#This Row],[Date]],'DB Details'!$A:$Q,15)=0,"",VLOOKUP(Table311[[#This Row],[Date]],'DB Details'!$A:$Q,15))</f>
        <v>1.6790943920683761E-2</v>
      </c>
      <c r="E303" s="58">
        <f>IF(VLOOKUP(Table311[[#This Row],[Date]],'DB Details'!$A:$Q,17)=0,"",VLOOKUP(Table311[[#This Row],[Date]],'DB Details'!$A:$Q,17))</f>
        <v>6.8874405829691066E-2</v>
      </c>
    </row>
    <row r="304" spans="1:5" x14ac:dyDescent="0.35">
      <c r="A304" s="57">
        <v>44682</v>
      </c>
      <c r="B304" s="47">
        <f>IF(VLOOKUP(Table311[[#This Row],[Date]],'DB Details'!$A:$Q,12)=0,"",VLOOKUP(Table311[[#This Row],[Date]],'DB Details'!$A:$Q,12))</f>
        <v>55.9</v>
      </c>
      <c r="C304" s="58">
        <f>IF(VLOOKUP(Table311[[#This Row],[Date]],'DB Details'!$A:$Q,16)=0,"",VLOOKUP(Table311[[#This Row],[Date]],'DB Details'!$A:$Q,16))</f>
        <v>5.5317363621841711E-2</v>
      </c>
      <c r="D304" s="58">
        <f>IF(VLOOKUP(Table311[[#This Row],[Date]],'DB Details'!$A:$Q,15)=0,"",VLOOKUP(Table311[[#This Row],[Date]],'DB Details'!$A:$Q,15))</f>
        <v>1.6790943920683761E-2</v>
      </c>
      <c r="E304" s="58">
        <f>IF(VLOOKUP(Table311[[#This Row],[Date]],'DB Details'!$A:$Q,17)=0,"",VLOOKUP(Table311[[#This Row],[Date]],'DB Details'!$A:$Q,17))</f>
        <v>6.8874405829691066E-2</v>
      </c>
    </row>
    <row r="305" spans="1:5" x14ac:dyDescent="0.35">
      <c r="A305" s="57">
        <v>44713</v>
      </c>
      <c r="B305" s="47">
        <f>IF(VLOOKUP(Table311[[#This Row],[Date]],'DB Details'!$A:$Q,12)=0,"",VLOOKUP(Table311[[#This Row],[Date]],'DB Details'!$A:$Q,12))</f>
        <v>55.3</v>
      </c>
      <c r="C305" s="58">
        <f>IF(VLOOKUP(Table311[[#This Row],[Date]],'DB Details'!$A:$Q,16)=0,"",VLOOKUP(Table311[[#This Row],[Date]],'DB Details'!$A:$Q,16))</f>
        <v>5.5317363621841711E-2</v>
      </c>
      <c r="D305" s="58">
        <f>IF(VLOOKUP(Table311[[#This Row],[Date]],'DB Details'!$A:$Q,15)=0,"",VLOOKUP(Table311[[#This Row],[Date]],'DB Details'!$A:$Q,15))</f>
        <v>1.6790943920683761E-2</v>
      </c>
      <c r="E305" s="58">
        <f>IF(VLOOKUP(Table311[[#This Row],[Date]],'DB Details'!$A:$Q,17)=0,"",VLOOKUP(Table311[[#This Row],[Date]],'DB Details'!$A:$Q,17))</f>
        <v>6.8874405829691066E-2</v>
      </c>
    </row>
    <row r="306" spans="1:5" x14ac:dyDescent="0.35">
      <c r="A306" s="57">
        <v>44743</v>
      </c>
      <c r="B306" s="47">
        <f>IF(VLOOKUP(Table311[[#This Row],[Date]],'DB Details'!$A:$Q,12)=0,"",VLOOKUP(Table311[[#This Row],[Date]],'DB Details'!$A:$Q,12))</f>
        <v>56.7</v>
      </c>
      <c r="C306" s="58">
        <f>IF(VLOOKUP(Table311[[#This Row],[Date]],'DB Details'!$A:$Q,16)=0,"",VLOOKUP(Table311[[#This Row],[Date]],'DB Details'!$A:$Q,16))</f>
        <v>5.5317363621841711E-2</v>
      </c>
      <c r="D306" s="58">
        <f>IF(VLOOKUP(Table311[[#This Row],[Date]],'DB Details'!$A:$Q,15)=0,"",VLOOKUP(Table311[[#This Row],[Date]],'DB Details'!$A:$Q,15))</f>
        <v>1.6790943920683761E-2</v>
      </c>
      <c r="E306" s="58">
        <f>IF(VLOOKUP(Table311[[#This Row],[Date]],'DB Details'!$A:$Q,17)=0,"",VLOOKUP(Table311[[#This Row],[Date]],'DB Details'!$A:$Q,17))</f>
        <v>6.8874405829691066E-2</v>
      </c>
    </row>
    <row r="307" spans="1:5" x14ac:dyDescent="0.35">
      <c r="A307" s="57">
        <v>44774</v>
      </c>
      <c r="B307" s="47">
        <f>IF(VLOOKUP(Table311[[#This Row],[Date]],'DB Details'!$A:$Q,12)=0,"",VLOOKUP(Table311[[#This Row],[Date]],'DB Details'!$A:$Q,12))</f>
        <v>56.9</v>
      </c>
      <c r="C307" s="58">
        <f>IF(VLOOKUP(Table311[[#This Row],[Date]],'DB Details'!$A:$Q,16)=0,"",VLOOKUP(Table311[[#This Row],[Date]],'DB Details'!$A:$Q,16))</f>
        <v>5.5317363621841711E-2</v>
      </c>
      <c r="D307" s="58">
        <f>IF(VLOOKUP(Table311[[#This Row],[Date]],'DB Details'!$A:$Q,15)=0,"",VLOOKUP(Table311[[#This Row],[Date]],'DB Details'!$A:$Q,15))</f>
        <v>1.6790943920683761E-2</v>
      </c>
      <c r="E307" s="58">
        <f>IF(VLOOKUP(Table311[[#This Row],[Date]],'DB Details'!$A:$Q,17)=0,"",VLOOKUP(Table311[[#This Row],[Date]],'DB Details'!$A:$Q,17))</f>
        <v>6.8874405829691066E-2</v>
      </c>
    </row>
    <row r="308" spans="1:5" x14ac:dyDescent="0.35">
      <c r="A308" s="57">
        <v>44805</v>
      </c>
      <c r="B308" s="47">
        <f>IF(VLOOKUP(Table311[[#This Row],[Date]],'DB Details'!$A:$Q,12)=0,"",VLOOKUP(Table311[[#This Row],[Date]],'DB Details'!$A:$Q,12))</f>
        <v>56.7</v>
      </c>
      <c r="C308" s="58">
        <f>IF(VLOOKUP(Table311[[#This Row],[Date]],'DB Details'!$A:$Q,16)=0,"",VLOOKUP(Table311[[#This Row],[Date]],'DB Details'!$A:$Q,16))</f>
        <v>5.5317363621841711E-2</v>
      </c>
      <c r="D308" s="58">
        <f>IF(VLOOKUP(Table311[[#This Row],[Date]],'DB Details'!$A:$Q,15)=0,"",VLOOKUP(Table311[[#This Row],[Date]],'DB Details'!$A:$Q,15))</f>
        <v>1.6790943920683761E-2</v>
      </c>
      <c r="E308" s="58">
        <f>IF(VLOOKUP(Table311[[#This Row],[Date]],'DB Details'!$A:$Q,17)=0,"",VLOOKUP(Table311[[#This Row],[Date]],'DB Details'!$A:$Q,17))</f>
        <v>6.8874405829691066E-2</v>
      </c>
    </row>
    <row r="309" spans="1:5" x14ac:dyDescent="0.35">
      <c r="A309" s="57">
        <v>44835</v>
      </c>
      <c r="B309" s="47">
        <f>IF(VLOOKUP(Table311[[#This Row],[Date]],'DB Details'!$A:$Q,12)=0,"",VLOOKUP(Table311[[#This Row],[Date]],'DB Details'!$A:$Q,12))</f>
        <v>54.4</v>
      </c>
      <c r="C309" s="58">
        <f>IF(VLOOKUP(Table311[[#This Row],[Date]],'DB Details'!$A:$Q,16)=0,"",VLOOKUP(Table311[[#This Row],[Date]],'DB Details'!$A:$Q,16))</f>
        <v>5.5317363621841711E-2</v>
      </c>
      <c r="D309" s="58">
        <f>IF(VLOOKUP(Table311[[#This Row],[Date]],'DB Details'!$A:$Q,15)=0,"",VLOOKUP(Table311[[#This Row],[Date]],'DB Details'!$A:$Q,15))</f>
        <v>1.6790943920683761E-2</v>
      </c>
      <c r="E309" s="58">
        <f>IF(VLOOKUP(Table311[[#This Row],[Date]],'DB Details'!$A:$Q,17)=0,"",VLOOKUP(Table311[[#This Row],[Date]],'DB Details'!$A:$Q,17))</f>
        <v>6.8874405829691066E-2</v>
      </c>
    </row>
    <row r="310" spans="1:5" x14ac:dyDescent="0.35">
      <c r="A310" s="57">
        <v>44866</v>
      </c>
      <c r="B310" s="47">
        <f>IF(VLOOKUP(Table311[[#This Row],[Date]],'DB Details'!$A:$Q,12)=0,"",VLOOKUP(Table311[[#This Row],[Date]],'DB Details'!$A:$Q,12))</f>
        <v>56.5</v>
      </c>
      <c r="C310" s="58">
        <f>IF(VLOOKUP(Table311[[#This Row],[Date]],'DB Details'!$A:$Q,16)=0,"",VLOOKUP(Table311[[#This Row],[Date]],'DB Details'!$A:$Q,16))</f>
        <v>5.5317363621841711E-2</v>
      </c>
      <c r="D310" s="58">
        <f>IF(VLOOKUP(Table311[[#This Row],[Date]],'DB Details'!$A:$Q,15)=0,"",VLOOKUP(Table311[[#This Row],[Date]],'DB Details'!$A:$Q,15))</f>
        <v>1.6790943920683761E-2</v>
      </c>
      <c r="E310" s="58">
        <f>IF(VLOOKUP(Table311[[#This Row],[Date]],'DB Details'!$A:$Q,17)=0,"",VLOOKUP(Table311[[#This Row],[Date]],'DB Details'!$A:$Q,17))</f>
        <v>6.8874405829691066E-2</v>
      </c>
    </row>
    <row r="311" spans="1:5" x14ac:dyDescent="0.35">
      <c r="A311" s="57">
        <v>44896</v>
      </c>
      <c r="B311" s="47">
        <f>IF(VLOOKUP(Table311[[#This Row],[Date]],'DB Details'!$A:$Q,12)=0,"",VLOOKUP(Table311[[#This Row],[Date]],'DB Details'!$A:$Q,12))</f>
        <v>49.6</v>
      </c>
      <c r="C311" s="58">
        <f>IF(VLOOKUP(Table311[[#This Row],[Date]],'DB Details'!$A:$Q,16)=0,"",VLOOKUP(Table311[[#This Row],[Date]],'DB Details'!$A:$Q,16))</f>
        <v>5.5317363621841711E-2</v>
      </c>
      <c r="D311" s="58">
        <f>IF(VLOOKUP(Table311[[#This Row],[Date]],'DB Details'!$A:$Q,15)=0,"",VLOOKUP(Table311[[#This Row],[Date]],'DB Details'!$A:$Q,15))</f>
        <v>1.6790943920683761E-2</v>
      </c>
      <c r="E311" s="58">
        <f>IF(VLOOKUP(Table311[[#This Row],[Date]],'DB Details'!$A:$Q,17)=0,"",VLOOKUP(Table311[[#This Row],[Date]],'DB Details'!$A:$Q,17))</f>
        <v>6.8874405829691066E-2</v>
      </c>
    </row>
    <row r="312" spans="1:5" x14ac:dyDescent="0.35">
      <c r="A312" s="57">
        <v>44927</v>
      </c>
      <c r="B312" s="47">
        <f>IF(VLOOKUP(Table311[[#This Row],[Date]],'DB Details'!$A:$Q,12)=0,"",VLOOKUP(Table311[[#This Row],[Date]],'DB Details'!$A:$Q,12))</f>
        <v>55.2</v>
      </c>
      <c r="C312" s="58">
        <f>IF(VLOOKUP(Table311[[#This Row],[Date]],'DB Details'!$A:$Q,16)=0,"",VLOOKUP(Table311[[#This Row],[Date]],'DB Details'!$A:$Q,16))</f>
        <v>5.5317363621841711E-2</v>
      </c>
      <c r="D312" s="58">
        <f>IF(VLOOKUP(Table311[[#This Row],[Date]],'DB Details'!$A:$Q,15)=0,"",VLOOKUP(Table311[[#This Row],[Date]],'DB Details'!$A:$Q,15))</f>
        <v>1.6790943920683761E-2</v>
      </c>
      <c r="E312" s="58">
        <f>IF(VLOOKUP(Table311[[#This Row],[Date]],'DB Details'!$A:$Q,17)=0,"",VLOOKUP(Table311[[#This Row],[Date]],'DB Details'!$A:$Q,17))</f>
        <v>6.8874405829691066E-2</v>
      </c>
    </row>
  </sheetData>
  <conditionalFormatting sqref="B156:B312">
    <cfRule type="colorScale" priority="2">
      <colorScale>
        <cfvo type="min"/>
        <cfvo type="percentile" val="50"/>
        <cfvo type="max"/>
        <color rgb="FFF8696B"/>
        <color rgb="FFFFEB84"/>
        <color rgb="FF63BE7B"/>
      </colorScale>
    </cfRule>
  </conditionalFormatting>
  <conditionalFormatting sqref="E156:E3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312"/>
  <sheetViews>
    <sheetView zoomScale="120" zoomScaleNormal="120" workbookViewId="0">
      <pane ySplit="5" topLeftCell="A294" activePane="bottomLeft" state="frozen"/>
      <selection activeCell="P256" sqref="P256"/>
      <selection pane="bottomLeft" activeCell="C314" sqref="C314"/>
    </sheetView>
  </sheetViews>
  <sheetFormatPr defaultColWidth="9.1796875" defaultRowHeight="14.5" x14ac:dyDescent="0.35"/>
  <cols>
    <col min="1" max="1" width="18.36328125" style="62" customWidth="1"/>
    <col min="2" max="3" width="11" style="62" customWidth="1"/>
    <col min="4" max="6" width="9.1796875" style="62" customWidth="1"/>
    <col min="7" max="7" width="12.81640625" style="62" customWidth="1"/>
    <col min="8" max="8" width="14.453125" style="62" customWidth="1"/>
    <col min="9" max="9" width="9.1796875" style="62" customWidth="1"/>
    <col min="10" max="10" width="14.81640625" style="62" customWidth="1"/>
    <col min="11" max="36" width="9.1796875" style="62" customWidth="1"/>
    <col min="37" max="16384" width="9.1796875" style="62"/>
  </cols>
  <sheetData>
    <row r="1" spans="1:9" x14ac:dyDescent="0.35">
      <c r="A1" s="25" t="s">
        <v>14</v>
      </c>
      <c r="I1" s="42"/>
    </row>
    <row r="2" spans="1:9" x14ac:dyDescent="0.35">
      <c r="B2" s="42"/>
      <c r="C2" s="42"/>
    </row>
    <row r="3" spans="1:9" x14ac:dyDescent="0.35">
      <c r="B3" s="42"/>
      <c r="C3" s="42"/>
    </row>
    <row r="4" spans="1:9" ht="16" customHeight="1" thickBot="1" x14ac:dyDescent="0.4">
      <c r="B4" s="42"/>
      <c r="C4" s="42"/>
    </row>
    <row r="5" spans="1:9" x14ac:dyDescent="0.35">
      <c r="A5" s="59" t="s">
        <v>77</v>
      </c>
      <c r="B5" s="60" t="s">
        <v>14</v>
      </c>
      <c r="C5" s="61" t="s">
        <v>82</v>
      </c>
    </row>
    <row r="6" spans="1:9" x14ac:dyDescent="0.35">
      <c r="A6" s="46">
        <v>35612</v>
      </c>
      <c r="B6" s="51">
        <f>IF(VLOOKUP(Table9[[#This Row],[Date]],'DB Details'!$A:$Q,12)=0,"",VLOOKUP(Table9[[#This Row],[Date]],'DB Details'!$A:$Q,12))</f>
        <v>56.7</v>
      </c>
      <c r="C6" s="51"/>
    </row>
    <row r="7" spans="1:9" x14ac:dyDescent="0.35">
      <c r="A7" s="50">
        <v>35643</v>
      </c>
      <c r="B7" s="51">
        <f>IF(VLOOKUP(Table9[[#This Row],[Date]],'DB Details'!$A:$Q,12)=0,"",VLOOKUP(Table9[[#This Row],[Date]],'DB Details'!$A:$Q,12))</f>
        <v>62</v>
      </c>
      <c r="C7" s="51">
        <f>Table9[[#This Row],[ISM Services]]-B6</f>
        <v>5.2999999999999972</v>
      </c>
    </row>
    <row r="8" spans="1:9" x14ac:dyDescent="0.35">
      <c r="A8" s="46">
        <v>35674</v>
      </c>
      <c r="B8" s="51">
        <f>IF(VLOOKUP(Table9[[#This Row],[Date]],'DB Details'!$A:$Q,12)=0,"",VLOOKUP(Table9[[#This Row],[Date]],'DB Details'!$A:$Q,12))</f>
        <v>56.2</v>
      </c>
      <c r="C8" s="51">
        <f>Table9[[#This Row],[ISM Services]]-B7</f>
        <v>-5.7999999999999972</v>
      </c>
    </row>
    <row r="9" spans="1:9" x14ac:dyDescent="0.35">
      <c r="A9" s="50">
        <v>35704</v>
      </c>
      <c r="B9" s="51">
        <f>IF(VLOOKUP(Table9[[#This Row],[Date]],'DB Details'!$A:$Q,12)=0,"",VLOOKUP(Table9[[#This Row],[Date]],'DB Details'!$A:$Q,12))</f>
        <v>56.6</v>
      </c>
      <c r="C9" s="51">
        <f>Table9[[#This Row],[ISM Services]]-B8</f>
        <v>0.39999999999999858</v>
      </c>
    </row>
    <row r="10" spans="1:9" x14ac:dyDescent="0.35">
      <c r="A10" s="46">
        <v>35735</v>
      </c>
      <c r="B10" s="51">
        <f>IF(VLOOKUP(Table9[[#This Row],[Date]],'DB Details'!$A:$Q,12)=0,"",VLOOKUP(Table9[[#This Row],[Date]],'DB Details'!$A:$Q,12))</f>
        <v>58.5</v>
      </c>
      <c r="C10" s="51">
        <f>Table9[[#This Row],[ISM Services]]-B9</f>
        <v>1.8999999999999986</v>
      </c>
    </row>
    <row r="11" spans="1:9" x14ac:dyDescent="0.35">
      <c r="A11" s="50">
        <v>35765</v>
      </c>
      <c r="B11" s="51">
        <f>IF(VLOOKUP(Table9[[#This Row],[Date]],'DB Details'!$A:$Q,12)=0,"",VLOOKUP(Table9[[#This Row],[Date]],'DB Details'!$A:$Q,12))</f>
        <v>55.5</v>
      </c>
      <c r="C11" s="51">
        <f>Table9[[#This Row],[ISM Services]]-B10</f>
        <v>-3</v>
      </c>
    </row>
    <row r="12" spans="1:9" x14ac:dyDescent="0.35">
      <c r="A12" s="46">
        <v>35796</v>
      </c>
      <c r="B12" s="51">
        <f>IF(VLOOKUP(Table9[[#This Row],[Date]],'DB Details'!$A:$Q,12)=0,"",VLOOKUP(Table9[[#This Row],[Date]],'DB Details'!$A:$Q,12))</f>
        <v>57</v>
      </c>
      <c r="C12" s="51">
        <f>Table9[[#This Row],[ISM Services]]-B11</f>
        <v>1.5</v>
      </c>
    </row>
    <row r="13" spans="1:9" x14ac:dyDescent="0.35">
      <c r="A13" s="50">
        <v>35827</v>
      </c>
      <c r="B13" s="51">
        <f>IF(VLOOKUP(Table9[[#This Row],[Date]],'DB Details'!$A:$Q,12)=0,"",VLOOKUP(Table9[[#This Row],[Date]],'DB Details'!$A:$Q,12))</f>
        <v>56.2</v>
      </c>
      <c r="C13" s="51">
        <f>Table9[[#This Row],[ISM Services]]-B12</f>
        <v>-0.79999999999999716</v>
      </c>
    </row>
    <row r="14" spans="1:9" x14ac:dyDescent="0.35">
      <c r="A14" s="46">
        <v>35855</v>
      </c>
      <c r="B14" s="51">
        <f>IF(VLOOKUP(Table9[[#This Row],[Date]],'DB Details'!$A:$Q,12)=0,"",VLOOKUP(Table9[[#This Row],[Date]],'DB Details'!$A:$Q,12))</f>
        <v>54.7</v>
      </c>
      <c r="C14" s="51">
        <f>Table9[[#This Row],[ISM Services]]-B13</f>
        <v>-1.5</v>
      </c>
    </row>
    <row r="15" spans="1:9" x14ac:dyDescent="0.35">
      <c r="A15" s="50">
        <v>35886</v>
      </c>
      <c r="B15" s="51">
        <f>IF(VLOOKUP(Table9[[#This Row],[Date]],'DB Details'!$A:$Q,12)=0,"",VLOOKUP(Table9[[#This Row],[Date]],'DB Details'!$A:$Q,12))</f>
        <v>54.9</v>
      </c>
      <c r="C15" s="51">
        <f>Table9[[#This Row],[ISM Services]]-B14</f>
        <v>0.19999999999999574</v>
      </c>
    </row>
    <row r="16" spans="1:9" x14ac:dyDescent="0.35">
      <c r="A16" s="50">
        <v>35916</v>
      </c>
      <c r="B16" s="51">
        <f>IF(VLOOKUP(Table9[[#This Row],[Date]],'DB Details'!$A:$Q,12)=0,"",VLOOKUP(Table9[[#This Row],[Date]],'DB Details'!$A:$Q,12))</f>
        <v>56.2</v>
      </c>
      <c r="C16" s="51">
        <f>Table9[[#This Row],[ISM Services]]-B15</f>
        <v>1.3000000000000043</v>
      </c>
    </row>
    <row r="17" spans="1:3" x14ac:dyDescent="0.35">
      <c r="A17" s="50">
        <v>35947</v>
      </c>
      <c r="B17" s="51">
        <f>IF(VLOOKUP(Table9[[#This Row],[Date]],'DB Details'!$A:$Q,12)=0,"",VLOOKUP(Table9[[#This Row],[Date]],'DB Details'!$A:$Q,12))</f>
        <v>55.1</v>
      </c>
      <c r="C17" s="51">
        <f>Table9[[#This Row],[ISM Services]]-B16</f>
        <v>-1.1000000000000014</v>
      </c>
    </row>
    <row r="18" spans="1:3" x14ac:dyDescent="0.35">
      <c r="A18" s="50">
        <v>35977</v>
      </c>
      <c r="B18" s="51">
        <f>IF(VLOOKUP(Table9[[#This Row],[Date]],'DB Details'!$A:$Q,12)=0,"",VLOOKUP(Table9[[#This Row],[Date]],'DB Details'!$A:$Q,12))</f>
        <v>55.8</v>
      </c>
      <c r="C18" s="51">
        <f>Table9[[#This Row],[ISM Services]]-B17</f>
        <v>0.69999999999999574</v>
      </c>
    </row>
    <row r="19" spans="1:3" x14ac:dyDescent="0.35">
      <c r="A19" s="50">
        <v>36008</v>
      </c>
      <c r="B19" s="51">
        <f>IF(VLOOKUP(Table9[[#This Row],[Date]],'DB Details'!$A:$Q,12)=0,"",VLOOKUP(Table9[[#This Row],[Date]],'DB Details'!$A:$Q,12))</f>
        <v>53.5</v>
      </c>
      <c r="C19" s="51">
        <f>Table9[[#This Row],[ISM Services]]-B18</f>
        <v>-2.2999999999999972</v>
      </c>
    </row>
    <row r="20" spans="1:3" x14ac:dyDescent="0.35">
      <c r="A20" s="50">
        <v>36039</v>
      </c>
      <c r="B20" s="51">
        <f>IF(VLOOKUP(Table9[[#This Row],[Date]],'DB Details'!$A:$Q,12)=0,"",VLOOKUP(Table9[[#This Row],[Date]],'DB Details'!$A:$Q,12))</f>
        <v>55</v>
      </c>
      <c r="C20" s="51">
        <f>Table9[[#This Row],[ISM Services]]-B19</f>
        <v>1.5</v>
      </c>
    </row>
    <row r="21" spans="1:3" x14ac:dyDescent="0.35">
      <c r="A21" s="50">
        <v>36069</v>
      </c>
      <c r="B21" s="51">
        <f>IF(VLOOKUP(Table9[[#This Row],[Date]],'DB Details'!$A:$Q,12)=0,"",VLOOKUP(Table9[[#This Row],[Date]],'DB Details'!$A:$Q,12))</f>
        <v>53.8</v>
      </c>
      <c r="C21" s="51">
        <f>Table9[[#This Row],[ISM Services]]-B20</f>
        <v>-1.2000000000000028</v>
      </c>
    </row>
    <row r="22" spans="1:3" x14ac:dyDescent="0.35">
      <c r="A22" s="50">
        <v>36100</v>
      </c>
      <c r="B22" s="51">
        <f>IF(VLOOKUP(Table9[[#This Row],[Date]],'DB Details'!$A:$Q,12)=0,"",VLOOKUP(Table9[[#This Row],[Date]],'DB Details'!$A:$Q,12))</f>
        <v>52.6</v>
      </c>
      <c r="C22" s="51">
        <f>Table9[[#This Row],[ISM Services]]-B21</f>
        <v>-1.1999999999999957</v>
      </c>
    </row>
    <row r="23" spans="1:3" x14ac:dyDescent="0.35">
      <c r="A23" s="50">
        <v>36130</v>
      </c>
      <c r="B23" s="51">
        <f>IF(VLOOKUP(Table9[[#This Row],[Date]],'DB Details'!$A:$Q,12)=0,"",VLOOKUP(Table9[[#This Row],[Date]],'DB Details'!$A:$Q,12))</f>
        <v>52.9</v>
      </c>
      <c r="C23" s="51">
        <f>Table9[[#This Row],[ISM Services]]-B22</f>
        <v>0.29999999999999716</v>
      </c>
    </row>
    <row r="24" spans="1:3" x14ac:dyDescent="0.35">
      <c r="A24" s="50">
        <v>36161</v>
      </c>
      <c r="B24" s="51">
        <f>IF(VLOOKUP(Table9[[#This Row],[Date]],'DB Details'!$A:$Q,12)=0,"",VLOOKUP(Table9[[#This Row],[Date]],'DB Details'!$A:$Q,12))</f>
        <v>55.6</v>
      </c>
      <c r="C24" s="51">
        <f>Table9[[#This Row],[ISM Services]]-B23</f>
        <v>2.7000000000000028</v>
      </c>
    </row>
    <row r="25" spans="1:3" x14ac:dyDescent="0.35">
      <c r="A25" s="50">
        <v>36192</v>
      </c>
      <c r="B25" s="51">
        <f>IF(VLOOKUP(Table9[[#This Row],[Date]],'DB Details'!$A:$Q,12)=0,"",VLOOKUP(Table9[[#This Row],[Date]],'DB Details'!$A:$Q,12))</f>
        <v>54.4</v>
      </c>
      <c r="C25" s="51">
        <f>Table9[[#This Row],[ISM Services]]-B24</f>
        <v>-1.2000000000000028</v>
      </c>
    </row>
    <row r="26" spans="1:3" x14ac:dyDescent="0.35">
      <c r="A26" s="50">
        <v>36220</v>
      </c>
      <c r="B26" s="51">
        <f>IF(VLOOKUP(Table9[[#This Row],[Date]],'DB Details'!$A:$Q,12)=0,"",VLOOKUP(Table9[[#This Row],[Date]],'DB Details'!$A:$Q,12))</f>
        <v>55.3</v>
      </c>
      <c r="C26" s="51">
        <f>Table9[[#This Row],[ISM Services]]-B25</f>
        <v>0.89999999999999858</v>
      </c>
    </row>
    <row r="27" spans="1:3" x14ac:dyDescent="0.35">
      <c r="A27" s="50">
        <v>36251</v>
      </c>
      <c r="B27" s="51">
        <f>IF(VLOOKUP(Table9[[#This Row],[Date]],'DB Details'!$A:$Q,12)=0,"",VLOOKUP(Table9[[#This Row],[Date]],'DB Details'!$A:$Q,12))</f>
        <v>55.5</v>
      </c>
      <c r="C27" s="51">
        <f>Table9[[#This Row],[ISM Services]]-B26</f>
        <v>0.20000000000000284</v>
      </c>
    </row>
    <row r="28" spans="1:3" x14ac:dyDescent="0.35">
      <c r="A28" s="50">
        <v>36281</v>
      </c>
      <c r="B28" s="51">
        <f>IF(VLOOKUP(Table9[[#This Row],[Date]],'DB Details'!$A:$Q,12)=0,"",VLOOKUP(Table9[[#This Row],[Date]],'DB Details'!$A:$Q,12))</f>
        <v>55.3</v>
      </c>
      <c r="C28" s="51">
        <f>Table9[[#This Row],[ISM Services]]-B27</f>
        <v>-0.20000000000000284</v>
      </c>
    </row>
    <row r="29" spans="1:3" x14ac:dyDescent="0.35">
      <c r="A29" s="50">
        <v>36312</v>
      </c>
      <c r="B29" s="51">
        <f>IF(VLOOKUP(Table9[[#This Row],[Date]],'DB Details'!$A:$Q,12)=0,"",VLOOKUP(Table9[[#This Row],[Date]],'DB Details'!$A:$Q,12))</f>
        <v>56.7</v>
      </c>
      <c r="C29" s="51">
        <f>Table9[[#This Row],[ISM Services]]-B28</f>
        <v>1.4000000000000057</v>
      </c>
    </row>
    <row r="30" spans="1:3" x14ac:dyDescent="0.35">
      <c r="A30" s="50">
        <v>36342</v>
      </c>
      <c r="B30" s="51">
        <f>IF(VLOOKUP(Table9[[#This Row],[Date]],'DB Details'!$A:$Q,12)=0,"",VLOOKUP(Table9[[#This Row],[Date]],'DB Details'!$A:$Q,12))</f>
        <v>56.2</v>
      </c>
      <c r="C30" s="51">
        <f>Table9[[#This Row],[ISM Services]]-B29</f>
        <v>-0.5</v>
      </c>
    </row>
    <row r="31" spans="1:3" x14ac:dyDescent="0.35">
      <c r="A31" s="50">
        <v>36373</v>
      </c>
      <c r="B31" s="51">
        <f>IF(VLOOKUP(Table9[[#This Row],[Date]],'DB Details'!$A:$Q,12)=0,"",VLOOKUP(Table9[[#This Row],[Date]],'DB Details'!$A:$Q,12))</f>
        <v>56.4</v>
      </c>
      <c r="C31" s="51">
        <f>Table9[[#This Row],[ISM Services]]-B30</f>
        <v>0.19999999999999574</v>
      </c>
    </row>
    <row r="32" spans="1:3" x14ac:dyDescent="0.35">
      <c r="A32" s="50">
        <v>36404</v>
      </c>
      <c r="B32" s="51">
        <f>IF(VLOOKUP(Table9[[#This Row],[Date]],'DB Details'!$A:$Q,12)=0,"",VLOOKUP(Table9[[#This Row],[Date]],'DB Details'!$A:$Q,12))</f>
        <v>56.2</v>
      </c>
      <c r="C32" s="51">
        <f>Table9[[#This Row],[ISM Services]]-B31</f>
        <v>-0.19999999999999574</v>
      </c>
    </row>
    <row r="33" spans="1:3" x14ac:dyDescent="0.35">
      <c r="A33" s="50">
        <v>36434</v>
      </c>
      <c r="B33" s="51">
        <f>IF(VLOOKUP(Table9[[#This Row],[Date]],'DB Details'!$A:$Q,12)=0,"",VLOOKUP(Table9[[#This Row],[Date]],'DB Details'!$A:$Q,12))</f>
        <v>57.6</v>
      </c>
      <c r="C33" s="51">
        <f>Table9[[#This Row],[ISM Services]]-B32</f>
        <v>1.3999999999999986</v>
      </c>
    </row>
    <row r="34" spans="1:3" x14ac:dyDescent="0.35">
      <c r="A34" s="50">
        <v>36465</v>
      </c>
      <c r="B34" s="51">
        <f>IF(VLOOKUP(Table9[[#This Row],[Date]],'DB Details'!$A:$Q,12)=0,"",VLOOKUP(Table9[[#This Row],[Date]],'DB Details'!$A:$Q,12))</f>
        <v>54.9</v>
      </c>
      <c r="C34" s="51">
        <f>Table9[[#This Row],[ISM Services]]-B33</f>
        <v>-2.7000000000000028</v>
      </c>
    </row>
    <row r="35" spans="1:3" x14ac:dyDescent="0.35">
      <c r="A35" s="50">
        <v>36495</v>
      </c>
      <c r="B35" s="51">
        <f>IF(VLOOKUP(Table9[[#This Row],[Date]],'DB Details'!$A:$Q,12)=0,"",VLOOKUP(Table9[[#This Row],[Date]],'DB Details'!$A:$Q,12))</f>
        <v>56.9</v>
      </c>
      <c r="C35" s="51">
        <f>Table9[[#This Row],[ISM Services]]-B34</f>
        <v>2</v>
      </c>
    </row>
    <row r="36" spans="1:3" x14ac:dyDescent="0.35">
      <c r="A36" s="50">
        <v>36526</v>
      </c>
      <c r="B36" s="51">
        <f>IF(VLOOKUP(Table9[[#This Row],[Date]],'DB Details'!$A:$Q,12)=0,"",VLOOKUP(Table9[[#This Row],[Date]],'DB Details'!$A:$Q,12))</f>
        <v>56.6</v>
      </c>
      <c r="C36" s="51">
        <f>Table9[[#This Row],[ISM Services]]-B35</f>
        <v>-0.29999999999999716</v>
      </c>
    </row>
    <row r="37" spans="1:3" x14ac:dyDescent="0.35">
      <c r="A37" s="50">
        <v>36557</v>
      </c>
      <c r="B37" s="51">
        <f>IF(VLOOKUP(Table9[[#This Row],[Date]],'DB Details'!$A:$Q,12)=0,"",VLOOKUP(Table9[[#This Row],[Date]],'DB Details'!$A:$Q,12))</f>
        <v>56.2</v>
      </c>
      <c r="C37" s="51">
        <f>Table9[[#This Row],[ISM Services]]-B36</f>
        <v>-0.39999999999999858</v>
      </c>
    </row>
    <row r="38" spans="1:3" x14ac:dyDescent="0.35">
      <c r="A38" s="50">
        <v>36586</v>
      </c>
      <c r="B38" s="51">
        <f>IF(VLOOKUP(Table9[[#This Row],[Date]],'DB Details'!$A:$Q,12)=0,"",VLOOKUP(Table9[[#This Row],[Date]],'DB Details'!$A:$Q,12))</f>
        <v>57.4</v>
      </c>
      <c r="C38" s="51">
        <f>Table9[[#This Row],[ISM Services]]-B37</f>
        <v>1.1999999999999957</v>
      </c>
    </row>
    <row r="39" spans="1:3" x14ac:dyDescent="0.35">
      <c r="A39" s="50">
        <v>36617</v>
      </c>
      <c r="B39" s="51">
        <f>IF(VLOOKUP(Table9[[#This Row],[Date]],'DB Details'!$A:$Q,12)=0,"",VLOOKUP(Table9[[#This Row],[Date]],'DB Details'!$A:$Q,12))</f>
        <v>58</v>
      </c>
      <c r="C39" s="51">
        <f>Table9[[#This Row],[ISM Services]]-B38</f>
        <v>0.60000000000000142</v>
      </c>
    </row>
    <row r="40" spans="1:3" x14ac:dyDescent="0.35">
      <c r="A40" s="50">
        <v>36647</v>
      </c>
      <c r="B40" s="51">
        <f>IF(VLOOKUP(Table9[[#This Row],[Date]],'DB Details'!$A:$Q,12)=0,"",VLOOKUP(Table9[[#This Row],[Date]],'DB Details'!$A:$Q,12))</f>
        <v>57.7</v>
      </c>
      <c r="C40" s="51">
        <f>Table9[[#This Row],[ISM Services]]-B39</f>
        <v>-0.29999999999999716</v>
      </c>
    </row>
    <row r="41" spans="1:3" x14ac:dyDescent="0.35">
      <c r="A41" s="50">
        <v>36678</v>
      </c>
      <c r="B41" s="51">
        <f>IF(VLOOKUP(Table9[[#This Row],[Date]],'DB Details'!$A:$Q,12)=0,"",VLOOKUP(Table9[[#This Row],[Date]],'DB Details'!$A:$Q,12))</f>
        <v>56.9</v>
      </c>
      <c r="C41" s="51">
        <f>Table9[[#This Row],[ISM Services]]-B40</f>
        <v>-0.80000000000000426</v>
      </c>
    </row>
    <row r="42" spans="1:3" x14ac:dyDescent="0.35">
      <c r="A42" s="50">
        <v>36708</v>
      </c>
      <c r="B42" s="51">
        <f>IF(VLOOKUP(Table9[[#This Row],[Date]],'DB Details'!$A:$Q,12)=0,"",VLOOKUP(Table9[[#This Row],[Date]],'DB Details'!$A:$Q,12))</f>
        <v>55.3</v>
      </c>
      <c r="C42" s="51">
        <f>Table9[[#This Row],[ISM Services]]-B41</f>
        <v>-1.6000000000000014</v>
      </c>
    </row>
    <row r="43" spans="1:3" x14ac:dyDescent="0.35">
      <c r="A43" s="50">
        <v>36739</v>
      </c>
      <c r="B43" s="51">
        <f>IF(VLOOKUP(Table9[[#This Row],[Date]],'DB Details'!$A:$Q,12)=0,"",VLOOKUP(Table9[[#This Row],[Date]],'DB Details'!$A:$Q,12))</f>
        <v>57.6</v>
      </c>
      <c r="C43" s="51">
        <f>Table9[[#This Row],[ISM Services]]-B42</f>
        <v>2.3000000000000043</v>
      </c>
    </row>
    <row r="44" spans="1:3" x14ac:dyDescent="0.35">
      <c r="A44" s="50">
        <v>36770</v>
      </c>
      <c r="B44" s="51">
        <f>IF(VLOOKUP(Table9[[#This Row],[Date]],'DB Details'!$A:$Q,12)=0,"",VLOOKUP(Table9[[#This Row],[Date]],'DB Details'!$A:$Q,12))</f>
        <v>56.7</v>
      </c>
      <c r="C44" s="51">
        <f>Table9[[#This Row],[ISM Services]]-B43</f>
        <v>-0.89999999999999858</v>
      </c>
    </row>
    <row r="45" spans="1:3" x14ac:dyDescent="0.35">
      <c r="A45" s="50">
        <v>36800</v>
      </c>
      <c r="B45" s="51">
        <f>IF(VLOOKUP(Table9[[#This Row],[Date]],'DB Details'!$A:$Q,12)=0,"",VLOOKUP(Table9[[#This Row],[Date]],'DB Details'!$A:$Q,12))</f>
        <v>56.7</v>
      </c>
      <c r="C45" s="51">
        <f>Table9[[#This Row],[ISM Services]]-B44</f>
        <v>0</v>
      </c>
    </row>
    <row r="46" spans="1:3" x14ac:dyDescent="0.35">
      <c r="A46" s="50">
        <v>36831</v>
      </c>
      <c r="B46" s="51">
        <f>IF(VLOOKUP(Table9[[#This Row],[Date]],'DB Details'!$A:$Q,12)=0,"",VLOOKUP(Table9[[#This Row],[Date]],'DB Details'!$A:$Q,12))</f>
        <v>56.2</v>
      </c>
      <c r="C46" s="51">
        <f>Table9[[#This Row],[ISM Services]]-B45</f>
        <v>-0.5</v>
      </c>
    </row>
    <row r="47" spans="1:3" x14ac:dyDescent="0.35">
      <c r="A47" s="50">
        <v>36861</v>
      </c>
      <c r="B47" s="51">
        <f>IF(VLOOKUP(Table9[[#This Row],[Date]],'DB Details'!$A:$Q,12)=0,"",VLOOKUP(Table9[[#This Row],[Date]],'DB Details'!$A:$Q,12))</f>
        <v>54</v>
      </c>
      <c r="C47" s="51">
        <f>Table9[[#This Row],[ISM Services]]-B46</f>
        <v>-2.2000000000000028</v>
      </c>
    </row>
    <row r="48" spans="1:3" x14ac:dyDescent="0.35">
      <c r="A48" s="50">
        <v>36892</v>
      </c>
      <c r="B48" s="51">
        <f>IF(VLOOKUP(Table9[[#This Row],[Date]],'DB Details'!$A:$Q,12)=0,"",VLOOKUP(Table9[[#This Row],[Date]],'DB Details'!$A:$Q,12))</f>
        <v>51.6</v>
      </c>
      <c r="C48" s="51">
        <f>Table9[[#This Row],[ISM Services]]-B47</f>
        <v>-2.3999999999999986</v>
      </c>
    </row>
    <row r="49" spans="1:3" x14ac:dyDescent="0.35">
      <c r="A49" s="50">
        <v>36923</v>
      </c>
      <c r="B49" s="51">
        <f>IF(VLOOKUP(Table9[[#This Row],[Date]],'DB Details'!$A:$Q,12)=0,"",VLOOKUP(Table9[[#This Row],[Date]],'DB Details'!$A:$Q,12))</f>
        <v>51.3</v>
      </c>
      <c r="C49" s="51">
        <f>Table9[[#This Row],[ISM Services]]-B48</f>
        <v>-0.30000000000000426</v>
      </c>
    </row>
    <row r="50" spans="1:3" x14ac:dyDescent="0.35">
      <c r="A50" s="50">
        <v>36951</v>
      </c>
      <c r="B50" s="51">
        <f>IF(VLOOKUP(Table9[[#This Row],[Date]],'DB Details'!$A:$Q,12)=0,"",VLOOKUP(Table9[[#This Row],[Date]],'DB Details'!$A:$Q,12))</f>
        <v>50.7</v>
      </c>
      <c r="C50" s="51">
        <f>Table9[[#This Row],[ISM Services]]-B49</f>
        <v>-0.59999999999999432</v>
      </c>
    </row>
    <row r="51" spans="1:3" x14ac:dyDescent="0.35">
      <c r="A51" s="50">
        <v>36982</v>
      </c>
      <c r="B51" s="51">
        <f>IF(VLOOKUP(Table9[[#This Row],[Date]],'DB Details'!$A:$Q,12)=0,"",VLOOKUP(Table9[[#This Row],[Date]],'DB Details'!$A:$Q,12))</f>
        <v>48.3</v>
      </c>
      <c r="C51" s="51">
        <f>Table9[[#This Row],[ISM Services]]-B50</f>
        <v>-2.4000000000000057</v>
      </c>
    </row>
    <row r="52" spans="1:3" x14ac:dyDescent="0.35">
      <c r="A52" s="50">
        <v>37012</v>
      </c>
      <c r="B52" s="51">
        <f>IF(VLOOKUP(Table9[[#This Row],[Date]],'DB Details'!$A:$Q,12)=0,"",VLOOKUP(Table9[[#This Row],[Date]],'DB Details'!$A:$Q,12))</f>
        <v>49</v>
      </c>
      <c r="C52" s="51">
        <f>Table9[[#This Row],[ISM Services]]-B51</f>
        <v>0.70000000000000284</v>
      </c>
    </row>
    <row r="53" spans="1:3" x14ac:dyDescent="0.35">
      <c r="A53" s="50">
        <v>37043</v>
      </c>
      <c r="B53" s="51">
        <f>IF(VLOOKUP(Table9[[#This Row],[Date]],'DB Details'!$A:$Q,12)=0,"",VLOOKUP(Table9[[#This Row],[Date]],'DB Details'!$A:$Q,12))</f>
        <v>50.1</v>
      </c>
      <c r="C53" s="51">
        <f>Table9[[#This Row],[ISM Services]]-B52</f>
        <v>1.1000000000000014</v>
      </c>
    </row>
    <row r="54" spans="1:3" x14ac:dyDescent="0.35">
      <c r="A54" s="50">
        <v>37073</v>
      </c>
      <c r="B54" s="51">
        <f>IF(VLOOKUP(Table9[[#This Row],[Date]],'DB Details'!$A:$Q,12)=0,"",VLOOKUP(Table9[[#This Row],[Date]],'DB Details'!$A:$Q,12))</f>
        <v>48.1</v>
      </c>
      <c r="C54" s="51">
        <f>Table9[[#This Row],[ISM Services]]-B53</f>
        <v>-2</v>
      </c>
    </row>
    <row r="55" spans="1:3" x14ac:dyDescent="0.35">
      <c r="A55" s="50">
        <v>37104</v>
      </c>
      <c r="B55" s="51">
        <f>IF(VLOOKUP(Table9[[#This Row],[Date]],'DB Details'!$A:$Q,12)=0,"",VLOOKUP(Table9[[#This Row],[Date]],'DB Details'!$A:$Q,12))</f>
        <v>46.9</v>
      </c>
      <c r="C55" s="51">
        <f>Table9[[#This Row],[ISM Services]]-B54</f>
        <v>-1.2000000000000028</v>
      </c>
    </row>
    <row r="56" spans="1:3" x14ac:dyDescent="0.35">
      <c r="A56" s="50">
        <v>37135</v>
      </c>
      <c r="B56" s="51">
        <f>IF(VLOOKUP(Table9[[#This Row],[Date]],'DB Details'!$A:$Q,12)=0,"",VLOOKUP(Table9[[#This Row],[Date]],'DB Details'!$A:$Q,12))</f>
        <v>49.5</v>
      </c>
      <c r="C56" s="51">
        <f>Table9[[#This Row],[ISM Services]]-B55</f>
        <v>2.6000000000000014</v>
      </c>
    </row>
    <row r="57" spans="1:3" x14ac:dyDescent="0.35">
      <c r="A57" s="50">
        <v>37165</v>
      </c>
      <c r="B57" s="51">
        <f>IF(VLOOKUP(Table9[[#This Row],[Date]],'DB Details'!$A:$Q,12)=0,"",VLOOKUP(Table9[[#This Row],[Date]],'DB Details'!$A:$Q,12))</f>
        <v>44.8</v>
      </c>
      <c r="C57" s="51">
        <f>Table9[[#This Row],[ISM Services]]-B56</f>
        <v>-4.7000000000000028</v>
      </c>
    </row>
    <row r="58" spans="1:3" x14ac:dyDescent="0.35">
      <c r="A58" s="50">
        <v>37196</v>
      </c>
      <c r="B58" s="51">
        <f>IF(VLOOKUP(Table9[[#This Row],[Date]],'DB Details'!$A:$Q,12)=0,"",VLOOKUP(Table9[[#This Row],[Date]],'DB Details'!$A:$Q,12))</f>
        <v>48.2</v>
      </c>
      <c r="C58" s="51">
        <f>Table9[[#This Row],[ISM Services]]-B57</f>
        <v>3.4000000000000057</v>
      </c>
    </row>
    <row r="59" spans="1:3" x14ac:dyDescent="0.35">
      <c r="A59" s="50">
        <v>37226</v>
      </c>
      <c r="B59" s="51">
        <f>IF(VLOOKUP(Table9[[#This Row],[Date]],'DB Details'!$A:$Q,12)=0,"",VLOOKUP(Table9[[#This Row],[Date]],'DB Details'!$A:$Q,12))</f>
        <v>49.7</v>
      </c>
      <c r="C59" s="51">
        <f>Table9[[#This Row],[ISM Services]]-B58</f>
        <v>1.5</v>
      </c>
    </row>
    <row r="60" spans="1:3" x14ac:dyDescent="0.35">
      <c r="A60" s="50">
        <v>37257</v>
      </c>
      <c r="B60" s="51">
        <f>IF(VLOOKUP(Table9[[#This Row],[Date]],'DB Details'!$A:$Q,12)=0,"",VLOOKUP(Table9[[#This Row],[Date]],'DB Details'!$A:$Q,12))</f>
        <v>48.9</v>
      </c>
      <c r="C60" s="51">
        <f>Table9[[#This Row],[ISM Services]]-B59</f>
        <v>-0.80000000000000426</v>
      </c>
    </row>
    <row r="61" spans="1:3" x14ac:dyDescent="0.35">
      <c r="A61" s="50">
        <v>37288</v>
      </c>
      <c r="B61" s="51">
        <f>IF(VLOOKUP(Table9[[#This Row],[Date]],'DB Details'!$A:$Q,12)=0,"",VLOOKUP(Table9[[#This Row],[Date]],'DB Details'!$A:$Q,12))</f>
        <v>52.7</v>
      </c>
      <c r="C61" s="51">
        <f>Table9[[#This Row],[ISM Services]]-B60</f>
        <v>3.8000000000000043</v>
      </c>
    </row>
    <row r="62" spans="1:3" x14ac:dyDescent="0.35">
      <c r="A62" s="50">
        <v>37316</v>
      </c>
      <c r="B62" s="51">
        <f>IF(VLOOKUP(Table9[[#This Row],[Date]],'DB Details'!$A:$Q,12)=0,"",VLOOKUP(Table9[[#This Row],[Date]],'DB Details'!$A:$Q,12))</f>
        <v>52.8</v>
      </c>
      <c r="C62" s="51">
        <f>Table9[[#This Row],[ISM Services]]-B61</f>
        <v>9.9999999999994316E-2</v>
      </c>
    </row>
    <row r="63" spans="1:3" x14ac:dyDescent="0.35">
      <c r="A63" s="50">
        <v>37347</v>
      </c>
      <c r="B63" s="51">
        <f>IF(VLOOKUP(Table9[[#This Row],[Date]],'DB Details'!$A:$Q,12)=0,"",VLOOKUP(Table9[[#This Row],[Date]],'DB Details'!$A:$Q,12))</f>
        <v>53.5</v>
      </c>
      <c r="C63" s="51">
        <f>Table9[[#This Row],[ISM Services]]-B62</f>
        <v>0.70000000000000284</v>
      </c>
    </row>
    <row r="64" spans="1:3" x14ac:dyDescent="0.35">
      <c r="A64" s="50">
        <v>37377</v>
      </c>
      <c r="B64" s="51">
        <f>IF(VLOOKUP(Table9[[#This Row],[Date]],'DB Details'!$A:$Q,12)=0,"",VLOOKUP(Table9[[#This Row],[Date]],'DB Details'!$A:$Q,12))</f>
        <v>54.8</v>
      </c>
      <c r="C64" s="51">
        <f>Table9[[#This Row],[ISM Services]]-B63</f>
        <v>1.2999999999999972</v>
      </c>
    </row>
    <row r="65" spans="1:3" x14ac:dyDescent="0.35">
      <c r="A65" s="50">
        <v>37408</v>
      </c>
      <c r="B65" s="51">
        <f>IF(VLOOKUP(Table9[[#This Row],[Date]],'DB Details'!$A:$Q,12)=0,"",VLOOKUP(Table9[[#This Row],[Date]],'DB Details'!$A:$Q,12))</f>
        <v>52.5</v>
      </c>
      <c r="C65" s="51">
        <f>Table9[[#This Row],[ISM Services]]-B64</f>
        <v>-2.2999999999999972</v>
      </c>
    </row>
    <row r="66" spans="1:3" x14ac:dyDescent="0.35">
      <c r="A66" s="50">
        <v>37438</v>
      </c>
      <c r="B66" s="51">
        <f>IF(VLOOKUP(Table9[[#This Row],[Date]],'DB Details'!$A:$Q,12)=0,"",VLOOKUP(Table9[[#This Row],[Date]],'DB Details'!$A:$Q,12))</f>
        <v>50.4</v>
      </c>
      <c r="C66" s="51">
        <f>Table9[[#This Row],[ISM Services]]-B65</f>
        <v>-2.1000000000000014</v>
      </c>
    </row>
    <row r="67" spans="1:3" x14ac:dyDescent="0.35">
      <c r="A67" s="50">
        <v>37469</v>
      </c>
      <c r="B67" s="51">
        <f>IF(VLOOKUP(Table9[[#This Row],[Date]],'DB Details'!$A:$Q,12)=0,"",VLOOKUP(Table9[[#This Row],[Date]],'DB Details'!$A:$Q,12))</f>
        <v>50.9</v>
      </c>
      <c r="C67" s="51">
        <f>Table9[[#This Row],[ISM Services]]-B66</f>
        <v>0.5</v>
      </c>
    </row>
    <row r="68" spans="1:3" x14ac:dyDescent="0.35">
      <c r="A68" s="50">
        <v>37500</v>
      </c>
      <c r="B68" s="51">
        <f>IF(VLOOKUP(Table9[[#This Row],[Date]],'DB Details'!$A:$Q,12)=0,"",VLOOKUP(Table9[[#This Row],[Date]],'DB Details'!$A:$Q,12))</f>
        <v>52.3</v>
      </c>
      <c r="C68" s="51">
        <f>Table9[[#This Row],[ISM Services]]-B67</f>
        <v>1.3999999999999986</v>
      </c>
    </row>
    <row r="69" spans="1:3" x14ac:dyDescent="0.35">
      <c r="A69" s="50">
        <v>37530</v>
      </c>
      <c r="B69" s="51">
        <f>IF(VLOOKUP(Table9[[#This Row],[Date]],'DB Details'!$A:$Q,12)=0,"",VLOOKUP(Table9[[#This Row],[Date]],'DB Details'!$A:$Q,12))</f>
        <v>51.4</v>
      </c>
      <c r="C69" s="51">
        <f>Table9[[#This Row],[ISM Services]]-B68</f>
        <v>-0.89999999999999858</v>
      </c>
    </row>
    <row r="70" spans="1:3" x14ac:dyDescent="0.35">
      <c r="A70" s="50">
        <v>37561</v>
      </c>
      <c r="B70" s="51">
        <f>IF(VLOOKUP(Table9[[#This Row],[Date]],'DB Details'!$A:$Q,12)=0,"",VLOOKUP(Table9[[#This Row],[Date]],'DB Details'!$A:$Q,12))</f>
        <v>52.9</v>
      </c>
      <c r="C70" s="51">
        <f>Table9[[#This Row],[ISM Services]]-B69</f>
        <v>1.5</v>
      </c>
    </row>
    <row r="71" spans="1:3" x14ac:dyDescent="0.35">
      <c r="A71" s="50">
        <v>37591</v>
      </c>
      <c r="B71" s="51">
        <f>IF(VLOOKUP(Table9[[#This Row],[Date]],'DB Details'!$A:$Q,12)=0,"",VLOOKUP(Table9[[#This Row],[Date]],'DB Details'!$A:$Q,12))</f>
        <v>52.3</v>
      </c>
      <c r="C71" s="51">
        <f>Table9[[#This Row],[ISM Services]]-B70</f>
        <v>-0.60000000000000142</v>
      </c>
    </row>
    <row r="72" spans="1:3" x14ac:dyDescent="0.35">
      <c r="A72" s="50">
        <v>37622</v>
      </c>
      <c r="B72" s="51">
        <f>IF(VLOOKUP(Table9[[#This Row],[Date]],'DB Details'!$A:$Q,12)=0,"",VLOOKUP(Table9[[#This Row],[Date]],'DB Details'!$A:$Q,12))</f>
        <v>53.3</v>
      </c>
      <c r="C72" s="51">
        <f>Table9[[#This Row],[ISM Services]]-B71</f>
        <v>1</v>
      </c>
    </row>
    <row r="73" spans="1:3" x14ac:dyDescent="0.35">
      <c r="A73" s="50">
        <v>37653</v>
      </c>
      <c r="B73" s="51">
        <f>IF(VLOOKUP(Table9[[#This Row],[Date]],'DB Details'!$A:$Q,12)=0,"",VLOOKUP(Table9[[#This Row],[Date]],'DB Details'!$A:$Q,12))</f>
        <v>52.6</v>
      </c>
      <c r="C73" s="51">
        <f>Table9[[#This Row],[ISM Services]]-B72</f>
        <v>-0.69999999999999574</v>
      </c>
    </row>
    <row r="74" spans="1:3" x14ac:dyDescent="0.35">
      <c r="A74" s="50">
        <v>37681</v>
      </c>
      <c r="B74" s="51">
        <f>IF(VLOOKUP(Table9[[#This Row],[Date]],'DB Details'!$A:$Q,12)=0,"",VLOOKUP(Table9[[#This Row],[Date]],'DB Details'!$A:$Q,12))</f>
        <v>49.1</v>
      </c>
      <c r="C74" s="51">
        <f>Table9[[#This Row],[ISM Services]]-B73</f>
        <v>-3.5</v>
      </c>
    </row>
    <row r="75" spans="1:3" x14ac:dyDescent="0.35">
      <c r="A75" s="50">
        <v>37712</v>
      </c>
      <c r="B75" s="51">
        <f>IF(VLOOKUP(Table9[[#This Row],[Date]],'DB Details'!$A:$Q,12)=0,"",VLOOKUP(Table9[[#This Row],[Date]],'DB Details'!$A:$Q,12))</f>
        <v>50.1</v>
      </c>
      <c r="C75" s="51">
        <f>Table9[[#This Row],[ISM Services]]-B74</f>
        <v>1</v>
      </c>
    </row>
    <row r="76" spans="1:3" x14ac:dyDescent="0.35">
      <c r="A76" s="50">
        <v>37742</v>
      </c>
      <c r="B76" s="51">
        <f>IF(VLOOKUP(Table9[[#This Row],[Date]],'DB Details'!$A:$Q,12)=0,"",VLOOKUP(Table9[[#This Row],[Date]],'DB Details'!$A:$Q,12))</f>
        <v>52.8</v>
      </c>
      <c r="C76" s="51">
        <f>Table9[[#This Row],[ISM Services]]-B75</f>
        <v>2.6999999999999957</v>
      </c>
    </row>
    <row r="77" spans="1:3" x14ac:dyDescent="0.35">
      <c r="A77" s="50">
        <v>37773</v>
      </c>
      <c r="B77" s="51">
        <f>IF(VLOOKUP(Table9[[#This Row],[Date]],'DB Details'!$A:$Q,12)=0,"",VLOOKUP(Table9[[#This Row],[Date]],'DB Details'!$A:$Q,12))</f>
        <v>54.3</v>
      </c>
      <c r="C77" s="51">
        <f>Table9[[#This Row],[ISM Services]]-B76</f>
        <v>1.5</v>
      </c>
    </row>
    <row r="78" spans="1:3" x14ac:dyDescent="0.35">
      <c r="A78" s="50">
        <v>37803</v>
      </c>
      <c r="B78" s="51">
        <f>IF(VLOOKUP(Table9[[#This Row],[Date]],'DB Details'!$A:$Q,12)=0,"",VLOOKUP(Table9[[#This Row],[Date]],'DB Details'!$A:$Q,12))</f>
        <v>57.3</v>
      </c>
      <c r="C78" s="51">
        <f>Table9[[#This Row],[ISM Services]]-B77</f>
        <v>3</v>
      </c>
    </row>
    <row r="79" spans="1:3" x14ac:dyDescent="0.35">
      <c r="A79" s="50">
        <v>37834</v>
      </c>
      <c r="B79" s="51">
        <f>IF(VLOOKUP(Table9[[#This Row],[Date]],'DB Details'!$A:$Q,12)=0,"",VLOOKUP(Table9[[#This Row],[Date]],'DB Details'!$A:$Q,12))</f>
        <v>59.1</v>
      </c>
      <c r="C79" s="51">
        <f>Table9[[#This Row],[ISM Services]]-B78</f>
        <v>1.8000000000000043</v>
      </c>
    </row>
    <row r="80" spans="1:3" x14ac:dyDescent="0.35">
      <c r="A80" s="50">
        <v>37865</v>
      </c>
      <c r="B80" s="51">
        <f>IF(VLOOKUP(Table9[[#This Row],[Date]],'DB Details'!$A:$Q,12)=0,"",VLOOKUP(Table9[[#This Row],[Date]],'DB Details'!$A:$Q,12))</f>
        <v>57.6</v>
      </c>
      <c r="C80" s="51">
        <f>Table9[[#This Row],[ISM Services]]-B79</f>
        <v>-1.5</v>
      </c>
    </row>
    <row r="81" spans="1:3" x14ac:dyDescent="0.35">
      <c r="A81" s="50">
        <v>37895</v>
      </c>
      <c r="B81" s="51">
        <f>IF(VLOOKUP(Table9[[#This Row],[Date]],'DB Details'!$A:$Q,12)=0,"",VLOOKUP(Table9[[#This Row],[Date]],'DB Details'!$A:$Q,12))</f>
        <v>58.7</v>
      </c>
      <c r="C81" s="51">
        <f>Table9[[#This Row],[ISM Services]]-B80</f>
        <v>1.1000000000000014</v>
      </c>
    </row>
    <row r="82" spans="1:3" x14ac:dyDescent="0.35">
      <c r="A82" s="50">
        <v>37926</v>
      </c>
      <c r="B82" s="51">
        <f>IF(VLOOKUP(Table9[[#This Row],[Date]],'DB Details'!$A:$Q,12)=0,"",VLOOKUP(Table9[[#This Row],[Date]],'DB Details'!$A:$Q,12))</f>
        <v>57.5</v>
      </c>
      <c r="C82" s="51">
        <f>Table9[[#This Row],[ISM Services]]-B81</f>
        <v>-1.2000000000000028</v>
      </c>
    </row>
    <row r="83" spans="1:3" x14ac:dyDescent="0.35">
      <c r="A83" s="50">
        <v>37956</v>
      </c>
      <c r="B83" s="51">
        <f>IF(VLOOKUP(Table9[[#This Row],[Date]],'DB Details'!$A:$Q,12)=0,"",VLOOKUP(Table9[[#This Row],[Date]],'DB Details'!$A:$Q,12))</f>
        <v>56.8</v>
      </c>
      <c r="C83" s="51">
        <f>Table9[[#This Row],[ISM Services]]-B82</f>
        <v>-0.70000000000000284</v>
      </c>
    </row>
    <row r="84" spans="1:3" x14ac:dyDescent="0.35">
      <c r="A84" s="50">
        <v>37987</v>
      </c>
      <c r="B84" s="51">
        <f>IF(VLOOKUP(Table9[[#This Row],[Date]],'DB Details'!$A:$Q,12)=0,"",VLOOKUP(Table9[[#This Row],[Date]],'DB Details'!$A:$Q,12))</f>
        <v>61.2</v>
      </c>
      <c r="C84" s="51">
        <f>Table9[[#This Row],[ISM Services]]-B83</f>
        <v>4.4000000000000057</v>
      </c>
    </row>
    <row r="85" spans="1:3" x14ac:dyDescent="0.35">
      <c r="A85" s="50">
        <v>38018</v>
      </c>
      <c r="B85" s="51">
        <f>IF(VLOOKUP(Table9[[#This Row],[Date]],'DB Details'!$A:$Q,12)=0,"",VLOOKUP(Table9[[#This Row],[Date]],'DB Details'!$A:$Q,12))</f>
        <v>58</v>
      </c>
      <c r="C85" s="51">
        <f>Table9[[#This Row],[ISM Services]]-B84</f>
        <v>-3.2000000000000028</v>
      </c>
    </row>
    <row r="86" spans="1:3" x14ac:dyDescent="0.35">
      <c r="A86" s="50">
        <v>38047</v>
      </c>
      <c r="B86" s="51">
        <f>IF(VLOOKUP(Table9[[#This Row],[Date]],'DB Details'!$A:$Q,12)=0,"",VLOOKUP(Table9[[#This Row],[Date]],'DB Details'!$A:$Q,12))</f>
        <v>58.3</v>
      </c>
      <c r="C86" s="51">
        <f>Table9[[#This Row],[ISM Services]]-B85</f>
        <v>0.29999999999999716</v>
      </c>
    </row>
    <row r="87" spans="1:3" x14ac:dyDescent="0.35">
      <c r="A87" s="50">
        <v>38078</v>
      </c>
      <c r="B87" s="51">
        <f>IF(VLOOKUP(Table9[[#This Row],[Date]],'DB Details'!$A:$Q,12)=0,"",VLOOKUP(Table9[[#This Row],[Date]],'DB Details'!$A:$Q,12))</f>
        <v>59.6</v>
      </c>
      <c r="C87" s="51">
        <f>Table9[[#This Row],[ISM Services]]-B86</f>
        <v>1.3000000000000043</v>
      </c>
    </row>
    <row r="88" spans="1:3" x14ac:dyDescent="0.35">
      <c r="A88" s="50">
        <v>38108</v>
      </c>
      <c r="B88" s="51">
        <f>IF(VLOOKUP(Table9[[#This Row],[Date]],'DB Details'!$A:$Q,12)=0,"",VLOOKUP(Table9[[#This Row],[Date]],'DB Details'!$A:$Q,12))</f>
        <v>58.5</v>
      </c>
      <c r="C88" s="51">
        <f>Table9[[#This Row],[ISM Services]]-B87</f>
        <v>-1.1000000000000014</v>
      </c>
    </row>
    <row r="89" spans="1:3" x14ac:dyDescent="0.35">
      <c r="A89" s="50">
        <v>38139</v>
      </c>
      <c r="B89" s="51">
        <f>IF(VLOOKUP(Table9[[#This Row],[Date]],'DB Details'!$A:$Q,12)=0,"",VLOOKUP(Table9[[#This Row],[Date]],'DB Details'!$A:$Q,12))</f>
        <v>58.6</v>
      </c>
      <c r="C89" s="51">
        <f>Table9[[#This Row],[ISM Services]]-B88</f>
        <v>0.10000000000000142</v>
      </c>
    </row>
    <row r="90" spans="1:3" x14ac:dyDescent="0.35">
      <c r="A90" s="50">
        <v>38169</v>
      </c>
      <c r="B90" s="51">
        <f>IF(VLOOKUP(Table9[[#This Row],[Date]],'DB Details'!$A:$Q,12)=0,"",VLOOKUP(Table9[[#This Row],[Date]],'DB Details'!$A:$Q,12))</f>
        <v>58.5</v>
      </c>
      <c r="C90" s="51">
        <f>Table9[[#This Row],[ISM Services]]-B89</f>
        <v>-0.10000000000000142</v>
      </c>
    </row>
    <row r="91" spans="1:3" x14ac:dyDescent="0.35">
      <c r="A91" s="50">
        <v>38200</v>
      </c>
      <c r="B91" s="51">
        <f>IF(VLOOKUP(Table9[[#This Row],[Date]],'DB Details'!$A:$Q,12)=0,"",VLOOKUP(Table9[[#This Row],[Date]],'DB Details'!$A:$Q,12))</f>
        <v>57.3</v>
      </c>
      <c r="C91" s="51">
        <f>Table9[[#This Row],[ISM Services]]-B90</f>
        <v>-1.2000000000000028</v>
      </c>
    </row>
    <row r="92" spans="1:3" x14ac:dyDescent="0.35">
      <c r="A92" s="50">
        <v>38231</v>
      </c>
      <c r="B92" s="51">
        <f>IF(VLOOKUP(Table9[[#This Row],[Date]],'DB Details'!$A:$Q,12)=0,"",VLOOKUP(Table9[[#This Row],[Date]],'DB Details'!$A:$Q,12))</f>
        <v>57.9</v>
      </c>
      <c r="C92" s="51">
        <f>Table9[[#This Row],[ISM Services]]-B91</f>
        <v>0.60000000000000142</v>
      </c>
    </row>
    <row r="93" spans="1:3" x14ac:dyDescent="0.35">
      <c r="A93" s="50">
        <v>38261</v>
      </c>
      <c r="B93" s="51">
        <f>IF(VLOOKUP(Table9[[#This Row],[Date]],'DB Details'!$A:$Q,12)=0,"",VLOOKUP(Table9[[#This Row],[Date]],'DB Details'!$A:$Q,12))</f>
        <v>58.8</v>
      </c>
      <c r="C93" s="51">
        <f>Table9[[#This Row],[ISM Services]]-B92</f>
        <v>0.89999999999999858</v>
      </c>
    </row>
    <row r="94" spans="1:3" x14ac:dyDescent="0.35">
      <c r="A94" s="50">
        <v>38292</v>
      </c>
      <c r="B94" s="51">
        <f>IF(VLOOKUP(Table9[[#This Row],[Date]],'DB Details'!$A:$Q,12)=0,"",VLOOKUP(Table9[[#This Row],[Date]],'DB Details'!$A:$Q,12))</f>
        <v>58.4</v>
      </c>
      <c r="C94" s="51">
        <f>Table9[[#This Row],[ISM Services]]-B93</f>
        <v>-0.39999999999999858</v>
      </c>
    </row>
    <row r="95" spans="1:3" x14ac:dyDescent="0.35">
      <c r="A95" s="50">
        <v>38322</v>
      </c>
      <c r="B95" s="51">
        <f>IF(VLOOKUP(Table9[[#This Row],[Date]],'DB Details'!$A:$Q,12)=0,"",VLOOKUP(Table9[[#This Row],[Date]],'DB Details'!$A:$Q,12))</f>
        <v>59.6</v>
      </c>
      <c r="C95" s="51">
        <f>Table9[[#This Row],[ISM Services]]-B94</f>
        <v>1.2000000000000028</v>
      </c>
    </row>
    <row r="96" spans="1:3" x14ac:dyDescent="0.35">
      <c r="A96" s="50">
        <v>38353</v>
      </c>
      <c r="B96" s="51">
        <f>IF(VLOOKUP(Table9[[#This Row],[Date]],'DB Details'!$A:$Q,12)=0,"",VLOOKUP(Table9[[#This Row],[Date]],'DB Details'!$A:$Q,12))</f>
        <v>58</v>
      </c>
      <c r="C96" s="51">
        <f>Table9[[#This Row],[ISM Services]]-B95</f>
        <v>-1.6000000000000014</v>
      </c>
    </row>
    <row r="97" spans="1:3" x14ac:dyDescent="0.35">
      <c r="A97" s="50">
        <v>38384</v>
      </c>
      <c r="B97" s="51">
        <f>IF(VLOOKUP(Table9[[#This Row],[Date]],'DB Details'!$A:$Q,12)=0,"",VLOOKUP(Table9[[#This Row],[Date]],'DB Details'!$A:$Q,12))</f>
        <v>59.4</v>
      </c>
      <c r="C97" s="51">
        <f>Table9[[#This Row],[ISM Services]]-B96</f>
        <v>1.3999999999999986</v>
      </c>
    </row>
    <row r="98" spans="1:3" x14ac:dyDescent="0.35">
      <c r="A98" s="50">
        <v>38412</v>
      </c>
      <c r="B98" s="51">
        <f>IF(VLOOKUP(Table9[[#This Row],[Date]],'DB Details'!$A:$Q,12)=0,"",VLOOKUP(Table9[[#This Row],[Date]],'DB Details'!$A:$Q,12))</f>
        <v>58</v>
      </c>
      <c r="C98" s="51">
        <f>Table9[[#This Row],[ISM Services]]-B97</f>
        <v>-1.3999999999999986</v>
      </c>
    </row>
    <row r="99" spans="1:3" x14ac:dyDescent="0.35">
      <c r="A99" s="50">
        <v>38443</v>
      </c>
      <c r="B99" s="51">
        <f>IF(VLOOKUP(Table9[[#This Row],[Date]],'DB Details'!$A:$Q,12)=0,"",VLOOKUP(Table9[[#This Row],[Date]],'DB Details'!$A:$Q,12))</f>
        <v>55.6</v>
      </c>
      <c r="C99" s="51">
        <f>Table9[[#This Row],[ISM Services]]-B98</f>
        <v>-2.3999999999999986</v>
      </c>
    </row>
    <row r="100" spans="1:3" x14ac:dyDescent="0.35">
      <c r="A100" s="50">
        <v>38473</v>
      </c>
      <c r="B100" s="51">
        <f>IF(VLOOKUP(Table9[[#This Row],[Date]],'DB Details'!$A:$Q,12)=0,"",VLOOKUP(Table9[[#This Row],[Date]],'DB Details'!$A:$Q,12))</f>
        <v>55.3</v>
      </c>
      <c r="C100" s="51">
        <f>Table9[[#This Row],[ISM Services]]-B99</f>
        <v>-0.30000000000000426</v>
      </c>
    </row>
    <row r="101" spans="1:3" x14ac:dyDescent="0.35">
      <c r="A101" s="50">
        <v>38504</v>
      </c>
      <c r="B101" s="51">
        <f>IF(VLOOKUP(Table9[[#This Row],[Date]],'DB Details'!$A:$Q,12)=0,"",VLOOKUP(Table9[[#This Row],[Date]],'DB Details'!$A:$Q,12))</f>
        <v>58.1</v>
      </c>
      <c r="C101" s="51">
        <f>Table9[[#This Row],[ISM Services]]-B100</f>
        <v>2.8000000000000043</v>
      </c>
    </row>
    <row r="102" spans="1:3" x14ac:dyDescent="0.35">
      <c r="A102" s="50">
        <v>38534</v>
      </c>
      <c r="B102" s="51">
        <f>IF(VLOOKUP(Table9[[#This Row],[Date]],'DB Details'!$A:$Q,12)=0,"",VLOOKUP(Table9[[#This Row],[Date]],'DB Details'!$A:$Q,12))</f>
        <v>59.5</v>
      </c>
      <c r="C102" s="51">
        <f>Table9[[#This Row],[ISM Services]]-B101</f>
        <v>1.3999999999999986</v>
      </c>
    </row>
    <row r="103" spans="1:3" x14ac:dyDescent="0.35">
      <c r="A103" s="50">
        <v>38565</v>
      </c>
      <c r="B103" s="51">
        <f>IF(VLOOKUP(Table9[[#This Row],[Date]],'DB Details'!$A:$Q,12)=0,"",VLOOKUP(Table9[[#This Row],[Date]],'DB Details'!$A:$Q,12))</f>
        <v>61.3</v>
      </c>
      <c r="C103" s="51">
        <f>Table9[[#This Row],[ISM Services]]-B102</f>
        <v>1.7999999999999972</v>
      </c>
    </row>
    <row r="104" spans="1:3" x14ac:dyDescent="0.35">
      <c r="A104" s="50">
        <v>38596</v>
      </c>
      <c r="B104" s="51">
        <f>IF(VLOOKUP(Table9[[#This Row],[Date]],'DB Details'!$A:$Q,12)=0,"",VLOOKUP(Table9[[#This Row],[Date]],'DB Details'!$A:$Q,12))</f>
        <v>55.7</v>
      </c>
      <c r="C104" s="51">
        <f>Table9[[#This Row],[ISM Services]]-B103</f>
        <v>-5.5999999999999943</v>
      </c>
    </row>
    <row r="105" spans="1:3" x14ac:dyDescent="0.35">
      <c r="A105" s="50">
        <v>38626</v>
      </c>
      <c r="B105" s="51">
        <f>IF(VLOOKUP(Table9[[#This Row],[Date]],'DB Details'!$A:$Q,12)=0,"",VLOOKUP(Table9[[#This Row],[Date]],'DB Details'!$A:$Q,12))</f>
        <v>57.4</v>
      </c>
      <c r="C105" s="51">
        <f>Table9[[#This Row],[ISM Services]]-B104</f>
        <v>1.6999999999999957</v>
      </c>
    </row>
    <row r="106" spans="1:3" x14ac:dyDescent="0.35">
      <c r="A106" s="50">
        <v>38657</v>
      </c>
      <c r="B106" s="51">
        <f>IF(VLOOKUP(Table9[[#This Row],[Date]],'DB Details'!$A:$Q,12)=0,"",VLOOKUP(Table9[[#This Row],[Date]],'DB Details'!$A:$Q,12))</f>
        <v>59.1</v>
      </c>
      <c r="C106" s="51">
        <f>Table9[[#This Row],[ISM Services]]-B105</f>
        <v>1.7000000000000028</v>
      </c>
    </row>
    <row r="107" spans="1:3" x14ac:dyDescent="0.35">
      <c r="A107" s="50">
        <v>38687</v>
      </c>
      <c r="B107" s="51">
        <f>IF(VLOOKUP(Table9[[#This Row],[Date]],'DB Details'!$A:$Q,12)=0,"",VLOOKUP(Table9[[#This Row],[Date]],'DB Details'!$A:$Q,12))</f>
        <v>59</v>
      </c>
      <c r="C107" s="51">
        <f>Table9[[#This Row],[ISM Services]]-B106</f>
        <v>-0.10000000000000142</v>
      </c>
    </row>
    <row r="108" spans="1:3" x14ac:dyDescent="0.35">
      <c r="A108" s="50">
        <v>38718</v>
      </c>
      <c r="B108" s="51">
        <f>IF(VLOOKUP(Table9[[#This Row],[Date]],'DB Details'!$A:$Q,12)=0,"",VLOOKUP(Table9[[#This Row],[Date]],'DB Details'!$A:$Q,12))</f>
        <v>56.3</v>
      </c>
      <c r="C108" s="51">
        <f>Table9[[#This Row],[ISM Services]]-B107</f>
        <v>-2.7000000000000028</v>
      </c>
    </row>
    <row r="109" spans="1:3" x14ac:dyDescent="0.35">
      <c r="A109" s="50">
        <v>38749</v>
      </c>
      <c r="B109" s="51">
        <f>IF(VLOOKUP(Table9[[#This Row],[Date]],'DB Details'!$A:$Q,12)=0,"",VLOOKUP(Table9[[#This Row],[Date]],'DB Details'!$A:$Q,12))</f>
        <v>57.6</v>
      </c>
      <c r="C109" s="51">
        <f>Table9[[#This Row],[ISM Services]]-B108</f>
        <v>1.3000000000000043</v>
      </c>
    </row>
    <row r="110" spans="1:3" x14ac:dyDescent="0.35">
      <c r="A110" s="50">
        <v>38777</v>
      </c>
      <c r="B110" s="51">
        <f>IF(VLOOKUP(Table9[[#This Row],[Date]],'DB Details'!$A:$Q,12)=0,"",VLOOKUP(Table9[[#This Row],[Date]],'DB Details'!$A:$Q,12))</f>
        <v>56.9</v>
      </c>
      <c r="C110" s="51">
        <f>Table9[[#This Row],[ISM Services]]-B109</f>
        <v>-0.70000000000000284</v>
      </c>
    </row>
    <row r="111" spans="1:3" x14ac:dyDescent="0.35">
      <c r="A111" s="50">
        <v>38808</v>
      </c>
      <c r="B111" s="51">
        <f>IF(VLOOKUP(Table9[[#This Row],[Date]],'DB Details'!$A:$Q,12)=0,"",VLOOKUP(Table9[[#This Row],[Date]],'DB Details'!$A:$Q,12))</f>
        <v>58.4</v>
      </c>
      <c r="C111" s="51">
        <f>Table9[[#This Row],[ISM Services]]-B110</f>
        <v>1.5</v>
      </c>
    </row>
    <row r="112" spans="1:3" x14ac:dyDescent="0.35">
      <c r="A112" s="50">
        <v>38838</v>
      </c>
      <c r="B112" s="51">
        <f>IF(VLOOKUP(Table9[[#This Row],[Date]],'DB Details'!$A:$Q,12)=0,"",VLOOKUP(Table9[[#This Row],[Date]],'DB Details'!$A:$Q,12))</f>
        <v>57</v>
      </c>
      <c r="C112" s="51">
        <f>Table9[[#This Row],[ISM Services]]-B111</f>
        <v>-1.3999999999999986</v>
      </c>
    </row>
    <row r="113" spans="1:3" x14ac:dyDescent="0.35">
      <c r="A113" s="50">
        <v>38869</v>
      </c>
      <c r="B113" s="51">
        <f>IF(VLOOKUP(Table9[[#This Row],[Date]],'DB Details'!$A:$Q,12)=0,"",VLOOKUP(Table9[[#This Row],[Date]],'DB Details'!$A:$Q,12))</f>
        <v>55.2</v>
      </c>
      <c r="C113" s="51">
        <f>Table9[[#This Row],[ISM Services]]-B112</f>
        <v>-1.7999999999999972</v>
      </c>
    </row>
    <row r="114" spans="1:3" x14ac:dyDescent="0.35">
      <c r="A114" s="50">
        <v>38899</v>
      </c>
      <c r="B114" s="51">
        <f>IF(VLOOKUP(Table9[[#This Row],[Date]],'DB Details'!$A:$Q,12)=0,"",VLOOKUP(Table9[[#This Row],[Date]],'DB Details'!$A:$Q,12))</f>
        <v>55.6</v>
      </c>
      <c r="C114" s="51">
        <f>Table9[[#This Row],[ISM Services]]-B113</f>
        <v>0.39999999999999858</v>
      </c>
    </row>
    <row r="115" spans="1:3" x14ac:dyDescent="0.35">
      <c r="A115" s="50">
        <v>38930</v>
      </c>
      <c r="B115" s="51">
        <f>IF(VLOOKUP(Table9[[#This Row],[Date]],'DB Details'!$A:$Q,12)=0,"",VLOOKUP(Table9[[#This Row],[Date]],'DB Details'!$A:$Q,12))</f>
        <v>53.9</v>
      </c>
      <c r="C115" s="51">
        <f>Table9[[#This Row],[ISM Services]]-B114</f>
        <v>-1.7000000000000028</v>
      </c>
    </row>
    <row r="116" spans="1:3" x14ac:dyDescent="0.35">
      <c r="A116" s="50">
        <v>38961</v>
      </c>
      <c r="B116" s="51">
        <f>IF(VLOOKUP(Table9[[#This Row],[Date]],'DB Details'!$A:$Q,12)=0,"",VLOOKUP(Table9[[#This Row],[Date]],'DB Details'!$A:$Q,12))</f>
        <v>54.5</v>
      </c>
      <c r="C116" s="51">
        <f>Table9[[#This Row],[ISM Services]]-B115</f>
        <v>0.60000000000000142</v>
      </c>
    </row>
    <row r="117" spans="1:3" x14ac:dyDescent="0.35">
      <c r="A117" s="50">
        <v>38991</v>
      </c>
      <c r="B117" s="51">
        <f>IF(VLOOKUP(Table9[[#This Row],[Date]],'DB Details'!$A:$Q,12)=0,"",VLOOKUP(Table9[[#This Row],[Date]],'DB Details'!$A:$Q,12))</f>
        <v>54.9</v>
      </c>
      <c r="C117" s="51">
        <f>Table9[[#This Row],[ISM Services]]-B116</f>
        <v>0.39999999999999858</v>
      </c>
    </row>
    <row r="118" spans="1:3" x14ac:dyDescent="0.35">
      <c r="A118" s="50">
        <v>39022</v>
      </c>
      <c r="B118" s="51">
        <f>IF(VLOOKUP(Table9[[#This Row],[Date]],'DB Details'!$A:$Q,12)=0,"",VLOOKUP(Table9[[#This Row],[Date]],'DB Details'!$A:$Q,12))</f>
        <v>54.5</v>
      </c>
      <c r="C118" s="51">
        <f>Table9[[#This Row],[ISM Services]]-B117</f>
        <v>-0.39999999999999858</v>
      </c>
    </row>
    <row r="119" spans="1:3" x14ac:dyDescent="0.35">
      <c r="A119" s="50">
        <v>39052</v>
      </c>
      <c r="B119" s="51">
        <f>IF(VLOOKUP(Table9[[#This Row],[Date]],'DB Details'!$A:$Q,12)=0,"",VLOOKUP(Table9[[#This Row],[Date]],'DB Details'!$A:$Q,12))</f>
        <v>53.7</v>
      </c>
      <c r="C119" s="51">
        <f>Table9[[#This Row],[ISM Services]]-B118</f>
        <v>-0.79999999999999716</v>
      </c>
    </row>
    <row r="120" spans="1:3" x14ac:dyDescent="0.35">
      <c r="A120" s="50">
        <v>39083</v>
      </c>
      <c r="B120" s="51">
        <f>IF(VLOOKUP(Table9[[#This Row],[Date]],'DB Details'!$A:$Q,12)=0,"",VLOOKUP(Table9[[#This Row],[Date]],'DB Details'!$A:$Q,12))</f>
        <v>55.4</v>
      </c>
      <c r="C120" s="51">
        <f>Table9[[#This Row],[ISM Services]]-B119</f>
        <v>1.6999999999999957</v>
      </c>
    </row>
    <row r="121" spans="1:3" x14ac:dyDescent="0.35">
      <c r="A121" s="50">
        <v>39114</v>
      </c>
      <c r="B121" s="51">
        <f>IF(VLOOKUP(Table9[[#This Row],[Date]],'DB Details'!$A:$Q,12)=0,"",VLOOKUP(Table9[[#This Row],[Date]],'DB Details'!$A:$Q,12))</f>
        <v>54.2</v>
      </c>
      <c r="C121" s="51">
        <f>Table9[[#This Row],[ISM Services]]-B120</f>
        <v>-1.1999999999999957</v>
      </c>
    </row>
    <row r="122" spans="1:3" x14ac:dyDescent="0.35">
      <c r="A122" s="50">
        <v>39142</v>
      </c>
      <c r="B122" s="51">
        <f>IF(VLOOKUP(Table9[[#This Row],[Date]],'DB Details'!$A:$Q,12)=0,"",VLOOKUP(Table9[[#This Row],[Date]],'DB Details'!$A:$Q,12))</f>
        <v>52.1</v>
      </c>
      <c r="C122" s="51">
        <f>Table9[[#This Row],[ISM Services]]-B121</f>
        <v>-2.1000000000000014</v>
      </c>
    </row>
    <row r="123" spans="1:3" x14ac:dyDescent="0.35">
      <c r="A123" s="50">
        <v>39173</v>
      </c>
      <c r="B123" s="51">
        <f>IF(VLOOKUP(Table9[[#This Row],[Date]],'DB Details'!$A:$Q,12)=0,"",VLOOKUP(Table9[[#This Row],[Date]],'DB Details'!$A:$Q,12))</f>
        <v>53.4</v>
      </c>
      <c r="C123" s="51">
        <f>Table9[[#This Row],[ISM Services]]-B122</f>
        <v>1.2999999999999972</v>
      </c>
    </row>
    <row r="124" spans="1:3" x14ac:dyDescent="0.35">
      <c r="A124" s="50">
        <v>39203</v>
      </c>
      <c r="B124" s="51">
        <f>IF(VLOOKUP(Table9[[#This Row],[Date]],'DB Details'!$A:$Q,12)=0,"",VLOOKUP(Table9[[#This Row],[Date]],'DB Details'!$A:$Q,12))</f>
        <v>54.3</v>
      </c>
      <c r="C124" s="51">
        <f>Table9[[#This Row],[ISM Services]]-B123</f>
        <v>0.89999999999999858</v>
      </c>
    </row>
    <row r="125" spans="1:3" x14ac:dyDescent="0.35">
      <c r="A125" s="50">
        <v>39234</v>
      </c>
      <c r="B125" s="51">
        <f>IF(VLOOKUP(Table9[[#This Row],[Date]],'DB Details'!$A:$Q,12)=0,"",VLOOKUP(Table9[[#This Row],[Date]],'DB Details'!$A:$Q,12))</f>
        <v>54.9</v>
      </c>
      <c r="C125" s="51">
        <f>Table9[[#This Row],[ISM Services]]-B124</f>
        <v>0.60000000000000142</v>
      </c>
    </row>
    <row r="126" spans="1:3" x14ac:dyDescent="0.35">
      <c r="A126" s="50">
        <v>39264</v>
      </c>
      <c r="B126" s="51">
        <f>IF(VLOOKUP(Table9[[#This Row],[Date]],'DB Details'!$A:$Q,12)=0,"",VLOOKUP(Table9[[#This Row],[Date]],'DB Details'!$A:$Q,12))</f>
        <v>53.6</v>
      </c>
      <c r="C126" s="51">
        <f>Table9[[#This Row],[ISM Services]]-B125</f>
        <v>-1.2999999999999972</v>
      </c>
    </row>
    <row r="127" spans="1:3" x14ac:dyDescent="0.35">
      <c r="A127" s="50">
        <v>39295</v>
      </c>
      <c r="B127" s="51">
        <f>IF(VLOOKUP(Table9[[#This Row],[Date]],'DB Details'!$A:$Q,12)=0,"",VLOOKUP(Table9[[#This Row],[Date]],'DB Details'!$A:$Q,12))</f>
        <v>52.7</v>
      </c>
      <c r="C127" s="51">
        <f>Table9[[#This Row],[ISM Services]]-B126</f>
        <v>-0.89999999999999858</v>
      </c>
    </row>
    <row r="128" spans="1:3" x14ac:dyDescent="0.35">
      <c r="A128" s="50">
        <v>39326</v>
      </c>
      <c r="B128" s="51">
        <f>IF(VLOOKUP(Table9[[#This Row],[Date]],'DB Details'!$A:$Q,12)=0,"",VLOOKUP(Table9[[#This Row],[Date]],'DB Details'!$A:$Q,12))</f>
        <v>52.6</v>
      </c>
      <c r="C128" s="51">
        <f>Table9[[#This Row],[ISM Services]]-B127</f>
        <v>-0.10000000000000142</v>
      </c>
    </row>
    <row r="129" spans="1:3" x14ac:dyDescent="0.35">
      <c r="A129" s="50">
        <v>39356</v>
      </c>
      <c r="B129" s="51">
        <f>IF(VLOOKUP(Table9[[#This Row],[Date]],'DB Details'!$A:$Q,12)=0,"",VLOOKUP(Table9[[#This Row],[Date]],'DB Details'!$A:$Q,12))</f>
        <v>53.6</v>
      </c>
      <c r="C129" s="51">
        <f>Table9[[#This Row],[ISM Services]]-B128</f>
        <v>1</v>
      </c>
    </row>
    <row r="130" spans="1:3" x14ac:dyDescent="0.35">
      <c r="A130" s="50">
        <v>39387</v>
      </c>
      <c r="B130" s="51">
        <f>IF(VLOOKUP(Table9[[#This Row],[Date]],'DB Details'!$A:$Q,12)=0,"",VLOOKUP(Table9[[#This Row],[Date]],'DB Details'!$A:$Q,12))</f>
        <v>52.8</v>
      </c>
      <c r="C130" s="51">
        <f>Table9[[#This Row],[ISM Services]]-B129</f>
        <v>-0.80000000000000426</v>
      </c>
    </row>
    <row r="131" spans="1:3" x14ac:dyDescent="0.35">
      <c r="A131" s="50">
        <v>39417</v>
      </c>
      <c r="B131" s="51">
        <f>IF(VLOOKUP(Table9[[#This Row],[Date]],'DB Details'!$A:$Q,12)=0,"",VLOOKUP(Table9[[#This Row],[Date]],'DB Details'!$A:$Q,12))</f>
        <v>52.5</v>
      </c>
      <c r="C131" s="51">
        <f>Table9[[#This Row],[ISM Services]]-B130</f>
        <v>-0.29999999999999716</v>
      </c>
    </row>
    <row r="132" spans="1:3" x14ac:dyDescent="0.35">
      <c r="A132" s="50">
        <v>39448</v>
      </c>
      <c r="B132" s="51">
        <f>IF(VLOOKUP(Table9[[#This Row],[Date]],'DB Details'!$A:$Q,12)=0,"",VLOOKUP(Table9[[#This Row],[Date]],'DB Details'!$A:$Q,12))</f>
        <v>44.8</v>
      </c>
      <c r="C132" s="51">
        <f>Table9[[#This Row],[ISM Services]]-B131</f>
        <v>-7.7000000000000028</v>
      </c>
    </row>
    <row r="133" spans="1:3" x14ac:dyDescent="0.35">
      <c r="A133" s="50">
        <v>39479</v>
      </c>
      <c r="B133" s="51">
        <f>IF(VLOOKUP(Table9[[#This Row],[Date]],'DB Details'!$A:$Q,12)=0,"",VLOOKUP(Table9[[#This Row],[Date]],'DB Details'!$A:$Q,12))</f>
        <v>49.9</v>
      </c>
      <c r="C133" s="51">
        <f>Table9[[#This Row],[ISM Services]]-B132</f>
        <v>5.1000000000000014</v>
      </c>
    </row>
    <row r="134" spans="1:3" x14ac:dyDescent="0.35">
      <c r="A134" s="50">
        <v>39508</v>
      </c>
      <c r="B134" s="51">
        <f>IF(VLOOKUP(Table9[[#This Row],[Date]],'DB Details'!$A:$Q,12)=0,"",VLOOKUP(Table9[[#This Row],[Date]],'DB Details'!$A:$Q,12))</f>
        <v>49.4</v>
      </c>
      <c r="C134" s="51">
        <f>Table9[[#This Row],[ISM Services]]-B133</f>
        <v>-0.5</v>
      </c>
    </row>
    <row r="135" spans="1:3" x14ac:dyDescent="0.35">
      <c r="A135" s="50">
        <v>39539</v>
      </c>
      <c r="B135" s="51">
        <f>IF(VLOOKUP(Table9[[#This Row],[Date]],'DB Details'!$A:$Q,12)=0,"",VLOOKUP(Table9[[#This Row],[Date]],'DB Details'!$A:$Q,12))</f>
        <v>51.9</v>
      </c>
      <c r="C135" s="51">
        <f>Table9[[#This Row],[ISM Services]]-B134</f>
        <v>2.5</v>
      </c>
    </row>
    <row r="136" spans="1:3" x14ac:dyDescent="0.35">
      <c r="A136" s="50">
        <v>39569</v>
      </c>
      <c r="B136" s="51">
        <f>IF(VLOOKUP(Table9[[#This Row],[Date]],'DB Details'!$A:$Q,12)=0,"",VLOOKUP(Table9[[#This Row],[Date]],'DB Details'!$A:$Q,12))</f>
        <v>51.5</v>
      </c>
      <c r="C136" s="51">
        <f>Table9[[#This Row],[ISM Services]]-B135</f>
        <v>-0.39999999999999858</v>
      </c>
    </row>
    <row r="137" spans="1:3" x14ac:dyDescent="0.35">
      <c r="A137" s="50">
        <v>39600</v>
      </c>
      <c r="B137" s="51">
        <f>IF(VLOOKUP(Table9[[#This Row],[Date]],'DB Details'!$A:$Q,12)=0,"",VLOOKUP(Table9[[#This Row],[Date]],'DB Details'!$A:$Q,12))</f>
        <v>48.1</v>
      </c>
      <c r="C137" s="51">
        <f>Table9[[#This Row],[ISM Services]]-B136</f>
        <v>-3.3999999999999986</v>
      </c>
    </row>
    <row r="138" spans="1:3" x14ac:dyDescent="0.35">
      <c r="A138" s="50">
        <v>39630</v>
      </c>
      <c r="B138" s="51">
        <f>IF(VLOOKUP(Table9[[#This Row],[Date]],'DB Details'!$A:$Q,12)=0,"",VLOOKUP(Table9[[#This Row],[Date]],'DB Details'!$A:$Q,12))</f>
        <v>50.1</v>
      </c>
      <c r="C138" s="51">
        <f>Table9[[#This Row],[ISM Services]]-B137</f>
        <v>2</v>
      </c>
    </row>
    <row r="139" spans="1:3" x14ac:dyDescent="0.35">
      <c r="A139" s="50">
        <v>39661</v>
      </c>
      <c r="B139" s="51">
        <f>IF(VLOOKUP(Table9[[#This Row],[Date]],'DB Details'!$A:$Q,12)=0,"",VLOOKUP(Table9[[#This Row],[Date]],'DB Details'!$A:$Q,12))</f>
        <v>50.6</v>
      </c>
      <c r="C139" s="51">
        <f>Table9[[#This Row],[ISM Services]]-B138</f>
        <v>0.5</v>
      </c>
    </row>
    <row r="140" spans="1:3" x14ac:dyDescent="0.35">
      <c r="A140" s="50">
        <v>39692</v>
      </c>
      <c r="B140" s="51">
        <f>IF(VLOOKUP(Table9[[#This Row],[Date]],'DB Details'!$A:$Q,12)=0,"",VLOOKUP(Table9[[#This Row],[Date]],'DB Details'!$A:$Q,12))</f>
        <v>49.4</v>
      </c>
      <c r="C140" s="51">
        <f>Table9[[#This Row],[ISM Services]]-B139</f>
        <v>-1.2000000000000028</v>
      </c>
    </row>
    <row r="141" spans="1:3" x14ac:dyDescent="0.35">
      <c r="A141" s="50">
        <v>39722</v>
      </c>
      <c r="B141" s="51">
        <f>IF(VLOOKUP(Table9[[#This Row],[Date]],'DB Details'!$A:$Q,12)=0,"",VLOOKUP(Table9[[#This Row],[Date]],'DB Details'!$A:$Q,12))</f>
        <v>44.7</v>
      </c>
      <c r="C141" s="51">
        <f>Table9[[#This Row],[ISM Services]]-B140</f>
        <v>-4.6999999999999957</v>
      </c>
    </row>
    <row r="142" spans="1:3" x14ac:dyDescent="0.35">
      <c r="A142" s="50">
        <v>39753</v>
      </c>
      <c r="B142" s="51">
        <f>IF(VLOOKUP(Table9[[#This Row],[Date]],'DB Details'!$A:$Q,12)=0,"",VLOOKUP(Table9[[#This Row],[Date]],'DB Details'!$A:$Q,12))</f>
        <v>37.799999999999997</v>
      </c>
      <c r="C142" s="51">
        <f>Table9[[#This Row],[ISM Services]]-B141</f>
        <v>-6.9000000000000057</v>
      </c>
    </row>
    <row r="143" spans="1:3" x14ac:dyDescent="0.35">
      <c r="A143" s="50">
        <v>39783</v>
      </c>
      <c r="B143" s="51">
        <f>IF(VLOOKUP(Table9[[#This Row],[Date]],'DB Details'!$A:$Q,12)=0,"",VLOOKUP(Table9[[#This Row],[Date]],'DB Details'!$A:$Q,12))</f>
        <v>40</v>
      </c>
      <c r="C143" s="51">
        <f>Table9[[#This Row],[ISM Services]]-B142</f>
        <v>2.2000000000000028</v>
      </c>
    </row>
    <row r="144" spans="1:3" x14ac:dyDescent="0.35">
      <c r="A144" s="50">
        <v>39814</v>
      </c>
      <c r="B144" s="51">
        <f>IF(VLOOKUP(Table9[[#This Row],[Date]],'DB Details'!$A:$Q,12)=0,"",VLOOKUP(Table9[[#This Row],[Date]],'DB Details'!$A:$Q,12))</f>
        <v>43</v>
      </c>
      <c r="C144" s="51">
        <f>Table9[[#This Row],[ISM Services]]-B143</f>
        <v>3</v>
      </c>
    </row>
    <row r="145" spans="1:3" x14ac:dyDescent="0.35">
      <c r="A145" s="50">
        <v>39845</v>
      </c>
      <c r="B145" s="51">
        <f>IF(VLOOKUP(Table9[[#This Row],[Date]],'DB Details'!$A:$Q,12)=0,"",VLOOKUP(Table9[[#This Row],[Date]],'DB Details'!$A:$Q,12))</f>
        <v>41.6</v>
      </c>
      <c r="C145" s="51">
        <f>Table9[[#This Row],[ISM Services]]-B144</f>
        <v>-1.3999999999999986</v>
      </c>
    </row>
    <row r="146" spans="1:3" x14ac:dyDescent="0.35">
      <c r="A146" s="50">
        <v>39873</v>
      </c>
      <c r="B146" s="51">
        <f>IF(VLOOKUP(Table9[[#This Row],[Date]],'DB Details'!$A:$Q,12)=0,"",VLOOKUP(Table9[[#This Row],[Date]],'DB Details'!$A:$Q,12))</f>
        <v>40.1</v>
      </c>
      <c r="C146" s="51">
        <f>Table9[[#This Row],[ISM Services]]-B145</f>
        <v>-1.5</v>
      </c>
    </row>
    <row r="147" spans="1:3" x14ac:dyDescent="0.35">
      <c r="A147" s="50">
        <v>39904</v>
      </c>
      <c r="B147" s="51">
        <f>IF(VLOOKUP(Table9[[#This Row],[Date]],'DB Details'!$A:$Q,12)=0,"",VLOOKUP(Table9[[#This Row],[Date]],'DB Details'!$A:$Q,12))</f>
        <v>43.7</v>
      </c>
      <c r="C147" s="51">
        <f>Table9[[#This Row],[ISM Services]]-B146</f>
        <v>3.6000000000000014</v>
      </c>
    </row>
    <row r="148" spans="1:3" x14ac:dyDescent="0.35">
      <c r="A148" s="50">
        <v>39934</v>
      </c>
      <c r="B148" s="51">
        <f>IF(VLOOKUP(Table9[[#This Row],[Date]],'DB Details'!$A:$Q,12)=0,"",VLOOKUP(Table9[[#This Row],[Date]],'DB Details'!$A:$Q,12))</f>
        <v>44.4</v>
      </c>
      <c r="C148" s="51">
        <f>Table9[[#This Row],[ISM Services]]-B147</f>
        <v>0.69999999999999574</v>
      </c>
    </row>
    <row r="149" spans="1:3" x14ac:dyDescent="0.35">
      <c r="A149" s="50">
        <v>39965</v>
      </c>
      <c r="B149" s="51">
        <f>IF(VLOOKUP(Table9[[#This Row],[Date]],'DB Details'!$A:$Q,12)=0,"",VLOOKUP(Table9[[#This Row],[Date]],'DB Details'!$A:$Q,12))</f>
        <v>46.4</v>
      </c>
      <c r="C149" s="51">
        <f>Table9[[#This Row],[ISM Services]]-B148</f>
        <v>2</v>
      </c>
    </row>
    <row r="150" spans="1:3" x14ac:dyDescent="0.35">
      <c r="A150" s="50">
        <v>39995</v>
      </c>
      <c r="B150" s="51">
        <f>IF(VLOOKUP(Table9[[#This Row],[Date]],'DB Details'!$A:$Q,12)=0,"",VLOOKUP(Table9[[#This Row],[Date]],'DB Details'!$A:$Q,12))</f>
        <v>47.1</v>
      </c>
      <c r="C150" s="51">
        <f>Table9[[#This Row],[ISM Services]]-B149</f>
        <v>0.70000000000000284</v>
      </c>
    </row>
    <row r="151" spans="1:3" x14ac:dyDescent="0.35">
      <c r="A151" s="50">
        <v>40026</v>
      </c>
      <c r="B151" s="51">
        <f>IF(VLOOKUP(Table9[[#This Row],[Date]],'DB Details'!$A:$Q,12)=0,"",VLOOKUP(Table9[[#This Row],[Date]],'DB Details'!$A:$Q,12))</f>
        <v>48.9</v>
      </c>
      <c r="C151" s="51">
        <f>Table9[[#This Row],[ISM Services]]-B150</f>
        <v>1.7999999999999972</v>
      </c>
    </row>
    <row r="152" spans="1:3" x14ac:dyDescent="0.35">
      <c r="A152" s="50">
        <v>40057</v>
      </c>
      <c r="B152" s="51">
        <f>IF(VLOOKUP(Table9[[#This Row],[Date]],'DB Details'!$A:$Q,12)=0,"",VLOOKUP(Table9[[#This Row],[Date]],'DB Details'!$A:$Q,12))</f>
        <v>50.1</v>
      </c>
      <c r="C152" s="51">
        <f>Table9[[#This Row],[ISM Services]]-B151</f>
        <v>1.2000000000000028</v>
      </c>
    </row>
    <row r="153" spans="1:3" x14ac:dyDescent="0.35">
      <c r="A153" s="50">
        <v>40087</v>
      </c>
      <c r="B153" s="51">
        <f>IF(VLOOKUP(Table9[[#This Row],[Date]],'DB Details'!$A:$Q,12)=0,"",VLOOKUP(Table9[[#This Row],[Date]],'DB Details'!$A:$Q,12))</f>
        <v>51</v>
      </c>
      <c r="C153" s="51">
        <f>Table9[[#This Row],[ISM Services]]-B152</f>
        <v>0.89999999999999858</v>
      </c>
    </row>
    <row r="154" spans="1:3" x14ac:dyDescent="0.35">
      <c r="A154" s="50">
        <v>40118</v>
      </c>
      <c r="B154" s="51">
        <f>IF(VLOOKUP(Table9[[#This Row],[Date]],'DB Details'!$A:$Q,12)=0,"",VLOOKUP(Table9[[#This Row],[Date]],'DB Details'!$A:$Q,12))</f>
        <v>49.5</v>
      </c>
      <c r="C154" s="51">
        <f>Table9[[#This Row],[ISM Services]]-B153</f>
        <v>-1.5</v>
      </c>
    </row>
    <row r="155" spans="1:3" x14ac:dyDescent="0.35">
      <c r="A155" s="50">
        <v>40148</v>
      </c>
      <c r="B155" s="51">
        <f>IF(VLOOKUP(Table9[[#This Row],[Date]],'DB Details'!$A:$Q,12)=0,"",VLOOKUP(Table9[[#This Row],[Date]],'DB Details'!$A:$Q,12))</f>
        <v>49.7</v>
      </c>
      <c r="C155" s="51">
        <f>Table9[[#This Row],[ISM Services]]-B154</f>
        <v>0.20000000000000284</v>
      </c>
    </row>
    <row r="156" spans="1:3" x14ac:dyDescent="0.35">
      <c r="A156" s="50">
        <v>40179</v>
      </c>
      <c r="B156" s="51">
        <f>IF(VLOOKUP(Table9[[#This Row],[Date]],'DB Details'!$A:$Q,12)=0,"",VLOOKUP(Table9[[#This Row],[Date]],'DB Details'!$A:$Q,12))</f>
        <v>50</v>
      </c>
      <c r="C156" s="51">
        <f>Table9[[#This Row],[ISM Services]]-B155</f>
        <v>0.29999999999999716</v>
      </c>
    </row>
    <row r="157" spans="1:3" x14ac:dyDescent="0.35">
      <c r="A157" s="50">
        <v>40210</v>
      </c>
      <c r="B157" s="51">
        <f>IF(VLOOKUP(Table9[[#This Row],[Date]],'DB Details'!$A:$Q,12)=0,"",VLOOKUP(Table9[[#This Row],[Date]],'DB Details'!$A:$Q,12))</f>
        <v>51.7</v>
      </c>
      <c r="C157" s="51">
        <f>Table9[[#This Row],[ISM Services]]-B156</f>
        <v>1.7000000000000028</v>
      </c>
    </row>
    <row r="158" spans="1:3" x14ac:dyDescent="0.35">
      <c r="A158" s="50">
        <v>40238</v>
      </c>
      <c r="B158" s="51">
        <f>IF(VLOOKUP(Table9[[#This Row],[Date]],'DB Details'!$A:$Q,12)=0,"",VLOOKUP(Table9[[#This Row],[Date]],'DB Details'!$A:$Q,12))</f>
        <v>53.3</v>
      </c>
      <c r="C158" s="51">
        <f>Table9[[#This Row],[ISM Services]]-B157</f>
        <v>1.5999999999999943</v>
      </c>
    </row>
    <row r="159" spans="1:3" x14ac:dyDescent="0.35">
      <c r="A159" s="50">
        <v>40269</v>
      </c>
      <c r="B159" s="51">
        <f>IF(VLOOKUP(Table9[[#This Row],[Date]],'DB Details'!$A:$Q,12)=0,"",VLOOKUP(Table9[[#This Row],[Date]],'DB Details'!$A:$Q,12))</f>
        <v>55.3</v>
      </c>
      <c r="C159" s="51">
        <f>Table9[[#This Row],[ISM Services]]-B158</f>
        <v>2</v>
      </c>
    </row>
    <row r="160" spans="1:3" x14ac:dyDescent="0.35">
      <c r="A160" s="50">
        <v>40299</v>
      </c>
      <c r="B160" s="51">
        <f>IF(VLOOKUP(Table9[[#This Row],[Date]],'DB Details'!$A:$Q,12)=0,"",VLOOKUP(Table9[[#This Row],[Date]],'DB Details'!$A:$Q,12))</f>
        <v>55.5</v>
      </c>
      <c r="C160" s="51">
        <f>Table9[[#This Row],[ISM Services]]-B159</f>
        <v>0.20000000000000284</v>
      </c>
    </row>
    <row r="161" spans="1:3" x14ac:dyDescent="0.35">
      <c r="A161" s="50">
        <v>40330</v>
      </c>
      <c r="B161" s="51">
        <f>IF(VLOOKUP(Table9[[#This Row],[Date]],'DB Details'!$A:$Q,12)=0,"",VLOOKUP(Table9[[#This Row],[Date]],'DB Details'!$A:$Q,12))</f>
        <v>54.4</v>
      </c>
      <c r="C161" s="51">
        <f>Table9[[#This Row],[ISM Services]]-B160</f>
        <v>-1.1000000000000014</v>
      </c>
    </row>
    <row r="162" spans="1:3" x14ac:dyDescent="0.35">
      <c r="A162" s="50">
        <v>40360</v>
      </c>
      <c r="B162" s="51">
        <f>IF(VLOOKUP(Table9[[#This Row],[Date]],'DB Details'!$A:$Q,12)=0,"",VLOOKUP(Table9[[#This Row],[Date]],'DB Details'!$A:$Q,12))</f>
        <v>54.6</v>
      </c>
      <c r="C162" s="51">
        <f>Table9[[#This Row],[ISM Services]]-B161</f>
        <v>0.20000000000000284</v>
      </c>
    </row>
    <row r="163" spans="1:3" x14ac:dyDescent="0.35">
      <c r="A163" s="50">
        <v>40391</v>
      </c>
      <c r="B163" s="51">
        <f>IF(VLOOKUP(Table9[[#This Row],[Date]],'DB Details'!$A:$Q,12)=0,"",VLOOKUP(Table9[[#This Row],[Date]],'DB Details'!$A:$Q,12))</f>
        <v>52.4</v>
      </c>
      <c r="C163" s="51">
        <f>Table9[[#This Row],[ISM Services]]-B162</f>
        <v>-2.2000000000000028</v>
      </c>
    </row>
    <row r="164" spans="1:3" x14ac:dyDescent="0.35">
      <c r="A164" s="50">
        <v>40422</v>
      </c>
      <c r="B164" s="51">
        <f>IF(VLOOKUP(Table9[[#This Row],[Date]],'DB Details'!$A:$Q,12)=0,"",VLOOKUP(Table9[[#This Row],[Date]],'DB Details'!$A:$Q,12))</f>
        <v>53.3</v>
      </c>
      <c r="C164" s="51">
        <f>Table9[[#This Row],[ISM Services]]-B163</f>
        <v>0.89999999999999858</v>
      </c>
    </row>
    <row r="165" spans="1:3" x14ac:dyDescent="0.35">
      <c r="A165" s="50">
        <v>40452</v>
      </c>
      <c r="B165" s="51">
        <f>IF(VLOOKUP(Table9[[#This Row],[Date]],'DB Details'!$A:$Q,12)=0,"",VLOOKUP(Table9[[#This Row],[Date]],'DB Details'!$A:$Q,12))</f>
        <v>55.3</v>
      </c>
      <c r="C165" s="51">
        <f>Table9[[#This Row],[ISM Services]]-B164</f>
        <v>2</v>
      </c>
    </row>
    <row r="166" spans="1:3" x14ac:dyDescent="0.35">
      <c r="A166" s="50">
        <v>40483</v>
      </c>
      <c r="B166" s="51">
        <f>IF(VLOOKUP(Table9[[#This Row],[Date]],'DB Details'!$A:$Q,12)=0,"",VLOOKUP(Table9[[#This Row],[Date]],'DB Details'!$A:$Q,12))</f>
        <v>56.4</v>
      </c>
      <c r="C166" s="51">
        <f>Table9[[#This Row],[ISM Services]]-B165</f>
        <v>1.1000000000000014</v>
      </c>
    </row>
    <row r="167" spans="1:3" x14ac:dyDescent="0.35">
      <c r="A167" s="50">
        <v>40513</v>
      </c>
      <c r="B167" s="51">
        <f>IF(VLOOKUP(Table9[[#This Row],[Date]],'DB Details'!$A:$Q,12)=0,"",VLOOKUP(Table9[[#This Row],[Date]],'DB Details'!$A:$Q,12))</f>
        <v>56.9</v>
      </c>
      <c r="C167" s="51">
        <f>Table9[[#This Row],[ISM Services]]-B166</f>
        <v>0.5</v>
      </c>
    </row>
    <row r="168" spans="1:3" x14ac:dyDescent="0.35">
      <c r="A168" s="50">
        <v>40544</v>
      </c>
      <c r="B168" s="51">
        <f>IF(VLOOKUP(Table9[[#This Row],[Date]],'DB Details'!$A:$Q,12)=0,"",VLOOKUP(Table9[[#This Row],[Date]],'DB Details'!$A:$Q,12))</f>
        <v>57.6</v>
      </c>
      <c r="C168" s="51">
        <f>Table9[[#This Row],[ISM Services]]-B167</f>
        <v>0.70000000000000284</v>
      </c>
    </row>
    <row r="169" spans="1:3" x14ac:dyDescent="0.35">
      <c r="A169" s="50">
        <v>40575</v>
      </c>
      <c r="B169" s="51">
        <f>IF(VLOOKUP(Table9[[#This Row],[Date]],'DB Details'!$A:$Q,12)=0,"",VLOOKUP(Table9[[#This Row],[Date]],'DB Details'!$A:$Q,12))</f>
        <v>58</v>
      </c>
      <c r="C169" s="51">
        <f>Table9[[#This Row],[ISM Services]]-B168</f>
        <v>0.39999999999999858</v>
      </c>
    </row>
    <row r="170" spans="1:3" x14ac:dyDescent="0.35">
      <c r="A170" s="50">
        <v>40603</v>
      </c>
      <c r="B170" s="51">
        <f>IF(VLOOKUP(Table9[[#This Row],[Date]],'DB Details'!$A:$Q,12)=0,"",VLOOKUP(Table9[[#This Row],[Date]],'DB Details'!$A:$Q,12))</f>
        <v>55.8</v>
      </c>
      <c r="C170" s="51">
        <f>Table9[[#This Row],[ISM Services]]-B169</f>
        <v>-2.2000000000000028</v>
      </c>
    </row>
    <row r="171" spans="1:3" x14ac:dyDescent="0.35">
      <c r="A171" s="50">
        <v>40634</v>
      </c>
      <c r="B171" s="51">
        <f>IF(VLOOKUP(Table9[[#This Row],[Date]],'DB Details'!$A:$Q,12)=0,"",VLOOKUP(Table9[[#This Row],[Date]],'DB Details'!$A:$Q,12))</f>
        <v>55.2</v>
      </c>
      <c r="C171" s="51">
        <f>Table9[[#This Row],[ISM Services]]-B170</f>
        <v>-0.59999999999999432</v>
      </c>
    </row>
    <row r="172" spans="1:3" x14ac:dyDescent="0.35">
      <c r="A172" s="50">
        <v>40664</v>
      </c>
      <c r="B172" s="51">
        <f>IF(VLOOKUP(Table9[[#This Row],[Date]],'DB Details'!$A:$Q,12)=0,"",VLOOKUP(Table9[[#This Row],[Date]],'DB Details'!$A:$Q,12))</f>
        <v>55</v>
      </c>
      <c r="C172" s="51">
        <f>Table9[[#This Row],[ISM Services]]-B171</f>
        <v>-0.20000000000000284</v>
      </c>
    </row>
    <row r="173" spans="1:3" x14ac:dyDescent="0.35">
      <c r="A173" s="50">
        <v>40695</v>
      </c>
      <c r="B173" s="51">
        <f>IF(VLOOKUP(Table9[[#This Row],[Date]],'DB Details'!$A:$Q,12)=0,"",VLOOKUP(Table9[[#This Row],[Date]],'DB Details'!$A:$Q,12))</f>
        <v>54.2</v>
      </c>
      <c r="C173" s="51">
        <f>Table9[[#This Row],[ISM Services]]-B172</f>
        <v>-0.79999999999999716</v>
      </c>
    </row>
    <row r="174" spans="1:3" x14ac:dyDescent="0.35">
      <c r="A174" s="50">
        <v>40725</v>
      </c>
      <c r="B174" s="51">
        <f>IF(VLOOKUP(Table9[[#This Row],[Date]],'DB Details'!$A:$Q,12)=0,"",VLOOKUP(Table9[[#This Row],[Date]],'DB Details'!$A:$Q,12))</f>
        <v>53.5</v>
      </c>
      <c r="C174" s="51">
        <f>Table9[[#This Row],[ISM Services]]-B173</f>
        <v>-0.70000000000000284</v>
      </c>
    </row>
    <row r="175" spans="1:3" x14ac:dyDescent="0.35">
      <c r="A175" s="50">
        <v>40756</v>
      </c>
      <c r="B175" s="51">
        <f>IF(VLOOKUP(Table9[[#This Row],[Date]],'DB Details'!$A:$Q,12)=0,"",VLOOKUP(Table9[[#This Row],[Date]],'DB Details'!$A:$Q,12))</f>
        <v>53.5</v>
      </c>
      <c r="C175" s="51">
        <f>Table9[[#This Row],[ISM Services]]-B174</f>
        <v>0</v>
      </c>
    </row>
    <row r="176" spans="1:3" x14ac:dyDescent="0.35">
      <c r="A176" s="50">
        <v>40787</v>
      </c>
      <c r="B176" s="51">
        <f>IF(VLOOKUP(Table9[[#This Row],[Date]],'DB Details'!$A:$Q,12)=0,"",VLOOKUP(Table9[[#This Row],[Date]],'DB Details'!$A:$Q,12))</f>
        <v>52.3</v>
      </c>
      <c r="C176" s="51">
        <f>Table9[[#This Row],[ISM Services]]-B175</f>
        <v>-1.2000000000000028</v>
      </c>
    </row>
    <row r="177" spans="1:3" x14ac:dyDescent="0.35">
      <c r="A177" s="50">
        <v>40817</v>
      </c>
      <c r="B177" s="51">
        <f>IF(VLOOKUP(Table9[[#This Row],[Date]],'DB Details'!$A:$Q,12)=0,"",VLOOKUP(Table9[[#This Row],[Date]],'DB Details'!$A:$Q,12))</f>
        <v>52.8</v>
      </c>
      <c r="C177" s="51">
        <f>Table9[[#This Row],[ISM Services]]-B176</f>
        <v>0.5</v>
      </c>
    </row>
    <row r="178" spans="1:3" x14ac:dyDescent="0.35">
      <c r="A178" s="50">
        <v>40848</v>
      </c>
      <c r="B178" s="51">
        <f>IF(VLOOKUP(Table9[[#This Row],[Date]],'DB Details'!$A:$Q,12)=0,"",VLOOKUP(Table9[[#This Row],[Date]],'DB Details'!$A:$Q,12))</f>
        <v>52.9</v>
      </c>
      <c r="C178" s="51">
        <f>Table9[[#This Row],[ISM Services]]-B177</f>
        <v>0.10000000000000142</v>
      </c>
    </row>
    <row r="179" spans="1:3" x14ac:dyDescent="0.35">
      <c r="A179" s="50">
        <v>40878</v>
      </c>
      <c r="B179" s="51">
        <f>IF(VLOOKUP(Table9[[#This Row],[Date]],'DB Details'!$A:$Q,12)=0,"",VLOOKUP(Table9[[#This Row],[Date]],'DB Details'!$A:$Q,12))</f>
        <v>52.6</v>
      </c>
      <c r="C179" s="51">
        <f>Table9[[#This Row],[ISM Services]]-B178</f>
        <v>-0.29999999999999716</v>
      </c>
    </row>
    <row r="180" spans="1:3" x14ac:dyDescent="0.35">
      <c r="A180" s="50">
        <v>40909</v>
      </c>
      <c r="B180" s="51">
        <f>IF(VLOOKUP(Table9[[#This Row],[Date]],'DB Details'!$A:$Q,12)=0,"",VLOOKUP(Table9[[#This Row],[Date]],'DB Details'!$A:$Q,12))</f>
        <v>56</v>
      </c>
      <c r="C180" s="51">
        <f>Table9[[#This Row],[ISM Services]]-B179</f>
        <v>3.3999999999999986</v>
      </c>
    </row>
    <row r="181" spans="1:3" x14ac:dyDescent="0.35">
      <c r="A181" s="50">
        <v>40940</v>
      </c>
      <c r="B181" s="51">
        <f>IF(VLOOKUP(Table9[[#This Row],[Date]],'DB Details'!$A:$Q,12)=0,"",VLOOKUP(Table9[[#This Row],[Date]],'DB Details'!$A:$Q,12))</f>
        <v>56</v>
      </c>
      <c r="C181" s="51">
        <f>Table9[[#This Row],[ISM Services]]-B180</f>
        <v>0</v>
      </c>
    </row>
    <row r="182" spans="1:3" x14ac:dyDescent="0.35">
      <c r="A182" s="50">
        <v>40969</v>
      </c>
      <c r="B182" s="51">
        <f>IF(VLOOKUP(Table9[[#This Row],[Date]],'DB Details'!$A:$Q,12)=0,"",VLOOKUP(Table9[[#This Row],[Date]],'DB Details'!$A:$Q,12))</f>
        <v>55.6</v>
      </c>
      <c r="C182" s="51">
        <f>Table9[[#This Row],[ISM Services]]-B181</f>
        <v>-0.39999999999999858</v>
      </c>
    </row>
    <row r="183" spans="1:3" x14ac:dyDescent="0.35">
      <c r="A183" s="50">
        <v>41000</v>
      </c>
      <c r="B183" s="51">
        <f>IF(VLOOKUP(Table9[[#This Row],[Date]],'DB Details'!$A:$Q,12)=0,"",VLOOKUP(Table9[[#This Row],[Date]],'DB Details'!$A:$Q,12))</f>
        <v>54.4</v>
      </c>
      <c r="C183" s="51">
        <f>Table9[[#This Row],[ISM Services]]-B182</f>
        <v>-1.2000000000000028</v>
      </c>
    </row>
    <row r="184" spans="1:3" x14ac:dyDescent="0.35">
      <c r="A184" s="50">
        <v>41030</v>
      </c>
      <c r="B184" s="51">
        <f>IF(VLOOKUP(Table9[[#This Row],[Date]],'DB Details'!$A:$Q,12)=0,"",VLOOKUP(Table9[[#This Row],[Date]],'DB Details'!$A:$Q,12))</f>
        <v>54.5</v>
      </c>
      <c r="C184" s="51">
        <f>Table9[[#This Row],[ISM Services]]-B183</f>
        <v>0.10000000000000142</v>
      </c>
    </row>
    <row r="185" spans="1:3" x14ac:dyDescent="0.35">
      <c r="A185" s="50">
        <v>41061</v>
      </c>
      <c r="B185" s="51">
        <f>IF(VLOOKUP(Table9[[#This Row],[Date]],'DB Details'!$A:$Q,12)=0,"",VLOOKUP(Table9[[#This Row],[Date]],'DB Details'!$A:$Q,12))</f>
        <v>53.7</v>
      </c>
      <c r="C185" s="51">
        <f>Table9[[#This Row],[ISM Services]]-B184</f>
        <v>-0.79999999999999716</v>
      </c>
    </row>
    <row r="186" spans="1:3" x14ac:dyDescent="0.35">
      <c r="A186" s="50">
        <v>41091</v>
      </c>
      <c r="B186" s="51">
        <f>IF(VLOOKUP(Table9[[#This Row],[Date]],'DB Details'!$A:$Q,12)=0,"",VLOOKUP(Table9[[#This Row],[Date]],'DB Details'!$A:$Q,12))</f>
        <v>52.4</v>
      </c>
      <c r="C186" s="51">
        <f>Table9[[#This Row],[ISM Services]]-B185</f>
        <v>-1.3000000000000043</v>
      </c>
    </row>
    <row r="187" spans="1:3" x14ac:dyDescent="0.35">
      <c r="A187" s="50">
        <v>41122</v>
      </c>
      <c r="B187" s="51">
        <f>IF(VLOOKUP(Table9[[#This Row],[Date]],'DB Details'!$A:$Q,12)=0,"",VLOOKUP(Table9[[#This Row],[Date]],'DB Details'!$A:$Q,12))</f>
        <v>52.9</v>
      </c>
      <c r="C187" s="51">
        <f>Table9[[#This Row],[ISM Services]]-B186</f>
        <v>0.5</v>
      </c>
    </row>
    <row r="188" spans="1:3" x14ac:dyDescent="0.35">
      <c r="A188" s="50">
        <v>41153</v>
      </c>
      <c r="B188" s="51">
        <f>IF(VLOOKUP(Table9[[#This Row],[Date]],'DB Details'!$A:$Q,12)=0,"",VLOOKUP(Table9[[#This Row],[Date]],'DB Details'!$A:$Q,12))</f>
        <v>54.6</v>
      </c>
      <c r="C188" s="51">
        <f>Table9[[#This Row],[ISM Services]]-B187</f>
        <v>1.7000000000000028</v>
      </c>
    </row>
    <row r="189" spans="1:3" x14ac:dyDescent="0.35">
      <c r="A189" s="50">
        <v>41183</v>
      </c>
      <c r="B189" s="51">
        <f>IF(VLOOKUP(Table9[[#This Row],[Date]],'DB Details'!$A:$Q,12)=0,"",VLOOKUP(Table9[[#This Row],[Date]],'DB Details'!$A:$Q,12))</f>
        <v>54.2</v>
      </c>
      <c r="C189" s="51">
        <f>Table9[[#This Row],[ISM Services]]-B188</f>
        <v>-0.39999999999999858</v>
      </c>
    </row>
    <row r="190" spans="1:3" x14ac:dyDescent="0.35">
      <c r="A190" s="50">
        <v>41214</v>
      </c>
      <c r="B190" s="51">
        <f>IF(VLOOKUP(Table9[[#This Row],[Date]],'DB Details'!$A:$Q,12)=0,"",VLOOKUP(Table9[[#This Row],[Date]],'DB Details'!$A:$Q,12))</f>
        <v>54.8</v>
      </c>
      <c r="C190" s="51">
        <f>Table9[[#This Row],[ISM Services]]-B189</f>
        <v>0.59999999999999432</v>
      </c>
    </row>
    <row r="191" spans="1:3" x14ac:dyDescent="0.35">
      <c r="A191" s="50">
        <v>41244</v>
      </c>
      <c r="B191" s="51">
        <f>IF(VLOOKUP(Table9[[#This Row],[Date]],'DB Details'!$A:$Q,12)=0,"",VLOOKUP(Table9[[#This Row],[Date]],'DB Details'!$A:$Q,12))</f>
        <v>55.6</v>
      </c>
      <c r="C191" s="51">
        <f>Table9[[#This Row],[ISM Services]]-B190</f>
        <v>0.80000000000000426</v>
      </c>
    </row>
    <row r="192" spans="1:3" x14ac:dyDescent="0.35">
      <c r="A192" s="50">
        <v>41275</v>
      </c>
      <c r="B192" s="51">
        <f>IF(VLOOKUP(Table9[[#This Row],[Date]],'DB Details'!$A:$Q,12)=0,"",VLOOKUP(Table9[[#This Row],[Date]],'DB Details'!$A:$Q,12))</f>
        <v>55.3</v>
      </c>
      <c r="C192" s="51">
        <f>Table9[[#This Row],[ISM Services]]-B191</f>
        <v>-0.30000000000000426</v>
      </c>
    </row>
    <row r="193" spans="1:3" x14ac:dyDescent="0.35">
      <c r="A193" s="50">
        <v>41306</v>
      </c>
      <c r="B193" s="51">
        <f>IF(VLOOKUP(Table9[[#This Row],[Date]],'DB Details'!$A:$Q,12)=0,"",VLOOKUP(Table9[[#This Row],[Date]],'DB Details'!$A:$Q,12))</f>
        <v>56.1</v>
      </c>
      <c r="C193" s="51">
        <f>Table9[[#This Row],[ISM Services]]-B192</f>
        <v>0.80000000000000426</v>
      </c>
    </row>
    <row r="194" spans="1:3" x14ac:dyDescent="0.35">
      <c r="A194" s="50">
        <v>41334</v>
      </c>
      <c r="B194" s="51">
        <f>IF(VLOOKUP(Table9[[#This Row],[Date]],'DB Details'!$A:$Q,12)=0,"",VLOOKUP(Table9[[#This Row],[Date]],'DB Details'!$A:$Q,12))</f>
        <v>55.2</v>
      </c>
      <c r="C194" s="51">
        <f>Table9[[#This Row],[ISM Services]]-B193</f>
        <v>-0.89999999999999858</v>
      </c>
    </row>
    <row r="195" spans="1:3" x14ac:dyDescent="0.35">
      <c r="A195" s="50">
        <v>41365</v>
      </c>
      <c r="B195" s="51">
        <f>IF(VLOOKUP(Table9[[#This Row],[Date]],'DB Details'!$A:$Q,12)=0,"",VLOOKUP(Table9[[#This Row],[Date]],'DB Details'!$A:$Q,12))</f>
        <v>53.9</v>
      </c>
      <c r="C195" s="51">
        <f>Table9[[#This Row],[ISM Services]]-B194</f>
        <v>-1.3000000000000043</v>
      </c>
    </row>
    <row r="196" spans="1:3" x14ac:dyDescent="0.35">
      <c r="A196" s="50">
        <v>41395</v>
      </c>
      <c r="B196" s="51">
        <f>IF(VLOOKUP(Table9[[#This Row],[Date]],'DB Details'!$A:$Q,12)=0,"",VLOOKUP(Table9[[#This Row],[Date]],'DB Details'!$A:$Q,12))</f>
        <v>54.4</v>
      </c>
      <c r="C196" s="51">
        <f>Table9[[#This Row],[ISM Services]]-B195</f>
        <v>0.5</v>
      </c>
    </row>
    <row r="197" spans="1:3" x14ac:dyDescent="0.35">
      <c r="A197" s="50">
        <v>41426</v>
      </c>
      <c r="B197" s="51">
        <f>IF(VLOOKUP(Table9[[#This Row],[Date]],'DB Details'!$A:$Q,12)=0,"",VLOOKUP(Table9[[#This Row],[Date]],'DB Details'!$A:$Q,12))</f>
        <v>54.1</v>
      </c>
      <c r="C197" s="51">
        <f>Table9[[#This Row],[ISM Services]]-B196</f>
        <v>-0.29999999999999716</v>
      </c>
    </row>
    <row r="198" spans="1:3" x14ac:dyDescent="0.35">
      <c r="A198" s="50">
        <v>41456</v>
      </c>
      <c r="B198" s="51">
        <f>IF(VLOOKUP(Table9[[#This Row],[Date]],'DB Details'!$A:$Q,12)=0,"",VLOOKUP(Table9[[#This Row],[Date]],'DB Details'!$A:$Q,12))</f>
        <v>54.9</v>
      </c>
      <c r="C198" s="51">
        <f>Table9[[#This Row],[ISM Services]]-B197</f>
        <v>0.79999999999999716</v>
      </c>
    </row>
    <row r="199" spans="1:3" x14ac:dyDescent="0.35">
      <c r="A199" s="50">
        <v>41487</v>
      </c>
      <c r="B199" s="51">
        <f>IF(VLOOKUP(Table9[[#This Row],[Date]],'DB Details'!$A:$Q,12)=0,"",VLOOKUP(Table9[[#This Row],[Date]],'DB Details'!$A:$Q,12))</f>
        <v>56.6</v>
      </c>
      <c r="C199" s="51">
        <f>Table9[[#This Row],[ISM Services]]-B198</f>
        <v>1.7000000000000028</v>
      </c>
    </row>
    <row r="200" spans="1:3" x14ac:dyDescent="0.35">
      <c r="A200" s="50">
        <v>41518</v>
      </c>
      <c r="B200" s="51">
        <f>IF(VLOOKUP(Table9[[#This Row],[Date]],'DB Details'!$A:$Q,12)=0,"",VLOOKUP(Table9[[#This Row],[Date]],'DB Details'!$A:$Q,12))</f>
        <v>53.6</v>
      </c>
      <c r="C200" s="51">
        <f>Table9[[#This Row],[ISM Services]]-B199</f>
        <v>-3</v>
      </c>
    </row>
    <row r="201" spans="1:3" x14ac:dyDescent="0.35">
      <c r="A201" s="50">
        <v>41548</v>
      </c>
      <c r="B201" s="51">
        <f>IF(VLOOKUP(Table9[[#This Row],[Date]],'DB Details'!$A:$Q,12)=0,"",VLOOKUP(Table9[[#This Row],[Date]],'DB Details'!$A:$Q,12))</f>
        <v>54.5</v>
      </c>
      <c r="C201" s="51">
        <f>Table9[[#This Row],[ISM Services]]-B200</f>
        <v>0.89999999999999858</v>
      </c>
    </row>
    <row r="202" spans="1:3" x14ac:dyDescent="0.35">
      <c r="A202" s="50">
        <v>41579</v>
      </c>
      <c r="B202" s="51">
        <f>IF(VLOOKUP(Table9[[#This Row],[Date]],'DB Details'!$A:$Q,12)=0,"",VLOOKUP(Table9[[#This Row],[Date]],'DB Details'!$A:$Q,12))</f>
        <v>53.8</v>
      </c>
      <c r="C202" s="51">
        <f>Table9[[#This Row],[ISM Services]]-B201</f>
        <v>-0.70000000000000284</v>
      </c>
    </row>
    <row r="203" spans="1:3" x14ac:dyDescent="0.35">
      <c r="A203" s="50">
        <v>41609</v>
      </c>
      <c r="B203" s="51">
        <f>IF(VLOOKUP(Table9[[#This Row],[Date]],'DB Details'!$A:$Q,12)=0,"",VLOOKUP(Table9[[#This Row],[Date]],'DB Details'!$A:$Q,12))</f>
        <v>52.9</v>
      </c>
      <c r="C203" s="51">
        <f>Table9[[#This Row],[ISM Services]]-B202</f>
        <v>-0.89999999999999858</v>
      </c>
    </row>
    <row r="204" spans="1:3" x14ac:dyDescent="0.35">
      <c r="A204" s="50">
        <v>41640</v>
      </c>
      <c r="B204" s="51">
        <f>IF(VLOOKUP(Table9[[#This Row],[Date]],'DB Details'!$A:$Q,12)=0,"",VLOOKUP(Table9[[#This Row],[Date]],'DB Details'!$A:$Q,12))</f>
        <v>54.7</v>
      </c>
      <c r="C204" s="51">
        <f>Table9[[#This Row],[ISM Services]]-B203</f>
        <v>1.8000000000000043</v>
      </c>
    </row>
    <row r="205" spans="1:3" x14ac:dyDescent="0.35">
      <c r="A205" s="50">
        <v>41671</v>
      </c>
      <c r="B205" s="51">
        <f>IF(VLOOKUP(Table9[[#This Row],[Date]],'DB Details'!$A:$Q,12)=0,"",VLOOKUP(Table9[[#This Row],[Date]],'DB Details'!$A:$Q,12))</f>
        <v>53</v>
      </c>
      <c r="C205" s="51">
        <f>Table9[[#This Row],[ISM Services]]-B204</f>
        <v>-1.7000000000000028</v>
      </c>
    </row>
    <row r="206" spans="1:3" x14ac:dyDescent="0.35">
      <c r="A206" s="50">
        <v>41699</v>
      </c>
      <c r="B206" s="51">
        <f>IF(VLOOKUP(Table9[[#This Row],[Date]],'DB Details'!$A:$Q,12)=0,"",VLOOKUP(Table9[[#This Row],[Date]],'DB Details'!$A:$Q,12))</f>
        <v>54.2</v>
      </c>
      <c r="C206" s="51">
        <f>Table9[[#This Row],[ISM Services]]-B205</f>
        <v>1.2000000000000028</v>
      </c>
    </row>
    <row r="207" spans="1:3" x14ac:dyDescent="0.35">
      <c r="A207" s="50">
        <v>41730</v>
      </c>
      <c r="B207" s="51">
        <f>IF(VLOOKUP(Table9[[#This Row],[Date]],'DB Details'!$A:$Q,12)=0,"",VLOOKUP(Table9[[#This Row],[Date]],'DB Details'!$A:$Q,12))</f>
        <v>55.2</v>
      </c>
      <c r="C207" s="51">
        <f>Table9[[#This Row],[ISM Services]]-B206</f>
        <v>1</v>
      </c>
    </row>
    <row r="208" spans="1:3" x14ac:dyDescent="0.35">
      <c r="A208" s="50">
        <v>41760</v>
      </c>
      <c r="B208" s="51">
        <f>IF(VLOOKUP(Table9[[#This Row],[Date]],'DB Details'!$A:$Q,12)=0,"",VLOOKUP(Table9[[#This Row],[Date]],'DB Details'!$A:$Q,12))</f>
        <v>56.9</v>
      </c>
      <c r="C208" s="51">
        <f>Table9[[#This Row],[ISM Services]]-B207</f>
        <v>1.6999999999999957</v>
      </c>
    </row>
    <row r="209" spans="1:3" x14ac:dyDescent="0.35">
      <c r="A209" s="50">
        <v>41791</v>
      </c>
      <c r="B209" s="51">
        <f>IF(VLOOKUP(Table9[[#This Row],[Date]],'DB Details'!$A:$Q,12)=0,"",VLOOKUP(Table9[[#This Row],[Date]],'DB Details'!$A:$Q,12))</f>
        <v>56.6</v>
      </c>
      <c r="C209" s="51">
        <f>Table9[[#This Row],[ISM Services]]-B208</f>
        <v>-0.29999999999999716</v>
      </c>
    </row>
    <row r="210" spans="1:3" x14ac:dyDescent="0.35">
      <c r="A210" s="50">
        <v>41821</v>
      </c>
      <c r="B210" s="51">
        <f>IF(VLOOKUP(Table9[[#This Row],[Date]],'DB Details'!$A:$Q,12)=0,"",VLOOKUP(Table9[[#This Row],[Date]],'DB Details'!$A:$Q,12))</f>
        <v>57.1</v>
      </c>
      <c r="C210" s="51">
        <f>Table9[[#This Row],[ISM Services]]-B209</f>
        <v>0.5</v>
      </c>
    </row>
    <row r="211" spans="1:3" x14ac:dyDescent="0.35">
      <c r="A211" s="50">
        <v>41852</v>
      </c>
      <c r="B211" s="51">
        <f>IF(VLOOKUP(Table9[[#This Row],[Date]],'DB Details'!$A:$Q,12)=0,"",VLOOKUP(Table9[[#This Row],[Date]],'DB Details'!$A:$Q,12))</f>
        <v>58</v>
      </c>
      <c r="C211" s="51">
        <f>Table9[[#This Row],[ISM Services]]-B210</f>
        <v>0.89999999999999858</v>
      </c>
    </row>
    <row r="212" spans="1:3" x14ac:dyDescent="0.35">
      <c r="A212" s="50">
        <v>41883</v>
      </c>
      <c r="B212" s="51">
        <f>IF(VLOOKUP(Table9[[#This Row],[Date]],'DB Details'!$A:$Q,12)=0,"",VLOOKUP(Table9[[#This Row],[Date]],'DB Details'!$A:$Q,12))</f>
        <v>57.4</v>
      </c>
      <c r="C212" s="51">
        <f>Table9[[#This Row],[ISM Services]]-B211</f>
        <v>-0.60000000000000142</v>
      </c>
    </row>
    <row r="213" spans="1:3" x14ac:dyDescent="0.35">
      <c r="A213" s="50">
        <v>41913</v>
      </c>
      <c r="B213" s="51">
        <f>IF(VLOOKUP(Table9[[#This Row],[Date]],'DB Details'!$A:$Q,12)=0,"",VLOOKUP(Table9[[#This Row],[Date]],'DB Details'!$A:$Q,12))</f>
        <v>56</v>
      </c>
      <c r="C213" s="51">
        <f>Table9[[#This Row],[ISM Services]]-B212</f>
        <v>-1.3999999999999986</v>
      </c>
    </row>
    <row r="214" spans="1:3" x14ac:dyDescent="0.35">
      <c r="A214" s="50">
        <v>41944</v>
      </c>
      <c r="B214" s="51">
        <f>IF(VLOOKUP(Table9[[#This Row],[Date]],'DB Details'!$A:$Q,12)=0,"",VLOOKUP(Table9[[#This Row],[Date]],'DB Details'!$A:$Q,12))</f>
        <v>58.7</v>
      </c>
      <c r="C214" s="51">
        <f>Table9[[#This Row],[ISM Services]]-B213</f>
        <v>2.7000000000000028</v>
      </c>
    </row>
    <row r="215" spans="1:3" x14ac:dyDescent="0.35">
      <c r="A215" s="50">
        <v>41974</v>
      </c>
      <c r="B215" s="51">
        <f>IF(VLOOKUP(Table9[[#This Row],[Date]],'DB Details'!$A:$Q,12)=0,"",VLOOKUP(Table9[[#This Row],[Date]],'DB Details'!$A:$Q,12))</f>
        <v>56.4</v>
      </c>
      <c r="C215" s="51">
        <f>Table9[[#This Row],[ISM Services]]-B214</f>
        <v>-2.3000000000000043</v>
      </c>
    </row>
    <row r="216" spans="1:3" x14ac:dyDescent="0.35">
      <c r="A216" s="50">
        <v>42005</v>
      </c>
      <c r="B216" s="51">
        <f>IF(VLOOKUP(Table9[[#This Row],[Date]],'DB Details'!$A:$Q,12)=0,"",VLOOKUP(Table9[[#This Row],[Date]],'DB Details'!$A:$Q,12))</f>
        <v>57.3</v>
      </c>
      <c r="C216" s="51">
        <f>Table9[[#This Row],[ISM Services]]-B215</f>
        <v>0.89999999999999858</v>
      </c>
    </row>
    <row r="217" spans="1:3" x14ac:dyDescent="0.35">
      <c r="A217" s="50">
        <v>42036</v>
      </c>
      <c r="B217" s="51">
        <f>IF(VLOOKUP(Table9[[#This Row],[Date]],'DB Details'!$A:$Q,12)=0,"",VLOOKUP(Table9[[#This Row],[Date]],'DB Details'!$A:$Q,12))</f>
        <v>57.6</v>
      </c>
      <c r="C217" s="51">
        <f>Table9[[#This Row],[ISM Services]]-B216</f>
        <v>0.30000000000000426</v>
      </c>
    </row>
    <row r="218" spans="1:3" x14ac:dyDescent="0.35">
      <c r="A218" s="50">
        <v>42064</v>
      </c>
      <c r="B218" s="51">
        <f>IF(VLOOKUP(Table9[[#This Row],[Date]],'DB Details'!$A:$Q,12)=0,"",VLOOKUP(Table9[[#This Row],[Date]],'DB Details'!$A:$Q,12))</f>
        <v>57.5</v>
      </c>
      <c r="C218" s="51">
        <f>Table9[[#This Row],[ISM Services]]-B217</f>
        <v>-0.10000000000000142</v>
      </c>
    </row>
    <row r="219" spans="1:3" x14ac:dyDescent="0.35">
      <c r="A219" s="50">
        <v>42095</v>
      </c>
      <c r="B219" s="51">
        <f>IF(VLOOKUP(Table9[[#This Row],[Date]],'DB Details'!$A:$Q,12)=0,"",VLOOKUP(Table9[[#This Row],[Date]],'DB Details'!$A:$Q,12))</f>
        <v>57.5</v>
      </c>
      <c r="C219" s="51">
        <f>Table9[[#This Row],[ISM Services]]-B218</f>
        <v>0</v>
      </c>
    </row>
    <row r="220" spans="1:3" x14ac:dyDescent="0.35">
      <c r="A220" s="50">
        <v>42125</v>
      </c>
      <c r="B220" s="51">
        <f>IF(VLOOKUP(Table9[[#This Row],[Date]],'DB Details'!$A:$Q,12)=0,"",VLOOKUP(Table9[[#This Row],[Date]],'DB Details'!$A:$Q,12))</f>
        <v>56.8</v>
      </c>
      <c r="C220" s="51">
        <f>Table9[[#This Row],[ISM Services]]-B219</f>
        <v>-0.70000000000000284</v>
      </c>
    </row>
    <row r="221" spans="1:3" x14ac:dyDescent="0.35">
      <c r="A221" s="50">
        <v>42156</v>
      </c>
      <c r="B221" s="51">
        <f>IF(VLOOKUP(Table9[[#This Row],[Date]],'DB Details'!$A:$Q,12)=0,"",VLOOKUP(Table9[[#This Row],[Date]],'DB Details'!$A:$Q,12))</f>
        <v>56</v>
      </c>
      <c r="C221" s="51">
        <f>Table9[[#This Row],[ISM Services]]-B220</f>
        <v>-0.79999999999999716</v>
      </c>
    </row>
    <row r="222" spans="1:3" x14ac:dyDescent="0.35">
      <c r="A222" s="50">
        <v>42186</v>
      </c>
      <c r="B222" s="51">
        <f>IF(VLOOKUP(Table9[[#This Row],[Date]],'DB Details'!$A:$Q,12)=0,"",VLOOKUP(Table9[[#This Row],[Date]],'DB Details'!$A:$Q,12))</f>
        <v>59.3</v>
      </c>
      <c r="C222" s="51">
        <f>Table9[[#This Row],[ISM Services]]-B221</f>
        <v>3.2999999999999972</v>
      </c>
    </row>
    <row r="223" spans="1:3" x14ac:dyDescent="0.35">
      <c r="A223" s="50">
        <v>42217</v>
      </c>
      <c r="B223" s="51">
        <f>IF(VLOOKUP(Table9[[#This Row],[Date]],'DB Details'!$A:$Q,12)=0,"",VLOOKUP(Table9[[#This Row],[Date]],'DB Details'!$A:$Q,12))</f>
        <v>58.4</v>
      </c>
      <c r="C223" s="51">
        <f>Table9[[#This Row],[ISM Services]]-B222</f>
        <v>-0.89999999999999858</v>
      </c>
    </row>
    <row r="224" spans="1:3" x14ac:dyDescent="0.35">
      <c r="A224" s="50">
        <v>42248</v>
      </c>
      <c r="B224" s="51">
        <f>IF(VLOOKUP(Table9[[#This Row],[Date]],'DB Details'!$A:$Q,12)=0,"",VLOOKUP(Table9[[#This Row],[Date]],'DB Details'!$A:$Q,12))</f>
        <v>56.1</v>
      </c>
      <c r="C224" s="51">
        <f>Table9[[#This Row],[ISM Services]]-B223</f>
        <v>-2.2999999999999972</v>
      </c>
    </row>
    <row r="225" spans="1:3" x14ac:dyDescent="0.35">
      <c r="A225" s="50">
        <v>42278</v>
      </c>
      <c r="B225" s="51">
        <f>IF(VLOOKUP(Table9[[#This Row],[Date]],'DB Details'!$A:$Q,12)=0,"",VLOOKUP(Table9[[#This Row],[Date]],'DB Details'!$A:$Q,12))</f>
        <v>57.9</v>
      </c>
      <c r="C225" s="51">
        <f>Table9[[#This Row],[ISM Services]]-B224</f>
        <v>1.7999999999999972</v>
      </c>
    </row>
    <row r="226" spans="1:3" x14ac:dyDescent="0.35">
      <c r="A226" s="50">
        <v>42309</v>
      </c>
      <c r="B226" s="51">
        <f>IF(VLOOKUP(Table9[[#This Row],[Date]],'DB Details'!$A:$Q,12)=0,"",VLOOKUP(Table9[[#This Row],[Date]],'DB Details'!$A:$Q,12))</f>
        <v>55.8</v>
      </c>
      <c r="C226" s="51">
        <f>Table9[[#This Row],[ISM Services]]-B225</f>
        <v>-2.1000000000000014</v>
      </c>
    </row>
    <row r="227" spans="1:3" x14ac:dyDescent="0.35">
      <c r="A227" s="50">
        <v>42339</v>
      </c>
      <c r="B227" s="51">
        <f>IF(VLOOKUP(Table9[[#This Row],[Date]],'DB Details'!$A:$Q,12)=0,"",VLOOKUP(Table9[[#This Row],[Date]],'DB Details'!$A:$Q,12))</f>
        <v>55.3</v>
      </c>
      <c r="C227" s="51">
        <f>Table9[[#This Row],[ISM Services]]-B226</f>
        <v>-0.5</v>
      </c>
    </row>
    <row r="228" spans="1:3" x14ac:dyDescent="0.35">
      <c r="A228" s="50">
        <v>42370</v>
      </c>
      <c r="B228" s="51">
        <f>IF(VLOOKUP(Table9[[#This Row],[Date]],'DB Details'!$A:$Q,12)=0,"",VLOOKUP(Table9[[#This Row],[Date]],'DB Details'!$A:$Q,12))</f>
        <v>54</v>
      </c>
      <c r="C228" s="51">
        <f>Table9[[#This Row],[ISM Services]]-B227</f>
        <v>-1.2999999999999972</v>
      </c>
    </row>
    <row r="229" spans="1:3" x14ac:dyDescent="0.35">
      <c r="A229" s="50">
        <v>42401</v>
      </c>
      <c r="B229" s="51">
        <f>IF(VLOOKUP(Table9[[#This Row],[Date]],'DB Details'!$A:$Q,12)=0,"",VLOOKUP(Table9[[#This Row],[Date]],'DB Details'!$A:$Q,12))</f>
        <v>54</v>
      </c>
      <c r="C229" s="51">
        <f>Table9[[#This Row],[ISM Services]]-B228</f>
        <v>0</v>
      </c>
    </row>
    <row r="230" spans="1:3" x14ac:dyDescent="0.35">
      <c r="A230" s="50">
        <v>42430</v>
      </c>
      <c r="B230" s="51">
        <f>IF(VLOOKUP(Table9[[#This Row],[Date]],'DB Details'!$A:$Q,12)=0,"",VLOOKUP(Table9[[#This Row],[Date]],'DB Details'!$A:$Q,12))</f>
        <v>55.2</v>
      </c>
      <c r="C230" s="51">
        <f>Table9[[#This Row],[ISM Services]]-B229</f>
        <v>1.2000000000000028</v>
      </c>
    </row>
    <row r="231" spans="1:3" x14ac:dyDescent="0.35">
      <c r="A231" s="50">
        <v>42461</v>
      </c>
      <c r="B231" s="51">
        <f>IF(VLOOKUP(Table9[[#This Row],[Date]],'DB Details'!$A:$Q,12)=0,"",VLOOKUP(Table9[[#This Row],[Date]],'DB Details'!$A:$Q,12))</f>
        <v>55.6</v>
      </c>
      <c r="C231" s="51">
        <f>Table9[[#This Row],[ISM Services]]-B230</f>
        <v>0.39999999999999858</v>
      </c>
    </row>
    <row r="232" spans="1:3" x14ac:dyDescent="0.35">
      <c r="A232" s="50">
        <v>42491</v>
      </c>
      <c r="B232" s="51">
        <f>IF(VLOOKUP(Table9[[#This Row],[Date]],'DB Details'!$A:$Q,12)=0,"",VLOOKUP(Table9[[#This Row],[Date]],'DB Details'!$A:$Q,12))</f>
        <v>53.8</v>
      </c>
      <c r="C232" s="51">
        <f>Table9[[#This Row],[ISM Services]]-B231</f>
        <v>-1.8000000000000043</v>
      </c>
    </row>
    <row r="233" spans="1:3" x14ac:dyDescent="0.35">
      <c r="A233" s="50">
        <v>42522</v>
      </c>
      <c r="B233" s="51">
        <f>IF(VLOOKUP(Table9[[#This Row],[Date]],'DB Details'!$A:$Q,12)=0,"",VLOOKUP(Table9[[#This Row],[Date]],'DB Details'!$A:$Q,12))</f>
        <v>56</v>
      </c>
      <c r="C233" s="51">
        <f>Table9[[#This Row],[ISM Services]]-B232</f>
        <v>2.2000000000000028</v>
      </c>
    </row>
    <row r="234" spans="1:3" x14ac:dyDescent="0.35">
      <c r="A234" s="50">
        <v>42552</v>
      </c>
      <c r="B234" s="51">
        <f>IF(VLOOKUP(Table9[[#This Row],[Date]],'DB Details'!$A:$Q,12)=0,"",VLOOKUP(Table9[[#This Row],[Date]],'DB Details'!$A:$Q,12))</f>
        <v>55.2</v>
      </c>
      <c r="C234" s="51">
        <f>Table9[[#This Row],[ISM Services]]-B233</f>
        <v>-0.79999999999999716</v>
      </c>
    </row>
    <row r="235" spans="1:3" x14ac:dyDescent="0.35">
      <c r="A235" s="50">
        <v>42583</v>
      </c>
      <c r="B235" s="51">
        <f>IF(VLOOKUP(Table9[[#This Row],[Date]],'DB Details'!$A:$Q,12)=0,"",VLOOKUP(Table9[[#This Row],[Date]],'DB Details'!$A:$Q,12))</f>
        <v>51.6</v>
      </c>
      <c r="C235" s="51">
        <f>Table9[[#This Row],[ISM Services]]-B234</f>
        <v>-3.6000000000000014</v>
      </c>
    </row>
    <row r="236" spans="1:3" x14ac:dyDescent="0.35">
      <c r="A236" s="50">
        <v>42614</v>
      </c>
      <c r="B236" s="51">
        <f>IF(VLOOKUP(Table9[[#This Row],[Date]],'DB Details'!$A:$Q,12)=0,"",VLOOKUP(Table9[[#This Row],[Date]],'DB Details'!$A:$Q,12))</f>
        <v>56.3</v>
      </c>
      <c r="C236" s="51">
        <f>Table9[[#This Row],[ISM Services]]-B235</f>
        <v>4.6999999999999957</v>
      </c>
    </row>
    <row r="237" spans="1:3" x14ac:dyDescent="0.35">
      <c r="A237" s="50">
        <v>42644</v>
      </c>
      <c r="B237" s="51">
        <f>IF(VLOOKUP(Table9[[#This Row],[Date]],'DB Details'!$A:$Q,12)=0,"",VLOOKUP(Table9[[#This Row],[Date]],'DB Details'!$A:$Q,12))</f>
        <v>54.4</v>
      </c>
      <c r="C237" s="51">
        <f>Table9[[#This Row],[ISM Services]]-B236</f>
        <v>-1.8999999999999986</v>
      </c>
    </row>
    <row r="238" spans="1:3" x14ac:dyDescent="0.35">
      <c r="A238" s="50">
        <v>42675</v>
      </c>
      <c r="B238" s="51">
        <f>IF(VLOOKUP(Table9[[#This Row],[Date]],'DB Details'!$A:$Q,12)=0,"",VLOOKUP(Table9[[#This Row],[Date]],'DB Details'!$A:$Q,12))</f>
        <v>56.2</v>
      </c>
      <c r="C238" s="51">
        <f>Table9[[#This Row],[ISM Services]]-B237</f>
        <v>1.8000000000000043</v>
      </c>
    </row>
    <row r="239" spans="1:3" x14ac:dyDescent="0.35">
      <c r="A239" s="50">
        <v>42705</v>
      </c>
      <c r="B239" s="51">
        <f>IF(VLOOKUP(Table9[[#This Row],[Date]],'DB Details'!$A:$Q,12)=0,"",VLOOKUP(Table9[[#This Row],[Date]],'DB Details'!$A:$Q,12))</f>
        <v>56.7</v>
      </c>
      <c r="C239" s="51">
        <f>Table9[[#This Row],[ISM Services]]-B238</f>
        <v>0.5</v>
      </c>
    </row>
    <row r="240" spans="1:3" x14ac:dyDescent="0.35">
      <c r="A240" s="50">
        <v>42736</v>
      </c>
      <c r="B240" s="51">
        <f>IF(VLOOKUP(Table9[[#This Row],[Date]],'DB Details'!$A:$Q,12)=0,"",VLOOKUP(Table9[[#This Row],[Date]],'DB Details'!$A:$Q,12))</f>
        <v>56.8</v>
      </c>
      <c r="C240" s="51">
        <f>Table9[[#This Row],[ISM Services]]-B239</f>
        <v>9.9999999999994316E-2</v>
      </c>
    </row>
    <row r="241" spans="1:10" x14ac:dyDescent="0.35">
      <c r="A241" s="50">
        <v>42767</v>
      </c>
      <c r="B241" s="51">
        <f>IF(VLOOKUP(Table9[[#This Row],[Date]],'DB Details'!$A:$Q,12)=0,"",VLOOKUP(Table9[[#This Row],[Date]],'DB Details'!$A:$Q,12))</f>
        <v>57.4</v>
      </c>
      <c r="C241" s="51">
        <f>Table9[[#This Row],[ISM Services]]-B240</f>
        <v>0.60000000000000142</v>
      </c>
    </row>
    <row r="242" spans="1:10" x14ac:dyDescent="0.35">
      <c r="A242" s="50">
        <v>42795</v>
      </c>
      <c r="B242" s="51">
        <f>IF(VLOOKUP(Table9[[#This Row],[Date]],'DB Details'!$A:$Q,12)=0,"",VLOOKUP(Table9[[#This Row],[Date]],'DB Details'!$A:$Q,12))</f>
        <v>55.6</v>
      </c>
      <c r="C242" s="51">
        <f>Table9[[#This Row],[ISM Services]]-B241</f>
        <v>-1.7999999999999972</v>
      </c>
    </row>
    <row r="243" spans="1:10" x14ac:dyDescent="0.35">
      <c r="A243" s="50">
        <v>42826</v>
      </c>
      <c r="B243" s="51">
        <f>IF(VLOOKUP(Table9[[#This Row],[Date]],'DB Details'!$A:$Q,12)=0,"",VLOOKUP(Table9[[#This Row],[Date]],'DB Details'!$A:$Q,12))</f>
        <v>57.3</v>
      </c>
      <c r="C243" s="51">
        <f>Table9[[#This Row],[ISM Services]]-B242</f>
        <v>1.6999999999999957</v>
      </c>
    </row>
    <row r="244" spans="1:10" x14ac:dyDescent="0.35">
      <c r="A244" s="50">
        <v>42856</v>
      </c>
      <c r="B244" s="51">
        <f>IF(VLOOKUP(Table9[[#This Row],[Date]],'DB Details'!$A:$Q,12)=0,"",VLOOKUP(Table9[[#This Row],[Date]],'DB Details'!$A:$Q,12))</f>
        <v>57.1</v>
      </c>
      <c r="C244" s="51">
        <f>Table9[[#This Row],[ISM Services]]-B243</f>
        <v>-0.19999999999999574</v>
      </c>
    </row>
    <row r="245" spans="1:10" x14ac:dyDescent="0.35">
      <c r="A245" s="50">
        <v>42887</v>
      </c>
      <c r="B245" s="51">
        <f>IF(VLOOKUP(Table9[[#This Row],[Date]],'DB Details'!$A:$Q,12)=0,"",VLOOKUP(Table9[[#This Row],[Date]],'DB Details'!$A:$Q,12))</f>
        <v>57.2</v>
      </c>
      <c r="C245" s="51">
        <f>Table9[[#This Row],[ISM Services]]-B244</f>
        <v>0.10000000000000142</v>
      </c>
    </row>
    <row r="246" spans="1:10" x14ac:dyDescent="0.35">
      <c r="A246" s="50">
        <v>42917</v>
      </c>
      <c r="B246" s="51">
        <f>IF(VLOOKUP(Table9[[#This Row],[Date]],'DB Details'!$A:$Q,12)=0,"",VLOOKUP(Table9[[#This Row],[Date]],'DB Details'!$A:$Q,12))</f>
        <v>54.3</v>
      </c>
      <c r="C246" s="51">
        <f>Table9[[#This Row],[ISM Services]]-B245</f>
        <v>-2.9000000000000057</v>
      </c>
      <c r="J246" s="32"/>
    </row>
    <row r="247" spans="1:10" x14ac:dyDescent="0.35">
      <c r="A247" s="50">
        <v>42948</v>
      </c>
      <c r="B247" s="51">
        <f>IF(VLOOKUP(Table9[[#This Row],[Date]],'DB Details'!$A:$Q,12)=0,"",VLOOKUP(Table9[[#This Row],[Date]],'DB Details'!$A:$Q,12))</f>
        <v>55.2</v>
      </c>
      <c r="C247" s="51">
        <f>Table9[[#This Row],[ISM Services]]-B246</f>
        <v>0.90000000000000568</v>
      </c>
      <c r="J247" s="32"/>
    </row>
    <row r="248" spans="1:10" x14ac:dyDescent="0.35">
      <c r="A248" s="50">
        <v>42979</v>
      </c>
      <c r="B248" s="51">
        <f>IF(VLOOKUP(Table9[[#This Row],[Date]],'DB Details'!$A:$Q,12)=0,"",VLOOKUP(Table9[[#This Row],[Date]],'DB Details'!$A:$Q,12))</f>
        <v>59.4</v>
      </c>
      <c r="C248" s="51">
        <f>Table9[[#This Row],[ISM Services]]-B247</f>
        <v>4.1999999999999957</v>
      </c>
      <c r="J248" s="32"/>
    </row>
    <row r="249" spans="1:10" x14ac:dyDescent="0.35">
      <c r="A249" s="50">
        <v>43009</v>
      </c>
      <c r="B249" s="51">
        <f>IF(VLOOKUP(Table9[[#This Row],[Date]],'DB Details'!$A:$Q,12)=0,"",VLOOKUP(Table9[[#This Row],[Date]],'DB Details'!$A:$Q,12))</f>
        <v>59.8</v>
      </c>
      <c r="C249" s="51">
        <f>Table9[[#This Row],[ISM Services]]-B248</f>
        <v>0.39999999999999858</v>
      </c>
      <c r="J249" s="32"/>
    </row>
    <row r="250" spans="1:10" x14ac:dyDescent="0.35">
      <c r="A250" s="50">
        <v>43040</v>
      </c>
      <c r="B250" s="51">
        <f>IF(VLOOKUP(Table9[[#This Row],[Date]],'DB Details'!$A:$Q,12)=0,"",VLOOKUP(Table9[[#This Row],[Date]],'DB Details'!$A:$Q,12))</f>
        <v>57.3</v>
      </c>
      <c r="C250" s="51">
        <f>Table9[[#This Row],[ISM Services]]-B249</f>
        <v>-2.5</v>
      </c>
      <c r="J250" s="32"/>
    </row>
    <row r="251" spans="1:10" x14ac:dyDescent="0.35">
      <c r="A251" s="50">
        <v>43070</v>
      </c>
      <c r="B251" s="51">
        <f>IF(VLOOKUP(Table9[[#This Row],[Date]],'DB Details'!$A:$Q,12)=0,"",VLOOKUP(Table9[[#This Row],[Date]],'DB Details'!$A:$Q,12))</f>
        <v>56</v>
      </c>
      <c r="C251" s="51">
        <f>Table9[[#This Row],[ISM Services]]-B250</f>
        <v>-1.2999999999999972</v>
      </c>
      <c r="J251" s="32"/>
    </row>
    <row r="252" spans="1:10" x14ac:dyDescent="0.35">
      <c r="A252" s="50">
        <v>43101</v>
      </c>
      <c r="B252" s="51">
        <f>IF(VLOOKUP(Table9[[#This Row],[Date]],'DB Details'!$A:$Q,12)=0,"",VLOOKUP(Table9[[#This Row],[Date]],'DB Details'!$A:$Q,12))</f>
        <v>59.9</v>
      </c>
      <c r="C252" s="51">
        <f>Table9[[#This Row],[ISM Services]]-B251</f>
        <v>3.8999999999999986</v>
      </c>
      <c r="J252" s="32"/>
    </row>
    <row r="253" spans="1:10" x14ac:dyDescent="0.35">
      <c r="A253" s="50">
        <v>43132</v>
      </c>
      <c r="B253" s="51">
        <f>IF(VLOOKUP(Table9[[#This Row],[Date]],'DB Details'!$A:$Q,12)=0,"",VLOOKUP(Table9[[#This Row],[Date]],'DB Details'!$A:$Q,12))</f>
        <v>59.5</v>
      </c>
      <c r="C253" s="51">
        <f>Table9[[#This Row],[ISM Services]]-B252</f>
        <v>-0.39999999999999858</v>
      </c>
      <c r="J253" s="32"/>
    </row>
    <row r="254" spans="1:10" x14ac:dyDescent="0.35">
      <c r="A254" s="50">
        <v>43160</v>
      </c>
      <c r="B254" s="51">
        <f>IF(VLOOKUP(Table9[[#This Row],[Date]],'DB Details'!$A:$Q,12)=0,"",VLOOKUP(Table9[[#This Row],[Date]],'DB Details'!$A:$Q,12))</f>
        <v>58.8</v>
      </c>
      <c r="C254" s="51">
        <f>Table9[[#This Row],[ISM Services]]-B253</f>
        <v>-0.70000000000000284</v>
      </c>
      <c r="J254" s="32"/>
    </row>
    <row r="255" spans="1:10" x14ac:dyDescent="0.35">
      <c r="A255" s="50">
        <v>43191</v>
      </c>
      <c r="B255" s="51">
        <f>IF(VLOOKUP(Table9[[#This Row],[Date]],'DB Details'!$A:$Q,12)=0,"",VLOOKUP(Table9[[#This Row],[Date]],'DB Details'!$A:$Q,12))</f>
        <v>56.8</v>
      </c>
      <c r="C255" s="51">
        <f>Table9[[#This Row],[ISM Services]]-B254</f>
        <v>-2</v>
      </c>
      <c r="J255" s="32"/>
    </row>
    <row r="256" spans="1:10" x14ac:dyDescent="0.35">
      <c r="A256" s="50">
        <v>43221</v>
      </c>
      <c r="B256" s="51">
        <f>IF(VLOOKUP(Table9[[#This Row],[Date]],'DB Details'!$A:$Q,12)=0,"",VLOOKUP(Table9[[#This Row],[Date]],'DB Details'!$A:$Q,12))</f>
        <v>58.6</v>
      </c>
      <c r="C256" s="51">
        <f>Table9[[#This Row],[ISM Services]]-B255</f>
        <v>1.8000000000000043</v>
      </c>
      <c r="J256" s="32"/>
    </row>
    <row r="257" spans="1:10" x14ac:dyDescent="0.35">
      <c r="A257" s="50">
        <v>43252</v>
      </c>
      <c r="B257" s="51">
        <f>IF(VLOOKUP(Table9[[#This Row],[Date]],'DB Details'!$A:$Q,12)=0,"",VLOOKUP(Table9[[#This Row],[Date]],'DB Details'!$A:$Q,12))</f>
        <v>59.1</v>
      </c>
      <c r="C257" s="51">
        <f>Table9[[#This Row],[ISM Services]]-B256</f>
        <v>0.5</v>
      </c>
      <c r="J257" s="32"/>
    </row>
    <row r="258" spans="1:10" x14ac:dyDescent="0.35">
      <c r="A258" s="50">
        <v>43282</v>
      </c>
      <c r="B258" s="51">
        <f>IF(VLOOKUP(Table9[[#This Row],[Date]],'DB Details'!$A:$Q,12)=0,"",VLOOKUP(Table9[[#This Row],[Date]],'DB Details'!$A:$Q,12))</f>
        <v>55.7</v>
      </c>
      <c r="C258" s="51">
        <f>Table9[[#This Row],[ISM Services]]-B257</f>
        <v>-3.3999999999999986</v>
      </c>
      <c r="J258" s="32"/>
    </row>
    <row r="259" spans="1:10" x14ac:dyDescent="0.35">
      <c r="A259" s="50">
        <v>43313</v>
      </c>
      <c r="B259" s="51">
        <f>IF(VLOOKUP(Table9[[#This Row],[Date]],'DB Details'!$A:$Q,12)=0,"",VLOOKUP(Table9[[#This Row],[Date]],'DB Details'!$A:$Q,12))</f>
        <v>58.5</v>
      </c>
      <c r="C259" s="51">
        <f>Table9[[#This Row],[ISM Services]]-B258</f>
        <v>2.7999999999999972</v>
      </c>
      <c r="J259" s="32"/>
    </row>
    <row r="260" spans="1:10" x14ac:dyDescent="0.35">
      <c r="A260" s="50">
        <v>43344</v>
      </c>
      <c r="B260" s="51">
        <f>IF(VLOOKUP(Table9[[#This Row],[Date]],'DB Details'!$A:$Q,12)=0,"",VLOOKUP(Table9[[#This Row],[Date]],'DB Details'!$A:$Q,12))</f>
        <v>61.6</v>
      </c>
      <c r="C260" s="51">
        <f>Table9[[#This Row],[ISM Services]]-B259</f>
        <v>3.1000000000000014</v>
      </c>
      <c r="J260" s="32"/>
    </row>
    <row r="261" spans="1:10" x14ac:dyDescent="0.35">
      <c r="A261" s="50">
        <v>43374</v>
      </c>
      <c r="B261" s="51">
        <f>IF(VLOOKUP(Table9[[#This Row],[Date]],'DB Details'!$A:$Q,12)=0,"",VLOOKUP(Table9[[#This Row],[Date]],'DB Details'!$A:$Q,12))</f>
        <v>60.3</v>
      </c>
      <c r="C261" s="51">
        <f>Table9[[#This Row],[ISM Services]]-B260</f>
        <v>-1.3000000000000043</v>
      </c>
      <c r="J261" s="32"/>
    </row>
    <row r="262" spans="1:10" x14ac:dyDescent="0.35">
      <c r="A262" s="50">
        <v>43405</v>
      </c>
      <c r="B262" s="51">
        <f>IF(VLOOKUP(Table9[[#This Row],[Date]],'DB Details'!$A:$Q,12)=0,"",VLOOKUP(Table9[[#This Row],[Date]],'DB Details'!$A:$Q,12))</f>
        <v>60.7</v>
      </c>
      <c r="C262" s="51">
        <f>Table9[[#This Row],[ISM Services]]-B261</f>
        <v>0.40000000000000568</v>
      </c>
      <c r="J262" s="32"/>
    </row>
    <row r="263" spans="1:10" x14ac:dyDescent="0.35">
      <c r="A263" s="50">
        <v>43435</v>
      </c>
      <c r="B263" s="51">
        <f>IF(VLOOKUP(Table9[[#This Row],[Date]],'DB Details'!$A:$Q,12)=0,"",VLOOKUP(Table9[[#This Row],[Date]],'DB Details'!$A:$Q,12))</f>
        <v>57.6</v>
      </c>
      <c r="C263" s="51">
        <f>Table9[[#This Row],[ISM Services]]-B262</f>
        <v>-3.1000000000000014</v>
      </c>
      <c r="J263" s="32"/>
    </row>
    <row r="264" spans="1:10" x14ac:dyDescent="0.35">
      <c r="A264" s="50">
        <v>43466</v>
      </c>
      <c r="B264" s="51">
        <f>IF(VLOOKUP(Table9[[#This Row],[Date]],'DB Details'!$A:$Q,12)=0,"",VLOOKUP(Table9[[#This Row],[Date]],'DB Details'!$A:$Q,12))</f>
        <v>56.7</v>
      </c>
      <c r="C264" s="51">
        <f>Table9[[#This Row],[ISM Services]]-B263</f>
        <v>-0.89999999999999858</v>
      </c>
      <c r="J264" s="32"/>
    </row>
    <row r="265" spans="1:10" x14ac:dyDescent="0.35">
      <c r="A265" s="50">
        <v>43497</v>
      </c>
      <c r="B265" s="51">
        <f>IF(VLOOKUP(Table9[[#This Row],[Date]],'DB Details'!$A:$Q,12)=0,"",VLOOKUP(Table9[[#This Row],[Date]],'DB Details'!$A:$Q,12))</f>
        <v>59.7</v>
      </c>
      <c r="C265" s="51">
        <f>Table9[[#This Row],[ISM Services]]-B264</f>
        <v>3</v>
      </c>
      <c r="J265" s="32"/>
    </row>
    <row r="266" spans="1:10" x14ac:dyDescent="0.35">
      <c r="A266" s="50">
        <v>43525</v>
      </c>
      <c r="B266" s="51">
        <f>IF(VLOOKUP(Table9[[#This Row],[Date]],'DB Details'!$A:$Q,12)=0,"",VLOOKUP(Table9[[#This Row],[Date]],'DB Details'!$A:$Q,12))</f>
        <v>56.1</v>
      </c>
      <c r="C266" s="51">
        <f>Table9[[#This Row],[ISM Services]]-B265</f>
        <v>-3.6000000000000014</v>
      </c>
      <c r="J266" s="32"/>
    </row>
    <row r="267" spans="1:10" x14ac:dyDescent="0.35">
      <c r="A267" s="50">
        <v>43556</v>
      </c>
      <c r="B267" s="51">
        <f>IF(VLOOKUP(Table9[[#This Row],[Date]],'DB Details'!$A:$Q,12)=0,"",VLOOKUP(Table9[[#This Row],[Date]],'DB Details'!$A:$Q,12))</f>
        <v>55.5</v>
      </c>
      <c r="C267" s="51">
        <f>Table9[[#This Row],[ISM Services]]-B266</f>
        <v>-0.60000000000000142</v>
      </c>
      <c r="J267" s="32"/>
    </row>
    <row r="268" spans="1:10" x14ac:dyDescent="0.35">
      <c r="A268" s="50">
        <v>43586</v>
      </c>
      <c r="B268" s="51">
        <f>IF(VLOOKUP(Table9[[#This Row],[Date]],'DB Details'!$A:$Q,12)=0,"",VLOOKUP(Table9[[#This Row],[Date]],'DB Details'!$A:$Q,12))</f>
        <v>56.9</v>
      </c>
      <c r="C268" s="51">
        <f>Table9[[#This Row],[ISM Services]]-B267</f>
        <v>1.3999999999999986</v>
      </c>
      <c r="J268" s="32"/>
    </row>
    <row r="269" spans="1:10" x14ac:dyDescent="0.35">
      <c r="A269" s="50">
        <v>43617</v>
      </c>
      <c r="B269" s="51">
        <f>IF(VLOOKUP(Table9[[#This Row],[Date]],'DB Details'!$A:$Q,12)=0,"",VLOOKUP(Table9[[#This Row],[Date]],'DB Details'!$A:$Q,12))</f>
        <v>55.1</v>
      </c>
      <c r="C269" s="51">
        <f>Table9[[#This Row],[ISM Services]]-B268</f>
        <v>-1.7999999999999972</v>
      </c>
      <c r="J269" s="32"/>
    </row>
    <row r="270" spans="1:10" x14ac:dyDescent="0.35">
      <c r="A270" s="50">
        <v>43647</v>
      </c>
      <c r="B270" s="51">
        <f>IF(VLOOKUP(Table9[[#This Row],[Date]],'DB Details'!$A:$Q,12)=0,"",VLOOKUP(Table9[[#This Row],[Date]],'DB Details'!$A:$Q,12))</f>
        <v>53.7</v>
      </c>
      <c r="C270" s="51">
        <f>Table9[[#This Row],[ISM Services]]-B269</f>
        <v>-1.3999999999999986</v>
      </c>
      <c r="J270" s="32"/>
    </row>
    <row r="271" spans="1:10" x14ac:dyDescent="0.35">
      <c r="A271" s="50">
        <v>43678</v>
      </c>
      <c r="B271" s="51">
        <f>IF(VLOOKUP(Table9[[#This Row],[Date]],'DB Details'!$A:$Q,12)=0,"",VLOOKUP(Table9[[#This Row],[Date]],'DB Details'!$A:$Q,12))</f>
        <v>56.4</v>
      </c>
      <c r="C271" s="51">
        <f>Table9[[#This Row],[ISM Services]]-B270</f>
        <v>2.6999999999999957</v>
      </c>
      <c r="J271" s="32"/>
    </row>
    <row r="272" spans="1:10" x14ac:dyDescent="0.35">
      <c r="A272" s="50">
        <v>43709</v>
      </c>
      <c r="B272" s="51">
        <f>IF(VLOOKUP(Table9[[#This Row],[Date]],'DB Details'!$A:$Q,12)=0,"",VLOOKUP(Table9[[#This Row],[Date]],'DB Details'!$A:$Q,12))</f>
        <v>52.6</v>
      </c>
      <c r="C272" s="51">
        <f>Table9[[#This Row],[ISM Services]]-B271</f>
        <v>-3.7999999999999972</v>
      </c>
    </row>
    <row r="273" spans="1:3" x14ac:dyDescent="0.35">
      <c r="A273" s="50">
        <v>43739</v>
      </c>
      <c r="B273" s="51">
        <f>IF(VLOOKUP(Table9[[#This Row],[Date]],'DB Details'!$A:$Q,12)=0,"",VLOOKUP(Table9[[#This Row],[Date]],'DB Details'!$A:$Q,12))</f>
        <v>54.7</v>
      </c>
      <c r="C273" s="51">
        <f>Table9[[#This Row],[ISM Services]]-B272</f>
        <v>2.1000000000000014</v>
      </c>
    </row>
    <row r="274" spans="1:3" x14ac:dyDescent="0.35">
      <c r="A274" s="50">
        <v>43770</v>
      </c>
      <c r="B274" s="51">
        <f>IF(VLOOKUP(Table9[[#This Row],[Date]],'DB Details'!$A:$Q,12)=0,"",VLOOKUP(Table9[[#This Row],[Date]],'DB Details'!$A:$Q,12))</f>
        <v>53.9</v>
      </c>
      <c r="C274" s="51">
        <f>Table9[[#This Row],[ISM Services]]-B273</f>
        <v>-0.80000000000000426</v>
      </c>
    </row>
    <row r="275" spans="1:3" x14ac:dyDescent="0.35">
      <c r="A275" s="50">
        <v>43800</v>
      </c>
      <c r="B275" s="51">
        <f>IF(VLOOKUP(Table9[[#This Row],[Date]],'DB Details'!$A:$Q,12)=0,"",VLOOKUP(Table9[[#This Row],[Date]],'DB Details'!$A:$Q,12))</f>
        <v>55</v>
      </c>
      <c r="C275" s="51">
        <f>Table9[[#This Row],[ISM Services]]-B274</f>
        <v>1.1000000000000014</v>
      </c>
    </row>
    <row r="276" spans="1:3" x14ac:dyDescent="0.35">
      <c r="A276" s="50">
        <v>43831</v>
      </c>
      <c r="B276" s="51">
        <f>IF(VLOOKUP(Table9[[#This Row],[Date]],'DB Details'!$A:$Q,12)=0,"",VLOOKUP(Table9[[#This Row],[Date]],'DB Details'!$A:$Q,12))</f>
        <v>55.5</v>
      </c>
      <c r="C276" s="51">
        <f>Table9[[#This Row],[ISM Services]]-B275</f>
        <v>0.5</v>
      </c>
    </row>
    <row r="277" spans="1:3" x14ac:dyDescent="0.35">
      <c r="A277" s="50">
        <v>43862</v>
      </c>
      <c r="B277" s="51">
        <f>IF(VLOOKUP(Table9[[#This Row],[Date]],'DB Details'!$A:$Q,12)=0,"",VLOOKUP(Table9[[#This Row],[Date]],'DB Details'!$A:$Q,12))</f>
        <v>57.3</v>
      </c>
      <c r="C277" s="51">
        <f>Table9[[#This Row],[ISM Services]]-B276</f>
        <v>1.7999999999999972</v>
      </c>
    </row>
    <row r="278" spans="1:3" x14ac:dyDescent="0.35">
      <c r="A278" s="50">
        <v>43891</v>
      </c>
      <c r="B278" s="51">
        <f>IF(VLOOKUP(Table9[[#This Row],[Date]],'DB Details'!$A:$Q,12)=0,"",VLOOKUP(Table9[[#This Row],[Date]],'DB Details'!$A:$Q,12))</f>
        <v>52.5</v>
      </c>
      <c r="C278" s="51">
        <f>Table9[[#This Row],[ISM Services]]-B277</f>
        <v>-4.7999999999999972</v>
      </c>
    </row>
    <row r="279" spans="1:3" x14ac:dyDescent="0.35">
      <c r="A279" s="50">
        <v>43922</v>
      </c>
      <c r="B279" s="51">
        <f>IF(VLOOKUP(Table9[[#This Row],[Date]],'DB Details'!$A:$Q,12)=0,"",VLOOKUP(Table9[[#This Row],[Date]],'DB Details'!$A:$Q,12))</f>
        <v>41.8</v>
      </c>
      <c r="C279" s="51">
        <f>Table9[[#This Row],[ISM Services]]-B278</f>
        <v>-10.700000000000003</v>
      </c>
    </row>
    <row r="280" spans="1:3" x14ac:dyDescent="0.35">
      <c r="A280" s="50">
        <v>43952</v>
      </c>
      <c r="B280" s="51">
        <f>IF(VLOOKUP(Table9[[#This Row],[Date]],'DB Details'!$A:$Q,12)=0,"",VLOOKUP(Table9[[#This Row],[Date]],'DB Details'!$A:$Q,12))</f>
        <v>45.4</v>
      </c>
      <c r="C280" s="51">
        <f>Table9[[#This Row],[ISM Services]]-B279</f>
        <v>3.6000000000000014</v>
      </c>
    </row>
    <row r="281" spans="1:3" x14ac:dyDescent="0.35">
      <c r="A281" s="50">
        <v>43983</v>
      </c>
      <c r="B281" s="51">
        <f>IF(VLOOKUP(Table9[[#This Row],[Date]],'DB Details'!$A:$Q,12)=0,"",VLOOKUP(Table9[[#This Row],[Date]],'DB Details'!$A:$Q,12))</f>
        <v>57.1</v>
      </c>
      <c r="C281" s="51">
        <f>Table9[[#This Row],[ISM Services]]-B280</f>
        <v>11.700000000000003</v>
      </c>
    </row>
    <row r="282" spans="1:3" x14ac:dyDescent="0.35">
      <c r="A282" s="50">
        <v>44013</v>
      </c>
      <c r="B282" s="51">
        <f>IF(VLOOKUP(Table9[[#This Row],[Date]],'DB Details'!$A:$Q,12)=0,"",VLOOKUP(Table9[[#This Row],[Date]],'DB Details'!$A:$Q,12))</f>
        <v>58.1</v>
      </c>
      <c r="C282" s="51">
        <f>Table9[[#This Row],[ISM Services]]-B281</f>
        <v>1</v>
      </c>
    </row>
    <row r="283" spans="1:3" x14ac:dyDescent="0.35">
      <c r="A283" s="50">
        <v>44044</v>
      </c>
      <c r="B283" s="51">
        <f>IF(VLOOKUP(Table9[[#This Row],[Date]],'DB Details'!$A:$Q,12)=0,"",VLOOKUP(Table9[[#This Row],[Date]],'DB Details'!$A:$Q,12))</f>
        <v>56.9</v>
      </c>
      <c r="C283" s="51">
        <f>Table9[[#This Row],[ISM Services]]-B282</f>
        <v>-1.2000000000000028</v>
      </c>
    </row>
    <row r="284" spans="1:3" x14ac:dyDescent="0.35">
      <c r="A284" s="50">
        <v>44075</v>
      </c>
      <c r="B284" s="51">
        <f>IF(VLOOKUP(Table9[[#This Row],[Date]],'DB Details'!$A:$Q,12)=0,"",VLOOKUP(Table9[[#This Row],[Date]],'DB Details'!$A:$Q,12))</f>
        <v>57.8</v>
      </c>
      <c r="C284" s="51">
        <f>Table9[[#This Row],[ISM Services]]-B283</f>
        <v>0.89999999999999858</v>
      </c>
    </row>
    <row r="285" spans="1:3" x14ac:dyDescent="0.35">
      <c r="A285" s="50">
        <v>44105</v>
      </c>
      <c r="B285" s="51">
        <f>IF(VLOOKUP(Table9[[#This Row],[Date]],'DB Details'!$A:$Q,12)=0,"",VLOOKUP(Table9[[#This Row],[Date]],'DB Details'!$A:$Q,12))</f>
        <v>56.6</v>
      </c>
      <c r="C285" s="51">
        <f>Table9[[#This Row],[ISM Services]]-B284</f>
        <v>-1.1999999999999957</v>
      </c>
    </row>
    <row r="286" spans="1:3" x14ac:dyDescent="0.35">
      <c r="A286" s="50">
        <v>44136</v>
      </c>
      <c r="B286" s="51">
        <f>IF(VLOOKUP(Table9[[#This Row],[Date]],'DB Details'!$A:$Q,12)=0,"",VLOOKUP(Table9[[#This Row],[Date]],'DB Details'!$A:$Q,12))</f>
        <v>55.9</v>
      </c>
      <c r="C286" s="51">
        <f>Table9[[#This Row],[ISM Services]]-B285</f>
        <v>-0.70000000000000284</v>
      </c>
    </row>
    <row r="287" spans="1:3" x14ac:dyDescent="0.35">
      <c r="A287" s="50">
        <v>44166</v>
      </c>
      <c r="B287" s="51">
        <f>IF(VLOOKUP(Table9[[#This Row],[Date]],'DB Details'!$A:$Q,12)=0,"",VLOOKUP(Table9[[#This Row],[Date]],'DB Details'!$A:$Q,12))</f>
        <v>57.2</v>
      </c>
      <c r="C287" s="51">
        <f>Table9[[#This Row],[ISM Services]]-B286</f>
        <v>1.3000000000000043</v>
      </c>
    </row>
    <row r="288" spans="1:3" x14ac:dyDescent="0.35">
      <c r="A288" s="50">
        <v>44197</v>
      </c>
      <c r="B288" s="51">
        <f>IF(VLOOKUP(Table9[[#This Row],[Date]],'DB Details'!$A:$Q,12)=0,"",VLOOKUP(Table9[[#This Row],[Date]],'DB Details'!$A:$Q,12))</f>
        <v>58.7</v>
      </c>
      <c r="C288" s="51">
        <f>Table9[[#This Row],[ISM Services]]-B287</f>
        <v>1.5</v>
      </c>
    </row>
    <row r="289" spans="1:3" x14ac:dyDescent="0.35">
      <c r="A289" s="50">
        <v>44228</v>
      </c>
      <c r="B289" s="51">
        <f>IF(VLOOKUP(Table9[[#This Row],[Date]],'DB Details'!$A:$Q,12)=0,"",VLOOKUP(Table9[[#This Row],[Date]],'DB Details'!$A:$Q,12))</f>
        <v>55.3</v>
      </c>
      <c r="C289" s="51">
        <f>Table9[[#This Row],[ISM Services]]-B288</f>
        <v>-3.4000000000000057</v>
      </c>
    </row>
    <row r="290" spans="1:3" x14ac:dyDescent="0.35">
      <c r="A290" s="50">
        <v>44256</v>
      </c>
      <c r="B290" s="51">
        <f>IF(VLOOKUP(Table9[[#This Row],[Date]],'DB Details'!$A:$Q,12)=0,"",VLOOKUP(Table9[[#This Row],[Date]],'DB Details'!$A:$Q,12))</f>
        <v>63.7</v>
      </c>
      <c r="C290" s="51">
        <f>Table9[[#This Row],[ISM Services]]-B289</f>
        <v>8.4000000000000057</v>
      </c>
    </row>
    <row r="291" spans="1:3" x14ac:dyDescent="0.35">
      <c r="A291" s="50">
        <v>44287</v>
      </c>
      <c r="B291" s="51">
        <f>IF(VLOOKUP(Table9[[#This Row],[Date]],'DB Details'!$A:$Q,12)=0,"",VLOOKUP(Table9[[#This Row],[Date]],'DB Details'!$A:$Q,12))</f>
        <v>62.7</v>
      </c>
      <c r="C291" s="51">
        <f>Table9[[#This Row],[ISM Services]]-B290</f>
        <v>-1</v>
      </c>
    </row>
    <row r="292" spans="1:3" x14ac:dyDescent="0.35">
      <c r="A292" s="50">
        <v>44317</v>
      </c>
      <c r="B292" s="51">
        <f>IF(VLOOKUP(Table9[[#This Row],[Date]],'DB Details'!$A:$Q,12)=0,"",VLOOKUP(Table9[[#This Row],[Date]],'DB Details'!$A:$Q,12))</f>
        <v>64</v>
      </c>
      <c r="C292" s="51">
        <f>Table9[[#This Row],[ISM Services]]-B291</f>
        <v>1.2999999999999972</v>
      </c>
    </row>
    <row r="293" spans="1:3" x14ac:dyDescent="0.35">
      <c r="A293" s="50">
        <v>44348</v>
      </c>
      <c r="B293" s="51">
        <f>IF(VLOOKUP(Table9[[#This Row],[Date]],'DB Details'!$A:$Q,12)=0,"",VLOOKUP(Table9[[#This Row],[Date]],'DB Details'!$A:$Q,12))</f>
        <v>60.1</v>
      </c>
      <c r="C293" s="51">
        <f>Table9[[#This Row],[ISM Services]]-B292</f>
        <v>-3.8999999999999986</v>
      </c>
    </row>
    <row r="294" spans="1:3" x14ac:dyDescent="0.35">
      <c r="A294" s="50">
        <v>44378</v>
      </c>
      <c r="B294" s="51">
        <f>IF(VLOOKUP(Table9[[#This Row],[Date]],'DB Details'!$A:$Q,12)=0,"",VLOOKUP(Table9[[#This Row],[Date]],'DB Details'!$A:$Q,12))</f>
        <v>64.099999999999994</v>
      </c>
      <c r="C294" s="51">
        <f>Table9[[#This Row],[ISM Services]]-B293</f>
        <v>3.9999999999999929</v>
      </c>
    </row>
    <row r="295" spans="1:3" x14ac:dyDescent="0.35">
      <c r="A295" s="50">
        <v>44409</v>
      </c>
      <c r="B295" s="51">
        <f>IF(VLOOKUP(Table9[[#This Row],[Date]],'DB Details'!$A:$Q,12)=0,"",VLOOKUP(Table9[[#This Row],[Date]],'DB Details'!$A:$Q,12))</f>
        <v>61.7</v>
      </c>
      <c r="C295" s="51">
        <f>Table9[[#This Row],[ISM Services]]-B294</f>
        <v>-2.3999999999999915</v>
      </c>
    </row>
    <row r="296" spans="1:3" x14ac:dyDescent="0.35">
      <c r="A296" s="50">
        <v>44440</v>
      </c>
      <c r="B296" s="51">
        <f>IF(VLOOKUP(Table9[[#This Row],[Date]],'DB Details'!$A:$Q,12)=0,"",VLOOKUP(Table9[[#This Row],[Date]],'DB Details'!$A:$Q,12))</f>
        <v>61.9</v>
      </c>
      <c r="C296" s="51">
        <f>Table9[[#This Row],[ISM Services]]-B295</f>
        <v>0.19999999999999574</v>
      </c>
    </row>
    <row r="297" spans="1:3" x14ac:dyDescent="0.35">
      <c r="A297" s="50">
        <v>44470</v>
      </c>
      <c r="B297" s="51">
        <f>IF(VLOOKUP(Table9[[#This Row],[Date]],'DB Details'!$A:$Q,12)=0,"",VLOOKUP(Table9[[#This Row],[Date]],'DB Details'!$A:$Q,12))</f>
        <v>66.7</v>
      </c>
      <c r="C297" s="51">
        <f>Table9[[#This Row],[ISM Services]]-B296</f>
        <v>4.8000000000000043</v>
      </c>
    </row>
    <row r="298" spans="1:3" x14ac:dyDescent="0.35">
      <c r="A298" s="50">
        <v>44501</v>
      </c>
      <c r="B298" s="51">
        <f>IF(VLOOKUP(Table9[[#This Row],[Date]],'DB Details'!$A:$Q,12)=0,"",VLOOKUP(Table9[[#This Row],[Date]],'DB Details'!$A:$Q,12))</f>
        <v>69.099999999999994</v>
      </c>
      <c r="C298" s="51">
        <f>Table9[[#This Row],[ISM Services]]-B297</f>
        <v>2.3999999999999915</v>
      </c>
    </row>
    <row r="299" spans="1:3" x14ac:dyDescent="0.35">
      <c r="A299" s="50">
        <v>44531</v>
      </c>
      <c r="B299" s="51">
        <f>IF(VLOOKUP(Table9[[#This Row],[Date]],'DB Details'!$A:$Q,12)=0,"",VLOOKUP(Table9[[#This Row],[Date]],'DB Details'!$A:$Q,12))</f>
        <v>62</v>
      </c>
      <c r="C299" s="51">
        <f>Table9[[#This Row],[ISM Services]]-B298</f>
        <v>-7.0999999999999943</v>
      </c>
    </row>
    <row r="300" spans="1:3" x14ac:dyDescent="0.35">
      <c r="A300" s="50">
        <v>44562</v>
      </c>
      <c r="B300" s="51">
        <f>IF(VLOOKUP(Table9[[#This Row],[Date]],'DB Details'!$A:$Q,12)=0,"",VLOOKUP(Table9[[#This Row],[Date]],'DB Details'!$A:$Q,12))</f>
        <v>59.9</v>
      </c>
      <c r="C300" s="51">
        <f>Table9[[#This Row],[ISM Services]]-B299</f>
        <v>-2.1000000000000014</v>
      </c>
    </row>
    <row r="301" spans="1:3" x14ac:dyDescent="0.35">
      <c r="A301" s="50">
        <v>44593</v>
      </c>
      <c r="B301" s="51">
        <f>IF(VLOOKUP(Table9[[#This Row],[Date]],'DB Details'!$A:$Q,12)=0,"",VLOOKUP(Table9[[#This Row],[Date]],'DB Details'!$A:$Q,12))</f>
        <v>56.5</v>
      </c>
      <c r="C301" s="51">
        <f>Table9[[#This Row],[ISM Services]]-B300</f>
        <v>-3.3999999999999986</v>
      </c>
    </row>
    <row r="302" spans="1:3" x14ac:dyDescent="0.35">
      <c r="A302" s="50">
        <v>44621</v>
      </c>
      <c r="B302" s="51">
        <f>IF(VLOOKUP(Table9[[#This Row],[Date]],'DB Details'!$A:$Q,12)=0,"",VLOOKUP(Table9[[#This Row],[Date]],'DB Details'!$A:$Q,12))</f>
        <v>58.3</v>
      </c>
      <c r="C302" s="51">
        <f>Table9[[#This Row],[ISM Services]]-B301</f>
        <v>1.7999999999999972</v>
      </c>
    </row>
    <row r="303" spans="1:3" x14ac:dyDescent="0.35">
      <c r="A303" s="50">
        <v>44652</v>
      </c>
      <c r="B303" s="51">
        <f>IF(VLOOKUP(Table9[[#This Row],[Date]],'DB Details'!$A:$Q,12)=0,"",VLOOKUP(Table9[[#This Row],[Date]],'DB Details'!$A:$Q,12))</f>
        <v>57.1</v>
      </c>
      <c r="C303" s="51">
        <f>Table9[[#This Row],[ISM Services]]-B302</f>
        <v>-1.1999999999999957</v>
      </c>
    </row>
    <row r="304" spans="1:3" x14ac:dyDescent="0.35">
      <c r="A304" s="50">
        <v>44682</v>
      </c>
      <c r="B304" s="51">
        <f>IF(VLOOKUP(Table9[[#This Row],[Date]],'DB Details'!$A:$Q,12)=0,"",VLOOKUP(Table9[[#This Row],[Date]],'DB Details'!$A:$Q,12))</f>
        <v>55.9</v>
      </c>
      <c r="C304" s="51">
        <f>Table9[[#This Row],[ISM Services]]-B303</f>
        <v>-1.2000000000000028</v>
      </c>
    </row>
    <row r="305" spans="1:3" x14ac:dyDescent="0.35">
      <c r="A305" s="50">
        <v>44713</v>
      </c>
      <c r="B305" s="51">
        <f>IF(VLOOKUP(Table9[[#This Row],[Date]],'DB Details'!$A:$Q,12)=0,"",VLOOKUP(Table9[[#This Row],[Date]],'DB Details'!$A:$Q,12))</f>
        <v>55.3</v>
      </c>
      <c r="C305" s="51">
        <f>Table9[[#This Row],[ISM Services]]-B304</f>
        <v>-0.60000000000000142</v>
      </c>
    </row>
    <row r="306" spans="1:3" x14ac:dyDescent="0.35">
      <c r="A306" s="50">
        <v>44743</v>
      </c>
      <c r="B306" s="51">
        <f>IF(VLOOKUP(Table9[[#This Row],[Date]],'DB Details'!$A:$Q,12)=0,"",VLOOKUP(Table9[[#This Row],[Date]],'DB Details'!$A:$Q,12))</f>
        <v>56.7</v>
      </c>
      <c r="C306" s="51">
        <f>Table9[[#This Row],[ISM Services]]-B305</f>
        <v>1.4000000000000057</v>
      </c>
    </row>
    <row r="307" spans="1:3" x14ac:dyDescent="0.35">
      <c r="A307" s="50">
        <v>44774</v>
      </c>
      <c r="B307" s="51">
        <f>IF(VLOOKUP(Table9[[#This Row],[Date]],'DB Details'!$A:$Q,12)=0,"",VLOOKUP(Table9[[#This Row],[Date]],'DB Details'!$A:$Q,12))</f>
        <v>56.9</v>
      </c>
      <c r="C307" s="51">
        <f>Table9[[#This Row],[ISM Services]]-B306</f>
        <v>0.19999999999999574</v>
      </c>
    </row>
    <row r="308" spans="1:3" x14ac:dyDescent="0.35">
      <c r="A308" s="50">
        <v>44805</v>
      </c>
      <c r="B308" s="51">
        <f>IF(VLOOKUP(Table9[[#This Row],[Date]],'DB Details'!$A:$Q,12)=0,"",VLOOKUP(Table9[[#This Row],[Date]],'DB Details'!$A:$Q,12))</f>
        <v>56.7</v>
      </c>
      <c r="C308" s="51">
        <f>Table9[[#This Row],[ISM Services]]-B307</f>
        <v>-0.19999999999999574</v>
      </c>
    </row>
    <row r="309" spans="1:3" x14ac:dyDescent="0.35">
      <c r="A309" s="50">
        <v>44835</v>
      </c>
      <c r="B309" s="51">
        <f>IF(VLOOKUP(Table9[[#This Row],[Date]],'DB Details'!$A:$Q,12)=0,"",VLOOKUP(Table9[[#This Row],[Date]],'DB Details'!$A:$Q,12))</f>
        <v>54.4</v>
      </c>
      <c r="C309" s="51">
        <f>Table9[[#This Row],[ISM Services]]-B308</f>
        <v>-2.3000000000000043</v>
      </c>
    </row>
    <row r="310" spans="1:3" x14ac:dyDescent="0.35">
      <c r="A310" s="50">
        <v>44866</v>
      </c>
      <c r="B310" s="51">
        <f>IF(VLOOKUP(Table9[[#This Row],[Date]],'DB Details'!$A:$Q,12)=0,"",VLOOKUP(Table9[[#This Row],[Date]],'DB Details'!$A:$Q,12))</f>
        <v>56.5</v>
      </c>
      <c r="C310" s="51">
        <f>Table9[[#This Row],[ISM Services]]-B309</f>
        <v>2.1000000000000014</v>
      </c>
    </row>
    <row r="311" spans="1:3" x14ac:dyDescent="0.35">
      <c r="A311" s="50">
        <v>44896</v>
      </c>
      <c r="B311" s="51">
        <f>IF(VLOOKUP(Table9[[#This Row],[Date]],'DB Details'!$A:$Q,12)=0,"",VLOOKUP(Table9[[#This Row],[Date]],'DB Details'!$A:$Q,12))</f>
        <v>49.6</v>
      </c>
      <c r="C311" s="51">
        <f>Table9[[#This Row],[ISM Services]]-B310</f>
        <v>-6.8999999999999986</v>
      </c>
    </row>
    <row r="312" spans="1:3" x14ac:dyDescent="0.35">
      <c r="A312" s="50">
        <v>44927</v>
      </c>
      <c r="B312" s="51">
        <f>IF(VLOOKUP(Table9[[#This Row],[Date]],'DB Details'!$A:$Q,12)=0,"",VLOOKUP(Table9[[#This Row],[Date]],'DB Details'!$A:$Q,12))</f>
        <v>55.2</v>
      </c>
      <c r="C312" s="51">
        <f>Table9[[#This Row],[ISM Services]]-B311</f>
        <v>5.6000000000000014</v>
      </c>
    </row>
  </sheetData>
  <conditionalFormatting sqref="B156:B3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477"/>
  <sheetViews>
    <sheetView topLeftCell="C1" zoomScale="60" zoomScaleNormal="60" workbookViewId="0">
      <pane ySplit="1" topLeftCell="A372" activePane="bottomLeft" state="frozen"/>
      <selection activeCell="C382" sqref="C382"/>
      <selection pane="bottomLeft" activeCell="C382" sqref="C382"/>
    </sheetView>
  </sheetViews>
  <sheetFormatPr defaultColWidth="10.90625" defaultRowHeight="14.5" x14ac:dyDescent="0.35"/>
  <cols>
    <col min="1" max="1" width="32.36328125" customWidth="1"/>
    <col min="3" max="3" width="149.453125" customWidth="1"/>
  </cols>
  <sheetData>
    <row r="1" spans="1:3" x14ac:dyDescent="0.35">
      <c r="A1" t="s">
        <v>83</v>
      </c>
      <c r="B1" t="s">
        <v>77</v>
      </c>
      <c r="C1" t="s">
        <v>8</v>
      </c>
    </row>
    <row r="2" spans="1:3" x14ac:dyDescent="0.35">
      <c r="A2" t="s">
        <v>32</v>
      </c>
      <c r="B2" s="65">
        <v>44927</v>
      </c>
      <c r="C2" t="s">
        <v>84</v>
      </c>
    </row>
    <row r="3" spans="1:3" x14ac:dyDescent="0.35">
      <c r="A3" t="s">
        <v>32</v>
      </c>
      <c r="B3" s="65">
        <v>44835</v>
      </c>
      <c r="C3" t="s">
        <v>85</v>
      </c>
    </row>
    <row r="4" spans="1:3" x14ac:dyDescent="0.35">
      <c r="A4" t="s">
        <v>32</v>
      </c>
      <c r="B4" s="65">
        <v>44805</v>
      </c>
      <c r="C4" t="s">
        <v>86</v>
      </c>
    </row>
    <row r="5" spans="1:3" x14ac:dyDescent="0.35">
      <c r="A5" t="s">
        <v>32</v>
      </c>
      <c r="B5" s="65">
        <v>44774</v>
      </c>
      <c r="C5" t="s">
        <v>87</v>
      </c>
    </row>
    <row r="6" spans="1:3" x14ac:dyDescent="0.35">
      <c r="A6" t="s">
        <v>32</v>
      </c>
      <c r="B6" s="65">
        <v>44743</v>
      </c>
      <c r="C6" t="s">
        <v>88</v>
      </c>
    </row>
    <row r="7" spans="1:3" x14ac:dyDescent="0.35">
      <c r="A7" t="s">
        <v>32</v>
      </c>
      <c r="B7" s="65">
        <v>44713</v>
      </c>
      <c r="C7" t="s">
        <v>89</v>
      </c>
    </row>
    <row r="8" spans="1:3" x14ac:dyDescent="0.35">
      <c r="A8" t="s">
        <v>32</v>
      </c>
      <c r="B8" s="65">
        <v>44682</v>
      </c>
      <c r="C8" t="s">
        <v>90</v>
      </c>
    </row>
    <row r="9" spans="1:3" x14ac:dyDescent="0.35">
      <c r="A9" t="s">
        <v>32</v>
      </c>
      <c r="B9" s="65">
        <v>44652</v>
      </c>
      <c r="C9" t="s">
        <v>91</v>
      </c>
    </row>
    <row r="10" spans="1:3" x14ac:dyDescent="0.35">
      <c r="A10" t="s">
        <v>32</v>
      </c>
      <c r="B10" s="65">
        <v>44621</v>
      </c>
      <c r="C10" t="s">
        <v>92</v>
      </c>
    </row>
    <row r="11" spans="1:3" x14ac:dyDescent="0.35">
      <c r="A11" t="s">
        <v>32</v>
      </c>
      <c r="B11" s="65">
        <v>44593</v>
      </c>
      <c r="C11" t="s">
        <v>93</v>
      </c>
    </row>
    <row r="12" spans="1:3" x14ac:dyDescent="0.35">
      <c r="A12" t="s">
        <v>32</v>
      </c>
      <c r="B12" s="65">
        <v>44562</v>
      </c>
      <c r="C12" t="s">
        <v>94</v>
      </c>
    </row>
    <row r="13" spans="1:3" x14ac:dyDescent="0.35">
      <c r="A13" t="s">
        <v>32</v>
      </c>
      <c r="B13" s="65">
        <v>44531</v>
      </c>
      <c r="C13" t="s">
        <v>95</v>
      </c>
    </row>
    <row r="14" spans="1:3" x14ac:dyDescent="0.35">
      <c r="A14" t="s">
        <v>32</v>
      </c>
      <c r="B14" s="65">
        <v>44501</v>
      </c>
      <c r="C14" t="s">
        <v>96</v>
      </c>
    </row>
    <row r="15" spans="1:3" x14ac:dyDescent="0.35">
      <c r="A15" t="s">
        <v>32</v>
      </c>
      <c r="B15" s="65">
        <v>44470</v>
      </c>
      <c r="C15" t="s">
        <v>97</v>
      </c>
    </row>
    <row r="16" spans="1:3" x14ac:dyDescent="0.35">
      <c r="A16" t="s">
        <v>32</v>
      </c>
      <c r="B16" s="65">
        <v>44440</v>
      </c>
      <c r="C16" t="s">
        <v>98</v>
      </c>
    </row>
    <row r="17" spans="1:3" x14ac:dyDescent="0.35">
      <c r="A17" t="s">
        <v>32</v>
      </c>
      <c r="B17" s="65">
        <v>44409</v>
      </c>
      <c r="C17" t="s">
        <v>99</v>
      </c>
    </row>
    <row r="18" spans="1:3" x14ac:dyDescent="0.35">
      <c r="A18" t="s">
        <v>32</v>
      </c>
      <c r="B18" s="65">
        <v>44378</v>
      </c>
      <c r="C18" t="s">
        <v>100</v>
      </c>
    </row>
    <row r="19" spans="1:3" x14ac:dyDescent="0.35">
      <c r="A19" t="s">
        <v>32</v>
      </c>
      <c r="B19" s="65">
        <v>44348</v>
      </c>
      <c r="C19" t="s">
        <v>101</v>
      </c>
    </row>
    <row r="20" spans="1:3" x14ac:dyDescent="0.35">
      <c r="A20" t="s">
        <v>32</v>
      </c>
      <c r="B20" s="65">
        <v>44317</v>
      </c>
      <c r="C20" t="s">
        <v>102</v>
      </c>
    </row>
    <row r="21" spans="1:3" x14ac:dyDescent="0.35">
      <c r="A21" t="s">
        <v>32</v>
      </c>
      <c r="B21" s="65">
        <v>44287</v>
      </c>
      <c r="C21" t="s">
        <v>103</v>
      </c>
    </row>
    <row r="22" spans="1:3" x14ac:dyDescent="0.35">
      <c r="A22" t="s">
        <v>32</v>
      </c>
      <c r="B22" s="65">
        <v>44228</v>
      </c>
      <c r="C22" t="s">
        <v>104</v>
      </c>
    </row>
    <row r="23" spans="1:3" x14ac:dyDescent="0.35">
      <c r="A23" t="s">
        <v>32</v>
      </c>
      <c r="B23" s="65">
        <v>44197</v>
      </c>
      <c r="C23" t="s">
        <v>105</v>
      </c>
    </row>
    <row r="24" spans="1:3" x14ac:dyDescent="0.35">
      <c r="A24" t="s">
        <v>32</v>
      </c>
      <c r="B24" s="65">
        <v>44166</v>
      </c>
      <c r="C24" t="s">
        <v>106</v>
      </c>
    </row>
    <row r="25" spans="1:3" x14ac:dyDescent="0.35">
      <c r="A25" t="s">
        <v>32</v>
      </c>
      <c r="B25" s="65">
        <v>44136</v>
      </c>
      <c r="C25" t="s">
        <v>107</v>
      </c>
    </row>
    <row r="26" spans="1:3" x14ac:dyDescent="0.35">
      <c r="A26" t="s">
        <v>32</v>
      </c>
      <c r="B26" s="65">
        <v>44105</v>
      </c>
      <c r="C26" t="s">
        <v>108</v>
      </c>
    </row>
    <row r="27" spans="1:3" x14ac:dyDescent="0.35">
      <c r="A27" t="s">
        <v>32</v>
      </c>
      <c r="B27" s="65">
        <v>44044</v>
      </c>
      <c r="C27" t="s">
        <v>109</v>
      </c>
    </row>
    <row r="28" spans="1:3" x14ac:dyDescent="0.35">
      <c r="A28" t="s">
        <v>32</v>
      </c>
      <c r="B28" s="65">
        <v>43983</v>
      </c>
      <c r="C28" t="s">
        <v>110</v>
      </c>
    </row>
    <row r="29" spans="1:3" x14ac:dyDescent="0.35">
      <c r="A29" t="s">
        <v>32</v>
      </c>
      <c r="B29" s="65">
        <v>43952</v>
      </c>
      <c r="C29" t="s">
        <v>111</v>
      </c>
    </row>
    <row r="30" spans="1:3" x14ac:dyDescent="0.35">
      <c r="A30" t="s">
        <v>32</v>
      </c>
      <c r="B30" s="65">
        <v>43922</v>
      </c>
      <c r="C30" t="s">
        <v>112</v>
      </c>
    </row>
    <row r="31" spans="1:3" x14ac:dyDescent="0.35">
      <c r="A31" t="s">
        <v>32</v>
      </c>
      <c r="B31" s="65">
        <v>43891</v>
      </c>
      <c r="C31" t="s">
        <v>113</v>
      </c>
    </row>
    <row r="32" spans="1:3" x14ac:dyDescent="0.35">
      <c r="A32" t="s">
        <v>32</v>
      </c>
      <c r="B32" s="65">
        <v>43831</v>
      </c>
      <c r="C32" t="s">
        <v>114</v>
      </c>
    </row>
    <row r="33" spans="1:3" x14ac:dyDescent="0.35">
      <c r="A33" t="s">
        <v>32</v>
      </c>
      <c r="B33" s="65">
        <v>43800</v>
      </c>
      <c r="C33" t="s">
        <v>115</v>
      </c>
    </row>
    <row r="34" spans="1:3" x14ac:dyDescent="0.35">
      <c r="A34" t="s">
        <v>32</v>
      </c>
      <c r="B34" s="65">
        <v>43739</v>
      </c>
      <c r="C34" t="s">
        <v>116</v>
      </c>
    </row>
    <row r="35" spans="1:3" x14ac:dyDescent="0.35">
      <c r="A35" t="s">
        <v>32</v>
      </c>
      <c r="B35" s="65">
        <v>43709</v>
      </c>
      <c r="C35" t="s">
        <v>117</v>
      </c>
    </row>
    <row r="36" spans="1:3" x14ac:dyDescent="0.35">
      <c r="A36" t="s">
        <v>32</v>
      </c>
      <c r="B36" s="65">
        <v>43678</v>
      </c>
      <c r="C36" t="s">
        <v>118</v>
      </c>
    </row>
    <row r="37" spans="1:3" x14ac:dyDescent="0.35">
      <c r="A37" t="s">
        <v>32</v>
      </c>
      <c r="B37" s="65">
        <v>43647</v>
      </c>
      <c r="C37" t="s">
        <v>119</v>
      </c>
    </row>
    <row r="38" spans="1:3" x14ac:dyDescent="0.35">
      <c r="A38" t="s">
        <v>32</v>
      </c>
      <c r="B38" s="65">
        <v>43586</v>
      </c>
      <c r="C38" t="s">
        <v>120</v>
      </c>
    </row>
    <row r="39" spans="1:3" x14ac:dyDescent="0.35">
      <c r="A39" t="s">
        <v>32</v>
      </c>
      <c r="B39" s="65">
        <v>43556</v>
      </c>
      <c r="C39" t="s">
        <v>121</v>
      </c>
    </row>
    <row r="40" spans="1:3" x14ac:dyDescent="0.35">
      <c r="A40" t="s">
        <v>32</v>
      </c>
      <c r="B40" s="65">
        <v>43525</v>
      </c>
      <c r="C40" t="s">
        <v>122</v>
      </c>
    </row>
    <row r="41" spans="1:3" x14ac:dyDescent="0.35">
      <c r="A41" t="s">
        <v>32</v>
      </c>
      <c r="B41" s="65">
        <v>43497</v>
      </c>
      <c r="C41" t="s">
        <v>123</v>
      </c>
    </row>
    <row r="42" spans="1:3" x14ac:dyDescent="0.35">
      <c r="A42" t="s">
        <v>41</v>
      </c>
      <c r="B42" s="65">
        <v>44927</v>
      </c>
      <c r="C42" t="s">
        <v>124</v>
      </c>
    </row>
    <row r="43" spans="1:3" x14ac:dyDescent="0.35">
      <c r="A43" t="s">
        <v>41</v>
      </c>
      <c r="B43" s="65">
        <v>44896</v>
      </c>
      <c r="C43" t="s">
        <v>125</v>
      </c>
    </row>
    <row r="44" spans="1:3" x14ac:dyDescent="0.35">
      <c r="A44" t="s">
        <v>41</v>
      </c>
      <c r="B44" s="65">
        <v>44866</v>
      </c>
      <c r="C44" t="s">
        <v>126</v>
      </c>
    </row>
    <row r="45" spans="1:3" x14ac:dyDescent="0.35">
      <c r="A45" t="s">
        <v>41</v>
      </c>
      <c r="B45" s="65">
        <v>44835</v>
      </c>
      <c r="C45" t="s">
        <v>127</v>
      </c>
    </row>
    <row r="46" spans="1:3" x14ac:dyDescent="0.35">
      <c r="A46" t="s">
        <v>41</v>
      </c>
      <c r="B46" s="65">
        <v>44805</v>
      </c>
      <c r="C46" t="s">
        <v>128</v>
      </c>
    </row>
    <row r="47" spans="1:3" x14ac:dyDescent="0.35">
      <c r="A47" t="s">
        <v>41</v>
      </c>
      <c r="B47" s="65">
        <v>44621</v>
      </c>
      <c r="C47" t="s">
        <v>129</v>
      </c>
    </row>
    <row r="48" spans="1:3" x14ac:dyDescent="0.35">
      <c r="A48" t="s">
        <v>41</v>
      </c>
      <c r="B48" s="65">
        <v>44593</v>
      </c>
      <c r="C48" t="s">
        <v>130</v>
      </c>
    </row>
    <row r="49" spans="1:3" x14ac:dyDescent="0.35">
      <c r="A49" t="s">
        <v>41</v>
      </c>
      <c r="B49" s="65">
        <v>44562</v>
      </c>
      <c r="C49" t="s">
        <v>131</v>
      </c>
    </row>
    <row r="50" spans="1:3" x14ac:dyDescent="0.35">
      <c r="A50" t="s">
        <v>41</v>
      </c>
      <c r="B50" s="65">
        <v>44531</v>
      </c>
      <c r="C50" t="s">
        <v>132</v>
      </c>
    </row>
    <row r="51" spans="1:3" x14ac:dyDescent="0.35">
      <c r="A51" t="s">
        <v>41</v>
      </c>
      <c r="B51" s="65">
        <v>44501</v>
      </c>
      <c r="C51" t="s">
        <v>133</v>
      </c>
    </row>
    <row r="52" spans="1:3" x14ac:dyDescent="0.35">
      <c r="A52" t="s">
        <v>41</v>
      </c>
      <c r="B52" s="65">
        <v>44470</v>
      </c>
      <c r="C52" t="s">
        <v>134</v>
      </c>
    </row>
    <row r="53" spans="1:3" x14ac:dyDescent="0.35">
      <c r="A53" t="s">
        <v>41</v>
      </c>
      <c r="B53" s="65">
        <v>44409</v>
      </c>
      <c r="C53" t="s">
        <v>135</v>
      </c>
    </row>
    <row r="54" spans="1:3" x14ac:dyDescent="0.35">
      <c r="A54" t="s">
        <v>41</v>
      </c>
      <c r="B54" s="65">
        <v>44378</v>
      </c>
      <c r="C54" t="s">
        <v>136</v>
      </c>
    </row>
    <row r="55" spans="1:3" x14ac:dyDescent="0.35">
      <c r="A55" t="s">
        <v>41</v>
      </c>
      <c r="B55" s="65">
        <v>44317</v>
      </c>
      <c r="C55" t="s">
        <v>137</v>
      </c>
    </row>
    <row r="56" spans="1:3" x14ac:dyDescent="0.35">
      <c r="A56" t="s">
        <v>41</v>
      </c>
      <c r="B56" s="65">
        <v>44287</v>
      </c>
      <c r="C56" t="s">
        <v>138</v>
      </c>
    </row>
    <row r="57" spans="1:3" x14ac:dyDescent="0.35">
      <c r="A57" t="s">
        <v>41</v>
      </c>
      <c r="B57" s="65">
        <v>44075</v>
      </c>
      <c r="C57" t="s">
        <v>139</v>
      </c>
    </row>
    <row r="58" spans="1:3" x14ac:dyDescent="0.35">
      <c r="A58" t="s">
        <v>41</v>
      </c>
      <c r="B58" s="65">
        <v>43983</v>
      </c>
      <c r="C58" t="s">
        <v>140</v>
      </c>
    </row>
    <row r="59" spans="1:3" x14ac:dyDescent="0.35">
      <c r="A59" t="s">
        <v>41</v>
      </c>
      <c r="B59" s="65">
        <v>43952</v>
      </c>
      <c r="C59" t="s">
        <v>141</v>
      </c>
    </row>
    <row r="60" spans="1:3" x14ac:dyDescent="0.35">
      <c r="A60" t="s">
        <v>41</v>
      </c>
      <c r="B60" s="65">
        <v>43922</v>
      </c>
      <c r="C60" t="s">
        <v>142</v>
      </c>
    </row>
    <row r="61" spans="1:3" x14ac:dyDescent="0.35">
      <c r="A61" t="s">
        <v>41</v>
      </c>
      <c r="B61" s="65">
        <v>43770</v>
      </c>
      <c r="C61" t="s">
        <v>143</v>
      </c>
    </row>
    <row r="62" spans="1:3" x14ac:dyDescent="0.35">
      <c r="A62" t="s">
        <v>41</v>
      </c>
      <c r="B62" s="65">
        <v>43709</v>
      </c>
      <c r="C62" t="s">
        <v>144</v>
      </c>
    </row>
    <row r="63" spans="1:3" x14ac:dyDescent="0.35">
      <c r="A63" t="s">
        <v>41</v>
      </c>
      <c r="B63" s="65">
        <v>43678</v>
      </c>
      <c r="C63" t="s">
        <v>145</v>
      </c>
    </row>
    <row r="64" spans="1:3" x14ac:dyDescent="0.35">
      <c r="A64" t="s">
        <v>41</v>
      </c>
      <c r="B64" s="65">
        <v>43617</v>
      </c>
      <c r="C64" t="s">
        <v>146</v>
      </c>
    </row>
    <row r="65" spans="1:3" x14ac:dyDescent="0.35">
      <c r="A65" t="s">
        <v>41</v>
      </c>
      <c r="B65" s="65">
        <v>43556</v>
      </c>
      <c r="C65" t="s">
        <v>147</v>
      </c>
    </row>
    <row r="66" spans="1:3" x14ac:dyDescent="0.35">
      <c r="A66" t="s">
        <v>29</v>
      </c>
      <c r="B66" s="65">
        <v>44805</v>
      </c>
      <c r="C66" t="s">
        <v>148</v>
      </c>
    </row>
    <row r="67" spans="1:3" x14ac:dyDescent="0.35">
      <c r="A67" t="s">
        <v>29</v>
      </c>
      <c r="B67" s="65">
        <v>44593</v>
      </c>
      <c r="C67" t="s">
        <v>149</v>
      </c>
    </row>
    <row r="68" spans="1:3" x14ac:dyDescent="0.35">
      <c r="A68" t="s">
        <v>29</v>
      </c>
      <c r="B68" s="65">
        <v>44501</v>
      </c>
      <c r="C68" t="s">
        <v>150</v>
      </c>
    </row>
    <row r="69" spans="1:3" x14ac:dyDescent="0.35">
      <c r="A69" t="s">
        <v>29</v>
      </c>
      <c r="B69" s="65">
        <v>44348</v>
      </c>
      <c r="C69" t="s">
        <v>151</v>
      </c>
    </row>
    <row r="70" spans="1:3" x14ac:dyDescent="0.35">
      <c r="A70" t="s">
        <v>29</v>
      </c>
      <c r="B70" s="65">
        <v>44317</v>
      </c>
      <c r="C70" t="s">
        <v>152</v>
      </c>
    </row>
    <row r="71" spans="1:3" x14ac:dyDescent="0.35">
      <c r="A71" t="s">
        <v>29</v>
      </c>
      <c r="B71" s="65">
        <v>44256</v>
      </c>
      <c r="C71" t="s">
        <v>153</v>
      </c>
    </row>
    <row r="72" spans="1:3" x14ac:dyDescent="0.35">
      <c r="A72" t="s">
        <v>29</v>
      </c>
      <c r="B72" s="65">
        <v>44228</v>
      </c>
      <c r="C72" t="s">
        <v>154</v>
      </c>
    </row>
    <row r="73" spans="1:3" x14ac:dyDescent="0.35">
      <c r="A73" t="s">
        <v>29</v>
      </c>
      <c r="B73" s="65">
        <v>43709</v>
      </c>
      <c r="C73" t="s">
        <v>155</v>
      </c>
    </row>
    <row r="74" spans="1:3" x14ac:dyDescent="0.35">
      <c r="A74" t="s">
        <v>29</v>
      </c>
      <c r="B74" s="65">
        <v>43586</v>
      </c>
      <c r="C74" t="s">
        <v>156</v>
      </c>
    </row>
    <row r="75" spans="1:3" x14ac:dyDescent="0.35">
      <c r="A75" t="s">
        <v>37</v>
      </c>
      <c r="B75" s="65">
        <v>44927</v>
      </c>
      <c r="C75" t="s">
        <v>157</v>
      </c>
    </row>
    <row r="76" spans="1:3" x14ac:dyDescent="0.35">
      <c r="A76" t="s">
        <v>37</v>
      </c>
      <c r="B76" s="65">
        <v>44896</v>
      </c>
      <c r="C76" t="s">
        <v>158</v>
      </c>
    </row>
    <row r="77" spans="1:3" x14ac:dyDescent="0.35">
      <c r="A77" t="s">
        <v>37</v>
      </c>
      <c r="B77" s="65">
        <v>44866</v>
      </c>
      <c r="C77" t="s">
        <v>159</v>
      </c>
    </row>
    <row r="78" spans="1:3" x14ac:dyDescent="0.35">
      <c r="A78" t="s">
        <v>37</v>
      </c>
      <c r="B78" s="65">
        <v>44805</v>
      </c>
      <c r="C78" t="s">
        <v>160</v>
      </c>
    </row>
    <row r="79" spans="1:3" x14ac:dyDescent="0.35">
      <c r="A79" t="s">
        <v>37</v>
      </c>
      <c r="B79" s="65">
        <v>44774</v>
      </c>
      <c r="C79" t="s">
        <v>161</v>
      </c>
    </row>
    <row r="80" spans="1:3" x14ac:dyDescent="0.35">
      <c r="A80" t="s">
        <v>37</v>
      </c>
      <c r="B80" s="65">
        <v>44743</v>
      </c>
      <c r="C80" t="s">
        <v>162</v>
      </c>
    </row>
    <row r="81" spans="1:3" x14ac:dyDescent="0.35">
      <c r="A81" t="s">
        <v>37</v>
      </c>
      <c r="B81" s="65">
        <v>44713</v>
      </c>
      <c r="C81" t="s">
        <v>163</v>
      </c>
    </row>
    <row r="82" spans="1:3" x14ac:dyDescent="0.35">
      <c r="A82" t="s">
        <v>37</v>
      </c>
      <c r="B82" s="65">
        <v>44682</v>
      </c>
      <c r="C82" t="s">
        <v>164</v>
      </c>
    </row>
    <row r="83" spans="1:3" x14ac:dyDescent="0.35">
      <c r="A83" t="s">
        <v>37</v>
      </c>
      <c r="B83" s="65">
        <v>44593</v>
      </c>
      <c r="C83" t="s">
        <v>165</v>
      </c>
    </row>
    <row r="84" spans="1:3" x14ac:dyDescent="0.35">
      <c r="A84" t="s">
        <v>37</v>
      </c>
      <c r="B84" s="65">
        <v>44562</v>
      </c>
      <c r="C84" t="s">
        <v>166</v>
      </c>
    </row>
    <row r="85" spans="1:3" x14ac:dyDescent="0.35">
      <c r="A85" t="s">
        <v>37</v>
      </c>
      <c r="B85" s="65">
        <v>44531</v>
      </c>
      <c r="C85" t="s">
        <v>167</v>
      </c>
    </row>
    <row r="86" spans="1:3" x14ac:dyDescent="0.35">
      <c r="A86" t="s">
        <v>37</v>
      </c>
      <c r="B86" s="65">
        <v>44501</v>
      </c>
      <c r="C86" t="s">
        <v>168</v>
      </c>
    </row>
    <row r="87" spans="1:3" x14ac:dyDescent="0.35">
      <c r="A87" t="s">
        <v>37</v>
      </c>
      <c r="B87" s="65">
        <v>44470</v>
      </c>
      <c r="C87" t="s">
        <v>169</v>
      </c>
    </row>
    <row r="88" spans="1:3" x14ac:dyDescent="0.35">
      <c r="A88" t="s">
        <v>37</v>
      </c>
      <c r="B88" s="65">
        <v>44440</v>
      </c>
      <c r="C88" t="s">
        <v>170</v>
      </c>
    </row>
    <row r="89" spans="1:3" x14ac:dyDescent="0.35">
      <c r="A89" t="s">
        <v>37</v>
      </c>
      <c r="B89" s="65">
        <v>44409</v>
      </c>
      <c r="C89" t="s">
        <v>171</v>
      </c>
    </row>
    <row r="90" spans="1:3" x14ac:dyDescent="0.35">
      <c r="A90" t="s">
        <v>37</v>
      </c>
      <c r="B90" s="65">
        <v>44378</v>
      </c>
      <c r="C90" t="s">
        <v>172</v>
      </c>
    </row>
    <row r="91" spans="1:3" x14ac:dyDescent="0.35">
      <c r="A91" t="s">
        <v>37</v>
      </c>
      <c r="B91" s="65">
        <v>44348</v>
      </c>
      <c r="C91" t="s">
        <v>173</v>
      </c>
    </row>
    <row r="92" spans="1:3" x14ac:dyDescent="0.35">
      <c r="A92" t="s">
        <v>37</v>
      </c>
      <c r="B92" s="65">
        <v>44317</v>
      </c>
      <c r="C92" t="s">
        <v>174</v>
      </c>
    </row>
    <row r="93" spans="1:3" x14ac:dyDescent="0.35">
      <c r="A93" t="s">
        <v>37</v>
      </c>
      <c r="B93" s="65">
        <v>44287</v>
      </c>
      <c r="C93" t="s">
        <v>175</v>
      </c>
    </row>
    <row r="94" spans="1:3" x14ac:dyDescent="0.35">
      <c r="A94" t="s">
        <v>37</v>
      </c>
      <c r="B94" s="65">
        <v>44256</v>
      </c>
      <c r="C94" t="s">
        <v>176</v>
      </c>
    </row>
    <row r="95" spans="1:3" x14ac:dyDescent="0.35">
      <c r="A95" t="s">
        <v>37</v>
      </c>
      <c r="B95" s="65">
        <v>44228</v>
      </c>
      <c r="C95" t="s">
        <v>177</v>
      </c>
    </row>
    <row r="96" spans="1:3" x14ac:dyDescent="0.35">
      <c r="A96" t="s">
        <v>37</v>
      </c>
      <c r="B96" s="65">
        <v>44197</v>
      </c>
      <c r="C96" t="s">
        <v>178</v>
      </c>
    </row>
    <row r="97" spans="1:3" x14ac:dyDescent="0.35">
      <c r="A97" t="s">
        <v>37</v>
      </c>
      <c r="B97" s="65">
        <v>44166</v>
      </c>
      <c r="C97" t="s">
        <v>179</v>
      </c>
    </row>
    <row r="98" spans="1:3" x14ac:dyDescent="0.35">
      <c r="A98" t="s">
        <v>37</v>
      </c>
      <c r="B98" s="65">
        <v>44136</v>
      </c>
      <c r="C98" t="s">
        <v>180</v>
      </c>
    </row>
    <row r="99" spans="1:3" x14ac:dyDescent="0.35">
      <c r="A99" t="s">
        <v>37</v>
      </c>
      <c r="B99" s="65">
        <v>44105</v>
      </c>
      <c r="C99" t="s">
        <v>181</v>
      </c>
    </row>
    <row r="100" spans="1:3" x14ac:dyDescent="0.35">
      <c r="A100" t="s">
        <v>37</v>
      </c>
      <c r="B100" s="65">
        <v>44075</v>
      </c>
      <c r="C100" t="s">
        <v>182</v>
      </c>
    </row>
    <row r="101" spans="1:3" x14ac:dyDescent="0.35">
      <c r="A101" t="s">
        <v>37</v>
      </c>
      <c r="B101" s="65">
        <v>44044</v>
      </c>
      <c r="C101" t="s">
        <v>183</v>
      </c>
    </row>
    <row r="102" spans="1:3" x14ac:dyDescent="0.35">
      <c r="A102" t="s">
        <v>37</v>
      </c>
      <c r="B102" s="65">
        <v>43983</v>
      </c>
      <c r="C102" t="s">
        <v>184</v>
      </c>
    </row>
    <row r="103" spans="1:3" x14ac:dyDescent="0.35">
      <c r="A103" t="s">
        <v>37</v>
      </c>
      <c r="B103" s="65">
        <v>43952</v>
      </c>
      <c r="C103" t="s">
        <v>185</v>
      </c>
    </row>
    <row r="104" spans="1:3" x14ac:dyDescent="0.35">
      <c r="A104" t="s">
        <v>37</v>
      </c>
      <c r="B104" s="65">
        <v>43922</v>
      </c>
      <c r="C104" t="s">
        <v>186</v>
      </c>
    </row>
    <row r="105" spans="1:3" x14ac:dyDescent="0.35">
      <c r="A105" t="s">
        <v>37</v>
      </c>
      <c r="B105" s="65">
        <v>43891</v>
      </c>
      <c r="C105" t="s">
        <v>187</v>
      </c>
    </row>
    <row r="106" spans="1:3" x14ac:dyDescent="0.35">
      <c r="A106" t="s">
        <v>37</v>
      </c>
      <c r="B106" s="65">
        <v>43862</v>
      </c>
      <c r="C106" t="s">
        <v>188</v>
      </c>
    </row>
    <row r="107" spans="1:3" x14ac:dyDescent="0.35">
      <c r="A107" t="s">
        <v>37</v>
      </c>
      <c r="B107" s="65">
        <v>43831</v>
      </c>
      <c r="C107" t="s">
        <v>189</v>
      </c>
    </row>
    <row r="108" spans="1:3" x14ac:dyDescent="0.35">
      <c r="A108" t="s">
        <v>37</v>
      </c>
      <c r="B108" s="65">
        <v>43800</v>
      </c>
      <c r="C108" t="s">
        <v>190</v>
      </c>
    </row>
    <row r="109" spans="1:3" x14ac:dyDescent="0.35">
      <c r="A109" t="s">
        <v>37</v>
      </c>
      <c r="B109" s="65">
        <v>43770</v>
      </c>
      <c r="C109" t="s">
        <v>191</v>
      </c>
    </row>
    <row r="110" spans="1:3" x14ac:dyDescent="0.35">
      <c r="A110" t="s">
        <v>37</v>
      </c>
      <c r="B110" s="65">
        <v>43739</v>
      </c>
      <c r="C110" t="s">
        <v>192</v>
      </c>
    </row>
    <row r="111" spans="1:3" x14ac:dyDescent="0.35">
      <c r="A111" t="s">
        <v>37</v>
      </c>
      <c r="B111" s="65">
        <v>43709</v>
      </c>
      <c r="C111" t="s">
        <v>193</v>
      </c>
    </row>
    <row r="112" spans="1:3" x14ac:dyDescent="0.35">
      <c r="A112" t="s">
        <v>37</v>
      </c>
      <c r="B112" s="65">
        <v>43678</v>
      </c>
      <c r="C112" t="s">
        <v>194</v>
      </c>
    </row>
    <row r="113" spans="1:3" x14ac:dyDescent="0.35">
      <c r="A113" t="s">
        <v>37</v>
      </c>
      <c r="B113" s="65">
        <v>43647</v>
      </c>
      <c r="C113" t="s">
        <v>195</v>
      </c>
    </row>
    <row r="114" spans="1:3" x14ac:dyDescent="0.35">
      <c r="A114" t="s">
        <v>37</v>
      </c>
      <c r="B114" s="65">
        <v>43617</v>
      </c>
      <c r="C114" t="s">
        <v>196</v>
      </c>
    </row>
    <row r="115" spans="1:3" x14ac:dyDescent="0.35">
      <c r="A115" t="s">
        <v>37</v>
      </c>
      <c r="B115" s="65">
        <v>43586</v>
      </c>
      <c r="C115" t="s">
        <v>197</v>
      </c>
    </row>
    <row r="116" spans="1:3" x14ac:dyDescent="0.35">
      <c r="A116" t="s">
        <v>37</v>
      </c>
      <c r="B116" s="65">
        <v>43556</v>
      </c>
      <c r="C116" t="s">
        <v>198</v>
      </c>
    </row>
    <row r="117" spans="1:3" x14ac:dyDescent="0.35">
      <c r="A117" t="s">
        <v>37</v>
      </c>
      <c r="B117" s="65">
        <v>43525</v>
      </c>
      <c r="C117" t="s">
        <v>199</v>
      </c>
    </row>
    <row r="118" spans="1:3" x14ac:dyDescent="0.35">
      <c r="A118" t="s">
        <v>37</v>
      </c>
      <c r="B118" s="65">
        <v>43497</v>
      </c>
      <c r="C118" t="s">
        <v>200</v>
      </c>
    </row>
    <row r="119" spans="1:3" x14ac:dyDescent="0.35">
      <c r="A119" t="s">
        <v>37</v>
      </c>
      <c r="B119" s="65">
        <v>43466</v>
      </c>
      <c r="C119" t="s">
        <v>201</v>
      </c>
    </row>
    <row r="120" spans="1:3" x14ac:dyDescent="0.35">
      <c r="A120" t="s">
        <v>43</v>
      </c>
      <c r="B120" s="65">
        <v>44896</v>
      </c>
      <c r="C120" t="s">
        <v>202</v>
      </c>
    </row>
    <row r="121" spans="1:3" x14ac:dyDescent="0.35">
      <c r="A121" t="s">
        <v>43</v>
      </c>
      <c r="B121" s="65">
        <v>44866</v>
      </c>
      <c r="C121" t="s">
        <v>203</v>
      </c>
    </row>
    <row r="122" spans="1:3" x14ac:dyDescent="0.35">
      <c r="A122" t="s">
        <v>43</v>
      </c>
      <c r="B122" s="65">
        <v>44835</v>
      </c>
      <c r="C122" t="s">
        <v>204</v>
      </c>
    </row>
    <row r="123" spans="1:3" x14ac:dyDescent="0.35">
      <c r="A123" t="s">
        <v>43</v>
      </c>
      <c r="B123" s="65">
        <v>44774</v>
      </c>
      <c r="C123" t="s">
        <v>205</v>
      </c>
    </row>
    <row r="124" spans="1:3" x14ac:dyDescent="0.35">
      <c r="A124" t="s">
        <v>43</v>
      </c>
      <c r="B124" s="65">
        <v>44743</v>
      </c>
      <c r="C124" t="s">
        <v>206</v>
      </c>
    </row>
    <row r="125" spans="1:3" x14ac:dyDescent="0.35">
      <c r="A125" t="s">
        <v>43</v>
      </c>
      <c r="B125" s="65">
        <v>44713</v>
      </c>
      <c r="C125" t="s">
        <v>207</v>
      </c>
    </row>
    <row r="126" spans="1:3" x14ac:dyDescent="0.35">
      <c r="A126" t="s">
        <v>43</v>
      </c>
      <c r="B126" s="65">
        <v>44682</v>
      </c>
      <c r="C126" t="s">
        <v>208</v>
      </c>
    </row>
    <row r="127" spans="1:3" x14ac:dyDescent="0.35">
      <c r="A127" t="s">
        <v>43</v>
      </c>
      <c r="B127" s="65">
        <v>44652</v>
      </c>
      <c r="C127" t="s">
        <v>209</v>
      </c>
    </row>
    <row r="128" spans="1:3" x14ac:dyDescent="0.35">
      <c r="A128" t="s">
        <v>43</v>
      </c>
      <c r="B128" s="65">
        <v>44621</v>
      </c>
      <c r="C128" t="s">
        <v>210</v>
      </c>
    </row>
    <row r="129" spans="1:3" x14ac:dyDescent="0.35">
      <c r="A129" t="s">
        <v>43</v>
      </c>
      <c r="B129" s="65">
        <v>44593</v>
      </c>
      <c r="C129" t="s">
        <v>211</v>
      </c>
    </row>
    <row r="130" spans="1:3" x14ac:dyDescent="0.35">
      <c r="A130" t="s">
        <v>43</v>
      </c>
      <c r="B130" s="65">
        <v>44501</v>
      </c>
      <c r="C130" t="s">
        <v>212</v>
      </c>
    </row>
    <row r="131" spans="1:3" x14ac:dyDescent="0.35">
      <c r="A131" t="s">
        <v>43</v>
      </c>
      <c r="B131" s="65">
        <v>44470</v>
      </c>
      <c r="C131" t="s">
        <v>213</v>
      </c>
    </row>
    <row r="132" spans="1:3" x14ac:dyDescent="0.35">
      <c r="A132" t="s">
        <v>43</v>
      </c>
      <c r="B132" s="65">
        <v>44440</v>
      </c>
      <c r="C132" t="s">
        <v>214</v>
      </c>
    </row>
    <row r="133" spans="1:3" x14ac:dyDescent="0.35">
      <c r="A133" t="s">
        <v>43</v>
      </c>
      <c r="B133" s="65">
        <v>44409</v>
      </c>
      <c r="C133" t="s">
        <v>215</v>
      </c>
    </row>
    <row r="134" spans="1:3" x14ac:dyDescent="0.35">
      <c r="A134" t="s">
        <v>43</v>
      </c>
      <c r="B134" s="65">
        <v>44348</v>
      </c>
      <c r="C134" t="s">
        <v>216</v>
      </c>
    </row>
    <row r="135" spans="1:3" x14ac:dyDescent="0.35">
      <c r="A135" t="s">
        <v>43</v>
      </c>
      <c r="B135" s="65">
        <v>44287</v>
      </c>
      <c r="C135" t="s">
        <v>217</v>
      </c>
    </row>
    <row r="136" spans="1:3" x14ac:dyDescent="0.35">
      <c r="A136" t="s">
        <v>43</v>
      </c>
      <c r="B136" s="65">
        <v>44256</v>
      </c>
      <c r="C136" t="s">
        <v>218</v>
      </c>
    </row>
    <row r="137" spans="1:3" x14ac:dyDescent="0.35">
      <c r="A137" t="s">
        <v>43</v>
      </c>
      <c r="B137" s="65">
        <v>44228</v>
      </c>
      <c r="C137" t="s">
        <v>219</v>
      </c>
    </row>
    <row r="138" spans="1:3" x14ac:dyDescent="0.35">
      <c r="A138" t="s">
        <v>43</v>
      </c>
      <c r="B138" s="65">
        <v>44197</v>
      </c>
      <c r="C138" t="s">
        <v>220</v>
      </c>
    </row>
    <row r="139" spans="1:3" x14ac:dyDescent="0.35">
      <c r="A139" t="s">
        <v>43</v>
      </c>
      <c r="B139" s="65">
        <v>44166</v>
      </c>
      <c r="C139" t="s">
        <v>221</v>
      </c>
    </row>
    <row r="140" spans="1:3" x14ac:dyDescent="0.35">
      <c r="A140" t="s">
        <v>43</v>
      </c>
      <c r="B140" s="65">
        <v>44136</v>
      </c>
      <c r="C140" t="s">
        <v>222</v>
      </c>
    </row>
    <row r="141" spans="1:3" x14ac:dyDescent="0.35">
      <c r="A141" t="s">
        <v>43</v>
      </c>
      <c r="B141" s="65">
        <v>44105</v>
      </c>
      <c r="C141" t="s">
        <v>223</v>
      </c>
    </row>
    <row r="142" spans="1:3" x14ac:dyDescent="0.35">
      <c r="A142" t="s">
        <v>43</v>
      </c>
      <c r="B142" s="65">
        <v>44075</v>
      </c>
      <c r="C142" t="s">
        <v>224</v>
      </c>
    </row>
    <row r="143" spans="1:3" x14ac:dyDescent="0.35">
      <c r="A143" t="s">
        <v>43</v>
      </c>
      <c r="B143" s="65">
        <v>44044</v>
      </c>
      <c r="C143" t="s">
        <v>225</v>
      </c>
    </row>
    <row r="144" spans="1:3" x14ac:dyDescent="0.35">
      <c r="A144" t="s">
        <v>43</v>
      </c>
      <c r="B144" s="65">
        <v>44013</v>
      </c>
      <c r="C144" t="s">
        <v>226</v>
      </c>
    </row>
    <row r="145" spans="1:3" x14ac:dyDescent="0.35">
      <c r="A145" t="s">
        <v>43</v>
      </c>
      <c r="B145" s="65">
        <v>43983</v>
      </c>
      <c r="C145" t="s">
        <v>227</v>
      </c>
    </row>
    <row r="146" spans="1:3" x14ac:dyDescent="0.35">
      <c r="A146" t="s">
        <v>43</v>
      </c>
      <c r="B146" s="65">
        <v>43952</v>
      </c>
      <c r="C146" t="s">
        <v>228</v>
      </c>
    </row>
    <row r="147" spans="1:3" x14ac:dyDescent="0.35">
      <c r="A147" t="s">
        <v>43</v>
      </c>
      <c r="B147" s="65">
        <v>43922</v>
      </c>
      <c r="C147" t="s">
        <v>229</v>
      </c>
    </row>
    <row r="148" spans="1:3" x14ac:dyDescent="0.35">
      <c r="A148" t="s">
        <v>43</v>
      </c>
      <c r="B148" s="65">
        <v>43891</v>
      </c>
      <c r="C148" t="s">
        <v>230</v>
      </c>
    </row>
    <row r="149" spans="1:3" x14ac:dyDescent="0.35">
      <c r="A149" t="s">
        <v>33</v>
      </c>
      <c r="B149" s="65">
        <v>44896</v>
      </c>
      <c r="C149" t="s">
        <v>231</v>
      </c>
    </row>
    <row r="150" spans="1:3" x14ac:dyDescent="0.35">
      <c r="A150" t="s">
        <v>33</v>
      </c>
      <c r="B150" s="65">
        <v>44593</v>
      </c>
      <c r="C150" t="s">
        <v>232</v>
      </c>
    </row>
    <row r="151" spans="1:3" x14ac:dyDescent="0.35">
      <c r="A151" t="s">
        <v>33</v>
      </c>
      <c r="B151" s="65">
        <v>44562</v>
      </c>
      <c r="C151" t="s">
        <v>233</v>
      </c>
    </row>
    <row r="152" spans="1:3" x14ac:dyDescent="0.35">
      <c r="A152" t="s">
        <v>33</v>
      </c>
      <c r="B152" s="65">
        <v>44531</v>
      </c>
      <c r="C152" t="s">
        <v>234</v>
      </c>
    </row>
    <row r="153" spans="1:3" x14ac:dyDescent="0.35">
      <c r="A153" t="s">
        <v>33</v>
      </c>
      <c r="B153" s="65">
        <v>44501</v>
      </c>
      <c r="C153" t="s">
        <v>235</v>
      </c>
    </row>
    <row r="154" spans="1:3" x14ac:dyDescent="0.35">
      <c r="A154" t="s">
        <v>33</v>
      </c>
      <c r="B154" s="65">
        <v>44440</v>
      </c>
      <c r="C154" t="s">
        <v>236</v>
      </c>
    </row>
    <row r="155" spans="1:3" x14ac:dyDescent="0.35">
      <c r="A155" t="s">
        <v>33</v>
      </c>
      <c r="B155" s="65">
        <v>44348</v>
      </c>
      <c r="C155" t="s">
        <v>237</v>
      </c>
    </row>
    <row r="156" spans="1:3" x14ac:dyDescent="0.35">
      <c r="A156" t="s">
        <v>33</v>
      </c>
      <c r="B156" s="65">
        <v>44317</v>
      </c>
      <c r="C156" t="s">
        <v>238</v>
      </c>
    </row>
    <row r="157" spans="1:3" x14ac:dyDescent="0.35">
      <c r="A157" t="s">
        <v>33</v>
      </c>
      <c r="B157" s="65">
        <v>44287</v>
      </c>
      <c r="C157" t="s">
        <v>239</v>
      </c>
    </row>
    <row r="158" spans="1:3" x14ac:dyDescent="0.35">
      <c r="A158" t="s">
        <v>33</v>
      </c>
      <c r="B158" s="65">
        <v>44256</v>
      </c>
      <c r="C158" t="s">
        <v>240</v>
      </c>
    </row>
    <row r="159" spans="1:3" x14ac:dyDescent="0.35">
      <c r="A159" t="s">
        <v>33</v>
      </c>
      <c r="B159" s="65">
        <v>44228</v>
      </c>
      <c r="C159" t="s">
        <v>241</v>
      </c>
    </row>
    <row r="160" spans="1:3" x14ac:dyDescent="0.35">
      <c r="A160" t="s">
        <v>33</v>
      </c>
      <c r="B160" s="65">
        <v>44197</v>
      </c>
      <c r="C160" t="s">
        <v>242</v>
      </c>
    </row>
    <row r="161" spans="1:3" x14ac:dyDescent="0.35">
      <c r="A161" t="s">
        <v>33</v>
      </c>
      <c r="B161" s="65">
        <v>44136</v>
      </c>
      <c r="C161" t="s">
        <v>243</v>
      </c>
    </row>
    <row r="162" spans="1:3" x14ac:dyDescent="0.35">
      <c r="A162" t="s">
        <v>33</v>
      </c>
      <c r="B162" s="65">
        <v>44105</v>
      </c>
      <c r="C162" t="s">
        <v>244</v>
      </c>
    </row>
    <row r="163" spans="1:3" x14ac:dyDescent="0.35">
      <c r="A163" t="s">
        <v>33</v>
      </c>
      <c r="B163" s="65">
        <v>44075</v>
      </c>
      <c r="C163" t="s">
        <v>245</v>
      </c>
    </row>
    <row r="164" spans="1:3" x14ac:dyDescent="0.35">
      <c r="A164" t="s">
        <v>33</v>
      </c>
      <c r="B164" s="65">
        <v>44044</v>
      </c>
      <c r="C164" t="s">
        <v>246</v>
      </c>
    </row>
    <row r="165" spans="1:3" x14ac:dyDescent="0.35">
      <c r="A165" t="s">
        <v>33</v>
      </c>
      <c r="B165" s="65">
        <v>44013</v>
      </c>
      <c r="C165" t="s">
        <v>247</v>
      </c>
    </row>
    <row r="166" spans="1:3" x14ac:dyDescent="0.35">
      <c r="A166" t="s">
        <v>33</v>
      </c>
      <c r="B166" s="65">
        <v>43983</v>
      </c>
      <c r="C166" t="s">
        <v>248</v>
      </c>
    </row>
    <row r="167" spans="1:3" x14ac:dyDescent="0.35">
      <c r="A167" t="s">
        <v>33</v>
      </c>
      <c r="B167" s="65">
        <v>43952</v>
      </c>
      <c r="C167" t="s">
        <v>249</v>
      </c>
    </row>
    <row r="168" spans="1:3" x14ac:dyDescent="0.35">
      <c r="A168" t="s">
        <v>33</v>
      </c>
      <c r="B168" s="65">
        <v>43922</v>
      </c>
      <c r="C168" t="s">
        <v>250</v>
      </c>
    </row>
    <row r="169" spans="1:3" x14ac:dyDescent="0.35">
      <c r="A169" t="s">
        <v>33</v>
      </c>
      <c r="B169" s="65">
        <v>43862</v>
      </c>
      <c r="C169" t="s">
        <v>251</v>
      </c>
    </row>
    <row r="170" spans="1:3" x14ac:dyDescent="0.35">
      <c r="A170" t="s">
        <v>33</v>
      </c>
      <c r="B170" s="65">
        <v>43831</v>
      </c>
      <c r="C170" t="s">
        <v>252</v>
      </c>
    </row>
    <row r="171" spans="1:3" x14ac:dyDescent="0.35">
      <c r="A171" t="s">
        <v>33</v>
      </c>
      <c r="B171" s="65">
        <v>43770</v>
      </c>
      <c r="C171" t="s">
        <v>253</v>
      </c>
    </row>
    <row r="172" spans="1:3" x14ac:dyDescent="0.35">
      <c r="A172" t="s">
        <v>33</v>
      </c>
      <c r="B172" s="65">
        <v>43739</v>
      </c>
      <c r="C172" t="s">
        <v>254</v>
      </c>
    </row>
    <row r="173" spans="1:3" x14ac:dyDescent="0.35">
      <c r="A173" t="s">
        <v>33</v>
      </c>
      <c r="B173" s="65">
        <v>43709</v>
      </c>
      <c r="C173" t="s">
        <v>255</v>
      </c>
    </row>
    <row r="174" spans="1:3" x14ac:dyDescent="0.35">
      <c r="A174" t="s">
        <v>33</v>
      </c>
      <c r="B174" s="65">
        <v>43678</v>
      </c>
      <c r="C174" t="s">
        <v>256</v>
      </c>
    </row>
    <row r="175" spans="1:3" x14ac:dyDescent="0.35">
      <c r="A175" t="s">
        <v>33</v>
      </c>
      <c r="B175" s="65">
        <v>43586</v>
      </c>
      <c r="C175" t="s">
        <v>257</v>
      </c>
    </row>
    <row r="176" spans="1:3" x14ac:dyDescent="0.35">
      <c r="A176" t="s">
        <v>33</v>
      </c>
      <c r="B176" s="65">
        <v>43497</v>
      </c>
      <c r="C176" t="s">
        <v>258</v>
      </c>
    </row>
    <row r="177" spans="1:3" x14ac:dyDescent="0.35">
      <c r="A177" t="s">
        <v>31</v>
      </c>
      <c r="B177" s="65">
        <v>44927</v>
      </c>
      <c r="C177" t="s">
        <v>259</v>
      </c>
    </row>
    <row r="178" spans="1:3" x14ac:dyDescent="0.35">
      <c r="A178" t="s">
        <v>31</v>
      </c>
      <c r="B178" s="65">
        <v>44896</v>
      </c>
      <c r="C178" t="s">
        <v>260</v>
      </c>
    </row>
    <row r="179" spans="1:3" x14ac:dyDescent="0.35">
      <c r="A179" t="s">
        <v>31</v>
      </c>
      <c r="B179" s="65">
        <v>44835</v>
      </c>
      <c r="C179" t="s">
        <v>261</v>
      </c>
    </row>
    <row r="180" spans="1:3" x14ac:dyDescent="0.35">
      <c r="A180" t="s">
        <v>31</v>
      </c>
      <c r="B180" s="65">
        <v>44743</v>
      </c>
      <c r="C180" t="s">
        <v>262</v>
      </c>
    </row>
    <row r="181" spans="1:3" x14ac:dyDescent="0.35">
      <c r="A181" t="s">
        <v>31</v>
      </c>
      <c r="B181" s="65">
        <v>44713</v>
      </c>
      <c r="C181" t="s">
        <v>263</v>
      </c>
    </row>
    <row r="182" spans="1:3" x14ac:dyDescent="0.35">
      <c r="A182" t="s">
        <v>31</v>
      </c>
      <c r="B182" s="65">
        <v>44652</v>
      </c>
      <c r="C182" t="s">
        <v>264</v>
      </c>
    </row>
    <row r="183" spans="1:3" x14ac:dyDescent="0.35">
      <c r="A183" t="s">
        <v>31</v>
      </c>
      <c r="B183" s="65">
        <v>44621</v>
      </c>
      <c r="C183" t="s">
        <v>265</v>
      </c>
    </row>
    <row r="184" spans="1:3" x14ac:dyDescent="0.35">
      <c r="A184" t="s">
        <v>31</v>
      </c>
      <c r="B184" s="65">
        <v>44593</v>
      </c>
      <c r="C184" t="s">
        <v>266</v>
      </c>
    </row>
    <row r="185" spans="1:3" x14ac:dyDescent="0.35">
      <c r="A185" t="s">
        <v>31</v>
      </c>
      <c r="B185" s="65">
        <v>44531</v>
      </c>
      <c r="C185" t="s">
        <v>267</v>
      </c>
    </row>
    <row r="186" spans="1:3" x14ac:dyDescent="0.35">
      <c r="A186" t="s">
        <v>31</v>
      </c>
      <c r="B186" s="65">
        <v>44501</v>
      </c>
      <c r="C186" t="s">
        <v>268</v>
      </c>
    </row>
    <row r="187" spans="1:3" x14ac:dyDescent="0.35">
      <c r="A187" t="s">
        <v>31</v>
      </c>
      <c r="B187" s="65">
        <v>44470</v>
      </c>
      <c r="C187" t="s">
        <v>269</v>
      </c>
    </row>
    <row r="188" spans="1:3" x14ac:dyDescent="0.35">
      <c r="A188" t="s">
        <v>31</v>
      </c>
      <c r="B188" s="65">
        <v>44440</v>
      </c>
      <c r="C188" t="s">
        <v>270</v>
      </c>
    </row>
    <row r="189" spans="1:3" x14ac:dyDescent="0.35">
      <c r="A189" t="s">
        <v>31</v>
      </c>
      <c r="B189" s="65">
        <v>44409</v>
      </c>
      <c r="C189" t="s">
        <v>271</v>
      </c>
    </row>
    <row r="190" spans="1:3" x14ac:dyDescent="0.35">
      <c r="A190" t="s">
        <v>31</v>
      </c>
      <c r="B190" s="65">
        <v>44378</v>
      </c>
      <c r="C190" t="s">
        <v>272</v>
      </c>
    </row>
    <row r="191" spans="1:3" x14ac:dyDescent="0.35">
      <c r="A191" t="s">
        <v>31</v>
      </c>
      <c r="B191" s="65">
        <v>44348</v>
      </c>
      <c r="C191" t="s">
        <v>273</v>
      </c>
    </row>
    <row r="192" spans="1:3" x14ac:dyDescent="0.35">
      <c r="A192" t="s">
        <v>31</v>
      </c>
      <c r="B192" s="65">
        <v>44317</v>
      </c>
      <c r="C192" t="s">
        <v>274</v>
      </c>
    </row>
    <row r="193" spans="1:3" x14ac:dyDescent="0.35">
      <c r="A193" t="s">
        <v>31</v>
      </c>
      <c r="B193" s="65">
        <v>44287</v>
      </c>
      <c r="C193" t="s">
        <v>275</v>
      </c>
    </row>
    <row r="194" spans="1:3" x14ac:dyDescent="0.35">
      <c r="A194" t="s">
        <v>31</v>
      </c>
      <c r="B194" s="65">
        <v>44256</v>
      </c>
      <c r="C194" t="s">
        <v>276</v>
      </c>
    </row>
    <row r="195" spans="1:3" x14ac:dyDescent="0.35">
      <c r="A195" t="s">
        <v>31</v>
      </c>
      <c r="B195" s="65">
        <v>44228</v>
      </c>
      <c r="C195" t="s">
        <v>277</v>
      </c>
    </row>
    <row r="196" spans="1:3" x14ac:dyDescent="0.35">
      <c r="A196" t="s">
        <v>31</v>
      </c>
      <c r="B196" s="65">
        <v>44197</v>
      </c>
      <c r="C196" t="s">
        <v>278</v>
      </c>
    </row>
    <row r="197" spans="1:3" x14ac:dyDescent="0.35">
      <c r="A197" t="s">
        <v>31</v>
      </c>
      <c r="B197" s="65">
        <v>44166</v>
      </c>
      <c r="C197" t="s">
        <v>279</v>
      </c>
    </row>
    <row r="198" spans="1:3" x14ac:dyDescent="0.35">
      <c r="A198" t="s">
        <v>31</v>
      </c>
      <c r="B198" s="65">
        <v>44105</v>
      </c>
      <c r="C198" t="s">
        <v>280</v>
      </c>
    </row>
    <row r="199" spans="1:3" x14ac:dyDescent="0.35">
      <c r="A199" t="s">
        <v>31</v>
      </c>
      <c r="B199" s="65">
        <v>44075</v>
      </c>
      <c r="C199" t="s">
        <v>281</v>
      </c>
    </row>
    <row r="200" spans="1:3" x14ac:dyDescent="0.35">
      <c r="A200" t="s">
        <v>31</v>
      </c>
      <c r="B200" s="65">
        <v>44044</v>
      </c>
      <c r="C200" t="s">
        <v>282</v>
      </c>
    </row>
    <row r="201" spans="1:3" x14ac:dyDescent="0.35">
      <c r="A201" t="s">
        <v>31</v>
      </c>
      <c r="B201" s="65">
        <v>44013</v>
      </c>
      <c r="C201" t="s">
        <v>283</v>
      </c>
    </row>
    <row r="202" spans="1:3" x14ac:dyDescent="0.35">
      <c r="A202" t="s">
        <v>31</v>
      </c>
      <c r="B202" s="65">
        <v>43983</v>
      </c>
      <c r="C202" t="s">
        <v>284</v>
      </c>
    </row>
    <row r="203" spans="1:3" x14ac:dyDescent="0.35">
      <c r="A203" t="s">
        <v>31</v>
      </c>
      <c r="B203" s="65">
        <v>43952</v>
      </c>
      <c r="C203" t="s">
        <v>285</v>
      </c>
    </row>
    <row r="204" spans="1:3" x14ac:dyDescent="0.35">
      <c r="A204" t="s">
        <v>31</v>
      </c>
      <c r="B204" s="65">
        <v>43922</v>
      </c>
      <c r="C204" t="s">
        <v>286</v>
      </c>
    </row>
    <row r="205" spans="1:3" x14ac:dyDescent="0.35">
      <c r="A205" t="s">
        <v>31</v>
      </c>
      <c r="B205" s="65">
        <v>43891</v>
      </c>
      <c r="C205" t="s">
        <v>287</v>
      </c>
    </row>
    <row r="206" spans="1:3" x14ac:dyDescent="0.35">
      <c r="A206" t="s">
        <v>31</v>
      </c>
      <c r="B206" s="65">
        <v>43862</v>
      </c>
      <c r="C206" t="s">
        <v>288</v>
      </c>
    </row>
    <row r="207" spans="1:3" x14ac:dyDescent="0.35">
      <c r="A207" t="s">
        <v>31</v>
      </c>
      <c r="B207" s="65">
        <v>43831</v>
      </c>
      <c r="C207" t="s">
        <v>289</v>
      </c>
    </row>
    <row r="208" spans="1:3" x14ac:dyDescent="0.35">
      <c r="A208" t="s">
        <v>31</v>
      </c>
      <c r="B208" s="65">
        <v>43770</v>
      </c>
      <c r="C208" t="s">
        <v>290</v>
      </c>
    </row>
    <row r="209" spans="1:3" x14ac:dyDescent="0.35">
      <c r="A209" t="s">
        <v>31</v>
      </c>
      <c r="B209" s="65">
        <v>43709</v>
      </c>
      <c r="C209" t="s">
        <v>291</v>
      </c>
    </row>
    <row r="210" spans="1:3" x14ac:dyDescent="0.35">
      <c r="A210" t="s">
        <v>31</v>
      </c>
      <c r="B210" s="65">
        <v>43647</v>
      </c>
      <c r="C210" t="s">
        <v>292</v>
      </c>
    </row>
    <row r="211" spans="1:3" x14ac:dyDescent="0.35">
      <c r="A211" t="s">
        <v>31</v>
      </c>
      <c r="B211" s="65">
        <v>43617</v>
      </c>
      <c r="C211" t="s">
        <v>293</v>
      </c>
    </row>
    <row r="212" spans="1:3" x14ac:dyDescent="0.35">
      <c r="A212" t="s">
        <v>31</v>
      </c>
      <c r="B212" s="65">
        <v>43586</v>
      </c>
      <c r="C212" t="s">
        <v>294</v>
      </c>
    </row>
    <row r="213" spans="1:3" x14ac:dyDescent="0.35">
      <c r="A213" t="s">
        <v>31</v>
      </c>
      <c r="B213" s="65">
        <v>43556</v>
      </c>
      <c r="C213" t="s">
        <v>295</v>
      </c>
    </row>
    <row r="214" spans="1:3" x14ac:dyDescent="0.35">
      <c r="A214" t="s">
        <v>31</v>
      </c>
      <c r="B214" s="65">
        <v>43525</v>
      </c>
      <c r="C214" t="s">
        <v>296</v>
      </c>
    </row>
    <row r="215" spans="1:3" x14ac:dyDescent="0.35">
      <c r="A215" t="s">
        <v>31</v>
      </c>
      <c r="B215" s="65">
        <v>43497</v>
      </c>
      <c r="C215" t="s">
        <v>297</v>
      </c>
    </row>
    <row r="216" spans="1:3" x14ac:dyDescent="0.35">
      <c r="A216" t="s">
        <v>42</v>
      </c>
      <c r="B216" s="65">
        <v>44927</v>
      </c>
      <c r="C216" t="s">
        <v>298</v>
      </c>
    </row>
    <row r="217" spans="1:3" x14ac:dyDescent="0.35">
      <c r="A217" t="s">
        <v>42</v>
      </c>
      <c r="B217" s="65">
        <v>44896</v>
      </c>
      <c r="C217" t="s">
        <v>299</v>
      </c>
    </row>
    <row r="218" spans="1:3" x14ac:dyDescent="0.35">
      <c r="A218" t="s">
        <v>42</v>
      </c>
      <c r="B218" s="65">
        <v>44713</v>
      </c>
      <c r="C218" t="s">
        <v>300</v>
      </c>
    </row>
    <row r="219" spans="1:3" x14ac:dyDescent="0.35">
      <c r="A219" t="s">
        <v>42</v>
      </c>
      <c r="B219" s="65">
        <v>44682</v>
      </c>
      <c r="C219" t="s">
        <v>301</v>
      </c>
    </row>
    <row r="220" spans="1:3" x14ac:dyDescent="0.35">
      <c r="A220" t="s">
        <v>42</v>
      </c>
      <c r="B220" s="65">
        <v>44652</v>
      </c>
      <c r="C220" t="s">
        <v>302</v>
      </c>
    </row>
    <row r="221" spans="1:3" x14ac:dyDescent="0.35">
      <c r="A221" t="s">
        <v>42</v>
      </c>
      <c r="B221" s="65">
        <v>44621</v>
      </c>
      <c r="C221" t="s">
        <v>303</v>
      </c>
    </row>
    <row r="222" spans="1:3" x14ac:dyDescent="0.35">
      <c r="A222" t="s">
        <v>42</v>
      </c>
      <c r="B222" s="65">
        <v>44593</v>
      </c>
      <c r="C222" t="s">
        <v>304</v>
      </c>
    </row>
    <row r="223" spans="1:3" x14ac:dyDescent="0.35">
      <c r="A223" t="s">
        <v>42</v>
      </c>
      <c r="B223" s="65">
        <v>44562</v>
      </c>
      <c r="C223" t="s">
        <v>305</v>
      </c>
    </row>
    <row r="224" spans="1:3" x14ac:dyDescent="0.35">
      <c r="A224" t="s">
        <v>42</v>
      </c>
      <c r="B224" s="65">
        <v>44531</v>
      </c>
      <c r="C224" t="s">
        <v>306</v>
      </c>
    </row>
    <row r="225" spans="1:3" x14ac:dyDescent="0.35">
      <c r="A225" t="s">
        <v>42</v>
      </c>
      <c r="B225" s="65">
        <v>44470</v>
      </c>
      <c r="C225" t="s">
        <v>307</v>
      </c>
    </row>
    <row r="226" spans="1:3" x14ac:dyDescent="0.35">
      <c r="A226" t="s">
        <v>42</v>
      </c>
      <c r="B226" s="65">
        <v>44440</v>
      </c>
      <c r="C226" t="s">
        <v>308</v>
      </c>
    </row>
    <row r="227" spans="1:3" x14ac:dyDescent="0.35">
      <c r="A227" t="s">
        <v>42</v>
      </c>
      <c r="B227" s="65">
        <v>44409</v>
      </c>
      <c r="C227" t="s">
        <v>309</v>
      </c>
    </row>
    <row r="228" spans="1:3" x14ac:dyDescent="0.35">
      <c r="A228" t="s">
        <v>42</v>
      </c>
      <c r="B228" s="65">
        <v>44348</v>
      </c>
      <c r="C228" t="s">
        <v>310</v>
      </c>
    </row>
    <row r="229" spans="1:3" x14ac:dyDescent="0.35">
      <c r="A229" t="s">
        <v>42</v>
      </c>
      <c r="B229" s="65">
        <v>44287</v>
      </c>
      <c r="C229" t="s">
        <v>311</v>
      </c>
    </row>
    <row r="230" spans="1:3" x14ac:dyDescent="0.35">
      <c r="A230" t="s">
        <v>42</v>
      </c>
      <c r="B230" s="65">
        <v>44256</v>
      </c>
      <c r="C230" t="s">
        <v>312</v>
      </c>
    </row>
    <row r="231" spans="1:3" x14ac:dyDescent="0.35">
      <c r="A231" t="s">
        <v>42</v>
      </c>
      <c r="B231" s="65">
        <v>44228</v>
      </c>
      <c r="C231" t="s">
        <v>313</v>
      </c>
    </row>
    <row r="232" spans="1:3" x14ac:dyDescent="0.35">
      <c r="A232" t="s">
        <v>42</v>
      </c>
      <c r="B232" s="65">
        <v>44197</v>
      </c>
      <c r="C232" t="s">
        <v>314</v>
      </c>
    </row>
    <row r="233" spans="1:3" x14ac:dyDescent="0.35">
      <c r="A233" t="s">
        <v>42</v>
      </c>
      <c r="B233" s="65">
        <v>44136</v>
      </c>
      <c r="C233" t="s">
        <v>315</v>
      </c>
    </row>
    <row r="234" spans="1:3" x14ac:dyDescent="0.35">
      <c r="A234" t="s">
        <v>42</v>
      </c>
      <c r="B234" s="65">
        <v>44105</v>
      </c>
      <c r="C234" t="s">
        <v>316</v>
      </c>
    </row>
    <row r="235" spans="1:3" x14ac:dyDescent="0.35">
      <c r="A235" t="s">
        <v>42</v>
      </c>
      <c r="B235" s="65">
        <v>44044</v>
      </c>
      <c r="C235" t="s">
        <v>317</v>
      </c>
    </row>
    <row r="236" spans="1:3" x14ac:dyDescent="0.35">
      <c r="A236" t="s">
        <v>42</v>
      </c>
      <c r="B236" s="65">
        <v>43983</v>
      </c>
      <c r="C236" t="s">
        <v>318</v>
      </c>
    </row>
    <row r="237" spans="1:3" x14ac:dyDescent="0.35">
      <c r="A237" t="s">
        <v>42</v>
      </c>
      <c r="B237" s="65">
        <v>43952</v>
      </c>
      <c r="C237" t="s">
        <v>319</v>
      </c>
    </row>
    <row r="238" spans="1:3" x14ac:dyDescent="0.35">
      <c r="A238" t="s">
        <v>42</v>
      </c>
      <c r="B238" s="65">
        <v>43891</v>
      </c>
      <c r="C238" t="s">
        <v>320</v>
      </c>
    </row>
    <row r="239" spans="1:3" x14ac:dyDescent="0.35">
      <c r="A239" t="s">
        <v>42</v>
      </c>
      <c r="B239" s="65">
        <v>43800</v>
      </c>
      <c r="C239" t="s">
        <v>321</v>
      </c>
    </row>
    <row r="240" spans="1:3" x14ac:dyDescent="0.35">
      <c r="A240" t="s">
        <v>42</v>
      </c>
      <c r="B240" s="65">
        <v>43709</v>
      </c>
      <c r="C240" t="s">
        <v>322</v>
      </c>
    </row>
    <row r="241" spans="1:3" x14ac:dyDescent="0.35">
      <c r="A241" t="s">
        <v>42</v>
      </c>
      <c r="B241" s="65">
        <v>43647</v>
      </c>
      <c r="C241" t="s">
        <v>323</v>
      </c>
    </row>
    <row r="242" spans="1:3" x14ac:dyDescent="0.35">
      <c r="A242" t="s">
        <v>42</v>
      </c>
      <c r="B242" s="65">
        <v>43586</v>
      </c>
      <c r="C242" t="s">
        <v>324</v>
      </c>
    </row>
    <row r="243" spans="1:3" x14ac:dyDescent="0.35">
      <c r="A243" t="s">
        <v>44</v>
      </c>
      <c r="B243" s="65">
        <v>44774</v>
      </c>
      <c r="C243" t="s">
        <v>325</v>
      </c>
    </row>
    <row r="244" spans="1:3" x14ac:dyDescent="0.35">
      <c r="A244" t="s">
        <v>44</v>
      </c>
      <c r="B244" s="65">
        <v>44743</v>
      </c>
      <c r="C244" t="s">
        <v>326</v>
      </c>
    </row>
    <row r="245" spans="1:3" x14ac:dyDescent="0.35">
      <c r="A245" t="s">
        <v>44</v>
      </c>
      <c r="B245" s="65">
        <v>44682</v>
      </c>
      <c r="C245" t="s">
        <v>327</v>
      </c>
    </row>
    <row r="246" spans="1:3" x14ac:dyDescent="0.35">
      <c r="A246" t="s">
        <v>44</v>
      </c>
      <c r="B246" s="65">
        <v>44652</v>
      </c>
      <c r="C246" t="s">
        <v>328</v>
      </c>
    </row>
    <row r="247" spans="1:3" x14ac:dyDescent="0.35">
      <c r="A247" t="s">
        <v>44</v>
      </c>
      <c r="B247" s="65">
        <v>44621</v>
      </c>
      <c r="C247" t="s">
        <v>329</v>
      </c>
    </row>
    <row r="248" spans="1:3" x14ac:dyDescent="0.35">
      <c r="A248" t="s">
        <v>44</v>
      </c>
      <c r="B248" s="65">
        <v>44501</v>
      </c>
      <c r="C248" t="s">
        <v>330</v>
      </c>
    </row>
    <row r="249" spans="1:3" x14ac:dyDescent="0.35">
      <c r="A249" t="s">
        <v>44</v>
      </c>
      <c r="B249" s="65">
        <v>44470</v>
      </c>
      <c r="C249" t="s">
        <v>331</v>
      </c>
    </row>
    <row r="250" spans="1:3" x14ac:dyDescent="0.35">
      <c r="A250" t="s">
        <v>44</v>
      </c>
      <c r="B250" s="65">
        <v>44440</v>
      </c>
      <c r="C250" t="s">
        <v>332</v>
      </c>
    </row>
    <row r="251" spans="1:3" x14ac:dyDescent="0.35">
      <c r="A251" t="s">
        <v>44</v>
      </c>
      <c r="B251" s="65">
        <v>44409</v>
      </c>
      <c r="C251" t="s">
        <v>333</v>
      </c>
    </row>
    <row r="252" spans="1:3" x14ac:dyDescent="0.35">
      <c r="A252" t="s">
        <v>44</v>
      </c>
      <c r="B252" s="65">
        <v>44378</v>
      </c>
      <c r="C252" t="s">
        <v>334</v>
      </c>
    </row>
    <row r="253" spans="1:3" x14ac:dyDescent="0.35">
      <c r="A253" t="s">
        <v>44</v>
      </c>
      <c r="B253" s="65">
        <v>44317</v>
      </c>
      <c r="C253" t="s">
        <v>335</v>
      </c>
    </row>
    <row r="254" spans="1:3" x14ac:dyDescent="0.35">
      <c r="A254" t="s">
        <v>44</v>
      </c>
      <c r="B254" s="65">
        <v>44136</v>
      </c>
      <c r="C254" t="s">
        <v>336</v>
      </c>
    </row>
    <row r="255" spans="1:3" x14ac:dyDescent="0.35">
      <c r="A255" t="s">
        <v>44</v>
      </c>
      <c r="B255" s="65">
        <v>44013</v>
      </c>
      <c r="C255" t="s">
        <v>337</v>
      </c>
    </row>
    <row r="256" spans="1:3" x14ac:dyDescent="0.35">
      <c r="A256" t="s">
        <v>44</v>
      </c>
      <c r="B256" s="65">
        <v>43922</v>
      </c>
      <c r="C256" t="s">
        <v>338</v>
      </c>
    </row>
    <row r="257" spans="1:3" x14ac:dyDescent="0.35">
      <c r="A257" t="s">
        <v>44</v>
      </c>
      <c r="B257" s="65">
        <v>43891</v>
      </c>
      <c r="C257" t="s">
        <v>339</v>
      </c>
    </row>
    <row r="258" spans="1:3" x14ac:dyDescent="0.35">
      <c r="A258" t="s">
        <v>44</v>
      </c>
      <c r="B258" s="65">
        <v>43862</v>
      </c>
      <c r="C258" t="s">
        <v>340</v>
      </c>
    </row>
    <row r="259" spans="1:3" x14ac:dyDescent="0.35">
      <c r="A259" t="s">
        <v>44</v>
      </c>
      <c r="B259" s="65">
        <v>43831</v>
      </c>
      <c r="C259" t="s">
        <v>341</v>
      </c>
    </row>
    <row r="260" spans="1:3" x14ac:dyDescent="0.35">
      <c r="A260" t="s">
        <v>44</v>
      </c>
      <c r="B260" s="65">
        <v>43800</v>
      </c>
      <c r="C260" t="s">
        <v>342</v>
      </c>
    </row>
    <row r="261" spans="1:3" x14ac:dyDescent="0.35">
      <c r="A261" t="s">
        <v>44</v>
      </c>
      <c r="B261" s="65">
        <v>43770</v>
      </c>
      <c r="C261" t="s">
        <v>343</v>
      </c>
    </row>
    <row r="262" spans="1:3" x14ac:dyDescent="0.35">
      <c r="A262" t="s">
        <v>44</v>
      </c>
      <c r="B262" s="65">
        <v>43709</v>
      </c>
      <c r="C262" t="s">
        <v>344</v>
      </c>
    </row>
    <row r="263" spans="1:3" x14ac:dyDescent="0.35">
      <c r="A263" t="s">
        <v>44</v>
      </c>
      <c r="B263" s="65">
        <v>43678</v>
      </c>
      <c r="C263" t="s">
        <v>345</v>
      </c>
    </row>
    <row r="264" spans="1:3" x14ac:dyDescent="0.35">
      <c r="A264" t="s">
        <v>44</v>
      </c>
      <c r="B264" s="65">
        <v>43647</v>
      </c>
      <c r="C264" t="s">
        <v>346</v>
      </c>
    </row>
    <row r="265" spans="1:3" x14ac:dyDescent="0.35">
      <c r="A265" t="s">
        <v>44</v>
      </c>
      <c r="B265" s="65">
        <v>43617</v>
      </c>
      <c r="C265" t="s">
        <v>347</v>
      </c>
    </row>
    <row r="266" spans="1:3" x14ac:dyDescent="0.35">
      <c r="A266" t="s">
        <v>44</v>
      </c>
      <c r="B266" s="65">
        <v>43556</v>
      </c>
      <c r="C266" t="s">
        <v>348</v>
      </c>
    </row>
    <row r="267" spans="1:3" x14ac:dyDescent="0.35">
      <c r="A267" t="s">
        <v>44</v>
      </c>
      <c r="B267" s="65">
        <v>43525</v>
      </c>
      <c r="C267" t="s">
        <v>349</v>
      </c>
    </row>
    <row r="268" spans="1:3" x14ac:dyDescent="0.35">
      <c r="A268" t="s">
        <v>44</v>
      </c>
      <c r="B268" s="65">
        <v>43497</v>
      </c>
      <c r="C268" t="s">
        <v>350</v>
      </c>
    </row>
    <row r="269" spans="1:3" x14ac:dyDescent="0.35">
      <c r="A269" t="s">
        <v>44</v>
      </c>
      <c r="B269" s="65">
        <v>43466</v>
      </c>
      <c r="C269" t="s">
        <v>351</v>
      </c>
    </row>
    <row r="270" spans="1:3" x14ac:dyDescent="0.35">
      <c r="A270" t="s">
        <v>36</v>
      </c>
      <c r="B270" s="65">
        <v>44896</v>
      </c>
      <c r="C270" t="s">
        <v>352</v>
      </c>
    </row>
    <row r="271" spans="1:3" x14ac:dyDescent="0.35">
      <c r="A271" t="s">
        <v>36</v>
      </c>
      <c r="B271" s="65">
        <v>44866</v>
      </c>
      <c r="C271" t="s">
        <v>353</v>
      </c>
    </row>
    <row r="272" spans="1:3" x14ac:dyDescent="0.35">
      <c r="A272" t="s">
        <v>36</v>
      </c>
      <c r="B272" s="65">
        <v>44713</v>
      </c>
      <c r="C272" t="s">
        <v>354</v>
      </c>
    </row>
    <row r="273" spans="1:3" x14ac:dyDescent="0.35">
      <c r="A273" t="s">
        <v>36</v>
      </c>
      <c r="B273" s="65">
        <v>44409</v>
      </c>
      <c r="C273" t="s">
        <v>355</v>
      </c>
    </row>
    <row r="274" spans="1:3" x14ac:dyDescent="0.35">
      <c r="A274" t="s">
        <v>36</v>
      </c>
      <c r="B274" s="65">
        <v>44348</v>
      </c>
      <c r="C274" t="s">
        <v>356</v>
      </c>
    </row>
    <row r="275" spans="1:3" x14ac:dyDescent="0.35">
      <c r="A275" t="s">
        <v>36</v>
      </c>
      <c r="B275" s="65">
        <v>44317</v>
      </c>
      <c r="C275" t="s">
        <v>357</v>
      </c>
    </row>
    <row r="276" spans="1:3" x14ac:dyDescent="0.35">
      <c r="A276" t="s">
        <v>36</v>
      </c>
      <c r="B276" s="65">
        <v>44256</v>
      </c>
      <c r="C276" t="s">
        <v>358</v>
      </c>
    </row>
    <row r="277" spans="1:3" x14ac:dyDescent="0.35">
      <c r="A277" t="s">
        <v>36</v>
      </c>
      <c r="B277" s="65">
        <v>44197</v>
      </c>
      <c r="C277" t="s">
        <v>359</v>
      </c>
    </row>
    <row r="278" spans="1:3" x14ac:dyDescent="0.35">
      <c r="A278" t="s">
        <v>36</v>
      </c>
      <c r="B278" s="65">
        <v>44136</v>
      </c>
      <c r="C278" t="s">
        <v>360</v>
      </c>
    </row>
    <row r="279" spans="1:3" x14ac:dyDescent="0.35">
      <c r="A279" t="s">
        <v>36</v>
      </c>
      <c r="B279" s="65">
        <v>44075</v>
      </c>
      <c r="C279" t="s">
        <v>361</v>
      </c>
    </row>
    <row r="280" spans="1:3" x14ac:dyDescent="0.35">
      <c r="A280" t="s">
        <v>36</v>
      </c>
      <c r="B280" s="65">
        <v>43983</v>
      </c>
      <c r="C280" t="s">
        <v>362</v>
      </c>
    </row>
    <row r="281" spans="1:3" x14ac:dyDescent="0.35">
      <c r="A281" t="s">
        <v>36</v>
      </c>
      <c r="B281" s="65">
        <v>43891</v>
      </c>
      <c r="C281" t="s">
        <v>363</v>
      </c>
    </row>
    <row r="282" spans="1:3" x14ac:dyDescent="0.35">
      <c r="A282" t="s">
        <v>36</v>
      </c>
      <c r="B282" s="65">
        <v>43862</v>
      </c>
      <c r="C282" t="s">
        <v>364</v>
      </c>
    </row>
    <row r="283" spans="1:3" x14ac:dyDescent="0.35">
      <c r="A283" t="s">
        <v>36</v>
      </c>
      <c r="B283" s="65">
        <v>43800</v>
      </c>
      <c r="C283" t="s">
        <v>365</v>
      </c>
    </row>
    <row r="284" spans="1:3" x14ac:dyDescent="0.35">
      <c r="A284" t="s">
        <v>36</v>
      </c>
      <c r="B284" s="65">
        <v>43739</v>
      </c>
      <c r="C284" t="s">
        <v>366</v>
      </c>
    </row>
    <row r="285" spans="1:3" x14ac:dyDescent="0.35">
      <c r="A285" t="s">
        <v>36</v>
      </c>
      <c r="B285" s="65">
        <v>43647</v>
      </c>
      <c r="C285" t="s">
        <v>367</v>
      </c>
    </row>
    <row r="286" spans="1:3" x14ac:dyDescent="0.35">
      <c r="A286" t="s">
        <v>36</v>
      </c>
      <c r="B286" s="65">
        <v>43586</v>
      </c>
      <c r="C286" t="s">
        <v>368</v>
      </c>
    </row>
    <row r="287" spans="1:3" x14ac:dyDescent="0.35">
      <c r="A287" t="s">
        <v>36</v>
      </c>
      <c r="B287" s="65">
        <v>43556</v>
      </c>
      <c r="C287" t="s">
        <v>369</v>
      </c>
    </row>
    <row r="288" spans="1:3" x14ac:dyDescent="0.35">
      <c r="A288" t="s">
        <v>36</v>
      </c>
      <c r="B288" s="65">
        <v>43525</v>
      </c>
      <c r="C288" t="s">
        <v>370</v>
      </c>
    </row>
    <row r="289" spans="1:3" x14ac:dyDescent="0.35">
      <c r="A289" t="s">
        <v>36</v>
      </c>
      <c r="B289" s="65">
        <v>43497</v>
      </c>
      <c r="C289" t="s">
        <v>371</v>
      </c>
    </row>
    <row r="290" spans="1:3" x14ac:dyDescent="0.35">
      <c r="A290" t="s">
        <v>30</v>
      </c>
      <c r="B290" s="65">
        <v>44927</v>
      </c>
      <c r="C290" t="s">
        <v>372</v>
      </c>
    </row>
    <row r="291" spans="1:3" x14ac:dyDescent="0.35">
      <c r="A291" t="s">
        <v>30</v>
      </c>
      <c r="B291" s="65">
        <v>44835</v>
      </c>
      <c r="C291" t="s">
        <v>373</v>
      </c>
    </row>
    <row r="292" spans="1:3" x14ac:dyDescent="0.35">
      <c r="A292" t="s">
        <v>30</v>
      </c>
      <c r="B292" s="65">
        <v>44562</v>
      </c>
      <c r="C292" t="s">
        <v>374</v>
      </c>
    </row>
    <row r="293" spans="1:3" x14ac:dyDescent="0.35">
      <c r="A293" t="s">
        <v>30</v>
      </c>
      <c r="B293" s="65">
        <v>44531</v>
      </c>
      <c r="C293" t="s">
        <v>375</v>
      </c>
    </row>
    <row r="294" spans="1:3" x14ac:dyDescent="0.35">
      <c r="A294" t="s">
        <v>30</v>
      </c>
      <c r="B294" s="65">
        <v>44197</v>
      </c>
      <c r="C294" t="s">
        <v>376</v>
      </c>
    </row>
    <row r="295" spans="1:3" x14ac:dyDescent="0.35">
      <c r="A295" t="s">
        <v>30</v>
      </c>
      <c r="B295" s="65">
        <v>43983</v>
      </c>
      <c r="C295" t="s">
        <v>377</v>
      </c>
    </row>
    <row r="296" spans="1:3" x14ac:dyDescent="0.35">
      <c r="A296" t="s">
        <v>30</v>
      </c>
      <c r="B296" s="65">
        <v>43770</v>
      </c>
      <c r="C296" t="s">
        <v>378</v>
      </c>
    </row>
    <row r="297" spans="1:3" x14ac:dyDescent="0.35">
      <c r="A297" t="s">
        <v>40</v>
      </c>
      <c r="B297" s="65">
        <v>44896</v>
      </c>
      <c r="C297" t="s">
        <v>379</v>
      </c>
    </row>
    <row r="298" spans="1:3" x14ac:dyDescent="0.35">
      <c r="A298" t="s">
        <v>40</v>
      </c>
      <c r="B298" s="65">
        <v>44866</v>
      </c>
      <c r="C298" t="s">
        <v>380</v>
      </c>
    </row>
    <row r="299" spans="1:3" x14ac:dyDescent="0.35">
      <c r="A299" t="s">
        <v>40</v>
      </c>
      <c r="B299" s="65">
        <v>44835</v>
      </c>
      <c r="C299" t="s">
        <v>381</v>
      </c>
    </row>
    <row r="300" spans="1:3" x14ac:dyDescent="0.35">
      <c r="A300" t="s">
        <v>40</v>
      </c>
      <c r="B300" s="65">
        <v>44805</v>
      </c>
      <c r="C300" t="s">
        <v>382</v>
      </c>
    </row>
    <row r="301" spans="1:3" x14ac:dyDescent="0.35">
      <c r="A301" t="s">
        <v>40</v>
      </c>
      <c r="B301" s="65">
        <v>44774</v>
      </c>
      <c r="C301" t="s">
        <v>383</v>
      </c>
    </row>
    <row r="302" spans="1:3" x14ac:dyDescent="0.35">
      <c r="A302" t="s">
        <v>40</v>
      </c>
      <c r="B302" s="65">
        <v>44743</v>
      </c>
      <c r="C302" t="s">
        <v>384</v>
      </c>
    </row>
    <row r="303" spans="1:3" x14ac:dyDescent="0.35">
      <c r="A303" t="s">
        <v>40</v>
      </c>
      <c r="B303" s="65">
        <v>44682</v>
      </c>
      <c r="C303" t="s">
        <v>385</v>
      </c>
    </row>
    <row r="304" spans="1:3" x14ac:dyDescent="0.35">
      <c r="A304" t="s">
        <v>40</v>
      </c>
      <c r="B304" s="65">
        <v>44652</v>
      </c>
      <c r="C304" t="s">
        <v>386</v>
      </c>
    </row>
    <row r="305" spans="1:3" x14ac:dyDescent="0.35">
      <c r="A305" t="s">
        <v>40</v>
      </c>
      <c r="B305" s="65">
        <v>44562</v>
      </c>
      <c r="C305" t="s">
        <v>387</v>
      </c>
    </row>
    <row r="306" spans="1:3" x14ac:dyDescent="0.35">
      <c r="A306" t="s">
        <v>40</v>
      </c>
      <c r="B306" s="65">
        <v>44531</v>
      </c>
      <c r="C306" t="s">
        <v>388</v>
      </c>
    </row>
    <row r="307" spans="1:3" x14ac:dyDescent="0.35">
      <c r="A307" t="s">
        <v>40</v>
      </c>
      <c r="B307" s="65">
        <v>44470</v>
      </c>
      <c r="C307" t="s">
        <v>389</v>
      </c>
    </row>
    <row r="308" spans="1:3" x14ac:dyDescent="0.35">
      <c r="A308" t="s">
        <v>40</v>
      </c>
      <c r="B308" s="65">
        <v>44440</v>
      </c>
      <c r="C308" t="s">
        <v>390</v>
      </c>
    </row>
    <row r="309" spans="1:3" x14ac:dyDescent="0.35">
      <c r="A309" t="s">
        <v>40</v>
      </c>
      <c r="B309" s="65">
        <v>44409</v>
      </c>
      <c r="C309" t="s">
        <v>391</v>
      </c>
    </row>
    <row r="310" spans="1:3" x14ac:dyDescent="0.35">
      <c r="A310" t="s">
        <v>40</v>
      </c>
      <c r="B310" s="65">
        <v>44378</v>
      </c>
      <c r="C310" t="s">
        <v>392</v>
      </c>
    </row>
    <row r="311" spans="1:3" x14ac:dyDescent="0.35">
      <c r="A311" t="s">
        <v>40</v>
      </c>
      <c r="B311" s="65">
        <v>44317</v>
      </c>
      <c r="C311" t="s">
        <v>393</v>
      </c>
    </row>
    <row r="312" spans="1:3" x14ac:dyDescent="0.35">
      <c r="A312" t="s">
        <v>40</v>
      </c>
      <c r="B312" s="65">
        <v>44287</v>
      </c>
      <c r="C312" t="s">
        <v>394</v>
      </c>
    </row>
    <row r="313" spans="1:3" x14ac:dyDescent="0.35">
      <c r="A313" t="s">
        <v>40</v>
      </c>
      <c r="B313" s="65">
        <v>44256</v>
      </c>
      <c r="C313" t="s">
        <v>395</v>
      </c>
    </row>
    <row r="314" spans="1:3" x14ac:dyDescent="0.35">
      <c r="A314" t="s">
        <v>40</v>
      </c>
      <c r="B314" s="65">
        <v>44228</v>
      </c>
      <c r="C314" t="s">
        <v>396</v>
      </c>
    </row>
    <row r="315" spans="1:3" x14ac:dyDescent="0.35">
      <c r="A315" t="s">
        <v>40</v>
      </c>
      <c r="B315" s="65">
        <v>44166</v>
      </c>
      <c r="C315" t="s">
        <v>397</v>
      </c>
    </row>
    <row r="316" spans="1:3" x14ac:dyDescent="0.35">
      <c r="A316" t="s">
        <v>40</v>
      </c>
      <c r="B316" s="65">
        <v>44136</v>
      </c>
      <c r="C316" t="s">
        <v>398</v>
      </c>
    </row>
    <row r="317" spans="1:3" x14ac:dyDescent="0.35">
      <c r="A317" t="s">
        <v>40</v>
      </c>
      <c r="B317" s="65">
        <v>44105</v>
      </c>
      <c r="C317" t="s">
        <v>399</v>
      </c>
    </row>
    <row r="318" spans="1:3" x14ac:dyDescent="0.35">
      <c r="A318" t="s">
        <v>40</v>
      </c>
      <c r="B318" s="65">
        <v>44075</v>
      </c>
      <c r="C318" t="s">
        <v>400</v>
      </c>
    </row>
    <row r="319" spans="1:3" x14ac:dyDescent="0.35">
      <c r="A319" t="s">
        <v>40</v>
      </c>
      <c r="B319" s="65">
        <v>44044</v>
      </c>
      <c r="C319" t="s">
        <v>401</v>
      </c>
    </row>
    <row r="320" spans="1:3" x14ac:dyDescent="0.35">
      <c r="A320" t="s">
        <v>40</v>
      </c>
      <c r="B320" s="65">
        <v>44013</v>
      </c>
      <c r="C320" t="s">
        <v>402</v>
      </c>
    </row>
    <row r="321" spans="1:3" x14ac:dyDescent="0.35">
      <c r="A321" t="s">
        <v>40</v>
      </c>
      <c r="B321" s="65">
        <v>43862</v>
      </c>
      <c r="C321" t="s">
        <v>403</v>
      </c>
    </row>
    <row r="322" spans="1:3" x14ac:dyDescent="0.35">
      <c r="A322" t="s">
        <v>40</v>
      </c>
      <c r="B322" s="65">
        <v>43800</v>
      </c>
      <c r="C322" t="s">
        <v>404</v>
      </c>
    </row>
    <row r="323" spans="1:3" x14ac:dyDescent="0.35">
      <c r="A323" t="s">
        <v>40</v>
      </c>
      <c r="B323" s="65">
        <v>43770</v>
      </c>
      <c r="C323" t="s">
        <v>405</v>
      </c>
    </row>
    <row r="324" spans="1:3" x14ac:dyDescent="0.35">
      <c r="A324" t="s">
        <v>40</v>
      </c>
      <c r="B324" s="65">
        <v>43739</v>
      </c>
      <c r="C324" t="s">
        <v>406</v>
      </c>
    </row>
    <row r="325" spans="1:3" x14ac:dyDescent="0.35">
      <c r="A325" t="s">
        <v>40</v>
      </c>
      <c r="B325" s="65">
        <v>43678</v>
      </c>
      <c r="C325" t="s">
        <v>407</v>
      </c>
    </row>
    <row r="326" spans="1:3" x14ac:dyDescent="0.35">
      <c r="A326" t="s">
        <v>40</v>
      </c>
      <c r="B326" s="65">
        <v>43647</v>
      </c>
      <c r="C326" t="s">
        <v>408</v>
      </c>
    </row>
    <row r="327" spans="1:3" x14ac:dyDescent="0.35">
      <c r="A327" t="s">
        <v>40</v>
      </c>
      <c r="B327" s="65">
        <v>43617</v>
      </c>
      <c r="C327" t="s">
        <v>409</v>
      </c>
    </row>
    <row r="328" spans="1:3" x14ac:dyDescent="0.35">
      <c r="A328" t="s">
        <v>40</v>
      </c>
      <c r="B328" s="65">
        <v>43556</v>
      </c>
      <c r="C328" t="s">
        <v>410</v>
      </c>
    </row>
    <row r="329" spans="1:3" x14ac:dyDescent="0.35">
      <c r="A329" t="s">
        <v>40</v>
      </c>
      <c r="B329" s="65">
        <v>43525</v>
      </c>
      <c r="C329" t="s">
        <v>411</v>
      </c>
    </row>
    <row r="330" spans="1:3" x14ac:dyDescent="0.35">
      <c r="A330" t="s">
        <v>40</v>
      </c>
      <c r="B330" s="65">
        <v>43466</v>
      </c>
      <c r="C330" t="s">
        <v>412</v>
      </c>
    </row>
    <row r="331" spans="1:3" x14ac:dyDescent="0.35">
      <c r="A331" t="s">
        <v>39</v>
      </c>
      <c r="B331" s="65">
        <v>44774</v>
      </c>
      <c r="C331" t="s">
        <v>413</v>
      </c>
    </row>
    <row r="332" spans="1:3" x14ac:dyDescent="0.35">
      <c r="A332" t="s">
        <v>39</v>
      </c>
      <c r="B332" s="65">
        <v>44743</v>
      </c>
      <c r="C332" t="s">
        <v>414</v>
      </c>
    </row>
    <row r="333" spans="1:3" x14ac:dyDescent="0.35">
      <c r="A333" t="s">
        <v>39</v>
      </c>
      <c r="B333" s="65">
        <v>44713</v>
      </c>
      <c r="C333" t="s">
        <v>415</v>
      </c>
    </row>
    <row r="334" spans="1:3" x14ac:dyDescent="0.35">
      <c r="A334" t="s">
        <v>39</v>
      </c>
      <c r="B334" s="65">
        <v>44682</v>
      </c>
      <c r="C334" t="s">
        <v>416</v>
      </c>
    </row>
    <row r="335" spans="1:3" x14ac:dyDescent="0.35">
      <c r="A335" t="s">
        <v>39</v>
      </c>
      <c r="B335" s="65">
        <v>44652</v>
      </c>
      <c r="C335" t="s">
        <v>417</v>
      </c>
    </row>
    <row r="336" spans="1:3" x14ac:dyDescent="0.35">
      <c r="A336" t="s">
        <v>39</v>
      </c>
      <c r="B336" s="65">
        <v>44621</v>
      </c>
      <c r="C336" t="s">
        <v>418</v>
      </c>
    </row>
    <row r="337" spans="1:3" x14ac:dyDescent="0.35">
      <c r="A337" t="s">
        <v>39</v>
      </c>
      <c r="B337" s="65">
        <v>44501</v>
      </c>
      <c r="C337" t="s">
        <v>419</v>
      </c>
    </row>
    <row r="338" spans="1:3" x14ac:dyDescent="0.35">
      <c r="A338" t="s">
        <v>39</v>
      </c>
      <c r="B338" s="65">
        <v>44470</v>
      </c>
      <c r="C338" t="s">
        <v>420</v>
      </c>
    </row>
    <row r="339" spans="1:3" x14ac:dyDescent="0.35">
      <c r="A339" t="s">
        <v>39</v>
      </c>
      <c r="B339" s="65">
        <v>44440</v>
      </c>
      <c r="C339" t="s">
        <v>421</v>
      </c>
    </row>
    <row r="340" spans="1:3" x14ac:dyDescent="0.35">
      <c r="A340" t="s">
        <v>39</v>
      </c>
      <c r="B340" s="65">
        <v>44409</v>
      </c>
      <c r="C340" t="s">
        <v>422</v>
      </c>
    </row>
    <row r="341" spans="1:3" x14ac:dyDescent="0.35">
      <c r="A341" t="s">
        <v>39</v>
      </c>
      <c r="B341" s="65">
        <v>44378</v>
      </c>
      <c r="C341" t="s">
        <v>423</v>
      </c>
    </row>
    <row r="342" spans="1:3" x14ac:dyDescent="0.35">
      <c r="A342" t="s">
        <v>39</v>
      </c>
      <c r="B342" s="65">
        <v>44287</v>
      </c>
      <c r="C342" t="s">
        <v>424</v>
      </c>
    </row>
    <row r="343" spans="1:3" x14ac:dyDescent="0.35">
      <c r="A343" t="s">
        <v>39</v>
      </c>
      <c r="B343" s="65">
        <v>44197</v>
      </c>
      <c r="C343" t="s">
        <v>425</v>
      </c>
    </row>
    <row r="344" spans="1:3" x14ac:dyDescent="0.35">
      <c r="A344" t="s">
        <v>39</v>
      </c>
      <c r="B344" s="65">
        <v>44013</v>
      </c>
      <c r="C344" t="s">
        <v>426</v>
      </c>
    </row>
    <row r="345" spans="1:3" x14ac:dyDescent="0.35">
      <c r="A345" t="s">
        <v>39</v>
      </c>
      <c r="B345" s="65">
        <v>43952</v>
      </c>
      <c r="C345" t="s">
        <v>427</v>
      </c>
    </row>
    <row r="346" spans="1:3" x14ac:dyDescent="0.35">
      <c r="A346" t="s">
        <v>39</v>
      </c>
      <c r="B346" s="65">
        <v>43891</v>
      </c>
      <c r="C346" t="s">
        <v>428</v>
      </c>
    </row>
    <row r="347" spans="1:3" x14ac:dyDescent="0.35">
      <c r="A347" t="s">
        <v>39</v>
      </c>
      <c r="B347" s="65">
        <v>43800</v>
      </c>
      <c r="C347" t="s">
        <v>429</v>
      </c>
    </row>
    <row r="348" spans="1:3" x14ac:dyDescent="0.35">
      <c r="A348" t="s">
        <v>39</v>
      </c>
      <c r="B348" s="65">
        <v>43739</v>
      </c>
      <c r="C348" t="s">
        <v>430</v>
      </c>
    </row>
    <row r="349" spans="1:3" x14ac:dyDescent="0.35">
      <c r="A349" t="s">
        <v>39</v>
      </c>
      <c r="B349" s="65">
        <v>43617</v>
      </c>
      <c r="C349" t="s">
        <v>431</v>
      </c>
    </row>
    <row r="350" spans="1:3" x14ac:dyDescent="0.35">
      <c r="A350" t="s">
        <v>39</v>
      </c>
      <c r="B350" s="65">
        <v>43586</v>
      </c>
      <c r="C350" t="s">
        <v>432</v>
      </c>
    </row>
    <row r="351" spans="1:3" x14ac:dyDescent="0.35">
      <c r="A351" t="s">
        <v>39</v>
      </c>
      <c r="B351" s="65">
        <v>43556</v>
      </c>
      <c r="C351" t="s">
        <v>433</v>
      </c>
    </row>
    <row r="352" spans="1:3" x14ac:dyDescent="0.35">
      <c r="A352" t="s">
        <v>39</v>
      </c>
      <c r="B352" s="65">
        <v>43525</v>
      </c>
      <c r="C352" t="s">
        <v>434</v>
      </c>
    </row>
    <row r="353" spans="1:3" x14ac:dyDescent="0.35">
      <c r="A353" t="s">
        <v>39</v>
      </c>
      <c r="B353" s="65">
        <v>43466</v>
      </c>
      <c r="C353" t="s">
        <v>435</v>
      </c>
    </row>
    <row r="354" spans="1:3" x14ac:dyDescent="0.35">
      <c r="A354" t="s">
        <v>34</v>
      </c>
      <c r="B354" s="65">
        <v>44927</v>
      </c>
      <c r="C354" t="s">
        <v>436</v>
      </c>
    </row>
    <row r="355" spans="1:3" x14ac:dyDescent="0.35">
      <c r="A355" t="s">
        <v>34</v>
      </c>
      <c r="B355" s="65">
        <v>44896</v>
      </c>
      <c r="C355" t="s">
        <v>437</v>
      </c>
    </row>
    <row r="356" spans="1:3" x14ac:dyDescent="0.35">
      <c r="A356" t="s">
        <v>34</v>
      </c>
      <c r="B356" s="65">
        <v>44835</v>
      </c>
      <c r="C356" t="s">
        <v>438</v>
      </c>
    </row>
    <row r="357" spans="1:3" x14ac:dyDescent="0.35">
      <c r="A357" t="s">
        <v>34</v>
      </c>
      <c r="B357" s="65">
        <v>44470</v>
      </c>
      <c r="C357" t="s">
        <v>439</v>
      </c>
    </row>
    <row r="358" spans="1:3" x14ac:dyDescent="0.35">
      <c r="A358" t="s">
        <v>34</v>
      </c>
      <c r="B358" s="65">
        <v>44440</v>
      </c>
      <c r="C358" t="s">
        <v>440</v>
      </c>
    </row>
    <row r="359" spans="1:3" x14ac:dyDescent="0.35">
      <c r="A359" t="s">
        <v>34</v>
      </c>
      <c r="B359" s="65">
        <v>44409</v>
      </c>
      <c r="C359" t="s">
        <v>441</v>
      </c>
    </row>
    <row r="360" spans="1:3" x14ac:dyDescent="0.35">
      <c r="A360" t="s">
        <v>34</v>
      </c>
      <c r="B360" s="65">
        <v>44378</v>
      </c>
      <c r="C360" t="s">
        <v>442</v>
      </c>
    </row>
    <row r="361" spans="1:3" x14ac:dyDescent="0.35">
      <c r="A361" t="s">
        <v>34</v>
      </c>
      <c r="B361" s="65">
        <v>44317</v>
      </c>
      <c r="C361" t="s">
        <v>443</v>
      </c>
    </row>
    <row r="362" spans="1:3" x14ac:dyDescent="0.35">
      <c r="A362" t="s">
        <v>34</v>
      </c>
      <c r="B362" s="65">
        <v>44287</v>
      </c>
      <c r="C362" t="s">
        <v>444</v>
      </c>
    </row>
    <row r="363" spans="1:3" x14ac:dyDescent="0.35">
      <c r="A363" t="s">
        <v>34</v>
      </c>
      <c r="B363" s="65">
        <v>44256</v>
      </c>
      <c r="C363" t="s">
        <v>445</v>
      </c>
    </row>
    <row r="364" spans="1:3" x14ac:dyDescent="0.35">
      <c r="A364" t="s">
        <v>34</v>
      </c>
      <c r="B364" s="65">
        <v>44166</v>
      </c>
      <c r="C364" t="s">
        <v>446</v>
      </c>
    </row>
    <row r="365" spans="1:3" x14ac:dyDescent="0.35">
      <c r="A365" t="s">
        <v>34</v>
      </c>
      <c r="B365" s="65">
        <v>44013</v>
      </c>
      <c r="C365" t="s">
        <v>447</v>
      </c>
    </row>
    <row r="366" spans="1:3" x14ac:dyDescent="0.35">
      <c r="A366" t="s">
        <v>34</v>
      </c>
      <c r="B366" s="65">
        <v>43983</v>
      </c>
      <c r="C366" t="s">
        <v>448</v>
      </c>
    </row>
    <row r="367" spans="1:3" x14ac:dyDescent="0.35">
      <c r="A367" t="s">
        <v>34</v>
      </c>
      <c r="B367" s="65">
        <v>43862</v>
      </c>
      <c r="C367" t="s">
        <v>449</v>
      </c>
    </row>
    <row r="368" spans="1:3" x14ac:dyDescent="0.35">
      <c r="A368" t="s">
        <v>34</v>
      </c>
      <c r="B368" s="65">
        <v>43831</v>
      </c>
      <c r="C368" t="s">
        <v>450</v>
      </c>
    </row>
    <row r="369" spans="1:3" x14ac:dyDescent="0.35">
      <c r="A369" t="s">
        <v>34</v>
      </c>
      <c r="B369" s="65">
        <v>43739</v>
      </c>
      <c r="C369" t="s">
        <v>451</v>
      </c>
    </row>
    <row r="370" spans="1:3" x14ac:dyDescent="0.35">
      <c r="A370" t="s">
        <v>34</v>
      </c>
      <c r="B370" s="65">
        <v>43678</v>
      </c>
      <c r="C370" t="s">
        <v>452</v>
      </c>
    </row>
    <row r="371" spans="1:3" x14ac:dyDescent="0.35">
      <c r="A371" t="s">
        <v>34</v>
      </c>
      <c r="B371" s="65">
        <v>43525</v>
      </c>
      <c r="C371" t="s">
        <v>453</v>
      </c>
    </row>
    <row r="372" spans="1:3" x14ac:dyDescent="0.35">
      <c r="A372" t="s">
        <v>34</v>
      </c>
      <c r="B372" s="65">
        <v>43466</v>
      </c>
      <c r="C372" t="s">
        <v>454</v>
      </c>
    </row>
    <row r="373" spans="1:3" x14ac:dyDescent="0.35">
      <c r="A373" t="s">
        <v>45</v>
      </c>
      <c r="B373" s="65">
        <v>44927</v>
      </c>
      <c r="C373" t="s">
        <v>455</v>
      </c>
    </row>
    <row r="374" spans="1:3" x14ac:dyDescent="0.35">
      <c r="A374" t="s">
        <v>45</v>
      </c>
      <c r="B374" s="65">
        <v>44896</v>
      </c>
      <c r="C374" t="s">
        <v>456</v>
      </c>
    </row>
    <row r="375" spans="1:3" x14ac:dyDescent="0.35">
      <c r="A375" t="s">
        <v>45</v>
      </c>
      <c r="B375" s="65">
        <v>44866</v>
      </c>
      <c r="C375" t="s">
        <v>457</v>
      </c>
    </row>
    <row r="376" spans="1:3" x14ac:dyDescent="0.35">
      <c r="A376" t="s">
        <v>45</v>
      </c>
      <c r="B376" s="65">
        <v>44835</v>
      </c>
      <c r="C376" t="s">
        <v>458</v>
      </c>
    </row>
    <row r="377" spans="1:3" x14ac:dyDescent="0.35">
      <c r="A377" t="s">
        <v>45</v>
      </c>
      <c r="B377" s="65">
        <v>44805</v>
      </c>
      <c r="C377" t="s">
        <v>459</v>
      </c>
    </row>
    <row r="378" spans="1:3" x14ac:dyDescent="0.35">
      <c r="A378" t="s">
        <v>45</v>
      </c>
      <c r="B378" s="65">
        <v>44774</v>
      </c>
      <c r="C378" t="s">
        <v>460</v>
      </c>
    </row>
    <row r="379" spans="1:3" x14ac:dyDescent="0.35">
      <c r="A379" t="s">
        <v>45</v>
      </c>
      <c r="B379" s="65">
        <v>44743</v>
      </c>
      <c r="C379" t="s">
        <v>461</v>
      </c>
    </row>
    <row r="380" spans="1:3" x14ac:dyDescent="0.35">
      <c r="A380" t="s">
        <v>45</v>
      </c>
      <c r="B380" s="65">
        <v>44713</v>
      </c>
      <c r="C380" t="s">
        <v>462</v>
      </c>
    </row>
    <row r="381" spans="1:3" x14ac:dyDescent="0.35">
      <c r="A381" t="s">
        <v>45</v>
      </c>
      <c r="B381" s="65">
        <v>44682</v>
      </c>
      <c r="C381" t="s">
        <v>463</v>
      </c>
    </row>
    <row r="382" spans="1:3" x14ac:dyDescent="0.35">
      <c r="A382" t="s">
        <v>45</v>
      </c>
      <c r="B382" s="65">
        <v>44652</v>
      </c>
      <c r="C382" t="s">
        <v>464</v>
      </c>
    </row>
    <row r="383" spans="1:3" x14ac:dyDescent="0.35">
      <c r="A383" t="s">
        <v>45</v>
      </c>
      <c r="B383" s="65">
        <v>44621</v>
      </c>
      <c r="C383" t="s">
        <v>465</v>
      </c>
    </row>
    <row r="384" spans="1:3" x14ac:dyDescent="0.35">
      <c r="A384" t="s">
        <v>45</v>
      </c>
      <c r="B384" s="65">
        <v>44562</v>
      </c>
      <c r="C384" t="s">
        <v>466</v>
      </c>
    </row>
    <row r="385" spans="1:3" x14ac:dyDescent="0.35">
      <c r="A385" t="s">
        <v>45</v>
      </c>
      <c r="B385" s="65">
        <v>44531</v>
      </c>
      <c r="C385" t="s">
        <v>467</v>
      </c>
    </row>
    <row r="386" spans="1:3" x14ac:dyDescent="0.35">
      <c r="A386" t="s">
        <v>45</v>
      </c>
      <c r="B386" s="65">
        <v>44501</v>
      </c>
      <c r="C386" t="s">
        <v>468</v>
      </c>
    </row>
    <row r="387" spans="1:3" x14ac:dyDescent="0.35">
      <c r="A387" t="s">
        <v>45</v>
      </c>
      <c r="B387" s="65">
        <v>44440</v>
      </c>
      <c r="C387" t="s">
        <v>469</v>
      </c>
    </row>
    <row r="388" spans="1:3" x14ac:dyDescent="0.35">
      <c r="A388" t="s">
        <v>45</v>
      </c>
      <c r="B388" s="65">
        <v>44409</v>
      </c>
      <c r="C388" t="s">
        <v>470</v>
      </c>
    </row>
    <row r="389" spans="1:3" x14ac:dyDescent="0.35">
      <c r="A389" t="s">
        <v>45</v>
      </c>
      <c r="B389" s="65">
        <v>44378</v>
      </c>
      <c r="C389" t="s">
        <v>471</v>
      </c>
    </row>
    <row r="390" spans="1:3" x14ac:dyDescent="0.35">
      <c r="A390" t="s">
        <v>45</v>
      </c>
      <c r="B390" s="65">
        <v>44348</v>
      </c>
      <c r="C390" t="s">
        <v>472</v>
      </c>
    </row>
    <row r="391" spans="1:3" x14ac:dyDescent="0.35">
      <c r="A391" t="s">
        <v>45</v>
      </c>
      <c r="B391" s="65">
        <v>44317</v>
      </c>
      <c r="C391" t="s">
        <v>473</v>
      </c>
    </row>
    <row r="392" spans="1:3" x14ac:dyDescent="0.35">
      <c r="A392" t="s">
        <v>45</v>
      </c>
      <c r="B392" s="65">
        <v>44256</v>
      </c>
      <c r="C392" t="s">
        <v>474</v>
      </c>
    </row>
    <row r="393" spans="1:3" x14ac:dyDescent="0.35">
      <c r="A393" t="s">
        <v>45</v>
      </c>
      <c r="B393" s="65">
        <v>44228</v>
      </c>
      <c r="C393" t="s">
        <v>475</v>
      </c>
    </row>
    <row r="394" spans="1:3" x14ac:dyDescent="0.35">
      <c r="A394" t="s">
        <v>45</v>
      </c>
      <c r="B394" s="65">
        <v>44197</v>
      </c>
      <c r="C394" t="s">
        <v>476</v>
      </c>
    </row>
    <row r="395" spans="1:3" x14ac:dyDescent="0.35">
      <c r="A395" t="s">
        <v>45</v>
      </c>
      <c r="B395" s="65">
        <v>44136</v>
      </c>
      <c r="C395" t="s">
        <v>477</v>
      </c>
    </row>
    <row r="396" spans="1:3" x14ac:dyDescent="0.35">
      <c r="A396" t="s">
        <v>45</v>
      </c>
      <c r="B396" s="65">
        <v>44105</v>
      </c>
      <c r="C396" t="s">
        <v>478</v>
      </c>
    </row>
    <row r="397" spans="1:3" x14ac:dyDescent="0.35">
      <c r="A397" t="s">
        <v>45</v>
      </c>
      <c r="B397" s="65">
        <v>44075</v>
      </c>
      <c r="C397" t="s">
        <v>479</v>
      </c>
    </row>
    <row r="398" spans="1:3" x14ac:dyDescent="0.35">
      <c r="A398" t="s">
        <v>45</v>
      </c>
      <c r="B398" s="65">
        <v>44044</v>
      </c>
      <c r="C398" t="s">
        <v>480</v>
      </c>
    </row>
    <row r="399" spans="1:3" x14ac:dyDescent="0.35">
      <c r="A399" t="s">
        <v>45</v>
      </c>
      <c r="B399" s="65">
        <v>44013</v>
      </c>
      <c r="C399" t="s">
        <v>481</v>
      </c>
    </row>
    <row r="400" spans="1:3" x14ac:dyDescent="0.35">
      <c r="A400" t="s">
        <v>45</v>
      </c>
      <c r="B400" s="65">
        <v>43952</v>
      </c>
      <c r="C400" t="s">
        <v>482</v>
      </c>
    </row>
    <row r="401" spans="1:3" x14ac:dyDescent="0.35">
      <c r="A401" t="s">
        <v>45</v>
      </c>
      <c r="B401" s="65">
        <v>43922</v>
      </c>
      <c r="C401" t="s">
        <v>483</v>
      </c>
    </row>
    <row r="402" spans="1:3" x14ac:dyDescent="0.35">
      <c r="A402" t="s">
        <v>45</v>
      </c>
      <c r="B402" s="65">
        <v>43891</v>
      </c>
      <c r="C402" t="s">
        <v>484</v>
      </c>
    </row>
    <row r="403" spans="1:3" x14ac:dyDescent="0.35">
      <c r="A403" t="s">
        <v>45</v>
      </c>
      <c r="B403" s="65">
        <v>43862</v>
      </c>
      <c r="C403" t="s">
        <v>485</v>
      </c>
    </row>
    <row r="404" spans="1:3" x14ac:dyDescent="0.35">
      <c r="A404" t="s">
        <v>45</v>
      </c>
      <c r="B404" s="65">
        <v>43800</v>
      </c>
      <c r="C404" t="s">
        <v>486</v>
      </c>
    </row>
    <row r="405" spans="1:3" x14ac:dyDescent="0.35">
      <c r="A405" t="s">
        <v>45</v>
      </c>
      <c r="B405" s="65">
        <v>43709</v>
      </c>
      <c r="C405" t="s">
        <v>487</v>
      </c>
    </row>
    <row r="406" spans="1:3" x14ac:dyDescent="0.35">
      <c r="A406" t="s">
        <v>45</v>
      </c>
      <c r="B406" s="65">
        <v>43678</v>
      </c>
      <c r="C406" t="s">
        <v>488</v>
      </c>
    </row>
    <row r="407" spans="1:3" x14ac:dyDescent="0.35">
      <c r="A407" t="s">
        <v>45</v>
      </c>
      <c r="B407" s="65">
        <v>43647</v>
      </c>
      <c r="C407" t="s">
        <v>489</v>
      </c>
    </row>
    <row r="408" spans="1:3" x14ac:dyDescent="0.35">
      <c r="A408" t="s">
        <v>45</v>
      </c>
      <c r="B408" s="65">
        <v>43617</v>
      </c>
      <c r="C408" t="s">
        <v>490</v>
      </c>
    </row>
    <row r="409" spans="1:3" x14ac:dyDescent="0.35">
      <c r="A409" t="s">
        <v>45</v>
      </c>
      <c r="B409" s="65">
        <v>43586</v>
      </c>
      <c r="C409" t="s">
        <v>491</v>
      </c>
    </row>
    <row r="410" spans="1:3" x14ac:dyDescent="0.35">
      <c r="A410" t="s">
        <v>45</v>
      </c>
      <c r="B410" s="65">
        <v>43556</v>
      </c>
      <c r="C410" t="s">
        <v>492</v>
      </c>
    </row>
    <row r="411" spans="1:3" x14ac:dyDescent="0.35">
      <c r="A411" t="s">
        <v>45</v>
      </c>
      <c r="B411" s="65">
        <v>43497</v>
      </c>
      <c r="C411" t="s">
        <v>493</v>
      </c>
    </row>
    <row r="412" spans="1:3" x14ac:dyDescent="0.35">
      <c r="A412" t="s">
        <v>45</v>
      </c>
      <c r="B412" s="65">
        <v>43466</v>
      </c>
      <c r="C412" t="s">
        <v>494</v>
      </c>
    </row>
    <row r="413" spans="1:3" x14ac:dyDescent="0.35">
      <c r="A413" t="s">
        <v>35</v>
      </c>
      <c r="B413" s="65">
        <v>44866</v>
      </c>
      <c r="C413" t="s">
        <v>495</v>
      </c>
    </row>
    <row r="414" spans="1:3" x14ac:dyDescent="0.35">
      <c r="A414" t="s">
        <v>35</v>
      </c>
      <c r="B414" s="65">
        <v>44835</v>
      </c>
      <c r="C414" t="s">
        <v>496</v>
      </c>
    </row>
    <row r="415" spans="1:3" x14ac:dyDescent="0.35">
      <c r="A415" t="s">
        <v>35</v>
      </c>
      <c r="B415" s="65">
        <v>44501</v>
      </c>
      <c r="C415" t="s">
        <v>497</v>
      </c>
    </row>
    <row r="416" spans="1:3" x14ac:dyDescent="0.35">
      <c r="A416" t="s">
        <v>35</v>
      </c>
      <c r="B416" s="65">
        <v>44348</v>
      </c>
      <c r="C416" t="s">
        <v>498</v>
      </c>
    </row>
    <row r="417" spans="1:3" x14ac:dyDescent="0.35">
      <c r="A417" t="s">
        <v>35</v>
      </c>
      <c r="B417" s="65">
        <v>44166</v>
      </c>
      <c r="C417" t="s">
        <v>499</v>
      </c>
    </row>
    <row r="418" spans="1:3" x14ac:dyDescent="0.35">
      <c r="A418" t="s">
        <v>35</v>
      </c>
      <c r="B418" s="65">
        <v>43862</v>
      </c>
      <c r="C418" t="s">
        <v>500</v>
      </c>
    </row>
    <row r="419" spans="1:3" x14ac:dyDescent="0.35">
      <c r="A419" t="s">
        <v>35</v>
      </c>
      <c r="B419" s="65">
        <v>43770</v>
      </c>
      <c r="C419" t="s">
        <v>501</v>
      </c>
    </row>
    <row r="420" spans="1:3" x14ac:dyDescent="0.35">
      <c r="A420" t="s">
        <v>35</v>
      </c>
      <c r="B420" s="65">
        <v>43739</v>
      </c>
      <c r="C420" t="s">
        <v>502</v>
      </c>
    </row>
    <row r="421" spans="1:3" x14ac:dyDescent="0.35">
      <c r="A421" t="s">
        <v>35</v>
      </c>
      <c r="B421" s="65">
        <v>43678</v>
      </c>
      <c r="C421" t="s">
        <v>503</v>
      </c>
    </row>
    <row r="422" spans="1:3" x14ac:dyDescent="0.35">
      <c r="A422" t="s">
        <v>35</v>
      </c>
      <c r="B422" s="65">
        <v>43617</v>
      </c>
      <c r="C422" t="s">
        <v>504</v>
      </c>
    </row>
    <row r="423" spans="1:3" x14ac:dyDescent="0.35">
      <c r="A423" t="s">
        <v>35</v>
      </c>
      <c r="B423" s="65">
        <v>43525</v>
      </c>
      <c r="C423" t="s">
        <v>505</v>
      </c>
    </row>
    <row r="424" spans="1:3" x14ac:dyDescent="0.35">
      <c r="A424" t="s">
        <v>35</v>
      </c>
      <c r="B424" s="65">
        <v>43466</v>
      </c>
      <c r="C424" t="s">
        <v>506</v>
      </c>
    </row>
    <row r="425" spans="1:3" x14ac:dyDescent="0.35">
      <c r="A425" t="s">
        <v>46</v>
      </c>
      <c r="B425" s="65">
        <v>44927</v>
      </c>
      <c r="C425" t="s">
        <v>507</v>
      </c>
    </row>
    <row r="426" spans="1:3" x14ac:dyDescent="0.35">
      <c r="A426" t="s">
        <v>46</v>
      </c>
      <c r="B426" s="65">
        <v>44866</v>
      </c>
      <c r="C426" t="s">
        <v>508</v>
      </c>
    </row>
    <row r="427" spans="1:3" x14ac:dyDescent="0.35">
      <c r="A427" t="s">
        <v>46</v>
      </c>
      <c r="B427" s="65">
        <v>44743</v>
      </c>
      <c r="C427" t="s">
        <v>509</v>
      </c>
    </row>
    <row r="428" spans="1:3" x14ac:dyDescent="0.35">
      <c r="A428" t="s">
        <v>46</v>
      </c>
      <c r="B428" s="65">
        <v>44713</v>
      </c>
      <c r="C428" t="s">
        <v>510</v>
      </c>
    </row>
    <row r="429" spans="1:3" x14ac:dyDescent="0.35">
      <c r="A429" t="s">
        <v>46</v>
      </c>
      <c r="B429" s="65">
        <v>44682</v>
      </c>
      <c r="C429" t="s">
        <v>511</v>
      </c>
    </row>
    <row r="430" spans="1:3" x14ac:dyDescent="0.35">
      <c r="A430" t="s">
        <v>46</v>
      </c>
      <c r="B430" s="65">
        <v>44652</v>
      </c>
      <c r="C430" t="s">
        <v>512</v>
      </c>
    </row>
    <row r="431" spans="1:3" x14ac:dyDescent="0.35">
      <c r="A431" t="s">
        <v>46</v>
      </c>
      <c r="B431" s="65">
        <v>44621</v>
      </c>
      <c r="C431" t="s">
        <v>513</v>
      </c>
    </row>
    <row r="432" spans="1:3" x14ac:dyDescent="0.35">
      <c r="A432" t="s">
        <v>46</v>
      </c>
      <c r="B432" s="65">
        <v>44593</v>
      </c>
      <c r="C432" t="s">
        <v>514</v>
      </c>
    </row>
    <row r="433" spans="1:3" x14ac:dyDescent="0.35">
      <c r="A433" t="s">
        <v>46</v>
      </c>
      <c r="B433" s="65">
        <v>44562</v>
      </c>
      <c r="C433" t="s">
        <v>515</v>
      </c>
    </row>
    <row r="434" spans="1:3" x14ac:dyDescent="0.35">
      <c r="A434" t="s">
        <v>46</v>
      </c>
      <c r="B434" s="65">
        <v>44531</v>
      </c>
      <c r="C434" t="s">
        <v>516</v>
      </c>
    </row>
    <row r="435" spans="1:3" x14ac:dyDescent="0.35">
      <c r="A435" t="s">
        <v>46</v>
      </c>
      <c r="B435" s="65">
        <v>44287</v>
      </c>
      <c r="C435" t="s">
        <v>517</v>
      </c>
    </row>
    <row r="436" spans="1:3" x14ac:dyDescent="0.35">
      <c r="A436" t="s">
        <v>46</v>
      </c>
      <c r="B436" s="65">
        <v>44228</v>
      </c>
      <c r="C436" t="s">
        <v>518</v>
      </c>
    </row>
    <row r="437" spans="1:3" x14ac:dyDescent="0.35">
      <c r="A437" t="s">
        <v>46</v>
      </c>
      <c r="B437" s="65">
        <v>44197</v>
      </c>
      <c r="C437" t="s">
        <v>519</v>
      </c>
    </row>
    <row r="438" spans="1:3" x14ac:dyDescent="0.35">
      <c r="A438" t="s">
        <v>46</v>
      </c>
      <c r="B438" s="65">
        <v>44166</v>
      </c>
      <c r="C438" t="s">
        <v>520</v>
      </c>
    </row>
    <row r="439" spans="1:3" x14ac:dyDescent="0.35">
      <c r="A439" t="s">
        <v>46</v>
      </c>
      <c r="B439" s="65">
        <v>44013</v>
      </c>
      <c r="C439" t="s">
        <v>521</v>
      </c>
    </row>
    <row r="440" spans="1:3" x14ac:dyDescent="0.35">
      <c r="A440" t="s">
        <v>46</v>
      </c>
      <c r="B440" s="65">
        <v>43800</v>
      </c>
      <c r="C440" t="s">
        <v>522</v>
      </c>
    </row>
    <row r="441" spans="1:3" x14ac:dyDescent="0.35">
      <c r="A441" t="s">
        <v>46</v>
      </c>
      <c r="B441" s="65">
        <v>43586</v>
      </c>
      <c r="C441" t="s">
        <v>523</v>
      </c>
    </row>
    <row r="442" spans="1:3" x14ac:dyDescent="0.35">
      <c r="A442" t="s">
        <v>46</v>
      </c>
      <c r="B442" s="65">
        <v>43497</v>
      </c>
      <c r="C442" t="s">
        <v>524</v>
      </c>
    </row>
    <row r="443" spans="1:3" x14ac:dyDescent="0.35">
      <c r="A443" t="s">
        <v>38</v>
      </c>
      <c r="B443" s="65">
        <v>44927</v>
      </c>
      <c r="C443" t="s">
        <v>525</v>
      </c>
    </row>
    <row r="444" spans="1:3" x14ac:dyDescent="0.35">
      <c r="A444" t="s">
        <v>38</v>
      </c>
      <c r="B444" s="65">
        <v>44896</v>
      </c>
      <c r="C444" t="s">
        <v>526</v>
      </c>
    </row>
    <row r="445" spans="1:3" x14ac:dyDescent="0.35">
      <c r="A445" t="s">
        <v>38</v>
      </c>
      <c r="B445" s="65">
        <v>44866</v>
      </c>
      <c r="C445" t="s">
        <v>527</v>
      </c>
    </row>
    <row r="446" spans="1:3" x14ac:dyDescent="0.35">
      <c r="A446" t="s">
        <v>38</v>
      </c>
      <c r="B446" s="65">
        <v>44805</v>
      </c>
      <c r="C446" t="s">
        <v>528</v>
      </c>
    </row>
    <row r="447" spans="1:3" x14ac:dyDescent="0.35">
      <c r="A447" t="s">
        <v>38</v>
      </c>
      <c r="B447" s="65">
        <v>44774</v>
      </c>
      <c r="C447" t="s">
        <v>529</v>
      </c>
    </row>
    <row r="448" spans="1:3" x14ac:dyDescent="0.35">
      <c r="A448" t="s">
        <v>38</v>
      </c>
      <c r="B448" s="65">
        <v>44743</v>
      </c>
      <c r="C448" t="s">
        <v>530</v>
      </c>
    </row>
    <row r="449" spans="1:3" x14ac:dyDescent="0.35">
      <c r="A449" t="s">
        <v>38</v>
      </c>
      <c r="B449" s="65">
        <v>44682</v>
      </c>
      <c r="C449" t="s">
        <v>531</v>
      </c>
    </row>
    <row r="450" spans="1:3" x14ac:dyDescent="0.35">
      <c r="A450" t="s">
        <v>38</v>
      </c>
      <c r="B450" s="65">
        <v>44652</v>
      </c>
      <c r="C450" t="s">
        <v>532</v>
      </c>
    </row>
    <row r="451" spans="1:3" x14ac:dyDescent="0.35">
      <c r="A451" t="s">
        <v>38</v>
      </c>
      <c r="B451" s="65">
        <v>44621</v>
      </c>
      <c r="C451" t="s">
        <v>533</v>
      </c>
    </row>
    <row r="452" spans="1:3" x14ac:dyDescent="0.35">
      <c r="A452" t="s">
        <v>38</v>
      </c>
      <c r="B452" s="65">
        <v>44562</v>
      </c>
      <c r="C452" t="s">
        <v>534</v>
      </c>
    </row>
    <row r="453" spans="1:3" x14ac:dyDescent="0.35">
      <c r="A453" t="s">
        <v>38</v>
      </c>
      <c r="B453" s="65">
        <v>44531</v>
      </c>
      <c r="C453" t="s">
        <v>535</v>
      </c>
    </row>
    <row r="454" spans="1:3" x14ac:dyDescent="0.35">
      <c r="A454" t="s">
        <v>38</v>
      </c>
      <c r="B454" s="65">
        <v>44501</v>
      </c>
      <c r="C454" t="s">
        <v>536</v>
      </c>
    </row>
    <row r="455" spans="1:3" x14ac:dyDescent="0.35">
      <c r="A455" t="s">
        <v>38</v>
      </c>
      <c r="B455" s="65">
        <v>44470</v>
      </c>
      <c r="C455" t="s">
        <v>537</v>
      </c>
    </row>
    <row r="456" spans="1:3" x14ac:dyDescent="0.35">
      <c r="A456" t="s">
        <v>38</v>
      </c>
      <c r="B456" s="65">
        <v>44440</v>
      </c>
      <c r="C456" t="s">
        <v>538</v>
      </c>
    </row>
    <row r="457" spans="1:3" x14ac:dyDescent="0.35">
      <c r="A457" t="s">
        <v>38</v>
      </c>
      <c r="B457" s="65">
        <v>44409</v>
      </c>
      <c r="C457" t="s">
        <v>539</v>
      </c>
    </row>
    <row r="458" spans="1:3" x14ac:dyDescent="0.35">
      <c r="A458" t="s">
        <v>38</v>
      </c>
      <c r="B458" s="65">
        <v>44378</v>
      </c>
      <c r="C458" t="s">
        <v>540</v>
      </c>
    </row>
    <row r="459" spans="1:3" x14ac:dyDescent="0.35">
      <c r="A459" t="s">
        <v>38</v>
      </c>
      <c r="B459" s="65">
        <v>44348</v>
      </c>
      <c r="C459" t="s">
        <v>541</v>
      </c>
    </row>
    <row r="460" spans="1:3" x14ac:dyDescent="0.35">
      <c r="A460" t="s">
        <v>38</v>
      </c>
      <c r="B460" s="65">
        <v>44317</v>
      </c>
      <c r="C460" t="s">
        <v>542</v>
      </c>
    </row>
    <row r="461" spans="1:3" x14ac:dyDescent="0.35">
      <c r="A461" t="s">
        <v>38</v>
      </c>
      <c r="B461" s="65">
        <v>44287</v>
      </c>
      <c r="C461" t="s">
        <v>543</v>
      </c>
    </row>
    <row r="462" spans="1:3" x14ac:dyDescent="0.35">
      <c r="A462" t="s">
        <v>38</v>
      </c>
      <c r="B462" s="65">
        <v>44256</v>
      </c>
      <c r="C462" t="s">
        <v>544</v>
      </c>
    </row>
    <row r="463" spans="1:3" x14ac:dyDescent="0.35">
      <c r="A463" t="s">
        <v>38</v>
      </c>
      <c r="B463" s="65">
        <v>44228</v>
      </c>
      <c r="C463" t="s">
        <v>545</v>
      </c>
    </row>
    <row r="464" spans="1:3" x14ac:dyDescent="0.35">
      <c r="A464" t="s">
        <v>38</v>
      </c>
      <c r="B464" s="65">
        <v>44197</v>
      </c>
      <c r="C464" t="s">
        <v>546</v>
      </c>
    </row>
    <row r="465" spans="1:3" x14ac:dyDescent="0.35">
      <c r="A465" t="s">
        <v>38</v>
      </c>
      <c r="B465" s="65">
        <v>44166</v>
      </c>
      <c r="C465" t="s">
        <v>547</v>
      </c>
    </row>
    <row r="466" spans="1:3" x14ac:dyDescent="0.35">
      <c r="A466" t="s">
        <v>38</v>
      </c>
      <c r="B466" s="65">
        <v>44105</v>
      </c>
      <c r="C466" t="s">
        <v>548</v>
      </c>
    </row>
    <row r="467" spans="1:3" x14ac:dyDescent="0.35">
      <c r="A467" t="s">
        <v>38</v>
      </c>
      <c r="B467" s="65">
        <v>44044</v>
      </c>
      <c r="C467" t="s">
        <v>549</v>
      </c>
    </row>
    <row r="468" spans="1:3" x14ac:dyDescent="0.35">
      <c r="A468" t="s">
        <v>38</v>
      </c>
      <c r="B468" s="65">
        <v>43952</v>
      </c>
      <c r="C468" t="s">
        <v>550</v>
      </c>
    </row>
    <row r="469" spans="1:3" x14ac:dyDescent="0.35">
      <c r="A469" t="s">
        <v>38</v>
      </c>
      <c r="B469" s="65">
        <v>43922</v>
      </c>
      <c r="C469" t="s">
        <v>551</v>
      </c>
    </row>
    <row r="470" spans="1:3" x14ac:dyDescent="0.35">
      <c r="A470" t="s">
        <v>38</v>
      </c>
      <c r="B470" s="65">
        <v>43831</v>
      </c>
      <c r="C470" t="s">
        <v>552</v>
      </c>
    </row>
    <row r="471" spans="1:3" x14ac:dyDescent="0.35">
      <c r="A471" t="s">
        <v>38</v>
      </c>
      <c r="B471" s="65">
        <v>43800</v>
      </c>
      <c r="C471" t="s">
        <v>553</v>
      </c>
    </row>
    <row r="472" spans="1:3" x14ac:dyDescent="0.35">
      <c r="A472" t="s">
        <v>38</v>
      </c>
      <c r="B472" s="65">
        <v>43739</v>
      </c>
      <c r="C472" t="s">
        <v>554</v>
      </c>
    </row>
    <row r="473" spans="1:3" x14ac:dyDescent="0.35">
      <c r="A473" t="s">
        <v>38</v>
      </c>
      <c r="B473" s="65">
        <v>43647</v>
      </c>
      <c r="C473" t="s">
        <v>555</v>
      </c>
    </row>
    <row r="474" spans="1:3" x14ac:dyDescent="0.35">
      <c r="A474" t="s">
        <v>38</v>
      </c>
      <c r="B474" s="65">
        <v>43617</v>
      </c>
      <c r="C474" t="s">
        <v>556</v>
      </c>
    </row>
    <row r="475" spans="1:3" x14ac:dyDescent="0.35">
      <c r="A475" t="s">
        <v>38</v>
      </c>
      <c r="B475" s="65">
        <v>43556</v>
      </c>
      <c r="C475" t="s">
        <v>557</v>
      </c>
    </row>
    <row r="476" spans="1:3" x14ac:dyDescent="0.35">
      <c r="A476" t="s">
        <v>38</v>
      </c>
      <c r="B476" s="65">
        <v>43497</v>
      </c>
      <c r="C476" t="s">
        <v>558</v>
      </c>
    </row>
    <row r="477" spans="1:3" x14ac:dyDescent="0.35">
      <c r="A477" t="s">
        <v>38</v>
      </c>
      <c r="B477" s="65">
        <v>43466</v>
      </c>
      <c r="C477" t="s">
        <v>559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2023-02-18T03:56:10Z</dcterms:modified>
</cp:coreProperties>
</file>