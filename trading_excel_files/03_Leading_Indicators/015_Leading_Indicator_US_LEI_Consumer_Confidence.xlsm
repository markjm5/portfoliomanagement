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59220" yWindow="2800" windowWidth="38700" windowHeight="24340" tabRatio="600" firstSheet="0" activeTab="1" autoFilterDateGrouping="1"/>
  </bookViews>
  <sheets>
    <sheet xmlns:r="http://schemas.openxmlformats.org/officeDocument/2006/relationships" name="Note" sheetId="1" state="visible" r:id="rId1"/>
    <sheet xmlns:r="http://schemas.openxmlformats.org/officeDocument/2006/relationships" name="DB LEI" sheetId="2" state="visible" r:id="rId2"/>
    <sheet xmlns:r="http://schemas.openxmlformats.org/officeDocument/2006/relationships" name="Conference Board" sheetId="3" state="visible" r:id="rId3"/>
    <sheet xmlns:r="http://schemas.openxmlformats.org/officeDocument/2006/relationships" name="UMCSI" sheetId="4" state="visible" r:id="rId4"/>
    <sheet xmlns:r="http://schemas.openxmlformats.org/officeDocument/2006/relationships" name="UMCSI vs GDP" sheetId="5" state="visible" r:id="rId5"/>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Arial"/>
      <family val="2"/>
      <sz val="10"/>
    </font>
    <font>
      <name val="Calibri"/>
      <family val="2"/>
      <sz val="11"/>
      <scheme val="minor"/>
    </font>
    <font>
      <name val="Calibri"/>
      <family val="2"/>
      <color rgb="FF333333"/>
      <sz val="11"/>
      <scheme val="minor"/>
    </font>
    <font>
      <name val="Calibri"/>
      <family val="2"/>
      <color rgb="FF000000"/>
      <sz val="14"/>
      <scheme val="minor"/>
    </font>
    <font>
      <name val="Calibri"/>
      <family val="2"/>
      <b val="1"/>
      <sz val="8"/>
      <scheme val="minor"/>
    </font>
    <font>
      <name val="Calibri"/>
      <family val="2"/>
      <color theme="1"/>
      <sz val="8"/>
      <scheme val="minor"/>
    </font>
    <font>
      <name val="Calibri"/>
      <family val="2"/>
      <b val="1"/>
      <color theme="1"/>
      <sz val="8"/>
      <scheme val="minor"/>
    </font>
    <font>
      <name val="Calibri"/>
      <family val="2"/>
      <b val="1"/>
      <color theme="0"/>
      <sz val="12"/>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22">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4">
    <xf numFmtId="0" fontId="1" fillId="0" borderId="0"/>
    <xf numFmtId="9" fontId="1" fillId="0" borderId="0"/>
    <xf numFmtId="0" fontId="4" fillId="0" borderId="0"/>
    <xf numFmtId="0" fontId="5" fillId="0" borderId="0"/>
  </cellStyleXfs>
  <cellXfs count="69">
    <xf numFmtId="0" fontId="0" fillId="0" borderId="0" pivotButton="0" quotePrefix="0" xfId="0"/>
    <xf numFmtId="14" fontId="0" fillId="2" borderId="0" pivotButton="0" quotePrefix="0" xfId="0"/>
    <xf numFmtId="2" fontId="0" fillId="2" borderId="0" applyAlignment="1" pivotButton="0" quotePrefix="0" xfId="0">
      <alignment horizontal="center"/>
    </xf>
    <xf numFmtId="10" fontId="0" fillId="2" borderId="0" applyAlignment="1" pivotButton="0" quotePrefix="0" xfId="0">
      <alignment horizontal="center"/>
    </xf>
    <xf numFmtId="10" fontId="0" fillId="2" borderId="0" applyAlignment="1" pivotButton="0" quotePrefix="0" xfId="1">
      <alignment horizontal="center"/>
    </xf>
    <xf numFmtId="0" fontId="4" fillId="2" borderId="0" applyAlignment="1" pivotButton="0" quotePrefix="0" xfId="2">
      <alignment horizontal="center"/>
    </xf>
    <xf numFmtId="14" fontId="0" fillId="2" borderId="0" applyAlignment="1" pivotButton="0" quotePrefix="0" xfId="0">
      <alignment horizontal="center"/>
    </xf>
    <xf numFmtId="0" fontId="0" fillId="2" borderId="0" applyAlignment="1" pivotButton="0" quotePrefix="0" xfId="0">
      <alignment vertical="center"/>
    </xf>
    <xf numFmtId="0" fontId="6" fillId="2" borderId="0" pivotButton="0" quotePrefix="0" xfId="3"/>
    <xf numFmtId="0" fontId="3" fillId="2" borderId="0" pivotButton="0" quotePrefix="0" xfId="0"/>
    <xf numFmtId="0" fontId="0" fillId="0" borderId="0" applyAlignment="1" pivotButton="0" quotePrefix="0" xfId="0">
      <alignment vertical="center"/>
    </xf>
    <xf numFmtId="0" fontId="0" fillId="3" borderId="6" applyAlignment="1" pivotButton="0" quotePrefix="0" xfId="0">
      <alignment horizontal="center" wrapText="1"/>
    </xf>
    <xf numFmtId="0" fontId="0" fillId="3" borderId="7" applyAlignment="1" pivotButton="0" quotePrefix="0" xfId="0">
      <alignment horizontal="center" wrapText="1"/>
    </xf>
    <xf numFmtId="0" fontId="0" fillId="3" borderId="8" applyAlignment="1" pivotButton="0" quotePrefix="0" xfId="0">
      <alignment horizontal="center" wrapText="1"/>
    </xf>
    <xf numFmtId="14" fontId="0" fillId="2" borderId="5" applyAlignment="1" pivotButton="0" quotePrefix="0" xfId="0">
      <alignment horizontal="center"/>
    </xf>
    <xf numFmtId="0" fontId="0" fillId="2" borderId="5" applyAlignment="1" pivotButton="0" quotePrefix="0" xfId="0">
      <alignment horizontal="center"/>
    </xf>
    <xf numFmtId="0" fontId="0" fillId="2" borderId="0" applyAlignment="1" pivotButton="0" quotePrefix="0" xfId="0">
      <alignment horizontal="center"/>
    </xf>
    <xf numFmtId="0" fontId="8" fillId="0" borderId="0" pivotButton="0" quotePrefix="0" xfId="0"/>
    <xf numFmtId="164" fontId="10" fillId="2" borderId="5" applyAlignment="1" pivotButton="0" quotePrefix="0" xfId="0">
      <alignment horizontal="center"/>
    </xf>
    <xf numFmtId="0" fontId="12" fillId="3" borderId="9" applyAlignment="1" pivotButton="0" quotePrefix="0" xfId="0">
      <alignment horizontal="center"/>
    </xf>
    <xf numFmtId="164" fontId="12" fillId="3" borderId="10" applyAlignment="1" pivotButton="0" quotePrefix="0" xfId="0">
      <alignment horizontal="center"/>
    </xf>
    <xf numFmtId="0" fontId="12" fillId="3" borderId="7" applyAlignment="1" pivotButton="0" quotePrefix="0" xfId="0">
      <alignment horizontal="center"/>
    </xf>
    <xf numFmtId="165" fontId="12" fillId="3" borderId="8" applyAlignment="1" pivotButton="0" quotePrefix="0" xfId="0">
      <alignment horizontal="center"/>
    </xf>
    <xf numFmtId="17" fontId="9" fillId="2" borderId="5" applyAlignment="1" pivotButton="0" quotePrefix="0" xfId="0">
      <alignment horizontal="center" vertical="top" wrapText="1"/>
    </xf>
    <xf numFmtId="10" fontId="0" fillId="2" borderId="5" applyAlignment="1" pivotButton="0" quotePrefix="0" xfId="0">
      <alignment horizontal="center"/>
    </xf>
    <xf numFmtId="17" fontId="11" fillId="2" borderId="5" applyAlignment="1" pivotButton="0" quotePrefix="0" xfId="0">
      <alignment horizontal="center"/>
    </xf>
    <xf numFmtId="0" fontId="3" fillId="2" borderId="0" applyAlignment="1" pivotButton="0" quotePrefix="0" xfId="0">
      <alignment horizontal="left"/>
    </xf>
    <xf numFmtId="0" fontId="4" fillId="0" borderId="0" pivotButton="0" quotePrefix="0" xfId="2"/>
    <xf numFmtId="14" fontId="0" fillId="2" borderId="5" applyAlignment="1" pivotButton="0" quotePrefix="0" xfId="0">
      <alignment horizontal="center" wrapText="1"/>
    </xf>
    <xf numFmtId="0" fontId="0" fillId="2" borderId="7" applyAlignment="1" pivotButton="0" quotePrefix="0" xfId="0">
      <alignment horizontal="center"/>
    </xf>
    <xf numFmtId="0" fontId="0" fillId="2" borderId="8" applyAlignment="1" pivotButton="0" quotePrefix="0" xfId="0">
      <alignment horizontal="center"/>
    </xf>
    <xf numFmtId="0" fontId="0" fillId="2" borderId="11" applyAlignment="1" pivotButton="0" quotePrefix="0" xfId="0">
      <alignment horizontal="center"/>
    </xf>
    <xf numFmtId="0" fontId="0" fillId="2" borderId="12" applyAlignment="1" pivotButton="0" quotePrefix="0" xfId="0">
      <alignment horizontal="center"/>
    </xf>
    <xf numFmtId="0" fontId="0" fillId="2" borderId="1" applyAlignment="1" pivotButton="0" quotePrefix="0" xfId="0">
      <alignment horizontal="center"/>
    </xf>
    <xf numFmtId="0" fontId="0" fillId="2" borderId="14" applyAlignment="1" pivotButton="0" quotePrefix="0" xfId="0">
      <alignment horizontal="center"/>
    </xf>
    <xf numFmtId="0" fontId="0" fillId="2" borderId="6" applyAlignment="1" pivotButton="0" quotePrefix="0" xfId="0">
      <alignment horizontal="center"/>
    </xf>
    <xf numFmtId="0" fontId="0" fillId="2" borderId="13" applyAlignment="1" pivotButton="0" quotePrefix="0" xfId="0">
      <alignment horizontal="center"/>
    </xf>
    <xf numFmtId="0" fontId="3" fillId="2" borderId="15" pivotButton="0" quotePrefix="0" xfId="0"/>
    <xf numFmtId="0" fontId="3" fillId="2" borderId="17" pivotButton="0" quotePrefix="0" xfId="0"/>
    <xf numFmtId="0" fontId="3" fillId="2" borderId="16" pivotButton="0" quotePrefix="0" xfId="0"/>
    <xf numFmtId="14" fontId="13" fillId="2" borderId="15" applyAlignment="1" pivotButton="0" quotePrefix="0" xfId="0">
      <alignment horizontal="center"/>
    </xf>
    <xf numFmtId="0" fontId="3" fillId="2" borderId="7" applyAlignment="1" pivotButton="0" quotePrefix="0" xfId="0">
      <alignment horizontal="center"/>
    </xf>
    <xf numFmtId="0" fontId="3" fillId="2" borderId="8" applyAlignment="1" pivotButton="0" quotePrefix="0" xfId="0">
      <alignment horizontal="center"/>
    </xf>
    <xf numFmtId="0" fontId="3" fillId="2" borderId="6" applyAlignment="1" pivotButton="0" quotePrefix="0" xfId="0">
      <alignment horizontal="center"/>
    </xf>
    <xf numFmtId="0" fontId="3" fillId="2" borderId="16" applyAlignment="1" pivotButton="0" quotePrefix="0" xfId="0">
      <alignment horizontal="center"/>
    </xf>
    <xf numFmtId="0" fontId="3" fillId="2" borderId="0" applyAlignment="1" pivotButton="0" quotePrefix="0" xfId="0">
      <alignment horizontal="center"/>
    </xf>
    <xf numFmtId="0" fontId="3" fillId="2" borderId="12" applyAlignment="1" pivotButton="0" quotePrefix="0" xfId="0">
      <alignment horizontal="center"/>
    </xf>
    <xf numFmtId="0" fontId="3" fillId="2" borderId="11" applyAlignment="1" pivotButton="0" quotePrefix="0" xfId="0">
      <alignment horizontal="center"/>
    </xf>
    <xf numFmtId="0" fontId="0" fillId="3" borderId="0" applyAlignment="1" pivotButton="0" quotePrefix="0" xfId="0">
      <alignment horizontal="center" wrapText="1"/>
    </xf>
    <xf numFmtId="2" fontId="0" fillId="3" borderId="0" applyAlignment="1" pivotButton="0" quotePrefix="0" xfId="0">
      <alignment horizontal="center" wrapText="1"/>
    </xf>
    <xf numFmtId="10" fontId="0" fillId="3" borderId="0" applyAlignment="1" pivotButton="0" quotePrefix="0" xfId="0">
      <alignment horizontal="center" wrapText="1"/>
    </xf>
    <xf numFmtId="0" fontId="0" fillId="2" borderId="0" pivotButton="0" quotePrefix="0" xfId="0"/>
    <xf numFmtId="0" fontId="4" fillId="2" borderId="0" pivotButton="0" quotePrefix="0" xfId="2"/>
    <xf numFmtId="166" fontId="0" fillId="0" borderId="0" pivotButton="0" quotePrefix="0" xfId="0"/>
    <xf numFmtId="0" fontId="7" fillId="2" borderId="0" applyAlignment="1" pivotButton="0" quotePrefix="0" xfId="0">
      <alignment wrapText="1"/>
    </xf>
    <xf numFmtId="0" fontId="0" fillId="2" borderId="0" pivotButton="0" quotePrefix="0" xfId="0"/>
    <xf numFmtId="0" fontId="0" fillId="2" borderId="0" applyAlignment="1" pivotButton="0" quotePrefix="0" xfId="0">
      <alignment wrapText="1"/>
    </xf>
    <xf numFmtId="0" fontId="3" fillId="4" borderId="5" applyAlignment="1" pivotButton="0" quotePrefix="0" xfId="0">
      <alignment horizontal="center"/>
    </xf>
    <xf numFmtId="0" fontId="0" fillId="0" borderId="3" pivotButton="0" quotePrefix="0" xfId="0"/>
    <xf numFmtId="0" fontId="0" fillId="0" borderId="4" pivotButton="0" quotePrefix="0" xfId="0"/>
    <xf numFmtId="0" fontId="3" fillId="2" borderId="1" applyAlignment="1" pivotButton="0" quotePrefix="0" xfId="0">
      <alignment horizontal="center" vertical="center"/>
    </xf>
    <xf numFmtId="0" fontId="0" fillId="0" borderId="1" pivotButton="0" quotePrefix="0" xfId="0"/>
    <xf numFmtId="0" fontId="2" fillId="3" borderId="18" applyAlignment="1" pivotButton="0" quotePrefix="0" xfId="0">
      <alignment horizontal="center"/>
    </xf>
    <xf numFmtId="0" fontId="0" fillId="0" borderId="2" pivotButton="0" quotePrefix="0" xfId="0"/>
    <xf numFmtId="0" fontId="0" fillId="0" borderId="19" pivotButton="0" quotePrefix="0" xfId="0"/>
    <xf numFmtId="0" fontId="0" fillId="2" borderId="0" applyAlignment="1" pivotButton="0" quotePrefix="0" xfId="0">
      <alignment vertical="center" wrapText="1"/>
    </xf>
    <xf numFmtId="0" fontId="4" fillId="2" borderId="0" pivotButton="0" quotePrefix="0" xfId="2"/>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5">
    <dxf>
      <font>
        <color rgb="FF00B050"/>
      </font>
      <fill>
        <patternFill>
          <bgColor theme="0"/>
        </patternFill>
      </fill>
    </dxf>
    <dxf>
      <font>
        <color rgb="FFFF0000"/>
      </font>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b val="1"/>
        <strike val="0"/>
        <outline val="0"/>
        <shadow val="0"/>
        <condense val="0"/>
        <color theme="1"/>
        <extend val="0"/>
        <sz val="8"/>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name val="Calibri"/>
        <family val="2"/>
        <strike val="0"/>
        <outline val="0"/>
        <shadow val="0"/>
        <color theme="0"/>
        <sz val="12"/>
        <vertAlign val="baseline"/>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strRef>
          <f>Note!$G$16</f>
          <strCache>
            <ptCount val="1"/>
            <pt idx="0">
              <v>UMCSI</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min val="38718"/>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5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plotVisOnly val="1"/>
    <dispBlanksAs val="gap"/>
  </chart>
</chartSpace>
</file>

<file path=xl/charts/chart2.xml><?xml version="1.0" encoding="utf-8"?>
<chartSpace xmlns="http://schemas.openxmlformats.org/drawingml/2006/chart">
  <chart>
    <title>
      <tx>
        <strRef>
          <f>Table3[[#Headers],[Conference Board Leading Indicator]]</f>
          <strCache>
            <ptCount val="1"/>
            <pt idx="0">
              <v>Conference Board Leading Indicator</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'Conference Board'!$B$9</f>
              <strCache>
                <ptCount val="1"/>
                <pt idx="0">
                  <v>Conference Board Leading Indicator</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'Conference Board'!$B$10:$B$775</f>
              <numCache>
                <formatCode>0.00</formatCode>
                <ptCount val="766"/>
                <pt idx="0">
                  <v>27.2</v>
                </pt>
                <pt idx="1">
                  <v>27.6</v>
                </pt>
                <pt idx="2">
                  <v>28</v>
                </pt>
                <pt idx="3">
                  <v>28.1</v>
                </pt>
                <pt idx="4">
                  <v>28.3</v>
                </pt>
                <pt idx="5">
                  <v>28.4</v>
                </pt>
                <pt idx="6">
                  <v>28.5</v>
                </pt>
                <pt idx="7">
                  <v>28.4</v>
                </pt>
                <pt idx="8">
                  <v>28.4</v>
                </pt>
                <pt idx="9">
                  <v>28.3</v>
                </pt>
                <pt idx="10">
                  <v>28.1</v>
                </pt>
                <pt idx="11">
                  <v>28.7</v>
                </pt>
                <pt idx="12">
                  <v>28.7</v>
                </pt>
                <pt idx="13">
                  <v>28.7</v>
                </pt>
                <pt idx="14">
                  <v>28.6</v>
                </pt>
                <pt idx="15">
                  <v>28.7</v>
                </pt>
                <pt idx="16">
                  <v>28.7</v>
                </pt>
                <pt idx="17">
                  <v>28.8</v>
                </pt>
                <pt idx="18">
                  <v>28.8</v>
                </pt>
                <pt idx="19">
                  <v>28.9</v>
                </pt>
                <pt idx="20">
                  <v>28.9</v>
                </pt>
                <pt idx="21">
                  <v>28.9</v>
                </pt>
                <pt idx="22">
                  <v>28.9</v>
                </pt>
                <pt idx="23">
                  <v>28.9</v>
                </pt>
                <pt idx="24">
                  <v>29.1</v>
                </pt>
                <pt idx="25">
                  <v>29.2</v>
                </pt>
                <pt idx="26">
                  <v>29.6</v>
                </pt>
                <pt idx="27">
                  <v>29.9</v>
                </pt>
                <pt idx="28">
                  <v>30.2</v>
                </pt>
                <pt idx="29">
                  <v>30.6</v>
                </pt>
                <pt idx="30">
                  <v>30.7</v>
                </pt>
                <pt idx="31">
                  <v>31.2</v>
                </pt>
                <pt idx="32">
                  <v>31.2</v>
                </pt>
                <pt idx="33">
                  <v>31.7</v>
                </pt>
                <pt idx="34">
                  <v>32.1</v>
                </pt>
                <pt idx="35">
                  <v>32.4</v>
                </pt>
                <pt idx="36">
                  <v>32.4</v>
                </pt>
                <pt idx="37">
                  <v>32.8</v>
                </pt>
                <pt idx="38">
                  <v>32.9</v>
                </pt>
                <pt idx="39">
                  <v>33.1</v>
                </pt>
                <pt idx="40">
                  <v>33.1</v>
                </pt>
                <pt idx="41">
                  <v>33</v>
                </pt>
                <pt idx="42">
                  <v>33.2</v>
                </pt>
                <pt idx="43">
                  <v>33.4</v>
                </pt>
                <pt idx="44">
                  <v>33.5</v>
                </pt>
                <pt idx="45">
                  <v>33.6</v>
                </pt>
                <pt idx="46">
                  <v>34</v>
                </pt>
                <pt idx="47">
                  <v>34.1</v>
                </pt>
                <pt idx="48">
                  <v>34.4</v>
                </pt>
                <pt idx="49">
                  <v>34.7</v>
                </pt>
                <pt idx="50">
                  <v>35</v>
                </pt>
                <pt idx="51">
                  <v>35.3</v>
                </pt>
                <pt idx="52">
                  <v>35.6</v>
                </pt>
                <pt idx="53">
                  <v>35.7</v>
                </pt>
                <pt idx="54">
                  <v>35.9</v>
                </pt>
                <pt idx="55">
                  <v>36</v>
                </pt>
                <pt idx="56">
                  <v>36.4</v>
                </pt>
                <pt idx="57">
                  <v>36.6</v>
                </pt>
                <pt idx="58">
                  <v>36.8</v>
                </pt>
                <pt idx="59">
                  <v>37</v>
                </pt>
                <pt idx="60">
                  <v>37.2</v>
                </pt>
                <pt idx="61">
                  <v>37.5</v>
                </pt>
                <pt idx="62">
                  <v>37.7</v>
                </pt>
                <pt idx="63">
                  <v>38</v>
                </pt>
                <pt idx="64">
                  <v>38.3</v>
                </pt>
                <pt idx="65">
                  <v>38.5</v>
                </pt>
                <pt idx="66">
                  <v>38.8</v>
                </pt>
                <pt idx="67">
                  <v>39.1</v>
                </pt>
                <pt idx="68">
                  <v>39.4</v>
                </pt>
                <pt idx="69">
                  <v>39.5</v>
                </pt>
                <pt idx="70">
                  <v>39.8</v>
                </pt>
                <pt idx="71">
                  <v>40.1</v>
                </pt>
                <pt idx="72">
                  <v>40.5</v>
                </pt>
                <pt idx="73">
                  <v>40.6</v>
                </pt>
                <pt idx="74">
                  <v>41.1</v>
                </pt>
                <pt idx="75">
                  <v>41.2</v>
                </pt>
                <pt idx="76">
                  <v>41.4</v>
                </pt>
                <pt idx="77">
                  <v>41.6</v>
                </pt>
                <pt idx="78">
                  <v>41.8</v>
                </pt>
                <pt idx="79">
                  <v>41.9</v>
                </pt>
                <pt idx="80">
                  <v>42.3</v>
                </pt>
                <pt idx="81">
                  <v>42.8</v>
                </pt>
                <pt idx="82">
                  <v>43.1</v>
                </pt>
                <pt idx="83">
                  <v>43.5</v>
                </pt>
                <pt idx="84">
                  <v>43.7</v>
                </pt>
                <pt idx="85">
                  <v>43.9</v>
                </pt>
                <pt idx="86">
                  <v>44.3</v>
                </pt>
                <pt idx="87">
                  <v>44.5</v>
                </pt>
                <pt idx="88">
                  <v>44.3</v>
                </pt>
                <pt idx="89">
                  <v>44.2</v>
                </pt>
                <pt idx="90">
                  <v>44.1</v>
                </pt>
                <pt idx="91">
                  <v>44</v>
                </pt>
                <pt idx="92">
                  <v>43.9</v>
                </pt>
                <pt idx="93">
                  <v>43.8</v>
                </pt>
                <pt idx="94">
                  <v>43.8</v>
                </pt>
                <pt idx="95">
                  <v>43.7</v>
                </pt>
                <pt idx="96">
                  <v>44</v>
                </pt>
                <pt idx="97">
                  <v>43.7</v>
                </pt>
                <pt idx="98">
                  <v>44</v>
                </pt>
                <pt idx="99">
                  <v>44.1</v>
                </pt>
                <pt idx="100">
                  <v>44.5</v>
                </pt>
                <pt idx="101">
                  <v>44.8</v>
                </pt>
                <pt idx="102">
                  <v>45</v>
                </pt>
                <pt idx="103">
                  <v>45.5</v>
                </pt>
                <pt idx="104">
                  <v>45.7</v>
                </pt>
                <pt idx="105">
                  <v>45.8</v>
                </pt>
                <pt idx="106">
                  <v>46.1</v>
                </pt>
                <pt idx="107">
                  <v>46.5</v>
                </pt>
                <pt idx="108">
                  <v>46.6</v>
                </pt>
                <pt idx="109">
                  <v>46.8</v>
                </pt>
                <pt idx="110">
                  <v>46.9</v>
                </pt>
                <pt idx="111">
                  <v>47</v>
                </pt>
                <pt idx="112">
                  <v>47.3</v>
                </pt>
                <pt idx="113">
                  <v>47.5</v>
                </pt>
                <pt idx="114">
                  <v>47.6</v>
                </pt>
                <pt idx="115">
                  <v>47.5</v>
                </pt>
                <pt idx="116">
                  <v>48</v>
                </pt>
                <pt idx="117">
                  <v>48.3</v>
                </pt>
                <pt idx="118">
                  <v>48.4</v>
                </pt>
                <pt idx="119">
                  <v>48.4</v>
                </pt>
                <pt idx="120">
                  <v>48.5</v>
                </pt>
                <pt idx="121">
                  <v>48.7</v>
                </pt>
                <pt idx="122">
                  <v>48.8</v>
                </pt>
                <pt idx="123">
                  <v>49.1</v>
                </pt>
                <pt idx="124">
                  <v>48.8</v>
                </pt>
                <pt idx="125">
                  <v>48.5</v>
                </pt>
                <pt idx="126">
                  <v>48.2</v>
                </pt>
                <pt idx="127">
                  <v>48.1</v>
                </pt>
                <pt idx="128">
                  <v>48.2</v>
                </pt>
                <pt idx="129">
                  <v>47.9</v>
                </pt>
                <pt idx="130">
                  <v>47.7</v>
                </pt>
                <pt idx="131">
                  <v>47.4</v>
                </pt>
                <pt idx="132">
                  <v>46.9</v>
                </pt>
                <pt idx="133">
                  <v>46.5</v>
                </pt>
                <pt idx="134">
                  <v>46.2</v>
                </pt>
                <pt idx="135">
                  <v>45.8</v>
                </pt>
                <pt idx="136">
                  <v>45.8</v>
                </pt>
                <pt idx="137">
                  <v>45.8</v>
                </pt>
                <pt idx="138">
                  <v>45.9</v>
                </pt>
                <pt idx="139">
                  <v>46</v>
                </pt>
                <pt idx="140">
                  <v>46</v>
                </pt>
                <pt idx="141">
                  <v>45.9</v>
                </pt>
                <pt idx="142">
                  <v>45.9</v>
                </pt>
                <pt idx="143">
                  <v>46.5</v>
                </pt>
                <pt idx="144">
                  <v>46.8</v>
                </pt>
                <pt idx="145">
                  <v>47.2</v>
                </pt>
                <pt idx="146">
                  <v>47.6</v>
                </pt>
                <pt idx="147">
                  <v>47.8</v>
                </pt>
                <pt idx="148">
                  <v>48.1</v>
                </pt>
                <pt idx="149">
                  <v>48.2</v>
                </pt>
                <pt idx="150">
                  <v>48.4</v>
                </pt>
                <pt idx="151">
                  <v>48.5</v>
                </pt>
                <pt idx="152">
                  <v>48.7</v>
                </pt>
                <pt idx="153">
                  <v>49</v>
                </pt>
                <pt idx="154">
                  <v>49.2</v>
                </pt>
                <pt idx="155">
                  <v>49.7</v>
                </pt>
                <pt idx="156">
                  <v>50.2</v>
                </pt>
                <pt idx="157">
                  <v>50.8</v>
                </pt>
                <pt idx="158">
                  <v>51.2</v>
                </pt>
                <pt idx="159">
                  <v>51.5</v>
                </pt>
                <pt idx="160">
                  <v>51.7</v>
                </pt>
                <pt idx="161">
                  <v>52.1</v>
                </pt>
                <pt idx="162">
                  <v>52.4</v>
                </pt>
                <pt idx="163">
                  <v>53.1</v>
                </pt>
                <pt idx="164">
                  <v>53.7</v>
                </pt>
                <pt idx="165">
                  <v>54.1</v>
                </pt>
                <pt idx="166">
                  <v>54.7</v>
                </pt>
                <pt idx="167">
                  <v>55.3</v>
                </pt>
                <pt idx="168">
                  <v>55.6</v>
                </pt>
                <pt idx="169">
                  <v>55.8</v>
                </pt>
                <pt idx="170">
                  <v>55.7</v>
                </pt>
                <pt idx="171">
                  <v>55.4</v>
                </pt>
                <pt idx="172">
                  <v>55.4</v>
                </pt>
                <pt idx="173">
                  <v>55.3</v>
                </pt>
                <pt idx="174">
                  <v>54.9</v>
                </pt>
                <pt idx="175">
                  <v>54.4</v>
                </pt>
                <pt idx="176">
                  <v>54.2</v>
                </pt>
                <pt idx="177">
                  <v>54.1</v>
                </pt>
                <pt idx="178">
                  <v>53.8</v>
                </pt>
                <pt idx="179">
                  <v>53.2</v>
                </pt>
                <pt idx="180">
                  <v>52.8</v>
                </pt>
                <pt idx="181">
                  <v>52.5</v>
                </pt>
                <pt idx="182">
                  <v>52.4</v>
                </pt>
                <pt idx="183">
                  <v>51.6</v>
                </pt>
                <pt idx="184">
                  <v>51.4</v>
                </pt>
                <pt idx="185">
                  <v>50.8</v>
                </pt>
                <pt idx="186">
                  <v>50.3</v>
                </pt>
                <pt idx="187">
                  <v>49.4</v>
                </pt>
                <pt idx="188">
                  <v>48.5</v>
                </pt>
                <pt idx="189">
                  <v>47.9</v>
                </pt>
                <pt idx="190">
                  <v>47.1</v>
                </pt>
                <pt idx="191">
                  <v>46.3</v>
                </pt>
                <pt idx="192">
                  <v>45.9</v>
                </pt>
                <pt idx="193">
                  <v>45.8</v>
                </pt>
                <pt idx="194">
                  <v>45.6</v>
                </pt>
                <pt idx="195">
                  <v>46.2</v>
                </pt>
                <pt idx="196">
                  <v>46.5</v>
                </pt>
                <pt idx="197">
                  <v>46.8</v>
                </pt>
                <pt idx="198">
                  <v>47.3</v>
                </pt>
                <pt idx="199">
                  <v>47.4</v>
                </pt>
                <pt idx="200">
                  <v>47.6</v>
                </pt>
                <pt idx="201">
                  <v>48</v>
                </pt>
                <pt idx="202">
                  <v>48.2</v>
                </pt>
                <pt idx="203">
                  <v>48.5</v>
                </pt>
                <pt idx="204">
                  <v>49.2</v>
                </pt>
                <pt idx="205">
                  <v>49.9</v>
                </pt>
                <pt idx="206">
                  <v>50.1</v>
                </pt>
                <pt idx="207">
                  <v>50.3</v>
                </pt>
                <pt idx="208">
                  <v>50.7</v>
                </pt>
                <pt idx="209">
                  <v>50.8</v>
                </pt>
                <pt idx="210">
                  <v>51.3</v>
                </pt>
                <pt idx="211">
                  <v>51.5</v>
                </pt>
                <pt idx="212">
                  <v>51.9</v>
                </pt>
                <pt idx="213">
                  <v>51.9</v>
                </pt>
                <pt idx="214">
                  <v>52.4</v>
                </pt>
                <pt idx="215">
                  <v>52.9</v>
                </pt>
                <pt idx="216">
                  <v>52.9</v>
                </pt>
                <pt idx="217">
                  <v>53.2</v>
                </pt>
                <pt idx="218">
                  <v>54</v>
                </pt>
                <pt idx="219">
                  <v>54.1</v>
                </pt>
                <pt idx="220">
                  <v>54.4</v>
                </pt>
                <pt idx="221">
                  <v>54.8</v>
                </pt>
                <pt idx="222">
                  <v>54.8</v>
                </pt>
                <pt idx="223">
                  <v>55.1</v>
                </pt>
                <pt idx="224">
                  <v>55.2</v>
                </pt>
                <pt idx="225">
                  <v>55.3</v>
                </pt>
                <pt idx="226">
                  <v>55.5</v>
                </pt>
                <pt idx="227">
                  <v>55.6</v>
                </pt>
                <pt idx="228">
                  <v>55.2</v>
                </pt>
                <pt idx="229">
                  <v>55.5</v>
                </pt>
                <pt idx="230">
                  <v>56</v>
                </pt>
                <pt idx="231">
                  <v>56.6</v>
                </pt>
                <pt idx="232">
                  <v>56.9</v>
                </pt>
                <pt idx="233">
                  <v>57.1</v>
                </pt>
                <pt idx="234">
                  <v>57</v>
                </pt>
                <pt idx="235">
                  <v>57.4</v>
                </pt>
                <pt idx="236">
                  <v>57.6</v>
                </pt>
                <pt idx="237">
                  <v>57.6</v>
                </pt>
                <pt idx="238">
                  <v>57.3</v>
                </pt>
                <pt idx="239">
                  <v>57.3</v>
                </pt>
                <pt idx="240">
                  <v>57</v>
                </pt>
                <pt idx="241">
                  <v>56.9</v>
                </pt>
                <pt idx="242">
                  <v>57.4</v>
                </pt>
                <pt idx="243">
                  <v>56.4</v>
                </pt>
                <pt idx="244">
                  <v>56.7</v>
                </pt>
                <pt idx="245">
                  <v>56.4</v>
                </pt>
                <pt idx="246">
                  <v>55.9</v>
                </pt>
                <pt idx="247">
                  <v>55.7</v>
                </pt>
                <pt idx="248">
                  <v>55.4</v>
                </pt>
                <pt idx="249">
                  <v>54.9</v>
                </pt>
                <pt idx="250">
                  <v>54.2</v>
                </pt>
                <pt idx="251">
                  <v>53.8</v>
                </pt>
                <pt idx="252">
                  <v>53.7</v>
                </pt>
                <pt idx="253">
                  <v>53.5</v>
                </pt>
                <pt idx="254">
                  <v>52.2</v>
                </pt>
                <pt idx="255">
                  <v>50.6</v>
                </pt>
                <pt idx="256">
                  <v>49.9</v>
                </pt>
                <pt idx="257">
                  <v>50.2</v>
                </pt>
                <pt idx="258">
                  <v>50.6</v>
                </pt>
                <pt idx="259">
                  <v>50.9</v>
                </pt>
                <pt idx="260">
                  <v>51.4</v>
                </pt>
                <pt idx="261">
                  <v>51.7</v>
                </pt>
                <pt idx="262">
                  <v>51.8</v>
                </pt>
                <pt idx="263">
                  <v>51.5</v>
                </pt>
                <pt idx="264">
                  <v>50.9</v>
                </pt>
                <pt idx="265">
                  <v>50.5</v>
                </pt>
                <pt idx="266">
                  <v>50.7</v>
                </pt>
                <pt idx="267">
                  <v>51</v>
                </pt>
                <pt idx="268">
                  <v>50.6</v>
                </pt>
                <pt idx="269">
                  <v>50.2</v>
                </pt>
                <pt idx="270">
                  <v>49.8</v>
                </pt>
                <pt idx="271">
                  <v>49.6</v>
                </pt>
                <pt idx="272">
                  <v>48.9</v>
                </pt>
                <pt idx="273">
                  <v>48.6</v>
                </pt>
                <pt idx="274">
                  <v>48.4</v>
                </pt>
                <pt idx="275">
                  <v>48.3</v>
                </pt>
                <pt idx="276">
                  <v>47.8</v>
                </pt>
                <pt idx="277">
                  <v>48</v>
                </pt>
                <pt idx="278">
                  <v>47.8</v>
                </pt>
                <pt idx="279">
                  <v>47.8</v>
                </pt>
                <pt idx="280">
                  <v>47.5</v>
                </pt>
                <pt idx="281">
                  <v>47.2</v>
                </pt>
                <pt idx="282">
                  <v>47.2</v>
                </pt>
                <pt idx="283">
                  <v>46.9</v>
                </pt>
                <pt idx="284">
                  <v>47.3</v>
                </pt>
                <pt idx="285">
                  <v>47.4</v>
                </pt>
                <pt idx="286">
                  <v>47.6</v>
                </pt>
                <pt idx="287">
                  <v>48</v>
                </pt>
                <pt idx="288">
                  <v>48.9</v>
                </pt>
                <pt idx="289">
                  <v>49.4</v>
                </pt>
                <pt idx="290">
                  <v>50.1</v>
                </pt>
                <pt idx="291">
                  <v>50.5</v>
                </pt>
                <pt idx="292">
                  <v>51.2</v>
                </pt>
                <pt idx="293">
                  <v>51.9</v>
                </pt>
                <pt idx="294">
                  <v>52.4</v>
                </pt>
                <pt idx="295">
                  <v>52.6</v>
                </pt>
                <pt idx="296">
                  <v>53.2</v>
                </pt>
                <pt idx="297">
                  <v>53.9</v>
                </pt>
                <pt idx="298">
                  <v>54.3</v>
                </pt>
                <pt idx="299">
                  <v>54.9</v>
                </pt>
                <pt idx="300">
                  <v>55.5</v>
                </pt>
                <pt idx="301">
                  <v>56</v>
                </pt>
                <pt idx="302">
                  <v>56.1</v>
                </pt>
                <pt idx="303">
                  <v>56.4</v>
                </pt>
                <pt idx="304">
                  <v>56.8</v>
                </pt>
                <pt idx="305">
                  <v>57</v>
                </pt>
                <pt idx="306">
                  <v>57.2</v>
                </pt>
                <pt idx="307">
                  <v>57.2</v>
                </pt>
                <pt idx="308">
                  <v>57.2</v>
                </pt>
                <pt idx="309">
                  <v>57.4</v>
                </pt>
                <pt idx="310">
                  <v>57.7</v>
                </pt>
                <pt idx="311">
                  <v>58.1</v>
                </pt>
                <pt idx="312">
                  <v>58.4</v>
                </pt>
                <pt idx="313">
                  <v>58.7</v>
                </pt>
                <pt idx="314">
                  <v>58.9</v>
                </pt>
                <pt idx="315">
                  <v>59</v>
                </pt>
                <pt idx="316">
                  <v>59.2</v>
                </pt>
                <pt idx="317">
                  <v>59.6</v>
                </pt>
                <pt idx="318">
                  <v>59.8</v>
                </pt>
                <pt idx="319">
                  <v>60</v>
                </pt>
                <pt idx="320">
                  <v>60.2</v>
                </pt>
                <pt idx="321">
                  <v>60.3</v>
                </pt>
                <pt idx="322">
                  <v>60.5</v>
                </pt>
                <pt idx="323">
                  <v>60.8</v>
                </pt>
                <pt idx="324">
                  <v>61</v>
                </pt>
                <pt idx="325">
                  <v>61.2</v>
                </pt>
                <pt idx="326">
                  <v>61.3</v>
                </pt>
                <pt idx="327">
                  <v>61.6</v>
                </pt>
                <pt idx="328">
                  <v>61.8</v>
                </pt>
                <pt idx="329">
                  <v>62.3</v>
                </pt>
                <pt idx="330">
                  <v>62.3</v>
                </pt>
                <pt idx="331">
                  <v>62.4</v>
                </pt>
                <pt idx="332">
                  <v>62.6</v>
                </pt>
                <pt idx="333">
                  <v>62.7</v>
                </pt>
                <pt idx="334">
                  <v>62.9</v>
                </pt>
                <pt idx="335">
                  <v>63.3</v>
                </pt>
                <pt idx="336">
                  <v>63.3</v>
                </pt>
                <pt idx="337">
                  <v>63.8</v>
                </pt>
                <pt idx="338">
                  <v>63.9</v>
                </pt>
                <pt idx="339">
                  <v>64</v>
                </pt>
                <pt idx="340">
                  <v>64.2</v>
                </pt>
                <pt idx="341">
                  <v>64.5</v>
                </pt>
                <pt idx="342">
                  <v>64.8</v>
                </pt>
                <pt idx="343">
                  <v>65</v>
                </pt>
                <pt idx="344">
                  <v>65.40000000000001</v>
                </pt>
                <pt idx="345">
                  <v>65.59999999999999</v>
                </pt>
                <pt idx="346">
                  <v>65.40000000000001</v>
                </pt>
                <pt idx="347">
                  <v>65.40000000000001</v>
                </pt>
                <pt idx="348">
                  <v>65.59999999999999</v>
                </pt>
                <pt idx="349">
                  <v>66.09999999999999</v>
                </pt>
                <pt idx="350">
                  <v>66.40000000000001</v>
                </pt>
                <pt idx="351">
                  <v>66.5</v>
                </pt>
                <pt idx="352">
                  <v>66.8</v>
                </pt>
                <pt idx="353">
                  <v>67.2</v>
                </pt>
                <pt idx="354">
                  <v>67.2</v>
                </pt>
                <pt idx="355">
                  <v>67.3</v>
                </pt>
                <pt idx="356">
                  <v>67.5</v>
                </pt>
                <pt idx="357">
                  <v>67.8</v>
                </pt>
                <pt idx="358">
                  <v>67.90000000000001</v>
                </pt>
                <pt idx="359">
                  <v>68.09999999999999</v>
                </pt>
                <pt idx="360">
                  <v>68.2</v>
                </pt>
                <pt idx="361">
                  <v>68.2</v>
                </pt>
                <pt idx="362">
                  <v>67.90000000000001</v>
                </pt>
                <pt idx="363">
                  <v>68</v>
                </pt>
                <pt idx="364">
                  <v>67.8</v>
                </pt>
                <pt idx="365">
                  <v>67.7</v>
                </pt>
                <pt idx="366">
                  <v>67.40000000000001</v>
                </pt>
                <pt idx="367">
                  <v>67.59999999999999</v>
                </pt>
                <pt idx="368">
                  <v>67.59999999999999</v>
                </pt>
                <pt idx="369">
                  <v>67.40000000000001</v>
                </pt>
                <pt idx="370">
                  <v>67.5</v>
                </pt>
                <pt idx="371">
                  <v>67.5</v>
                </pt>
                <pt idx="372">
                  <v>67.40000000000001</v>
                </pt>
                <pt idx="373">
                  <v>67.3</v>
                </pt>
                <pt idx="374">
                  <v>67.3</v>
                </pt>
                <pt idx="375">
                  <v>67.09999999999999</v>
                </pt>
                <pt idx="376">
                  <v>67.09999999999999</v>
                </pt>
                <pt idx="377">
                  <v>67.09999999999999</v>
                </pt>
                <pt idx="378">
                  <v>66.8</v>
                </pt>
                <pt idx="379">
                  <v>65.90000000000001</v>
                </pt>
                <pt idx="380">
                  <v>65.09999999999999</v>
                </pt>
                <pt idx="381">
                  <v>64.2</v>
                </pt>
                <pt idx="382">
                  <v>63.1</v>
                </pt>
                <pt idx="383">
                  <v>62.4</v>
                </pt>
                <pt idx="384">
                  <v>61.7</v>
                </pt>
                <pt idx="385">
                  <v>61.5</v>
                </pt>
                <pt idx="386">
                  <v>61.2</v>
                </pt>
                <pt idx="387">
                  <v>61.9</v>
                </pt>
                <pt idx="388">
                  <v>62.3</v>
                </pt>
                <pt idx="389">
                  <v>62.4</v>
                </pt>
                <pt idx="390">
                  <v>63</v>
                </pt>
                <pt idx="391">
                  <v>63.1</v>
                </pt>
                <pt idx="392">
                  <v>63.6</v>
                </pt>
                <pt idx="393">
                  <v>63.5</v>
                </pt>
                <pt idx="394">
                  <v>63.5</v>
                </pt>
                <pt idx="395">
                  <v>63.3</v>
                </pt>
                <pt idx="396">
                  <v>63.8</v>
                </pt>
                <pt idx="397">
                  <v>64</v>
                </pt>
                <pt idx="398">
                  <v>64.59999999999999</v>
                </pt>
                <pt idx="399">
                  <v>65.09999999999999</v>
                </pt>
                <pt idx="400">
                  <v>65.59999999999999</v>
                </pt>
                <pt idx="401">
                  <v>65.90000000000001</v>
                </pt>
                <pt idx="402">
                  <v>66.09999999999999</v>
                </pt>
                <pt idx="403">
                  <v>66.5</v>
                </pt>
                <pt idx="404">
                  <v>66.59999999999999</v>
                </pt>
                <pt idx="405">
                  <v>66.8</v>
                </pt>
                <pt idx="406">
                  <v>67.40000000000001</v>
                </pt>
                <pt idx="407">
                  <v>68.3</v>
                </pt>
                <pt idx="408">
                  <v>68.7</v>
                </pt>
                <pt idx="409">
                  <v>69.09999999999999</v>
                </pt>
                <pt idx="410">
                  <v>69</v>
                </pt>
                <pt idx="411">
                  <v>69.5</v>
                </pt>
                <pt idx="412">
                  <v>69.59999999999999</v>
                </pt>
                <pt idx="413">
                  <v>69.90000000000001</v>
                </pt>
                <pt idx="414">
                  <v>69.90000000000001</v>
                </pt>
                <pt idx="415">
                  <v>70.40000000000001</v>
                </pt>
                <pt idx="416">
                  <v>70.8</v>
                </pt>
                <pt idx="417">
                  <v>71.09999999999999</v>
                </pt>
                <pt idx="418">
                  <v>71.5</v>
                </pt>
                <pt idx="419">
                  <v>72.5</v>
                </pt>
                <pt idx="420">
                  <v>72.3</v>
                </pt>
                <pt idx="421">
                  <v>72.59999999999999</v>
                </pt>
                <pt idx="422">
                  <v>73.59999999999999</v>
                </pt>
                <pt idx="423">
                  <v>74.09999999999999</v>
                </pt>
                <pt idx="424">
                  <v>74.5</v>
                </pt>
                <pt idx="425">
                  <v>75.09999999999999</v>
                </pt>
                <pt idx="426">
                  <v>75.40000000000001</v>
                </pt>
                <pt idx="427">
                  <v>76</v>
                </pt>
                <pt idx="428">
                  <v>76.5</v>
                </pt>
                <pt idx="429">
                  <v>77</v>
                </pt>
                <pt idx="430">
                  <v>77.09999999999999</v>
                </pt>
                <pt idx="431">
                  <v>77.7</v>
                </pt>
                <pt idx="432">
                  <v>77.8</v>
                </pt>
                <pt idx="433">
                  <v>77.8</v>
                </pt>
                <pt idx="434">
                  <v>77.8</v>
                </pt>
                <pt idx="435">
                  <v>77.7</v>
                </pt>
                <pt idx="436">
                  <v>77.7</v>
                </pt>
                <pt idx="437">
                  <v>77.7</v>
                </pt>
                <pt idx="438">
                  <v>77.7</v>
                </pt>
                <pt idx="439">
                  <v>78.2</v>
                </pt>
                <pt idx="440">
                  <v>78.40000000000001</v>
                </pt>
                <pt idx="441">
                  <v>78.3</v>
                </pt>
                <pt idx="442">
                  <v>78.3</v>
                </pt>
                <pt idx="443">
                  <v>78.40000000000001</v>
                </pt>
                <pt idx="444">
                  <v>76.90000000000001</v>
                </pt>
                <pt idx="445">
                  <v>77.8</v>
                </pt>
                <pt idx="446">
                  <v>78</v>
                </pt>
                <pt idx="447">
                  <v>78.40000000000001</v>
                </pt>
                <pt idx="448">
                  <v>79.09999999999999</v>
                </pt>
                <pt idx="449">
                  <v>79.59999999999999</v>
                </pt>
                <pt idx="450">
                  <v>79.5</v>
                </pt>
                <pt idx="451">
                  <v>79.7</v>
                </pt>
                <pt idx="452">
                  <v>80</v>
                </pt>
                <pt idx="453">
                  <v>80.2</v>
                </pt>
                <pt idx="454">
                  <v>80.8</v>
                </pt>
                <pt idx="455">
                  <v>80.8</v>
                </pt>
                <pt idx="456">
                  <v>81.3</v>
                </pt>
                <pt idx="457">
                  <v>82.40000000000001</v>
                </pt>
                <pt idx="458">
                  <v>82.8</v>
                </pt>
                <pt idx="459">
                  <v>82.90000000000001</v>
                </pt>
                <pt idx="460">
                  <v>83.40000000000001</v>
                </pt>
                <pt idx="461">
                  <v>84</v>
                </pt>
                <pt idx="462">
                  <v>85</v>
                </pt>
                <pt idx="463">
                  <v>85.2</v>
                </pt>
                <pt idx="464">
                  <v>85.8</v>
                </pt>
                <pt idx="465">
                  <v>86.09999999999999</v>
                </pt>
                <pt idx="466">
                  <v>86.3</v>
                </pt>
                <pt idx="467">
                  <v>86.59999999999999</v>
                </pt>
                <pt idx="468">
                  <v>86.59999999999999</v>
                </pt>
                <pt idx="469">
                  <v>87.5</v>
                </pt>
                <pt idx="470">
                  <v>87.59999999999999</v>
                </pt>
                <pt idx="471">
                  <v>87.5</v>
                </pt>
                <pt idx="472">
                  <v>88</v>
                </pt>
                <pt idx="473">
                  <v>87.40000000000001</v>
                </pt>
                <pt idx="474">
                  <v>87.7</v>
                </pt>
                <pt idx="475">
                  <v>87.8</v>
                </pt>
                <pt idx="476">
                  <v>87.3</v>
                </pt>
                <pt idx="477">
                  <v>86.8</v>
                </pt>
                <pt idx="478">
                  <v>87.09999999999999</v>
                </pt>
                <pt idx="479">
                  <v>87.3</v>
                </pt>
                <pt idx="480">
                  <v>87.2</v>
                </pt>
                <pt idx="481">
                  <v>87.7</v>
                </pt>
                <pt idx="482">
                  <v>87.7</v>
                </pt>
                <pt idx="483">
                  <v>87.8</v>
                </pt>
                <pt idx="484">
                  <v>88.3</v>
                </pt>
                <pt idx="485">
                  <v>88.59999999999999</v>
                </pt>
                <pt idx="486">
                  <v>88.90000000000001</v>
                </pt>
                <pt idx="487">
                  <v>89.09999999999999</v>
                </pt>
                <pt idx="488">
                  <v>89.09999999999999</v>
                </pt>
                <pt idx="489">
                  <v>89.40000000000001</v>
                </pt>
                <pt idx="490">
                  <v>89.90000000000001</v>
                </pt>
                <pt idx="491">
                  <v>90.7</v>
                </pt>
                <pt idx="492">
                  <v>91.2</v>
                </pt>
                <pt idx="493">
                  <v>90.59999999999999</v>
                </pt>
                <pt idx="494">
                  <v>91.59999999999999</v>
                </pt>
                <pt idx="495">
                  <v>91.7</v>
                </pt>
                <pt idx="496">
                  <v>90.7</v>
                </pt>
                <pt idx="497">
                  <v>91</v>
                </pt>
                <pt idx="498">
                  <v>90.59999999999999</v>
                </pt>
                <pt idx="499">
                  <v>90</v>
                </pt>
                <pt idx="500">
                  <v>90.3</v>
                </pt>
                <pt idx="501">
                  <v>89.40000000000001</v>
                </pt>
                <pt idx="502">
                  <v>88.7</v>
                </pt>
                <pt idx="503">
                  <v>87.40000000000001</v>
                </pt>
                <pt idx="504">
                  <v>86.90000000000001</v>
                </pt>
                <pt idx="505">
                  <v>85.90000000000001</v>
                </pt>
                <pt idx="506">
                  <v>84.59999999999999</v>
                </pt>
                <pt idx="507">
                  <v>83.7</v>
                </pt>
                <pt idx="508">
                  <v>84</v>
                </pt>
                <pt idx="509">
                  <v>83.59999999999999</v>
                </pt>
                <pt idx="510">
                  <v>83.40000000000001</v>
                </pt>
                <pt idx="511">
                  <v>83.2</v>
                </pt>
                <pt idx="512">
                  <v>81.7</v>
                </pt>
                <pt idx="513">
                  <v>81.09999999999999</v>
                </pt>
                <pt idx="514">
                  <v>81.59999999999999</v>
                </pt>
                <pt idx="515">
                  <v>82.2</v>
                </pt>
                <pt idx="516">
                  <v>82.2</v>
                </pt>
                <pt idx="517">
                  <v>83</v>
                </pt>
                <pt idx="518">
                  <v>83.40000000000001</v>
                </pt>
                <pt idx="519">
                  <v>84</v>
                </pt>
                <pt idx="520">
                  <v>84.8</v>
                </pt>
                <pt idx="521">
                  <v>85</v>
                </pt>
                <pt idx="522">
                  <v>84.59999999999999</v>
                </pt>
                <pt idx="523">
                  <v>84.7</v>
                </pt>
                <pt idx="524">
                  <v>84.40000000000001</v>
                </pt>
                <pt idx="525">
                  <v>84.3</v>
                </pt>
                <pt idx="526">
                  <v>84.8</v>
                </pt>
                <pt idx="527">
                  <v>84.8</v>
                </pt>
                <pt idx="528">
                  <v>85</v>
                </pt>
                <pt idx="529">
                  <v>84.8</v>
                </pt>
                <pt idx="530">
                  <v>84.7</v>
                </pt>
                <pt idx="531">
                  <v>84.40000000000001</v>
                </pt>
                <pt idx="532">
                  <v>85.3</v>
                </pt>
                <pt idx="533">
                  <v>86</v>
                </pt>
                <pt idx="534">
                  <v>86.3</v>
                </pt>
                <pt idx="535">
                  <v>86.90000000000001</v>
                </pt>
                <pt idx="536">
                  <v>87.90000000000001</v>
                </pt>
                <pt idx="537">
                  <v>88.8</v>
                </pt>
                <pt idx="538">
                  <v>89.8</v>
                </pt>
                <pt idx="539">
                  <v>90.59999999999999</v>
                </pt>
                <pt idx="540">
                  <v>91.5</v>
                </pt>
                <pt idx="541">
                  <v>92.3</v>
                </pt>
                <pt idx="542">
                  <v>93.59999999999999</v>
                </pt>
                <pt idx="543">
                  <v>93.8</v>
                </pt>
                <pt idx="544">
                  <v>94.7</v>
                </pt>
                <pt idx="545">
                  <v>95.09999999999999</v>
                </pt>
                <pt idx="546">
                  <v>95.59999999999999</v>
                </pt>
                <pt idx="547">
                  <v>96</v>
                </pt>
                <pt idx="548">
                  <v>96.7</v>
                </pt>
                <pt idx="549">
                  <v>97</v>
                </pt>
                <pt idx="550">
                  <v>97.7</v>
                </pt>
                <pt idx="551">
                  <v>98.59999999999999</v>
                </pt>
                <pt idx="552">
                  <v>99.09999999999999</v>
                </pt>
                <pt idx="553">
                  <v>99.59999999999999</v>
                </pt>
                <pt idx="554">
                  <v>99.2</v>
                </pt>
                <pt idx="555">
                  <v>99.7</v>
                </pt>
                <pt idx="556">
                  <v>99.59999999999999</v>
                </pt>
                <pt idx="557">
                  <v>100.3</v>
                </pt>
                <pt idx="558">
                  <v>100.4</v>
                </pt>
                <pt idx="559">
                  <v>101</v>
                </pt>
                <pt idx="560">
                  <v>100.3</v>
                </pt>
                <pt idx="561">
                  <v>100.7</v>
                </pt>
                <pt idx="562">
                  <v>101.3</v>
                </pt>
                <pt idx="563">
                  <v>101.3</v>
                </pt>
                <pt idx="564">
                  <v>102.1</v>
                </pt>
                <pt idx="565">
                  <v>102.1</v>
                </pt>
                <pt idx="566">
                  <v>102.4</v>
                </pt>
                <pt idx="567">
                  <v>101.8</v>
                </pt>
                <pt idx="568">
                  <v>101.2</v>
                </pt>
                <pt idx="569">
                  <v>101.1</v>
                </pt>
                <pt idx="570">
                  <v>100.6</v>
                </pt>
                <pt idx="571">
                  <v>100.4</v>
                </pt>
                <pt idx="572">
                  <v>100.4</v>
                </pt>
                <pt idx="573">
                  <v>100.2</v>
                </pt>
                <pt idx="574">
                  <v>100</v>
                </pt>
                <pt idx="575">
                  <v>100.4</v>
                </pt>
                <pt idx="576">
                  <v>100</v>
                </pt>
                <pt idx="577">
                  <v>99.90000000000001</v>
                </pt>
                <pt idx="578">
                  <v>100.2</v>
                </pt>
                <pt idx="579">
                  <v>99.8</v>
                </pt>
                <pt idx="580">
                  <v>99.90000000000001</v>
                </pt>
                <pt idx="581">
                  <v>99.7</v>
                </pt>
                <pt idx="582">
                  <v>99.59999999999999</v>
                </pt>
                <pt idx="583">
                  <v>99</v>
                </pt>
                <pt idx="584">
                  <v>98.3</v>
                </pt>
                <pt idx="585">
                  <v>97.7</v>
                </pt>
                <pt idx="586">
                  <v>96.8</v>
                </pt>
                <pt idx="587">
                  <v>95.8</v>
                </pt>
                <pt idx="588">
                  <v>94.7</v>
                </pt>
                <pt idx="589">
                  <v>93.59999999999999</v>
                </pt>
                <pt idx="590">
                  <v>92.09999999999999</v>
                </pt>
                <pt idx="591">
                  <v>91.59999999999999</v>
                </pt>
                <pt idx="592">
                  <v>90.8</v>
                </pt>
                <pt idx="593">
                  <v>90.3</v>
                </pt>
                <pt idx="594">
                  <v>88.3</v>
                </pt>
                <pt idx="595">
                  <v>87.2</v>
                </pt>
                <pt idx="596">
                  <v>85.2</v>
                </pt>
                <pt idx="597">
                  <v>82.40000000000001</v>
                </pt>
                <pt idx="598">
                  <v>79.90000000000001</v>
                </pt>
                <pt idx="599">
                  <v>77.59999999999999</v>
                </pt>
                <pt idx="600">
                  <v>76</v>
                </pt>
                <pt idx="601">
                  <v>74.8</v>
                </pt>
                <pt idx="602">
                  <v>73.5</v>
                </pt>
                <pt idx="603">
                  <v>73.7</v>
                </pt>
                <pt idx="604">
                  <v>74</v>
                </pt>
                <pt idx="605">
                  <v>74.59999999999999</v>
                </pt>
                <pt idx="606">
                  <v>75.2</v>
                </pt>
                <pt idx="607">
                  <v>76</v>
                </pt>
                <pt idx="608">
                  <v>76.59999999999999</v>
                </pt>
                <pt idx="609">
                  <v>77</v>
                </pt>
                <pt idx="610">
                  <v>77.8</v>
                </pt>
                <pt idx="611">
                  <v>78.59999999999999</v>
                </pt>
                <pt idx="612">
                  <v>79.09999999999999</v>
                </pt>
                <pt idx="613">
                  <v>79.09999999999999</v>
                </pt>
                <pt idx="614">
                  <v>80.5</v>
                </pt>
                <pt idx="615">
                  <v>80.90000000000001</v>
                </pt>
                <pt idx="616">
                  <v>81</v>
                </pt>
                <pt idx="617">
                  <v>81.09999999999999</v>
                </pt>
                <pt idx="618">
                  <v>81.2</v>
                </pt>
                <pt idx="619">
                  <v>81.5</v>
                </pt>
                <pt idx="620">
                  <v>82</v>
                </pt>
                <pt idx="621">
                  <v>82.09999999999999</v>
                </pt>
                <pt idx="622">
                  <v>82.8</v>
                </pt>
                <pt idx="623">
                  <v>83.7</v>
                </pt>
                <pt idx="624">
                  <v>83.8</v>
                </pt>
                <pt idx="625">
                  <v>84.40000000000001</v>
                </pt>
                <pt idx="626">
                  <v>85.3</v>
                </pt>
                <pt idx="627">
                  <v>85.3</v>
                </pt>
                <pt idx="628">
                  <v>85.8</v>
                </pt>
                <pt idx="629">
                  <v>85.7</v>
                </pt>
                <pt idx="630">
                  <v>86.2</v>
                </pt>
                <pt idx="631">
                  <v>85.59999999999999</v>
                </pt>
                <pt idx="632">
                  <v>85.2</v>
                </pt>
                <pt idx="633">
                  <v>85.8</v>
                </pt>
                <pt idx="634">
                  <v>85.90000000000001</v>
                </pt>
                <pt idx="635">
                  <v>86.3</v>
                </pt>
                <pt idx="636">
                  <v>86.5</v>
                </pt>
                <pt idx="637">
                  <v>87</v>
                </pt>
                <pt idx="638">
                  <v>87.5</v>
                </pt>
                <pt idx="639">
                  <v>87.3</v>
                </pt>
                <pt idx="640">
                  <v>87.40000000000001</v>
                </pt>
                <pt idx="641">
                  <v>87</v>
                </pt>
                <pt idx="642">
                  <v>87.2</v>
                </pt>
                <pt idx="643">
                  <v>86.90000000000001</v>
                </pt>
                <pt idx="644">
                  <v>87.40000000000001</v>
                </pt>
                <pt idx="645">
                  <v>87.5</v>
                </pt>
                <pt idx="646">
                  <v>87.5</v>
                </pt>
                <pt idx="647">
                  <v>87.8</v>
                </pt>
                <pt idx="648">
                  <v>88.2</v>
                </pt>
                <pt idx="649">
                  <v>88.59999999999999</v>
                </pt>
                <pt idx="650">
                  <v>88.5</v>
                </pt>
                <pt idx="651">
                  <v>88.90000000000001</v>
                </pt>
                <pt idx="652">
                  <v>89.2</v>
                </pt>
                <pt idx="653">
                  <v>89.3</v>
                </pt>
                <pt idx="654">
                  <v>89.40000000000001</v>
                </pt>
                <pt idx="655">
                  <v>90.09999999999999</v>
                </pt>
                <pt idx="656">
                  <v>90.90000000000001</v>
                </pt>
                <pt idx="657">
                  <v>90.8</v>
                </pt>
                <pt idx="658">
                  <v>91.8</v>
                </pt>
                <pt idx="659">
                  <v>91.8</v>
                </pt>
                <pt idx="660">
                  <v>92</v>
                </pt>
                <pt idx="661">
                  <v>92.5</v>
                </pt>
                <pt idx="662">
                  <v>93.40000000000001</v>
                </pt>
                <pt idx="663">
                  <v>93.5</v>
                </pt>
                <pt idx="664">
                  <v>94</v>
                </pt>
                <pt idx="665">
                  <v>94.7</v>
                </pt>
                <pt idx="666">
                  <v>95.2</v>
                </pt>
                <pt idx="667">
                  <v>95.5</v>
                </pt>
                <pt idx="668">
                  <v>96.09999999999999</v>
                </pt>
                <pt idx="669">
                  <v>96.40000000000001</v>
                </pt>
                <pt idx="670">
                  <v>96.8</v>
                </pt>
                <pt idx="671">
                  <v>97.3</v>
                </pt>
                <pt idx="672">
                  <v>97.40000000000001</v>
                </pt>
                <pt idx="673">
                  <v>97.40000000000001</v>
                </pt>
                <pt idx="674">
                  <v>97.90000000000001</v>
                </pt>
                <pt idx="675">
                  <v>98.40000000000001</v>
                </pt>
                <pt idx="676">
                  <v>98.8</v>
                </pt>
                <pt idx="677">
                  <v>99.3</v>
                </pt>
                <pt idx="678">
                  <v>99.09999999999999</v>
                </pt>
                <pt idx="679">
                  <v>99.09999999999999</v>
                </pt>
                <pt idx="680">
                  <v>99</v>
                </pt>
                <pt idx="681">
                  <v>99.40000000000001</v>
                </pt>
                <pt idx="682">
                  <v>99.8</v>
                </pt>
                <pt idx="683">
                  <v>99.59999999999999</v>
                </pt>
                <pt idx="684">
                  <v>99.3</v>
                </pt>
                <pt idx="685">
                  <v>99.2</v>
                </pt>
                <pt idx="686">
                  <v>99.2</v>
                </pt>
                <pt idx="687">
                  <v>99.7</v>
                </pt>
                <pt idx="688">
                  <v>99.5</v>
                </pt>
                <pt idx="689">
                  <v>99.8</v>
                </pt>
                <pt idx="690">
                  <v>100.2</v>
                </pt>
                <pt idx="691">
                  <v>100.2</v>
                </pt>
                <pt idx="692">
                  <v>100.4</v>
                </pt>
                <pt idx="693">
                  <v>100.5</v>
                </pt>
                <pt idx="694">
                  <v>100.7</v>
                </pt>
                <pt idx="695">
                  <v>101.2</v>
                </pt>
                <pt idx="696">
                  <v>101.8</v>
                </pt>
                <pt idx="697">
                  <v>102.1</v>
                </pt>
                <pt idx="698">
                  <v>102.6</v>
                </pt>
                <pt idx="699">
                  <v>102.8</v>
                </pt>
                <pt idx="700">
                  <v>103.2</v>
                </pt>
                <pt idx="701">
                  <v>103.8</v>
                </pt>
                <pt idx="702">
                  <v>104.1</v>
                </pt>
                <pt idx="703">
                  <v>104.5</v>
                </pt>
                <pt idx="704">
                  <v>104.5</v>
                </pt>
                <pt idx="705">
                  <v>105.9</v>
                </pt>
                <pt idx="706">
                  <v>106.3</v>
                </pt>
                <pt idx="707">
                  <v>107</v>
                </pt>
                <pt idx="708">
                  <v>107.9</v>
                </pt>
                <pt idx="709">
                  <v>108.7</v>
                </pt>
                <pt idx="710">
                  <v>109</v>
                </pt>
                <pt idx="711">
                  <v>109.4</v>
                </pt>
                <pt idx="712">
                  <v>109.4</v>
                </pt>
                <pt idx="713">
                  <v>109.9</v>
                </pt>
                <pt idx="714">
                  <v>110.7</v>
                </pt>
                <pt idx="715">
                  <v>111.3</v>
                </pt>
                <pt idx="716">
                  <v>111.8</v>
                </pt>
                <pt idx="717">
                  <v>112.1</v>
                </pt>
                <pt idx="718">
                  <v>111.8</v>
                </pt>
                <pt idx="719">
                  <v>111.7</v>
                </pt>
                <pt idx="720">
                  <v>111</v>
                </pt>
                <pt idx="721">
                  <v>111.1</v>
                </pt>
                <pt idx="722">
                  <v>111.5</v>
                </pt>
                <pt idx="723">
                  <v>111.5</v>
                </pt>
                <pt idx="724">
                  <v>111.4</v>
                </pt>
                <pt idx="725">
                  <v>111.5</v>
                </pt>
                <pt idx="726">
                  <v>112</v>
                </pt>
                <pt idx="727">
                  <v>111.8</v>
                </pt>
                <pt idx="728">
                  <v>111.7</v>
                </pt>
                <pt idx="729">
                  <v>111.4</v>
                </pt>
                <pt idx="730">
                  <v>111.6</v>
                </pt>
                <pt idx="731">
                  <v>111.4</v>
                </pt>
                <pt idx="732">
                  <v>112</v>
                </pt>
                <pt idx="733">
                  <v>111.9</v>
                </pt>
                <pt idx="734">
                  <v>103.4</v>
                </pt>
                <pt idx="735">
                  <v>96.8</v>
                </pt>
                <pt idx="736">
                  <v>99.8</v>
                </pt>
                <pt idx="737">
                  <v>102.8</v>
                </pt>
                <pt idx="738">
                  <v>104.9</v>
                </pt>
                <pt idx="739">
                  <v>106.5</v>
                </pt>
                <pt idx="740">
                  <v>107.5</v>
                </pt>
                <pt idx="741">
                  <v>108.2</v>
                </pt>
                <pt idx="742">
                  <v>109.2</v>
                </pt>
                <pt idx="743">
                  <v>109.6</v>
                </pt>
                <pt idx="744">
                  <v>110.1</v>
                </pt>
                <pt idx="745">
                  <v>110.1</v>
                </pt>
                <pt idx="746">
                  <v>111.6</v>
                </pt>
                <pt idx="747">
                  <v>113</v>
                </pt>
                <pt idx="748">
                  <v>114.5</v>
                </pt>
                <pt idx="749">
                  <v>115.1</v>
                </pt>
                <pt idx="750">
                  <v>116</v>
                </pt>
                <pt idx="751">
                  <v>117.1</v>
                </pt>
                <pt idx="752">
                  <v>117.5</v>
                </pt>
                <pt idx="753">
                  <v>118.3</v>
                </pt>
                <pt idx="754">
                  <v>119.9</v>
                </pt>
                <pt idx="755">
                  <v>120.8</v>
                </pt>
                <pt idx="756">
                  <v>119.6</v>
                </pt>
                <pt idx="757">
                  <v>119.9</v>
                </pt>
                <pt idx="758">
                  <v>119.8</v>
                </pt>
                <pt idx="759">
                  <v>119.2</v>
                </pt>
                <pt idx="760">
                  <v>118.3</v>
                </pt>
                <pt idx="761">
                  <v>117.1</v>
                </pt>
                <pt idx="762">
                  <v>116.6</v>
                </pt>
                <pt idx="763">
                  <v>116.2</v>
                </pt>
                <pt idx="764">
                  <v>115.9</v>
                </pt>
              </numCache>
            </numRef>
          </val>
          <smooth val="0"/>
        </ser>
        <ser>
          <idx val="1"/>
          <order val="1"/>
          <tx>
            <strRef>
              <f>'Conference Board'!$E$9</f>
              <strCache>
                <ptCount val="1"/>
                <pt idx="0">
                  <v>UMSCI</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'Conference Board'!$A$10:$A$781</f>
              <numCache>
                <formatCode>m/d/yy</formatCode>
                <ptCount val="772"/>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pt idx="759">
                  <v>44652</v>
                </pt>
                <pt idx="760">
                  <v>44682</v>
                </pt>
                <pt idx="761">
                  <v>44713</v>
                </pt>
                <pt idx="762">
                  <v>44743</v>
                </pt>
                <pt idx="763">
                  <v>44774</v>
                </pt>
                <pt idx="764">
                  <v>44805</v>
                </pt>
              </numCache>
            </numRef>
          </cat>
          <val>
            <numRef>
              <f>'Conference Board'!$E$10:$E$781</f>
              <numCache>
                <formatCode>0.00</formatCode>
                <ptCount val="772"/>
                <pt idx="0">
                  <v>55.450001</v>
                </pt>
                <pt idx="1">
                  <v>55.41</v>
                </pt>
                <pt idx="2">
                  <v>55.439999</v>
                </pt>
                <pt idx="3">
                  <v>57.59</v>
                </pt>
                <pt idx="4">
                  <v>58.68</v>
                </pt>
                <pt idx="5">
                  <v>58.470001</v>
                </pt>
                <pt idx="6">
                  <v>60.509998</v>
                </pt>
                <pt idx="7">
                  <v>59.599998</v>
                </pt>
                <pt idx="8">
                  <v>56.880001</v>
                </pt>
                <pt idx="9">
                  <v>57.52</v>
                </pt>
                <pt idx="10">
                  <v>58.279999</v>
                </pt>
                <pt idx="11">
                  <v>59.889999</v>
                </pt>
                <pt idx="12">
                  <v>55.610001</v>
                </pt>
                <pt idx="13">
                  <v>56.119999</v>
                </pt>
                <pt idx="14">
                  <v>55.34</v>
                </pt>
                <pt idx="15">
                  <v>54.369999</v>
                </pt>
                <pt idx="16">
                  <v>55.830002</v>
                </pt>
                <pt idx="17">
                  <v>56.919998</v>
                </pt>
                <pt idx="18">
                  <v>55.509998</v>
                </pt>
                <pt idx="19">
                  <v>56.959999</v>
                </pt>
                <pt idx="20">
                  <v>53.52</v>
                </pt>
                <pt idx="21">
                  <v>53.389999</v>
                </pt>
                <pt idx="22">
                  <v>55.540001</v>
                </pt>
                <pt idx="23">
                  <v>58.110001</v>
                </pt>
                <pt idx="24">
                  <v>61.779999</v>
                </pt>
                <pt idx="25">
                  <v>63.439999</v>
                </pt>
                <pt idx="26">
                  <v>65.05999799999999</v>
                </pt>
                <pt idx="27">
                  <v>65.30999799999999</v>
                </pt>
                <pt idx="28">
                  <v>66.55999799999999</v>
                </pt>
                <pt idx="29">
                  <v>64.639999</v>
                </pt>
                <pt idx="30">
                  <v>66.760002</v>
                </pt>
                <pt idx="31">
                  <v>68.06999999999999</v>
                </pt>
                <pt idx="32">
                  <v>66.730003</v>
                </pt>
                <pt idx="33">
                  <v>68.620003</v>
                </pt>
                <pt idx="34">
                  <v>71.31999999999999</v>
                </pt>
                <pt idx="35">
                  <v>71.550003</v>
                </pt>
                <pt idx="36">
                  <v>68.839996</v>
                </pt>
                <pt idx="37">
                  <v>69.959999</v>
                </pt>
                <pt idx="38">
                  <v>69.550003</v>
                </pt>
                <pt idx="39">
                  <v>65.239998</v>
                </pt>
                <pt idx="40">
                  <v>59.630001</v>
                </pt>
                <pt idx="41">
                  <v>54.75</v>
                </pt>
                <pt idx="42">
                  <v>58.23</v>
                </pt>
                <pt idx="43">
                  <v>59.119999</v>
                </pt>
                <pt idx="44">
                  <v>56.27</v>
                </pt>
                <pt idx="45">
                  <v>56.52</v>
                </pt>
                <pt idx="46">
                  <v>62.259998</v>
                </pt>
                <pt idx="47">
                  <v>63.099998</v>
                </pt>
                <pt idx="48">
                  <v>66.199997</v>
                </pt>
                <pt idx="49">
                  <v>64.290001</v>
                </pt>
                <pt idx="50">
                  <v>66.56999999999999</v>
                </pt>
                <pt idx="51">
                  <v>69.800003</v>
                </pt>
                <pt idx="52">
                  <v>70.800003</v>
                </pt>
                <pt idx="53">
                  <v>69.370003</v>
                </pt>
                <pt idx="54">
                  <v>69.129997</v>
                </pt>
                <pt idx="55">
                  <v>72.5</v>
                </pt>
                <pt idx="56">
                  <v>71.699997</v>
                </pt>
                <pt idx="57">
                  <v>74.010002</v>
                </pt>
                <pt idx="58">
                  <v>73.230003</v>
                </pt>
                <pt idx="59">
                  <v>75.019997</v>
                </pt>
                <pt idx="60">
                  <v>77.040001</v>
                </pt>
                <pt idx="61">
                  <v>77.800003</v>
                </pt>
                <pt idx="62">
                  <v>78.980003</v>
                </pt>
                <pt idx="63">
                  <v>79.459999</v>
                </pt>
                <pt idx="64">
                  <v>80.370003</v>
                </pt>
                <pt idx="65">
                  <v>81.69000200000001</v>
                </pt>
                <pt idx="66">
                  <v>83.18000000000001</v>
                </pt>
                <pt idx="67">
                  <v>81.83000199999999</v>
                </pt>
                <pt idx="68">
                  <v>84.18000000000001</v>
                </pt>
                <pt idx="69">
                  <v>84.860001</v>
                </pt>
                <pt idx="70">
                  <v>84.41999800000001</v>
                </pt>
                <pt idx="71">
                  <v>84.75</v>
                </pt>
                <pt idx="72">
                  <v>87.55999799999999</v>
                </pt>
                <pt idx="73">
                  <v>87.43000000000001</v>
                </pt>
                <pt idx="74">
                  <v>86.160004</v>
                </pt>
                <pt idx="75">
                  <v>89.110001</v>
                </pt>
                <pt idx="76">
                  <v>88.41999800000001</v>
                </pt>
                <pt idx="77">
                  <v>84.120003</v>
                </pt>
                <pt idx="78">
                  <v>85.25</v>
                </pt>
                <pt idx="79">
                  <v>87.16999800000001</v>
                </pt>
                <pt idx="80">
                  <v>89.959999</v>
                </pt>
                <pt idx="81">
                  <v>92.41999800000001</v>
                </pt>
                <pt idx="82">
                  <v>91.610001</v>
                </pt>
                <pt idx="83">
                  <v>92.43000000000001</v>
                </pt>
                <pt idx="84">
                  <v>92.879997</v>
                </pt>
                <pt idx="85">
                  <v>91.220001</v>
                </pt>
                <pt idx="86">
                  <v>89.230003</v>
                </pt>
                <pt idx="87">
                  <v>91.05999799999999</v>
                </pt>
                <pt idx="88">
                  <v>86.129997</v>
                </pt>
                <pt idx="89">
                  <v>84.739998</v>
                </pt>
                <pt idx="90">
                  <v>83.599998</v>
                </pt>
                <pt idx="91">
                  <v>77.099998</v>
                </pt>
                <pt idx="92">
                  <v>76.55999799999999</v>
                </pt>
                <pt idx="93">
                  <v>80.199997</v>
                </pt>
                <pt idx="94">
                  <v>80.449997</v>
                </pt>
                <pt idx="95">
                  <v>80.33000199999999</v>
                </pt>
                <pt idx="96">
                  <v>86.610001</v>
                </pt>
                <pt idx="97">
                  <v>86.779999</v>
                </pt>
                <pt idx="98">
                  <v>90.199997</v>
                </pt>
                <pt idx="99">
                  <v>94.010002</v>
                </pt>
                <pt idx="100">
                  <v>89.08000199999999</v>
                </pt>
                <pt idx="101">
                  <v>90.639999</v>
                </pt>
                <pt idx="102">
                  <v>94.75</v>
                </pt>
                <pt idx="103">
                  <v>93.639999</v>
                </pt>
                <pt idx="104">
                  <v>96.709999</v>
                </pt>
                <pt idx="105">
                  <v>93.300003</v>
                </pt>
                <pt idx="106">
                  <v>94</v>
                </pt>
                <pt idx="107">
                  <v>96.470001</v>
                </pt>
                <pt idx="108">
                  <v>92.239998</v>
                </pt>
                <pt idx="109">
                  <v>89.360001</v>
                </pt>
                <pt idx="110">
                  <v>90.199997</v>
                </pt>
                <pt idx="111">
                  <v>97.459999</v>
                </pt>
                <pt idx="112">
                  <v>98.68000000000001</v>
                </pt>
                <pt idx="113">
                  <v>99.58000199999999</v>
                </pt>
                <pt idx="114">
                  <v>97.739998</v>
                </pt>
                <pt idx="115">
                  <v>98.860001</v>
                </pt>
                <pt idx="116">
                  <v>102.669998</v>
                </pt>
                <pt idx="117">
                  <v>103.410004</v>
                </pt>
                <pt idx="118">
                  <v>108.370003</v>
                </pt>
                <pt idx="119">
                  <v>103.860001</v>
                </pt>
                <pt idx="120">
                  <v>103.010002</v>
                </pt>
                <pt idx="121">
                  <v>98.129997</v>
                </pt>
                <pt idx="122">
                  <v>101.510002</v>
                </pt>
                <pt idx="123">
                  <v>103.690002</v>
                </pt>
                <pt idx="124">
                  <v>103.459999</v>
                </pt>
                <pt idx="125">
                  <v>97.709999</v>
                </pt>
                <pt idx="126">
                  <v>91.83000199999999</v>
                </pt>
                <pt idx="127">
                  <v>95.510002</v>
                </pt>
                <pt idx="128">
                  <v>93.120003</v>
                </pt>
                <pt idx="129">
                  <v>97.120003</v>
                </pt>
                <pt idx="130">
                  <v>93.80999799999999</v>
                </pt>
                <pt idx="131">
                  <v>92.05999799999999</v>
                </pt>
                <pt idx="132">
                  <v>85.019997</v>
                </pt>
                <pt idx="133">
                  <v>89.5</v>
                </pt>
                <pt idx="134">
                  <v>89.629997</v>
                </pt>
                <pt idx="135">
                  <v>81.519997</v>
                </pt>
                <pt idx="136">
                  <v>76.550003</v>
                </pt>
                <pt idx="137">
                  <v>72.720001</v>
                </pt>
                <pt idx="138">
                  <v>78.050003</v>
                </pt>
                <pt idx="139">
                  <v>81.519997</v>
                </pt>
                <pt idx="140">
                  <v>84.300003</v>
                </pt>
                <pt idx="141">
                  <v>83.25</v>
                </pt>
                <pt idx="142">
                  <v>87.199997</v>
                </pt>
                <pt idx="143">
                  <v>92.150002</v>
                </pt>
                <pt idx="144">
                  <v>95.879997</v>
                </pt>
                <pt idx="145">
                  <v>96.75</v>
                </pt>
                <pt idx="146">
                  <v>100.309998</v>
                </pt>
                <pt idx="147">
                  <v>103.949997</v>
                </pt>
                <pt idx="148">
                  <v>99.629997</v>
                </pt>
                <pt idx="149">
                  <v>98.699997</v>
                </pt>
                <pt idx="150">
                  <v>95.58000199999999</v>
                </pt>
                <pt idx="151">
                  <v>99.029999</v>
                </pt>
                <pt idx="152">
                  <v>98.339996</v>
                </pt>
                <pt idx="153">
                  <v>94.230003</v>
                </pt>
                <pt idx="154">
                  <v>93.989998</v>
                </pt>
                <pt idx="155">
                  <v>102.089996</v>
                </pt>
                <pt idx="156">
                  <v>103.940002</v>
                </pt>
                <pt idx="157">
                  <v>106.57</v>
                </pt>
                <pt idx="158">
                  <v>107.199997</v>
                </pt>
                <pt idx="159">
                  <v>107.669998</v>
                </pt>
                <pt idx="160">
                  <v>109.529999</v>
                </pt>
                <pt idx="161">
                  <v>107.139999</v>
                </pt>
                <pt idx="162">
                  <v>107.389999</v>
                </pt>
                <pt idx="163">
                  <v>111.089996</v>
                </pt>
                <pt idx="164">
                  <v>110.550003</v>
                </pt>
                <pt idx="165">
                  <v>111.580002</v>
                </pt>
                <pt idx="166">
                  <v>116.669998</v>
                </pt>
                <pt idx="167">
                  <v>118.050003</v>
                </pt>
                <pt idx="168">
                  <v>116.029999</v>
                </pt>
                <pt idx="169">
                  <v>111.68</v>
                </pt>
                <pt idx="170">
                  <v>111.519997</v>
                </pt>
                <pt idx="171">
                  <v>106.970001</v>
                </pt>
                <pt idx="172">
                  <v>104.949997</v>
                </pt>
                <pt idx="173">
                  <v>104.260002</v>
                </pt>
                <pt idx="174">
                  <v>108.220001</v>
                </pt>
                <pt idx="175">
                  <v>104.25</v>
                </pt>
                <pt idx="176">
                  <v>108.43</v>
                </pt>
                <pt idx="177">
                  <v>108.290001</v>
                </pt>
                <pt idx="178">
                  <v>95.959999</v>
                </pt>
                <pt idx="179">
                  <v>97.550003</v>
                </pt>
                <pt idx="180">
                  <v>96.56999999999999</v>
                </pt>
                <pt idx="181">
                  <v>96.220001</v>
                </pt>
                <pt idx="182">
                  <v>93.980003</v>
                </pt>
                <pt idx="183">
                  <v>90.30999799999999</v>
                </pt>
                <pt idx="184">
                  <v>87.279999</v>
                </pt>
                <pt idx="185">
                  <v>86</v>
                </pt>
                <pt idx="186">
                  <v>79.30999799999999</v>
                </pt>
                <pt idx="187">
                  <v>72.150002</v>
                </pt>
                <pt idx="188">
                  <v>63.540001</v>
                </pt>
                <pt idx="189">
                  <v>73.900002</v>
                </pt>
                <pt idx="190">
                  <v>69.970001</v>
                </pt>
                <pt idx="191">
                  <v>68.55999799999999</v>
                </pt>
                <pt idx="192">
                  <v>76.980003</v>
                </pt>
                <pt idx="193">
                  <v>81.589996</v>
                </pt>
                <pt idx="194">
                  <v>83.360001</v>
                </pt>
                <pt idx="195">
                  <v>87.300003</v>
                </pt>
                <pt idx="196">
                  <v>91.150002</v>
                </pt>
                <pt idx="197">
                  <v>95.19000200000001</v>
                </pt>
                <pt idx="198">
                  <v>88.75</v>
                </pt>
                <pt idx="199">
                  <v>86.879997</v>
                </pt>
                <pt idx="200">
                  <v>83.870003</v>
                </pt>
                <pt idx="201">
                  <v>89.040001</v>
                </pt>
                <pt idx="202">
                  <v>91.239998</v>
                </pt>
                <pt idx="203">
                  <v>90.19000200000001</v>
                </pt>
                <pt idx="204">
                  <v>100.860001</v>
                </pt>
                <pt idx="205">
                  <v>99.709999</v>
                </pt>
                <pt idx="206">
                  <v>102.769997</v>
                </pt>
                <pt idx="207">
                  <v>101.639999</v>
                </pt>
                <pt idx="208">
                  <v>100.18</v>
                </pt>
                <pt idx="209">
                  <v>104.279999</v>
                </pt>
                <pt idx="210">
                  <v>103.440002</v>
                </pt>
                <pt idx="211">
                  <v>102.910004</v>
                </pt>
                <pt idx="212">
                  <v>105.239998</v>
                </pt>
                <pt idx="213">
                  <v>102.900002</v>
                </pt>
                <pt idx="214">
                  <v>102.099998</v>
                </pt>
                <pt idx="215">
                  <v>107.459999</v>
                </pt>
                <pt idx="216">
                  <v>102.029999</v>
                </pt>
                <pt idx="217">
                  <v>99.81999999999999</v>
                </pt>
                <pt idx="218">
                  <v>98.41999800000001</v>
                </pt>
                <pt idx="219">
                  <v>98.44000200000001</v>
                </pt>
                <pt idx="220">
                  <v>96.120003</v>
                </pt>
                <pt idx="221">
                  <v>100.480003</v>
                </pt>
                <pt idx="222">
                  <v>98.849998</v>
                </pt>
                <pt idx="223">
                  <v>96.769997</v>
                </pt>
                <pt idx="224">
                  <v>96.529999</v>
                </pt>
                <pt idx="225">
                  <v>92.339996</v>
                </pt>
                <pt idx="226">
                  <v>94.83000199999999</v>
                </pt>
                <pt idx="227">
                  <v>95.099998</v>
                </pt>
                <pt idx="228">
                  <v>89.25</v>
                </pt>
                <pt idx="229">
                  <v>87.040001</v>
                </pt>
                <pt idx="230">
                  <v>89.209999</v>
                </pt>
                <pt idx="231">
                  <v>96.83000199999999</v>
                </pt>
                <pt idx="232">
                  <v>97.239998</v>
                </pt>
                <pt idx="233">
                  <v>95.529999</v>
                </pt>
                <pt idx="234">
                  <v>100.68</v>
                </pt>
                <pt idx="235">
                  <v>103.290001</v>
                </pt>
                <pt idx="236">
                  <v>102.540001</v>
                </pt>
                <pt idx="237">
                  <v>93.150002</v>
                </pt>
                <pt idx="238">
                  <v>94.699997</v>
                </pt>
                <pt idx="239">
                  <v>96.110001</v>
                </pt>
                <pt idx="240">
                  <v>99.93000000000001</v>
                </pt>
                <pt idx="241">
                  <v>96.279999</v>
                </pt>
                <pt idx="242">
                  <v>101.589996</v>
                </pt>
                <pt idx="243">
                  <v>101.760002</v>
                </pt>
                <pt idx="244">
                  <v>99.08000199999999</v>
                </pt>
                <pt idx="245">
                  <v>102.910004</v>
                </pt>
                <pt idx="246">
                  <v>103.809998</v>
                </pt>
                <pt idx="247">
                  <v>109.32</v>
                </pt>
                <pt idx="248">
                  <v>109.32</v>
                </pt>
                <pt idx="249">
                  <v>101.82</v>
                </pt>
                <pt idx="250">
                  <v>106.160004</v>
                </pt>
                <pt idx="251">
                  <v>107.940002</v>
                </pt>
                <pt idx="252">
                  <v>114.160004</v>
                </pt>
                <pt idx="253">
                  <v>113.660004</v>
                </pt>
                <pt idx="254">
                  <v>102.089996</v>
                </pt>
                <pt idx="255">
                  <v>106.290001</v>
                </pt>
                <pt idx="256">
                  <v>111.239998</v>
                </pt>
                <pt idx="257">
                  <v>114.239998</v>
                </pt>
                <pt idx="258">
                  <v>121.669998</v>
                </pt>
                <pt idx="259">
                  <v>122.379997</v>
                </pt>
                <pt idx="260">
                  <v>125.459999</v>
                </pt>
                <pt idx="261">
                  <v>127.470001</v>
                </pt>
                <pt idx="262">
                  <v>140.520004</v>
                </pt>
                <pt idx="263">
                  <v>135.759995</v>
                </pt>
                <pt idx="264">
                  <v>129.550003</v>
                </pt>
                <pt idx="265">
                  <v>131.270004</v>
                </pt>
                <pt idx="266">
                  <v>136</v>
                </pt>
                <pt idx="267">
                  <v>132.809998</v>
                </pt>
                <pt idx="268">
                  <v>132.589996</v>
                </pt>
                <pt idx="269">
                  <v>131.210007</v>
                </pt>
                <pt idx="270">
                  <v>130.919998</v>
                </pt>
                <pt idx="271">
                  <v>122.790001</v>
                </pt>
                <pt idx="272">
                  <v>116.18</v>
                </pt>
                <pt idx="273">
                  <v>121.889999</v>
                </pt>
                <pt idx="274">
                  <v>126.349998</v>
                </pt>
                <pt idx="275">
                  <v>122.550003</v>
                </pt>
                <pt idx="276">
                  <v>120.400002</v>
                </pt>
                <pt idx="277">
                  <v>113.110001</v>
                </pt>
                <pt idx="278">
                  <v>111.959999</v>
                </pt>
                <pt idx="279">
                  <v>116.440002</v>
                </pt>
                <pt idx="280">
                  <v>111.879997</v>
                </pt>
                <pt idx="281">
                  <v>109.610001</v>
                </pt>
                <pt idx="282">
                  <v>107.089996</v>
                </pt>
                <pt idx="283">
                  <v>119.510002</v>
                </pt>
                <pt idx="284">
                  <v>120.419998</v>
                </pt>
                <pt idx="285">
                  <v>133.720001</v>
                </pt>
                <pt idx="286">
                  <v>138.529999</v>
                </pt>
                <pt idx="287">
                  <v>140.639999</v>
                </pt>
                <pt idx="288">
                  <v>145.300003</v>
                </pt>
                <pt idx="289">
                  <v>148.059998</v>
                </pt>
                <pt idx="290">
                  <v>152.960007</v>
                </pt>
                <pt idx="291">
                  <v>164.429993</v>
                </pt>
                <pt idx="292">
                  <v>162.389999</v>
                </pt>
                <pt idx="293">
                  <v>167.639999</v>
                </pt>
                <pt idx="294">
                  <v>162.559998</v>
                </pt>
                <pt idx="295">
                  <v>164.399994</v>
                </pt>
                <pt idx="296">
                  <v>166.070007</v>
                </pt>
                <pt idx="297">
                  <v>163.550003</v>
                </pt>
                <pt idx="298">
                  <v>166.399994</v>
                </pt>
                <pt idx="299">
                  <v>164.929993</v>
                </pt>
                <pt idx="300">
                  <v>163.410004</v>
                </pt>
                <pt idx="301">
                  <v>157.059998</v>
                </pt>
                <pt idx="302">
                  <v>159.179993</v>
                </pt>
                <pt idx="303">
                  <v>160.050003</v>
                </pt>
                <pt idx="304">
                  <v>150.550003</v>
                </pt>
                <pt idx="305">
                  <v>153.179993</v>
                </pt>
                <pt idx="306">
                  <v>150.660004</v>
                </pt>
                <pt idx="307">
                  <v>166.679993</v>
                </pt>
                <pt idx="308">
                  <v>166.100006</v>
                </pt>
                <pt idx="309">
                  <v>166.089996</v>
                </pt>
                <pt idx="310">
                  <v>163.580002</v>
                </pt>
                <pt idx="311">
                  <v>167.240005</v>
                </pt>
                <pt idx="312">
                  <v>96</v>
                </pt>
                <pt idx="313">
                  <v>93.7</v>
                </pt>
                <pt idx="314">
                  <v>93.7</v>
                </pt>
                <pt idx="315">
                  <v>94.59999999999999</v>
                </pt>
                <pt idx="316">
                  <v>91.8</v>
                </pt>
                <pt idx="317">
                  <v>96.5</v>
                </pt>
                <pt idx="318">
                  <v>94</v>
                </pt>
                <pt idx="319">
                  <v>92.40000000000001</v>
                </pt>
                <pt idx="320">
                  <v>92.09999999999999</v>
                </pt>
                <pt idx="321">
                  <v>88.40000000000001</v>
                </pt>
                <pt idx="322">
                  <v>90.90000000000001</v>
                </pt>
                <pt idx="323">
                  <v>93.90000000000001</v>
                </pt>
                <pt idx="324">
                  <v>95.59999999999999</v>
                </pt>
                <pt idx="325">
                  <v>95.90000000000001</v>
                </pt>
                <pt idx="326">
                  <v>95.09999999999999</v>
                </pt>
                <pt idx="327">
                  <v>96.2</v>
                </pt>
                <pt idx="328">
                  <v>94.8</v>
                </pt>
                <pt idx="329">
                  <v>99.3</v>
                </pt>
                <pt idx="330">
                  <v>97.7</v>
                </pt>
                <pt idx="331">
                  <v>94.90000000000001</v>
                </pt>
                <pt idx="332">
                  <v>91.90000000000001</v>
                </pt>
                <pt idx="333">
                  <v>95.59999999999999</v>
                </pt>
                <pt idx="334">
                  <v>91.40000000000001</v>
                </pt>
                <pt idx="335">
                  <v>89.09999999999999</v>
                </pt>
                <pt idx="336">
                  <v>90.40000000000001</v>
                </pt>
                <pt idx="337">
                  <v>90.2</v>
                </pt>
                <pt idx="338">
                  <v>90.8</v>
                </pt>
                <pt idx="339">
                  <v>92.8</v>
                </pt>
                <pt idx="340">
                  <v>91.09999999999999</v>
                </pt>
                <pt idx="341">
                  <v>91.5</v>
                </pt>
                <pt idx="342">
                  <v>93.7</v>
                </pt>
                <pt idx="343">
                  <v>94.40000000000001</v>
                </pt>
                <pt idx="344">
                  <v>93.59999999999999</v>
                </pt>
                <pt idx="345">
                  <v>89.3</v>
                </pt>
                <pt idx="346">
                  <v>83.09999999999999</v>
                </pt>
                <pt idx="347">
                  <v>86.8</v>
                </pt>
                <pt idx="348">
                  <v>90.8</v>
                </pt>
                <pt idx="349">
                  <v>91.59999999999999</v>
                </pt>
                <pt idx="350">
                  <v>94.59999999999999</v>
                </pt>
                <pt idx="351">
                  <v>91.2</v>
                </pt>
                <pt idx="352">
                  <v>94.8</v>
                </pt>
                <pt idx="353">
                  <v>94.7</v>
                </pt>
                <pt idx="354">
                  <v>93.40000000000001</v>
                </pt>
                <pt idx="355">
                  <v>97.40000000000001</v>
                </pt>
                <pt idx="356">
                  <v>97.3</v>
                </pt>
                <pt idx="357">
                  <v>94.09999999999999</v>
                </pt>
                <pt idx="358">
                  <v>93</v>
                </pt>
                <pt idx="359">
                  <v>91.90000000000001</v>
                </pt>
                <pt idx="360">
                  <v>97.90000000000001</v>
                </pt>
                <pt idx="361">
                  <v>95.40000000000001</v>
                </pt>
                <pt idx="362">
                  <v>94.3</v>
                </pt>
                <pt idx="363">
                  <v>91.5</v>
                </pt>
                <pt idx="364">
                  <v>90.7</v>
                </pt>
                <pt idx="365">
                  <v>90.59999999999999</v>
                </pt>
                <pt idx="366">
                  <v>92</v>
                </pt>
                <pt idx="367">
                  <v>89.59999999999999</v>
                </pt>
                <pt idx="368">
                  <v>95.8</v>
                </pt>
                <pt idx="369">
                  <v>93.90000000000001</v>
                </pt>
                <pt idx="370">
                  <v>90.90000000000001</v>
                </pt>
                <pt idx="371">
                  <v>90.5</v>
                </pt>
                <pt idx="372">
                  <v>93</v>
                </pt>
                <pt idx="373">
                  <v>89.5</v>
                </pt>
                <pt idx="374">
                  <v>91.3</v>
                </pt>
                <pt idx="375">
                  <v>93.90000000000001</v>
                </pt>
                <pt idx="376">
                  <v>90.59999999999999</v>
                </pt>
                <pt idx="377">
                  <v>88.3</v>
                </pt>
                <pt idx="378">
                  <v>88.2</v>
                </pt>
                <pt idx="379">
                  <v>76.40000000000001</v>
                </pt>
                <pt idx="380">
                  <v>72.8</v>
                </pt>
                <pt idx="381">
                  <v>63.9</v>
                </pt>
                <pt idx="382">
                  <v>66</v>
                </pt>
                <pt idx="383">
                  <v>65.5</v>
                </pt>
                <pt idx="384">
                  <v>66.8</v>
                </pt>
                <pt idx="385">
                  <v>70.40000000000001</v>
                </pt>
                <pt idx="386">
                  <v>87.7</v>
                </pt>
                <pt idx="387">
                  <v>81.8</v>
                </pt>
                <pt idx="388">
                  <v>78.3</v>
                </pt>
                <pt idx="389">
                  <v>82.09999999999999</v>
                </pt>
                <pt idx="390">
                  <v>82.90000000000001</v>
                </pt>
                <pt idx="391">
                  <v>82</v>
                </pt>
                <pt idx="392">
                  <v>83</v>
                </pt>
                <pt idx="393">
                  <v>78.3</v>
                </pt>
                <pt idx="394">
                  <v>69.09999999999999</v>
                </pt>
                <pt idx="395">
                  <v>68.2</v>
                </pt>
                <pt idx="396">
                  <v>67.5</v>
                </pt>
                <pt idx="397">
                  <v>68.8</v>
                </pt>
                <pt idx="398">
                  <v>76</v>
                </pt>
                <pt idx="399">
                  <v>77.2</v>
                </pt>
                <pt idx="400">
                  <v>79.2</v>
                </pt>
                <pt idx="401">
                  <v>80.40000000000001</v>
                </pt>
                <pt idx="402">
                  <v>76.59999999999999</v>
                </pt>
                <pt idx="403">
                  <v>76.09999999999999</v>
                </pt>
                <pt idx="404">
                  <v>75.59999999999999</v>
                </pt>
                <pt idx="405">
                  <v>73.3</v>
                </pt>
                <pt idx="406">
                  <v>85.3</v>
                </pt>
                <pt idx="407">
                  <v>91</v>
                </pt>
                <pt idx="408">
                  <v>89.3</v>
                </pt>
                <pt idx="409">
                  <v>86.59999999999999</v>
                </pt>
                <pt idx="410">
                  <v>85.90000000000001</v>
                </pt>
                <pt idx="411">
                  <v>85.59999999999999</v>
                </pt>
                <pt idx="412">
                  <v>80.3</v>
                </pt>
                <pt idx="413">
                  <v>81.5</v>
                </pt>
                <pt idx="414">
                  <v>77</v>
                </pt>
                <pt idx="415">
                  <v>77.3</v>
                </pt>
                <pt idx="416">
                  <v>77.90000000000001</v>
                </pt>
                <pt idx="417">
                  <v>82.7</v>
                </pt>
                <pt idx="418">
                  <v>81.2</v>
                </pt>
                <pt idx="419">
                  <v>88.2</v>
                </pt>
                <pt idx="420">
                  <v>94.3</v>
                </pt>
                <pt idx="421">
                  <v>93.2</v>
                </pt>
                <pt idx="422">
                  <v>91.5</v>
                </pt>
                <pt idx="423">
                  <v>92.59999999999999</v>
                </pt>
                <pt idx="424">
                  <v>92.8</v>
                </pt>
                <pt idx="425">
                  <v>91.2</v>
                </pt>
                <pt idx="426">
                  <v>89</v>
                </pt>
                <pt idx="427">
                  <v>91.7</v>
                </pt>
                <pt idx="428">
                  <v>91.5</v>
                </pt>
                <pt idx="429">
                  <v>92.7</v>
                </pt>
                <pt idx="430">
                  <v>91.59999999999999</v>
                </pt>
                <pt idx="431">
                  <v>95.09999999999999</v>
                </pt>
                <pt idx="432">
                  <v>97.59999999999999</v>
                </pt>
                <pt idx="433">
                  <v>95.09999999999999</v>
                </pt>
                <pt idx="434">
                  <v>90.3</v>
                </pt>
                <pt idx="435">
                  <v>92.5</v>
                </pt>
                <pt idx="436">
                  <v>89.8</v>
                </pt>
                <pt idx="437">
                  <v>92.7</v>
                </pt>
                <pt idx="438">
                  <v>94.40000000000001</v>
                </pt>
                <pt idx="439">
                  <v>96.2</v>
                </pt>
                <pt idx="440">
                  <v>88.90000000000001</v>
                </pt>
                <pt idx="441">
                  <v>90.2</v>
                </pt>
                <pt idx="442">
                  <v>88.2</v>
                </pt>
                <pt idx="443">
                  <v>91</v>
                </pt>
                <pt idx="444">
                  <v>89.3</v>
                </pt>
                <pt idx="445">
                  <v>88.5</v>
                </pt>
                <pt idx="446">
                  <v>93.7</v>
                </pt>
                <pt idx="447">
                  <v>92.7</v>
                </pt>
                <pt idx="448">
                  <v>89.40000000000001</v>
                </pt>
                <pt idx="449">
                  <v>92.40000000000001</v>
                </pt>
                <pt idx="450">
                  <v>94.7</v>
                </pt>
                <pt idx="451">
                  <v>95.3</v>
                </pt>
                <pt idx="452">
                  <v>94.7</v>
                </pt>
                <pt idx="453">
                  <v>96.5</v>
                </pt>
                <pt idx="454">
                  <v>99.2</v>
                </pt>
                <pt idx="455">
                  <v>96.90000000000001</v>
                </pt>
                <pt idx="456">
                  <v>97.40000000000001</v>
                </pt>
                <pt idx="457">
                  <v>99.7</v>
                </pt>
                <pt idx="458">
                  <v>100</v>
                </pt>
                <pt idx="459">
                  <v>101.4</v>
                </pt>
                <pt idx="460">
                  <v>103.2</v>
                </pt>
                <pt idx="461">
                  <v>104.5</v>
                </pt>
                <pt idx="462">
                  <v>107.1</v>
                </pt>
                <pt idx="463">
                  <v>104.4</v>
                </pt>
                <pt idx="464">
                  <v>106</v>
                </pt>
                <pt idx="465">
                  <v>105.6</v>
                </pt>
                <pt idx="466">
                  <v>107.2</v>
                </pt>
                <pt idx="467">
                  <v>102.1</v>
                </pt>
                <pt idx="468">
                  <v>106.6</v>
                </pt>
                <pt idx="469">
                  <v>110.4</v>
                </pt>
                <pt idx="470">
                  <v>106.5</v>
                </pt>
                <pt idx="471">
                  <v>108.7</v>
                </pt>
                <pt idx="472">
                  <v>106.5</v>
                </pt>
                <pt idx="473">
                  <v>105.6</v>
                </pt>
                <pt idx="474">
                  <v>105.2</v>
                </pt>
                <pt idx="475">
                  <v>104.4</v>
                </pt>
                <pt idx="476">
                  <v>100.9</v>
                </pt>
                <pt idx="477">
                  <v>97.40000000000001</v>
                </pt>
                <pt idx="478">
                  <v>102.7</v>
                </pt>
                <pt idx="479">
                  <v>100.5</v>
                </pt>
                <pt idx="480">
                  <v>103.9</v>
                </pt>
                <pt idx="481">
                  <v>108.1</v>
                </pt>
                <pt idx="482">
                  <v>105.7</v>
                </pt>
                <pt idx="483">
                  <v>104.6</v>
                </pt>
                <pt idx="484">
                  <v>106.8</v>
                </pt>
                <pt idx="485">
                  <v>107.3</v>
                </pt>
                <pt idx="486">
                  <v>106</v>
                </pt>
                <pt idx="487">
                  <v>104.5</v>
                </pt>
                <pt idx="488">
                  <v>107.2</v>
                </pt>
                <pt idx="489">
                  <v>103.2</v>
                </pt>
                <pt idx="490">
                  <v>107.2</v>
                </pt>
                <pt idx="491">
                  <v>105.4</v>
                </pt>
                <pt idx="492">
                  <v>112</v>
                </pt>
                <pt idx="493">
                  <v>111.3</v>
                </pt>
                <pt idx="494">
                  <v>107.1</v>
                </pt>
                <pt idx="495">
                  <v>109.2</v>
                </pt>
                <pt idx="496">
                  <v>110.7</v>
                </pt>
                <pt idx="497">
                  <v>106.4</v>
                </pt>
                <pt idx="498">
                  <v>108.3</v>
                </pt>
                <pt idx="499">
                  <v>107.3</v>
                </pt>
                <pt idx="500">
                  <v>106.8</v>
                </pt>
                <pt idx="501">
                  <v>105.8</v>
                </pt>
                <pt idx="502">
                  <v>107.6</v>
                </pt>
                <pt idx="503">
                  <v>98.40000000000001</v>
                </pt>
                <pt idx="504">
                  <v>94.7</v>
                </pt>
                <pt idx="505">
                  <v>90.59999999999999</v>
                </pt>
                <pt idx="506">
                  <v>91.5</v>
                </pt>
                <pt idx="507">
                  <v>88.40000000000001</v>
                </pt>
                <pt idx="508">
                  <v>92</v>
                </pt>
                <pt idx="509">
                  <v>92.59999999999999</v>
                </pt>
                <pt idx="510">
                  <v>92.40000000000001</v>
                </pt>
                <pt idx="511">
                  <v>91.5</v>
                </pt>
                <pt idx="512">
                  <v>81.8</v>
                </pt>
                <pt idx="513">
                  <v>82.7</v>
                </pt>
                <pt idx="514">
                  <v>83.90000000000001</v>
                </pt>
                <pt idx="515">
                  <v>88.8</v>
                </pt>
                <pt idx="516">
                  <v>93</v>
                </pt>
                <pt idx="517">
                  <v>90.7</v>
                </pt>
                <pt idx="518">
                  <v>95.7</v>
                </pt>
                <pt idx="519">
                  <v>93</v>
                </pt>
                <pt idx="520">
                  <v>96.90000000000001</v>
                </pt>
                <pt idx="521">
                  <v>92.40000000000001</v>
                </pt>
                <pt idx="522">
                  <v>88.09999999999999</v>
                </pt>
                <pt idx="523">
                  <v>87.59999999999999</v>
                </pt>
                <pt idx="524">
                  <v>86.09999999999999</v>
                </pt>
                <pt idx="525">
                  <v>80.59999999999999</v>
                </pt>
                <pt idx="526">
                  <v>84.2</v>
                </pt>
                <pt idx="527">
                  <v>86.7</v>
                </pt>
                <pt idx="528">
                  <v>82.40000000000001</v>
                </pt>
                <pt idx="529">
                  <v>79.90000000000001</v>
                </pt>
                <pt idx="530">
                  <v>77.59999999999999</v>
                </pt>
                <pt idx="531">
                  <v>86</v>
                </pt>
                <pt idx="532">
                  <v>92.09999999999999</v>
                </pt>
                <pt idx="533">
                  <v>89.7</v>
                </pt>
                <pt idx="534">
                  <v>90.90000000000001</v>
                </pt>
                <pt idx="535">
                  <v>89.3</v>
                </pt>
                <pt idx="536">
                  <v>87.7</v>
                </pt>
                <pt idx="537">
                  <v>89.59999999999999</v>
                </pt>
                <pt idx="538">
                  <v>93.7</v>
                </pt>
                <pt idx="539">
                  <v>92.59999999999999</v>
                </pt>
                <pt idx="540">
                  <v>103.8</v>
                </pt>
                <pt idx="541">
                  <v>94.40000000000001</v>
                </pt>
                <pt idx="542">
                  <v>95.8</v>
                </pt>
                <pt idx="543">
                  <v>94.2</v>
                </pt>
                <pt idx="544">
                  <v>90.2</v>
                </pt>
                <pt idx="545">
                  <v>95.59999999999999</v>
                </pt>
                <pt idx="546">
                  <v>96.7</v>
                </pt>
                <pt idx="547">
                  <v>95.90000000000001</v>
                </pt>
                <pt idx="548">
                  <v>94.2</v>
                </pt>
                <pt idx="549">
                  <v>91.7</v>
                </pt>
                <pt idx="550">
                  <v>92.8</v>
                </pt>
                <pt idx="551">
                  <v>97.09999999999999</v>
                </pt>
                <pt idx="552">
                  <v>95.5</v>
                </pt>
                <pt idx="553">
                  <v>94.09999999999999</v>
                </pt>
                <pt idx="554">
                  <v>92.59999999999999</v>
                </pt>
                <pt idx="555">
                  <v>87.7</v>
                </pt>
                <pt idx="556">
                  <v>86.90000000000001</v>
                </pt>
                <pt idx="557">
                  <v>96</v>
                </pt>
                <pt idx="558">
                  <v>96.5</v>
                </pt>
                <pt idx="559">
                  <v>89.09999999999999</v>
                </pt>
                <pt idx="560">
                  <v>76.90000000000001</v>
                </pt>
                <pt idx="561">
                  <v>74.2</v>
                </pt>
                <pt idx="562">
                  <v>81.59999999999999</v>
                </pt>
                <pt idx="563">
                  <v>91.5</v>
                </pt>
                <pt idx="564">
                  <v>91.2</v>
                </pt>
                <pt idx="565">
                  <v>86.7</v>
                </pt>
                <pt idx="566">
                  <v>88.90000000000001</v>
                </pt>
                <pt idx="567">
                  <v>87.40000000000001</v>
                </pt>
                <pt idx="568">
                  <v>79.09999999999999</v>
                </pt>
                <pt idx="569">
                  <v>84.90000000000001</v>
                </pt>
                <pt idx="570">
                  <v>84.7</v>
                </pt>
                <pt idx="571">
                  <v>82</v>
                </pt>
                <pt idx="572">
                  <v>85.40000000000001</v>
                </pt>
                <pt idx="573">
                  <v>93.59999999999999</v>
                </pt>
                <pt idx="574">
                  <v>92.09999999999999</v>
                </pt>
                <pt idx="575">
                  <v>91.7</v>
                </pt>
                <pt idx="576">
                  <v>96.90000000000001</v>
                </pt>
                <pt idx="577">
                  <v>91.3</v>
                </pt>
                <pt idx="578">
                  <v>88.40000000000001</v>
                </pt>
                <pt idx="579">
                  <v>87.09999999999999</v>
                </pt>
                <pt idx="580">
                  <v>88.3</v>
                </pt>
                <pt idx="581">
                  <v>85.3</v>
                </pt>
                <pt idx="582">
                  <v>90.40000000000001</v>
                </pt>
                <pt idx="583">
                  <v>83.40000000000001</v>
                </pt>
                <pt idx="584">
                  <v>83.40000000000001</v>
                </pt>
                <pt idx="585">
                  <v>80.90000000000001</v>
                </pt>
                <pt idx="586">
                  <v>76.09999999999999</v>
                </pt>
                <pt idx="587">
                  <v>75.5</v>
                </pt>
                <pt idx="588">
                  <v>78.40000000000001</v>
                </pt>
                <pt idx="589">
                  <v>70.8</v>
                </pt>
                <pt idx="590">
                  <v>69.5</v>
                </pt>
                <pt idx="591">
                  <v>62.6</v>
                </pt>
                <pt idx="592">
                  <v>59.8</v>
                </pt>
                <pt idx="593">
                  <v>56.4</v>
                </pt>
                <pt idx="594">
                  <v>61.2</v>
                </pt>
                <pt idx="595">
                  <v>63</v>
                </pt>
                <pt idx="596">
                  <v>70.3</v>
                </pt>
                <pt idx="597">
                  <v>57.6</v>
                </pt>
                <pt idx="598">
                  <v>55.3</v>
                </pt>
                <pt idx="599">
                  <v>60.1</v>
                </pt>
                <pt idx="600">
                  <v>61.2</v>
                </pt>
                <pt idx="601">
                  <v>56.3</v>
                </pt>
                <pt idx="602">
                  <v>57.3</v>
                </pt>
                <pt idx="603">
                  <v>65.09999999999999</v>
                </pt>
                <pt idx="604">
                  <v>68.7</v>
                </pt>
                <pt idx="605">
                  <v>70.8</v>
                </pt>
                <pt idx="606">
                  <v>66</v>
                </pt>
                <pt idx="607">
                  <v>65.7</v>
                </pt>
                <pt idx="608">
                  <v>73.5</v>
                </pt>
                <pt idx="609">
                  <v>70.59999999999999</v>
                </pt>
                <pt idx="610">
                  <v>67.40000000000001</v>
                </pt>
                <pt idx="611">
                  <v>72.5</v>
                </pt>
                <pt idx="612">
                  <v>74.40000000000001</v>
                </pt>
                <pt idx="613">
                  <v>73.59999999999999</v>
                </pt>
                <pt idx="614">
                  <v>73.59999999999999</v>
                </pt>
                <pt idx="615">
                  <v>72.2</v>
                </pt>
                <pt idx="616">
                  <v>73.59999999999999</v>
                </pt>
                <pt idx="617">
                  <v>76</v>
                </pt>
                <pt idx="618">
                  <v>67.8</v>
                </pt>
                <pt idx="619">
                  <v>68.90000000000001</v>
                </pt>
                <pt idx="620">
                  <v>68.2</v>
                </pt>
                <pt idx="621">
                  <v>67.7</v>
                </pt>
                <pt idx="622">
                  <v>71.59999999999999</v>
                </pt>
                <pt idx="623">
                  <v>74.5</v>
                </pt>
                <pt idx="624">
                  <v>74.2</v>
                </pt>
                <pt idx="625">
                  <v>77.5</v>
                </pt>
                <pt idx="626">
                  <v>67.5</v>
                </pt>
                <pt idx="627">
                  <v>69.8</v>
                </pt>
                <pt idx="628">
                  <v>74.3</v>
                </pt>
                <pt idx="629">
                  <v>71.5</v>
                </pt>
                <pt idx="630">
                  <v>63.7</v>
                </pt>
                <pt idx="631">
                  <v>55.8</v>
                </pt>
                <pt idx="632">
                  <v>59.5</v>
                </pt>
                <pt idx="633">
                  <v>60.8</v>
                </pt>
                <pt idx="634">
                  <v>63.7</v>
                </pt>
                <pt idx="635">
                  <v>69.90000000000001</v>
                </pt>
                <pt idx="636">
                  <v>75</v>
                </pt>
                <pt idx="637">
                  <v>75.3</v>
                </pt>
                <pt idx="638">
                  <v>76.2</v>
                </pt>
                <pt idx="639">
                  <v>76.40000000000001</v>
                </pt>
                <pt idx="640">
                  <v>79.3</v>
                </pt>
                <pt idx="641">
                  <v>73.2</v>
                </pt>
                <pt idx="642">
                  <v>72.3</v>
                </pt>
                <pt idx="643">
                  <v>74.3</v>
                </pt>
                <pt idx="644">
                  <v>78.3</v>
                </pt>
                <pt idx="645">
                  <v>82.59999999999999</v>
                </pt>
                <pt idx="646">
                  <v>82.7</v>
                </pt>
                <pt idx="647">
                  <v>72.90000000000001</v>
                </pt>
                <pt idx="648">
                  <v>73.8</v>
                </pt>
                <pt idx="649">
                  <v>77.59999999999999</v>
                </pt>
                <pt idx="650">
                  <v>78.59999999999999</v>
                </pt>
                <pt idx="651">
                  <v>76.40000000000001</v>
                </pt>
                <pt idx="652">
                  <v>84.5</v>
                </pt>
                <pt idx="653">
                  <v>84.09999999999999</v>
                </pt>
                <pt idx="654">
                  <v>85.09999999999999</v>
                </pt>
                <pt idx="655">
                  <v>82.09999999999999</v>
                </pt>
                <pt idx="656">
                  <v>77.5</v>
                </pt>
                <pt idx="657">
                  <v>73.2</v>
                </pt>
                <pt idx="658">
                  <v>75.09999999999999</v>
                </pt>
                <pt idx="659">
                  <v>82.5</v>
                </pt>
                <pt idx="660">
                  <v>81.2</v>
                </pt>
                <pt idx="661">
                  <v>81.59999999999999</v>
                </pt>
                <pt idx="662">
                  <v>80</v>
                </pt>
                <pt idx="663">
                  <v>84.09999999999999</v>
                </pt>
                <pt idx="664">
                  <v>81.90000000000001</v>
                </pt>
                <pt idx="665">
                  <v>82.5</v>
                </pt>
                <pt idx="666">
                  <v>81.8</v>
                </pt>
                <pt idx="667">
                  <v>82.5</v>
                </pt>
                <pt idx="668">
                  <v>84.59999999999999</v>
                </pt>
                <pt idx="669">
                  <v>86.90000000000001</v>
                </pt>
                <pt idx="670">
                  <v>88.8</v>
                </pt>
                <pt idx="671">
                  <v>93.59999999999999</v>
                </pt>
                <pt idx="672">
                  <v>98.09999999999999</v>
                </pt>
                <pt idx="673">
                  <v>95.40000000000001</v>
                </pt>
                <pt idx="674">
                  <v>93</v>
                </pt>
                <pt idx="675">
                  <v>95.90000000000001</v>
                </pt>
                <pt idx="676">
                  <v>90.7</v>
                </pt>
                <pt idx="677">
                  <v>96.09999999999999</v>
                </pt>
                <pt idx="678">
                  <v>93.09999999999999</v>
                </pt>
                <pt idx="679">
                  <v>91.90000000000001</v>
                </pt>
                <pt idx="680">
                  <v>87.2</v>
                </pt>
                <pt idx="681">
                  <v>90</v>
                </pt>
                <pt idx="682">
                  <v>91.3</v>
                </pt>
                <pt idx="683">
                  <v>92.59999999999999</v>
                </pt>
                <pt idx="684">
                  <v>92</v>
                </pt>
                <pt idx="685">
                  <v>91.7</v>
                </pt>
                <pt idx="686">
                  <v>91</v>
                </pt>
                <pt idx="687">
                  <v>89</v>
                </pt>
                <pt idx="688">
                  <v>94.7</v>
                </pt>
                <pt idx="689">
                  <v>93.5</v>
                </pt>
                <pt idx="690">
                  <v>90</v>
                </pt>
                <pt idx="691">
                  <v>89.8</v>
                </pt>
                <pt idx="692">
                  <v>91.2</v>
                </pt>
                <pt idx="693">
                  <v>87.2</v>
                </pt>
                <pt idx="694">
                  <v>93.8</v>
                </pt>
                <pt idx="695">
                  <v>98.2</v>
                </pt>
                <pt idx="696">
                  <v>98.5</v>
                </pt>
                <pt idx="697">
                  <v>96.3</v>
                </pt>
                <pt idx="698">
                  <v>96.90000000000001</v>
                </pt>
                <pt idx="699">
                  <v>97</v>
                </pt>
                <pt idx="700">
                  <v>97.09999999999999</v>
                </pt>
                <pt idx="701">
                  <v>95</v>
                </pt>
                <pt idx="702">
                  <v>93.40000000000001</v>
                </pt>
                <pt idx="703">
                  <v>96.8</v>
                </pt>
                <pt idx="704">
                  <v>95.09999999999999</v>
                </pt>
                <pt idx="705">
                  <v>100.7</v>
                </pt>
                <pt idx="706">
                  <v>98.5</v>
                </pt>
                <pt idx="707">
                  <v>95.90000000000001</v>
                </pt>
                <pt idx="708">
                  <v>95.7</v>
                </pt>
                <pt idx="709">
                  <v>99.7</v>
                </pt>
                <pt idx="710">
                  <v>101.4</v>
                </pt>
                <pt idx="711">
                  <v>98.8</v>
                </pt>
                <pt idx="712">
                  <v>98</v>
                </pt>
                <pt idx="713">
                  <v>98.2</v>
                </pt>
                <pt idx="714">
                  <v>97.90000000000001</v>
                </pt>
                <pt idx="715">
                  <v>96.2</v>
                </pt>
                <pt idx="716">
                  <v>100.1</v>
                </pt>
                <pt idx="717">
                  <v>98.59999999999999</v>
                </pt>
                <pt idx="718">
                  <v>97.5</v>
                </pt>
                <pt idx="719">
                  <v>98.3</v>
                </pt>
                <pt idx="720">
                  <v>91.2</v>
                </pt>
                <pt idx="721">
                  <v>93.8</v>
                </pt>
                <pt idx="722">
                  <v>98.40000000000001</v>
                </pt>
                <pt idx="723">
                  <v>97.2</v>
                </pt>
                <pt idx="724">
                  <v>100</v>
                </pt>
                <pt idx="725">
                  <v>98.2</v>
                </pt>
                <pt idx="726">
                  <v>98.40000000000001</v>
                </pt>
                <pt idx="727">
                  <v>89.8</v>
                </pt>
                <pt idx="728">
                  <v>93.2</v>
                </pt>
                <pt idx="729">
                  <v>95.5</v>
                </pt>
                <pt idx="730">
                  <v>96.8</v>
                </pt>
                <pt idx="731">
                  <v>99.3</v>
                </pt>
                <pt idx="732">
                  <v>99.8</v>
                </pt>
                <pt idx="733">
                  <v>101</v>
                </pt>
                <pt idx="734">
                  <v>89.09999999999999</v>
                </pt>
                <pt idx="735">
                  <v>71.8</v>
                </pt>
                <pt idx="736">
                  <v>72.3</v>
                </pt>
                <pt idx="737">
                  <v>78.09999999999999</v>
                </pt>
                <pt idx="738">
                  <v>72.5</v>
                </pt>
                <pt idx="739">
                  <v>74.09999999999999</v>
                </pt>
                <pt idx="740">
                  <v>80.40000000000001</v>
                </pt>
                <pt idx="741">
                  <v>81.8</v>
                </pt>
                <pt idx="742">
                  <v>76.90000000000001</v>
                </pt>
                <pt idx="743">
                  <v>80.7</v>
                </pt>
                <pt idx="744">
                  <v>79</v>
                </pt>
                <pt idx="745">
                  <v>76.8</v>
                </pt>
                <pt idx="746">
                  <v>84.90000000000001</v>
                </pt>
                <pt idx="747">
                  <v>88.3</v>
                </pt>
                <pt idx="748">
                  <v>82.90000000000001</v>
                </pt>
                <pt idx="749">
                  <v>85.5</v>
                </pt>
                <pt idx="750">
                  <v>81.2</v>
                </pt>
                <pt idx="751">
                  <v>70.3</v>
                </pt>
                <pt idx="752">
                  <v>72.8</v>
                </pt>
                <pt idx="753">
                  <v>71.7</v>
                </pt>
                <pt idx="754">
                  <v>67.40000000000001</v>
                </pt>
                <pt idx="755">
                  <v>70.59999999999999</v>
                </pt>
                <pt idx="756">
                  <v>67.2</v>
                </pt>
                <pt idx="757">
                  <v>62.8</v>
                </pt>
                <pt idx="758">
                  <v>59.4</v>
                </pt>
                <pt idx="759">
                  <v>65.2</v>
                </pt>
                <pt idx="760">
                  <v>58.4</v>
                </pt>
                <pt idx="761">
                  <v>50</v>
                </pt>
                <pt idx="762">
                  <v>51.5</v>
                </pt>
                <pt idx="763">
                  <v>58.2</v>
                </pt>
                <pt idx="764">
                  <v>58.6</v>
                </pt>
              </numCache>
            </numRef>
          </val>
          <smooth val="0"/>
        </ser>
        <dLbls>
          <showLegendKey val="0"/>
          <showVal val="0"/>
          <showCatName val="0"/>
          <showSerName val="0"/>
          <showPercent val="0"/>
          <showBubbleSize val="0"/>
        </dLbls>
        <smooth val="0"/>
        <axId val="30547983"/>
        <axId val="30658143"/>
      </lineChart>
      <dateAx>
        <axId val="30547983"/>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658143"/>
        <crosses val="autoZero"/>
        <lblOffset val="100"/>
        <baseTimeUnit val="months"/>
      </dateAx>
      <valAx>
        <axId val="30658143"/>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30547983"/>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UMCSI!$B$7:$B$280</f>
              <numCache>
                <formatCode>General</formatCode>
                <ptCount val="274"/>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ser>
          <idx val="1"/>
          <order val="1"/>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UMCSI!$C$7:$C$280</f>
              <numCache>
                <formatCode>General</formatCode>
                <ptCount val="274"/>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ser>
          <idx val="2"/>
          <order val="2"/>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UMCSI!$A$7:$A$280</f>
              <numCache>
                <formatCode>m/d/yy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UMCSI!$D$7:$D$280</f>
              <numCache>
                <formatCode>General</formatCode>
                <ptCount val="274"/>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Table2[[#Headers],[Mich Current Index]]</f>
          <strCache>
            <ptCount val="1"/>
            <pt idx="0">
              <v>Mich Current Index</v>
            </pt>
          </strCache>
        </strRef>
      </tx>
      <overlay val="0"/>
    </title>
    <plotArea>
      <layout/>
      <lineChart>
        <grouping val="standard"/>
        <varyColors val="0"/>
        <ser>
          <idx val="1"/>
          <order val="0"/>
          <tx>
            <strRef>
              <f>UMCSI!$C$6</f>
              <strCache>
                <ptCount val="1"/>
                <pt idx="0">
                  <v>Mich Current Index</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UMCSI!$C$7:$C$281</f>
              <numCache>
                <formatCode>General</formatCode>
                <ptCount val="275"/>
                <pt idx="0">
                  <v>117.3</v>
                </pt>
                <pt idx="1">
                  <v>116.8</v>
                </pt>
                <pt idx="2">
                  <v>115.4</v>
                </pt>
                <pt idx="3">
                  <v>117.8</v>
                </pt>
                <pt idx="4">
                  <v>119.9</v>
                </pt>
                <pt idx="5">
                  <v>115.1</v>
                </pt>
                <pt idx="6">
                  <v>114.2</v>
                </pt>
                <pt idx="7">
                  <v>112.4</v>
                </pt>
                <pt idx="8">
                  <v>112</v>
                </pt>
                <pt idx="9">
                  <v>113.6</v>
                </pt>
                <pt idx="10">
                  <v>116.9</v>
                </pt>
                <pt idx="11">
                  <v>110.5</v>
                </pt>
                <pt idx="12">
                  <v>107.7</v>
                </pt>
                <pt idx="13">
                  <v>105.8</v>
                </pt>
                <pt idx="14">
                  <v>103.4</v>
                </pt>
                <pt idx="15">
                  <v>98</v>
                </pt>
                <pt idx="16">
                  <v>102.2</v>
                </pt>
                <pt idx="17">
                  <v>101.6</v>
                </pt>
                <pt idx="18">
                  <v>98.59999999999999</v>
                </pt>
                <pt idx="19">
                  <v>101.2</v>
                </pt>
                <pt idx="20">
                  <v>94.59999999999999</v>
                </pt>
                <pt idx="21">
                  <v>94</v>
                </pt>
                <pt idx="22">
                  <v>95.3</v>
                </pt>
                <pt idx="23">
                  <v>99</v>
                </pt>
                <pt idx="24">
                  <v>95.7</v>
                </pt>
                <pt idx="25">
                  <v>96.2</v>
                </pt>
                <pt idx="26">
                  <v>100.4</v>
                </pt>
                <pt idx="27">
                  <v>99.2</v>
                </pt>
                <pt idx="28">
                  <v>103.5</v>
                </pt>
                <pt idx="29">
                  <v>99.5</v>
                </pt>
                <pt idx="30">
                  <v>99.3</v>
                </pt>
                <pt idx="31">
                  <v>98.5</v>
                </pt>
                <pt idx="32">
                  <v>95.8</v>
                </pt>
                <pt idx="33">
                  <v>92.40000000000001</v>
                </pt>
                <pt idx="34">
                  <v>93.09999999999999</v>
                </pt>
                <pt idx="35">
                  <v>96</v>
                </pt>
                <pt idx="36">
                  <v>97.2</v>
                </pt>
                <pt idx="37">
                  <v>95.40000000000001</v>
                </pt>
                <pt idx="38">
                  <v>90</v>
                </pt>
                <pt idx="39">
                  <v>96.40000000000001</v>
                </pt>
                <pt idx="40">
                  <v>93.2</v>
                </pt>
                <pt idx="41">
                  <v>94.7</v>
                </pt>
                <pt idx="42">
                  <v>102.1</v>
                </pt>
                <pt idx="43">
                  <v>99.7</v>
                </pt>
                <pt idx="44">
                  <v>98.40000000000001</v>
                </pt>
                <pt idx="45">
                  <v>99.90000000000001</v>
                </pt>
                <pt idx="46">
                  <v>102.5</v>
                </pt>
                <pt idx="47">
                  <v>97</v>
                </pt>
                <pt idx="48">
                  <v>109.5</v>
                </pt>
                <pt idx="49">
                  <v>103.6</v>
                </pt>
                <pt idx="50">
                  <v>106.8</v>
                </pt>
                <pt idx="51">
                  <v>105</v>
                </pt>
                <pt idx="52">
                  <v>103.6</v>
                </pt>
                <pt idx="53">
                  <v>106.7</v>
                </pt>
                <pt idx="54">
                  <v>105.2</v>
                </pt>
                <pt idx="55">
                  <v>107.9</v>
                </pt>
                <pt idx="56">
                  <v>103.7</v>
                </pt>
                <pt idx="57">
                  <v>104</v>
                </pt>
                <pt idx="58">
                  <v>104.7</v>
                </pt>
                <pt idx="59">
                  <v>106.7</v>
                </pt>
                <pt idx="60">
                  <v>110.9</v>
                </pt>
                <pt idx="61">
                  <v>109.2</v>
                </pt>
                <pt idx="62">
                  <v>108</v>
                </pt>
                <pt idx="63">
                  <v>104.4</v>
                </pt>
                <pt idx="64">
                  <v>104.9</v>
                </pt>
                <pt idx="65">
                  <v>113.2</v>
                </pt>
                <pt idx="66">
                  <v>113.5</v>
                </pt>
                <pt idx="67">
                  <v>108.2</v>
                </pt>
                <pt idx="68">
                  <v>98.09999999999999</v>
                </pt>
                <pt idx="69">
                  <v>91.2</v>
                </pt>
                <pt idx="70">
                  <v>100.2</v>
                </pt>
                <pt idx="71">
                  <v>109.1</v>
                </pt>
                <pt idx="72">
                  <v>110.3</v>
                </pt>
                <pt idx="73">
                  <v>105.6</v>
                </pt>
                <pt idx="74">
                  <v>109.1</v>
                </pt>
                <pt idx="75">
                  <v>109.2</v>
                </pt>
                <pt idx="76">
                  <v>96.09999999999999</v>
                </pt>
                <pt idx="77">
                  <v>105</v>
                </pt>
                <pt idx="78">
                  <v>103.5</v>
                </pt>
                <pt idx="79">
                  <v>103.8</v>
                </pt>
                <pt idx="80">
                  <v>96.59999999999999</v>
                </pt>
                <pt idx="81">
                  <v>107.3</v>
                </pt>
                <pt idx="82">
                  <v>106</v>
                </pt>
                <pt idx="83">
                  <v>108.1</v>
                </pt>
                <pt idx="84">
                  <v>111.3</v>
                </pt>
                <pt idx="85">
                  <v>106.7</v>
                </pt>
                <pt idx="86">
                  <v>103.5</v>
                </pt>
                <pt idx="87">
                  <v>104.6</v>
                </pt>
                <pt idx="88">
                  <v>105.1</v>
                </pt>
                <pt idx="89">
                  <v>101.9</v>
                </pt>
                <pt idx="90">
                  <v>104.5</v>
                </pt>
                <pt idx="91">
                  <v>98.40000000000001</v>
                </pt>
                <pt idx="92">
                  <v>97.90000000000001</v>
                </pt>
                <pt idx="93">
                  <v>97.59999999999999</v>
                </pt>
                <pt idx="94">
                  <v>91.5</v>
                </pt>
                <pt idx="95">
                  <v>91</v>
                </pt>
                <pt idx="96">
                  <v>94.40000000000001</v>
                </pt>
                <pt idx="97">
                  <v>83.8</v>
                </pt>
                <pt idx="98">
                  <v>84.2</v>
                </pt>
                <pt idx="99">
                  <v>77</v>
                </pt>
                <pt idx="100">
                  <v>73.3</v>
                </pt>
                <pt idx="101">
                  <v>67.59999999999999</v>
                </pt>
                <pt idx="102">
                  <v>73.09999999999999</v>
                </pt>
                <pt idx="103">
                  <v>71</v>
                </pt>
                <pt idx="104">
                  <v>75</v>
                </pt>
                <pt idx="105">
                  <v>58.4</v>
                </pt>
                <pt idx="106">
                  <v>57.5</v>
                </pt>
                <pt idx="107">
                  <v>69.5</v>
                </pt>
                <pt idx="108">
                  <v>66.5</v>
                </pt>
                <pt idx="109">
                  <v>65.5</v>
                </pt>
                <pt idx="110">
                  <v>63.3</v>
                </pt>
                <pt idx="111">
                  <v>68.3</v>
                </pt>
                <pt idx="112">
                  <v>67.7</v>
                </pt>
                <pt idx="113">
                  <v>73.2</v>
                </pt>
                <pt idx="114">
                  <v>70.5</v>
                </pt>
                <pt idx="115">
                  <v>66.59999999999999</v>
                </pt>
                <pt idx="116">
                  <v>73.40000000000001</v>
                </pt>
                <pt idx="117">
                  <v>73.7</v>
                </pt>
                <pt idx="118">
                  <v>68.8</v>
                </pt>
                <pt idx="119">
                  <v>78</v>
                </pt>
                <pt idx="120">
                  <v>81.09999999999999</v>
                </pt>
                <pt idx="121">
                  <v>81.8</v>
                </pt>
                <pt idx="122">
                  <v>82.40000000000001</v>
                </pt>
                <pt idx="123">
                  <v>81</v>
                </pt>
                <pt idx="124">
                  <v>81</v>
                </pt>
                <pt idx="125">
                  <v>85.59999999999999</v>
                </pt>
                <pt idx="126">
                  <v>76.5</v>
                </pt>
                <pt idx="127">
                  <v>78.3</v>
                </pt>
                <pt idx="128">
                  <v>79.59999999999999</v>
                </pt>
                <pt idx="129">
                  <v>76.59999999999999</v>
                </pt>
                <pt idx="130">
                  <v>82.09999999999999</v>
                </pt>
                <pt idx="131">
                  <v>85.3</v>
                </pt>
                <pt idx="132">
                  <v>81.8</v>
                </pt>
                <pt idx="133">
                  <v>86.90000000000001</v>
                </pt>
                <pt idx="134">
                  <v>82.5</v>
                </pt>
                <pt idx="135">
                  <v>82.5</v>
                </pt>
                <pt idx="136">
                  <v>81.90000000000001</v>
                </pt>
                <pt idx="137">
                  <v>82</v>
                </pt>
                <pt idx="138">
                  <v>75.7</v>
                </pt>
                <pt idx="139">
                  <v>68.5</v>
                </pt>
                <pt idx="140">
                  <v>75.2</v>
                </pt>
                <pt idx="141">
                  <v>74.90000000000001</v>
                </pt>
                <pt idx="142">
                  <v>77.40000000000001</v>
                </pt>
                <pt idx="143">
                  <v>79.59999999999999</v>
                </pt>
                <pt idx="144">
                  <v>84.2</v>
                </pt>
                <pt idx="145">
                  <v>83</v>
                </pt>
                <pt idx="146">
                  <v>86</v>
                </pt>
                <pt idx="147">
                  <v>82.90000000000001</v>
                </pt>
                <pt idx="148">
                  <v>87.2</v>
                </pt>
                <pt idx="149">
                  <v>81.5</v>
                </pt>
                <pt idx="150">
                  <v>82.7</v>
                </pt>
                <pt idx="151">
                  <v>88.7</v>
                </pt>
                <pt idx="152">
                  <v>85.7</v>
                </pt>
                <pt idx="153">
                  <v>88.09999999999999</v>
                </pt>
                <pt idx="154">
                  <v>90.59999999999999</v>
                </pt>
                <pt idx="155">
                  <v>87</v>
                </pt>
                <pt idx="156">
                  <v>85</v>
                </pt>
                <pt idx="157">
                  <v>89</v>
                </pt>
                <pt idx="158">
                  <v>90.7</v>
                </pt>
                <pt idx="159">
                  <v>89.90000000000001</v>
                </pt>
                <pt idx="160">
                  <v>98</v>
                </pt>
                <pt idx="161">
                  <v>93.8</v>
                </pt>
                <pt idx="162">
                  <v>98.59999999999999</v>
                </pt>
                <pt idx="163">
                  <v>95.2</v>
                </pt>
                <pt idx="164">
                  <v>92.59999999999999</v>
                </pt>
                <pt idx="165">
                  <v>89.90000000000001</v>
                </pt>
                <pt idx="166">
                  <v>88</v>
                </pt>
                <pt idx="167">
                  <v>98.59999999999999</v>
                </pt>
                <pt idx="168">
                  <v>96.8</v>
                </pt>
                <pt idx="169">
                  <v>95.40000000000001</v>
                </pt>
                <pt idx="170">
                  <v>95.7</v>
                </pt>
                <pt idx="171">
                  <v>98.7</v>
                </pt>
                <pt idx="172">
                  <v>94.5</v>
                </pt>
                <pt idx="173">
                  <v>96.59999999999999</v>
                </pt>
                <pt idx="174">
                  <v>97.40000000000001</v>
                </pt>
                <pt idx="175">
                  <v>99.8</v>
                </pt>
                <pt idx="176">
                  <v>98.90000000000001</v>
                </pt>
                <pt idx="177">
                  <v>98.3</v>
                </pt>
                <pt idx="178">
                  <v>102.7</v>
                </pt>
                <pt idx="179">
                  <v>104.8</v>
                </pt>
                <pt idx="180">
                  <v>109.3</v>
                </pt>
                <pt idx="181">
                  <v>106.9</v>
                </pt>
                <pt idx="182">
                  <v>105</v>
                </pt>
                <pt idx="183">
                  <v>107</v>
                </pt>
                <pt idx="184">
                  <v>100.8</v>
                </pt>
                <pt idx="185">
                  <v>108.9</v>
                </pt>
                <pt idx="186">
                  <v>107.2</v>
                </pt>
                <pt idx="187">
                  <v>105.1</v>
                </pt>
                <pt idx="188">
                  <v>101.2</v>
                </pt>
                <pt idx="189">
                  <v>102.3</v>
                </pt>
                <pt idx="190">
                  <v>104.3</v>
                </pt>
                <pt idx="191">
                  <v>108.1</v>
                </pt>
                <pt idx="192">
                  <v>106.4</v>
                </pt>
                <pt idx="193">
                  <v>106.8</v>
                </pt>
                <pt idx="194">
                  <v>105.6</v>
                </pt>
                <pt idx="195">
                  <v>106.7</v>
                </pt>
                <pt idx="196">
                  <v>109.9</v>
                </pt>
                <pt idx="197">
                  <v>110.8</v>
                </pt>
                <pt idx="198">
                  <v>109</v>
                </pt>
                <pt idx="199">
                  <v>107</v>
                </pt>
                <pt idx="200">
                  <v>104.2</v>
                </pt>
                <pt idx="201">
                  <v>103.2</v>
                </pt>
                <pt idx="202">
                  <v>107.3</v>
                </pt>
                <pt idx="203">
                  <v>111.9</v>
                </pt>
                <pt idx="204">
                  <v>111.3</v>
                </pt>
                <pt idx="205">
                  <v>111.5</v>
                </pt>
                <pt idx="206">
                  <v>113.2</v>
                </pt>
                <pt idx="207">
                  <v>112.7</v>
                </pt>
                <pt idx="208">
                  <v>111.7</v>
                </pt>
                <pt idx="209">
                  <v>112.4</v>
                </pt>
                <pt idx="210">
                  <v>113.4</v>
                </pt>
                <pt idx="211">
                  <v>110.9</v>
                </pt>
                <pt idx="212">
                  <v>111.7</v>
                </pt>
                <pt idx="213">
                  <v>116.5</v>
                </pt>
                <pt idx="214">
                  <v>113.5</v>
                </pt>
                <pt idx="215">
                  <v>113.8</v>
                </pt>
                <pt idx="216">
                  <v>110.5</v>
                </pt>
                <pt idx="217">
                  <v>114.9</v>
                </pt>
                <pt idx="218">
                  <v>121.2</v>
                </pt>
                <pt idx="219">
                  <v>114.9</v>
                </pt>
                <pt idx="220">
                  <v>111.8</v>
                </pt>
                <pt idx="221">
                  <v>116.5</v>
                </pt>
                <pt idx="222">
                  <v>114.4</v>
                </pt>
                <pt idx="223">
                  <v>110.3</v>
                </pt>
                <pt idx="224">
                  <v>115.2</v>
                </pt>
                <pt idx="225">
                  <v>113.1</v>
                </pt>
                <pt idx="226">
                  <v>112.3</v>
                </pt>
                <pt idx="227">
                  <v>116.1</v>
                </pt>
                <pt idx="228">
                  <v>108.8</v>
                </pt>
                <pt idx="229">
                  <v>108.5</v>
                </pt>
                <pt idx="230">
                  <v>113.3</v>
                </pt>
                <pt idx="231">
                  <v>112.3</v>
                </pt>
                <pt idx="232">
                  <v>110</v>
                </pt>
                <pt idx="233">
                  <v>111.9</v>
                </pt>
                <pt idx="234">
                  <v>110.7</v>
                </pt>
                <pt idx="235">
                  <v>105.3</v>
                </pt>
                <pt idx="236">
                  <v>108.5</v>
                </pt>
                <pt idx="237">
                  <v>113.2</v>
                </pt>
                <pt idx="238">
                  <v>111.6</v>
                </pt>
                <pt idx="239">
                  <v>115.5</v>
                </pt>
                <pt idx="240">
                  <v>114.4</v>
                </pt>
                <pt idx="241">
                  <v>114.8</v>
                </pt>
                <pt idx="242">
                  <v>103.7</v>
                </pt>
                <pt idx="243">
                  <v>74.3</v>
                </pt>
                <pt idx="244">
                  <v>82.3</v>
                </pt>
                <pt idx="245">
                  <v>87.09999999999999</v>
                </pt>
                <pt idx="246">
                  <v>82.8</v>
                </pt>
                <pt idx="247">
                  <v>82.90000000000001</v>
                </pt>
                <pt idx="248">
                  <v>87.8</v>
                </pt>
                <pt idx="249">
                  <v>85.90000000000001</v>
                </pt>
                <pt idx="250">
                  <v>87</v>
                </pt>
                <pt idx="251">
                  <v>90</v>
                </pt>
                <pt idx="252">
                  <v>86.7</v>
                </pt>
                <pt idx="253">
                  <v>86.2</v>
                </pt>
                <pt idx="254">
                  <v>93</v>
                </pt>
                <pt idx="255">
                  <v>97.2</v>
                </pt>
                <pt idx="256">
                  <v>89.40000000000001</v>
                </pt>
                <pt idx="257">
                  <v>88.59999999999999</v>
                </pt>
                <pt idx="258">
                  <v>84.5</v>
                </pt>
                <pt idx="259">
                  <v>78.5</v>
                </pt>
                <pt idx="260">
                  <v>80.09999999999999</v>
                </pt>
                <pt idx="261">
                  <v>77.7</v>
                </pt>
                <pt idx="262">
                  <v>73.59999999999999</v>
                </pt>
                <pt idx="263">
                  <v>74.2</v>
                </pt>
                <pt idx="264">
                  <v>72</v>
                </pt>
                <pt idx="265">
                  <v>68.2</v>
                </pt>
                <pt idx="266">
                  <v>67.2</v>
                </pt>
                <pt idx="267">
                  <v>69.40000000000001</v>
                </pt>
                <pt idx="268">
                  <v>63.3</v>
                </pt>
                <pt idx="269">
                  <v>53.8</v>
                </pt>
                <pt idx="270">
                  <v>58.1</v>
                </pt>
                <pt idx="271">
                  <v>58.6</v>
                </pt>
                <pt idx="272">
                  <v>59.7</v>
                </pt>
                <pt idx="273">
                  <v>65.59999999999999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strRef>
          <f>UMCSI!$A$1</f>
          <strCache>
            <ptCount val="1"/>
            <pt idx="0">
              <v xml:space="preserve">University of Michigan Consumer Sentiment Index (MCSI) </v>
            </pt>
          </strCache>
        </strRef>
      </tx>
      <overlay val="0"/>
    </title>
    <plotArea>
      <layout/>
      <lineChart>
        <grouping val="standard"/>
        <varyColors val="0"/>
        <ser>
          <idx val="0"/>
          <order val="0"/>
          <tx>
            <strRef>
              <f>UMCSI!$B$6</f>
              <strCache>
                <ptCount val="1"/>
                <pt idx="0">
                  <v>UMCSI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UMCSI!$B$7:$B$281</f>
              <numCache>
                <formatCode>General</formatCode>
                <ptCount val="275"/>
                <pt idx="0">
                  <v>112</v>
                </pt>
                <pt idx="1">
                  <v>111.3</v>
                </pt>
                <pt idx="2">
                  <v>107.1</v>
                </pt>
                <pt idx="3">
                  <v>109.2</v>
                </pt>
                <pt idx="4">
                  <v>110.7</v>
                </pt>
                <pt idx="5">
                  <v>106.4</v>
                </pt>
                <pt idx="6">
                  <v>108.3</v>
                </pt>
                <pt idx="7">
                  <v>107.3</v>
                </pt>
                <pt idx="8">
                  <v>106.8</v>
                </pt>
                <pt idx="9">
                  <v>105.8</v>
                </pt>
                <pt idx="10">
                  <v>107.6</v>
                </pt>
                <pt idx="11">
                  <v>98.40000000000001</v>
                </pt>
                <pt idx="12">
                  <v>94.7</v>
                </pt>
                <pt idx="13">
                  <v>90.59999999999999</v>
                </pt>
                <pt idx="14">
                  <v>91.5</v>
                </pt>
                <pt idx="15">
                  <v>88.40000000000001</v>
                </pt>
                <pt idx="16">
                  <v>92</v>
                </pt>
                <pt idx="17">
                  <v>92.59999999999999</v>
                </pt>
                <pt idx="18">
                  <v>92.40000000000001</v>
                </pt>
                <pt idx="19">
                  <v>91.5</v>
                </pt>
                <pt idx="20">
                  <v>81.8</v>
                </pt>
                <pt idx="21">
                  <v>82.7</v>
                </pt>
                <pt idx="22">
                  <v>83.90000000000001</v>
                </pt>
                <pt idx="23">
                  <v>88.8</v>
                </pt>
                <pt idx="24">
                  <v>93</v>
                </pt>
                <pt idx="25">
                  <v>90.7</v>
                </pt>
                <pt idx="26">
                  <v>95.7</v>
                </pt>
                <pt idx="27">
                  <v>93</v>
                </pt>
                <pt idx="28">
                  <v>96.90000000000001</v>
                </pt>
                <pt idx="29">
                  <v>92.40000000000001</v>
                </pt>
                <pt idx="30">
                  <v>88.09999999999999</v>
                </pt>
                <pt idx="31">
                  <v>87.59999999999999</v>
                </pt>
                <pt idx="32">
                  <v>86.09999999999999</v>
                </pt>
                <pt idx="33">
                  <v>80.59999999999999</v>
                </pt>
                <pt idx="34">
                  <v>84.2</v>
                </pt>
                <pt idx="35">
                  <v>86.7</v>
                </pt>
                <pt idx="36">
                  <v>82.40000000000001</v>
                </pt>
                <pt idx="37">
                  <v>79.90000000000001</v>
                </pt>
                <pt idx="38">
                  <v>77.59999999999999</v>
                </pt>
                <pt idx="39">
                  <v>86</v>
                </pt>
                <pt idx="40">
                  <v>92.09999999999999</v>
                </pt>
                <pt idx="41">
                  <v>89.7</v>
                </pt>
                <pt idx="42">
                  <v>90.90000000000001</v>
                </pt>
                <pt idx="43">
                  <v>89.3</v>
                </pt>
                <pt idx="44">
                  <v>87.7</v>
                </pt>
                <pt idx="45">
                  <v>89.59999999999999</v>
                </pt>
                <pt idx="46">
                  <v>93.7</v>
                </pt>
                <pt idx="47">
                  <v>92.59999999999999</v>
                </pt>
                <pt idx="48">
                  <v>103.8</v>
                </pt>
                <pt idx="49">
                  <v>94.40000000000001</v>
                </pt>
                <pt idx="50">
                  <v>95.8</v>
                </pt>
                <pt idx="51">
                  <v>94.2</v>
                </pt>
                <pt idx="52">
                  <v>90.2</v>
                </pt>
                <pt idx="53">
                  <v>95.59999999999999</v>
                </pt>
                <pt idx="54">
                  <v>96.7</v>
                </pt>
                <pt idx="55">
                  <v>95.90000000000001</v>
                </pt>
                <pt idx="56">
                  <v>94.2</v>
                </pt>
                <pt idx="57">
                  <v>91.7</v>
                </pt>
                <pt idx="58">
                  <v>92.8</v>
                </pt>
                <pt idx="59">
                  <v>97.09999999999999</v>
                </pt>
                <pt idx="60">
                  <v>95.5</v>
                </pt>
                <pt idx="61">
                  <v>94.09999999999999</v>
                </pt>
                <pt idx="62">
                  <v>92.59999999999999</v>
                </pt>
                <pt idx="63">
                  <v>87.7</v>
                </pt>
                <pt idx="64">
                  <v>86.90000000000001</v>
                </pt>
                <pt idx="65">
                  <v>96</v>
                </pt>
                <pt idx="66">
                  <v>96.5</v>
                </pt>
                <pt idx="67">
                  <v>89.09999999999999</v>
                </pt>
                <pt idx="68">
                  <v>76.90000000000001</v>
                </pt>
                <pt idx="69">
                  <v>74.2</v>
                </pt>
                <pt idx="70">
                  <v>81.59999999999999</v>
                </pt>
                <pt idx="71">
                  <v>91.5</v>
                </pt>
                <pt idx="72">
                  <v>91.2</v>
                </pt>
                <pt idx="73">
                  <v>86.7</v>
                </pt>
                <pt idx="74">
                  <v>88.90000000000001</v>
                </pt>
                <pt idx="75">
                  <v>87.40000000000001</v>
                </pt>
                <pt idx="76">
                  <v>79.09999999999999</v>
                </pt>
                <pt idx="77">
                  <v>84.90000000000001</v>
                </pt>
                <pt idx="78">
                  <v>84.7</v>
                </pt>
                <pt idx="79">
                  <v>82</v>
                </pt>
                <pt idx="80">
                  <v>85.40000000000001</v>
                </pt>
                <pt idx="81">
                  <v>93.59999999999999</v>
                </pt>
                <pt idx="82">
                  <v>92.09999999999999</v>
                </pt>
                <pt idx="83">
                  <v>91.7</v>
                </pt>
                <pt idx="84">
                  <v>96.90000000000001</v>
                </pt>
                <pt idx="85">
                  <v>91.3</v>
                </pt>
                <pt idx="86">
                  <v>88.40000000000001</v>
                </pt>
                <pt idx="87">
                  <v>87.09999999999999</v>
                </pt>
                <pt idx="88">
                  <v>88.3</v>
                </pt>
                <pt idx="89">
                  <v>85.3</v>
                </pt>
                <pt idx="90">
                  <v>90.40000000000001</v>
                </pt>
                <pt idx="91">
                  <v>83.40000000000001</v>
                </pt>
                <pt idx="92">
                  <v>83.40000000000001</v>
                </pt>
                <pt idx="93">
                  <v>80.90000000000001</v>
                </pt>
                <pt idx="94">
                  <v>76.09999999999999</v>
                </pt>
                <pt idx="95">
                  <v>75.5</v>
                </pt>
                <pt idx="96">
                  <v>78.40000000000001</v>
                </pt>
                <pt idx="97">
                  <v>70.8</v>
                </pt>
                <pt idx="98">
                  <v>69.5</v>
                </pt>
                <pt idx="99">
                  <v>62.6</v>
                </pt>
                <pt idx="100">
                  <v>59.8</v>
                </pt>
                <pt idx="101">
                  <v>56.4</v>
                </pt>
                <pt idx="102">
                  <v>61.2</v>
                </pt>
                <pt idx="103">
                  <v>63</v>
                </pt>
                <pt idx="104">
                  <v>70.3</v>
                </pt>
                <pt idx="105">
                  <v>57.6</v>
                </pt>
                <pt idx="106">
                  <v>55.3</v>
                </pt>
                <pt idx="107">
                  <v>60.1</v>
                </pt>
                <pt idx="108">
                  <v>61.2</v>
                </pt>
                <pt idx="109">
                  <v>56.3</v>
                </pt>
                <pt idx="110">
                  <v>57.3</v>
                </pt>
                <pt idx="111">
                  <v>65.09999999999999</v>
                </pt>
                <pt idx="112">
                  <v>68.7</v>
                </pt>
                <pt idx="113">
                  <v>70.8</v>
                </pt>
                <pt idx="114">
                  <v>66</v>
                </pt>
                <pt idx="115">
                  <v>65.7</v>
                </pt>
                <pt idx="116">
                  <v>73.5</v>
                </pt>
                <pt idx="117">
                  <v>70.59999999999999</v>
                </pt>
                <pt idx="118">
                  <v>67.40000000000001</v>
                </pt>
                <pt idx="119">
                  <v>72.5</v>
                </pt>
                <pt idx="120">
                  <v>74.40000000000001</v>
                </pt>
                <pt idx="121">
                  <v>73.59999999999999</v>
                </pt>
                <pt idx="122">
                  <v>73.59999999999999</v>
                </pt>
                <pt idx="123">
                  <v>72.2</v>
                </pt>
                <pt idx="124">
                  <v>73.59999999999999</v>
                </pt>
                <pt idx="125">
                  <v>76</v>
                </pt>
                <pt idx="126">
                  <v>67.8</v>
                </pt>
                <pt idx="127">
                  <v>68.90000000000001</v>
                </pt>
                <pt idx="128">
                  <v>68.2</v>
                </pt>
                <pt idx="129">
                  <v>67.7</v>
                </pt>
                <pt idx="130">
                  <v>71.59999999999999</v>
                </pt>
                <pt idx="131">
                  <v>74.5</v>
                </pt>
                <pt idx="132">
                  <v>74.2</v>
                </pt>
                <pt idx="133">
                  <v>77.5</v>
                </pt>
                <pt idx="134">
                  <v>67.5</v>
                </pt>
                <pt idx="135">
                  <v>69.8</v>
                </pt>
                <pt idx="136">
                  <v>74.3</v>
                </pt>
                <pt idx="137">
                  <v>71.5</v>
                </pt>
                <pt idx="138">
                  <v>63.7</v>
                </pt>
                <pt idx="139">
                  <v>55.8</v>
                </pt>
                <pt idx="140">
                  <v>59.5</v>
                </pt>
                <pt idx="141">
                  <v>60.8</v>
                </pt>
                <pt idx="142">
                  <v>63.7</v>
                </pt>
                <pt idx="143">
                  <v>69.90000000000001</v>
                </pt>
                <pt idx="144">
                  <v>75</v>
                </pt>
                <pt idx="145">
                  <v>75.3</v>
                </pt>
                <pt idx="146">
                  <v>76.2</v>
                </pt>
                <pt idx="147">
                  <v>76.40000000000001</v>
                </pt>
                <pt idx="148">
                  <v>79.3</v>
                </pt>
                <pt idx="149">
                  <v>73.2</v>
                </pt>
                <pt idx="150">
                  <v>72.3</v>
                </pt>
                <pt idx="151">
                  <v>74.3</v>
                </pt>
                <pt idx="152">
                  <v>78.3</v>
                </pt>
                <pt idx="153">
                  <v>82.59999999999999</v>
                </pt>
                <pt idx="154">
                  <v>82.7</v>
                </pt>
                <pt idx="155">
                  <v>72.90000000000001</v>
                </pt>
                <pt idx="156">
                  <v>73.8</v>
                </pt>
                <pt idx="157">
                  <v>77.59999999999999</v>
                </pt>
                <pt idx="158">
                  <v>78.59999999999999</v>
                </pt>
                <pt idx="159">
                  <v>76.40000000000001</v>
                </pt>
                <pt idx="160">
                  <v>84.5</v>
                </pt>
                <pt idx="161">
                  <v>84.09999999999999</v>
                </pt>
                <pt idx="162">
                  <v>85.09999999999999</v>
                </pt>
                <pt idx="163">
                  <v>82.09999999999999</v>
                </pt>
                <pt idx="164">
                  <v>77.5</v>
                </pt>
                <pt idx="165">
                  <v>73.2</v>
                </pt>
                <pt idx="166">
                  <v>75.09999999999999</v>
                </pt>
                <pt idx="167">
                  <v>82.5</v>
                </pt>
                <pt idx="168">
                  <v>81.2</v>
                </pt>
                <pt idx="169">
                  <v>81.59999999999999</v>
                </pt>
                <pt idx="170">
                  <v>80</v>
                </pt>
                <pt idx="171">
                  <v>84.09999999999999</v>
                </pt>
                <pt idx="172">
                  <v>81.90000000000001</v>
                </pt>
                <pt idx="173">
                  <v>82.5</v>
                </pt>
                <pt idx="174">
                  <v>81.8</v>
                </pt>
                <pt idx="175">
                  <v>82.5</v>
                </pt>
                <pt idx="176">
                  <v>84.59999999999999</v>
                </pt>
                <pt idx="177">
                  <v>86.90000000000001</v>
                </pt>
                <pt idx="178">
                  <v>88.8</v>
                </pt>
                <pt idx="179">
                  <v>93.59999999999999</v>
                </pt>
                <pt idx="180">
                  <v>98.09999999999999</v>
                </pt>
                <pt idx="181">
                  <v>95.40000000000001</v>
                </pt>
                <pt idx="182">
                  <v>93</v>
                </pt>
                <pt idx="183">
                  <v>95.90000000000001</v>
                </pt>
                <pt idx="184">
                  <v>90.7</v>
                </pt>
                <pt idx="185">
                  <v>96.09999999999999</v>
                </pt>
                <pt idx="186">
                  <v>93.09999999999999</v>
                </pt>
                <pt idx="187">
                  <v>91.90000000000001</v>
                </pt>
                <pt idx="188">
                  <v>87.2</v>
                </pt>
                <pt idx="189">
                  <v>90</v>
                </pt>
                <pt idx="190">
                  <v>91.3</v>
                </pt>
                <pt idx="191">
                  <v>92.59999999999999</v>
                </pt>
                <pt idx="192">
                  <v>92</v>
                </pt>
                <pt idx="193">
                  <v>91.7</v>
                </pt>
                <pt idx="194">
                  <v>91</v>
                </pt>
                <pt idx="195">
                  <v>89</v>
                </pt>
                <pt idx="196">
                  <v>94.7</v>
                </pt>
                <pt idx="197">
                  <v>93.5</v>
                </pt>
                <pt idx="198">
                  <v>90</v>
                </pt>
                <pt idx="199">
                  <v>89.8</v>
                </pt>
                <pt idx="200">
                  <v>91.2</v>
                </pt>
                <pt idx="201">
                  <v>87.2</v>
                </pt>
                <pt idx="202">
                  <v>93.8</v>
                </pt>
                <pt idx="203">
                  <v>98.2</v>
                </pt>
                <pt idx="204">
                  <v>98.5</v>
                </pt>
                <pt idx="205">
                  <v>96.3</v>
                </pt>
                <pt idx="206">
                  <v>96.90000000000001</v>
                </pt>
                <pt idx="207">
                  <v>97</v>
                </pt>
                <pt idx="208">
                  <v>97.09999999999999</v>
                </pt>
                <pt idx="209">
                  <v>95</v>
                </pt>
                <pt idx="210">
                  <v>93.40000000000001</v>
                </pt>
                <pt idx="211">
                  <v>96.8</v>
                </pt>
                <pt idx="212">
                  <v>95.09999999999999</v>
                </pt>
                <pt idx="213">
                  <v>100.7</v>
                </pt>
                <pt idx="214">
                  <v>98.5</v>
                </pt>
                <pt idx="215">
                  <v>95.90000000000001</v>
                </pt>
                <pt idx="216">
                  <v>95.7</v>
                </pt>
                <pt idx="217">
                  <v>99.7</v>
                </pt>
                <pt idx="218">
                  <v>101.4</v>
                </pt>
                <pt idx="219">
                  <v>98.8</v>
                </pt>
                <pt idx="220">
                  <v>98</v>
                </pt>
                <pt idx="221">
                  <v>98.2</v>
                </pt>
                <pt idx="222">
                  <v>97.90000000000001</v>
                </pt>
                <pt idx="223">
                  <v>96.2</v>
                </pt>
                <pt idx="224">
                  <v>100.1</v>
                </pt>
                <pt idx="225">
                  <v>98.59999999999999</v>
                </pt>
                <pt idx="226">
                  <v>97.5</v>
                </pt>
                <pt idx="227">
                  <v>98.3</v>
                </pt>
                <pt idx="228">
                  <v>91.2</v>
                </pt>
                <pt idx="229">
                  <v>93.8</v>
                </pt>
                <pt idx="230">
                  <v>98.40000000000001</v>
                </pt>
                <pt idx="231">
                  <v>97.2</v>
                </pt>
                <pt idx="232">
                  <v>100</v>
                </pt>
                <pt idx="233">
                  <v>98.2</v>
                </pt>
                <pt idx="234">
                  <v>98.40000000000001</v>
                </pt>
                <pt idx="235">
                  <v>89.8</v>
                </pt>
                <pt idx="236">
                  <v>93.2</v>
                </pt>
                <pt idx="237">
                  <v>95.5</v>
                </pt>
                <pt idx="238">
                  <v>96.8</v>
                </pt>
                <pt idx="239">
                  <v>99.3</v>
                </pt>
                <pt idx="240">
                  <v>99.8</v>
                </pt>
                <pt idx="241">
                  <v>101</v>
                </pt>
                <pt idx="242">
                  <v>89.09999999999999</v>
                </pt>
                <pt idx="243">
                  <v>71.8</v>
                </pt>
                <pt idx="244">
                  <v>72.3</v>
                </pt>
                <pt idx="245">
                  <v>78.09999999999999</v>
                </pt>
                <pt idx="246">
                  <v>72.5</v>
                </pt>
                <pt idx="247">
                  <v>74.09999999999999</v>
                </pt>
                <pt idx="248">
                  <v>80.40000000000001</v>
                </pt>
                <pt idx="249">
                  <v>81.8</v>
                </pt>
                <pt idx="250">
                  <v>76.90000000000001</v>
                </pt>
                <pt idx="251">
                  <v>80.7</v>
                </pt>
                <pt idx="252">
                  <v>79</v>
                </pt>
                <pt idx="253">
                  <v>76.8</v>
                </pt>
                <pt idx="254">
                  <v>84.90000000000001</v>
                </pt>
                <pt idx="255">
                  <v>88.3</v>
                </pt>
                <pt idx="256">
                  <v>82.90000000000001</v>
                </pt>
                <pt idx="257">
                  <v>85.5</v>
                </pt>
                <pt idx="258">
                  <v>81.2</v>
                </pt>
                <pt idx="259">
                  <v>70.3</v>
                </pt>
                <pt idx="260">
                  <v>72.8</v>
                </pt>
                <pt idx="261">
                  <v>71.7</v>
                </pt>
                <pt idx="262">
                  <v>67.40000000000001</v>
                </pt>
                <pt idx="263">
                  <v>70.59999999999999</v>
                </pt>
                <pt idx="264">
                  <v>67.2</v>
                </pt>
                <pt idx="265">
                  <v>62.8</v>
                </pt>
                <pt idx="266">
                  <v>59.4</v>
                </pt>
                <pt idx="267">
                  <v>65.2</v>
                </pt>
                <pt idx="268">
                  <v>58.4</v>
                </pt>
                <pt idx="269">
                  <v>50</v>
                </pt>
                <pt idx="270">
                  <v>51.5</v>
                </pt>
                <pt idx="271">
                  <v>58.2</v>
                </pt>
                <pt idx="272">
                  <v>58.6</v>
                </pt>
                <pt idx="273">
                  <v>59.9</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strRef>
          <f>Table2[[#Headers],[Mich Expected Index]]</f>
          <strCache>
            <ptCount val="1"/>
            <pt idx="0">
              <v>Mich Expected Index</v>
            </pt>
          </strCache>
        </strRef>
      </tx>
      <overlay val="0"/>
    </title>
    <plotArea>
      <layout/>
      <lineChart>
        <grouping val="standard"/>
        <varyColors val="0"/>
        <ser>
          <idx val="2"/>
          <order val="0"/>
          <tx>
            <strRef>
              <f>UMCSI!$D$6</f>
              <strCache>
                <ptCount val="1"/>
                <pt idx="0">
                  <v>Mich Expected Index</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UMCSI!$A$7:$A$281</f>
              <numCache>
                <formatCode>m/d/yy</formatCode>
                <ptCount val="275"/>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39973</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numCache>
            </numRef>
          </cat>
          <val>
            <numRef>
              <f>UMCSI!$D$7:$D$281</f>
              <numCache>
                <formatCode>General</formatCode>
                <ptCount val="275"/>
                <pt idx="0">
                  <v>108.6</v>
                </pt>
                <pt idx="1">
                  <v>107.8</v>
                </pt>
                <pt idx="2">
                  <v>101.7</v>
                </pt>
                <pt idx="3">
                  <v>103.7</v>
                </pt>
                <pt idx="4">
                  <v>104.8</v>
                </pt>
                <pt idx="5">
                  <v>100.8</v>
                </pt>
                <pt idx="6">
                  <v>104.5</v>
                </pt>
                <pt idx="7">
                  <v>104</v>
                </pt>
                <pt idx="8">
                  <v>103.4</v>
                </pt>
                <pt idx="9">
                  <v>100.7</v>
                </pt>
                <pt idx="10">
                  <v>101.6</v>
                </pt>
                <pt idx="11">
                  <v>90.7</v>
                </pt>
                <pt idx="12">
                  <v>86.40000000000001</v>
                </pt>
                <pt idx="13">
                  <v>80.8</v>
                </pt>
                <pt idx="14">
                  <v>83.90000000000001</v>
                </pt>
                <pt idx="15">
                  <v>82.2</v>
                </pt>
                <pt idx="16">
                  <v>85.40000000000001</v>
                </pt>
                <pt idx="17">
                  <v>86.90000000000001</v>
                </pt>
                <pt idx="18">
                  <v>88.40000000000001</v>
                </pt>
                <pt idx="19">
                  <v>85.2</v>
                </pt>
                <pt idx="20">
                  <v>73.5</v>
                </pt>
                <pt idx="21">
                  <v>75.5</v>
                </pt>
                <pt idx="22">
                  <v>76.59999999999999</v>
                </pt>
                <pt idx="23">
                  <v>82.3</v>
                </pt>
                <pt idx="24">
                  <v>91.3</v>
                </pt>
                <pt idx="25">
                  <v>87.2</v>
                </pt>
                <pt idx="26">
                  <v>92.7</v>
                </pt>
                <pt idx="27">
                  <v>89.09999999999999</v>
                </pt>
                <pt idx="28">
                  <v>92.7</v>
                </pt>
                <pt idx="29">
                  <v>87.90000000000001</v>
                </pt>
                <pt idx="30">
                  <v>81</v>
                </pt>
                <pt idx="31">
                  <v>80.59999999999999</v>
                </pt>
                <pt idx="32">
                  <v>79.90000000000001</v>
                </pt>
                <pt idx="33">
                  <v>73.09999999999999</v>
                </pt>
                <pt idx="34">
                  <v>78.5</v>
                </pt>
                <pt idx="35">
                  <v>80.8</v>
                </pt>
                <pt idx="36">
                  <v>72.8</v>
                </pt>
                <pt idx="37">
                  <v>69.90000000000001</v>
                </pt>
                <pt idx="38">
                  <v>69.59999999999999</v>
                </pt>
                <pt idx="39">
                  <v>79.3</v>
                </pt>
                <pt idx="40">
                  <v>91.40000000000001</v>
                </pt>
                <pt idx="41">
                  <v>86.40000000000001</v>
                </pt>
                <pt idx="42">
                  <v>83.7</v>
                </pt>
                <pt idx="43">
                  <v>82.5</v>
                </pt>
                <pt idx="44">
                  <v>80.8</v>
                </pt>
                <pt idx="45">
                  <v>83</v>
                </pt>
                <pt idx="46">
                  <v>88.09999999999999</v>
                </pt>
                <pt idx="47">
                  <v>89.8</v>
                </pt>
                <pt idx="48">
                  <v>100.1</v>
                </pt>
                <pt idx="49">
                  <v>88.5</v>
                </pt>
                <pt idx="50">
                  <v>88.8</v>
                </pt>
                <pt idx="51">
                  <v>87.3</v>
                </pt>
                <pt idx="52">
                  <v>81.59999999999999</v>
                </pt>
                <pt idx="53">
                  <v>88.5</v>
                </pt>
                <pt idx="54">
                  <v>91.2</v>
                </pt>
                <pt idx="55">
                  <v>88.2</v>
                </pt>
                <pt idx="56">
                  <v>88</v>
                </pt>
                <pt idx="57">
                  <v>83.8</v>
                </pt>
                <pt idx="58">
                  <v>85.2</v>
                </pt>
                <pt idx="59">
                  <v>90.90000000000001</v>
                </pt>
                <pt idx="60">
                  <v>85.7</v>
                </pt>
                <pt idx="61">
                  <v>84.40000000000001</v>
                </pt>
                <pt idx="62">
                  <v>82.8</v>
                </pt>
                <pt idx="63">
                  <v>77</v>
                </pt>
                <pt idx="64">
                  <v>75.3</v>
                </pt>
                <pt idx="65">
                  <v>85</v>
                </pt>
                <pt idx="66">
                  <v>85.5</v>
                </pt>
                <pt idx="67">
                  <v>76.90000000000001</v>
                </pt>
                <pt idx="68">
                  <v>63.3</v>
                </pt>
                <pt idx="69">
                  <v>63.2</v>
                </pt>
                <pt idx="70">
                  <v>69.59999999999999</v>
                </pt>
                <pt idx="71">
                  <v>80.2</v>
                </pt>
                <pt idx="72">
                  <v>78.90000000000001</v>
                </pt>
                <pt idx="73">
                  <v>74.5</v>
                </pt>
                <pt idx="74">
                  <v>76</v>
                </pt>
                <pt idx="75">
                  <v>73.40000000000001</v>
                </pt>
                <pt idx="76">
                  <v>68.2</v>
                </pt>
                <pt idx="77">
                  <v>72</v>
                </pt>
                <pt idx="78">
                  <v>72.5</v>
                </pt>
                <pt idx="79">
                  <v>68</v>
                </pt>
                <pt idx="80">
                  <v>78.2</v>
                </pt>
                <pt idx="81">
                  <v>84.8</v>
                </pt>
                <pt idx="82">
                  <v>83.2</v>
                </pt>
                <pt idx="83">
                  <v>81.2</v>
                </pt>
                <pt idx="84">
                  <v>87.59999999999999</v>
                </pt>
                <pt idx="85">
                  <v>81.5</v>
                </pt>
                <pt idx="86">
                  <v>78.7</v>
                </pt>
                <pt idx="87">
                  <v>75.90000000000001</v>
                </pt>
                <pt idx="88">
                  <v>77.59999999999999</v>
                </pt>
                <pt idx="89">
                  <v>74.7</v>
                </pt>
                <pt idx="90">
                  <v>81.5</v>
                </pt>
                <pt idx="91">
                  <v>73.7</v>
                </pt>
                <pt idx="92">
                  <v>74.09999999999999</v>
                </pt>
                <pt idx="93">
                  <v>70.09999999999999</v>
                </pt>
                <pt idx="94">
                  <v>66.2</v>
                </pt>
                <pt idx="95">
                  <v>65.59999999999999</v>
                </pt>
                <pt idx="96">
                  <v>68.09999999999999</v>
                </pt>
                <pt idx="97">
                  <v>62.4</v>
                </pt>
                <pt idx="98">
                  <v>60.1</v>
                </pt>
                <pt idx="99">
                  <v>53.3</v>
                </pt>
                <pt idx="100">
                  <v>51.1</v>
                </pt>
                <pt idx="101">
                  <v>49.2</v>
                </pt>
                <pt idx="102">
                  <v>53.5</v>
                </pt>
                <pt idx="103">
                  <v>57.9</v>
                </pt>
                <pt idx="104">
                  <v>67.2</v>
                </pt>
                <pt idx="105">
                  <v>57</v>
                </pt>
                <pt idx="106">
                  <v>53.9</v>
                </pt>
                <pt idx="107">
                  <v>54</v>
                </pt>
                <pt idx="108">
                  <v>57.8</v>
                </pt>
                <pt idx="109">
                  <v>50.5</v>
                </pt>
                <pt idx="110">
                  <v>53.5</v>
                </pt>
                <pt idx="111">
                  <v>63.1</v>
                </pt>
                <pt idx="112">
                  <v>69.40000000000001</v>
                </pt>
                <pt idx="113">
                  <v>69.2</v>
                </pt>
                <pt idx="114">
                  <v>63.2</v>
                </pt>
                <pt idx="115">
                  <v>65</v>
                </pt>
                <pt idx="116">
                  <v>73.5</v>
                </pt>
                <pt idx="117">
                  <v>68.59999999999999</v>
                </pt>
                <pt idx="118">
                  <v>66.5</v>
                </pt>
                <pt idx="119">
                  <v>68.90000000000001</v>
                </pt>
                <pt idx="120">
                  <v>70.09999999999999</v>
                </pt>
                <pt idx="121">
                  <v>68.40000000000001</v>
                </pt>
                <pt idx="122">
                  <v>67.90000000000001</v>
                </pt>
                <pt idx="123">
                  <v>66.5</v>
                </pt>
                <pt idx="124">
                  <v>68.8</v>
                </pt>
                <pt idx="125">
                  <v>69.8</v>
                </pt>
                <pt idx="126">
                  <v>62.3</v>
                </pt>
                <pt idx="127">
                  <v>62.9</v>
                </pt>
                <pt idx="128">
                  <v>60.9</v>
                </pt>
                <pt idx="129">
                  <v>61.9</v>
                </pt>
                <pt idx="130">
                  <v>64.8</v>
                </pt>
                <pt idx="131">
                  <v>67.5</v>
                </pt>
                <pt idx="132">
                  <v>69.3</v>
                </pt>
                <pt idx="133">
                  <v>71.59999999999999</v>
                </pt>
                <pt idx="134">
                  <v>57.9</v>
                </pt>
                <pt idx="135">
                  <v>61.6</v>
                </pt>
                <pt idx="136">
                  <v>69.5</v>
                </pt>
                <pt idx="137">
                  <v>64.7</v>
                </pt>
                <pt idx="138">
                  <v>55.9</v>
                </pt>
                <pt idx="139">
                  <v>47.6</v>
                </pt>
                <pt idx="140">
                  <v>49.4</v>
                </pt>
                <pt idx="141">
                  <v>51.7</v>
                </pt>
                <pt idx="142">
                  <v>54.9</v>
                </pt>
                <pt idx="143">
                  <v>63.6</v>
                </pt>
                <pt idx="144">
                  <v>69.09999999999999</v>
                </pt>
                <pt idx="145">
                  <v>70.3</v>
                </pt>
                <pt idx="146">
                  <v>69.8</v>
                </pt>
                <pt idx="147">
                  <v>72.3</v>
                </pt>
                <pt idx="148">
                  <v>74.3</v>
                </pt>
                <pt idx="149">
                  <v>67.8</v>
                </pt>
                <pt idx="150">
                  <v>65.59999999999999</v>
                </pt>
                <pt idx="151">
                  <v>65.09999999999999</v>
                </pt>
                <pt idx="152">
                  <v>73.5</v>
                </pt>
                <pt idx="153">
                  <v>79</v>
                </pt>
                <pt idx="154">
                  <v>77.7</v>
                </pt>
                <pt idx="155">
                  <v>63.8</v>
                </pt>
                <pt idx="156">
                  <v>66.59999999999999</v>
                </pt>
                <pt idx="157">
                  <v>70.2</v>
                </pt>
                <pt idx="158">
                  <v>70.8</v>
                </pt>
                <pt idx="159">
                  <v>67.8</v>
                </pt>
                <pt idx="160">
                  <v>75.8</v>
                </pt>
                <pt idx="161">
                  <v>77.8</v>
                </pt>
                <pt idx="162">
                  <v>76.5</v>
                </pt>
                <pt idx="163">
                  <v>73.7</v>
                </pt>
                <pt idx="164">
                  <v>67.8</v>
                </pt>
                <pt idx="165">
                  <v>62.5</v>
                </pt>
                <pt idx="166">
                  <v>66.8</v>
                </pt>
                <pt idx="167">
                  <v>72.09999999999999</v>
                </pt>
                <pt idx="168">
                  <v>71.2</v>
                </pt>
                <pt idx="169">
                  <v>72.7</v>
                </pt>
                <pt idx="170">
                  <v>70</v>
                </pt>
                <pt idx="171">
                  <v>74.7</v>
                </pt>
                <pt idx="172">
                  <v>73.7</v>
                </pt>
                <pt idx="173">
                  <v>73.5</v>
                </pt>
                <pt idx="174">
                  <v>71.8</v>
                </pt>
                <pt idx="175">
                  <v>71.3</v>
                </pt>
                <pt idx="176">
                  <v>75.40000000000001</v>
                </pt>
                <pt idx="177">
                  <v>79.59999999999999</v>
                </pt>
                <pt idx="178">
                  <v>79.90000000000001</v>
                </pt>
                <pt idx="179">
                  <v>86.40000000000001</v>
                </pt>
                <pt idx="180">
                  <v>91</v>
                </pt>
                <pt idx="181">
                  <v>88</v>
                </pt>
                <pt idx="182">
                  <v>85.3</v>
                </pt>
                <pt idx="183">
                  <v>88.8</v>
                </pt>
                <pt idx="184">
                  <v>84.2</v>
                </pt>
                <pt idx="185">
                  <v>87.8</v>
                </pt>
                <pt idx="186">
                  <v>84.09999999999999</v>
                </pt>
                <pt idx="187">
                  <v>83.40000000000001</v>
                </pt>
                <pt idx="188">
                  <v>78.2</v>
                </pt>
                <pt idx="189">
                  <v>82.09999999999999</v>
                </pt>
                <pt idx="190">
                  <v>82.90000000000001</v>
                </pt>
                <pt idx="191">
                  <v>82.7</v>
                </pt>
                <pt idx="192">
                  <v>82.7</v>
                </pt>
                <pt idx="193">
                  <v>81.90000000000001</v>
                </pt>
                <pt idx="194">
                  <v>81.5</v>
                </pt>
                <pt idx="195">
                  <v>77.59999999999999</v>
                </pt>
                <pt idx="196">
                  <v>84.90000000000001</v>
                </pt>
                <pt idx="197">
                  <v>82.40000000000001</v>
                </pt>
                <pt idx="198">
                  <v>77.8</v>
                </pt>
                <pt idx="199">
                  <v>78.7</v>
                </pt>
                <pt idx="200">
                  <v>82.7</v>
                </pt>
                <pt idx="201">
                  <v>76.8</v>
                </pt>
                <pt idx="202">
                  <v>85.2</v>
                </pt>
                <pt idx="203">
                  <v>89.5</v>
                </pt>
                <pt idx="204">
                  <v>90.3</v>
                </pt>
                <pt idx="205">
                  <v>86.5</v>
                </pt>
                <pt idx="206">
                  <v>86.5</v>
                </pt>
                <pt idx="207">
                  <v>87</v>
                </pt>
                <pt idx="208">
                  <v>87.7</v>
                </pt>
                <pt idx="209">
                  <v>83.8</v>
                </pt>
                <pt idx="210">
                  <v>80.5</v>
                </pt>
                <pt idx="211">
                  <v>87.7</v>
                </pt>
                <pt idx="212">
                  <v>84.40000000000001</v>
                </pt>
                <pt idx="213">
                  <v>90.5</v>
                </pt>
                <pt idx="214">
                  <v>88.90000000000001</v>
                </pt>
                <pt idx="215">
                  <v>84.3</v>
                </pt>
                <pt idx="216">
                  <v>86.3</v>
                </pt>
                <pt idx="217">
                  <v>90</v>
                </pt>
                <pt idx="218">
                  <v>88.8</v>
                </pt>
                <pt idx="219">
                  <v>88.40000000000001</v>
                </pt>
                <pt idx="220">
                  <v>89.09999999999999</v>
                </pt>
                <pt idx="221">
                  <v>86.3</v>
                </pt>
                <pt idx="222">
                  <v>87.3</v>
                </pt>
                <pt idx="223">
                  <v>87.09999999999999</v>
                </pt>
                <pt idx="224">
                  <v>90.5</v>
                </pt>
                <pt idx="225">
                  <v>89.3</v>
                </pt>
                <pt idx="226">
                  <v>88.09999999999999</v>
                </pt>
                <pt idx="227">
                  <v>87</v>
                </pt>
                <pt idx="228">
                  <v>79.90000000000001</v>
                </pt>
                <pt idx="229">
                  <v>84.40000000000001</v>
                </pt>
                <pt idx="230">
                  <v>88.8</v>
                </pt>
                <pt idx="231">
                  <v>87.40000000000001</v>
                </pt>
                <pt idx="232">
                  <v>93.5</v>
                </pt>
                <pt idx="233">
                  <v>89.3</v>
                </pt>
                <pt idx="234">
                  <v>90.5</v>
                </pt>
                <pt idx="235">
                  <v>79.90000000000001</v>
                </pt>
                <pt idx="236">
                  <v>83.40000000000001</v>
                </pt>
                <pt idx="237">
                  <v>84.2</v>
                </pt>
                <pt idx="238">
                  <v>87.3</v>
                </pt>
                <pt idx="239">
                  <v>88.90000000000001</v>
                </pt>
                <pt idx="240">
                  <v>90.5</v>
                </pt>
                <pt idx="241">
                  <v>92.09999999999999</v>
                </pt>
                <pt idx="242">
                  <v>79.7</v>
                </pt>
                <pt idx="243">
                  <v>70.09999999999999</v>
                </pt>
                <pt idx="244">
                  <v>65.90000000000001</v>
                </pt>
                <pt idx="245">
                  <v>72.3</v>
                </pt>
                <pt idx="246">
                  <v>65.90000000000001</v>
                </pt>
                <pt idx="247">
                  <v>68.5</v>
                </pt>
                <pt idx="248">
                  <v>75.59999999999999</v>
                </pt>
                <pt idx="249">
                  <v>79.2</v>
                </pt>
                <pt idx="250">
                  <v>70.5</v>
                </pt>
                <pt idx="251">
                  <v>74.59999999999999</v>
                </pt>
                <pt idx="252">
                  <v>74</v>
                </pt>
                <pt idx="253">
                  <v>70.7</v>
                </pt>
                <pt idx="254">
                  <v>79.7</v>
                </pt>
                <pt idx="255">
                  <v>82.7</v>
                </pt>
                <pt idx="256">
                  <v>78.8</v>
                </pt>
                <pt idx="257">
                  <v>83.5</v>
                </pt>
                <pt idx="258">
                  <v>79</v>
                </pt>
                <pt idx="259">
                  <v>65.09999999999999</v>
                </pt>
                <pt idx="260">
                  <v>68.09999999999999</v>
                </pt>
                <pt idx="261">
                  <v>67.90000000000001</v>
                </pt>
                <pt idx="262">
                  <v>63.5</v>
                </pt>
                <pt idx="263">
                  <v>68.3</v>
                </pt>
                <pt idx="264">
                  <v>64.09999999999999</v>
                </pt>
                <pt idx="265">
                  <v>59.4</v>
                </pt>
                <pt idx="266">
                  <v>54.3</v>
                </pt>
                <pt idx="267">
                  <v>62.5</v>
                </pt>
                <pt idx="268">
                  <v>55.2</v>
                </pt>
                <pt idx="269">
                  <v>47.5</v>
                </pt>
                <pt idx="270">
                  <v>47.3</v>
                </pt>
                <pt idx="271">
                  <v>58</v>
                </pt>
                <pt idx="272">
                  <v>58</v>
                </pt>
                <pt idx="273">
                  <v>56.2</v>
                </pt>
              </numCache>
            </numRef>
          </val>
          <smooth val="0"/>
        </ser>
        <dLbls>
          <showLegendKey val="0"/>
          <showVal val="0"/>
          <showCatName val="0"/>
          <showSerName val="0"/>
          <showPercent val="0"/>
          <showBubbleSize val="0"/>
        </dLbls>
        <smooth val="0"/>
        <axId val="829877160"/>
        <axId val="829878144"/>
      </lineChart>
      <dateAx>
        <axId val="82987716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8144"/>
        <crosses val="autoZero"/>
        <lblOffset val="100"/>
        <baseTimeUnit val="days"/>
      </dateAx>
      <valAx>
        <axId val="829878144"/>
        <scaling>
          <orientation val="minMax"/>
          <max val="125"/>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987716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UMCSI vs GDP yoy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'UMCSI vs GDP'!$C$6</f>
              <strCache>
                <ptCount val="1"/>
                <pt idx="0">
                  <v>GDP yoy %</v>
                </pt>
              </strCache>
            </strRef>
          </tx>
          <spPr>
            <a:solidFill xmlns:a="http://schemas.openxmlformats.org/drawingml/2006/main">
              <a:schemeClr val="tx1">
                <a:lumMod val="50000"/>
                <a:lumOff val="50000"/>
              </a:schemeClr>
            </a:solidFill>
            <a:ln xmlns:a="http://schemas.openxmlformats.org/drawingml/2006/main">
              <a:solidFill>
                <a:srgbClr val="00B0F0"/>
              </a:solidFill>
              <a:prstDash val="solid"/>
            </a:ln>
          </spPr>
          <invertIfNegative val="0"/>
          <cat>
            <numRef>
              <f>'UMCSI vs GDP'!$A$7:$A$545</f>
              <numCache>
                <formatCode>mmm\-yy</formatCode>
                <ptCount val="53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GDP'!$C$7:$C$545</f>
              <numCache>
                <formatCode>0.00%</formatCode>
                <ptCount val="539"/>
                <pt idx="0">
                  <v>0.04117062342367939</v>
                </pt>
                <pt idx="1">
                  <v>0</v>
                </pt>
                <pt idx="2">
                  <v>0</v>
                </pt>
                <pt idx="3">
                  <v>0.06078147798838987</v>
                </pt>
                <pt idx="4">
                  <v>0</v>
                </pt>
                <pt idx="5">
                  <v>0</v>
                </pt>
                <pt idx="6">
                  <v>0.05245773421932062</v>
                </pt>
                <pt idx="7">
                  <v>0</v>
                </pt>
                <pt idx="8">
                  <v>0</v>
                </pt>
                <pt idx="9">
                  <v>0.06658095882650059</v>
                </pt>
                <pt idx="10">
                  <v>0</v>
                </pt>
                <pt idx="11">
                  <v>0</v>
                </pt>
                <pt idx="12">
                  <v>0.06509913089167918</v>
                </pt>
                <pt idx="13">
                  <v>0</v>
                </pt>
                <pt idx="14">
                  <v>0</v>
                </pt>
                <pt idx="15">
                  <v>0.02656855062737474</v>
                </pt>
                <pt idx="16">
                  <v>0</v>
                </pt>
                <pt idx="17">
                  <v>0</v>
                </pt>
                <pt idx="18">
                  <v>0.02389915412970895</v>
                </pt>
                <pt idx="19">
                  <v>0</v>
                </pt>
                <pt idx="20">
                  <v>0</v>
                </pt>
                <pt idx="21">
                  <v>0.01284557672337478</v>
                </pt>
                <pt idx="22">
                  <v>0</v>
                </pt>
                <pt idx="23">
                  <v>0</v>
                </pt>
                <pt idx="24">
                  <v>0.01420775265869138</v>
                </pt>
                <pt idx="25">
                  <v>0</v>
                </pt>
                <pt idx="26">
                  <v>0</v>
                </pt>
                <pt idx="27">
                  <v>-0.007750627129578919</v>
                </pt>
                <pt idx="28">
                  <v>0</v>
                </pt>
                <pt idx="29">
                  <v>0</v>
                </pt>
                <pt idx="30">
                  <v>-0.01623797430697286</v>
                </pt>
                <pt idx="31">
                  <v>0</v>
                </pt>
                <pt idx="32">
                  <v>0</v>
                </pt>
                <pt idx="33">
                  <v>-0.0003913161535425283</v>
                </pt>
                <pt idx="34">
                  <v>0</v>
                </pt>
                <pt idx="35">
                  <v>0</v>
                </pt>
                <pt idx="36">
                  <v>0.0159997977206744</v>
                </pt>
                <pt idx="37">
                  <v>0</v>
                </pt>
                <pt idx="38">
                  <v>0</v>
                </pt>
                <pt idx="39">
                  <v>0.02968700707322398</v>
                </pt>
                <pt idx="40">
                  <v>0</v>
                </pt>
                <pt idx="41">
                  <v>0</v>
                </pt>
                <pt idx="42">
                  <v>0.04325765021256277</v>
                </pt>
                <pt idx="43">
                  <v>0</v>
                </pt>
                <pt idx="44">
                  <v>0</v>
                </pt>
                <pt idx="45">
                  <v>0.01299901157291328</v>
                </pt>
                <pt idx="46">
                  <v>0</v>
                </pt>
                <pt idx="47">
                  <v>0</v>
                </pt>
                <pt idx="48">
                  <v>-0.02190348982485059</v>
                </pt>
                <pt idx="49">
                  <v>0</v>
                </pt>
                <pt idx="50">
                  <v>0</v>
                </pt>
                <pt idx="51">
                  <v>-0.01010568146574329</v>
                </pt>
                <pt idx="52">
                  <v>0</v>
                </pt>
                <pt idx="53">
                  <v>0</v>
                </pt>
                <pt idx="54">
                  <v>-0.02555921432805421</v>
                </pt>
                <pt idx="55">
                  <v>0</v>
                </pt>
                <pt idx="56">
                  <v>0</v>
                </pt>
                <pt idx="57">
                  <v>-0.01443156178740442</v>
                </pt>
                <pt idx="58">
                  <v>0</v>
                </pt>
                <pt idx="59">
                  <v>0</v>
                </pt>
                <pt idx="60">
                  <v>0.01431455577415857</v>
                </pt>
                <pt idx="61">
                  <v>0</v>
                </pt>
                <pt idx="62">
                  <v>0</v>
                </pt>
                <pt idx="63">
                  <v>0.03268532884077024</v>
                </pt>
                <pt idx="64">
                  <v>0</v>
                </pt>
                <pt idx="65">
                  <v>0</v>
                </pt>
                <pt idx="66">
                  <v>0.05737169684511145</v>
                </pt>
                <pt idx="67">
                  <v>0</v>
                </pt>
                <pt idx="68">
                  <v>0</v>
                </pt>
                <pt idx="69">
                  <v>0.07899974981110956</v>
                </pt>
                <pt idx="70">
                  <v>0</v>
                </pt>
                <pt idx="71">
                  <v>0</v>
                </pt>
                <pt idx="72">
                  <v>0.08578275462219513</v>
                </pt>
                <pt idx="73">
                  <v>0</v>
                </pt>
                <pt idx="74">
                  <v>0</v>
                </pt>
                <pt idx="75">
                  <v>0.07996696675409365</v>
                </pt>
                <pt idx="76">
                  <v>0</v>
                </pt>
                <pt idx="77">
                  <v>0</v>
                </pt>
                <pt idx="78">
                  <v>0.06900837083418117</v>
                </pt>
                <pt idx="79">
                  <v>0</v>
                </pt>
                <pt idx="80">
                  <v>0</v>
                </pt>
                <pt idx="81">
                  <v>0.05575799461835693</v>
                </pt>
                <pt idx="82">
                  <v>0</v>
                </pt>
                <pt idx="83">
                  <v>0</v>
                </pt>
                <pt idx="84">
                  <v>0.04555093389343478</v>
                </pt>
                <pt idx="85">
                  <v>0</v>
                </pt>
                <pt idx="86">
                  <v>0</v>
                </pt>
                <pt idx="87">
                  <v>0.03684217504663914</v>
                </pt>
                <pt idx="88">
                  <v>0</v>
                </pt>
                <pt idx="89">
                  <v>0</v>
                </pt>
                <pt idx="90">
                  <v>0.04262444927405274</v>
                </pt>
                <pt idx="91">
                  <v>0</v>
                </pt>
                <pt idx="92">
                  <v>0</v>
                </pt>
                <pt idx="93">
                  <v>0.04182268593574223</v>
                </pt>
                <pt idx="94">
                  <v>0</v>
                </pt>
                <pt idx="95">
                  <v>0</v>
                </pt>
                <pt idx="96">
                  <v>0.04145589749222781</v>
                </pt>
                <pt idx="97">
                  <v>0</v>
                </pt>
                <pt idx="98">
                  <v>0</v>
                </pt>
                <pt idx="99">
                  <v>0.03701580386604827</v>
                </pt>
                <pt idx="100">
                  <v>0</v>
                </pt>
                <pt idx="101">
                  <v>0</v>
                </pt>
                <pt idx="102">
                  <v>0.03119241273859987</v>
                </pt>
                <pt idx="103">
                  <v>0</v>
                </pt>
                <pt idx="104">
                  <v>0</v>
                </pt>
                <pt idx="105">
                  <v>0.02908033320892772</v>
                </pt>
                <pt idx="106">
                  <v>0</v>
                </pt>
                <pt idx="107">
                  <v>0</v>
                </pt>
                <pt idx="108">
                  <v>0.02715840619174129</v>
                </pt>
                <pt idx="109">
                  <v>0</v>
                </pt>
                <pt idx="110">
                  <v>0</v>
                </pt>
                <pt idx="111">
                  <v>0.03358479379655969</v>
                </pt>
                <pt idx="112">
                  <v>0</v>
                </pt>
                <pt idx="113">
                  <v>0</v>
                </pt>
                <pt idx="114">
                  <v>0.03266926151916798</v>
                </pt>
                <pt idx="115">
                  <v>0</v>
                </pt>
                <pt idx="116">
                  <v>0</v>
                </pt>
                <pt idx="117">
                  <v>0.04479019137679711</v>
                </pt>
                <pt idx="118">
                  <v>0</v>
                </pt>
                <pt idx="119">
                  <v>0</v>
                </pt>
                <pt idx="120">
                  <v>0.04242189568962163</v>
                </pt>
                <pt idx="121">
                  <v>0</v>
                </pt>
                <pt idx="122">
                  <v>0</v>
                </pt>
                <pt idx="123">
                  <v>0.0448460421728804</v>
                </pt>
                <pt idx="124">
                  <v>0</v>
                </pt>
                <pt idx="125">
                  <v>0</v>
                </pt>
                <pt idx="126">
                  <v>0.04192866323342976</v>
                </pt>
                <pt idx="127">
                  <v>0</v>
                </pt>
                <pt idx="128">
                  <v>0</v>
                </pt>
                <pt idx="129">
                  <v>0.03798971043649484</v>
                </pt>
                <pt idx="130">
                  <v>0</v>
                </pt>
                <pt idx="131">
                  <v>0</v>
                </pt>
                <pt idx="132">
                  <v>0.04315239934533486</v>
                </pt>
                <pt idx="133">
                  <v>0</v>
                </pt>
                <pt idx="134">
                  <v>0</v>
                </pt>
                <pt idx="135">
                  <v>0.03748292874843969</v>
                </pt>
                <pt idx="136">
                  <v>0</v>
                </pt>
                <pt idx="137">
                  <v>0</v>
                </pt>
                <pt idx="138">
                  <v>0.03908113052928337</v>
                </pt>
                <pt idx="139">
                  <v>0</v>
                </pt>
                <pt idx="140">
                  <v>0</v>
                </pt>
                <pt idx="141">
                  <v>0.02743803255246614</v>
                </pt>
                <pt idx="142">
                  <v>0</v>
                </pt>
                <pt idx="143">
                  <v>0</v>
                </pt>
                <pt idx="144">
                  <v>0.02821303844360694</v>
                </pt>
                <pt idx="145">
                  <v>0</v>
                </pt>
                <pt idx="146">
                  <v>0</v>
                </pt>
                <pt idx="147">
                  <v>0.02412772955183759</v>
                </pt>
                <pt idx="148">
                  <v>0</v>
                </pt>
                <pt idx="149">
                  <v>0</v>
                </pt>
                <pt idx="150">
                  <v>0.01727216636869786</v>
                </pt>
                <pt idx="151">
                  <v>0</v>
                </pt>
                <pt idx="152">
                  <v>0</v>
                </pt>
                <pt idx="153">
                  <v>0.006028586964982286</v>
                </pt>
                <pt idx="154">
                  <v>0</v>
                </pt>
                <pt idx="155">
                  <v>0</v>
                </pt>
                <pt idx="156">
                  <v>-0.009502406971016092</v>
                </pt>
                <pt idx="157">
                  <v>0</v>
                </pt>
                <pt idx="158">
                  <v>0</v>
                </pt>
                <pt idx="159">
                  <v>-0.005388879602283176</v>
                </pt>
                <pt idx="160">
                  <v>0</v>
                </pt>
                <pt idx="161">
                  <v>0</v>
                </pt>
                <pt idx="162">
                  <v>-0.001027168500506232</v>
                </pt>
                <pt idx="163">
                  <v>0</v>
                </pt>
                <pt idx="164">
                  <v>0</v>
                </pt>
                <pt idx="165">
                  <v>0.01166503342248571</v>
                </pt>
                <pt idx="166">
                  <v>0</v>
                </pt>
                <pt idx="167">
                  <v>0</v>
                </pt>
                <pt idx="168">
                  <v>0.02858869105350608</v>
                </pt>
                <pt idx="169">
                  <v>0</v>
                </pt>
                <pt idx="170">
                  <v>0</v>
                </pt>
                <pt idx="171">
                  <v>0.03169755820667069</v>
                </pt>
                <pt idx="172">
                  <v>0</v>
                </pt>
                <pt idx="173">
                  <v>0</v>
                </pt>
                <pt idx="174">
                  <v>0.03665322878509601</v>
                </pt>
                <pt idx="175">
                  <v>0</v>
                </pt>
                <pt idx="176">
                  <v>0</v>
                </pt>
                <pt idx="177">
                  <v>0.04382587643638389</v>
                </pt>
                <pt idx="178">
                  <v>0</v>
                </pt>
                <pt idx="179">
                  <v>0</v>
                </pt>
                <pt idx="180">
                  <v>0.03319981753469755</v>
                </pt>
                <pt idx="181">
                  <v>0</v>
                </pt>
                <pt idx="182">
                  <v>0</v>
                </pt>
                <pt idx="183">
                  <v>0.02806667390440774</v>
                </pt>
                <pt idx="184">
                  <v>0</v>
                </pt>
                <pt idx="185">
                  <v>0</v>
                </pt>
                <pt idx="186">
                  <v>0.02286515760815716</v>
                </pt>
                <pt idx="187">
                  <v>0</v>
                </pt>
                <pt idx="188">
                  <v>0</v>
                </pt>
                <pt idx="189">
                  <v>0.02607615494464687</v>
                </pt>
                <pt idx="190">
                  <v>0</v>
                </pt>
                <pt idx="191">
                  <v>0</v>
                </pt>
                <pt idx="192">
                  <v>0.03430523014430593</v>
                </pt>
                <pt idx="193">
                  <v>0</v>
                </pt>
                <pt idx="194">
                  <v>0</v>
                </pt>
                <pt idx="195">
                  <v>0.0422539970235709</v>
                </pt>
                <pt idx="196">
                  <v>0</v>
                </pt>
                <pt idx="197">
                  <v>0</v>
                </pt>
                <pt idx="198">
                  <v>0.04336784859634325</v>
                </pt>
                <pt idx="199">
                  <v>0</v>
                </pt>
                <pt idx="200">
                  <v>0</v>
                </pt>
                <pt idx="201">
                  <v>0.04115926516252467</v>
                </pt>
                <pt idx="202">
                  <v>0</v>
                </pt>
                <pt idx="203">
                  <v>0</v>
                </pt>
                <pt idx="204">
                  <v>0.0348113029700438</v>
                </pt>
                <pt idx="205">
                  <v>0</v>
                </pt>
                <pt idx="206">
                  <v>0</v>
                </pt>
                <pt idx="207">
                  <v>0.02402168869293488</v>
                </pt>
                <pt idx="208">
                  <v>0</v>
                </pt>
                <pt idx="209">
                  <v>0</v>
                </pt>
                <pt idx="210">
                  <v>0.02673106855580074</v>
                </pt>
                <pt idx="211">
                  <v>0</v>
                </pt>
                <pt idx="212">
                  <v>0</v>
                </pt>
                <pt idx="213">
                  <v>0.02199579909068443</v>
                </pt>
                <pt idx="214">
                  <v>0</v>
                </pt>
                <pt idx="215">
                  <v>0</v>
                </pt>
                <pt idx="216">
                  <v>0.02601103992691744</v>
                </pt>
                <pt idx="217">
                  <v>0</v>
                </pt>
                <pt idx="218">
                  <v>0</v>
                </pt>
                <pt idx="219">
                  <v>0.04002127063806155</v>
                </pt>
                <pt idx="220">
                  <v>0</v>
                </pt>
                <pt idx="221">
                  <v>0</v>
                </pt>
                <pt idx="222">
                  <v>0.04049921390498906</v>
                </pt>
                <pt idx="223">
                  <v>0</v>
                </pt>
                <pt idx="224">
                  <v>0</v>
                </pt>
                <pt idx="225">
                  <v>0.0442131445208174</v>
                </pt>
                <pt idx="226">
                  <v>0</v>
                </pt>
                <pt idx="227">
                  <v>0</v>
                </pt>
                <pt idx="228">
                  <v>0.04314134541141839</v>
                </pt>
                <pt idx="229">
                  <v>0</v>
                </pt>
                <pt idx="230">
                  <v>0</v>
                </pt>
                <pt idx="231">
                  <v>0.04308074979348425</v>
                </pt>
                <pt idx="232">
                  <v>0</v>
                </pt>
                <pt idx="233">
                  <v>0</v>
                </pt>
                <pt idx="234">
                  <v>0.04673802575393323</v>
                </pt>
                <pt idx="235">
                  <v>0</v>
                </pt>
                <pt idx="236">
                  <v>0</v>
                </pt>
                <pt idx="237">
                  <v>0.04487684457714512</v>
                </pt>
                <pt idx="238">
                  <v>0</v>
                </pt>
                <pt idx="239">
                  <v>0</v>
                </pt>
                <pt idx="240">
                  <v>0.04855005882657688</v>
                </pt>
                <pt idx="241">
                  <v>0</v>
                </pt>
                <pt idx="242">
                  <v>0</v>
                </pt>
                <pt idx="243">
                  <v>0.04095726841200665</v>
                </pt>
                <pt idx="244">
                  <v>0</v>
                </pt>
                <pt idx="245">
                  <v>0</v>
                </pt>
                <pt idx="246">
                  <v>0.04097768622679814</v>
                </pt>
                <pt idx="247">
                  <v>0</v>
                </pt>
                <pt idx="248">
                  <v>0</v>
                </pt>
                <pt idx="249">
                  <v>0.04879540775598017</v>
                </pt>
                <pt idx="250">
                  <v>0</v>
                </pt>
                <pt idx="251">
                  <v>0</v>
                </pt>
                <pt idx="252">
                  <v>0.0482185793162023</v>
                </pt>
                <pt idx="253">
                  <v>0</v>
                </pt>
                <pt idx="254">
                  <v>0</v>
                </pt>
                <pt idx="255">
                  <v>0.04727531513473537</v>
                </pt>
                <pt idx="256">
                  <v>0</v>
                </pt>
                <pt idx="257">
                  <v>0</v>
                </pt>
                <pt idx="258">
                  <v>0.04800205236862531</v>
                </pt>
                <pt idx="259">
                  <v>0</v>
                </pt>
                <pt idx="260">
                  <v>0</v>
                </pt>
                <pt idx="261">
                  <v>0.04827626650330151</v>
                </pt>
                <pt idx="262">
                  <v>0</v>
                </pt>
                <pt idx="263">
                  <v>0</v>
                </pt>
                <pt idx="264">
                  <v>0.04225955858689924</v>
                </pt>
                <pt idx="265">
                  <v>0</v>
                </pt>
                <pt idx="266">
                  <v>0</v>
                </pt>
                <pt idx="267">
                  <v>0.05244682768853312</v>
                </pt>
                <pt idx="268">
                  <v>0</v>
                </pt>
                <pt idx="269">
                  <v>0</v>
                </pt>
                <pt idx="270">
                  <v>0.03974084495579121</v>
                </pt>
                <pt idx="271">
                  <v>0</v>
                </pt>
                <pt idx="272">
                  <v>0</v>
                </pt>
                <pt idx="273">
                  <v>0.0290162047211726</v>
                </pt>
                <pt idx="274">
                  <v>0</v>
                </pt>
                <pt idx="275">
                  <v>0</v>
                </pt>
                <pt idx="276">
                  <v>0.02195542846787985</v>
                </pt>
                <pt idx="277">
                  <v>0</v>
                </pt>
                <pt idx="278">
                  <v>0</v>
                </pt>
                <pt idx="279">
                  <v>0.009919329568880284</v>
                </pt>
                <pt idx="280">
                  <v>0</v>
                </pt>
                <pt idx="281">
                  <v>0</v>
                </pt>
                <pt idx="282">
                  <v>0.004873523671693287</v>
                </pt>
                <pt idx="283">
                  <v>0</v>
                </pt>
                <pt idx="284">
                  <v>0</v>
                </pt>
                <pt idx="285">
                  <v>0.001706422364229252</v>
                </pt>
                <pt idx="286">
                  <v>0</v>
                </pt>
                <pt idx="287">
                  <v>0</v>
                </pt>
                <pt idx="288">
                  <v>0.0132881204842846</v>
                </pt>
                <pt idx="289">
                  <v>0</v>
                </pt>
                <pt idx="290">
                  <v>0</v>
                </pt>
                <pt idx="291">
                  <v>0.01322883902243626</v>
                </pt>
                <pt idx="292">
                  <v>0</v>
                </pt>
                <pt idx="293">
                  <v>0</v>
                </pt>
                <pt idx="294">
                  <v>0.02140669989799325</v>
                </pt>
                <pt idx="295">
                  <v>0</v>
                </pt>
                <pt idx="296">
                  <v>0</v>
                </pt>
                <pt idx="297">
                  <v>0.01991286184648556</v>
                </pt>
                <pt idx="298">
                  <v>0</v>
                </pt>
                <pt idx="299">
                  <v>0</v>
                </pt>
                <pt idx="300">
                  <v>0.01676188940425874</v>
                </pt>
                <pt idx="301">
                  <v>0</v>
                </pt>
                <pt idx="302">
                  <v>0</v>
                </pt>
                <pt idx="303">
                  <v>0.01956993641779591</v>
                </pt>
                <pt idx="304">
                  <v>0</v>
                </pt>
                <pt idx="305">
                  <v>0</v>
                </pt>
                <pt idx="306">
                  <v>0.03239908301526014</v>
                </pt>
                <pt idx="307">
                  <v>0</v>
                </pt>
                <pt idx="308">
                  <v>0</v>
                </pt>
                <pt idx="309">
                  <v>0.04295076520243932</v>
                </pt>
                <pt idx="310">
                  <v>0</v>
                </pt>
                <pt idx="311">
                  <v>0</v>
                </pt>
                <pt idx="312">
                  <v>0.04353382086215924</v>
                </pt>
                <pt idx="313">
                  <v>0</v>
                </pt>
                <pt idx="314">
                  <v>0</v>
                </pt>
                <pt idx="315">
                  <v>0.04234811649454442</v>
                </pt>
                <pt idx="316">
                  <v>0</v>
                </pt>
                <pt idx="317">
                  <v>0</v>
                </pt>
                <pt idx="318">
                  <v>0.03490834068650776</v>
                </pt>
                <pt idx="319">
                  <v>0</v>
                </pt>
                <pt idx="320">
                  <v>0</v>
                </pt>
                <pt idx="321">
                  <v>0.03355765916404892</v>
                </pt>
                <pt idx="322">
                  <v>0</v>
                </pt>
                <pt idx="323">
                  <v>0</v>
                </pt>
                <pt idx="324">
                  <v>0.03908617440899946</v>
                </pt>
                <pt idx="325">
                  <v>0</v>
                </pt>
                <pt idx="326">
                  <v>0</v>
                </pt>
                <pt idx="327">
                  <v>0.03607410366126079</v>
                </pt>
                <pt idx="328">
                  <v>0</v>
                </pt>
                <pt idx="329">
                  <v>0</v>
                </pt>
                <pt idx="330">
                  <v>0.03447674589108512</v>
                </pt>
                <pt idx="331">
                  <v>0</v>
                </pt>
                <pt idx="332">
                  <v>0</v>
                </pt>
                <pt idx="333">
                  <v>0.02982672051361144</v>
                </pt>
                <pt idx="334">
                  <v>0</v>
                </pt>
                <pt idx="335">
                  <v>0</v>
                </pt>
                <pt idx="336">
                  <v>0.03224857572323006</v>
                </pt>
                <pt idx="337">
                  <v>0</v>
                </pt>
                <pt idx="338">
                  <v>0</v>
                </pt>
                <pt idx="339">
                  <v>0.02977269025594638</v>
                </pt>
                <pt idx="340">
                  <v>0</v>
                </pt>
                <pt idx="341">
                  <v>0</v>
                </pt>
                <pt idx="342">
                  <v>0.02328291151863791</v>
                </pt>
                <pt idx="343">
                  <v>0</v>
                </pt>
                <pt idx="344">
                  <v>0</v>
                </pt>
                <pt idx="345">
                  <v>0.02608901983560922</v>
                </pt>
                <pt idx="346">
                  <v>0</v>
                </pt>
                <pt idx="347">
                  <v>0</v>
                </pt>
                <pt idx="348">
                  <v>0.01540715325180492</v>
                </pt>
                <pt idx="349">
                  <v>0</v>
                </pt>
                <pt idx="350">
                  <v>0</v>
                </pt>
                <pt idx="351">
                  <v>0.01938641594997887</v>
                </pt>
                <pt idx="352">
                  <v>0</v>
                </pt>
                <pt idx="353">
                  <v>0</v>
                </pt>
                <pt idx="354">
                  <v>0.02398559850010293</v>
                </pt>
                <pt idx="355">
                  <v>0</v>
                </pt>
                <pt idx="356">
                  <v>0</v>
                </pt>
                <pt idx="357">
                  <v>0.02160883208196539</v>
                </pt>
                <pt idx="358">
                  <v>0</v>
                </pt>
                <pt idx="359">
                  <v>0</v>
                </pt>
                <pt idx="360">
                  <v>0.01446803001442738</v>
                </pt>
                <pt idx="361">
                  <v>0</v>
                </pt>
                <pt idx="362">
                  <v>0</v>
                </pt>
                <pt idx="363">
                  <v>0.01380132559333386</v>
                </pt>
                <pt idx="364">
                  <v>0</v>
                </pt>
                <pt idx="365">
                  <v>0</v>
                </pt>
                <pt idx="366">
                  <v>0.002422023781227279</v>
                </pt>
                <pt idx="367">
                  <v>0</v>
                </pt>
                <pt idx="368">
                  <v>0</v>
                </pt>
                <pt idx="369">
                  <v>0</v>
                </pt>
                <pt idx="370">
                  <v>0</v>
                </pt>
                <pt idx="371">
                  <v>0</v>
                </pt>
                <pt idx="372">
                  <v>-0.03282392443793528</v>
                </pt>
                <pt idx="373">
                  <v>-0.02540339259876205</v>
                </pt>
                <pt idx="374">
                  <v>0</v>
                </pt>
                <pt idx="375">
                  <v>-0.03995504779306322</v>
                </pt>
                <pt idx="376">
                  <v>0</v>
                </pt>
                <pt idx="377">
                  <v>0</v>
                </pt>
                <pt idx="378">
                  <v>-0.03137675003287801</v>
                </pt>
                <pt idx="379">
                  <v>0</v>
                </pt>
                <pt idx="380">
                  <v>0</v>
                </pt>
                <pt idx="381">
                  <v>0.0008165758387652319</v>
                </pt>
                <pt idx="382">
                  <v>0</v>
                </pt>
                <pt idx="383">
                  <v>0</v>
                </pt>
                <pt idx="384">
                  <v>0.01768457232028358</v>
                </pt>
                <pt idx="385">
                  <v>0</v>
                </pt>
                <pt idx="386">
                  <v>0</v>
                </pt>
                <pt idx="387">
                  <v>0.02927467844787534</v>
                </pt>
                <pt idx="388">
                  <v>0</v>
                </pt>
                <pt idx="389">
                  <v>0</v>
                </pt>
                <pt idx="390">
                  <v>0.03349193813853987</v>
                </pt>
                <pt idx="391">
                  <v>0</v>
                </pt>
                <pt idx="392">
                  <v>0</v>
                </pt>
                <pt idx="393">
                  <v>0.02788449690506404</v>
                </pt>
                <pt idx="394">
                  <v>0</v>
                </pt>
                <pt idx="395">
                  <v>0</v>
                </pt>
                <pt idx="396">
                  <v>0.02030608190613149</v>
                </pt>
                <pt idx="397">
                  <v>0</v>
                </pt>
                <pt idx="398">
                  <v>0</v>
                </pt>
                <pt idx="399">
                  <v>0.01737905068607296</v>
                </pt>
                <pt idx="400">
                  <v>0</v>
                </pt>
                <pt idx="401">
                  <v>0</v>
                </pt>
                <pt idx="402">
                  <v>0.009182208483861604</v>
                </pt>
                <pt idx="403">
                  <v>0</v>
                </pt>
                <pt idx="404">
                  <v>0</v>
                </pt>
                <pt idx="405">
                  <v>0.0152269152413066</v>
                </pt>
                <pt idx="406">
                  <v>0</v>
                </pt>
                <pt idx="407">
                  <v>0</v>
                </pt>
                <pt idx="408">
                  <v>0.02600249297538843</v>
                </pt>
                <pt idx="409">
                  <v>0</v>
                </pt>
                <pt idx="410">
                  <v>0</v>
                </pt>
                <pt idx="411">
                  <v>0.02373816349715461</v>
                </pt>
                <pt idx="412">
                  <v>0</v>
                </pt>
                <pt idx="413">
                  <v>0</v>
                </pt>
                <pt idx="414">
                  <v>0.02592622977056317</v>
                </pt>
                <pt idx="415">
                  <v>0</v>
                </pt>
                <pt idx="416">
                  <v>0</v>
                </pt>
                <pt idx="417">
                  <v>0.0156606434588916</v>
                </pt>
                <pt idx="418">
                  <v>0</v>
                </pt>
                <pt idx="419">
                  <v>0</v>
                </pt>
                <pt idx="420">
                  <v>0.01616301095280286</v>
                </pt>
                <pt idx="421">
                  <v>0</v>
                </pt>
                <pt idx="422">
                  <v>0</v>
                </pt>
                <pt idx="423">
                  <v>0.01296170490384775</v>
                </pt>
                <pt idx="424">
                  <v>0</v>
                </pt>
                <pt idx="425">
                  <v>0</v>
                </pt>
                <pt idx="426">
                  <v>0.01919844620038217</v>
                </pt>
                <pt idx="427">
                  <v>0</v>
                </pt>
                <pt idx="428">
                  <v>0</v>
                </pt>
                <pt idx="429">
                  <v>0.02532049777807217</v>
                </pt>
                <pt idx="430">
                  <v>0</v>
                </pt>
                <pt idx="431">
                  <v>0</v>
                </pt>
                <pt idx="432">
                  <v>0.01294055859309538</v>
                </pt>
                <pt idx="433">
                  <v>0</v>
                </pt>
                <pt idx="434">
                  <v>0</v>
                </pt>
                <pt idx="435">
                  <v>0.0245199916765882</v>
                </pt>
                <pt idx="436">
                  <v>0</v>
                </pt>
                <pt idx="437">
                  <v>0</v>
                </pt>
                <pt idx="438">
                  <v>0.02831456925846958</v>
                </pt>
                <pt idx="439">
                  <v>0</v>
                </pt>
                <pt idx="440">
                  <v>0</v>
                </pt>
                <pt idx="441">
                  <v>0.02563759666266986</v>
                </pt>
                <pt idx="442">
                  <v>0</v>
                </pt>
                <pt idx="443">
                  <v>0</v>
                </pt>
                <pt idx="444">
                  <v>0.03761202773082455</v>
                </pt>
                <pt idx="445">
                  <v>0</v>
                </pt>
                <pt idx="446">
                  <v>0</v>
                </pt>
                <pt idx="447">
                  <v>0.03039854674877899</v>
                </pt>
                <pt idx="448">
                  <v>0</v>
                </pt>
                <pt idx="449">
                  <v>0</v>
                </pt>
                <pt idx="450">
                  <v>0.02182668511263306</v>
                </pt>
                <pt idx="451">
                  <v>0</v>
                </pt>
                <pt idx="452">
                  <v>0</v>
                </pt>
                <pt idx="453">
                  <v>0.01874684058645722</v>
                </pt>
                <pt idx="454">
                  <v>0</v>
                </pt>
                <pt idx="455">
                  <v>0</v>
                </pt>
                <pt idx="456">
                  <v>0.01648190603048597</v>
                </pt>
                <pt idx="457">
                  <v>0</v>
                </pt>
                <pt idx="458">
                  <v>0</v>
                </pt>
                <pt idx="459">
                  <v>0.01367629650405968</v>
                </pt>
                <pt idx="460">
                  <v>0</v>
                </pt>
                <pt idx="461">
                  <v>0</v>
                </pt>
                <pt idx="462">
                  <v>0.01648263356020616</v>
                </pt>
                <pt idx="463">
                  <v>0</v>
                </pt>
                <pt idx="464">
                  <v>0</v>
                </pt>
                <pt idx="465">
                  <v>0.0200417704624271</v>
                </pt>
                <pt idx="466">
                  <v>0</v>
                </pt>
                <pt idx="467">
                  <v>0</v>
                </pt>
                <pt idx="468">
                  <v>0.01842416355046683</v>
                </pt>
                <pt idx="469">
                  <v>0</v>
                </pt>
                <pt idx="470">
                  <v>0</v>
                </pt>
                <pt idx="471">
                  <v>0.02046912858646235</v>
                </pt>
                <pt idx="472">
                  <v>0</v>
                </pt>
                <pt idx="473">
                  <v>0</v>
                </pt>
                <pt idx="474">
                  <v>0.02276539538036879</v>
                </pt>
                <pt idx="475">
                  <v>0</v>
                </pt>
                <pt idx="476">
                  <v>0</v>
                </pt>
                <pt idx="477">
                  <v>0.02794320412113688</v>
                </pt>
                <pt idx="478">
                  <v>0</v>
                </pt>
                <pt idx="479">
                  <v>0</v>
                </pt>
                <pt idx="480">
                  <v>0.03063503383681697</v>
                </pt>
                <pt idx="481">
                  <v>0</v>
                </pt>
                <pt idx="482">
                  <v>0</v>
                </pt>
                <pt idx="483">
                  <v>0.03261982807038656</v>
                </pt>
                <pt idx="484">
                  <v>0</v>
                </pt>
                <pt idx="485">
                  <v>0</v>
                </pt>
                <pt idx="486">
                  <v>0.03153983832960232</v>
                </pt>
                <pt idx="487">
                  <v>0</v>
                </pt>
                <pt idx="488">
                  <v>0</v>
                </pt>
                <pt idx="489">
                  <v>0.02312583627794206</v>
                </pt>
                <pt idx="490">
                  <v>0</v>
                </pt>
                <pt idx="491">
                  <v>0</v>
                </pt>
                <pt idx="492">
                  <v>0.02160228109292731</v>
                </pt>
                <pt idx="493">
                  <v>0</v>
                </pt>
                <pt idx="494">
                  <v>0</v>
                </pt>
                <pt idx="495">
                  <v>0.02135540615577208</v>
                </pt>
                <pt idx="496">
                  <v>0</v>
                </pt>
                <pt idx="497">
                  <v>0</v>
                </pt>
                <pt idx="498">
                  <v>0.02305827864632192</v>
                </pt>
                <pt idx="499">
                  <v>0</v>
                </pt>
                <pt idx="500">
                  <v>0</v>
                </pt>
                <pt idx="501">
                  <v>0.02572630848264621</v>
                </pt>
                <pt idx="502">
                  <v>0</v>
                </pt>
                <pt idx="503">
                  <v>0</v>
                </pt>
                <pt idx="504">
                  <v>0.008200829809341583</v>
                </pt>
                <pt idx="505">
                  <v>0</v>
                </pt>
                <pt idx="506">
                  <v>0</v>
                </pt>
                <pt idx="507">
                  <v>-0.08350640155994762</v>
                </pt>
                <pt idx="508">
                  <v>0</v>
                </pt>
                <pt idx="509">
                  <v>0</v>
                </pt>
                <pt idx="510">
                  <v>-0.0202401012140966</v>
                </pt>
                <pt idx="511">
                  <v>0</v>
                </pt>
                <pt idx="512">
                  <v>0</v>
                </pt>
                <pt idx="513">
                  <v>-0.01516619933157752</v>
                </pt>
                <pt idx="514">
                  <v>0</v>
                </pt>
                <pt idx="515">
                  <v>0</v>
                </pt>
                <pt idx="516">
                  <v>0.01191935050448183</v>
                </pt>
                <pt idx="517">
                  <v>0</v>
                </pt>
                <pt idx="518">
                  <v>0</v>
                </pt>
                <pt idx="519">
                  <v>0.1246085440624138</v>
                </pt>
                <pt idx="520">
                  <v>0</v>
                </pt>
                <pt idx="521">
                  <v>0</v>
                </pt>
                <pt idx="522">
                  <v>0.04955654480540681</v>
                </pt>
                <pt idx="523">
                  <v>0</v>
                </pt>
                <pt idx="524">
                  <v>0</v>
                </pt>
                <pt idx="525">
                  <v>0.05717100090878058</v>
                </pt>
                <pt idx="526">
                  <v>0</v>
                </pt>
                <pt idx="527">
                  <v>0</v>
                </pt>
                <pt idx="528">
                  <v>0.03683678957947209</v>
                </pt>
                <pt idx="529">
                  <v>0</v>
                </pt>
                <pt idx="530">
                  <v>0</v>
                </pt>
                <pt idx="531">
                  <v>0.0179604249802807</v>
                </pt>
                <pt idx="532">
                  <v>0</v>
                </pt>
                <pt idx="533">
                  <v>0</v>
                </pt>
                <pt idx="534">
                  <v>0.01774687161235577</v>
                </pt>
                <pt idx="535">
                  <v>0</v>
                </pt>
                <pt idx="536">
                  <v>0</v>
                </pt>
                <pt idx="537">
                  <v>0</v>
                </pt>
              </numCache>
            </numRef>
          </val>
        </ser>
        <dLbls>
          <showLegendKey val="0"/>
          <showVal val="0"/>
          <showCatName val="0"/>
          <showSerName val="0"/>
          <showPercent val="0"/>
          <showBubbleSize val="0"/>
        </dLbls>
        <gapWidth val="219"/>
        <axId val="1142538408"/>
        <axId val="1142539064"/>
      </barChart>
      <lineChart>
        <grouping val="standard"/>
        <varyColors val="0"/>
        <ser>
          <idx val="2"/>
          <order val="1"/>
          <tx>
            <strRef>
              <f>'UMCSI vs GDP'!$B$6</f>
              <strCache>
                <ptCount val="1"/>
                <pt idx="0">
                  <v>UMCSI</v>
                </pt>
              </strCache>
            </strRef>
          </tx>
          <spPr>
            <a:ln xmlns:a="http://schemas.openxmlformats.org/drawingml/2006/main" w="28575" cap="rnd">
              <a:solidFill>
                <a:srgbClr val="002060"/>
              </a:solidFill>
              <a:prstDash val="solid"/>
              <a:round/>
            </a:ln>
          </spPr>
          <marker>
            <symbol val="none"/>
            <spPr>
              <a:ln xmlns:a="http://schemas.openxmlformats.org/drawingml/2006/main">
                <a:prstDash val="solid"/>
              </a:ln>
            </spPr>
          </marker>
          <cat>
            <numRef>
              <f>'UMCSI vs GDP'!$A$7:$A$545</f>
              <numCache>
                <formatCode>mmm\-yy</formatCode>
                <ptCount val="539"/>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GDP'!$B$7:$B$545</f>
              <numCache>
                <formatCode>0.0</formatCode>
                <ptCount val="539"/>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numCache>
            </numRef>
          </val>
          <smooth val="0"/>
        </ser>
        <dLbls>
          <showLegendKey val="0"/>
          <showVal val="0"/>
          <showCatName val="0"/>
          <showSerName val="0"/>
          <showPercent val="0"/>
          <showBubbleSize val="0"/>
        </dLbls>
        <marker val="1"/>
        <smooth val="0"/>
        <axId val="1142545624"/>
        <axId val="1142537096"/>
      </lineChart>
      <dateAx>
        <axId val="1142538408"/>
        <scaling>
          <orientation val="minMax"/>
        </scaling>
        <delete val="1"/>
        <axPos val="b"/>
        <numFmt formatCode="mmm\-yy" sourceLinked="1"/>
        <majorTickMark val="out"/>
        <minorTickMark val="none"/>
        <tickLblPos val="nextTo"/>
        <crossAx val="1142539064"/>
        <crosses val="autoZero"/>
        <lblOffset val="100"/>
        <baseTimeUnit val="days"/>
      </dateAx>
      <valAx>
        <axId val="114253906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8408"/>
        <crosses val="max"/>
        <crossBetween val="between"/>
      </valAx>
      <dateAx>
        <axId val="114254562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37096"/>
        <crosses val="autoZero"/>
        <lblOffset val="100"/>
        <baseTimeUnit val="days"/>
      </dateAx>
      <valAx>
        <axId val="1142537096"/>
        <scaling>
          <orientation val="minMax"/>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425456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264651104"/>
        <axId val="1264655040"/>
      </barChart>
      <barChart>
        <barDir val="col"/>
        <grouping val="clustered"/>
        <varyColors val="0"/>
        <ser>
          <idx val="0"/>
          <order val="0"/>
          <tx>
            <strRef>
              <f>'UMCSI vs GDP'!$D$6</f>
              <strCache>
                <ptCount val="1"/>
                <pt idx="0">
                  <v>GDP qoq %</v>
                </pt>
              </strCache>
            </strRef>
          </tx>
          <spPr>
            <a:solidFill xmlns:a="http://schemas.openxmlformats.org/drawingml/2006/main">
              <a:srgbClr val="FFFF00"/>
            </a:solidFill>
            <a:ln xmlns:a="http://schemas.openxmlformats.org/drawingml/2006/main">
              <a:solidFill>
                <a:srgbClr val="00B0F0"/>
              </a:solidFill>
              <a:prstDash val="solid"/>
            </a:ln>
          </spPr>
          <invertIfNegative val="0"/>
          <cat>
            <numRef>
              <f>'UMCSI vs GDP'!$A$7:$A$550</f>
              <numCache>
                <formatCode>mmm\-yy</formatCode>
                <ptCount val="544"/>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GDP'!$D$7:$D$550</f>
              <numCache>
                <formatCode>0.00%</formatCode>
                <ptCount val="544"/>
                <pt idx="0">
                  <v>0.003191632414415807</v>
                </pt>
                <pt idx="1">
                  <v>0</v>
                </pt>
                <pt idx="2">
                  <v>0</v>
                </pt>
                <pt idx="3">
                  <v>0.03864270187727897</v>
                </pt>
                <pt idx="4">
                  <v>0</v>
                </pt>
                <pt idx="5">
                  <v>0</v>
                </pt>
                <pt idx="6">
                  <v>0.010055171271113</v>
                </pt>
                <pt idx="7">
                  <v>0</v>
                </pt>
                <pt idx="8">
                  <v>0</v>
                </pt>
                <pt idx="9">
                  <v>0.01344143063836532</v>
                </pt>
                <pt idx="10">
                  <v>0</v>
                </pt>
                <pt idx="11">
                  <v>0</v>
                </pt>
                <pt idx="12">
                  <v>0.001797872875968448</v>
                </pt>
                <pt idx="13">
                  <v>0</v>
                </pt>
                <pt idx="14">
                  <v>0</v>
                </pt>
                <pt idx="15">
                  <v>0.001069198313236971</v>
                </pt>
                <pt idx="16">
                  <v>0</v>
                </pt>
                <pt idx="17">
                  <v>0</v>
                </pt>
                <pt idx="18">
                  <v>0.007428714679400205</v>
                </pt>
                <pt idx="19">
                  <v>0</v>
                </pt>
                <pt idx="20">
                  <v>0</v>
                </pt>
                <pt idx="21">
                  <v>0.002500750342688359</v>
                </pt>
                <pt idx="22">
                  <v>0</v>
                </pt>
                <pt idx="23">
                  <v>0</v>
                </pt>
                <pt idx="24">
                  <v>0.003145190755262202</v>
                </pt>
                <pt idx="25">
                  <v>0</v>
                </pt>
                <pt idx="26">
                  <v>0</v>
                </pt>
                <pt idx="27">
                  <v>-0.02060472164377091</v>
                </pt>
                <pt idx="28">
                  <v>0</v>
                </pt>
                <pt idx="29">
                  <v>0</v>
                </pt>
                <pt idx="30">
                  <v>-0.001188471173007907</v>
                </pt>
                <pt idx="31">
                  <v>0</v>
                </pt>
                <pt idx="32">
                  <v>0</v>
                </pt>
                <pt idx="33">
                  <v>0.01864925605274221</v>
                </pt>
                <pt idx="34">
                  <v>0</v>
                </pt>
                <pt idx="35">
                  <v>0</v>
                </pt>
                <pt idx="36">
                  <v>0.01959429460935417</v>
                </pt>
                <pt idx="37">
                  <v>0</v>
                </pt>
                <pt idx="38">
                  <v>0</v>
                </pt>
                <pt idx="39">
                  <v>-0.00741063612935064</v>
                </pt>
                <pt idx="40">
                  <v>0</v>
                </pt>
                <pt idx="41">
                  <v>0</v>
                </pt>
                <pt idx="42">
                  <v>0.01197525210218013</v>
                </pt>
                <pt idx="43">
                  <v>0</v>
                </pt>
                <pt idx="44">
                  <v>0</v>
                </pt>
                <pt idx="45">
                  <v>-0.010895640870053</v>
                </pt>
                <pt idx="46">
                  <v>0</v>
                </pt>
                <pt idx="47">
                  <v>0</v>
                </pt>
                <pt idx="48">
                  <v>-0.01553544479433885</v>
                </pt>
                <pt idx="49">
                  <v>0</v>
                </pt>
                <pt idx="50">
                  <v>0</v>
                </pt>
                <pt idx="51">
                  <v>0.004561985153325386</v>
                </pt>
                <pt idx="52">
                  <v>0</v>
                </pt>
                <pt idx="53">
                  <v>0</v>
                </pt>
                <pt idx="54">
                  <v>-0.00382299274214082</v>
                </pt>
                <pt idx="55">
                  <v>0</v>
                </pt>
                <pt idx="56">
                  <v>0</v>
                </pt>
                <pt idx="57">
                  <v>0.0003994627387829448</v>
                </pt>
                <pt idx="58">
                  <v>0</v>
                </pt>
                <pt idx="59">
                  <v>0</v>
                </pt>
                <pt idx="60">
                  <v>0.01317847576348375</v>
                </pt>
                <pt idx="61">
                  <v>0</v>
                </pt>
                <pt idx="62">
                  <v>0</v>
                </pt>
                <pt idx="63">
                  <v>0.02275612439301274</v>
                </pt>
                <pt idx="64">
                  <v>0</v>
                </pt>
                <pt idx="65">
                  <v>0</v>
                </pt>
                <pt idx="66">
                  <v>0.01999064294321967</v>
                </pt>
                <pt idx="67">
                  <v>0</v>
                </pt>
                <pt idx="68">
                  <v>0</v>
                </pt>
                <pt idx="69">
                  <v>0.02086217479342563</v>
                </pt>
                <pt idx="70">
                  <v>0</v>
                </pt>
                <pt idx="71">
                  <v>0</v>
                </pt>
                <pt idx="72">
                  <v>0.01954770288962085</v>
                </pt>
                <pt idx="73">
                  <v>0</v>
                </pt>
                <pt idx="74">
                  <v>0</v>
                </pt>
                <pt idx="75">
                  <v>0.01727792662743756</v>
                </pt>
                <pt idx="76">
                  <v>0</v>
                </pt>
                <pt idx="77">
                  <v>0</v>
                </pt>
                <pt idx="78">
                  <v>0.00964063628357004</v>
                </pt>
                <pt idx="79">
                  <v>0</v>
                </pt>
                <pt idx="80">
                  <v>0</v>
                </pt>
                <pt idx="81">
                  <v>0.008208571463863279</v>
                </pt>
                <pt idx="82">
                  <v>0</v>
                </pt>
                <pt idx="83">
                  <v>0</v>
                </pt>
                <pt idx="84">
                  <v>0.00969072300559819</v>
                </pt>
                <pt idx="85">
                  <v>0</v>
                </pt>
                <pt idx="86">
                  <v>0</v>
                </pt>
                <pt idx="87">
                  <v>0.008804663531419342</v>
                </pt>
                <pt idx="88">
                  <v>0</v>
                </pt>
                <pt idx="89">
                  <v>0</v>
                </pt>
                <pt idx="90">
                  <v>0.01527121263417938</v>
                </pt>
                <pt idx="91">
                  <v>0</v>
                </pt>
                <pt idx="92">
                  <v>0</v>
                </pt>
                <pt idx="93">
                  <v>0.007433273444971662</v>
                </pt>
                <pt idx="94">
                  <v>0</v>
                </pt>
                <pt idx="95">
                  <v>0</v>
                </pt>
                <pt idx="96">
                  <v>0.009335247075075961</v>
                </pt>
                <pt idx="97">
                  <v>0</v>
                </pt>
                <pt idx="98">
                  <v>0</v>
                </pt>
                <pt idx="99">
                  <v>0.004503773625863378</v>
                </pt>
                <pt idx="100">
                  <v>0</v>
                </pt>
                <pt idx="101">
                  <v>0</v>
                </pt>
                <pt idx="102">
                  <v>0.009569928864379325</v>
                </pt>
                <pt idx="103">
                  <v>0</v>
                </pt>
                <pt idx="104">
                  <v>0</v>
                </pt>
                <pt idx="105">
                  <v>0.005369857182333668</v>
                </pt>
                <pt idx="106">
                  <v>0</v>
                </pt>
                <pt idx="107">
                  <v>0</v>
                </pt>
                <pt idx="108">
                  <v>0.007450196299007655</v>
                </pt>
                <pt idx="109">
                  <v>0</v>
                </pt>
                <pt idx="110">
                  <v>0</v>
                </pt>
                <pt idx="111">
                  <v>0.01078842316084223</v>
                </pt>
                <pt idx="112">
                  <v>0</v>
                </pt>
                <pt idx="113">
                  <v>0</v>
                </pt>
                <pt idx="114">
                  <v>0.008675668556268291</v>
                </pt>
                <pt idx="115">
                  <v>0</v>
                </pt>
                <pt idx="116">
                  <v>0</v>
                </pt>
                <pt idx="117">
                  <v>0.01717036095830037</v>
                </pt>
                <pt idx="118">
                  <v>0</v>
                </pt>
                <pt idx="119">
                  <v>0</v>
                </pt>
                <pt idx="120">
                  <v>0.005166541671857194</v>
                </pt>
                <pt idx="121">
                  <v>0</v>
                </pt>
                <pt idx="122">
                  <v>0</v>
                </pt>
                <pt idx="123">
                  <v>0.01313900617474086</v>
                </pt>
                <pt idx="124">
                  <v>0</v>
                </pt>
                <pt idx="125">
                  <v>0</v>
                </pt>
                <pt idx="126">
                  <v>0.005859283143099971</v>
                </pt>
                <pt idx="127">
                  <v>0</v>
                </pt>
                <pt idx="128">
                  <v>0</v>
                </pt>
                <pt idx="129">
                  <v>0.01332500553269732</v>
                </pt>
                <pt idx="130">
                  <v>0</v>
                </pt>
                <pt idx="131">
                  <v>0</v>
                </pt>
                <pt idx="132">
                  <v>0.01016597673759032</v>
                </pt>
                <pt idx="133">
                  <v>0</v>
                </pt>
                <pt idx="134">
                  <v>0</v>
                </pt>
                <pt idx="135">
                  <v>0.007632656565920425</v>
                </pt>
                <pt idx="136">
                  <v>0</v>
                </pt>
                <pt idx="137">
                  <v>0</v>
                </pt>
                <pt idx="138">
                  <v>0.007408769937583154</v>
                </pt>
                <pt idx="139">
                  <v>0</v>
                </pt>
                <pt idx="140">
                  <v>0</v>
                </pt>
                <pt idx="141">
                  <v>0.001970509742973655</v>
                </pt>
                <pt idx="142">
                  <v>0</v>
                </pt>
                <pt idx="143">
                  <v>0</v>
                </pt>
                <pt idx="144">
                  <v>0.01092795415929108</v>
                </pt>
                <pt idx="145">
                  <v>0</v>
                </pt>
                <pt idx="146">
                  <v>0</v>
                </pt>
                <pt idx="147">
                  <v>0.003629117904577434</v>
                </pt>
                <pt idx="148">
                  <v>0</v>
                </pt>
                <pt idx="149">
                  <v>0</v>
                </pt>
                <pt idx="150">
                  <v>0.0006651243216418434</v>
                </pt>
                <pt idx="151">
                  <v>0</v>
                </pt>
                <pt idx="152">
                  <v>0</v>
                </pt>
                <pt idx="153">
                  <v>-0.009103945411629843</v>
                </pt>
                <pt idx="154">
                  <v>0</v>
                </pt>
                <pt idx="155">
                  <v>0</v>
                </pt>
                <pt idx="156">
                  <v>-0.004678675840305243</v>
                </pt>
                <pt idx="157">
                  <v>0</v>
                </pt>
                <pt idx="158">
                  <v>0</v>
                </pt>
                <pt idx="159">
                  <v>0.007797180375009856</v>
                </pt>
                <pt idx="160">
                  <v>0</v>
                </pt>
                <pt idx="161">
                  <v>0</v>
                </pt>
                <pt idx="162">
                  <v>0.005053384308288108</v>
                </pt>
                <pt idx="163">
                  <v>0</v>
                </pt>
                <pt idx="164">
                  <v>0</v>
                </pt>
                <pt idx="165">
                  <v>0.003485639022466963</v>
                </pt>
                <pt idx="166">
                  <v>0</v>
                </pt>
                <pt idx="167">
                  <v>0</v>
                </pt>
                <pt idx="168">
                  <v>0.0119715757414335</v>
                </pt>
                <pt idx="169">
                  <v>0</v>
                </pt>
                <pt idx="170">
                  <v>0</v>
                </pt>
                <pt idx="171">
                  <v>0.0108432060394674</v>
                </pt>
                <pt idx="172">
                  <v>0</v>
                </pt>
                <pt idx="173">
                  <v>0</v>
                </pt>
                <pt idx="174">
                  <v>0.009881071886633277</v>
                </pt>
                <pt idx="175">
                  <v>0</v>
                </pt>
                <pt idx="176">
                  <v>0</v>
                </pt>
                <pt idx="177">
                  <v>0.01042879871365018</v>
                </pt>
                <pt idx="178">
                  <v>0</v>
                </pt>
                <pt idx="179">
                  <v>0</v>
                </pt>
                <pt idx="180">
                  <v>0.001669790919454932</v>
                </pt>
                <pt idx="181">
                  <v>0</v>
                </pt>
                <pt idx="182">
                  <v>0</v>
                </pt>
                <pt idx="183">
                  <v>0.005821134532830724</v>
                </pt>
                <pt idx="184">
                  <v>0</v>
                </pt>
                <pt idx="185">
                  <v>0</v>
                </pt>
                <pt idx="186">
                  <v>0.004771565873036193</v>
                </pt>
                <pt idx="187">
                  <v>0</v>
                </pt>
                <pt idx="188">
                  <v>0</v>
                </pt>
                <pt idx="189">
                  <v>0.01360075560087943</v>
                </pt>
                <pt idx="190">
                  <v>0</v>
                </pt>
                <pt idx="191">
                  <v>0</v>
                </pt>
                <pt idx="192">
                  <v>0.009703128401259713</v>
                </pt>
                <pt idx="193">
                  <v>0</v>
                </pt>
                <pt idx="194">
                  <v>0</v>
                </pt>
                <pt idx="195">
                  <v>0.01355099752455496</v>
                </pt>
                <pt idx="196">
                  <v>0</v>
                </pt>
                <pt idx="197">
                  <v>0</v>
                </pt>
                <pt idx="198">
                  <v>0.005845360161300549</v>
                </pt>
                <pt idx="199">
                  <v>0</v>
                </pt>
                <pt idx="200">
                  <v>0</v>
                </pt>
                <pt idx="201">
                  <v>0.01145518264658748</v>
                </pt>
                <pt idx="202">
                  <v>0</v>
                </pt>
                <pt idx="203">
                  <v>0</v>
                </pt>
                <pt idx="204">
                  <v>0.003546954702204828</v>
                </pt>
                <pt idx="205">
                  <v>0</v>
                </pt>
                <pt idx="206">
                  <v>0</v>
                </pt>
                <pt idx="207">
                  <v>0.002983056990776784</v>
                </pt>
                <pt idx="208">
                  <v>0</v>
                </pt>
                <pt idx="209">
                  <v>0</v>
                </pt>
                <pt idx="210">
                  <v>0.008506648680937822</v>
                </pt>
                <pt idx="211">
                  <v>0</v>
                </pt>
                <pt idx="212">
                  <v>0</v>
                </pt>
                <pt idx="213">
                  <v>0.006790365355671227</v>
                </pt>
                <pt idx="214">
                  <v>0</v>
                </pt>
                <pt idx="215">
                  <v>0</v>
                </pt>
                <pt idx="216">
                  <v>0.007489713290041279</v>
                </pt>
                <pt idx="217">
                  <v>0</v>
                </pt>
                <pt idx="218">
                  <v>0</v>
                </pt>
                <pt idx="219">
                  <v>0.0166788394735952</v>
                </pt>
                <pt idx="220">
                  <v>0</v>
                </pt>
                <pt idx="221">
                  <v>0</v>
                </pt>
                <pt idx="222">
                  <v>0.008970109358134323</v>
                </pt>
                <pt idx="223">
                  <v>0</v>
                </pt>
                <pt idx="224">
                  <v>0</v>
                </pt>
                <pt idx="225">
                  <v>0.01038397649121684</v>
                </pt>
                <pt idx="226">
                  <v>0</v>
                </pt>
                <pt idx="227">
                  <v>0</v>
                </pt>
                <pt idx="228">
                  <v>0.006455607769440447</v>
                </pt>
                <pt idx="229">
                  <v>0</v>
                </pt>
                <pt idx="230">
                  <v>0</v>
                </pt>
                <pt idx="231">
                  <v>0.01661978105089011</v>
                </pt>
                <pt idx="232">
                  <v>0</v>
                </pt>
                <pt idx="233">
                  <v>0</v>
                </pt>
                <pt idx="234">
                  <v>0.01250778573313949</v>
                </pt>
                <pt idx="235">
                  <v>0</v>
                </pt>
                <pt idx="236">
                  <v>0</v>
                </pt>
                <pt idx="237">
                  <v>0.008587435626066455</v>
                </pt>
                <pt idx="238">
                  <v>0</v>
                </pt>
                <pt idx="239">
                  <v>0</v>
                </pt>
                <pt idx="240">
                  <v>0.009993754010374081</v>
                </pt>
                <pt idx="241">
                  <v>0</v>
                </pt>
                <pt idx="242">
                  <v>0</v>
                </pt>
                <pt idx="243">
                  <v>0.009258205069039573</v>
                </pt>
                <pt idx="244">
                  <v>0</v>
                </pt>
                <pt idx="245">
                  <v>0</v>
                </pt>
                <pt idx="246">
                  <v>0.01252764552668854</v>
                </pt>
                <pt idx="247">
                  <v>0</v>
                </pt>
                <pt idx="248">
                  <v>0</v>
                </pt>
                <pt idx="249">
                  <v>0.01616190702337028</v>
                </pt>
                <pt idx="250">
                  <v>0</v>
                </pt>
                <pt idx="251">
                  <v>0</v>
                </pt>
                <pt idx="252">
                  <v>0.009438266145912767</v>
                </pt>
                <pt idx="253">
                  <v>0</v>
                </pt>
                <pt idx="254">
                  <v>0</v>
                </pt>
                <pt idx="255">
                  <v>0.008350000298127901</v>
                </pt>
                <pt idx="256">
                  <v>0</v>
                </pt>
                <pt idx="257">
                  <v>0</v>
                </pt>
                <pt idx="258">
                  <v>0.01323027026128614</v>
                </pt>
                <pt idx="259">
                  <v>0</v>
                </pt>
                <pt idx="260">
                  <v>0</v>
                </pt>
                <pt idx="261">
                  <v>0.01642779005040782</v>
                </pt>
                <pt idx="262">
                  <v>0</v>
                </pt>
                <pt idx="263">
                  <v>0</v>
                </pt>
                <pt idx="264">
                  <v>0.003644473611337272</v>
                </pt>
                <pt idx="265">
                  <v>0</v>
                </pt>
                <pt idx="266">
                  <v>0</v>
                </pt>
                <pt idx="267">
                  <v>0.01820583008355766</v>
                </pt>
                <pt idx="268">
                  <v>0</v>
                </pt>
                <pt idx="269">
                  <v>0</v>
                </pt>
                <pt idx="270">
                  <v>0.0009977412825952132</v>
                </pt>
                <pt idx="271">
                  <v>0</v>
                </pt>
                <pt idx="272">
                  <v>0</v>
                </pt>
                <pt idx="273">
                  <v>0.005943617551420755</v>
                </pt>
                <pt idx="274">
                  <v>0</v>
                </pt>
                <pt idx="275">
                  <v>0</v>
                </pt>
                <pt idx="276">
                  <v>-0.003242210032234334</v>
                </pt>
                <pt idx="277">
                  <v>0</v>
                </pt>
                <pt idx="278">
                  <v>0</v>
                </pt>
                <pt idx="279">
                  <v>0.00621389214865502</v>
                </pt>
                <pt idx="280">
                  <v>0</v>
                </pt>
                <pt idx="281">
                  <v>0</v>
                </pt>
                <pt idx="282">
                  <v>-0.004003490160505012</v>
                </pt>
                <pt idx="283">
                  <v>0</v>
                </pt>
                <pt idx="284">
                  <v>0</v>
                </pt>
                <pt idx="285">
                  <v>0.002773143584964562</v>
                </pt>
                <pt idx="286">
                  <v>0</v>
                </pt>
                <pt idx="287">
                  <v>0</v>
                </pt>
                <pt idx="288">
                  <v>0.00828227215584396</v>
                </pt>
                <pt idx="289">
                  <v>0</v>
                </pt>
                <pt idx="290">
                  <v>0</v>
                </pt>
                <pt idx="291">
                  <v>0.006155024557835768</v>
                </pt>
                <pt idx="292">
                  <v>0</v>
                </pt>
                <pt idx="293">
                  <v>0</v>
                </pt>
                <pt idx="294">
                  <v>0.004035287039980262</v>
                </pt>
                <pt idx="295">
                  <v>0</v>
                </pt>
                <pt idx="296">
                  <v>0</v>
                </pt>
                <pt idx="297">
                  <v>0.001306557670590968</v>
                </pt>
                <pt idx="298">
                  <v>0</v>
                </pt>
                <pt idx="299">
                  <v>0</v>
                </pt>
                <pt idx="300">
                  <v>0.005167231869169835</v>
                </pt>
                <pt idx="301">
                  <v>0</v>
                </pt>
                <pt idx="302">
                  <v>0</v>
                </pt>
                <pt idx="303">
                  <v>0.008933778011626672</v>
                </pt>
                <pt idx="304">
                  <v>0</v>
                </pt>
                <pt idx="305">
                  <v>0</v>
                </pt>
                <pt idx="306">
                  <v>0.01666896269711016</v>
                </pt>
                <pt idx="307">
                  <v>0</v>
                </pt>
                <pt idx="308">
                  <v>0</v>
                </pt>
                <pt idx="309">
                  <v>0.01154045727617818</v>
                </pt>
                <pt idx="310">
                  <v>0</v>
                </pt>
                <pt idx="311">
                  <v>0</v>
                </pt>
                <pt idx="312">
                  <v>0.005729164860697553</v>
                </pt>
                <pt idx="313">
                  <v>0</v>
                </pt>
                <pt idx="314">
                  <v>0</v>
                </pt>
                <pt idx="315">
                  <v>0.00778738758008883</v>
                </pt>
                <pt idx="316">
                  <v>0</v>
                </pt>
                <pt idx="317">
                  <v>0</v>
                </pt>
                <pt idx="318">
                  <v>0.009412472246594451</v>
                </pt>
                <pt idx="319">
                  <v>0</v>
                </pt>
                <pt idx="320">
                  <v>0</v>
                </pt>
                <pt idx="321">
                  <v>0.01022027368972049</v>
                </pt>
                <pt idx="322">
                  <v>0</v>
                </pt>
                <pt idx="323">
                  <v>0</v>
                </pt>
                <pt idx="324">
                  <v>0.01110882507696538</v>
                </pt>
                <pt idx="325">
                  <v>0</v>
                </pt>
                <pt idx="326">
                  <v>0</v>
                </pt>
                <pt idx="327">
                  <v>0.004866044784053191</v>
                </pt>
                <pt idx="328">
                  <v>0</v>
                </pt>
                <pt idx="329">
                  <v>0</v>
                </pt>
                <pt idx="330">
                  <v>0.007856219802722447</v>
                </pt>
                <pt idx="331">
                  <v>0</v>
                </pt>
                <pt idx="332">
                  <v>0</v>
                </pt>
                <pt idx="333">
                  <v>0.005679282383580309</v>
                </pt>
                <pt idx="334">
                  <v>0</v>
                </pt>
                <pt idx="335">
                  <v>0</v>
                </pt>
                <pt idx="336">
                  <v>0.01348666119902943</v>
                </pt>
                <pt idx="337">
                  <v>0</v>
                </pt>
                <pt idx="338">
                  <v>0</v>
                </pt>
                <pt idx="339">
                  <v>0.00245583730558364</v>
                </pt>
                <pt idx="340">
                  <v>0</v>
                </pt>
                <pt idx="341">
                  <v>0</v>
                </pt>
                <pt idx="342">
                  <v>0.001504561881094995</v>
                </pt>
                <pt idx="343">
                  <v>0</v>
                </pt>
                <pt idx="344">
                  <v>0</v>
                </pt>
                <pt idx="345">
                  <v>0.008437116963573578</v>
                </pt>
                <pt idx="346">
                  <v>0</v>
                </pt>
                <pt idx="347">
                  <v>0</v>
                </pt>
                <pt idx="348">
                  <v>0.002935988606189744</v>
                </pt>
                <pt idx="349">
                  <v>0</v>
                </pt>
                <pt idx="350">
                  <v>0</v>
                </pt>
                <pt idx="351">
                  <v>0.00638434530080713</v>
                </pt>
                <pt idx="352">
                  <v>0</v>
                </pt>
                <pt idx="353">
                  <v>0</v>
                </pt>
                <pt idx="354">
                  <v>0.006023066574509698</v>
                </pt>
                <pt idx="355">
                  <v>0</v>
                </pt>
                <pt idx="356">
                  <v>0</v>
                </pt>
                <pt idx="357">
                  <v>0.006096440026404512</v>
                </pt>
                <pt idx="358">
                  <v>0</v>
                </pt>
                <pt idx="359">
                  <v>0</v>
                </pt>
                <pt idx="360">
                  <v>-0.004074294739200093</v>
                </pt>
                <pt idx="361">
                  <v>0</v>
                </pt>
                <pt idx="362">
                  <v>0</v>
                </pt>
                <pt idx="363">
                  <v>0.005722953445686955</v>
                </pt>
                <pt idx="364">
                  <v>0</v>
                </pt>
                <pt idx="365">
                  <v>0</v>
                </pt>
                <pt idx="366">
                  <v>-0.005268929022154585</v>
                </pt>
                <pt idx="367">
                  <v>0</v>
                </pt>
                <pt idx="368">
                  <v>0</v>
                </pt>
                <pt idx="369">
                  <v>0</v>
                </pt>
                <pt idx="370">
                  <v>0</v>
                </pt>
                <pt idx="371">
                  <v>0</v>
                </pt>
                <pt idx="372">
                  <v>-0.01165722530679672</v>
                </pt>
                <pt idx="373">
                  <v>-0.02183097148093626</v>
                </pt>
                <pt idx="374">
                  <v>0</v>
                </pt>
                <pt idx="375">
                  <v>-0.001692381386635996</v>
                </pt>
                <pt idx="376">
                  <v>0</v>
                </pt>
                <pt idx="377">
                  <v>0</v>
                </pt>
                <pt idx="378">
                  <v>0.00361929990768889</v>
                </pt>
                <pt idx="379">
                  <v>0</v>
                </pt>
                <pt idx="380">
                  <v>0</v>
                </pt>
                <pt idx="381">
                  <v>0.01067961949830339</v>
                </pt>
                <pt idx="382">
                  <v>0</v>
                </pt>
                <pt idx="383">
                  <v>0</v>
                </pt>
                <pt idx="384">
                  <v>0.00500053481481906</v>
                </pt>
                <pt idx="385">
                  <v>0</v>
                </pt>
                <pt idx="386">
                  <v>0</v>
                </pt>
                <pt idx="387">
                  <v>0.009677046393262431</v>
                </pt>
                <pt idx="388">
                  <v>0</v>
                </pt>
                <pt idx="389">
                  <v>0</v>
                </pt>
                <pt idx="390">
                  <v>0.007731441503026897</v>
                </pt>
                <pt idx="391">
                  <v>0</v>
                </pt>
                <pt idx="392">
                  <v>0</v>
                </pt>
                <pt idx="393">
                  <v>0.005195951592372664</v>
                </pt>
                <pt idx="394">
                  <v>0</v>
                </pt>
                <pt idx="395">
                  <v>0</v>
                </pt>
                <pt idx="396">
                  <v>-0.002409160681035181</v>
                </pt>
                <pt idx="397">
                  <v>0</v>
                </pt>
                <pt idx="398">
                  <v>0</v>
                </pt>
                <pt idx="399">
                  <v>0.006780507512058875</v>
                </pt>
                <pt idx="400">
                  <v>0</v>
                </pt>
                <pt idx="401">
                  <v>0</v>
                </pt>
                <pt idx="402">
                  <v>-0.0003876716265750793</v>
                </pt>
                <pt idx="403">
                  <v>0</v>
                </pt>
                <pt idx="404">
                  <v>0</v>
                </pt>
                <pt idx="405">
                  <v>0.01121678183498582</v>
                </pt>
                <pt idx="406">
                  <v>0</v>
                </pt>
                <pt idx="407">
                  <v>0</v>
                </pt>
                <pt idx="408">
                  <v>0.008179228450998806</v>
                </pt>
                <pt idx="409">
                  <v>0</v>
                </pt>
                <pt idx="410">
                  <v>0</v>
                </pt>
                <pt idx="411">
                  <v>0.004558599868677108</v>
                </pt>
                <pt idx="412">
                  <v>0</v>
                </pt>
                <pt idx="413">
                  <v>0</v>
                </pt>
                <pt idx="414">
                  <v>0.001748829776015621</v>
                </pt>
                <pt idx="415">
                  <v>0</v>
                </pt>
                <pt idx="416">
                  <v>0</v>
                </pt>
                <pt idx="417">
                  <v>0.001098380674641822</v>
                </pt>
                <pt idx="418">
                  <v>0</v>
                </pt>
                <pt idx="419">
                  <v>0</v>
                </pt>
                <pt idx="420">
                  <v>0.008677895476911597</v>
                </pt>
                <pt idx="421">
                  <v>0</v>
                </pt>
                <pt idx="422">
                  <v>0</v>
                </pt>
                <pt idx="423">
                  <v>0.001393852197657185</v>
                </pt>
                <pt idx="424">
                  <v>0</v>
                </pt>
                <pt idx="425">
                  <v>0</v>
                </pt>
                <pt idx="426">
                  <v>0.007916534107950009</v>
                </pt>
                <pt idx="427">
                  <v>0</v>
                </pt>
                <pt idx="428">
                  <v>0</v>
                </pt>
                <pt idx="429">
                  <v>0.007111710015635665</v>
                </pt>
                <pt idx="430">
                  <v>0</v>
                </pt>
                <pt idx="431">
                  <v>0</v>
                </pt>
                <pt idx="432">
                  <v>-0.003501097365126946</v>
                </pt>
                <pt idx="433">
                  <v>0</v>
                </pt>
                <pt idx="434">
                  <v>0</v>
                </pt>
                <pt idx="435">
                  <v>0.01284128907179058</v>
                </pt>
                <pt idx="436">
                  <v>0</v>
                </pt>
                <pt idx="437">
                  <v>0</v>
                </pt>
                <pt idx="438">
                  <v>0.01164961644485469</v>
                </pt>
                <pt idx="439">
                  <v>0</v>
                </pt>
                <pt idx="440">
                  <v>0</v>
                </pt>
                <pt idx="441">
                  <v>0.004489934024885105</v>
                </pt>
                <pt idx="442">
                  <v>0</v>
                </pt>
                <pt idx="443">
                  <v>0</v>
                </pt>
                <pt idx="444">
                  <v>0.008133136264685727</v>
                </pt>
                <pt idx="445">
                  <v>0</v>
                </pt>
                <pt idx="446">
                  <v>0</v>
                </pt>
                <pt idx="447">
                  <v>0.005800014316593537</v>
                </pt>
                <pt idx="448">
                  <v>0</v>
                </pt>
                <pt idx="449">
                  <v>0</v>
                </pt>
                <pt idx="450">
                  <v>0.003233726725495796</v>
                </pt>
                <pt idx="451">
                  <v>0</v>
                </pt>
                <pt idx="452">
                  <v>0</v>
                </pt>
                <pt idx="453">
                  <v>0.001462343465763751</v>
                </pt>
                <pt idx="454">
                  <v>0</v>
                </pt>
                <pt idx="455">
                  <v>0</v>
                </pt>
                <pt idx="456">
                  <v>0.005891798685635071</v>
                </pt>
                <pt idx="457">
                  <v>0</v>
                </pt>
                <pt idx="458">
                  <v>0</v>
                </pt>
                <pt idx="459">
                  <v>0.003023888066726282</v>
                </pt>
                <pt idx="460">
                  <v>0</v>
                </pt>
                <pt idx="461">
                  <v>0</v>
                </pt>
                <pt idx="462">
                  <v>0.006011153792692107</v>
                </pt>
                <pt idx="463">
                  <v>0</v>
                </pt>
                <pt idx="464">
                  <v>0</v>
                </pt>
                <pt idx="465">
                  <v>0.004968887960606363</v>
                </pt>
                <pt idx="466">
                  <v>0</v>
                </pt>
                <pt idx="467">
                  <v>0</v>
                </pt>
                <pt idx="468">
                  <v>0.004296631141172277</v>
                </pt>
                <pt idx="469">
                  <v>0</v>
                </pt>
                <pt idx="470">
                  <v>0</v>
                </pt>
                <pt idx="471">
                  <v>0.005037929813550076</v>
                </pt>
                <pt idx="472">
                  <v>0</v>
                </pt>
                <pt idx="473">
                  <v>0</v>
                </pt>
                <pt idx="474">
                  <v>0.008274887150264155</v>
                </pt>
                <pt idx="475">
                  <v>0</v>
                </pt>
                <pt idx="476">
                  <v>0</v>
                </pt>
                <pt idx="477">
                  <v>0.01005660085721567</v>
                </pt>
                <pt idx="478">
                  <v>0</v>
                </pt>
                <pt idx="479">
                  <v>0</v>
                </pt>
                <pt idx="480">
                  <v>0.006926538614878027</v>
                </pt>
                <pt idx="481">
                  <v>0</v>
                </pt>
                <pt idx="482">
                  <v>0</v>
                </pt>
                <pt idx="483">
                  <v>0.006973429211611966</v>
                </pt>
                <pt idx="484">
                  <v>0</v>
                </pt>
                <pt idx="485">
                  <v>0</v>
                </pt>
                <pt idx="486">
                  <v>0.007220359138684612</v>
                </pt>
                <pt idx="487">
                  <v>0</v>
                </pt>
                <pt idx="488">
                  <v>0</v>
                </pt>
                <pt idx="489">
                  <v>0.001817831983618293</v>
                </pt>
                <pt idx="490">
                  <v>0</v>
                </pt>
                <pt idx="491">
                  <v>0</v>
                </pt>
                <pt idx="492">
                  <v>0.005427106096961533</v>
                </pt>
                <pt idx="493">
                  <v>0</v>
                </pt>
                <pt idx="494">
                  <v>0</v>
                </pt>
                <pt idx="495">
                  <v>0.006730089404473266</v>
                </pt>
                <pt idx="496">
                  <v>0</v>
                </pt>
                <pt idx="497">
                  <v>0</v>
                </pt>
                <pt idx="498">
                  <v>0.008899664727279514</v>
                </pt>
                <pt idx="499">
                  <v>0</v>
                </pt>
                <pt idx="500">
                  <v>0</v>
                </pt>
                <pt idx="501">
                  <v>0.004430468938993573</v>
                </pt>
                <pt idx="502">
                  <v>0</v>
                </pt>
                <pt idx="503">
                  <v>0</v>
                </pt>
                <pt idx="504">
                  <v>-0.01175154200803908</v>
                </pt>
                <pt idx="505">
                  <v>0</v>
                </pt>
                <pt idx="506">
                  <v>0</v>
                </pt>
                <pt idx="507">
                  <v>-0.08484336154467988</v>
                </pt>
                <pt idx="508">
                  <v>0</v>
                </pt>
                <pt idx="509">
                  <v>0</v>
                </pt>
                <pt idx="510">
                  <v>0.07854483117045738</v>
                </pt>
                <pt idx="511">
                  <v>0</v>
                </pt>
                <pt idx="512">
                  <v>0</v>
                </pt>
                <pt idx="513">
                  <v>0.009632132789008672</v>
                </pt>
                <pt idx="514">
                  <v>0</v>
                </pt>
                <pt idx="515">
                  <v>0</v>
                </pt>
                <pt idx="516">
                  <v>0.01542791998969363</v>
                </pt>
                <pt idx="517">
                  <v>0</v>
                </pt>
                <pt idx="518">
                  <v>0</v>
                </pt>
                <pt idx="519">
                  <v>0.01707015904893705</v>
                </pt>
                <pt idx="520">
                  <v>0</v>
                </pt>
                <pt idx="521">
                  <v>0</v>
                </pt>
                <pt idx="522">
                  <v>0.006566944913920524</v>
                </pt>
                <pt idx="523">
                  <v>0</v>
                </pt>
                <pt idx="524">
                  <v>0</v>
                </pt>
                <pt idx="525">
                  <v>0.01695694019812535</v>
                </pt>
                <pt idx="526">
                  <v>0</v>
                </pt>
                <pt idx="527">
                  <v>0</v>
                </pt>
                <pt idx="528">
                  <v>-0.004103381849839345</v>
                </pt>
                <pt idx="529">
                  <v>0</v>
                </pt>
                <pt idx="530">
                  <v>0</v>
                </pt>
                <pt idx="531">
                  <v>-0.001446339727068014</v>
                </pt>
                <pt idx="532">
                  <v>0</v>
                </pt>
                <pt idx="533">
                  <v>0</v>
                </pt>
                <pt idx="534">
                  <v>0.006355781733257151</v>
                </pt>
                <pt idx="535">
                  <v>0</v>
                </pt>
                <pt idx="536">
                  <v>0</v>
                </pt>
                <pt idx="537">
                  <v>0</v>
                </pt>
              </numCache>
            </numRef>
          </val>
        </ser>
        <dLbls>
          <showLegendKey val="0"/>
          <showVal val="0"/>
          <showCatName val="0"/>
          <showSerName val="0"/>
          <showPercent val="0"/>
          <showBubbleSize val="0"/>
        </dLbls>
        <gapWidth val="219"/>
        <axId val="1256160464"/>
        <axId val="1256165384"/>
      </barChart>
      <lineChart>
        <grouping val="standard"/>
        <varyColors val="0"/>
        <ser>
          <idx val="1"/>
          <order val="1"/>
          <tx>
            <strRef>
              <f>'UMCSI vs GDP'!$B$6</f>
              <strCache>
                <ptCount val="1"/>
                <pt idx="0">
                  <v>UMCSI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'UMCSI vs GDP'!$A$7:$A$551</f>
              <numCache>
                <formatCode>mmm\-yy</formatCode>
                <ptCount val="545"/>
                <pt idx="0">
                  <v>28491</v>
                </pt>
                <pt idx="1">
                  <v>28522</v>
                </pt>
                <pt idx="2">
                  <v>28550</v>
                </pt>
                <pt idx="3">
                  <v>28581</v>
                </pt>
                <pt idx="4">
                  <v>28611</v>
                </pt>
                <pt idx="5">
                  <v>28642</v>
                </pt>
                <pt idx="6">
                  <v>28672</v>
                </pt>
                <pt idx="7">
                  <v>28703</v>
                </pt>
                <pt idx="8">
                  <v>28734</v>
                </pt>
                <pt idx="9">
                  <v>28764</v>
                </pt>
                <pt idx="10">
                  <v>28795</v>
                </pt>
                <pt idx="11">
                  <v>28825</v>
                </pt>
                <pt idx="12">
                  <v>28856</v>
                </pt>
                <pt idx="13">
                  <v>28887</v>
                </pt>
                <pt idx="14">
                  <v>28915</v>
                </pt>
                <pt idx="15">
                  <v>28946</v>
                </pt>
                <pt idx="16">
                  <v>28976</v>
                </pt>
                <pt idx="17">
                  <v>29007</v>
                </pt>
                <pt idx="18">
                  <v>29037</v>
                </pt>
                <pt idx="19">
                  <v>29068</v>
                </pt>
                <pt idx="20">
                  <v>29099</v>
                </pt>
                <pt idx="21">
                  <v>29129</v>
                </pt>
                <pt idx="22">
                  <v>29160</v>
                </pt>
                <pt idx="23">
                  <v>29190</v>
                </pt>
                <pt idx="24">
                  <v>29221</v>
                </pt>
                <pt idx="25">
                  <v>29252</v>
                </pt>
                <pt idx="26">
                  <v>29342</v>
                </pt>
                <pt idx="27">
                  <v>29312</v>
                </pt>
                <pt idx="28">
                  <v>29281</v>
                </pt>
                <pt idx="29">
                  <v>29252</v>
                </pt>
                <pt idx="30">
                  <v>29403</v>
                </pt>
                <pt idx="31">
                  <v>29434</v>
                </pt>
                <pt idx="32">
                  <v>29465</v>
                </pt>
                <pt idx="33">
                  <v>29495</v>
                </pt>
                <pt idx="34">
                  <v>29526</v>
                </pt>
                <pt idx="35">
                  <v>29556</v>
                </pt>
                <pt idx="36">
                  <v>29587</v>
                </pt>
                <pt idx="37">
                  <v>29618</v>
                </pt>
                <pt idx="38">
                  <v>29646</v>
                </pt>
                <pt idx="39">
                  <v>29677</v>
                </pt>
                <pt idx="40">
                  <v>29707</v>
                </pt>
                <pt idx="41">
                  <v>29738</v>
                </pt>
                <pt idx="42">
                  <v>29768</v>
                </pt>
                <pt idx="43">
                  <v>29799</v>
                </pt>
                <pt idx="44">
                  <v>29830</v>
                </pt>
                <pt idx="45">
                  <v>29860</v>
                </pt>
                <pt idx="46">
                  <v>29891</v>
                </pt>
                <pt idx="47">
                  <v>29921</v>
                </pt>
                <pt idx="48">
                  <v>29952</v>
                </pt>
                <pt idx="49">
                  <v>29983</v>
                </pt>
                <pt idx="50">
                  <v>30011</v>
                </pt>
                <pt idx="51">
                  <v>30042</v>
                </pt>
                <pt idx="52">
                  <v>30072</v>
                </pt>
                <pt idx="53">
                  <v>30103</v>
                </pt>
                <pt idx="54">
                  <v>30133</v>
                </pt>
                <pt idx="55">
                  <v>30164</v>
                </pt>
                <pt idx="56">
                  <v>30195</v>
                </pt>
                <pt idx="57">
                  <v>30225</v>
                </pt>
                <pt idx="58">
                  <v>30256</v>
                </pt>
                <pt idx="59">
                  <v>30286</v>
                </pt>
                <pt idx="60">
                  <v>30317</v>
                </pt>
                <pt idx="61">
                  <v>30348</v>
                </pt>
                <pt idx="62">
                  <v>30376</v>
                </pt>
                <pt idx="63">
                  <v>30407</v>
                </pt>
                <pt idx="64">
                  <v>30437</v>
                </pt>
                <pt idx="65">
                  <v>30468</v>
                </pt>
                <pt idx="66">
                  <v>30498</v>
                </pt>
                <pt idx="67">
                  <v>30529</v>
                </pt>
                <pt idx="68">
                  <v>30560</v>
                </pt>
                <pt idx="69">
                  <v>30590</v>
                </pt>
                <pt idx="70">
                  <v>30621</v>
                </pt>
                <pt idx="71">
                  <v>30651</v>
                </pt>
                <pt idx="72">
                  <v>30682</v>
                </pt>
                <pt idx="73">
                  <v>30713</v>
                </pt>
                <pt idx="74">
                  <v>30742</v>
                </pt>
                <pt idx="75">
                  <v>30773</v>
                </pt>
                <pt idx="76">
                  <v>30803</v>
                </pt>
                <pt idx="77">
                  <v>30834</v>
                </pt>
                <pt idx="78">
                  <v>30864</v>
                </pt>
                <pt idx="79">
                  <v>30895</v>
                </pt>
                <pt idx="80">
                  <v>30926</v>
                </pt>
                <pt idx="81">
                  <v>30956</v>
                </pt>
                <pt idx="82">
                  <v>30987</v>
                </pt>
                <pt idx="83">
                  <v>31017</v>
                </pt>
                <pt idx="84">
                  <v>31048</v>
                </pt>
                <pt idx="85">
                  <v>31079</v>
                </pt>
                <pt idx="86">
                  <v>31107</v>
                </pt>
                <pt idx="87">
                  <v>31138</v>
                </pt>
                <pt idx="88">
                  <v>31168</v>
                </pt>
                <pt idx="89">
                  <v>31199</v>
                </pt>
                <pt idx="90">
                  <v>31229</v>
                </pt>
                <pt idx="91">
                  <v>31260</v>
                </pt>
                <pt idx="92">
                  <v>31291</v>
                </pt>
                <pt idx="93">
                  <v>31321</v>
                </pt>
                <pt idx="94">
                  <v>31352</v>
                </pt>
                <pt idx="95">
                  <v>31382</v>
                </pt>
                <pt idx="96">
                  <v>31413</v>
                </pt>
                <pt idx="97">
                  <v>31444</v>
                </pt>
                <pt idx="98">
                  <v>31472</v>
                </pt>
                <pt idx="99">
                  <v>31503</v>
                </pt>
                <pt idx="100">
                  <v>31533</v>
                </pt>
                <pt idx="101">
                  <v>31564</v>
                </pt>
                <pt idx="102">
                  <v>31594</v>
                </pt>
                <pt idx="103">
                  <v>31625</v>
                </pt>
                <pt idx="104">
                  <v>31656</v>
                </pt>
                <pt idx="105">
                  <v>31686</v>
                </pt>
                <pt idx="106">
                  <v>31717</v>
                </pt>
                <pt idx="107">
                  <v>31747</v>
                </pt>
                <pt idx="108">
                  <v>31778</v>
                </pt>
                <pt idx="109">
                  <v>31809</v>
                </pt>
                <pt idx="110">
                  <v>31837</v>
                </pt>
                <pt idx="111">
                  <v>31868</v>
                </pt>
                <pt idx="112">
                  <v>31898</v>
                </pt>
                <pt idx="113">
                  <v>31929</v>
                </pt>
                <pt idx="114">
                  <v>31959</v>
                </pt>
                <pt idx="115">
                  <v>31990</v>
                </pt>
                <pt idx="116">
                  <v>32021</v>
                </pt>
                <pt idx="117">
                  <v>32051</v>
                </pt>
                <pt idx="118">
                  <v>32082</v>
                </pt>
                <pt idx="119">
                  <v>32112</v>
                </pt>
                <pt idx="120">
                  <v>32143</v>
                </pt>
                <pt idx="121">
                  <v>32174</v>
                </pt>
                <pt idx="122">
                  <v>32203</v>
                </pt>
                <pt idx="123">
                  <v>32234</v>
                </pt>
                <pt idx="124">
                  <v>32264</v>
                </pt>
                <pt idx="125">
                  <v>32295</v>
                </pt>
                <pt idx="126">
                  <v>32325</v>
                </pt>
                <pt idx="127">
                  <v>32356</v>
                </pt>
                <pt idx="128">
                  <v>32387</v>
                </pt>
                <pt idx="129">
                  <v>32417</v>
                </pt>
                <pt idx="130">
                  <v>32448</v>
                </pt>
                <pt idx="131">
                  <v>32478</v>
                </pt>
                <pt idx="132">
                  <v>32509</v>
                </pt>
                <pt idx="133">
                  <v>32540</v>
                </pt>
                <pt idx="134">
                  <v>32568</v>
                </pt>
                <pt idx="135">
                  <v>32599</v>
                </pt>
                <pt idx="136">
                  <v>32629</v>
                </pt>
                <pt idx="137">
                  <v>32660</v>
                </pt>
                <pt idx="138">
                  <v>32690</v>
                </pt>
                <pt idx="139">
                  <v>32721</v>
                </pt>
                <pt idx="140">
                  <v>32752</v>
                </pt>
                <pt idx="141">
                  <v>32782</v>
                </pt>
                <pt idx="142">
                  <v>32813</v>
                </pt>
                <pt idx="143">
                  <v>32843</v>
                </pt>
                <pt idx="144">
                  <v>32874</v>
                </pt>
                <pt idx="145">
                  <v>32905</v>
                </pt>
                <pt idx="146">
                  <v>32933</v>
                </pt>
                <pt idx="147">
                  <v>32964</v>
                </pt>
                <pt idx="148">
                  <v>32994</v>
                </pt>
                <pt idx="149">
                  <v>33025</v>
                </pt>
                <pt idx="150">
                  <v>33055</v>
                </pt>
                <pt idx="151">
                  <v>33086</v>
                </pt>
                <pt idx="152">
                  <v>33117</v>
                </pt>
                <pt idx="153">
                  <v>33147</v>
                </pt>
                <pt idx="154">
                  <v>33178</v>
                </pt>
                <pt idx="155">
                  <v>33208</v>
                </pt>
                <pt idx="156">
                  <v>33239</v>
                </pt>
                <pt idx="157">
                  <v>33270</v>
                </pt>
                <pt idx="158">
                  <v>33298</v>
                </pt>
                <pt idx="159">
                  <v>33329</v>
                </pt>
                <pt idx="160">
                  <v>33359</v>
                </pt>
                <pt idx="161">
                  <v>33390</v>
                </pt>
                <pt idx="162">
                  <v>33420</v>
                </pt>
                <pt idx="163">
                  <v>33451</v>
                </pt>
                <pt idx="164">
                  <v>33482</v>
                </pt>
                <pt idx="165">
                  <v>33512</v>
                </pt>
                <pt idx="166">
                  <v>33543</v>
                </pt>
                <pt idx="167">
                  <v>33573</v>
                </pt>
                <pt idx="168">
                  <v>33604</v>
                </pt>
                <pt idx="169">
                  <v>33635</v>
                </pt>
                <pt idx="170">
                  <v>33664</v>
                </pt>
                <pt idx="171">
                  <v>33695</v>
                </pt>
                <pt idx="172">
                  <v>33725</v>
                </pt>
                <pt idx="173">
                  <v>33756</v>
                </pt>
                <pt idx="174">
                  <v>33786</v>
                </pt>
                <pt idx="175">
                  <v>33817</v>
                </pt>
                <pt idx="176">
                  <v>33848</v>
                </pt>
                <pt idx="177">
                  <v>33878</v>
                </pt>
                <pt idx="178">
                  <v>33909</v>
                </pt>
                <pt idx="179">
                  <v>33939</v>
                </pt>
                <pt idx="180">
                  <v>33970</v>
                </pt>
                <pt idx="181">
                  <v>34001</v>
                </pt>
                <pt idx="182">
                  <v>34029</v>
                </pt>
                <pt idx="183">
                  <v>34060</v>
                </pt>
                <pt idx="184">
                  <v>34090</v>
                </pt>
                <pt idx="185">
                  <v>34121</v>
                </pt>
                <pt idx="186">
                  <v>34151</v>
                </pt>
                <pt idx="187">
                  <v>34182</v>
                </pt>
                <pt idx="188">
                  <v>34213</v>
                </pt>
                <pt idx="189">
                  <v>34243</v>
                </pt>
                <pt idx="190">
                  <v>34274</v>
                </pt>
                <pt idx="191">
                  <v>34304</v>
                </pt>
                <pt idx="192">
                  <v>34335</v>
                </pt>
                <pt idx="193">
                  <v>34366</v>
                </pt>
                <pt idx="194">
                  <v>34394</v>
                </pt>
                <pt idx="195">
                  <v>34425</v>
                </pt>
                <pt idx="196">
                  <v>34455</v>
                </pt>
                <pt idx="197">
                  <v>34486</v>
                </pt>
                <pt idx="198">
                  <v>34516</v>
                </pt>
                <pt idx="199">
                  <v>34547</v>
                </pt>
                <pt idx="200">
                  <v>34578</v>
                </pt>
                <pt idx="201">
                  <v>34608</v>
                </pt>
                <pt idx="202">
                  <v>34639</v>
                </pt>
                <pt idx="203">
                  <v>34669</v>
                </pt>
                <pt idx="204">
                  <v>34700</v>
                </pt>
                <pt idx="205">
                  <v>34731</v>
                </pt>
                <pt idx="206">
                  <v>34759</v>
                </pt>
                <pt idx="207">
                  <v>34790</v>
                </pt>
                <pt idx="208">
                  <v>34820</v>
                </pt>
                <pt idx="209">
                  <v>34851</v>
                </pt>
                <pt idx="210">
                  <v>34881</v>
                </pt>
                <pt idx="211">
                  <v>34912</v>
                </pt>
                <pt idx="212">
                  <v>34943</v>
                </pt>
                <pt idx="213">
                  <v>34973</v>
                </pt>
                <pt idx="214">
                  <v>35004</v>
                </pt>
                <pt idx="215">
                  <v>35034</v>
                </pt>
                <pt idx="216">
                  <v>35065</v>
                </pt>
                <pt idx="217">
                  <v>35096</v>
                </pt>
                <pt idx="218">
                  <v>35125</v>
                </pt>
                <pt idx="219">
                  <v>35156</v>
                </pt>
                <pt idx="220">
                  <v>35186</v>
                </pt>
                <pt idx="221">
                  <v>35217</v>
                </pt>
                <pt idx="222">
                  <v>35247</v>
                </pt>
                <pt idx="223">
                  <v>35278</v>
                </pt>
                <pt idx="224">
                  <v>35309</v>
                </pt>
                <pt idx="225">
                  <v>35339</v>
                </pt>
                <pt idx="226">
                  <v>35370</v>
                </pt>
                <pt idx="227">
                  <v>35400</v>
                </pt>
                <pt idx="228">
                  <v>35431</v>
                </pt>
                <pt idx="229">
                  <v>35462</v>
                </pt>
                <pt idx="230">
                  <v>35490</v>
                </pt>
                <pt idx="231">
                  <v>35521</v>
                </pt>
                <pt idx="232">
                  <v>35551</v>
                </pt>
                <pt idx="233">
                  <v>35582</v>
                </pt>
                <pt idx="234">
                  <v>35612</v>
                </pt>
                <pt idx="235">
                  <v>35643</v>
                </pt>
                <pt idx="236">
                  <v>35674</v>
                </pt>
                <pt idx="237">
                  <v>35704</v>
                </pt>
                <pt idx="238">
                  <v>35735</v>
                </pt>
                <pt idx="239">
                  <v>35765</v>
                </pt>
                <pt idx="240">
                  <v>35796</v>
                </pt>
                <pt idx="241">
                  <v>35827</v>
                </pt>
                <pt idx="242">
                  <v>35855</v>
                </pt>
                <pt idx="243">
                  <v>35886</v>
                </pt>
                <pt idx="244">
                  <v>35916</v>
                </pt>
                <pt idx="245">
                  <v>35947</v>
                </pt>
                <pt idx="246">
                  <v>35977</v>
                </pt>
                <pt idx="247">
                  <v>36008</v>
                </pt>
                <pt idx="248">
                  <v>36039</v>
                </pt>
                <pt idx="249">
                  <v>36069</v>
                </pt>
                <pt idx="250">
                  <v>36100</v>
                </pt>
                <pt idx="251">
                  <v>36130</v>
                </pt>
                <pt idx="252">
                  <v>36161</v>
                </pt>
                <pt idx="253">
                  <v>36192</v>
                </pt>
                <pt idx="254">
                  <v>36220</v>
                </pt>
                <pt idx="255">
                  <v>36251</v>
                </pt>
                <pt idx="256">
                  <v>36281</v>
                </pt>
                <pt idx="257">
                  <v>36312</v>
                </pt>
                <pt idx="258">
                  <v>36342</v>
                </pt>
                <pt idx="259">
                  <v>36373</v>
                </pt>
                <pt idx="260">
                  <v>36404</v>
                </pt>
                <pt idx="261">
                  <v>36434</v>
                </pt>
                <pt idx="262">
                  <v>36465</v>
                </pt>
                <pt idx="263">
                  <v>36495</v>
                </pt>
                <pt idx="264">
                  <v>36526</v>
                </pt>
                <pt idx="265">
                  <v>36557</v>
                </pt>
                <pt idx="266">
                  <v>36586</v>
                </pt>
                <pt idx="267">
                  <v>36617</v>
                </pt>
                <pt idx="268">
                  <v>36647</v>
                </pt>
                <pt idx="269">
                  <v>36678</v>
                </pt>
                <pt idx="270">
                  <v>36708</v>
                </pt>
                <pt idx="271">
                  <v>36739</v>
                </pt>
                <pt idx="272">
                  <v>36770</v>
                </pt>
                <pt idx="273">
                  <v>36800</v>
                </pt>
                <pt idx="274">
                  <v>36831</v>
                </pt>
                <pt idx="275">
                  <v>36861</v>
                </pt>
                <pt idx="276">
                  <v>36892</v>
                </pt>
                <pt idx="277">
                  <v>36923</v>
                </pt>
                <pt idx="278">
                  <v>36951</v>
                </pt>
                <pt idx="279">
                  <v>36982</v>
                </pt>
                <pt idx="280">
                  <v>37012</v>
                </pt>
                <pt idx="281">
                  <v>37043</v>
                </pt>
                <pt idx="282">
                  <v>37073</v>
                </pt>
                <pt idx="283">
                  <v>37104</v>
                </pt>
                <pt idx="284">
                  <v>37135</v>
                </pt>
                <pt idx="285">
                  <v>37165</v>
                </pt>
                <pt idx="286">
                  <v>37196</v>
                </pt>
                <pt idx="287">
                  <v>37226</v>
                </pt>
                <pt idx="288">
                  <v>37257</v>
                </pt>
                <pt idx="289">
                  <v>37288</v>
                </pt>
                <pt idx="290">
                  <v>37316</v>
                </pt>
                <pt idx="291">
                  <v>37347</v>
                </pt>
                <pt idx="292">
                  <v>37377</v>
                </pt>
                <pt idx="293">
                  <v>37408</v>
                </pt>
                <pt idx="294">
                  <v>37438</v>
                </pt>
                <pt idx="295">
                  <v>37469</v>
                </pt>
                <pt idx="296">
                  <v>37500</v>
                </pt>
                <pt idx="297">
                  <v>37530</v>
                </pt>
                <pt idx="298">
                  <v>37561</v>
                </pt>
                <pt idx="299">
                  <v>37591</v>
                </pt>
                <pt idx="300">
                  <v>37622</v>
                </pt>
                <pt idx="301">
                  <v>37653</v>
                </pt>
                <pt idx="302">
                  <v>37681</v>
                </pt>
                <pt idx="303">
                  <v>37712</v>
                </pt>
                <pt idx="304">
                  <v>37742</v>
                </pt>
                <pt idx="305">
                  <v>37773</v>
                </pt>
                <pt idx="306">
                  <v>37803</v>
                </pt>
                <pt idx="307">
                  <v>37834</v>
                </pt>
                <pt idx="308">
                  <v>37865</v>
                </pt>
                <pt idx="309">
                  <v>37895</v>
                </pt>
                <pt idx="310">
                  <v>37926</v>
                </pt>
                <pt idx="311">
                  <v>37956</v>
                </pt>
                <pt idx="312">
                  <v>37987</v>
                </pt>
                <pt idx="313">
                  <v>38018</v>
                </pt>
                <pt idx="314">
                  <v>38047</v>
                </pt>
                <pt idx="315">
                  <v>38078</v>
                </pt>
                <pt idx="316">
                  <v>38108</v>
                </pt>
                <pt idx="317">
                  <v>38139</v>
                </pt>
                <pt idx="318">
                  <v>38169</v>
                </pt>
                <pt idx="319">
                  <v>38200</v>
                </pt>
                <pt idx="320">
                  <v>38231</v>
                </pt>
                <pt idx="321">
                  <v>38261</v>
                </pt>
                <pt idx="322">
                  <v>38292</v>
                </pt>
                <pt idx="323">
                  <v>38322</v>
                </pt>
                <pt idx="324">
                  <v>38353</v>
                </pt>
                <pt idx="325">
                  <v>38384</v>
                </pt>
                <pt idx="326">
                  <v>38412</v>
                </pt>
                <pt idx="327">
                  <v>38443</v>
                </pt>
                <pt idx="328">
                  <v>38473</v>
                </pt>
                <pt idx="329">
                  <v>38504</v>
                </pt>
                <pt idx="330">
                  <v>38534</v>
                </pt>
                <pt idx="331">
                  <v>38565</v>
                </pt>
                <pt idx="332">
                  <v>38596</v>
                </pt>
                <pt idx="333">
                  <v>38626</v>
                </pt>
                <pt idx="334">
                  <v>38657</v>
                </pt>
                <pt idx="335">
                  <v>38687</v>
                </pt>
                <pt idx="336">
                  <v>38718</v>
                </pt>
                <pt idx="337">
                  <v>38749</v>
                </pt>
                <pt idx="338">
                  <v>38777</v>
                </pt>
                <pt idx="339">
                  <v>38808</v>
                </pt>
                <pt idx="340">
                  <v>38838</v>
                </pt>
                <pt idx="341">
                  <v>38869</v>
                </pt>
                <pt idx="342">
                  <v>38899</v>
                </pt>
                <pt idx="343">
                  <v>38930</v>
                </pt>
                <pt idx="344">
                  <v>38961</v>
                </pt>
                <pt idx="345">
                  <v>38991</v>
                </pt>
                <pt idx="346">
                  <v>39022</v>
                </pt>
                <pt idx="347">
                  <v>39052</v>
                </pt>
                <pt idx="348">
                  <v>39083</v>
                </pt>
                <pt idx="349">
                  <v>39114</v>
                </pt>
                <pt idx="350">
                  <v>39142</v>
                </pt>
                <pt idx="351">
                  <v>39173</v>
                </pt>
                <pt idx="352">
                  <v>39203</v>
                </pt>
                <pt idx="353">
                  <v>39234</v>
                </pt>
                <pt idx="354">
                  <v>39264</v>
                </pt>
                <pt idx="355">
                  <v>39295</v>
                </pt>
                <pt idx="356">
                  <v>39326</v>
                </pt>
                <pt idx="357">
                  <v>39356</v>
                </pt>
                <pt idx="358">
                  <v>39387</v>
                </pt>
                <pt idx="359">
                  <v>39417</v>
                </pt>
                <pt idx="360">
                  <v>39448</v>
                </pt>
                <pt idx="361">
                  <v>39479</v>
                </pt>
                <pt idx="362">
                  <v>39508</v>
                </pt>
                <pt idx="363">
                  <v>39539</v>
                </pt>
                <pt idx="364">
                  <v>39845</v>
                </pt>
                <pt idx="365">
                  <v>39600</v>
                </pt>
                <pt idx="366">
                  <v>39630</v>
                </pt>
                <pt idx="367">
                  <v>39661</v>
                </pt>
                <pt idx="368">
                  <v>39692</v>
                </pt>
                <pt idx="369">
                  <v>29281</v>
                </pt>
                <pt idx="370">
                  <v>39873</v>
                </pt>
                <pt idx="371">
                  <v>39783</v>
                </pt>
                <pt idx="372">
                  <v>39814</v>
                </pt>
                <pt idx="373">
                  <v>39722</v>
                </pt>
                <pt idx="374">
                  <v>39873</v>
                </pt>
                <pt idx="375">
                  <v>39904</v>
                </pt>
                <pt idx="376">
                  <v>39934</v>
                </pt>
                <pt idx="377">
                  <v>39973</v>
                </pt>
                <pt idx="378">
                  <v>39995</v>
                </pt>
                <pt idx="379">
                  <v>40026</v>
                </pt>
                <pt idx="380">
                  <v>40057</v>
                </pt>
                <pt idx="381">
                  <v>40087</v>
                </pt>
                <pt idx="382">
                  <v>40118</v>
                </pt>
                <pt idx="383">
                  <v>40148</v>
                </pt>
                <pt idx="384">
                  <v>40179</v>
                </pt>
                <pt idx="385">
                  <v>40210</v>
                </pt>
                <pt idx="386">
                  <v>40238</v>
                </pt>
                <pt idx="387">
                  <v>40269</v>
                </pt>
                <pt idx="388">
                  <v>40299</v>
                </pt>
                <pt idx="389">
                  <v>40330</v>
                </pt>
                <pt idx="390">
                  <v>40360</v>
                </pt>
                <pt idx="391">
                  <v>40391</v>
                </pt>
                <pt idx="392">
                  <v>40422</v>
                </pt>
                <pt idx="393">
                  <v>40452</v>
                </pt>
                <pt idx="394">
                  <v>40483</v>
                </pt>
                <pt idx="395">
                  <v>40513</v>
                </pt>
                <pt idx="396">
                  <v>40544</v>
                </pt>
                <pt idx="397">
                  <v>40575</v>
                </pt>
                <pt idx="398">
                  <v>40603</v>
                </pt>
                <pt idx="399">
                  <v>40634</v>
                </pt>
                <pt idx="400">
                  <v>40664</v>
                </pt>
                <pt idx="401">
                  <v>40695</v>
                </pt>
                <pt idx="402">
                  <v>40725</v>
                </pt>
                <pt idx="403">
                  <v>40787</v>
                </pt>
                <pt idx="404">
                  <v>39569</v>
                </pt>
                <pt idx="405">
                  <v>40817</v>
                </pt>
                <pt idx="406">
                  <v>40848</v>
                </pt>
                <pt idx="407">
                  <v>40878</v>
                </pt>
                <pt idx="408">
                  <v>40909</v>
                </pt>
                <pt idx="409">
                  <v>40940</v>
                </pt>
                <pt idx="410">
                  <v>40969</v>
                </pt>
                <pt idx="411">
                  <v>41000</v>
                </pt>
                <pt idx="412">
                  <v>41030</v>
                </pt>
                <pt idx="413">
                  <v>41061</v>
                </pt>
                <pt idx="414">
                  <v>41091</v>
                </pt>
                <pt idx="415">
                  <v>41122</v>
                </pt>
                <pt idx="416">
                  <v>41153</v>
                </pt>
                <pt idx="417">
                  <v>41183</v>
                </pt>
                <pt idx="418">
                  <v>41214</v>
                </pt>
                <pt idx="419">
                  <v>41244</v>
                </pt>
                <pt idx="420">
                  <v>41275</v>
                </pt>
                <pt idx="421">
                  <v>41306</v>
                </pt>
                <pt idx="422">
                  <v>41334</v>
                </pt>
                <pt idx="423">
                  <v>41365</v>
                </pt>
                <pt idx="424">
                  <v>41395</v>
                </pt>
                <pt idx="425">
                  <v>41426</v>
                </pt>
                <pt idx="426">
                  <v>41456</v>
                </pt>
                <pt idx="427">
                  <v>41487</v>
                </pt>
                <pt idx="428">
                  <v>41518</v>
                </pt>
                <pt idx="429">
                  <v>41548</v>
                </pt>
                <pt idx="430">
                  <v>41579</v>
                </pt>
                <pt idx="431">
                  <v>41609</v>
                </pt>
                <pt idx="432">
                  <v>41640</v>
                </pt>
                <pt idx="433">
                  <v>41671</v>
                </pt>
                <pt idx="434">
                  <v>41699</v>
                </pt>
                <pt idx="435">
                  <v>41730</v>
                </pt>
                <pt idx="436">
                  <v>41760</v>
                </pt>
                <pt idx="437">
                  <v>41791</v>
                </pt>
                <pt idx="438">
                  <v>41821</v>
                </pt>
                <pt idx="439">
                  <v>41852</v>
                </pt>
                <pt idx="440">
                  <v>41883</v>
                </pt>
                <pt idx="441">
                  <v>41913</v>
                </pt>
                <pt idx="442">
                  <v>41944</v>
                </pt>
                <pt idx="443">
                  <v>41974</v>
                </pt>
                <pt idx="444">
                  <v>42005</v>
                </pt>
                <pt idx="445">
                  <v>42036</v>
                </pt>
                <pt idx="446">
                  <v>42064</v>
                </pt>
                <pt idx="447">
                  <v>42095</v>
                </pt>
                <pt idx="448">
                  <v>42125</v>
                </pt>
                <pt idx="449">
                  <v>42156</v>
                </pt>
                <pt idx="450">
                  <v>42186</v>
                </pt>
                <pt idx="451">
                  <v>42217</v>
                </pt>
                <pt idx="452">
                  <v>42248</v>
                </pt>
                <pt idx="453">
                  <v>42278</v>
                </pt>
                <pt idx="454">
                  <v>42309</v>
                </pt>
                <pt idx="455">
                  <v>42339</v>
                </pt>
                <pt idx="456">
                  <v>42370</v>
                </pt>
                <pt idx="457">
                  <v>42401</v>
                </pt>
                <pt idx="458">
                  <v>42430</v>
                </pt>
                <pt idx="459">
                  <v>42461</v>
                </pt>
                <pt idx="460">
                  <v>42491</v>
                </pt>
                <pt idx="461">
                  <v>42522</v>
                </pt>
                <pt idx="462">
                  <v>42552</v>
                </pt>
                <pt idx="463">
                  <v>42583</v>
                </pt>
                <pt idx="464">
                  <v>42614</v>
                </pt>
                <pt idx="465">
                  <v>42644</v>
                </pt>
                <pt idx="466">
                  <v>42675</v>
                </pt>
                <pt idx="467">
                  <v>42705</v>
                </pt>
                <pt idx="468">
                  <v>42736</v>
                </pt>
                <pt idx="469">
                  <v>42767</v>
                </pt>
                <pt idx="470">
                  <v>42795</v>
                </pt>
                <pt idx="471">
                  <v>42826</v>
                </pt>
                <pt idx="472">
                  <v>42856</v>
                </pt>
                <pt idx="473">
                  <v>42887</v>
                </pt>
                <pt idx="474">
                  <v>42917</v>
                </pt>
                <pt idx="475">
                  <v>42948</v>
                </pt>
                <pt idx="476">
                  <v>42979</v>
                </pt>
                <pt idx="477">
                  <v>43009</v>
                </pt>
                <pt idx="478">
                  <v>43040</v>
                </pt>
                <pt idx="479">
                  <v>43070</v>
                </pt>
                <pt idx="480">
                  <v>43101</v>
                </pt>
                <pt idx="481">
                  <v>43132</v>
                </pt>
                <pt idx="482">
                  <v>43160</v>
                </pt>
                <pt idx="483">
                  <v>43191</v>
                </pt>
                <pt idx="484">
                  <v>43221</v>
                </pt>
                <pt idx="485">
                  <v>43252</v>
                </pt>
                <pt idx="486">
                  <v>43282</v>
                </pt>
                <pt idx="487">
                  <v>43313</v>
                </pt>
                <pt idx="488">
                  <v>43344</v>
                </pt>
                <pt idx="489">
                  <v>43374</v>
                </pt>
                <pt idx="490">
                  <v>43405</v>
                </pt>
                <pt idx="491">
                  <v>43435</v>
                </pt>
                <pt idx="492">
                  <v>43466</v>
                </pt>
                <pt idx="493">
                  <v>43497</v>
                </pt>
                <pt idx="494">
                  <v>43525</v>
                </pt>
                <pt idx="495">
                  <v>43556</v>
                </pt>
                <pt idx="496">
                  <v>43586</v>
                </pt>
                <pt idx="497">
                  <v>43617</v>
                </pt>
                <pt idx="498">
                  <v>43647</v>
                </pt>
                <pt idx="499">
                  <v>43678</v>
                </pt>
                <pt idx="500">
                  <v>43709</v>
                </pt>
                <pt idx="501">
                  <v>43739</v>
                </pt>
                <pt idx="502">
                  <v>43770</v>
                </pt>
                <pt idx="503">
                  <v>43800</v>
                </pt>
                <pt idx="504">
                  <v>43831</v>
                </pt>
                <pt idx="505">
                  <v>43862</v>
                </pt>
                <pt idx="506">
                  <v>43891</v>
                </pt>
                <pt idx="507">
                  <v>43922</v>
                </pt>
                <pt idx="508">
                  <v>43952</v>
                </pt>
                <pt idx="509">
                  <v>43983</v>
                </pt>
                <pt idx="510">
                  <v>44013</v>
                </pt>
                <pt idx="511">
                  <v>44044</v>
                </pt>
                <pt idx="512">
                  <v>44075</v>
                </pt>
                <pt idx="513">
                  <v>44105</v>
                </pt>
                <pt idx="514">
                  <v>44136</v>
                </pt>
                <pt idx="515">
                  <v>44166</v>
                </pt>
                <pt idx="516">
                  <v>44197</v>
                </pt>
                <pt idx="517">
                  <v>44228</v>
                </pt>
                <pt idx="518">
                  <v>44256</v>
                </pt>
                <pt idx="519">
                  <v>44287</v>
                </pt>
                <pt idx="520">
                  <v>44317</v>
                </pt>
                <pt idx="521">
                  <v>44348</v>
                </pt>
                <pt idx="522">
                  <v>44378</v>
                </pt>
                <pt idx="523">
                  <v>44409</v>
                </pt>
                <pt idx="524">
                  <v>44440</v>
                </pt>
                <pt idx="525">
                  <v>44470</v>
                </pt>
                <pt idx="526">
                  <v>44501</v>
                </pt>
                <pt idx="527">
                  <v>44531</v>
                </pt>
                <pt idx="528">
                  <v>44562</v>
                </pt>
                <pt idx="529">
                  <v>44593</v>
                </pt>
                <pt idx="530">
                  <v>44621</v>
                </pt>
                <pt idx="531">
                  <v>44652</v>
                </pt>
                <pt idx="532">
                  <v>44682</v>
                </pt>
                <pt idx="533">
                  <v>44713</v>
                </pt>
                <pt idx="534">
                  <v>44743</v>
                </pt>
                <pt idx="535">
                  <v>44774</v>
                </pt>
                <pt idx="536">
                  <v>44805</v>
                </pt>
                <pt idx="537">
                  <v>44835</v>
                </pt>
              </numCache>
            </numRef>
          </cat>
          <val>
            <numRef>
              <f>'UMCSI vs GDP'!$B$7:$B$551</f>
              <numCache>
                <formatCode>0.0</formatCode>
                <ptCount val="545"/>
                <pt idx="0">
                  <v>96.2</v>
                </pt>
                <pt idx="1">
                  <v>95.40000000000001</v>
                </pt>
                <pt idx="2">
                  <v>93.2</v>
                </pt>
                <pt idx="3">
                  <v>98</v>
                </pt>
                <pt idx="4">
                  <v>98.2</v>
                </pt>
                <pt idx="5">
                  <v>98.40000000000001</v>
                </pt>
                <pt idx="6">
                  <v>98.7</v>
                </pt>
                <pt idx="7">
                  <v>96.09999999999999</v>
                </pt>
                <pt idx="8">
                  <v>96.90000000000001</v>
                </pt>
                <pt idx="9">
                  <v>91.2</v>
                </pt>
                <pt idx="10">
                  <v>94.09999999999999</v>
                </pt>
                <pt idx="11">
                  <v>85.2</v>
                </pt>
                <pt idx="12">
                  <v>93.3</v>
                </pt>
                <pt idx="13">
                  <v>92.2</v>
                </pt>
                <pt idx="14">
                  <v>91.2</v>
                </pt>
                <pt idx="15">
                  <v>85.90000000000001</v>
                </pt>
                <pt idx="16">
                  <v>88.7</v>
                </pt>
                <pt idx="17">
                  <v>88.2</v>
                </pt>
                <pt idx="18">
                  <v>85.7</v>
                </pt>
                <pt idx="19">
                  <v>88.2</v>
                </pt>
                <pt idx="20">
                  <v>87.09999999999999</v>
                </pt>
                <pt idx="21">
                  <v>81.59999999999999</v>
                </pt>
                <pt idx="22">
                  <v>80.90000000000001</v>
                </pt>
                <pt idx="23">
                  <v>75.8</v>
                </pt>
                <pt idx="24">
                  <v>87.09999999999999</v>
                </pt>
                <pt idx="25">
                  <v>85.5</v>
                </pt>
                <pt idx="26">
                  <v>61.7</v>
                </pt>
                <pt idx="27">
                  <v>65.8</v>
                </pt>
                <pt idx="28">
                  <v>75.3</v>
                </pt>
                <pt idx="29">
                  <v>85.5</v>
                </pt>
                <pt idx="30">
                  <v>76.09999999999999</v>
                </pt>
                <pt idx="31">
                  <v>79.40000000000001</v>
                </pt>
                <pt idx="32">
                  <v>82.7</v>
                </pt>
                <pt idx="33">
                  <v>83.40000000000001</v>
                </pt>
                <pt idx="34">
                  <v>76.40000000000001</v>
                </pt>
                <pt idx="35">
                  <v>70.90000000000001</v>
                </pt>
                <pt idx="36">
                  <v>76.7</v>
                </pt>
                <pt idx="37">
                  <v>74.40000000000001</v>
                </pt>
                <pt idx="38">
                  <v>73.5</v>
                </pt>
                <pt idx="39">
                  <v>78.09999999999999</v>
                </pt>
                <pt idx="40">
                  <v>80.40000000000001</v>
                </pt>
                <pt idx="41">
                  <v>76.09999999999999</v>
                </pt>
                <pt idx="42">
                  <v>84.90000000000001</v>
                </pt>
                <pt idx="43">
                  <v>87.09999999999999</v>
                </pt>
                <pt idx="44">
                  <v>79.5</v>
                </pt>
                <pt idx="45">
                  <v>82.8</v>
                </pt>
                <pt idx="46">
                  <v>72.09999999999999</v>
                </pt>
                <pt idx="47">
                  <v>75.90000000000001</v>
                </pt>
                <pt idx="48">
                  <v>83.5</v>
                </pt>
                <pt idx="49">
                  <v>78.59999999999999</v>
                </pt>
                <pt idx="50">
                  <v>75.90000000000001</v>
                </pt>
                <pt idx="51">
                  <v>72.3</v>
                </pt>
                <pt idx="52">
                  <v>76.09999999999999</v>
                </pt>
                <pt idx="53">
                  <v>74.3</v>
                </pt>
                <pt idx="54">
                  <v>77.5</v>
                </pt>
                <pt idx="55">
                  <v>72.5</v>
                </pt>
                <pt idx="56">
                  <v>72.90000000000001</v>
                </pt>
                <pt idx="57">
                  <v>78.09999999999999</v>
                </pt>
                <pt idx="58">
                  <v>73.8</v>
                </pt>
                <pt idx="59">
                  <v>78.09999999999999</v>
                </pt>
                <pt idx="60">
                  <v>78.40000000000001</v>
                </pt>
                <pt idx="61">
                  <v>79.90000000000001</v>
                </pt>
                <pt idx="62">
                  <v>80.5</v>
                </pt>
                <pt idx="63">
                  <v>92.7</v>
                </pt>
                <pt idx="64">
                  <v>93.09999999999999</v>
                </pt>
                <pt idx="65">
                  <v>96.90000000000001</v>
                </pt>
                <pt idx="66">
                  <v>96.5</v>
                </pt>
                <pt idx="67">
                  <v>95.09999999999999</v>
                </pt>
                <pt idx="68">
                  <v>96.40000000000001</v>
                </pt>
                <pt idx="69">
                  <v>94.3</v>
                </pt>
                <pt idx="70">
                  <v>96.09999999999999</v>
                </pt>
                <pt idx="71">
                  <v>99.3</v>
                </pt>
                <pt idx="72">
                  <v>104.9</v>
                </pt>
                <pt idx="73">
                  <v>103.9</v>
                </pt>
                <pt idx="74">
                  <v>106</v>
                </pt>
                <pt idx="75">
                  <v>103.5</v>
                </pt>
                <pt idx="76">
                  <v>109.8</v>
                </pt>
                <pt idx="77">
                  <v>104.4</v>
                </pt>
                <pt idx="78">
                  <v>103.9</v>
                </pt>
                <pt idx="79">
                  <v>107.5</v>
                </pt>
                <pt idx="80">
                  <v>107.8</v>
                </pt>
                <pt idx="81">
                  <v>103.6</v>
                </pt>
                <pt idx="82">
                  <v>102.4</v>
                </pt>
                <pt idx="83">
                  <v>100.6</v>
                </pt>
                <pt idx="84">
                  <v>104.9</v>
                </pt>
                <pt idx="85">
                  <v>105.1</v>
                </pt>
                <pt idx="86">
                  <v>103.7</v>
                </pt>
                <pt idx="87">
                  <v>106.6</v>
                </pt>
                <pt idx="88">
                  <v>103.7</v>
                </pt>
                <pt idx="89">
                  <v>104.9</v>
                </pt>
                <pt idx="90">
                  <v>104.3</v>
                </pt>
                <pt idx="91">
                  <v>101.8</v>
                </pt>
                <pt idx="92">
                  <v>104.3</v>
                </pt>
                <pt idx="93">
                  <v>100.3</v>
                </pt>
                <pt idx="94">
                  <v>100.7</v>
                </pt>
                <pt idx="95">
                  <v>103.1</v>
                </pt>
                <pt idx="96">
                  <v>111.8</v>
                </pt>
                <pt idx="97">
                  <v>108.4</v>
                </pt>
                <pt idx="98">
                  <v>107.9</v>
                </pt>
                <pt idx="99">
                  <v>108.1</v>
                </pt>
                <pt idx="100">
                  <v>106.2</v>
                </pt>
                <pt idx="101">
                  <v>113.3</v>
                </pt>
                <pt idx="102">
                  <v>112.1</v>
                </pt>
                <pt idx="103">
                  <v>108.9</v>
                </pt>
                <pt idx="104">
                  <v>108.3</v>
                </pt>
                <pt idx="105">
                  <v>108.9</v>
                </pt>
                <pt idx="106">
                  <v>106.7</v>
                </pt>
                <pt idx="107">
                  <v>105.8</v>
                </pt>
                <pt idx="108">
                  <v>105.1</v>
                </pt>
                <pt idx="109">
                  <v>103.7</v>
                </pt>
                <pt idx="110">
                  <v>102.5</v>
                </pt>
                <pt idx="111">
                  <v>105.5</v>
                </pt>
                <pt idx="112">
                  <v>107.4</v>
                </pt>
                <pt idx="113">
                  <v>108.1</v>
                </pt>
                <pt idx="114">
                  <v>109.9</v>
                </pt>
                <pt idx="115">
                  <v>107.8</v>
                </pt>
                <pt idx="116">
                  <v>108.3</v>
                </pt>
                <pt idx="117">
                  <v>103.1</v>
                </pt>
                <pt idx="118">
                  <v>99.3</v>
                </pt>
                <pt idx="119">
                  <v>102.7</v>
                </pt>
                <pt idx="120">
                  <v>106.2</v>
                </pt>
                <pt idx="121">
                  <v>106.6</v>
                </pt>
                <pt idx="122">
                  <v>109.1</v>
                </pt>
                <pt idx="123">
                  <v>104.8</v>
                </pt>
                <pt idx="124">
                  <v>106.5</v>
                </pt>
                <pt idx="125">
                  <v>108.6</v>
                </pt>
                <pt idx="126">
                  <v>110.7</v>
                </pt>
                <pt idx="127">
                  <v>110.8</v>
                </pt>
                <pt idx="128">
                  <v>109.4</v>
                </pt>
                <pt idx="129">
                  <v>105</v>
                </pt>
                <pt idx="130">
                  <v>103.3</v>
                </pt>
                <pt idx="131">
                  <v>102</v>
                </pt>
                <pt idx="132">
                  <v>110.3</v>
                </pt>
                <pt idx="133">
                  <v>105.7</v>
                </pt>
                <pt idx="134">
                  <v>104.8</v>
                </pt>
                <pt idx="135">
                  <v>104.4</v>
                </pt>
                <pt idx="136">
                  <v>107.1</v>
                </pt>
                <pt idx="137">
                  <v>104.1</v>
                </pt>
                <pt idx="138">
                  <v>102.1</v>
                </pt>
                <pt idx="139">
                  <v>103.9</v>
                </pt>
                <pt idx="140">
                  <v>107.1</v>
                </pt>
                <pt idx="141">
                  <v>104.4</v>
                </pt>
                <pt idx="142">
                  <v>101.2</v>
                </pt>
                <pt idx="143">
                  <v>98.2</v>
                </pt>
                <pt idx="144">
                  <v>108</v>
                </pt>
                <pt idx="145">
                  <v>102.3</v>
                </pt>
                <pt idx="146">
                  <v>106.9</v>
                </pt>
                <pt idx="147">
                  <v>109.4</v>
                </pt>
                <pt idx="148">
                  <v>108.1</v>
                </pt>
                <pt idx="149">
                  <v>106.5</v>
                </pt>
                <pt idx="150">
                  <v>105.1</v>
                </pt>
                <pt idx="151">
                  <v>97.5</v>
                </pt>
                <pt idx="152">
                  <v>94.7</v>
                </pt>
                <pt idx="153">
                  <v>84.2</v>
                </pt>
                <pt idx="154">
                  <v>86.7</v>
                </pt>
                <pt idx="155">
                  <v>84</v>
                </pt>
                <pt idx="156">
                  <v>84.90000000000001</v>
                </pt>
                <pt idx="157">
                  <v>83.7</v>
                </pt>
                <pt idx="158">
                  <v>92.7</v>
                </pt>
                <pt idx="159">
                  <v>92.8</v>
                </pt>
                <pt idx="160">
                  <v>89</v>
                </pt>
                <pt idx="161">
                  <v>91.90000000000001</v>
                </pt>
                <pt idx="162">
                  <v>96.09999999999999</v>
                </pt>
                <pt idx="163">
                  <v>92.3</v>
                </pt>
                <pt idx="164">
                  <v>93.2</v>
                </pt>
                <pt idx="165">
                  <v>90.40000000000001</v>
                </pt>
                <pt idx="166">
                  <v>80.3</v>
                </pt>
                <pt idx="167">
                  <v>78.7</v>
                </pt>
                <pt idx="168">
                  <v>80.5</v>
                </pt>
                <pt idx="169">
                  <v>79.7</v>
                </pt>
                <pt idx="170">
                  <v>84.90000000000001</v>
                </pt>
                <pt idx="171">
                  <v>87.7</v>
                </pt>
                <pt idx="172">
                  <v>91.5</v>
                </pt>
                <pt idx="173">
                  <v>95.40000000000001</v>
                </pt>
                <pt idx="174">
                  <v>90.59999999999999</v>
                </pt>
                <pt idx="175">
                  <v>86.2</v>
                </pt>
                <pt idx="176">
                  <v>88.3</v>
                </pt>
                <pt idx="177">
                  <v>82.5</v>
                </pt>
                <pt idx="178">
                  <v>96.40000000000001</v>
                </pt>
                <pt idx="179">
                  <v>93.40000000000001</v>
                </pt>
                <pt idx="180">
                  <v>98.59999999999999</v>
                </pt>
                <pt idx="181">
                  <v>96</v>
                </pt>
                <pt idx="182">
                  <v>101.6</v>
                </pt>
                <pt idx="183">
                  <v>99.90000000000001</v>
                </pt>
                <pt idx="184">
                  <v>98.7</v>
                </pt>
                <pt idx="185">
                  <v>98.7</v>
                </pt>
                <pt idx="186">
                  <v>96.2</v>
                </pt>
                <pt idx="187">
                  <v>95.09999999999999</v>
                </pt>
                <pt idx="188">
                  <v>95.2</v>
                </pt>
                <pt idx="189">
                  <v>98.7</v>
                </pt>
                <pt idx="190">
                  <v>98.2</v>
                </pt>
                <pt idx="191">
                  <v>102.9</v>
                </pt>
                <pt idx="192">
                  <v>106.6</v>
                </pt>
                <pt idx="193">
                  <v>108.3</v>
                </pt>
                <pt idx="194">
                  <v>101.4</v>
                </pt>
                <pt idx="195">
                  <v>108.1</v>
                </pt>
                <pt idx="196">
                  <v>106.3</v>
                </pt>
                <pt idx="197">
                  <v>104.5</v>
                </pt>
                <pt idx="198">
                  <v>105.4</v>
                </pt>
                <pt idx="199">
                  <v>108.7</v>
                </pt>
                <pt idx="200">
                  <v>104</v>
                </pt>
                <pt idx="201">
                  <v>104.6</v>
                </pt>
                <pt idx="202">
                  <v>102.1</v>
                </pt>
                <pt idx="203">
                  <v>104.9</v>
                </pt>
                <pt idx="204">
                  <v>112</v>
                </pt>
                <pt idx="205">
                  <v>109.3</v>
                </pt>
                <pt idx="206">
                  <v>106.5</v>
                </pt>
                <pt idx="207">
                  <v>105.9</v>
                </pt>
                <pt idx="208">
                  <v>105</v>
                </pt>
                <pt idx="209">
                  <v>106.1</v>
                </pt>
                <pt idx="210">
                  <v>105.2</v>
                </pt>
                <pt idx="211">
                  <v>111.8</v>
                </pt>
                <pt idx="212">
                  <v>104.6</v>
                </pt>
                <pt idx="213">
                  <v>104.8</v>
                </pt>
                <pt idx="214">
                  <v>101.3</v>
                </pt>
                <pt idx="215">
                  <v>102.4</v>
                </pt>
                <pt idx="216">
                  <v>105.8</v>
                </pt>
                <pt idx="217">
                  <v>105.2</v>
                </pt>
                <pt idx="218">
                  <v>105.4</v>
                </pt>
                <pt idx="219">
                  <v>107.8</v>
                </pt>
                <pt idx="220">
                  <v>105.1</v>
                </pt>
                <pt idx="221">
                  <v>105.4</v>
                </pt>
                <pt idx="222">
                  <v>107.5</v>
                </pt>
                <pt idx="223">
                  <v>107.8</v>
                </pt>
                <pt idx="224">
                  <v>102</v>
                </pt>
                <pt idx="225">
                  <v>106.6</v>
                </pt>
                <pt idx="226">
                  <v>107.5</v>
                </pt>
                <pt idx="227">
                  <v>104.9</v>
                </pt>
                <pt idx="228">
                  <v>106.8</v>
                </pt>
                <pt idx="229">
                  <v>107.2</v>
                </pt>
                <pt idx="230">
                  <v>109.8</v>
                </pt>
                <pt idx="231">
                  <v>115.2</v>
                </pt>
                <pt idx="232">
                  <v>113.5</v>
                </pt>
                <pt idx="233">
                  <v>113.2</v>
                </pt>
                <pt idx="234">
                  <v>114</v>
                </pt>
                <pt idx="235">
                  <v>110.7</v>
                </pt>
                <pt idx="236">
                  <v>114.1</v>
                </pt>
                <pt idx="237">
                  <v>109.8</v>
                </pt>
                <pt idx="238">
                  <v>114.9</v>
                </pt>
                <pt idx="239">
                  <v>111.4</v>
                </pt>
                <pt idx="240">
                  <v>113.5</v>
                </pt>
                <pt idx="241">
                  <v>120</v>
                </pt>
                <pt idx="242">
                  <v>113.7</v>
                </pt>
                <pt idx="243">
                  <v>115.5</v>
                </pt>
                <pt idx="244">
                  <v>113.9</v>
                </pt>
                <pt idx="245">
                  <v>115.4</v>
                </pt>
                <pt idx="246">
                  <v>113.3</v>
                </pt>
                <pt idx="247">
                  <v>113.9</v>
                </pt>
                <pt idx="248">
                  <v>111.7</v>
                </pt>
                <pt idx="249">
                  <v>112.8</v>
                </pt>
                <pt idx="250">
                  <v>115.9</v>
                </pt>
                <pt idx="251">
                  <v>113.9</v>
                </pt>
                <pt idx="252">
                  <v>116.8</v>
                </pt>
                <pt idx="253">
                  <v>115</v>
                </pt>
                <pt idx="254">
                  <v>116.3</v>
                </pt>
                <pt idx="255">
                  <v>115.9</v>
                </pt>
                <pt idx="256">
                  <v>121.1</v>
                </pt>
                <pt idx="257">
                  <v>118.9</v>
                </pt>
                <pt idx="258">
                  <v>116.5</v>
                </pt>
                <pt idx="259">
                  <v>114.1</v>
                </pt>
                <pt idx="260">
                  <v>115.9</v>
                </pt>
                <pt idx="261">
                  <v>112.7</v>
                </pt>
                <pt idx="262">
                  <v>116.8</v>
                </pt>
                <pt idx="263">
                  <v>112.2</v>
                </pt>
                <pt idx="264">
                  <v>117.3</v>
                </pt>
                <pt idx="265">
                  <v>116.8</v>
                </pt>
                <pt idx="266">
                  <v>115.4</v>
                </pt>
                <pt idx="267">
                  <v>117.8</v>
                </pt>
                <pt idx="268">
                  <v>119.9</v>
                </pt>
                <pt idx="269">
                  <v>115.1</v>
                </pt>
                <pt idx="270">
                  <v>114.2</v>
                </pt>
                <pt idx="271">
                  <v>112.4</v>
                </pt>
                <pt idx="272">
                  <v>112</v>
                </pt>
                <pt idx="273">
                  <v>113.6</v>
                </pt>
                <pt idx="274">
                  <v>116.9</v>
                </pt>
                <pt idx="275">
                  <v>110.5</v>
                </pt>
                <pt idx="276">
                  <v>107.7</v>
                </pt>
                <pt idx="277">
                  <v>105.8</v>
                </pt>
                <pt idx="278">
                  <v>103.4</v>
                </pt>
                <pt idx="279">
                  <v>98</v>
                </pt>
                <pt idx="280">
                  <v>102.2</v>
                </pt>
                <pt idx="281">
                  <v>101.6</v>
                </pt>
                <pt idx="282">
                  <v>98.59999999999999</v>
                </pt>
                <pt idx="283">
                  <v>101.2</v>
                </pt>
                <pt idx="284">
                  <v>94.59999999999999</v>
                </pt>
                <pt idx="285">
                  <v>94</v>
                </pt>
                <pt idx="286">
                  <v>95.3</v>
                </pt>
                <pt idx="287">
                  <v>99</v>
                </pt>
                <pt idx="288">
                  <v>95.7</v>
                </pt>
                <pt idx="289">
                  <v>96.2</v>
                </pt>
                <pt idx="290">
                  <v>100.4</v>
                </pt>
                <pt idx="291">
                  <v>99.2</v>
                </pt>
                <pt idx="292">
                  <v>103.5</v>
                </pt>
                <pt idx="293">
                  <v>99.5</v>
                </pt>
                <pt idx="294">
                  <v>99.3</v>
                </pt>
                <pt idx="295">
                  <v>98.5</v>
                </pt>
                <pt idx="296">
                  <v>95.8</v>
                </pt>
                <pt idx="297">
                  <v>92.40000000000001</v>
                </pt>
                <pt idx="298">
                  <v>93.09999999999999</v>
                </pt>
                <pt idx="299">
                  <v>96</v>
                </pt>
                <pt idx="300">
                  <v>97.2</v>
                </pt>
                <pt idx="301">
                  <v>95.40000000000001</v>
                </pt>
                <pt idx="302">
                  <v>90</v>
                </pt>
                <pt idx="303">
                  <v>96.40000000000001</v>
                </pt>
                <pt idx="304">
                  <v>93.2</v>
                </pt>
                <pt idx="305">
                  <v>94.7</v>
                </pt>
                <pt idx="306">
                  <v>102.1</v>
                </pt>
                <pt idx="307">
                  <v>99.7</v>
                </pt>
                <pt idx="308">
                  <v>98.40000000000001</v>
                </pt>
                <pt idx="309">
                  <v>99.90000000000001</v>
                </pt>
                <pt idx="310">
                  <v>102.5</v>
                </pt>
                <pt idx="311">
                  <v>97</v>
                </pt>
                <pt idx="312">
                  <v>109.5</v>
                </pt>
                <pt idx="313">
                  <v>103.6</v>
                </pt>
                <pt idx="314">
                  <v>106.8</v>
                </pt>
                <pt idx="315">
                  <v>105</v>
                </pt>
                <pt idx="316">
                  <v>103.6</v>
                </pt>
                <pt idx="317">
                  <v>106.7</v>
                </pt>
                <pt idx="318">
                  <v>105.2</v>
                </pt>
                <pt idx="319">
                  <v>107.9</v>
                </pt>
                <pt idx="320">
                  <v>103.7</v>
                </pt>
                <pt idx="321">
                  <v>104</v>
                </pt>
                <pt idx="322">
                  <v>104.7</v>
                </pt>
                <pt idx="323">
                  <v>106.7</v>
                </pt>
                <pt idx="324">
                  <v>110.9</v>
                </pt>
                <pt idx="325">
                  <v>109.2</v>
                </pt>
                <pt idx="326">
                  <v>108</v>
                </pt>
                <pt idx="327">
                  <v>104.4</v>
                </pt>
                <pt idx="328">
                  <v>104.9</v>
                </pt>
                <pt idx="329">
                  <v>113.2</v>
                </pt>
                <pt idx="330">
                  <v>113.5</v>
                </pt>
                <pt idx="331">
                  <v>108.2</v>
                </pt>
                <pt idx="332">
                  <v>98.09999999999999</v>
                </pt>
                <pt idx="333">
                  <v>91.2</v>
                </pt>
                <pt idx="334">
                  <v>100.2</v>
                </pt>
                <pt idx="335">
                  <v>109.1</v>
                </pt>
                <pt idx="336">
                  <v>110.3</v>
                </pt>
                <pt idx="337">
                  <v>105.6</v>
                </pt>
                <pt idx="338">
                  <v>109.1</v>
                </pt>
                <pt idx="339">
                  <v>109.2</v>
                </pt>
                <pt idx="340">
                  <v>96.09999999999999</v>
                </pt>
                <pt idx="341">
                  <v>105</v>
                </pt>
                <pt idx="342">
                  <v>103.5</v>
                </pt>
                <pt idx="343">
                  <v>103.8</v>
                </pt>
                <pt idx="344">
                  <v>96.59999999999999</v>
                </pt>
                <pt idx="345">
                  <v>107.3</v>
                </pt>
                <pt idx="346">
                  <v>106</v>
                </pt>
                <pt idx="347">
                  <v>108.1</v>
                </pt>
                <pt idx="348">
                  <v>111.3</v>
                </pt>
                <pt idx="349">
                  <v>106.7</v>
                </pt>
                <pt idx="350">
                  <v>103.5</v>
                </pt>
                <pt idx="351">
                  <v>104.6</v>
                </pt>
                <pt idx="352">
                  <v>105.1</v>
                </pt>
                <pt idx="353">
                  <v>101.9</v>
                </pt>
                <pt idx="354">
                  <v>104.5</v>
                </pt>
                <pt idx="355">
                  <v>98.40000000000001</v>
                </pt>
                <pt idx="356">
                  <v>97.90000000000001</v>
                </pt>
                <pt idx="357">
                  <v>97.59999999999999</v>
                </pt>
                <pt idx="358">
                  <v>91.5</v>
                </pt>
                <pt idx="359">
                  <v>91</v>
                </pt>
                <pt idx="360">
                  <v>94.40000000000001</v>
                </pt>
                <pt idx="361">
                  <v>83.8</v>
                </pt>
                <pt idx="362">
                  <v>84.2</v>
                </pt>
                <pt idx="363">
                  <v>77</v>
                </pt>
                <pt idx="364">
                  <v>65.5</v>
                </pt>
                <pt idx="365">
                  <v>67.59999999999999</v>
                </pt>
                <pt idx="366">
                  <v>73.09999999999999</v>
                </pt>
                <pt idx="367">
                  <v>71</v>
                </pt>
                <pt idx="368">
                  <v>75</v>
                </pt>
                <pt idx="369">
                  <v>75.3</v>
                </pt>
                <pt idx="370">
                  <v>63.3</v>
                </pt>
                <pt idx="371">
                  <v>69.5</v>
                </pt>
                <pt idx="372">
                  <v>66.5</v>
                </pt>
                <pt idx="373">
                  <v>58.4</v>
                </pt>
                <pt idx="374">
                  <v>63.3</v>
                </pt>
                <pt idx="375">
                  <v>68.3</v>
                </pt>
                <pt idx="376">
                  <v>67.7</v>
                </pt>
                <pt idx="377">
                  <v>73.2</v>
                </pt>
                <pt idx="378">
                  <v>70.5</v>
                </pt>
                <pt idx="379">
                  <v>66.59999999999999</v>
                </pt>
                <pt idx="380">
                  <v>73.40000000000001</v>
                </pt>
                <pt idx="381">
                  <v>73.7</v>
                </pt>
                <pt idx="382">
                  <v>68.8</v>
                </pt>
                <pt idx="383">
                  <v>78</v>
                </pt>
                <pt idx="384">
                  <v>81.09999999999999</v>
                </pt>
                <pt idx="385">
                  <v>81.8</v>
                </pt>
                <pt idx="386">
                  <v>82.40000000000001</v>
                </pt>
                <pt idx="387">
                  <v>81</v>
                </pt>
                <pt idx="388">
                  <v>81</v>
                </pt>
                <pt idx="389">
                  <v>85.59999999999999</v>
                </pt>
                <pt idx="390">
                  <v>76.5</v>
                </pt>
                <pt idx="391">
                  <v>78.3</v>
                </pt>
                <pt idx="392">
                  <v>79.59999999999999</v>
                </pt>
                <pt idx="393">
                  <v>76.59999999999999</v>
                </pt>
                <pt idx="394">
                  <v>82.09999999999999</v>
                </pt>
                <pt idx="395">
                  <v>85.3</v>
                </pt>
                <pt idx="396">
                  <v>81.8</v>
                </pt>
                <pt idx="397">
                  <v>86.90000000000001</v>
                </pt>
                <pt idx="398">
                  <v>82.5</v>
                </pt>
                <pt idx="399">
                  <v>82.5</v>
                </pt>
                <pt idx="400">
                  <v>81.90000000000001</v>
                </pt>
                <pt idx="401">
                  <v>82</v>
                </pt>
                <pt idx="402">
                  <v>75.7</v>
                </pt>
                <pt idx="403">
                  <v>75.2</v>
                </pt>
                <pt idx="404">
                  <v>73.3</v>
                </pt>
                <pt idx="405">
                  <v>74.90000000000001</v>
                </pt>
                <pt idx="406">
                  <v>77.40000000000001</v>
                </pt>
                <pt idx="407">
                  <v>79.59999999999999</v>
                </pt>
                <pt idx="408">
                  <v>84.2</v>
                </pt>
                <pt idx="409">
                  <v>83</v>
                </pt>
                <pt idx="410">
                  <v>86</v>
                </pt>
                <pt idx="411">
                  <v>82.90000000000001</v>
                </pt>
                <pt idx="412">
                  <v>87.2</v>
                </pt>
                <pt idx="413">
                  <v>81.5</v>
                </pt>
                <pt idx="414">
                  <v>82.7</v>
                </pt>
                <pt idx="415">
                  <v>88.7</v>
                </pt>
                <pt idx="416">
                  <v>85.7</v>
                </pt>
                <pt idx="417">
                  <v>88.09999999999999</v>
                </pt>
                <pt idx="418">
                  <v>90.59999999999999</v>
                </pt>
                <pt idx="419">
                  <v>87</v>
                </pt>
                <pt idx="420">
                  <v>85</v>
                </pt>
                <pt idx="421">
                  <v>89</v>
                </pt>
                <pt idx="422">
                  <v>90.7</v>
                </pt>
                <pt idx="423">
                  <v>89.90000000000001</v>
                </pt>
                <pt idx="424">
                  <v>98</v>
                </pt>
                <pt idx="425">
                  <v>93.8</v>
                </pt>
                <pt idx="426">
                  <v>98.59999999999999</v>
                </pt>
                <pt idx="427">
                  <v>95.2</v>
                </pt>
                <pt idx="428">
                  <v>92.59999999999999</v>
                </pt>
                <pt idx="429">
                  <v>89.90000000000001</v>
                </pt>
                <pt idx="430">
                  <v>88</v>
                </pt>
                <pt idx="431">
                  <v>98.59999999999999</v>
                </pt>
                <pt idx="432">
                  <v>96.8</v>
                </pt>
                <pt idx="433">
                  <v>95.40000000000001</v>
                </pt>
                <pt idx="434">
                  <v>95.7</v>
                </pt>
                <pt idx="435">
                  <v>98.7</v>
                </pt>
                <pt idx="436">
                  <v>94.5</v>
                </pt>
                <pt idx="437">
                  <v>96.59999999999999</v>
                </pt>
                <pt idx="438">
                  <v>97.40000000000001</v>
                </pt>
                <pt idx="439">
                  <v>99.8</v>
                </pt>
                <pt idx="440">
                  <v>98.90000000000001</v>
                </pt>
                <pt idx="441">
                  <v>98.3</v>
                </pt>
                <pt idx="442">
                  <v>102.7</v>
                </pt>
                <pt idx="443">
                  <v>104.8</v>
                </pt>
                <pt idx="444">
                  <v>109.3</v>
                </pt>
                <pt idx="445">
                  <v>106.9</v>
                </pt>
                <pt idx="446">
                  <v>105</v>
                </pt>
                <pt idx="447">
                  <v>107</v>
                </pt>
                <pt idx="448">
                  <v>100.8</v>
                </pt>
                <pt idx="449">
                  <v>108.9</v>
                </pt>
                <pt idx="450">
                  <v>107.2</v>
                </pt>
                <pt idx="451">
                  <v>105.1</v>
                </pt>
                <pt idx="452">
                  <v>101.2</v>
                </pt>
                <pt idx="453">
                  <v>102.3</v>
                </pt>
                <pt idx="454">
                  <v>104.3</v>
                </pt>
                <pt idx="455">
                  <v>108.1</v>
                </pt>
                <pt idx="456">
                  <v>106.4</v>
                </pt>
                <pt idx="457">
                  <v>106.8</v>
                </pt>
                <pt idx="458">
                  <v>105.6</v>
                </pt>
                <pt idx="459">
                  <v>106.7</v>
                </pt>
                <pt idx="460">
                  <v>109.9</v>
                </pt>
                <pt idx="461">
                  <v>110.8</v>
                </pt>
                <pt idx="462">
                  <v>109</v>
                </pt>
                <pt idx="463">
                  <v>107</v>
                </pt>
                <pt idx="464">
                  <v>104.2</v>
                </pt>
                <pt idx="465">
                  <v>103.2</v>
                </pt>
                <pt idx="466">
                  <v>107.3</v>
                </pt>
                <pt idx="467">
                  <v>111.9</v>
                </pt>
                <pt idx="468">
                  <v>111.3</v>
                </pt>
                <pt idx="469">
                  <v>111.5</v>
                </pt>
                <pt idx="470">
                  <v>113.2</v>
                </pt>
                <pt idx="471">
                  <v>112.7</v>
                </pt>
                <pt idx="472">
                  <v>111.7</v>
                </pt>
                <pt idx="473">
                  <v>112.4</v>
                </pt>
                <pt idx="474">
                  <v>113.4</v>
                </pt>
                <pt idx="475">
                  <v>110.9</v>
                </pt>
                <pt idx="476">
                  <v>111.7</v>
                </pt>
                <pt idx="477">
                  <v>116.5</v>
                </pt>
                <pt idx="478">
                  <v>113.5</v>
                </pt>
                <pt idx="479">
                  <v>113.8</v>
                </pt>
                <pt idx="480">
                  <v>110.5</v>
                </pt>
                <pt idx="481">
                  <v>114.9</v>
                </pt>
                <pt idx="482">
                  <v>121.2</v>
                </pt>
                <pt idx="483">
                  <v>114.9</v>
                </pt>
                <pt idx="484">
                  <v>111.8</v>
                </pt>
                <pt idx="485">
                  <v>116.5</v>
                </pt>
                <pt idx="486">
                  <v>114.4</v>
                </pt>
                <pt idx="487">
                  <v>110.3</v>
                </pt>
                <pt idx="488">
                  <v>115.2</v>
                </pt>
                <pt idx="489">
                  <v>113.1</v>
                </pt>
                <pt idx="490">
                  <v>112.3</v>
                </pt>
                <pt idx="491">
                  <v>116.1</v>
                </pt>
                <pt idx="492">
                  <v>108.8</v>
                </pt>
                <pt idx="493">
                  <v>108.5</v>
                </pt>
                <pt idx="494">
                  <v>113.3</v>
                </pt>
                <pt idx="495">
                  <v>112.3</v>
                </pt>
                <pt idx="496">
                  <v>110</v>
                </pt>
                <pt idx="497">
                  <v>111.9</v>
                </pt>
                <pt idx="498">
                  <v>110.7</v>
                </pt>
                <pt idx="499">
                  <v>105.3</v>
                </pt>
                <pt idx="500">
                  <v>108.5</v>
                </pt>
                <pt idx="501">
                  <v>113.2</v>
                </pt>
                <pt idx="502">
                  <v>111.6</v>
                </pt>
                <pt idx="503">
                  <v>115.5</v>
                </pt>
                <pt idx="504">
                  <v>114.4</v>
                </pt>
                <pt idx="505">
                  <v>114.8</v>
                </pt>
                <pt idx="506">
                  <v>103.7</v>
                </pt>
                <pt idx="507">
                  <v>74.3</v>
                </pt>
                <pt idx="508">
                  <v>82.3</v>
                </pt>
                <pt idx="509">
                  <v>87.09999999999999</v>
                </pt>
                <pt idx="510">
                  <v>82.8</v>
                </pt>
                <pt idx="511">
                  <v>82.90000000000001</v>
                </pt>
                <pt idx="512">
                  <v>87.8</v>
                </pt>
                <pt idx="513">
                  <v>85.90000000000001</v>
                </pt>
                <pt idx="514">
                  <v>87</v>
                </pt>
                <pt idx="515">
                  <v>90</v>
                </pt>
                <pt idx="516">
                  <v>86.7</v>
                </pt>
                <pt idx="517">
                  <v>86.2</v>
                </pt>
                <pt idx="518">
                  <v>93</v>
                </pt>
                <pt idx="519">
                  <v>97.2</v>
                </pt>
                <pt idx="520">
                  <v>89.40000000000001</v>
                </pt>
                <pt idx="521">
                  <v>88.59999999999999</v>
                </pt>
                <pt idx="522">
                  <v>84.5</v>
                </pt>
                <pt idx="523">
                  <v>78.5</v>
                </pt>
                <pt idx="524">
                  <v>80.09999999999999</v>
                </pt>
                <pt idx="525">
                  <v>77.7</v>
                </pt>
                <pt idx="526">
                  <v>73.59999999999999</v>
                </pt>
                <pt idx="527">
                  <v>74.2</v>
                </pt>
                <pt idx="528">
                  <v>72</v>
                </pt>
                <pt idx="529">
                  <v>68.2</v>
                </pt>
                <pt idx="530">
                  <v>67.2</v>
                </pt>
                <pt idx="531">
                  <v>69.40000000000001</v>
                </pt>
                <pt idx="532">
                  <v>63.3</v>
                </pt>
                <pt idx="533">
                  <v>53.8</v>
                </pt>
                <pt idx="534">
                  <v>58.1</v>
                </pt>
                <pt idx="535">
                  <v>58.6</v>
                </pt>
                <pt idx="536">
                  <v>59.7</v>
                </pt>
                <pt idx="537">
                  <v>65.59999999999999</v>
                </pt>
              </numCache>
            </numRef>
          </val>
          <smooth val="0"/>
        </ser>
        <dLbls>
          <showLegendKey val="0"/>
          <showVal val="0"/>
          <showCatName val="0"/>
          <showSerName val="0"/>
          <showPercent val="0"/>
          <showBubbleSize val="0"/>
        </dLbls>
        <marker val="1"/>
        <smooth val="0"/>
        <axId val="1264651104"/>
        <axId val="1264655040"/>
      </lineChart>
      <dateAx>
        <axId val="1264651104"/>
        <scaling>
          <orientation val="minMax"/>
        </scaling>
        <delete val="0"/>
        <axPos val="b"/>
        <numFmt formatCode="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5040"/>
        <crosses val="autoZero"/>
        <lblOffset val="100"/>
        <baseTimeUnit val="days"/>
      </dateAx>
      <valAx>
        <axId val="126465504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64651104"/>
        <crosses val="autoZero"/>
        <crossBetween val="between"/>
      </valAx>
      <dateAx>
        <axId val="1256160464"/>
        <scaling>
          <orientation val="minMax"/>
        </scaling>
        <delete val="1"/>
        <axPos val="b"/>
        <numFmt formatCode="mmm\-yy" sourceLinked="1"/>
        <majorTickMark val="out"/>
        <minorTickMark val="none"/>
        <tickLblPos val="nextTo"/>
        <crossAx val="1256165384"/>
        <crosses val="autoZero"/>
        <lblOffset val="100"/>
        <baseTimeUnit val="days"/>
      </dateAx>
      <valAx>
        <axId val="1256165384"/>
        <scaling>
          <orientation val="minMax"/>
          <max val="0.12"/>
          <min val="-0.13"/>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256160464"/>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s>
</file>

<file path=xl/drawings/drawing1.xml><?xml version="1.0" encoding="utf-8"?>
<wsDr xmlns="http://schemas.openxmlformats.org/drawingml/2006/spreadsheetDrawing">
  <twoCellAnchor>
    <from>
      <col>12</col>
      <colOff>19049</colOff>
      <row>1</row>
      <rowOff>9525</rowOff>
    </from>
    <to>
      <col>17</col>
      <colOff>552450</colOff>
      <row>8</row>
      <rowOff>142875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635000</colOff>
      <row>748</row>
      <rowOff>152400</rowOff>
    </from>
    <to>
      <col>19</col>
      <colOff>601134</colOff>
      <row>778</row>
      <rowOff>16934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205316</colOff>
      <row>235</row>
      <rowOff>99483</rowOff>
    </from>
    <to>
      <col>13</col>
      <colOff>186267</colOff>
      <row>252</row>
      <rowOff>51859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494242</colOff>
      <row>253</row>
      <rowOff>60325</rowOff>
    </from>
    <to>
      <col>18</col>
      <colOff>589493</colOff>
      <row>270</row>
      <rowOff>8467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201084</colOff>
      <row>253</row>
      <rowOff>60325</rowOff>
    </from>
    <to>
      <col>11</col>
      <colOff>389466</colOff>
      <row>270</row>
      <rowOff>8467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19</col>
      <colOff>29634</colOff>
      <row>253</row>
      <rowOff>50800</rowOff>
    </from>
    <to>
      <col>26</col>
      <colOff>124883</colOff>
      <row>269</row>
      <rowOff>193676</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wsDr>
</file>

<file path=xl/drawings/drawing4.xml><?xml version="1.0" encoding="utf-8"?>
<wsDr xmlns="http://schemas.openxmlformats.org/drawingml/2006/spreadsheetDrawing">
  <twoCellAnchor>
    <from>
      <col>4</col>
      <colOff>336549</colOff>
      <row>490</row>
      <rowOff>141941</rowOff>
    </from>
    <to>
      <col>15</col>
      <colOff>328706</colOff>
      <row>514</row>
      <rowOff>149412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342993</colOff>
      <row>515</row>
      <rowOff>73403</rowOff>
    </from>
    <to>
      <col>15</col>
      <colOff>321236</colOff>
      <row>541</row>
      <rowOff>67235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3" displayName="Table3" ref="A9:F774" headerRowCount="1" totalsRowShown="0" headerRowDxfId="24" dataDxfId="23">
  <autoFilter ref="A9:F774"/>
  <tableColumns count="6">
    <tableColumn id="1" name="Date" dataDxfId="22"/>
    <tableColumn id="2" name="Conference Board Leading Indicator" dataDxfId="21"/>
    <tableColumn id="3" name="Var y/y %" dataDxfId="20"/>
    <tableColumn id="4" name="GDP y/y %" dataDxfId="19"/>
    <tableColumn id="5" name="UMSCI" dataDxfId="18"/>
    <tableColumn id="6" name="SUMSCI y/y %" dataDxfId="1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A6:D280" headerRowCount="1" totalsRowShown="0" headerRowDxfId="16" dataDxfId="14" headerRowBorderDxfId="15">
  <autoFilter ref="A6:D280"/>
  <sortState ref="A7:D224">
    <sortCondition ref="A7:A224"/>
  </sortState>
  <tableColumns count="4">
    <tableColumn id="1" name="Date" dataDxfId="13"/>
    <tableColumn id="2" name="UMCSI" dataDxfId="12">
      <calculatedColumnFormula>VLOOKUP(Table2[[#This Row],[Date]],'DB LEI'!$A:$F,4)</calculatedColumnFormula>
    </tableColumn>
    <tableColumn id="3" name="Mich Current Index" dataDxfId="11">
      <calculatedColumnFormula>VLOOKUP(Table2[[#This Row],[Date]],'DB LEI'!$A:$F,5)</calculatedColumnFormula>
    </tableColumn>
    <tableColumn id="4" name="Mich Expected Index" dataDxfId="10">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48" displayName="Table48" ref="A6:D544" headerRowCount="1" totalsRowShown="0" headerRowDxfId="9" dataDxfId="7" headerRowBorderDxfId="8" tableBorderDxfId="6">
  <autoFilter ref="A6:D544"/>
  <sortState ref="A7:D385">
    <sortCondition ref="B15:B512"/>
  </sortState>
  <tableColumns count="4">
    <tableColumn id="1" name="Date" dataDxfId="5"/>
    <tableColumn id="2" name="UMCSI" dataDxfId="4">
      <calculatedColumnFormula>VLOOKUP(Table48[[#This Row],[Date]],'DB LEI'!$A:$F,5)</calculatedColumnFormula>
    </tableColumn>
    <tableColumn id="3" name="GDP yoy %" dataDxfId="3">
      <calculatedColumnFormula>IF(VLOOKUP(Table48[[#This Row],[Date]],'DB LEI'!$A:$M,13)=0,"",VLOOKUP(Table48[[#This Row],[Date]],'DB LEI'!$A:$M,13))</calculatedColumnFormula>
    </tableColumn>
    <tableColumn id="4" name="GDP qoq %" dataDxfId="2">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www.sca.isr.umich.edu/" TargetMode="External" Id="rId1"/><Relationship Type="http://schemas.openxmlformats.org/officeDocument/2006/relationships/hyperlink" Target="https://www.conference-board.org/data/bcicountry.cfm?cid=1" TargetMode="External" Id="rId2"/><Relationship Type="http://schemas.openxmlformats.org/officeDocument/2006/relationships/hyperlink" Target="http://www.sca.isr.umich.edu/tables.html" TargetMode="External" Id="rId3"/><Relationship Type="http://schemas.openxmlformats.org/officeDocument/2006/relationships/hyperlink" Target="https://fred.stlouisfed.org/series/GDPC1" TargetMode="External" Id="rId4"/><Relationship Type="http://schemas.openxmlformats.org/officeDocument/2006/relationships/drawing" Target="/xl/drawings/drawing1.xml" Id="rId5"/></Relationships>
</file>

<file path=xl/worksheets/_rels/sheet3.xml.rels><Relationships xmlns="http://schemas.openxmlformats.org/package/2006/relationships"><Relationship Type="http://schemas.openxmlformats.org/officeDocument/2006/relationships/hyperlink" Target="https://www.conference-board.org/data/bcicountry.cfm?cid=1" TargetMode="External" Id="rId1"/><Relationship Type="http://schemas.openxmlformats.org/officeDocument/2006/relationships/drawing" Target="/xl/drawings/drawing2.xml" Id="rId2"/><Relationship Type="http://schemas.openxmlformats.org/officeDocument/2006/relationships/table" Target="/xl/tables/table1.xml" Id="rId3"/></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R23"/>
  <sheetViews>
    <sheetView zoomScale="160" zoomScaleNormal="160" workbookViewId="0">
      <selection activeCell="P24" sqref="P24"/>
    </sheetView>
  </sheetViews>
  <sheetFormatPr baseColWidth="10" defaultColWidth="9.1640625" defaultRowHeight="15"/>
  <cols>
    <col width="9.1640625" customWidth="1" style="55" min="1" max="1"/>
    <col width="12.83203125" customWidth="1" style="55" min="2" max="9"/>
    <col width="18.83203125" customWidth="1" style="55" min="10" max="10"/>
    <col width="3.33203125" customWidth="1" style="55" min="11" max="12"/>
    <col width="21.33203125" customWidth="1" style="55" min="13" max="13"/>
    <col width="10.6640625" bestFit="1" customWidth="1" style="55" min="14" max="15"/>
    <col width="9.1640625" customWidth="1" style="55" min="16" max="44"/>
    <col width="9.1640625" customWidth="1" style="55" min="45" max="16384"/>
  </cols>
  <sheetData>
    <row r="1" ht="16" customHeight="1" thickBot="1">
      <c r="B1" s="60" t="n"/>
      <c r="J1" s="55" t="inlineStr">
        <is>
          <t>GDPQoQ_ANNUALIZED</t>
        </is>
      </c>
    </row>
    <row r="2" ht="16" customHeight="1" thickBot="1">
      <c r="B2" s="61" t="n"/>
      <c r="C2" s="61" t="n"/>
      <c r="D2" s="61" t="n"/>
      <c r="E2" s="61" t="n"/>
      <c r="F2" s="61" t="n"/>
      <c r="G2" s="61" t="n"/>
      <c r="H2" s="61" t="n"/>
      <c r="I2" s="61" t="n"/>
    </row>
    <row r="3" ht="16" customHeight="1" thickBot="1">
      <c r="B3" s="62" t="inlineStr">
        <is>
          <t>Consumer Confidence</t>
        </is>
      </c>
      <c r="C3" s="63" t="n"/>
      <c r="D3" s="63" t="n"/>
      <c r="E3" s="63" t="n"/>
      <c r="F3" s="63" t="n"/>
      <c r="G3" s="63" t="n"/>
      <c r="H3" s="63" t="n"/>
      <c r="I3" s="64" t="n"/>
    </row>
    <row r="5">
      <c r="B5" s="57" t="inlineStr">
        <is>
          <t>Definition</t>
        </is>
      </c>
      <c r="C5" s="58" t="n"/>
      <c r="D5" s="58" t="n"/>
      <c r="E5" s="58" t="n"/>
      <c r="F5" s="58" t="n"/>
      <c r="G5" s="58" t="n"/>
      <c r="H5" s="58" t="n"/>
      <c r="I5" s="59" t="n"/>
    </row>
    <row r="7" ht="106.5" customHeight="1">
      <c r="B7" s="65" t="inlineStr">
        <is>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is>
      </c>
      <c r="O7" s="1" t="n"/>
    </row>
    <row r="8" ht="33.75" customHeight="1">
      <c r="B8" s="66" t="inlineStr">
        <is>
          <t>http://www.sca.isr.umich.edu</t>
        </is>
      </c>
    </row>
    <row r="9">
      <c r="B9" s="7" t="n"/>
      <c r="C9" s="7" t="n"/>
      <c r="D9" s="7" t="n"/>
      <c r="E9" s="7" t="n"/>
    </row>
    <row r="10">
      <c r="B10" s="57" t="inlineStr">
        <is>
          <t>Process / TO DO LIST</t>
        </is>
      </c>
      <c r="C10" s="58" t="n"/>
      <c r="D10" s="58" t="n"/>
      <c r="E10" s="58" t="n"/>
      <c r="F10" s="58" t="n"/>
      <c r="G10" s="58" t="n"/>
      <c r="H10" s="58" t="n"/>
      <c r="I10" s="59" t="n"/>
      <c r="M10" s="57" t="inlineStr">
        <is>
          <t>Summary</t>
        </is>
      </c>
      <c r="N10" s="58" t="n"/>
      <c r="O10" s="58" t="n"/>
      <c r="P10" s="58" t="n"/>
      <c r="Q10" s="58" t="n"/>
      <c r="R10" s="59" t="n"/>
    </row>
    <row r="12">
      <c r="B12" s="57" t="inlineStr">
        <is>
          <t>TO DO LIST</t>
        </is>
      </c>
      <c r="C12" s="58" t="n"/>
      <c r="D12" s="58" t="n"/>
      <c r="E12" s="58" t="n"/>
      <c r="F12" s="59" t="n"/>
      <c r="G12" s="57" t="inlineStr">
        <is>
          <t>Comments</t>
        </is>
      </c>
      <c r="H12" s="58" t="n"/>
      <c r="I12" s="59" t="n"/>
    </row>
    <row r="13" ht="19.5" customHeight="1" thickBot="1"/>
    <row r="14" ht="19.5" customHeight="1">
      <c r="B14" s="66" t="inlineStr">
        <is>
          <t>https://www.conference-board.org/data/bcicountry.cfm?cid=1</t>
        </is>
      </c>
      <c r="G14" s="55" t="inlineStr">
        <is>
          <t>Conference Board</t>
        </is>
      </c>
      <c r="N14" s="40" t="n">
        <v>44805</v>
      </c>
      <c r="O14" s="41" t="inlineStr">
        <is>
          <t>mom</t>
        </is>
      </c>
      <c r="P14" s="42" t="n"/>
      <c r="Q14" s="43" t="inlineStr">
        <is>
          <t>yoy</t>
        </is>
      </c>
      <c r="R14" s="42" t="n"/>
    </row>
    <row r="15" ht="19.5" customHeight="1" thickBot="1">
      <c r="G15" s="55" t="n"/>
      <c r="N15" s="44" t="inlineStr">
        <is>
          <t>Last</t>
        </is>
      </c>
      <c r="O15" s="45" t="inlineStr">
        <is>
          <t>Last</t>
        </is>
      </c>
      <c r="P15" s="46" t="inlineStr">
        <is>
          <t>Var.</t>
        </is>
      </c>
      <c r="Q15" s="47" t="inlineStr">
        <is>
          <t>Last</t>
        </is>
      </c>
      <c r="R15" s="46" t="inlineStr">
        <is>
          <t>Var.</t>
        </is>
      </c>
    </row>
    <row r="16" ht="19.5" customHeight="1">
      <c r="B16" s="27" t="inlineStr">
        <is>
          <t>http://www.sca.isr.umich.edu/tables.html</t>
        </is>
      </c>
      <c r="G16" s="55" t="inlineStr">
        <is>
          <t>UMCSI</t>
        </is>
      </c>
      <c r="M16" s="37" t="inlineStr">
        <is>
          <t>UMCSI</t>
        </is>
      </c>
      <c r="N16" s="35">
        <f>VLOOKUP(N14,UMCSI!A:D,2,)</f>
        <v/>
      </c>
      <c r="O16" s="29">
        <f>VLOOKUP(DATE(YEAR($N$14),MONTH($N$14)-1,DAY($N$14)),UMCSI!$A:$D,2,)</f>
        <v/>
      </c>
      <c r="P16" s="29">
        <f>N16-O16</f>
        <v/>
      </c>
      <c r="Q16" s="29">
        <f>VLOOKUP(DATE(YEAR($N$14)-1,MONTH($N$14),DAY($N$14)),UMCSI!$A:$D,2,)</f>
        <v/>
      </c>
      <c r="R16" s="30">
        <f>N16-Q16</f>
        <v/>
      </c>
    </row>
    <row r="17" ht="19.5" customHeight="1">
      <c r="B17" s="27" t="inlineStr">
        <is>
          <t>https://fred.stlouisfed.org/series/GDPC1</t>
        </is>
      </c>
      <c r="G17" s="54" t="inlineStr">
        <is>
          <t>Real Gross Domestic Product</t>
        </is>
      </c>
      <c r="M17" s="38" t="inlineStr">
        <is>
          <t>Current Index</t>
        </is>
      </c>
      <c r="N17" s="31">
        <f>VLOOKUP(N14,UMCSI!A:D,3,)</f>
        <v/>
      </c>
      <c r="O17" s="16">
        <f>VLOOKUP(DATE(YEAR($N$14),MONTH($N$14)-1,DAY($N$14)),UMCSI!$A:$D,3,)</f>
        <v/>
      </c>
      <c r="P17" s="16">
        <f>N17-O17</f>
        <v/>
      </c>
      <c r="Q17" s="16">
        <f>VLOOKUP(DATE(YEAR($N$14)-1,MONTH($N$14),DAY($N$14)),UMCSI!$A:$D,3,)</f>
        <v/>
      </c>
      <c r="R17" s="32">
        <f>N17-Q17</f>
        <v/>
      </c>
    </row>
    <row r="18" ht="19.5" customHeight="1" thickBot="1">
      <c r="B18" s="8" t="n"/>
      <c r="G18" s="54" t="n"/>
      <c r="M18" s="39" t="inlineStr">
        <is>
          <t>Expected Index</t>
        </is>
      </c>
      <c r="N18" s="36">
        <f>VLOOKUP(N14,UMCSI!A:D,4,)</f>
        <v/>
      </c>
      <c r="O18" s="33">
        <f>VLOOKUP(DATE(YEAR($N$14),MONTH($N$14)-1,DAY($N$14)),UMCSI!$A:$D,4,)</f>
        <v/>
      </c>
      <c r="P18" s="33">
        <f>N18-O18</f>
        <v/>
      </c>
      <c r="Q18" s="33">
        <f>VLOOKUP(DATE(YEAR($N$14)-1,MONTH($N$14),DAY($N$14)),UMCSI!$A:$D,4,)</f>
        <v/>
      </c>
      <c r="R18" s="34">
        <f>N18-Q18</f>
        <v/>
      </c>
    </row>
    <row r="21">
      <c r="B21" s="9" t="n"/>
    </row>
    <row r="22" ht="30" customHeight="1">
      <c r="B22" s="56" t="n"/>
    </row>
    <row r="23">
      <c r="B23" s="10" t="n"/>
    </row>
  </sheetData>
  <mergeCells count="15">
    <mergeCell ref="B1:I2"/>
    <mergeCell ref="B3:I3"/>
    <mergeCell ref="B5:I5"/>
    <mergeCell ref="B7:I7"/>
    <mergeCell ref="B8:I8"/>
    <mergeCell ref="G18:I18"/>
    <mergeCell ref="B22:I22"/>
    <mergeCell ref="M10:R10"/>
    <mergeCell ref="B12:F12"/>
    <mergeCell ref="G12:I12"/>
    <mergeCell ref="G14:I14"/>
    <mergeCell ref="G15:I15"/>
    <mergeCell ref="G16:I16"/>
    <mergeCell ref="G17:I17"/>
    <mergeCell ref="B10:I10"/>
  </mergeCells>
  <conditionalFormatting sqref="P16:P18 R16:R18">
    <cfRule type="cellIs" priority="3" operator="lessThan" dxfId="1">
      <formula>0</formula>
    </cfRule>
    <cfRule type="cellIs" priority="4" operator="greaterThan" dxfId="0">
      <formula>0</formula>
    </cfRule>
  </conditionalFormatting>
  <hyperlinks>
    <hyperlink xmlns:r="http://schemas.openxmlformats.org/officeDocument/2006/relationships" ref="B8" r:id="rId1"/>
    <hyperlink xmlns:r="http://schemas.openxmlformats.org/officeDocument/2006/relationships" ref="B14" r:id="rId2"/>
    <hyperlink xmlns:r="http://schemas.openxmlformats.org/officeDocument/2006/relationships" ref="B16" r:id="rId3"/>
    <hyperlink xmlns:r="http://schemas.openxmlformats.org/officeDocument/2006/relationships" ref="B17" r:id="rId4"/>
  </hyperlinks>
  <pageMargins left="0.7" right="0.7" top="0.75" bottom="0.75" header="0.3" footer="0.3"/>
  <drawing xmlns:r="http://schemas.openxmlformats.org/officeDocument/2006/relationships" r:id="rId5"/>
</worksheet>
</file>

<file path=xl/worksheets/sheet2.xml><?xml version="1.0" encoding="utf-8"?>
<worksheet xmlns="http://schemas.openxmlformats.org/spreadsheetml/2006/main">
  <sheetPr>
    <tabColor theme="6"/>
    <outlinePr summaryBelow="1" summaryRight="1"/>
    <pageSetUpPr/>
  </sheetPr>
  <dimension ref="A1:M761"/>
  <sheetViews>
    <sheetView zoomScale="150" zoomScaleNormal="150" workbookViewId="0">
      <pane ySplit="1" topLeftCell="A736" activePane="bottomLeft" state="frozen"/>
      <selection activeCell="H751" sqref="H751"/>
      <selection pane="bottomLeft" activeCell="L765" sqref="L765"/>
    </sheetView>
  </sheetViews>
  <sheetFormatPr baseColWidth="10" defaultRowHeight="15"/>
  <cols>
    <col width="18.83203125" customWidth="1" min="10" max="10"/>
    <col width="16" customWidth="1" min="12" max="12"/>
  </cols>
  <sheetData>
    <row r="1">
      <c r="A1" t="inlineStr">
        <is>
          <t>DATE</t>
        </is>
      </c>
      <c r="B1" t="inlineStr">
        <is>
          <t>LEI</t>
        </is>
      </c>
      <c r="C1" t="inlineStr">
        <is>
          <t>SP500</t>
        </is>
      </c>
      <c r="D1" t="inlineStr">
        <is>
          <t>UMCSI</t>
        </is>
      </c>
      <c r="E1" t="inlineStr">
        <is>
          <t>CURRENT</t>
        </is>
      </c>
      <c r="F1" t="inlineStr">
        <is>
          <t>EXPECTED</t>
        </is>
      </c>
      <c r="G1" t="inlineStr">
        <is>
          <t>GDPC1</t>
        </is>
      </c>
      <c r="H1" t="inlineStr">
        <is>
          <t>GDPQoQ</t>
        </is>
      </c>
      <c r="I1" t="inlineStr">
        <is>
          <t>GDPYoY</t>
        </is>
      </c>
      <c r="J1" t="inlineStr">
        <is>
          <t>GDPQoQ_ANNUALIZED</t>
        </is>
      </c>
      <c r="K1" t="inlineStr">
        <is>
          <t>GDPC1_QoQ</t>
        </is>
      </c>
      <c r="L1" t="inlineStr">
        <is>
          <t>GDPC1_QoQ_ANNUALIZED</t>
        </is>
      </c>
      <c r="M1" t="inlineStr">
        <is>
          <t>GDPC1_YoY</t>
        </is>
      </c>
    </row>
    <row r="2">
      <c r="A2" s="68" t="n">
        <v>17168</v>
      </c>
      <c r="B2" t="n">
        <v/>
      </c>
      <c r="C2" t="n">
        <v/>
      </c>
      <c r="D2" t="n">
        <v/>
      </c>
      <c r="E2" t="n">
        <v/>
      </c>
      <c r="F2" t="n">
        <v/>
      </c>
      <c r="G2" t="n">
        <v>2034.45</v>
      </c>
      <c r="H2" t="n">
        <v/>
      </c>
      <c r="I2" t="n">
        <v/>
      </c>
      <c r="J2" t="n">
        <v/>
      </c>
      <c r="K2" t="n">
        <v/>
      </c>
      <c r="L2" t="n">
        <v/>
      </c>
      <c r="M2" t="n">
        <v/>
      </c>
    </row>
    <row r="3">
      <c r="A3" s="68" t="n">
        <v>17258</v>
      </c>
      <c r="B3" t="n">
        <v/>
      </c>
      <c r="C3" t="n">
        <v/>
      </c>
      <c r="D3" t="n">
        <v/>
      </c>
      <c r="E3" t="n">
        <v/>
      </c>
      <c r="F3" t="n">
        <v/>
      </c>
      <c r="G3" t="n">
        <v>2029.024</v>
      </c>
      <c r="H3" t="n">
        <v>-0.00267419212389807</v>
      </c>
      <c r="I3" t="n">
        <v/>
      </c>
      <c r="J3" t="n">
        <v>-0.01065393711919616</v>
      </c>
      <c r="K3" t="n">
        <v>-0.002667059893337343</v>
      </c>
      <c r="L3" t="n">
        <v>-0.01062563615731604</v>
      </c>
      <c r="M3" t="n">
        <v/>
      </c>
    </row>
    <row r="4">
      <c r="A4" s="68" t="n">
        <v>17349</v>
      </c>
      <c r="B4" t="n">
        <v/>
      </c>
      <c r="C4" t="n">
        <v/>
      </c>
      <c r="D4" t="n">
        <v/>
      </c>
      <c r="E4" t="n">
        <v/>
      </c>
      <c r="F4" t="n">
        <v/>
      </c>
      <c r="G4" t="n">
        <v>2024.834</v>
      </c>
      <c r="H4" t="n">
        <v>-0.002069305434420712</v>
      </c>
      <c r="I4" t="n">
        <v/>
      </c>
      <c r="J4" t="n">
        <v>-0.008251565012731943</v>
      </c>
      <c r="K4" t="n">
        <v>-0.002065032251959478</v>
      </c>
      <c r="L4" t="n">
        <v>-0.00823457806459249</v>
      </c>
      <c r="M4" t="n">
        <v/>
      </c>
    </row>
    <row r="5">
      <c r="A5" s="68" t="n">
        <v>17441</v>
      </c>
      <c r="B5" t="n">
        <v/>
      </c>
      <c r="C5" t="n">
        <v/>
      </c>
      <c r="D5" t="n">
        <v/>
      </c>
      <c r="E5" t="n">
        <v/>
      </c>
      <c r="F5" t="n">
        <v/>
      </c>
      <c r="G5" t="n">
        <v>2056.508</v>
      </c>
      <c r="H5" t="n">
        <v>0.01540183651121209</v>
      </c>
      <c r="I5" t="n">
        <v/>
      </c>
      <c r="J5" t="n">
        <v>0.06304531600724439</v>
      </c>
      <c r="K5" t="n">
        <v>0.01564276380187203</v>
      </c>
      <c r="L5" t="n">
        <v>0.06405460233045623</v>
      </c>
      <c r="M5" t="n">
        <v/>
      </c>
    </row>
    <row r="6">
      <c r="A6" s="68" t="n">
        <v>17533</v>
      </c>
      <c r="B6" t="n">
        <v/>
      </c>
      <c r="C6" t="n">
        <v/>
      </c>
      <c r="D6" t="n">
        <v/>
      </c>
      <c r="E6" t="n">
        <v/>
      </c>
      <c r="F6" t="n">
        <v/>
      </c>
      <c r="G6" t="n">
        <v>2087.442</v>
      </c>
      <c r="H6" t="n">
        <v>0.01481909437483781</v>
      </c>
      <c r="I6" t="n">
        <v>0.02538609455975302</v>
      </c>
      <c r="J6" t="n">
        <v>0.06060707649645702</v>
      </c>
      <c r="K6" t="n">
        <v>0.01504200324044458</v>
      </c>
      <c r="L6" t="n">
        <v>0.06153924905173613</v>
      </c>
      <c r="M6" t="n">
        <v>0.02604733466047333</v>
      </c>
    </row>
    <row r="7">
      <c r="A7" s="68" t="n">
        <v>17624</v>
      </c>
      <c r="B7" t="n">
        <v/>
      </c>
      <c r="C7" t="n">
        <v/>
      </c>
      <c r="D7" t="n">
        <v/>
      </c>
      <c r="E7" t="n">
        <v/>
      </c>
      <c r="F7" t="n">
        <v/>
      </c>
      <c r="G7" t="n">
        <v>2121.899</v>
      </c>
      <c r="H7" t="n">
        <v>0.01623875594455716</v>
      </c>
      <c r="I7" t="n">
        <v>0.04376975529938042</v>
      </c>
      <c r="J7" t="n">
        <v>0.06655440493974774</v>
      </c>
      <c r="K7" t="n">
        <v>0.01650680593760204</v>
      </c>
      <c r="L7" t="n">
        <v>0.06768013659057992</v>
      </c>
      <c r="M7" t="n">
        <v>0.04577323875912755</v>
      </c>
    </row>
    <row r="8">
      <c r="A8" s="68" t="n">
        <v>17715</v>
      </c>
      <c r="B8" t="n">
        <v/>
      </c>
      <c r="C8" t="n">
        <v/>
      </c>
      <c r="D8" t="n">
        <v/>
      </c>
      <c r="E8" t="n">
        <v/>
      </c>
      <c r="F8" t="n">
        <v/>
      </c>
      <c r="G8" t="n">
        <v>2134.056</v>
      </c>
      <c r="H8" t="n">
        <v>0.005696664005068354</v>
      </c>
      <c r="I8" t="n">
        <v>0.0511804751140551</v>
      </c>
      <c r="J8" t="n">
        <v>0.02298210843024795</v>
      </c>
      <c r="K8" t="n">
        <v>0.0057293019130506</v>
      </c>
      <c r="L8" t="n">
        <v>0.02311491038720082</v>
      </c>
      <c r="M8" t="n">
        <v>0.05394121197095662</v>
      </c>
    </row>
    <row r="9">
      <c r="A9" s="68" t="n">
        <v>17807</v>
      </c>
      <c r="B9" t="n">
        <v/>
      </c>
      <c r="C9" t="n">
        <v/>
      </c>
      <c r="D9" t="n">
        <v/>
      </c>
      <c r="E9" t="n">
        <v/>
      </c>
      <c r="F9" t="n">
        <v/>
      </c>
      <c r="G9" t="n">
        <v>2136.44</v>
      </c>
      <c r="H9" t="n">
        <v>0.001115875007021032</v>
      </c>
      <c r="I9" t="n">
        <v>0.0374136413847336</v>
      </c>
      <c r="J9" t="n">
        <v>0.00447097664967</v>
      </c>
      <c r="K9" t="n">
        <v>0.001117121575066453</v>
      </c>
      <c r="L9" t="n">
        <v>0.004475979641999084</v>
      </c>
      <c r="M9" t="n">
        <v>0.03886782837703537</v>
      </c>
    </row>
    <row r="10">
      <c r="A10" s="68" t="n">
        <v>17899</v>
      </c>
      <c r="B10" t="n">
        <v/>
      </c>
      <c r="C10" t="n">
        <v/>
      </c>
      <c r="D10" t="n">
        <v/>
      </c>
      <c r="E10" t="n">
        <v/>
      </c>
      <c r="F10" t="n">
        <v/>
      </c>
      <c r="G10" t="n">
        <v>2107.001</v>
      </c>
      <c r="H10" t="n">
        <v>-0.01397199147034095</v>
      </c>
      <c r="I10" t="n">
        <v>0.00928286222930136</v>
      </c>
      <c r="J10" t="n">
        <v>-0.0547275387536228</v>
      </c>
      <c r="K10" t="n">
        <v>-0.01377946490423314</v>
      </c>
      <c r="L10" t="n">
        <v>-0.05398904707599994</v>
      </c>
      <c r="M10" t="n">
        <v>0.009369841174030318</v>
      </c>
    </row>
    <row r="11">
      <c r="A11" s="68" t="n">
        <v>17989</v>
      </c>
      <c r="B11" t="n">
        <v/>
      </c>
      <c r="C11" t="n">
        <v/>
      </c>
      <c r="D11" t="n">
        <v/>
      </c>
      <c r="E11" t="n">
        <v/>
      </c>
      <c r="F11" t="n">
        <v/>
      </c>
      <c r="G11" t="n">
        <v>2099.814</v>
      </c>
      <c r="H11" t="n">
        <v>-0.003422684104401796</v>
      </c>
      <c r="I11" t="n">
        <v>-0.01051759822536665</v>
      </c>
      <c r="J11" t="n">
        <v>-0.01362060806528043</v>
      </c>
      <c r="K11" t="n">
        <v>-0.003411009297100643</v>
      </c>
      <c r="L11" t="n">
        <v>-0.01357438589464066</v>
      </c>
      <c r="M11" t="n">
        <v>-0.01040812969891594</v>
      </c>
    </row>
    <row r="12">
      <c r="A12" s="68" t="n">
        <v>18080</v>
      </c>
      <c r="B12" t="n">
        <v/>
      </c>
      <c r="C12" t="n">
        <v/>
      </c>
      <c r="D12" t="n">
        <v/>
      </c>
      <c r="E12" t="n">
        <v/>
      </c>
      <c r="F12" t="n">
        <v/>
      </c>
      <c r="G12" t="n">
        <v>2121.493</v>
      </c>
      <c r="H12" t="n">
        <v>0.01021874689192945</v>
      </c>
      <c r="I12" t="n">
        <v>-0.00592177301551318</v>
      </c>
      <c r="J12" t="n">
        <v>0.04150580348024735</v>
      </c>
      <c r="K12" t="n">
        <v>0.010324247766707</v>
      </c>
      <c r="L12" t="n">
        <v>0.04194094483004052</v>
      </c>
      <c r="M12" t="n">
        <v>-0.005886912058540217</v>
      </c>
    </row>
    <row r="13">
      <c r="A13" s="68" t="n">
        <v>18172</v>
      </c>
      <c r="B13" t="n">
        <v/>
      </c>
      <c r="C13" t="n">
        <v/>
      </c>
      <c r="D13" t="n">
        <v/>
      </c>
      <c r="E13" t="n">
        <v/>
      </c>
      <c r="F13" t="n">
        <v/>
      </c>
      <c r="G13" t="n">
        <v>2103.688</v>
      </c>
      <c r="H13" t="n">
        <v>-0.008463707545985829</v>
      </c>
      <c r="I13" t="n">
        <v>-0.01556884861253187</v>
      </c>
      <c r="J13" t="n">
        <v>-0.0334274441485195</v>
      </c>
      <c r="K13" t="n">
        <v>-0.008392674404299159</v>
      </c>
      <c r="L13" t="n">
        <v>-0.03315043537256779</v>
      </c>
      <c r="M13" t="n">
        <v>-0.01533017543202709</v>
      </c>
    </row>
    <row r="14">
      <c r="A14" s="68" t="n">
        <v>18264</v>
      </c>
      <c r="B14" t="n">
        <v/>
      </c>
      <c r="C14" t="n">
        <v/>
      </c>
      <c r="D14" t="n">
        <v/>
      </c>
      <c r="E14" t="n">
        <v/>
      </c>
      <c r="F14" t="n">
        <v/>
      </c>
      <c r="G14" t="n">
        <v>2186.365</v>
      </c>
      <c r="H14" t="n">
        <v>0.03781482048971681</v>
      </c>
      <c r="I14" t="n">
        <v>0.03629951997950918</v>
      </c>
      <c r="J14" t="n">
        <v>0.1600573854592884</v>
      </c>
      <c r="K14" t="n">
        <v>0.03930097999323078</v>
      </c>
      <c r="L14" t="n">
        <v>0.1667165198223277</v>
      </c>
      <c r="M14" t="n">
        <v>0.03766680699249766</v>
      </c>
    </row>
    <row r="15">
      <c r="A15" s="68" t="n">
        <v>18354</v>
      </c>
      <c r="B15" t="n">
        <v/>
      </c>
      <c r="C15" t="n">
        <v/>
      </c>
      <c r="D15" t="n">
        <v/>
      </c>
      <c r="E15" t="n">
        <v/>
      </c>
      <c r="F15" t="n">
        <v/>
      </c>
      <c r="G15" t="n">
        <v>2253.045</v>
      </c>
      <c r="H15" t="n">
        <v>0.02959550297486304</v>
      </c>
      <c r="I15" t="n">
        <v>0.06801062561999437</v>
      </c>
      <c r="J15" t="n">
        <v>0.1237418319372261</v>
      </c>
      <c r="K15" t="n">
        <v>0.03049810987643888</v>
      </c>
      <c r="L15" t="n">
        <v>0.1276875822943975</v>
      </c>
      <c r="M15" t="n">
        <v>0.0729736062336951</v>
      </c>
    </row>
    <row r="16">
      <c r="A16" s="68" t="n">
        <v>18445</v>
      </c>
      <c r="B16" t="n">
        <v/>
      </c>
      <c r="C16" t="n">
        <v/>
      </c>
      <c r="D16" t="n">
        <v/>
      </c>
      <c r="E16" t="n">
        <v/>
      </c>
      <c r="F16" t="n">
        <v/>
      </c>
      <c r="G16" t="n">
        <v>2340.112</v>
      </c>
      <c r="H16" t="n">
        <v>0.03720633884190159</v>
      </c>
      <c r="I16" t="n">
        <v>0.09342245157496741</v>
      </c>
      <c r="J16" t="n">
        <v>0.1573391622597142</v>
      </c>
      <c r="K16" t="n">
        <v>0.03864414603347914</v>
      </c>
      <c r="L16" t="n">
        <v>0.1637698744608329</v>
      </c>
      <c r="M16" t="n">
        <v>0.1030495976182812</v>
      </c>
    </row>
    <row r="17">
      <c r="A17" s="68" t="n">
        <v>18537</v>
      </c>
      <c r="B17" t="n">
        <v/>
      </c>
      <c r="C17" t="n">
        <v/>
      </c>
      <c r="D17" t="n">
        <v/>
      </c>
      <c r="E17" t="n">
        <v/>
      </c>
      <c r="F17" t="n">
        <v/>
      </c>
      <c r="G17" t="n">
        <v>2384.92</v>
      </c>
      <c r="H17" t="n">
        <v>0.01878805159082904</v>
      </c>
      <c r="I17" t="n">
        <v>0.1179209365513308</v>
      </c>
      <c r="J17" t="n">
        <v>0.07729680430500907</v>
      </c>
      <c r="K17" t="n">
        <v>0.01914780147275002</v>
      </c>
      <c r="L17" t="n">
        <v>0.07881925139170076</v>
      </c>
      <c r="M17" t="n">
        <v>0.1336852232840611</v>
      </c>
    </row>
    <row r="18">
      <c r="A18" s="68" t="n">
        <v>18629</v>
      </c>
      <c r="B18" t="n">
        <v/>
      </c>
      <c r="C18" t="n">
        <v/>
      </c>
      <c r="D18" t="n">
        <v/>
      </c>
      <c r="E18" t="n">
        <v/>
      </c>
      <c r="F18" t="n">
        <v/>
      </c>
      <c r="G18" t="n">
        <v>2417.311</v>
      </c>
      <c r="H18" t="n">
        <v>0.01339959980325249</v>
      </c>
      <c r="I18" t="n">
        <v>0.09553838955765326</v>
      </c>
      <c r="J18" t="n">
        <v>0.05468535065399016</v>
      </c>
      <c r="K18" t="n">
        <v>0.01358158764235281</v>
      </c>
      <c r="L18" t="n">
        <v>0.05544316274475469</v>
      </c>
      <c r="M18" t="n">
        <v>0.1056301212286148</v>
      </c>
    </row>
    <row r="19">
      <c r="A19" s="68" t="n">
        <v>18660</v>
      </c>
      <c r="B19" t="n">
        <v/>
      </c>
      <c r="C19" t="n">
        <v/>
      </c>
      <c r="D19" t="n">
        <v/>
      </c>
      <c r="E19" t="n">
        <v>67.7</v>
      </c>
      <c r="F19" t="n">
        <v/>
      </c>
      <c r="G19" t="n">
        <v/>
      </c>
      <c r="H19" t="n">
        <v/>
      </c>
      <c r="I19" t="n">
        <v/>
      </c>
      <c r="J19" t="n">
        <v/>
      </c>
      <c r="K19" t="n">
        <v/>
      </c>
      <c r="L19" t="n">
        <v/>
      </c>
      <c r="M19" t="n">
        <v/>
      </c>
    </row>
    <row r="20">
      <c r="A20" s="68" t="n">
        <v>18719</v>
      </c>
      <c r="B20" t="n">
        <v/>
      </c>
      <c r="C20" t="n">
        <v/>
      </c>
      <c r="D20" t="n">
        <v/>
      </c>
      <c r="E20" t="n">
        <v/>
      </c>
      <c r="F20" t="n">
        <v/>
      </c>
      <c r="G20" t="n">
        <v>2459.196</v>
      </c>
      <c r="H20" t="n">
        <v>0.01703198931683354</v>
      </c>
      <c r="I20" t="n">
        <v>0.08382861715780274</v>
      </c>
      <c r="J20" t="n">
        <v>0.06988833652713566</v>
      </c>
      <c r="K20" t="n">
        <v>0.01732710437341317</v>
      </c>
      <c r="L20" t="n">
        <v>0.07113068727204253</v>
      </c>
      <c r="M20" t="n">
        <v>0.09149883823891659</v>
      </c>
    </row>
    <row r="21">
      <c r="A21" s="68" t="n">
        <v>18749</v>
      </c>
      <c r="B21" t="n">
        <v/>
      </c>
      <c r="C21" t="n">
        <v/>
      </c>
      <c r="D21" t="n">
        <v/>
      </c>
      <c r="E21" t="n">
        <v>60.2</v>
      </c>
      <c r="F21" t="n">
        <v/>
      </c>
      <c r="G21" t="n">
        <v/>
      </c>
      <c r="H21" t="n">
        <v/>
      </c>
      <c r="I21" t="n">
        <v/>
      </c>
      <c r="J21" t="n">
        <v/>
      </c>
      <c r="K21" t="n">
        <v/>
      </c>
      <c r="L21" t="n">
        <v/>
      </c>
      <c r="M21" t="n">
        <v/>
      </c>
    </row>
    <row r="22">
      <c r="A22" s="68" t="n">
        <v>18810</v>
      </c>
      <c r="B22" t="n">
        <v/>
      </c>
      <c r="C22" t="n">
        <v/>
      </c>
      <c r="D22" t="n">
        <v/>
      </c>
      <c r="E22" t="n">
        <v/>
      </c>
      <c r="F22" t="n">
        <v/>
      </c>
      <c r="G22" t="n">
        <v>2509.88</v>
      </c>
      <c r="H22" t="n">
        <v>0.02019379412561564</v>
      </c>
      <c r="I22" t="n">
        <v>0.06763988716592029</v>
      </c>
      <c r="J22" t="n">
        <v>0.08325501797611423</v>
      </c>
      <c r="K22" t="n">
        <v>0.02060998797981137</v>
      </c>
      <c r="L22" t="n">
        <v>0.08502378012798339</v>
      </c>
      <c r="M22" t="n">
        <v>0.07254695501753763</v>
      </c>
    </row>
    <row r="23">
      <c r="A23" s="68" t="n">
        <v>18902</v>
      </c>
      <c r="B23" t="n">
        <v/>
      </c>
      <c r="C23" t="n">
        <v/>
      </c>
      <c r="D23" t="n">
        <v/>
      </c>
      <c r="E23" t="n">
        <v/>
      </c>
      <c r="F23" t="n">
        <v/>
      </c>
      <c r="G23" t="n">
        <v>2515.408</v>
      </c>
      <c r="H23" t="n">
        <v>0.002197655410175921</v>
      </c>
      <c r="I23" t="n">
        <v>0.05187548103528328</v>
      </c>
      <c r="J23" t="n">
        <v>0.008819642255811999</v>
      </c>
      <c r="K23" t="n">
        <v>0.002202495736847894</v>
      </c>
      <c r="L23" t="n">
        <v>0.008839131632865316</v>
      </c>
      <c r="M23" t="n">
        <v>0.05471378494876131</v>
      </c>
    </row>
    <row r="24">
      <c r="A24" s="68" t="n">
        <v>18933</v>
      </c>
      <c r="B24" t="n">
        <v/>
      </c>
      <c r="C24" t="n">
        <v/>
      </c>
      <c r="D24" t="n">
        <v/>
      </c>
      <c r="E24" t="n">
        <v>63.6</v>
      </c>
      <c r="F24" t="n">
        <v/>
      </c>
      <c r="G24" t="n">
        <v/>
      </c>
      <c r="H24" t="n">
        <v/>
      </c>
      <c r="I24" t="n">
        <v/>
      </c>
      <c r="J24" t="n">
        <v/>
      </c>
      <c r="K24" t="n">
        <v/>
      </c>
      <c r="L24" t="n">
        <v/>
      </c>
      <c r="M24" t="n">
        <v/>
      </c>
    </row>
    <row r="25">
      <c r="A25" s="68" t="n">
        <v>18994</v>
      </c>
      <c r="B25" t="n">
        <v/>
      </c>
      <c r="C25" t="n">
        <v/>
      </c>
      <c r="D25" t="n">
        <v/>
      </c>
      <c r="E25" t="n">
        <v/>
      </c>
      <c r="F25" t="n">
        <v/>
      </c>
      <c r="G25" t="n">
        <v>2542.286</v>
      </c>
      <c r="H25" t="n">
        <v>0.01057237462661564</v>
      </c>
      <c r="I25" t="n">
        <v>0.04915851324359254</v>
      </c>
      <c r="J25" t="n">
        <v>0.04296488854475555</v>
      </c>
      <c r="K25" t="n">
        <v>0.01068534408732109</v>
      </c>
      <c r="L25" t="n">
        <v>0.04343132891926405</v>
      </c>
      <c r="M25" t="n">
        <v>0.05170000881144375</v>
      </c>
    </row>
    <row r="26">
      <c r="A26" s="68" t="n">
        <v>19025</v>
      </c>
      <c r="B26" t="n">
        <v/>
      </c>
      <c r="C26" t="n">
        <v/>
      </c>
      <c r="D26" t="n">
        <v/>
      </c>
      <c r="E26" t="n">
        <v>66.2</v>
      </c>
      <c r="F26" t="n">
        <v/>
      </c>
      <c r="G26" t="n">
        <v/>
      </c>
      <c r="H26" t="n">
        <v/>
      </c>
      <c r="I26" t="n">
        <v/>
      </c>
      <c r="J26" t="n">
        <v/>
      </c>
      <c r="K26" t="n">
        <v/>
      </c>
      <c r="L26" t="n">
        <v/>
      </c>
      <c r="M26" t="n">
        <v/>
      </c>
    </row>
    <row r="27">
      <c r="A27" s="68" t="n">
        <v>19085</v>
      </c>
      <c r="B27" t="n">
        <v/>
      </c>
      <c r="C27" t="n">
        <v/>
      </c>
      <c r="D27" t="n">
        <v/>
      </c>
      <c r="E27" t="n">
        <v/>
      </c>
      <c r="F27" t="n">
        <v/>
      </c>
      <c r="G27" t="n">
        <v>2547.762</v>
      </c>
      <c r="H27" t="n">
        <v>0.00214933733998706</v>
      </c>
      <c r="I27" t="n">
        <v>0.03476227371316483</v>
      </c>
      <c r="J27" t="n">
        <v>0.008625107004049282</v>
      </c>
      <c r="K27" t="n">
        <v>0.002153966941563661</v>
      </c>
      <c r="L27" t="n">
        <v>0.008643745203244402</v>
      </c>
      <c r="M27" t="n">
        <v>0.03601420952213661</v>
      </c>
    </row>
    <row r="28">
      <c r="A28" s="68" t="n">
        <v>19115</v>
      </c>
      <c r="B28" t="n">
        <v/>
      </c>
      <c r="C28" t="n">
        <v/>
      </c>
      <c r="D28" t="n">
        <v/>
      </c>
      <c r="E28" t="n">
        <v>70.40000000000001</v>
      </c>
      <c r="F28" t="n">
        <v/>
      </c>
      <c r="G28" t="n">
        <v/>
      </c>
      <c r="H28" t="n">
        <v/>
      </c>
      <c r="I28" t="n">
        <v/>
      </c>
      <c r="J28" t="n">
        <v/>
      </c>
      <c r="K28" t="n">
        <v/>
      </c>
      <c r="L28" t="n">
        <v/>
      </c>
      <c r="M28" t="n">
        <v/>
      </c>
    </row>
    <row r="29">
      <c r="A29" s="68" t="n">
        <v>19176</v>
      </c>
      <c r="B29" t="n">
        <v/>
      </c>
      <c r="C29" t="n">
        <v/>
      </c>
      <c r="D29" t="n">
        <v/>
      </c>
      <c r="E29" t="n">
        <v/>
      </c>
      <c r="F29" t="n">
        <v/>
      </c>
      <c r="G29" t="n">
        <v>2566.153</v>
      </c>
      <c r="H29" t="n">
        <v>0.007166758957864018</v>
      </c>
      <c r="I29" t="n">
        <v>0.0219289340892767</v>
      </c>
      <c r="J29" t="n">
        <v>0.02897668548205168</v>
      </c>
      <c r="K29" t="n">
        <v>0.007218492151150547</v>
      </c>
      <c r="L29" t="n">
        <v>0.02918811561848789</v>
      </c>
      <c r="M29" t="n">
        <v>0.02242059381324991</v>
      </c>
    </row>
    <row r="30">
      <c r="A30" s="68" t="n">
        <v>19268</v>
      </c>
      <c r="B30" t="n">
        <v/>
      </c>
      <c r="C30" t="n">
        <v/>
      </c>
      <c r="D30" t="n">
        <v/>
      </c>
      <c r="E30" t="n">
        <v/>
      </c>
      <c r="F30" t="n">
        <v/>
      </c>
      <c r="G30" t="n">
        <v>2650.431</v>
      </c>
      <c r="H30" t="n">
        <v>0.03179784721805633</v>
      </c>
      <c r="I30" t="n">
        <v>0.05094378989681306</v>
      </c>
      <c r="J30" t="n">
        <v>0.1333876333339139</v>
      </c>
      <c r="K30" t="n">
        <v>0.03284215711222217</v>
      </c>
      <c r="L30" t="n">
        <v>0.1379831307047703</v>
      </c>
      <c r="M30" t="n">
        <v>0.05367836947326245</v>
      </c>
    </row>
    <row r="31">
      <c r="A31" s="68" t="n">
        <v>19299</v>
      </c>
      <c r="B31" t="n">
        <v/>
      </c>
      <c r="C31" t="n">
        <v/>
      </c>
      <c r="D31" t="n">
        <v>86.2</v>
      </c>
      <c r="E31" t="n">
        <v>73.40000000000001</v>
      </c>
      <c r="F31" t="n">
        <v>92.40000000000001</v>
      </c>
      <c r="G31" t="n">
        <v/>
      </c>
      <c r="H31" t="n">
        <v/>
      </c>
      <c r="I31" t="n">
        <v/>
      </c>
      <c r="J31" t="n">
        <v/>
      </c>
      <c r="K31" t="n">
        <v/>
      </c>
      <c r="L31" t="n">
        <v/>
      </c>
      <c r="M31" t="n">
        <v/>
      </c>
    </row>
    <row r="32">
      <c r="A32" s="68" t="n">
        <v>19360</v>
      </c>
      <c r="B32" t="n">
        <v/>
      </c>
      <c r="C32" t="n">
        <v/>
      </c>
      <c r="D32" t="n">
        <v/>
      </c>
      <c r="E32" t="n">
        <v/>
      </c>
      <c r="F32" t="n">
        <v/>
      </c>
      <c r="G32" t="n">
        <v>2699.699</v>
      </c>
      <c r="H32" t="n">
        <v>0.01824944188222466</v>
      </c>
      <c r="I32" t="n">
        <v>0.05830761133000383</v>
      </c>
      <c r="J32" t="n">
        <v>0.07502044255194495</v>
      </c>
      <c r="K32" t="n">
        <v>0.01858867482307595</v>
      </c>
      <c r="L32" t="n">
        <v>0.07645374411537942</v>
      </c>
      <c r="M32" t="n">
        <v>0.06191789594089729</v>
      </c>
    </row>
    <row r="33">
      <c r="A33" s="68" t="n">
        <v>19391</v>
      </c>
      <c r="B33" t="n">
        <v/>
      </c>
      <c r="C33" t="n">
        <v/>
      </c>
      <c r="D33" t="n">
        <v>90.7</v>
      </c>
      <c r="E33" t="n">
        <v>78.7</v>
      </c>
      <c r="F33" t="n">
        <v>95.5</v>
      </c>
      <c r="G33" t="n">
        <v/>
      </c>
      <c r="H33" t="n">
        <v/>
      </c>
      <c r="I33" t="n">
        <v/>
      </c>
      <c r="J33" t="n">
        <v/>
      </c>
      <c r="K33" t="n">
        <v/>
      </c>
      <c r="L33" t="n">
        <v/>
      </c>
      <c r="M33" t="n">
        <v/>
      </c>
    </row>
    <row r="34">
      <c r="A34" s="68" t="n">
        <v>19450</v>
      </c>
      <c r="B34" t="n">
        <v/>
      </c>
      <c r="C34" t="n">
        <v/>
      </c>
      <c r="D34" t="n">
        <v/>
      </c>
      <c r="E34" t="n">
        <v/>
      </c>
      <c r="F34" t="n">
        <v/>
      </c>
      <c r="G34" t="n">
        <v>2720.566</v>
      </c>
      <c r="H34" t="n">
        <v>0.007670095119912451</v>
      </c>
      <c r="I34" t="n">
        <v>0.06351766507410578</v>
      </c>
      <c r="J34" t="n">
        <v>0.03103517103335451</v>
      </c>
      <c r="K34" t="n">
        <v>0.007729380201274192</v>
      </c>
      <c r="L34" t="n">
        <v>0.03127783139942197</v>
      </c>
      <c r="M34" t="n">
        <v>0.0678258016251124</v>
      </c>
    </row>
    <row r="35">
      <c r="A35" s="68" t="n">
        <v>19541</v>
      </c>
      <c r="B35" t="n">
        <v/>
      </c>
      <c r="C35" t="n">
        <v/>
      </c>
      <c r="D35" t="n">
        <v/>
      </c>
      <c r="E35" t="n">
        <v/>
      </c>
      <c r="F35" t="n">
        <v/>
      </c>
      <c r="G35" t="n">
        <v>2705.258</v>
      </c>
      <c r="H35" t="n">
        <v>-0.005658610010579396</v>
      </c>
      <c r="I35" t="n">
        <v>0.05142023422534931</v>
      </c>
      <c r="J35" t="n">
        <v>-0.02244304456530033</v>
      </c>
      <c r="K35" t="n">
        <v>-0.005626770311766005</v>
      </c>
      <c r="L35" t="n">
        <v>-0.02231782956626527</v>
      </c>
      <c r="M35" t="n">
        <v>0.05420760180706296</v>
      </c>
    </row>
    <row r="36">
      <c r="A36" s="68" t="n">
        <v>19572</v>
      </c>
      <c r="B36" t="n">
        <v/>
      </c>
      <c r="C36" t="n">
        <v/>
      </c>
      <c r="D36" t="n">
        <v>80.8</v>
      </c>
      <c r="E36" t="n">
        <v/>
      </c>
      <c r="F36" t="n">
        <v/>
      </c>
      <c r="G36" t="n">
        <v/>
      </c>
      <c r="H36" t="n">
        <v/>
      </c>
      <c r="I36" t="n">
        <v/>
      </c>
      <c r="J36" t="n">
        <v/>
      </c>
      <c r="K36" t="n">
        <v/>
      </c>
      <c r="L36" t="n">
        <v/>
      </c>
      <c r="M36" t="n">
        <v/>
      </c>
    </row>
    <row r="37">
      <c r="A37" s="68" t="n">
        <v>19633</v>
      </c>
      <c r="B37" t="n">
        <v/>
      </c>
      <c r="C37" t="n">
        <v/>
      </c>
      <c r="D37" t="n">
        <v/>
      </c>
      <c r="E37" t="n">
        <v/>
      </c>
      <c r="F37" t="n">
        <v/>
      </c>
      <c r="G37" t="n">
        <v>2664.302</v>
      </c>
      <c r="H37" t="n">
        <v>-0.01537213123737462</v>
      </c>
      <c r="I37" t="n">
        <v>0.005206241634769667</v>
      </c>
      <c r="J37" t="n">
        <v>-0.06008518448516353</v>
      </c>
      <c r="K37" t="n">
        <v>-0.01513940629692239</v>
      </c>
      <c r="L37" t="n">
        <v>-0.05919624282214508</v>
      </c>
      <c r="M37" t="n">
        <v>0.005233488440182029</v>
      </c>
    </row>
    <row r="38">
      <c r="A38" s="68" t="n">
        <v>19664</v>
      </c>
      <c r="B38" t="n">
        <v/>
      </c>
      <c r="C38" t="n">
        <v/>
      </c>
      <c r="D38" t="n">
        <v>80.7</v>
      </c>
      <c r="E38" t="n">
        <v>73.40000000000001</v>
      </c>
      <c r="F38" t="n">
        <v>83.90000000000001</v>
      </c>
      <c r="G38" t="n">
        <v/>
      </c>
      <c r="H38" t="n">
        <v/>
      </c>
      <c r="I38" t="n">
        <v/>
      </c>
      <c r="J38" t="n">
        <v/>
      </c>
      <c r="K38" t="n">
        <v/>
      </c>
      <c r="L38" t="n">
        <v/>
      </c>
      <c r="M38" t="n">
        <v/>
      </c>
    </row>
    <row r="39">
      <c r="A39" s="68" t="n">
        <v>19725</v>
      </c>
      <c r="B39" t="n">
        <v/>
      </c>
      <c r="C39" t="n">
        <v/>
      </c>
      <c r="D39" t="n">
        <v/>
      </c>
      <c r="E39" t="n">
        <v/>
      </c>
      <c r="F39" t="n">
        <v/>
      </c>
      <c r="G39" t="n">
        <v>2651.566</v>
      </c>
      <c r="H39" t="n">
        <v>-0.004803199316932081</v>
      </c>
      <c r="I39" t="n">
        <v>-0.01815266902653008</v>
      </c>
      <c r="J39" t="n">
        <v>-0.01907481564653779</v>
      </c>
      <c r="K39" t="n">
        <v>-0.004780238876824148</v>
      </c>
      <c r="L39" t="n">
        <v>-0.01898428780973238</v>
      </c>
      <c r="M39" t="n">
        <v>-0.01782902464311772</v>
      </c>
    </row>
    <row r="40">
      <c r="A40" s="68" t="n">
        <v>19756</v>
      </c>
      <c r="B40" t="n">
        <v/>
      </c>
      <c r="C40" t="n">
        <v/>
      </c>
      <c r="D40" t="n">
        <v>82</v>
      </c>
      <c r="E40" t="n">
        <v>75.7</v>
      </c>
      <c r="F40" t="n">
        <v>85.3</v>
      </c>
      <c r="G40" t="n">
        <v/>
      </c>
      <c r="H40" t="n">
        <v/>
      </c>
      <c r="I40" t="n">
        <v/>
      </c>
      <c r="J40" t="n">
        <v/>
      </c>
      <c r="K40" t="n">
        <v/>
      </c>
      <c r="L40" t="n">
        <v/>
      </c>
      <c r="M40" t="n">
        <v/>
      </c>
    </row>
    <row r="41">
      <c r="A41" s="68" t="n">
        <v>19815</v>
      </c>
      <c r="B41" t="n">
        <v/>
      </c>
      <c r="C41" t="n">
        <v/>
      </c>
      <c r="D41" t="n">
        <v/>
      </c>
      <c r="E41" t="n">
        <v/>
      </c>
      <c r="F41" t="n">
        <v/>
      </c>
      <c r="G41" t="n">
        <v>2654.456</v>
      </c>
      <c r="H41" t="n">
        <v>0.001088735319025943</v>
      </c>
      <c r="I41" t="n">
        <v>-0.02490529132899534</v>
      </c>
      <c r="J41" t="n">
        <v>0.004362058507183963</v>
      </c>
      <c r="K41" t="n">
        <v>0.001089921955553936</v>
      </c>
      <c r="L41" t="n">
        <v>0.004366820581845898</v>
      </c>
      <c r="M41" t="n">
        <v>-0.02430009049587464</v>
      </c>
    </row>
    <row r="42">
      <c r="A42" s="68" t="n">
        <v>19845</v>
      </c>
      <c r="B42" t="n">
        <v/>
      </c>
      <c r="C42" t="n">
        <v/>
      </c>
      <c r="D42" t="n">
        <v>82.90000000000001</v>
      </c>
      <c r="E42" t="n">
        <v>81.40000000000001</v>
      </c>
      <c r="F42" t="n">
        <v>86.09999999999999</v>
      </c>
      <c r="G42" t="n">
        <v/>
      </c>
      <c r="H42" t="n">
        <v/>
      </c>
      <c r="I42" t="n">
        <v/>
      </c>
      <c r="J42" t="n">
        <v/>
      </c>
      <c r="K42" t="n">
        <v/>
      </c>
      <c r="L42" t="n">
        <v/>
      </c>
      <c r="M42" t="n">
        <v/>
      </c>
    </row>
    <row r="43">
      <c r="A43" s="68" t="n">
        <v>19906</v>
      </c>
      <c r="B43" t="n">
        <v/>
      </c>
      <c r="C43" t="n">
        <v/>
      </c>
      <c r="D43" t="n">
        <v/>
      </c>
      <c r="E43" t="n">
        <v/>
      </c>
      <c r="F43" t="n">
        <v/>
      </c>
      <c r="G43" t="n">
        <v>2684.434</v>
      </c>
      <c r="H43" t="n">
        <v>0.01116734477360966</v>
      </c>
      <c r="I43" t="n">
        <v>-0.007757314949817956</v>
      </c>
      <c r="J43" t="n">
        <v>0.04542322288259681</v>
      </c>
      <c r="K43" t="n">
        <v>0.01129346276600556</v>
      </c>
      <c r="L43" t="n">
        <v>0.04594488271546449</v>
      </c>
      <c r="M43" t="n">
        <v>-0.007697602225000209</v>
      </c>
    </row>
    <row r="44">
      <c r="A44" s="68" t="n">
        <v>19998</v>
      </c>
      <c r="B44" t="n">
        <v/>
      </c>
      <c r="C44" t="n">
        <v/>
      </c>
      <c r="D44" t="n">
        <v/>
      </c>
      <c r="E44" t="n">
        <v/>
      </c>
      <c r="F44" t="n">
        <v/>
      </c>
      <c r="G44" t="n">
        <v>2736.96</v>
      </c>
      <c r="H44" t="n">
        <v>0.01919136560271244</v>
      </c>
      <c r="I44" t="n">
        <v>0.02654697182275222</v>
      </c>
      <c r="J44" t="n">
        <v>0.07900372251755705</v>
      </c>
      <c r="K44" t="n">
        <v>0.01956688076518173</v>
      </c>
      <c r="L44" t="n">
        <v>0.08059481230675947</v>
      </c>
      <c r="M44" t="n">
        <v>0.0272709324993938</v>
      </c>
    </row>
    <row r="45">
      <c r="A45" s="68" t="n">
        <v>20029</v>
      </c>
      <c r="B45" t="n">
        <v/>
      </c>
      <c r="C45" t="n">
        <v/>
      </c>
      <c r="D45" t="n">
        <v>87</v>
      </c>
      <c r="E45" t="n">
        <v>83.2</v>
      </c>
      <c r="F45" t="n">
        <v>89.7</v>
      </c>
      <c r="G45" t="n">
        <v/>
      </c>
      <c r="H45" t="n">
        <v/>
      </c>
      <c r="I45" t="n">
        <v/>
      </c>
      <c r="J45" t="n">
        <v/>
      </c>
      <c r="K45" t="n">
        <v/>
      </c>
      <c r="L45" t="n">
        <v/>
      </c>
      <c r="M45" t="n">
        <v/>
      </c>
    </row>
    <row r="46">
      <c r="A46" s="68" t="n">
        <v>20090</v>
      </c>
      <c r="B46" t="n">
        <v/>
      </c>
      <c r="C46" t="n">
        <v/>
      </c>
      <c r="D46" t="n">
        <v/>
      </c>
      <c r="E46" t="n">
        <v/>
      </c>
      <c r="F46" t="n">
        <v/>
      </c>
      <c r="G46" t="n">
        <v>2815.134</v>
      </c>
      <c r="H46" t="n">
        <v>0.0277691932249051</v>
      </c>
      <c r="I46" t="n">
        <v>0.05810309562528825</v>
      </c>
      <c r="J46" t="n">
        <v>0.1157897905123197</v>
      </c>
      <c r="K46" t="n">
        <v>0.0285623465450719</v>
      </c>
      <c r="L46" t="n">
        <v>0.1192381030854879</v>
      </c>
      <c r="M46" t="n">
        <v>0.06168731987059731</v>
      </c>
    </row>
    <row r="47">
      <c r="A47" s="68" t="n">
        <v>20121</v>
      </c>
      <c r="B47" t="n">
        <v/>
      </c>
      <c r="C47" t="n">
        <v/>
      </c>
      <c r="D47" t="n">
        <v>95.90000000000001</v>
      </c>
      <c r="E47" t="n">
        <v/>
      </c>
      <c r="F47" t="n">
        <v/>
      </c>
      <c r="G47" t="n">
        <v/>
      </c>
      <c r="H47" t="n">
        <v/>
      </c>
      <c r="I47" t="n">
        <v/>
      </c>
      <c r="J47" t="n">
        <v/>
      </c>
      <c r="K47" t="n">
        <v/>
      </c>
      <c r="L47" t="n">
        <v/>
      </c>
      <c r="M47" t="n">
        <v/>
      </c>
    </row>
    <row r="48">
      <c r="A48" s="68" t="n">
        <v>20180</v>
      </c>
      <c r="B48" t="n">
        <v/>
      </c>
      <c r="C48" t="n">
        <v/>
      </c>
      <c r="D48" t="n">
        <v/>
      </c>
      <c r="E48" t="n">
        <v/>
      </c>
      <c r="F48" t="n">
        <v/>
      </c>
      <c r="G48" t="n">
        <v>2860.942</v>
      </c>
      <c r="H48" t="n">
        <v>0.0160115094958234</v>
      </c>
      <c r="I48" t="n">
        <v>0.07217413005926016</v>
      </c>
      <c r="J48" t="n">
        <v>0.06560073370868857</v>
      </c>
      <c r="K48" t="n">
        <v>0.016272049572063</v>
      </c>
      <c r="L48" t="n">
        <v>0.06669418000707128</v>
      </c>
      <c r="M48" t="n">
        <v>0.07778844328178726</v>
      </c>
    </row>
    <row r="49">
      <c r="A49" s="68" t="n">
        <v>20210</v>
      </c>
      <c r="B49" t="n">
        <v/>
      </c>
      <c r="C49" t="n">
        <v/>
      </c>
      <c r="D49" t="n">
        <v>99.09999999999999</v>
      </c>
      <c r="E49" t="n">
        <v>95</v>
      </c>
      <c r="F49" t="n">
        <v>99.90000000000001</v>
      </c>
      <c r="G49" t="n">
        <v/>
      </c>
      <c r="H49" t="n">
        <v/>
      </c>
      <c r="I49" t="n">
        <v/>
      </c>
      <c r="J49" t="n">
        <v/>
      </c>
      <c r="K49" t="n">
        <v/>
      </c>
      <c r="L49" t="n">
        <v/>
      </c>
      <c r="M49" t="n">
        <v/>
      </c>
    </row>
    <row r="50">
      <c r="A50" s="68" t="n">
        <v>20271</v>
      </c>
      <c r="B50" t="n">
        <v/>
      </c>
      <c r="C50" t="n">
        <v/>
      </c>
      <c r="D50" t="n">
        <v/>
      </c>
      <c r="E50" t="n">
        <v/>
      </c>
      <c r="F50" t="n">
        <v/>
      </c>
      <c r="G50" t="n">
        <v>2899.578</v>
      </c>
      <c r="H50" t="n">
        <v>0.01332469759392573</v>
      </c>
      <c r="I50" t="n">
        <v>0.07419838335095651</v>
      </c>
      <c r="J50" t="n">
        <v>0.05437357036515844</v>
      </c>
      <c r="K50" t="n">
        <v>0.01350464287636728</v>
      </c>
      <c r="L50" t="n">
        <v>0.05512270869902025</v>
      </c>
      <c r="M50" t="n">
        <v>0.08014501380924238</v>
      </c>
    </row>
    <row r="51">
      <c r="A51" s="68" t="n">
        <v>20363</v>
      </c>
      <c r="B51" t="n">
        <v/>
      </c>
      <c r="C51" t="n">
        <v/>
      </c>
      <c r="D51" t="n">
        <v/>
      </c>
      <c r="E51" t="n">
        <v/>
      </c>
      <c r="F51" t="n">
        <v/>
      </c>
      <c r="G51" t="n">
        <v>2916.985</v>
      </c>
      <c r="H51" t="n">
        <v>0.005967462979754833</v>
      </c>
      <c r="I51" t="n">
        <v>0.06171612126905009</v>
      </c>
      <c r="J51" t="n">
        <v>0.02408436689371629</v>
      </c>
      <c r="K51" t="n">
        <v>0.006003287374921507</v>
      </c>
      <c r="L51" t="n">
        <v>0.0242302529752878</v>
      </c>
      <c r="M51" t="n">
        <v>0.06577553197708409</v>
      </c>
    </row>
    <row r="52">
      <c r="A52" s="68" t="n">
        <v>20394</v>
      </c>
      <c r="B52" t="n">
        <v/>
      </c>
      <c r="C52" t="n">
        <v/>
      </c>
      <c r="D52" t="n">
        <v>99.7</v>
      </c>
      <c r="E52" t="n">
        <v>94.59999999999999</v>
      </c>
      <c r="F52" t="n">
        <v>103.8</v>
      </c>
      <c r="G52" t="n">
        <v/>
      </c>
      <c r="H52" t="n">
        <v/>
      </c>
      <c r="I52" t="n">
        <v/>
      </c>
      <c r="J52" t="n">
        <v/>
      </c>
      <c r="K52" t="n">
        <v/>
      </c>
      <c r="L52" t="n">
        <v/>
      </c>
      <c r="M52" t="n">
        <v/>
      </c>
    </row>
    <row r="53">
      <c r="A53" s="68" t="n">
        <v>20455</v>
      </c>
      <c r="B53" t="n">
        <v/>
      </c>
      <c r="C53" t="n">
        <v/>
      </c>
      <c r="D53" t="n">
        <v/>
      </c>
      <c r="E53" t="n">
        <v/>
      </c>
      <c r="F53" t="n">
        <v/>
      </c>
      <c r="G53" t="n">
        <v>2905.656</v>
      </c>
      <c r="H53" t="n">
        <v>-0.003898947432180608</v>
      </c>
      <c r="I53" t="n">
        <v>0.03115372225755559</v>
      </c>
      <c r="J53" t="n">
        <v>-0.01550481583509145</v>
      </c>
      <c r="K53" t="n">
        <v>-0.003883804681889066</v>
      </c>
      <c r="L53" t="n">
        <v>-0.01544494919947736</v>
      </c>
      <c r="M53" t="n">
        <v>0.03215548531615189</v>
      </c>
    </row>
    <row r="54">
      <c r="A54" s="68" t="n">
        <v>20546</v>
      </c>
      <c r="B54" t="n">
        <v/>
      </c>
      <c r="C54" t="n">
        <v/>
      </c>
      <c r="D54" t="n">
        <v/>
      </c>
      <c r="E54" t="n">
        <v/>
      </c>
      <c r="F54" t="n">
        <v/>
      </c>
      <c r="G54" t="n">
        <v>2929.666</v>
      </c>
      <c r="H54" t="n">
        <v>0.008195473477181432</v>
      </c>
      <c r="I54" t="n">
        <v>0.02345796415017963</v>
      </c>
      <c r="J54" t="n">
        <v>0.03318709495471461</v>
      </c>
      <c r="K54" t="n">
        <v>0.0082631942666304</v>
      </c>
      <c r="L54" t="n">
        <v>0.03346472086182173</v>
      </c>
      <c r="M54" t="n">
        <v>0.02402145866641133</v>
      </c>
    </row>
    <row r="55">
      <c r="A55" s="68" t="n">
        <v>20576</v>
      </c>
      <c r="B55" t="n">
        <v/>
      </c>
      <c r="C55" t="n">
        <v/>
      </c>
      <c r="D55" t="n">
        <v>98.2</v>
      </c>
      <c r="E55" t="n">
        <v/>
      </c>
      <c r="F55" t="n">
        <v>103.3</v>
      </c>
      <c r="G55" t="n">
        <v/>
      </c>
      <c r="H55" t="n">
        <v/>
      </c>
      <c r="I55" t="n">
        <v/>
      </c>
      <c r="J55" t="n">
        <v/>
      </c>
      <c r="K55" t="n">
        <v/>
      </c>
      <c r="L55" t="n">
        <v/>
      </c>
      <c r="M55" t="n">
        <v/>
      </c>
    </row>
    <row r="56">
      <c r="A56" s="68" t="n">
        <v>20637</v>
      </c>
      <c r="B56" t="n">
        <v/>
      </c>
      <c r="C56" t="n">
        <v/>
      </c>
      <c r="D56" t="n">
        <v/>
      </c>
      <c r="E56" t="n">
        <v/>
      </c>
      <c r="F56" t="n">
        <v/>
      </c>
      <c r="G56" t="n">
        <v>2927.034</v>
      </c>
      <c r="H56" t="n">
        <v>-0.0008992037673631608</v>
      </c>
      <c r="I56" t="n">
        <v>0.009380143858937111</v>
      </c>
      <c r="J56" t="n">
        <v>-0.003591966572574989</v>
      </c>
      <c r="K56" t="n">
        <v>-0.0008983959263615927</v>
      </c>
      <c r="L56" t="n">
        <v>-0.003588743913787829</v>
      </c>
      <c r="M56" t="n">
        <v>0.009468964104431793</v>
      </c>
    </row>
    <row r="57">
      <c r="A57" s="68" t="n">
        <v>20668</v>
      </c>
      <c r="B57" t="n">
        <v/>
      </c>
      <c r="C57" t="n">
        <v/>
      </c>
      <c r="D57" t="n">
        <v>99.90000000000001</v>
      </c>
      <c r="E57" t="n">
        <v>93.09999999999999</v>
      </c>
      <c r="F57" t="n">
        <v>105.2</v>
      </c>
      <c r="G57" t="n">
        <v/>
      </c>
      <c r="H57" t="n">
        <v/>
      </c>
      <c r="I57" t="n">
        <v/>
      </c>
      <c r="J57" t="n">
        <v/>
      </c>
      <c r="K57" t="n">
        <v/>
      </c>
      <c r="L57" t="n">
        <v/>
      </c>
      <c r="M57" t="n">
        <v/>
      </c>
    </row>
    <row r="58">
      <c r="A58" s="68" t="n">
        <v>20729</v>
      </c>
      <c r="B58" t="n">
        <v/>
      </c>
      <c r="C58" t="n">
        <v/>
      </c>
      <c r="D58" t="n">
        <v/>
      </c>
      <c r="E58" t="n">
        <v/>
      </c>
      <c r="F58" t="n">
        <v/>
      </c>
      <c r="G58" t="n">
        <v>2975.209</v>
      </c>
      <c r="H58" t="n">
        <v>0.0161921397790877</v>
      </c>
      <c r="I58" t="n">
        <v>0.01956971762319881</v>
      </c>
      <c r="J58" t="n">
        <v>0.06635872157125489</v>
      </c>
      <c r="K58" t="n">
        <v>0.01645864038477166</v>
      </c>
      <c r="L58" t="n">
        <v>0.06747778969521656</v>
      </c>
      <c r="M58" t="n">
        <v>0.01996033575764006</v>
      </c>
    </row>
    <row r="59">
      <c r="A59" s="68" t="n">
        <v>20760</v>
      </c>
      <c r="B59" t="n">
        <v/>
      </c>
      <c r="C59" t="n">
        <v/>
      </c>
      <c r="D59" t="n">
        <v>100.2</v>
      </c>
      <c r="E59" t="n">
        <v>94.2</v>
      </c>
      <c r="F59" t="n">
        <v>105.2</v>
      </c>
      <c r="G59" t="n">
        <v/>
      </c>
      <c r="H59" t="n">
        <v/>
      </c>
      <c r="I59" t="n">
        <v/>
      </c>
      <c r="J59" t="n">
        <v/>
      </c>
      <c r="K59" t="n">
        <v/>
      </c>
      <c r="L59" t="n">
        <v/>
      </c>
      <c r="M59" t="n">
        <v/>
      </c>
    </row>
    <row r="60">
      <c r="A60" s="68" t="n">
        <v>20821</v>
      </c>
      <c r="B60" t="n">
        <v/>
      </c>
      <c r="C60" t="n">
        <v/>
      </c>
      <c r="D60" t="n">
        <v/>
      </c>
      <c r="E60" t="n">
        <v/>
      </c>
      <c r="F60" t="n">
        <v/>
      </c>
      <c r="G60" t="n">
        <v>2994.259</v>
      </c>
      <c r="H60" t="n">
        <v>0.006362175082382714</v>
      </c>
      <c r="I60" t="n">
        <v>0.02959096056820738</v>
      </c>
      <c r="J60" t="n">
        <v>0.02569259569257376</v>
      </c>
      <c r="K60" t="n">
        <v>0.006402911526551642</v>
      </c>
      <c r="L60" t="n">
        <v>0.02585868145080883</v>
      </c>
      <c r="M60" t="n">
        <v>0.03049328619767793</v>
      </c>
    </row>
    <row r="61">
      <c r="A61" s="68" t="n">
        <v>20911</v>
      </c>
      <c r="B61" t="n">
        <v/>
      </c>
      <c r="C61" t="n">
        <v/>
      </c>
      <c r="D61" t="n">
        <v/>
      </c>
      <c r="E61" t="n">
        <v/>
      </c>
      <c r="F61" t="n">
        <v/>
      </c>
      <c r="G61" t="n">
        <v>2987.699</v>
      </c>
      <c r="H61" t="n">
        <v>-0.002195669644097329</v>
      </c>
      <c r="I61" t="n">
        <v>0.01942397811827761</v>
      </c>
      <c r="J61" t="n">
        <v>-0.008753795103019213</v>
      </c>
      <c r="K61" t="n">
        <v>-0.002190859240967446</v>
      </c>
      <c r="L61" t="n">
        <v>-0.008734679818856006</v>
      </c>
      <c r="M61" t="n">
        <v>0.01980874270309308</v>
      </c>
    </row>
    <row r="62">
      <c r="A62" s="68" t="n">
        <v>20941</v>
      </c>
      <c r="B62" t="n">
        <v/>
      </c>
      <c r="C62" t="n">
        <v/>
      </c>
      <c r="D62" t="n">
        <v>92.90000000000001</v>
      </c>
      <c r="E62" t="n">
        <v>88.90000000000001</v>
      </c>
      <c r="F62" t="n">
        <v>96.2</v>
      </c>
      <c r="G62" t="n">
        <v/>
      </c>
      <c r="H62" t="n">
        <v/>
      </c>
      <c r="I62" t="n">
        <v/>
      </c>
      <c r="J62" t="n">
        <v/>
      </c>
      <c r="K62" t="n">
        <v/>
      </c>
      <c r="L62" t="n">
        <v/>
      </c>
      <c r="M62" t="n">
        <v/>
      </c>
    </row>
    <row r="63">
      <c r="A63" s="68" t="n">
        <v>21002</v>
      </c>
      <c r="B63" t="n">
        <v/>
      </c>
      <c r="C63" t="n">
        <v/>
      </c>
      <c r="D63" t="n">
        <v/>
      </c>
      <c r="E63" t="n">
        <v/>
      </c>
      <c r="F63" t="n">
        <v/>
      </c>
      <c r="G63" t="n">
        <v>3016.979</v>
      </c>
      <c r="H63" t="n">
        <v>0.009705072524535221</v>
      </c>
      <c r="I63" t="n">
        <v>0.02981293539000428</v>
      </c>
      <c r="J63" t="n">
        <v>0.03938908598812185</v>
      </c>
      <c r="K63" t="n">
        <v>0.009800184021214903</v>
      </c>
      <c r="L63" t="n">
        <v>0.03978077193041707</v>
      </c>
      <c r="M63" t="n">
        <v>0.03072905883566768</v>
      </c>
    </row>
    <row r="64">
      <c r="A64" s="68" t="n">
        <v>21094</v>
      </c>
      <c r="B64" t="n">
        <v/>
      </c>
      <c r="C64" t="n">
        <v/>
      </c>
      <c r="D64" t="n">
        <v/>
      </c>
      <c r="E64" t="n">
        <v/>
      </c>
      <c r="F64" t="n">
        <v/>
      </c>
      <c r="G64" t="n">
        <v>2985.775</v>
      </c>
      <c r="H64" t="n">
        <v>-0.01045088796041219</v>
      </c>
      <c r="I64" t="n">
        <v>0.003538779713809734</v>
      </c>
      <c r="J64" t="n">
        <v>-0.04115277938565121</v>
      </c>
      <c r="K64" t="n">
        <v>-0.01034279655244525</v>
      </c>
      <c r="L64" t="n">
        <v>-0.04073375974144</v>
      </c>
      <c r="M64" t="n">
        <v>0.003551347149057514</v>
      </c>
    </row>
    <row r="65">
      <c r="A65" s="68" t="n">
        <v>21125</v>
      </c>
      <c r="B65" t="n">
        <v/>
      </c>
      <c r="C65" t="n">
        <v/>
      </c>
      <c r="D65" t="n">
        <v>83.7</v>
      </c>
      <c r="E65" t="n">
        <v>79.5</v>
      </c>
      <c r="F65" t="n">
        <v>86.3</v>
      </c>
      <c r="G65" t="n">
        <v/>
      </c>
      <c r="H65" t="n">
        <v/>
      </c>
      <c r="I65" t="n">
        <v/>
      </c>
      <c r="J65" t="n">
        <v/>
      </c>
      <c r="K65" t="n">
        <v/>
      </c>
      <c r="L65" t="n">
        <v/>
      </c>
      <c r="M65" t="n">
        <v/>
      </c>
    </row>
    <row r="66">
      <c r="A66" s="68" t="n">
        <v>21186</v>
      </c>
      <c r="B66" t="n">
        <v/>
      </c>
      <c r="C66" t="n">
        <v/>
      </c>
      <c r="D66" t="n">
        <v/>
      </c>
      <c r="E66" t="n">
        <v/>
      </c>
      <c r="F66" t="n">
        <v/>
      </c>
      <c r="G66" t="n">
        <v>2908.281</v>
      </c>
      <c r="H66" t="n">
        <v>-0.02664598090762211</v>
      </c>
      <c r="I66" t="n">
        <v>-0.02956316807076072</v>
      </c>
      <c r="J66" t="n">
        <v>-0.102399045197796</v>
      </c>
      <c r="K66" t="n">
        <v>-0.02595440044879475</v>
      </c>
      <c r="L66" t="n">
        <v>-0.09984529734545633</v>
      </c>
      <c r="M66" t="n">
        <v>-0.02871428289937513</v>
      </c>
    </row>
    <row r="67">
      <c r="A67" s="68" t="n">
        <v>21217</v>
      </c>
      <c r="B67" t="n">
        <v/>
      </c>
      <c r="C67" t="n">
        <v/>
      </c>
      <c r="D67" t="n">
        <v>78.5</v>
      </c>
      <c r="E67" t="n">
        <v/>
      </c>
      <c r="F67" t="n">
        <v/>
      </c>
      <c r="G67" t="n">
        <v/>
      </c>
      <c r="H67" t="n">
        <v/>
      </c>
      <c r="I67" t="n">
        <v/>
      </c>
      <c r="J67" t="n">
        <v/>
      </c>
      <c r="K67" t="n">
        <v/>
      </c>
      <c r="L67" t="n">
        <v/>
      </c>
      <c r="M67" t="n">
        <v/>
      </c>
    </row>
    <row r="68">
      <c r="A68" s="68" t="n">
        <v>21276</v>
      </c>
      <c r="B68" t="n">
        <v/>
      </c>
      <c r="C68" t="n">
        <v/>
      </c>
      <c r="D68" t="n">
        <v/>
      </c>
      <c r="E68" t="n">
        <v/>
      </c>
      <c r="F68" t="n">
        <v/>
      </c>
      <c r="G68" t="n">
        <v>2927.395</v>
      </c>
      <c r="H68" t="n">
        <v>0.006529354596834398</v>
      </c>
      <c r="I68" t="n">
        <v>-0.02059988488058499</v>
      </c>
      <c r="J68" t="n">
        <v>0.02637432848366594</v>
      </c>
      <c r="K68" t="n">
        <v>0.006572267260281944</v>
      </c>
      <c r="L68" t="n">
        <v>0.02654937463692297</v>
      </c>
      <c r="M68" t="n">
        <v>-0.02018409485025101</v>
      </c>
    </row>
    <row r="69">
      <c r="A69" s="68" t="n">
        <v>21306</v>
      </c>
      <c r="B69" t="n">
        <v/>
      </c>
      <c r="C69" t="n">
        <v/>
      </c>
      <c r="D69" t="n">
        <v>80.90000000000001</v>
      </c>
      <c r="E69" t="n">
        <v>78</v>
      </c>
      <c r="F69" t="n">
        <v>82.90000000000001</v>
      </c>
      <c r="G69" t="n">
        <v/>
      </c>
      <c r="H69" t="n">
        <v/>
      </c>
      <c r="I69" t="n">
        <v/>
      </c>
      <c r="J69" t="n">
        <v/>
      </c>
      <c r="K69" t="n">
        <v/>
      </c>
      <c r="L69" t="n">
        <v/>
      </c>
      <c r="M69" t="n">
        <v/>
      </c>
    </row>
    <row r="70">
      <c r="A70" s="68" t="n">
        <v>21367</v>
      </c>
      <c r="B70" t="n">
        <v/>
      </c>
      <c r="C70" t="n">
        <v/>
      </c>
      <c r="D70" t="n">
        <v/>
      </c>
      <c r="E70" t="n">
        <v/>
      </c>
      <c r="F70" t="n">
        <v/>
      </c>
      <c r="G70" t="n">
        <v>2995.112</v>
      </c>
      <c r="H70" t="n">
        <v>0.02260917120962425</v>
      </c>
      <c r="I70" t="n">
        <v>-0.007300895592552043</v>
      </c>
      <c r="J70" t="n">
        <v>0.09355022281296743</v>
      </c>
      <c r="K70" t="n">
        <v>0.02313217041089436</v>
      </c>
      <c r="L70" t="n">
        <v>0.09578906366867135</v>
      </c>
      <c r="M70" t="n">
        <v>-0.007247978855669773</v>
      </c>
    </row>
    <row r="71">
      <c r="A71" s="68" t="n">
        <v>21459</v>
      </c>
      <c r="B71" t="n">
        <v/>
      </c>
      <c r="C71" t="n">
        <v/>
      </c>
      <c r="D71" t="n">
        <v/>
      </c>
      <c r="E71" t="n">
        <v/>
      </c>
      <c r="F71" t="n">
        <v/>
      </c>
      <c r="G71" t="n">
        <v>3065.141</v>
      </c>
      <c r="H71" t="n">
        <v>0.02284690981589427</v>
      </c>
      <c r="I71" t="n">
        <v>0.0258930992081604</v>
      </c>
      <c r="J71" t="n">
        <v>0.09456750209451847</v>
      </c>
      <c r="K71" t="n">
        <v>0.02338109559842837</v>
      </c>
      <c r="L71" t="n">
        <v>0.09685586253705125</v>
      </c>
      <c r="M71" t="n">
        <v>0.02658137334527886</v>
      </c>
    </row>
    <row r="72">
      <c r="A72" s="68" t="n">
        <v>21490</v>
      </c>
      <c r="B72" t="n">
        <v/>
      </c>
      <c r="C72" t="n">
        <v/>
      </c>
      <c r="D72" t="n">
        <v>90.8</v>
      </c>
      <c r="E72" t="n">
        <v>86.7</v>
      </c>
      <c r="F72" t="n">
        <v>94.09999999999999</v>
      </c>
      <c r="G72" t="n">
        <v/>
      </c>
      <c r="H72" t="n">
        <v/>
      </c>
      <c r="I72" t="n">
        <v/>
      </c>
      <c r="J72" t="n">
        <v/>
      </c>
      <c r="K72" t="n">
        <v/>
      </c>
      <c r="L72" t="n">
        <v/>
      </c>
      <c r="M72" t="n">
        <v/>
      </c>
    </row>
    <row r="73">
      <c r="A73" s="68" t="n">
        <v>21551</v>
      </c>
      <c r="B73" t="n">
        <v/>
      </c>
      <c r="C73" t="n">
        <v/>
      </c>
      <c r="D73" t="n">
        <v/>
      </c>
      <c r="E73" t="n">
        <v/>
      </c>
      <c r="F73" t="n">
        <v/>
      </c>
      <c r="G73" t="n">
        <v>3123.978</v>
      </c>
      <c r="H73" t="n">
        <v>0.01883399947118705</v>
      </c>
      <c r="I73" t="n">
        <v>0.06904562067978716</v>
      </c>
      <c r="J73" t="n">
        <v>0.0774911640774012</v>
      </c>
      <c r="K73" t="n">
        <v>0.0191955280360675</v>
      </c>
      <c r="L73" t="n">
        <v>0.07902134946672668</v>
      </c>
      <c r="M73" t="n">
        <v>0.07416649216495934</v>
      </c>
    </row>
    <row r="74">
      <c r="A74" s="68" t="n">
        <v>21641</v>
      </c>
      <c r="B74" t="n">
        <v/>
      </c>
      <c r="C74" t="n">
        <v/>
      </c>
      <c r="D74" t="n">
        <v/>
      </c>
      <c r="E74" t="n">
        <v/>
      </c>
      <c r="F74" t="n">
        <v/>
      </c>
      <c r="G74" t="n">
        <v>3194.429</v>
      </c>
      <c r="H74" t="n">
        <v>0.02205433271486078</v>
      </c>
      <c r="I74" t="n">
        <v>0.0835936563310689</v>
      </c>
      <c r="J74" t="n">
        <v>0.09117883733154475</v>
      </c>
      <c r="K74" t="n">
        <v>0.02255169530643302</v>
      </c>
      <c r="L74" t="n">
        <v>0.09330439091654563</v>
      </c>
      <c r="M74" t="n">
        <v>0.09121898479706364</v>
      </c>
    </row>
    <row r="75">
      <c r="A75" s="68" t="n">
        <v>21671</v>
      </c>
      <c r="B75" t="n">
        <v/>
      </c>
      <c r="C75" t="n">
        <v/>
      </c>
      <c r="D75" t="n">
        <v>95.3</v>
      </c>
      <c r="E75" t="n">
        <v>92.7</v>
      </c>
      <c r="F75" t="n">
        <v>97.5</v>
      </c>
      <c r="G75" t="n">
        <v/>
      </c>
      <c r="H75" t="n">
        <v/>
      </c>
      <c r="I75" t="n">
        <v/>
      </c>
      <c r="J75" t="n">
        <v/>
      </c>
      <c r="K75" t="n">
        <v/>
      </c>
      <c r="L75" t="n">
        <v/>
      </c>
      <c r="M75" t="n">
        <v/>
      </c>
    </row>
    <row r="76">
      <c r="A76" s="68" t="n">
        <v>21732</v>
      </c>
      <c r="B76" t="n">
        <v/>
      </c>
      <c r="C76" t="n">
        <v/>
      </c>
      <c r="D76" t="n">
        <v/>
      </c>
      <c r="E76" t="n">
        <v/>
      </c>
      <c r="F76" t="n">
        <v/>
      </c>
      <c r="G76" t="n">
        <v>3196.683</v>
      </c>
      <c r="H76" t="n">
        <v>0.0007051058863202593</v>
      </c>
      <c r="I76" t="n">
        <v>0.06305629929523819</v>
      </c>
      <c r="J76" t="n">
        <v>0.002823407993636229</v>
      </c>
      <c r="K76" t="n">
        <v>0.0007056034114390727</v>
      </c>
      <c r="L76" t="n">
        <v>0.002825402308261671</v>
      </c>
      <c r="M76" t="n">
        <v>0.06729998744621234</v>
      </c>
    </row>
    <row r="77">
      <c r="A77" s="68" t="n">
        <v>21824</v>
      </c>
      <c r="B77" t="n">
        <v/>
      </c>
      <c r="C77" t="n">
        <v/>
      </c>
      <c r="D77" t="n">
        <v/>
      </c>
      <c r="E77" t="n">
        <v/>
      </c>
      <c r="F77" t="n">
        <v/>
      </c>
      <c r="G77" t="n">
        <v>3205.79</v>
      </c>
      <c r="H77" t="n">
        <v>0.002840797432146202</v>
      </c>
      <c r="I77" t="n">
        <v>0.04387342901437707</v>
      </c>
      <c r="J77" t="n">
        <v>0.01141170227643395</v>
      </c>
      <c r="K77" t="n">
        <v>0.002848890553113953</v>
      </c>
      <c r="L77" t="n">
        <v>0.01144435183103387</v>
      </c>
      <c r="M77" t="n">
        <v>0.04588663294771754</v>
      </c>
    </row>
    <row r="78">
      <c r="A78" s="68" t="n">
        <v>21855</v>
      </c>
      <c r="B78" t="n">
        <v/>
      </c>
      <c r="C78" t="n">
        <v/>
      </c>
      <c r="D78" t="n">
        <v>93.8</v>
      </c>
      <c r="E78" t="n">
        <v>87</v>
      </c>
      <c r="F78" t="n">
        <v>95.8</v>
      </c>
      <c r="G78" t="n">
        <v/>
      </c>
      <c r="H78" t="n">
        <v/>
      </c>
      <c r="I78" t="n">
        <v/>
      </c>
      <c r="J78" t="n">
        <v/>
      </c>
      <c r="K78" t="n">
        <v/>
      </c>
      <c r="L78" t="n">
        <v/>
      </c>
      <c r="M78" t="n">
        <v/>
      </c>
    </row>
    <row r="79">
      <c r="A79" s="68" t="n">
        <v>21916</v>
      </c>
      <c r="B79" t="n">
        <v/>
      </c>
      <c r="C79" t="n">
        <v/>
      </c>
      <c r="D79" t="n">
        <v/>
      </c>
      <c r="E79" t="n">
        <v/>
      </c>
      <c r="F79" t="n">
        <v/>
      </c>
      <c r="G79" t="n">
        <v>3277.847</v>
      </c>
      <c r="H79" t="n">
        <v>0.02198302727369528</v>
      </c>
      <c r="I79" t="n">
        <v>0.0469420933924006</v>
      </c>
      <c r="J79" t="n">
        <v>0.09087435705584901</v>
      </c>
      <c r="K79" t="n">
        <v>0.02247714291953005</v>
      </c>
      <c r="L79" t="n">
        <v>0.09298558243454158</v>
      </c>
      <c r="M79" t="n">
        <v>0.04925418808967289</v>
      </c>
    </row>
    <row r="80">
      <c r="A80" s="68" t="n">
        <v>21947</v>
      </c>
      <c r="B80" t="n">
        <v/>
      </c>
      <c r="C80" t="n">
        <v/>
      </c>
      <c r="D80" t="n">
        <v>100</v>
      </c>
      <c r="E80" t="n">
        <v>99.59999999999999</v>
      </c>
      <c r="F80" t="n">
        <v>104.6</v>
      </c>
      <c r="G80" t="n">
        <v/>
      </c>
      <c r="H80" t="n">
        <v/>
      </c>
      <c r="I80" t="n">
        <v/>
      </c>
      <c r="J80" t="n">
        <v/>
      </c>
      <c r="K80" t="n">
        <v/>
      </c>
      <c r="L80" t="n">
        <v/>
      </c>
      <c r="M80" t="n">
        <v/>
      </c>
    </row>
    <row r="81">
      <c r="A81" s="68" t="n">
        <v>22007</v>
      </c>
      <c r="B81" t="n">
        <v/>
      </c>
      <c r="C81" t="n">
        <v/>
      </c>
      <c r="D81" t="n">
        <v/>
      </c>
      <c r="E81" t="n">
        <v/>
      </c>
      <c r="F81" t="n">
        <v/>
      </c>
      <c r="G81" t="n">
        <v>3260.177</v>
      </c>
      <c r="H81" t="n">
        <v>-0.005419951125353032</v>
      </c>
      <c r="I81" t="n">
        <v>0.02016700320258687</v>
      </c>
      <c r="J81" t="n">
        <v>-0.02150418528038589</v>
      </c>
      <c r="K81" t="n">
        <v>-0.005390733612642711</v>
      </c>
      <c r="L81" t="n">
        <v>-0.02138920017185875</v>
      </c>
      <c r="M81" t="n">
        <v>0.02058208211858835</v>
      </c>
    </row>
    <row r="82">
      <c r="A82" s="68" t="n">
        <v>22037</v>
      </c>
      <c r="B82" t="n">
        <v/>
      </c>
      <c r="C82" t="n">
        <v/>
      </c>
      <c r="D82" t="n">
        <v>93.3</v>
      </c>
      <c r="E82" t="n">
        <v>91.59999999999999</v>
      </c>
      <c r="F82" t="n">
        <v>98.59999999999999</v>
      </c>
      <c r="G82" t="n">
        <v/>
      </c>
      <c r="H82" t="n">
        <v/>
      </c>
      <c r="I82" t="n">
        <v/>
      </c>
      <c r="J82" t="n">
        <v/>
      </c>
      <c r="K82" t="n">
        <v/>
      </c>
      <c r="L82" t="n">
        <v/>
      </c>
      <c r="M82" t="n">
        <v/>
      </c>
    </row>
    <row r="83">
      <c r="A83" s="68" t="n">
        <v>22098</v>
      </c>
      <c r="B83" t="n">
        <v/>
      </c>
      <c r="C83" t="n">
        <v/>
      </c>
      <c r="D83" t="n">
        <v/>
      </c>
      <c r="E83" t="n">
        <v/>
      </c>
      <c r="F83" t="n">
        <v/>
      </c>
      <c r="G83" t="n">
        <v>3276.133</v>
      </c>
      <c r="H83" t="n">
        <v>0.004870376141627851</v>
      </c>
      <c r="I83" t="n">
        <v>0.02425115219681247</v>
      </c>
      <c r="J83" t="n">
        <v>0.01962429062401316</v>
      </c>
      <c r="K83" t="n">
        <v>0.004894212798875544</v>
      </c>
      <c r="L83" t="n">
        <v>0.01972104061334812</v>
      </c>
      <c r="M83" t="n">
        <v>0.02485388760787348</v>
      </c>
    </row>
    <row r="84">
      <c r="A84" s="68" t="n">
        <v>22129</v>
      </c>
      <c r="B84" t="n">
        <v/>
      </c>
      <c r="C84" t="n">
        <v/>
      </c>
      <c r="D84" t="n">
        <v>97.2</v>
      </c>
      <c r="E84" t="n">
        <v>96.90000000000001</v>
      </c>
      <c r="F84" t="n">
        <v>97.5</v>
      </c>
      <c r="G84" t="n">
        <v/>
      </c>
      <c r="H84" t="n">
        <v/>
      </c>
      <c r="I84" t="n">
        <v/>
      </c>
      <c r="J84" t="n">
        <v/>
      </c>
      <c r="K84" t="n">
        <v/>
      </c>
      <c r="L84" t="n">
        <v/>
      </c>
      <c r="M84" t="n">
        <v/>
      </c>
    </row>
    <row r="85">
      <c r="A85" s="68" t="n">
        <v>22190</v>
      </c>
      <c r="B85" t="n">
        <v/>
      </c>
      <c r="C85" t="n">
        <v/>
      </c>
      <c r="D85" t="n">
        <v/>
      </c>
      <c r="E85" t="n">
        <v/>
      </c>
      <c r="F85" t="n">
        <v/>
      </c>
      <c r="G85" t="n">
        <v>3234.087</v>
      </c>
      <c r="H85" t="n">
        <v>-0.01300088711280798</v>
      </c>
      <c r="I85" t="n">
        <v>0.00874961001358344</v>
      </c>
      <c r="J85" t="n">
        <v>-0.050998171287303</v>
      </c>
      <c r="K85" t="n">
        <v>-0.01283403329474103</v>
      </c>
      <c r="L85" t="n">
        <v>-0.05035628728337038</v>
      </c>
      <c r="M85" t="n">
        <v>0.008826841433780762</v>
      </c>
    </row>
    <row r="86">
      <c r="A86" s="68" t="n">
        <v>22221</v>
      </c>
      <c r="B86" t="n">
        <v/>
      </c>
      <c r="C86" t="n">
        <v/>
      </c>
      <c r="D86" t="n">
        <v>90.09999999999999</v>
      </c>
      <c r="E86" t="n">
        <v>89.3</v>
      </c>
      <c r="F86" t="n">
        <v>93.40000000000001</v>
      </c>
      <c r="G86" t="n">
        <v/>
      </c>
      <c r="H86" t="n">
        <v/>
      </c>
      <c r="I86" t="n">
        <v/>
      </c>
      <c r="J86" t="n">
        <v/>
      </c>
      <c r="K86" t="n">
        <v/>
      </c>
      <c r="L86" t="n">
        <v/>
      </c>
      <c r="M86" t="n">
        <v/>
      </c>
    </row>
    <row r="87">
      <c r="A87" s="68" t="n">
        <v>22282</v>
      </c>
      <c r="B87" t="n">
        <v/>
      </c>
      <c r="C87" t="n">
        <v/>
      </c>
      <c r="D87" t="n">
        <v/>
      </c>
      <c r="E87" t="n">
        <v/>
      </c>
      <c r="F87" t="n">
        <v/>
      </c>
      <c r="G87" t="n">
        <v>3255.914</v>
      </c>
      <c r="H87" t="n">
        <v>0.006703801144624896</v>
      </c>
      <c r="I87" t="n">
        <v>-0.006736357287078219</v>
      </c>
      <c r="J87" t="n">
        <v>0.02708605739767145</v>
      </c>
      <c r="K87" t="n">
        <v>0.006749045402922131</v>
      </c>
      <c r="L87" t="n">
        <v>0.02727071103520817</v>
      </c>
      <c r="M87" t="n">
        <v>-0.006691282418001814</v>
      </c>
    </row>
    <row r="88">
      <c r="A88" s="68" t="n">
        <v>22313</v>
      </c>
      <c r="B88" t="n">
        <v/>
      </c>
      <c r="C88" t="n">
        <v/>
      </c>
      <c r="D88" t="n">
        <v>91.59999999999999</v>
      </c>
      <c r="E88" t="n">
        <v>93.2</v>
      </c>
      <c r="F88" t="n">
        <v>94.90000000000001</v>
      </c>
      <c r="G88" t="n">
        <v/>
      </c>
      <c r="H88" t="n">
        <v/>
      </c>
      <c r="I88" t="n">
        <v/>
      </c>
      <c r="J88" t="n">
        <v/>
      </c>
      <c r="K88" t="n">
        <v/>
      </c>
      <c r="L88" t="n">
        <v/>
      </c>
      <c r="M88" t="n">
        <v/>
      </c>
    </row>
    <row r="89">
      <c r="A89" s="68" t="n">
        <v>22372</v>
      </c>
      <c r="B89" t="n">
        <v/>
      </c>
      <c r="C89" t="n">
        <v/>
      </c>
      <c r="D89" t="n">
        <v/>
      </c>
      <c r="E89" t="n">
        <v/>
      </c>
      <c r="F89" t="n">
        <v/>
      </c>
      <c r="G89" t="n">
        <v>3311.181</v>
      </c>
      <c r="H89" t="n">
        <v>0.01669102353510721</v>
      </c>
      <c r="I89" t="n">
        <v>0.01540356748845802</v>
      </c>
      <c r="J89" t="n">
        <v>0.06845431317965178</v>
      </c>
      <c r="K89" t="n">
        <v>0.01697434268841248</v>
      </c>
      <c r="L89" t="n">
        <v>0.06964578678446376</v>
      </c>
      <c r="M89" t="n">
        <v>0.01564454936035679</v>
      </c>
    </row>
    <row r="90">
      <c r="A90" s="68" t="n">
        <v>22402</v>
      </c>
      <c r="B90" t="n">
        <v/>
      </c>
      <c r="C90" t="n">
        <v/>
      </c>
      <c r="D90" t="n">
        <v>92.5</v>
      </c>
      <c r="E90" t="n">
        <v>90.90000000000001</v>
      </c>
      <c r="F90" t="n">
        <v>98.09999999999999</v>
      </c>
      <c r="G90" t="n">
        <v/>
      </c>
      <c r="H90" t="n">
        <v/>
      </c>
      <c r="I90" t="n">
        <v/>
      </c>
      <c r="J90" t="n">
        <v/>
      </c>
      <c r="K90" t="n">
        <v/>
      </c>
      <c r="L90" t="n">
        <v/>
      </c>
      <c r="M90" t="n">
        <v/>
      </c>
    </row>
    <row r="91">
      <c r="A91" s="68" t="n">
        <v>22463</v>
      </c>
      <c r="B91" t="n">
        <v/>
      </c>
      <c r="C91" t="n">
        <v/>
      </c>
      <c r="D91" t="n">
        <v/>
      </c>
      <c r="E91" t="n">
        <v/>
      </c>
      <c r="F91" t="n">
        <v/>
      </c>
      <c r="G91" t="n">
        <v>3374.742</v>
      </c>
      <c r="H91" t="n">
        <v>0.01883432866868049</v>
      </c>
      <c r="I91" t="n">
        <v>0.02921971516637431</v>
      </c>
      <c r="J91" t="n">
        <v>0.07749255667938582</v>
      </c>
      <c r="K91" t="n">
        <v>0.01919586999321395</v>
      </c>
      <c r="L91" t="n">
        <v>0.07902279758629582</v>
      </c>
      <c r="M91" t="n">
        <v>0.03009920537414091</v>
      </c>
    </row>
    <row r="92">
      <c r="A92" s="68" t="n">
        <v>22494</v>
      </c>
      <c r="B92" t="n">
        <v/>
      </c>
      <c r="C92" t="n">
        <v/>
      </c>
      <c r="D92" t="n">
        <v>99.2</v>
      </c>
      <c r="E92" t="n">
        <v>100.2</v>
      </c>
      <c r="F92" t="n">
        <v>98.5</v>
      </c>
      <c r="G92" t="n">
        <v/>
      </c>
      <c r="H92" t="n">
        <v/>
      </c>
      <c r="I92" t="n">
        <v/>
      </c>
      <c r="J92" t="n">
        <v/>
      </c>
      <c r="K92" t="n">
        <v/>
      </c>
      <c r="L92" t="n">
        <v/>
      </c>
      <c r="M92" t="n">
        <v/>
      </c>
    </row>
    <row r="93">
      <c r="A93" s="68" t="n">
        <v>22555</v>
      </c>
      <c r="B93" t="n">
        <v/>
      </c>
      <c r="C93" t="n">
        <v/>
      </c>
      <c r="D93" t="n">
        <v/>
      </c>
      <c r="E93" t="n">
        <v/>
      </c>
      <c r="F93" t="n">
        <v/>
      </c>
      <c r="G93" t="n">
        <v>3440.924</v>
      </c>
      <c r="H93" t="n">
        <v>0.01923378720366965</v>
      </c>
      <c r="I93" t="n">
        <v>0.06011088881939851</v>
      </c>
      <c r="J93" t="n">
        <v>0.07918337836935097</v>
      </c>
      <c r="K93" t="n">
        <v>0.01961098063200084</v>
      </c>
      <c r="L93" t="n">
        <v>0.08078178259819491</v>
      </c>
      <c r="M93" t="n">
        <v>0.06395529866698081</v>
      </c>
    </row>
    <row r="94">
      <c r="A94" s="68" t="n">
        <v>22586</v>
      </c>
      <c r="B94" t="n">
        <v/>
      </c>
      <c r="C94" t="n">
        <v/>
      </c>
      <c r="D94" t="n">
        <v>93</v>
      </c>
      <c r="E94" t="n">
        <v>94</v>
      </c>
      <c r="F94" t="n">
        <v>96.8</v>
      </c>
      <c r="G94" t="n">
        <v/>
      </c>
      <c r="H94" t="n">
        <v/>
      </c>
      <c r="I94" t="n">
        <v/>
      </c>
      <c r="J94" t="n">
        <v/>
      </c>
      <c r="K94" t="n">
        <v/>
      </c>
      <c r="L94" t="n">
        <v/>
      </c>
      <c r="M94" t="n">
        <v/>
      </c>
    </row>
    <row r="95">
      <c r="A95" s="68" t="n">
        <v>22647</v>
      </c>
      <c r="B95" t="n">
        <v/>
      </c>
      <c r="C95" t="n">
        <v/>
      </c>
      <c r="D95" t="n">
        <v/>
      </c>
      <c r="E95" t="n">
        <v/>
      </c>
      <c r="F95" t="n">
        <v/>
      </c>
      <c r="G95" t="n">
        <v>3502.298</v>
      </c>
      <c r="H95" t="n">
        <v>0.01752392286435929</v>
      </c>
      <c r="I95" t="n">
        <v>0.07034923927090145</v>
      </c>
      <c r="J95" t="n">
        <v>0.07195983853249999</v>
      </c>
      <c r="K95" t="n">
        <v>0.01783648810610167</v>
      </c>
      <c r="L95" t="n">
        <v>0.07327759350869312</v>
      </c>
      <c r="M95" t="n">
        <v>0.07567276039846248</v>
      </c>
    </row>
    <row r="96">
      <c r="A96" s="68" t="n">
        <v>22678</v>
      </c>
      <c r="B96" t="n">
        <v/>
      </c>
      <c r="C96" t="n">
        <v/>
      </c>
      <c r="D96" t="n">
        <v>99.90000000000001</v>
      </c>
      <c r="E96" t="n">
        <v>100.8</v>
      </c>
      <c r="F96" t="n">
        <v>103.4</v>
      </c>
      <c r="G96" t="n">
        <v/>
      </c>
      <c r="H96" t="n">
        <v/>
      </c>
      <c r="I96" t="n">
        <v/>
      </c>
      <c r="J96" t="n">
        <v/>
      </c>
      <c r="K96" t="n">
        <v/>
      </c>
      <c r="L96" t="n">
        <v/>
      </c>
      <c r="M96" t="n">
        <v/>
      </c>
    </row>
    <row r="97">
      <c r="A97" s="68" t="n">
        <v>22737</v>
      </c>
      <c r="B97" t="n">
        <v/>
      </c>
      <c r="C97" t="n">
        <v/>
      </c>
      <c r="D97" t="n">
        <v/>
      </c>
      <c r="E97" t="n">
        <v/>
      </c>
      <c r="F97" t="n">
        <v/>
      </c>
      <c r="G97" t="n">
        <v>3533.947</v>
      </c>
      <c r="H97" t="n">
        <v>0.008955708730210255</v>
      </c>
      <c r="I97" t="n">
        <v>0.06303603308142428</v>
      </c>
      <c r="J97" t="n">
        <v>0.03630694282720404</v>
      </c>
      <c r="K97" t="n">
        <v>0.009036638230099307</v>
      </c>
      <c r="L97" t="n">
        <v>0.03663947632942977</v>
      </c>
      <c r="M97" t="n">
        <v>0.06727690210834143</v>
      </c>
    </row>
    <row r="98">
      <c r="A98" s="68" t="n">
        <v>22767</v>
      </c>
      <c r="B98" t="n">
        <v/>
      </c>
      <c r="C98" t="n">
        <v/>
      </c>
      <c r="D98" t="n">
        <v>95.40000000000001</v>
      </c>
      <c r="E98" t="n">
        <v>94.2</v>
      </c>
      <c r="F98" t="n">
        <v>96.5</v>
      </c>
      <c r="G98" t="n">
        <v/>
      </c>
      <c r="H98" t="n">
        <v/>
      </c>
      <c r="I98" t="n">
        <v/>
      </c>
      <c r="J98" t="n">
        <v/>
      </c>
      <c r="K98" t="n">
        <v/>
      </c>
      <c r="L98" t="n">
        <v/>
      </c>
      <c r="M98" t="n">
        <v/>
      </c>
    </row>
    <row r="99">
      <c r="A99" s="68" t="n">
        <v>22828</v>
      </c>
      <c r="B99" t="n">
        <v/>
      </c>
      <c r="C99" t="n">
        <v/>
      </c>
      <c r="D99" t="n">
        <v/>
      </c>
      <c r="E99" t="n">
        <v/>
      </c>
      <c r="F99" t="n">
        <v/>
      </c>
      <c r="G99" t="n">
        <v>3577.362</v>
      </c>
      <c r="H99" t="n">
        <v>0.01213603767245248</v>
      </c>
      <c r="I99" t="n">
        <v>0.05663950139795746</v>
      </c>
      <c r="J99" t="n">
        <v>0.04943502259260368</v>
      </c>
      <c r="K99" t="n">
        <v>0.01228513047875363</v>
      </c>
      <c r="L99" t="n">
        <v>0.05005350778378181</v>
      </c>
      <c r="M99" t="n">
        <v>0.06004014529110666</v>
      </c>
    </row>
    <row r="100">
      <c r="A100" s="68" t="n">
        <v>22859</v>
      </c>
      <c r="B100" t="n">
        <v/>
      </c>
      <c r="C100" t="n">
        <v/>
      </c>
      <c r="D100" t="n">
        <v>91.59999999999999</v>
      </c>
      <c r="E100" t="n">
        <v>95.59999999999999</v>
      </c>
      <c r="F100" t="n">
        <v>93.40000000000001</v>
      </c>
      <c r="G100" t="n">
        <v/>
      </c>
      <c r="H100" t="n">
        <v/>
      </c>
      <c r="I100" t="n">
        <v/>
      </c>
      <c r="J100" t="n">
        <v/>
      </c>
      <c r="K100" t="n">
        <v/>
      </c>
      <c r="L100" t="n">
        <v/>
      </c>
      <c r="M100" t="n">
        <v/>
      </c>
    </row>
    <row r="101">
      <c r="A101" s="68" t="n">
        <v>22920</v>
      </c>
      <c r="B101" t="n">
        <v/>
      </c>
      <c r="C101" t="n">
        <v/>
      </c>
      <c r="D101" t="n">
        <v/>
      </c>
      <c r="E101" t="n">
        <v/>
      </c>
      <c r="F101" t="n">
        <v/>
      </c>
      <c r="G101" t="n">
        <v>3589.128</v>
      </c>
      <c r="H101" t="n">
        <v>0.003278233598801736</v>
      </c>
      <c r="I101" t="n">
        <v>0.04129248107061107</v>
      </c>
      <c r="J101" t="n">
        <v>0.0131775563261578</v>
      </c>
      <c r="K101" t="n">
        <v>0.003289015760775699</v>
      </c>
      <c r="L101" t="n">
        <v>0.01322111122552361</v>
      </c>
      <c r="M101" t="n">
        <v>0.04307098907154014</v>
      </c>
    </row>
    <row r="102">
      <c r="A102" s="68" t="n">
        <v>22951</v>
      </c>
      <c r="B102" t="n">
        <v/>
      </c>
      <c r="C102" t="n">
        <v/>
      </c>
      <c r="D102" t="n">
        <v>95</v>
      </c>
      <c r="E102" t="n">
        <v>95.5</v>
      </c>
      <c r="F102" t="n">
        <v>99.2</v>
      </c>
      <c r="G102" t="n">
        <v/>
      </c>
      <c r="H102" t="n">
        <v/>
      </c>
      <c r="I102" t="n">
        <v/>
      </c>
      <c r="J102" t="n">
        <v/>
      </c>
      <c r="K102" t="n">
        <v/>
      </c>
      <c r="L102" t="n">
        <v/>
      </c>
      <c r="M102" t="n">
        <v/>
      </c>
    </row>
    <row r="103">
      <c r="A103" s="68" t="n">
        <v>23012</v>
      </c>
      <c r="B103" t="n">
        <v/>
      </c>
      <c r="C103" t="n">
        <v/>
      </c>
      <c r="D103" t="n">
        <v/>
      </c>
      <c r="E103" t="n">
        <v/>
      </c>
      <c r="F103" t="n">
        <v/>
      </c>
      <c r="G103" t="n">
        <v>3628.306</v>
      </c>
      <c r="H103" t="n">
        <v>0.01079787647458618</v>
      </c>
      <c r="I103" t="n">
        <v>0.03472915459721431</v>
      </c>
      <c r="J103" t="n">
        <v>0.04389612018702826</v>
      </c>
      <c r="K103" t="n">
        <v>0.01091574332261203</v>
      </c>
      <c r="L103" t="n">
        <v>0.04438311079570934</v>
      </c>
      <c r="M103" t="n">
        <v>0.03597866315202198</v>
      </c>
    </row>
    <row r="104">
      <c r="A104" s="68" t="n">
        <v>23043</v>
      </c>
      <c r="B104" t="n">
        <v/>
      </c>
      <c r="C104" t="n">
        <v/>
      </c>
      <c r="D104" t="n">
        <v>98.40000000000001</v>
      </c>
      <c r="E104" t="n">
        <v>103.2</v>
      </c>
      <c r="F104" t="n">
        <v>99.90000000000001</v>
      </c>
      <c r="G104" t="n">
        <v/>
      </c>
      <c r="H104" t="n">
        <v/>
      </c>
      <c r="I104" t="n">
        <v/>
      </c>
      <c r="J104" t="n">
        <v/>
      </c>
      <c r="K104" t="n">
        <v/>
      </c>
      <c r="L104" t="n">
        <v/>
      </c>
      <c r="M104" t="n">
        <v/>
      </c>
    </row>
    <row r="105">
      <c r="A105" s="68" t="n">
        <v>23102</v>
      </c>
      <c r="B105" t="n">
        <v/>
      </c>
      <c r="C105" t="n">
        <v/>
      </c>
      <c r="D105" t="n">
        <v/>
      </c>
      <c r="E105" t="n">
        <v/>
      </c>
      <c r="F105" t="n">
        <v/>
      </c>
      <c r="G105" t="n">
        <v>3669.02</v>
      </c>
      <c r="H105" t="n">
        <v>0.01109669612048992</v>
      </c>
      <c r="I105" t="n">
        <v>0.03681446271756487</v>
      </c>
      <c r="J105" t="n">
        <v>0.04513108527394283</v>
      </c>
      <c r="K105" t="n">
        <v>0.01122121452821232</v>
      </c>
      <c r="L105" t="n">
        <v>0.04564601960686088</v>
      </c>
      <c r="M105" t="n">
        <v>0.03822156925386823</v>
      </c>
    </row>
    <row r="106">
      <c r="A106" s="68" t="n">
        <v>23132</v>
      </c>
      <c r="B106" t="n">
        <v/>
      </c>
      <c r="C106" t="n">
        <v/>
      </c>
      <c r="D106" t="n">
        <v>91.7</v>
      </c>
      <c r="E106" t="n">
        <v>94.3</v>
      </c>
      <c r="F106" t="n">
        <v>94.09999999999999</v>
      </c>
      <c r="G106" t="n">
        <v/>
      </c>
      <c r="H106" t="n">
        <v/>
      </c>
      <c r="I106" t="n">
        <v/>
      </c>
      <c r="J106" t="n">
        <v/>
      </c>
      <c r="K106" t="n">
        <v/>
      </c>
      <c r="L106" t="n">
        <v/>
      </c>
      <c r="M106" t="n">
        <v/>
      </c>
    </row>
    <row r="107">
      <c r="A107" s="68" t="n">
        <v>23193</v>
      </c>
      <c r="B107" t="n">
        <v/>
      </c>
      <c r="C107" t="n">
        <v/>
      </c>
      <c r="D107" t="n">
        <v/>
      </c>
      <c r="E107" t="n">
        <v/>
      </c>
      <c r="F107" t="n">
        <v/>
      </c>
      <c r="G107" t="n">
        <v>3749.681</v>
      </c>
      <c r="H107" t="n">
        <v>0.02151142990563732</v>
      </c>
      <c r="I107" t="n">
        <v>0.0459556426266661</v>
      </c>
      <c r="J107" t="n">
        <v>0.08886220038726256</v>
      </c>
      <c r="K107" t="n">
        <v>0.02198434459337918</v>
      </c>
      <c r="L107" t="n">
        <v>0.09087998154472277</v>
      </c>
      <c r="M107" t="n">
        <v>0.04816929346261294</v>
      </c>
    </row>
    <row r="108">
      <c r="A108" s="68" t="n">
        <v>23224</v>
      </c>
      <c r="B108" t="n">
        <v/>
      </c>
      <c r="C108" t="n">
        <v/>
      </c>
      <c r="D108" t="n">
        <v>96.40000000000001</v>
      </c>
      <c r="E108" t="n">
        <v>102.3</v>
      </c>
      <c r="F108" t="n">
        <v>97</v>
      </c>
      <c r="G108" t="n">
        <v/>
      </c>
      <c r="H108" t="n">
        <v/>
      </c>
      <c r="I108" t="n">
        <v/>
      </c>
      <c r="J108" t="n">
        <v/>
      </c>
      <c r="K108" t="n">
        <v/>
      </c>
      <c r="L108" t="n">
        <v/>
      </c>
      <c r="M108" t="n">
        <v/>
      </c>
    </row>
    <row r="109">
      <c r="A109" s="68" t="n">
        <v>23285</v>
      </c>
      <c r="B109" t="n">
        <v/>
      </c>
      <c r="C109" t="n">
        <v/>
      </c>
      <c r="D109" t="n">
        <v/>
      </c>
      <c r="E109" t="n">
        <v/>
      </c>
      <c r="F109" t="n">
        <v/>
      </c>
      <c r="G109" t="n">
        <v>3774.264</v>
      </c>
      <c r="H109" t="n">
        <v>0.006513322862417702</v>
      </c>
      <c r="I109" t="n">
        <v>0.049052212563827</v>
      </c>
      <c r="J109" t="n">
        <v>0.02630893876621965</v>
      </c>
      <c r="K109" t="n">
        <v>0.006556024365806074</v>
      </c>
      <c r="L109" t="n">
        <v>0.02648311519341773</v>
      </c>
      <c r="M109" t="n">
        <v>0.05158244565253732</v>
      </c>
    </row>
    <row r="110">
      <c r="A110" s="68" t="n">
        <v>23316</v>
      </c>
      <c r="B110" t="n">
        <v/>
      </c>
      <c r="C110" t="n">
        <v/>
      </c>
      <c r="D110" t="n">
        <v>94.40000000000001</v>
      </c>
      <c r="E110" t="n">
        <v>97.59999999999999</v>
      </c>
      <c r="F110" t="n">
        <v>97</v>
      </c>
      <c r="G110" t="n">
        <v/>
      </c>
      <c r="H110" t="n">
        <v/>
      </c>
      <c r="I110" t="n">
        <v/>
      </c>
      <c r="J110" t="n">
        <v/>
      </c>
      <c r="K110" t="n">
        <v/>
      </c>
      <c r="L110" t="n">
        <v/>
      </c>
      <c r="M110" t="n">
        <v/>
      </c>
    </row>
    <row r="111">
      <c r="A111" s="68" t="n">
        <v>23377</v>
      </c>
      <c r="B111" t="n">
        <v/>
      </c>
      <c r="C111" t="n">
        <v/>
      </c>
      <c r="D111" t="n">
        <v/>
      </c>
      <c r="E111" t="n">
        <v/>
      </c>
      <c r="F111" t="n">
        <v/>
      </c>
      <c r="G111" t="n">
        <v>3853.835</v>
      </c>
      <c r="H111" t="n">
        <v>0.02064722542610151</v>
      </c>
      <c r="I111" t="n">
        <v>0.0585206683731919</v>
      </c>
      <c r="J111" t="n">
        <v>0.08518213925234264</v>
      </c>
      <c r="K111" t="n">
        <v>0.0210825209895227</v>
      </c>
      <c r="L111" t="n">
        <v>0.08703460008107822</v>
      </c>
      <c r="M111" t="n">
        <v>0.06215820826578574</v>
      </c>
    </row>
    <row r="112">
      <c r="A112" s="68" t="n">
        <v>23408</v>
      </c>
      <c r="B112" t="n">
        <v/>
      </c>
      <c r="C112" t="n">
        <v/>
      </c>
      <c r="D112" t="n">
        <v>99.5</v>
      </c>
      <c r="E112" t="n">
        <v>99.5</v>
      </c>
      <c r="F112" t="n">
        <v>99.40000000000001</v>
      </c>
      <c r="G112" t="n">
        <v/>
      </c>
      <c r="H112" t="n">
        <v/>
      </c>
      <c r="I112" t="n">
        <v/>
      </c>
      <c r="J112" t="n">
        <v/>
      </c>
      <c r="K112" t="n">
        <v/>
      </c>
      <c r="L112" t="n">
        <v/>
      </c>
      <c r="M112" t="n">
        <v/>
      </c>
    </row>
    <row r="113">
      <c r="A113" s="68" t="n">
        <v>23468</v>
      </c>
      <c r="B113" t="n">
        <v/>
      </c>
      <c r="C113" t="n">
        <v/>
      </c>
      <c r="D113" t="n">
        <v/>
      </c>
      <c r="E113" t="n">
        <v/>
      </c>
      <c r="F113" t="n">
        <v/>
      </c>
      <c r="G113" t="n">
        <v>3895.793</v>
      </c>
      <c r="H113" t="n">
        <v>0.01077007941643719</v>
      </c>
      <c r="I113" t="n">
        <v>0.05820971494121996</v>
      </c>
      <c r="J113" t="n">
        <v>0.04378129586899027</v>
      </c>
      <c r="K113" t="n">
        <v>0.01088733689947807</v>
      </c>
      <c r="L113" t="n">
        <v>0.04426572835975362</v>
      </c>
      <c r="M113" t="n">
        <v>0.06180751263280117</v>
      </c>
    </row>
    <row r="114">
      <c r="A114" s="68" t="n">
        <v>23498</v>
      </c>
      <c r="B114" t="n">
        <v/>
      </c>
      <c r="C114" t="n">
        <v/>
      </c>
      <c r="D114" t="n">
        <v>98.5</v>
      </c>
      <c r="E114" t="n">
        <v>99.90000000000001</v>
      </c>
      <c r="F114" t="n">
        <v>97.2</v>
      </c>
      <c r="G114" t="n">
        <v/>
      </c>
      <c r="H114" t="n">
        <v/>
      </c>
      <c r="I114" t="n">
        <v/>
      </c>
      <c r="J114" t="n">
        <v/>
      </c>
      <c r="K114" t="n">
        <v/>
      </c>
      <c r="L114" t="n">
        <v/>
      </c>
      <c r="M114" t="n">
        <v/>
      </c>
    </row>
    <row r="115">
      <c r="A115" s="68" t="n">
        <v>23559</v>
      </c>
      <c r="B115" t="n">
        <v/>
      </c>
      <c r="C115" t="n">
        <v/>
      </c>
      <c r="D115" t="n">
        <v/>
      </c>
      <c r="E115" t="n">
        <v/>
      </c>
      <c r="F115" t="n">
        <v/>
      </c>
      <c r="G115" t="n">
        <v>3956.657</v>
      </c>
      <c r="H115" t="n">
        <v>0.01538268290630197</v>
      </c>
      <c r="I115" t="n">
        <v>0.0523108270441436</v>
      </c>
      <c r="J115" t="n">
        <v>0.06296510904622243</v>
      </c>
      <c r="K115" t="n">
        <v>0.01562300666385509</v>
      </c>
      <c r="L115" t="n">
        <v>0.06397180920292422</v>
      </c>
      <c r="M115" t="n">
        <v>0.05519829553500687</v>
      </c>
    </row>
    <row r="116">
      <c r="A116" s="68" t="n">
        <v>23590</v>
      </c>
      <c r="B116" t="n">
        <v/>
      </c>
      <c r="C116" t="n">
        <v/>
      </c>
      <c r="D116" t="n">
        <v>100.6</v>
      </c>
      <c r="E116" t="n">
        <v/>
      </c>
      <c r="F116" t="n">
        <v/>
      </c>
      <c r="G116" t="n">
        <v/>
      </c>
      <c r="H116" t="n">
        <v/>
      </c>
      <c r="I116" t="n">
        <v/>
      </c>
      <c r="J116" t="n">
        <v/>
      </c>
      <c r="K116" t="n">
        <v/>
      </c>
      <c r="L116" t="n">
        <v/>
      </c>
      <c r="M116" t="n">
        <v/>
      </c>
    </row>
    <row r="117">
      <c r="A117" s="68" t="n">
        <v>23651</v>
      </c>
      <c r="B117" t="n">
        <v/>
      </c>
      <c r="C117" t="n">
        <v/>
      </c>
      <c r="D117" t="n">
        <v/>
      </c>
      <c r="E117" t="n">
        <v/>
      </c>
      <c r="F117" t="n">
        <v/>
      </c>
      <c r="G117" t="n">
        <v>3968.878</v>
      </c>
      <c r="H117" t="n">
        <v>0.003079207776101962</v>
      </c>
      <c r="I117" t="n">
        <v>0.04903501694937461</v>
      </c>
      <c r="J117" t="n">
        <v>0.01237383709976436</v>
      </c>
      <c r="K117" t="n">
        <v>0.003088718582379014</v>
      </c>
      <c r="L117" t="n">
        <v>0.0124122333831731</v>
      </c>
      <c r="M117" t="n">
        <v>0.05156343064502113</v>
      </c>
    </row>
    <row r="118">
      <c r="A118" s="68" t="n">
        <v>23682</v>
      </c>
      <c r="B118" t="n">
        <v/>
      </c>
      <c r="C118" t="n">
        <v/>
      </c>
      <c r="D118" t="n">
        <v>99.90000000000001</v>
      </c>
      <c r="E118" t="n">
        <v/>
      </c>
      <c r="F118" t="n">
        <v/>
      </c>
      <c r="G118" t="n">
        <v/>
      </c>
      <c r="H118" t="n">
        <v/>
      </c>
      <c r="I118" t="n">
        <v/>
      </c>
      <c r="J118" t="n">
        <v/>
      </c>
      <c r="K118" t="n">
        <v/>
      </c>
      <c r="L118" t="n">
        <v/>
      </c>
      <c r="M118" t="n">
        <v/>
      </c>
    </row>
    <row r="119">
      <c r="A119" s="68" t="n">
        <v>23743</v>
      </c>
      <c r="B119" t="n">
        <v/>
      </c>
      <c r="C119" t="n">
        <v/>
      </c>
      <c r="D119" t="n">
        <v/>
      </c>
      <c r="E119" t="n">
        <v/>
      </c>
      <c r="F119" t="n">
        <v/>
      </c>
      <c r="G119" t="n">
        <v>4064.915</v>
      </c>
      <c r="H119" t="n">
        <v>0.02362583227447556</v>
      </c>
      <c r="I119" t="n">
        <v>0.05192728507238157</v>
      </c>
      <c r="J119" t="n">
        <v>0.09790547023030283</v>
      </c>
      <c r="K119" t="n">
        <v>0.02419751879498433</v>
      </c>
      <c r="L119" t="n">
        <v>0.1003602100251837</v>
      </c>
      <c r="M119" t="n">
        <v>0.0547714160050962</v>
      </c>
    </row>
    <row r="120">
      <c r="A120" s="68" t="n">
        <v>23774</v>
      </c>
      <c r="B120" t="n">
        <v/>
      </c>
      <c r="C120" t="n">
        <v/>
      </c>
      <c r="D120" t="n">
        <v>102</v>
      </c>
      <c r="E120" t="n">
        <v>100.4</v>
      </c>
      <c r="F120" t="n">
        <v>103</v>
      </c>
      <c r="G120" t="n">
        <v/>
      </c>
      <c r="H120" t="n">
        <v/>
      </c>
      <c r="I120" t="n">
        <v/>
      </c>
      <c r="J120" t="n">
        <v/>
      </c>
      <c r="K120" t="n">
        <v/>
      </c>
      <c r="L120" t="n">
        <v/>
      </c>
      <c r="M120" t="n">
        <v/>
      </c>
    </row>
    <row r="121">
      <c r="A121" s="68" t="n">
        <v>23833</v>
      </c>
      <c r="B121" t="n">
        <v/>
      </c>
      <c r="C121" t="n">
        <v/>
      </c>
      <c r="D121" t="n">
        <v/>
      </c>
      <c r="E121" t="n">
        <v/>
      </c>
      <c r="F121" t="n">
        <v/>
      </c>
      <c r="G121" t="n">
        <v>4116.267</v>
      </c>
      <c r="H121" t="n">
        <v>0.01247538121312341</v>
      </c>
      <c r="I121" t="n">
        <v>0.05356163727960303</v>
      </c>
      <c r="J121" t="n">
        <v>0.0508431263238931</v>
      </c>
      <c r="K121" t="n">
        <v>0.01263298248548859</v>
      </c>
      <c r="L121" t="n">
        <v>0.05149757339472938</v>
      </c>
      <c r="M121" t="n">
        <v>0.05659284258686221</v>
      </c>
    </row>
    <row r="122">
      <c r="A122" s="68" t="n">
        <v>23863</v>
      </c>
      <c r="B122" t="n">
        <v/>
      </c>
      <c r="C122" t="n">
        <v/>
      </c>
      <c r="D122" t="n">
        <v>105.4</v>
      </c>
      <c r="E122" t="n">
        <v>109</v>
      </c>
      <c r="F122" t="n">
        <v>103.1</v>
      </c>
      <c r="G122" t="n">
        <v/>
      </c>
      <c r="H122" t="n">
        <v/>
      </c>
      <c r="I122" t="n">
        <v/>
      </c>
      <c r="J122" t="n">
        <v/>
      </c>
      <c r="K122" t="n">
        <v/>
      </c>
      <c r="L122" t="n">
        <v/>
      </c>
      <c r="M122" t="n">
        <v/>
      </c>
    </row>
    <row r="123">
      <c r="A123" s="68" t="n">
        <v>23924</v>
      </c>
      <c r="B123" t="n">
        <v/>
      </c>
      <c r="C123" t="n">
        <v/>
      </c>
      <c r="D123" t="n">
        <v/>
      </c>
      <c r="E123" t="n">
        <v/>
      </c>
      <c r="F123" t="n">
        <v/>
      </c>
      <c r="G123" t="n">
        <v>4207.782</v>
      </c>
      <c r="H123" t="n">
        <v>0.02174898794661899</v>
      </c>
      <c r="I123" t="n">
        <v>0.05968108613991884</v>
      </c>
      <c r="J123" t="n">
        <v>0.08987543708576196</v>
      </c>
      <c r="K123" t="n">
        <v>0.02223252281739749</v>
      </c>
      <c r="L123" t="n">
        <v>0.09194000282873915</v>
      </c>
      <c r="M123" t="n">
        <v>0.06346898404385318</v>
      </c>
    </row>
    <row r="124">
      <c r="A124" s="68" t="n">
        <v>23955</v>
      </c>
      <c r="B124" t="n">
        <v/>
      </c>
      <c r="C124" t="n">
        <v/>
      </c>
      <c r="D124" t="n">
        <v>103.4</v>
      </c>
      <c r="E124" t="n">
        <v>102.9</v>
      </c>
      <c r="F124" t="n">
        <v>104.3</v>
      </c>
      <c r="G124" t="n">
        <v/>
      </c>
      <c r="H124" t="n">
        <v/>
      </c>
      <c r="I124" t="n">
        <v/>
      </c>
      <c r="J124" t="n">
        <v/>
      </c>
      <c r="K124" t="n">
        <v/>
      </c>
      <c r="L124" t="n">
        <v/>
      </c>
      <c r="M124" t="n">
        <v/>
      </c>
    </row>
    <row r="125">
      <c r="A125" s="68" t="n">
        <v>24016</v>
      </c>
      <c r="B125" t="n">
        <v/>
      </c>
      <c r="C125" t="n">
        <v/>
      </c>
      <c r="D125" t="n">
        <v/>
      </c>
      <c r="E125" t="n">
        <v/>
      </c>
      <c r="F125" t="n">
        <v/>
      </c>
      <c r="G125" t="n">
        <v>4304.731</v>
      </c>
      <c r="H125" t="n">
        <v>0.02252150018200896</v>
      </c>
      <c r="I125" t="n">
        <v>0.07801950923298102</v>
      </c>
      <c r="J125" t="n">
        <v>0.09317525905924984</v>
      </c>
      <c r="K125" t="n">
        <v>0.02304040465974701</v>
      </c>
      <c r="L125" t="n">
        <v>0.09539598687252315</v>
      </c>
      <c r="M125" t="n">
        <v>0.08462164873800596</v>
      </c>
    </row>
    <row r="126">
      <c r="A126" s="68" t="n">
        <v>24047</v>
      </c>
      <c r="B126" t="n">
        <v/>
      </c>
      <c r="C126" t="n">
        <v/>
      </c>
      <c r="D126" t="n">
        <v>102.9</v>
      </c>
      <c r="E126" t="n">
        <v>100</v>
      </c>
      <c r="F126" t="n">
        <v>104.8</v>
      </c>
      <c r="G126" t="n">
        <v/>
      </c>
      <c r="H126" t="n">
        <v/>
      </c>
      <c r="I126" t="n">
        <v/>
      </c>
      <c r="J126" t="n">
        <v/>
      </c>
      <c r="K126" t="n">
        <v/>
      </c>
      <c r="L126" t="n">
        <v/>
      </c>
      <c r="M126" t="n">
        <v/>
      </c>
    </row>
    <row r="127">
      <c r="A127" s="68" t="n">
        <v>24108</v>
      </c>
      <c r="B127" t="n">
        <v/>
      </c>
      <c r="C127" t="n">
        <v/>
      </c>
      <c r="D127" t="n">
        <v/>
      </c>
      <c r="E127" t="n">
        <v/>
      </c>
      <c r="F127" t="n">
        <v/>
      </c>
      <c r="G127" t="n">
        <v>4409.518</v>
      </c>
      <c r="H127" t="n">
        <v>0.02376382180546723</v>
      </c>
      <c r="I127" t="n">
        <v>0.07814981138528067</v>
      </c>
      <c r="J127" t="n">
        <v>0.09849760103878924</v>
      </c>
      <c r="K127" t="n">
        <v>0.0243422875900957</v>
      </c>
      <c r="L127" t="n">
        <v>0.100982479057544</v>
      </c>
      <c r="M127" t="n">
        <v>0.08477495839396397</v>
      </c>
    </row>
    <row r="128">
      <c r="A128" s="68" t="n">
        <v>24139</v>
      </c>
      <c r="B128" t="n">
        <v/>
      </c>
      <c r="C128" t="n">
        <v/>
      </c>
      <c r="D128" t="n">
        <v>100</v>
      </c>
      <c r="E128" t="n">
        <v>100</v>
      </c>
      <c r="F128" t="n">
        <v>100</v>
      </c>
      <c r="G128" t="n">
        <v/>
      </c>
      <c r="H128" t="n">
        <v/>
      </c>
      <c r="I128" t="n">
        <v/>
      </c>
      <c r="J128" t="n">
        <v/>
      </c>
      <c r="K128" t="n">
        <v/>
      </c>
      <c r="L128" t="n">
        <v/>
      </c>
      <c r="M128" t="n">
        <v/>
      </c>
    </row>
    <row r="129">
      <c r="A129" s="68" t="n">
        <v>24198</v>
      </c>
      <c r="B129" t="n">
        <v/>
      </c>
      <c r="C129" t="n">
        <v/>
      </c>
      <c r="D129" t="n">
        <v/>
      </c>
      <c r="E129" t="n">
        <v/>
      </c>
      <c r="F129" t="n">
        <v/>
      </c>
      <c r="G129" t="n">
        <v>4424.581</v>
      </c>
      <c r="H129" t="n">
        <v>0.003404390155813647</v>
      </c>
      <c r="I129" t="n">
        <v>0.06968207837081077</v>
      </c>
      <c r="J129" t="n">
        <v>0.01368725781736679</v>
      </c>
      <c r="K129" t="n">
        <v>0.003416019619377923</v>
      </c>
      <c r="L129" t="n">
        <v>0.01373425320265032</v>
      </c>
      <c r="M129" t="n">
        <v>0.07490136086896218</v>
      </c>
    </row>
    <row r="130">
      <c r="A130" s="68" t="n">
        <v>24228</v>
      </c>
      <c r="B130" t="n">
        <v/>
      </c>
      <c r="C130" t="n">
        <v/>
      </c>
      <c r="D130" t="n">
        <v>95.7</v>
      </c>
      <c r="E130" t="n">
        <v>95.7</v>
      </c>
      <c r="F130" t="n">
        <v>96</v>
      </c>
      <c r="G130" t="n">
        <v/>
      </c>
      <c r="H130" t="n">
        <v/>
      </c>
      <c r="I130" t="n">
        <v/>
      </c>
      <c r="J130" t="n">
        <v/>
      </c>
      <c r="K130" t="n">
        <v/>
      </c>
      <c r="L130" t="n">
        <v/>
      </c>
      <c r="M130" t="n">
        <v/>
      </c>
    </row>
    <row r="131">
      <c r="A131" s="68" t="n">
        <v>24289</v>
      </c>
      <c r="B131" t="n">
        <v/>
      </c>
      <c r="C131" t="n">
        <v/>
      </c>
      <c r="D131" t="n">
        <v/>
      </c>
      <c r="E131" t="n">
        <v/>
      </c>
      <c r="F131" t="n">
        <v/>
      </c>
      <c r="G131" t="n">
        <v>4462.053</v>
      </c>
      <c r="H131" t="n">
        <v>0.00839792803895421</v>
      </c>
      <c r="I131" t="n">
        <v>0.05698520389605407</v>
      </c>
      <c r="J131" t="n">
        <v>0.03401723736376616</v>
      </c>
      <c r="K131" t="n">
        <v>0.008469050515743695</v>
      </c>
      <c r="L131" t="n">
        <v>0.03430898587163456</v>
      </c>
      <c r="M131" t="n">
        <v>0.06042874844751932</v>
      </c>
    </row>
    <row r="132">
      <c r="A132" s="68" t="n">
        <v>24320</v>
      </c>
      <c r="B132" t="n">
        <v/>
      </c>
      <c r="C132" t="n">
        <v/>
      </c>
      <c r="D132" t="n">
        <v>91.2</v>
      </c>
      <c r="E132" t="n">
        <v>92</v>
      </c>
      <c r="F132" t="n">
        <v>90.7</v>
      </c>
      <c r="G132" t="n">
        <v/>
      </c>
      <c r="H132" t="n">
        <v/>
      </c>
      <c r="I132" t="n">
        <v/>
      </c>
      <c r="J132" t="n">
        <v/>
      </c>
      <c r="K132" t="n">
        <v/>
      </c>
      <c r="L132" t="n">
        <v/>
      </c>
      <c r="M132" t="n">
        <v/>
      </c>
    </row>
    <row r="133">
      <c r="A133" s="68" t="n">
        <v>24381</v>
      </c>
      <c r="B133" t="n">
        <v/>
      </c>
      <c r="C133" t="n">
        <v/>
      </c>
      <c r="D133" t="n">
        <v/>
      </c>
      <c r="E133" t="n">
        <v/>
      </c>
      <c r="F133" t="n">
        <v/>
      </c>
      <c r="G133" t="n">
        <v>4498.66</v>
      </c>
      <c r="H133" t="n">
        <v>0.0081373119995732</v>
      </c>
      <c r="I133" t="n">
        <v>0.04310816998839657</v>
      </c>
      <c r="J133" t="n">
        <v>0.03294870273831285</v>
      </c>
      <c r="K133" t="n">
        <v>0.008204071085663924</v>
      </c>
      <c r="L133" t="n">
        <v>0.03322233832563914</v>
      </c>
      <c r="M133" t="n">
        <v>0.04505020174315192</v>
      </c>
    </row>
    <row r="134">
      <c r="A134" s="68" t="n">
        <v>24412</v>
      </c>
      <c r="B134" t="n">
        <v/>
      </c>
      <c r="C134" t="n">
        <v/>
      </c>
      <c r="D134" t="n">
        <v>88.3</v>
      </c>
      <c r="E134" t="n">
        <v>85.09999999999999</v>
      </c>
      <c r="F134" t="n">
        <v>90.2</v>
      </c>
      <c r="G134" t="n">
        <v/>
      </c>
      <c r="H134" t="n">
        <v/>
      </c>
      <c r="I134" t="n">
        <v/>
      </c>
      <c r="J134" t="n">
        <v/>
      </c>
      <c r="K134" t="n">
        <v/>
      </c>
      <c r="L134" t="n">
        <v/>
      </c>
      <c r="M134" t="n">
        <v/>
      </c>
    </row>
    <row r="135">
      <c r="A135" s="68" t="n">
        <v>24473</v>
      </c>
      <c r="B135" t="n">
        <v/>
      </c>
      <c r="C135" t="n">
        <v/>
      </c>
      <c r="D135" t="n">
        <v/>
      </c>
      <c r="E135" t="n">
        <v/>
      </c>
      <c r="F135" t="n">
        <v/>
      </c>
      <c r="G135" t="n">
        <v>4538.498</v>
      </c>
      <c r="H135" t="n">
        <v>0.008777793886876174</v>
      </c>
      <c r="I135" t="n">
        <v>0.02841909371778936</v>
      </c>
      <c r="J135" t="n">
        <v>0.03557618478161095</v>
      </c>
      <c r="K135" t="n">
        <v>0.008855525867702769</v>
      </c>
      <c r="L135" t="n">
        <v>0.03589540946426273</v>
      </c>
      <c r="M135" t="n">
        <v>0.02925036251127664</v>
      </c>
    </row>
    <row r="136">
      <c r="A136" s="68" t="n">
        <v>24504</v>
      </c>
      <c r="B136" t="n">
        <v/>
      </c>
      <c r="C136" t="n">
        <v/>
      </c>
      <c r="D136" t="n">
        <v>94.09999999999999</v>
      </c>
      <c r="E136" t="n">
        <v>90.40000000000001</v>
      </c>
      <c r="F136" t="n">
        <v>96.40000000000001</v>
      </c>
      <c r="G136" t="n">
        <v/>
      </c>
      <c r="H136" t="n">
        <v/>
      </c>
      <c r="I136" t="n">
        <v/>
      </c>
      <c r="J136" t="n">
        <v/>
      </c>
      <c r="K136" t="n">
        <v/>
      </c>
      <c r="L136" t="n">
        <v/>
      </c>
      <c r="M136" t="n">
        <v/>
      </c>
    </row>
    <row r="137">
      <c r="A137" s="68" t="n">
        <v>24563</v>
      </c>
      <c r="B137" t="n">
        <v/>
      </c>
      <c r="C137" t="n">
        <v/>
      </c>
      <c r="D137" t="n">
        <v/>
      </c>
      <c r="E137" t="n">
        <v/>
      </c>
      <c r="F137" t="n">
        <v/>
      </c>
      <c r="G137" t="n">
        <v>4541.28</v>
      </c>
      <c r="H137" t="n">
        <v>0.0006126026142409525</v>
      </c>
      <c r="I137" t="n">
        <v>0.02569738047422745</v>
      </c>
      <c r="J137" t="n">
        <v>0.002452663068477579</v>
      </c>
      <c r="K137" t="n">
        <v>0.0006129781262435619</v>
      </c>
      <c r="L137" t="n">
        <v>0.002454167879502034</v>
      </c>
      <c r="M137" t="n">
        <v>0.02637515281107965</v>
      </c>
    </row>
    <row r="138">
      <c r="A138" s="68" t="n">
        <v>24593</v>
      </c>
      <c r="B138" t="n">
        <v/>
      </c>
      <c r="C138" t="n">
        <v/>
      </c>
      <c r="D138" t="n">
        <v>95.90000000000001</v>
      </c>
      <c r="E138" t="n">
        <v>98.40000000000001</v>
      </c>
      <c r="F138" t="n">
        <v>94.3</v>
      </c>
      <c r="G138" t="n">
        <v/>
      </c>
      <c r="H138" t="n">
        <v/>
      </c>
      <c r="I138" t="n">
        <v/>
      </c>
      <c r="J138" t="n">
        <v/>
      </c>
      <c r="K138" t="n">
        <v/>
      </c>
      <c r="L138" t="n">
        <v/>
      </c>
      <c r="M138" t="n">
        <v/>
      </c>
    </row>
    <row r="139">
      <c r="A139" s="68" t="n">
        <v>24654</v>
      </c>
      <c r="B139" t="n">
        <v/>
      </c>
      <c r="C139" t="n">
        <v/>
      </c>
      <c r="D139" t="n">
        <v/>
      </c>
      <c r="E139" t="n">
        <v/>
      </c>
      <c r="F139" t="n">
        <v/>
      </c>
      <c r="G139" t="n">
        <v>4584.246</v>
      </c>
      <c r="H139" t="n">
        <v>0.009372533672931241</v>
      </c>
      <c r="I139" t="n">
        <v>0.02665498317498673</v>
      </c>
      <c r="J139" t="n">
        <v>0.03802050203098051</v>
      </c>
      <c r="K139" t="n">
        <v>0.009461209174505944</v>
      </c>
      <c r="L139" t="n">
        <v>0.03838531924596955</v>
      </c>
      <c r="M139" t="n">
        <v>0.02738492796925546</v>
      </c>
    </row>
    <row r="140">
      <c r="A140" s="68" t="n">
        <v>24685</v>
      </c>
      <c r="B140" t="n">
        <v/>
      </c>
      <c r="C140" t="n">
        <v/>
      </c>
      <c r="D140" t="n">
        <v>97</v>
      </c>
      <c r="E140" t="n">
        <v>99.5</v>
      </c>
      <c r="F140" t="n">
        <v>95.5</v>
      </c>
      <c r="G140" t="n">
        <v/>
      </c>
      <c r="H140" t="n">
        <v/>
      </c>
      <c r="I140" t="n">
        <v/>
      </c>
      <c r="J140" t="n">
        <v/>
      </c>
      <c r="K140" t="n">
        <v/>
      </c>
      <c r="L140" t="n">
        <v/>
      </c>
      <c r="M140" t="n">
        <v/>
      </c>
    </row>
    <row r="141">
      <c r="A141" s="68" t="n">
        <v>24746</v>
      </c>
      <c r="B141" t="n">
        <v/>
      </c>
      <c r="C141" t="n">
        <v/>
      </c>
      <c r="D141" t="n">
        <v/>
      </c>
      <c r="E141" t="n">
        <v/>
      </c>
      <c r="F141" t="n">
        <v/>
      </c>
      <c r="G141" t="n">
        <v>4618.812</v>
      </c>
      <c r="H141" t="n">
        <v>0.007483742572765422</v>
      </c>
      <c r="I141" t="n">
        <v>0.02601361562237217</v>
      </c>
      <c r="J141" t="n">
        <v>0.03027268839515806</v>
      </c>
      <c r="K141" t="n">
        <v>0.007540171273531089</v>
      </c>
      <c r="L141" t="n">
        <v>0.03050352818463198</v>
      </c>
      <c r="M141" t="n">
        <v>0.02670839761173328</v>
      </c>
    </row>
    <row r="142">
      <c r="A142" s="68" t="n">
        <v>24777</v>
      </c>
      <c r="B142" t="n">
        <v/>
      </c>
      <c r="C142" t="n">
        <v/>
      </c>
      <c r="D142" t="n">
        <v>92.90000000000001</v>
      </c>
      <c r="E142" t="n">
        <v>95.59999999999999</v>
      </c>
      <c r="F142" t="n">
        <v>91.09999999999999</v>
      </c>
      <c r="G142" t="n">
        <v/>
      </c>
      <c r="H142" t="n">
        <v/>
      </c>
      <c r="I142" t="n">
        <v/>
      </c>
      <c r="J142" t="n">
        <v/>
      </c>
      <c r="K142" t="n">
        <v/>
      </c>
      <c r="L142" t="n">
        <v/>
      </c>
      <c r="M142" t="n">
        <v/>
      </c>
    </row>
    <row r="143">
      <c r="A143" s="68" t="n">
        <v>24838</v>
      </c>
      <c r="B143" t="n">
        <v/>
      </c>
      <c r="C143" t="n">
        <v/>
      </c>
      <c r="D143" t="n">
        <v/>
      </c>
      <c r="E143" t="n">
        <v/>
      </c>
      <c r="F143" t="n">
        <v/>
      </c>
      <c r="G143" t="n">
        <v>4713.013</v>
      </c>
      <c r="H143" t="n">
        <v>0.01998742630245239</v>
      </c>
      <c r="I143" t="n">
        <v>0.03702832986032509</v>
      </c>
      <c r="J143" t="n">
        <v>0.08237878775319385</v>
      </c>
      <c r="K143" t="n">
        <v>0.02039507128672915</v>
      </c>
      <c r="L143" t="n">
        <v>0.08411014581384135</v>
      </c>
      <c r="M143" t="n">
        <v>0.0384521487064664</v>
      </c>
    </row>
    <row r="144">
      <c r="A144" s="68" t="n">
        <v>24869</v>
      </c>
      <c r="B144" t="n">
        <v/>
      </c>
      <c r="C144" t="n">
        <v/>
      </c>
      <c r="D144" t="n">
        <v>97.2</v>
      </c>
      <c r="E144" t="n">
        <v>101.6</v>
      </c>
      <c r="F144" t="n">
        <v>94.3</v>
      </c>
      <c r="G144" t="n">
        <v/>
      </c>
      <c r="H144" t="n">
        <v/>
      </c>
      <c r="I144" t="n">
        <v/>
      </c>
      <c r="J144" t="n">
        <v/>
      </c>
      <c r="K144" t="n">
        <v/>
      </c>
      <c r="L144" t="n">
        <v/>
      </c>
      <c r="M144" t="n">
        <v/>
      </c>
    </row>
    <row r="145">
      <c r="A145" s="68" t="n">
        <v>24929</v>
      </c>
      <c r="B145" t="n">
        <v/>
      </c>
      <c r="C145" t="n">
        <v/>
      </c>
      <c r="D145" t="n">
        <v/>
      </c>
      <c r="E145" t="n">
        <v/>
      </c>
      <c r="F145" t="n">
        <v/>
      </c>
      <c r="G145" t="n">
        <v>4791.758</v>
      </c>
      <c r="H145" t="n">
        <v>0.01643342589504727</v>
      </c>
      <c r="I145" t="n">
        <v>0.05227267320261167</v>
      </c>
      <c r="J145" t="n">
        <v>0.06737187330990069</v>
      </c>
      <c r="K145" t="n">
        <v>0.01670799550096719</v>
      </c>
      <c r="L145" t="n">
        <v>0.06852565923772147</v>
      </c>
      <c r="M145" t="n">
        <v>0.0551558151005884</v>
      </c>
    </row>
    <row r="146">
      <c r="A146" s="68" t="n">
        <v>24959</v>
      </c>
      <c r="B146" t="n">
        <v/>
      </c>
      <c r="C146" t="n">
        <v/>
      </c>
      <c r="D146" t="n">
        <v>92.40000000000001</v>
      </c>
      <c r="E146" t="n">
        <v>96.40000000000001</v>
      </c>
      <c r="F146" t="n">
        <v>89.90000000000001</v>
      </c>
      <c r="G146" t="n">
        <v/>
      </c>
      <c r="H146" t="n">
        <v/>
      </c>
      <c r="I146" t="n">
        <v/>
      </c>
      <c r="J146" t="n">
        <v/>
      </c>
      <c r="K146" t="n">
        <v/>
      </c>
      <c r="L146" t="n">
        <v/>
      </c>
      <c r="M146" t="n">
        <v/>
      </c>
    </row>
    <row r="147">
      <c r="A147" s="68" t="n">
        <v>25020</v>
      </c>
      <c r="B147" t="n">
        <v/>
      </c>
      <c r="C147" t="n">
        <v/>
      </c>
      <c r="D147" t="n">
        <v/>
      </c>
      <c r="E147" t="n">
        <v/>
      </c>
      <c r="F147" t="n">
        <v/>
      </c>
      <c r="G147" t="n">
        <v>4828.892</v>
      </c>
      <c r="H147" t="n">
        <v>0.007689962832053402</v>
      </c>
      <c r="I147" t="n">
        <v>0.05066296781953288</v>
      </c>
      <c r="J147" t="n">
        <v>0.03111648699543523</v>
      </c>
      <c r="K147" t="n">
        <v>0.007749556634537891</v>
      </c>
      <c r="L147" t="n">
        <v>0.03136042553098384</v>
      </c>
      <c r="M147" t="n">
        <v>0.05336668232900235</v>
      </c>
    </row>
    <row r="148">
      <c r="A148" s="68" t="n">
        <v>25051</v>
      </c>
      <c r="B148" t="n">
        <v/>
      </c>
      <c r="C148" t="n">
        <v/>
      </c>
      <c r="D148" t="n">
        <v>92.40000000000001</v>
      </c>
      <c r="E148" t="n">
        <v>96.8</v>
      </c>
      <c r="F148" t="n">
        <v>89.59999999999999</v>
      </c>
      <c r="G148" t="n">
        <v/>
      </c>
      <c r="H148" t="n">
        <v/>
      </c>
      <c r="I148" t="n">
        <v/>
      </c>
      <c r="J148" t="n">
        <v/>
      </c>
      <c r="K148" t="n">
        <v/>
      </c>
      <c r="L148" t="n">
        <v/>
      </c>
      <c r="M148" t="n">
        <v/>
      </c>
    </row>
    <row r="149">
      <c r="A149" s="68" t="n">
        <v>25112</v>
      </c>
      <c r="B149" t="n">
        <v/>
      </c>
      <c r="C149" t="n">
        <v/>
      </c>
      <c r="D149" t="n">
        <v/>
      </c>
      <c r="E149" t="n">
        <v/>
      </c>
      <c r="F149" t="n">
        <v/>
      </c>
      <c r="G149" t="n">
        <v>4847.885</v>
      </c>
      <c r="H149" t="n">
        <v>0.003917790954199696</v>
      </c>
      <c r="I149" t="n">
        <v>0.04725215222720842</v>
      </c>
      <c r="J149" t="n">
        <v>0.01576349910619834</v>
      </c>
      <c r="K149" t="n">
        <v>0.003933200411191717</v>
      </c>
      <c r="L149" t="n">
        <v>0.01582586566440858</v>
      </c>
      <c r="M149" t="n">
        <v>0.04959565360096933</v>
      </c>
    </row>
    <row r="150">
      <c r="A150" s="68" t="n">
        <v>25143</v>
      </c>
      <c r="B150" t="n">
        <v/>
      </c>
      <c r="C150" t="n">
        <v/>
      </c>
      <c r="D150" t="n">
        <v>91.7</v>
      </c>
      <c r="E150" t="n">
        <v>91.90000000000001</v>
      </c>
      <c r="F150" t="n">
        <v>91.59999999999999</v>
      </c>
      <c r="G150" t="n">
        <v/>
      </c>
      <c r="H150" t="n">
        <v/>
      </c>
      <c r="I150" t="n">
        <v/>
      </c>
      <c r="J150" t="n">
        <v/>
      </c>
      <c r="K150" t="n">
        <v/>
      </c>
      <c r="L150" t="n">
        <v/>
      </c>
      <c r="M150" t="n">
        <v/>
      </c>
    </row>
    <row r="151">
      <c r="A151" s="68" t="n">
        <v>25204</v>
      </c>
      <c r="B151" t="n">
        <v/>
      </c>
      <c r="C151" t="n">
        <v/>
      </c>
      <c r="D151" t="n">
        <v/>
      </c>
      <c r="E151" t="n">
        <v/>
      </c>
      <c r="F151" t="n">
        <v/>
      </c>
      <c r="G151" t="n">
        <v>4923.76</v>
      </c>
      <c r="H151" t="n">
        <v>0.01540997124149024</v>
      </c>
      <c r="I151" t="n">
        <v>0.04280204559117428</v>
      </c>
      <c r="J151" t="n">
        <v>0.06307938209035369</v>
      </c>
      <c r="K151" t="n">
        <v>0.01565115509134396</v>
      </c>
      <c r="L151" t="n">
        <v>0.06408976784792308</v>
      </c>
      <c r="M151" t="n">
        <v>0.04471598105076313</v>
      </c>
    </row>
    <row r="152">
      <c r="A152" s="68" t="n">
        <v>25235</v>
      </c>
      <c r="B152" t="n">
        <v/>
      </c>
      <c r="C152" t="n">
        <v/>
      </c>
      <c r="D152" t="n">
        <v>98.2</v>
      </c>
      <c r="E152" t="n">
        <v>98.3</v>
      </c>
      <c r="F152" t="n">
        <v>98</v>
      </c>
      <c r="G152" t="n">
        <v/>
      </c>
      <c r="H152" t="n">
        <v/>
      </c>
      <c r="I152" t="n">
        <v/>
      </c>
      <c r="J152" t="n">
        <v/>
      </c>
      <c r="K152" t="n">
        <v/>
      </c>
      <c r="L152" t="n">
        <v/>
      </c>
      <c r="M152" t="n">
        <v/>
      </c>
    </row>
    <row r="153">
      <c r="A153" s="68" t="n">
        <v>25294</v>
      </c>
      <c r="B153" t="n">
        <v/>
      </c>
      <c r="C153" t="n">
        <v/>
      </c>
      <c r="D153" t="n">
        <v/>
      </c>
      <c r="E153" t="n">
        <v/>
      </c>
      <c r="F153" t="n">
        <v/>
      </c>
      <c r="G153" t="n">
        <v>4938.728</v>
      </c>
      <c r="H153" t="n">
        <v>0.003030739899018502</v>
      </c>
      <c r="I153" t="n">
        <v>0.02975867470328398</v>
      </c>
      <c r="J153" t="n">
        <v>0.01217818334050191</v>
      </c>
      <c r="K153" t="n">
        <v>0.003039953206492568</v>
      </c>
      <c r="L153" t="n">
        <v>0.01221537317702515</v>
      </c>
      <c r="M153" t="n">
        <v>0.03067141537615219</v>
      </c>
    </row>
    <row r="154">
      <c r="A154" s="68" t="n">
        <v>25324</v>
      </c>
      <c r="B154" t="n">
        <v/>
      </c>
      <c r="C154" t="n">
        <v/>
      </c>
      <c r="D154" t="n">
        <v>91.5</v>
      </c>
      <c r="E154" t="n">
        <v>92.2</v>
      </c>
      <c r="F154" t="n">
        <v>91.09999999999999</v>
      </c>
      <c r="G154" t="n">
        <v/>
      </c>
      <c r="H154" t="n">
        <v/>
      </c>
      <c r="I154" t="n">
        <v/>
      </c>
      <c r="J154" t="n">
        <v/>
      </c>
      <c r="K154" t="n">
        <v/>
      </c>
      <c r="L154" t="n">
        <v/>
      </c>
      <c r="M154" t="n">
        <v/>
      </c>
    </row>
    <row r="155">
      <c r="A155" s="68" t="n">
        <v>25385</v>
      </c>
      <c r="B155" t="n">
        <v/>
      </c>
      <c r="C155" t="n">
        <v/>
      </c>
      <c r="D155" t="n">
        <v/>
      </c>
      <c r="E155" t="n">
        <v/>
      </c>
      <c r="F155" t="n">
        <v/>
      </c>
      <c r="G155" t="n">
        <v>4971.349</v>
      </c>
      <c r="H155" t="n">
        <v>0.006561800428817227</v>
      </c>
      <c r="I155" t="n">
        <v>0.02865560233248568</v>
      </c>
      <c r="J155" t="n">
        <v>0.02650667705006593</v>
      </c>
      <c r="K155" t="n">
        <v>0.006605142052771502</v>
      </c>
      <c r="L155" t="n">
        <v>0.02668349019765204</v>
      </c>
      <c r="M155" t="n">
        <v>0.02950097040894688</v>
      </c>
    </row>
    <row r="156">
      <c r="A156" s="68" t="n">
        <v>25416</v>
      </c>
      <c r="B156" t="n">
        <v/>
      </c>
      <c r="C156" t="n">
        <v/>
      </c>
      <c r="D156" t="n">
        <v>86.40000000000001</v>
      </c>
      <c r="E156" t="n">
        <v>86.2</v>
      </c>
      <c r="F156" t="n">
        <v>86.59999999999999</v>
      </c>
      <c r="G156" t="n">
        <v/>
      </c>
      <c r="H156" t="n">
        <v/>
      </c>
      <c r="I156" t="n">
        <v/>
      </c>
      <c r="J156" t="n">
        <v/>
      </c>
      <c r="K156" t="n">
        <v/>
      </c>
      <c r="L156" t="n">
        <v/>
      </c>
      <c r="M156" t="n">
        <v/>
      </c>
    </row>
    <row r="157">
      <c r="A157" s="68" t="n">
        <v>25477</v>
      </c>
      <c r="B157" t="n">
        <v/>
      </c>
      <c r="C157" t="n">
        <v/>
      </c>
      <c r="D157" t="n">
        <v/>
      </c>
      <c r="E157" t="n">
        <v/>
      </c>
      <c r="F157" t="n">
        <v/>
      </c>
      <c r="G157" t="n">
        <v>4947.104</v>
      </c>
      <c r="H157" t="n">
        <v>-0.004900847041016298</v>
      </c>
      <c r="I157" t="n">
        <v>0.02005597618323772</v>
      </c>
      <c r="J157" t="n">
        <v>-0.01945974861696154</v>
      </c>
      <c r="K157" t="n">
        <v>-0.004876945875254361</v>
      </c>
      <c r="L157" t="n">
        <v>-0.01936553931373741</v>
      </c>
      <c r="M157" t="n">
        <v>0.02046645083371409</v>
      </c>
    </row>
    <row r="158">
      <c r="A158" s="68" t="n">
        <v>25508</v>
      </c>
      <c r="B158" t="n">
        <v/>
      </c>
      <c r="C158" t="n">
        <v/>
      </c>
      <c r="D158" t="n">
        <v>79.7</v>
      </c>
      <c r="E158" t="n">
        <v>79.90000000000001</v>
      </c>
      <c r="F158" t="n">
        <v>79.59999999999999</v>
      </c>
      <c r="G158" t="n">
        <v/>
      </c>
      <c r="H158" t="n">
        <v/>
      </c>
      <c r="I158" t="n">
        <v/>
      </c>
      <c r="J158" t="n">
        <v/>
      </c>
      <c r="K158" t="n">
        <v/>
      </c>
      <c r="L158" t="n">
        <v/>
      </c>
      <c r="M158" t="n">
        <v/>
      </c>
    </row>
    <row r="159">
      <c r="A159" s="68" t="n">
        <v>25569</v>
      </c>
      <c r="B159" t="n">
        <v/>
      </c>
      <c r="C159" t="n">
        <v/>
      </c>
      <c r="D159" t="n">
        <v/>
      </c>
      <c r="E159" t="n">
        <v/>
      </c>
      <c r="F159" t="n">
        <v/>
      </c>
      <c r="G159" t="n">
        <v>4939.759</v>
      </c>
      <c r="H159" t="n">
        <v>-0.001486914645026256</v>
      </c>
      <c r="I159" t="n">
        <v>0.003238821974918168</v>
      </c>
      <c r="J159" t="n">
        <v>-0.005934406234015865</v>
      </c>
      <c r="K159" t="n">
        <v>-0.001484707012425907</v>
      </c>
      <c r="L159" t="n">
        <v>-0.005925615006652563</v>
      </c>
      <c r="M159" t="n">
        <v>0.003249346028238541</v>
      </c>
    </row>
    <row r="160">
      <c r="A160" s="68" t="n">
        <v>25600</v>
      </c>
      <c r="B160" t="n">
        <v/>
      </c>
      <c r="C160" t="n">
        <v/>
      </c>
      <c r="D160" t="n">
        <v>78.09999999999999</v>
      </c>
      <c r="E160" t="n">
        <v>81.59999999999999</v>
      </c>
      <c r="F160" t="n">
        <v>75.8</v>
      </c>
      <c r="G160" t="n">
        <v/>
      </c>
      <c r="H160" t="n">
        <v/>
      </c>
      <c r="I160" t="n">
        <v/>
      </c>
      <c r="J160" t="n">
        <v/>
      </c>
      <c r="K160" t="n">
        <v/>
      </c>
      <c r="L160" t="n">
        <v/>
      </c>
      <c r="M160" t="n">
        <v/>
      </c>
    </row>
    <row r="161">
      <c r="A161" s="68" t="n">
        <v>25659</v>
      </c>
      <c r="B161" t="n">
        <v/>
      </c>
      <c r="C161" t="n">
        <v/>
      </c>
      <c r="D161" t="n">
        <v/>
      </c>
      <c r="E161" t="n">
        <v/>
      </c>
      <c r="F161" t="n">
        <v/>
      </c>
      <c r="G161" t="n">
        <v>4946.77</v>
      </c>
      <c r="H161" t="n">
        <v>0.001417288452869331</v>
      </c>
      <c r="I161" t="n">
        <v>0.001625707279699758</v>
      </c>
      <c r="J161" t="n">
        <v>0.005681217442530695</v>
      </c>
      <c r="K161" t="n">
        <v>0.001419300010385208</v>
      </c>
      <c r="L161" t="n">
        <v>0.00568929795693851</v>
      </c>
      <c r="M161" t="n">
        <v>0.001628354507476494</v>
      </c>
    </row>
    <row r="162">
      <c r="A162" s="68" t="n">
        <v>25689</v>
      </c>
      <c r="B162" t="n">
        <v/>
      </c>
      <c r="C162" t="n">
        <v/>
      </c>
      <c r="D162" t="n">
        <v>75.40000000000001</v>
      </c>
      <c r="E162" t="n">
        <v>81.90000000000001</v>
      </c>
      <c r="F162" t="n">
        <v>71.2</v>
      </c>
      <c r="G162" t="n">
        <v/>
      </c>
      <c r="H162" t="n">
        <v/>
      </c>
      <c r="I162" t="n">
        <v/>
      </c>
      <c r="J162" t="n">
        <v/>
      </c>
      <c r="K162" t="n">
        <v/>
      </c>
      <c r="L162" t="n">
        <v/>
      </c>
      <c r="M162" t="n">
        <v/>
      </c>
    </row>
    <row r="163">
      <c r="A163" s="68" t="n">
        <v>25750</v>
      </c>
      <c r="B163" t="n">
        <v/>
      </c>
      <c r="C163" t="n">
        <v/>
      </c>
      <c r="D163" t="n">
        <v/>
      </c>
      <c r="E163" t="n">
        <v/>
      </c>
      <c r="F163" t="n">
        <v/>
      </c>
      <c r="G163" t="n">
        <v>4992.357</v>
      </c>
      <c r="H163" t="n">
        <v>0.009131358194135462</v>
      </c>
      <c r="I163" t="n">
        <v>0.00420803239832404</v>
      </c>
      <c r="J163" t="n">
        <v>0.03702877549663608</v>
      </c>
      <c r="K163" t="n">
        <v>0.009215508301376359</v>
      </c>
      <c r="L163" t="n">
        <v>0.03737472450741652</v>
      </c>
      <c r="M163" t="n">
        <v>0.004225814763759255</v>
      </c>
    </row>
    <row r="164">
      <c r="A164" s="68" t="n">
        <v>25781</v>
      </c>
      <c r="B164" t="n">
        <v/>
      </c>
      <c r="C164" t="n">
        <v/>
      </c>
      <c r="D164" t="n">
        <v>77.59999999999999</v>
      </c>
      <c r="E164" t="n">
        <v>80.59999999999999</v>
      </c>
      <c r="F164" t="n">
        <v>75.7</v>
      </c>
      <c r="G164" t="n">
        <v/>
      </c>
      <c r="H164" t="n">
        <v/>
      </c>
      <c r="I164" t="n">
        <v/>
      </c>
      <c r="J164" t="n">
        <v/>
      </c>
      <c r="K164" t="n">
        <v/>
      </c>
      <c r="L164" t="n">
        <v/>
      </c>
      <c r="M164" t="n">
        <v/>
      </c>
    </row>
    <row r="165">
      <c r="A165" s="68" t="n">
        <v>25842</v>
      </c>
      <c r="B165" t="n">
        <v/>
      </c>
      <c r="C165" t="n">
        <v/>
      </c>
      <c r="D165" t="n">
        <v/>
      </c>
      <c r="E165" t="n">
        <v/>
      </c>
      <c r="F165" t="n">
        <v/>
      </c>
      <c r="G165" t="n">
        <v>4938.857</v>
      </c>
      <c r="H165" t="n">
        <v>-0.01083246589241195</v>
      </c>
      <c r="I165" t="n">
        <v>-0.001669819555415413</v>
      </c>
      <c r="J165" t="n">
        <v>-0.04263088032316675</v>
      </c>
      <c r="K165" t="n">
        <v>-0.01071638106008845</v>
      </c>
      <c r="L165" t="n">
        <v>-0.04218138882587208</v>
      </c>
      <c r="M165" t="n">
        <v>-0.001667035906259561</v>
      </c>
    </row>
    <row r="166">
      <c r="A166" s="68" t="n">
        <v>25873</v>
      </c>
      <c r="B166" t="n">
        <v/>
      </c>
      <c r="C166" t="n">
        <v/>
      </c>
      <c r="D166" t="n">
        <v>72.40000000000001</v>
      </c>
      <c r="E166" t="n">
        <v>74</v>
      </c>
      <c r="F166" t="n">
        <v>71.3</v>
      </c>
      <c r="G166" t="n">
        <v/>
      </c>
      <c r="H166" t="n">
        <v/>
      </c>
      <c r="I166" t="n">
        <v/>
      </c>
      <c r="J166" t="n">
        <v/>
      </c>
      <c r="K166" t="n">
        <v/>
      </c>
      <c r="L166" t="n">
        <v/>
      </c>
      <c r="M166" t="n">
        <v/>
      </c>
    </row>
    <row r="167">
      <c r="A167" s="68" t="n">
        <v>25934</v>
      </c>
      <c r="B167" t="n">
        <v/>
      </c>
      <c r="C167" t="n">
        <v/>
      </c>
      <c r="D167" t="n">
        <v/>
      </c>
      <c r="E167" t="n">
        <v/>
      </c>
      <c r="F167" t="n">
        <v/>
      </c>
      <c r="G167" t="n">
        <v>5072.996</v>
      </c>
      <c r="H167" t="n">
        <v>0.02644177129254589</v>
      </c>
      <c r="I167" t="n">
        <v>0.02626396709163581</v>
      </c>
      <c r="J167" t="n">
        <v>0.1100365265036758</v>
      </c>
      <c r="K167" t="n">
        <v>0.02715992789424762</v>
      </c>
      <c r="L167" t="n">
        <v>0.1131463651735802</v>
      </c>
      <c r="M167" t="n">
        <v>0.02697236849004174</v>
      </c>
    </row>
    <row r="168">
      <c r="A168" s="68" t="n">
        <v>25965</v>
      </c>
      <c r="B168" t="n">
        <v/>
      </c>
      <c r="C168" t="n">
        <v/>
      </c>
      <c r="D168" t="n">
        <v>78.09999999999999</v>
      </c>
      <c r="E168" t="n">
        <v>81.7</v>
      </c>
      <c r="F168" t="n">
        <v>75.90000000000001</v>
      </c>
      <c r="G168" t="n">
        <v/>
      </c>
      <c r="H168" t="n">
        <v/>
      </c>
      <c r="I168" t="n">
        <v/>
      </c>
      <c r="J168" t="n">
        <v/>
      </c>
      <c r="K168" t="n">
        <v/>
      </c>
      <c r="L168" t="n">
        <v/>
      </c>
      <c r="M168" t="n">
        <v/>
      </c>
    </row>
    <row r="169">
      <c r="A169" s="68" t="n">
        <v>26024</v>
      </c>
      <c r="B169" t="n">
        <v/>
      </c>
      <c r="C169" t="n">
        <v/>
      </c>
      <c r="D169" t="n">
        <v/>
      </c>
      <c r="E169" t="n">
        <v/>
      </c>
      <c r="F169" t="n">
        <v/>
      </c>
      <c r="G169" t="n">
        <v>5100.447</v>
      </c>
      <c r="H169" t="n">
        <v>0.00538207729636246</v>
      </c>
      <c r="I169" t="n">
        <v>0.0301301042830167</v>
      </c>
      <c r="J169" t="n">
        <v>0.02170273416594659</v>
      </c>
      <c r="K169" t="n">
        <v>0.005411200797319773</v>
      </c>
      <c r="L169" t="n">
        <v>0.02182112439459316</v>
      </c>
      <c r="M169" t="n">
        <v>0.03106613002019493</v>
      </c>
    </row>
    <row r="170">
      <c r="A170" s="68" t="n">
        <v>26054</v>
      </c>
      <c r="B170" t="n">
        <v/>
      </c>
      <c r="C170" t="n">
        <v/>
      </c>
      <c r="D170" t="n">
        <v>80.2</v>
      </c>
      <c r="E170" t="n">
        <v>87</v>
      </c>
      <c r="F170" t="n">
        <v>75.90000000000001</v>
      </c>
      <c r="G170" t="n">
        <v/>
      </c>
      <c r="H170" t="n">
        <v/>
      </c>
      <c r="I170" t="n">
        <v/>
      </c>
      <c r="J170" t="n">
        <v/>
      </c>
      <c r="K170" t="n">
        <v/>
      </c>
      <c r="L170" t="n">
        <v/>
      </c>
      <c r="M170" t="n">
        <v/>
      </c>
    </row>
    <row r="171">
      <c r="A171" s="68" t="n">
        <v>26115</v>
      </c>
      <c r="B171" t="n">
        <v/>
      </c>
      <c r="C171" t="n">
        <v/>
      </c>
      <c r="D171" t="n">
        <v/>
      </c>
      <c r="E171" t="n">
        <v/>
      </c>
      <c r="F171" t="n">
        <v/>
      </c>
      <c r="G171" t="n">
        <v>5142.422</v>
      </c>
      <c r="H171" t="n">
        <v>0.008162496193427815</v>
      </c>
      <c r="I171" t="n">
        <v>0.02918177465793348</v>
      </c>
      <c r="J171" t="n">
        <v>0.03305192262654844</v>
      </c>
      <c r="K171" t="n">
        <v>0.008229670850417514</v>
      </c>
      <c r="L171" t="n">
        <v>0.03332728238206673</v>
      </c>
      <c r="M171" t="n">
        <v>0.03005894810807793</v>
      </c>
    </row>
    <row r="172">
      <c r="A172" s="68" t="n">
        <v>26146</v>
      </c>
      <c r="B172" t="n">
        <v/>
      </c>
      <c r="C172" t="n">
        <v/>
      </c>
      <c r="D172" t="n">
        <v>82.09999999999999</v>
      </c>
      <c r="E172" t="n">
        <v>87.8</v>
      </c>
      <c r="F172" t="n">
        <v>78.40000000000001</v>
      </c>
      <c r="G172" t="n">
        <v/>
      </c>
      <c r="H172" t="n">
        <v/>
      </c>
      <c r="I172" t="n">
        <v/>
      </c>
      <c r="J172" t="n">
        <v/>
      </c>
      <c r="K172" t="n">
        <v/>
      </c>
      <c r="L172" t="n">
        <v/>
      </c>
      <c r="M172" t="n">
        <v/>
      </c>
    </row>
    <row r="173">
      <c r="A173" s="68" t="n">
        <v>26207</v>
      </c>
      <c r="B173" t="n">
        <v/>
      </c>
      <c r="C173" t="n">
        <v/>
      </c>
      <c r="D173" t="n">
        <v/>
      </c>
      <c r="E173" t="n">
        <v/>
      </c>
      <c r="F173" t="n">
        <v/>
      </c>
      <c r="G173" t="n">
        <v>5154.547</v>
      </c>
      <c r="H173" t="n">
        <v>0.002352292063686683</v>
      </c>
      <c r="I173" t="n">
        <v>0.04184460826528492</v>
      </c>
      <c r="J173" t="n">
        <v>0.009442420016624542</v>
      </c>
      <c r="K173" t="n">
        <v>0.002357838388214737</v>
      </c>
      <c r="L173" t="n">
        <v>0.009464762427640272</v>
      </c>
      <c r="M173" t="n">
        <v>0.04367204800624914</v>
      </c>
    </row>
    <row r="174">
      <c r="A174" s="68" t="n">
        <v>26238</v>
      </c>
      <c r="B174" t="n">
        <v/>
      </c>
      <c r="C174" t="n">
        <v/>
      </c>
      <c r="D174" t="n">
        <v>82</v>
      </c>
      <c r="E174" t="n">
        <v>89.59999999999999</v>
      </c>
      <c r="F174" t="n">
        <v>77.2</v>
      </c>
      <c r="G174" t="n">
        <v/>
      </c>
      <c r="H174" t="n">
        <v/>
      </c>
      <c r="I174" t="n">
        <v/>
      </c>
      <c r="J174" t="n">
        <v/>
      </c>
      <c r="K174" t="n">
        <v/>
      </c>
      <c r="L174" t="n">
        <v/>
      </c>
      <c r="M174" t="n">
        <v/>
      </c>
    </row>
    <row r="175">
      <c r="A175" s="68" t="n">
        <v>26299</v>
      </c>
      <c r="B175" t="n">
        <v/>
      </c>
      <c r="C175" t="n">
        <v/>
      </c>
      <c r="D175" t="n">
        <v/>
      </c>
      <c r="E175" t="n">
        <v/>
      </c>
      <c r="F175" t="n">
        <v/>
      </c>
      <c r="G175" t="n">
        <v>5249.337</v>
      </c>
      <c r="H175" t="n">
        <v>0.0180575185018605</v>
      </c>
      <c r="I175" t="n">
        <v>0.03359300422129505</v>
      </c>
      <c r="J175" t="n">
        <v>0.07421017652565531</v>
      </c>
      <c r="K175" t="n">
        <v>0.01838958884262785</v>
      </c>
      <c r="L175" t="n">
        <v>0.075612407343296</v>
      </c>
      <c r="M175" t="n">
        <v>0.03476072127791947</v>
      </c>
    </row>
    <row r="176">
      <c r="A176" s="68" t="n">
        <v>26330</v>
      </c>
      <c r="B176" t="n">
        <v/>
      </c>
      <c r="C176" t="n">
        <v/>
      </c>
      <c r="D176" t="n">
        <v>92.8</v>
      </c>
      <c r="E176" t="n">
        <v>95.7</v>
      </c>
      <c r="F176" t="n">
        <v>90.90000000000001</v>
      </c>
      <c r="G176" t="n">
        <v/>
      </c>
      <c r="H176" t="n">
        <v/>
      </c>
      <c r="I176" t="n">
        <v/>
      </c>
      <c r="J176" t="n">
        <v/>
      </c>
      <c r="K176" t="n">
        <v/>
      </c>
      <c r="L176" t="n">
        <v/>
      </c>
      <c r="M176" t="n">
        <v/>
      </c>
    </row>
    <row r="177">
      <c r="A177" s="68" t="n">
        <v>26390</v>
      </c>
      <c r="B177" t="n">
        <v/>
      </c>
      <c r="C177" t="n">
        <v/>
      </c>
      <c r="D177" t="n">
        <v/>
      </c>
      <c r="E177" t="n">
        <v/>
      </c>
      <c r="F177" t="n">
        <v/>
      </c>
      <c r="G177" t="n">
        <v>5368.485</v>
      </c>
      <c r="H177" t="n">
        <v>0.02219397092475796</v>
      </c>
      <c r="I177" t="n">
        <v>0.0499280523276119</v>
      </c>
      <c r="J177" t="n">
        <v>0.09177528894425113</v>
      </c>
      <c r="K177" t="n">
        <v>0.02269772354108704</v>
      </c>
      <c r="L177" t="n">
        <v>0.09392905376229566</v>
      </c>
      <c r="M177" t="n">
        <v>0.05255186457186979</v>
      </c>
    </row>
    <row r="178">
      <c r="A178" s="68" t="n">
        <v>26420</v>
      </c>
      <c r="B178" t="n">
        <v/>
      </c>
      <c r="C178" t="n">
        <v/>
      </c>
      <c r="D178" t="n">
        <v>88.59999999999999</v>
      </c>
      <c r="E178" t="n">
        <v>98.59999999999999</v>
      </c>
      <c r="F178" t="n">
        <v>82.2</v>
      </c>
      <c r="G178" t="n">
        <v/>
      </c>
      <c r="H178" t="n">
        <v/>
      </c>
      <c r="I178" t="n">
        <v/>
      </c>
      <c r="J178" t="n">
        <v/>
      </c>
      <c r="K178" t="n">
        <v/>
      </c>
      <c r="L178" t="n">
        <v/>
      </c>
      <c r="M178" t="n">
        <v/>
      </c>
    </row>
    <row r="179">
      <c r="A179" s="68" t="n">
        <v>26481</v>
      </c>
      <c r="B179" t="n">
        <v/>
      </c>
      <c r="C179" t="n">
        <v/>
      </c>
      <c r="D179" t="n">
        <v/>
      </c>
      <c r="E179" t="n">
        <v/>
      </c>
      <c r="F179" t="n">
        <v/>
      </c>
      <c r="G179" t="n">
        <v>5419.184</v>
      </c>
      <c r="H179" t="n">
        <v>0.009355467539024422</v>
      </c>
      <c r="I179" t="n">
        <v>0.05107078851723813</v>
      </c>
      <c r="J179" t="n">
        <v>0.03795030179461167</v>
      </c>
      <c r="K179" t="n">
        <v>0.009443818880000693</v>
      </c>
      <c r="L179" t="n">
        <v>0.03831376677928255</v>
      </c>
      <c r="M179" t="n">
        <v>0.05381938705147121</v>
      </c>
    </row>
    <row r="180">
      <c r="A180" s="68" t="n">
        <v>26512</v>
      </c>
      <c r="B180" t="n">
        <v/>
      </c>
      <c r="C180" t="n">
        <v/>
      </c>
      <c r="D180" t="n">
        <v>95.2</v>
      </c>
      <c r="E180" t="n">
        <v>101.2</v>
      </c>
      <c r="F180" t="n">
        <v>91.3</v>
      </c>
      <c r="G180" t="n">
        <v/>
      </c>
      <c r="H180" t="n">
        <v/>
      </c>
      <c r="I180" t="n">
        <v/>
      </c>
      <c r="J180" t="n">
        <v/>
      </c>
      <c r="K180" t="n">
        <v/>
      </c>
      <c r="L180" t="n">
        <v/>
      </c>
      <c r="M180" t="n">
        <v/>
      </c>
    </row>
    <row r="181">
      <c r="A181" s="68" t="n">
        <v>26573</v>
      </c>
      <c r="B181" t="n">
        <v/>
      </c>
      <c r="C181" t="n">
        <v/>
      </c>
      <c r="D181" t="n">
        <v/>
      </c>
      <c r="E181" t="n">
        <v/>
      </c>
      <c r="F181" t="n">
        <v/>
      </c>
      <c r="G181" t="n">
        <v>5509.926</v>
      </c>
      <c r="H181" t="n">
        <v>0.01646882371922966</v>
      </c>
      <c r="I181" t="n">
        <v>0.06449796240457691</v>
      </c>
      <c r="J181" t="n">
        <v>0.06752056820596386</v>
      </c>
      <c r="K181" t="n">
        <v>0.01674458737699258</v>
      </c>
      <c r="L181" t="n">
        <v>0.06867949483058555</v>
      </c>
      <c r="M181" t="n">
        <v>0.06894475887017829</v>
      </c>
    </row>
    <row r="182">
      <c r="A182" s="68" t="n">
        <v>26604</v>
      </c>
      <c r="B182" t="n">
        <v/>
      </c>
      <c r="C182" t="n">
        <v/>
      </c>
      <c r="D182" t="n">
        <v>90.7</v>
      </c>
      <c r="E182" t="n">
        <v>95.2</v>
      </c>
      <c r="F182" t="n">
        <v>87.8</v>
      </c>
      <c r="G182" t="n">
        <v/>
      </c>
      <c r="H182" t="n">
        <v/>
      </c>
      <c r="I182" t="n">
        <v/>
      </c>
      <c r="J182" t="n">
        <v/>
      </c>
      <c r="K182" t="n">
        <v/>
      </c>
      <c r="L182" t="n">
        <v/>
      </c>
      <c r="M182" t="n">
        <v/>
      </c>
    </row>
    <row r="183">
      <c r="A183" s="68" t="n">
        <v>26665</v>
      </c>
      <c r="B183" t="n">
        <v/>
      </c>
      <c r="C183" t="n">
        <v/>
      </c>
      <c r="D183" t="n">
        <v/>
      </c>
      <c r="E183" t="n">
        <v/>
      </c>
      <c r="F183" t="n">
        <v/>
      </c>
      <c r="G183" t="n">
        <v>5646.286</v>
      </c>
      <c r="H183" t="n">
        <v>0.02415038841461443</v>
      </c>
      <c r="I183" t="n">
        <v>0.07030267329710178</v>
      </c>
      <c r="J183" t="n">
        <v>0.1001576834042153</v>
      </c>
      <c r="K183" t="n">
        <v>0.02474806376709953</v>
      </c>
      <c r="L183" t="n">
        <v>0.1027280596009803</v>
      </c>
      <c r="M183" t="n">
        <v>0.07561888291797604</v>
      </c>
    </row>
    <row r="184">
      <c r="A184" s="68" t="n">
        <v>26696</v>
      </c>
      <c r="B184" t="n">
        <v/>
      </c>
      <c r="C184" t="n">
        <v/>
      </c>
      <c r="D184" t="n">
        <v>81.90000000000001</v>
      </c>
      <c r="E184" t="n">
        <v>95.09999999999999</v>
      </c>
      <c r="F184" t="n">
        <v>73.3</v>
      </c>
      <c r="G184" t="n">
        <v/>
      </c>
      <c r="H184" t="n">
        <v/>
      </c>
      <c r="I184" t="n">
        <v/>
      </c>
      <c r="J184" t="n">
        <v/>
      </c>
      <c r="K184" t="n">
        <v/>
      </c>
      <c r="L184" t="n">
        <v/>
      </c>
      <c r="M184" t="n">
        <v/>
      </c>
    </row>
    <row r="185">
      <c r="A185" s="68" t="n">
        <v>26755</v>
      </c>
      <c r="B185" t="n">
        <v/>
      </c>
      <c r="C185" t="n">
        <v/>
      </c>
      <c r="D185" t="n">
        <v/>
      </c>
      <c r="E185" t="n">
        <v/>
      </c>
      <c r="F185" t="n">
        <v/>
      </c>
      <c r="G185" t="n">
        <v>5707.755</v>
      </c>
      <c r="H185" t="n">
        <v>0.01076938305866318</v>
      </c>
      <c r="I185" t="n">
        <v>0.05944018269880197</v>
      </c>
      <c r="J185" t="n">
        <v>0.04377841947016003</v>
      </c>
      <c r="K185" t="n">
        <v>0.01088662529669947</v>
      </c>
      <c r="L185" t="n">
        <v>0.04426278796636973</v>
      </c>
      <c r="M185" t="n">
        <v>0.06319660015814527</v>
      </c>
    </row>
    <row r="186">
      <c r="A186" s="68" t="n">
        <v>26785</v>
      </c>
      <c r="B186" t="n">
        <v/>
      </c>
      <c r="C186" t="n">
        <v/>
      </c>
      <c r="D186" t="n">
        <v>77</v>
      </c>
      <c r="E186" t="n">
        <v>92</v>
      </c>
      <c r="F186" t="n">
        <v>67.3</v>
      </c>
      <c r="G186" t="n">
        <v/>
      </c>
      <c r="H186" t="n">
        <v/>
      </c>
      <c r="I186" t="n">
        <v/>
      </c>
      <c r="J186" t="n">
        <v/>
      </c>
      <c r="K186" t="n">
        <v/>
      </c>
      <c r="L186" t="n">
        <v/>
      </c>
      <c r="M186" t="n">
        <v/>
      </c>
    </row>
    <row r="187">
      <c r="A187" s="68" t="n">
        <v>26846</v>
      </c>
      <c r="B187" t="n">
        <v/>
      </c>
      <c r="C187" t="n">
        <v/>
      </c>
      <c r="D187" t="n">
        <v/>
      </c>
      <c r="E187" t="n">
        <v/>
      </c>
      <c r="F187" t="n">
        <v/>
      </c>
      <c r="G187" t="n">
        <v>5677.738</v>
      </c>
      <c r="H187" t="n">
        <v>-0.005286788506267782</v>
      </c>
      <c r="I187" t="n">
        <v>0.0455382055318509</v>
      </c>
      <c r="J187" t="n">
        <v>-0.02098004351336247</v>
      </c>
      <c r="K187" t="n">
        <v>-0.005258985362896589</v>
      </c>
      <c r="L187" t="n">
        <v>-0.02087058091389593</v>
      </c>
      <c r="M187" t="n">
        <v>0.04771087307609412</v>
      </c>
    </row>
    <row r="188">
      <c r="A188" s="68" t="n">
        <v>26877</v>
      </c>
      <c r="B188" t="n">
        <v/>
      </c>
      <c r="C188" t="n">
        <v/>
      </c>
      <c r="D188" t="n">
        <v>72</v>
      </c>
      <c r="E188" t="n">
        <v>85.90000000000001</v>
      </c>
      <c r="F188" t="n">
        <v>63</v>
      </c>
      <c r="G188" t="n">
        <v/>
      </c>
      <c r="H188" t="n">
        <v/>
      </c>
      <c r="I188" t="n">
        <v/>
      </c>
      <c r="J188" t="n">
        <v/>
      </c>
      <c r="K188" t="n">
        <v/>
      </c>
      <c r="L188" t="n">
        <v/>
      </c>
      <c r="M188" t="n">
        <v/>
      </c>
    </row>
    <row r="189">
      <c r="A189" s="68" t="n">
        <v>26938</v>
      </c>
      <c r="B189" t="n">
        <v/>
      </c>
      <c r="C189" t="n">
        <v/>
      </c>
      <c r="D189" t="n">
        <v/>
      </c>
      <c r="E189" t="n">
        <v/>
      </c>
      <c r="F189" t="n">
        <v/>
      </c>
      <c r="G189" t="n">
        <v>5731.632</v>
      </c>
      <c r="H189" t="n">
        <v>0.009402906536916418</v>
      </c>
      <c r="I189" t="n">
        <v>0.03868112956309813</v>
      </c>
      <c r="J189" t="n">
        <v>0.03814544729168001</v>
      </c>
      <c r="K189" t="n">
        <v>0.009492160434313687</v>
      </c>
      <c r="L189" t="n">
        <v>0.03851267753048382</v>
      </c>
      <c r="M189" t="n">
        <v>0.0402375639890625</v>
      </c>
    </row>
    <row r="190">
      <c r="A190" s="68" t="n">
        <v>26969</v>
      </c>
      <c r="B190" t="n">
        <v/>
      </c>
      <c r="C190" t="n">
        <v/>
      </c>
      <c r="D190" t="n">
        <v>76.5</v>
      </c>
      <c r="E190" t="n">
        <v>91</v>
      </c>
      <c r="F190" t="n">
        <v>67.09999999999999</v>
      </c>
      <c r="G190" t="n">
        <v/>
      </c>
      <c r="H190" t="n">
        <v/>
      </c>
      <c r="I190" t="n">
        <v/>
      </c>
      <c r="J190" t="n">
        <v/>
      </c>
      <c r="K190" t="n">
        <v/>
      </c>
      <c r="L190" t="n">
        <v/>
      </c>
      <c r="M190" t="n">
        <v/>
      </c>
    </row>
    <row r="191">
      <c r="A191" s="68" t="n">
        <v>27030</v>
      </c>
      <c r="B191" t="n">
        <v/>
      </c>
      <c r="C191" t="n">
        <v/>
      </c>
      <c r="D191" t="n">
        <v/>
      </c>
      <c r="E191" t="n">
        <v/>
      </c>
      <c r="F191" t="n">
        <v/>
      </c>
      <c r="G191" t="n">
        <v>5682.353</v>
      </c>
      <c r="H191" t="n">
        <v>-0.008672287694903774</v>
      </c>
      <c r="I191" t="n">
        <v>0.006347194551271279</v>
      </c>
      <c r="J191" t="n">
        <v>-0.03424050260166522</v>
      </c>
      <c r="K191" t="n">
        <v>-0.008597725743732246</v>
      </c>
      <c r="L191" t="n">
        <v>-0.03394991438893069</v>
      </c>
      <c r="M191" t="n">
        <v>0.006387738771999861</v>
      </c>
    </row>
    <row r="192">
      <c r="A192" s="68" t="n">
        <v>27061</v>
      </c>
      <c r="B192" t="n">
        <v/>
      </c>
      <c r="C192" t="n">
        <v/>
      </c>
      <c r="D192" t="n">
        <v>61.8</v>
      </c>
      <c r="E192" t="n">
        <v>81.09999999999999</v>
      </c>
      <c r="F192" t="n">
        <v>49.4</v>
      </c>
      <c r="G192" t="n">
        <v/>
      </c>
      <c r="H192" t="n">
        <v/>
      </c>
      <c r="I192" t="n">
        <v/>
      </c>
      <c r="J192" t="n">
        <v/>
      </c>
      <c r="K192" t="n">
        <v/>
      </c>
      <c r="L192" t="n">
        <v/>
      </c>
      <c r="M192" t="n">
        <v/>
      </c>
    </row>
    <row r="193">
      <c r="A193" s="68" t="n">
        <v>27120</v>
      </c>
      <c r="B193" t="n">
        <v/>
      </c>
      <c r="C193" t="n">
        <v/>
      </c>
      <c r="D193" t="n">
        <v/>
      </c>
      <c r="E193" t="n">
        <v/>
      </c>
      <c r="F193" t="n">
        <v/>
      </c>
      <c r="G193" t="n">
        <v>5695.859</v>
      </c>
      <c r="H193" t="n">
        <v>0.002371196337549843</v>
      </c>
      <c r="I193" t="n">
        <v>-0.002088534846104816</v>
      </c>
      <c r="J193" t="n">
        <v>0.009518574143129399</v>
      </c>
      <c r="K193" t="n">
        <v>0.002376832273531812</v>
      </c>
      <c r="L193" t="n">
        <v>0.009541278826036503</v>
      </c>
      <c r="M193" t="n">
        <v>-0.002084181959456867</v>
      </c>
    </row>
    <row r="194">
      <c r="A194" s="68" t="n">
        <v>27150</v>
      </c>
      <c r="B194" t="n">
        <v/>
      </c>
      <c r="C194" t="n">
        <v/>
      </c>
      <c r="D194" t="n">
        <v>72.09999999999999</v>
      </c>
      <c r="E194" t="n">
        <v>84.90000000000001</v>
      </c>
      <c r="F194" t="n">
        <v>63.9</v>
      </c>
      <c r="G194" t="n">
        <v/>
      </c>
      <c r="H194" t="n">
        <v/>
      </c>
      <c r="I194" t="n">
        <v/>
      </c>
      <c r="J194" t="n">
        <v/>
      </c>
      <c r="K194" t="n">
        <v/>
      </c>
      <c r="L194" t="n">
        <v/>
      </c>
      <c r="M194" t="n">
        <v/>
      </c>
    </row>
    <row r="195">
      <c r="A195" s="68" t="n">
        <v>27211</v>
      </c>
      <c r="B195" t="n">
        <v/>
      </c>
      <c r="C195" t="n">
        <v/>
      </c>
      <c r="D195" t="n">
        <v/>
      </c>
      <c r="E195" t="n">
        <v/>
      </c>
      <c r="F195" t="n">
        <v/>
      </c>
      <c r="G195" t="n">
        <v>5642.025</v>
      </c>
      <c r="H195" t="n">
        <v>-0.009541609617114555</v>
      </c>
      <c r="I195" t="n">
        <v>-0.00632981952401853</v>
      </c>
      <c r="J195" t="n">
        <v>-0.03762365105612153</v>
      </c>
      <c r="K195" t="n">
        <v>-0.009451427782885907</v>
      </c>
      <c r="L195" t="n">
        <v>-0.03727310339376178</v>
      </c>
      <c r="M195" t="n">
        <v>-0.006290004928018983</v>
      </c>
    </row>
    <row r="196">
      <c r="A196" s="68" t="n">
        <v>27242</v>
      </c>
      <c r="B196" t="n">
        <v/>
      </c>
      <c r="C196" t="n">
        <v/>
      </c>
      <c r="D196" t="n">
        <v>64.40000000000001</v>
      </c>
      <c r="E196" t="n">
        <v>75</v>
      </c>
      <c r="F196" t="n">
        <v>57.6</v>
      </c>
      <c r="G196" t="n">
        <v/>
      </c>
      <c r="H196" t="n">
        <v/>
      </c>
      <c r="I196" t="n">
        <v/>
      </c>
      <c r="J196" t="n">
        <v/>
      </c>
      <c r="K196" t="n">
        <v/>
      </c>
      <c r="L196" t="n">
        <v/>
      </c>
      <c r="M196" t="n">
        <v/>
      </c>
    </row>
    <row r="197">
      <c r="A197" s="68" t="n">
        <v>27303</v>
      </c>
      <c r="B197" t="n">
        <v/>
      </c>
      <c r="C197" t="n">
        <v/>
      </c>
      <c r="D197" t="n">
        <v/>
      </c>
      <c r="E197" t="n">
        <v/>
      </c>
      <c r="F197" t="n">
        <v/>
      </c>
      <c r="G197" t="n">
        <v>5620.126</v>
      </c>
      <c r="H197" t="n">
        <v>-0.003896531857114846</v>
      </c>
      <c r="I197" t="n">
        <v>-0.01984048044474437</v>
      </c>
      <c r="J197" t="n">
        <v>-0.01549526607841312</v>
      </c>
      <c r="K197" t="n">
        <v>-0.003881407827863123</v>
      </c>
      <c r="L197" t="n">
        <v>-0.01543547302283976</v>
      </c>
      <c r="M197" t="n">
        <v>-0.01945449393820109</v>
      </c>
    </row>
    <row r="198">
      <c r="A198" s="68" t="n">
        <v>27334</v>
      </c>
      <c r="B198" t="n">
        <v/>
      </c>
      <c r="C198" t="n">
        <v/>
      </c>
      <c r="D198" t="n">
        <v>59.5</v>
      </c>
      <c r="E198" t="n">
        <v>72.40000000000001</v>
      </c>
      <c r="F198" t="n">
        <v>51.2</v>
      </c>
      <c r="G198" t="n">
        <v/>
      </c>
      <c r="H198" t="n">
        <v/>
      </c>
      <c r="I198" t="n">
        <v/>
      </c>
      <c r="J198" t="n">
        <v/>
      </c>
      <c r="K198" t="n">
        <v/>
      </c>
      <c r="L198" t="n">
        <v/>
      </c>
      <c r="M198" t="n">
        <v/>
      </c>
    </row>
    <row r="199">
      <c r="A199" s="68" t="n">
        <v>27395</v>
      </c>
      <c r="B199" t="n">
        <v/>
      </c>
      <c r="C199" t="n">
        <v/>
      </c>
      <c r="D199" t="n">
        <v/>
      </c>
      <c r="E199" t="n">
        <v/>
      </c>
      <c r="F199" t="n">
        <v/>
      </c>
      <c r="G199" t="n">
        <v>5551.713</v>
      </c>
      <c r="H199" t="n">
        <v>-0.01232286323158284</v>
      </c>
      <c r="I199" t="n">
        <v>-0.02353147578053843</v>
      </c>
      <c r="J199" t="n">
        <v>-0.04838779717060659</v>
      </c>
      <c r="K199" t="n">
        <v>-0.01217285875797099</v>
      </c>
      <c r="L199" t="n">
        <v>-0.04780955715630564</v>
      </c>
      <c r="M199" t="n">
        <v>-0.0229904759524796</v>
      </c>
    </row>
    <row r="200">
      <c r="A200" s="68" t="n">
        <v>27426</v>
      </c>
      <c r="B200" t="n">
        <v/>
      </c>
      <c r="C200" t="n">
        <v/>
      </c>
      <c r="D200" t="n">
        <v>57.6</v>
      </c>
      <c r="E200" t="n">
        <v>69.3</v>
      </c>
      <c r="F200" t="n">
        <v>50</v>
      </c>
      <c r="G200" t="n">
        <v/>
      </c>
      <c r="H200" t="n">
        <v/>
      </c>
      <c r="I200" t="n">
        <v/>
      </c>
      <c r="J200" t="n">
        <v/>
      </c>
      <c r="K200" t="n">
        <v/>
      </c>
      <c r="L200" t="n">
        <v/>
      </c>
      <c r="M200" t="n">
        <v/>
      </c>
    </row>
    <row r="201">
      <c r="A201" s="68" t="n">
        <v>27485</v>
      </c>
      <c r="B201" t="n">
        <v/>
      </c>
      <c r="C201" t="n">
        <v/>
      </c>
      <c r="D201" t="n">
        <v/>
      </c>
      <c r="E201" t="n">
        <v/>
      </c>
      <c r="F201" t="n">
        <v/>
      </c>
      <c r="G201" t="n">
        <v>5591.382</v>
      </c>
      <c r="H201" t="n">
        <v>0.007094668187578647</v>
      </c>
      <c r="I201" t="n">
        <v>-0.01868536258120099</v>
      </c>
      <c r="J201" t="n">
        <v>0.02868210960511108</v>
      </c>
      <c r="K201" t="n">
        <v>0.007145362161192387</v>
      </c>
      <c r="L201" t="n">
        <v>0.02888924771416268</v>
      </c>
      <c r="M201" t="n">
        <v>-0.01834262400105072</v>
      </c>
    </row>
    <row r="202">
      <c r="A202" s="68" t="n">
        <v>27515</v>
      </c>
      <c r="B202" t="n">
        <v/>
      </c>
      <c r="C202" t="n">
        <v/>
      </c>
      <c r="D202" t="n">
        <v>72.8</v>
      </c>
      <c r="E202" t="n">
        <v>77.40000000000001</v>
      </c>
      <c r="F202" t="n">
        <v>69.8</v>
      </c>
      <c r="G202" t="n">
        <v/>
      </c>
      <c r="H202" t="n">
        <v/>
      </c>
      <c r="I202" t="n">
        <v/>
      </c>
      <c r="J202" t="n">
        <v/>
      </c>
      <c r="K202" t="n">
        <v/>
      </c>
      <c r="L202" t="n">
        <v/>
      </c>
      <c r="M202" t="n">
        <v/>
      </c>
    </row>
    <row r="203">
      <c r="A203" s="68" t="n">
        <v>27576</v>
      </c>
      <c r="B203" t="n">
        <v/>
      </c>
      <c r="C203" t="n">
        <v/>
      </c>
      <c r="D203" t="n">
        <v/>
      </c>
      <c r="E203" t="n">
        <v/>
      </c>
      <c r="F203" t="n">
        <v/>
      </c>
      <c r="G203" t="n">
        <v>5687.087</v>
      </c>
      <c r="H203" t="n">
        <v>0.0168284747534196</v>
      </c>
      <c r="I203" t="n">
        <v>0.007923564383664396</v>
      </c>
      <c r="J203" t="n">
        <v>0.06903222772182116</v>
      </c>
      <c r="K203" t="n">
        <v>0.0171165196725963</v>
      </c>
      <c r="L203" t="n">
        <v>0.07024407486532014</v>
      </c>
      <c r="M203" t="n">
        <v>0.007986848693510009</v>
      </c>
    </row>
    <row r="204">
      <c r="A204" s="68" t="n">
        <v>27607</v>
      </c>
      <c r="B204" t="n">
        <v/>
      </c>
      <c r="C204" t="n">
        <v/>
      </c>
      <c r="D204" t="n">
        <v>75.7</v>
      </c>
      <c r="E204" t="n">
        <v>83.5</v>
      </c>
      <c r="F204" t="n">
        <v>70.7</v>
      </c>
      <c r="G204" t="n">
        <v/>
      </c>
      <c r="H204" t="n">
        <v/>
      </c>
      <c r="I204" t="n">
        <v/>
      </c>
      <c r="J204" t="n">
        <v/>
      </c>
      <c r="K204" t="n">
        <v/>
      </c>
      <c r="L204" t="n">
        <v/>
      </c>
      <c r="M204" t="n">
        <v/>
      </c>
    </row>
    <row r="205">
      <c r="A205" s="68" t="n">
        <v>27668</v>
      </c>
      <c r="B205" t="n">
        <v/>
      </c>
      <c r="C205" t="n">
        <v/>
      </c>
      <c r="D205" t="n">
        <v/>
      </c>
      <c r="E205" t="n">
        <v/>
      </c>
      <c r="F205" t="n">
        <v/>
      </c>
      <c r="G205" t="n">
        <v>5763.665</v>
      </c>
      <c r="H205" t="n">
        <v>0.01328633777292739</v>
      </c>
      <c r="I205" t="n">
        <v>0.02490411916723122</v>
      </c>
      <c r="J205" t="n">
        <v>0.05421392445915219</v>
      </c>
      <c r="K205" t="n">
        <v>0.01346524151995556</v>
      </c>
      <c r="L205" t="n">
        <v>0.05495864100802961</v>
      </c>
      <c r="M205" t="n">
        <v>0.02554017472206135</v>
      </c>
    </row>
    <row r="206">
      <c r="A206" s="68" t="n">
        <v>27699</v>
      </c>
      <c r="B206" t="n">
        <v/>
      </c>
      <c r="C206" t="n">
        <v/>
      </c>
      <c r="D206" t="n">
        <v>75.59999999999999</v>
      </c>
      <c r="E206" t="n">
        <v>84.40000000000001</v>
      </c>
      <c r="F206" t="n">
        <v>69.90000000000001</v>
      </c>
      <c r="G206" t="n">
        <v/>
      </c>
      <c r="H206" t="n">
        <v/>
      </c>
      <c r="I206" t="n">
        <v/>
      </c>
      <c r="J206" t="n">
        <v/>
      </c>
      <c r="K206" t="n">
        <v/>
      </c>
      <c r="L206" t="n">
        <v/>
      </c>
      <c r="M206" t="n">
        <v/>
      </c>
    </row>
    <row r="207">
      <c r="A207" s="68" t="n">
        <v>27760</v>
      </c>
      <c r="B207" t="n">
        <v/>
      </c>
      <c r="C207" t="n">
        <v/>
      </c>
      <c r="D207" t="n">
        <v/>
      </c>
      <c r="E207" t="n">
        <v/>
      </c>
      <c r="F207" t="n">
        <v/>
      </c>
      <c r="G207" t="n">
        <v>5893.276</v>
      </c>
      <c r="H207" t="n">
        <v>0.02199303070142988</v>
      </c>
      <c r="I207" t="n">
        <v>0.05795808647007201</v>
      </c>
      <c r="J207" t="n">
        <v>0.0909170686967633</v>
      </c>
      <c r="K207" t="n">
        <v>0.02248760120513595</v>
      </c>
      <c r="L207" t="n">
        <v>0.09303030101174148</v>
      </c>
      <c r="M207" t="n">
        <v>0.06152389361625864</v>
      </c>
    </row>
    <row r="208">
      <c r="A208" s="68" t="n">
        <v>27791</v>
      </c>
      <c r="B208" t="n">
        <v/>
      </c>
      <c r="C208" t="n">
        <v/>
      </c>
      <c r="D208" t="n">
        <v>84.59999999999999</v>
      </c>
      <c r="E208" t="n">
        <v>89.90000000000001</v>
      </c>
      <c r="F208" t="n">
        <v>81.2</v>
      </c>
      <c r="G208" t="n">
        <v/>
      </c>
      <c r="H208" t="n">
        <v/>
      </c>
      <c r="I208" t="n">
        <v/>
      </c>
      <c r="J208" t="n">
        <v/>
      </c>
      <c r="K208" t="n">
        <v/>
      </c>
      <c r="L208" t="n">
        <v/>
      </c>
      <c r="M208" t="n">
        <v/>
      </c>
    </row>
    <row r="209">
      <c r="A209" s="68" t="n">
        <v>27851</v>
      </c>
      <c r="B209" t="n">
        <v/>
      </c>
      <c r="C209" t="n">
        <v/>
      </c>
      <c r="D209" t="n">
        <v/>
      </c>
      <c r="E209" t="n">
        <v/>
      </c>
      <c r="F209" t="n">
        <v/>
      </c>
      <c r="G209" t="n">
        <v>5936.515</v>
      </c>
      <c r="H209" t="n">
        <v>0.00728356620003495</v>
      </c>
      <c r="I209" t="n">
        <v>0.05813730783127823</v>
      </c>
      <c r="J209" t="n">
        <v>0.02945411521657393</v>
      </c>
      <c r="K209" t="n">
        <v>0.00733700576725076</v>
      </c>
      <c r="L209" t="n">
        <v>0.02967259574123471</v>
      </c>
      <c r="M209" t="n">
        <v>0.06172588458452682</v>
      </c>
    </row>
    <row r="210">
      <c r="A210" s="68" t="n">
        <v>27881</v>
      </c>
      <c r="B210" t="n">
        <v/>
      </c>
      <c r="C210" t="n">
        <v/>
      </c>
      <c r="D210" t="n">
        <v>83.3</v>
      </c>
      <c r="E210" t="n">
        <v>89.09999999999999</v>
      </c>
      <c r="F210" t="n">
        <v>79.5</v>
      </c>
      <c r="G210" t="n">
        <v/>
      </c>
      <c r="H210" t="n">
        <v/>
      </c>
      <c r="I210" t="n">
        <v/>
      </c>
      <c r="J210" t="n">
        <v/>
      </c>
      <c r="K210" t="n">
        <v/>
      </c>
      <c r="L210" t="n">
        <v/>
      </c>
      <c r="M210" t="n">
        <v/>
      </c>
    </row>
    <row r="211">
      <c r="A211" s="68" t="n">
        <v>27942</v>
      </c>
      <c r="B211" t="n">
        <v/>
      </c>
      <c r="C211" t="n">
        <v/>
      </c>
      <c r="D211" t="n">
        <v/>
      </c>
      <c r="E211" t="n">
        <v/>
      </c>
      <c r="F211" t="n">
        <v/>
      </c>
      <c r="G211" t="n">
        <v>5969.089</v>
      </c>
      <c r="H211" t="n">
        <v>0.005457114142543295</v>
      </c>
      <c r="I211" t="n">
        <v>0.04724372513125529</v>
      </c>
      <c r="J211" t="n">
        <v>0.02200778807912074</v>
      </c>
      <c r="K211" t="n">
        <v>0.005487057642404611</v>
      </c>
      <c r="L211" t="n">
        <v>0.02212953909849547</v>
      </c>
      <c r="M211" t="n">
        <v>0.04958636996409576</v>
      </c>
    </row>
    <row r="212">
      <c r="A212" s="68" t="n">
        <v>27973</v>
      </c>
      <c r="B212" t="n">
        <v/>
      </c>
      <c r="C212" t="n">
        <v/>
      </c>
      <c r="D212" t="n">
        <v>89.7</v>
      </c>
      <c r="E212" t="n">
        <v>96.2</v>
      </c>
      <c r="F212" t="n">
        <v>85.5</v>
      </c>
      <c r="G212" t="n">
        <v/>
      </c>
      <c r="H212" t="n">
        <v/>
      </c>
      <c r="I212" t="n">
        <v/>
      </c>
      <c r="J212" t="n">
        <v/>
      </c>
      <c r="K212" t="n">
        <v/>
      </c>
      <c r="L212" t="n">
        <v/>
      </c>
      <c r="M212" t="n">
        <v/>
      </c>
    </row>
    <row r="213">
      <c r="A213" s="68" t="n">
        <v>28034</v>
      </c>
      <c r="B213" t="n">
        <v/>
      </c>
      <c r="C213" t="n">
        <v/>
      </c>
      <c r="D213" t="n">
        <v/>
      </c>
      <c r="E213" t="n">
        <v/>
      </c>
      <c r="F213" t="n">
        <v/>
      </c>
      <c r="G213" t="n">
        <v>6012.356</v>
      </c>
      <c r="H213" t="n">
        <v>0.007196346989433065</v>
      </c>
      <c r="I213" t="n">
        <v>0.04136331913812153</v>
      </c>
      <c r="J213" t="n">
        <v>0.02909760582031029</v>
      </c>
      <c r="K213" t="n">
        <v>0.007248509780973248</v>
      </c>
      <c r="L213" t="n">
        <v>0.02931081062144569</v>
      </c>
      <c r="M213" t="n">
        <v>0.04314806637790361</v>
      </c>
    </row>
    <row r="214">
      <c r="A214" s="68" t="n">
        <v>28065</v>
      </c>
      <c r="B214" t="n">
        <v/>
      </c>
      <c r="C214" t="n">
        <v/>
      </c>
      <c r="D214" t="n">
        <v>87</v>
      </c>
      <c r="E214" t="n">
        <v>88.7</v>
      </c>
      <c r="F214" t="n">
        <v>85.90000000000001</v>
      </c>
      <c r="G214" t="n">
        <v/>
      </c>
      <c r="H214" t="n">
        <v/>
      </c>
      <c r="I214" t="n">
        <v/>
      </c>
      <c r="J214" t="n">
        <v/>
      </c>
      <c r="K214" t="n">
        <v/>
      </c>
      <c r="L214" t="n">
        <v/>
      </c>
      <c r="M214" t="n">
        <v/>
      </c>
    </row>
    <row r="215">
      <c r="A215" s="68" t="n">
        <v>28126</v>
      </c>
      <c r="B215" t="n">
        <v/>
      </c>
      <c r="C215" t="n">
        <v/>
      </c>
      <c r="D215" t="n">
        <v/>
      </c>
      <c r="E215" t="n">
        <v/>
      </c>
      <c r="F215" t="n">
        <v/>
      </c>
      <c r="G215" t="n">
        <v>6083.391</v>
      </c>
      <c r="H215" t="n">
        <v>0.01167687561098734</v>
      </c>
      <c r="I215" t="n">
        <v>0.0312514845749681</v>
      </c>
      <c r="J215" t="n">
        <v>0.04753198612037779</v>
      </c>
      <c r="K215" t="n">
        <v>0.01181483598110289</v>
      </c>
      <c r="L215" t="n">
        <v>0.04810350245376394</v>
      </c>
      <c r="M215" t="n">
        <v>0.03225964641737461</v>
      </c>
    </row>
    <row r="216">
      <c r="A216" s="68" t="n">
        <v>28157</v>
      </c>
      <c r="B216" t="n">
        <v/>
      </c>
      <c r="C216" t="n">
        <v/>
      </c>
      <c r="D216" t="n">
        <v>87.09999999999999</v>
      </c>
      <c r="E216" t="n">
        <v>91.59999999999999</v>
      </c>
      <c r="F216" t="n">
        <v>84.2</v>
      </c>
      <c r="G216" t="n">
        <v/>
      </c>
      <c r="H216" t="n">
        <v/>
      </c>
      <c r="I216" t="n">
        <v/>
      </c>
      <c r="J216" t="n">
        <v/>
      </c>
      <c r="K216" t="n">
        <v/>
      </c>
      <c r="L216" t="n">
        <v/>
      </c>
      <c r="M216" t="n">
        <v/>
      </c>
    </row>
    <row r="217">
      <c r="A217" s="68" t="n">
        <v>28216</v>
      </c>
      <c r="B217" t="n">
        <v/>
      </c>
      <c r="C217" t="n">
        <v/>
      </c>
      <c r="D217" t="n">
        <v/>
      </c>
      <c r="E217" t="n">
        <v/>
      </c>
      <c r="F217" t="n">
        <v/>
      </c>
      <c r="G217" t="n">
        <v>6201.659</v>
      </c>
      <c r="H217" t="n">
        <v>0.01907038100611466</v>
      </c>
      <c r="I217" t="n">
        <v>0.04275372122201484</v>
      </c>
      <c r="J217" t="n">
        <v>0.07849147489880548</v>
      </c>
      <c r="K217" t="n">
        <v>0.01944113077722606</v>
      </c>
      <c r="L217" t="n">
        <v>0.08006180304607624</v>
      </c>
      <c r="M217" t="n">
        <v>0.04466324097555541</v>
      </c>
    </row>
    <row r="218">
      <c r="A218" s="68" t="n">
        <v>28246</v>
      </c>
      <c r="B218" t="n">
        <v/>
      </c>
      <c r="C218" t="n">
        <v/>
      </c>
      <c r="D218" t="n">
        <v>90.2</v>
      </c>
      <c r="E218" t="n">
        <v>100.4</v>
      </c>
      <c r="F218" t="n">
        <v>83.59999999999999</v>
      </c>
      <c r="G218" t="n">
        <v/>
      </c>
      <c r="H218" t="n">
        <v/>
      </c>
      <c r="I218" t="n">
        <v/>
      </c>
      <c r="J218" t="n">
        <v/>
      </c>
      <c r="K218" t="n">
        <v/>
      </c>
      <c r="L218" t="n">
        <v/>
      </c>
      <c r="M218" t="n">
        <v/>
      </c>
    </row>
    <row r="219">
      <c r="A219" s="68" t="n">
        <v>28307</v>
      </c>
      <c r="B219" t="n">
        <v/>
      </c>
      <c r="C219" t="n">
        <v/>
      </c>
      <c r="D219" t="n">
        <v/>
      </c>
      <c r="E219" t="n">
        <v/>
      </c>
      <c r="F219" t="n">
        <v/>
      </c>
      <c r="G219" t="n">
        <v>6313.559</v>
      </c>
      <c r="H219" t="n">
        <v>0.01772375929329251</v>
      </c>
      <c r="I219" t="n">
        <v>0.05456035177623274</v>
      </c>
      <c r="J219" t="n">
        <v>0.07280219608732064</v>
      </c>
      <c r="K219" t="n">
        <v>0.01804355898961884</v>
      </c>
      <c r="L219" t="n">
        <v>0.07415125984790261</v>
      </c>
      <c r="M219" t="n">
        <v>0.05770897368090847</v>
      </c>
    </row>
    <row r="220">
      <c r="A220" s="68" t="n">
        <v>28338</v>
      </c>
      <c r="B220" t="n">
        <v/>
      </c>
      <c r="C220" t="n">
        <v/>
      </c>
      <c r="D220" t="n">
        <v>89</v>
      </c>
      <c r="E220" t="n">
        <v>100.8</v>
      </c>
      <c r="F220" t="n">
        <v>81.5</v>
      </c>
      <c r="G220" t="n">
        <v/>
      </c>
      <c r="H220" t="n">
        <v/>
      </c>
      <c r="I220" t="n">
        <v/>
      </c>
      <c r="J220" t="n">
        <v/>
      </c>
      <c r="K220" t="n">
        <v/>
      </c>
      <c r="L220" t="n">
        <v/>
      </c>
      <c r="M220" t="n">
        <v/>
      </c>
    </row>
    <row r="221">
      <c r="A221" s="68" t="n">
        <v>28399</v>
      </c>
      <c r="B221" t="n">
        <v/>
      </c>
      <c r="C221" t="n">
        <v/>
      </c>
      <c r="D221" t="n">
        <v/>
      </c>
      <c r="E221" t="n">
        <v/>
      </c>
      <c r="F221" t="n">
        <v/>
      </c>
      <c r="G221" t="n">
        <v>6313.697</v>
      </c>
      <c r="H221" t="n">
        <v>2.18572414862354e-05</v>
      </c>
      <c r="I221" t="n">
        <v>0.04772813772976441</v>
      </c>
      <c r="J221" t="n">
        <v>8.743183242088115e-05</v>
      </c>
      <c r="K221" t="n">
        <v>2.185771923568307e-05</v>
      </c>
      <c r="L221" t="n">
        <v>8.743374354391875e-05</v>
      </c>
      <c r="M221" t="n">
        <v>0.05012028562513603</v>
      </c>
    </row>
    <row r="222">
      <c r="A222" s="68" t="n">
        <v>28430</v>
      </c>
      <c r="B222" t="n">
        <v/>
      </c>
      <c r="C222" t="n">
        <v/>
      </c>
      <c r="D222" t="n">
        <v>84.40000000000001</v>
      </c>
      <c r="E222" t="n">
        <v>97.59999999999999</v>
      </c>
      <c r="F222" t="n">
        <v>75.90000000000001</v>
      </c>
      <c r="G222" t="n">
        <v/>
      </c>
      <c r="H222" t="n">
        <v/>
      </c>
      <c r="I222" t="n">
        <v/>
      </c>
      <c r="J222" t="n">
        <v/>
      </c>
      <c r="K222" t="n">
        <v/>
      </c>
      <c r="L222" t="n">
        <v/>
      </c>
      <c r="M222" t="n">
        <v/>
      </c>
    </row>
    <row r="223">
      <c r="A223" s="68" t="n">
        <v>28491</v>
      </c>
      <c r="B223" t="n">
        <v>55.2</v>
      </c>
      <c r="C223" t="n">
        <v/>
      </c>
      <c r="D223" t="n">
        <v>83.7</v>
      </c>
      <c r="E223" t="n">
        <v>96.2</v>
      </c>
      <c r="F223" t="n">
        <v>75.7</v>
      </c>
      <c r="G223" t="n">
        <v>6333.848</v>
      </c>
      <c r="H223" t="n">
        <v>0.00318147830513139</v>
      </c>
      <c r="I223" t="n">
        <v>0.03954262874637982</v>
      </c>
      <c r="J223" t="n">
        <v>0.01278677295741448</v>
      </c>
      <c r="K223" t="n">
        <v>0.003191632414415807</v>
      </c>
      <c r="L223" t="n">
        <v>0.01282777891271847</v>
      </c>
      <c r="M223" t="n">
        <v>0.04117062342367939</v>
      </c>
    </row>
    <row r="224">
      <c r="A224" s="68" t="n">
        <v>28522</v>
      </c>
      <c r="B224" t="n">
        <v>55.5</v>
      </c>
      <c r="C224" t="n">
        <v/>
      </c>
      <c r="D224" t="n">
        <v>84.3</v>
      </c>
      <c r="E224" t="n">
        <v>95.40000000000001</v>
      </c>
      <c r="F224" t="n">
        <v>77.2</v>
      </c>
      <c r="G224" t="n">
        <v/>
      </c>
      <c r="H224" t="n">
        <v/>
      </c>
      <c r="I224" t="n">
        <v/>
      </c>
      <c r="J224" t="n">
        <v/>
      </c>
      <c r="K224" t="n">
        <v/>
      </c>
      <c r="L224" t="n">
        <v/>
      </c>
      <c r="M224" t="n">
        <v/>
      </c>
    </row>
    <row r="225">
      <c r="A225" s="68" t="n">
        <v>28550</v>
      </c>
      <c r="B225" t="n">
        <v>56</v>
      </c>
      <c r="C225" t="n">
        <v/>
      </c>
      <c r="D225" t="n">
        <v>78.8</v>
      </c>
      <c r="E225" t="n">
        <v>93.2</v>
      </c>
      <c r="F225" t="n">
        <v>69.5</v>
      </c>
      <c r="G225" t="n">
        <v/>
      </c>
      <c r="H225" t="n">
        <v/>
      </c>
      <c r="I225" t="n">
        <v/>
      </c>
      <c r="J225" t="n">
        <v/>
      </c>
      <c r="K225" t="n">
        <v/>
      </c>
      <c r="L225" t="n">
        <v/>
      </c>
      <c r="M225" t="n">
        <v/>
      </c>
    </row>
    <row r="226">
      <c r="A226" s="68" t="n">
        <v>28581</v>
      </c>
      <c r="B226" t="n">
        <v>56.6</v>
      </c>
      <c r="C226" t="n">
        <v/>
      </c>
      <c r="D226" t="n">
        <v>81.59999999999999</v>
      </c>
      <c r="E226" t="n">
        <v>98</v>
      </c>
      <c r="F226" t="n">
        <v>71.09999999999999</v>
      </c>
      <c r="G226" t="n">
        <v>6578.605</v>
      </c>
      <c r="H226" t="n">
        <v>0.03720500014820766</v>
      </c>
      <c r="I226" t="n">
        <v>0.05729877382819001</v>
      </c>
      <c r="J226" t="n">
        <v>0.1573331872879822</v>
      </c>
      <c r="K226" t="n">
        <v>0.03864270187727897</v>
      </c>
      <c r="L226" t="n">
        <v>0.1637634019380503</v>
      </c>
      <c r="M226" t="n">
        <v>0.06078147798838987</v>
      </c>
    </row>
    <row r="227">
      <c r="A227" s="68" t="n">
        <v>28611</v>
      </c>
      <c r="B227" t="n">
        <v>56.9</v>
      </c>
      <c r="C227" t="n">
        <v/>
      </c>
      <c r="D227" t="n">
        <v>82.90000000000001</v>
      </c>
      <c r="E227" t="n">
        <v>98.2</v>
      </c>
      <c r="F227" t="n">
        <v>73</v>
      </c>
      <c r="G227" t="n">
        <v/>
      </c>
      <c r="H227" t="n">
        <v/>
      </c>
      <c r="I227" t="n">
        <v/>
      </c>
      <c r="J227" t="n">
        <v/>
      </c>
      <c r="K227" t="n">
        <v/>
      </c>
      <c r="L227" t="n">
        <v/>
      </c>
      <c r="M227" t="n">
        <v/>
      </c>
    </row>
    <row r="228">
      <c r="A228" s="68" t="n">
        <v>28642</v>
      </c>
      <c r="B228" t="n">
        <v>57.1</v>
      </c>
      <c r="C228" t="n">
        <v/>
      </c>
      <c r="D228" t="n">
        <v>80</v>
      </c>
      <c r="E228" t="n">
        <v>98.40000000000001</v>
      </c>
      <c r="F228" t="n">
        <v>68.09999999999999</v>
      </c>
      <c r="G228" t="n">
        <v/>
      </c>
      <c r="H228" t="n">
        <v/>
      </c>
      <c r="I228" t="n">
        <v/>
      </c>
      <c r="J228" t="n">
        <v/>
      </c>
      <c r="K228" t="n">
        <v/>
      </c>
      <c r="L228" t="n">
        <v/>
      </c>
      <c r="M228" t="n">
        <v/>
      </c>
    </row>
    <row r="229">
      <c r="A229" s="68" t="n">
        <v>28672</v>
      </c>
      <c r="B229" t="n">
        <v>57</v>
      </c>
      <c r="C229" t="n">
        <v/>
      </c>
      <c r="D229" t="n">
        <v>82.40000000000001</v>
      </c>
      <c r="E229" t="n">
        <v>98.7</v>
      </c>
      <c r="F229" t="n">
        <v>72</v>
      </c>
      <c r="G229" t="n">
        <v>6644.754</v>
      </c>
      <c r="H229" t="n">
        <v>0.009955071323934693</v>
      </c>
      <c r="I229" t="n">
        <v>0.04984307921707858</v>
      </c>
      <c r="J229" t="n">
        <v>0.04041886211507562</v>
      </c>
      <c r="K229" t="n">
        <v>0.010055171271113</v>
      </c>
      <c r="L229" t="n">
        <v>0.0408314006941799</v>
      </c>
      <c r="M229" t="n">
        <v>0.05245773421932062</v>
      </c>
    </row>
    <row r="230">
      <c r="A230" s="68" t="n">
        <v>28703</v>
      </c>
      <c r="B230" t="n">
        <v>57.4</v>
      </c>
      <c r="C230" t="n">
        <v/>
      </c>
      <c r="D230" t="n">
        <v>78.40000000000001</v>
      </c>
      <c r="E230" t="n">
        <v>96.09999999999999</v>
      </c>
      <c r="F230" t="n">
        <v>67</v>
      </c>
      <c r="G230" t="n">
        <v/>
      </c>
      <c r="H230" t="n">
        <v/>
      </c>
      <c r="I230" t="n">
        <v/>
      </c>
      <c r="J230" t="n">
        <v/>
      </c>
      <c r="K230" t="n">
        <v/>
      </c>
      <c r="L230" t="n">
        <v/>
      </c>
      <c r="M230" t="n">
        <v/>
      </c>
    </row>
    <row r="231">
      <c r="A231" s="68" t="n">
        <v>28734</v>
      </c>
      <c r="B231" t="n">
        <v>57.6</v>
      </c>
      <c r="C231" t="n">
        <v/>
      </c>
      <c r="D231" t="n">
        <v>80.40000000000001</v>
      </c>
      <c r="E231" t="n">
        <v>96.90000000000001</v>
      </c>
      <c r="F231" t="n">
        <v>69.8</v>
      </c>
      <c r="G231" t="n">
        <v/>
      </c>
      <c r="H231" t="n">
        <v/>
      </c>
      <c r="I231" t="n">
        <v/>
      </c>
      <c r="J231" t="n">
        <v/>
      </c>
      <c r="K231" t="n">
        <v/>
      </c>
      <c r="L231" t="n">
        <v/>
      </c>
      <c r="M231" t="n">
        <v/>
      </c>
    </row>
    <row r="232">
      <c r="A232" s="68" t="n">
        <v>28764</v>
      </c>
      <c r="B232" t="n">
        <v>57.6</v>
      </c>
      <c r="C232" t="n">
        <v/>
      </c>
      <c r="D232" t="n">
        <v>79.3</v>
      </c>
      <c r="E232" t="n">
        <v>91.2</v>
      </c>
      <c r="F232" t="n">
        <v>71.7</v>
      </c>
      <c r="G232" t="n">
        <v>6734.069</v>
      </c>
      <c r="H232" t="n">
        <v>0.01326315486223864</v>
      </c>
      <c r="I232" t="n">
        <v>0.06242466479033706</v>
      </c>
      <c r="J232" t="n">
        <v>0.05411745060916018</v>
      </c>
      <c r="K232" t="n">
        <v>0.01344143063836532</v>
      </c>
      <c r="L232" t="n">
        <v>0.05485950150521157</v>
      </c>
      <c r="M232" t="n">
        <v>0.06658095882650059</v>
      </c>
    </row>
    <row r="233">
      <c r="A233" s="68" t="n">
        <v>28795</v>
      </c>
      <c r="B233" t="n">
        <v>57.3</v>
      </c>
      <c r="C233" t="n">
        <v/>
      </c>
      <c r="D233" t="n">
        <v>75</v>
      </c>
      <c r="E233" t="n">
        <v>94.09999999999999</v>
      </c>
      <c r="F233" t="n">
        <v>62.8</v>
      </c>
      <c r="G233" t="n">
        <v/>
      </c>
      <c r="H233" t="n">
        <v/>
      </c>
      <c r="I233" t="n">
        <v/>
      </c>
      <c r="J233" t="n">
        <v/>
      </c>
      <c r="K233" t="n">
        <v/>
      </c>
      <c r="L233" t="n">
        <v/>
      </c>
      <c r="M233" t="n">
        <v/>
      </c>
    </row>
    <row r="234">
      <c r="A234" s="68" t="n">
        <v>28825</v>
      </c>
      <c r="B234" t="n">
        <v>57.3</v>
      </c>
      <c r="C234" t="n">
        <v/>
      </c>
      <c r="D234" t="n">
        <v>66.09999999999999</v>
      </c>
      <c r="E234" t="n">
        <v>85.2</v>
      </c>
      <c r="F234" t="n">
        <v>53.8</v>
      </c>
      <c r="G234" t="n">
        <v/>
      </c>
      <c r="H234" t="n">
        <v/>
      </c>
      <c r="I234" t="n">
        <v/>
      </c>
      <c r="J234" t="n">
        <v/>
      </c>
      <c r="K234" t="n">
        <v/>
      </c>
      <c r="L234" t="n">
        <v/>
      </c>
      <c r="M234" t="n">
        <v/>
      </c>
    </row>
    <row r="235">
      <c r="A235" s="68" t="n">
        <v>28856</v>
      </c>
      <c r="B235" t="n">
        <v>57</v>
      </c>
      <c r="C235" t="n">
        <v/>
      </c>
      <c r="D235" t="n">
        <v>72.09999999999999</v>
      </c>
      <c r="E235" t="n">
        <v>93.3</v>
      </c>
      <c r="F235" t="n">
        <v>58.4</v>
      </c>
      <c r="G235" t="n">
        <v>6746.176</v>
      </c>
      <c r="H235" t="n">
        <v>0.001794646330009767</v>
      </c>
      <c r="I235" t="n">
        <v>0.06112025538616253</v>
      </c>
      <c r="J235" t="n">
        <v>0.007197932983579181</v>
      </c>
      <c r="K235" t="n">
        <v>0.001797872875968448</v>
      </c>
      <c r="L235" t="n">
        <v>0.007210908840985741</v>
      </c>
      <c r="M235" t="n">
        <v>0.06509913089167918</v>
      </c>
    </row>
    <row r="236">
      <c r="A236" s="68" t="n">
        <v>28887</v>
      </c>
      <c r="B236" t="n">
        <v>56.9</v>
      </c>
      <c r="C236" t="n">
        <v/>
      </c>
      <c r="D236" t="n">
        <v>73.90000000000001</v>
      </c>
      <c r="E236" t="n">
        <v>92.2</v>
      </c>
      <c r="F236" t="n">
        <v>62.2</v>
      </c>
      <c r="G236" t="n">
        <v/>
      </c>
      <c r="H236" t="n">
        <v/>
      </c>
      <c r="I236" t="n">
        <v/>
      </c>
      <c r="J236" t="n">
        <v/>
      </c>
      <c r="K236" t="n">
        <v/>
      </c>
      <c r="L236" t="n">
        <v/>
      </c>
      <c r="M236" t="n">
        <v/>
      </c>
    </row>
    <row r="237">
      <c r="A237" s="68" t="n">
        <v>28915</v>
      </c>
      <c r="B237" t="n">
        <v>57.4</v>
      </c>
      <c r="C237" t="n">
        <v/>
      </c>
      <c r="D237" t="n">
        <v>68.40000000000001</v>
      </c>
      <c r="E237" t="n">
        <v>91.2</v>
      </c>
      <c r="F237" t="n">
        <v>53.7</v>
      </c>
      <c r="G237" t="n">
        <v/>
      </c>
      <c r="H237" t="n">
        <v/>
      </c>
      <c r="I237" t="n">
        <v/>
      </c>
      <c r="J237" t="n">
        <v/>
      </c>
      <c r="K237" t="n">
        <v/>
      </c>
      <c r="L237" t="n">
        <v/>
      </c>
      <c r="M237" t="n">
        <v/>
      </c>
    </row>
    <row r="238">
      <c r="A238" s="68" t="n">
        <v>28946</v>
      </c>
      <c r="B238" t="n">
        <v>56.4</v>
      </c>
      <c r="C238" t="n">
        <v/>
      </c>
      <c r="D238" t="n">
        <v>66</v>
      </c>
      <c r="E238" t="n">
        <v>85.90000000000001</v>
      </c>
      <c r="F238" t="n">
        <v>53.3</v>
      </c>
      <c r="G238" t="n">
        <v>6753.389</v>
      </c>
      <c r="H238" t="n">
        <v>0.001068056349189975</v>
      </c>
      <c r="I238" t="n">
        <v>0.02588093178106586</v>
      </c>
      <c r="J238" t="n">
        <v>0.004279074737768784</v>
      </c>
      <c r="K238" t="n">
        <v>0.001069198313236971</v>
      </c>
      <c r="L238" t="n">
        <v>0.0042836572536189</v>
      </c>
      <c r="M238" t="n">
        <v>0.02656855062737474</v>
      </c>
    </row>
    <row r="239">
      <c r="A239" s="68" t="n">
        <v>28976</v>
      </c>
      <c r="B239" t="n">
        <v>56.7</v>
      </c>
      <c r="C239" t="n">
        <v/>
      </c>
      <c r="D239" t="n">
        <v>68.09999999999999</v>
      </c>
      <c r="E239" t="n">
        <v>88.7</v>
      </c>
      <c r="F239" t="n">
        <v>54.9</v>
      </c>
      <c r="G239" t="n">
        <v/>
      </c>
      <c r="H239" t="n">
        <v/>
      </c>
      <c r="I239" t="n">
        <v/>
      </c>
      <c r="J239" t="n">
        <v/>
      </c>
      <c r="K239" t="n">
        <v/>
      </c>
      <c r="L239" t="n">
        <v/>
      </c>
      <c r="M239" t="n">
        <v/>
      </c>
    </row>
    <row r="240">
      <c r="A240" s="68" t="n">
        <v>29007</v>
      </c>
      <c r="B240" t="n">
        <v>56.4</v>
      </c>
      <c r="C240" t="n">
        <v/>
      </c>
      <c r="D240" t="n">
        <v>65.8</v>
      </c>
      <c r="E240" t="n">
        <v>88.2</v>
      </c>
      <c r="F240" t="n">
        <v>51.4</v>
      </c>
      <c r="G240" t="n">
        <v/>
      </c>
      <c r="H240" t="n">
        <v/>
      </c>
      <c r="I240" t="n">
        <v/>
      </c>
      <c r="J240" t="n">
        <v/>
      </c>
      <c r="K240" t="n">
        <v/>
      </c>
      <c r="L240" t="n">
        <v/>
      </c>
      <c r="M240" t="n">
        <v/>
      </c>
    </row>
    <row r="241">
      <c r="A241" s="68" t="n">
        <v>29037</v>
      </c>
      <c r="B241" t="n">
        <v>55.9</v>
      </c>
      <c r="C241" t="n">
        <v/>
      </c>
      <c r="D241" t="n">
        <v>60.4</v>
      </c>
      <c r="E241" t="n">
        <v>85.7</v>
      </c>
      <c r="F241" t="n">
        <v>44.2</v>
      </c>
      <c r="G241" t="n">
        <v>6803.558</v>
      </c>
      <c r="H241" t="n">
        <v>0.007373935814172506</v>
      </c>
      <c r="I241" t="n">
        <v>0.02334131641120721</v>
      </c>
      <c r="J241" t="n">
        <v>0.0298235996186289</v>
      </c>
      <c r="K241" t="n">
        <v>0.007428714679400205</v>
      </c>
      <c r="L241" t="n">
        <v>0.03004761641210396</v>
      </c>
      <c r="M241" t="n">
        <v>0.02389915412970895</v>
      </c>
    </row>
    <row r="242">
      <c r="A242" s="68" t="n">
        <v>29068</v>
      </c>
      <c r="B242" t="n">
        <v>55.7</v>
      </c>
      <c r="C242" t="n">
        <v/>
      </c>
      <c r="D242" t="n">
        <v>64.5</v>
      </c>
      <c r="E242" t="n">
        <v>88.2</v>
      </c>
      <c r="F242" t="n">
        <v>49.3</v>
      </c>
      <c r="G242" t="n">
        <v/>
      </c>
      <c r="H242" t="n">
        <v/>
      </c>
      <c r="I242" t="n">
        <v/>
      </c>
      <c r="J242" t="n">
        <v/>
      </c>
      <c r="K242" t="n">
        <v/>
      </c>
      <c r="L242" t="n">
        <v/>
      </c>
      <c r="M242" t="n">
        <v/>
      </c>
    </row>
    <row r="243">
      <c r="A243" s="68" t="n">
        <v>29099</v>
      </c>
      <c r="B243" t="n">
        <v>55.4</v>
      </c>
      <c r="C243" t="n">
        <v/>
      </c>
      <c r="D243" t="n">
        <v>66.7</v>
      </c>
      <c r="E243" t="n">
        <v>87.09999999999999</v>
      </c>
      <c r="F243" t="n">
        <v>53.6</v>
      </c>
      <c r="G243" t="n">
        <v/>
      </c>
      <c r="H243" t="n">
        <v/>
      </c>
      <c r="I243" t="n">
        <v/>
      </c>
      <c r="J243" t="n">
        <v/>
      </c>
      <c r="K243" t="n">
        <v/>
      </c>
      <c r="L243" t="n">
        <v/>
      </c>
      <c r="M243" t="n">
        <v/>
      </c>
    </row>
    <row r="244">
      <c r="A244" s="68" t="n">
        <v>29129</v>
      </c>
      <c r="B244" t="n">
        <v>54.9</v>
      </c>
      <c r="C244" t="n">
        <v/>
      </c>
      <c r="D244" t="n">
        <v>62.1</v>
      </c>
      <c r="E244" t="n">
        <v>81.59999999999999</v>
      </c>
      <c r="F244" t="n">
        <v>49.5</v>
      </c>
      <c r="G244" t="n">
        <v>6820.572</v>
      </c>
      <c r="H244" t="n">
        <v>0.002494512190473192</v>
      </c>
      <c r="I244" t="n">
        <v>0.01268266063315506</v>
      </c>
      <c r="J244" t="n">
        <v>0.01001544643634089</v>
      </c>
      <c r="K244" t="n">
        <v>0.002500750342688359</v>
      </c>
      <c r="L244" t="n">
        <v>0.01004058647981432</v>
      </c>
      <c r="M244" t="n">
        <v>0.01284557672337478</v>
      </c>
    </row>
    <row r="245">
      <c r="A245" s="68" t="n">
        <v>29160</v>
      </c>
      <c r="B245" t="n">
        <v>54.2</v>
      </c>
      <c r="C245" t="n">
        <v/>
      </c>
      <c r="D245" t="n">
        <v>63.3</v>
      </c>
      <c r="E245" t="n">
        <v>80.90000000000001</v>
      </c>
      <c r="F245" t="n">
        <v>52</v>
      </c>
      <c r="G245" t="n">
        <v/>
      </c>
      <c r="H245" t="n">
        <v/>
      </c>
      <c r="I245" t="n">
        <v/>
      </c>
      <c r="J245" t="n">
        <v/>
      </c>
      <c r="K245" t="n">
        <v/>
      </c>
      <c r="L245" t="n">
        <v/>
      </c>
      <c r="M245" t="n">
        <v/>
      </c>
    </row>
    <row r="246">
      <c r="A246" s="68" t="n">
        <v>29190</v>
      </c>
      <c r="B246" t="n">
        <v>53.8</v>
      </c>
      <c r="C246" t="n">
        <v/>
      </c>
      <c r="D246" t="n">
        <v>61</v>
      </c>
      <c r="E246" t="n">
        <v>75.8</v>
      </c>
      <c r="F246" t="n">
        <v>51.5</v>
      </c>
      <c r="G246" t="n">
        <v/>
      </c>
      <c r="H246" t="n">
        <v/>
      </c>
      <c r="I246" t="n">
        <v/>
      </c>
      <c r="J246" t="n">
        <v/>
      </c>
      <c r="K246" t="n">
        <v/>
      </c>
      <c r="L246" t="n">
        <v/>
      </c>
      <c r="M246" t="n">
        <v/>
      </c>
    </row>
    <row r="247">
      <c r="A247" s="68" t="n">
        <v>29221</v>
      </c>
      <c r="B247" t="n">
        <v>53.7</v>
      </c>
      <c r="C247" t="n">
        <v/>
      </c>
      <c r="D247" t="n">
        <v>67</v>
      </c>
      <c r="E247" t="n">
        <v>87.09999999999999</v>
      </c>
      <c r="F247" t="n">
        <v>54.1</v>
      </c>
      <c r="G247" t="n">
        <v>6842.024</v>
      </c>
      <c r="H247" t="n">
        <v>0.003135329545760176</v>
      </c>
      <c r="I247" t="n">
        <v>0.01400872022664638</v>
      </c>
      <c r="J247" t="n">
        <v>0.01260042331264999</v>
      </c>
      <c r="K247" t="n">
        <v>0.003145190755262202</v>
      </c>
      <c r="L247" t="n">
        <v>0.01264024091996396</v>
      </c>
      <c r="M247" t="n">
        <v>0.01420775265869138</v>
      </c>
    </row>
    <row r="248">
      <c r="A248" s="68" t="n">
        <v>29252</v>
      </c>
      <c r="B248" t="n">
        <v>53.5</v>
      </c>
      <c r="C248" t="n">
        <v/>
      </c>
      <c r="D248" t="n">
        <v>66.90000000000001</v>
      </c>
      <c r="E248" t="n">
        <v>85.5</v>
      </c>
      <c r="F248" t="n">
        <v>54.9</v>
      </c>
      <c r="G248" t="n">
        <v/>
      </c>
      <c r="H248" t="n">
        <v/>
      </c>
      <c r="I248" t="n">
        <v/>
      </c>
      <c r="J248" t="n">
        <v/>
      </c>
      <c r="K248" t="n">
        <v/>
      </c>
      <c r="L248" t="n">
        <v/>
      </c>
      <c r="M248" t="n">
        <v/>
      </c>
    </row>
    <row r="249">
      <c r="A249" s="68" t="n">
        <v>29281</v>
      </c>
      <c r="B249" t="n">
        <v>52.2</v>
      </c>
      <c r="C249" t="n">
        <v/>
      </c>
      <c r="D249" t="n">
        <v>56.5</v>
      </c>
      <c r="E249" t="n">
        <v>75.3</v>
      </c>
      <c r="F249" t="n">
        <v>44.3</v>
      </c>
      <c r="G249" t="n">
        <v/>
      </c>
      <c r="H249" t="n">
        <v/>
      </c>
      <c r="I249" t="n">
        <v/>
      </c>
      <c r="J249" t="n">
        <v/>
      </c>
      <c r="K249" t="n">
        <v/>
      </c>
      <c r="L249" t="n">
        <v/>
      </c>
      <c r="M249" t="n">
        <v/>
      </c>
    </row>
    <row r="250">
      <c r="A250" s="68" t="n">
        <v>29312</v>
      </c>
      <c r="B250" t="n">
        <v>50.6</v>
      </c>
      <c r="C250" t="n">
        <v/>
      </c>
      <c r="D250" t="n">
        <v>52.7</v>
      </c>
      <c r="E250" t="n">
        <v>65.8</v>
      </c>
      <c r="F250" t="n">
        <v>44.4</v>
      </c>
      <c r="G250" t="n">
        <v>6701.046</v>
      </c>
      <c r="H250" t="n">
        <v>-0.02103820806483048</v>
      </c>
      <c r="I250" t="n">
        <v>-0.007811168584725406</v>
      </c>
      <c r="J250" t="n">
        <v>-0.08153424573278623</v>
      </c>
      <c r="K250" t="n">
        <v>-0.02060472164377091</v>
      </c>
      <c r="L250" t="n">
        <v>-0.07990637031804315</v>
      </c>
      <c r="M250" t="n">
        <v>-0.007750627129578919</v>
      </c>
    </row>
    <row r="251">
      <c r="A251" s="68" t="n">
        <v>29342</v>
      </c>
      <c r="B251" t="n">
        <v>49.9</v>
      </c>
      <c r="C251" t="n">
        <v/>
      </c>
      <c r="D251" t="n">
        <v>51.7</v>
      </c>
      <c r="E251" t="n">
        <v>61.7</v>
      </c>
      <c r="F251" t="n">
        <v>45.3</v>
      </c>
      <c r="G251" t="n">
        <v/>
      </c>
      <c r="H251" t="n">
        <v/>
      </c>
      <c r="I251" t="n">
        <v/>
      </c>
      <c r="J251" t="n">
        <v/>
      </c>
      <c r="K251" t="n">
        <v/>
      </c>
      <c r="L251" t="n">
        <v/>
      </c>
      <c r="M251" t="n">
        <v/>
      </c>
    </row>
    <row r="252">
      <c r="A252" s="68" t="n">
        <v>29373</v>
      </c>
      <c r="B252" t="n">
        <v>50.2</v>
      </c>
      <c r="C252" t="n">
        <v/>
      </c>
      <c r="D252" t="n">
        <v>58.7</v>
      </c>
      <c r="E252" t="n">
        <v>67.40000000000001</v>
      </c>
      <c r="F252" t="n">
        <v>53</v>
      </c>
      <c r="G252" t="n">
        <v/>
      </c>
      <c r="H252" t="n">
        <v/>
      </c>
      <c r="I252" t="n">
        <v/>
      </c>
      <c r="J252" t="n">
        <v/>
      </c>
      <c r="K252" t="n">
        <v/>
      </c>
      <c r="L252" t="n">
        <v/>
      </c>
      <c r="M252" t="n">
        <v/>
      </c>
    </row>
    <row r="253">
      <c r="A253" s="68" t="n">
        <v>29403</v>
      </c>
      <c r="B253" t="n">
        <v>50.6</v>
      </c>
      <c r="C253" t="n">
        <v/>
      </c>
      <c r="D253" t="n">
        <v>62.3</v>
      </c>
      <c r="E253" t="n">
        <v>76.09999999999999</v>
      </c>
      <c r="F253" t="n">
        <v>53.4</v>
      </c>
      <c r="G253" t="n">
        <v>6693.082</v>
      </c>
      <c r="H253" t="n">
        <v>-0.00118988531740683</v>
      </c>
      <c r="I253" t="n">
        <v>-0.01650599828300321</v>
      </c>
      <c r="J253" t="n">
        <v>-0.004751053043898668</v>
      </c>
      <c r="K253" t="n">
        <v>-0.001188471173007907</v>
      </c>
      <c r="L253" t="n">
        <v>-0.004745416622351839</v>
      </c>
      <c r="M253" t="n">
        <v>-0.01623797430697286</v>
      </c>
    </row>
    <row r="254">
      <c r="A254" s="68" t="n">
        <v>29434</v>
      </c>
      <c r="B254" t="n">
        <v>50.9</v>
      </c>
      <c r="C254" t="n">
        <v/>
      </c>
      <c r="D254" t="n">
        <v>67.3</v>
      </c>
      <c r="E254" t="n">
        <v>79.40000000000001</v>
      </c>
      <c r="F254" t="n">
        <v>59.6</v>
      </c>
      <c r="G254" t="n">
        <v/>
      </c>
      <c r="H254" t="n">
        <v/>
      </c>
      <c r="I254" t="n">
        <v/>
      </c>
      <c r="J254" t="n">
        <v/>
      </c>
      <c r="K254" t="n">
        <v/>
      </c>
      <c r="L254" t="n">
        <v/>
      </c>
      <c r="M254" t="n">
        <v/>
      </c>
    </row>
    <row r="255">
      <c r="A255" s="68" t="n">
        <v>29465</v>
      </c>
      <c r="B255" t="n">
        <v>51.4</v>
      </c>
      <c r="C255" t="n">
        <v/>
      </c>
      <c r="D255" t="n">
        <v>73.7</v>
      </c>
      <c r="E255" t="n">
        <v>82.7</v>
      </c>
      <c r="F255" t="n">
        <v>67.90000000000001</v>
      </c>
      <c r="G255" t="n">
        <v/>
      </c>
      <c r="H255" t="n">
        <v/>
      </c>
      <c r="I255" t="n">
        <v/>
      </c>
      <c r="J255" t="n">
        <v/>
      </c>
      <c r="K255" t="n">
        <v/>
      </c>
      <c r="L255" t="n">
        <v/>
      </c>
      <c r="M255" t="n">
        <v/>
      </c>
    </row>
    <row r="256">
      <c r="A256" s="68" t="n">
        <v>29495</v>
      </c>
      <c r="B256" t="n">
        <v>51.7</v>
      </c>
      <c r="C256" t="n">
        <v/>
      </c>
      <c r="D256" t="n">
        <v>75</v>
      </c>
      <c r="E256" t="n">
        <v>83.40000000000001</v>
      </c>
      <c r="F256" t="n">
        <v>69.59999999999999</v>
      </c>
      <c r="G256" t="n">
        <v>6817.903</v>
      </c>
      <c r="H256" t="n">
        <v>0.01830782866814032</v>
      </c>
      <c r="I256" t="n">
        <v>-0.0003914693418195989</v>
      </c>
      <c r="J256" t="n">
        <v>0.07526703198153317</v>
      </c>
      <c r="K256" t="n">
        <v>0.01864925605274221</v>
      </c>
      <c r="L256" t="n">
        <v>0.07670985813356723</v>
      </c>
      <c r="M256" t="n">
        <v>-0.0003913161535425283</v>
      </c>
    </row>
    <row r="257">
      <c r="A257" s="68" t="n">
        <v>29526</v>
      </c>
      <c r="B257" t="n">
        <v>51.8</v>
      </c>
      <c r="C257" t="n">
        <v/>
      </c>
      <c r="D257" t="n">
        <v>76.7</v>
      </c>
      <c r="E257" t="n">
        <v>76.40000000000001</v>
      </c>
      <c r="F257" t="n">
        <v>76.90000000000001</v>
      </c>
      <c r="G257" t="n">
        <v/>
      </c>
      <c r="H257" t="n">
        <v/>
      </c>
      <c r="I257" t="n">
        <v/>
      </c>
      <c r="J257" t="n">
        <v/>
      </c>
      <c r="K257" t="n">
        <v/>
      </c>
      <c r="L257" t="n">
        <v/>
      </c>
      <c r="M257" t="n">
        <v/>
      </c>
    </row>
    <row r="258">
      <c r="A258" s="68" t="n">
        <v>29556</v>
      </c>
      <c r="B258" t="n">
        <v>51.5</v>
      </c>
      <c r="C258" t="n">
        <v/>
      </c>
      <c r="D258" t="n">
        <v>64.5</v>
      </c>
      <c r="E258" t="n">
        <v>70.90000000000001</v>
      </c>
      <c r="F258" t="n">
        <v>60.4</v>
      </c>
      <c r="G258" t="n">
        <v/>
      </c>
      <c r="H258" t="n">
        <v/>
      </c>
      <c r="I258" t="n">
        <v/>
      </c>
      <c r="J258" t="n">
        <v/>
      </c>
      <c r="K258" t="n">
        <v/>
      </c>
      <c r="L258" t="n">
        <v/>
      </c>
      <c r="M258" t="n">
        <v/>
      </c>
    </row>
    <row r="259">
      <c r="A259" s="68" t="n">
        <v>29587</v>
      </c>
      <c r="B259" t="n">
        <v>50.9</v>
      </c>
      <c r="C259" t="n">
        <v/>
      </c>
      <c r="D259" t="n">
        <v>71.40000000000001</v>
      </c>
      <c r="E259" t="n">
        <v>76.7</v>
      </c>
      <c r="F259" t="n">
        <v>67.90000000000001</v>
      </c>
      <c r="G259" t="n">
        <v>6951.495</v>
      </c>
      <c r="H259" t="n">
        <v>0.01921773661636808</v>
      </c>
      <c r="I259" t="n">
        <v>0.01574783553753539</v>
      </c>
      <c r="J259" t="n">
        <v>0.07911540135332462</v>
      </c>
      <c r="K259" t="n">
        <v>0.01959429460935417</v>
      </c>
      <c r="L259" t="n">
        <v>0.08071103598225138</v>
      </c>
      <c r="M259" t="n">
        <v>0.0159997977206744</v>
      </c>
    </row>
    <row r="260">
      <c r="A260" s="68" t="n">
        <v>29618</v>
      </c>
      <c r="B260" t="n">
        <v>50.5</v>
      </c>
      <c r="C260" t="n">
        <v/>
      </c>
      <c r="D260" t="n">
        <v>66.90000000000001</v>
      </c>
      <c r="E260" t="n">
        <v>74.40000000000001</v>
      </c>
      <c r="F260" t="n">
        <v>62.1</v>
      </c>
      <c r="G260" t="n">
        <v/>
      </c>
      <c r="H260" t="n">
        <v/>
      </c>
      <c r="I260" t="n">
        <v/>
      </c>
      <c r="J260" t="n">
        <v/>
      </c>
      <c r="K260" t="n">
        <v/>
      </c>
      <c r="L260" t="n">
        <v/>
      </c>
      <c r="M260" t="n">
        <v/>
      </c>
    </row>
    <row r="261">
      <c r="A261" s="68" t="n">
        <v>29646</v>
      </c>
      <c r="B261" t="n">
        <v>50.7</v>
      </c>
      <c r="C261" t="n">
        <v/>
      </c>
      <c r="D261" t="n">
        <v>66.5</v>
      </c>
      <c r="E261" t="n">
        <v>73.5</v>
      </c>
      <c r="F261" t="n">
        <v>62.1</v>
      </c>
      <c r="G261" t="n">
        <v/>
      </c>
      <c r="H261" t="n">
        <v/>
      </c>
      <c r="I261" t="n">
        <v/>
      </c>
      <c r="J261" t="n">
        <v/>
      </c>
      <c r="K261" t="n">
        <v/>
      </c>
      <c r="L261" t="n">
        <v/>
      </c>
      <c r="M261" t="n">
        <v/>
      </c>
    </row>
    <row r="262">
      <c r="A262" s="68" t="n">
        <v>29677</v>
      </c>
      <c r="B262" t="n">
        <v>51</v>
      </c>
      <c r="C262" t="n">
        <v/>
      </c>
      <c r="D262" t="n">
        <v>72.40000000000001</v>
      </c>
      <c r="E262" t="n">
        <v>78.09999999999999</v>
      </c>
      <c r="F262" t="n">
        <v>68.8</v>
      </c>
      <c r="G262" t="n">
        <v>6899.98</v>
      </c>
      <c r="H262" t="n">
        <v>-0.00746596366945996</v>
      </c>
      <c r="I262" t="n">
        <v>0.0288310980611537</v>
      </c>
      <c r="J262" t="n">
        <v>-0.0295310725193233</v>
      </c>
      <c r="K262" t="n">
        <v>-0.00741063612935064</v>
      </c>
      <c r="L262" t="n">
        <v>-0.02931466422968176</v>
      </c>
      <c r="M262" t="n">
        <v>0.02968700707322398</v>
      </c>
    </row>
    <row r="263">
      <c r="A263" s="68" t="n">
        <v>29707</v>
      </c>
      <c r="B263" t="n">
        <v>50.6</v>
      </c>
      <c r="C263" t="n">
        <v/>
      </c>
      <c r="D263" t="n">
        <v>76.3</v>
      </c>
      <c r="E263" t="n">
        <v>80.40000000000001</v>
      </c>
      <c r="F263" t="n">
        <v>73.59999999999999</v>
      </c>
      <c r="G263" t="n">
        <v/>
      </c>
      <c r="H263" t="n">
        <v/>
      </c>
      <c r="I263" t="n">
        <v/>
      </c>
      <c r="J263" t="n">
        <v/>
      </c>
      <c r="K263" t="n">
        <v/>
      </c>
      <c r="L263" t="n">
        <v/>
      </c>
      <c r="M263" t="n">
        <v/>
      </c>
    </row>
    <row r="264">
      <c r="A264" s="68" t="n">
        <v>29738</v>
      </c>
      <c r="B264" t="n">
        <v>50.2</v>
      </c>
      <c r="C264" t="n">
        <v/>
      </c>
      <c r="D264" t="n">
        <v>73.09999999999999</v>
      </c>
      <c r="E264" t="n">
        <v>76.09999999999999</v>
      </c>
      <c r="F264" t="n">
        <v>71.2</v>
      </c>
      <c r="G264" t="n">
        <v/>
      </c>
      <c r="H264" t="n">
        <v/>
      </c>
      <c r="I264" t="n">
        <v/>
      </c>
      <c r="J264" t="n">
        <v/>
      </c>
      <c r="K264" t="n">
        <v/>
      </c>
      <c r="L264" t="n">
        <v/>
      </c>
      <c r="M264" t="n">
        <v/>
      </c>
    </row>
    <row r="265">
      <c r="A265" s="68" t="n">
        <v>29768</v>
      </c>
      <c r="B265" t="n">
        <v>49.8</v>
      </c>
      <c r="C265" t="n">
        <v/>
      </c>
      <c r="D265" t="n">
        <v>74.09999999999999</v>
      </c>
      <c r="E265" t="n">
        <v>84.90000000000001</v>
      </c>
      <c r="F265" t="n">
        <v>67.09999999999999</v>
      </c>
      <c r="G265" t="n">
        <v>6982.609</v>
      </c>
      <c r="H265" t="n">
        <v>0.01183354244810225</v>
      </c>
      <c r="I265" t="n">
        <v>0.04146401438201681</v>
      </c>
      <c r="J265" t="n">
        <v>0.04818101409566977</v>
      </c>
      <c r="K265" t="n">
        <v>0.01197525210218013</v>
      </c>
      <c r="L265" t="n">
        <v>0.04876833827542182</v>
      </c>
      <c r="M265" t="n">
        <v>0.04325765021256277</v>
      </c>
    </row>
    <row r="266">
      <c r="A266" s="68" t="n">
        <v>29799</v>
      </c>
      <c r="B266" t="n">
        <v>49.6</v>
      </c>
      <c r="C266" t="n">
        <v/>
      </c>
      <c r="D266" t="n">
        <v>77.2</v>
      </c>
      <c r="E266" t="n">
        <v>87.09999999999999</v>
      </c>
      <c r="F266" t="n">
        <v>70.8</v>
      </c>
      <c r="G266" t="n">
        <v/>
      </c>
      <c r="H266" t="n">
        <v/>
      </c>
      <c r="I266" t="n">
        <v/>
      </c>
      <c r="J266" t="n">
        <v/>
      </c>
      <c r="K266" t="n">
        <v/>
      </c>
      <c r="L266" t="n">
        <v/>
      </c>
      <c r="M266" t="n">
        <v/>
      </c>
    </row>
    <row r="267">
      <c r="A267" s="68" t="n">
        <v>29830</v>
      </c>
      <c r="B267" t="n">
        <v>48.9</v>
      </c>
      <c r="C267" t="n">
        <v/>
      </c>
      <c r="D267" t="n">
        <v>73.09999999999999</v>
      </c>
      <c r="E267" t="n">
        <v>79.5</v>
      </c>
      <c r="F267" t="n">
        <v>69</v>
      </c>
      <c r="G267" t="n">
        <v/>
      </c>
      <c r="H267" t="n">
        <v/>
      </c>
      <c r="I267" t="n">
        <v/>
      </c>
      <c r="J267" t="n">
        <v/>
      </c>
      <c r="K267" t="n">
        <v/>
      </c>
      <c r="L267" t="n">
        <v/>
      </c>
      <c r="M267" t="n">
        <v/>
      </c>
    </row>
    <row r="268">
      <c r="A268" s="68" t="n">
        <v>29860</v>
      </c>
      <c r="B268" t="n">
        <v>48.6</v>
      </c>
      <c r="C268" t="n">
        <v/>
      </c>
      <c r="D268" t="n">
        <v>70.3</v>
      </c>
      <c r="E268" t="n">
        <v>82.8</v>
      </c>
      <c r="F268" t="n">
        <v>62.2</v>
      </c>
      <c r="G268" t="n">
        <v>6906.529</v>
      </c>
      <c r="H268" t="n">
        <v>-0.0110156635844141</v>
      </c>
      <c r="I268" t="n">
        <v>0.0128322055840206</v>
      </c>
      <c r="J268" t="n">
        <v>-0.04333991732378106</v>
      </c>
      <c r="K268" t="n">
        <v>-0.010895640870053</v>
      </c>
      <c r="L268" t="n">
        <v>-0.04287543335073463</v>
      </c>
      <c r="M268" t="n">
        <v>0.01299901157291328</v>
      </c>
    </row>
    <row r="269">
      <c r="A269" s="68" t="n">
        <v>29891</v>
      </c>
      <c r="B269" t="n">
        <v>48.4</v>
      </c>
      <c r="C269" t="n">
        <v/>
      </c>
      <c r="D269" t="n">
        <v>62.5</v>
      </c>
      <c r="E269" t="n">
        <v>72.09999999999999</v>
      </c>
      <c r="F269" t="n">
        <v>56.3</v>
      </c>
      <c r="G269" t="n">
        <v/>
      </c>
      <c r="H269" t="n">
        <v/>
      </c>
      <c r="I269" t="n">
        <v/>
      </c>
      <c r="J269" t="n">
        <v/>
      </c>
      <c r="K269" t="n">
        <v/>
      </c>
      <c r="L269" t="n">
        <v/>
      </c>
      <c r="M269" t="n">
        <v/>
      </c>
    </row>
    <row r="270">
      <c r="A270" s="68" t="n">
        <v>29921</v>
      </c>
      <c r="B270" t="n">
        <v>48.3</v>
      </c>
      <c r="C270" t="n">
        <v/>
      </c>
      <c r="D270" t="n">
        <v>64.3</v>
      </c>
      <c r="E270" t="n">
        <v>75.90000000000001</v>
      </c>
      <c r="F270" t="n">
        <v>56.8</v>
      </c>
      <c r="G270" t="n">
        <v/>
      </c>
      <c r="H270" t="n">
        <v/>
      </c>
      <c r="I270" t="n">
        <v/>
      </c>
      <c r="J270" t="n">
        <v/>
      </c>
      <c r="K270" t="n">
        <v/>
      </c>
      <c r="L270" t="n">
        <v/>
      </c>
      <c r="M270" t="n">
        <v/>
      </c>
    </row>
    <row r="271">
      <c r="A271" s="68" t="n">
        <v>29952</v>
      </c>
      <c r="B271" t="n">
        <v>47.8</v>
      </c>
      <c r="C271" t="n">
        <v/>
      </c>
      <c r="D271" t="n">
        <v>71</v>
      </c>
      <c r="E271" t="n">
        <v>83.5</v>
      </c>
      <c r="F271" t="n">
        <v>62.9</v>
      </c>
      <c r="G271" t="n">
        <v>6799.233</v>
      </c>
      <c r="H271" t="n">
        <v>-0.01578060348865825</v>
      </c>
      <c r="I271" t="n">
        <v>-0.02239399649931098</v>
      </c>
      <c r="J271" t="n">
        <v>-0.06164390647472839</v>
      </c>
      <c r="K271" t="n">
        <v>-0.01553544479433885</v>
      </c>
      <c r="L271" t="n">
        <v>-0.06070861857896181</v>
      </c>
      <c r="M271" t="n">
        <v>-0.02190348982485059</v>
      </c>
    </row>
    <row r="272">
      <c r="A272" s="68" t="n">
        <v>29983</v>
      </c>
      <c r="B272" t="n">
        <v>48</v>
      </c>
      <c r="C272" t="n">
        <v/>
      </c>
      <c r="D272" t="n">
        <v>66.5</v>
      </c>
      <c r="E272" t="n">
        <v>78.59999999999999</v>
      </c>
      <c r="F272" t="n">
        <v>58.7</v>
      </c>
      <c r="G272" t="n">
        <v/>
      </c>
      <c r="H272" t="n">
        <v/>
      </c>
      <c r="I272" t="n">
        <v/>
      </c>
      <c r="J272" t="n">
        <v/>
      </c>
      <c r="K272" t="n">
        <v/>
      </c>
      <c r="L272" t="n">
        <v/>
      </c>
      <c r="M272" t="n">
        <v/>
      </c>
    </row>
    <row r="273">
      <c r="A273" s="68" t="n">
        <v>30011</v>
      </c>
      <c r="B273" t="n">
        <v>47.8</v>
      </c>
      <c r="C273" t="n">
        <v/>
      </c>
      <c r="D273" t="n">
        <v>62</v>
      </c>
      <c r="E273" t="n">
        <v>75.90000000000001</v>
      </c>
      <c r="F273" t="n">
        <v>53.1</v>
      </c>
      <c r="G273" t="n">
        <v/>
      </c>
      <c r="H273" t="n">
        <v/>
      </c>
      <c r="I273" t="n">
        <v/>
      </c>
      <c r="J273" t="n">
        <v/>
      </c>
      <c r="K273" t="n">
        <v/>
      </c>
      <c r="L273" t="n">
        <v/>
      </c>
      <c r="M273" t="n">
        <v/>
      </c>
    </row>
    <row r="274">
      <c r="A274" s="68" t="n">
        <v>30042</v>
      </c>
      <c r="B274" t="n">
        <v>47.8</v>
      </c>
      <c r="C274" t="n">
        <v/>
      </c>
      <c r="D274" t="n">
        <v>65.5</v>
      </c>
      <c r="E274" t="n">
        <v>72.3</v>
      </c>
      <c r="F274" t="n">
        <v>61.1</v>
      </c>
      <c r="G274" t="n">
        <v>6830.251</v>
      </c>
      <c r="H274" t="n">
        <v>0.004541267956331331</v>
      </c>
      <c r="I274" t="n">
        <v>-0.01020884884025483</v>
      </c>
      <c r="J274" t="n">
        <v>0.01828918555890402</v>
      </c>
      <c r="K274" t="n">
        <v>0.004561985153325386</v>
      </c>
      <c r="L274" t="n">
        <v>0.01837319106848523</v>
      </c>
      <c r="M274" t="n">
        <v>-0.01010568146574329</v>
      </c>
    </row>
    <row r="275">
      <c r="A275" s="68" t="n">
        <v>30072</v>
      </c>
      <c r="B275" t="n">
        <v>47.5</v>
      </c>
      <c r="C275" t="n">
        <v/>
      </c>
      <c r="D275" t="n">
        <v>67.5</v>
      </c>
      <c r="E275" t="n">
        <v>76.09999999999999</v>
      </c>
      <c r="F275" t="n">
        <v>62</v>
      </c>
      <c r="G275" t="n">
        <v/>
      </c>
      <c r="H275" t="n">
        <v/>
      </c>
      <c r="I275" t="n">
        <v/>
      </c>
      <c r="J275" t="n">
        <v/>
      </c>
      <c r="K275" t="n">
        <v/>
      </c>
      <c r="L275" t="n">
        <v/>
      </c>
      <c r="M275" t="n">
        <v/>
      </c>
    </row>
    <row r="276">
      <c r="A276" s="68" t="n">
        <v>30103</v>
      </c>
      <c r="B276" t="n">
        <v>47.2</v>
      </c>
      <c r="C276" t="n">
        <v/>
      </c>
      <c r="D276" t="n">
        <v>65.7</v>
      </c>
      <c r="E276" t="n">
        <v>74.3</v>
      </c>
      <c r="F276" t="n">
        <v>60.1</v>
      </c>
      <c r="G276" t="n">
        <v/>
      </c>
      <c r="H276" t="n">
        <v/>
      </c>
      <c r="I276" t="n">
        <v/>
      </c>
      <c r="J276" t="n">
        <v/>
      </c>
      <c r="K276" t="n">
        <v/>
      </c>
      <c r="L276" t="n">
        <v/>
      </c>
      <c r="M276" t="n">
        <v/>
      </c>
    </row>
    <row r="277">
      <c r="A277" s="68" t="n">
        <v>30133</v>
      </c>
      <c r="B277" t="n">
        <v>47.2</v>
      </c>
      <c r="C277" t="n">
        <v/>
      </c>
      <c r="D277" t="n">
        <v>65.40000000000001</v>
      </c>
      <c r="E277" t="n">
        <v>77.5</v>
      </c>
      <c r="F277" t="n">
        <v>57.6</v>
      </c>
      <c r="G277" t="n">
        <v>6804.139</v>
      </c>
      <c r="H277" t="n">
        <v>-0.00383766410415779</v>
      </c>
      <c r="I277" t="n">
        <v>-0.02622962288101408</v>
      </c>
      <c r="J277" t="n">
        <v>-0.015262516284406</v>
      </c>
      <c r="K277" t="n">
        <v>-0.00382299274214082</v>
      </c>
      <c r="L277" t="n">
        <v>-0.01520450261025641</v>
      </c>
      <c r="M277" t="n">
        <v>-0.02555921432805421</v>
      </c>
    </row>
    <row r="278">
      <c r="A278" s="68" t="n">
        <v>30164</v>
      </c>
      <c r="B278" t="n">
        <v>46.9</v>
      </c>
      <c r="C278" t="n">
        <v/>
      </c>
      <c r="D278" t="n">
        <v>65.40000000000001</v>
      </c>
      <c r="E278" t="n">
        <v>72.5</v>
      </c>
      <c r="F278" t="n">
        <v>60.9</v>
      </c>
      <c r="G278" t="n">
        <v/>
      </c>
      <c r="H278" t="n">
        <v/>
      </c>
      <c r="I278" t="n">
        <v/>
      </c>
      <c r="J278" t="n">
        <v/>
      </c>
      <c r="K278" t="n">
        <v/>
      </c>
      <c r="L278" t="n">
        <v/>
      </c>
      <c r="M278" t="n">
        <v/>
      </c>
    </row>
    <row r="279">
      <c r="A279" s="68" t="n">
        <v>30195</v>
      </c>
      <c r="B279" t="n">
        <v>47.3</v>
      </c>
      <c r="C279" t="n">
        <v/>
      </c>
      <c r="D279" t="n">
        <v>69.3</v>
      </c>
      <c r="E279" t="n">
        <v>72.90000000000001</v>
      </c>
      <c r="F279" t="n">
        <v>66.90000000000001</v>
      </c>
      <c r="G279" t="n">
        <v/>
      </c>
      <c r="H279" t="n">
        <v/>
      </c>
      <c r="I279" t="n">
        <v/>
      </c>
      <c r="J279" t="n">
        <v/>
      </c>
      <c r="K279" t="n">
        <v/>
      </c>
      <c r="L279" t="n">
        <v/>
      </c>
      <c r="M279" t="n">
        <v/>
      </c>
    </row>
    <row r="280">
      <c r="A280" s="68" t="n">
        <v>30225</v>
      </c>
      <c r="B280" t="n">
        <v>47.4</v>
      </c>
      <c r="C280" t="n">
        <v/>
      </c>
      <c r="D280" t="n">
        <v>73.40000000000001</v>
      </c>
      <c r="E280" t="n">
        <v>78.09999999999999</v>
      </c>
      <c r="F280" t="n">
        <v>70.40000000000001</v>
      </c>
      <c r="G280" t="n">
        <v>6806.857</v>
      </c>
      <c r="H280" t="n">
        <v>0.0003993032320202771</v>
      </c>
      <c r="I280" t="n">
        <v>-0.01464288143558774</v>
      </c>
      <c r="J280" t="n">
        <v>0.001598169841197317</v>
      </c>
      <c r="K280" t="n">
        <v>0.0003994627387829448</v>
      </c>
      <c r="L280" t="n">
        <v>0.001598808633004989</v>
      </c>
      <c r="M280" t="n">
        <v>-0.01443156178740442</v>
      </c>
    </row>
    <row r="281">
      <c r="A281" s="68" t="n">
        <v>30256</v>
      </c>
      <c r="B281" t="n">
        <v>47.6</v>
      </c>
      <c r="C281" t="n">
        <v/>
      </c>
      <c r="D281" t="n">
        <v>72.09999999999999</v>
      </c>
      <c r="E281" t="n">
        <v>73.8</v>
      </c>
      <c r="F281" t="n">
        <v>71</v>
      </c>
      <c r="G281" t="n">
        <v/>
      </c>
      <c r="H281" t="n">
        <v/>
      </c>
      <c r="I281" t="n">
        <v/>
      </c>
      <c r="J281" t="n">
        <v/>
      </c>
      <c r="K281" t="n">
        <v/>
      </c>
      <c r="L281" t="n">
        <v/>
      </c>
      <c r="M281" t="n">
        <v/>
      </c>
    </row>
    <row r="282">
      <c r="A282" s="68" t="n">
        <v>30286</v>
      </c>
      <c r="B282" t="n">
        <v>48</v>
      </c>
      <c r="C282" t="n">
        <v/>
      </c>
      <c r="D282" t="n">
        <v>71.90000000000001</v>
      </c>
      <c r="E282" t="n">
        <v>78.09999999999999</v>
      </c>
      <c r="F282" t="n">
        <v>67.90000000000001</v>
      </c>
      <c r="G282" t="n">
        <v/>
      </c>
      <c r="H282" t="n">
        <v/>
      </c>
      <c r="I282" t="n">
        <v/>
      </c>
      <c r="J282" t="n">
        <v/>
      </c>
      <c r="K282" t="n">
        <v/>
      </c>
      <c r="L282" t="n">
        <v/>
      </c>
      <c r="M282" t="n">
        <v/>
      </c>
    </row>
    <row r="283">
      <c r="A283" s="68" t="n">
        <v>30317</v>
      </c>
      <c r="B283" t="n">
        <v>48.9</v>
      </c>
      <c r="C283" t="n">
        <v/>
      </c>
      <c r="D283" t="n">
        <v>70.40000000000001</v>
      </c>
      <c r="E283" t="n">
        <v>78.40000000000001</v>
      </c>
      <c r="F283" t="n">
        <v>65.2</v>
      </c>
      <c r="G283" t="n">
        <v>6896.561</v>
      </c>
      <c r="H283" t="n">
        <v>0.01300706250550089</v>
      </c>
      <c r="I283" t="n">
        <v>0.01411254101863226</v>
      </c>
      <c r="J283" t="n">
        <v>0.05305218302579551</v>
      </c>
      <c r="K283" t="n">
        <v>0.01317847576348375</v>
      </c>
      <c r="L283" t="n">
        <v>0.05376512149741908</v>
      </c>
      <c r="M283" t="n">
        <v>0.01431455577415857</v>
      </c>
    </row>
    <row r="284">
      <c r="A284" s="68" t="n">
        <v>30348</v>
      </c>
      <c r="B284" t="n">
        <v>49.4</v>
      </c>
      <c r="C284" t="n">
        <v/>
      </c>
      <c r="D284" t="n">
        <v>74.59999999999999</v>
      </c>
      <c r="E284" t="n">
        <v>79.90000000000001</v>
      </c>
      <c r="F284" t="n">
        <v>71.2</v>
      </c>
      <c r="G284" t="n">
        <v/>
      </c>
      <c r="H284" t="n">
        <v/>
      </c>
      <c r="I284" t="n">
        <v/>
      </c>
      <c r="J284" t="n">
        <v/>
      </c>
      <c r="K284" t="n">
        <v/>
      </c>
      <c r="L284" t="n">
        <v/>
      </c>
      <c r="M284" t="n">
        <v/>
      </c>
    </row>
    <row r="285">
      <c r="A285" s="68" t="n">
        <v>30376</v>
      </c>
      <c r="B285" t="n">
        <v>50.1</v>
      </c>
      <c r="C285" t="n">
        <v/>
      </c>
      <c r="D285" t="n">
        <v>80.8</v>
      </c>
      <c r="E285" t="n">
        <v>80.5</v>
      </c>
      <c r="F285" t="n">
        <v>80.90000000000001</v>
      </c>
      <c r="G285" t="n">
        <v/>
      </c>
      <c r="H285" t="n">
        <v/>
      </c>
      <c r="I285" t="n">
        <v/>
      </c>
      <c r="J285" t="n">
        <v/>
      </c>
      <c r="K285" t="n">
        <v/>
      </c>
      <c r="L285" t="n">
        <v/>
      </c>
      <c r="M285" t="n">
        <v/>
      </c>
    </row>
    <row r="286">
      <c r="A286" s="68" t="n">
        <v>30407</v>
      </c>
      <c r="B286" t="n">
        <v>50.5</v>
      </c>
      <c r="C286" t="n">
        <v/>
      </c>
      <c r="D286" t="n">
        <v>89.09999999999999</v>
      </c>
      <c r="E286" t="n">
        <v>92.7</v>
      </c>
      <c r="F286" t="n">
        <v>86.90000000000001</v>
      </c>
      <c r="G286" t="n">
        <v>7053.5</v>
      </c>
      <c r="H286" t="n">
        <v>0.02224980506131712</v>
      </c>
      <c r="I286" t="n">
        <v>0.03165081165378887</v>
      </c>
      <c r="J286" t="n">
        <v>0.0920138476795862</v>
      </c>
      <c r="K286" t="n">
        <v>0.02275612439301274</v>
      </c>
      <c r="L286" t="n">
        <v>0.09417894915071301</v>
      </c>
      <c r="M286" t="n">
        <v>0.03268532884077024</v>
      </c>
    </row>
    <row r="287">
      <c r="A287" s="68" t="n">
        <v>30437</v>
      </c>
      <c r="B287" t="n">
        <v>51.2</v>
      </c>
      <c r="C287" t="n">
        <v/>
      </c>
      <c r="D287" t="n">
        <v>93.3</v>
      </c>
      <c r="E287" t="n">
        <v>93.09999999999999</v>
      </c>
      <c r="F287" t="n">
        <v>93.40000000000001</v>
      </c>
      <c r="G287" t="n">
        <v/>
      </c>
      <c r="H287" t="n">
        <v/>
      </c>
      <c r="I287" t="n">
        <v/>
      </c>
      <c r="J287" t="n">
        <v/>
      </c>
      <c r="K287" t="n">
        <v/>
      </c>
      <c r="L287" t="n">
        <v/>
      </c>
      <c r="M287" t="n">
        <v/>
      </c>
    </row>
    <row r="288">
      <c r="A288" s="68" t="n">
        <v>30468</v>
      </c>
      <c r="B288" t="n">
        <v>51.9</v>
      </c>
      <c r="C288" t="n">
        <v/>
      </c>
      <c r="D288" t="n">
        <v>92.2</v>
      </c>
      <c r="E288" t="n">
        <v>96.90000000000001</v>
      </c>
      <c r="F288" t="n">
        <v>89.2</v>
      </c>
      <c r="G288" t="n">
        <v/>
      </c>
      <c r="H288" t="n">
        <v/>
      </c>
      <c r="I288" t="n">
        <v/>
      </c>
      <c r="J288" t="n">
        <v/>
      </c>
      <c r="K288" t="n">
        <v/>
      </c>
      <c r="L288" t="n">
        <v/>
      </c>
      <c r="M288" t="n">
        <v/>
      </c>
    </row>
    <row r="289">
      <c r="A289" s="68" t="n">
        <v>30498</v>
      </c>
      <c r="B289" t="n">
        <v>52.4</v>
      </c>
      <c r="C289" t="n">
        <v/>
      </c>
      <c r="D289" t="n">
        <v>92.8</v>
      </c>
      <c r="E289" t="n">
        <v>96.5</v>
      </c>
      <c r="F289" t="n">
        <v>90.5</v>
      </c>
      <c r="G289" t="n">
        <v>7194.504</v>
      </c>
      <c r="H289" t="n">
        <v>0.01959884934388804</v>
      </c>
      <c r="I289" t="n">
        <v>0.05425877864547713</v>
      </c>
      <c r="J289" t="n">
        <v>0.08073034713331073</v>
      </c>
      <c r="K289" t="n">
        <v>0.01999064294321967</v>
      </c>
      <c r="L289" t="n">
        <v>0.08239244141250013</v>
      </c>
      <c r="M289" t="n">
        <v>0.05737169684511145</v>
      </c>
    </row>
    <row r="290">
      <c r="A290" s="68" t="n">
        <v>30529</v>
      </c>
      <c r="B290" t="n">
        <v>52.6</v>
      </c>
      <c r="C290" t="n">
        <v/>
      </c>
      <c r="D290" t="n">
        <v>90.90000000000001</v>
      </c>
      <c r="E290" t="n">
        <v>95.09999999999999</v>
      </c>
      <c r="F290" t="n">
        <v>88.2</v>
      </c>
      <c r="G290" t="n">
        <v/>
      </c>
      <c r="H290" t="n">
        <v/>
      </c>
      <c r="I290" t="n">
        <v/>
      </c>
      <c r="J290" t="n">
        <v/>
      </c>
      <c r="K290" t="n">
        <v/>
      </c>
      <c r="L290" t="n">
        <v/>
      </c>
      <c r="M290" t="n">
        <v/>
      </c>
    </row>
    <row r="291">
      <c r="A291" s="68" t="n">
        <v>30560</v>
      </c>
      <c r="B291" t="n">
        <v>53.2</v>
      </c>
      <c r="C291" t="n">
        <v/>
      </c>
      <c r="D291" t="n">
        <v>89.90000000000001</v>
      </c>
      <c r="E291" t="n">
        <v>96.40000000000001</v>
      </c>
      <c r="F291" t="n">
        <v>85.8</v>
      </c>
      <c r="G291" t="n">
        <v/>
      </c>
      <c r="H291" t="n">
        <v/>
      </c>
      <c r="I291" t="n">
        <v/>
      </c>
      <c r="J291" t="n">
        <v/>
      </c>
      <c r="K291" t="n">
        <v/>
      </c>
      <c r="L291" t="n">
        <v/>
      </c>
      <c r="M291" t="n">
        <v/>
      </c>
    </row>
    <row r="292">
      <c r="A292" s="68" t="n">
        <v>30590</v>
      </c>
      <c r="B292" t="n">
        <v>53.9</v>
      </c>
      <c r="C292" t="n">
        <v/>
      </c>
      <c r="D292" t="n">
        <v>89.3</v>
      </c>
      <c r="E292" t="n">
        <v>94.3</v>
      </c>
      <c r="F292" t="n">
        <v>86.09999999999999</v>
      </c>
      <c r="G292" t="n">
        <v>7344.597</v>
      </c>
      <c r="H292" t="n">
        <v>0.02043583875330394</v>
      </c>
      <c r="I292" t="n">
        <v>0.07321572579135381</v>
      </c>
      <c r="J292" t="n">
        <v>0.08428340840239046</v>
      </c>
      <c r="K292" t="n">
        <v>0.02086217479342563</v>
      </c>
      <c r="L292" t="n">
        <v>0.08609659002729053</v>
      </c>
      <c r="M292" t="n">
        <v>0.07899974981110956</v>
      </c>
    </row>
    <row r="293">
      <c r="A293" s="68" t="n">
        <v>30621</v>
      </c>
      <c r="B293" t="n">
        <v>54.3</v>
      </c>
      <c r="C293" t="n">
        <v/>
      </c>
      <c r="D293" t="n">
        <v>91.09999999999999</v>
      </c>
      <c r="E293" t="n">
        <v>96.09999999999999</v>
      </c>
      <c r="F293" t="n">
        <v>87.90000000000001</v>
      </c>
      <c r="G293" t="n">
        <v/>
      </c>
      <c r="H293" t="n">
        <v/>
      </c>
      <c r="I293" t="n">
        <v/>
      </c>
      <c r="J293" t="n">
        <v/>
      </c>
      <c r="K293" t="n">
        <v/>
      </c>
      <c r="L293" t="n">
        <v/>
      </c>
      <c r="M293" t="n">
        <v/>
      </c>
    </row>
    <row r="294">
      <c r="A294" s="68" t="n">
        <v>30651</v>
      </c>
      <c r="B294" t="n">
        <v>54.9</v>
      </c>
      <c r="C294" t="n">
        <v/>
      </c>
      <c r="D294" t="n">
        <v>94.2</v>
      </c>
      <c r="E294" t="n">
        <v>99.3</v>
      </c>
      <c r="F294" t="n">
        <v>91</v>
      </c>
      <c r="G294" t="n">
        <v/>
      </c>
      <c r="H294" t="n">
        <v/>
      </c>
      <c r="I294" t="n">
        <v/>
      </c>
      <c r="J294" t="n">
        <v/>
      </c>
      <c r="K294" t="n">
        <v/>
      </c>
      <c r="L294" t="n">
        <v/>
      </c>
      <c r="M294" t="n">
        <v/>
      </c>
    </row>
    <row r="295">
      <c r="A295" s="68" t="n">
        <v>30682</v>
      </c>
      <c r="B295" t="n">
        <v>55.5</v>
      </c>
      <c r="C295" t="n">
        <v/>
      </c>
      <c r="D295" t="n">
        <v>100.1</v>
      </c>
      <c r="E295" t="n">
        <v>104.9</v>
      </c>
      <c r="F295" t="n">
        <v>97</v>
      </c>
      <c r="G295" t="n">
        <v>7488.167</v>
      </c>
      <c r="H295" t="n">
        <v>0.01917291641599347</v>
      </c>
      <c r="I295" t="n">
        <v>0.07900544953124052</v>
      </c>
      <c r="J295" t="n">
        <v>0.07892559704944913</v>
      </c>
      <c r="K295" t="n">
        <v>0.01954770288962085</v>
      </c>
      <c r="L295" t="n">
        <v>0.08051351139935758</v>
      </c>
      <c r="M295" t="n">
        <v>0.08578275462219513</v>
      </c>
    </row>
    <row r="296">
      <c r="A296" s="68" t="n">
        <v>30713</v>
      </c>
      <c r="B296" t="n">
        <v>56</v>
      </c>
      <c r="C296" t="n">
        <v/>
      </c>
      <c r="D296" t="n">
        <v>97.40000000000001</v>
      </c>
      <c r="E296" t="n">
        <v>103.9</v>
      </c>
      <c r="F296" t="n">
        <v>93.2</v>
      </c>
      <c r="G296" t="n">
        <v/>
      </c>
      <c r="H296" t="n">
        <v/>
      </c>
      <c r="I296" t="n">
        <v/>
      </c>
      <c r="J296" t="n">
        <v/>
      </c>
      <c r="K296" t="n">
        <v/>
      </c>
      <c r="L296" t="n">
        <v/>
      </c>
      <c r="M296" t="n">
        <v/>
      </c>
    </row>
    <row r="297">
      <c r="A297" s="68" t="n">
        <v>30742</v>
      </c>
      <c r="B297" t="n">
        <v>56.1</v>
      </c>
      <c r="C297" t="n">
        <v/>
      </c>
      <c r="D297" t="n">
        <v>101</v>
      </c>
      <c r="E297" t="n">
        <v>106</v>
      </c>
      <c r="F297" t="n">
        <v>97.7</v>
      </c>
      <c r="G297" t="n">
        <v/>
      </c>
      <c r="H297" t="n">
        <v/>
      </c>
      <c r="I297" t="n">
        <v/>
      </c>
      <c r="J297" t="n">
        <v/>
      </c>
      <c r="K297" t="n">
        <v/>
      </c>
      <c r="L297" t="n">
        <v/>
      </c>
      <c r="M297" t="n">
        <v/>
      </c>
    </row>
    <row r="298">
      <c r="A298" s="68" t="n">
        <v>30773</v>
      </c>
      <c r="B298" t="n">
        <v>56.4</v>
      </c>
      <c r="C298" t="n">
        <v/>
      </c>
      <c r="D298" t="n">
        <v>96.09999999999999</v>
      </c>
      <c r="E298" t="n">
        <v>103.5</v>
      </c>
      <c r="F298" t="n">
        <v>91.40000000000001</v>
      </c>
      <c r="G298" t="n">
        <v>7617.547</v>
      </c>
      <c r="H298" t="n">
        <v>0.01698447019755824</v>
      </c>
      <c r="I298" t="n">
        <v>0.07404575252374546</v>
      </c>
      <c r="J298" t="n">
        <v>0.06968839556563977</v>
      </c>
      <c r="K298" t="n">
        <v>0.01727792662743756</v>
      </c>
      <c r="L298" t="n">
        <v>0.0709235878122596</v>
      </c>
      <c r="M298" t="n">
        <v>0.07996696675409365</v>
      </c>
    </row>
    <row r="299">
      <c r="A299" s="68" t="n">
        <v>30803</v>
      </c>
      <c r="B299" t="n">
        <v>56.8</v>
      </c>
      <c r="C299" t="n">
        <v/>
      </c>
      <c r="D299" t="n">
        <v>98.09999999999999</v>
      </c>
      <c r="E299" t="n">
        <v>109.8</v>
      </c>
      <c r="F299" t="n">
        <v>90.59999999999999</v>
      </c>
      <c r="G299" t="n">
        <v/>
      </c>
      <c r="H299" t="n">
        <v/>
      </c>
      <c r="I299" t="n">
        <v/>
      </c>
      <c r="J299" t="n">
        <v/>
      </c>
      <c r="K299" t="n">
        <v/>
      </c>
      <c r="L299" t="n">
        <v/>
      </c>
      <c r="M299" t="n">
        <v/>
      </c>
    </row>
    <row r="300">
      <c r="A300" s="68" t="n">
        <v>30834</v>
      </c>
      <c r="B300" t="n">
        <v>57</v>
      </c>
      <c r="C300" t="n">
        <v/>
      </c>
      <c r="D300" t="n">
        <v>95.5</v>
      </c>
      <c r="E300" t="n">
        <v>104.4</v>
      </c>
      <c r="F300" t="n">
        <v>89.8</v>
      </c>
      <c r="G300" t="n">
        <v/>
      </c>
      <c r="H300" t="n">
        <v/>
      </c>
      <c r="I300" t="n">
        <v/>
      </c>
      <c r="J300" t="n">
        <v/>
      </c>
      <c r="K300" t="n">
        <v/>
      </c>
      <c r="L300" t="n">
        <v/>
      </c>
      <c r="M300" t="n">
        <v/>
      </c>
    </row>
    <row r="301">
      <c r="A301" s="68" t="n">
        <v>30864</v>
      </c>
      <c r="B301" t="n">
        <v>57.2</v>
      </c>
      <c r="C301" t="n">
        <v/>
      </c>
      <c r="D301" t="n">
        <v>96.59999999999999</v>
      </c>
      <c r="E301" t="n">
        <v>103.9</v>
      </c>
      <c r="F301" t="n">
        <v>91.90000000000001</v>
      </c>
      <c r="G301" t="n">
        <v>7690.985</v>
      </c>
      <c r="H301" t="n">
        <v>0.009548581878654048</v>
      </c>
      <c r="I301" t="n">
        <v>0.06455362999667791</v>
      </c>
      <c r="J301" t="n">
        <v>0.03874487070662869</v>
      </c>
      <c r="K301" t="n">
        <v>0.00964063628357004</v>
      </c>
      <c r="L301" t="n">
        <v>0.03912378905516167</v>
      </c>
      <c r="M301" t="n">
        <v>0.06900837083418117</v>
      </c>
    </row>
    <row r="302">
      <c r="A302" s="68" t="n">
        <v>30895</v>
      </c>
      <c r="B302" t="n">
        <v>57.2</v>
      </c>
      <c r="C302" t="n">
        <v/>
      </c>
      <c r="D302" t="n">
        <v>99.09999999999999</v>
      </c>
      <c r="E302" t="n">
        <v>107.5</v>
      </c>
      <c r="F302" t="n">
        <v>93.7</v>
      </c>
      <c r="G302" t="n">
        <v/>
      </c>
      <c r="H302" t="n">
        <v/>
      </c>
      <c r="I302" t="n">
        <v/>
      </c>
      <c r="J302" t="n">
        <v/>
      </c>
      <c r="K302" t="n">
        <v/>
      </c>
      <c r="L302" t="n">
        <v/>
      </c>
      <c r="M302" t="n">
        <v/>
      </c>
    </row>
    <row r="303">
      <c r="A303" s="68" t="n">
        <v>30926</v>
      </c>
      <c r="B303" t="n">
        <v>57.2</v>
      </c>
      <c r="C303" t="n">
        <v/>
      </c>
      <c r="D303" t="n">
        <v>100.9</v>
      </c>
      <c r="E303" t="n">
        <v>107.8</v>
      </c>
      <c r="F303" t="n">
        <v>96.40000000000001</v>
      </c>
      <c r="G303" t="n">
        <v/>
      </c>
      <c r="H303" t="n">
        <v/>
      </c>
      <c r="I303" t="n">
        <v/>
      </c>
      <c r="J303" t="n">
        <v/>
      </c>
      <c r="K303" t="n">
        <v/>
      </c>
      <c r="L303" t="n">
        <v/>
      </c>
      <c r="M303" t="n">
        <v/>
      </c>
    </row>
    <row r="304">
      <c r="A304" s="68" t="n">
        <v>30956</v>
      </c>
      <c r="B304" t="n">
        <v>57.4</v>
      </c>
      <c r="C304" t="n">
        <v/>
      </c>
      <c r="D304" t="n">
        <v>96.3</v>
      </c>
      <c r="E304" t="n">
        <v>103.6</v>
      </c>
      <c r="F304" t="n">
        <v>91.59999999999999</v>
      </c>
      <c r="G304" t="n">
        <v>7754.117</v>
      </c>
      <c r="H304" t="n">
        <v>0.008141739414042955</v>
      </c>
      <c r="I304" t="n">
        <v>0.05281323456945523</v>
      </c>
      <c r="J304" t="n">
        <v>0.03296684837028385</v>
      </c>
      <c r="K304" t="n">
        <v>0.008208571463863279</v>
      </c>
      <c r="L304" t="n">
        <v>0.03324078666384356</v>
      </c>
      <c r="M304" t="n">
        <v>0.05575799461835693</v>
      </c>
    </row>
    <row r="305">
      <c r="A305" s="68" t="n">
        <v>30987</v>
      </c>
      <c r="B305" t="n">
        <v>57.7</v>
      </c>
      <c r="C305" t="n">
        <v/>
      </c>
      <c r="D305" t="n">
        <v>95.7</v>
      </c>
      <c r="E305" t="n">
        <v>102.4</v>
      </c>
      <c r="F305" t="n">
        <v>91.5</v>
      </c>
      <c r="G305" t="n">
        <v/>
      </c>
      <c r="H305" t="n">
        <v/>
      </c>
      <c r="I305" t="n">
        <v/>
      </c>
      <c r="J305" t="n">
        <v/>
      </c>
      <c r="K305" t="n">
        <v/>
      </c>
      <c r="L305" t="n">
        <v/>
      </c>
      <c r="M305" t="n">
        <v/>
      </c>
    </row>
    <row r="306">
      <c r="A306" s="68" t="n">
        <v>31017</v>
      </c>
      <c r="B306" t="n">
        <v>58.1</v>
      </c>
      <c r="C306" t="n">
        <v/>
      </c>
      <c r="D306" t="n">
        <v>92.90000000000001</v>
      </c>
      <c r="E306" t="n">
        <v>100.6</v>
      </c>
      <c r="F306" t="n">
        <v>87.90000000000001</v>
      </c>
      <c r="G306" t="n">
        <v/>
      </c>
      <c r="H306" t="n">
        <v/>
      </c>
      <c r="I306" t="n">
        <v/>
      </c>
      <c r="J306" t="n">
        <v/>
      </c>
      <c r="K306" t="n">
        <v/>
      </c>
      <c r="L306" t="n">
        <v/>
      </c>
      <c r="M306" t="n">
        <v/>
      </c>
    </row>
    <row r="307">
      <c r="A307" s="68" t="n">
        <v>31048</v>
      </c>
      <c r="B307" t="n">
        <v>58.4</v>
      </c>
      <c r="C307" t="n">
        <v>179.6300048828125</v>
      </c>
      <c r="D307" t="n">
        <v>96</v>
      </c>
      <c r="E307" t="n">
        <v>104.9</v>
      </c>
      <c r="F307" t="n">
        <v>90.3</v>
      </c>
      <c r="G307" t="n">
        <v>7829.26</v>
      </c>
      <c r="H307" t="n">
        <v>0.009597714215647458</v>
      </c>
      <c r="I307" t="n">
        <v>0.04356644178377009</v>
      </c>
      <c r="J307" t="n">
        <v>0.03894709847366729</v>
      </c>
      <c r="K307" t="n">
        <v>0.00969072300559819</v>
      </c>
      <c r="L307" t="n">
        <v>0.03933000174327517</v>
      </c>
      <c r="M307" t="n">
        <v>0.04555093389343478</v>
      </c>
    </row>
    <row r="308">
      <c r="A308" s="68" t="n">
        <v>31079</v>
      </c>
      <c r="B308" t="n">
        <v>58.7</v>
      </c>
      <c r="C308" t="n">
        <v>181.1799926757812</v>
      </c>
      <c r="D308" t="n">
        <v>93.7</v>
      </c>
      <c r="E308" t="n">
        <v>105.1</v>
      </c>
      <c r="F308" t="n">
        <v>86.5</v>
      </c>
      <c r="G308" t="n">
        <v/>
      </c>
      <c r="H308" t="n">
        <v/>
      </c>
      <c r="I308" t="n">
        <v/>
      </c>
      <c r="J308" t="n">
        <v/>
      </c>
      <c r="K308" t="n">
        <v/>
      </c>
      <c r="L308" t="n">
        <v/>
      </c>
      <c r="M308" t="n">
        <v/>
      </c>
    </row>
    <row r="309">
      <c r="A309" s="68" t="n">
        <v>31107</v>
      </c>
      <c r="B309" t="n">
        <v>58.9</v>
      </c>
      <c r="C309" t="n">
        <v>180.6600036621094</v>
      </c>
      <c r="D309" t="n">
        <v>93.7</v>
      </c>
      <c r="E309" t="n">
        <v>103.7</v>
      </c>
      <c r="F309" t="n">
        <v>87.3</v>
      </c>
      <c r="G309" t="n">
        <v/>
      </c>
      <c r="H309" t="n">
        <v/>
      </c>
      <c r="I309" t="n">
        <v/>
      </c>
      <c r="J309" t="n">
        <v/>
      </c>
      <c r="K309" t="n">
        <v/>
      </c>
      <c r="L309" t="n">
        <v/>
      </c>
      <c r="M309" t="n">
        <v/>
      </c>
    </row>
    <row r="310">
      <c r="A310" s="68" t="n">
        <v>31138</v>
      </c>
      <c r="B310" t="n">
        <v>59</v>
      </c>
      <c r="C310" t="n">
        <v>179.8300018310547</v>
      </c>
      <c r="D310" t="n">
        <v>94.59999999999999</v>
      </c>
      <c r="E310" t="n">
        <v>106.6</v>
      </c>
      <c r="F310" t="n">
        <v>87</v>
      </c>
      <c r="G310" t="n">
        <v>7898.194</v>
      </c>
      <c r="H310" t="n">
        <v>0.008727818030299104</v>
      </c>
      <c r="I310" t="n">
        <v>0.03553305983621077</v>
      </c>
      <c r="J310" t="n">
        <v>0.03537098612865419</v>
      </c>
      <c r="K310" t="n">
        <v>0.008804663531419342</v>
      </c>
      <c r="L310" t="n">
        <v>0.03568652295878616</v>
      </c>
      <c r="M310" t="n">
        <v>0.03684217504663914</v>
      </c>
    </row>
    <row r="311">
      <c r="A311" s="68" t="n">
        <v>31168</v>
      </c>
      <c r="B311" t="n">
        <v>59.2</v>
      </c>
      <c r="C311" t="n">
        <v>189.5500030517578</v>
      </c>
      <c r="D311" t="n">
        <v>91.8</v>
      </c>
      <c r="E311" t="n">
        <v>103.7</v>
      </c>
      <c r="F311" t="n">
        <v>84.2</v>
      </c>
      <c r="G311" t="n">
        <v/>
      </c>
      <c r="H311" t="n">
        <v/>
      </c>
      <c r="I311" t="n">
        <v/>
      </c>
      <c r="J311" t="n">
        <v/>
      </c>
      <c r="K311" t="n">
        <v/>
      </c>
      <c r="L311" t="n">
        <v/>
      </c>
      <c r="M311" t="n">
        <v/>
      </c>
    </row>
    <row r="312">
      <c r="A312" s="68" t="n">
        <v>31199</v>
      </c>
      <c r="B312" t="n">
        <v>59.6</v>
      </c>
      <c r="C312" t="n">
        <v>191.8500061035156</v>
      </c>
      <c r="D312" t="n">
        <v>96.5</v>
      </c>
      <c r="E312" t="n">
        <v>104.9</v>
      </c>
      <c r="F312" t="n">
        <v>91.09999999999999</v>
      </c>
      <c r="G312" t="n">
        <v/>
      </c>
      <c r="H312" t="n">
        <v/>
      </c>
      <c r="I312" t="n">
        <v/>
      </c>
      <c r="J312" t="n">
        <v/>
      </c>
      <c r="K312" t="n">
        <v/>
      </c>
      <c r="L312" t="n">
        <v/>
      </c>
      <c r="M312" t="n">
        <v/>
      </c>
    </row>
    <row r="313">
      <c r="A313" s="68" t="n">
        <v>31229</v>
      </c>
      <c r="B313" t="n">
        <v>59.8</v>
      </c>
      <c r="C313" t="n">
        <v>190.9199981689453</v>
      </c>
      <c r="D313" t="n">
        <v>94</v>
      </c>
      <c r="E313" t="n">
        <v>104.3</v>
      </c>
      <c r="F313" t="n">
        <v>87.40000000000001</v>
      </c>
      <c r="G313" t="n">
        <v>8018.809</v>
      </c>
      <c r="H313" t="n">
        <v>0.01504151052855852</v>
      </c>
      <c r="I313" t="n">
        <v>0.04088188158615581</v>
      </c>
      <c r="J313" t="n">
        <v>0.06153718792471707</v>
      </c>
      <c r="K313" t="n">
        <v>0.01527121263417938</v>
      </c>
      <c r="L313" t="n">
        <v>0.06249841012954405</v>
      </c>
      <c r="M313" t="n">
        <v>0.04262444927405274</v>
      </c>
    </row>
    <row r="314">
      <c r="A314" s="68" t="n">
        <v>31260</v>
      </c>
      <c r="B314" t="n">
        <v>60</v>
      </c>
      <c r="C314" t="n">
        <v>188.6300048828125</v>
      </c>
      <c r="D314" t="n">
        <v>92.40000000000001</v>
      </c>
      <c r="E314" t="n">
        <v>101.8</v>
      </c>
      <c r="F314" t="n">
        <v>86.3</v>
      </c>
      <c r="G314" t="n">
        <v/>
      </c>
      <c r="H314" t="n">
        <v/>
      </c>
      <c r="I314" t="n">
        <v/>
      </c>
      <c r="J314" t="n">
        <v/>
      </c>
      <c r="K314" t="n">
        <v/>
      </c>
      <c r="L314" t="n">
        <v/>
      </c>
      <c r="M314" t="n">
        <v/>
      </c>
    </row>
    <row r="315">
      <c r="A315" s="68" t="n">
        <v>31291</v>
      </c>
      <c r="B315" t="n">
        <v>60.2</v>
      </c>
      <c r="C315" t="n">
        <v>182.0800018310547</v>
      </c>
      <c r="D315" t="n">
        <v>92.09999999999999</v>
      </c>
      <c r="E315" t="n">
        <v>104.3</v>
      </c>
      <c r="F315" t="n">
        <v>84.2</v>
      </c>
      <c r="G315" t="n">
        <v/>
      </c>
      <c r="H315" t="n">
        <v/>
      </c>
      <c r="I315" t="n">
        <v/>
      </c>
      <c r="J315" t="n">
        <v/>
      </c>
      <c r="K315" t="n">
        <v/>
      </c>
      <c r="L315" t="n">
        <v/>
      </c>
      <c r="M315" t="n">
        <v/>
      </c>
    </row>
    <row r="316">
      <c r="A316" s="68" t="n">
        <v>31321</v>
      </c>
      <c r="B316" t="n">
        <v>60.3</v>
      </c>
      <c r="C316" t="n">
        <v>189.8200073242188</v>
      </c>
      <c r="D316" t="n">
        <v>88.40000000000001</v>
      </c>
      <c r="E316" t="n">
        <v>100.3</v>
      </c>
      <c r="F316" t="n">
        <v>80.8</v>
      </c>
      <c r="G316" t="n">
        <v>8078.415</v>
      </c>
      <c r="H316" t="n">
        <v>0.007378427575211198</v>
      </c>
      <c r="I316" t="n">
        <v>0.04014376582535061</v>
      </c>
      <c r="J316" t="n">
        <v>0.02984196718719678</v>
      </c>
      <c r="K316" t="n">
        <v>0.007433273444971662</v>
      </c>
      <c r="L316" t="n">
        <v>0.03006626101659382</v>
      </c>
      <c r="M316" t="n">
        <v>0.04182268593574223</v>
      </c>
    </row>
    <row r="317">
      <c r="A317" s="68" t="n">
        <v>31352</v>
      </c>
      <c r="B317" t="n">
        <v>60.5</v>
      </c>
      <c r="C317" t="n">
        <v>202.1699981689453</v>
      </c>
      <c r="D317" t="n">
        <v>90.90000000000001</v>
      </c>
      <c r="E317" t="n">
        <v>100.7</v>
      </c>
      <c r="F317" t="n">
        <v>84.5</v>
      </c>
      <c r="G317" t="n">
        <v/>
      </c>
      <c r="H317" t="n">
        <v/>
      </c>
      <c r="I317" t="n">
        <v/>
      </c>
      <c r="J317" t="n">
        <v/>
      </c>
      <c r="K317" t="n">
        <v/>
      </c>
      <c r="L317" t="n">
        <v/>
      </c>
      <c r="M317" t="n">
        <v/>
      </c>
    </row>
    <row r="318">
      <c r="A318" s="68" t="n">
        <v>31382</v>
      </c>
      <c r="B318" t="n">
        <v>60.8</v>
      </c>
      <c r="C318" t="n">
        <v>211.2799987792969</v>
      </c>
      <c r="D318" t="n">
        <v>93.90000000000001</v>
      </c>
      <c r="E318" t="n">
        <v>103.1</v>
      </c>
      <c r="F318" t="n">
        <v>88.09999999999999</v>
      </c>
      <c r="G318" t="n">
        <v/>
      </c>
      <c r="H318" t="n">
        <v/>
      </c>
      <c r="I318" t="n">
        <v/>
      </c>
      <c r="J318" t="n">
        <v/>
      </c>
      <c r="K318" t="n">
        <v/>
      </c>
      <c r="L318" t="n">
        <v/>
      </c>
      <c r="M318" t="n">
        <v/>
      </c>
    </row>
    <row r="319">
      <c r="A319" s="68" t="n">
        <v>31413</v>
      </c>
      <c r="B319" t="n">
        <v>61</v>
      </c>
      <c r="C319" t="n">
        <v>211.7799987792969</v>
      </c>
      <c r="D319" t="n">
        <v>95.59999999999999</v>
      </c>
      <c r="E319" t="n">
        <v>111.8</v>
      </c>
      <c r="F319" t="n">
        <v>85.3</v>
      </c>
      <c r="G319" t="n">
        <v>8153.829</v>
      </c>
      <c r="H319" t="n">
        <v>0.009248906250057459</v>
      </c>
      <c r="I319" t="n">
        <v>0.03980571581768511</v>
      </c>
      <c r="J319" t="n">
        <v>0.03751205060826801</v>
      </c>
      <c r="K319" t="n">
        <v>0.009335247075075961</v>
      </c>
      <c r="L319" t="n">
        <v>0.0378671310716483</v>
      </c>
      <c r="M319" t="n">
        <v>0.04145589749222781</v>
      </c>
    </row>
    <row r="320">
      <c r="A320" s="68" t="n">
        <v>31444</v>
      </c>
      <c r="B320" t="n">
        <v>61.2</v>
      </c>
      <c r="C320" t="n">
        <v>226.9199981689453</v>
      </c>
      <c r="D320" t="n">
        <v>95.90000000000001</v>
      </c>
      <c r="E320" t="n">
        <v>108.4</v>
      </c>
      <c r="F320" t="n">
        <v>87.8</v>
      </c>
      <c r="G320" t="n">
        <v/>
      </c>
      <c r="H320" t="n">
        <v/>
      </c>
      <c r="I320" t="n">
        <v/>
      </c>
      <c r="J320" t="n">
        <v/>
      </c>
      <c r="K320" t="n">
        <v/>
      </c>
      <c r="L320" t="n">
        <v/>
      </c>
      <c r="M320" t="n">
        <v/>
      </c>
    </row>
    <row r="321">
      <c r="A321" s="68" t="n">
        <v>31472</v>
      </c>
      <c r="B321" t="n">
        <v>61.3</v>
      </c>
      <c r="C321" t="n">
        <v>238.8999938964844</v>
      </c>
      <c r="D321" t="n">
        <v>95.09999999999999</v>
      </c>
      <c r="E321" t="n">
        <v>107.9</v>
      </c>
      <c r="F321" t="n">
        <v>86.90000000000001</v>
      </c>
      <c r="G321" t="n">
        <v/>
      </c>
      <c r="H321" t="n">
        <v/>
      </c>
      <c r="I321" t="n">
        <v/>
      </c>
      <c r="J321" t="n">
        <v/>
      </c>
      <c r="K321" t="n">
        <v/>
      </c>
      <c r="L321" t="n">
        <v/>
      </c>
      <c r="M321" t="n">
        <v/>
      </c>
    </row>
    <row r="322">
      <c r="A322" s="68" t="n">
        <v>31503</v>
      </c>
      <c r="B322" t="n">
        <v>61.6</v>
      </c>
      <c r="C322" t="n">
        <v>235.5200042724609</v>
      </c>
      <c r="D322" t="n">
        <v>96.2</v>
      </c>
      <c r="E322" t="n">
        <v>108.1</v>
      </c>
      <c r="F322" t="n">
        <v>88.5</v>
      </c>
      <c r="G322" t="n">
        <v>8190.552</v>
      </c>
      <c r="H322" t="n">
        <v>0.004483580593835429</v>
      </c>
      <c r="I322" t="n">
        <v>0.03569454171098593</v>
      </c>
      <c r="J322" t="n">
        <v>0.01805529827372543</v>
      </c>
      <c r="K322" t="n">
        <v>0.004503773625863378</v>
      </c>
      <c r="L322" t="n">
        <v>0.01813716419389122</v>
      </c>
      <c r="M322" t="n">
        <v>0.03701580386604827</v>
      </c>
    </row>
    <row r="323">
      <c r="A323" s="68" t="n">
        <v>31533</v>
      </c>
      <c r="B323" t="n">
        <v>61.8</v>
      </c>
      <c r="C323" t="n">
        <v>247.3500061035156</v>
      </c>
      <c r="D323" t="n">
        <v>94.8</v>
      </c>
      <c r="E323" t="n">
        <v>106.2</v>
      </c>
      <c r="F323" t="n">
        <v>87.5</v>
      </c>
      <c r="G323" t="n">
        <v/>
      </c>
      <c r="H323" t="n">
        <v/>
      </c>
      <c r="I323" t="n">
        <v/>
      </c>
      <c r="J323" t="n">
        <v/>
      </c>
      <c r="K323" t="n">
        <v/>
      </c>
      <c r="L323" t="n">
        <v/>
      </c>
      <c r="M323" t="n">
        <v/>
      </c>
    </row>
    <row r="324">
      <c r="A324" s="68" t="n">
        <v>31564</v>
      </c>
      <c r="B324" t="n">
        <v>62.3</v>
      </c>
      <c r="C324" t="n">
        <v>250.8399963378906</v>
      </c>
      <c r="D324" t="n">
        <v>99.3</v>
      </c>
      <c r="E324" t="n">
        <v>113.3</v>
      </c>
      <c r="F324" t="n">
        <v>90.3</v>
      </c>
      <c r="G324" t="n">
        <v/>
      </c>
      <c r="H324" t="n">
        <v/>
      </c>
      <c r="I324" t="n">
        <v/>
      </c>
      <c r="J324" t="n">
        <v/>
      </c>
      <c r="K324" t="n">
        <v/>
      </c>
      <c r="L324" t="n">
        <v/>
      </c>
      <c r="M324" t="n">
        <v/>
      </c>
    </row>
    <row r="325">
      <c r="A325" s="68" t="n">
        <v>31594</v>
      </c>
      <c r="B325" t="n">
        <v>62.3</v>
      </c>
      <c r="C325" t="n">
        <v>236.1199951171875</v>
      </c>
      <c r="D325" t="n">
        <v>97.7</v>
      </c>
      <c r="E325" t="n">
        <v>112.1</v>
      </c>
      <c r="F325" t="n">
        <v>88.5</v>
      </c>
      <c r="G325" t="n">
        <v>8268.934999999999</v>
      </c>
      <c r="H325" t="n">
        <v>0.009479213465821151</v>
      </c>
      <c r="I325" t="n">
        <v>0.03024887727379636</v>
      </c>
      <c r="J325" t="n">
        <v>0.03845940190228214</v>
      </c>
      <c r="K325" t="n">
        <v>0.009569928864379325</v>
      </c>
      <c r="L325" t="n">
        <v>0.03883273086767081</v>
      </c>
      <c r="M325" t="n">
        <v>0.03119241273859987</v>
      </c>
    </row>
    <row r="326">
      <c r="A326" s="68" t="n">
        <v>31625</v>
      </c>
      <c r="B326" t="n">
        <v>62.4</v>
      </c>
      <c r="C326" t="n">
        <v>252.9299926757812</v>
      </c>
      <c r="D326" t="n">
        <v>94.90000000000001</v>
      </c>
      <c r="E326" t="n">
        <v>108.9</v>
      </c>
      <c r="F326" t="n">
        <v>85.90000000000001</v>
      </c>
      <c r="G326" t="n">
        <v/>
      </c>
      <c r="H326" t="n">
        <v/>
      </c>
      <c r="I326" t="n">
        <v/>
      </c>
      <c r="J326" t="n">
        <v/>
      </c>
      <c r="K326" t="n">
        <v/>
      </c>
      <c r="L326" t="n">
        <v/>
      </c>
      <c r="M326" t="n">
        <v/>
      </c>
    </row>
    <row r="327">
      <c r="A327" s="68" t="n">
        <v>31656</v>
      </c>
      <c r="B327" t="n">
        <v>62.6</v>
      </c>
      <c r="C327" t="n">
        <v>231.3200073242188</v>
      </c>
      <c r="D327" t="n">
        <v>91.90000000000001</v>
      </c>
      <c r="E327" t="n">
        <v>108.3</v>
      </c>
      <c r="F327" t="n">
        <v>81.3</v>
      </c>
      <c r="G327" t="n">
        <v/>
      </c>
      <c r="H327" t="n">
        <v/>
      </c>
      <c r="I327" t="n">
        <v/>
      </c>
      <c r="J327" t="n">
        <v/>
      </c>
      <c r="K327" t="n">
        <v/>
      </c>
      <c r="L327" t="n">
        <v/>
      </c>
      <c r="M327" t="n">
        <v/>
      </c>
    </row>
    <row r="328">
      <c r="A328" s="68" t="n">
        <v>31686</v>
      </c>
      <c r="B328" t="n">
        <v>62.7</v>
      </c>
      <c r="C328" t="n">
        <v>243.9799957275391</v>
      </c>
      <c r="D328" t="n">
        <v>95.59999999999999</v>
      </c>
      <c r="E328" t="n">
        <v>108.9</v>
      </c>
      <c r="F328" t="n">
        <v>87.09999999999999</v>
      </c>
      <c r="G328" t="n">
        <v>8313.338</v>
      </c>
      <c r="H328" t="n">
        <v>0.005341175830935811</v>
      </c>
      <c r="I328" t="n">
        <v>0.02825856473055706</v>
      </c>
      <c r="J328" t="n">
        <v>0.02153648258880003</v>
      </c>
      <c r="K328" t="n">
        <v>0.005369857182333668</v>
      </c>
      <c r="L328" t="n">
        <v>0.02165306112495746</v>
      </c>
      <c r="M328" t="n">
        <v>0.02908033320892772</v>
      </c>
    </row>
    <row r="329">
      <c r="A329" s="68" t="n">
        <v>31717</v>
      </c>
      <c r="B329" t="n">
        <v>62.9</v>
      </c>
      <c r="C329" t="n">
        <v>249.2200012207031</v>
      </c>
      <c r="D329" t="n">
        <v>91.40000000000001</v>
      </c>
      <c r="E329" t="n">
        <v>106.7</v>
      </c>
      <c r="F329" t="n">
        <v>81.59999999999999</v>
      </c>
      <c r="G329" t="n">
        <v/>
      </c>
      <c r="H329" t="n">
        <v/>
      </c>
      <c r="I329" t="n">
        <v/>
      </c>
      <c r="J329" t="n">
        <v/>
      </c>
      <c r="K329" t="n">
        <v/>
      </c>
      <c r="L329" t="n">
        <v/>
      </c>
      <c r="M329" t="n">
        <v/>
      </c>
    </row>
    <row r="330">
      <c r="A330" s="68" t="n">
        <v>31747</v>
      </c>
      <c r="B330" t="n">
        <v>63.3</v>
      </c>
      <c r="C330" t="n">
        <v>242.1699981689453</v>
      </c>
      <c r="D330" t="n">
        <v>89.09999999999999</v>
      </c>
      <c r="E330" t="n">
        <v>105.8</v>
      </c>
      <c r="F330" t="n">
        <v>78.3</v>
      </c>
      <c r="G330" t="n">
        <v/>
      </c>
      <c r="H330" t="n">
        <v/>
      </c>
      <c r="I330" t="n">
        <v/>
      </c>
      <c r="J330" t="n">
        <v/>
      </c>
      <c r="K330" t="n">
        <v/>
      </c>
      <c r="L330" t="n">
        <v/>
      </c>
      <c r="M330" t="n">
        <v/>
      </c>
    </row>
    <row r="331">
      <c r="A331" s="68" t="n">
        <v>31778</v>
      </c>
      <c r="B331" t="n">
        <v>63.3</v>
      </c>
      <c r="C331" t="n">
        <v>274.0799865722656</v>
      </c>
      <c r="D331" t="n">
        <v>90.40000000000001</v>
      </c>
      <c r="E331" t="n">
        <v>105.1</v>
      </c>
      <c r="F331" t="n">
        <v>80.90000000000001</v>
      </c>
      <c r="G331" t="n">
        <v>8375.273999999999</v>
      </c>
      <c r="H331" t="n">
        <v>0.007395101342356047</v>
      </c>
      <c r="I331" t="n">
        <v>0.02644032899699756</v>
      </c>
      <c r="J331" t="n">
        <v>0.02991015118245643</v>
      </c>
      <c r="K331" t="n">
        <v>0.007450196299007655</v>
      </c>
      <c r="L331" t="n">
        <v>0.03013547493148994</v>
      </c>
      <c r="M331" t="n">
        <v>0.02715840619174129</v>
      </c>
    </row>
    <row r="332">
      <c r="A332" s="68" t="n">
        <v>31809</v>
      </c>
      <c r="B332" t="n">
        <v>63.8</v>
      </c>
      <c r="C332" t="n">
        <v>284.2000122070312</v>
      </c>
      <c r="D332" t="n">
        <v>90.2</v>
      </c>
      <c r="E332" t="n">
        <v>103.7</v>
      </c>
      <c r="F332" t="n">
        <v>81.59999999999999</v>
      </c>
      <c r="G332" t="n">
        <v/>
      </c>
      <c r="H332" t="n">
        <v/>
      </c>
      <c r="I332" t="n">
        <v/>
      </c>
      <c r="J332" t="n">
        <v/>
      </c>
      <c r="K332" t="n">
        <v/>
      </c>
      <c r="L332" t="n">
        <v/>
      </c>
      <c r="M332" t="n">
        <v/>
      </c>
    </row>
    <row r="333">
      <c r="A333" s="68" t="n">
        <v>31837</v>
      </c>
      <c r="B333" t="n">
        <v>63.9</v>
      </c>
      <c r="C333" t="n">
        <v>291.7000122070312</v>
      </c>
      <c r="D333" t="n">
        <v>90.8</v>
      </c>
      <c r="E333" t="n">
        <v>102.5</v>
      </c>
      <c r="F333" t="n">
        <v>83.3</v>
      </c>
      <c r="G333" t="n">
        <v/>
      </c>
      <c r="H333" t="n">
        <v/>
      </c>
      <c r="I333" t="n">
        <v/>
      </c>
      <c r="J333" t="n">
        <v/>
      </c>
      <c r="K333" t="n">
        <v/>
      </c>
      <c r="L333" t="n">
        <v/>
      </c>
      <c r="M333" t="n">
        <v/>
      </c>
    </row>
    <row r="334">
      <c r="A334" s="68" t="n">
        <v>31868</v>
      </c>
      <c r="B334" t="n">
        <v>64</v>
      </c>
      <c r="C334" t="n">
        <v>288.3599853515625</v>
      </c>
      <c r="D334" t="n">
        <v>92.8</v>
      </c>
      <c r="E334" t="n">
        <v>105.5</v>
      </c>
      <c r="F334" t="n">
        <v>84.7</v>
      </c>
      <c r="G334" t="n">
        <v>8465.629999999999</v>
      </c>
      <c r="H334" t="n">
        <v>0.0106732753498558</v>
      </c>
      <c r="I334" t="n">
        <v>0.03249350609464382</v>
      </c>
      <c r="J334" t="n">
        <v>0.04338149076424602</v>
      </c>
      <c r="K334" t="n">
        <v>0.01078842316084223</v>
      </c>
      <c r="L334" t="n">
        <v>0.04385706929729549</v>
      </c>
      <c r="M334" t="n">
        <v>0.03358479379655969</v>
      </c>
    </row>
    <row r="335">
      <c r="A335" s="68" t="n">
        <v>31898</v>
      </c>
      <c r="B335" t="n">
        <v>64.2</v>
      </c>
      <c r="C335" t="n">
        <v>290.1000061035156</v>
      </c>
      <c r="D335" t="n">
        <v>91.09999999999999</v>
      </c>
      <c r="E335" t="n">
        <v>107.4</v>
      </c>
      <c r="F335" t="n">
        <v>80.59999999999999</v>
      </c>
      <c r="G335" t="n">
        <v/>
      </c>
      <c r="H335" t="n">
        <v/>
      </c>
      <c r="I335" t="n">
        <v/>
      </c>
      <c r="J335" t="n">
        <v/>
      </c>
      <c r="K335" t="n">
        <v/>
      </c>
      <c r="L335" t="n">
        <v/>
      </c>
      <c r="M335" t="n">
        <v/>
      </c>
    </row>
    <row r="336">
      <c r="A336" s="68" t="n">
        <v>31929</v>
      </c>
      <c r="B336" t="n">
        <v>64.5</v>
      </c>
      <c r="C336" t="n">
        <v>304</v>
      </c>
      <c r="D336" t="n">
        <v>91.5</v>
      </c>
      <c r="E336" t="n">
        <v>108.1</v>
      </c>
      <c r="F336" t="n">
        <v>80.8</v>
      </c>
      <c r="G336" t="n">
        <v/>
      </c>
      <c r="H336" t="n">
        <v/>
      </c>
      <c r="I336" t="n">
        <v/>
      </c>
      <c r="J336" t="n">
        <v/>
      </c>
      <c r="K336" t="n">
        <v/>
      </c>
      <c r="L336" t="n">
        <v/>
      </c>
      <c r="M336" t="n">
        <v/>
      </c>
    </row>
    <row r="337">
      <c r="A337" s="68" t="n">
        <v>31959</v>
      </c>
      <c r="B337" t="n">
        <v>64.8</v>
      </c>
      <c r="C337" t="n">
        <v>318.6600036621094</v>
      </c>
      <c r="D337" t="n">
        <v>93.7</v>
      </c>
      <c r="E337" t="n">
        <v>109.9</v>
      </c>
      <c r="F337" t="n">
        <v>83.3</v>
      </c>
      <c r="G337" t="n">
        <v>8539.075000000001</v>
      </c>
      <c r="H337" t="n">
        <v>0.008601048708437567</v>
      </c>
      <c r="I337" t="n">
        <v>0.03163574508948583</v>
      </c>
      <c r="J337" t="n">
        <v>0.03485061369467335</v>
      </c>
      <c r="K337" t="n">
        <v>0.008675668556268291</v>
      </c>
      <c r="L337" t="n">
        <v>0.03515689521360321</v>
      </c>
      <c r="M337" t="n">
        <v>0.03266926151916798</v>
      </c>
    </row>
    <row r="338">
      <c r="A338" s="68" t="n">
        <v>31990</v>
      </c>
      <c r="B338" t="n">
        <v>65</v>
      </c>
      <c r="C338" t="n">
        <v>329.7999877929688</v>
      </c>
      <c r="D338" t="n">
        <v>94.40000000000001</v>
      </c>
      <c r="E338" t="n">
        <v>107.8</v>
      </c>
      <c r="F338" t="n">
        <v>85.8</v>
      </c>
      <c r="G338" t="n">
        <v/>
      </c>
      <c r="H338" t="n">
        <v/>
      </c>
      <c r="I338" t="n">
        <v/>
      </c>
      <c r="J338" t="n">
        <v/>
      </c>
      <c r="K338" t="n">
        <v/>
      </c>
      <c r="L338" t="n">
        <v/>
      </c>
      <c r="M338" t="n">
        <v/>
      </c>
    </row>
    <row r="339">
      <c r="A339" s="68" t="n">
        <v>32021</v>
      </c>
      <c r="B339" t="n">
        <v>65.40000000000001</v>
      </c>
      <c r="C339" t="n">
        <v>321.8299865722656</v>
      </c>
      <c r="D339" t="n">
        <v>93.59999999999999</v>
      </c>
      <c r="E339" t="n">
        <v>108.3</v>
      </c>
      <c r="F339" t="n">
        <v>84.2</v>
      </c>
      <c r="G339" t="n">
        <v/>
      </c>
      <c r="H339" t="n">
        <v/>
      </c>
      <c r="I339" t="n">
        <v/>
      </c>
      <c r="J339" t="n">
        <v/>
      </c>
      <c r="K339" t="n">
        <v/>
      </c>
      <c r="L339" t="n">
        <v/>
      </c>
      <c r="M339" t="n">
        <v/>
      </c>
    </row>
    <row r="340">
      <c r="A340" s="68" t="n">
        <v>32051</v>
      </c>
      <c r="B340" t="n">
        <v>65.59999999999999</v>
      </c>
      <c r="C340" t="n">
        <v>251.7899932861328</v>
      </c>
      <c r="D340" t="n">
        <v>89.3</v>
      </c>
      <c r="E340" t="n">
        <v>103.1</v>
      </c>
      <c r="F340" t="n">
        <v>80.40000000000001</v>
      </c>
      <c r="G340" t="n">
        <v>8685.694</v>
      </c>
      <c r="H340" t="n">
        <v>0.01688051639857435</v>
      </c>
      <c r="I340" t="n">
        <v>0.04287003433461964</v>
      </c>
      <c r="J340" t="n">
        <v>0.06925109833155885</v>
      </c>
      <c r="K340" t="n">
        <v>0.01717036095830037</v>
      </c>
      <c r="L340" t="n">
        <v>0.07047070727767069</v>
      </c>
      <c r="M340" t="n">
        <v>0.04479019137679711</v>
      </c>
    </row>
    <row r="341">
      <c r="A341" s="68" t="n">
        <v>32082</v>
      </c>
      <c r="B341" t="n">
        <v>65.40000000000001</v>
      </c>
      <c r="C341" t="n">
        <v>230.3000030517578</v>
      </c>
      <c r="D341" t="n">
        <v>83.09999999999999</v>
      </c>
      <c r="E341" t="n">
        <v>99.3</v>
      </c>
      <c r="F341" t="n">
        <v>72.7</v>
      </c>
      <c r="G341" t="n">
        <v/>
      </c>
      <c r="H341" t="n">
        <v/>
      </c>
      <c r="I341" t="n">
        <v/>
      </c>
      <c r="J341" t="n">
        <v/>
      </c>
      <c r="K341" t="n">
        <v/>
      </c>
      <c r="L341" t="n">
        <v/>
      </c>
      <c r="M341" t="n">
        <v/>
      </c>
    </row>
    <row r="342">
      <c r="A342" s="68" t="n">
        <v>32112</v>
      </c>
      <c r="B342" t="n">
        <v>65.40000000000001</v>
      </c>
      <c r="C342" t="n">
        <v>247.0800018310547</v>
      </c>
      <c r="D342" t="n">
        <v>86.8</v>
      </c>
      <c r="E342" t="n">
        <v>102.7</v>
      </c>
      <c r="F342" t="n">
        <v>76.7</v>
      </c>
      <c r="G342" t="n">
        <v/>
      </c>
      <c r="H342" t="n">
        <v/>
      </c>
      <c r="I342" t="n">
        <v/>
      </c>
      <c r="J342" t="n">
        <v/>
      </c>
      <c r="K342" t="n">
        <v/>
      </c>
      <c r="L342" t="n">
        <v/>
      </c>
      <c r="M342" t="n">
        <v/>
      </c>
    </row>
    <row r="343">
      <c r="A343" s="68" t="n">
        <v>32143</v>
      </c>
      <c r="B343" t="n">
        <v>65.59999999999999</v>
      </c>
      <c r="C343" t="n">
        <v>257.0700073242188</v>
      </c>
      <c r="D343" t="n">
        <v>90.8</v>
      </c>
      <c r="E343" t="n">
        <v>106.2</v>
      </c>
      <c r="F343" t="n">
        <v>80.90000000000001</v>
      </c>
      <c r="G343" t="n">
        <v>8730.569</v>
      </c>
      <c r="H343" t="n">
        <v>0.005139985721434651</v>
      </c>
      <c r="I343" t="n">
        <v>0.04069551480550696</v>
      </c>
      <c r="J343" t="n">
        <v>0.02071900348547495</v>
      </c>
      <c r="K343" t="n">
        <v>0.005166541671857194</v>
      </c>
      <c r="L343" t="n">
        <v>0.02082687796218141</v>
      </c>
      <c r="M343" t="n">
        <v>0.04242189568962163</v>
      </c>
    </row>
    <row r="344">
      <c r="A344" s="68" t="n">
        <v>32174</v>
      </c>
      <c r="B344" t="n">
        <v>66.09999999999999</v>
      </c>
      <c r="C344" t="n">
        <v>267.8200073242188</v>
      </c>
      <c r="D344" t="n">
        <v>91.59999999999999</v>
      </c>
      <c r="E344" t="n">
        <v>106.6</v>
      </c>
      <c r="F344" t="n">
        <v>81.90000000000001</v>
      </c>
      <c r="G344" t="n">
        <v/>
      </c>
      <c r="H344" t="n">
        <v/>
      </c>
      <c r="I344" t="n">
        <v/>
      </c>
      <c r="J344" t="n">
        <v/>
      </c>
      <c r="K344" t="n">
        <v/>
      </c>
      <c r="L344" t="n">
        <v/>
      </c>
      <c r="M344" t="n">
        <v/>
      </c>
    </row>
    <row r="345">
      <c r="A345" s="68" t="n">
        <v>32203</v>
      </c>
      <c r="B345" t="n">
        <v>66.40000000000001</v>
      </c>
      <c r="C345" t="n">
        <v>258.8900146484375</v>
      </c>
      <c r="D345" t="n">
        <v>94.59999999999999</v>
      </c>
      <c r="E345" t="n">
        <v>109.1</v>
      </c>
      <c r="F345" t="n">
        <v>85.2</v>
      </c>
      <c r="G345" t="n">
        <v/>
      </c>
      <c r="H345" t="n">
        <v/>
      </c>
      <c r="I345" t="n">
        <v/>
      </c>
      <c r="J345" t="n">
        <v/>
      </c>
      <c r="K345" t="n">
        <v/>
      </c>
      <c r="L345" t="n">
        <v/>
      </c>
      <c r="M345" t="n">
        <v/>
      </c>
    </row>
    <row r="346">
      <c r="A346" s="68" t="n">
        <v>32234</v>
      </c>
      <c r="B346" t="n">
        <v>66.5</v>
      </c>
      <c r="C346" t="n">
        <v>261.3299865722656</v>
      </c>
      <c r="D346" t="n">
        <v>91.2</v>
      </c>
      <c r="E346" t="n">
        <v>104.8</v>
      </c>
      <c r="F346" t="n">
        <v>82.40000000000001</v>
      </c>
      <c r="G346" t="n">
        <v>8845.280000000001</v>
      </c>
      <c r="H346" t="n">
        <v>0.01296861150805866</v>
      </c>
      <c r="I346" t="n">
        <v>0.04292119638948699</v>
      </c>
      <c r="J346" t="n">
        <v>0.05289230812278367</v>
      </c>
      <c r="K346" t="n">
        <v>0.01313900617474086</v>
      </c>
      <c r="L346" t="n">
        <v>0.0536009283304526</v>
      </c>
      <c r="M346" t="n">
        <v>0.0448460421728804</v>
      </c>
    </row>
    <row r="347">
      <c r="A347" s="68" t="n">
        <v>32264</v>
      </c>
      <c r="B347" t="n">
        <v>66.8</v>
      </c>
      <c r="C347" t="n">
        <v>262.1600036621094</v>
      </c>
      <c r="D347" t="n">
        <v>94.8</v>
      </c>
      <c r="E347" t="n">
        <v>106.5</v>
      </c>
      <c r="F347" t="n">
        <v>87.3</v>
      </c>
      <c r="G347" t="n">
        <v/>
      </c>
      <c r="H347" t="n">
        <v/>
      </c>
      <c r="I347" t="n">
        <v/>
      </c>
      <c r="J347" t="n">
        <v/>
      </c>
      <c r="K347" t="n">
        <v/>
      </c>
      <c r="L347" t="n">
        <v/>
      </c>
      <c r="M347" t="n">
        <v/>
      </c>
    </row>
    <row r="348">
      <c r="A348" s="68" t="n">
        <v>32295</v>
      </c>
      <c r="B348" t="n">
        <v>67.2</v>
      </c>
      <c r="C348" t="n">
        <v>273.5</v>
      </c>
      <c r="D348" t="n">
        <v>94.7</v>
      </c>
      <c r="E348" t="n">
        <v>108.6</v>
      </c>
      <c r="F348" t="n">
        <v>85.7</v>
      </c>
      <c r="G348" t="n">
        <v/>
      </c>
      <c r="H348" t="n">
        <v/>
      </c>
      <c r="I348" t="n">
        <v/>
      </c>
      <c r="J348" t="n">
        <v/>
      </c>
      <c r="K348" t="n">
        <v/>
      </c>
      <c r="L348" t="n">
        <v/>
      </c>
      <c r="M348" t="n">
        <v/>
      </c>
    </row>
    <row r="349">
      <c r="A349" s="68" t="n">
        <v>32325</v>
      </c>
      <c r="B349" t="n">
        <v>67.2</v>
      </c>
      <c r="C349" t="n">
        <v>272.0199890136719</v>
      </c>
      <c r="D349" t="n">
        <v>93.40000000000001</v>
      </c>
      <c r="E349" t="n">
        <v>110.7</v>
      </c>
      <c r="F349" t="n">
        <v>82.3</v>
      </c>
      <c r="G349" t="n">
        <v>8897.107</v>
      </c>
      <c r="H349" t="n">
        <v>0.005825151928598736</v>
      </c>
      <c r="I349" t="n">
        <v>0.04024139532097335</v>
      </c>
      <c r="J349" t="n">
        <v>0.02350499388117466</v>
      </c>
      <c r="K349" t="n">
        <v>0.005859283143099971</v>
      </c>
      <c r="L349" t="n">
        <v>0.02364392556959816</v>
      </c>
      <c r="M349" t="n">
        <v>0.04192866323342976</v>
      </c>
    </row>
    <row r="350">
      <c r="A350" s="68" t="n">
        <v>32356</v>
      </c>
      <c r="B350" t="n">
        <v>67.3</v>
      </c>
      <c r="C350" t="n">
        <v>261.5199890136719</v>
      </c>
      <c r="D350" t="n">
        <v>97.40000000000001</v>
      </c>
      <c r="E350" t="n">
        <v>110.8</v>
      </c>
      <c r="F350" t="n">
        <v>88.8</v>
      </c>
      <c r="G350" t="n">
        <v/>
      </c>
      <c r="H350" t="n">
        <v/>
      </c>
      <c r="I350" t="n">
        <v/>
      </c>
      <c r="J350" t="n">
        <v/>
      </c>
      <c r="K350" t="n">
        <v/>
      </c>
      <c r="L350" t="n">
        <v/>
      </c>
      <c r="M350" t="n">
        <v/>
      </c>
    </row>
    <row r="351">
      <c r="A351" s="68" t="n">
        <v>32387</v>
      </c>
      <c r="B351" t="n">
        <v>67.5</v>
      </c>
      <c r="C351" t="n">
        <v>271.9100036621094</v>
      </c>
      <c r="D351" t="n">
        <v>97.3</v>
      </c>
      <c r="E351" t="n">
        <v>109.4</v>
      </c>
      <c r="F351" t="n">
        <v>89.5</v>
      </c>
      <c r="G351" t="n">
        <v/>
      </c>
      <c r="H351" t="n">
        <v/>
      </c>
      <c r="I351" t="n">
        <v/>
      </c>
      <c r="J351" t="n">
        <v/>
      </c>
      <c r="K351" t="n">
        <v/>
      </c>
      <c r="L351" t="n">
        <v/>
      </c>
      <c r="M351" t="n">
        <v/>
      </c>
    </row>
    <row r="352">
      <c r="A352" s="68" t="n">
        <v>32417</v>
      </c>
      <c r="B352" t="n">
        <v>67.8</v>
      </c>
      <c r="C352" t="n">
        <v>278.9700012207031</v>
      </c>
      <c r="D352" t="n">
        <v>94.09999999999999</v>
      </c>
      <c r="E352" t="n">
        <v>105</v>
      </c>
      <c r="F352" t="n">
        <v>87</v>
      </c>
      <c r="G352" t="n">
        <v>9015.661</v>
      </c>
      <c r="H352" t="n">
        <v>0.01314978458040959</v>
      </c>
      <c r="I352" t="n">
        <v>0.03659931312856601</v>
      </c>
      <c r="J352" t="n">
        <v>0.05364576450543379</v>
      </c>
      <c r="K352" t="n">
        <v>0.01332500553269732</v>
      </c>
      <c r="L352" t="n">
        <v>0.05437485201812042</v>
      </c>
      <c r="M352" t="n">
        <v>0.03798971043649484</v>
      </c>
    </row>
    <row r="353">
      <c r="A353" s="68" t="n">
        <v>32448</v>
      </c>
      <c r="B353" t="n">
        <v>67.90000000000001</v>
      </c>
      <c r="C353" t="n">
        <v>273.7000122070312</v>
      </c>
      <c r="D353" t="n">
        <v>93</v>
      </c>
      <c r="E353" t="n">
        <v>103.3</v>
      </c>
      <c r="F353" t="n">
        <v>86.3</v>
      </c>
      <c r="G353" t="n">
        <v/>
      </c>
      <c r="H353" t="n">
        <v/>
      </c>
      <c r="I353" t="n">
        <v/>
      </c>
      <c r="J353" t="n">
        <v/>
      </c>
      <c r="K353" t="n">
        <v/>
      </c>
      <c r="L353" t="n">
        <v/>
      </c>
      <c r="M353" t="n">
        <v/>
      </c>
    </row>
    <row r="354">
      <c r="A354" s="68" t="n">
        <v>32478</v>
      </c>
      <c r="B354" t="n">
        <v>68.09999999999999</v>
      </c>
      <c r="C354" t="n">
        <v>277.7200012207031</v>
      </c>
      <c r="D354" t="n">
        <v>91.90000000000001</v>
      </c>
      <c r="E354" t="n">
        <v>102</v>
      </c>
      <c r="F354" t="n">
        <v>85.5</v>
      </c>
      <c r="G354" t="n">
        <v/>
      </c>
      <c r="H354" t="n">
        <v/>
      </c>
      <c r="I354" t="n">
        <v/>
      </c>
      <c r="J354" t="n">
        <v/>
      </c>
      <c r="K354" t="n">
        <v/>
      </c>
      <c r="L354" t="n">
        <v/>
      </c>
      <c r="M354" t="n">
        <v/>
      </c>
    </row>
    <row r="355">
      <c r="A355" s="68" t="n">
        <v>32509</v>
      </c>
      <c r="B355" t="n">
        <v>68.2</v>
      </c>
      <c r="C355" t="n">
        <v>297.4700012207031</v>
      </c>
      <c r="D355" t="n">
        <v>97.90000000000001</v>
      </c>
      <c r="E355" t="n">
        <v>110.3</v>
      </c>
      <c r="F355" t="n">
        <v>89.90000000000001</v>
      </c>
      <c r="G355" t="n">
        <v>9107.314</v>
      </c>
      <c r="H355" t="n">
        <v>0.01006366970546972</v>
      </c>
      <c r="I355" t="n">
        <v>0.04136730105056231</v>
      </c>
      <c r="J355" t="n">
        <v>0.04086643065778373</v>
      </c>
      <c r="K355" t="n">
        <v>0.01016597673759032</v>
      </c>
      <c r="L355" t="n">
        <v>0.04128820262532429</v>
      </c>
      <c r="M355" t="n">
        <v>0.04315239934533486</v>
      </c>
    </row>
    <row r="356">
      <c r="A356" s="68" t="n">
        <v>32540</v>
      </c>
      <c r="B356" t="n">
        <v>68.2</v>
      </c>
      <c r="C356" t="n">
        <v>288.8599853515625</v>
      </c>
      <c r="D356" t="n">
        <v>95.40000000000001</v>
      </c>
      <c r="E356" t="n">
        <v>105.7</v>
      </c>
      <c r="F356" t="n">
        <v>88.8</v>
      </c>
      <c r="G356" t="n">
        <v/>
      </c>
      <c r="H356" t="n">
        <v/>
      </c>
      <c r="I356" t="n">
        <v/>
      </c>
      <c r="J356" t="n">
        <v/>
      </c>
      <c r="K356" t="n">
        <v/>
      </c>
      <c r="L356" t="n">
        <v/>
      </c>
      <c r="M356" t="n">
        <v/>
      </c>
    </row>
    <row r="357">
      <c r="A357" s="68" t="n">
        <v>32568</v>
      </c>
      <c r="B357" t="n">
        <v>67.90000000000001</v>
      </c>
      <c r="C357" t="n">
        <v>294.8699951171875</v>
      </c>
      <c r="D357" t="n">
        <v>94.3</v>
      </c>
      <c r="E357" t="n">
        <v>104.8</v>
      </c>
      <c r="F357" t="n">
        <v>87.59999999999999</v>
      </c>
      <c r="G357" t="n">
        <v/>
      </c>
      <c r="H357" t="n">
        <v/>
      </c>
      <c r="I357" t="n">
        <v/>
      </c>
      <c r="J357" t="n">
        <v/>
      </c>
      <c r="K357" t="n">
        <v/>
      </c>
      <c r="L357" t="n">
        <v/>
      </c>
      <c r="M357" t="n">
        <v/>
      </c>
    </row>
    <row r="358">
      <c r="A358" s="68" t="n">
        <v>32599</v>
      </c>
      <c r="B358" t="n">
        <v>68</v>
      </c>
      <c r="C358" t="n">
        <v>309.6400146484375</v>
      </c>
      <c r="D358" t="n">
        <v>91.5</v>
      </c>
      <c r="E358" t="n">
        <v>104.4</v>
      </c>
      <c r="F358" t="n">
        <v>83.2</v>
      </c>
      <c r="G358" t="n">
        <v>9176.826999999999</v>
      </c>
      <c r="H358" t="n">
        <v>0.00757484041052523</v>
      </c>
      <c r="I358" t="n">
        <v>0.03612871856470637</v>
      </c>
      <c r="J358" t="n">
        <v>0.03064537270088041</v>
      </c>
      <c r="K358" t="n">
        <v>0.007632656565920425</v>
      </c>
      <c r="L358" t="n">
        <v>0.03088195297144991</v>
      </c>
      <c r="M358" t="n">
        <v>0.03748292874843969</v>
      </c>
    </row>
    <row r="359">
      <c r="A359" s="68" t="n">
        <v>32629</v>
      </c>
      <c r="B359" t="n">
        <v>67.8</v>
      </c>
      <c r="C359" t="n">
        <v>320.5199890136719</v>
      </c>
      <c r="D359" t="n">
        <v>90.7</v>
      </c>
      <c r="E359" t="n">
        <v>107.1</v>
      </c>
      <c r="F359" t="n">
        <v>80.09999999999999</v>
      </c>
      <c r="G359" t="n">
        <v/>
      </c>
      <c r="H359" t="n">
        <v/>
      </c>
      <c r="I359" t="n">
        <v/>
      </c>
      <c r="J359" t="n">
        <v/>
      </c>
      <c r="K359" t="n">
        <v/>
      </c>
      <c r="L359" t="n">
        <v/>
      </c>
      <c r="M359" t="n">
        <v/>
      </c>
    </row>
    <row r="360">
      <c r="A360" s="68" t="n">
        <v>32660</v>
      </c>
      <c r="B360" t="n">
        <v>67.7</v>
      </c>
      <c r="C360" t="n">
        <v>317.9800109863281</v>
      </c>
      <c r="D360" t="n">
        <v>90.59999999999999</v>
      </c>
      <c r="E360" t="n">
        <v>104.1</v>
      </c>
      <c r="F360" t="n">
        <v>82</v>
      </c>
      <c r="G360" t="n">
        <v/>
      </c>
      <c r="H360" t="n">
        <v/>
      </c>
      <c r="I360" t="n">
        <v/>
      </c>
      <c r="J360" t="n">
        <v/>
      </c>
      <c r="K360" t="n">
        <v/>
      </c>
      <c r="L360" t="n">
        <v/>
      </c>
      <c r="M360" t="n">
        <v/>
      </c>
    </row>
    <row r="361">
      <c r="A361" s="68" t="n">
        <v>32690</v>
      </c>
      <c r="B361" t="n">
        <v>67.40000000000001</v>
      </c>
      <c r="C361" t="n">
        <v>346.0799865722656</v>
      </c>
      <c r="D361" t="n">
        <v>92</v>
      </c>
      <c r="E361" t="n">
        <v>102.1</v>
      </c>
      <c r="F361" t="n">
        <v>85.5</v>
      </c>
      <c r="G361" t="n">
        <v>9244.816000000001</v>
      </c>
      <c r="H361" t="n">
        <v>0.007354283741288241</v>
      </c>
      <c r="I361" t="n">
        <v>0.03761124072128647</v>
      </c>
      <c r="J361" t="n">
        <v>0.02974324186661748</v>
      </c>
      <c r="K361" t="n">
        <v>0.007408769937583154</v>
      </c>
      <c r="L361" t="n">
        <v>0.02996604866089259</v>
      </c>
      <c r="M361" t="n">
        <v>0.03908113052928337</v>
      </c>
    </row>
    <row r="362">
      <c r="A362" s="68" t="n">
        <v>32721</v>
      </c>
      <c r="B362" t="n">
        <v>67.59999999999999</v>
      </c>
      <c r="C362" t="n">
        <v>351.4500122070312</v>
      </c>
      <c r="D362" t="n">
        <v>89.59999999999999</v>
      </c>
      <c r="E362" t="n">
        <v>103.9</v>
      </c>
      <c r="F362" t="n">
        <v>80.3</v>
      </c>
      <c r="G362" t="n">
        <v/>
      </c>
      <c r="H362" t="n">
        <v/>
      </c>
      <c r="I362" t="n">
        <v/>
      </c>
      <c r="J362" t="n">
        <v/>
      </c>
      <c r="K362" t="n">
        <v/>
      </c>
      <c r="L362" t="n">
        <v/>
      </c>
      <c r="M362" t="n">
        <v/>
      </c>
    </row>
    <row r="363">
      <c r="A363" s="68" t="n">
        <v>32752</v>
      </c>
      <c r="B363" t="n">
        <v>67.59999999999999</v>
      </c>
      <c r="C363" t="n">
        <v>349.1499938964844</v>
      </c>
      <c r="D363" t="n">
        <v>95.8</v>
      </c>
      <c r="E363" t="n">
        <v>107.1</v>
      </c>
      <c r="F363" t="n">
        <v>88.59999999999999</v>
      </c>
      <c r="G363" t="n">
        <v/>
      </c>
      <c r="H363" t="n">
        <v/>
      </c>
      <c r="I363" t="n">
        <v/>
      </c>
      <c r="J363" t="n">
        <v/>
      </c>
      <c r="K363" t="n">
        <v/>
      </c>
      <c r="L363" t="n">
        <v/>
      </c>
      <c r="M363" t="n">
        <v/>
      </c>
    </row>
    <row r="364">
      <c r="A364" s="68" t="n">
        <v>32782</v>
      </c>
      <c r="B364" t="n">
        <v>67.40000000000001</v>
      </c>
      <c r="C364" t="n">
        <v>340.3599853515625</v>
      </c>
      <c r="D364" t="n">
        <v>93.90000000000001</v>
      </c>
      <c r="E364" t="n">
        <v>104.4</v>
      </c>
      <c r="F364" t="n">
        <v>87.2</v>
      </c>
      <c r="G364" t="n">
        <v>9263.032999999999</v>
      </c>
      <c r="H364" t="n">
        <v>0.001966634470588492</v>
      </c>
      <c r="I364" t="n">
        <v>0.02670529188441835</v>
      </c>
      <c r="J364" t="n">
        <v>0.007889774229182134</v>
      </c>
      <c r="K364" t="n">
        <v>0.001970509742973655</v>
      </c>
      <c r="L364" t="n">
        <v>0.007905367044091838</v>
      </c>
      <c r="M364" t="n">
        <v>0.02743803255246614</v>
      </c>
    </row>
    <row r="365">
      <c r="A365" s="68" t="n">
        <v>32813</v>
      </c>
      <c r="B365" t="n">
        <v>67.5</v>
      </c>
      <c r="C365" t="n">
        <v>345.989990234375</v>
      </c>
      <c r="D365" t="n">
        <v>90.90000000000001</v>
      </c>
      <c r="E365" t="n">
        <v>101.2</v>
      </c>
      <c r="F365" t="n">
        <v>84.3</v>
      </c>
      <c r="G365" t="n">
        <v/>
      </c>
      <c r="H365" t="n">
        <v/>
      </c>
      <c r="I365" t="n">
        <v/>
      </c>
      <c r="J365" t="n">
        <v/>
      </c>
      <c r="K365" t="n">
        <v/>
      </c>
      <c r="L365" t="n">
        <v/>
      </c>
      <c r="M365" t="n">
        <v/>
      </c>
    </row>
    <row r="366">
      <c r="A366" s="68" t="n">
        <v>32843</v>
      </c>
      <c r="B366" t="n">
        <v>67.5</v>
      </c>
      <c r="C366" t="n">
        <v>353.3999938964844</v>
      </c>
      <c r="D366" t="n">
        <v>90.5</v>
      </c>
      <c r="E366" t="n">
        <v>98.2</v>
      </c>
      <c r="F366" t="n">
        <v>85.5</v>
      </c>
      <c r="G366" t="n">
        <v/>
      </c>
      <c r="H366" t="n">
        <v/>
      </c>
      <c r="I366" t="n">
        <v/>
      </c>
      <c r="J366" t="n">
        <v/>
      </c>
      <c r="K366" t="n">
        <v/>
      </c>
      <c r="L366" t="n">
        <v/>
      </c>
      <c r="M366" t="n">
        <v/>
      </c>
    </row>
    <row r="367">
      <c r="A367" s="68" t="n">
        <v>32874</v>
      </c>
      <c r="B367" t="n">
        <v>67.40000000000001</v>
      </c>
      <c r="C367" t="n">
        <v>329.0799865722656</v>
      </c>
      <c r="D367" t="n">
        <v>93</v>
      </c>
      <c r="E367" t="n">
        <v>108</v>
      </c>
      <c r="F367" t="n">
        <v>83.40000000000001</v>
      </c>
      <c r="G367" t="n">
        <v>9364.259</v>
      </c>
      <c r="H367" t="n">
        <v>0.01080982488844025</v>
      </c>
      <c r="I367" t="n">
        <v>0.02743890360144884</v>
      </c>
      <c r="J367" t="n">
        <v>0.04394547970515061</v>
      </c>
      <c r="K367" t="n">
        <v>0.01092795415929108</v>
      </c>
      <c r="L367" t="n">
        <v>0.04443357206409249</v>
      </c>
      <c r="M367" t="n">
        <v>0.02821303844360694</v>
      </c>
    </row>
    <row r="368">
      <c r="A368" s="68" t="n">
        <v>32905</v>
      </c>
      <c r="B368" t="n">
        <v>67.3</v>
      </c>
      <c r="C368" t="n">
        <v>331.8900146484375</v>
      </c>
      <c r="D368" t="n">
        <v>89.5</v>
      </c>
      <c r="E368" t="n">
        <v>102.3</v>
      </c>
      <c r="F368" t="n">
        <v>81.3</v>
      </c>
      <c r="G368" t="n">
        <v/>
      </c>
      <c r="H368" t="n">
        <v/>
      </c>
      <c r="I368" t="n">
        <v/>
      </c>
      <c r="J368" t="n">
        <v/>
      </c>
      <c r="K368" t="n">
        <v/>
      </c>
      <c r="L368" t="n">
        <v/>
      </c>
      <c r="M368" t="n">
        <v/>
      </c>
    </row>
    <row r="369">
      <c r="A369" s="68" t="n">
        <v>32933</v>
      </c>
      <c r="B369" t="n">
        <v>67.3</v>
      </c>
      <c r="C369" t="n">
        <v>339.9400024414062</v>
      </c>
      <c r="D369" t="n">
        <v>91.3</v>
      </c>
      <c r="E369" t="n">
        <v>106.9</v>
      </c>
      <c r="F369" t="n">
        <v>81.3</v>
      </c>
      <c r="G369" t="n">
        <v/>
      </c>
      <c r="H369" t="n">
        <v/>
      </c>
      <c r="I369" t="n">
        <v/>
      </c>
      <c r="J369" t="n">
        <v/>
      </c>
      <c r="K369" t="n">
        <v/>
      </c>
      <c r="L369" t="n">
        <v/>
      </c>
      <c r="M369" t="n">
        <v/>
      </c>
    </row>
    <row r="370">
      <c r="A370" s="68" t="n">
        <v>32964</v>
      </c>
      <c r="B370" t="n">
        <v>67.09999999999999</v>
      </c>
      <c r="C370" t="n">
        <v>330.7999877929688</v>
      </c>
      <c r="D370" t="n">
        <v>93.90000000000001</v>
      </c>
      <c r="E370" t="n">
        <v>109.4</v>
      </c>
      <c r="F370" t="n">
        <v>83.90000000000001</v>
      </c>
      <c r="G370" t="n">
        <v>9398.243</v>
      </c>
      <c r="H370" t="n">
        <v>0.003615995032262986</v>
      </c>
      <c r="I370" t="n">
        <v>0.02355929720055132</v>
      </c>
      <c r="J370" t="n">
        <v>0.01454262194307465</v>
      </c>
      <c r="K370" t="n">
        <v>0.003629117904577434</v>
      </c>
      <c r="L370" t="n">
        <v>0.01459568596150662</v>
      </c>
      <c r="M370" t="n">
        <v>0.02412772955183759</v>
      </c>
    </row>
    <row r="371">
      <c r="A371" s="68" t="n">
        <v>32994</v>
      </c>
      <c r="B371" t="n">
        <v>67.09999999999999</v>
      </c>
      <c r="C371" t="n">
        <v>361.2300109863281</v>
      </c>
      <c r="D371" t="n">
        <v>90.59999999999999</v>
      </c>
      <c r="E371" t="n">
        <v>108.1</v>
      </c>
      <c r="F371" t="n">
        <v>79.3</v>
      </c>
      <c r="G371" t="n">
        <v/>
      </c>
      <c r="H371" t="n">
        <v/>
      </c>
      <c r="I371" t="n">
        <v/>
      </c>
      <c r="J371" t="n">
        <v/>
      </c>
      <c r="K371" t="n">
        <v/>
      </c>
      <c r="L371" t="n">
        <v/>
      </c>
      <c r="M371" t="n">
        <v/>
      </c>
    </row>
    <row r="372">
      <c r="A372" s="68" t="n">
        <v>33025</v>
      </c>
      <c r="B372" t="n">
        <v>67.09999999999999</v>
      </c>
      <c r="C372" t="n">
        <v>358.0199890136719</v>
      </c>
      <c r="D372" t="n">
        <v>88.3</v>
      </c>
      <c r="E372" t="n">
        <v>106.5</v>
      </c>
      <c r="F372" t="n">
        <v>76.59999999999999</v>
      </c>
      <c r="G372" t="n">
        <v/>
      </c>
      <c r="H372" t="n">
        <v/>
      </c>
      <c r="I372" t="n">
        <v/>
      </c>
      <c r="J372" t="n">
        <v/>
      </c>
      <c r="K372" t="n">
        <v/>
      </c>
      <c r="L372" t="n">
        <v/>
      </c>
      <c r="M372" t="n">
        <v/>
      </c>
    </row>
    <row r="373">
      <c r="A373" s="68" t="n">
        <v>33055</v>
      </c>
      <c r="B373" t="n">
        <v>66.8</v>
      </c>
      <c r="C373" t="n">
        <v>356.1499938964844</v>
      </c>
      <c r="D373" t="n">
        <v>88.2</v>
      </c>
      <c r="E373" t="n">
        <v>105.1</v>
      </c>
      <c r="F373" t="n">
        <v>77.3</v>
      </c>
      <c r="G373" t="n">
        <v>9404.494000000001</v>
      </c>
      <c r="H373" t="n">
        <v>0.000664682225327615</v>
      </c>
      <c r="I373" t="n">
        <v>0.01697890391551102</v>
      </c>
      <c r="J373" t="n">
        <v>0.002661380890902398</v>
      </c>
      <c r="K373" t="n">
        <v>0.0006651243216418434</v>
      </c>
      <c r="L373" t="n">
        <v>0.002663152805920666</v>
      </c>
      <c r="M373" t="n">
        <v>0.01727216636869786</v>
      </c>
    </row>
    <row r="374">
      <c r="A374" s="68" t="n">
        <v>33086</v>
      </c>
      <c r="B374" t="n">
        <v>65.90000000000001</v>
      </c>
      <c r="C374" t="n">
        <v>322.5599975585938</v>
      </c>
      <c r="D374" t="n">
        <v>76.40000000000001</v>
      </c>
      <c r="E374" t="n">
        <v>97.5</v>
      </c>
      <c r="F374" t="n">
        <v>62.9</v>
      </c>
      <c r="G374" t="n">
        <v/>
      </c>
      <c r="H374" t="n">
        <v/>
      </c>
      <c r="I374" t="n">
        <v/>
      </c>
      <c r="J374" t="n">
        <v/>
      </c>
      <c r="K374" t="n">
        <v/>
      </c>
      <c r="L374" t="n">
        <v/>
      </c>
      <c r="M374" t="n">
        <v/>
      </c>
    </row>
    <row r="375">
      <c r="A375" s="68" t="n">
        <v>33117</v>
      </c>
      <c r="B375" t="n">
        <v>65.09999999999999</v>
      </c>
      <c r="C375" t="n">
        <v>306.0499877929688</v>
      </c>
      <c r="D375" t="n">
        <v>72.8</v>
      </c>
      <c r="E375" t="n">
        <v>94.7</v>
      </c>
      <c r="F375" t="n">
        <v>58.8</v>
      </c>
      <c r="G375" t="n">
        <v/>
      </c>
      <c r="H375" t="n">
        <v/>
      </c>
      <c r="I375" t="n">
        <v/>
      </c>
      <c r="J375" t="n">
        <v/>
      </c>
      <c r="K375" t="n">
        <v/>
      </c>
      <c r="L375" t="n">
        <v/>
      </c>
      <c r="M375" t="n">
        <v/>
      </c>
    </row>
    <row r="376">
      <c r="A376" s="68" t="n">
        <v>33147</v>
      </c>
      <c r="B376" t="n">
        <v>64.2</v>
      </c>
      <c r="C376" t="n">
        <v>304</v>
      </c>
      <c r="D376" t="n">
        <v>63.9</v>
      </c>
      <c r="E376" t="n">
        <v>84.2</v>
      </c>
      <c r="F376" t="n">
        <v>50.9</v>
      </c>
      <c r="G376" t="n">
        <v>9318.876</v>
      </c>
      <c r="H376" t="n">
        <v>-0.009187588717781027</v>
      </c>
      <c r="I376" t="n">
        <v>0.005992460893352455</v>
      </c>
      <c r="J376" t="n">
        <v>-0.03624697919019904</v>
      </c>
      <c r="K376" t="n">
        <v>-0.009103945411629843</v>
      </c>
      <c r="L376" t="n">
        <v>-0.03592150205110989</v>
      </c>
      <c r="M376" t="n">
        <v>0.006028586964982286</v>
      </c>
    </row>
    <row r="377">
      <c r="A377" s="68" t="n">
        <v>33178</v>
      </c>
      <c r="B377" t="n">
        <v>63.1</v>
      </c>
      <c r="C377" t="n">
        <v>322.2200012207031</v>
      </c>
      <c r="D377" t="n">
        <v>66</v>
      </c>
      <c r="E377" t="n">
        <v>86.7</v>
      </c>
      <c r="F377" t="n">
        <v>52.8</v>
      </c>
      <c r="G377" t="n">
        <v/>
      </c>
      <c r="H377" t="n">
        <v/>
      </c>
      <c r="I377" t="n">
        <v/>
      </c>
      <c r="J377" t="n">
        <v/>
      </c>
      <c r="K377" t="n">
        <v/>
      </c>
      <c r="L377" t="n">
        <v/>
      </c>
      <c r="M377" t="n">
        <v/>
      </c>
    </row>
    <row r="378">
      <c r="A378" s="68" t="n">
        <v>33208</v>
      </c>
      <c r="B378" t="n">
        <v>62.4</v>
      </c>
      <c r="C378" t="n">
        <v>330.2200012207031</v>
      </c>
      <c r="D378" t="n">
        <v>65.5</v>
      </c>
      <c r="E378" t="n">
        <v>84</v>
      </c>
      <c r="F378" t="n">
        <v>53.7</v>
      </c>
      <c r="G378" t="n">
        <v/>
      </c>
      <c r="H378" t="n">
        <v/>
      </c>
      <c r="I378" t="n">
        <v/>
      </c>
      <c r="J378" t="n">
        <v/>
      </c>
      <c r="K378" t="n">
        <v/>
      </c>
      <c r="L378" t="n">
        <v/>
      </c>
      <c r="M378" t="n">
        <v/>
      </c>
    </row>
    <row r="379">
      <c r="A379" s="68" t="n">
        <v>33239</v>
      </c>
      <c r="B379" t="n">
        <v>61.7</v>
      </c>
      <c r="C379" t="n">
        <v>343.9299926757812</v>
      </c>
      <c r="D379" t="n">
        <v>66.8</v>
      </c>
      <c r="E379" t="n">
        <v>84.90000000000001</v>
      </c>
      <c r="F379" t="n">
        <v>55.2</v>
      </c>
      <c r="G379" t="n">
        <v>9275.276</v>
      </c>
      <c r="H379" t="n">
        <v>-0.004700668745598553</v>
      </c>
      <c r="I379" t="n">
        <v>-0.009593568967651225</v>
      </c>
      <c r="J379" t="n">
        <v>-0.0186705122435098</v>
      </c>
      <c r="K379" t="n">
        <v>-0.004678675840305243</v>
      </c>
      <c r="L379" t="n">
        <v>-0.01858377250133569</v>
      </c>
      <c r="M379" t="n">
        <v>-0.009502406971016092</v>
      </c>
    </row>
    <row r="380">
      <c r="A380" s="68" t="n">
        <v>33270</v>
      </c>
      <c r="B380" t="n">
        <v>61.5</v>
      </c>
      <c r="C380" t="n">
        <v>367.0700073242188</v>
      </c>
      <c r="D380" t="n">
        <v>70.40000000000001</v>
      </c>
      <c r="E380" t="n">
        <v>83.7</v>
      </c>
      <c r="F380" t="n">
        <v>62</v>
      </c>
      <c r="G380" t="n">
        <v/>
      </c>
      <c r="H380" t="n">
        <v/>
      </c>
      <c r="I380" t="n">
        <v/>
      </c>
      <c r="J380" t="n">
        <v/>
      </c>
      <c r="K380" t="n">
        <v/>
      </c>
      <c r="L380" t="n">
        <v/>
      </c>
      <c r="M380" t="n">
        <v/>
      </c>
    </row>
    <row r="381">
      <c r="A381" s="68" t="n">
        <v>33298</v>
      </c>
      <c r="B381" t="n">
        <v>61.2</v>
      </c>
      <c r="C381" t="n">
        <v>375.2200012207031</v>
      </c>
      <c r="D381" t="n">
        <v>87.7</v>
      </c>
      <c r="E381" t="n">
        <v>92.7</v>
      </c>
      <c r="F381" t="n">
        <v>84.5</v>
      </c>
      <c r="G381" t="n">
        <v/>
      </c>
      <c r="H381" t="n">
        <v/>
      </c>
      <c r="I381" t="n">
        <v/>
      </c>
      <c r="J381" t="n">
        <v/>
      </c>
      <c r="K381" t="n">
        <v/>
      </c>
      <c r="L381" t="n">
        <v/>
      </c>
      <c r="M381" t="n">
        <v/>
      </c>
    </row>
    <row r="382">
      <c r="A382" s="68" t="n">
        <v>33329</v>
      </c>
      <c r="B382" t="n">
        <v>61.9</v>
      </c>
      <c r="C382" t="n">
        <v>375.3399963378906</v>
      </c>
      <c r="D382" t="n">
        <v>81.8</v>
      </c>
      <c r="E382" t="n">
        <v>92.8</v>
      </c>
      <c r="F382" t="n">
        <v>74.7</v>
      </c>
      <c r="G382" t="n">
        <v>9347.597</v>
      </c>
      <c r="H382" t="n">
        <v>0.007736854723197835</v>
      </c>
      <c r="I382" t="n">
        <v>-0.005418076966732802</v>
      </c>
      <c r="J382" t="n">
        <v>0.03130842848103144</v>
      </c>
      <c r="K382" t="n">
        <v>0.007797180375009856</v>
      </c>
      <c r="L382" t="n">
        <v>0.03155539747719072</v>
      </c>
      <c r="M382" t="n">
        <v>-0.005388879602283176</v>
      </c>
    </row>
    <row r="383">
      <c r="A383" s="68" t="n">
        <v>33359</v>
      </c>
      <c r="B383" t="n">
        <v>62.3</v>
      </c>
      <c r="C383" t="n">
        <v>389.8299865722656</v>
      </c>
      <c r="D383" t="n">
        <v>78.3</v>
      </c>
      <c r="E383" t="n">
        <v>89</v>
      </c>
      <c r="F383" t="n">
        <v>71.5</v>
      </c>
      <c r="G383" t="n">
        <v/>
      </c>
      <c r="H383" t="n">
        <v/>
      </c>
      <c r="I383" t="n">
        <v/>
      </c>
      <c r="J383" t="n">
        <v/>
      </c>
      <c r="K383" t="n">
        <v/>
      </c>
      <c r="L383" t="n">
        <v/>
      </c>
      <c r="M383" t="n">
        <v/>
      </c>
    </row>
    <row r="384">
      <c r="A384" s="68" t="n">
        <v>33390</v>
      </c>
      <c r="B384" t="n">
        <v>62.4</v>
      </c>
      <c r="C384" t="n">
        <v>371.1600036621094</v>
      </c>
      <c r="D384" t="n">
        <v>82.09999999999999</v>
      </c>
      <c r="E384" t="n">
        <v>91.90000000000001</v>
      </c>
      <c r="F384" t="n">
        <v>75.90000000000001</v>
      </c>
      <c r="G384" t="n">
        <v/>
      </c>
      <c r="H384" t="n">
        <v/>
      </c>
      <c r="I384" t="n">
        <v/>
      </c>
      <c r="J384" t="n">
        <v/>
      </c>
      <c r="K384" t="n">
        <v/>
      </c>
      <c r="L384" t="n">
        <v/>
      </c>
      <c r="M384" t="n">
        <v/>
      </c>
    </row>
    <row r="385">
      <c r="A385" s="68" t="n">
        <v>33420</v>
      </c>
      <c r="B385" t="n">
        <v>63</v>
      </c>
      <c r="C385" t="n">
        <v>387.8099975585938</v>
      </c>
      <c r="D385" t="n">
        <v>82.90000000000001</v>
      </c>
      <c r="E385" t="n">
        <v>96.09999999999999</v>
      </c>
      <c r="F385" t="n">
        <v>74.40000000000001</v>
      </c>
      <c r="G385" t="n">
        <v>9394.834000000001</v>
      </c>
      <c r="H385" t="n">
        <v>0.005027976013200551</v>
      </c>
      <c r="I385" t="n">
        <v>-0.00102822466048893</v>
      </c>
      <c r="J385" t="n">
        <v>0.02026409638849525</v>
      </c>
      <c r="K385" t="n">
        <v>0.005053384308288108</v>
      </c>
      <c r="L385" t="n">
        <v>0.02036727422997253</v>
      </c>
      <c r="M385" t="n">
        <v>-0.001027168500506232</v>
      </c>
    </row>
    <row r="386">
      <c r="A386" s="68" t="n">
        <v>33451</v>
      </c>
      <c r="B386" t="n">
        <v>63.1</v>
      </c>
      <c r="C386" t="n">
        <v>395.4299926757812</v>
      </c>
      <c r="D386" t="n">
        <v>82</v>
      </c>
      <c r="E386" t="n">
        <v>92.3</v>
      </c>
      <c r="F386" t="n">
        <v>75.3</v>
      </c>
      <c r="G386" t="n">
        <v/>
      </c>
      <c r="H386" t="n">
        <v/>
      </c>
      <c r="I386" t="n">
        <v/>
      </c>
      <c r="J386" t="n">
        <v/>
      </c>
      <c r="K386" t="n">
        <v/>
      </c>
      <c r="L386" t="n">
        <v/>
      </c>
      <c r="M386" t="n">
        <v/>
      </c>
    </row>
    <row r="387">
      <c r="A387" s="68" t="n">
        <v>33482</v>
      </c>
      <c r="B387" t="n">
        <v>63.6</v>
      </c>
      <c r="C387" t="n">
        <v>387.8599853515625</v>
      </c>
      <c r="D387" t="n">
        <v>83</v>
      </c>
      <c r="E387" t="n">
        <v>93.2</v>
      </c>
      <c r="F387" t="n">
        <v>76.40000000000001</v>
      </c>
      <c r="G387" t="n">
        <v/>
      </c>
      <c r="H387" t="n">
        <v/>
      </c>
      <c r="I387" t="n">
        <v/>
      </c>
      <c r="J387" t="n">
        <v/>
      </c>
      <c r="K387" t="n">
        <v/>
      </c>
      <c r="L387" t="n">
        <v/>
      </c>
      <c r="M387" t="n">
        <v/>
      </c>
    </row>
    <row r="388">
      <c r="A388" s="68" t="n">
        <v>33512</v>
      </c>
      <c r="B388" t="n">
        <v>63.5</v>
      </c>
      <c r="C388" t="n">
        <v>392.4500122070312</v>
      </c>
      <c r="D388" t="n">
        <v>78.3</v>
      </c>
      <c r="E388" t="n">
        <v>90.40000000000001</v>
      </c>
      <c r="F388" t="n">
        <v>70.5</v>
      </c>
      <c r="G388" t="n">
        <v>9427.581</v>
      </c>
      <c r="H388" t="n">
        <v>0.003473531545366663</v>
      </c>
      <c r="I388" t="n">
        <v>0.01153052941152136</v>
      </c>
      <c r="J388" t="n">
        <v>0.01396668649390831</v>
      </c>
      <c r="K388" t="n">
        <v>0.003485639022466963</v>
      </c>
      <c r="L388" t="n">
        <v>0.01401562371143839</v>
      </c>
      <c r="M388" t="n">
        <v>0.01166503342248571</v>
      </c>
    </row>
    <row r="389">
      <c r="A389" s="68" t="n">
        <v>33543</v>
      </c>
      <c r="B389" t="n">
        <v>63.5</v>
      </c>
      <c r="C389" t="n">
        <v>375.2200012207031</v>
      </c>
      <c r="D389" t="n">
        <v>69.09999999999999</v>
      </c>
      <c r="E389" t="n">
        <v>80.3</v>
      </c>
      <c r="F389" t="n">
        <v>61.9</v>
      </c>
      <c r="G389" t="n">
        <v/>
      </c>
      <c r="H389" t="n">
        <v/>
      </c>
      <c r="I389" t="n">
        <v/>
      </c>
      <c r="J389" t="n">
        <v/>
      </c>
      <c r="K389" t="n">
        <v/>
      </c>
      <c r="L389" t="n">
        <v/>
      </c>
      <c r="M389" t="n">
        <v/>
      </c>
    </row>
    <row r="390">
      <c r="A390" s="68" t="n">
        <v>33573</v>
      </c>
      <c r="B390" t="n">
        <v>63.3</v>
      </c>
      <c r="C390" t="n">
        <v>417.0899963378906</v>
      </c>
      <c r="D390" t="n">
        <v>68.2</v>
      </c>
      <c r="E390" t="n">
        <v>78.7</v>
      </c>
      <c r="F390" t="n">
        <v>61.5</v>
      </c>
      <c r="G390" t="n">
        <v/>
      </c>
      <c r="H390" t="n">
        <v/>
      </c>
      <c r="I390" t="n">
        <v/>
      </c>
      <c r="J390" t="n">
        <v/>
      </c>
      <c r="K390" t="n">
        <v/>
      </c>
      <c r="L390" t="n">
        <v/>
      </c>
      <c r="M390" t="n">
        <v/>
      </c>
    </row>
    <row r="391">
      <c r="A391" s="68" t="n">
        <v>33604</v>
      </c>
      <c r="B391" t="n">
        <v>63.8</v>
      </c>
      <c r="C391" t="n">
        <v>408.7799987792969</v>
      </c>
      <c r="D391" t="n">
        <v>67.5</v>
      </c>
      <c r="E391" t="n">
        <v>80.5</v>
      </c>
      <c r="F391" t="n">
        <v>59.1</v>
      </c>
      <c r="G391" t="n">
        <v>9540.444</v>
      </c>
      <c r="H391" t="n">
        <v>0.01182995256824519</v>
      </c>
      <c r="I391" t="n">
        <v>0.02779409427905029</v>
      </c>
      <c r="J391" t="n">
        <v>0.04816613882725518</v>
      </c>
      <c r="K391" t="n">
        <v>0.0119715757414335</v>
      </c>
      <c r="L391" t="n">
        <v>0.04875309825949259</v>
      </c>
      <c r="M391" t="n">
        <v>0.02858869105350608</v>
      </c>
    </row>
    <row r="392">
      <c r="A392" s="68" t="n">
        <v>33635</v>
      </c>
      <c r="B392" t="n">
        <v>64</v>
      </c>
      <c r="C392" t="n">
        <v>412.7000122070312</v>
      </c>
      <c r="D392" t="n">
        <v>68.8</v>
      </c>
      <c r="E392" t="n">
        <v>79.7</v>
      </c>
      <c r="F392" t="n">
        <v>61.8</v>
      </c>
      <c r="G392" t="n">
        <v/>
      </c>
      <c r="H392" t="n">
        <v/>
      </c>
      <c r="I392" t="n">
        <v/>
      </c>
      <c r="J392" t="n">
        <v/>
      </c>
      <c r="K392" t="n">
        <v/>
      </c>
      <c r="L392" t="n">
        <v/>
      </c>
      <c r="M392" t="n">
        <v/>
      </c>
    </row>
    <row r="393">
      <c r="A393" s="68" t="n">
        <v>33664</v>
      </c>
      <c r="B393" t="n">
        <v>64.59999999999999</v>
      </c>
      <c r="C393" t="n">
        <v>403.6900024414062</v>
      </c>
      <c r="D393" t="n">
        <v>76</v>
      </c>
      <c r="E393" t="n">
        <v>84.90000000000001</v>
      </c>
      <c r="F393" t="n">
        <v>70.3</v>
      </c>
      <c r="G393" t="n">
        <v/>
      </c>
      <c r="H393" t="n">
        <v/>
      </c>
      <c r="I393" t="n">
        <v/>
      </c>
      <c r="J393" t="n">
        <v/>
      </c>
      <c r="K393" t="n">
        <v/>
      </c>
      <c r="L393" t="n">
        <v/>
      </c>
      <c r="M393" t="n">
        <v/>
      </c>
    </row>
    <row r="394">
      <c r="A394" s="68" t="n">
        <v>33695</v>
      </c>
      <c r="B394" t="n">
        <v>65.09999999999999</v>
      </c>
      <c r="C394" t="n">
        <v>414.9500122070312</v>
      </c>
      <c r="D394" t="n">
        <v>77.2</v>
      </c>
      <c r="E394" t="n">
        <v>87.7</v>
      </c>
      <c r="F394" t="n">
        <v>70.5</v>
      </c>
      <c r="G394" t="n">
        <v>9643.893</v>
      </c>
      <c r="H394" t="n">
        <v>0.01072689213785351</v>
      </c>
      <c r="I394" t="n">
        <v>0.0307236921853032</v>
      </c>
      <c r="J394" t="n">
        <v>0.04360291629277646</v>
      </c>
      <c r="K394" t="n">
        <v>0.0108432060394674</v>
      </c>
      <c r="L394" t="n">
        <v>0.04408338824994829</v>
      </c>
      <c r="M394" t="n">
        <v>0.03169755820667069</v>
      </c>
    </row>
    <row r="395">
      <c r="A395" s="68" t="n">
        <v>33725</v>
      </c>
      <c r="B395" t="n">
        <v>65.59999999999999</v>
      </c>
      <c r="C395" t="n">
        <v>415.3500061035156</v>
      </c>
      <c r="D395" t="n">
        <v>79.2</v>
      </c>
      <c r="E395" t="n">
        <v>91.5</v>
      </c>
      <c r="F395" t="n">
        <v>71.2</v>
      </c>
      <c r="G395" t="n">
        <v/>
      </c>
      <c r="H395" t="n">
        <v/>
      </c>
      <c r="I395" t="n">
        <v/>
      </c>
      <c r="J395" t="n">
        <v/>
      </c>
      <c r="K395" t="n">
        <v/>
      </c>
      <c r="L395" t="n">
        <v/>
      </c>
      <c r="M395" t="n">
        <v/>
      </c>
    </row>
    <row r="396">
      <c r="A396" s="68" t="n">
        <v>33756</v>
      </c>
      <c r="B396" t="n">
        <v>65.90000000000001</v>
      </c>
      <c r="C396" t="n">
        <v>408.1400146484375</v>
      </c>
      <c r="D396" t="n">
        <v>80.40000000000001</v>
      </c>
      <c r="E396" t="n">
        <v>95.40000000000001</v>
      </c>
      <c r="F396" t="n">
        <v>70.7</v>
      </c>
      <c r="G396" t="n">
        <v/>
      </c>
      <c r="H396" t="n">
        <v/>
      </c>
      <c r="I396" t="n">
        <v/>
      </c>
      <c r="J396" t="n">
        <v/>
      </c>
      <c r="K396" t="n">
        <v/>
      </c>
      <c r="L396" t="n">
        <v/>
      </c>
      <c r="M396" t="n">
        <v/>
      </c>
    </row>
    <row r="397">
      <c r="A397" s="68" t="n">
        <v>33786</v>
      </c>
      <c r="B397" t="n">
        <v>66.09999999999999</v>
      </c>
      <c r="C397" t="n">
        <v>424.2099914550781</v>
      </c>
      <c r="D397" t="n">
        <v>76.59999999999999</v>
      </c>
      <c r="E397" t="n">
        <v>90.59999999999999</v>
      </c>
      <c r="F397" t="n">
        <v>67.59999999999999</v>
      </c>
      <c r="G397" t="n">
        <v>9739.184999999999</v>
      </c>
      <c r="H397" t="n">
        <v>0.009784391609770167</v>
      </c>
      <c r="I397" t="n">
        <v>0.03535727065457724</v>
      </c>
      <c r="J397" t="n">
        <v>0.03971572832745784</v>
      </c>
      <c r="K397" t="n">
        <v>0.009881071886633277</v>
      </c>
      <c r="L397" t="n">
        <v>0.04011396954581614</v>
      </c>
      <c r="M397" t="n">
        <v>0.03665322878509601</v>
      </c>
    </row>
    <row r="398">
      <c r="A398" s="68" t="n">
        <v>33817</v>
      </c>
      <c r="B398" t="n">
        <v>66.5</v>
      </c>
      <c r="C398" t="n">
        <v>414.0299987792969</v>
      </c>
      <c r="D398" t="n">
        <v>76.09999999999999</v>
      </c>
      <c r="E398" t="n">
        <v>86.2</v>
      </c>
      <c r="F398" t="n">
        <v>69.5</v>
      </c>
      <c r="G398" t="n">
        <v/>
      </c>
      <c r="H398" t="n">
        <v/>
      </c>
      <c r="I398" t="n">
        <v/>
      </c>
      <c r="J398" t="n">
        <v/>
      </c>
      <c r="K398" t="n">
        <v/>
      </c>
      <c r="L398" t="n">
        <v/>
      </c>
      <c r="M398" t="n">
        <v/>
      </c>
    </row>
    <row r="399">
      <c r="A399" s="68" t="n">
        <v>33848</v>
      </c>
      <c r="B399" t="n">
        <v>66.59999999999999</v>
      </c>
      <c r="C399" t="n">
        <v>417.7999877929688</v>
      </c>
      <c r="D399" t="n">
        <v>75.59999999999999</v>
      </c>
      <c r="E399" t="n">
        <v>88.3</v>
      </c>
      <c r="F399" t="n">
        <v>67.40000000000001</v>
      </c>
      <c r="G399" t="n">
        <v/>
      </c>
      <c r="H399" t="n">
        <v/>
      </c>
      <c r="I399" t="n">
        <v/>
      </c>
      <c r="J399" t="n">
        <v/>
      </c>
      <c r="K399" t="n">
        <v/>
      </c>
      <c r="L399" t="n">
        <v/>
      </c>
      <c r="M399" t="n">
        <v/>
      </c>
    </row>
    <row r="400">
      <c r="A400" s="68" t="n">
        <v>33878</v>
      </c>
      <c r="B400" t="n">
        <v>66.8</v>
      </c>
      <c r="C400" t="n">
        <v>418.6799926757812</v>
      </c>
      <c r="D400" t="n">
        <v>73.3</v>
      </c>
      <c r="E400" t="n">
        <v>82.5</v>
      </c>
      <c r="F400" t="n">
        <v>67.5</v>
      </c>
      <c r="G400" t="n">
        <v>9840.753000000001</v>
      </c>
      <c r="H400" t="n">
        <v>0.01032116139892965</v>
      </c>
      <c r="I400" t="n">
        <v>0.04198581145162372</v>
      </c>
      <c r="J400" t="n">
        <v>0.04192821308286332</v>
      </c>
      <c r="K400" t="n">
        <v>0.01042879871365018</v>
      </c>
      <c r="L400" t="n">
        <v>0.04237230267698999</v>
      </c>
      <c r="M400" t="n">
        <v>0.04382587643638389</v>
      </c>
    </row>
    <row r="401">
      <c r="A401" s="68" t="n">
        <v>33909</v>
      </c>
      <c r="B401" t="n">
        <v>67.40000000000001</v>
      </c>
      <c r="C401" t="n">
        <v>431.3500061035156</v>
      </c>
      <c r="D401" t="n">
        <v>85.3</v>
      </c>
      <c r="E401" t="n">
        <v>96.40000000000001</v>
      </c>
      <c r="F401" t="n">
        <v>78.2</v>
      </c>
      <c r="G401" t="n">
        <v/>
      </c>
      <c r="H401" t="n">
        <v/>
      </c>
      <c r="I401" t="n">
        <v/>
      </c>
      <c r="J401" t="n">
        <v/>
      </c>
      <c r="K401" t="n">
        <v/>
      </c>
      <c r="L401" t="n">
        <v/>
      </c>
      <c r="M401" t="n">
        <v/>
      </c>
    </row>
    <row r="402">
      <c r="A402" s="68" t="n">
        <v>33939</v>
      </c>
      <c r="B402" t="n">
        <v>68.3</v>
      </c>
      <c r="C402" t="n">
        <v>435.7099914550781</v>
      </c>
      <c r="D402" t="n">
        <v>91</v>
      </c>
      <c r="E402" t="n">
        <v>93.40000000000001</v>
      </c>
      <c r="F402" t="n">
        <v>89.5</v>
      </c>
      <c r="G402" t="n">
        <v/>
      </c>
      <c r="H402" t="n">
        <v/>
      </c>
      <c r="I402" t="n">
        <v/>
      </c>
      <c r="J402" t="n">
        <v/>
      </c>
      <c r="K402" t="n">
        <v/>
      </c>
      <c r="L402" t="n">
        <v/>
      </c>
      <c r="M402" t="n">
        <v/>
      </c>
    </row>
    <row r="403">
      <c r="A403" s="68" t="n">
        <v>33970</v>
      </c>
      <c r="B403" t="n">
        <v>68.7</v>
      </c>
      <c r="C403" t="n">
        <v>438.7799987792969</v>
      </c>
      <c r="D403" t="n">
        <v>89.3</v>
      </c>
      <c r="E403" t="n">
        <v>98.59999999999999</v>
      </c>
      <c r="F403" t="n">
        <v>83.40000000000001</v>
      </c>
      <c r="G403" t="n">
        <v>9857.184999999999</v>
      </c>
      <c r="H403" t="n">
        <v>0.001667007365693033</v>
      </c>
      <c r="I403" t="n">
        <v>0.03213300754728658</v>
      </c>
      <c r="J403" t="n">
        <v>0.006684721481715616</v>
      </c>
      <c r="K403" t="n">
        <v>0.001669790919454932</v>
      </c>
      <c r="L403" t="n">
        <v>0.006695911518737718</v>
      </c>
      <c r="M403" t="n">
        <v>0.03319981753469755</v>
      </c>
    </row>
    <row r="404">
      <c r="A404" s="68" t="n">
        <v>34001</v>
      </c>
      <c r="B404" t="n">
        <v>69.09999999999999</v>
      </c>
      <c r="C404" t="n">
        <v>443.3800048828125</v>
      </c>
      <c r="D404" t="n">
        <v>86.59999999999999</v>
      </c>
      <c r="E404" t="n">
        <v>96</v>
      </c>
      <c r="F404" t="n">
        <v>80.59999999999999</v>
      </c>
      <c r="G404" t="n">
        <v/>
      </c>
      <c r="H404" t="n">
        <v/>
      </c>
      <c r="I404" t="n">
        <v/>
      </c>
      <c r="J404" t="n">
        <v/>
      </c>
      <c r="K404" t="n">
        <v/>
      </c>
      <c r="L404" t="n">
        <v/>
      </c>
      <c r="M404" t="n">
        <v/>
      </c>
    </row>
    <row r="405">
      <c r="A405" s="68" t="n">
        <v>34029</v>
      </c>
      <c r="B405" t="n">
        <v>69</v>
      </c>
      <c r="C405" t="n">
        <v>451.6700134277344</v>
      </c>
      <c r="D405" t="n">
        <v>85.90000000000001</v>
      </c>
      <c r="E405" t="n">
        <v>101.6</v>
      </c>
      <c r="F405" t="n">
        <v>75.8</v>
      </c>
      <c r="G405" t="n">
        <v/>
      </c>
      <c r="H405" t="n">
        <v/>
      </c>
      <c r="I405" t="n">
        <v/>
      </c>
      <c r="J405" t="n">
        <v/>
      </c>
      <c r="K405" t="n">
        <v/>
      </c>
      <c r="L405" t="n">
        <v/>
      </c>
      <c r="M405" t="n">
        <v/>
      </c>
    </row>
    <row r="406">
      <c r="A406" s="68" t="n">
        <v>34060</v>
      </c>
      <c r="B406" t="n">
        <v>69.5</v>
      </c>
      <c r="C406" t="n">
        <v>440.1900024414062</v>
      </c>
      <c r="D406" t="n">
        <v>85.59999999999999</v>
      </c>
      <c r="E406" t="n">
        <v>99.90000000000001</v>
      </c>
      <c r="F406" t="n">
        <v>76.40000000000001</v>
      </c>
      <c r="G406" t="n">
        <v>9914.565000000001</v>
      </c>
      <c r="H406" t="n">
        <v>0.005787445036670899</v>
      </c>
      <c r="I406" t="n">
        <v>0.02730044132042106</v>
      </c>
      <c r="J406" t="n">
        <v>0.02335152377965644</v>
      </c>
      <c r="K406" t="n">
        <v>0.005821134532830724</v>
      </c>
      <c r="L406" t="n">
        <v>0.02348864193376721</v>
      </c>
      <c r="M406" t="n">
        <v>0.02806667390440774</v>
      </c>
    </row>
    <row r="407">
      <c r="A407" s="68" t="n">
        <v>34090</v>
      </c>
      <c r="B407" t="n">
        <v>69.59999999999999</v>
      </c>
      <c r="C407" t="n">
        <v>450.1900024414062</v>
      </c>
      <c r="D407" t="n">
        <v>80.3</v>
      </c>
      <c r="E407" t="n">
        <v>98.7</v>
      </c>
      <c r="F407" t="n">
        <v>68.5</v>
      </c>
      <c r="G407" t="n">
        <v/>
      </c>
      <c r="H407" t="n">
        <v/>
      </c>
      <c r="I407" t="n">
        <v/>
      </c>
      <c r="J407" t="n">
        <v/>
      </c>
      <c r="K407" t="n">
        <v/>
      </c>
      <c r="L407" t="n">
        <v/>
      </c>
      <c r="M407" t="n">
        <v/>
      </c>
    </row>
    <row r="408">
      <c r="A408" s="68" t="n">
        <v>34121</v>
      </c>
      <c r="B408" t="n">
        <v>69.90000000000001</v>
      </c>
      <c r="C408" t="n">
        <v>450.5299987792969</v>
      </c>
      <c r="D408" t="n">
        <v>81.5</v>
      </c>
      <c r="E408" t="n">
        <v>98.7</v>
      </c>
      <c r="F408" t="n">
        <v>70.40000000000001</v>
      </c>
      <c r="G408" t="n">
        <v/>
      </c>
      <c r="H408" t="n">
        <v/>
      </c>
      <c r="I408" t="n">
        <v/>
      </c>
      <c r="J408" t="n">
        <v/>
      </c>
      <c r="K408" t="n">
        <v/>
      </c>
      <c r="L408" t="n">
        <v/>
      </c>
      <c r="M408" t="n">
        <v/>
      </c>
    </row>
    <row r="409">
      <c r="A409" s="68" t="n">
        <v>34151</v>
      </c>
      <c r="B409" t="n">
        <v>69.90000000000001</v>
      </c>
      <c r="C409" t="n">
        <v>448.1300048828125</v>
      </c>
      <c r="D409" t="n">
        <v>77</v>
      </c>
      <c r="E409" t="n">
        <v>96.2</v>
      </c>
      <c r="F409" t="n">
        <v>64.7</v>
      </c>
      <c r="G409" t="n">
        <v>9961.873</v>
      </c>
      <c r="H409" t="n">
        <v>0.004748906154495153</v>
      </c>
      <c r="I409" t="n">
        <v>0.02235402920715814</v>
      </c>
      <c r="J409" t="n">
        <v>0.01913136617597311</v>
      </c>
      <c r="K409" t="n">
        <v>0.004771565873036193</v>
      </c>
      <c r="L409" t="n">
        <v>0.01922330560881425</v>
      </c>
      <c r="M409" t="n">
        <v>0.02286515760815716</v>
      </c>
    </row>
    <row r="410">
      <c r="A410" s="68" t="n">
        <v>34182</v>
      </c>
      <c r="B410" t="n">
        <v>70.40000000000001</v>
      </c>
      <c r="C410" t="n">
        <v>463.5599975585938</v>
      </c>
      <c r="D410" t="n">
        <v>77.3</v>
      </c>
      <c r="E410" t="n">
        <v>95.09999999999999</v>
      </c>
      <c r="F410" t="n">
        <v>65.8</v>
      </c>
      <c r="G410" t="n">
        <v/>
      </c>
      <c r="H410" t="n">
        <v/>
      </c>
      <c r="I410" t="n">
        <v/>
      </c>
      <c r="J410" t="n">
        <v/>
      </c>
      <c r="K410" t="n">
        <v/>
      </c>
      <c r="L410" t="n">
        <v/>
      </c>
      <c r="M410" t="n">
        <v/>
      </c>
    </row>
    <row r="411">
      <c r="A411" s="68" t="n">
        <v>34213</v>
      </c>
      <c r="B411" t="n">
        <v>70.8</v>
      </c>
      <c r="C411" t="n">
        <v>458.9299926757812</v>
      </c>
      <c r="D411" t="n">
        <v>77.90000000000001</v>
      </c>
      <c r="E411" t="n">
        <v>95.2</v>
      </c>
      <c r="F411" t="n">
        <v>66.8</v>
      </c>
      <c r="G411" t="n">
        <v/>
      </c>
      <c r="H411" t="n">
        <v/>
      </c>
      <c r="I411" t="n">
        <v/>
      </c>
      <c r="J411" t="n">
        <v/>
      </c>
      <c r="K411" t="n">
        <v/>
      </c>
      <c r="L411" t="n">
        <v/>
      </c>
      <c r="M411" t="n">
        <v/>
      </c>
    </row>
    <row r="412">
      <c r="A412" s="68" t="n">
        <v>34243</v>
      </c>
      <c r="B412" t="n">
        <v>71.09999999999999</v>
      </c>
      <c r="C412" t="n">
        <v>467.8299865722656</v>
      </c>
      <c r="D412" t="n">
        <v>82.7</v>
      </c>
      <c r="E412" t="n">
        <v>98.7</v>
      </c>
      <c r="F412" t="n">
        <v>72.5</v>
      </c>
      <c r="G412" t="n">
        <v>10097.362</v>
      </c>
      <c r="H412" t="n">
        <v>0.01341825716459404</v>
      </c>
      <c r="I412" t="n">
        <v>0.02541346937942787</v>
      </c>
      <c r="J412" t="n">
        <v>0.05476302263695509</v>
      </c>
      <c r="K412" t="n">
        <v>0.01360075560087943</v>
      </c>
      <c r="L412" t="n">
        <v>0.05552300343997651</v>
      </c>
      <c r="M412" t="n">
        <v>0.02607615494464687</v>
      </c>
    </row>
    <row r="413">
      <c r="A413" s="68" t="n">
        <v>34274</v>
      </c>
      <c r="B413" t="n">
        <v>71.5</v>
      </c>
      <c r="C413" t="n">
        <v>461.7900085449219</v>
      </c>
      <c r="D413" t="n">
        <v>81.2</v>
      </c>
      <c r="E413" t="n">
        <v>98.2</v>
      </c>
      <c r="F413" t="n">
        <v>70.3</v>
      </c>
      <c r="G413" t="n">
        <v/>
      </c>
      <c r="H413" t="n">
        <v/>
      </c>
      <c r="I413" t="n">
        <v/>
      </c>
      <c r="J413" t="n">
        <v/>
      </c>
      <c r="K413" t="n">
        <v/>
      </c>
      <c r="L413" t="n">
        <v/>
      </c>
      <c r="M413" t="n">
        <v/>
      </c>
    </row>
    <row r="414">
      <c r="A414" s="68" t="n">
        <v>34304</v>
      </c>
      <c r="B414" t="n">
        <v>72.5</v>
      </c>
      <c r="C414" t="n">
        <v>466.4500122070312</v>
      </c>
      <c r="D414" t="n">
        <v>88.2</v>
      </c>
      <c r="E414" t="n">
        <v>102.9</v>
      </c>
      <c r="F414" t="n">
        <v>78.8</v>
      </c>
      <c r="G414" t="n">
        <v/>
      </c>
      <c r="H414" t="n">
        <v/>
      </c>
      <c r="I414" t="n">
        <v/>
      </c>
      <c r="J414" t="n">
        <v/>
      </c>
      <c r="K414" t="n">
        <v/>
      </c>
      <c r="L414" t="n">
        <v/>
      </c>
      <c r="M414" t="n">
        <v/>
      </c>
    </row>
    <row r="415">
      <c r="A415" s="68" t="n">
        <v>34335</v>
      </c>
      <c r="B415" t="n">
        <v>72.3</v>
      </c>
      <c r="C415" t="n">
        <v>481.6099853515625</v>
      </c>
      <c r="D415" t="n">
        <v>94.3</v>
      </c>
      <c r="E415" t="n">
        <v>106.6</v>
      </c>
      <c r="F415" t="n">
        <v>86.40000000000001</v>
      </c>
      <c r="G415" t="n">
        <v>10195.338</v>
      </c>
      <c r="H415" t="n">
        <v>0.009609882477657981</v>
      </c>
      <c r="I415" t="n">
        <v>0.03316741436134832</v>
      </c>
      <c r="J415" t="n">
        <v>0.03899718737101598</v>
      </c>
      <c r="K415" t="n">
        <v>0.009703128401259713</v>
      </c>
      <c r="L415" t="n">
        <v>0.03938108089937553</v>
      </c>
      <c r="M415" t="n">
        <v>0.03430523014430593</v>
      </c>
    </row>
    <row r="416">
      <c r="A416" s="68" t="n">
        <v>34366</v>
      </c>
      <c r="B416" t="n">
        <v>72.59999999999999</v>
      </c>
      <c r="C416" t="n">
        <v>467.1400146484375</v>
      </c>
      <c r="D416" t="n">
        <v>93.2</v>
      </c>
      <c r="E416" t="n">
        <v>108.3</v>
      </c>
      <c r="F416" t="n">
        <v>83.5</v>
      </c>
      <c r="G416" t="n">
        <v/>
      </c>
      <c r="H416" t="n">
        <v/>
      </c>
      <c r="I416" t="n">
        <v/>
      </c>
      <c r="J416" t="n">
        <v/>
      </c>
      <c r="K416" t="n">
        <v/>
      </c>
      <c r="L416" t="n">
        <v/>
      </c>
      <c r="M416" t="n">
        <v/>
      </c>
    </row>
    <row r="417">
      <c r="A417" s="68" t="n">
        <v>34394</v>
      </c>
      <c r="B417" t="n">
        <v>73.59999999999999</v>
      </c>
      <c r="C417" t="n">
        <v>445.7699890136719</v>
      </c>
      <c r="D417" t="n">
        <v>91.5</v>
      </c>
      <c r="E417" t="n">
        <v>101.4</v>
      </c>
      <c r="F417" t="n">
        <v>85.09999999999999</v>
      </c>
      <c r="G417" t="n">
        <v/>
      </c>
      <c r="H417" t="n">
        <v/>
      </c>
      <c r="I417" t="n">
        <v/>
      </c>
      <c r="J417" t="n">
        <v/>
      </c>
      <c r="K417" t="n">
        <v/>
      </c>
      <c r="L417" t="n">
        <v/>
      </c>
      <c r="M417" t="n">
        <v/>
      </c>
    </row>
    <row r="418">
      <c r="A418" s="68" t="n">
        <v>34425</v>
      </c>
      <c r="B418" t="n">
        <v>74.09999999999999</v>
      </c>
      <c r="C418" t="n">
        <v>450.9100036621094</v>
      </c>
      <c r="D418" t="n">
        <v>92.59999999999999</v>
      </c>
      <c r="E418" t="n">
        <v>108.1</v>
      </c>
      <c r="F418" t="n">
        <v>82.59999999999999</v>
      </c>
      <c r="G418" t="n">
        <v>10333.495</v>
      </c>
      <c r="H418" t="n">
        <v>0.01336982308502603</v>
      </c>
      <c r="I418" t="n">
        <v>0.04054097863307625</v>
      </c>
      <c r="J418" t="n">
        <v>0.0545613968479115</v>
      </c>
      <c r="K418" t="n">
        <v>0.01355099752455496</v>
      </c>
      <c r="L418" t="n">
        <v>0.05531575447492609</v>
      </c>
      <c r="M418" t="n">
        <v>0.0422539970235709</v>
      </c>
    </row>
    <row r="419">
      <c r="A419" s="68" t="n">
        <v>34455</v>
      </c>
      <c r="B419" t="n">
        <v>74.5</v>
      </c>
      <c r="C419" t="n">
        <v>456.5</v>
      </c>
      <c r="D419" t="n">
        <v>92.8</v>
      </c>
      <c r="E419" t="n">
        <v>106.3</v>
      </c>
      <c r="F419" t="n">
        <v>84.2</v>
      </c>
      <c r="G419" t="n">
        <v/>
      </c>
      <c r="H419" t="n">
        <v/>
      </c>
      <c r="I419" t="n">
        <v/>
      </c>
      <c r="J419" t="n">
        <v/>
      </c>
      <c r="K419" t="n">
        <v/>
      </c>
      <c r="L419" t="n">
        <v/>
      </c>
      <c r="M419" t="n">
        <v/>
      </c>
    </row>
    <row r="420">
      <c r="A420" s="68" t="n">
        <v>34486</v>
      </c>
      <c r="B420" t="n">
        <v>75.09999999999999</v>
      </c>
      <c r="C420" t="n">
        <v>444.2699890136719</v>
      </c>
      <c r="D420" t="n">
        <v>91.2</v>
      </c>
      <c r="E420" t="n">
        <v>104.5</v>
      </c>
      <c r="F420" t="n">
        <v>82.7</v>
      </c>
      <c r="G420" t="n">
        <v/>
      </c>
      <c r="H420" t="n">
        <v/>
      </c>
      <c r="I420" t="n">
        <v/>
      </c>
      <c r="J420" t="n">
        <v/>
      </c>
      <c r="K420" t="n">
        <v/>
      </c>
      <c r="L420" t="n">
        <v/>
      </c>
      <c r="M420" t="n">
        <v/>
      </c>
    </row>
    <row r="421">
      <c r="A421" s="68" t="n">
        <v>34516</v>
      </c>
      <c r="B421" t="n">
        <v>75.40000000000001</v>
      </c>
      <c r="C421" t="n">
        <v>458.260009765625</v>
      </c>
      <c r="D421" t="n">
        <v>89</v>
      </c>
      <c r="E421" t="n">
        <v>105.4</v>
      </c>
      <c r="F421" t="n">
        <v>78.5</v>
      </c>
      <c r="G421" t="n">
        <v>10393.898</v>
      </c>
      <c r="H421" t="n">
        <v>0.005811390490843612</v>
      </c>
      <c r="I421" t="n">
        <v>0.04156525299747984</v>
      </c>
      <c r="J421" t="n">
        <v>0.02344898171571197</v>
      </c>
      <c r="K421" t="n">
        <v>0.005845360161300549</v>
      </c>
      <c r="L421" t="n">
        <v>0.02358725012773033</v>
      </c>
      <c r="M421" t="n">
        <v>0.04336784859634325</v>
      </c>
    </row>
    <row r="422">
      <c r="A422" s="68" t="n">
        <v>34547</v>
      </c>
      <c r="B422" t="n">
        <v>76</v>
      </c>
      <c r="C422" t="n">
        <v>475.489990234375</v>
      </c>
      <c r="D422" t="n">
        <v>91.7</v>
      </c>
      <c r="E422" t="n">
        <v>108.7</v>
      </c>
      <c r="F422" t="n">
        <v>80.8</v>
      </c>
      <c r="G422" t="n">
        <v/>
      </c>
      <c r="H422" t="n">
        <v/>
      </c>
      <c r="I422" t="n">
        <v/>
      </c>
      <c r="J422" t="n">
        <v/>
      </c>
      <c r="K422" t="n">
        <v/>
      </c>
      <c r="L422" t="n">
        <v/>
      </c>
      <c r="M422" t="n">
        <v/>
      </c>
    </row>
    <row r="423">
      <c r="A423" s="68" t="n">
        <v>34578</v>
      </c>
      <c r="B423" t="n">
        <v>76.5</v>
      </c>
      <c r="C423" t="n">
        <v>462.7099914550781</v>
      </c>
      <c r="D423" t="n">
        <v>91.5</v>
      </c>
      <c r="E423" t="n">
        <v>104</v>
      </c>
      <c r="F423" t="n">
        <v>83.5</v>
      </c>
      <c r="G423" t="n">
        <v/>
      </c>
      <c r="H423" t="n">
        <v/>
      </c>
      <c r="I423" t="n">
        <v/>
      </c>
      <c r="J423" t="n">
        <v/>
      </c>
      <c r="K423" t="n">
        <v/>
      </c>
      <c r="L423" t="n">
        <v/>
      </c>
      <c r="M423" t="n">
        <v/>
      </c>
    </row>
    <row r="424">
      <c r="A424" s="68" t="n">
        <v>34608</v>
      </c>
      <c r="B424" t="n">
        <v>77</v>
      </c>
      <c r="C424" t="n">
        <v>472.3500061035156</v>
      </c>
      <c r="D424" t="n">
        <v>92.7</v>
      </c>
      <c r="E424" t="n">
        <v>104.6</v>
      </c>
      <c r="F424" t="n">
        <v>85.09999999999999</v>
      </c>
      <c r="G424" t="n">
        <v>10512.962</v>
      </c>
      <c r="H424" t="n">
        <v>0.01132544757604948</v>
      </c>
      <c r="I424" t="n">
        <v>0.03953215088193036</v>
      </c>
      <c r="J424" t="n">
        <v>0.04607721200178072</v>
      </c>
      <c r="K424" t="n">
        <v>0.01145518264658748</v>
      </c>
      <c r="L424" t="n">
        <v>0.04661408771384168</v>
      </c>
      <c r="M424" t="n">
        <v>0.04115926516252467</v>
      </c>
    </row>
    <row r="425">
      <c r="A425" s="68" t="n">
        <v>34639</v>
      </c>
      <c r="B425" t="n">
        <v>77.09999999999999</v>
      </c>
      <c r="C425" t="n">
        <v>453.6900024414062</v>
      </c>
      <c r="D425" t="n">
        <v>91.59999999999999</v>
      </c>
      <c r="E425" t="n">
        <v>102.1</v>
      </c>
      <c r="F425" t="n">
        <v>84.8</v>
      </c>
      <c r="G425" t="n">
        <v/>
      </c>
      <c r="H425" t="n">
        <v/>
      </c>
      <c r="I425" t="n">
        <v/>
      </c>
      <c r="J425" t="n">
        <v/>
      </c>
      <c r="K425" t="n">
        <v/>
      </c>
      <c r="L425" t="n">
        <v/>
      </c>
      <c r="M425" t="n">
        <v/>
      </c>
    </row>
    <row r="426">
      <c r="A426" s="68" t="n">
        <v>34669</v>
      </c>
      <c r="B426" t="n">
        <v>77.7</v>
      </c>
      <c r="C426" t="n">
        <v>459.2699890136719</v>
      </c>
      <c r="D426" t="n">
        <v>95.09999999999999</v>
      </c>
      <c r="E426" t="n">
        <v>104.9</v>
      </c>
      <c r="F426" t="n">
        <v>88.8</v>
      </c>
      <c r="G426" t="n">
        <v/>
      </c>
      <c r="H426" t="n">
        <v/>
      </c>
      <c r="I426" t="n">
        <v/>
      </c>
      <c r="J426" t="n">
        <v/>
      </c>
      <c r="K426" t="n">
        <v/>
      </c>
      <c r="L426" t="n">
        <v/>
      </c>
      <c r="M426" t="n">
        <v/>
      </c>
    </row>
    <row r="427">
      <c r="A427" s="68" t="n">
        <v>34700</v>
      </c>
      <c r="B427" t="n">
        <v>77.8</v>
      </c>
      <c r="C427" t="n">
        <v>470.4200134277344</v>
      </c>
      <c r="D427" t="n">
        <v>97.59999999999999</v>
      </c>
      <c r="E427" t="n">
        <v>112</v>
      </c>
      <c r="F427" t="n">
        <v>88.40000000000001</v>
      </c>
      <c r="G427" t="n">
        <v>10550.251</v>
      </c>
      <c r="H427" t="n">
        <v>0.003534418280664666</v>
      </c>
      <c r="I427" t="n">
        <v>0.03364024230324003</v>
      </c>
      <c r="J427" t="n">
        <v>0.01421280256361213</v>
      </c>
      <c r="K427" t="n">
        <v>0.003546954702204828</v>
      </c>
      <c r="L427" t="n">
        <v>0.01426348278840983</v>
      </c>
      <c r="M427" t="n">
        <v>0.0348113029700438</v>
      </c>
    </row>
    <row r="428">
      <c r="A428" s="68" t="n">
        <v>34731</v>
      </c>
      <c r="B428" t="n">
        <v>77.8</v>
      </c>
      <c r="C428" t="n">
        <v>487.3900146484375</v>
      </c>
      <c r="D428" t="n">
        <v>95.09999999999999</v>
      </c>
      <c r="E428" t="n">
        <v>109.3</v>
      </c>
      <c r="F428" t="n">
        <v>85.90000000000001</v>
      </c>
      <c r="G428" t="n">
        <v/>
      </c>
      <c r="H428" t="n">
        <v/>
      </c>
      <c r="I428" t="n">
        <v/>
      </c>
      <c r="J428" t="n">
        <v/>
      </c>
      <c r="K428" t="n">
        <v/>
      </c>
      <c r="L428" t="n">
        <v/>
      </c>
      <c r="M428" t="n">
        <v/>
      </c>
    </row>
    <row r="429">
      <c r="A429" s="68" t="n">
        <v>34759</v>
      </c>
      <c r="B429" t="n">
        <v>77.8</v>
      </c>
      <c r="C429" t="n">
        <v>500.7099914550781</v>
      </c>
      <c r="D429" t="n">
        <v>90.3</v>
      </c>
      <c r="E429" t="n">
        <v>106.5</v>
      </c>
      <c r="F429" t="n">
        <v>79.8</v>
      </c>
      <c r="G429" t="n">
        <v/>
      </c>
      <c r="H429" t="n">
        <v/>
      </c>
      <c r="I429" t="n">
        <v/>
      </c>
      <c r="J429" t="n">
        <v/>
      </c>
      <c r="K429" t="n">
        <v/>
      </c>
      <c r="L429" t="n">
        <v/>
      </c>
      <c r="M429" t="n">
        <v/>
      </c>
    </row>
    <row r="430">
      <c r="A430" s="68" t="n">
        <v>34790</v>
      </c>
      <c r="B430" t="n">
        <v>77.7</v>
      </c>
      <c r="C430" t="n">
        <v>514.7100219726562</v>
      </c>
      <c r="D430" t="n">
        <v>92.5</v>
      </c>
      <c r="E430" t="n">
        <v>105.9</v>
      </c>
      <c r="F430" t="n">
        <v>83.8</v>
      </c>
      <c r="G430" t="n">
        <v>10581.723</v>
      </c>
      <c r="H430" t="n">
        <v>0.002974184827933953</v>
      </c>
      <c r="I430" t="n">
        <v>0.02345818351132412</v>
      </c>
      <c r="J430" t="n">
        <v>0.01194991927821132</v>
      </c>
      <c r="K430" t="n">
        <v>0.002983056990776784</v>
      </c>
      <c r="L430" t="n">
        <v>0.01198572599682368</v>
      </c>
      <c r="M430" t="n">
        <v>0.02402168869293488</v>
      </c>
    </row>
    <row r="431">
      <c r="A431" s="68" t="n">
        <v>34820</v>
      </c>
      <c r="B431" t="n">
        <v>77.7</v>
      </c>
      <c r="C431" t="n">
        <v>533.4000244140625</v>
      </c>
      <c r="D431" t="n">
        <v>89.8</v>
      </c>
      <c r="E431" t="n">
        <v>105</v>
      </c>
      <c r="F431" t="n">
        <v>80.09999999999999</v>
      </c>
      <c r="G431" t="n">
        <v/>
      </c>
      <c r="H431" t="n">
        <v/>
      </c>
      <c r="I431" t="n">
        <v/>
      </c>
      <c r="J431" t="n">
        <v/>
      </c>
      <c r="K431" t="n">
        <v/>
      </c>
      <c r="L431" t="n">
        <v/>
      </c>
      <c r="M431" t="n">
        <v/>
      </c>
    </row>
    <row r="432">
      <c r="A432" s="68" t="n">
        <v>34851</v>
      </c>
      <c r="B432" t="n">
        <v>77.7</v>
      </c>
      <c r="C432" t="n">
        <v>544.75</v>
      </c>
      <c r="D432" t="n">
        <v>92.7</v>
      </c>
      <c r="E432" t="n">
        <v>106.1</v>
      </c>
      <c r="F432" t="n">
        <v>84.09999999999999</v>
      </c>
      <c r="G432" t="n">
        <v/>
      </c>
      <c r="H432" t="n">
        <v/>
      </c>
      <c r="I432" t="n">
        <v/>
      </c>
      <c r="J432" t="n">
        <v/>
      </c>
      <c r="K432" t="n">
        <v/>
      </c>
      <c r="L432" t="n">
        <v/>
      </c>
      <c r="M432" t="n">
        <v/>
      </c>
    </row>
    <row r="433">
      <c r="A433" s="68" t="n">
        <v>34881</v>
      </c>
      <c r="B433" t="n">
        <v>77.7</v>
      </c>
      <c r="C433" t="n">
        <v>562.0599975585938</v>
      </c>
      <c r="D433" t="n">
        <v>94.40000000000001</v>
      </c>
      <c r="E433" t="n">
        <v>105.2</v>
      </c>
      <c r="F433" t="n">
        <v>87.40000000000001</v>
      </c>
      <c r="G433" t="n">
        <v>10671.738</v>
      </c>
      <c r="H433" t="n">
        <v>0.008434895984140486</v>
      </c>
      <c r="I433" t="n">
        <v>0.02603512192671898</v>
      </c>
      <c r="J433" t="n">
        <v>0.03416887430614901</v>
      </c>
      <c r="K433" t="n">
        <v>0.008506648680937822</v>
      </c>
      <c r="L433" t="n">
        <v>0.03446324065976714</v>
      </c>
      <c r="M433" t="n">
        <v>0.02673106855580074</v>
      </c>
    </row>
    <row r="434">
      <c r="A434" s="68" t="n">
        <v>34912</v>
      </c>
      <c r="B434" t="n">
        <v>78.2</v>
      </c>
      <c r="C434" t="n">
        <v>561.8800048828125</v>
      </c>
      <c r="D434" t="n">
        <v>96.2</v>
      </c>
      <c r="E434" t="n">
        <v>111.8</v>
      </c>
      <c r="F434" t="n">
        <v>86.09999999999999</v>
      </c>
      <c r="G434" t="n">
        <v/>
      </c>
      <c r="H434" t="n">
        <v/>
      </c>
      <c r="I434" t="n">
        <v/>
      </c>
      <c r="J434" t="n">
        <v/>
      </c>
      <c r="K434" t="n">
        <v/>
      </c>
      <c r="L434" t="n">
        <v/>
      </c>
      <c r="M434" t="n">
        <v/>
      </c>
    </row>
    <row r="435">
      <c r="A435" s="68" t="n">
        <v>34943</v>
      </c>
      <c r="B435" t="n">
        <v>78.40000000000001</v>
      </c>
      <c r="C435" t="n">
        <v>584.4099731445312</v>
      </c>
      <c r="D435" t="n">
        <v>88.90000000000001</v>
      </c>
      <c r="E435" t="n">
        <v>104.6</v>
      </c>
      <c r="F435" t="n">
        <v>78.8</v>
      </c>
      <c r="G435" t="n">
        <v/>
      </c>
      <c r="H435" t="n">
        <v/>
      </c>
      <c r="I435" t="n">
        <v/>
      </c>
      <c r="J435" t="n">
        <v/>
      </c>
      <c r="K435" t="n">
        <v/>
      </c>
      <c r="L435" t="n">
        <v/>
      </c>
      <c r="M435" t="n">
        <v/>
      </c>
    </row>
    <row r="436">
      <c r="A436" s="68" t="n">
        <v>34973</v>
      </c>
      <c r="B436" t="n">
        <v>78.3</v>
      </c>
      <c r="C436" t="n">
        <v>581.5</v>
      </c>
      <c r="D436" t="n">
        <v>90.2</v>
      </c>
      <c r="E436" t="n">
        <v>104.8</v>
      </c>
      <c r="F436" t="n">
        <v>80.8</v>
      </c>
      <c r="G436" t="n">
        <v>10744.203</v>
      </c>
      <c r="H436" t="n">
        <v>0.006744567279676319</v>
      </c>
      <c r="I436" t="n">
        <v>0.02152239677526569</v>
      </c>
      <c r="J436" t="n">
        <v>0.02725243353426254</v>
      </c>
      <c r="K436" t="n">
        <v>0.006790365355671227</v>
      </c>
      <c r="L436" t="n">
        <v>0.02743937030821075</v>
      </c>
      <c r="M436" t="n">
        <v>0.02199579909068443</v>
      </c>
    </row>
    <row r="437">
      <c r="A437" s="68" t="n">
        <v>35004</v>
      </c>
      <c r="B437" t="n">
        <v>78.3</v>
      </c>
      <c r="C437" t="n">
        <v>605.3699951171875</v>
      </c>
      <c r="D437" t="n">
        <v>88.2</v>
      </c>
      <c r="E437" t="n">
        <v>101.3</v>
      </c>
      <c r="F437" t="n">
        <v>79.7</v>
      </c>
      <c r="G437" t="n">
        <v/>
      </c>
      <c r="H437" t="n">
        <v/>
      </c>
      <c r="I437" t="n">
        <v/>
      </c>
      <c r="J437" t="n">
        <v/>
      </c>
      <c r="K437" t="n">
        <v/>
      </c>
      <c r="L437" t="n">
        <v/>
      </c>
      <c r="M437" t="n">
        <v/>
      </c>
    </row>
    <row r="438">
      <c r="A438" s="68" t="n">
        <v>35034</v>
      </c>
      <c r="B438" t="n">
        <v>78.40000000000001</v>
      </c>
      <c r="C438" t="n">
        <v>615.9299926757812</v>
      </c>
      <c r="D438" t="n">
        <v>91</v>
      </c>
      <c r="E438" t="n">
        <v>102.4</v>
      </c>
      <c r="F438" t="n">
        <v>83.7</v>
      </c>
      <c r="G438" t="n">
        <v/>
      </c>
      <c r="H438" t="n">
        <v/>
      </c>
      <c r="I438" t="n">
        <v/>
      </c>
      <c r="J438" t="n">
        <v/>
      </c>
      <c r="K438" t="n">
        <v/>
      </c>
      <c r="L438" t="n">
        <v/>
      </c>
      <c r="M438" t="n">
        <v/>
      </c>
    </row>
    <row r="439">
      <c r="A439" s="68" t="n">
        <v>35065</v>
      </c>
      <c r="B439" t="n">
        <v>76.90000000000001</v>
      </c>
      <c r="C439" t="n">
        <v>636.02001953125</v>
      </c>
      <c r="D439" t="n">
        <v>89.3</v>
      </c>
      <c r="E439" t="n">
        <v>105.8</v>
      </c>
      <c r="F439" t="n">
        <v>78.7</v>
      </c>
      <c r="G439" t="n">
        <v>10824.674</v>
      </c>
      <c r="H439" t="n">
        <v>0.007434034503025344</v>
      </c>
      <c r="I439" t="n">
        <v>0.02535161797944221</v>
      </c>
      <c r="J439" t="n">
        <v>0.03006937364403139</v>
      </c>
      <c r="K439" t="n">
        <v>0.007489713290041279</v>
      </c>
      <c r="L439" t="n">
        <v>0.03029711170389682</v>
      </c>
      <c r="M439" t="n">
        <v>0.02601103992691744</v>
      </c>
    </row>
    <row r="440">
      <c r="A440" s="68" t="n">
        <v>35096</v>
      </c>
      <c r="B440" t="n">
        <v>77.8</v>
      </c>
      <c r="C440" t="n">
        <v>640.4299926757812</v>
      </c>
      <c r="D440" t="n">
        <v>88.5</v>
      </c>
      <c r="E440" t="n">
        <v>105.2</v>
      </c>
      <c r="F440" t="n">
        <v>77.8</v>
      </c>
      <c r="G440" t="n">
        <v/>
      </c>
      <c r="H440" t="n">
        <v/>
      </c>
      <c r="I440" t="n">
        <v/>
      </c>
      <c r="J440" t="n">
        <v/>
      </c>
      <c r="K440" t="n">
        <v/>
      </c>
      <c r="L440" t="n">
        <v/>
      </c>
      <c r="M440" t="n">
        <v/>
      </c>
    </row>
    <row r="441">
      <c r="A441" s="68" t="n">
        <v>35125</v>
      </c>
      <c r="B441" t="n">
        <v>78</v>
      </c>
      <c r="C441" t="n">
        <v>645.5</v>
      </c>
      <c r="D441" t="n">
        <v>93.7</v>
      </c>
      <c r="E441" t="n">
        <v>105.4</v>
      </c>
      <c r="F441" t="n">
        <v>86.2</v>
      </c>
      <c r="G441" t="n">
        <v/>
      </c>
      <c r="H441" t="n">
        <v/>
      </c>
      <c r="I441" t="n">
        <v/>
      </c>
      <c r="J441" t="n">
        <v/>
      </c>
      <c r="K441" t="n">
        <v/>
      </c>
      <c r="L441" t="n">
        <v/>
      </c>
      <c r="M441" t="n">
        <v/>
      </c>
    </row>
    <row r="442">
      <c r="A442" s="68" t="n">
        <v>35156</v>
      </c>
      <c r="B442" t="n">
        <v>78.40000000000001</v>
      </c>
      <c r="C442" t="n">
        <v>654.1699829101562</v>
      </c>
      <c r="D442" t="n">
        <v>92.7</v>
      </c>
      <c r="E442" t="n">
        <v>107.8</v>
      </c>
      <c r="F442" t="n">
        <v>83</v>
      </c>
      <c r="G442" t="n">
        <v>11005.217</v>
      </c>
      <c r="H442" t="n">
        <v>0.01640521945182904</v>
      </c>
      <c r="I442" t="n">
        <v>0.03848120395990379</v>
      </c>
      <c r="J442" t="n">
        <v>0.06725339821775522</v>
      </c>
      <c r="K442" t="n">
        <v>0.0166788394735952</v>
      </c>
      <c r="L442" t="n">
        <v>0.06840309652184429</v>
      </c>
      <c r="M442" t="n">
        <v>0.04002127063806155</v>
      </c>
    </row>
    <row r="443">
      <c r="A443" s="68" t="n">
        <v>35186</v>
      </c>
      <c r="B443" t="n">
        <v>79.09999999999999</v>
      </c>
      <c r="C443" t="n">
        <v>669.1199951171875</v>
      </c>
      <c r="D443" t="n">
        <v>89.40000000000001</v>
      </c>
      <c r="E443" t="n">
        <v>105.1</v>
      </c>
      <c r="F443" t="n">
        <v>79.2</v>
      </c>
      <c r="G443" t="n">
        <v/>
      </c>
      <c r="H443" t="n">
        <v/>
      </c>
      <c r="I443" t="n">
        <v/>
      </c>
      <c r="J443" t="n">
        <v/>
      </c>
      <c r="K443" t="n">
        <v/>
      </c>
      <c r="L443" t="n">
        <v/>
      </c>
      <c r="M443" t="n">
        <v/>
      </c>
    </row>
    <row r="444">
      <c r="A444" s="68" t="n">
        <v>35217</v>
      </c>
      <c r="B444" t="n">
        <v>79.59999999999999</v>
      </c>
      <c r="C444" t="n">
        <v>670.6300048828125</v>
      </c>
      <c r="D444" t="n">
        <v>92.40000000000001</v>
      </c>
      <c r="E444" t="n">
        <v>105.4</v>
      </c>
      <c r="F444" t="n">
        <v>84</v>
      </c>
      <c r="G444" t="n">
        <v/>
      </c>
      <c r="H444" t="n">
        <v/>
      </c>
      <c r="I444" t="n">
        <v/>
      </c>
      <c r="J444" t="n">
        <v/>
      </c>
      <c r="K444" t="n">
        <v/>
      </c>
      <c r="L444" t="n">
        <v/>
      </c>
      <c r="M444" t="n">
        <v/>
      </c>
    </row>
    <row r="445">
      <c r="A445" s="68" t="n">
        <v>35247</v>
      </c>
      <c r="B445" t="n">
        <v>79.5</v>
      </c>
      <c r="C445" t="n">
        <v>639.9500122070312</v>
      </c>
      <c r="D445" t="n">
        <v>94.7</v>
      </c>
      <c r="E445" t="n">
        <v>107.5</v>
      </c>
      <c r="F445" t="n">
        <v>86.5</v>
      </c>
      <c r="G445" t="n">
        <v>11103.935</v>
      </c>
      <c r="H445" t="n">
        <v>0.008890361840194394</v>
      </c>
      <c r="I445" t="n">
        <v>0.03892286833451386</v>
      </c>
      <c r="J445" t="n">
        <v>0.0360384955344184</v>
      </c>
      <c r="K445" t="n">
        <v>0.008970109358134323</v>
      </c>
      <c r="L445" t="n">
        <v>0.03636610812087238</v>
      </c>
      <c r="M445" t="n">
        <v>0.04049921390498906</v>
      </c>
    </row>
    <row r="446">
      <c r="A446" s="68" t="n">
        <v>35278</v>
      </c>
      <c r="B446" t="n">
        <v>79.7</v>
      </c>
      <c r="C446" t="n">
        <v>651.989990234375</v>
      </c>
      <c r="D446" t="n">
        <v>95.3</v>
      </c>
      <c r="E446" t="n">
        <v>107.8</v>
      </c>
      <c r="F446" t="n">
        <v>87.3</v>
      </c>
      <c r="G446" t="n">
        <v/>
      </c>
      <c r="H446" t="n">
        <v/>
      </c>
      <c r="I446" t="n">
        <v/>
      </c>
      <c r="J446" t="n">
        <v/>
      </c>
      <c r="K446" t="n">
        <v/>
      </c>
      <c r="L446" t="n">
        <v/>
      </c>
      <c r="M446" t="n">
        <v/>
      </c>
    </row>
    <row r="447">
      <c r="A447" s="68" t="n">
        <v>35309</v>
      </c>
      <c r="B447" t="n">
        <v>80</v>
      </c>
      <c r="C447" t="n">
        <v>687.3300170898438</v>
      </c>
      <c r="D447" t="n">
        <v>94.7</v>
      </c>
      <c r="E447" t="n">
        <v>102</v>
      </c>
      <c r="F447" t="n">
        <v>90.09999999999999</v>
      </c>
      <c r="G447" t="n">
        <v/>
      </c>
      <c r="H447" t="n">
        <v/>
      </c>
      <c r="I447" t="n">
        <v/>
      </c>
      <c r="J447" t="n">
        <v/>
      </c>
      <c r="K447" t="n">
        <v/>
      </c>
      <c r="L447" t="n">
        <v/>
      </c>
      <c r="M447" t="n">
        <v/>
      </c>
    </row>
    <row r="448">
      <c r="A448" s="68" t="n">
        <v>35339</v>
      </c>
      <c r="B448" t="n">
        <v>80.2</v>
      </c>
      <c r="C448" t="n">
        <v>705.27001953125</v>
      </c>
      <c r="D448" t="n">
        <v>96.5</v>
      </c>
      <c r="E448" t="n">
        <v>106.6</v>
      </c>
      <c r="F448" t="n">
        <v>89.90000000000001</v>
      </c>
      <c r="G448" t="n">
        <v>11219.238</v>
      </c>
      <c r="H448" t="n">
        <v>0.01027725768898029</v>
      </c>
      <c r="I448" t="n">
        <v>0.04234111086688774</v>
      </c>
      <c r="J448" t="n">
        <v>0.04174711608466652</v>
      </c>
      <c r="K448" t="n">
        <v>0.01038397649121684</v>
      </c>
      <c r="L448" t="n">
        <v>0.04218735808893692</v>
      </c>
      <c r="M448" t="n">
        <v>0.0442131445208174</v>
      </c>
    </row>
    <row r="449">
      <c r="A449" s="68" t="n">
        <v>35370</v>
      </c>
      <c r="B449" t="n">
        <v>80.8</v>
      </c>
      <c r="C449" t="n">
        <v>757.02001953125</v>
      </c>
      <c r="D449" t="n">
        <v>99.2</v>
      </c>
      <c r="E449" t="n">
        <v>107.5</v>
      </c>
      <c r="F449" t="n">
        <v>93.90000000000001</v>
      </c>
      <c r="G449" t="n">
        <v/>
      </c>
      <c r="H449" t="n">
        <v/>
      </c>
      <c r="I449" t="n">
        <v/>
      </c>
      <c r="J449" t="n">
        <v/>
      </c>
      <c r="K449" t="n">
        <v/>
      </c>
      <c r="L449" t="n">
        <v/>
      </c>
      <c r="M449" t="n">
        <v/>
      </c>
    </row>
    <row r="450">
      <c r="A450" s="68" t="n">
        <v>35400</v>
      </c>
      <c r="B450" t="n">
        <v>80.8</v>
      </c>
      <c r="C450" t="n">
        <v>740.739990234375</v>
      </c>
      <c r="D450" t="n">
        <v>96.90000000000001</v>
      </c>
      <c r="E450" t="n">
        <v>104.9</v>
      </c>
      <c r="F450" t="n">
        <v>91.8</v>
      </c>
      <c r="G450" t="n">
        <v/>
      </c>
      <c r="H450" t="n">
        <v/>
      </c>
      <c r="I450" t="n">
        <v/>
      </c>
      <c r="J450" t="n">
        <v/>
      </c>
      <c r="K450" t="n">
        <v/>
      </c>
      <c r="L450" t="n">
        <v/>
      </c>
      <c r="M450" t="n">
        <v/>
      </c>
    </row>
    <row r="451">
      <c r="A451" s="68" t="n">
        <v>35431</v>
      </c>
      <c r="B451" t="n">
        <v>81.3</v>
      </c>
      <c r="C451" t="n">
        <v>786.1599731445312</v>
      </c>
      <c r="D451" t="n">
        <v>97.40000000000001</v>
      </c>
      <c r="E451" t="n">
        <v>106.8</v>
      </c>
      <c r="F451" t="n">
        <v>91.3</v>
      </c>
      <c r="G451" t="n">
        <v>11291.665</v>
      </c>
      <c r="H451" t="n">
        <v>0.00641420020873817</v>
      </c>
      <c r="I451" t="n">
        <v>0.04135714263574061</v>
      </c>
      <c r="J451" t="n">
        <v>0.02590470988470495</v>
      </c>
      <c r="K451" t="n">
        <v>0.006455607769440447</v>
      </c>
      <c r="L451" t="n">
        <v>0.02607355819109536</v>
      </c>
      <c r="M451" t="n">
        <v>0.04314134541141839</v>
      </c>
    </row>
    <row r="452">
      <c r="A452" s="68" t="n">
        <v>35462</v>
      </c>
      <c r="B452" t="n">
        <v>82.40000000000001</v>
      </c>
      <c r="C452" t="n">
        <v>790.8200073242188</v>
      </c>
      <c r="D452" t="n">
        <v>99.7</v>
      </c>
      <c r="E452" t="n">
        <v>107.2</v>
      </c>
      <c r="F452" t="n">
        <v>94.90000000000001</v>
      </c>
      <c r="G452" t="n">
        <v/>
      </c>
      <c r="H452" t="n">
        <v/>
      </c>
      <c r="I452" t="n">
        <v/>
      </c>
      <c r="J452" t="n">
        <v/>
      </c>
      <c r="K452" t="n">
        <v/>
      </c>
      <c r="L452" t="n">
        <v/>
      </c>
      <c r="M452" t="n">
        <v/>
      </c>
    </row>
    <row r="453">
      <c r="A453" s="68" t="n">
        <v>35490</v>
      </c>
      <c r="B453" t="n">
        <v>82.8</v>
      </c>
      <c r="C453" t="n">
        <v>757.1199951171875</v>
      </c>
      <c r="D453" t="n">
        <v>100</v>
      </c>
      <c r="E453" t="n">
        <v>109.8</v>
      </c>
      <c r="F453" t="n">
        <v>93.59999999999999</v>
      </c>
      <c r="G453" t="n">
        <v/>
      </c>
      <c r="H453" t="n">
        <v/>
      </c>
      <c r="I453" t="n">
        <v/>
      </c>
      <c r="J453" t="n">
        <v/>
      </c>
      <c r="K453" t="n">
        <v/>
      </c>
      <c r="L453" t="n">
        <v/>
      </c>
      <c r="M453" t="n">
        <v/>
      </c>
    </row>
    <row r="454">
      <c r="A454" s="68" t="n">
        <v>35521</v>
      </c>
      <c r="B454" t="n">
        <v>82.90000000000001</v>
      </c>
      <c r="C454" t="n">
        <v>801.3400268554688</v>
      </c>
      <c r="D454" t="n">
        <v>101.4</v>
      </c>
      <c r="E454" t="n">
        <v>115.2</v>
      </c>
      <c r="F454" t="n">
        <v>92.5</v>
      </c>
      <c r="G454" t="n">
        <v>11479.33</v>
      </c>
      <c r="H454" t="n">
        <v>0.01634807954819655</v>
      </c>
      <c r="I454" t="n">
        <v>0.04130145226245777</v>
      </c>
      <c r="J454" t="n">
        <v>0.06701342458168469</v>
      </c>
      <c r="K454" t="n">
        <v>0.01661978105089011</v>
      </c>
      <c r="L454" t="n">
        <v>0.06815486590490871</v>
      </c>
      <c r="M454" t="n">
        <v>0.04308074979348425</v>
      </c>
    </row>
    <row r="455">
      <c r="A455" s="68" t="n">
        <v>35551</v>
      </c>
      <c r="B455" t="n">
        <v>83.40000000000001</v>
      </c>
      <c r="C455" t="n">
        <v>848.280029296875</v>
      </c>
      <c r="D455" t="n">
        <v>103.2</v>
      </c>
      <c r="E455" t="n">
        <v>113.5</v>
      </c>
      <c r="F455" t="n">
        <v>96.59999999999999</v>
      </c>
      <c r="G455" t="n">
        <v/>
      </c>
      <c r="H455" t="n">
        <v/>
      </c>
      <c r="I455" t="n">
        <v/>
      </c>
      <c r="J455" t="n">
        <v/>
      </c>
      <c r="K455" t="n">
        <v/>
      </c>
      <c r="L455" t="n">
        <v/>
      </c>
      <c r="M455" t="n">
        <v/>
      </c>
    </row>
    <row r="456">
      <c r="A456" s="68" t="n">
        <v>35582</v>
      </c>
      <c r="B456" t="n">
        <v>84</v>
      </c>
      <c r="C456" t="n">
        <v>885.1400146484375</v>
      </c>
      <c r="D456" t="n">
        <v>104.5</v>
      </c>
      <c r="E456" t="n">
        <v>113.2</v>
      </c>
      <c r="F456" t="n">
        <v>98.90000000000001</v>
      </c>
      <c r="G456" t="n">
        <v/>
      </c>
      <c r="H456" t="n">
        <v/>
      </c>
      <c r="I456" t="n">
        <v/>
      </c>
      <c r="J456" t="n">
        <v/>
      </c>
      <c r="K456" t="n">
        <v/>
      </c>
      <c r="L456" t="n">
        <v/>
      </c>
      <c r="M456" t="n">
        <v/>
      </c>
    </row>
    <row r="457">
      <c r="A457" s="68" t="n">
        <v>35612</v>
      </c>
      <c r="B457" t="n">
        <v>85</v>
      </c>
      <c r="C457" t="n">
        <v>954.3099975585938</v>
      </c>
      <c r="D457" t="n">
        <v>107.1</v>
      </c>
      <c r="E457" t="n">
        <v>114</v>
      </c>
      <c r="F457" t="n">
        <v>102.6</v>
      </c>
      <c r="G457" t="n">
        <v>11622.911</v>
      </c>
      <c r="H457" t="n">
        <v>0.01235327363342971</v>
      </c>
      <c r="I457" t="n">
        <v>0.04465112053254134</v>
      </c>
      <c r="J457" t="n">
        <v>0.05033627864300305</v>
      </c>
      <c r="K457" t="n">
        <v>0.01250778573313949</v>
      </c>
      <c r="L457" t="n">
        <v>0.05097766273852433</v>
      </c>
      <c r="M457" t="n">
        <v>0.04673802575393323</v>
      </c>
    </row>
    <row r="458">
      <c r="A458" s="68" t="n">
        <v>35643</v>
      </c>
      <c r="B458" t="n">
        <v>85.2</v>
      </c>
      <c r="C458" t="n">
        <v>899.469970703125</v>
      </c>
      <c r="D458" t="n">
        <v>104.4</v>
      </c>
      <c r="E458" t="n">
        <v>110.7</v>
      </c>
      <c r="F458" t="n">
        <v>100.3</v>
      </c>
      <c r="G458" t="n">
        <v/>
      </c>
      <c r="H458" t="n">
        <v/>
      </c>
      <c r="I458" t="n">
        <v/>
      </c>
      <c r="J458" t="n">
        <v/>
      </c>
      <c r="K458" t="n">
        <v/>
      </c>
      <c r="L458" t="n">
        <v/>
      </c>
      <c r="M458" t="n">
        <v/>
      </c>
    </row>
    <row r="459">
      <c r="A459" s="68" t="n">
        <v>35674</v>
      </c>
      <c r="B459" t="n">
        <v>85.8</v>
      </c>
      <c r="C459" t="n">
        <v>947.280029296875</v>
      </c>
      <c r="D459" t="n">
        <v>106</v>
      </c>
      <c r="E459" t="n">
        <v>114.1</v>
      </c>
      <c r="F459" t="n">
        <v>100.7</v>
      </c>
      <c r="G459" t="n">
        <v/>
      </c>
      <c r="H459" t="n">
        <v/>
      </c>
      <c r="I459" t="n">
        <v/>
      </c>
      <c r="J459" t="n">
        <v/>
      </c>
      <c r="K459" t="n">
        <v/>
      </c>
      <c r="L459" t="n">
        <v/>
      </c>
      <c r="M459" t="n">
        <v/>
      </c>
    </row>
    <row r="460">
      <c r="A460" s="68" t="n">
        <v>35704</v>
      </c>
      <c r="B460" t="n">
        <v>86.09999999999999</v>
      </c>
      <c r="C460" t="n">
        <v>914.6199951171875</v>
      </c>
      <c r="D460" t="n">
        <v>105.6</v>
      </c>
      <c r="E460" t="n">
        <v>109.8</v>
      </c>
      <c r="F460" t="n">
        <v>102.8</v>
      </c>
      <c r="G460" t="n">
        <v>11722.722</v>
      </c>
      <c r="H460" t="n">
        <v>0.008514319455839667</v>
      </c>
      <c r="I460" t="n">
        <v>0.04294941055498888</v>
      </c>
      <c r="J460" t="n">
        <v>0.0344947138293572</v>
      </c>
      <c r="K460" t="n">
        <v>0.008587435626066455</v>
      </c>
      <c r="L460" t="n">
        <v>0.03479474533539229</v>
      </c>
      <c r="M460" t="n">
        <v>0.04487684457714512</v>
      </c>
    </row>
    <row r="461">
      <c r="A461" s="68" t="n">
        <v>35735</v>
      </c>
      <c r="B461" t="n">
        <v>86.3</v>
      </c>
      <c r="C461" t="n">
        <v>955.4000244140625</v>
      </c>
      <c r="D461" t="n">
        <v>107.2</v>
      </c>
      <c r="E461" t="n">
        <v>114.9</v>
      </c>
      <c r="F461" t="n">
        <v>102.3</v>
      </c>
      <c r="G461" t="n">
        <v/>
      </c>
      <c r="H461" t="n">
        <v/>
      </c>
      <c r="I461" t="n">
        <v/>
      </c>
      <c r="J461" t="n">
        <v/>
      </c>
      <c r="K461" t="n">
        <v/>
      </c>
      <c r="L461" t="n">
        <v/>
      </c>
      <c r="M461" t="n">
        <v/>
      </c>
    </row>
    <row r="462">
      <c r="A462" s="68" t="n">
        <v>35765</v>
      </c>
      <c r="B462" t="n">
        <v>86.59999999999999</v>
      </c>
      <c r="C462" t="n">
        <v>970.4299926757812</v>
      </c>
      <c r="D462" t="n">
        <v>102.1</v>
      </c>
      <c r="E462" t="n">
        <v>111.4</v>
      </c>
      <c r="F462" t="n">
        <v>96.09999999999999</v>
      </c>
      <c r="G462" t="n">
        <v/>
      </c>
      <c r="H462" t="n">
        <v/>
      </c>
      <c r="I462" t="n">
        <v/>
      </c>
      <c r="J462" t="n">
        <v/>
      </c>
      <c r="K462" t="n">
        <v/>
      </c>
      <c r="L462" t="n">
        <v/>
      </c>
      <c r="M462" t="n">
        <v/>
      </c>
    </row>
    <row r="463">
      <c r="A463" s="68" t="n">
        <v>35796</v>
      </c>
      <c r="B463" t="n">
        <v>86.59999999999999</v>
      </c>
      <c r="C463" t="n">
        <v>980.280029296875</v>
      </c>
      <c r="D463" t="n">
        <v>106.6</v>
      </c>
      <c r="E463" t="n">
        <v>113.5</v>
      </c>
      <c r="F463" t="n">
        <v>102.2</v>
      </c>
      <c r="G463" t="n">
        <v>11839.876</v>
      </c>
      <c r="H463" t="n">
        <v>0.009894867142189703</v>
      </c>
      <c r="I463" t="n">
        <v>0.04630208965026317</v>
      </c>
      <c r="J463" t="n">
        <v>0.04017080369165482</v>
      </c>
      <c r="K463" t="n">
        <v>0.009993754010374081</v>
      </c>
      <c r="L463" t="n">
        <v>0.04057826924134789</v>
      </c>
      <c r="M463" t="n">
        <v>0.04855005882657688</v>
      </c>
    </row>
    <row r="464">
      <c r="A464" s="68" t="n">
        <v>35827</v>
      </c>
      <c r="B464" t="n">
        <v>87.5</v>
      </c>
      <c r="C464" t="n">
        <v>1049.339965820312</v>
      </c>
      <c r="D464" t="n">
        <v>110.4</v>
      </c>
      <c r="E464" t="n">
        <v>120</v>
      </c>
      <c r="F464" t="n">
        <v>104.2</v>
      </c>
      <c r="G464" t="n">
        <v/>
      </c>
      <c r="H464" t="n">
        <v/>
      </c>
      <c r="I464" t="n">
        <v/>
      </c>
      <c r="J464" t="n">
        <v/>
      </c>
      <c r="K464" t="n">
        <v/>
      </c>
      <c r="L464" t="n">
        <v/>
      </c>
      <c r="M464" t="n">
        <v/>
      </c>
    </row>
    <row r="465">
      <c r="A465" s="68" t="n">
        <v>35855</v>
      </c>
      <c r="B465" t="n">
        <v>87.59999999999999</v>
      </c>
      <c r="C465" t="n">
        <v>1101.75</v>
      </c>
      <c r="D465" t="n">
        <v>106.5</v>
      </c>
      <c r="E465" t="n">
        <v>113.7</v>
      </c>
      <c r="F465" t="n">
        <v>101.9</v>
      </c>
      <c r="G465" t="n">
        <v/>
      </c>
      <c r="H465" t="n">
        <v/>
      </c>
      <c r="I465" t="n">
        <v/>
      </c>
      <c r="J465" t="n">
        <v/>
      </c>
      <c r="K465" t="n">
        <v/>
      </c>
      <c r="L465" t="n">
        <v/>
      </c>
      <c r="M465" t="n">
        <v/>
      </c>
    </row>
    <row r="466">
      <c r="A466" s="68" t="n">
        <v>35886</v>
      </c>
      <c r="B466" t="n">
        <v>87.5</v>
      </c>
      <c r="C466" t="n">
        <v>1111.75</v>
      </c>
      <c r="D466" t="n">
        <v>108.7</v>
      </c>
      <c r="E466" t="n">
        <v>115.5</v>
      </c>
      <c r="F466" t="n">
        <v>104.3</v>
      </c>
      <c r="G466" t="n">
        <v>11949.492</v>
      </c>
      <c r="H466" t="n">
        <v>0.009173276989515537</v>
      </c>
      <c r="I466" t="n">
        <v>0.0393457730253303</v>
      </c>
      <c r="J466" t="n">
        <v>0.03720109679221206</v>
      </c>
      <c r="K466" t="n">
        <v>0.009258205069039573</v>
      </c>
      <c r="L466" t="n">
        <v>0.03755028803424176</v>
      </c>
      <c r="M466" t="n">
        <v>0.04095726841200665</v>
      </c>
    </row>
    <row r="467">
      <c r="A467" s="68" t="n">
        <v>35916</v>
      </c>
      <c r="B467" t="n">
        <v>88</v>
      </c>
      <c r="C467" t="n">
        <v>1090.819946289062</v>
      </c>
      <c r="D467" t="n">
        <v>106.5</v>
      </c>
      <c r="E467" t="n">
        <v>113.9</v>
      </c>
      <c r="F467" t="n">
        <v>101.7</v>
      </c>
      <c r="G467" t="n">
        <v/>
      </c>
      <c r="H467" t="n">
        <v/>
      </c>
      <c r="I467" t="n">
        <v/>
      </c>
      <c r="J467" t="n">
        <v/>
      </c>
      <c r="K467" t="n">
        <v/>
      </c>
      <c r="L467" t="n">
        <v/>
      </c>
      <c r="M467" t="n">
        <v/>
      </c>
    </row>
    <row r="468">
      <c r="A468" s="68" t="n">
        <v>35947</v>
      </c>
      <c r="B468" t="n">
        <v>87.40000000000001</v>
      </c>
      <c r="C468" t="n">
        <v>1133.839965820312</v>
      </c>
      <c r="D468" t="n">
        <v>105.6</v>
      </c>
      <c r="E468" t="n">
        <v>115.4</v>
      </c>
      <c r="F468" t="n">
        <v>99.3</v>
      </c>
      <c r="G468" t="n">
        <v/>
      </c>
      <c r="H468" t="n">
        <v/>
      </c>
      <c r="I468" t="n">
        <v/>
      </c>
      <c r="J468" t="n">
        <v/>
      </c>
      <c r="K468" t="n">
        <v/>
      </c>
      <c r="L468" t="n">
        <v/>
      </c>
      <c r="M468" t="n">
        <v/>
      </c>
    </row>
    <row r="469">
      <c r="A469" s="68" t="n">
        <v>35977</v>
      </c>
      <c r="B469" t="n">
        <v>87.7</v>
      </c>
      <c r="C469" t="n">
        <v>1120.670043945312</v>
      </c>
      <c r="D469" t="n">
        <v>105.2</v>
      </c>
      <c r="E469" t="n">
        <v>113.3</v>
      </c>
      <c r="F469" t="n">
        <v>100</v>
      </c>
      <c r="G469" t="n">
        <v>12099.191</v>
      </c>
      <c r="H469" t="n">
        <v>0.01237264541075519</v>
      </c>
      <c r="I469" t="n">
        <v>0.03936461536973841</v>
      </c>
      <c r="J469" t="n">
        <v>0.05041667533875094</v>
      </c>
      <c r="K469" t="n">
        <v>0.01252764552668854</v>
      </c>
      <c r="L469" t="n">
        <v>0.05106012260225734</v>
      </c>
      <c r="M469" t="n">
        <v>0.04097768622679814</v>
      </c>
    </row>
    <row r="470">
      <c r="A470" s="68" t="n">
        <v>36008</v>
      </c>
      <c r="B470" t="n">
        <v>87.8</v>
      </c>
      <c r="C470" t="n">
        <v>957.280029296875</v>
      </c>
      <c r="D470" t="n">
        <v>104.4</v>
      </c>
      <c r="E470" t="n">
        <v>113.9</v>
      </c>
      <c r="F470" t="n">
        <v>98.3</v>
      </c>
      <c r="G470" t="n">
        <v/>
      </c>
      <c r="H470" t="n">
        <v/>
      </c>
      <c r="I470" t="n">
        <v/>
      </c>
      <c r="J470" t="n">
        <v/>
      </c>
      <c r="K470" t="n">
        <v/>
      </c>
      <c r="L470" t="n">
        <v/>
      </c>
      <c r="M470" t="n">
        <v/>
      </c>
    </row>
    <row r="471">
      <c r="A471" s="68" t="n">
        <v>36039</v>
      </c>
      <c r="B471" t="n">
        <v>87.3</v>
      </c>
      <c r="C471" t="n">
        <v>1017.010009765625</v>
      </c>
      <c r="D471" t="n">
        <v>100.9</v>
      </c>
      <c r="E471" t="n">
        <v>111.7</v>
      </c>
      <c r="F471" t="n">
        <v>93.90000000000001</v>
      </c>
      <c r="G471" t="n">
        <v/>
      </c>
      <c r="H471" t="n">
        <v/>
      </c>
      <c r="I471" t="n">
        <v/>
      </c>
      <c r="J471" t="n">
        <v/>
      </c>
      <c r="K471" t="n">
        <v/>
      </c>
      <c r="L471" t="n">
        <v/>
      </c>
      <c r="M471" t="n">
        <v/>
      </c>
    </row>
    <row r="472">
      <c r="A472" s="68" t="n">
        <v>36069</v>
      </c>
      <c r="B472" t="n">
        <v>86.8</v>
      </c>
      <c r="C472" t="n">
        <v>1098.670043945312</v>
      </c>
      <c r="D472" t="n">
        <v>97.40000000000001</v>
      </c>
      <c r="E472" t="n">
        <v>112.8</v>
      </c>
      <c r="F472" t="n">
        <v>87.5</v>
      </c>
      <c r="G472" t="n">
        <v>12294.737</v>
      </c>
      <c r="H472" t="n">
        <v>0.01590485424779712</v>
      </c>
      <c r="I472" t="n">
        <v>0.04652519203948807</v>
      </c>
      <c r="J472" t="n">
        <v>0.06515336076095735</v>
      </c>
      <c r="K472" t="n">
        <v>0.01616190702337028</v>
      </c>
      <c r="L472" t="n">
        <v>0.06623182618291334</v>
      </c>
      <c r="M472" t="n">
        <v>0.04879540775598017</v>
      </c>
    </row>
    <row r="473">
      <c r="A473" s="68" t="n">
        <v>36100</v>
      </c>
      <c r="B473" t="n">
        <v>87.09999999999999</v>
      </c>
      <c r="C473" t="n">
        <v>1163.630004882812</v>
      </c>
      <c r="D473" t="n">
        <v>102.7</v>
      </c>
      <c r="E473" t="n">
        <v>115.9</v>
      </c>
      <c r="F473" t="n">
        <v>94.3</v>
      </c>
      <c r="G473" t="n">
        <v/>
      </c>
      <c r="H473" t="n">
        <v/>
      </c>
      <c r="I473" t="n">
        <v/>
      </c>
      <c r="J473" t="n">
        <v/>
      </c>
      <c r="K473" t="n">
        <v/>
      </c>
      <c r="L473" t="n">
        <v/>
      </c>
      <c r="M473" t="n">
        <v/>
      </c>
    </row>
    <row r="474">
      <c r="A474" s="68" t="n">
        <v>36130</v>
      </c>
      <c r="B474" t="n">
        <v>87.3</v>
      </c>
      <c r="C474" t="n">
        <v>1229.22998046875</v>
      </c>
      <c r="D474" t="n">
        <v>100.5</v>
      </c>
      <c r="E474" t="n">
        <v>113.9</v>
      </c>
      <c r="F474" t="n">
        <v>91.90000000000001</v>
      </c>
      <c r="G474" t="n">
        <v/>
      </c>
      <c r="H474" t="n">
        <v/>
      </c>
      <c r="I474" t="n">
        <v/>
      </c>
      <c r="J474" t="n">
        <v/>
      </c>
      <c r="K474" t="n">
        <v/>
      </c>
      <c r="L474" t="n">
        <v/>
      </c>
      <c r="M474" t="n">
        <v/>
      </c>
    </row>
    <row r="475">
      <c r="A475" s="68" t="n">
        <v>36161</v>
      </c>
      <c r="B475" t="n">
        <v>87.2</v>
      </c>
      <c r="C475" t="n">
        <v>1279.640014648438</v>
      </c>
      <c r="D475" t="n">
        <v>103.9</v>
      </c>
      <c r="E475" t="n">
        <v>116.8</v>
      </c>
      <c r="F475" t="n">
        <v>95.7</v>
      </c>
      <c r="G475" t="n">
        <v>12410.778</v>
      </c>
      <c r="H475" t="n">
        <v>0.009350018185806004</v>
      </c>
      <c r="I475" t="n">
        <v>0.04600050053268216</v>
      </c>
      <c r="J475" t="n">
        <v>0.03792788704700434</v>
      </c>
      <c r="K475" t="n">
        <v>0.009438266145912767</v>
      </c>
      <c r="L475" t="n">
        <v>0.03829092080185514</v>
      </c>
      <c r="M475" t="n">
        <v>0.0482185793162023</v>
      </c>
    </row>
    <row r="476">
      <c r="A476" s="68" t="n">
        <v>36192</v>
      </c>
      <c r="B476" t="n">
        <v>87.7</v>
      </c>
      <c r="C476" t="n">
        <v>1238.329956054688</v>
      </c>
      <c r="D476" t="n">
        <v>108.1</v>
      </c>
      <c r="E476" t="n">
        <v>115</v>
      </c>
      <c r="F476" t="n">
        <v>103.6</v>
      </c>
      <c r="G476" t="n">
        <v/>
      </c>
      <c r="H476" t="n">
        <v/>
      </c>
      <c r="I476" t="n">
        <v/>
      </c>
      <c r="J476" t="n">
        <v/>
      </c>
      <c r="K476" t="n">
        <v/>
      </c>
      <c r="L476" t="n">
        <v/>
      </c>
      <c r="M476" t="n">
        <v/>
      </c>
    </row>
    <row r="477">
      <c r="A477" s="68" t="n">
        <v>36220</v>
      </c>
      <c r="B477" t="n">
        <v>87.7</v>
      </c>
      <c r="C477" t="n">
        <v>1286.369995117188</v>
      </c>
      <c r="D477" t="n">
        <v>105.7</v>
      </c>
      <c r="E477" t="n">
        <v>116.3</v>
      </c>
      <c r="F477" t="n">
        <v>99</v>
      </c>
      <c r="G477" t="n">
        <v/>
      </c>
      <c r="H477" t="n">
        <v/>
      </c>
      <c r="I477" t="n">
        <v/>
      </c>
      <c r="J477" t="n">
        <v/>
      </c>
      <c r="K477" t="n">
        <v/>
      </c>
      <c r="L477" t="n">
        <v/>
      </c>
      <c r="M477" t="n">
        <v/>
      </c>
    </row>
    <row r="478">
      <c r="A478" s="68" t="n">
        <v>36251</v>
      </c>
      <c r="B478" t="n">
        <v>87.8</v>
      </c>
      <c r="C478" t="n">
        <v>1335.180053710938</v>
      </c>
      <c r="D478" t="n">
        <v>104.6</v>
      </c>
      <c r="E478" t="n">
        <v>115.9</v>
      </c>
      <c r="F478" t="n">
        <v>97.40000000000001</v>
      </c>
      <c r="G478" t="n">
        <v>12514.408</v>
      </c>
      <c r="H478" t="n">
        <v>0.008280855155113946</v>
      </c>
      <c r="I478" t="n">
        <v>0.04514124839145402</v>
      </c>
      <c r="J478" t="n">
        <v>0.03353713205306907</v>
      </c>
      <c r="K478" t="n">
        <v>0.008350000298127901</v>
      </c>
      <c r="L478" t="n">
        <v>0.03382066981536092</v>
      </c>
      <c r="M478" t="n">
        <v>0.04727531513473537</v>
      </c>
    </row>
    <row r="479">
      <c r="A479" s="68" t="n">
        <v>36281</v>
      </c>
      <c r="B479" t="n">
        <v>88.3</v>
      </c>
      <c r="C479" t="n">
        <v>1301.839965820312</v>
      </c>
      <c r="D479" t="n">
        <v>106.8</v>
      </c>
      <c r="E479" t="n">
        <v>121.1</v>
      </c>
      <c r="F479" t="n">
        <v>97.59999999999999</v>
      </c>
      <c r="G479" t="n">
        <v/>
      </c>
      <c r="H479" t="n">
        <v/>
      </c>
      <c r="I479" t="n">
        <v/>
      </c>
      <c r="J479" t="n">
        <v/>
      </c>
      <c r="K479" t="n">
        <v/>
      </c>
      <c r="L479" t="n">
        <v/>
      </c>
      <c r="M479" t="n">
        <v/>
      </c>
    </row>
    <row r="480">
      <c r="A480" s="68" t="n">
        <v>36312</v>
      </c>
      <c r="B480" t="n">
        <v>88.59999999999999</v>
      </c>
      <c r="C480" t="n">
        <v>1372.7099609375</v>
      </c>
      <c r="D480" t="n">
        <v>107.3</v>
      </c>
      <c r="E480" t="n">
        <v>118.9</v>
      </c>
      <c r="F480" t="n">
        <v>99.8</v>
      </c>
      <c r="G480" t="n">
        <v/>
      </c>
      <c r="H480" t="n">
        <v/>
      </c>
      <c r="I480" t="n">
        <v/>
      </c>
      <c r="J480" t="n">
        <v/>
      </c>
      <c r="K480" t="n">
        <v/>
      </c>
      <c r="L480" t="n">
        <v/>
      </c>
      <c r="M480" t="n">
        <v/>
      </c>
    </row>
    <row r="481">
      <c r="A481" s="68" t="n">
        <v>36342</v>
      </c>
      <c r="B481" t="n">
        <v>88.90000000000001</v>
      </c>
      <c r="C481" t="n">
        <v>1328.719970703125</v>
      </c>
      <c r="D481" t="n">
        <v>106</v>
      </c>
      <c r="E481" t="n">
        <v>116.5</v>
      </c>
      <c r="F481" t="n">
        <v>99.2</v>
      </c>
      <c r="G481" t="n">
        <v>12679.977</v>
      </c>
      <c r="H481" t="n">
        <v>0.01305751579833318</v>
      </c>
      <c r="I481" t="n">
        <v>0.04580339538470772</v>
      </c>
      <c r="J481" t="n">
        <v>0.05326198973494711</v>
      </c>
      <c r="K481" t="n">
        <v>0.01323027026128614</v>
      </c>
      <c r="L481" t="n">
        <v>0.05398061530001885</v>
      </c>
      <c r="M481" t="n">
        <v>0.04800205236862531</v>
      </c>
    </row>
    <row r="482">
      <c r="A482" s="68" t="n">
        <v>36373</v>
      </c>
      <c r="B482" t="n">
        <v>89.09999999999999</v>
      </c>
      <c r="C482" t="n">
        <v>1320.410034179688</v>
      </c>
      <c r="D482" t="n">
        <v>104.5</v>
      </c>
      <c r="E482" t="n">
        <v>114.1</v>
      </c>
      <c r="F482" t="n">
        <v>98.40000000000001</v>
      </c>
      <c r="G482" t="n">
        <v/>
      </c>
      <c r="H482" t="n">
        <v/>
      </c>
      <c r="I482" t="n">
        <v/>
      </c>
      <c r="J482" t="n">
        <v/>
      </c>
      <c r="K482" t="n">
        <v/>
      </c>
      <c r="L482" t="n">
        <v/>
      </c>
      <c r="M482" t="n">
        <v/>
      </c>
    </row>
    <row r="483">
      <c r="A483" s="68" t="n">
        <v>36404</v>
      </c>
      <c r="B483" t="n">
        <v>89.09999999999999</v>
      </c>
      <c r="C483" t="n">
        <v>1282.7099609375</v>
      </c>
      <c r="D483" t="n">
        <v>107.2</v>
      </c>
      <c r="E483" t="n">
        <v>115.9</v>
      </c>
      <c r="F483" t="n">
        <v>101.5</v>
      </c>
      <c r="G483" t="n">
        <v/>
      </c>
      <c r="H483" t="n">
        <v/>
      </c>
      <c r="I483" t="n">
        <v/>
      </c>
      <c r="J483" t="n">
        <v/>
      </c>
      <c r="K483" t="n">
        <v/>
      </c>
      <c r="L483" t="n">
        <v/>
      </c>
      <c r="M483" t="n">
        <v/>
      </c>
    </row>
    <row r="484">
      <c r="A484" s="68" t="n">
        <v>36434</v>
      </c>
      <c r="B484" t="n">
        <v>89.40000000000001</v>
      </c>
      <c r="C484" t="n">
        <v>1362.930053710938</v>
      </c>
      <c r="D484" t="n">
        <v>103.2</v>
      </c>
      <c r="E484" t="n">
        <v>112.7</v>
      </c>
      <c r="F484" t="n">
        <v>97.09999999999999</v>
      </c>
      <c r="G484" t="n">
        <v>12888.281</v>
      </c>
      <c r="H484" t="n">
        <v>0.01616227951578648</v>
      </c>
      <c r="I484" t="n">
        <v>0.04605299962035291</v>
      </c>
      <c r="J484" t="n">
        <v>0.06623338956955438</v>
      </c>
      <c r="K484" t="n">
        <v>0.01642779005040782</v>
      </c>
      <c r="L484" t="n">
        <v>0.06734820036933864</v>
      </c>
      <c r="M484" t="n">
        <v>0.04827626650330151</v>
      </c>
    </row>
    <row r="485">
      <c r="A485" s="68" t="n">
        <v>36465</v>
      </c>
      <c r="B485" t="n">
        <v>89.90000000000001</v>
      </c>
      <c r="C485" t="n">
        <v>1388.910034179688</v>
      </c>
      <c r="D485" t="n">
        <v>107.2</v>
      </c>
      <c r="E485" t="n">
        <v>116.8</v>
      </c>
      <c r="F485" t="n">
        <v>101</v>
      </c>
      <c r="G485" t="n">
        <v/>
      </c>
      <c r="H485" t="n">
        <v/>
      </c>
      <c r="I485" t="n">
        <v/>
      </c>
      <c r="J485" t="n">
        <v/>
      </c>
      <c r="K485" t="n">
        <v/>
      </c>
      <c r="L485" t="n">
        <v/>
      </c>
      <c r="M485" t="n">
        <v/>
      </c>
    </row>
    <row r="486">
      <c r="A486" s="68" t="n">
        <v>36495</v>
      </c>
      <c r="B486" t="n">
        <v>90.7</v>
      </c>
      <c r="C486" t="n">
        <v>1469.25</v>
      </c>
      <c r="D486" t="n">
        <v>105.4</v>
      </c>
      <c r="E486" t="n">
        <v>112.2</v>
      </c>
      <c r="F486" t="n">
        <v>101.1</v>
      </c>
      <c r="G486" t="n">
        <v/>
      </c>
      <c r="H486" t="n">
        <v/>
      </c>
      <c r="I486" t="n">
        <v/>
      </c>
      <c r="J486" t="n">
        <v/>
      </c>
      <c r="K486" t="n">
        <v/>
      </c>
      <c r="L486" t="n">
        <v/>
      </c>
      <c r="M486" t="n">
        <v/>
      </c>
    </row>
    <row r="487">
      <c r="A487" s="68" t="n">
        <v>36526</v>
      </c>
      <c r="B487" t="n">
        <v>91.2</v>
      </c>
      <c r="C487" t="n">
        <v>1394.4599609375</v>
      </c>
      <c r="D487" t="n">
        <v>112</v>
      </c>
      <c r="E487" t="n">
        <v>117.3</v>
      </c>
      <c r="F487" t="n">
        <v>108.6</v>
      </c>
      <c r="G487" t="n">
        <v>12935.252</v>
      </c>
      <c r="H487" t="n">
        <v>0.003631239654240949</v>
      </c>
      <c r="I487" t="n">
        <v>0.040546098367469</v>
      </c>
      <c r="J487" t="n">
        <v>0.01460426572406393</v>
      </c>
      <c r="K487" t="n">
        <v>0.003644473611337272</v>
      </c>
      <c r="L487" t="n">
        <v>0.0146577813755211</v>
      </c>
      <c r="M487" t="n">
        <v>0.04225955858689924</v>
      </c>
    </row>
    <row r="488">
      <c r="A488" s="68" t="n">
        <v>36557</v>
      </c>
      <c r="B488" t="n">
        <v>90.59999999999999</v>
      </c>
      <c r="C488" t="n">
        <v>1366.420043945312</v>
      </c>
      <c r="D488" t="n">
        <v>111.3</v>
      </c>
      <c r="E488" t="n">
        <v>116.8</v>
      </c>
      <c r="F488" t="n">
        <v>107.8</v>
      </c>
      <c r="G488" t="n">
        <v/>
      </c>
      <c r="H488" t="n">
        <v/>
      </c>
      <c r="I488" t="n">
        <v/>
      </c>
      <c r="J488" t="n">
        <v/>
      </c>
      <c r="K488" t="n">
        <v/>
      </c>
      <c r="L488" t="n">
        <v/>
      </c>
      <c r="M488" t="n">
        <v/>
      </c>
    </row>
    <row r="489">
      <c r="A489" s="68" t="n">
        <v>36586</v>
      </c>
      <c r="B489" t="n">
        <v>91.59999999999999</v>
      </c>
      <c r="C489" t="n">
        <v>1498.579956054688</v>
      </c>
      <c r="D489" t="n">
        <v>107.1</v>
      </c>
      <c r="E489" t="n">
        <v>115.4</v>
      </c>
      <c r="F489" t="n">
        <v>101.7</v>
      </c>
      <c r="G489" t="n">
        <v/>
      </c>
      <c r="H489" t="n">
        <v/>
      </c>
      <c r="I489" t="n">
        <v/>
      </c>
      <c r="J489" t="n">
        <v/>
      </c>
      <c r="K489" t="n">
        <v/>
      </c>
      <c r="L489" t="n">
        <v/>
      </c>
      <c r="M489" t="n">
        <v/>
      </c>
    </row>
    <row r="490">
      <c r="A490" s="68" t="n">
        <v>36617</v>
      </c>
      <c r="B490" t="n">
        <v>91.7</v>
      </c>
      <c r="C490" t="n">
        <v>1452.430053710938</v>
      </c>
      <c r="D490" t="n">
        <v>109.2</v>
      </c>
      <c r="E490" t="n">
        <v>117.8</v>
      </c>
      <c r="F490" t="n">
        <v>103.7</v>
      </c>
      <c r="G490" t="n">
        <v>13170.749</v>
      </c>
      <c r="H490" t="n">
        <v>0.01788030430160042</v>
      </c>
      <c r="I490" t="n">
        <v>0.04983323271895929</v>
      </c>
      <c r="J490" t="n">
        <v>0.0734624168202862</v>
      </c>
      <c r="K490" t="n">
        <v>0.01820583008355766</v>
      </c>
      <c r="L490" t="n">
        <v>0.07483628114231911</v>
      </c>
      <c r="M490" t="n">
        <v>0.05244682768853312</v>
      </c>
    </row>
    <row r="491">
      <c r="A491" s="68" t="n">
        <v>36647</v>
      </c>
      <c r="B491" t="n">
        <v>90.7</v>
      </c>
      <c r="C491" t="n">
        <v>1420.599975585938</v>
      </c>
      <c r="D491" t="n">
        <v>110.7</v>
      </c>
      <c r="E491" t="n">
        <v>119.9</v>
      </c>
      <c r="F491" t="n">
        <v>104.8</v>
      </c>
      <c r="G491" t="n">
        <v/>
      </c>
      <c r="H491" t="n">
        <v/>
      </c>
      <c r="I491" t="n">
        <v/>
      </c>
      <c r="J491" t="n">
        <v/>
      </c>
      <c r="K491" t="n">
        <v/>
      </c>
      <c r="L491" t="n">
        <v/>
      </c>
      <c r="M491" t="n">
        <v/>
      </c>
    </row>
    <row r="492">
      <c r="A492" s="68" t="n">
        <v>36678</v>
      </c>
      <c r="B492" t="n">
        <v>91</v>
      </c>
      <c r="C492" t="n">
        <v>1454.599975585938</v>
      </c>
      <c r="D492" t="n">
        <v>106.4</v>
      </c>
      <c r="E492" t="n">
        <v>115.1</v>
      </c>
      <c r="F492" t="n">
        <v>100.8</v>
      </c>
      <c r="G492" t="n">
        <v/>
      </c>
      <c r="H492" t="n">
        <v/>
      </c>
      <c r="I492" t="n">
        <v/>
      </c>
      <c r="J492" t="n">
        <v/>
      </c>
      <c r="K492" t="n">
        <v/>
      </c>
      <c r="L492" t="n">
        <v/>
      </c>
      <c r="M492" t="n">
        <v/>
      </c>
    </row>
    <row r="493">
      <c r="A493" s="68" t="n">
        <v>36708</v>
      </c>
      <c r="B493" t="n">
        <v>90.59999999999999</v>
      </c>
      <c r="C493" t="n">
        <v>1430.829956054688</v>
      </c>
      <c r="D493" t="n">
        <v>108.3</v>
      </c>
      <c r="E493" t="n">
        <v>114.2</v>
      </c>
      <c r="F493" t="n">
        <v>104.5</v>
      </c>
      <c r="G493" t="n">
        <v>13183.89</v>
      </c>
      <c r="H493" t="n">
        <v>0.0009967467871773521</v>
      </c>
      <c r="I493" t="n">
        <v>0.03822187533421461</v>
      </c>
      <c r="J493" t="n">
        <v>0.003992952135731587</v>
      </c>
      <c r="K493" t="n">
        <v>0.0009977412825952132</v>
      </c>
      <c r="L493" t="n">
        <v>0.003996942030330519</v>
      </c>
      <c r="M493" t="n">
        <v>0.03974084495579121</v>
      </c>
    </row>
    <row r="494">
      <c r="A494" s="68" t="n">
        <v>36739</v>
      </c>
      <c r="B494" t="n">
        <v>90</v>
      </c>
      <c r="C494" t="n">
        <v>1517.680053710938</v>
      </c>
      <c r="D494" t="n">
        <v>107.3</v>
      </c>
      <c r="E494" t="n">
        <v>112.4</v>
      </c>
      <c r="F494" t="n">
        <v>104</v>
      </c>
      <c r="G494" t="n">
        <v/>
      </c>
      <c r="H494" t="n">
        <v/>
      </c>
      <c r="I494" t="n">
        <v/>
      </c>
      <c r="J494" t="n">
        <v/>
      </c>
      <c r="K494" t="n">
        <v/>
      </c>
      <c r="L494" t="n">
        <v/>
      </c>
      <c r="M494" t="n">
        <v/>
      </c>
    </row>
    <row r="495">
      <c r="A495" s="68" t="n">
        <v>36770</v>
      </c>
      <c r="B495" t="n">
        <v>90.3</v>
      </c>
      <c r="C495" t="n">
        <v>1436.510009765625</v>
      </c>
      <c r="D495" t="n">
        <v>106.8</v>
      </c>
      <c r="E495" t="n">
        <v>112</v>
      </c>
      <c r="F495" t="n">
        <v>103.4</v>
      </c>
      <c r="G495" t="n">
        <v/>
      </c>
      <c r="H495" t="n">
        <v/>
      </c>
      <c r="I495" t="n">
        <v/>
      </c>
      <c r="J495" t="n">
        <v/>
      </c>
      <c r="K495" t="n">
        <v/>
      </c>
      <c r="L495" t="n">
        <v/>
      </c>
      <c r="M495" t="n">
        <v/>
      </c>
    </row>
    <row r="496">
      <c r="A496" s="68" t="n">
        <v>36800</v>
      </c>
      <c r="B496" t="n">
        <v>89.40000000000001</v>
      </c>
      <c r="C496" t="n">
        <v>1429.400024414062</v>
      </c>
      <c r="D496" t="n">
        <v>105.8</v>
      </c>
      <c r="E496" t="n">
        <v>113.6</v>
      </c>
      <c r="F496" t="n">
        <v>100.7</v>
      </c>
      <c r="G496" t="n">
        <v>13262.25</v>
      </c>
      <c r="H496" t="n">
        <v>0.005908499688966848</v>
      </c>
      <c r="I496" t="n">
        <v>0.02819800561744796</v>
      </c>
      <c r="J496" t="n">
        <v>0.02384428725765608</v>
      </c>
      <c r="K496" t="n">
        <v>0.005943617551420755</v>
      </c>
      <c r="L496" t="n">
        <v>0.02398727086218799</v>
      </c>
      <c r="M496" t="n">
        <v>0.0290162047211726</v>
      </c>
    </row>
    <row r="497">
      <c r="A497" s="68" t="n">
        <v>36831</v>
      </c>
      <c r="B497" t="n">
        <v>88.7</v>
      </c>
      <c r="C497" t="n">
        <v>1314.949951171875</v>
      </c>
      <c r="D497" t="n">
        <v>107.6</v>
      </c>
      <c r="E497" t="n">
        <v>116.9</v>
      </c>
      <c r="F497" t="n">
        <v>101.6</v>
      </c>
      <c r="G497" t="n">
        <v/>
      </c>
      <c r="H497" t="n">
        <v/>
      </c>
      <c r="I497" t="n">
        <v/>
      </c>
      <c r="J497" t="n">
        <v/>
      </c>
      <c r="K497" t="n">
        <v/>
      </c>
      <c r="L497" t="n">
        <v/>
      </c>
      <c r="M497" t="n">
        <v/>
      </c>
    </row>
    <row r="498">
      <c r="A498" s="68" t="n">
        <v>36861</v>
      </c>
      <c r="B498" t="n">
        <v>87.40000000000001</v>
      </c>
      <c r="C498" t="n">
        <v>1320.280029296875</v>
      </c>
      <c r="D498" t="n">
        <v>98.40000000000001</v>
      </c>
      <c r="E498" t="n">
        <v>110.5</v>
      </c>
      <c r="F498" t="n">
        <v>90.7</v>
      </c>
      <c r="G498" t="n">
        <v/>
      </c>
      <c r="H498" t="n">
        <v/>
      </c>
      <c r="I498" t="n">
        <v/>
      </c>
      <c r="J498" t="n">
        <v/>
      </c>
      <c r="K498" t="n">
        <v/>
      </c>
      <c r="L498" t="n">
        <v/>
      </c>
      <c r="M498" t="n">
        <v/>
      </c>
    </row>
    <row r="499">
      <c r="A499" s="68" t="n">
        <v>36892</v>
      </c>
      <c r="B499" t="n">
        <v>86.90000000000001</v>
      </c>
      <c r="C499" t="n">
        <v>1366.010009765625</v>
      </c>
      <c r="D499" t="n">
        <v>94.7</v>
      </c>
      <c r="E499" t="n">
        <v>107.7</v>
      </c>
      <c r="F499" t="n">
        <v>86.40000000000001</v>
      </c>
      <c r="G499" t="n">
        <v>13219.251</v>
      </c>
      <c r="H499" t="n">
        <v>-0.003252756150859061</v>
      </c>
      <c r="I499" t="n">
        <v>0.02148374367049992</v>
      </c>
      <c r="J499" t="n">
        <v>-0.01294767961816767</v>
      </c>
      <c r="K499" t="n">
        <v>-0.003242210032234334</v>
      </c>
      <c r="L499" t="n">
        <v>-0.01290590479056442</v>
      </c>
      <c r="M499" t="n">
        <v>0.02195542846787985</v>
      </c>
    </row>
    <row r="500">
      <c r="A500" s="68" t="n">
        <v>36923</v>
      </c>
      <c r="B500" t="n">
        <v>85.90000000000001</v>
      </c>
      <c r="C500" t="n">
        <v>1239.93994140625</v>
      </c>
      <c r="D500" t="n">
        <v>90.59999999999999</v>
      </c>
      <c r="E500" t="n">
        <v>105.8</v>
      </c>
      <c r="F500" t="n">
        <v>80.8</v>
      </c>
      <c r="G500" t="n">
        <v/>
      </c>
      <c r="H500" t="n">
        <v/>
      </c>
      <c r="I500" t="n">
        <v/>
      </c>
      <c r="J500" t="n">
        <v/>
      </c>
      <c r="K500" t="n">
        <v/>
      </c>
      <c r="L500" t="n">
        <v/>
      </c>
      <c r="M500" t="n">
        <v/>
      </c>
    </row>
    <row r="501">
      <c r="A501" s="68" t="n">
        <v>36951</v>
      </c>
      <c r="B501" t="n">
        <v>84.59999999999999</v>
      </c>
      <c r="C501" t="n">
        <v>1160.329956054688</v>
      </c>
      <c r="D501" t="n">
        <v>91.5</v>
      </c>
      <c r="E501" t="n">
        <v>103.4</v>
      </c>
      <c r="F501" t="n">
        <v>83.90000000000001</v>
      </c>
      <c r="G501" t="n">
        <v/>
      </c>
      <c r="H501" t="n">
        <v/>
      </c>
      <c r="I501" t="n">
        <v/>
      </c>
      <c r="J501" t="n">
        <v/>
      </c>
      <c r="K501" t="n">
        <v/>
      </c>
      <c r="L501" t="n">
        <v/>
      </c>
      <c r="M501" t="n">
        <v/>
      </c>
    </row>
    <row r="502">
      <c r="A502" s="68" t="n">
        <v>36982</v>
      </c>
      <c r="B502" t="n">
        <v>83.7</v>
      </c>
      <c r="C502" t="n">
        <v>1249.4599609375</v>
      </c>
      <c r="D502" t="n">
        <v>88.40000000000001</v>
      </c>
      <c r="E502" t="n">
        <v>98</v>
      </c>
      <c r="F502" t="n">
        <v>82.2</v>
      </c>
      <c r="G502" t="n">
        <v>13301.394</v>
      </c>
      <c r="H502" t="n">
        <v>0.006175518144940299</v>
      </c>
      <c r="I502" t="n">
        <v>0.009821902877247334</v>
      </c>
      <c r="J502" t="n">
        <v>0.02493183824388856</v>
      </c>
      <c r="K502" t="n">
        <v>0.00621389214865502</v>
      </c>
      <c r="L502" t="n">
        <v>0.02508820455389205</v>
      </c>
      <c r="M502" t="n">
        <v>0.009919329568880284</v>
      </c>
    </row>
    <row r="503">
      <c r="A503" s="68" t="n">
        <v>37012</v>
      </c>
      <c r="B503" t="n">
        <v>84</v>
      </c>
      <c r="C503" t="n">
        <v>1255.819946289062</v>
      </c>
      <c r="D503" t="n">
        <v>92</v>
      </c>
      <c r="E503" t="n">
        <v>102.2</v>
      </c>
      <c r="F503" t="n">
        <v>85.40000000000001</v>
      </c>
      <c r="G503" t="n">
        <v/>
      </c>
      <c r="H503" t="n">
        <v/>
      </c>
      <c r="I503" t="n">
        <v/>
      </c>
      <c r="J503" t="n">
        <v/>
      </c>
      <c r="K503" t="n">
        <v/>
      </c>
      <c r="L503" t="n">
        <v/>
      </c>
      <c r="M503" t="n">
        <v/>
      </c>
    </row>
    <row r="504">
      <c r="A504" s="68" t="n">
        <v>37043</v>
      </c>
      <c r="B504" t="n">
        <v>83.59999999999999</v>
      </c>
      <c r="C504" t="n">
        <v>1224.380004882812</v>
      </c>
      <c r="D504" t="n">
        <v>92.59999999999999</v>
      </c>
      <c r="E504" t="n">
        <v>101.6</v>
      </c>
      <c r="F504" t="n">
        <v>86.90000000000001</v>
      </c>
      <c r="G504" t="n">
        <v/>
      </c>
      <c r="H504" t="n">
        <v/>
      </c>
      <c r="I504" t="n">
        <v/>
      </c>
      <c r="J504" t="n">
        <v/>
      </c>
      <c r="K504" t="n">
        <v/>
      </c>
      <c r="L504" t="n">
        <v/>
      </c>
      <c r="M504" t="n">
        <v/>
      </c>
    </row>
    <row r="505">
      <c r="A505" s="68" t="n">
        <v>37073</v>
      </c>
      <c r="B505" t="n">
        <v>83.40000000000001</v>
      </c>
      <c r="C505" t="n">
        <v>1211.22998046875</v>
      </c>
      <c r="D505" t="n">
        <v>92.40000000000001</v>
      </c>
      <c r="E505" t="n">
        <v>98.59999999999999</v>
      </c>
      <c r="F505" t="n">
        <v>88.40000000000001</v>
      </c>
      <c r="G505" t="n">
        <v>13248.142</v>
      </c>
      <c r="H505" t="n">
        <v>-0.004019582519571454</v>
      </c>
      <c r="I505" t="n">
        <v>0.004849887629525741</v>
      </c>
      <c r="J505" t="n">
        <v>-0.01598164733372653</v>
      </c>
      <c r="K505" t="n">
        <v>-0.004003490160505012</v>
      </c>
      <c r="L505" t="n">
        <v>-0.01591804945502973</v>
      </c>
      <c r="M505" t="n">
        <v>0.004873523671693287</v>
      </c>
    </row>
    <row r="506">
      <c r="A506" s="68" t="n">
        <v>37104</v>
      </c>
      <c r="B506" t="n">
        <v>83.2</v>
      </c>
      <c r="C506" t="n">
        <v>1133.579956054688</v>
      </c>
      <c r="D506" t="n">
        <v>91.5</v>
      </c>
      <c r="E506" t="n">
        <v>101.2</v>
      </c>
      <c r="F506" t="n">
        <v>85.2</v>
      </c>
      <c r="G506" t="n">
        <v/>
      </c>
      <c r="H506" t="n">
        <v/>
      </c>
      <c r="I506" t="n">
        <v/>
      </c>
      <c r="J506" t="n">
        <v/>
      </c>
      <c r="K506" t="n">
        <v/>
      </c>
      <c r="L506" t="n">
        <v/>
      </c>
      <c r="M506" t="n">
        <v/>
      </c>
    </row>
    <row r="507">
      <c r="A507" s="68" t="n">
        <v>37135</v>
      </c>
      <c r="B507" t="n">
        <v>81.7</v>
      </c>
      <c r="C507" t="n">
        <v>1040.93994140625</v>
      </c>
      <c r="D507" t="n">
        <v>81.8</v>
      </c>
      <c r="E507" t="n">
        <v>94.59999999999999</v>
      </c>
      <c r="F507" t="n">
        <v>73.5</v>
      </c>
      <c r="G507" t="n">
        <v/>
      </c>
      <c r="H507" t="n">
        <v/>
      </c>
      <c r="I507" t="n">
        <v/>
      </c>
      <c r="J507" t="n">
        <v/>
      </c>
      <c r="K507" t="n">
        <v/>
      </c>
      <c r="L507" t="n">
        <v/>
      </c>
      <c r="M507" t="n">
        <v/>
      </c>
    </row>
    <row r="508">
      <c r="A508" s="68" t="n">
        <v>37165</v>
      </c>
      <c r="B508" t="n">
        <v>81.09999999999999</v>
      </c>
      <c r="C508" t="n">
        <v>1059.780029296875</v>
      </c>
      <c r="D508" t="n">
        <v>82.7</v>
      </c>
      <c r="E508" t="n">
        <v>94</v>
      </c>
      <c r="F508" t="n">
        <v>75.5</v>
      </c>
      <c r="G508" t="n">
        <v>13284.881</v>
      </c>
      <c r="H508" t="n">
        <v>0.002765474527020572</v>
      </c>
      <c r="I508" t="n">
        <v>0.001703515447372047</v>
      </c>
      <c r="J508" t="n">
        <v>0.01110786986245937</v>
      </c>
      <c r="K508" t="n">
        <v>0.002773143584964562</v>
      </c>
      <c r="L508" t="n">
        <v>0.01113880165656167</v>
      </c>
      <c r="M508" t="n">
        <v>0.001706422364229252</v>
      </c>
    </row>
    <row r="509">
      <c r="A509" s="68" t="n">
        <v>37196</v>
      </c>
      <c r="B509" t="n">
        <v>81.59999999999999</v>
      </c>
      <c r="C509" t="n">
        <v>1139.449951171875</v>
      </c>
      <c r="D509" t="n">
        <v>83.90000000000001</v>
      </c>
      <c r="E509" t="n">
        <v>95.3</v>
      </c>
      <c r="F509" t="n">
        <v>76.59999999999999</v>
      </c>
      <c r="G509" t="n">
        <v/>
      </c>
      <c r="H509" t="n">
        <v/>
      </c>
      <c r="I509" t="n">
        <v/>
      </c>
      <c r="J509" t="n">
        <v/>
      </c>
      <c r="K509" t="n">
        <v/>
      </c>
      <c r="L509" t="n">
        <v/>
      </c>
      <c r="M509" t="n">
        <v/>
      </c>
    </row>
    <row r="510">
      <c r="A510" s="68" t="n">
        <v>37226</v>
      </c>
      <c r="B510" t="n">
        <v>82.2</v>
      </c>
      <c r="C510" t="n">
        <v>1148.079956054688</v>
      </c>
      <c r="D510" t="n">
        <v>88.8</v>
      </c>
      <c r="E510" t="n">
        <v>99</v>
      </c>
      <c r="F510" t="n">
        <v>82.3</v>
      </c>
      <c r="G510" t="n">
        <v/>
      </c>
      <c r="H510" t="n">
        <v/>
      </c>
      <c r="I510" t="n">
        <v/>
      </c>
      <c r="J510" t="n">
        <v/>
      </c>
      <c r="K510" t="n">
        <v/>
      </c>
      <c r="L510" t="n">
        <v/>
      </c>
      <c r="M510" t="n">
        <v/>
      </c>
    </row>
    <row r="511">
      <c r="A511" s="68" t="n">
        <v>37257</v>
      </c>
      <c r="B511" t="n">
        <v>82.2</v>
      </c>
      <c r="C511" t="n">
        <v>1130.199951171875</v>
      </c>
      <c r="D511" t="n">
        <v>93</v>
      </c>
      <c r="E511" t="n">
        <v>95.7</v>
      </c>
      <c r="F511" t="n">
        <v>91.3</v>
      </c>
      <c r="G511" t="n">
        <v>13394.91</v>
      </c>
      <c r="H511" t="n">
        <v>0.008214239588022648</v>
      </c>
      <c r="I511" t="n">
        <v>0.01311386190724683</v>
      </c>
      <c r="J511" t="n">
        <v>0.03326402227845437</v>
      </c>
      <c r="K511" t="n">
        <v>0.00828227215584396</v>
      </c>
      <c r="L511" t="n">
        <v>0.03354294204519781</v>
      </c>
      <c r="M511" t="n">
        <v>0.0132881204842846</v>
      </c>
    </row>
    <row r="512">
      <c r="A512" s="68" t="n">
        <v>37288</v>
      </c>
      <c r="B512" t="n">
        <v>83</v>
      </c>
      <c r="C512" t="n">
        <v>1106.72998046875</v>
      </c>
      <c r="D512" t="n">
        <v>90.7</v>
      </c>
      <c r="E512" t="n">
        <v>96.2</v>
      </c>
      <c r="F512" t="n">
        <v>87.2</v>
      </c>
      <c r="G512" t="n">
        <v/>
      </c>
      <c r="H512" t="n">
        <v/>
      </c>
      <c r="I512" t="n">
        <v/>
      </c>
      <c r="J512" t="n">
        <v/>
      </c>
      <c r="K512" t="n">
        <v/>
      </c>
      <c r="L512" t="n">
        <v/>
      </c>
      <c r="M512" t="n">
        <v/>
      </c>
    </row>
    <row r="513">
      <c r="A513" s="68" t="n">
        <v>37316</v>
      </c>
      <c r="B513" t="n">
        <v>83.40000000000001</v>
      </c>
      <c r="C513" t="n">
        <v>1147.390014648438</v>
      </c>
      <c r="D513" t="n">
        <v>95.7</v>
      </c>
      <c r="E513" t="n">
        <v>100.4</v>
      </c>
      <c r="F513" t="n">
        <v>92.7</v>
      </c>
      <c r="G513" t="n">
        <v/>
      </c>
      <c r="H513" t="n">
        <v/>
      </c>
      <c r="I513" t="n">
        <v/>
      </c>
      <c r="J513" t="n">
        <v/>
      </c>
      <c r="K513" t="n">
        <v/>
      </c>
      <c r="L513" t="n">
        <v/>
      </c>
      <c r="M513" t="n">
        <v/>
      </c>
    </row>
    <row r="514">
      <c r="A514" s="68" t="n">
        <v>37347</v>
      </c>
      <c r="B514" t="n">
        <v>84</v>
      </c>
      <c r="C514" t="n">
        <v>1076.920043945312</v>
      </c>
      <c r="D514" t="n">
        <v>93</v>
      </c>
      <c r="E514" t="n">
        <v>99.2</v>
      </c>
      <c r="F514" t="n">
        <v>89.09999999999999</v>
      </c>
      <c r="G514" t="n">
        <v>13477.356</v>
      </c>
      <c r="H514" t="n">
        <v>0.006117371983050676</v>
      </c>
      <c r="I514" t="n">
        <v>0.01305612169033745</v>
      </c>
      <c r="J514" t="n">
        <v>0.0246949384755506</v>
      </c>
      <c r="K514" t="n">
        <v>0.006155024557835768</v>
      </c>
      <c r="L514" t="n">
        <v>0.02484833834627009</v>
      </c>
      <c r="M514" t="n">
        <v>0.01322883902243626</v>
      </c>
    </row>
    <row r="515">
      <c r="A515" s="68" t="n">
        <v>37377</v>
      </c>
      <c r="B515" t="n">
        <v>84.8</v>
      </c>
      <c r="C515" t="n">
        <v>1067.140014648438</v>
      </c>
      <c r="D515" t="n">
        <v>96.90000000000001</v>
      </c>
      <c r="E515" t="n">
        <v>103.5</v>
      </c>
      <c r="F515" t="n">
        <v>92.7</v>
      </c>
      <c r="G515" t="n">
        <v/>
      </c>
      <c r="H515" t="n">
        <v/>
      </c>
      <c r="I515" t="n">
        <v/>
      </c>
      <c r="J515" t="n">
        <v/>
      </c>
      <c r="K515" t="n">
        <v/>
      </c>
      <c r="L515" t="n">
        <v/>
      </c>
      <c r="M515" t="n">
        <v/>
      </c>
    </row>
    <row r="516">
      <c r="A516" s="68" t="n">
        <v>37408</v>
      </c>
      <c r="B516" t="n">
        <v>85</v>
      </c>
      <c r="C516" t="n">
        <v>989.8200073242188</v>
      </c>
      <c r="D516" t="n">
        <v>92.40000000000001</v>
      </c>
      <c r="E516" t="n">
        <v>99.5</v>
      </c>
      <c r="F516" t="n">
        <v>87.90000000000001</v>
      </c>
      <c r="G516" t="n">
        <v/>
      </c>
      <c r="H516" t="n">
        <v/>
      </c>
      <c r="I516" t="n">
        <v/>
      </c>
      <c r="J516" t="n">
        <v/>
      </c>
      <c r="K516" t="n">
        <v/>
      </c>
      <c r="L516" t="n">
        <v/>
      </c>
      <c r="M516" t="n">
        <v/>
      </c>
    </row>
    <row r="517">
      <c r="A517" s="68" t="n">
        <v>37438</v>
      </c>
      <c r="B517" t="n">
        <v>84.59999999999999</v>
      </c>
      <c r="C517" t="n">
        <v>911.6199951171875</v>
      </c>
      <c r="D517" t="n">
        <v>88.09999999999999</v>
      </c>
      <c r="E517" t="n">
        <v>99.3</v>
      </c>
      <c r="F517" t="n">
        <v>81</v>
      </c>
      <c r="G517" t="n">
        <v>13531.741</v>
      </c>
      <c r="H517" t="n">
        <v>0.004019068943161137</v>
      </c>
      <c r="I517" t="n">
        <v>0.02095805706006346</v>
      </c>
      <c r="J517" t="n">
        <v>0.01617345320329955</v>
      </c>
      <c r="K517" t="n">
        <v>0.004035287039980262</v>
      </c>
      <c r="L517" t="n">
        <v>0.01623911250910082</v>
      </c>
      <c r="M517" t="n">
        <v>0.02140669989799325</v>
      </c>
    </row>
    <row r="518">
      <c r="A518" s="68" t="n">
        <v>37469</v>
      </c>
      <c r="B518" t="n">
        <v>84.7</v>
      </c>
      <c r="C518" t="n">
        <v>916.0700073242188</v>
      </c>
      <c r="D518" t="n">
        <v>87.59999999999999</v>
      </c>
      <c r="E518" t="n">
        <v>98.5</v>
      </c>
      <c r="F518" t="n">
        <v>80.59999999999999</v>
      </c>
      <c r="G518" t="n">
        <v/>
      </c>
      <c r="H518" t="n">
        <v/>
      </c>
      <c r="I518" t="n">
        <v/>
      </c>
      <c r="J518" t="n">
        <v/>
      </c>
      <c r="K518" t="n">
        <v/>
      </c>
      <c r="L518" t="n">
        <v/>
      </c>
      <c r="M518" t="n">
        <v/>
      </c>
    </row>
    <row r="519">
      <c r="A519" s="68" t="n">
        <v>37500</v>
      </c>
      <c r="B519" t="n">
        <v>84.40000000000001</v>
      </c>
      <c r="C519" t="n">
        <v>815.280029296875</v>
      </c>
      <c r="D519" t="n">
        <v>86.09999999999999</v>
      </c>
      <c r="E519" t="n">
        <v>95.8</v>
      </c>
      <c r="F519" t="n">
        <v>79.90000000000001</v>
      </c>
      <c r="G519" t="n">
        <v/>
      </c>
      <c r="H519" t="n">
        <v/>
      </c>
      <c r="I519" t="n">
        <v/>
      </c>
      <c r="J519" t="n">
        <v/>
      </c>
      <c r="K519" t="n">
        <v/>
      </c>
      <c r="L519" t="n">
        <v/>
      </c>
      <c r="M519" t="n">
        <v/>
      </c>
    </row>
    <row r="520">
      <c r="A520" s="68" t="n">
        <v>37530</v>
      </c>
      <c r="B520" t="n">
        <v>84.3</v>
      </c>
      <c r="C520" t="n">
        <v>885.760009765625</v>
      </c>
      <c r="D520" t="n">
        <v>80.59999999999999</v>
      </c>
      <c r="E520" t="n">
        <v>92.40000000000001</v>
      </c>
      <c r="F520" t="n">
        <v>73.09999999999999</v>
      </c>
      <c r="G520" t="n">
        <v>13549.421</v>
      </c>
      <c r="H520" t="n">
        <v>0.001304852805149407</v>
      </c>
      <c r="I520" t="n">
        <v>0.01952408150872284</v>
      </c>
      <c r="J520" t="n">
        <v>0.005229635955337875</v>
      </c>
      <c r="K520" t="n">
        <v>0.001306557670590968</v>
      </c>
      <c r="L520" t="n">
        <v>0.00523648216461936</v>
      </c>
      <c r="M520" t="n">
        <v>0.01991286184648556</v>
      </c>
    </row>
    <row r="521">
      <c r="A521" s="68" t="n">
        <v>37561</v>
      </c>
      <c r="B521" t="n">
        <v>84.8</v>
      </c>
      <c r="C521" t="n">
        <v>936.3099975585938</v>
      </c>
      <c r="D521" t="n">
        <v>84.2</v>
      </c>
      <c r="E521" t="n">
        <v>93.09999999999999</v>
      </c>
      <c r="F521" t="n">
        <v>78.5</v>
      </c>
      <c r="G521" t="n">
        <v/>
      </c>
      <c r="H521" t="n">
        <v/>
      </c>
      <c r="I521" t="n">
        <v/>
      </c>
      <c r="J521" t="n">
        <v/>
      </c>
      <c r="K521" t="n">
        <v/>
      </c>
      <c r="L521" t="n">
        <v/>
      </c>
      <c r="M521" t="n">
        <v/>
      </c>
    </row>
    <row r="522">
      <c r="A522" s="68" t="n">
        <v>37591</v>
      </c>
      <c r="B522" t="n">
        <v>84.8</v>
      </c>
      <c r="C522" t="n">
        <v>879.8200073242188</v>
      </c>
      <c r="D522" t="n">
        <v>86.7</v>
      </c>
      <c r="E522" t="n">
        <v>96</v>
      </c>
      <c r="F522" t="n">
        <v>80.8</v>
      </c>
      <c r="G522" t="n">
        <v/>
      </c>
      <c r="H522" t="n">
        <v/>
      </c>
      <c r="I522" t="n">
        <v/>
      </c>
      <c r="J522" t="n">
        <v/>
      </c>
      <c r="K522" t="n">
        <v/>
      </c>
      <c r="L522" t="n">
        <v/>
      </c>
      <c r="M522" t="n">
        <v/>
      </c>
    </row>
    <row r="523">
      <c r="A523" s="68" t="n">
        <v>37622</v>
      </c>
      <c r="B523" t="n">
        <v>85</v>
      </c>
      <c r="C523" t="n">
        <v>855.7000122070312</v>
      </c>
      <c r="D523" t="n">
        <v>82.40000000000001</v>
      </c>
      <c r="E523" t="n">
        <v>97.2</v>
      </c>
      <c r="F523" t="n">
        <v>72.8</v>
      </c>
      <c r="G523" t="n">
        <v>13619.434</v>
      </c>
      <c r="H523" t="n">
        <v>0.005140668841304199</v>
      </c>
      <c r="I523" t="n">
        <v>0.01648556026630765</v>
      </c>
      <c r="J523" t="n">
        <v>0.02072177831944133</v>
      </c>
      <c r="K523" t="n">
        <v>0.005167231869169835</v>
      </c>
      <c r="L523" t="n">
        <v>0.02082968176698108</v>
      </c>
      <c r="M523" t="n">
        <v>0.01676188940425874</v>
      </c>
    </row>
    <row r="524">
      <c r="A524" s="68" t="n">
        <v>37653</v>
      </c>
      <c r="B524" t="n">
        <v>84.8</v>
      </c>
      <c r="C524" t="n">
        <v>841.1500244140625</v>
      </c>
      <c r="D524" t="n">
        <v>79.90000000000001</v>
      </c>
      <c r="E524" t="n">
        <v>95.40000000000001</v>
      </c>
      <c r="F524" t="n">
        <v>69.90000000000001</v>
      </c>
      <c r="G524" t="n">
        <v/>
      </c>
      <c r="H524" t="n">
        <v/>
      </c>
      <c r="I524" t="n">
        <v/>
      </c>
      <c r="J524" t="n">
        <v/>
      </c>
      <c r="K524" t="n">
        <v/>
      </c>
      <c r="L524" t="n">
        <v/>
      </c>
      <c r="M524" t="n">
        <v/>
      </c>
    </row>
    <row r="525">
      <c r="A525" s="68" t="n">
        <v>37681</v>
      </c>
      <c r="B525" t="n">
        <v>84.7</v>
      </c>
      <c r="C525" t="n">
        <v>848.1799926757812</v>
      </c>
      <c r="D525" t="n">
        <v>77.59999999999999</v>
      </c>
      <c r="E525" t="n">
        <v>90</v>
      </c>
      <c r="F525" t="n">
        <v>69.59999999999999</v>
      </c>
      <c r="G525" t="n">
        <v/>
      </c>
      <c r="H525" t="n">
        <v/>
      </c>
      <c r="I525" t="n">
        <v/>
      </c>
      <c r="J525" t="n">
        <v/>
      </c>
      <c r="K525" t="n">
        <v/>
      </c>
      <c r="L525" t="n">
        <v/>
      </c>
      <c r="M525" t="n">
        <v/>
      </c>
    </row>
    <row r="526">
      <c r="A526" s="68" t="n">
        <v>37712</v>
      </c>
      <c r="B526" t="n">
        <v>84.40000000000001</v>
      </c>
      <c r="C526" t="n">
        <v>916.9199829101562</v>
      </c>
      <c r="D526" t="n">
        <v>86</v>
      </c>
      <c r="E526" t="n">
        <v>96.40000000000001</v>
      </c>
      <c r="F526" t="n">
        <v>79.3</v>
      </c>
      <c r="G526" t="n">
        <v>13741.107</v>
      </c>
      <c r="H526" t="n">
        <v>0.008854672334623453</v>
      </c>
      <c r="I526" t="n">
        <v>0.01919430508764688</v>
      </c>
      <c r="J526" t="n">
        <v>0.03589190382899998</v>
      </c>
      <c r="K526" t="n">
        <v>0.008933778011626672</v>
      </c>
      <c r="L526" t="n">
        <v>0.03621684485857446</v>
      </c>
      <c r="M526" t="n">
        <v>0.01956993641779591</v>
      </c>
    </row>
    <row r="527">
      <c r="A527" s="68" t="n">
        <v>37742</v>
      </c>
      <c r="B527" t="n">
        <v>85.3</v>
      </c>
      <c r="C527" t="n">
        <v>963.5900268554688</v>
      </c>
      <c r="D527" t="n">
        <v>92.09999999999999</v>
      </c>
      <c r="E527" t="n">
        <v>93.2</v>
      </c>
      <c r="F527" t="n">
        <v>91.40000000000001</v>
      </c>
      <c r="G527" t="n">
        <v/>
      </c>
      <c r="H527" t="n">
        <v/>
      </c>
      <c r="I527" t="n">
        <v/>
      </c>
      <c r="J527" t="n">
        <v/>
      </c>
      <c r="K527" t="n">
        <v/>
      </c>
      <c r="L527" t="n">
        <v/>
      </c>
      <c r="M527" t="n">
        <v/>
      </c>
    </row>
    <row r="528">
      <c r="A528" s="68" t="n">
        <v>37773</v>
      </c>
      <c r="B528" t="n">
        <v>86</v>
      </c>
      <c r="C528" t="n">
        <v>974.5</v>
      </c>
      <c r="D528" t="n">
        <v>89.7</v>
      </c>
      <c r="E528" t="n">
        <v>94.7</v>
      </c>
      <c r="F528" t="n">
        <v>86.40000000000001</v>
      </c>
      <c r="G528" t="n">
        <v/>
      </c>
      <c r="H528" t="n">
        <v/>
      </c>
      <c r="I528" t="n">
        <v/>
      </c>
      <c r="J528" t="n">
        <v/>
      </c>
      <c r="K528" t="n">
        <v/>
      </c>
      <c r="L528" t="n">
        <v/>
      </c>
      <c r="M528" t="n">
        <v/>
      </c>
    </row>
    <row r="529">
      <c r="A529" s="68" t="n">
        <v>37803</v>
      </c>
      <c r="B529" t="n">
        <v>86.3</v>
      </c>
      <c r="C529" t="n">
        <v>990.3099975585938</v>
      </c>
      <c r="D529" t="n">
        <v>90.90000000000001</v>
      </c>
      <c r="E529" t="n">
        <v>102.1</v>
      </c>
      <c r="F529" t="n">
        <v>83.7</v>
      </c>
      <c r="G529" t="n">
        <v>13970.157</v>
      </c>
      <c r="H529" t="n">
        <v>0.01639566398573754</v>
      </c>
      <c r="I529" t="n">
        <v>0.03138232447924524</v>
      </c>
      <c r="J529" t="n">
        <v>0.0672132647762842</v>
      </c>
      <c r="K529" t="n">
        <v>0.01666896269711016</v>
      </c>
      <c r="L529" t="n">
        <v>0.06836158006885595</v>
      </c>
      <c r="M529" t="n">
        <v>0.03239908301526014</v>
      </c>
    </row>
    <row r="530">
      <c r="A530" s="68" t="n">
        <v>37834</v>
      </c>
      <c r="B530" t="n">
        <v>86.90000000000001</v>
      </c>
      <c r="C530" t="n">
        <v>1008.010009765625</v>
      </c>
      <c r="D530" t="n">
        <v>89.3</v>
      </c>
      <c r="E530" t="n">
        <v>99.7</v>
      </c>
      <c r="F530" t="n">
        <v>82.5</v>
      </c>
      <c r="G530" t="n">
        <v/>
      </c>
      <c r="H530" t="n">
        <v/>
      </c>
      <c r="I530" t="n">
        <v/>
      </c>
      <c r="J530" t="n">
        <v/>
      </c>
      <c r="K530" t="n">
        <v/>
      </c>
      <c r="L530" t="n">
        <v/>
      </c>
      <c r="M530" t="n">
        <v/>
      </c>
    </row>
    <row r="531">
      <c r="A531" s="68" t="n">
        <v>37865</v>
      </c>
      <c r="B531" t="n">
        <v>87.90000000000001</v>
      </c>
      <c r="C531" t="n">
        <v>995.969970703125</v>
      </c>
      <c r="D531" t="n">
        <v>87.7</v>
      </c>
      <c r="E531" t="n">
        <v>98.40000000000001</v>
      </c>
      <c r="F531" t="n">
        <v>80.8</v>
      </c>
      <c r="G531" t="n">
        <v/>
      </c>
      <c r="H531" t="n">
        <v/>
      </c>
      <c r="I531" t="n">
        <v/>
      </c>
      <c r="J531" t="n">
        <v/>
      </c>
      <c r="K531" t="n">
        <v/>
      </c>
      <c r="L531" t="n">
        <v/>
      </c>
      <c r="M531" t="n">
        <v/>
      </c>
    </row>
    <row r="532">
      <c r="A532" s="68" t="n">
        <v>37895</v>
      </c>
      <c r="B532" t="n">
        <v>88.8</v>
      </c>
      <c r="C532" t="n">
        <v>1050.7099609375</v>
      </c>
      <c r="D532" t="n">
        <v>89.59999999999999</v>
      </c>
      <c r="E532" t="n">
        <v>99.90000000000001</v>
      </c>
      <c r="F532" t="n">
        <v>83</v>
      </c>
      <c r="G532" t="n">
        <v>14131.379</v>
      </c>
      <c r="H532" t="n">
        <v>0.01140879456987188</v>
      </c>
      <c r="I532" t="n">
        <v>0.04118196815753088</v>
      </c>
      <c r="J532" t="n">
        <v>0.04642209868438441</v>
      </c>
      <c r="K532" t="n">
        <v>0.01154045727617818</v>
      </c>
      <c r="L532" t="n">
        <v>0.0469670876988979</v>
      </c>
      <c r="M532" t="n">
        <v>0.04295076520243932</v>
      </c>
    </row>
    <row r="533">
      <c r="A533" s="68" t="n">
        <v>37926</v>
      </c>
      <c r="B533" t="n">
        <v>89.8</v>
      </c>
      <c r="C533" t="n">
        <v>1058.199951171875</v>
      </c>
      <c r="D533" t="n">
        <v>93.7</v>
      </c>
      <c r="E533" t="n">
        <v>102.5</v>
      </c>
      <c r="F533" t="n">
        <v>88.09999999999999</v>
      </c>
      <c r="G533" t="n">
        <v/>
      </c>
      <c r="H533" t="n">
        <v/>
      </c>
      <c r="I533" t="n">
        <v/>
      </c>
      <c r="J533" t="n">
        <v/>
      </c>
      <c r="K533" t="n">
        <v/>
      </c>
      <c r="L533" t="n">
        <v/>
      </c>
      <c r="M533" t="n">
        <v/>
      </c>
    </row>
    <row r="534">
      <c r="A534" s="68" t="n">
        <v>37956</v>
      </c>
      <c r="B534" t="n">
        <v>90.59999999999999</v>
      </c>
      <c r="C534" t="n">
        <v>1111.920043945312</v>
      </c>
      <c r="D534" t="n">
        <v>92.59999999999999</v>
      </c>
      <c r="E534" t="n">
        <v>97</v>
      </c>
      <c r="F534" t="n">
        <v>89.8</v>
      </c>
      <c r="G534" t="n">
        <v/>
      </c>
      <c r="H534" t="n">
        <v/>
      </c>
      <c r="I534" t="n">
        <v/>
      </c>
      <c r="J534" t="n">
        <v/>
      </c>
      <c r="K534" t="n">
        <v/>
      </c>
      <c r="L534" t="n">
        <v/>
      </c>
      <c r="M534" t="n">
        <v/>
      </c>
    </row>
    <row r="535">
      <c r="A535" s="68" t="n">
        <v>37987</v>
      </c>
      <c r="B535" t="n">
        <v>91.5</v>
      </c>
      <c r="C535" t="n">
        <v>1131.130004882812</v>
      </c>
      <c r="D535" t="n">
        <v>103.8</v>
      </c>
      <c r="E535" t="n">
        <v>109.5</v>
      </c>
      <c r="F535" t="n">
        <v>100.1</v>
      </c>
      <c r="G535" t="n">
        <v>14212.34</v>
      </c>
      <c r="H535" t="n">
        <v>0.005696528509731636</v>
      </c>
      <c r="I535" t="n">
        <v>0.04171769040143994</v>
      </c>
      <c r="J535" t="n">
        <v>0.02298155713369021</v>
      </c>
      <c r="K535" t="n">
        <v>0.005729164860697553</v>
      </c>
      <c r="L535" t="n">
        <v>0.02311435270124318</v>
      </c>
      <c r="M535" t="n">
        <v>0.04353382086215924</v>
      </c>
    </row>
    <row r="536">
      <c r="A536" s="68" t="n">
        <v>38018</v>
      </c>
      <c r="B536" t="n">
        <v>92.3</v>
      </c>
      <c r="C536" t="n">
        <v>1144.93994140625</v>
      </c>
      <c r="D536" t="n">
        <v>94.40000000000001</v>
      </c>
      <c r="E536" t="n">
        <v>103.6</v>
      </c>
      <c r="F536" t="n">
        <v>88.5</v>
      </c>
      <c r="G536" t="n">
        <v/>
      </c>
      <c r="H536" t="n">
        <v/>
      </c>
      <c r="I536" t="n">
        <v/>
      </c>
      <c r="J536" t="n">
        <v/>
      </c>
      <c r="K536" t="n">
        <v/>
      </c>
      <c r="L536" t="n">
        <v/>
      </c>
      <c r="M536" t="n">
        <v/>
      </c>
    </row>
    <row r="537">
      <c r="A537" s="68" t="n">
        <v>38047</v>
      </c>
      <c r="B537" t="n">
        <v>93.59999999999999</v>
      </c>
      <c r="C537" t="n">
        <v>1126.2099609375</v>
      </c>
      <c r="D537" t="n">
        <v>95.8</v>
      </c>
      <c r="E537" t="n">
        <v>106.8</v>
      </c>
      <c r="F537" t="n">
        <v>88.8</v>
      </c>
      <c r="G537" t="n">
        <v/>
      </c>
      <c r="H537" t="n">
        <v/>
      </c>
      <c r="I537" t="n">
        <v/>
      </c>
      <c r="J537" t="n">
        <v/>
      </c>
      <c r="K537" t="n">
        <v/>
      </c>
      <c r="L537" t="n">
        <v/>
      </c>
      <c r="M537" t="n">
        <v/>
      </c>
    </row>
    <row r="538">
      <c r="A538" s="68" t="n">
        <v>38078</v>
      </c>
      <c r="B538" t="n">
        <v>93.8</v>
      </c>
      <c r="C538" t="n">
        <v>1107.300048828125</v>
      </c>
      <c r="D538" t="n">
        <v>94.2</v>
      </c>
      <c r="E538" t="n">
        <v>105</v>
      </c>
      <c r="F538" t="n">
        <v>87.3</v>
      </c>
      <c r="G538" t="n">
        <v>14323.017</v>
      </c>
      <c r="H538" t="n">
        <v>0.007727212779262894</v>
      </c>
      <c r="I538" t="n">
        <v>0.04062761358169161</v>
      </c>
      <c r="J538" t="n">
        <v>0.03126895914818428</v>
      </c>
      <c r="K538" t="n">
        <v>0.00778738758008883</v>
      </c>
      <c r="L538" t="n">
        <v>0.03151530344471909</v>
      </c>
      <c r="M538" t="n">
        <v>0.04234811649454442</v>
      </c>
    </row>
    <row r="539">
      <c r="A539" s="68" t="n">
        <v>38108</v>
      </c>
      <c r="B539" t="n">
        <v>94.7</v>
      </c>
      <c r="C539" t="n">
        <v>1120.680053710938</v>
      </c>
      <c r="D539" t="n">
        <v>90.2</v>
      </c>
      <c r="E539" t="n">
        <v>103.6</v>
      </c>
      <c r="F539" t="n">
        <v>81.59999999999999</v>
      </c>
      <c r="G539" t="n">
        <v/>
      </c>
      <c r="H539" t="n">
        <v/>
      </c>
      <c r="I539" t="n">
        <v/>
      </c>
      <c r="J539" t="n">
        <v/>
      </c>
      <c r="K539" t="n">
        <v/>
      </c>
      <c r="L539" t="n">
        <v/>
      </c>
      <c r="M539" t="n">
        <v/>
      </c>
    </row>
    <row r="540">
      <c r="A540" s="68" t="n">
        <v>38139</v>
      </c>
      <c r="B540" t="n">
        <v>95.09999999999999</v>
      </c>
      <c r="C540" t="n">
        <v>1140.839965820312</v>
      </c>
      <c r="D540" t="n">
        <v>95.59999999999999</v>
      </c>
      <c r="E540" t="n">
        <v>106.7</v>
      </c>
      <c r="F540" t="n">
        <v>88.5</v>
      </c>
      <c r="G540" t="n">
        <v/>
      </c>
      <c r="H540" t="n">
        <v/>
      </c>
      <c r="I540" t="n">
        <v/>
      </c>
      <c r="J540" t="n">
        <v/>
      </c>
      <c r="K540" t="n">
        <v/>
      </c>
      <c r="L540" t="n">
        <v/>
      </c>
      <c r="M540" t="n">
        <v/>
      </c>
    </row>
    <row r="541">
      <c r="A541" s="68" t="n">
        <v>38169</v>
      </c>
      <c r="B541" t="n">
        <v>95.59999999999999</v>
      </c>
      <c r="C541" t="n">
        <v>1101.719970703125</v>
      </c>
      <c r="D541" t="n">
        <v>96.7</v>
      </c>
      <c r="E541" t="n">
        <v>105.2</v>
      </c>
      <c r="F541" t="n">
        <v>91.2</v>
      </c>
      <c r="G541" t="n">
        <v>14457.832</v>
      </c>
      <c r="H541" t="n">
        <v>0.00932470373151386</v>
      </c>
      <c r="I541" t="n">
        <v>0.03373085259256028</v>
      </c>
      <c r="J541" t="n">
        <v>0.03782376622013395</v>
      </c>
      <c r="K541" t="n">
        <v>0.009412472246594451</v>
      </c>
      <c r="L541" t="n">
        <v>0.03818480021627169</v>
      </c>
      <c r="M541" t="n">
        <v>0.03490834068650776</v>
      </c>
    </row>
    <row r="542">
      <c r="A542" s="68" t="n">
        <v>38200</v>
      </c>
      <c r="B542" t="n">
        <v>96</v>
      </c>
      <c r="C542" t="n">
        <v>1104.239990234375</v>
      </c>
      <c r="D542" t="n">
        <v>95.90000000000001</v>
      </c>
      <c r="E542" t="n">
        <v>107.9</v>
      </c>
      <c r="F542" t="n">
        <v>88.2</v>
      </c>
      <c r="G542" t="n">
        <v/>
      </c>
      <c r="H542" t="n">
        <v/>
      </c>
      <c r="I542" t="n">
        <v/>
      </c>
      <c r="J542" t="n">
        <v/>
      </c>
      <c r="K542" t="n">
        <v/>
      </c>
      <c r="L542" t="n">
        <v/>
      </c>
      <c r="M542" t="n">
        <v/>
      </c>
    </row>
    <row r="543">
      <c r="A543" s="68" t="n">
        <v>38231</v>
      </c>
      <c r="B543" t="n">
        <v>96.7</v>
      </c>
      <c r="C543" t="n">
        <v>1114.579956054688</v>
      </c>
      <c r="D543" t="n">
        <v>94.2</v>
      </c>
      <c r="E543" t="n">
        <v>103.7</v>
      </c>
      <c r="F543" t="n">
        <v>88</v>
      </c>
      <c r="G543" t="n">
        <v/>
      </c>
      <c r="H543" t="n">
        <v/>
      </c>
      <c r="I543" t="n">
        <v/>
      </c>
      <c r="J543" t="n">
        <v/>
      </c>
      <c r="K543" t="n">
        <v/>
      </c>
      <c r="L543" t="n">
        <v/>
      </c>
      <c r="M543" t="n">
        <v/>
      </c>
    </row>
    <row r="544">
      <c r="A544" s="68" t="n">
        <v>38261</v>
      </c>
      <c r="B544" t="n">
        <v>97</v>
      </c>
      <c r="C544" t="n">
        <v>1130.199951171875</v>
      </c>
      <c r="D544" t="n">
        <v>91.7</v>
      </c>
      <c r="E544" t="n">
        <v>104</v>
      </c>
      <c r="F544" t="n">
        <v>83.8</v>
      </c>
      <c r="G544" t="n">
        <v>14605.595</v>
      </c>
      <c r="H544" t="n">
        <v>0.010116876443582</v>
      </c>
      <c r="I544" t="n">
        <v>0.03246810554448474</v>
      </c>
      <c r="J544" t="n">
        <v>0.04108576528127283</v>
      </c>
      <c r="K544" t="n">
        <v>0.01022027368972049</v>
      </c>
      <c r="L544" t="n">
        <v>0.04151209982891446</v>
      </c>
      <c r="M544" t="n">
        <v>0.03355765916404892</v>
      </c>
    </row>
    <row r="545">
      <c r="A545" s="68" t="n">
        <v>38292</v>
      </c>
      <c r="B545" t="n">
        <v>97.7</v>
      </c>
      <c r="C545" t="n">
        <v>1173.819946289062</v>
      </c>
      <c r="D545" t="n">
        <v>92.8</v>
      </c>
      <c r="E545" t="n">
        <v>104.7</v>
      </c>
      <c r="F545" t="n">
        <v>85.2</v>
      </c>
      <c r="G545" t="n">
        <v/>
      </c>
      <c r="H545" t="n">
        <v/>
      </c>
      <c r="I545" t="n">
        <v/>
      </c>
      <c r="J545" t="n">
        <v/>
      </c>
      <c r="K545" t="n">
        <v/>
      </c>
      <c r="L545" t="n">
        <v/>
      </c>
      <c r="M545" t="n">
        <v/>
      </c>
    </row>
    <row r="546">
      <c r="A546" s="68" t="n">
        <v>38322</v>
      </c>
      <c r="B546" t="n">
        <v>98.59999999999999</v>
      </c>
      <c r="C546" t="n">
        <v>1211.920043945312</v>
      </c>
      <c r="D546" t="n">
        <v>97.09999999999999</v>
      </c>
      <c r="E546" t="n">
        <v>106.7</v>
      </c>
      <c r="F546" t="n">
        <v>90.90000000000001</v>
      </c>
      <c r="G546" t="n">
        <v/>
      </c>
      <c r="H546" t="n">
        <v/>
      </c>
      <c r="I546" t="n">
        <v/>
      </c>
      <c r="J546" t="n">
        <v/>
      </c>
      <c r="K546" t="n">
        <v/>
      </c>
      <c r="L546" t="n">
        <v/>
      </c>
      <c r="M546" t="n">
        <v/>
      </c>
    </row>
    <row r="547">
      <c r="A547" s="68" t="n">
        <v>38353</v>
      </c>
      <c r="B547" t="n">
        <v>99.09999999999999</v>
      </c>
      <c r="C547" t="n">
        <v>1181.27001953125</v>
      </c>
      <c r="D547" t="n">
        <v>95.5</v>
      </c>
      <c r="E547" t="n">
        <v>110.9</v>
      </c>
      <c r="F547" t="n">
        <v>85.7</v>
      </c>
      <c r="G547" t="n">
        <v>14767.846</v>
      </c>
      <c r="H547" t="n">
        <v>0.01098677491626065</v>
      </c>
      <c r="I547" t="n">
        <v>0.0376159123002772</v>
      </c>
      <c r="J547" t="n">
        <v>0.04467667439437895</v>
      </c>
      <c r="K547" t="n">
        <v>0.01110882507696538</v>
      </c>
      <c r="L547" t="n">
        <v>0.04518123508687388</v>
      </c>
      <c r="M547" t="n">
        <v>0.03908617440899946</v>
      </c>
    </row>
    <row r="548">
      <c r="A548" s="68" t="n">
        <v>38384</v>
      </c>
      <c r="B548" t="n">
        <v>99.59999999999999</v>
      </c>
      <c r="C548" t="n">
        <v>1203.599975585938</v>
      </c>
      <c r="D548" t="n">
        <v>94.09999999999999</v>
      </c>
      <c r="E548" t="n">
        <v>109.2</v>
      </c>
      <c r="F548" t="n">
        <v>84.40000000000001</v>
      </c>
      <c r="G548" t="n">
        <v/>
      </c>
      <c r="H548" t="n">
        <v/>
      </c>
      <c r="I548" t="n">
        <v/>
      </c>
      <c r="J548" t="n">
        <v/>
      </c>
      <c r="K548" t="n">
        <v/>
      </c>
      <c r="L548" t="n">
        <v/>
      </c>
      <c r="M548" t="n">
        <v/>
      </c>
    </row>
    <row r="549">
      <c r="A549" s="68" t="n">
        <v>38412</v>
      </c>
      <c r="B549" t="n">
        <v>99.2</v>
      </c>
      <c r="C549" t="n">
        <v>1180.589965820312</v>
      </c>
      <c r="D549" t="n">
        <v>92.59999999999999</v>
      </c>
      <c r="E549" t="n">
        <v>108</v>
      </c>
      <c r="F549" t="n">
        <v>82.8</v>
      </c>
      <c r="G549" t="n">
        <v/>
      </c>
      <c r="H549" t="n">
        <v/>
      </c>
      <c r="I549" t="n">
        <v/>
      </c>
      <c r="J549" t="n">
        <v/>
      </c>
      <c r="K549" t="n">
        <v/>
      </c>
      <c r="L549" t="n">
        <v/>
      </c>
      <c r="M549" t="n">
        <v/>
      </c>
    </row>
    <row r="550">
      <c r="A550" s="68" t="n">
        <v>38443</v>
      </c>
      <c r="B550" t="n">
        <v>99.7</v>
      </c>
      <c r="C550" t="n">
        <v>1156.849975585938</v>
      </c>
      <c r="D550" t="n">
        <v>87.7</v>
      </c>
      <c r="E550" t="n">
        <v>104.4</v>
      </c>
      <c r="F550" t="n">
        <v>77</v>
      </c>
      <c r="G550" t="n">
        <v>14839.707</v>
      </c>
      <c r="H550" t="n">
        <v>0.004842481054376666</v>
      </c>
      <c r="I550" t="n">
        <v>0.03481807289052274</v>
      </c>
      <c r="J550" t="n">
        <v>0.01951107672137886</v>
      </c>
      <c r="K550" t="n">
        <v>0.004866044784053191</v>
      </c>
      <c r="L550" t="n">
        <v>0.01960671092838173</v>
      </c>
      <c r="M550" t="n">
        <v>0.03607410366126079</v>
      </c>
    </row>
    <row r="551">
      <c r="A551" s="68" t="n">
        <v>38473</v>
      </c>
      <c r="B551" t="n">
        <v>99.59999999999999</v>
      </c>
      <c r="C551" t="n">
        <v>1191.5</v>
      </c>
      <c r="D551" t="n">
        <v>86.90000000000001</v>
      </c>
      <c r="E551" t="n">
        <v>104.9</v>
      </c>
      <c r="F551" t="n">
        <v>75.3</v>
      </c>
      <c r="G551" t="n">
        <v/>
      </c>
      <c r="H551" t="n">
        <v/>
      </c>
      <c r="I551" t="n">
        <v/>
      </c>
      <c r="J551" t="n">
        <v/>
      </c>
      <c r="K551" t="n">
        <v/>
      </c>
      <c r="L551" t="n">
        <v/>
      </c>
      <c r="M551" t="n">
        <v/>
      </c>
    </row>
    <row r="552">
      <c r="A552" s="68" t="n">
        <v>38504</v>
      </c>
      <c r="B552" t="n">
        <v>100.3</v>
      </c>
      <c r="C552" t="n">
        <v>1191.329956054688</v>
      </c>
      <c r="D552" t="n">
        <v>96</v>
      </c>
      <c r="E552" t="n">
        <v>113.2</v>
      </c>
      <c r="F552" t="n">
        <v>85</v>
      </c>
      <c r="G552" t="n">
        <v/>
      </c>
      <c r="H552" t="n">
        <v/>
      </c>
      <c r="I552" t="n">
        <v/>
      </c>
      <c r="J552" t="n">
        <v/>
      </c>
      <c r="K552" t="n">
        <v/>
      </c>
      <c r="L552" t="n">
        <v/>
      </c>
      <c r="M552" t="n">
        <v/>
      </c>
    </row>
    <row r="553">
      <c r="A553" s="68" t="n">
        <v>38534</v>
      </c>
      <c r="B553" t="n">
        <v>100.4</v>
      </c>
      <c r="C553" t="n">
        <v>1234.180053710938</v>
      </c>
      <c r="D553" t="n">
        <v>96.5</v>
      </c>
      <c r="E553" t="n">
        <v>113.5</v>
      </c>
      <c r="F553" t="n">
        <v>85.5</v>
      </c>
      <c r="G553" t="n">
        <v>14956.291</v>
      </c>
      <c r="H553" t="n">
        <v>0.007794980720821688</v>
      </c>
      <c r="I553" t="n">
        <v>0.03332771473890144</v>
      </c>
      <c r="J553" t="n">
        <v>0.03154639146778426</v>
      </c>
      <c r="K553" t="n">
        <v>0.007856219802722447</v>
      </c>
      <c r="L553" t="n">
        <v>0.0317971437073068</v>
      </c>
      <c r="M553" t="n">
        <v>0.03447674589108512</v>
      </c>
    </row>
    <row r="554">
      <c r="A554" s="68" t="n">
        <v>38565</v>
      </c>
      <c r="B554" t="n">
        <v>101</v>
      </c>
      <c r="C554" t="n">
        <v>1220.329956054688</v>
      </c>
      <c r="D554" t="n">
        <v>89.09999999999999</v>
      </c>
      <c r="E554" t="n">
        <v>108.2</v>
      </c>
      <c r="F554" t="n">
        <v>76.90000000000001</v>
      </c>
      <c r="G554" t="n">
        <v/>
      </c>
      <c r="H554" t="n">
        <v/>
      </c>
      <c r="I554" t="n">
        <v/>
      </c>
      <c r="J554" t="n">
        <v/>
      </c>
      <c r="K554" t="n">
        <v/>
      </c>
      <c r="L554" t="n">
        <v/>
      </c>
      <c r="M554" t="n">
        <v/>
      </c>
    </row>
    <row r="555">
      <c r="A555" s="68" t="n">
        <v>38596</v>
      </c>
      <c r="B555" t="n">
        <v>100.3</v>
      </c>
      <c r="C555" t="n">
        <v>1228.81005859375</v>
      </c>
      <c r="D555" t="n">
        <v>76.90000000000001</v>
      </c>
      <c r="E555" t="n">
        <v>98.09999999999999</v>
      </c>
      <c r="F555" t="n">
        <v>63.3</v>
      </c>
      <c r="G555" t="n">
        <v/>
      </c>
      <c r="H555" t="n">
        <v/>
      </c>
      <c r="I555" t="n">
        <v/>
      </c>
      <c r="J555" t="n">
        <v/>
      </c>
      <c r="K555" t="n">
        <v/>
      </c>
      <c r="L555" t="n">
        <v/>
      </c>
      <c r="M555" t="n">
        <v/>
      </c>
    </row>
    <row r="556">
      <c r="A556" s="68" t="n">
        <v>38626</v>
      </c>
      <c r="B556" t="n">
        <v>100.7</v>
      </c>
      <c r="C556" t="n">
        <v>1207.010009765625</v>
      </c>
      <c r="D556" t="n">
        <v>74.2</v>
      </c>
      <c r="E556" t="n">
        <v>91.2</v>
      </c>
      <c r="F556" t="n">
        <v>63.2</v>
      </c>
      <c r="G556" t="n">
        <v>15041.232</v>
      </c>
      <c r="H556" t="n">
        <v>0.005647210281711014</v>
      </c>
      <c r="I556" t="n">
        <v>0.02896285357476041</v>
      </c>
      <c r="J556" t="n">
        <v>0.02278090842804459</v>
      </c>
      <c r="K556" t="n">
        <v>0.005679282383580309</v>
      </c>
      <c r="L556" t="n">
        <v>0.02291138878895116</v>
      </c>
      <c r="M556" t="n">
        <v>0.02982672051361144</v>
      </c>
    </row>
    <row r="557">
      <c r="A557" s="68" t="n">
        <v>38657</v>
      </c>
      <c r="B557" t="n">
        <v>101.3</v>
      </c>
      <c r="C557" t="n">
        <v>1249.47998046875</v>
      </c>
      <c r="D557" t="n">
        <v>81.59999999999999</v>
      </c>
      <c r="E557" t="n">
        <v>100.2</v>
      </c>
      <c r="F557" t="n">
        <v>69.59999999999999</v>
      </c>
      <c r="G557" t="n">
        <v/>
      </c>
      <c r="H557" t="n">
        <v/>
      </c>
      <c r="I557" t="n">
        <v/>
      </c>
      <c r="J557" t="n">
        <v/>
      </c>
      <c r="K557" t="n">
        <v/>
      </c>
      <c r="L557" t="n">
        <v/>
      </c>
      <c r="M557" t="n">
        <v/>
      </c>
    </row>
    <row r="558">
      <c r="A558" s="68" t="n">
        <v>38687</v>
      </c>
      <c r="B558" t="n">
        <v>101.3</v>
      </c>
      <c r="C558" t="n">
        <v>1248.2900390625</v>
      </c>
      <c r="D558" t="n">
        <v>91.5</v>
      </c>
      <c r="E558" t="n">
        <v>109.1</v>
      </c>
      <c r="F558" t="n">
        <v>80.2</v>
      </c>
      <c r="G558" t="n">
        <v/>
      </c>
      <c r="H558" t="n">
        <v/>
      </c>
      <c r="I558" t="n">
        <v/>
      </c>
      <c r="J558" t="n">
        <v/>
      </c>
      <c r="K558" t="n">
        <v/>
      </c>
      <c r="L558" t="n">
        <v/>
      </c>
      <c r="M558" t="n">
        <v/>
      </c>
    </row>
    <row r="559">
      <c r="A559" s="68" t="n">
        <v>38718</v>
      </c>
      <c r="B559" t="n">
        <v>102.1</v>
      </c>
      <c r="C559" t="n">
        <v>1280.079956054688</v>
      </c>
      <c r="D559" t="n">
        <v>91.2</v>
      </c>
      <c r="E559" t="n">
        <v>110.3</v>
      </c>
      <c r="F559" t="n">
        <v>78.90000000000001</v>
      </c>
      <c r="G559" t="n">
        <v>15244.088</v>
      </c>
      <c r="H559" t="n">
        <v>0.0133071916142179</v>
      </c>
      <c r="I559" t="n">
        <v>0.03124109490839991</v>
      </c>
      <c r="J559" t="n">
        <v>0.0543007117283727</v>
      </c>
      <c r="K559" t="n">
        <v>0.01348666119902943</v>
      </c>
      <c r="L559" t="n">
        <v>0.05504783041874162</v>
      </c>
      <c r="M559" t="n">
        <v>0.03224857572323006</v>
      </c>
    </row>
    <row r="560">
      <c r="A560" s="68" t="n">
        <v>38749</v>
      </c>
      <c r="B560" t="n">
        <v>102.1</v>
      </c>
      <c r="C560" t="n">
        <v>1280.660034179688</v>
      </c>
      <c r="D560" t="n">
        <v>86.7</v>
      </c>
      <c r="E560" t="n">
        <v>105.6</v>
      </c>
      <c r="F560" t="n">
        <v>74.5</v>
      </c>
      <c r="G560" t="n">
        <v/>
      </c>
      <c r="H560" t="n">
        <v/>
      </c>
      <c r="I560" t="n">
        <v/>
      </c>
      <c r="J560" t="n">
        <v/>
      </c>
      <c r="K560" t="n">
        <v/>
      </c>
      <c r="L560" t="n">
        <v/>
      </c>
      <c r="M560" t="n">
        <v/>
      </c>
    </row>
    <row r="561">
      <c r="A561" s="68" t="n">
        <v>38777</v>
      </c>
      <c r="B561" t="n">
        <v>102.4</v>
      </c>
      <c r="C561" t="n">
        <v>1294.869995117188</v>
      </c>
      <c r="D561" t="n">
        <v>88.90000000000001</v>
      </c>
      <c r="E561" t="n">
        <v>109.1</v>
      </c>
      <c r="F561" t="n">
        <v>76</v>
      </c>
      <c r="G561" t="n">
        <v/>
      </c>
      <c r="H561" t="n">
        <v/>
      </c>
      <c r="I561" t="n">
        <v/>
      </c>
      <c r="J561" t="n">
        <v/>
      </c>
      <c r="K561" t="n">
        <v/>
      </c>
      <c r="L561" t="n">
        <v/>
      </c>
      <c r="M561" t="n">
        <v/>
      </c>
    </row>
    <row r="562">
      <c r="A562" s="68" t="n">
        <v>38808</v>
      </c>
      <c r="B562" t="n">
        <v>101.8</v>
      </c>
      <c r="C562" t="n">
        <v>1310.609985351562</v>
      </c>
      <c r="D562" t="n">
        <v>87.40000000000001</v>
      </c>
      <c r="E562" t="n">
        <v>109.2</v>
      </c>
      <c r="F562" t="n">
        <v>73.40000000000001</v>
      </c>
      <c r="G562" t="n">
        <v>15281.525</v>
      </c>
      <c r="H562" t="n">
        <v>0.002449820943917567</v>
      </c>
      <c r="I562" t="n">
        <v>0.02891190506183115</v>
      </c>
      <c r="J562" t="n">
        <v>0.009835352359237159</v>
      </c>
      <c r="K562" t="n">
        <v>0.00245583730558364</v>
      </c>
      <c r="L562" t="n">
        <v>0.009859595325901749</v>
      </c>
      <c r="M562" t="n">
        <v>0.02977269025594638</v>
      </c>
    </row>
    <row r="563">
      <c r="A563" s="68" t="n">
        <v>38838</v>
      </c>
      <c r="B563" t="n">
        <v>101.2</v>
      </c>
      <c r="C563" t="n">
        <v>1270.089965820312</v>
      </c>
      <c r="D563" t="n">
        <v>79.09999999999999</v>
      </c>
      <c r="E563" t="n">
        <v>96.09999999999999</v>
      </c>
      <c r="F563" t="n">
        <v>68.2</v>
      </c>
      <c r="G563" t="n">
        <v/>
      </c>
      <c r="H563" t="n">
        <v/>
      </c>
      <c r="I563" t="n">
        <v/>
      </c>
      <c r="J563" t="n">
        <v/>
      </c>
      <c r="K563" t="n">
        <v/>
      </c>
      <c r="L563" t="n">
        <v/>
      </c>
      <c r="M563" t="n">
        <v/>
      </c>
    </row>
    <row r="564">
      <c r="A564" s="68" t="n">
        <v>38869</v>
      </c>
      <c r="B564" t="n">
        <v>101.1</v>
      </c>
      <c r="C564" t="n">
        <v>1270.199951171875</v>
      </c>
      <c r="D564" t="n">
        <v>84.90000000000001</v>
      </c>
      <c r="E564" t="n">
        <v>105</v>
      </c>
      <c r="F564" t="n">
        <v>72</v>
      </c>
      <c r="G564" t="n">
        <v/>
      </c>
      <c r="H564" t="n">
        <v/>
      </c>
      <c r="I564" t="n">
        <v/>
      </c>
      <c r="J564" t="n">
        <v/>
      </c>
      <c r="K564" t="n">
        <v/>
      </c>
      <c r="L564" t="n">
        <v/>
      </c>
      <c r="M564" t="n">
        <v/>
      </c>
    </row>
    <row r="565">
      <c r="A565" s="68" t="n">
        <v>38899</v>
      </c>
      <c r="B565" t="n">
        <v>100.6</v>
      </c>
      <c r="C565" t="n">
        <v>1276.660034179688</v>
      </c>
      <c r="D565" t="n">
        <v>84.7</v>
      </c>
      <c r="E565" t="n">
        <v>103.5</v>
      </c>
      <c r="F565" t="n">
        <v>72.5</v>
      </c>
      <c r="G565" t="n">
        <v>15304.517</v>
      </c>
      <c r="H565" t="n">
        <v>0.001502301575410723</v>
      </c>
      <c r="I565" t="n">
        <v>0.022753151896267</v>
      </c>
      <c r="J565" t="n">
        <v>0.0060227613291155</v>
      </c>
      <c r="K565" t="n">
        <v>0.001504561881094995</v>
      </c>
      <c r="L565" t="n">
        <v>0.006031843391774094</v>
      </c>
      <c r="M565" t="n">
        <v>0.02328291151863791</v>
      </c>
    </row>
    <row r="566">
      <c r="A566" s="68" t="n">
        <v>38930</v>
      </c>
      <c r="B566" t="n">
        <v>100.4</v>
      </c>
      <c r="C566" t="n">
        <v>1303.819946289062</v>
      </c>
      <c r="D566" t="n">
        <v>82</v>
      </c>
      <c r="E566" t="n">
        <v>103.8</v>
      </c>
      <c r="F566" t="n">
        <v>68</v>
      </c>
      <c r="G566" t="n">
        <v/>
      </c>
      <c r="H566" t="n">
        <v/>
      </c>
      <c r="I566" t="n">
        <v/>
      </c>
      <c r="J566" t="n">
        <v/>
      </c>
      <c r="K566" t="n">
        <v/>
      </c>
      <c r="L566" t="n">
        <v/>
      </c>
      <c r="M566" t="n">
        <v/>
      </c>
    </row>
    <row r="567">
      <c r="A567" s="68" t="n">
        <v>38961</v>
      </c>
      <c r="B567" t="n">
        <v>100.4</v>
      </c>
      <c r="C567" t="n">
        <v>1335.849975585938</v>
      </c>
      <c r="D567" t="n">
        <v>85.40000000000001</v>
      </c>
      <c r="E567" t="n">
        <v>96.59999999999999</v>
      </c>
      <c r="F567" t="n">
        <v>78.2</v>
      </c>
      <c r="G567" t="n">
        <v/>
      </c>
      <c r="H567" t="n">
        <v/>
      </c>
      <c r="I567" t="n">
        <v/>
      </c>
      <c r="J567" t="n">
        <v/>
      </c>
      <c r="K567" t="n">
        <v/>
      </c>
      <c r="L567" t="n">
        <v/>
      </c>
      <c r="M567" t="n">
        <v/>
      </c>
    </row>
    <row r="568">
      <c r="A568" s="68" t="n">
        <v>38991</v>
      </c>
      <c r="B568" t="n">
        <v>100.2</v>
      </c>
      <c r="C568" t="n">
        <v>1377.93994140625</v>
      </c>
      <c r="D568" t="n">
        <v>93.59999999999999</v>
      </c>
      <c r="E568" t="n">
        <v>107.3</v>
      </c>
      <c r="F568" t="n">
        <v>84.8</v>
      </c>
      <c r="G568" t="n">
        <v>15433.643</v>
      </c>
      <c r="H568" t="n">
        <v>0.008366527591703411</v>
      </c>
      <c r="I568" t="n">
        <v>0.02542568854288</v>
      </c>
      <c r="J568" t="n">
        <v>0.03388845055732825</v>
      </c>
      <c r="K568" t="n">
        <v>0.008437116963573578</v>
      </c>
      <c r="L568" t="n">
        <v>0.03417798496028124</v>
      </c>
      <c r="M568" t="n">
        <v>0.02608901983560922</v>
      </c>
    </row>
    <row r="569">
      <c r="A569" s="68" t="n">
        <v>39022</v>
      </c>
      <c r="B569" t="n">
        <v>100</v>
      </c>
      <c r="C569" t="n">
        <v>1400.630004882812</v>
      </c>
      <c r="D569" t="n">
        <v>92.09999999999999</v>
      </c>
      <c r="E569" t="n">
        <v>106</v>
      </c>
      <c r="F569" t="n">
        <v>83.2</v>
      </c>
      <c r="G569" t="n">
        <v/>
      </c>
      <c r="H569" t="n">
        <v/>
      </c>
      <c r="I569" t="n">
        <v/>
      </c>
      <c r="J569" t="n">
        <v/>
      </c>
      <c r="K569" t="n">
        <v/>
      </c>
      <c r="L569" t="n">
        <v/>
      </c>
      <c r="M569" t="n">
        <v/>
      </c>
    </row>
    <row r="570">
      <c r="A570" s="68" t="n">
        <v>39052</v>
      </c>
      <c r="B570" t="n">
        <v>100.4</v>
      </c>
      <c r="C570" t="n">
        <v>1418.300048828125</v>
      </c>
      <c r="D570" t="n">
        <v>91.7</v>
      </c>
      <c r="E570" t="n">
        <v>108.1</v>
      </c>
      <c r="F570" t="n">
        <v>81.2</v>
      </c>
      <c r="G570" t="n">
        <v/>
      </c>
      <c r="H570" t="n">
        <v/>
      </c>
      <c r="I570" t="n">
        <v/>
      </c>
      <c r="J570" t="n">
        <v/>
      </c>
      <c r="K570" t="n">
        <v/>
      </c>
      <c r="L570" t="n">
        <v/>
      </c>
      <c r="M570" t="n">
        <v/>
      </c>
    </row>
    <row r="571">
      <c r="A571" s="68" t="n">
        <v>39083</v>
      </c>
      <c r="B571" t="n">
        <v>100</v>
      </c>
      <c r="C571" t="n">
        <v>1438.239990234375</v>
      </c>
      <c r="D571" t="n">
        <v>96.90000000000001</v>
      </c>
      <c r="E571" t="n">
        <v>111.3</v>
      </c>
      <c r="F571" t="n">
        <v>87.59999999999999</v>
      </c>
      <c r="G571" t="n">
        <v>15478.956</v>
      </c>
      <c r="H571" t="n">
        <v>0.002927393811313896</v>
      </c>
      <c r="I571" t="n">
        <v>0.01517337474181078</v>
      </c>
      <c r="J571" t="n">
        <v>0.01176109347263377</v>
      </c>
      <c r="K571" t="n">
        <v>0.002935988606189744</v>
      </c>
      <c r="L571" t="n">
        <v>0.01179577590686653</v>
      </c>
      <c r="M571" t="n">
        <v>0.01540715325180492</v>
      </c>
    </row>
    <row r="572">
      <c r="A572" s="68" t="n">
        <v>39114</v>
      </c>
      <c r="B572" t="n">
        <v>99.90000000000001</v>
      </c>
      <c r="C572" t="n">
        <v>1406.819946289062</v>
      </c>
      <c r="D572" t="n">
        <v>91.3</v>
      </c>
      <c r="E572" t="n">
        <v>106.7</v>
      </c>
      <c r="F572" t="n">
        <v>81.5</v>
      </c>
      <c r="G572" t="n">
        <v/>
      </c>
      <c r="H572" t="n">
        <v/>
      </c>
      <c r="I572" t="n">
        <v/>
      </c>
      <c r="J572" t="n">
        <v/>
      </c>
      <c r="K572" t="n">
        <v/>
      </c>
      <c r="L572" t="n">
        <v/>
      </c>
      <c r="M572" t="n">
        <v/>
      </c>
    </row>
    <row r="573">
      <c r="A573" s="68" t="n">
        <v>39142</v>
      </c>
      <c r="B573" t="n">
        <v>100.2</v>
      </c>
      <c r="C573" t="n">
        <v>1420.859985351562</v>
      </c>
      <c r="D573" t="n">
        <v>88.40000000000001</v>
      </c>
      <c r="E573" t="n">
        <v>103.5</v>
      </c>
      <c r="F573" t="n">
        <v>78.7</v>
      </c>
      <c r="G573" t="n">
        <v/>
      </c>
      <c r="H573" t="n">
        <v/>
      </c>
      <c r="I573" t="n">
        <v/>
      </c>
      <c r="J573" t="n">
        <v/>
      </c>
      <c r="K573" t="n">
        <v/>
      </c>
      <c r="L573" t="n">
        <v/>
      </c>
      <c r="M573" t="n">
        <v/>
      </c>
    </row>
    <row r="574">
      <c r="A574" s="68" t="n">
        <v>39173</v>
      </c>
      <c r="B574" t="n">
        <v>99.8</v>
      </c>
      <c r="C574" t="n">
        <v>1482.369995117188</v>
      </c>
      <c r="D574" t="n">
        <v>87.09999999999999</v>
      </c>
      <c r="E574" t="n">
        <v>104.6</v>
      </c>
      <c r="F574" t="n">
        <v>75.90000000000001</v>
      </c>
      <c r="G574" t="n">
        <v>15577.779</v>
      </c>
      <c r="H574" t="n">
        <v>0.006343844010112116</v>
      </c>
      <c r="I574" t="n">
        <v>0.01901773031957898</v>
      </c>
      <c r="J574" t="n">
        <v>0.02561786501669205</v>
      </c>
      <c r="K574" t="n">
        <v>0.00638434530080713</v>
      </c>
      <c r="L574" t="n">
        <v>0.02578298295432346</v>
      </c>
      <c r="M574" t="n">
        <v>0.01938641594997887</v>
      </c>
    </row>
    <row r="575">
      <c r="A575" s="68" t="n">
        <v>39203</v>
      </c>
      <c r="B575" t="n">
        <v>99.90000000000001</v>
      </c>
      <c r="C575" t="n">
        <v>1530.619995117188</v>
      </c>
      <c r="D575" t="n">
        <v>88.3</v>
      </c>
      <c r="E575" t="n">
        <v>105.1</v>
      </c>
      <c r="F575" t="n">
        <v>77.59999999999999</v>
      </c>
      <c r="G575" t="n">
        <v/>
      </c>
      <c r="H575" t="n">
        <v/>
      </c>
      <c r="I575" t="n">
        <v/>
      </c>
      <c r="J575" t="n">
        <v/>
      </c>
      <c r="K575" t="n">
        <v/>
      </c>
      <c r="L575" t="n">
        <v/>
      </c>
      <c r="M575" t="n">
        <v/>
      </c>
    </row>
    <row r="576">
      <c r="A576" s="68" t="n">
        <v>39234</v>
      </c>
      <c r="B576" t="n">
        <v>99.7</v>
      </c>
      <c r="C576" t="n">
        <v>1503.349975585938</v>
      </c>
      <c r="D576" t="n">
        <v>85.3</v>
      </c>
      <c r="E576" t="n">
        <v>101.9</v>
      </c>
      <c r="F576" t="n">
        <v>74.7</v>
      </c>
      <c r="G576" t="n">
        <v/>
      </c>
      <c r="H576" t="n">
        <v/>
      </c>
      <c r="I576" t="n">
        <v/>
      </c>
      <c r="J576" t="n">
        <v/>
      </c>
      <c r="K576" t="n">
        <v/>
      </c>
      <c r="L576" t="n">
        <v/>
      </c>
      <c r="M576" t="n">
        <v/>
      </c>
    </row>
    <row r="577">
      <c r="A577" s="68" t="n">
        <v>39264</v>
      </c>
      <c r="B577" t="n">
        <v>99.59999999999999</v>
      </c>
      <c r="C577" t="n">
        <v>1455.27001953125</v>
      </c>
      <c r="D577" t="n">
        <v>90.40000000000001</v>
      </c>
      <c r="E577" t="n">
        <v>104.5</v>
      </c>
      <c r="F577" t="n">
        <v>81.5</v>
      </c>
      <c r="G577" t="n">
        <v>15671.605</v>
      </c>
      <c r="H577" t="n">
        <v>0.005987006436162672</v>
      </c>
      <c r="I577" t="n">
        <v>0.02342376546626844</v>
      </c>
      <c r="J577" t="n">
        <v>0.02416395090478818</v>
      </c>
      <c r="K577" t="n">
        <v>0.006023066574509698</v>
      </c>
      <c r="L577" t="n">
        <v>0.02431080560296794</v>
      </c>
      <c r="M577" t="n">
        <v>0.02398559850010293</v>
      </c>
    </row>
    <row r="578">
      <c r="A578" s="68" t="n">
        <v>39295</v>
      </c>
      <c r="B578" t="n">
        <v>99</v>
      </c>
      <c r="C578" t="n">
        <v>1473.989990234375</v>
      </c>
      <c r="D578" t="n">
        <v>83.40000000000001</v>
      </c>
      <c r="E578" t="n">
        <v>98.40000000000001</v>
      </c>
      <c r="F578" t="n">
        <v>73.7</v>
      </c>
      <c r="G578" t="n">
        <v/>
      </c>
      <c r="H578" t="n">
        <v/>
      </c>
      <c r="I578" t="n">
        <v/>
      </c>
      <c r="J578" t="n">
        <v/>
      </c>
      <c r="K578" t="n">
        <v/>
      </c>
      <c r="L578" t="n">
        <v/>
      </c>
      <c r="M578" t="n">
        <v/>
      </c>
    </row>
    <row r="579">
      <c r="A579" s="68" t="n">
        <v>39326</v>
      </c>
      <c r="B579" t="n">
        <v>98.3</v>
      </c>
      <c r="C579" t="n">
        <v>1526.75</v>
      </c>
      <c r="D579" t="n">
        <v>83.40000000000001</v>
      </c>
      <c r="E579" t="n">
        <v>97.90000000000001</v>
      </c>
      <c r="F579" t="n">
        <v>74.09999999999999</v>
      </c>
      <c r="G579" t="n">
        <v/>
      </c>
      <c r="H579" t="n">
        <v/>
      </c>
      <c r="I579" t="n">
        <v/>
      </c>
      <c r="J579" t="n">
        <v/>
      </c>
      <c r="K579" t="n">
        <v/>
      </c>
      <c r="L579" t="n">
        <v/>
      </c>
      <c r="M579" t="n">
        <v/>
      </c>
    </row>
    <row r="580">
      <c r="A580" s="68" t="n">
        <v>39356</v>
      </c>
      <c r="B580" t="n">
        <v>97.7</v>
      </c>
      <c r="C580" t="n">
        <v>1549.380004882812</v>
      </c>
      <c r="D580" t="n">
        <v>80.90000000000001</v>
      </c>
      <c r="E580" t="n">
        <v>97.59999999999999</v>
      </c>
      <c r="F580" t="n">
        <v>70.09999999999999</v>
      </c>
      <c r="G580" t="n">
        <v>15767.146</v>
      </c>
      <c r="H580" t="n">
        <v>0.006059498656256565</v>
      </c>
      <c r="I580" t="n">
        <v>0.02115176709849713</v>
      </c>
      <c r="J580" t="n">
        <v>0.02445919107614225</v>
      </c>
      <c r="K580" t="n">
        <v>0.006096440026404512</v>
      </c>
      <c r="L580" t="n">
        <v>0.0246096673082743</v>
      </c>
      <c r="M580" t="n">
        <v>0.02160883208196539</v>
      </c>
    </row>
    <row r="581">
      <c r="A581" s="68" t="n">
        <v>39387</v>
      </c>
      <c r="B581" t="n">
        <v>96.8</v>
      </c>
      <c r="C581" t="n">
        <v>1481.140014648438</v>
      </c>
      <c r="D581" t="n">
        <v>76.09999999999999</v>
      </c>
      <c r="E581" t="n">
        <v>91.5</v>
      </c>
      <c r="F581" t="n">
        <v>66.2</v>
      </c>
      <c r="G581" t="n">
        <v/>
      </c>
      <c r="H581" t="n">
        <v/>
      </c>
      <c r="I581" t="n">
        <v/>
      </c>
      <c r="J581" t="n">
        <v/>
      </c>
      <c r="K581" t="n">
        <v/>
      </c>
      <c r="L581" t="n">
        <v/>
      </c>
      <c r="M581" t="n">
        <v/>
      </c>
    </row>
    <row r="582">
      <c r="A582" s="68" t="n">
        <v>39417</v>
      </c>
      <c r="B582" t="n">
        <v>95.8</v>
      </c>
      <c r="C582" t="n">
        <v>1468.359985351562</v>
      </c>
      <c r="D582" t="n">
        <v>75.5</v>
      </c>
      <c r="E582" t="n">
        <v>91</v>
      </c>
      <c r="F582" t="n">
        <v>65.59999999999999</v>
      </c>
      <c r="G582" t="n">
        <v/>
      </c>
      <c r="H582" t="n">
        <v/>
      </c>
      <c r="I582" t="n">
        <v/>
      </c>
      <c r="J582" t="n">
        <v/>
      </c>
      <c r="K582" t="n">
        <v/>
      </c>
      <c r="L582" t="n">
        <v/>
      </c>
      <c r="M582" t="n">
        <v/>
      </c>
    </row>
    <row r="583">
      <c r="A583" s="68" t="n">
        <v>39448</v>
      </c>
      <c r="B583" t="n">
        <v>94.7</v>
      </c>
      <c r="C583" t="n">
        <v>1378.550048828125</v>
      </c>
      <c r="D583" t="n">
        <v>78.40000000000001</v>
      </c>
      <c r="E583" t="n">
        <v>94.40000000000001</v>
      </c>
      <c r="F583" t="n">
        <v>68.09999999999999</v>
      </c>
      <c r="G583" t="n">
        <v>15702.906</v>
      </c>
      <c r="H583" t="n">
        <v>-0.004090962526299258</v>
      </c>
      <c r="I583" t="n">
        <v>0.01426169143469373</v>
      </c>
      <c r="J583" t="n">
        <v>-0.01626370784373099</v>
      </c>
      <c r="K583" t="n">
        <v>-0.004074294739200093</v>
      </c>
      <c r="L583" t="n">
        <v>-0.01619784994668938</v>
      </c>
      <c r="M583" t="n">
        <v>0.01446803001442738</v>
      </c>
    </row>
    <row r="584">
      <c r="A584" s="68" t="n">
        <v>39479</v>
      </c>
      <c r="B584" t="n">
        <v>93.59999999999999</v>
      </c>
      <c r="C584" t="n">
        <v>1330.630004882812</v>
      </c>
      <c r="D584" t="n">
        <v>70.8</v>
      </c>
      <c r="E584" t="n">
        <v>83.8</v>
      </c>
      <c r="F584" t="n">
        <v>62.4</v>
      </c>
      <c r="G584" t="n">
        <v/>
      </c>
      <c r="H584" t="n">
        <v/>
      </c>
      <c r="I584" t="n">
        <v/>
      </c>
      <c r="J584" t="n">
        <v/>
      </c>
      <c r="K584" t="n">
        <v/>
      </c>
      <c r="L584" t="n">
        <v/>
      </c>
      <c r="M584" t="n">
        <v/>
      </c>
    </row>
    <row r="585">
      <c r="A585" s="68" t="n">
        <v>39508</v>
      </c>
      <c r="B585" t="n">
        <v>92.09999999999999</v>
      </c>
      <c r="C585" t="n">
        <v>1322.699951171875</v>
      </c>
      <c r="D585" t="n">
        <v>69.5</v>
      </c>
      <c r="E585" t="n">
        <v>84.2</v>
      </c>
      <c r="F585" t="n">
        <v>60.1</v>
      </c>
      <c r="G585" t="n">
        <v/>
      </c>
      <c r="H585" t="n">
        <v/>
      </c>
      <c r="I585" t="n">
        <v/>
      </c>
      <c r="J585" t="n">
        <v/>
      </c>
      <c r="K585" t="n">
        <v/>
      </c>
      <c r="L585" t="n">
        <v/>
      </c>
      <c r="M585" t="n">
        <v/>
      </c>
    </row>
    <row r="586">
      <c r="A586" s="68" t="n">
        <v>39539</v>
      </c>
      <c r="B586" t="n">
        <v>91.59999999999999</v>
      </c>
      <c r="C586" t="n">
        <v>1385.589965820312</v>
      </c>
      <c r="D586" t="n">
        <v>62.6</v>
      </c>
      <c r="E586" t="n">
        <v>77</v>
      </c>
      <c r="F586" t="n">
        <v>53.3</v>
      </c>
      <c r="G586" t="n">
        <v>15792.773</v>
      </c>
      <c r="H586" t="n">
        <v>0.00569038762223698</v>
      </c>
      <c r="I586" t="n">
        <v>0.01361344204719455</v>
      </c>
      <c r="J586" t="n">
        <v>0.02295657163583575</v>
      </c>
      <c r="K586" t="n">
        <v>0.005722953445686955</v>
      </c>
      <c r="L586" t="n">
        <v>0.02308907778947789</v>
      </c>
      <c r="M586" t="n">
        <v>0.01380132559333386</v>
      </c>
    </row>
    <row r="587">
      <c r="A587" s="68" t="n">
        <v>39569</v>
      </c>
      <c r="B587" t="n">
        <v>90.8</v>
      </c>
      <c r="C587" t="n">
        <v>1400.380004882812</v>
      </c>
      <c r="D587" t="n">
        <v>59.8</v>
      </c>
      <c r="E587" t="n">
        <v>73.3</v>
      </c>
      <c r="F587" t="n">
        <v>51.1</v>
      </c>
      <c r="G587" t="n">
        <v/>
      </c>
      <c r="H587" t="n">
        <v/>
      </c>
      <c r="I587" t="n">
        <v/>
      </c>
      <c r="J587" t="n">
        <v/>
      </c>
      <c r="K587" t="n">
        <v/>
      </c>
      <c r="L587" t="n">
        <v/>
      </c>
      <c r="M587" t="n">
        <v/>
      </c>
    </row>
    <row r="588">
      <c r="A588" s="68" t="n">
        <v>39600</v>
      </c>
      <c r="B588" t="n">
        <v>90.3</v>
      </c>
      <c r="C588" t="n">
        <v>1280</v>
      </c>
      <c r="D588" t="n">
        <v>56.4</v>
      </c>
      <c r="E588" t="n">
        <v>67.59999999999999</v>
      </c>
      <c r="F588" t="n">
        <v>49.2</v>
      </c>
      <c r="G588" t="n">
        <v/>
      </c>
      <c r="H588" t="n">
        <v/>
      </c>
      <c r="I588" t="n">
        <v/>
      </c>
      <c r="J588" t="n">
        <v/>
      </c>
      <c r="K588" t="n">
        <v/>
      </c>
      <c r="L588" t="n">
        <v/>
      </c>
      <c r="M588" t="n">
        <v/>
      </c>
    </row>
    <row r="589">
      <c r="A589" s="68" t="n">
        <v>39630</v>
      </c>
      <c r="B589" t="n">
        <v>88.3</v>
      </c>
      <c r="C589" t="n">
        <v>1267.380004882812</v>
      </c>
      <c r="D589" t="n">
        <v>61.2</v>
      </c>
      <c r="E589" t="n">
        <v>73.09999999999999</v>
      </c>
      <c r="F589" t="n">
        <v>53.5</v>
      </c>
      <c r="G589" t="n">
        <v>15709.562</v>
      </c>
      <c r="H589" t="n">
        <v>-0.005296837683953209</v>
      </c>
      <c r="I589" t="n">
        <v>0.002416171755775262</v>
      </c>
      <c r="J589" t="n">
        <v>-0.02101960545462755</v>
      </c>
      <c r="K589" t="n">
        <v>-0.005268929022154585</v>
      </c>
      <c r="L589" t="n">
        <v>-0.02090973073554281</v>
      </c>
      <c r="M589" t="n">
        <v>0.002422023781227279</v>
      </c>
    </row>
    <row r="590">
      <c r="A590" s="68" t="n">
        <v>39661</v>
      </c>
      <c r="B590" t="n">
        <v>87.2</v>
      </c>
      <c r="C590" t="n">
        <v>1282.829956054688</v>
      </c>
      <c r="D590" t="n">
        <v>63</v>
      </c>
      <c r="E590" t="n">
        <v>71</v>
      </c>
      <c r="F590" t="n">
        <v>57.9</v>
      </c>
      <c r="G590" t="n">
        <v/>
      </c>
      <c r="H590" t="n">
        <v/>
      </c>
      <c r="I590" t="n">
        <v/>
      </c>
      <c r="J590" t="n">
        <v/>
      </c>
      <c r="K590" t="n">
        <v/>
      </c>
      <c r="L590" t="n">
        <v/>
      </c>
      <c r="M590" t="n">
        <v/>
      </c>
    </row>
    <row r="591">
      <c r="A591" s="68" t="n">
        <v>39692</v>
      </c>
      <c r="B591" t="n">
        <v>85.2</v>
      </c>
      <c r="C591" t="n">
        <v>1166.359985351562</v>
      </c>
      <c r="D591" t="n">
        <v>70.3</v>
      </c>
      <c r="E591" t="n">
        <v>75</v>
      </c>
      <c r="F591" t="n">
        <v>67.2</v>
      </c>
      <c r="G591" t="n">
        <v/>
      </c>
      <c r="H591" t="n">
        <v/>
      </c>
      <c r="I591" t="n">
        <v/>
      </c>
      <c r="J591" t="n">
        <v/>
      </c>
      <c r="K591" t="n">
        <v/>
      </c>
      <c r="L591" t="n">
        <v/>
      </c>
      <c r="M591" t="n">
        <v/>
      </c>
    </row>
    <row r="592">
      <c r="A592" s="68" t="n">
        <v>39722</v>
      </c>
      <c r="B592" t="n">
        <v>82.40000000000001</v>
      </c>
      <c r="C592" t="n">
        <v>968.75</v>
      </c>
      <c r="D592" t="n">
        <v>57.6</v>
      </c>
      <c r="E592" t="n">
        <v>58.4</v>
      </c>
      <c r="F592" t="n">
        <v>57</v>
      </c>
      <c r="G592" t="n">
        <v>15366.607</v>
      </c>
      <c r="H592" t="n">
        <v>-0.02231819945678314</v>
      </c>
      <c r="I592" t="n">
        <v>-0.02606554589441903</v>
      </c>
      <c r="J592" t="n">
        <v>-0.0863284045210998</v>
      </c>
      <c r="K592" t="n">
        <v>-0.02183097148093626</v>
      </c>
      <c r="L592" t="n">
        <v>-0.08450572869534734</v>
      </c>
      <c r="M592" t="n">
        <v>-0.02540339259876205</v>
      </c>
    </row>
    <row r="593">
      <c r="A593" s="68" t="n">
        <v>39753</v>
      </c>
      <c r="B593" t="n">
        <v>79.90000000000001</v>
      </c>
      <c r="C593" t="n">
        <v>896.239990234375</v>
      </c>
      <c r="D593" t="n">
        <v>55.3</v>
      </c>
      <c r="E593" t="n">
        <v>57.5</v>
      </c>
      <c r="F593" t="n">
        <v>53.9</v>
      </c>
      <c r="G593" t="n">
        <v/>
      </c>
      <c r="H593" t="n">
        <v/>
      </c>
      <c r="I593" t="n">
        <v/>
      </c>
      <c r="J593" t="n">
        <v/>
      </c>
      <c r="K593" t="n">
        <v/>
      </c>
      <c r="L593" t="n">
        <v/>
      </c>
      <c r="M593" t="n">
        <v/>
      </c>
    </row>
    <row r="594">
      <c r="A594" s="68" t="n">
        <v>39783</v>
      </c>
      <c r="B594" t="n">
        <v>77.59999999999999</v>
      </c>
      <c r="C594" t="n">
        <v>903.25</v>
      </c>
      <c r="D594" t="n">
        <v>60.1</v>
      </c>
      <c r="E594" t="n">
        <v>69.5</v>
      </c>
      <c r="F594" t="n">
        <v>54</v>
      </c>
      <c r="G594" t="n">
        <v/>
      </c>
      <c r="H594" t="n">
        <v/>
      </c>
      <c r="I594" t="n">
        <v/>
      </c>
      <c r="J594" t="n">
        <v/>
      </c>
      <c r="K594" t="n">
        <v/>
      </c>
      <c r="L594" t="n">
        <v/>
      </c>
      <c r="M594" t="n">
        <v/>
      </c>
    </row>
    <row r="595">
      <c r="A595" s="68" t="n">
        <v>39814</v>
      </c>
      <c r="B595" t="n">
        <v>76</v>
      </c>
      <c r="C595" t="n">
        <v>825.8800048828125</v>
      </c>
      <c r="D595" t="n">
        <v>61.2</v>
      </c>
      <c r="E595" t="n">
        <v>66.5</v>
      </c>
      <c r="F595" t="n">
        <v>57.8</v>
      </c>
      <c r="G595" t="n">
        <v>15187.475</v>
      </c>
      <c r="H595" t="n">
        <v>-0.01179471900365265</v>
      </c>
      <c r="I595" t="n">
        <v>-0.03393789948625433</v>
      </c>
      <c r="J595" t="n">
        <v>-0.04635072759130388</v>
      </c>
      <c r="K595" t="n">
        <v>-0.01165722530679672</v>
      </c>
      <c r="L595" t="n">
        <v>-0.04581987379316921</v>
      </c>
      <c r="M595" t="n">
        <v>-0.03282392443793528</v>
      </c>
    </row>
    <row r="596">
      <c r="A596" s="68" t="n">
        <v>39845</v>
      </c>
      <c r="B596" t="n">
        <v>74.8</v>
      </c>
      <c r="C596" t="n">
        <v>735.0900268554688</v>
      </c>
      <c r="D596" t="n">
        <v>56.3</v>
      </c>
      <c r="E596" t="n">
        <v>65.5</v>
      </c>
      <c r="F596" t="n">
        <v>50.5</v>
      </c>
      <c r="G596" t="n">
        <v/>
      </c>
      <c r="H596" t="n">
        <v/>
      </c>
      <c r="I596" t="n">
        <v/>
      </c>
      <c r="J596" t="n">
        <v/>
      </c>
      <c r="K596" t="n">
        <v/>
      </c>
      <c r="L596" t="n">
        <v/>
      </c>
      <c r="M596" t="n">
        <v/>
      </c>
    </row>
    <row r="597">
      <c r="A597" s="68" t="n">
        <v>39873</v>
      </c>
      <c r="B597" t="n">
        <v>73.5</v>
      </c>
      <c r="C597" t="n">
        <v>797.8699951171875</v>
      </c>
      <c r="D597" t="n">
        <v>57.3</v>
      </c>
      <c r="E597" t="n">
        <v>63.3</v>
      </c>
      <c r="F597" t="n">
        <v>53.5</v>
      </c>
      <c r="G597" t="n">
        <v/>
      </c>
      <c r="H597" t="n">
        <v/>
      </c>
      <c r="I597" t="n">
        <v/>
      </c>
      <c r="J597" t="n">
        <v/>
      </c>
      <c r="K597" t="n">
        <v/>
      </c>
      <c r="L597" t="n">
        <v/>
      </c>
      <c r="M597" t="n">
        <v/>
      </c>
    </row>
    <row r="598">
      <c r="A598" s="68" t="n">
        <v>39904</v>
      </c>
      <c r="B598" t="n">
        <v>73.7</v>
      </c>
      <c r="C598" t="n">
        <v>872.8099975585938</v>
      </c>
      <c r="D598" t="n">
        <v>65.09999999999999</v>
      </c>
      <c r="E598" t="n">
        <v>68.3</v>
      </c>
      <c r="F598" t="n">
        <v>63.1</v>
      </c>
      <c r="G598" t="n">
        <v>15161.772</v>
      </c>
      <c r="H598" t="n">
        <v>-0.001695250396853317</v>
      </c>
      <c r="I598" t="n">
        <v>-0.04161789268431146</v>
      </c>
      <c r="J598" t="n">
        <v>-0.006763777823449613</v>
      </c>
      <c r="K598" t="n">
        <v>-0.001692381386635996</v>
      </c>
      <c r="L598" t="n">
        <v>-0.006752359998762336</v>
      </c>
      <c r="M598" t="n">
        <v>-0.03995504779306322</v>
      </c>
    </row>
    <row r="599">
      <c r="A599" s="68" t="n">
        <v>39934</v>
      </c>
      <c r="B599" t="n">
        <v>74</v>
      </c>
      <c r="C599" t="n">
        <v>919.1400146484375</v>
      </c>
      <c r="D599" t="n">
        <v>68.7</v>
      </c>
      <c r="E599" t="n">
        <v>67.7</v>
      </c>
      <c r="F599" t="n">
        <v>69.40000000000001</v>
      </c>
      <c r="G599" t="n">
        <v/>
      </c>
      <c r="H599" t="n">
        <v/>
      </c>
      <c r="I599" t="n">
        <v/>
      </c>
      <c r="J599" t="n">
        <v/>
      </c>
      <c r="K599" t="n">
        <v/>
      </c>
      <c r="L599" t="n">
        <v/>
      </c>
      <c r="M599" t="n">
        <v/>
      </c>
    </row>
    <row r="600">
      <c r="A600" s="68" t="n">
        <v>39965</v>
      </c>
      <c r="B600" t="n">
        <v>74.59999999999999</v>
      </c>
      <c r="C600" t="n">
        <v>919.3200073242188</v>
      </c>
      <c r="D600" t="n">
        <v>70.8</v>
      </c>
      <c r="E600" t="n">
        <v>73.2</v>
      </c>
      <c r="F600" t="n">
        <v>69.2</v>
      </c>
      <c r="G600" t="n">
        <v/>
      </c>
      <c r="H600" t="n">
        <v/>
      </c>
      <c r="I600" t="n">
        <v/>
      </c>
      <c r="J600" t="n">
        <v/>
      </c>
      <c r="K600" t="n">
        <v/>
      </c>
      <c r="L600" t="n">
        <v/>
      </c>
      <c r="M600" t="n">
        <v/>
      </c>
    </row>
    <row r="601">
      <c r="A601" s="68" t="n">
        <v>39995</v>
      </c>
      <c r="B601" t="n">
        <v>75.2</v>
      </c>
      <c r="C601" t="n">
        <v>987.47998046875</v>
      </c>
      <c r="D601" t="n">
        <v>66</v>
      </c>
      <c r="E601" t="n">
        <v>70.5</v>
      </c>
      <c r="F601" t="n">
        <v>63.2</v>
      </c>
      <c r="G601" t="n">
        <v>15216.647</v>
      </c>
      <c r="H601" t="n">
        <v>0.003606247815303857</v>
      </c>
      <c r="I601" t="n">
        <v>-0.0323931415376856</v>
      </c>
      <c r="J601" t="n">
        <v>0.0145032091675259</v>
      </c>
      <c r="K601" t="n">
        <v>0.00361929990768889</v>
      </c>
      <c r="L601" t="n">
        <v>0.01455598543492087</v>
      </c>
      <c r="M601" t="n">
        <v>-0.03137675003287801</v>
      </c>
    </row>
    <row r="602">
      <c r="A602" s="68" t="n">
        <v>40026</v>
      </c>
      <c r="B602" t="n">
        <v>76</v>
      </c>
      <c r="C602" t="n">
        <v>1020.619995117188</v>
      </c>
      <c r="D602" t="n">
        <v>65.7</v>
      </c>
      <c r="E602" t="n">
        <v>66.59999999999999</v>
      </c>
      <c r="F602" t="n">
        <v>65</v>
      </c>
      <c r="G602" t="n">
        <v/>
      </c>
      <c r="H602" t="n">
        <v/>
      </c>
      <c r="I602" t="n">
        <v/>
      </c>
      <c r="J602" t="n">
        <v/>
      </c>
      <c r="K602" t="n">
        <v/>
      </c>
      <c r="L602" t="n">
        <v/>
      </c>
      <c r="M602" t="n">
        <v/>
      </c>
    </row>
    <row r="603">
      <c r="A603" s="68" t="n">
        <v>40057</v>
      </c>
      <c r="B603" t="n">
        <v>76.59999999999999</v>
      </c>
      <c r="C603" t="n">
        <v>1057.079956054688</v>
      </c>
      <c r="D603" t="n">
        <v>73.5</v>
      </c>
      <c r="E603" t="n">
        <v>73.40000000000001</v>
      </c>
      <c r="F603" t="n">
        <v>73.5</v>
      </c>
      <c r="G603" t="n">
        <v/>
      </c>
      <c r="H603" t="n">
        <v/>
      </c>
      <c r="I603" t="n">
        <v/>
      </c>
      <c r="J603" t="n">
        <v/>
      </c>
      <c r="K603" t="n">
        <v/>
      </c>
      <c r="L603" t="n">
        <v/>
      </c>
      <c r="M603" t="n">
        <v/>
      </c>
    </row>
    <row r="604">
      <c r="A604" s="68" t="n">
        <v>40087</v>
      </c>
      <c r="B604" t="n">
        <v>77</v>
      </c>
      <c r="C604" t="n">
        <v>1036.18994140625</v>
      </c>
      <c r="D604" t="n">
        <v>70.59999999999999</v>
      </c>
      <c r="E604" t="n">
        <v>73.7</v>
      </c>
      <c r="F604" t="n">
        <v>68.59999999999999</v>
      </c>
      <c r="G604" t="n">
        <v>15379.155</v>
      </c>
      <c r="H604" t="n">
        <v>0.01056677041098811</v>
      </c>
      <c r="I604" t="n">
        <v>0.0008159095867101076</v>
      </c>
      <c r="J604" t="n">
        <v>0.04294175333285732</v>
      </c>
      <c r="K604" t="n">
        <v>0.01067961949830339</v>
      </c>
      <c r="L604" t="n">
        <v>0.0434076888622974</v>
      </c>
      <c r="M604" t="n">
        <v>0.0008165758387652319</v>
      </c>
    </row>
    <row r="605">
      <c r="A605" s="68" t="n">
        <v>40118</v>
      </c>
      <c r="B605" t="n">
        <v>77.8</v>
      </c>
      <c r="C605" t="n">
        <v>1095.630004882812</v>
      </c>
      <c r="D605" t="n">
        <v>67.40000000000001</v>
      </c>
      <c r="E605" t="n">
        <v>68.8</v>
      </c>
      <c r="F605" t="n">
        <v>66.5</v>
      </c>
      <c r="G605" t="n">
        <v/>
      </c>
      <c r="H605" t="n">
        <v/>
      </c>
      <c r="I605" t="n">
        <v/>
      </c>
      <c r="J605" t="n">
        <v/>
      </c>
      <c r="K605" t="n">
        <v/>
      </c>
      <c r="L605" t="n">
        <v/>
      </c>
      <c r="M605" t="n">
        <v/>
      </c>
    </row>
    <row r="606">
      <c r="A606" s="68" t="n">
        <v>40148</v>
      </c>
      <c r="B606" t="n">
        <v>78.59999999999999</v>
      </c>
      <c r="C606" t="n">
        <v>1115.099975585938</v>
      </c>
      <c r="D606" t="n">
        <v>72.5</v>
      </c>
      <c r="E606" t="n">
        <v>78</v>
      </c>
      <c r="F606" t="n">
        <v>68.90000000000001</v>
      </c>
      <c r="G606" t="n">
        <v/>
      </c>
      <c r="H606" t="n">
        <v/>
      </c>
      <c r="I606" t="n">
        <v/>
      </c>
      <c r="J606" t="n">
        <v/>
      </c>
      <c r="K606" t="n">
        <v/>
      </c>
      <c r="L606" t="n">
        <v/>
      </c>
      <c r="M606" t="n">
        <v/>
      </c>
    </row>
    <row r="607">
      <c r="A607" s="68" t="n">
        <v>40179</v>
      </c>
      <c r="B607" t="n">
        <v>79.09999999999999</v>
      </c>
      <c r="C607" t="n">
        <v>1073.869995117188</v>
      </c>
      <c r="D607" t="n">
        <v>74.40000000000001</v>
      </c>
      <c r="E607" t="n">
        <v>81.09999999999999</v>
      </c>
      <c r="F607" t="n">
        <v>70.09999999999999</v>
      </c>
      <c r="G607" t="n">
        <v>15456.059</v>
      </c>
      <c r="H607" t="n">
        <v>0.004975653884343909</v>
      </c>
      <c r="I607" t="n">
        <v>0.01737726285853327</v>
      </c>
      <c r="J607" t="n">
        <v>0.02005165167142375</v>
      </c>
      <c r="K607" t="n">
        <v>0.00500053481481906</v>
      </c>
      <c r="L607" t="n">
        <v>0.02015267213561023</v>
      </c>
      <c r="M607" t="n">
        <v>0.01768457232028358</v>
      </c>
    </row>
    <row r="608">
      <c r="A608" s="68" t="n">
        <v>40210</v>
      </c>
      <c r="B608" t="n">
        <v>79.09999999999999</v>
      </c>
      <c r="C608" t="n">
        <v>1104.489990234375</v>
      </c>
      <c r="D608" t="n">
        <v>73.59999999999999</v>
      </c>
      <c r="E608" t="n">
        <v>81.8</v>
      </c>
      <c r="F608" t="n">
        <v>68.40000000000001</v>
      </c>
      <c r="G608" t="n">
        <v/>
      </c>
      <c r="H608" t="n">
        <v/>
      </c>
      <c r="I608" t="n">
        <v/>
      </c>
      <c r="J608" t="n">
        <v/>
      </c>
      <c r="K608" t="n">
        <v/>
      </c>
      <c r="L608" t="n">
        <v/>
      </c>
      <c r="M608" t="n">
        <v/>
      </c>
    </row>
    <row r="609">
      <c r="A609" s="68" t="n">
        <v>40238</v>
      </c>
      <c r="B609" t="n">
        <v>80.5</v>
      </c>
      <c r="C609" t="n">
        <v>1169.430053710938</v>
      </c>
      <c r="D609" t="n">
        <v>73.59999999999999</v>
      </c>
      <c r="E609" t="n">
        <v>82.40000000000001</v>
      </c>
      <c r="F609" t="n">
        <v>67.90000000000001</v>
      </c>
      <c r="G609" t="n">
        <v/>
      </c>
      <c r="H609" t="n">
        <v/>
      </c>
      <c r="I609" t="n">
        <v/>
      </c>
      <c r="J609" t="n">
        <v/>
      </c>
      <c r="K609" t="n">
        <v/>
      </c>
      <c r="L609" t="n">
        <v/>
      </c>
      <c r="M609" t="n">
        <v/>
      </c>
    </row>
    <row r="610">
      <c r="A610" s="68" t="n">
        <v>40269</v>
      </c>
      <c r="B610" t="n">
        <v>80.90000000000001</v>
      </c>
      <c r="C610" t="n">
        <v>1186.68994140625</v>
      </c>
      <c r="D610" t="n">
        <v>72.2</v>
      </c>
      <c r="E610" t="n">
        <v>81</v>
      </c>
      <c r="F610" t="n">
        <v>66.5</v>
      </c>
      <c r="G610" t="n">
        <v>15605.628</v>
      </c>
      <c r="H610" t="n">
        <v>0.009584298690190573</v>
      </c>
      <c r="I610" t="n">
        <v>0.02844204667700651</v>
      </c>
      <c r="J610" t="n">
        <v>0.03889187749508727</v>
      </c>
      <c r="K610" t="n">
        <v>0.009677046393262431</v>
      </c>
      <c r="L610" t="n">
        <v>0.03927369054068341</v>
      </c>
      <c r="M610" t="n">
        <v>0.02927467844787534</v>
      </c>
    </row>
    <row r="611">
      <c r="A611" s="68" t="n">
        <v>40299</v>
      </c>
      <c r="B611" t="n">
        <v>81</v>
      </c>
      <c r="C611" t="n">
        <v>1089.410034179688</v>
      </c>
      <c r="D611" t="n">
        <v>73.59999999999999</v>
      </c>
      <c r="E611" t="n">
        <v>81</v>
      </c>
      <c r="F611" t="n">
        <v>68.8</v>
      </c>
      <c r="G611" t="n">
        <v/>
      </c>
      <c r="H611" t="n">
        <v/>
      </c>
      <c r="I611" t="n">
        <v/>
      </c>
      <c r="J611" t="n">
        <v/>
      </c>
      <c r="K611" t="n">
        <v/>
      </c>
      <c r="L611" t="n">
        <v/>
      </c>
      <c r="M611" t="n">
        <v/>
      </c>
    </row>
    <row r="612">
      <c r="A612" s="68" t="n">
        <v>40330</v>
      </c>
      <c r="B612" t="n">
        <v>81.09999999999999</v>
      </c>
      <c r="C612" t="n">
        <v>1030.7099609375</v>
      </c>
      <c r="D612" t="n">
        <v>76</v>
      </c>
      <c r="E612" t="n">
        <v>85.59999999999999</v>
      </c>
      <c r="F612" t="n">
        <v>69.8</v>
      </c>
      <c r="G612" t="n">
        <v/>
      </c>
      <c r="H612" t="n">
        <v/>
      </c>
      <c r="I612" t="n">
        <v/>
      </c>
      <c r="J612" t="n">
        <v/>
      </c>
      <c r="K612" t="n">
        <v/>
      </c>
      <c r="L612" t="n">
        <v/>
      </c>
      <c r="M612" t="n">
        <v/>
      </c>
    </row>
    <row r="613">
      <c r="A613" s="68" t="n">
        <v>40360</v>
      </c>
      <c r="B613" t="n">
        <v>81.2</v>
      </c>
      <c r="C613" t="n">
        <v>1101.599975585938</v>
      </c>
      <c r="D613" t="n">
        <v>67.8</v>
      </c>
      <c r="E613" t="n">
        <v>76.5</v>
      </c>
      <c r="F613" t="n">
        <v>62.3</v>
      </c>
      <c r="G613" t="n">
        <v>15726.282</v>
      </c>
      <c r="H613" t="n">
        <v>0.007672124918019316</v>
      </c>
      <c r="I613" t="n">
        <v>0.03240657899940994</v>
      </c>
      <c r="J613" t="n">
        <v>0.03104347851244671</v>
      </c>
      <c r="K613" t="n">
        <v>0.007731441503026897</v>
      </c>
      <c r="L613" t="n">
        <v>0.03128626930493783</v>
      </c>
      <c r="M613" t="n">
        <v>0.03349193813853987</v>
      </c>
    </row>
    <row r="614">
      <c r="A614" s="68" t="n">
        <v>40391</v>
      </c>
      <c r="B614" t="n">
        <v>81.5</v>
      </c>
      <c r="C614" t="n">
        <v>1049.329956054688</v>
      </c>
      <c r="D614" t="n">
        <v>68.90000000000001</v>
      </c>
      <c r="E614" t="n">
        <v>78.3</v>
      </c>
      <c r="F614" t="n">
        <v>62.9</v>
      </c>
      <c r="G614" t="n">
        <v/>
      </c>
      <c r="H614" t="n">
        <v/>
      </c>
      <c r="I614" t="n">
        <v/>
      </c>
      <c r="J614" t="n">
        <v/>
      </c>
      <c r="K614" t="n">
        <v/>
      </c>
      <c r="L614" t="n">
        <v/>
      </c>
      <c r="M614" t="n">
        <v/>
      </c>
    </row>
    <row r="615">
      <c r="A615" s="68" t="n">
        <v>40422</v>
      </c>
      <c r="B615" t="n">
        <v>82</v>
      </c>
      <c r="C615" t="n">
        <v>1141.199951171875</v>
      </c>
      <c r="D615" t="n">
        <v>68.2</v>
      </c>
      <c r="E615" t="n">
        <v>79.59999999999999</v>
      </c>
      <c r="F615" t="n">
        <v>60.9</v>
      </c>
      <c r="G615" t="n">
        <v/>
      </c>
      <c r="H615" t="n">
        <v/>
      </c>
      <c r="I615" t="n">
        <v/>
      </c>
      <c r="J615" t="n">
        <v/>
      </c>
      <c r="K615" t="n">
        <v/>
      </c>
      <c r="L615" t="n">
        <v/>
      </c>
      <c r="M615" t="n">
        <v/>
      </c>
    </row>
    <row r="616">
      <c r="A616" s="68" t="n">
        <v>40452</v>
      </c>
      <c r="B616" t="n">
        <v>82.09999999999999</v>
      </c>
      <c r="C616" t="n">
        <v>1183.260009765625</v>
      </c>
      <c r="D616" t="n">
        <v>67.7</v>
      </c>
      <c r="E616" t="n">
        <v>76.59999999999999</v>
      </c>
      <c r="F616" t="n">
        <v>61.9</v>
      </c>
      <c r="G616" t="n">
        <v>15807.995</v>
      </c>
      <c r="H616" t="n">
        <v>0.005169093234151551</v>
      </c>
      <c r="I616" t="n">
        <v>0.0271280450177268</v>
      </c>
      <c r="J616" t="n">
        <v>0.02083724326257985</v>
      </c>
      <c r="K616" t="n">
        <v>0.005195951592372664</v>
      </c>
      <c r="L616" t="n">
        <v>0.02094635569547498</v>
      </c>
      <c r="M616" t="n">
        <v>0.02788449690506404</v>
      </c>
    </row>
    <row r="617">
      <c r="A617" s="68" t="n">
        <v>40483</v>
      </c>
      <c r="B617" t="n">
        <v>82.8</v>
      </c>
      <c r="C617" t="n">
        <v>1180.550048828125</v>
      </c>
      <c r="D617" t="n">
        <v>71.59999999999999</v>
      </c>
      <c r="E617" t="n">
        <v>82.09999999999999</v>
      </c>
      <c r="F617" t="n">
        <v>64.8</v>
      </c>
      <c r="G617" t="n">
        <v/>
      </c>
      <c r="H617" t="n">
        <v/>
      </c>
      <c r="I617" t="n">
        <v/>
      </c>
      <c r="J617" t="n">
        <v/>
      </c>
      <c r="K617" t="n">
        <v/>
      </c>
      <c r="L617" t="n">
        <v/>
      </c>
      <c r="M617" t="n">
        <v/>
      </c>
    </row>
    <row r="618">
      <c r="A618" s="68" t="n">
        <v>40513</v>
      </c>
      <c r="B618" t="n">
        <v>83.7</v>
      </c>
      <c r="C618" t="n">
        <v>1257.640014648438</v>
      </c>
      <c r="D618" t="n">
        <v>74.5</v>
      </c>
      <c r="E618" t="n">
        <v>85.3</v>
      </c>
      <c r="F618" t="n">
        <v>67.5</v>
      </c>
      <c r="G618" t="n">
        <v/>
      </c>
      <c r="H618" t="n">
        <v/>
      </c>
      <c r="I618" t="n">
        <v/>
      </c>
      <c r="J618" t="n">
        <v/>
      </c>
      <c r="K618" t="n">
        <v/>
      </c>
      <c r="L618" t="n">
        <v/>
      </c>
      <c r="M618" t="n">
        <v/>
      </c>
    </row>
    <row r="619">
      <c r="A619" s="68" t="n">
        <v>40544</v>
      </c>
      <c r="B619" t="n">
        <v>83.8</v>
      </c>
      <c r="C619" t="n">
        <v>1286.119995117188</v>
      </c>
      <c r="D619" t="n">
        <v>74.2</v>
      </c>
      <c r="E619" t="n">
        <v>81.8</v>
      </c>
      <c r="F619" t="n">
        <v>69.3</v>
      </c>
      <c r="G619" t="n">
        <v>15769.911</v>
      </c>
      <c r="H619" t="n">
        <v>-0.002414978752892184</v>
      </c>
      <c r="I619" t="n">
        <v>0.0199019512538784</v>
      </c>
      <c r="J619" t="n">
        <v>-0.009624978581100119</v>
      </c>
      <c r="K619" t="n">
        <v>-0.002409160681035181</v>
      </c>
      <c r="L619" t="n">
        <v>-0.009601874290937396</v>
      </c>
      <c r="M619" t="n">
        <v>0.02030608190613149</v>
      </c>
    </row>
    <row r="620">
      <c r="A620" s="68" t="n">
        <v>40575</v>
      </c>
      <c r="B620" t="n">
        <v>84.40000000000001</v>
      </c>
      <c r="C620" t="n">
        <v>1327.219970703125</v>
      </c>
      <c r="D620" t="n">
        <v>77.5</v>
      </c>
      <c r="E620" t="n">
        <v>86.90000000000001</v>
      </c>
      <c r="F620" t="n">
        <v>71.59999999999999</v>
      </c>
      <c r="G620" t="n">
        <v/>
      </c>
      <c r="H620" t="n">
        <v/>
      </c>
      <c r="I620" t="n">
        <v/>
      </c>
      <c r="J620" t="n">
        <v/>
      </c>
      <c r="K620" t="n">
        <v/>
      </c>
      <c r="L620" t="n">
        <v/>
      </c>
      <c r="M620" t="n">
        <v/>
      </c>
    </row>
    <row r="621">
      <c r="A621" s="68" t="n">
        <v>40603</v>
      </c>
      <c r="B621" t="n">
        <v>85.3</v>
      </c>
      <c r="C621" t="n">
        <v>1325.829956054688</v>
      </c>
      <c r="D621" t="n">
        <v>67.5</v>
      </c>
      <c r="E621" t="n">
        <v>82.5</v>
      </c>
      <c r="F621" t="n">
        <v>57.9</v>
      </c>
      <c r="G621" t="n">
        <v/>
      </c>
      <c r="H621" t="n">
        <v/>
      </c>
      <c r="I621" t="n">
        <v/>
      </c>
      <c r="J621" t="n">
        <v/>
      </c>
      <c r="K621" t="n">
        <v/>
      </c>
      <c r="L621" t="n">
        <v/>
      </c>
      <c r="M621" t="n">
        <v/>
      </c>
    </row>
    <row r="622">
      <c r="A622" s="68" t="n">
        <v>40634</v>
      </c>
      <c r="B622" t="n">
        <v>85.3</v>
      </c>
      <c r="C622" t="n">
        <v>1363.609985351562</v>
      </c>
      <c r="D622" t="n">
        <v>69.8</v>
      </c>
      <c r="E622" t="n">
        <v>82.5</v>
      </c>
      <c r="F622" t="n">
        <v>61.6</v>
      </c>
      <c r="G622" t="n">
        <v>15876.839</v>
      </c>
      <c r="H622" t="n">
        <v>0.006734841866192627</v>
      </c>
      <c r="I622" t="n">
        <v>0.01708217863769982</v>
      </c>
      <c r="J622" t="n">
        <v>0.02721274001029039</v>
      </c>
      <c r="K622" t="n">
        <v>0.006780507512058875</v>
      </c>
      <c r="L622" t="n">
        <v>0.02739913079767153</v>
      </c>
      <c r="M622" t="n">
        <v>0.01737905068607296</v>
      </c>
    </row>
    <row r="623">
      <c r="A623" s="68" t="n">
        <v>40664</v>
      </c>
      <c r="B623" t="n">
        <v>85.8</v>
      </c>
      <c r="C623" t="n">
        <v>1345.199951171875</v>
      </c>
      <c r="D623" t="n">
        <v>74.3</v>
      </c>
      <c r="E623" t="n">
        <v>81.90000000000001</v>
      </c>
      <c r="F623" t="n">
        <v>69.5</v>
      </c>
      <c r="G623" t="n">
        <v/>
      </c>
      <c r="H623" t="n">
        <v/>
      </c>
      <c r="I623" t="n">
        <v/>
      </c>
      <c r="J623" t="n">
        <v/>
      </c>
      <c r="K623" t="n">
        <v/>
      </c>
      <c r="L623" t="n">
        <v/>
      </c>
      <c r="M623" t="n">
        <v/>
      </c>
    </row>
    <row r="624">
      <c r="A624" s="68" t="n">
        <v>40695</v>
      </c>
      <c r="B624" t="n">
        <v>85.7</v>
      </c>
      <c r="C624" t="n">
        <v>1320.640014648438</v>
      </c>
      <c r="D624" t="n">
        <v>71.5</v>
      </c>
      <c r="E624" t="n">
        <v>82</v>
      </c>
      <c r="F624" t="n">
        <v>64.7</v>
      </c>
      <c r="G624" t="n">
        <v/>
      </c>
      <c r="H624" t="n">
        <v/>
      </c>
      <c r="I624" t="n">
        <v/>
      </c>
      <c r="J624" t="n">
        <v/>
      </c>
      <c r="K624" t="n">
        <v/>
      </c>
      <c r="L624" t="n">
        <v/>
      </c>
      <c r="M624" t="n">
        <v/>
      </c>
    </row>
    <row r="625">
      <c r="A625" s="68" t="n">
        <v>40725</v>
      </c>
      <c r="B625" t="n">
        <v>86.2</v>
      </c>
      <c r="C625" t="n">
        <v>1292.280029296875</v>
      </c>
      <c r="D625" t="n">
        <v>63.7</v>
      </c>
      <c r="E625" t="n">
        <v>75.7</v>
      </c>
      <c r="F625" t="n">
        <v>55.9</v>
      </c>
      <c r="G625" t="n">
        <v>15870.684</v>
      </c>
      <c r="H625" t="n">
        <v>-0.0003878219741506198</v>
      </c>
      <c r="I625" t="n">
        <v>0.009098662666334989</v>
      </c>
      <c r="J625" t="n">
        <v>-0.001550385694601086</v>
      </c>
      <c r="K625" t="n">
        <v>-0.0003876716265750793</v>
      </c>
      <c r="L625" t="n">
        <v>-0.001549785003588822</v>
      </c>
      <c r="M625" t="n">
        <v>0.009182208483861604</v>
      </c>
    </row>
    <row r="626">
      <c r="A626" s="68" t="n">
        <v>40756</v>
      </c>
      <c r="B626" t="n">
        <v>85.59999999999999</v>
      </c>
      <c r="C626" t="n">
        <v>1218.890014648438</v>
      </c>
      <c r="D626" t="n">
        <v>55.8</v>
      </c>
      <c r="E626" t="n">
        <v>68.5</v>
      </c>
      <c r="F626" t="n">
        <v>47.6</v>
      </c>
      <c r="G626" t="n">
        <v/>
      </c>
      <c r="H626" t="n">
        <v/>
      </c>
      <c r="I626" t="n">
        <v/>
      </c>
      <c r="J626" t="n">
        <v/>
      </c>
      <c r="K626" t="n">
        <v/>
      </c>
      <c r="L626" t="n">
        <v/>
      </c>
      <c r="M626" t="n">
        <v/>
      </c>
    </row>
    <row r="627">
      <c r="A627" s="68" t="n">
        <v>40787</v>
      </c>
      <c r="B627" t="n">
        <v>85.2</v>
      </c>
      <c r="C627" t="n">
        <v>1131.420043945312</v>
      </c>
      <c r="D627" t="n">
        <v>59.5</v>
      </c>
      <c r="E627" t="n">
        <v>75.2</v>
      </c>
      <c r="F627" t="n">
        <v>49.4</v>
      </c>
      <c r="G627" t="n">
        <v/>
      </c>
      <c r="H627" t="n">
        <v/>
      </c>
      <c r="I627" t="n">
        <v/>
      </c>
      <c r="J627" t="n">
        <v/>
      </c>
      <c r="K627" t="n">
        <v/>
      </c>
      <c r="L627" t="n">
        <v/>
      </c>
      <c r="M627" t="n">
        <v/>
      </c>
    </row>
    <row r="628">
      <c r="A628" s="68" t="n">
        <v>40817</v>
      </c>
      <c r="B628" t="n">
        <v>85.8</v>
      </c>
      <c r="C628" t="n">
        <v>1253.300048828125</v>
      </c>
      <c r="D628" t="n">
        <v>60.8</v>
      </c>
      <c r="E628" t="n">
        <v>74.90000000000001</v>
      </c>
      <c r="F628" t="n">
        <v>51.7</v>
      </c>
      <c r="G628" t="n">
        <v>16048.702</v>
      </c>
      <c r="H628" t="n">
        <v>0.01109236123893384</v>
      </c>
      <c r="I628" t="n">
        <v>0.01499853383781433</v>
      </c>
      <c r="J628" t="n">
        <v>0.04511316219953376</v>
      </c>
      <c r="K628" t="n">
        <v>0.01121678183498582</v>
      </c>
      <c r="L628" t="n">
        <v>0.04562768534929051</v>
      </c>
      <c r="M628" t="n">
        <v>0.0152269152413066</v>
      </c>
    </row>
    <row r="629">
      <c r="A629" s="68" t="n">
        <v>40848</v>
      </c>
      <c r="B629" t="n">
        <v>85.90000000000001</v>
      </c>
      <c r="C629" t="n">
        <v>1246.9599609375</v>
      </c>
      <c r="D629" t="n">
        <v>63.7</v>
      </c>
      <c r="E629" t="n">
        <v>77.40000000000001</v>
      </c>
      <c r="F629" t="n">
        <v>54.9</v>
      </c>
      <c r="G629" t="n">
        <v/>
      </c>
      <c r="H629" t="n">
        <v/>
      </c>
      <c r="I629" t="n">
        <v/>
      </c>
      <c r="J629" t="n">
        <v/>
      </c>
      <c r="K629" t="n">
        <v/>
      </c>
      <c r="L629" t="n">
        <v/>
      </c>
      <c r="M629" t="n">
        <v/>
      </c>
    </row>
    <row r="630">
      <c r="A630" s="68" t="n">
        <v>40878</v>
      </c>
      <c r="B630" t="n">
        <v>86.3</v>
      </c>
      <c r="C630" t="n">
        <v>1257.599975585938</v>
      </c>
      <c r="D630" t="n">
        <v>69.90000000000001</v>
      </c>
      <c r="E630" t="n">
        <v>79.59999999999999</v>
      </c>
      <c r="F630" t="n">
        <v>63.6</v>
      </c>
      <c r="G630" t="n">
        <v/>
      </c>
      <c r="H630" t="n">
        <v/>
      </c>
      <c r="I630" t="n">
        <v/>
      </c>
      <c r="J630" t="n">
        <v/>
      </c>
      <c r="K630" t="n">
        <v/>
      </c>
      <c r="L630" t="n">
        <v/>
      </c>
      <c r="M630" t="n">
        <v/>
      </c>
    </row>
    <row r="631">
      <c r="A631" s="68" t="n">
        <v>40909</v>
      </c>
      <c r="B631" t="n">
        <v>86.5</v>
      </c>
      <c r="C631" t="n">
        <v>1312.410034179688</v>
      </c>
      <c r="D631" t="n">
        <v>75</v>
      </c>
      <c r="E631" t="n">
        <v>84.2</v>
      </c>
      <c r="F631" t="n">
        <v>69.09999999999999</v>
      </c>
      <c r="G631" t="n">
        <v>16179.968</v>
      </c>
      <c r="H631" t="n">
        <v>0.008112871422242703</v>
      </c>
      <c r="I631" t="n">
        <v>0.02534349882521404</v>
      </c>
      <c r="J631" t="n">
        <v>0.03284853803139298</v>
      </c>
      <c r="K631" t="n">
        <v>0.008179228450998806</v>
      </c>
      <c r="L631" t="n">
        <v>0.03312050570216907</v>
      </c>
      <c r="M631" t="n">
        <v>0.02600249297538843</v>
      </c>
    </row>
    <row r="632">
      <c r="A632" s="68" t="n">
        <v>40940</v>
      </c>
      <c r="B632" t="n">
        <v>87</v>
      </c>
      <c r="C632" t="n">
        <v>1365.680053710938</v>
      </c>
      <c r="D632" t="n">
        <v>75.3</v>
      </c>
      <c r="E632" t="n">
        <v>83</v>
      </c>
      <c r="F632" t="n">
        <v>70.3</v>
      </c>
      <c r="G632" t="n">
        <v/>
      </c>
      <c r="H632" t="n">
        <v/>
      </c>
      <c r="I632" t="n">
        <v/>
      </c>
      <c r="J632" t="n">
        <v/>
      </c>
      <c r="K632" t="n">
        <v/>
      </c>
      <c r="L632" t="n">
        <v/>
      </c>
      <c r="M632" t="n">
        <v/>
      </c>
    </row>
    <row r="633">
      <c r="A633" s="68" t="n">
        <v>40969</v>
      </c>
      <c r="B633" t="n">
        <v>87.5</v>
      </c>
      <c r="C633" t="n">
        <v>1408.469970703125</v>
      </c>
      <c r="D633" t="n">
        <v>76.2</v>
      </c>
      <c r="E633" t="n">
        <v>86</v>
      </c>
      <c r="F633" t="n">
        <v>69.8</v>
      </c>
      <c r="G633" t="n">
        <v/>
      </c>
      <c r="H633" t="n">
        <v/>
      </c>
      <c r="I633" t="n">
        <v/>
      </c>
      <c r="J633" t="n">
        <v/>
      </c>
      <c r="K633" t="n">
        <v/>
      </c>
      <c r="L633" t="n">
        <v/>
      </c>
      <c r="M633" t="n">
        <v/>
      </c>
    </row>
    <row r="634">
      <c r="A634" s="68" t="n">
        <v>41000</v>
      </c>
      <c r="B634" t="n">
        <v>87.3</v>
      </c>
      <c r="C634" t="n">
        <v>1397.910034179688</v>
      </c>
      <c r="D634" t="n">
        <v>76.40000000000001</v>
      </c>
      <c r="E634" t="n">
        <v>82.90000000000001</v>
      </c>
      <c r="F634" t="n">
        <v>72.3</v>
      </c>
      <c r="G634" t="n">
        <v>16253.726</v>
      </c>
      <c r="H634" t="n">
        <v>0.004537913337532564</v>
      </c>
      <c r="I634" t="n">
        <v>0.02318772938586516</v>
      </c>
      <c r="J634" t="n">
        <v>0.01827558350972103</v>
      </c>
      <c r="K634" t="n">
        <v>0.004558599868677108</v>
      </c>
      <c r="L634" t="n">
        <v>0.01835946382913334</v>
      </c>
      <c r="M634" t="n">
        <v>0.02373816349715461</v>
      </c>
    </row>
    <row r="635">
      <c r="A635" s="68" t="n">
        <v>41030</v>
      </c>
      <c r="B635" t="n">
        <v>87.40000000000001</v>
      </c>
      <c r="C635" t="n">
        <v>1310.329956054688</v>
      </c>
      <c r="D635" t="n">
        <v>79.3</v>
      </c>
      <c r="E635" t="n">
        <v>87.2</v>
      </c>
      <c r="F635" t="n">
        <v>74.3</v>
      </c>
      <c r="G635" t="n">
        <v/>
      </c>
      <c r="H635" t="n">
        <v/>
      </c>
      <c r="I635" t="n">
        <v/>
      </c>
      <c r="J635" t="n">
        <v/>
      </c>
      <c r="K635" t="n">
        <v/>
      </c>
      <c r="L635" t="n">
        <v/>
      </c>
      <c r="M635" t="n">
        <v/>
      </c>
    </row>
    <row r="636">
      <c r="A636" s="68" t="n">
        <v>41061</v>
      </c>
      <c r="B636" t="n">
        <v>87</v>
      </c>
      <c r="C636" t="n">
        <v>1362.160034179688</v>
      </c>
      <c r="D636" t="n">
        <v>73.2</v>
      </c>
      <c r="E636" t="n">
        <v>81.5</v>
      </c>
      <c r="F636" t="n">
        <v>67.8</v>
      </c>
      <c r="G636" t="n">
        <v/>
      </c>
      <c r="H636" t="n">
        <v/>
      </c>
      <c r="I636" t="n">
        <v/>
      </c>
      <c r="J636" t="n">
        <v/>
      </c>
      <c r="K636" t="n">
        <v/>
      </c>
      <c r="L636" t="n">
        <v/>
      </c>
      <c r="M636" t="n">
        <v/>
      </c>
    </row>
    <row r="637">
      <c r="A637" s="68" t="n">
        <v>41091</v>
      </c>
      <c r="B637" t="n">
        <v>87.2</v>
      </c>
      <c r="C637" t="n">
        <v>1379.319946289062</v>
      </c>
      <c r="D637" t="n">
        <v>72.3</v>
      </c>
      <c r="E637" t="n">
        <v>82.7</v>
      </c>
      <c r="F637" t="n">
        <v>65.59999999999999</v>
      </c>
      <c r="G637" t="n">
        <v>16282.151</v>
      </c>
      <c r="H637" t="n">
        <v>0.001745776709723382</v>
      </c>
      <c r="I637" t="n">
        <v>0.02527104680456535</v>
      </c>
      <c r="J637" t="n">
        <v>0.007001414548771567</v>
      </c>
      <c r="K637" t="n">
        <v>0.001748829776015621</v>
      </c>
      <c r="L637" t="n">
        <v>0.007013690941451989</v>
      </c>
      <c r="M637" t="n">
        <v>0.02592622977056317</v>
      </c>
    </row>
    <row r="638">
      <c r="A638" s="68" t="n">
        <v>41122</v>
      </c>
      <c r="B638" t="n">
        <v>86.90000000000001</v>
      </c>
      <c r="C638" t="n">
        <v>1406.579956054688</v>
      </c>
      <c r="D638" t="n">
        <v>74.3</v>
      </c>
      <c r="E638" t="n">
        <v>88.7</v>
      </c>
      <c r="F638" t="n">
        <v>65.09999999999999</v>
      </c>
      <c r="G638" t="n">
        <v/>
      </c>
      <c r="H638" t="n">
        <v/>
      </c>
      <c r="I638" t="n">
        <v/>
      </c>
      <c r="J638" t="n">
        <v/>
      </c>
      <c r="K638" t="n">
        <v/>
      </c>
      <c r="L638" t="n">
        <v/>
      </c>
      <c r="M638" t="n">
        <v/>
      </c>
    </row>
    <row r="639">
      <c r="A639" s="68" t="n">
        <v>41153</v>
      </c>
      <c r="B639" t="n">
        <v>87.40000000000001</v>
      </c>
      <c r="C639" t="n">
        <v>1440.670043945312</v>
      </c>
      <c r="D639" t="n">
        <v>78.3</v>
      </c>
      <c r="E639" t="n">
        <v>85.7</v>
      </c>
      <c r="F639" t="n">
        <v>73.5</v>
      </c>
      <c r="G639" t="n">
        <v/>
      </c>
      <c r="H639" t="n">
        <v/>
      </c>
      <c r="I639" t="n">
        <v/>
      </c>
      <c r="J639" t="n">
        <v/>
      </c>
      <c r="K639" t="n">
        <v/>
      </c>
      <c r="L639" t="n">
        <v/>
      </c>
      <c r="M639" t="n">
        <v/>
      </c>
    </row>
    <row r="640">
      <c r="A640" s="68" t="n">
        <v>41183</v>
      </c>
      <c r="B640" t="n">
        <v>87.5</v>
      </c>
      <c r="C640" t="n">
        <v>1412.160034179688</v>
      </c>
      <c r="D640" t="n">
        <v>82.59999999999999</v>
      </c>
      <c r="E640" t="n">
        <v>88.09999999999999</v>
      </c>
      <c r="F640" t="n">
        <v>79</v>
      </c>
      <c r="G640" t="n">
        <v>16300.035</v>
      </c>
      <c r="H640" t="n">
        <v>0.001097175558211992</v>
      </c>
      <c r="I640" t="n">
        <v>0.01541916934534193</v>
      </c>
      <c r="J640" t="n">
        <v>0.004395930282625082</v>
      </c>
      <c r="K640" t="n">
        <v>0.001098380674641822</v>
      </c>
      <c r="L640" t="n">
        <v>0.004400766641183385</v>
      </c>
      <c r="M640" t="n">
        <v>0.0156606434588916</v>
      </c>
    </row>
    <row r="641">
      <c r="A641" s="68" t="n">
        <v>41214</v>
      </c>
      <c r="B641" t="n">
        <v>87.5</v>
      </c>
      <c r="C641" t="n">
        <v>1416.180053710938</v>
      </c>
      <c r="D641" t="n">
        <v>82.7</v>
      </c>
      <c r="E641" t="n">
        <v>90.59999999999999</v>
      </c>
      <c r="F641" t="n">
        <v>77.7</v>
      </c>
      <c r="G641" t="n">
        <v/>
      </c>
      <c r="H641" t="n">
        <v/>
      </c>
      <c r="I641" t="n">
        <v/>
      </c>
      <c r="J641" t="n">
        <v/>
      </c>
      <c r="K641" t="n">
        <v/>
      </c>
      <c r="L641" t="n">
        <v/>
      </c>
      <c r="M641" t="n">
        <v/>
      </c>
    </row>
    <row r="642">
      <c r="A642" s="68" t="n">
        <v>41244</v>
      </c>
      <c r="B642" t="n">
        <v>87.8</v>
      </c>
      <c r="C642" t="n">
        <v>1426.18994140625</v>
      </c>
      <c r="D642" t="n">
        <v>72.90000000000001</v>
      </c>
      <c r="E642" t="n">
        <v>87</v>
      </c>
      <c r="F642" t="n">
        <v>63.8</v>
      </c>
      <c r="G642" t="n">
        <v/>
      </c>
      <c r="H642" t="n">
        <v/>
      </c>
      <c r="I642" t="n">
        <v/>
      </c>
      <c r="J642" t="n">
        <v/>
      </c>
      <c r="K642" t="n">
        <v/>
      </c>
      <c r="L642" t="n">
        <v/>
      </c>
      <c r="M642" t="n">
        <v/>
      </c>
    </row>
    <row r="643">
      <c r="A643" s="68" t="n">
        <v>41275</v>
      </c>
      <c r="B643" t="n">
        <v>88.2</v>
      </c>
      <c r="C643" t="n">
        <v>1498.109985351562</v>
      </c>
      <c r="D643" t="n">
        <v>73.8</v>
      </c>
      <c r="E643" t="n">
        <v>85</v>
      </c>
      <c r="F643" t="n">
        <v>66.59999999999999</v>
      </c>
      <c r="G643" t="n">
        <v>16441.485</v>
      </c>
      <c r="H643" t="n">
        <v>0.00860323748128595</v>
      </c>
      <c r="I643" t="n">
        <v>0.01590592333964966</v>
      </c>
      <c r="J643" t="n">
        <v>0.03485959667283423</v>
      </c>
      <c r="K643" t="n">
        <v>0.008677895476911597</v>
      </c>
      <c r="L643" t="n">
        <v>0.03516603678394103</v>
      </c>
      <c r="M643" t="n">
        <v>0.01616301095280286</v>
      </c>
    </row>
    <row r="644">
      <c r="A644" s="68" t="n">
        <v>41306</v>
      </c>
      <c r="B644" t="n">
        <v>88.59999999999999</v>
      </c>
      <c r="C644" t="n">
        <v>1514.680053710938</v>
      </c>
      <c r="D644" t="n">
        <v>77.59999999999999</v>
      </c>
      <c r="E644" t="n">
        <v>89</v>
      </c>
      <c r="F644" t="n">
        <v>70.2</v>
      </c>
      <c r="G644" t="n">
        <v/>
      </c>
      <c r="H644" t="n">
        <v/>
      </c>
      <c r="I644" t="n">
        <v/>
      </c>
      <c r="J644" t="n">
        <v/>
      </c>
      <c r="K644" t="n">
        <v/>
      </c>
      <c r="L644" t="n">
        <v/>
      </c>
      <c r="M644" t="n">
        <v/>
      </c>
    </row>
    <row r="645">
      <c r="A645" s="68" t="n">
        <v>41334</v>
      </c>
      <c r="B645" t="n">
        <v>88.5</v>
      </c>
      <c r="C645" t="n">
        <v>1569.18994140625</v>
      </c>
      <c r="D645" t="n">
        <v>78.59999999999999</v>
      </c>
      <c r="E645" t="n">
        <v>90.7</v>
      </c>
      <c r="F645" t="n">
        <v>70.8</v>
      </c>
      <c r="G645" t="n">
        <v/>
      </c>
      <c r="H645" t="n">
        <v/>
      </c>
      <c r="I645" t="n">
        <v/>
      </c>
      <c r="J645" t="n">
        <v/>
      </c>
      <c r="K645" t="n">
        <v/>
      </c>
      <c r="L645" t="n">
        <v/>
      </c>
      <c r="M645" t="n">
        <v/>
      </c>
    </row>
    <row r="646">
      <c r="A646" s="68" t="n">
        <v>41365</v>
      </c>
      <c r="B646" t="n">
        <v>88.90000000000001</v>
      </c>
      <c r="C646" t="n">
        <v>1597.569946289062</v>
      </c>
      <c r="D646" t="n">
        <v>76.40000000000001</v>
      </c>
      <c r="E646" t="n">
        <v>89.90000000000001</v>
      </c>
      <c r="F646" t="n">
        <v>67.8</v>
      </c>
      <c r="G646" t="n">
        <v>16464.402</v>
      </c>
      <c r="H646" t="n">
        <v>0.001391912077948391</v>
      </c>
      <c r="I646" t="n">
        <v>0.0127958488865856</v>
      </c>
      <c r="J646" t="n">
        <v>0.005579283617812569</v>
      </c>
      <c r="K646" t="n">
        <v>0.001393852197657185</v>
      </c>
      <c r="L646" t="n">
        <v>0.00558707657013402</v>
      </c>
      <c r="M646" t="n">
        <v>0.01296170490384775</v>
      </c>
    </row>
    <row r="647">
      <c r="A647" s="68" t="n">
        <v>41395</v>
      </c>
      <c r="B647" t="n">
        <v>89.2</v>
      </c>
      <c r="C647" t="n">
        <v>1630.739990234375</v>
      </c>
      <c r="D647" t="n">
        <v>84.5</v>
      </c>
      <c r="E647" t="n">
        <v>98</v>
      </c>
      <c r="F647" t="n">
        <v>75.8</v>
      </c>
      <c r="G647" t="n">
        <v/>
      </c>
      <c r="H647" t="n">
        <v/>
      </c>
      <c r="I647" t="n">
        <v/>
      </c>
      <c r="J647" t="n">
        <v/>
      </c>
      <c r="K647" t="n">
        <v/>
      </c>
      <c r="L647" t="n">
        <v/>
      </c>
      <c r="M647" t="n">
        <v/>
      </c>
    </row>
    <row r="648">
      <c r="A648" s="68" t="n">
        <v>41426</v>
      </c>
      <c r="B648" t="n">
        <v>89.3</v>
      </c>
      <c r="C648" t="n">
        <v>1606.280029296875</v>
      </c>
      <c r="D648" t="n">
        <v>84.09999999999999</v>
      </c>
      <c r="E648" t="n">
        <v>93.8</v>
      </c>
      <c r="F648" t="n">
        <v>77.8</v>
      </c>
      <c r="G648" t="n">
        <v/>
      </c>
      <c r="H648" t="n">
        <v/>
      </c>
      <c r="I648" t="n">
        <v/>
      </c>
      <c r="J648" t="n">
        <v/>
      </c>
      <c r="K648" t="n">
        <v/>
      </c>
      <c r="L648" t="n">
        <v/>
      </c>
      <c r="M648" t="n">
        <v/>
      </c>
    </row>
    <row r="649">
      <c r="A649" s="68" t="n">
        <v>41456</v>
      </c>
      <c r="B649" t="n">
        <v>89.40000000000001</v>
      </c>
      <c r="C649" t="n">
        <v>1685.72998046875</v>
      </c>
      <c r="D649" t="n">
        <v>85.09999999999999</v>
      </c>
      <c r="E649" t="n">
        <v>98.59999999999999</v>
      </c>
      <c r="F649" t="n">
        <v>76.5</v>
      </c>
      <c r="G649" t="n">
        <v>16594.743</v>
      </c>
      <c r="H649" t="n">
        <v>0.007854354839963497</v>
      </c>
      <c r="I649" t="n">
        <v>0.01883680874117778</v>
      </c>
      <c r="J649" t="n">
        <v>0.03178950667389224</v>
      </c>
      <c r="K649" t="n">
        <v>0.007916534107950009</v>
      </c>
      <c r="L649" t="n">
        <v>0.03204415399787042</v>
      </c>
      <c r="M649" t="n">
        <v>0.01919844620038217</v>
      </c>
    </row>
    <row r="650">
      <c r="A650" s="68" t="n">
        <v>41487</v>
      </c>
      <c r="B650" t="n">
        <v>90.09999999999999</v>
      </c>
      <c r="C650" t="n">
        <v>1632.969970703125</v>
      </c>
      <c r="D650" t="n">
        <v>82.09999999999999</v>
      </c>
      <c r="E650" t="n">
        <v>95.2</v>
      </c>
      <c r="F650" t="n">
        <v>73.7</v>
      </c>
      <c r="G650" t="n">
        <v/>
      </c>
      <c r="H650" t="n">
        <v/>
      </c>
      <c r="I650" t="n">
        <v/>
      </c>
      <c r="J650" t="n">
        <v/>
      </c>
      <c r="K650" t="n">
        <v/>
      </c>
      <c r="L650" t="n">
        <v/>
      </c>
      <c r="M650" t="n">
        <v/>
      </c>
    </row>
    <row r="651">
      <c r="A651" s="68" t="n">
        <v>41518</v>
      </c>
      <c r="B651" t="n">
        <v>90.90000000000001</v>
      </c>
      <c r="C651" t="n">
        <v>1681.550048828125</v>
      </c>
      <c r="D651" t="n">
        <v>77.5</v>
      </c>
      <c r="E651" t="n">
        <v>92.59999999999999</v>
      </c>
      <c r="F651" t="n">
        <v>67.8</v>
      </c>
      <c r="G651" t="n">
        <v/>
      </c>
      <c r="H651" t="n">
        <v/>
      </c>
      <c r="I651" t="n">
        <v/>
      </c>
      <c r="J651" t="n">
        <v/>
      </c>
      <c r="K651" t="n">
        <v/>
      </c>
      <c r="L651" t="n">
        <v/>
      </c>
      <c r="M651" t="n">
        <v/>
      </c>
    </row>
    <row r="652">
      <c r="A652" s="68" t="n">
        <v>41548</v>
      </c>
      <c r="B652" t="n">
        <v>90.8</v>
      </c>
      <c r="C652" t="n">
        <v>1756.5400390625</v>
      </c>
      <c r="D652" t="n">
        <v>73.2</v>
      </c>
      <c r="E652" t="n">
        <v>89.90000000000001</v>
      </c>
      <c r="F652" t="n">
        <v>62.5</v>
      </c>
      <c r="G652" t="n">
        <v>16712.76</v>
      </c>
      <c r="H652" t="n">
        <v>0.007061490741206111</v>
      </c>
      <c r="I652" t="n">
        <v>0.02469520294673044</v>
      </c>
      <c r="J652" t="n">
        <v>0.02854656183533599</v>
      </c>
      <c r="K652" t="n">
        <v>0.007111710015635665</v>
      </c>
      <c r="L652" t="n">
        <v>0.02875173987590807</v>
      </c>
      <c r="M652" t="n">
        <v>0.02532049777807217</v>
      </c>
    </row>
    <row r="653">
      <c r="A653" s="68" t="n">
        <v>41579</v>
      </c>
      <c r="B653" t="n">
        <v>91.8</v>
      </c>
      <c r="C653" t="n">
        <v>1805.81005859375</v>
      </c>
      <c r="D653" t="n">
        <v>75.09999999999999</v>
      </c>
      <c r="E653" t="n">
        <v>88</v>
      </c>
      <c r="F653" t="n">
        <v>66.8</v>
      </c>
      <c r="G653" t="n">
        <v/>
      </c>
      <c r="H653" t="n">
        <v/>
      </c>
      <c r="I653" t="n">
        <v/>
      </c>
      <c r="J653" t="n">
        <v/>
      </c>
      <c r="K653" t="n">
        <v/>
      </c>
      <c r="L653" t="n">
        <v/>
      </c>
      <c r="M653" t="n">
        <v/>
      </c>
    </row>
    <row r="654">
      <c r="A654" s="68" t="n">
        <v>41609</v>
      </c>
      <c r="B654" t="n">
        <v>91.8</v>
      </c>
      <c r="C654" t="n">
        <v>1848.359985351562</v>
      </c>
      <c r="D654" t="n">
        <v>82.5</v>
      </c>
      <c r="E654" t="n">
        <v>98.59999999999999</v>
      </c>
      <c r="F654" t="n">
        <v>72.09999999999999</v>
      </c>
      <c r="G654" t="n">
        <v/>
      </c>
      <c r="H654" t="n">
        <v/>
      </c>
      <c r="I654" t="n">
        <v/>
      </c>
      <c r="J654" t="n">
        <v/>
      </c>
      <c r="K654" t="n">
        <v/>
      </c>
      <c r="L654" t="n">
        <v/>
      </c>
      <c r="M654" t="n">
        <v/>
      </c>
    </row>
    <row r="655">
      <c r="A655" s="68" t="n">
        <v>41640</v>
      </c>
      <c r="B655" t="n">
        <v>92</v>
      </c>
      <c r="C655" t="n">
        <v>1782.589965820312</v>
      </c>
      <c r="D655" t="n">
        <v>81.2</v>
      </c>
      <c r="E655" t="n">
        <v>96.8</v>
      </c>
      <c r="F655" t="n">
        <v>71.2</v>
      </c>
      <c r="G655" t="n">
        <v>16654.247</v>
      </c>
      <c r="H655" t="n">
        <v>-0.003513398114006536</v>
      </c>
      <c r="I655" t="n">
        <v>0.01277523985323376</v>
      </c>
      <c r="J655" t="n">
        <v>-0.01397970198287934</v>
      </c>
      <c r="K655" t="n">
        <v>-0.003501097365126946</v>
      </c>
      <c r="L655" t="n">
        <v>-0.01393101487505966</v>
      </c>
      <c r="M655" t="n">
        <v>0.01294055859309538</v>
      </c>
    </row>
    <row r="656">
      <c r="A656" s="68" t="n">
        <v>41671</v>
      </c>
      <c r="B656" t="n">
        <v>92.5</v>
      </c>
      <c r="C656" t="n">
        <v>1859.449951171875</v>
      </c>
      <c r="D656" t="n">
        <v>81.59999999999999</v>
      </c>
      <c r="E656" t="n">
        <v>95.40000000000001</v>
      </c>
      <c r="F656" t="n">
        <v>72.7</v>
      </c>
      <c r="G656" t="n">
        <v/>
      </c>
      <c r="H656" t="n">
        <v/>
      </c>
      <c r="I656" t="n">
        <v/>
      </c>
      <c r="J656" t="n">
        <v/>
      </c>
      <c r="K656" t="n">
        <v/>
      </c>
      <c r="L656" t="n">
        <v/>
      </c>
      <c r="M656" t="n">
        <v/>
      </c>
    </row>
    <row r="657">
      <c r="A657" s="68" t="n">
        <v>41699</v>
      </c>
      <c r="B657" t="n">
        <v>93.40000000000001</v>
      </c>
      <c r="C657" t="n">
        <v>1872.339965820312</v>
      </c>
      <c r="D657" t="n">
        <v>80</v>
      </c>
      <c r="E657" t="n">
        <v>95.7</v>
      </c>
      <c r="F657" t="n">
        <v>70</v>
      </c>
      <c r="G657" t="n">
        <v/>
      </c>
      <c r="H657" t="n">
        <v/>
      </c>
      <c r="I657" t="n">
        <v/>
      </c>
      <c r="J657" t="n">
        <v/>
      </c>
      <c r="K657" t="n">
        <v/>
      </c>
      <c r="L657" t="n">
        <v/>
      </c>
      <c r="M657" t="n">
        <v/>
      </c>
    </row>
    <row r="658">
      <c r="A658" s="68" t="n">
        <v>41730</v>
      </c>
      <c r="B658" t="n">
        <v>93.5</v>
      </c>
      <c r="C658" t="n">
        <v>1883.949951171875</v>
      </c>
      <c r="D658" t="n">
        <v>84.09999999999999</v>
      </c>
      <c r="E658" t="n">
        <v>98.7</v>
      </c>
      <c r="F658" t="n">
        <v>74.7</v>
      </c>
      <c r="G658" t="n">
        <v>16868.109</v>
      </c>
      <c r="H658" t="n">
        <v>0.01267848103186913</v>
      </c>
      <c r="I658" t="n">
        <v>0.023933151012956</v>
      </c>
      <c r="J658" t="n">
        <v>0.05168656520672399</v>
      </c>
      <c r="K658" t="n">
        <v>0.01284128907179058</v>
      </c>
      <c r="L658" t="n">
        <v>0.05236304575665218</v>
      </c>
      <c r="M658" t="n">
        <v>0.0245199916765882</v>
      </c>
    </row>
    <row r="659">
      <c r="A659" s="68" t="n">
        <v>41760</v>
      </c>
      <c r="B659" t="n">
        <v>94</v>
      </c>
      <c r="C659" t="n">
        <v>1923.569946289062</v>
      </c>
      <c r="D659" t="n">
        <v>81.90000000000001</v>
      </c>
      <c r="E659" t="n">
        <v>94.5</v>
      </c>
      <c r="F659" t="n">
        <v>73.7</v>
      </c>
      <c r="G659" t="n">
        <v/>
      </c>
      <c r="H659" t="n">
        <v/>
      </c>
      <c r="I659" t="n">
        <v/>
      </c>
      <c r="J659" t="n">
        <v/>
      </c>
      <c r="K659" t="n">
        <v/>
      </c>
      <c r="L659" t="n">
        <v/>
      </c>
      <c r="M659" t="n">
        <v/>
      </c>
    </row>
    <row r="660">
      <c r="A660" s="68" t="n">
        <v>41791</v>
      </c>
      <c r="B660" t="n">
        <v>94.7</v>
      </c>
      <c r="C660" t="n">
        <v>1960.22998046875</v>
      </c>
      <c r="D660" t="n">
        <v>82.5</v>
      </c>
      <c r="E660" t="n">
        <v>96.59999999999999</v>
      </c>
      <c r="F660" t="n">
        <v>73.5</v>
      </c>
      <c r="G660" t="n">
        <v/>
      </c>
      <c r="H660" t="n">
        <v/>
      </c>
      <c r="I660" t="n">
        <v/>
      </c>
      <c r="J660" t="n">
        <v/>
      </c>
      <c r="K660" t="n">
        <v/>
      </c>
      <c r="L660" t="n">
        <v/>
      </c>
      <c r="M660" t="n">
        <v/>
      </c>
    </row>
    <row r="661">
      <c r="A661" s="68" t="n">
        <v>41821</v>
      </c>
      <c r="B661" t="n">
        <v>95.2</v>
      </c>
      <c r="C661" t="n">
        <v>1930.670043945312</v>
      </c>
      <c r="D661" t="n">
        <v>81.8</v>
      </c>
      <c r="E661" t="n">
        <v>97.40000000000001</v>
      </c>
      <c r="F661" t="n">
        <v>71.8</v>
      </c>
      <c r="G661" t="n">
        <v>17064.616</v>
      </c>
      <c r="H661" t="n">
        <v>0.01151546568642397</v>
      </c>
      <c r="I661" t="n">
        <v>0.02753492958763345</v>
      </c>
      <c r="J661" t="n">
        <v>0.04686362410695244</v>
      </c>
      <c r="K661" t="n">
        <v>0.01164961644485469</v>
      </c>
      <c r="L661" t="n">
        <v>0.04741908962129937</v>
      </c>
      <c r="M661" t="n">
        <v>0.02831456925846958</v>
      </c>
    </row>
    <row r="662">
      <c r="A662" s="68" t="n">
        <v>41852</v>
      </c>
      <c r="B662" t="n">
        <v>95.5</v>
      </c>
      <c r="C662" t="n">
        <v>2003.369995117188</v>
      </c>
      <c r="D662" t="n">
        <v>82.5</v>
      </c>
      <c r="E662" t="n">
        <v>99.8</v>
      </c>
      <c r="F662" t="n">
        <v>71.3</v>
      </c>
      <c r="G662" t="n">
        <v/>
      </c>
      <c r="H662" t="n">
        <v/>
      </c>
      <c r="I662" t="n">
        <v/>
      </c>
      <c r="J662" t="n">
        <v/>
      </c>
      <c r="K662" t="n">
        <v/>
      </c>
      <c r="L662" t="n">
        <v/>
      </c>
      <c r="M662" t="n">
        <v/>
      </c>
    </row>
    <row r="663">
      <c r="A663" s="68" t="n">
        <v>41883</v>
      </c>
      <c r="B663" t="n">
        <v>96.09999999999999</v>
      </c>
      <c r="C663" t="n">
        <v>1972.2900390625</v>
      </c>
      <c r="D663" t="n">
        <v>84.59999999999999</v>
      </c>
      <c r="E663" t="n">
        <v>98.90000000000001</v>
      </c>
      <c r="F663" t="n">
        <v>75.40000000000001</v>
      </c>
      <c r="G663" t="n">
        <v/>
      </c>
      <c r="H663" t="n">
        <v/>
      </c>
      <c r="I663" t="n">
        <v/>
      </c>
      <c r="J663" t="n">
        <v/>
      </c>
      <c r="K663" t="n">
        <v/>
      </c>
      <c r="L663" t="n">
        <v/>
      </c>
      <c r="M663" t="n">
        <v/>
      </c>
    </row>
    <row r="664">
      <c r="A664" s="68" t="n">
        <v>41913</v>
      </c>
      <c r="B664" t="n">
        <v>96.40000000000001</v>
      </c>
      <c r="C664" t="n">
        <v>2018.050048828125</v>
      </c>
      <c r="D664" t="n">
        <v>86.90000000000001</v>
      </c>
      <c r="E664" t="n">
        <v>98.3</v>
      </c>
      <c r="F664" t="n">
        <v>79.59999999999999</v>
      </c>
      <c r="G664" t="n">
        <v>17141.235</v>
      </c>
      <c r="H664" t="n">
        <v>0.004469864627606982</v>
      </c>
      <c r="I664" t="n">
        <v>0.02499674031655258</v>
      </c>
      <c r="J664" t="n">
        <v>0.01799969427438497</v>
      </c>
      <c r="K664" t="n">
        <v>0.004489934024885105</v>
      </c>
      <c r="L664" t="n">
        <v>0.01808105561066875</v>
      </c>
      <c r="M664" t="n">
        <v>0.02563759666266986</v>
      </c>
    </row>
    <row r="665">
      <c r="A665" s="68" t="n">
        <v>41944</v>
      </c>
      <c r="B665" t="n">
        <v>96.8</v>
      </c>
      <c r="C665" t="n">
        <v>2067.56005859375</v>
      </c>
      <c r="D665" t="n">
        <v>88.8</v>
      </c>
      <c r="E665" t="n">
        <v>102.7</v>
      </c>
      <c r="F665" t="n">
        <v>79.90000000000001</v>
      </c>
      <c r="G665" t="n">
        <v/>
      </c>
      <c r="H665" t="n">
        <v/>
      </c>
      <c r="I665" t="n">
        <v/>
      </c>
      <c r="J665" t="n">
        <v/>
      </c>
      <c r="K665" t="n">
        <v/>
      </c>
      <c r="L665" t="n">
        <v/>
      </c>
      <c r="M665" t="n">
        <v/>
      </c>
    </row>
    <row r="666">
      <c r="A666" s="68" t="n">
        <v>41974</v>
      </c>
      <c r="B666" t="n">
        <v>97.3</v>
      </c>
      <c r="C666" t="n">
        <v>2058.89990234375</v>
      </c>
      <c r="D666" t="n">
        <v>93.59999999999999</v>
      </c>
      <c r="E666" t="n">
        <v>104.8</v>
      </c>
      <c r="F666" t="n">
        <v>86.40000000000001</v>
      </c>
      <c r="G666" t="n">
        <v/>
      </c>
      <c r="H666" t="n">
        <v/>
      </c>
      <c r="I666" t="n">
        <v/>
      </c>
      <c r="J666" t="n">
        <v/>
      </c>
      <c r="K666" t="n">
        <v/>
      </c>
      <c r="L666" t="n">
        <v/>
      </c>
      <c r="M666" t="n">
        <v/>
      </c>
    </row>
    <row r="667">
      <c r="A667" s="68" t="n">
        <v>42005</v>
      </c>
      <c r="B667" t="n">
        <v>97.40000000000001</v>
      </c>
      <c r="C667" t="n">
        <v>1994.989990234375</v>
      </c>
      <c r="D667" t="n">
        <v>98.09999999999999</v>
      </c>
      <c r="E667" t="n">
        <v>109.3</v>
      </c>
      <c r="F667" t="n">
        <v>91</v>
      </c>
      <c r="G667" t="n">
        <v>17280.647</v>
      </c>
      <c r="H667" t="n">
        <v>0.008067522008869243</v>
      </c>
      <c r="I667" t="n">
        <v>0.03624864277361845</v>
      </c>
      <c r="J667" t="n">
        <v>0.03266270203552391</v>
      </c>
      <c r="K667" t="n">
        <v>0.008133136264685727</v>
      </c>
      <c r="L667" t="n">
        <v>0.03293158882700409</v>
      </c>
      <c r="M667" t="n">
        <v>0.03761202773082455</v>
      </c>
    </row>
    <row r="668">
      <c r="A668" s="68" t="n">
        <v>42036</v>
      </c>
      <c r="B668" t="n">
        <v>97.40000000000001</v>
      </c>
      <c r="C668" t="n">
        <v>2104.5</v>
      </c>
      <c r="D668" t="n">
        <v>95.40000000000001</v>
      </c>
      <c r="E668" t="n">
        <v>106.9</v>
      </c>
      <c r="F668" t="n">
        <v>88</v>
      </c>
      <c r="G668" t="n">
        <v/>
      </c>
      <c r="H668" t="n">
        <v/>
      </c>
      <c r="I668" t="n">
        <v/>
      </c>
      <c r="J668" t="n">
        <v/>
      </c>
      <c r="K668" t="n">
        <v/>
      </c>
      <c r="L668" t="n">
        <v/>
      </c>
      <c r="M668" t="n">
        <v/>
      </c>
    </row>
    <row r="669">
      <c r="A669" s="68" t="n">
        <v>42064</v>
      </c>
      <c r="B669" t="n">
        <v>97.90000000000001</v>
      </c>
      <c r="C669" t="n">
        <v>2067.889892578125</v>
      </c>
      <c r="D669" t="n">
        <v>93</v>
      </c>
      <c r="E669" t="n">
        <v>105</v>
      </c>
      <c r="F669" t="n">
        <v>85.3</v>
      </c>
      <c r="G669" t="n">
        <v/>
      </c>
      <c r="H669" t="n">
        <v/>
      </c>
      <c r="I669" t="n">
        <v/>
      </c>
      <c r="J669" t="n">
        <v/>
      </c>
      <c r="K669" t="n">
        <v/>
      </c>
      <c r="L669" t="n">
        <v/>
      </c>
      <c r="M669" t="n">
        <v/>
      </c>
    </row>
    <row r="670">
      <c r="A670" s="68" t="n">
        <v>42095</v>
      </c>
      <c r="B670" t="n">
        <v>98.40000000000001</v>
      </c>
      <c r="C670" t="n">
        <v>2085.510009765625</v>
      </c>
      <c r="D670" t="n">
        <v>95.90000000000001</v>
      </c>
      <c r="E670" t="n">
        <v>107</v>
      </c>
      <c r="F670" t="n">
        <v>88.8</v>
      </c>
      <c r="G670" t="n">
        <v>17380.875</v>
      </c>
      <c r="H670" t="n">
        <v>0.005766568138830706</v>
      </c>
      <c r="I670" t="n">
        <v>0.0295017368228009</v>
      </c>
      <c r="J670" t="n">
        <v>0.02326656053957232</v>
      </c>
      <c r="K670" t="n">
        <v>0.005800014316593537</v>
      </c>
      <c r="L670" t="n">
        <v>0.02340267984825029</v>
      </c>
      <c r="M670" t="n">
        <v>0.03039854674877899</v>
      </c>
    </row>
    <row r="671">
      <c r="A671" s="68" t="n">
        <v>42125</v>
      </c>
      <c r="B671" t="n">
        <v>98.8</v>
      </c>
      <c r="C671" t="n">
        <v>2107.389892578125</v>
      </c>
      <c r="D671" t="n">
        <v>90.7</v>
      </c>
      <c r="E671" t="n">
        <v>100.8</v>
      </c>
      <c r="F671" t="n">
        <v>84.2</v>
      </c>
      <c r="G671" t="n">
        <v/>
      </c>
      <c r="H671" t="n">
        <v/>
      </c>
      <c r="I671" t="n">
        <v/>
      </c>
      <c r="J671" t="n">
        <v/>
      </c>
      <c r="K671" t="n">
        <v/>
      </c>
      <c r="L671" t="n">
        <v/>
      </c>
      <c r="M671" t="n">
        <v/>
      </c>
    </row>
    <row r="672">
      <c r="A672" s="68" t="n">
        <v>42156</v>
      </c>
      <c r="B672" t="n">
        <v>99.3</v>
      </c>
      <c r="C672" t="n">
        <v>2063.110107421875</v>
      </c>
      <c r="D672" t="n">
        <v>96.09999999999999</v>
      </c>
      <c r="E672" t="n">
        <v>108.9</v>
      </c>
      <c r="F672" t="n">
        <v>87.8</v>
      </c>
      <c r="G672" t="n">
        <v/>
      </c>
      <c r="H672" t="n">
        <v/>
      </c>
      <c r="I672" t="n">
        <v/>
      </c>
      <c r="J672" t="n">
        <v/>
      </c>
      <c r="K672" t="n">
        <v/>
      </c>
      <c r="L672" t="n">
        <v/>
      </c>
      <c r="M672" t="n">
        <v/>
      </c>
    </row>
    <row r="673">
      <c r="A673" s="68" t="n">
        <v>42186</v>
      </c>
      <c r="B673" t="n">
        <v>99.09999999999999</v>
      </c>
      <c r="C673" t="n">
        <v>2103.840087890625</v>
      </c>
      <c r="D673" t="n">
        <v>93.09999999999999</v>
      </c>
      <c r="E673" t="n">
        <v>107.2</v>
      </c>
      <c r="F673" t="n">
        <v>84.09999999999999</v>
      </c>
      <c r="G673" t="n">
        <v>17437.08</v>
      </c>
      <c r="H673" t="n">
        <v>0.003223303443007759</v>
      </c>
      <c r="I673" t="n">
        <v>0.0213604571407598</v>
      </c>
      <c r="J673" t="n">
        <v>0.01295568594692176</v>
      </c>
      <c r="K673" t="n">
        <v>0.003233726725495796</v>
      </c>
      <c r="L673" t="n">
        <v>0.01299778420271624</v>
      </c>
      <c r="M673" t="n">
        <v>0.02182668511263306</v>
      </c>
    </row>
    <row r="674">
      <c r="A674" s="68" t="n">
        <v>42217</v>
      </c>
      <c r="B674" t="n">
        <v>99.09999999999999</v>
      </c>
      <c r="C674" t="n">
        <v>1972.180053710938</v>
      </c>
      <c r="D674" t="n">
        <v>91.90000000000001</v>
      </c>
      <c r="E674" t="n">
        <v>105.1</v>
      </c>
      <c r="F674" t="n">
        <v>83.40000000000001</v>
      </c>
      <c r="G674" t="n">
        <v/>
      </c>
      <c r="H674" t="n">
        <v/>
      </c>
      <c r="I674" t="n">
        <v/>
      </c>
      <c r="J674" t="n">
        <v/>
      </c>
      <c r="K674" t="n">
        <v/>
      </c>
      <c r="L674" t="n">
        <v/>
      </c>
      <c r="M674" t="n">
        <v/>
      </c>
    </row>
    <row r="675">
      <c r="A675" s="68" t="n">
        <v>42248</v>
      </c>
      <c r="B675" t="n">
        <v>99</v>
      </c>
      <c r="C675" t="n">
        <v>1920.030029296875</v>
      </c>
      <c r="D675" t="n">
        <v>87.2</v>
      </c>
      <c r="E675" t="n">
        <v>101.2</v>
      </c>
      <c r="F675" t="n">
        <v>78.2</v>
      </c>
      <c r="G675" t="n">
        <v/>
      </c>
      <c r="H675" t="n">
        <v/>
      </c>
      <c r="I675" t="n">
        <v/>
      </c>
      <c r="J675" t="n">
        <v/>
      </c>
      <c r="K675" t="n">
        <v/>
      </c>
      <c r="L675" t="n">
        <v/>
      </c>
      <c r="M675" t="n">
        <v/>
      </c>
    </row>
    <row r="676">
      <c r="A676" s="68" t="n">
        <v>42278</v>
      </c>
      <c r="B676" t="n">
        <v>99.40000000000001</v>
      </c>
      <c r="C676" t="n">
        <v>2079.360107421875</v>
      </c>
      <c r="D676" t="n">
        <v>90</v>
      </c>
      <c r="E676" t="n">
        <v>102.3</v>
      </c>
      <c r="F676" t="n">
        <v>82.09999999999999</v>
      </c>
      <c r="G676" t="n">
        <v>17462.579</v>
      </c>
      <c r="H676" t="n">
        <v>0.001460208139931667</v>
      </c>
      <c r="I676" t="n">
        <v>0.01840186377968575</v>
      </c>
      <c r="J676" t="n">
        <v>0.005853638265013617</v>
      </c>
      <c r="K676" t="n">
        <v>0.001462343465763751</v>
      </c>
      <c r="L676" t="n">
        <v>0.005862217066683106</v>
      </c>
      <c r="M676" t="n">
        <v>0.01874684058645722</v>
      </c>
    </row>
    <row r="677">
      <c r="A677" s="68" t="n">
        <v>42309</v>
      </c>
      <c r="B677" t="n">
        <v>99.8</v>
      </c>
      <c r="C677" t="n">
        <v>2080.409912109375</v>
      </c>
      <c r="D677" t="n">
        <v>91.3</v>
      </c>
      <c r="E677" t="n">
        <v>104.3</v>
      </c>
      <c r="F677" t="n">
        <v>82.90000000000001</v>
      </c>
      <c r="G677" t="n">
        <v/>
      </c>
      <c r="H677" t="n">
        <v/>
      </c>
      <c r="I677" t="n">
        <v/>
      </c>
      <c r="J677" t="n">
        <v/>
      </c>
      <c r="K677" t="n">
        <v/>
      </c>
      <c r="L677" t="n">
        <v/>
      </c>
      <c r="M677" t="n">
        <v/>
      </c>
    </row>
    <row r="678">
      <c r="A678" s="68" t="n">
        <v>42339</v>
      </c>
      <c r="B678" t="n">
        <v>99.59999999999999</v>
      </c>
      <c r="C678" t="n">
        <v>2043.93994140625</v>
      </c>
      <c r="D678" t="n">
        <v>92.59999999999999</v>
      </c>
      <c r="E678" t="n">
        <v>108.1</v>
      </c>
      <c r="F678" t="n">
        <v>82.7</v>
      </c>
      <c r="G678" t="n">
        <v/>
      </c>
      <c r="H678" t="n">
        <v/>
      </c>
      <c r="I678" t="n">
        <v/>
      </c>
      <c r="J678" t="n">
        <v/>
      </c>
      <c r="K678" t="n">
        <v/>
      </c>
      <c r="L678" t="n">
        <v/>
      </c>
      <c r="M678" t="n">
        <v/>
      </c>
    </row>
    <row r="679">
      <c r="A679" s="68" t="n">
        <v>42370</v>
      </c>
      <c r="B679" t="n">
        <v>99.3</v>
      </c>
      <c r="C679" t="n">
        <v>1940.239990234375</v>
      </c>
      <c r="D679" t="n">
        <v>92</v>
      </c>
      <c r="E679" t="n">
        <v>106.4</v>
      </c>
      <c r="F679" t="n">
        <v>82.7</v>
      </c>
      <c r="G679" t="n">
        <v>17565.465</v>
      </c>
      <c r="H679" t="n">
        <v>0.005857288719655221</v>
      </c>
      <c r="I679" t="n">
        <v>0.01621465756813152</v>
      </c>
      <c r="J679" t="n">
        <v>0.0236358068460103</v>
      </c>
      <c r="K679" t="n">
        <v>0.005891798685635071</v>
      </c>
      <c r="L679" t="n">
        <v>0.02377629379297197</v>
      </c>
      <c r="M679" t="n">
        <v>0.01648190603048597</v>
      </c>
    </row>
    <row r="680">
      <c r="A680" s="68" t="n">
        <v>42401</v>
      </c>
      <c r="B680" t="n">
        <v>99.2</v>
      </c>
      <c r="C680" t="n">
        <v>1932.22998046875</v>
      </c>
      <c r="D680" t="n">
        <v>91.7</v>
      </c>
      <c r="E680" t="n">
        <v>106.8</v>
      </c>
      <c r="F680" t="n">
        <v>81.90000000000001</v>
      </c>
      <c r="G680" t="n">
        <v/>
      </c>
      <c r="H680" t="n">
        <v/>
      </c>
      <c r="I680" t="n">
        <v/>
      </c>
      <c r="J680" t="n">
        <v/>
      </c>
      <c r="K680" t="n">
        <v/>
      </c>
      <c r="L680" t="n">
        <v/>
      </c>
      <c r="M680" t="n">
        <v/>
      </c>
    </row>
    <row r="681">
      <c r="A681" s="68" t="n">
        <v>42430</v>
      </c>
      <c r="B681" t="n">
        <v>99.2</v>
      </c>
      <c r="C681" t="n">
        <v>2059.739990234375</v>
      </c>
      <c r="D681" t="n">
        <v>91</v>
      </c>
      <c r="E681" t="n">
        <v>105.6</v>
      </c>
      <c r="F681" t="n">
        <v>81.5</v>
      </c>
      <c r="G681" t="n">
        <v/>
      </c>
      <c r="H681" t="n">
        <v/>
      </c>
      <c r="I681" t="n">
        <v/>
      </c>
      <c r="J681" t="n">
        <v/>
      </c>
      <c r="K681" t="n">
        <v/>
      </c>
      <c r="L681" t="n">
        <v/>
      </c>
      <c r="M681" t="n">
        <v/>
      </c>
    </row>
    <row r="682">
      <c r="A682" s="68" t="n">
        <v>42461</v>
      </c>
      <c r="B682" t="n">
        <v>99.7</v>
      </c>
      <c r="C682" t="n">
        <v>2065.300048828125</v>
      </c>
      <c r="D682" t="n">
        <v>89</v>
      </c>
      <c r="E682" t="n">
        <v>106.7</v>
      </c>
      <c r="F682" t="n">
        <v>77.59999999999999</v>
      </c>
      <c r="G682" t="n">
        <v>17618.581</v>
      </c>
      <c r="H682" t="n">
        <v>0.003014771734454561</v>
      </c>
      <c r="I682" t="n">
        <v>0.0134917789349777</v>
      </c>
      <c r="J682" t="n">
        <v>0.01211372971530644</v>
      </c>
      <c r="K682" t="n">
        <v>0.003023888066726282</v>
      </c>
      <c r="L682" t="n">
        <v>0.0121505263452657</v>
      </c>
      <c r="M682" t="n">
        <v>0.01367629650405968</v>
      </c>
    </row>
    <row r="683">
      <c r="A683" s="68" t="n">
        <v>42491</v>
      </c>
      <c r="B683" t="n">
        <v>99.5</v>
      </c>
      <c r="C683" t="n">
        <v>2096.949951171875</v>
      </c>
      <c r="D683" t="n">
        <v>94.7</v>
      </c>
      <c r="E683" t="n">
        <v>109.9</v>
      </c>
      <c r="F683" t="n">
        <v>84.90000000000001</v>
      </c>
      <c r="G683" t="n">
        <v/>
      </c>
      <c r="H683" t="n">
        <v/>
      </c>
      <c r="I683" t="n">
        <v/>
      </c>
      <c r="J683" t="n">
        <v/>
      </c>
      <c r="K683" t="n">
        <v/>
      </c>
      <c r="L683" t="n">
        <v/>
      </c>
      <c r="M683" t="n">
        <v/>
      </c>
    </row>
    <row r="684">
      <c r="A684" s="68" t="n">
        <v>42522</v>
      </c>
      <c r="B684" t="n">
        <v>99.8</v>
      </c>
      <c r="C684" t="n">
        <v>2098.860107421875</v>
      </c>
      <c r="D684" t="n">
        <v>93.5</v>
      </c>
      <c r="E684" t="n">
        <v>110.8</v>
      </c>
      <c r="F684" t="n">
        <v>82.40000000000001</v>
      </c>
      <c r="G684" t="n">
        <v/>
      </c>
      <c r="H684" t="n">
        <v/>
      </c>
      <c r="I684" t="n">
        <v/>
      </c>
      <c r="J684" t="n">
        <v/>
      </c>
      <c r="K684" t="n">
        <v/>
      </c>
      <c r="L684" t="n">
        <v/>
      </c>
      <c r="M684" t="n">
        <v/>
      </c>
    </row>
    <row r="685">
      <c r="A685" s="68" t="n">
        <v>42552</v>
      </c>
      <c r="B685" t="n">
        <v>100.2</v>
      </c>
      <c r="C685" t="n">
        <v>2173.60009765625</v>
      </c>
      <c r="D685" t="n">
        <v>90</v>
      </c>
      <c r="E685" t="n">
        <v>109</v>
      </c>
      <c r="F685" t="n">
        <v>77.8</v>
      </c>
      <c r="G685" t="n">
        <v>17724.489</v>
      </c>
      <c r="H685" t="n">
        <v>0.005975235731760903</v>
      </c>
      <c r="I685" t="n">
        <v>0.01621536169533574</v>
      </c>
      <c r="J685" t="n">
        <v>0.02411601820001064</v>
      </c>
      <c r="K685" t="n">
        <v>0.006011153792692107</v>
      </c>
      <c r="L685" t="n">
        <v>0.02426228912334993</v>
      </c>
      <c r="M685" t="n">
        <v>0.01648263356020616</v>
      </c>
    </row>
    <row r="686">
      <c r="A686" s="68" t="n">
        <v>42583</v>
      </c>
      <c r="B686" t="n">
        <v>100.2</v>
      </c>
      <c r="C686" t="n">
        <v>2170.949951171875</v>
      </c>
      <c r="D686" t="n">
        <v>89.8</v>
      </c>
      <c r="E686" t="n">
        <v>107</v>
      </c>
      <c r="F686" t="n">
        <v>78.7</v>
      </c>
      <c r="G686" t="n">
        <v/>
      </c>
      <c r="H686" t="n">
        <v/>
      </c>
      <c r="I686" t="n">
        <v/>
      </c>
      <c r="J686" t="n">
        <v/>
      </c>
      <c r="K686" t="n">
        <v/>
      </c>
      <c r="L686" t="n">
        <v/>
      </c>
      <c r="M686" t="n">
        <v/>
      </c>
    </row>
    <row r="687">
      <c r="A687" s="68" t="n">
        <v>42614</v>
      </c>
      <c r="B687" t="n">
        <v>100.4</v>
      </c>
      <c r="C687" t="n">
        <v>2168.27001953125</v>
      </c>
      <c r="D687" t="n">
        <v>91.2</v>
      </c>
      <c r="E687" t="n">
        <v>104.2</v>
      </c>
      <c r="F687" t="n">
        <v>82.7</v>
      </c>
      <c r="G687" t="n">
        <v/>
      </c>
      <c r="H687" t="n">
        <v/>
      </c>
      <c r="I687" t="n">
        <v/>
      </c>
      <c r="J687" t="n">
        <v/>
      </c>
      <c r="K687" t="n">
        <v/>
      </c>
      <c r="L687" t="n">
        <v/>
      </c>
      <c r="M687" t="n">
        <v/>
      </c>
    </row>
    <row r="688">
      <c r="A688" s="68" t="n">
        <v>42644</v>
      </c>
      <c r="B688" t="n">
        <v>100.5</v>
      </c>
      <c r="C688" t="n">
        <v>2126.14990234375</v>
      </c>
      <c r="D688" t="n">
        <v>87.2</v>
      </c>
      <c r="E688" t="n">
        <v>103.2</v>
      </c>
      <c r="F688" t="n">
        <v>76.8</v>
      </c>
      <c r="G688" t="n">
        <v>17812.56</v>
      </c>
      <c r="H688" t="n">
        <v>0.004944320187553047</v>
      </c>
      <c r="I688" t="n">
        <v>0.01964798995764785</v>
      </c>
      <c r="J688" t="n">
        <v>0.01992444264191606</v>
      </c>
      <c r="K688" t="n">
        <v>0.004968887960606363</v>
      </c>
      <c r="L688" t="n">
        <v>0.02002418226174996</v>
      </c>
      <c r="M688" t="n">
        <v>0.0200417704624271</v>
      </c>
    </row>
    <row r="689">
      <c r="A689" s="68" t="n">
        <v>42675</v>
      </c>
      <c r="B689" t="n">
        <v>100.7</v>
      </c>
      <c r="C689" t="n">
        <v>2198.81005859375</v>
      </c>
      <c r="D689" t="n">
        <v>93.8</v>
      </c>
      <c r="E689" t="n">
        <v>107.3</v>
      </c>
      <c r="F689" t="n">
        <v>85.2</v>
      </c>
      <c r="G689" t="n">
        <v/>
      </c>
      <c r="H689" t="n">
        <v/>
      </c>
      <c r="I689" t="n">
        <v/>
      </c>
      <c r="J689" t="n">
        <v/>
      </c>
      <c r="K689" t="n">
        <v/>
      </c>
      <c r="L689" t="n">
        <v/>
      </c>
      <c r="M689" t="n">
        <v/>
      </c>
    </row>
    <row r="690">
      <c r="A690" s="68" t="n">
        <v>42705</v>
      </c>
      <c r="B690" t="n">
        <v>101.2</v>
      </c>
      <c r="C690" t="n">
        <v>2238.830078125</v>
      </c>
      <c r="D690" t="n">
        <v>98.2</v>
      </c>
      <c r="E690" t="n">
        <v>111.9</v>
      </c>
      <c r="F690" t="n">
        <v>89.5</v>
      </c>
      <c r="G690" t="n">
        <v/>
      </c>
      <c r="H690" t="n">
        <v/>
      </c>
      <c r="I690" t="n">
        <v/>
      </c>
      <c r="J690" t="n">
        <v/>
      </c>
      <c r="K690" t="n">
        <v/>
      </c>
      <c r="L690" t="n">
        <v/>
      </c>
      <c r="M690" t="n">
        <v/>
      </c>
    </row>
    <row r="691">
      <c r="A691" s="68" t="n">
        <v>42736</v>
      </c>
      <c r="B691" t="n">
        <v>101.8</v>
      </c>
      <c r="C691" t="n">
        <v>2278.8701171875</v>
      </c>
      <c r="D691" t="n">
        <v>98.5</v>
      </c>
      <c r="E691" t="n">
        <v>111.3</v>
      </c>
      <c r="F691" t="n">
        <v>90.3</v>
      </c>
      <c r="G691" t="n">
        <v>17889.094</v>
      </c>
      <c r="H691" t="n">
        <v>0.004697143142591666</v>
      </c>
      <c r="I691" t="n">
        <v>0.01850393786581968</v>
      </c>
      <c r="J691" t="n">
        <v>0.01892136651452603</v>
      </c>
      <c r="K691" t="n">
        <v>0.004296631141172277</v>
      </c>
      <c r="L691" t="n">
        <v>0.0172976084215819</v>
      </c>
      <c r="M691" t="n">
        <v>0.01842416355046683</v>
      </c>
    </row>
    <row r="692">
      <c r="A692" s="68" t="n">
        <v>42767</v>
      </c>
      <c r="B692" t="n">
        <v>102.1</v>
      </c>
      <c r="C692" t="n">
        <v>2363.639892578125</v>
      </c>
      <c r="D692" t="n">
        <v>96.3</v>
      </c>
      <c r="E692" t="n">
        <v>111.5</v>
      </c>
      <c r="F692" t="n">
        <v>86.5</v>
      </c>
      <c r="G692" t="n">
        <v/>
      </c>
      <c r="H692" t="n">
        <v/>
      </c>
      <c r="I692" t="n">
        <v/>
      </c>
      <c r="J692" t="n">
        <v/>
      </c>
      <c r="K692" t="n">
        <v/>
      </c>
      <c r="L692" t="n">
        <v/>
      </c>
      <c r="M692" t="n">
        <v/>
      </c>
    </row>
    <row r="693">
      <c r="A693" s="68" t="n">
        <v>42795</v>
      </c>
      <c r="B693" t="n">
        <v>102.6</v>
      </c>
      <c r="C693" t="n">
        <v>2362.719970703125</v>
      </c>
      <c r="D693" t="n">
        <v>96.90000000000001</v>
      </c>
      <c r="E693" t="n">
        <v>113.2</v>
      </c>
      <c r="F693" t="n">
        <v>86.5</v>
      </c>
      <c r="G693" t="n">
        <v/>
      </c>
      <c r="H693" t="n">
        <v/>
      </c>
      <c r="I693" t="n">
        <v/>
      </c>
      <c r="J693" t="n">
        <v/>
      </c>
      <c r="K693" t="n">
        <v/>
      </c>
      <c r="L693" t="n">
        <v/>
      </c>
      <c r="M693" t="n">
        <v/>
      </c>
    </row>
    <row r="694">
      <c r="A694" s="68" t="n">
        <v>42826</v>
      </c>
      <c r="B694" t="n">
        <v>102.8</v>
      </c>
      <c r="C694" t="n">
        <v>2384.199951171875</v>
      </c>
      <c r="D694" t="n">
        <v>97</v>
      </c>
      <c r="E694" t="n">
        <v>112.7</v>
      </c>
      <c r="F694" t="n">
        <v>87</v>
      </c>
      <c r="G694" t="n">
        <v>17979.218</v>
      </c>
      <c r="H694" t="n">
        <v>0.005566488979542037</v>
      </c>
      <c r="I694" t="n">
        <v>0.02101601162250945</v>
      </c>
      <c r="J694" t="n">
        <v>0.0224525616040907</v>
      </c>
      <c r="K694" t="n">
        <v>0.005037929813550076</v>
      </c>
      <c r="L694" t="n">
        <v>0.02030451578470238</v>
      </c>
      <c r="M694" t="n">
        <v>0.02046912858646235</v>
      </c>
    </row>
    <row r="695">
      <c r="A695" s="68" t="n">
        <v>42856</v>
      </c>
      <c r="B695" t="n">
        <v>103.2</v>
      </c>
      <c r="C695" t="n">
        <v>2411.800048828125</v>
      </c>
      <c r="D695" t="n">
        <v>97.09999999999999</v>
      </c>
      <c r="E695" t="n">
        <v>111.7</v>
      </c>
      <c r="F695" t="n">
        <v>87.7</v>
      </c>
      <c r="G695" t="n">
        <v/>
      </c>
      <c r="H695" t="n">
        <v/>
      </c>
      <c r="I695" t="n">
        <v/>
      </c>
      <c r="J695" t="n">
        <v/>
      </c>
      <c r="K695" t="n">
        <v/>
      </c>
      <c r="L695" t="n">
        <v/>
      </c>
      <c r="M695" t="n">
        <v/>
      </c>
    </row>
    <row r="696">
      <c r="A696" s="68" t="n">
        <v>42887</v>
      </c>
      <c r="B696" t="n">
        <v>103.8</v>
      </c>
      <c r="C696" t="n">
        <v>2423.409912109375</v>
      </c>
      <c r="D696" t="n">
        <v>95</v>
      </c>
      <c r="E696" t="n">
        <v>112.4</v>
      </c>
      <c r="F696" t="n">
        <v>83.8</v>
      </c>
      <c r="G696" t="n">
        <v/>
      </c>
      <c r="H696" t="n">
        <v/>
      </c>
      <c r="I696" t="n">
        <v/>
      </c>
      <c r="J696" t="n">
        <v/>
      </c>
      <c r="K696" t="n">
        <v/>
      </c>
      <c r="L696" t="n">
        <v/>
      </c>
      <c r="M696" t="n">
        <v/>
      </c>
    </row>
    <row r="697">
      <c r="A697" s="68" t="n">
        <v>42917</v>
      </c>
      <c r="B697" t="n">
        <v>104.1</v>
      </c>
      <c r="C697" t="n">
        <v>2470.300048828125</v>
      </c>
      <c r="D697" t="n">
        <v>93.40000000000001</v>
      </c>
      <c r="E697" t="n">
        <v>113.4</v>
      </c>
      <c r="F697" t="n">
        <v>80.5</v>
      </c>
      <c r="G697" t="n">
        <v>18127.994</v>
      </c>
      <c r="H697" t="n">
        <v>0.007140151513061741</v>
      </c>
      <c r="I697" t="n">
        <v>0.02216330084376071</v>
      </c>
      <c r="J697" t="n">
        <v>0.02886795530323116</v>
      </c>
      <c r="K697" t="n">
        <v>0.008274887150264155</v>
      </c>
      <c r="L697" t="n">
        <v>0.03351266228426941</v>
      </c>
      <c r="M697" t="n">
        <v>0.02276539538036879</v>
      </c>
    </row>
    <row r="698">
      <c r="A698" s="68" t="n">
        <v>42948</v>
      </c>
      <c r="B698" t="n">
        <v>104.5</v>
      </c>
      <c r="C698" t="n">
        <v>2471.64990234375</v>
      </c>
      <c r="D698" t="n">
        <v>96.8</v>
      </c>
      <c r="E698" t="n">
        <v>110.9</v>
      </c>
      <c r="F698" t="n">
        <v>87.7</v>
      </c>
      <c r="G698" t="n">
        <v/>
      </c>
      <c r="H698" t="n">
        <v/>
      </c>
      <c r="I698" t="n">
        <v/>
      </c>
      <c r="J698" t="n">
        <v/>
      </c>
      <c r="K698" t="n">
        <v/>
      </c>
      <c r="L698" t="n">
        <v/>
      </c>
      <c r="M698" t="n">
        <v/>
      </c>
    </row>
    <row r="699">
      <c r="A699" s="68" t="n">
        <v>42979</v>
      </c>
      <c r="B699" t="n">
        <v>104.5</v>
      </c>
      <c r="C699" t="n">
        <v>2519.360107421875</v>
      </c>
      <c r="D699" t="n">
        <v>95.09999999999999</v>
      </c>
      <c r="E699" t="n">
        <v>111.7</v>
      </c>
      <c r="F699" t="n">
        <v>84.40000000000001</v>
      </c>
      <c r="G699" t="n">
        <v/>
      </c>
      <c r="H699" t="n">
        <v/>
      </c>
      <c r="I699" t="n">
        <v/>
      </c>
      <c r="J699" t="n">
        <v/>
      </c>
      <c r="K699" t="n">
        <v/>
      </c>
      <c r="L699" t="n">
        <v/>
      </c>
      <c r="M699" t="n">
        <v/>
      </c>
    </row>
    <row r="700">
      <c r="A700" s="68" t="n">
        <v>43009</v>
      </c>
      <c r="B700" t="n">
        <v>105.9</v>
      </c>
      <c r="C700" t="n">
        <v>2575.260009765625</v>
      </c>
      <c r="D700" t="n">
        <v>100.7</v>
      </c>
      <c r="E700" t="n">
        <v>116.5</v>
      </c>
      <c r="F700" t="n">
        <v>90.5</v>
      </c>
      <c r="G700" t="n">
        <v>18310.3</v>
      </c>
      <c r="H700" t="n">
        <v>0.009316387094165011</v>
      </c>
      <c r="I700" t="n">
        <v>0.02645971114439583</v>
      </c>
      <c r="J700" t="n">
        <v>0.03778956078679774</v>
      </c>
      <c r="K700" t="n">
        <v>0.01005660085721567</v>
      </c>
      <c r="L700" t="n">
        <v>0.04083729328819619</v>
      </c>
      <c r="M700" t="n">
        <v>0.02794320412113688</v>
      </c>
    </row>
    <row r="701">
      <c r="A701" s="68" t="n">
        <v>43040</v>
      </c>
      <c r="B701" t="n">
        <v>106.3</v>
      </c>
      <c r="C701" t="n">
        <v>2647.580078125</v>
      </c>
      <c r="D701" t="n">
        <v>98.5</v>
      </c>
      <c r="E701" t="n">
        <v>113.5</v>
      </c>
      <c r="F701" t="n">
        <v>88.90000000000001</v>
      </c>
      <c r="G701" t="n">
        <v/>
      </c>
      <c r="H701" t="n">
        <v/>
      </c>
      <c r="I701" t="n">
        <v/>
      </c>
      <c r="J701" t="n">
        <v/>
      </c>
      <c r="K701" t="n">
        <v/>
      </c>
      <c r="L701" t="n">
        <v/>
      </c>
      <c r="M701" t="n">
        <v/>
      </c>
    </row>
    <row r="702">
      <c r="A702" s="68" t="n">
        <v>43070</v>
      </c>
      <c r="B702" t="n">
        <v>107</v>
      </c>
      <c r="C702" t="n">
        <v>2673.610107421875</v>
      </c>
      <c r="D702" t="n">
        <v>95.90000000000001</v>
      </c>
      <c r="E702" t="n">
        <v>113.8</v>
      </c>
      <c r="F702" t="n">
        <v>84.3</v>
      </c>
      <c r="G702" t="n">
        <v/>
      </c>
      <c r="H702" t="n">
        <v/>
      </c>
      <c r="I702" t="n">
        <v/>
      </c>
      <c r="J702" t="n">
        <v/>
      </c>
      <c r="K702" t="n">
        <v/>
      </c>
      <c r="L702" t="n">
        <v/>
      </c>
      <c r="M702" t="n">
        <v/>
      </c>
    </row>
    <row r="703">
      <c r="A703" s="68" t="n">
        <v>43101</v>
      </c>
      <c r="B703" t="n">
        <v>107.9</v>
      </c>
      <c r="C703" t="n">
        <v>2823.81005859375</v>
      </c>
      <c r="D703" t="n">
        <v>95.7</v>
      </c>
      <c r="E703" t="n">
        <v>110.5</v>
      </c>
      <c r="F703" t="n">
        <v>86.3</v>
      </c>
      <c r="G703" t="n">
        <v>18437.127</v>
      </c>
      <c r="H703" t="n">
        <v>0.007570786312322829</v>
      </c>
      <c r="I703" t="n">
        <v>0.0292705213236826</v>
      </c>
      <c r="J703" t="n">
        <v>0.03062878509997158</v>
      </c>
      <c r="K703" t="n">
        <v>0.006926538614878027</v>
      </c>
      <c r="L703" t="n">
        <v>0.027995347640831</v>
      </c>
      <c r="M703" t="n">
        <v>0.03063503383681697</v>
      </c>
    </row>
    <row r="704">
      <c r="A704" s="68" t="n">
        <v>43132</v>
      </c>
      <c r="B704" t="n">
        <v>108.7</v>
      </c>
      <c r="C704" t="n">
        <v>2713.830078125</v>
      </c>
      <c r="D704" t="n">
        <v>99.7</v>
      </c>
      <c r="E704" t="n">
        <v>114.9</v>
      </c>
      <c r="F704" t="n">
        <v>90</v>
      </c>
      <c r="G704" t="n">
        <v/>
      </c>
      <c r="H704" t="n">
        <v/>
      </c>
      <c r="I704" t="n">
        <v/>
      </c>
      <c r="J704" t="n">
        <v/>
      </c>
      <c r="K704" t="n">
        <v/>
      </c>
      <c r="L704" t="n">
        <v/>
      </c>
      <c r="M704" t="n">
        <v/>
      </c>
    </row>
    <row r="705">
      <c r="A705" s="68" t="n">
        <v>43160</v>
      </c>
      <c r="B705" t="n">
        <v>109</v>
      </c>
      <c r="C705" t="n">
        <v>2640.8701171875</v>
      </c>
      <c r="D705" t="n">
        <v>101.4</v>
      </c>
      <c r="E705" t="n">
        <v>121.2</v>
      </c>
      <c r="F705" t="n">
        <v>88.8</v>
      </c>
      <c r="G705" t="n">
        <v/>
      </c>
      <c r="H705" t="n">
        <v/>
      </c>
      <c r="I705" t="n">
        <v/>
      </c>
      <c r="J705" t="n">
        <v/>
      </c>
      <c r="K705" t="n">
        <v/>
      </c>
      <c r="L705" t="n">
        <v/>
      </c>
      <c r="M705" t="n">
        <v/>
      </c>
    </row>
    <row r="706">
      <c r="A706" s="68" t="n">
        <v>43191</v>
      </c>
      <c r="B706" t="n">
        <v>109.4</v>
      </c>
      <c r="C706" t="n">
        <v>2648.050048828125</v>
      </c>
      <c r="D706" t="n">
        <v>98.8</v>
      </c>
      <c r="E706" t="n">
        <v>114.9</v>
      </c>
      <c r="F706" t="n">
        <v>88.40000000000001</v>
      </c>
      <c r="G706" t="n">
        <v>18565.697</v>
      </c>
      <c r="H706" t="n">
        <v>0.008270143459893931</v>
      </c>
      <c r="I706" t="n">
        <v>0.03190972955142996</v>
      </c>
      <c r="J706" t="n">
        <v>0.03349321270944627</v>
      </c>
      <c r="K706" t="n">
        <v>0.006973429211611966</v>
      </c>
      <c r="L706" t="n">
        <v>0.02818684793662185</v>
      </c>
      <c r="M706" t="n">
        <v>0.03261982807038656</v>
      </c>
    </row>
    <row r="707">
      <c r="A707" s="68" t="n">
        <v>43221</v>
      </c>
      <c r="B707" t="n">
        <v>109.4</v>
      </c>
      <c r="C707" t="n">
        <v>2705.27001953125</v>
      </c>
      <c r="D707" t="n">
        <v>98</v>
      </c>
      <c r="E707" t="n">
        <v>111.8</v>
      </c>
      <c r="F707" t="n">
        <v>89.09999999999999</v>
      </c>
      <c r="G707" t="n">
        <v/>
      </c>
      <c r="H707" t="n">
        <v/>
      </c>
      <c r="I707" t="n">
        <v/>
      </c>
      <c r="J707" t="n">
        <v/>
      </c>
      <c r="K707" t="n">
        <v/>
      </c>
      <c r="L707" t="n">
        <v/>
      </c>
      <c r="M707" t="n">
        <v/>
      </c>
    </row>
    <row r="708">
      <c r="A708" s="68" t="n">
        <v>43252</v>
      </c>
      <c r="B708" t="n">
        <v>109.9</v>
      </c>
      <c r="C708" t="n">
        <v>2718.3701171875</v>
      </c>
      <c r="D708" t="n">
        <v>98.2</v>
      </c>
      <c r="E708" t="n">
        <v>116.5</v>
      </c>
      <c r="F708" t="n">
        <v>86.3</v>
      </c>
      <c r="G708" t="n">
        <v/>
      </c>
      <c r="H708" t="n">
        <v/>
      </c>
      <c r="I708" t="n">
        <v/>
      </c>
      <c r="J708" t="n">
        <v/>
      </c>
      <c r="K708" t="n">
        <v/>
      </c>
      <c r="L708" t="n">
        <v/>
      </c>
      <c r="M708" t="n">
        <v/>
      </c>
    </row>
    <row r="709">
      <c r="A709" s="68" t="n">
        <v>43282</v>
      </c>
      <c r="B709" t="n">
        <v>110.7</v>
      </c>
      <c r="C709" t="n">
        <v>2816.2900390625</v>
      </c>
      <c r="D709" t="n">
        <v>97.90000000000001</v>
      </c>
      <c r="E709" t="n">
        <v>114.4</v>
      </c>
      <c r="F709" t="n">
        <v>87.3</v>
      </c>
      <c r="G709" t="n">
        <v>18699.748</v>
      </c>
      <c r="H709" t="n">
        <v>0.00479640917345161</v>
      </c>
      <c r="I709" t="n">
        <v>0.02962445821240593</v>
      </c>
      <c r="J709" t="n">
        <v>0.01932411184476712</v>
      </c>
      <c r="K709" t="n">
        <v>0.007220359138684612</v>
      </c>
      <c r="L709" t="n">
        <v>0.02919574648205758</v>
      </c>
      <c r="M709" t="n">
        <v>0.03153983832960232</v>
      </c>
    </row>
    <row r="710">
      <c r="A710" s="68" t="n">
        <v>43313</v>
      </c>
      <c r="B710" t="n">
        <v>111.3</v>
      </c>
      <c r="C710" t="n">
        <v>2901.52001953125</v>
      </c>
      <c r="D710" t="n">
        <v>96.2</v>
      </c>
      <c r="E710" t="n">
        <v>110.3</v>
      </c>
      <c r="F710" t="n">
        <v>87.09999999999999</v>
      </c>
      <c r="G710" t="n">
        <v/>
      </c>
      <c r="H710" t="n">
        <v/>
      </c>
      <c r="I710" t="n">
        <v/>
      </c>
      <c r="J710" t="n">
        <v/>
      </c>
      <c r="K710" t="n">
        <v/>
      </c>
      <c r="L710" t="n">
        <v/>
      </c>
      <c r="M710" t="n">
        <v/>
      </c>
    </row>
    <row r="711">
      <c r="A711" s="68" t="n">
        <v>43344</v>
      </c>
      <c r="B711" t="n">
        <v>111.8</v>
      </c>
      <c r="C711" t="n">
        <v>2913.97998046875</v>
      </c>
      <c r="D711" t="n">
        <v>100.1</v>
      </c>
      <c r="E711" t="n">
        <v>115.2</v>
      </c>
      <c r="F711" t="n">
        <v>90.5</v>
      </c>
      <c r="G711" t="n">
        <v/>
      </c>
      <c r="H711" t="n">
        <v/>
      </c>
      <c r="I711" t="n">
        <v/>
      </c>
      <c r="J711" t="n">
        <v/>
      </c>
      <c r="K711" t="n">
        <v/>
      </c>
      <c r="L711" t="n">
        <v/>
      </c>
      <c r="M711" t="n">
        <v/>
      </c>
    </row>
    <row r="712">
      <c r="A712" s="68" t="n">
        <v>43374</v>
      </c>
      <c r="B712" t="n">
        <v>112.1</v>
      </c>
      <c r="C712" t="n">
        <v>2711.739990234375</v>
      </c>
      <c r="D712" t="n">
        <v>98.59999999999999</v>
      </c>
      <c r="E712" t="n">
        <v>113.1</v>
      </c>
      <c r="F712" t="n">
        <v>89.3</v>
      </c>
      <c r="G712" t="n">
        <v>18733.741</v>
      </c>
      <c r="H712" t="n">
        <v>0.002226450209256551</v>
      </c>
      <c r="I712" t="n">
        <v>0.02267985828533837</v>
      </c>
      <c r="J712" t="n">
        <v>0.008935587491576857</v>
      </c>
      <c r="K712" t="n">
        <v>0.001817831983618293</v>
      </c>
      <c r="L712" t="n">
        <v>0.007291179052316021</v>
      </c>
      <c r="M712" t="n">
        <v>0.02312583627794206</v>
      </c>
    </row>
    <row r="713">
      <c r="A713" s="68" t="n">
        <v>43405</v>
      </c>
      <c r="B713" t="n">
        <v>111.8</v>
      </c>
      <c r="C713" t="n">
        <v>2760.169921875</v>
      </c>
      <c r="D713" t="n">
        <v>97.5</v>
      </c>
      <c r="E713" t="n">
        <v>112.3</v>
      </c>
      <c r="F713" t="n">
        <v>88.09999999999999</v>
      </c>
      <c r="G713" t="n">
        <v/>
      </c>
      <c r="H713" t="n">
        <v/>
      </c>
      <c r="I713" t="n">
        <v/>
      </c>
      <c r="J713" t="n">
        <v/>
      </c>
      <c r="K713" t="n">
        <v/>
      </c>
      <c r="L713" t="n">
        <v/>
      </c>
      <c r="M713" t="n">
        <v/>
      </c>
    </row>
    <row r="714">
      <c r="A714" s="68" t="n">
        <v>43435</v>
      </c>
      <c r="B714" t="n">
        <v>111.7</v>
      </c>
      <c r="C714" t="n">
        <v>2506.85009765625</v>
      </c>
      <c r="D714" t="n">
        <v>98.3</v>
      </c>
      <c r="E714" t="n">
        <v>116.1</v>
      </c>
      <c r="F714" t="n">
        <v>87</v>
      </c>
      <c r="G714" t="n">
        <v/>
      </c>
      <c r="H714" t="n">
        <v/>
      </c>
      <c r="I714" t="n">
        <v/>
      </c>
      <c r="J714" t="n">
        <v/>
      </c>
      <c r="K714" t="n">
        <v/>
      </c>
      <c r="L714" t="n">
        <v/>
      </c>
      <c r="M714" t="n">
        <v/>
      </c>
    </row>
    <row r="715">
      <c r="A715" s="68" t="n">
        <v>43466</v>
      </c>
      <c r="B715" t="n">
        <v>111</v>
      </c>
      <c r="C715" t="n">
        <v>2704.10009765625</v>
      </c>
      <c r="D715" t="n">
        <v>91.2</v>
      </c>
      <c r="E715" t="n">
        <v>108.8</v>
      </c>
      <c r="F715" t="n">
        <v>79.90000000000001</v>
      </c>
      <c r="G715" t="n">
        <v>18835.411</v>
      </c>
      <c r="H715" t="n">
        <v>0.00594237993075528</v>
      </c>
      <c r="I715" t="n">
        <v>0.02107624330338007</v>
      </c>
      <c r="J715" t="n">
        <v>0.02398223159180835</v>
      </c>
      <c r="K715" t="n">
        <v>0.005427106096961533</v>
      </c>
      <c r="L715" t="n">
        <v>0.02188578552753584</v>
      </c>
      <c r="M715" t="n">
        <v>0.02160228109292731</v>
      </c>
    </row>
    <row r="716">
      <c r="A716" s="68" t="n">
        <v>43497</v>
      </c>
      <c r="B716" t="n">
        <v>111.1</v>
      </c>
      <c r="C716" t="n">
        <v>2784.489990234375</v>
      </c>
      <c r="D716" t="n">
        <v>93.8</v>
      </c>
      <c r="E716" t="n">
        <v>108.5</v>
      </c>
      <c r="F716" t="n">
        <v>84.40000000000001</v>
      </c>
      <c r="G716" t="n">
        <v/>
      </c>
      <c r="H716" t="n">
        <v/>
      </c>
      <c r="I716" t="n">
        <v/>
      </c>
      <c r="J716" t="n">
        <v/>
      </c>
      <c r="K716" t="n">
        <v/>
      </c>
      <c r="L716" t="n">
        <v/>
      </c>
      <c r="M716" t="n">
        <v/>
      </c>
    </row>
    <row r="717">
      <c r="A717" s="68" t="n">
        <v>43525</v>
      </c>
      <c r="B717" t="n">
        <v>111.5</v>
      </c>
      <c r="C717" t="n">
        <v>2834.39990234375</v>
      </c>
      <c r="D717" t="n">
        <v>98.40000000000001</v>
      </c>
      <c r="E717" t="n">
        <v>113.3</v>
      </c>
      <c r="F717" t="n">
        <v>88.8</v>
      </c>
      <c r="G717" t="n">
        <v/>
      </c>
      <c r="H717" t="n">
        <v/>
      </c>
      <c r="I717" t="n">
        <v/>
      </c>
      <c r="J717" t="n">
        <v/>
      </c>
      <c r="K717" t="n">
        <v/>
      </c>
      <c r="L717" t="n">
        <v/>
      </c>
      <c r="M717" t="n">
        <v/>
      </c>
    </row>
    <row r="718">
      <c r="A718" s="68" t="n">
        <v>43556</v>
      </c>
      <c r="B718" t="n">
        <v>111.5</v>
      </c>
      <c r="C718" t="n">
        <v>2945.830078125</v>
      </c>
      <c r="D718" t="n">
        <v>97.2</v>
      </c>
      <c r="E718" t="n">
        <v>112.3</v>
      </c>
      <c r="F718" t="n">
        <v>87.40000000000001</v>
      </c>
      <c r="G718" t="n">
        <v>18962.175</v>
      </c>
      <c r="H718" t="n">
        <v>0.007866865783103217</v>
      </c>
      <c r="I718" t="n">
        <v>0.02067817310739632</v>
      </c>
      <c r="J718" t="n">
        <v>0.03184073987103631</v>
      </c>
      <c r="K718" t="n">
        <v>0.006730089404473266</v>
      </c>
      <c r="L718" t="n">
        <v>0.02719334362326342</v>
      </c>
      <c r="M718" t="n">
        <v>0.02135540615577208</v>
      </c>
    </row>
    <row r="719">
      <c r="A719" s="68" t="n">
        <v>43586</v>
      </c>
      <c r="B719" t="n">
        <v>111.4</v>
      </c>
      <c r="C719" t="n">
        <v>2752.06005859375</v>
      </c>
      <c r="D719" t="n">
        <v>100</v>
      </c>
      <c r="E719" t="n">
        <v>110</v>
      </c>
      <c r="F719" t="n">
        <v>93.5</v>
      </c>
      <c r="G719" t="n">
        <v/>
      </c>
      <c r="H719" t="n">
        <v/>
      </c>
      <c r="I719" t="n">
        <v/>
      </c>
      <c r="J719" t="n">
        <v/>
      </c>
      <c r="K719" t="n">
        <v/>
      </c>
      <c r="L719" t="n">
        <v/>
      </c>
      <c r="M719" t="n">
        <v/>
      </c>
    </row>
    <row r="720">
      <c r="A720" s="68" t="n">
        <v>43617</v>
      </c>
      <c r="B720" t="n">
        <v>111.5</v>
      </c>
      <c r="C720" t="n">
        <v>2941.760009765625</v>
      </c>
      <c r="D720" t="n">
        <v>98.2</v>
      </c>
      <c r="E720" t="n">
        <v>111.9</v>
      </c>
      <c r="F720" t="n">
        <v>89.3</v>
      </c>
      <c r="G720" t="n">
        <v/>
      </c>
      <c r="H720" t="n">
        <v/>
      </c>
      <c r="I720" t="n">
        <v/>
      </c>
      <c r="J720" t="n">
        <v/>
      </c>
      <c r="K720" t="n">
        <v/>
      </c>
      <c r="L720" t="n">
        <v/>
      </c>
      <c r="M720" t="n">
        <v/>
      </c>
    </row>
    <row r="721">
      <c r="A721" s="68" t="n">
        <v>43647</v>
      </c>
      <c r="B721" t="n">
        <v>112</v>
      </c>
      <c r="C721" t="n">
        <v>2980.3798828125</v>
      </c>
      <c r="D721" t="n">
        <v>98.40000000000001</v>
      </c>
      <c r="E721" t="n">
        <v>110.7</v>
      </c>
      <c r="F721" t="n">
        <v>90.5</v>
      </c>
      <c r="G721" t="n">
        <v>19130.932</v>
      </c>
      <c r="H721" t="n">
        <v>0.006808316982472293</v>
      </c>
      <c r="I721" t="n">
        <v>0.0226579742749476</v>
      </c>
      <c r="J721" t="n">
        <v>0.02751265150788296</v>
      </c>
      <c r="K721" t="n">
        <v>0.008899664727279514</v>
      </c>
      <c r="L721" t="n">
        <v>0.03607670893327297</v>
      </c>
      <c r="M721" t="n">
        <v>0.02305827864632192</v>
      </c>
    </row>
    <row r="722">
      <c r="A722" s="68" t="n">
        <v>43678</v>
      </c>
      <c r="B722" t="n">
        <v>111.8</v>
      </c>
      <c r="C722" t="n">
        <v>2926.4599609375</v>
      </c>
      <c r="D722" t="n">
        <v>89.8</v>
      </c>
      <c r="E722" t="n">
        <v>105.3</v>
      </c>
      <c r="F722" t="n">
        <v>79.90000000000001</v>
      </c>
      <c r="G722" t="n">
        <v/>
      </c>
      <c r="H722" t="n">
        <v/>
      </c>
      <c r="I722" t="n">
        <v/>
      </c>
      <c r="J722" t="n">
        <v/>
      </c>
      <c r="K722" t="n">
        <v/>
      </c>
      <c r="L722" t="n">
        <v/>
      </c>
      <c r="M722" t="n">
        <v/>
      </c>
    </row>
    <row r="723">
      <c r="A723" s="68" t="n">
        <v>43709</v>
      </c>
      <c r="B723" t="n">
        <v>111.7</v>
      </c>
      <c r="C723" t="n">
        <v>2976.739990234375</v>
      </c>
      <c r="D723" t="n">
        <v>93.2</v>
      </c>
      <c r="E723" t="n">
        <v>108.5</v>
      </c>
      <c r="F723" t="n">
        <v>83.40000000000001</v>
      </c>
      <c r="G723" t="n">
        <v/>
      </c>
      <c r="H723" t="n">
        <v/>
      </c>
      <c r="I723" t="n">
        <v/>
      </c>
      <c r="J723" t="n">
        <v/>
      </c>
      <c r="K723" t="n">
        <v/>
      </c>
      <c r="L723" t="n">
        <v/>
      </c>
      <c r="M723" t="n">
        <v/>
      </c>
    </row>
    <row r="724">
      <c r="A724" s="68" t="n">
        <v>43739</v>
      </c>
      <c r="B724" t="n">
        <v>111.4</v>
      </c>
      <c r="C724" t="n">
        <v>3037.56005859375</v>
      </c>
      <c r="D724" t="n">
        <v>95.5</v>
      </c>
      <c r="E724" t="n">
        <v>113.2</v>
      </c>
      <c r="F724" t="n">
        <v>84.2</v>
      </c>
      <c r="G724" t="n">
        <v>19215.691</v>
      </c>
      <c r="H724" t="n">
        <v>0.004669073668741046</v>
      </c>
      <c r="I724" t="n">
        <v>0.02505057985211166</v>
      </c>
      <c r="J724" t="n">
        <v>0.0188075037916331</v>
      </c>
      <c r="K724" t="n">
        <v>0.004430468938993573</v>
      </c>
      <c r="L724" t="n">
        <v>0.01783999833506456</v>
      </c>
      <c r="M724" t="n">
        <v>0.02572630848264621</v>
      </c>
    </row>
    <row r="725">
      <c r="A725" s="68" t="n">
        <v>43770</v>
      </c>
      <c r="B725" t="n">
        <v>111.6</v>
      </c>
      <c r="C725" t="n">
        <v>3140.97998046875</v>
      </c>
      <c r="D725" t="n">
        <v>96.8</v>
      </c>
      <c r="E725" t="n">
        <v>111.6</v>
      </c>
      <c r="F725" t="n">
        <v>87.3</v>
      </c>
      <c r="G725" t="n">
        <v/>
      </c>
      <c r="H725" t="n">
        <v/>
      </c>
      <c r="I725" t="n">
        <v/>
      </c>
      <c r="J725" t="n">
        <v/>
      </c>
      <c r="K725" t="n">
        <v/>
      </c>
      <c r="L725" t="n">
        <v/>
      </c>
      <c r="M725" t="n">
        <v/>
      </c>
    </row>
    <row r="726">
      <c r="A726" s="68" t="n">
        <v>43800</v>
      </c>
      <c r="B726" t="n">
        <v>111.4</v>
      </c>
      <c r="C726" t="n">
        <v>3230.780029296875</v>
      </c>
      <c r="D726" t="n">
        <v>99.3</v>
      </c>
      <c r="E726" t="n">
        <v>115.5</v>
      </c>
      <c r="F726" t="n">
        <v>88.90000000000001</v>
      </c>
      <c r="G726" t="n">
        <v/>
      </c>
      <c r="H726" t="n">
        <v/>
      </c>
      <c r="I726" t="n">
        <v/>
      </c>
      <c r="J726" t="n">
        <v/>
      </c>
      <c r="K726" t="n">
        <v/>
      </c>
      <c r="L726" t="n">
        <v/>
      </c>
      <c r="M726" t="n">
        <v/>
      </c>
    </row>
    <row r="727">
      <c r="A727" s="68" t="n">
        <v>43831</v>
      </c>
      <c r="B727" t="n">
        <v>112</v>
      </c>
      <c r="C727" t="n">
        <v>3225.52001953125</v>
      </c>
      <c r="D727" t="n">
        <v>99.8</v>
      </c>
      <c r="E727" t="n">
        <v>114.4</v>
      </c>
      <c r="F727" t="n">
        <v>90.5</v>
      </c>
      <c r="G727" t="n">
        <v>18989.877</v>
      </c>
      <c r="H727" t="n">
        <v>-0.01320800473111233</v>
      </c>
      <c r="I727" t="n">
        <v>0.006268312059228321</v>
      </c>
      <c r="J727" t="n">
        <v>-0.05179449677638337</v>
      </c>
      <c r="K727" t="n">
        <v>-0.01175154200803908</v>
      </c>
      <c r="L727" t="n">
        <v>-0.04618404801605125</v>
      </c>
      <c r="M727" t="n">
        <v>0.008200829809341583</v>
      </c>
    </row>
    <row r="728">
      <c r="A728" s="68" t="n">
        <v>43862</v>
      </c>
      <c r="B728" t="n">
        <v>111.9</v>
      </c>
      <c r="C728" t="n">
        <v>2954.219970703125</v>
      </c>
      <c r="D728" t="n">
        <v>101</v>
      </c>
      <c r="E728" t="n">
        <v>114.8</v>
      </c>
      <c r="F728" t="n">
        <v>92.09999999999999</v>
      </c>
      <c r="G728" t="n">
        <v/>
      </c>
      <c r="H728" t="n">
        <v/>
      </c>
      <c r="I728" t="n">
        <v/>
      </c>
      <c r="J728" t="n">
        <v/>
      </c>
      <c r="K728" t="n">
        <v/>
      </c>
      <c r="L728" t="n">
        <v/>
      </c>
      <c r="M728" t="n">
        <v/>
      </c>
    </row>
    <row r="729">
      <c r="A729" s="68" t="n">
        <v>43891</v>
      </c>
      <c r="B729" t="n">
        <v>103.4</v>
      </c>
      <c r="C729" t="n">
        <v>2584.590087890625</v>
      </c>
      <c r="D729" t="n">
        <v>89.09999999999999</v>
      </c>
      <c r="E729" t="n">
        <v>103.7</v>
      </c>
      <c r="F729" t="n">
        <v>79.7</v>
      </c>
      <c r="G729" t="n">
        <v/>
      </c>
      <c r="H729" t="n">
        <v/>
      </c>
      <c r="I729" t="n">
        <v/>
      </c>
      <c r="J729" t="n">
        <v/>
      </c>
      <c r="K729" t="n">
        <v/>
      </c>
      <c r="L729" t="n">
        <v/>
      </c>
      <c r="M729" t="n">
        <v/>
      </c>
    </row>
    <row r="730">
      <c r="A730" s="68" t="n">
        <v>43922</v>
      </c>
      <c r="B730" t="n">
        <v>96.8</v>
      </c>
      <c r="C730" t="n">
        <v>2912.429931640625</v>
      </c>
      <c r="D730" t="n">
        <v>71.8</v>
      </c>
      <c r="E730" t="n">
        <v>74.3</v>
      </c>
      <c r="F730" t="n">
        <v>70.09999999999999</v>
      </c>
      <c r="G730" t="n">
        <v>17378.712</v>
      </c>
      <c r="H730" t="n">
        <v>-0.09814386838028616</v>
      </c>
      <c r="I730" t="n">
        <v>-0.09991322967828906</v>
      </c>
      <c r="J730" t="n">
        <v>-0.338470753372294</v>
      </c>
      <c r="K730" t="n">
        <v>-0.08484336154467988</v>
      </c>
      <c r="L730" t="n">
        <v>-0.2985741977414337</v>
      </c>
      <c r="M730" t="n">
        <v>-0.08350640155994762</v>
      </c>
    </row>
    <row r="731">
      <c r="A731" s="68" t="n">
        <v>43952</v>
      </c>
      <c r="B731" t="n">
        <v>99.8</v>
      </c>
      <c r="C731" t="n">
        <v>3044.31005859375</v>
      </c>
      <c r="D731" t="n">
        <v>72.3</v>
      </c>
      <c r="E731" t="n">
        <v>82.3</v>
      </c>
      <c r="F731" t="n">
        <v>65.90000000000001</v>
      </c>
      <c r="G731" t="n">
        <v/>
      </c>
      <c r="H731" t="n">
        <v/>
      </c>
      <c r="I731" t="n">
        <v/>
      </c>
      <c r="J731" t="n">
        <v/>
      </c>
      <c r="K731" t="n">
        <v/>
      </c>
      <c r="L731" t="n">
        <v/>
      </c>
      <c r="M731" t="n">
        <v/>
      </c>
    </row>
    <row r="732">
      <c r="A732" s="68" t="n">
        <v>43983</v>
      </c>
      <c r="B732" t="n">
        <v>102.8</v>
      </c>
      <c r="C732" t="n">
        <v>3100.2900390625</v>
      </c>
      <c r="D732" t="n">
        <v>78.09999999999999</v>
      </c>
      <c r="E732" t="n">
        <v>87.09999999999999</v>
      </c>
      <c r="F732" t="n">
        <v>72.3</v>
      </c>
      <c r="G732" t="n">
        <v/>
      </c>
      <c r="H732" t="n">
        <v/>
      </c>
      <c r="I732" t="n">
        <v/>
      </c>
      <c r="J732" t="n">
        <v/>
      </c>
      <c r="K732" t="n">
        <v/>
      </c>
      <c r="L732" t="n">
        <v/>
      </c>
      <c r="M732" t="n">
        <v/>
      </c>
    </row>
    <row r="733">
      <c r="A733" s="68" t="n">
        <v>44013</v>
      </c>
      <c r="B733" t="n">
        <v>104.9</v>
      </c>
      <c r="C733" t="n">
        <v>3271.1201171875</v>
      </c>
      <c r="D733" t="n">
        <v>72.5</v>
      </c>
      <c r="E733" t="n">
        <v>82.8</v>
      </c>
      <c r="F733" t="n">
        <v>65.90000000000001</v>
      </c>
      <c r="G733" t="n">
        <v>18743.72</v>
      </c>
      <c r="H733" t="n">
        <v>0.07017859276773691</v>
      </c>
      <c r="I733" t="n">
        <v>-0.02973361994494395</v>
      </c>
      <c r="J733" t="n">
        <v>0.3116713644063489</v>
      </c>
      <c r="K733" t="n">
        <v>0.07854483117045738</v>
      </c>
      <c r="L733" t="n">
        <v>0.3531713913729064</v>
      </c>
      <c r="M733" t="n">
        <v>-0.0202401012140966</v>
      </c>
    </row>
    <row r="734">
      <c r="A734" s="68" t="n">
        <v>44044</v>
      </c>
      <c r="B734" t="n">
        <v>106.5</v>
      </c>
      <c r="C734" t="n">
        <v>3500.31005859375</v>
      </c>
      <c r="D734" t="n">
        <v>74.09999999999999</v>
      </c>
      <c r="E734" t="n">
        <v>82.90000000000001</v>
      </c>
      <c r="F734" t="n">
        <v>68.5</v>
      </c>
      <c r="G734" t="n">
        <v/>
      </c>
      <c r="H734" t="n">
        <v/>
      </c>
      <c r="I734" t="n">
        <v/>
      </c>
      <c r="J734" t="n">
        <v/>
      </c>
      <c r="K734" t="n">
        <v/>
      </c>
      <c r="L734" t="n">
        <v/>
      </c>
      <c r="M734" t="n">
        <v/>
      </c>
    </row>
    <row r="735">
      <c r="A735" s="68" t="n">
        <v>44075</v>
      </c>
      <c r="B735" t="n">
        <v>107.5</v>
      </c>
      <c r="C735" t="n">
        <v>3363</v>
      </c>
      <c r="D735" t="n">
        <v>80.40000000000001</v>
      </c>
      <c r="E735" t="n">
        <v>87.8</v>
      </c>
      <c r="F735" t="n">
        <v>75.59999999999999</v>
      </c>
      <c r="G735" t="n">
        <v/>
      </c>
      <c r="H735" t="n">
        <v/>
      </c>
      <c r="I735" t="n">
        <v/>
      </c>
      <c r="J735" t="n">
        <v/>
      </c>
      <c r="K735" t="n">
        <v/>
      </c>
      <c r="L735" t="n">
        <v/>
      </c>
      <c r="M735" t="n">
        <v/>
      </c>
    </row>
    <row r="736">
      <c r="A736" s="68" t="n">
        <v>44105</v>
      </c>
      <c r="B736" t="n">
        <v>108.2</v>
      </c>
      <c r="C736" t="n">
        <v>3269.9599609375</v>
      </c>
      <c r="D736" t="n">
        <v>81.8</v>
      </c>
      <c r="E736" t="n">
        <v>85.90000000000001</v>
      </c>
      <c r="F736" t="n">
        <v>79.2</v>
      </c>
      <c r="G736" t="n">
        <v>18924.262</v>
      </c>
      <c r="H736" t="n">
        <v>0.01102975536049058</v>
      </c>
      <c r="I736" t="n">
        <v>-0.02315308716887012</v>
      </c>
      <c r="J736" t="n">
        <v>0.04485433658365645</v>
      </c>
      <c r="K736" t="n">
        <v>0.009632132789008672</v>
      </c>
      <c r="L736" t="n">
        <v>0.03908878225555212</v>
      </c>
      <c r="M736" t="n">
        <v>-0.01516619933157752</v>
      </c>
    </row>
    <row r="737">
      <c r="A737" s="68" t="n">
        <v>44136</v>
      </c>
      <c r="B737" t="n">
        <v>109.2</v>
      </c>
      <c r="C737" t="n">
        <v>3621.6298828125</v>
      </c>
      <c r="D737" t="n">
        <v>76.90000000000001</v>
      </c>
      <c r="E737" t="n">
        <v>87</v>
      </c>
      <c r="F737" t="n">
        <v>70.5</v>
      </c>
      <c r="G737" t="n">
        <v/>
      </c>
      <c r="H737" t="n">
        <v/>
      </c>
      <c r="I737" t="n">
        <v/>
      </c>
      <c r="J737" t="n">
        <v/>
      </c>
      <c r="K737" t="n">
        <v/>
      </c>
      <c r="L737" t="n">
        <v/>
      </c>
      <c r="M737" t="n">
        <v/>
      </c>
    </row>
    <row r="738">
      <c r="A738" s="68" t="n">
        <v>44166</v>
      </c>
      <c r="B738" t="n">
        <v>109.6</v>
      </c>
      <c r="C738" t="n">
        <v>3756.070068359375</v>
      </c>
      <c r="D738" t="n">
        <v>80.7</v>
      </c>
      <c r="E738" t="n">
        <v>90</v>
      </c>
      <c r="F738" t="n">
        <v>74.59999999999999</v>
      </c>
      <c r="G738" t="n">
        <v/>
      </c>
      <c r="H738" t="n">
        <v/>
      </c>
      <c r="I738" t="n">
        <v/>
      </c>
      <c r="J738" t="n">
        <v/>
      </c>
      <c r="K738" t="n">
        <v/>
      </c>
      <c r="L738" t="n">
        <v/>
      </c>
      <c r="M738" t="n">
        <v/>
      </c>
    </row>
    <row r="739">
      <c r="A739" s="68" t="n">
        <v>44197</v>
      </c>
      <c r="B739" t="n">
        <v>110.1</v>
      </c>
      <c r="C739" t="n">
        <v>3714.239990234375</v>
      </c>
      <c r="D739" t="n">
        <v>79</v>
      </c>
      <c r="E739" t="n">
        <v>86.7</v>
      </c>
      <c r="F739" t="n">
        <v>74</v>
      </c>
      <c r="G739" t="n">
        <v>19216.224</v>
      </c>
      <c r="H739" t="n">
        <v>0.0151071689742494</v>
      </c>
      <c r="I739" t="n">
        <v>0.005440012426757331</v>
      </c>
      <c r="J739" t="n">
        <v>0.06181187873934513</v>
      </c>
      <c r="K739" t="n">
        <v>0.01542791998969363</v>
      </c>
      <c r="L739" t="n">
        <v>0.06315454956208622</v>
      </c>
      <c r="M739" t="n">
        <v>0.01191935050448183</v>
      </c>
    </row>
    <row r="740">
      <c r="A740" s="68" t="n">
        <v>44228</v>
      </c>
      <c r="B740" t="n">
        <v>110.1</v>
      </c>
      <c r="C740" t="n">
        <v>3811.14990234375</v>
      </c>
      <c r="D740" t="n">
        <v>76.8</v>
      </c>
      <c r="E740" t="n">
        <v>86.2</v>
      </c>
      <c r="F740" t="n">
        <v>70.7</v>
      </c>
      <c r="G740" t="n">
        <v/>
      </c>
      <c r="H740" t="n">
        <v/>
      </c>
      <c r="I740" t="n">
        <v/>
      </c>
      <c r="J740" t="n">
        <v/>
      </c>
      <c r="K740" t="n">
        <v/>
      </c>
      <c r="L740" t="n">
        <v/>
      </c>
      <c r="M740" t="n">
        <v/>
      </c>
    </row>
    <row r="741">
      <c r="A741" s="68" t="n">
        <v>44256</v>
      </c>
      <c r="B741" t="n">
        <v>111.6</v>
      </c>
      <c r="C741" t="n">
        <v>3972.889892578125</v>
      </c>
      <c r="D741" t="n">
        <v>84.90000000000001</v>
      </c>
      <c r="E741" t="n">
        <v>93</v>
      </c>
      <c r="F741" t="n">
        <v>79.7</v>
      </c>
      <c r="G741" t="n">
        <v/>
      </c>
      <c r="H741" t="n">
        <v/>
      </c>
      <c r="I741" t="n">
        <v/>
      </c>
      <c r="J741" t="n">
        <v/>
      </c>
      <c r="K741" t="n">
        <v/>
      </c>
      <c r="L741" t="n">
        <v/>
      </c>
      <c r="M741" t="n">
        <v/>
      </c>
    </row>
    <row r="742">
      <c r="A742" s="68" t="n">
        <v>44287</v>
      </c>
      <c r="B742" t="n">
        <v>113</v>
      </c>
      <c r="C742" t="n">
        <v>4181.169921875</v>
      </c>
      <c r="D742" t="n">
        <v>88.3</v>
      </c>
      <c r="E742" t="n">
        <v>97.2</v>
      </c>
      <c r="F742" t="n">
        <v>82.7</v>
      </c>
      <c r="G742" t="n">
        <v>19544.248</v>
      </c>
      <c r="H742" t="n">
        <v>0.01614260614374731</v>
      </c>
      <c r="I742" t="n">
        <v>0.1089462632516724</v>
      </c>
      <c r="J742" t="n">
        <v>0.06615082087982849</v>
      </c>
      <c r="K742" t="n">
        <v>0.01707015904893705</v>
      </c>
      <c r="L742" t="n">
        <v>0.07004895940091926</v>
      </c>
      <c r="M742" t="n">
        <v>0.1246085440624138</v>
      </c>
    </row>
    <row r="743">
      <c r="A743" s="68" t="n">
        <v>44317</v>
      </c>
      <c r="B743" t="n">
        <v>114.5</v>
      </c>
      <c r="C743" t="n">
        <v>4204.10986328125</v>
      </c>
      <c r="D743" t="n">
        <v>82.90000000000001</v>
      </c>
      <c r="E743" t="n">
        <v>89.40000000000001</v>
      </c>
      <c r="F743" t="n">
        <v>78.8</v>
      </c>
      <c r="G743" t="n">
        <v/>
      </c>
      <c r="H743" t="n">
        <v/>
      </c>
      <c r="I743" t="n">
        <v/>
      </c>
      <c r="J743" t="n">
        <v/>
      </c>
      <c r="K743" t="n">
        <v/>
      </c>
      <c r="L743" t="n">
        <v/>
      </c>
      <c r="M743" t="n">
        <v/>
      </c>
    </row>
    <row r="744">
      <c r="A744" s="68" t="n">
        <v>44348</v>
      </c>
      <c r="B744" t="n">
        <v>115.1</v>
      </c>
      <c r="C744" t="n">
        <v>4297.5</v>
      </c>
      <c r="D744" t="n">
        <v>85.5</v>
      </c>
      <c r="E744" t="n">
        <v>88.59999999999999</v>
      </c>
      <c r="F744" t="n">
        <v>83.5</v>
      </c>
      <c r="G744" t="n">
        <v/>
      </c>
      <c r="H744" t="n">
        <v/>
      </c>
      <c r="I744" t="n">
        <v/>
      </c>
      <c r="J744" t="n">
        <v/>
      </c>
      <c r="K744" t="n">
        <v/>
      </c>
      <c r="L744" t="n">
        <v/>
      </c>
      <c r="M744" t="n">
        <v/>
      </c>
    </row>
    <row r="745">
      <c r="A745" s="68" t="n">
        <v>44378</v>
      </c>
      <c r="B745" t="n">
        <v>116</v>
      </c>
      <c r="C745" t="n">
        <v>4395.259765625</v>
      </c>
      <c r="D745" t="n">
        <v>81.2</v>
      </c>
      <c r="E745" t="n">
        <v>84.5</v>
      </c>
      <c r="F745" t="n">
        <v>79</v>
      </c>
      <c r="G745" t="n">
        <v>19672.594</v>
      </c>
      <c r="H745" t="n">
        <v>0.005677067993545564</v>
      </c>
      <c r="I745" t="n">
        <v>0.04713404401369209</v>
      </c>
      <c r="J745" t="n">
        <v>0.02290237948610852</v>
      </c>
      <c r="K745" t="n">
        <v>0.006566944913920524</v>
      </c>
      <c r="L745" t="n">
        <v>0.02652766290028019</v>
      </c>
      <c r="M745" t="n">
        <v>0.04955654480540681</v>
      </c>
    </row>
    <row r="746">
      <c r="A746" s="68" t="n">
        <v>44409</v>
      </c>
      <c r="B746" t="n">
        <v>117.1</v>
      </c>
      <c r="C746" t="n">
        <v>4522.68017578125</v>
      </c>
      <c r="D746" t="n">
        <v>70.3</v>
      </c>
      <c r="E746" t="n">
        <v>78.5</v>
      </c>
      <c r="F746" t="n">
        <v>65.09999999999999</v>
      </c>
      <c r="G746" t="n">
        <v/>
      </c>
      <c r="H746" t="n">
        <v/>
      </c>
      <c r="I746" t="n">
        <v/>
      </c>
      <c r="J746" t="n">
        <v/>
      </c>
      <c r="K746" t="n">
        <v/>
      </c>
      <c r="L746" t="n">
        <v/>
      </c>
      <c r="M746" t="n">
        <v/>
      </c>
    </row>
    <row r="747">
      <c r="A747" s="68" t="n">
        <v>44440</v>
      </c>
      <c r="B747" t="n">
        <v>117.5</v>
      </c>
      <c r="C747" t="n">
        <v>4307.5400390625</v>
      </c>
      <c r="D747" t="n">
        <v>72.8</v>
      </c>
      <c r="E747" t="n">
        <v>80.09999999999999</v>
      </c>
      <c r="F747" t="n">
        <v>68.09999999999999</v>
      </c>
      <c r="G747" t="n">
        <v/>
      </c>
      <c r="H747" t="n">
        <v/>
      </c>
      <c r="I747" t="n">
        <v/>
      </c>
      <c r="J747" t="n">
        <v/>
      </c>
      <c r="K747" t="n">
        <v/>
      </c>
      <c r="L747" t="n">
        <v/>
      </c>
      <c r="M747" t="n">
        <v/>
      </c>
    </row>
    <row r="748">
      <c r="A748" s="68" t="n">
        <v>44470</v>
      </c>
      <c r="B748" t="n">
        <v>118.3</v>
      </c>
      <c r="C748" t="n">
        <v>4605.3798828125</v>
      </c>
      <c r="D748" t="n">
        <v>71.7</v>
      </c>
      <c r="E748" t="n">
        <v>77.7</v>
      </c>
      <c r="F748" t="n">
        <v>67.90000000000001</v>
      </c>
      <c r="G748" t="n">
        <v>20006.181</v>
      </c>
      <c r="H748" t="n">
        <v>0.01679094392068376</v>
      </c>
      <c r="I748" t="n">
        <v>0.05531736362184171</v>
      </c>
      <c r="J748" t="n">
        <v>0.06887440582969107</v>
      </c>
      <c r="K748" t="n">
        <v>0.01695694019812535</v>
      </c>
      <c r="L748" t="n">
        <v>0.06957257344233025</v>
      </c>
      <c r="M748" t="n">
        <v>0.05717100090878058</v>
      </c>
    </row>
    <row r="749">
      <c r="A749" s="68" t="n">
        <v>44501</v>
      </c>
      <c r="B749" t="n">
        <v>119.9</v>
      </c>
      <c r="C749" t="n">
        <v>4567</v>
      </c>
      <c r="D749" t="n">
        <v>67.40000000000001</v>
      </c>
      <c r="E749" t="n">
        <v>73.59999999999999</v>
      </c>
      <c r="F749" t="n">
        <v>63.5</v>
      </c>
      <c r="G749" t="n">
        <v/>
      </c>
      <c r="H749" t="n">
        <v/>
      </c>
      <c r="I749" t="n">
        <v/>
      </c>
      <c r="J749" t="n">
        <v/>
      </c>
      <c r="K749" t="n">
        <v/>
      </c>
      <c r="L749" t="n">
        <v/>
      </c>
      <c r="M749" t="n">
        <v/>
      </c>
    </row>
    <row r="750">
      <c r="A750" s="68" t="n">
        <v>44531</v>
      </c>
      <c r="B750" t="n">
        <v>120.8</v>
      </c>
      <c r="C750" t="n">
        <v>4766.18017578125</v>
      </c>
      <c r="D750" t="n">
        <v>70.59999999999999</v>
      </c>
      <c r="E750" t="n">
        <v>74.2</v>
      </c>
      <c r="F750" t="n">
        <v>68.3</v>
      </c>
      <c r="G750" t="n">
        <v/>
      </c>
      <c r="H750" t="n">
        <v/>
      </c>
      <c r="I750" t="n">
        <v/>
      </c>
      <c r="J750" t="n">
        <v/>
      </c>
      <c r="K750" t="n">
        <v/>
      </c>
      <c r="L750" t="n">
        <v/>
      </c>
      <c r="M750" t="n">
        <v/>
      </c>
    </row>
    <row r="751">
      <c r="A751" s="68" t="n">
        <v>44562</v>
      </c>
      <c r="B751" t="n">
        <v>119.6</v>
      </c>
      <c r="C751" t="n">
        <v>4515.5498046875</v>
      </c>
      <c r="D751" t="n">
        <v>67.2</v>
      </c>
      <c r="E751" t="n">
        <v>72</v>
      </c>
      <c r="F751" t="n">
        <v>64.09999999999999</v>
      </c>
      <c r="G751" t="n">
        <v>19924.088</v>
      </c>
      <c r="H751" t="n">
        <v/>
      </c>
      <c r="I751" t="n">
        <v/>
      </c>
      <c r="J751" t="n">
        <v/>
      </c>
      <c r="K751" t="n">
        <v>-0.004103381849839345</v>
      </c>
      <c r="L751" t="n">
        <v>-0.01631277702696399</v>
      </c>
      <c r="M751" t="n">
        <v>0.03683678957947209</v>
      </c>
    </row>
    <row r="752">
      <c r="A752" s="68" t="n">
        <v>44593</v>
      </c>
      <c r="B752" t="n">
        <v>119.9</v>
      </c>
      <c r="C752" t="n">
        <v>4373.93994140625</v>
      </c>
      <c r="D752" t="n">
        <v>62.8</v>
      </c>
      <c r="E752" t="n">
        <v>68.2</v>
      </c>
      <c r="F752" t="n">
        <v>59.4</v>
      </c>
      <c r="G752" t="n">
        <v/>
      </c>
      <c r="H752" t="n">
        <v/>
      </c>
      <c r="I752" t="n">
        <v/>
      </c>
      <c r="J752" t="n">
        <v/>
      </c>
      <c r="K752" t="n">
        <v/>
      </c>
      <c r="L752" t="n">
        <v/>
      </c>
      <c r="M752" t="n">
        <v/>
      </c>
    </row>
    <row r="753">
      <c r="A753" s="68" t="n">
        <v>44621</v>
      </c>
      <c r="B753" t="n">
        <v>119.8</v>
      </c>
      <c r="C753" t="n">
        <v>4530.41015625</v>
      </c>
      <c r="D753" t="n">
        <v>59.4</v>
      </c>
      <c r="E753" t="n">
        <v>67.2</v>
      </c>
      <c r="F753" t="n">
        <v>54.3</v>
      </c>
      <c r="G753" t="n">
        <v/>
      </c>
      <c r="H753" t="n">
        <v/>
      </c>
      <c r="I753" t="n">
        <v/>
      </c>
      <c r="J753" t="n">
        <v/>
      </c>
      <c r="K753" t="n">
        <v/>
      </c>
      <c r="L753" t="n">
        <v/>
      </c>
      <c r="M753" t="n">
        <v/>
      </c>
    </row>
    <row r="754">
      <c r="A754" s="68" t="n">
        <v>44652</v>
      </c>
      <c r="B754" t="n">
        <v>119.2</v>
      </c>
      <c r="C754" t="n">
        <v>4131.93017578125</v>
      </c>
      <c r="D754" t="n">
        <v>65.2</v>
      </c>
      <c r="E754" t="n">
        <v>69.40000000000001</v>
      </c>
      <c r="F754" t="n">
        <v>62.5</v>
      </c>
      <c r="G754" t="n">
        <v>19895.271</v>
      </c>
      <c r="H754" t="n">
        <v/>
      </c>
      <c r="I754" t="n">
        <v/>
      </c>
      <c r="J754" t="n">
        <v/>
      </c>
      <c r="K754" t="n">
        <v>-0.001446339727068014</v>
      </c>
      <c r="L754" t="n">
        <v>-0.005772819614643598</v>
      </c>
      <c r="M754" t="n">
        <v>0.0179604249802807</v>
      </c>
    </row>
    <row r="755">
      <c r="A755" s="68" t="n">
        <v>44682</v>
      </c>
      <c r="B755" t="n">
        <v>118.3</v>
      </c>
      <c r="C755" t="n">
        <v>4132.14990234375</v>
      </c>
      <c r="D755" t="n">
        <v>58.4</v>
      </c>
      <c r="E755" t="n">
        <v>63.3</v>
      </c>
      <c r="F755" t="n">
        <v>55.2</v>
      </c>
      <c r="G755" t="n">
        <v/>
      </c>
      <c r="H755" t="n">
        <v/>
      </c>
      <c r="I755" t="n">
        <v/>
      </c>
      <c r="J755" t="n">
        <v/>
      </c>
      <c r="K755" t="n">
        <v/>
      </c>
      <c r="L755" t="n">
        <v/>
      </c>
      <c r="M755" t="n">
        <v/>
      </c>
    </row>
    <row r="756">
      <c r="A756" s="68" t="n">
        <v>44713</v>
      </c>
      <c r="B756" t="n">
        <v>117.1</v>
      </c>
      <c r="C756" t="n">
        <v>3785.3798828125</v>
      </c>
      <c r="D756" t="n">
        <v>50</v>
      </c>
      <c r="E756" t="n">
        <v>53.8</v>
      </c>
      <c r="F756" t="n">
        <v>47.5</v>
      </c>
      <c r="G756" t="n">
        <v/>
      </c>
      <c r="H756" t="n">
        <v/>
      </c>
      <c r="I756" t="n">
        <v/>
      </c>
      <c r="J756" t="n">
        <v/>
      </c>
      <c r="K756" t="n">
        <v/>
      </c>
      <c r="L756" t="n">
        <v/>
      </c>
      <c r="M756" t="n">
        <v/>
      </c>
    </row>
    <row r="757">
      <c r="A757" s="68" t="n">
        <v>44743</v>
      </c>
      <c r="B757" t="n">
        <v>116.6</v>
      </c>
      <c r="C757" t="n">
        <v>4130.2900390625</v>
      </c>
      <c r="D757" t="n">
        <v>51.5</v>
      </c>
      <c r="E757" t="n">
        <v>58.1</v>
      </c>
      <c r="F757" t="n">
        <v>47.3</v>
      </c>
      <c r="G757" t="n">
        <v>20021.721</v>
      </c>
      <c r="H757" t="n">
        <v/>
      </c>
      <c r="I757" t="n">
        <v/>
      </c>
      <c r="J757" t="n">
        <v/>
      </c>
      <c r="K757" t="n">
        <v>0.006355781733257151</v>
      </c>
      <c r="L757" t="n">
        <v>0.02566653132516228</v>
      </c>
      <c r="M757" t="n">
        <v>0.01774687161235577</v>
      </c>
    </row>
    <row r="758">
      <c r="A758" s="68" t="n">
        <v>44774</v>
      </c>
      <c r="B758" t="n">
        <v>116.2</v>
      </c>
      <c r="C758" t="n">
        <v>3955</v>
      </c>
      <c r="D758" t="n">
        <v>58.2</v>
      </c>
      <c r="E758" t="n">
        <v>58.6</v>
      </c>
      <c r="F758" t="n">
        <v>58</v>
      </c>
      <c r="G758" t="n">
        <v/>
      </c>
      <c r="H758" t="n">
        <v/>
      </c>
      <c r="I758" t="n">
        <v/>
      </c>
      <c r="J758" t="n">
        <v/>
      </c>
      <c r="K758" t="n">
        <v/>
      </c>
      <c r="L758" t="n">
        <v/>
      </c>
      <c r="M758" t="n">
        <v/>
      </c>
    </row>
    <row r="759">
      <c r="A759" s="68" t="n">
        <v>44805</v>
      </c>
      <c r="B759" t="n">
        <v>115.9</v>
      </c>
      <c r="C759" t="n">
        <v>3585.6201171875</v>
      </c>
      <c r="D759" t="n">
        <v>58.6</v>
      </c>
      <c r="E759" t="n">
        <v>59.7</v>
      </c>
      <c r="F759" t="n">
        <v>58</v>
      </c>
      <c r="G759" t="n">
        <v/>
      </c>
      <c r="H759" t="n">
        <v/>
      </c>
      <c r="I759" t="n">
        <v/>
      </c>
      <c r="J759" t="n">
        <v/>
      </c>
      <c r="K759" t="n">
        <v/>
      </c>
      <c r="L759" t="n">
        <v/>
      </c>
      <c r="M759" t="n">
        <v/>
      </c>
    </row>
    <row r="760">
      <c r="A760" s="68" t="n">
        <v>44835</v>
      </c>
      <c r="B760" t="n">
        <v>114.9</v>
      </c>
      <c r="C760" t="n">
        <v>3871.97998046875</v>
      </c>
      <c r="D760" t="n">
        <v>59.9</v>
      </c>
      <c r="E760" t="n">
        <v>65.59999999999999</v>
      </c>
      <c r="F760" t="n">
        <v>56.2</v>
      </c>
      <c r="G760" t="n">
        <v/>
      </c>
      <c r="H760" t="n">
        <v/>
      </c>
      <c r="I760" t="n">
        <v/>
      </c>
      <c r="J760" t="n">
        <v/>
      </c>
      <c r="K760" t="n">
        <v/>
      </c>
      <c r="L760" t="n">
        <v/>
      </c>
      <c r="M760" t="n">
        <v/>
      </c>
    </row>
    <row r="761">
      <c r="A761" s="68" t="n">
        <v>44866</v>
      </c>
      <c r="B761" t="n">
        <v/>
      </c>
      <c r="C761" t="n">
        <v/>
      </c>
      <c r="D761" t="n">
        <v>56.8</v>
      </c>
      <c r="E761" t="n">
        <v>58.8</v>
      </c>
      <c r="F761" t="n">
        <v>55.6</v>
      </c>
      <c r="G761" t="n">
        <v/>
      </c>
      <c r="H761" t="n">
        <v/>
      </c>
      <c r="I761" t="n">
        <v/>
      </c>
      <c r="J761" t="n">
        <v/>
      </c>
      <c r="K761" t="n">
        <v/>
      </c>
      <c r="L761" t="n">
        <v/>
      </c>
      <c r="M761" t="n">
        <v/>
      </c>
    </row>
  </sheetData>
  <pageMargins left="0.7" right="0.7" top="0.75" bottom="0.75" header="0.3" footer="0.3"/>
</worksheet>
</file>

<file path=xl/worksheets/sheet3.xml><?xml version="1.0" encoding="utf-8"?>
<worksheet xmlns="http://schemas.openxmlformats.org/spreadsheetml/2006/main">
  <sheetPr>
    <outlinePr summaryBelow="1" summaryRight="1"/>
    <pageSetUpPr/>
  </sheetPr>
  <dimension ref="A1:F774"/>
  <sheetViews>
    <sheetView zoomScale="90" zoomScaleNormal="90" workbookViewId="0">
      <pane ySplit="9" topLeftCell="A747" activePane="bottomLeft" state="frozen"/>
      <selection activeCell="H751" sqref="H751"/>
      <selection pane="bottomLeft" activeCell="T785" sqref="T785"/>
    </sheetView>
  </sheetViews>
  <sheetFormatPr baseColWidth="10" defaultColWidth="9.1640625" defaultRowHeight="15"/>
  <cols>
    <col width="11.33203125" customWidth="1" style="16" min="1" max="1"/>
    <col width="13.6640625" customWidth="1" style="2" min="2" max="2"/>
    <col width="13.6640625" customWidth="1" style="16" min="3" max="3"/>
    <col width="13.6640625" customWidth="1" style="3" min="4" max="4"/>
    <col width="13.6640625" customWidth="1" style="2" min="5" max="5"/>
    <col width="13.6640625" customWidth="1" style="16" min="6" max="6"/>
    <col width="9.1640625" customWidth="1" style="55" min="7" max="35"/>
    <col width="9.1640625" customWidth="1" style="55" min="36" max="16384"/>
  </cols>
  <sheetData>
    <row r="1">
      <c r="A1" s="5" t="inlineStr">
        <is>
          <t>https://www.conference-board.org/data/bcicountry.cfm?cid=1</t>
        </is>
      </c>
    </row>
    <row r="9" ht="27" customHeight="1">
      <c r="A9" s="48" t="inlineStr">
        <is>
          <t>Date</t>
        </is>
      </c>
      <c r="B9" s="49" t="inlineStr">
        <is>
          <t>Conference Board Leading Indicator</t>
        </is>
      </c>
      <c r="C9" s="48" t="inlineStr">
        <is>
          <t>Var y/y %</t>
        </is>
      </c>
      <c r="D9" s="50" t="inlineStr">
        <is>
          <t>GDP y/y %</t>
        </is>
      </c>
      <c r="E9" s="49" t="inlineStr">
        <is>
          <t>UMSCI</t>
        </is>
      </c>
      <c r="F9" s="50" t="inlineStr">
        <is>
          <t>SUMSCI y/y %</t>
        </is>
      </c>
    </row>
    <row r="10">
      <c r="A10" s="6" t="n">
        <v>21551</v>
      </c>
      <c r="B10" s="2" t="n">
        <v>27.2</v>
      </c>
      <c r="D10" s="3" t="n">
        <v>0.07420566677470888</v>
      </c>
      <c r="E10" s="2" t="n">
        <v>55.450001</v>
      </c>
    </row>
    <row r="11">
      <c r="A11" s="6" t="n">
        <v>21582</v>
      </c>
      <c r="B11" s="2" t="n">
        <v>27.6</v>
      </c>
      <c r="E11" s="2" t="n">
        <v>55.41</v>
      </c>
    </row>
    <row r="12">
      <c r="A12" s="6" t="n">
        <v>21610</v>
      </c>
      <c r="B12" s="2" t="n">
        <v>28</v>
      </c>
      <c r="E12" s="2" t="n">
        <v>55.439999</v>
      </c>
    </row>
    <row r="13">
      <c r="A13" s="6" t="n">
        <v>21641</v>
      </c>
      <c r="B13" s="2" t="n">
        <v>28.1</v>
      </c>
      <c r="D13" s="3" t="n">
        <v>0.09127056699319992</v>
      </c>
      <c r="E13" s="2" t="n">
        <v>57.59</v>
      </c>
    </row>
    <row r="14">
      <c r="A14" s="6" t="n">
        <v>21671</v>
      </c>
      <c r="B14" s="2" t="n">
        <v>28.3</v>
      </c>
      <c r="E14" s="2" t="n">
        <v>58.68</v>
      </c>
    </row>
    <row r="15">
      <c r="A15" s="6" t="n">
        <v>21702</v>
      </c>
      <c r="B15" s="2" t="n">
        <v>28.4</v>
      </c>
      <c r="E15" s="2" t="n">
        <v>58.470001</v>
      </c>
    </row>
    <row r="16">
      <c r="A16" s="6" t="n">
        <v>21732</v>
      </c>
      <c r="B16" s="2" t="n">
        <v>28.5</v>
      </c>
      <c r="D16" s="3" t="n">
        <v>0.06735062484380561</v>
      </c>
      <c r="E16" s="2" t="n">
        <v>60.509998</v>
      </c>
    </row>
    <row r="17">
      <c r="A17" s="6" t="n">
        <v>21763</v>
      </c>
      <c r="B17" s="2" t="n">
        <v>28.4</v>
      </c>
      <c r="E17" s="2" t="n">
        <v>59.599998</v>
      </c>
    </row>
    <row r="18">
      <c r="A18" s="6" t="n">
        <v>21794</v>
      </c>
      <c r="B18" s="2" t="n">
        <v>28.4</v>
      </c>
      <c r="E18" s="2" t="n">
        <v>56.880001</v>
      </c>
    </row>
    <row r="19">
      <c r="A19" s="6" t="n">
        <v>21824</v>
      </c>
      <c r="B19" s="2" t="n">
        <v>28.3</v>
      </c>
      <c r="D19" s="3" t="n">
        <v>0.0459255946211091</v>
      </c>
      <c r="E19" s="2" t="n">
        <v>57.52</v>
      </c>
    </row>
    <row r="20">
      <c r="A20" s="6" t="n">
        <v>21855</v>
      </c>
      <c r="B20" s="2" t="n">
        <v>28.1</v>
      </c>
      <c r="E20" s="2" t="n">
        <v>58.279999</v>
      </c>
    </row>
    <row r="21">
      <c r="A21" s="6" t="n">
        <v>21885</v>
      </c>
      <c r="B21" s="2" t="n">
        <v>28.7</v>
      </c>
      <c r="E21" s="2" t="n">
        <v>59.889999</v>
      </c>
      <c r="F21" s="4">
        <f>(Table3[[#This Row],[UMSCI]]-E10)/E10</f>
        <v/>
      </c>
    </row>
    <row r="22">
      <c r="A22" s="6" t="n">
        <v>21916</v>
      </c>
      <c r="B22" s="2" t="n">
        <v>28.7</v>
      </c>
      <c r="C22" s="4">
        <f>(Table3[[#This Row],[Conference Board Leading Indicator]]-B10)/B10</f>
        <v/>
      </c>
      <c r="D22" s="3" t="n">
        <v>0.04927102925876761</v>
      </c>
      <c r="E22" s="2" t="n">
        <v>55.610001</v>
      </c>
      <c r="F22" s="4">
        <f>(Table3[[#This Row],[UMSCI]]-E11)/E11</f>
        <v/>
      </c>
    </row>
    <row r="23">
      <c r="A23" s="6" t="n">
        <v>21947</v>
      </c>
      <c r="B23" s="2" t="n">
        <v>28.7</v>
      </c>
      <c r="C23" s="4">
        <f>(Table3[[#This Row],[Conference Board Leading Indicator]]-B11)/B11</f>
        <v/>
      </c>
      <c r="E23" s="2" t="n">
        <v>56.119999</v>
      </c>
      <c r="F23" s="4">
        <f>(Table3[[#This Row],[UMSCI]]-E12)/E12</f>
        <v/>
      </c>
    </row>
    <row r="24">
      <c r="A24" s="6" t="n">
        <v>21976</v>
      </c>
      <c r="B24" s="2" t="n">
        <v>28.6</v>
      </c>
      <c r="C24" s="4">
        <f>(Table3[[#This Row],[Conference Board Leading Indicator]]-B12)/B12</f>
        <v/>
      </c>
      <c r="E24" s="2" t="n">
        <v>55.34</v>
      </c>
      <c r="F24" s="4">
        <f>(Table3[[#This Row],[UMSCI]]-E13)/E13</f>
        <v/>
      </c>
    </row>
    <row r="25">
      <c r="A25" s="6" t="n">
        <v>22007</v>
      </c>
      <c r="B25" s="2" t="n">
        <v>28.7</v>
      </c>
      <c r="C25" s="4">
        <f>(Table3[[#This Row],[Conference Board Leading Indicator]]-B13)/B13</f>
        <v/>
      </c>
      <c r="D25" s="3" t="n">
        <v>0.02058276270368818</v>
      </c>
      <c r="E25" s="2" t="n">
        <v>54.369999</v>
      </c>
      <c r="F25" s="4">
        <f>(Table3[[#This Row],[UMSCI]]-E14)/E14</f>
        <v/>
      </c>
    </row>
    <row r="26">
      <c r="A26" s="6" t="n">
        <v>22037</v>
      </c>
      <c r="B26" s="2" t="n">
        <v>28.7</v>
      </c>
      <c r="C26" s="4">
        <f>(Table3[[#This Row],[Conference Board Leading Indicator]]-B14)/B14</f>
        <v/>
      </c>
      <c r="E26" s="2" t="n">
        <v>55.830002</v>
      </c>
      <c r="F26" s="4">
        <f>(Table3[[#This Row],[UMSCI]]-E15)/E15</f>
        <v/>
      </c>
    </row>
    <row r="27">
      <c r="A27" s="6" t="n">
        <v>22068</v>
      </c>
      <c r="B27" s="2" t="n">
        <v>28.8</v>
      </c>
      <c r="C27" s="4">
        <f>(Table3[[#This Row],[Conference Board Leading Indicator]]-B15)/B15</f>
        <v/>
      </c>
      <c r="E27" s="2" t="n">
        <v>56.919998</v>
      </c>
      <c r="F27" s="4">
        <f>(Table3[[#This Row],[UMSCI]]-E16)/E16</f>
        <v/>
      </c>
    </row>
    <row r="28">
      <c r="A28" s="6" t="n">
        <v>22098</v>
      </c>
      <c r="B28" s="2" t="n">
        <v>28.8</v>
      </c>
      <c r="C28" s="4">
        <f>(Table3[[#This Row],[Conference Board Leading Indicator]]-B16)/B16</f>
        <v/>
      </c>
      <c r="D28" s="3" t="n">
        <v>0.02484651697696126</v>
      </c>
      <c r="E28" s="2" t="n">
        <v>55.509998</v>
      </c>
      <c r="F28" s="4">
        <f>(Table3[[#This Row],[UMSCI]]-E17)/E17</f>
        <v/>
      </c>
    </row>
    <row r="29">
      <c r="A29" s="6" t="n">
        <v>22129</v>
      </c>
      <c r="B29" s="2" t="n">
        <v>28.9</v>
      </c>
      <c r="C29" s="4">
        <f>(Table3[[#This Row],[Conference Board Leading Indicator]]-B17)/B17</f>
        <v/>
      </c>
      <c r="E29" s="2" t="n">
        <v>56.959999</v>
      </c>
      <c r="F29" s="4">
        <f>(Table3[[#This Row],[UMSCI]]-E18)/E18</f>
        <v/>
      </c>
    </row>
    <row r="30">
      <c r="A30" s="6" t="n">
        <v>22160</v>
      </c>
      <c r="B30" s="2" t="n">
        <v>28.9</v>
      </c>
      <c r="C30" s="4">
        <f>(Table3[[#This Row],[Conference Board Leading Indicator]]-B18)/B18</f>
        <v/>
      </c>
      <c r="E30" s="2" t="n">
        <v>53.52</v>
      </c>
      <c r="F30" s="4">
        <f>(Table3[[#This Row],[UMSCI]]-E19)/E19</f>
        <v/>
      </c>
    </row>
    <row r="31">
      <c r="A31" s="6" t="n">
        <v>22190</v>
      </c>
      <c r="B31" s="2" t="n">
        <v>28.9</v>
      </c>
      <c r="C31" s="4">
        <f>(Table3[[#This Row],[Conference Board Leading Indicator]]-B19)/B19</f>
        <v/>
      </c>
      <c r="D31" s="3" t="n">
        <v>0.008817766879468773</v>
      </c>
      <c r="E31" s="2" t="n">
        <v>53.389999</v>
      </c>
      <c r="F31" s="4">
        <f>(Table3[[#This Row],[UMSCI]]-E20)/E20</f>
        <v/>
      </c>
    </row>
    <row r="32">
      <c r="A32" s="6" t="n">
        <v>22221</v>
      </c>
      <c r="B32" s="2" t="n">
        <v>28.9</v>
      </c>
      <c r="C32" s="4">
        <f>(Table3[[#This Row],[Conference Board Leading Indicator]]-B20)/B20</f>
        <v/>
      </c>
      <c r="E32" s="2" t="n">
        <v>55.540001</v>
      </c>
      <c r="F32" s="4">
        <f>(Table3[[#This Row],[UMSCI]]-E21)/E21</f>
        <v/>
      </c>
    </row>
    <row r="33">
      <c r="A33" s="6" t="n">
        <v>22251</v>
      </c>
      <c r="B33" s="2" t="n">
        <v>28.9</v>
      </c>
      <c r="C33" s="4">
        <f>(Table3[[#This Row],[Conference Board Leading Indicator]]-B21)/B21</f>
        <v/>
      </c>
      <c r="E33" s="2" t="n">
        <v>58.110001</v>
      </c>
      <c r="F33" s="4">
        <f>(Table3[[#This Row],[UMSCI]]-E22)/E22</f>
        <v/>
      </c>
    </row>
    <row r="34">
      <c r="A34" s="6" t="n">
        <v>22282</v>
      </c>
      <c r="B34" s="2" t="n">
        <v>29.1</v>
      </c>
      <c r="C34" s="4">
        <f>(Table3[[#This Row],[Conference Board Leading Indicator]]-B22)/B22</f>
        <v/>
      </c>
      <c r="D34" s="3" t="n">
        <v>-0.006694941047214442</v>
      </c>
      <c r="E34" s="2" t="n">
        <v>61.779999</v>
      </c>
      <c r="F34" s="4">
        <f>(Table3[[#This Row],[UMSCI]]-E23)/E23</f>
        <v/>
      </c>
    </row>
    <row r="35">
      <c r="A35" s="6" t="n">
        <v>22313</v>
      </c>
      <c r="B35" s="2" t="n">
        <v>29.2</v>
      </c>
      <c r="C35" s="4">
        <f>(Table3[[#This Row],[Conference Board Leading Indicator]]-B23)/B23</f>
        <v/>
      </c>
      <c r="E35" s="2" t="n">
        <v>63.439999</v>
      </c>
      <c r="F35" s="4">
        <f>(Table3[[#This Row],[UMSCI]]-E24)/E24</f>
        <v/>
      </c>
    </row>
    <row r="36">
      <c r="A36" s="6" t="n">
        <v>22341</v>
      </c>
      <c r="B36" s="2" t="n">
        <v>29.6</v>
      </c>
      <c r="C36" s="4">
        <f>(Table3[[#This Row],[Conference Board Leading Indicator]]-B24)/B24</f>
        <v/>
      </c>
      <c r="E36" s="2" t="n">
        <v>65.05999799999999</v>
      </c>
      <c r="F36" s="4">
        <f>(Table3[[#This Row],[UMSCI]]-E25)/E25</f>
        <v/>
      </c>
    </row>
    <row r="37">
      <c r="A37" s="6" t="n">
        <v>22372</v>
      </c>
      <c r="B37" s="2" t="n">
        <v>29.9</v>
      </c>
      <c r="C37" s="4">
        <f>(Table3[[#This Row],[Conference Board Leading Indicator]]-B25)/B25</f>
        <v/>
      </c>
      <c r="D37" s="3" t="n">
        <v>0.01564445159246773</v>
      </c>
      <c r="E37" s="2" t="n">
        <v>65.30999799999999</v>
      </c>
      <c r="F37" s="4">
        <f>(Table3[[#This Row],[UMSCI]]-E26)/E26</f>
        <v/>
      </c>
    </row>
    <row r="38">
      <c r="A38" s="6" t="n">
        <v>22402</v>
      </c>
      <c r="B38" s="2" t="n">
        <v>30.2</v>
      </c>
      <c r="C38" s="4">
        <f>(Table3[[#This Row],[Conference Board Leading Indicator]]-B26)/B26</f>
        <v/>
      </c>
      <c r="E38" s="2" t="n">
        <v>66.55999799999999</v>
      </c>
      <c r="F38" s="4">
        <f>(Table3[[#This Row],[UMSCI]]-E27)/E27</f>
        <v/>
      </c>
    </row>
    <row r="39">
      <c r="A39" s="6" t="n">
        <v>22433</v>
      </c>
      <c r="B39" s="2" t="n">
        <v>30.6</v>
      </c>
      <c r="C39" s="4">
        <f>(Table3[[#This Row],[Conference Board Leading Indicator]]-B27)/B27</f>
        <v/>
      </c>
      <c r="E39" s="2" t="n">
        <v>64.639999</v>
      </c>
      <c r="F39" s="4">
        <f>(Table3[[#This Row],[UMSCI]]-E28)/E28</f>
        <v/>
      </c>
    </row>
    <row r="40">
      <c r="A40" s="6" t="n">
        <v>22463</v>
      </c>
      <c r="B40" s="2" t="n">
        <v>30.7</v>
      </c>
      <c r="C40" s="4">
        <f>(Table3[[#This Row],[Conference Board Leading Indicator]]-B28)/B28</f>
        <v/>
      </c>
      <c r="D40" s="3" t="n">
        <v>0.03010113838331919</v>
      </c>
      <c r="E40" s="2" t="n">
        <v>66.760002</v>
      </c>
      <c r="F40" s="4">
        <f>(Table3[[#This Row],[UMSCI]]-E29)/E29</f>
        <v/>
      </c>
    </row>
    <row r="41">
      <c r="A41" s="6" t="n">
        <v>22494</v>
      </c>
      <c r="B41" s="2" t="n">
        <v>31.2</v>
      </c>
      <c r="C41" s="4">
        <f>(Table3[[#This Row],[Conference Board Leading Indicator]]-B29)/B29</f>
        <v/>
      </c>
      <c r="E41" s="2" t="n">
        <v>68.06999999999999</v>
      </c>
      <c r="F41" s="4">
        <f>(Table3[[#This Row],[UMSCI]]-E30)/E30</f>
        <v/>
      </c>
    </row>
    <row r="42">
      <c r="A42" s="6" t="n">
        <v>22525</v>
      </c>
      <c r="B42" s="2" t="n">
        <v>31.2</v>
      </c>
      <c r="C42" s="4">
        <f>(Table3[[#This Row],[Conference Board Leading Indicator]]-B30)/B30</f>
        <v/>
      </c>
      <c r="E42" s="2" t="n">
        <v>66.730003</v>
      </c>
      <c r="F42" s="4">
        <f>(Table3[[#This Row],[UMSCI]]-E31)/E31</f>
        <v/>
      </c>
    </row>
    <row r="43">
      <c r="A43" s="6" t="n">
        <v>22555</v>
      </c>
      <c r="B43" s="2" t="n">
        <v>31.7</v>
      </c>
      <c r="C43" s="4">
        <f>(Table3[[#This Row],[Conference Board Leading Indicator]]-B31)/B31</f>
        <v/>
      </c>
      <c r="D43" s="3" t="n">
        <v>0.06395774269192939</v>
      </c>
      <c r="E43" s="2" t="n">
        <v>68.620003</v>
      </c>
      <c r="F43" s="4">
        <f>(Table3[[#This Row],[UMSCI]]-E32)/E32</f>
        <v/>
      </c>
    </row>
    <row r="44">
      <c r="A44" s="6" t="n">
        <v>22586</v>
      </c>
      <c r="B44" s="2" t="n">
        <v>32.1</v>
      </c>
      <c r="C44" s="4">
        <f>(Table3[[#This Row],[Conference Board Leading Indicator]]-B32)/B32</f>
        <v/>
      </c>
      <c r="E44" s="2" t="n">
        <v>71.31999999999999</v>
      </c>
      <c r="F44" s="4">
        <f>(Table3[[#This Row],[UMSCI]]-E33)/E33</f>
        <v/>
      </c>
    </row>
    <row r="45">
      <c r="A45" s="6" t="n">
        <v>22616</v>
      </c>
      <c r="B45" s="2" t="n">
        <v>32.4</v>
      </c>
      <c r="C45" s="4">
        <f>(Table3[[#This Row],[Conference Board Leading Indicator]]-B33)/B33</f>
        <v/>
      </c>
      <c r="E45" s="2" t="n">
        <v>71.550003</v>
      </c>
      <c r="F45" s="4">
        <f>(Table3[[#This Row],[UMSCI]]-E34)/E34</f>
        <v/>
      </c>
    </row>
    <row r="46">
      <c r="A46" s="6" t="n">
        <v>22647</v>
      </c>
      <c r="B46" s="2" t="n">
        <v>32.4</v>
      </c>
      <c r="C46" s="4">
        <f>(Table3[[#This Row],[Conference Board Leading Indicator]]-B34)/B34</f>
        <v/>
      </c>
      <c r="D46" s="3" t="n">
        <v>0.07567337651122097</v>
      </c>
      <c r="E46" s="2" t="n">
        <v>68.839996</v>
      </c>
      <c r="F46" s="4">
        <f>(Table3[[#This Row],[UMSCI]]-E35)/E35</f>
        <v/>
      </c>
    </row>
    <row r="47">
      <c r="A47" s="6" t="n">
        <v>22678</v>
      </c>
      <c r="B47" s="2" t="n">
        <v>32.8</v>
      </c>
      <c r="C47" s="4">
        <f>(Table3[[#This Row],[Conference Board Leading Indicator]]-B35)/B35</f>
        <v/>
      </c>
      <c r="E47" s="2" t="n">
        <v>69.959999</v>
      </c>
      <c r="F47" s="4">
        <f>(Table3[[#This Row],[UMSCI]]-E36)/E36</f>
        <v/>
      </c>
    </row>
    <row r="48">
      <c r="A48" s="6" t="n">
        <v>22706</v>
      </c>
      <c r="B48" s="2" t="n">
        <v>32.9</v>
      </c>
      <c r="C48" s="4">
        <f>(Table3[[#This Row],[Conference Board Leading Indicator]]-B36)/B36</f>
        <v/>
      </c>
      <c r="E48" s="2" t="n">
        <v>69.550003</v>
      </c>
      <c r="F48" s="4">
        <f>(Table3[[#This Row],[UMSCI]]-E37)/E37</f>
        <v/>
      </c>
    </row>
    <row r="49">
      <c r="A49" s="6" t="n">
        <v>22737</v>
      </c>
      <c r="B49" s="2" t="n">
        <v>33.1</v>
      </c>
      <c r="C49" s="4">
        <f>(Table3[[#This Row],[Conference Board Leading Indicator]]-B37)/B37</f>
        <v/>
      </c>
      <c r="D49" s="3" t="n">
        <v>0.06727713226025882</v>
      </c>
      <c r="E49" s="2" t="n">
        <v>65.239998</v>
      </c>
      <c r="F49" s="4">
        <f>(Table3[[#This Row],[UMSCI]]-E38)/E38</f>
        <v/>
      </c>
    </row>
    <row r="50">
      <c r="A50" s="6" t="n">
        <v>22767</v>
      </c>
      <c r="B50" s="2" t="n">
        <v>33.1</v>
      </c>
      <c r="C50" s="4">
        <f>(Table3[[#This Row],[Conference Board Leading Indicator]]-B38)/B38</f>
        <v/>
      </c>
      <c r="E50" s="2" t="n">
        <v>59.630001</v>
      </c>
      <c r="F50" s="4">
        <f>(Table3[[#This Row],[UMSCI]]-E39)/E39</f>
        <v/>
      </c>
    </row>
    <row r="51">
      <c r="A51" s="6" t="n">
        <v>22798</v>
      </c>
      <c r="B51" s="2" t="n">
        <v>33</v>
      </c>
      <c r="C51" s="4">
        <f>(Table3[[#This Row],[Conference Board Leading Indicator]]-B39)/B39</f>
        <v/>
      </c>
      <c r="E51" s="2" t="n">
        <v>54.75</v>
      </c>
      <c r="F51" s="4">
        <f>(Table3[[#This Row],[UMSCI]]-E40)/E40</f>
        <v/>
      </c>
    </row>
    <row r="52">
      <c r="A52" s="6" t="n">
        <v>22828</v>
      </c>
      <c r="B52" s="2" t="n">
        <v>33.2</v>
      </c>
      <c r="C52" s="4">
        <f>(Table3[[#This Row],[Conference Board Leading Indicator]]-B40)/B40</f>
        <v/>
      </c>
      <c r="D52" s="3" t="n">
        <v>0.0600397736926111</v>
      </c>
      <c r="E52" s="2" t="n">
        <v>58.23</v>
      </c>
      <c r="F52" s="4">
        <f>(Table3[[#This Row],[UMSCI]]-E41)/E41</f>
        <v/>
      </c>
    </row>
    <row r="53">
      <c r="A53" s="6" t="n">
        <v>22859</v>
      </c>
      <c r="B53" s="2" t="n">
        <v>33.4</v>
      </c>
      <c r="C53" s="4">
        <f>(Table3[[#This Row],[Conference Board Leading Indicator]]-B41)/B41</f>
        <v/>
      </c>
      <c r="E53" s="2" t="n">
        <v>59.119999</v>
      </c>
      <c r="F53" s="4">
        <f>(Table3[[#This Row],[UMSCI]]-E42)/E42</f>
        <v/>
      </c>
    </row>
    <row r="54">
      <c r="A54" s="6" t="n">
        <v>22890</v>
      </c>
      <c r="B54" s="2" t="n">
        <v>33.5</v>
      </c>
      <c r="C54" s="4">
        <f>(Table3[[#This Row],[Conference Board Leading Indicator]]-B42)/B42</f>
        <v/>
      </c>
      <c r="E54" s="2" t="n">
        <v>56.27</v>
      </c>
      <c r="F54" s="4">
        <f>(Table3[[#This Row],[UMSCI]]-E43)/E43</f>
        <v/>
      </c>
    </row>
    <row r="55">
      <c r="A55" s="6" t="n">
        <v>22920</v>
      </c>
      <c r="B55" s="2" t="n">
        <v>33.6</v>
      </c>
      <c r="C55" s="4">
        <f>(Table3[[#This Row],[Conference Board Leading Indicator]]-B43)/B43</f>
        <v/>
      </c>
      <c r="D55" s="3" t="n">
        <v>0.04307008332458499</v>
      </c>
      <c r="E55" s="2" t="n">
        <v>56.52</v>
      </c>
      <c r="F55" s="4">
        <f>(Table3[[#This Row],[UMSCI]]-E44)/E44</f>
        <v/>
      </c>
    </row>
    <row r="56">
      <c r="A56" s="6" t="n">
        <v>22951</v>
      </c>
      <c r="B56" s="2" t="n">
        <v>34</v>
      </c>
      <c r="C56" s="4">
        <f>(Table3[[#This Row],[Conference Board Leading Indicator]]-B44)/B44</f>
        <v/>
      </c>
      <c r="E56" s="2" t="n">
        <v>62.259998</v>
      </c>
      <c r="F56" s="4">
        <f>(Table3[[#This Row],[UMSCI]]-E45)/E45</f>
        <v/>
      </c>
    </row>
    <row r="57">
      <c r="A57" s="6" t="n">
        <v>22981</v>
      </c>
      <c r="B57" s="2" t="n">
        <v>34.1</v>
      </c>
      <c r="C57" s="4">
        <f>(Table3[[#This Row],[Conference Board Leading Indicator]]-B45)/B45</f>
        <v/>
      </c>
      <c r="E57" s="2" t="n">
        <v>63.099998</v>
      </c>
      <c r="F57" s="4">
        <f>(Table3[[#This Row],[UMSCI]]-E46)/E46</f>
        <v/>
      </c>
    </row>
    <row r="58">
      <c r="A58" s="6" t="n">
        <v>23012</v>
      </c>
      <c r="B58" s="2" t="n">
        <v>34.4</v>
      </c>
      <c r="C58" s="4">
        <f>(Table3[[#This Row],[Conference Board Leading Indicator]]-B46)/B46</f>
        <v/>
      </c>
      <c r="D58" s="3" t="n">
        <v>0.03597858775893176</v>
      </c>
      <c r="E58" s="2" t="n">
        <v>66.199997</v>
      </c>
      <c r="F58" s="4">
        <f>(Table3[[#This Row],[UMSCI]]-E47)/E47</f>
        <v/>
      </c>
    </row>
    <row r="59">
      <c r="A59" s="6" t="n">
        <v>23043</v>
      </c>
      <c r="B59" s="2" t="n">
        <v>34.7</v>
      </c>
      <c r="C59" s="4">
        <f>(Table3[[#This Row],[Conference Board Leading Indicator]]-B47)/B47</f>
        <v/>
      </c>
      <c r="E59" s="2" t="n">
        <v>64.290001</v>
      </c>
      <c r="F59" s="4">
        <f>(Table3[[#This Row],[UMSCI]]-E48)/E48</f>
        <v/>
      </c>
    </row>
    <row r="60">
      <c r="A60" s="6" t="n">
        <v>23071</v>
      </c>
      <c r="B60" s="2" t="n">
        <v>35</v>
      </c>
      <c r="C60" s="4">
        <f>(Table3[[#This Row],[Conference Board Leading Indicator]]-B48)/B48</f>
        <v/>
      </c>
      <c r="E60" s="2" t="n">
        <v>66.56999999999999</v>
      </c>
      <c r="F60" s="4">
        <f>(Table3[[#This Row],[UMSCI]]-E49)/E49</f>
        <v/>
      </c>
    </row>
    <row r="61">
      <c r="A61" s="6" t="n">
        <v>23102</v>
      </c>
      <c r="B61" s="2" t="n">
        <v>35.3</v>
      </c>
      <c r="C61" s="4">
        <f>(Table3[[#This Row],[Conference Board Leading Indicator]]-B49)/B49</f>
        <v/>
      </c>
      <c r="D61" s="3" t="n">
        <v>0.0382214372014702</v>
      </c>
      <c r="E61" s="2" t="n">
        <v>69.800003</v>
      </c>
      <c r="F61" s="4">
        <f>(Table3[[#This Row],[UMSCI]]-E50)/E50</f>
        <v/>
      </c>
    </row>
    <row r="62">
      <c r="A62" s="6" t="n">
        <v>23132</v>
      </c>
      <c r="B62" s="2" t="n">
        <v>35.6</v>
      </c>
      <c r="C62" s="4">
        <f>(Table3[[#This Row],[Conference Board Leading Indicator]]-B50)/B50</f>
        <v/>
      </c>
      <c r="E62" s="2" t="n">
        <v>70.800003</v>
      </c>
      <c r="F62" s="4">
        <f>(Table3[[#This Row],[UMSCI]]-E51)/E51</f>
        <v/>
      </c>
    </row>
    <row r="63">
      <c r="A63" s="6" t="n">
        <v>23163</v>
      </c>
      <c r="B63" s="2" t="n">
        <v>35.7</v>
      </c>
      <c r="C63" s="4">
        <f>(Table3[[#This Row],[Conference Board Leading Indicator]]-B51)/B51</f>
        <v/>
      </c>
      <c r="E63" s="2" t="n">
        <v>69.370003</v>
      </c>
      <c r="F63" s="4">
        <f>(Table3[[#This Row],[UMSCI]]-E52)/E52</f>
        <v/>
      </c>
    </row>
    <row r="64">
      <c r="A64" s="6" t="n">
        <v>23193</v>
      </c>
      <c r="B64" s="2" t="n">
        <v>35.9</v>
      </c>
      <c r="C64" s="4">
        <f>(Table3[[#This Row],[Conference Board Leading Indicator]]-B52)/B52</f>
        <v/>
      </c>
      <c r="D64" s="3" t="n">
        <v>0.04816912675835707</v>
      </c>
      <c r="E64" s="2" t="n">
        <v>69.129997</v>
      </c>
      <c r="F64" s="4">
        <f>(Table3[[#This Row],[UMSCI]]-E53)/E53</f>
        <v/>
      </c>
    </row>
    <row r="65">
      <c r="A65" s="6" t="n">
        <v>23224</v>
      </c>
      <c r="B65" s="2" t="n">
        <v>36</v>
      </c>
      <c r="C65" s="4">
        <f>(Table3[[#This Row],[Conference Board Leading Indicator]]-B53)/B53</f>
        <v/>
      </c>
      <c r="E65" s="2" t="n">
        <v>72.5</v>
      </c>
      <c r="F65" s="4">
        <f>(Table3[[#This Row],[UMSCI]]-E54)/E54</f>
        <v/>
      </c>
    </row>
    <row r="66">
      <c r="A66" s="6" t="n">
        <v>23255</v>
      </c>
      <c r="B66" s="2" t="n">
        <v>36.4</v>
      </c>
      <c r="C66" s="4">
        <f>(Table3[[#This Row],[Conference Board Leading Indicator]]-B54)/B54</f>
        <v/>
      </c>
      <c r="E66" s="2" t="n">
        <v>71.699997</v>
      </c>
      <c r="F66" s="4">
        <f>(Table3[[#This Row],[UMSCI]]-E55)/E55</f>
        <v/>
      </c>
    </row>
    <row r="67">
      <c r="A67" s="6" t="n">
        <v>23285</v>
      </c>
      <c r="B67" s="2" t="n">
        <v>36.6</v>
      </c>
      <c r="C67" s="4">
        <f>(Table3[[#This Row],[Conference Board Leading Indicator]]-B55)/B55</f>
        <v/>
      </c>
      <c r="D67" s="3" t="n">
        <v>0.0515826383597535</v>
      </c>
      <c r="E67" s="2" t="n">
        <v>74.010002</v>
      </c>
      <c r="F67" s="4">
        <f>(Table3[[#This Row],[UMSCI]]-E56)/E56</f>
        <v/>
      </c>
    </row>
    <row r="68">
      <c r="A68" s="6" t="n">
        <v>23316</v>
      </c>
      <c r="B68" s="2" t="n">
        <v>36.8</v>
      </c>
      <c r="C68" s="4">
        <f>(Table3[[#This Row],[Conference Board Leading Indicator]]-B56)/B56</f>
        <v/>
      </c>
      <c r="E68" s="2" t="n">
        <v>73.230003</v>
      </c>
      <c r="F68" s="4">
        <f>(Table3[[#This Row],[UMSCI]]-E57)/E57</f>
        <v/>
      </c>
    </row>
    <row r="69">
      <c r="A69" s="6" t="n">
        <v>23346</v>
      </c>
      <c r="B69" s="2" t="n">
        <v>37</v>
      </c>
      <c r="C69" s="4">
        <f>(Table3[[#This Row],[Conference Board Leading Indicator]]-B57)/B57</f>
        <v/>
      </c>
      <c r="E69" s="2" t="n">
        <v>75.019997</v>
      </c>
      <c r="F69" s="4">
        <f>(Table3[[#This Row],[UMSCI]]-E58)/E58</f>
        <v/>
      </c>
    </row>
    <row r="70">
      <c r="A70" s="6" t="n">
        <v>23377</v>
      </c>
      <c r="B70" s="2" t="n">
        <v>37.2</v>
      </c>
      <c r="C70" s="4">
        <f>(Table3[[#This Row],[Conference Board Leading Indicator]]-B58)/B58</f>
        <v/>
      </c>
      <c r="D70" s="3" t="n">
        <v>0.06215835107795649</v>
      </c>
      <c r="E70" s="2" t="n">
        <v>77.040001</v>
      </c>
      <c r="F70" s="4">
        <f>(Table3[[#This Row],[UMSCI]]-E59)/E59</f>
        <v/>
      </c>
    </row>
    <row r="71">
      <c r="A71" s="6" t="n">
        <v>23408</v>
      </c>
      <c r="B71" s="2" t="n">
        <v>37.5</v>
      </c>
      <c r="C71" s="4">
        <f>(Table3[[#This Row],[Conference Board Leading Indicator]]-B59)/B59</f>
        <v/>
      </c>
      <c r="E71" s="2" t="n">
        <v>77.800003</v>
      </c>
      <c r="F71" s="4">
        <f>(Table3[[#This Row],[UMSCI]]-E60)/E60</f>
        <v/>
      </c>
    </row>
    <row r="72">
      <c r="A72" s="6" t="n">
        <v>23437</v>
      </c>
      <c r="B72" s="2" t="n">
        <v>37.7</v>
      </c>
      <c r="C72" s="4">
        <f>(Table3[[#This Row],[Conference Board Leading Indicator]]-B60)/B60</f>
        <v/>
      </c>
      <c r="E72" s="2" t="n">
        <v>78.980003</v>
      </c>
      <c r="F72" s="4">
        <f>(Table3[[#This Row],[UMSCI]]-E61)/E61</f>
        <v/>
      </c>
    </row>
    <row r="73">
      <c r="A73" s="6" t="n">
        <v>23468</v>
      </c>
      <c r="B73" s="2" t="n">
        <v>38</v>
      </c>
      <c r="C73" s="4">
        <f>(Table3[[#This Row],[Conference Board Leading Indicator]]-B61)/B61</f>
        <v/>
      </c>
      <c r="D73" s="3" t="n">
        <v>0.06180732430442998</v>
      </c>
      <c r="E73" s="2" t="n">
        <v>79.459999</v>
      </c>
      <c r="F73" s="4">
        <f>(Table3[[#This Row],[UMSCI]]-E62)/E62</f>
        <v/>
      </c>
    </row>
    <row r="74">
      <c r="A74" s="6" t="n">
        <v>23498</v>
      </c>
      <c r="B74" s="2" t="n">
        <v>38.3</v>
      </c>
      <c r="C74" s="4">
        <f>(Table3[[#This Row],[Conference Board Leading Indicator]]-B62)/B62</f>
        <v/>
      </c>
      <c r="E74" s="2" t="n">
        <v>80.370003</v>
      </c>
      <c r="F74" s="4">
        <f>(Table3[[#This Row],[UMSCI]]-E63)/E63</f>
        <v/>
      </c>
    </row>
    <row r="75">
      <c r="A75" s="6" t="n">
        <v>23529</v>
      </c>
      <c r="B75" s="2" t="n">
        <v>38.5</v>
      </c>
      <c r="C75" s="4">
        <f>(Table3[[#This Row],[Conference Board Leading Indicator]]-B63)/B63</f>
        <v/>
      </c>
      <c r="E75" s="2" t="n">
        <v>81.69000200000001</v>
      </c>
      <c r="F75" s="4">
        <f>(Table3[[#This Row],[UMSCI]]-E64)/E64</f>
        <v/>
      </c>
    </row>
    <row r="76">
      <c r="A76" s="6" t="n">
        <v>23559</v>
      </c>
      <c r="B76" s="2" t="n">
        <v>38.8</v>
      </c>
      <c r="C76" s="4">
        <f>(Table3[[#This Row],[Conference Board Leading Indicator]]-B64)/B64</f>
        <v/>
      </c>
      <c r="D76" s="3" t="n">
        <v>0.05519819986667664</v>
      </c>
      <c r="E76" s="2" t="n">
        <v>83.18000000000001</v>
      </c>
      <c r="F76" s="4">
        <f>(Table3[[#This Row],[UMSCI]]-E65)/E65</f>
        <v/>
      </c>
    </row>
    <row r="77">
      <c r="A77" s="6" t="n">
        <v>23590</v>
      </c>
      <c r="B77" s="2" t="n">
        <v>39.1</v>
      </c>
      <c r="C77" s="4">
        <f>(Table3[[#This Row],[Conference Board Leading Indicator]]-B65)/B65</f>
        <v/>
      </c>
      <c r="E77" s="2" t="n">
        <v>81.83000199999999</v>
      </c>
      <c r="F77" s="4">
        <f>(Table3[[#This Row],[UMSCI]]-E66)/E66</f>
        <v/>
      </c>
    </row>
    <row r="78">
      <c r="A78" s="6" t="n">
        <v>23621</v>
      </c>
      <c r="B78" s="2" t="n">
        <v>39.4</v>
      </c>
      <c r="C78" s="4">
        <f>(Table3[[#This Row],[Conference Board Leading Indicator]]-B66)/B66</f>
        <v/>
      </c>
      <c r="E78" s="2" t="n">
        <v>84.18000000000001</v>
      </c>
      <c r="F78" s="4">
        <f>(Table3[[#This Row],[UMSCI]]-E67)/E67</f>
        <v/>
      </c>
    </row>
    <row r="79">
      <c r="A79" s="6" t="n">
        <v>23651</v>
      </c>
      <c r="B79" s="2" t="n">
        <v>39.5</v>
      </c>
      <c r="C79" s="4">
        <f>(Table3[[#This Row],[Conference Board Leading Indicator]]-B67)/B67</f>
        <v/>
      </c>
      <c r="D79" s="3" t="n">
        <v>0.05156362469825782</v>
      </c>
      <c r="E79" s="2" t="n">
        <v>84.860001</v>
      </c>
      <c r="F79" s="4">
        <f>(Table3[[#This Row],[UMSCI]]-E68)/E68</f>
        <v/>
      </c>
    </row>
    <row r="80">
      <c r="A80" s="6" t="n">
        <v>23682</v>
      </c>
      <c r="B80" s="2" t="n">
        <v>39.8</v>
      </c>
      <c r="C80" s="4">
        <f>(Table3[[#This Row],[Conference Board Leading Indicator]]-B68)/B68</f>
        <v/>
      </c>
      <c r="E80" s="2" t="n">
        <v>84.41999800000001</v>
      </c>
      <c r="F80" s="4">
        <f>(Table3[[#This Row],[UMSCI]]-E69)/E69</f>
        <v/>
      </c>
    </row>
    <row r="81">
      <c r="A81" s="6" t="n">
        <v>23712</v>
      </c>
      <c r="B81" s="2" t="n">
        <v>40.1</v>
      </c>
      <c r="C81" s="4">
        <f>(Table3[[#This Row],[Conference Board Leading Indicator]]-B69)/B69</f>
        <v/>
      </c>
      <c r="E81" s="2" t="n">
        <v>84.75</v>
      </c>
      <c r="F81" s="4">
        <f>(Table3[[#This Row],[UMSCI]]-E70)/E70</f>
        <v/>
      </c>
    </row>
    <row r="82">
      <c r="A82" s="6" t="n">
        <v>23743</v>
      </c>
      <c r="B82" s="2" t="n">
        <v>40.5</v>
      </c>
      <c r="C82" s="4">
        <f>(Table3[[#This Row],[Conference Board Leading Indicator]]-B70)/B70</f>
        <v/>
      </c>
      <c r="D82" s="3" t="n">
        <v>0.05477147588673737</v>
      </c>
      <c r="E82" s="2" t="n">
        <v>87.55999799999999</v>
      </c>
      <c r="F82" s="4">
        <f>(Table3[[#This Row],[UMSCI]]-E71)/E71</f>
        <v/>
      </c>
    </row>
    <row r="83">
      <c r="A83" s="6" t="n">
        <v>23774</v>
      </c>
      <c r="B83" s="2" t="n">
        <v>40.6</v>
      </c>
      <c r="C83" s="4">
        <f>(Table3[[#This Row],[Conference Board Leading Indicator]]-B71)/B71</f>
        <v/>
      </c>
      <c r="E83" s="2" t="n">
        <v>87.43000000000001</v>
      </c>
      <c r="F83" s="4">
        <f>(Table3[[#This Row],[UMSCI]]-E72)/E72</f>
        <v/>
      </c>
    </row>
    <row r="84">
      <c r="A84" s="6" t="n">
        <v>23802</v>
      </c>
      <c r="B84" s="2" t="n">
        <v>41.1</v>
      </c>
      <c r="C84" s="4">
        <f>(Table3[[#This Row],[Conference Board Leading Indicator]]-B72)/B72</f>
        <v/>
      </c>
      <c r="E84" s="2" t="n">
        <v>86.160004</v>
      </c>
      <c r="F84" s="4">
        <f>(Table3[[#This Row],[UMSCI]]-E73)/E73</f>
        <v/>
      </c>
    </row>
    <row r="85">
      <c r="A85" s="6" t="n">
        <v>23833</v>
      </c>
      <c r="B85" s="2" t="n">
        <v>41.2</v>
      </c>
      <c r="C85" s="4">
        <f>(Table3[[#This Row],[Conference Board Leading Indicator]]-B73)/B73</f>
        <v/>
      </c>
      <c r="D85" s="3" t="n">
        <v>0.05659292280884887</v>
      </c>
      <c r="E85" s="2" t="n">
        <v>89.110001</v>
      </c>
      <c r="F85" s="4">
        <f>(Table3[[#This Row],[UMSCI]]-E74)/E74</f>
        <v/>
      </c>
    </row>
    <row r="86">
      <c r="A86" s="6" t="n">
        <v>23863</v>
      </c>
      <c r="B86" s="2" t="n">
        <v>41.4</v>
      </c>
      <c r="C86" s="4">
        <f>(Table3[[#This Row],[Conference Board Leading Indicator]]-B74)/B74</f>
        <v/>
      </c>
      <c r="E86" s="2" t="n">
        <v>88.41999800000001</v>
      </c>
      <c r="F86" s="4">
        <f>(Table3[[#This Row],[UMSCI]]-E75)/E75</f>
        <v/>
      </c>
    </row>
    <row r="87">
      <c r="A87" s="6" t="n">
        <v>23894</v>
      </c>
      <c r="B87" s="2" t="n">
        <v>41.6</v>
      </c>
      <c r="C87" s="4">
        <f>(Table3[[#This Row],[Conference Board Leading Indicator]]-B75)/B75</f>
        <v/>
      </c>
      <c r="E87" s="2" t="n">
        <v>84.120003</v>
      </c>
      <c r="F87" s="4">
        <f>(Table3[[#This Row],[UMSCI]]-E76)/E76</f>
        <v/>
      </c>
    </row>
    <row r="88">
      <c r="A88" s="6" t="n">
        <v>23924</v>
      </c>
      <c r="B88" s="2" t="n">
        <v>41.8</v>
      </c>
      <c r="C88" s="4">
        <f>(Table3[[#This Row],[Conference Board Leading Indicator]]-B76)/B76</f>
        <v/>
      </c>
      <c r="D88" s="3" t="n">
        <v>0.06346922615671097</v>
      </c>
      <c r="E88" s="2" t="n">
        <v>85.25</v>
      </c>
      <c r="F88" s="4">
        <f>(Table3[[#This Row],[UMSCI]]-E77)/E77</f>
        <v/>
      </c>
    </row>
    <row r="89">
      <c r="A89" s="6" t="n">
        <v>23955</v>
      </c>
      <c r="B89" s="2" t="n">
        <v>41.9</v>
      </c>
      <c r="C89" s="4">
        <f>(Table3[[#This Row],[Conference Board Leading Indicator]]-B77)/B77</f>
        <v/>
      </c>
      <c r="E89" s="2" t="n">
        <v>87.16999800000001</v>
      </c>
      <c r="F89" s="4">
        <f>(Table3[[#This Row],[UMSCI]]-E78)/E78</f>
        <v/>
      </c>
    </row>
    <row r="90">
      <c r="A90" s="6" t="n">
        <v>23986</v>
      </c>
      <c r="B90" s="2" t="n">
        <v>42.3</v>
      </c>
      <c r="C90" s="4">
        <f>(Table3[[#This Row],[Conference Board Leading Indicator]]-B78)/B78</f>
        <v/>
      </c>
      <c r="E90" s="2" t="n">
        <v>89.959999</v>
      </c>
      <c r="F90" s="4">
        <f>(Table3[[#This Row],[UMSCI]]-E79)/E79</f>
        <v/>
      </c>
    </row>
    <row r="91">
      <c r="A91" s="6" t="n">
        <v>24016</v>
      </c>
      <c r="B91" s="2" t="n">
        <v>42.8</v>
      </c>
      <c r="C91" s="4">
        <f>(Table3[[#This Row],[Conference Board Leading Indicator]]-B79)/B79</f>
        <v/>
      </c>
      <c r="D91" s="3" t="n">
        <v>0.08462169736040953</v>
      </c>
      <c r="E91" s="2" t="n">
        <v>92.41999800000001</v>
      </c>
      <c r="F91" s="4">
        <f>(Table3[[#This Row],[UMSCI]]-E80)/E80</f>
        <v/>
      </c>
    </row>
    <row r="92">
      <c r="A92" s="6" t="n">
        <v>24047</v>
      </c>
      <c r="B92" s="2" t="n">
        <v>43.1</v>
      </c>
      <c r="C92" s="4">
        <f>(Table3[[#This Row],[Conference Board Leading Indicator]]-B80)/B80</f>
        <v/>
      </c>
      <c r="E92" s="2" t="n">
        <v>91.610001</v>
      </c>
      <c r="F92" s="4">
        <f>(Table3[[#This Row],[UMSCI]]-E81)/E81</f>
        <v/>
      </c>
    </row>
    <row r="93">
      <c r="A93" s="6" t="n">
        <v>24077</v>
      </c>
      <c r="B93" s="2" t="n">
        <v>43.5</v>
      </c>
      <c r="C93" s="4">
        <f>(Table3[[#This Row],[Conference Board Leading Indicator]]-B81)/B81</f>
        <v/>
      </c>
      <c r="E93" s="2" t="n">
        <v>92.43000000000001</v>
      </c>
      <c r="F93" s="4">
        <f>(Table3[[#This Row],[UMSCI]]-E82)/E82</f>
        <v/>
      </c>
    </row>
    <row r="94">
      <c r="A94" s="6" t="n">
        <v>24108</v>
      </c>
      <c r="B94" s="2" t="n">
        <v>43.7</v>
      </c>
      <c r="C94" s="4">
        <f>(Table3[[#This Row],[Conference Board Leading Indicator]]-B82)/B82</f>
        <v/>
      </c>
      <c r="D94" s="3" t="n">
        <v>0.084774897835247</v>
      </c>
      <c r="E94" s="2" t="n">
        <v>92.879997</v>
      </c>
      <c r="F94" s="4">
        <f>(Table3[[#This Row],[UMSCI]]-E83)/E83</f>
        <v/>
      </c>
    </row>
    <row r="95">
      <c r="A95" s="6" t="n">
        <v>24139</v>
      </c>
      <c r="B95" s="2" t="n">
        <v>43.9</v>
      </c>
      <c r="C95" s="4">
        <f>(Table3[[#This Row],[Conference Board Leading Indicator]]-B83)/B83</f>
        <v/>
      </c>
      <c r="E95" s="2" t="n">
        <v>91.220001</v>
      </c>
      <c r="F95" s="4">
        <f>(Table3[[#This Row],[UMSCI]]-E84)/E84</f>
        <v/>
      </c>
    </row>
    <row r="96">
      <c r="A96" s="6" t="n">
        <v>24167</v>
      </c>
      <c r="B96" s="2" t="n">
        <v>44.3</v>
      </c>
      <c r="C96" s="4">
        <f>(Table3[[#This Row],[Conference Board Leading Indicator]]-B84)/B84</f>
        <v/>
      </c>
      <c r="E96" s="2" t="n">
        <v>89.230003</v>
      </c>
      <c r="F96" s="4">
        <f>(Table3[[#This Row],[UMSCI]]-E85)/E85</f>
        <v/>
      </c>
    </row>
    <row r="97">
      <c r="A97" s="6" t="n">
        <v>24198</v>
      </c>
      <c r="B97" s="2" t="n">
        <v>44.5</v>
      </c>
      <c r="C97" s="4">
        <f>(Table3[[#This Row],[Conference Board Leading Indicator]]-B85)/B85</f>
        <v/>
      </c>
      <c r="D97" s="3" t="n">
        <v>0.07490174733793456</v>
      </c>
      <c r="E97" s="2" t="n">
        <v>91.05999799999999</v>
      </c>
      <c r="F97" s="4">
        <f>(Table3[[#This Row],[UMSCI]]-E86)/E86</f>
        <v/>
      </c>
    </row>
    <row r="98">
      <c r="A98" s="6" t="n">
        <v>24228</v>
      </c>
      <c r="B98" s="2" t="n">
        <v>44.3</v>
      </c>
      <c r="C98" s="4">
        <f>(Table3[[#This Row],[Conference Board Leading Indicator]]-B86)/B86</f>
        <v/>
      </c>
      <c r="E98" s="2" t="n">
        <v>86.129997</v>
      </c>
      <c r="F98" s="4">
        <f>(Table3[[#This Row],[UMSCI]]-E87)/E87</f>
        <v/>
      </c>
    </row>
    <row r="99">
      <c r="A99" s="6" t="n">
        <v>24259</v>
      </c>
      <c r="B99" s="2" t="n">
        <v>44.2</v>
      </c>
      <c r="C99" s="4">
        <f>(Table3[[#This Row],[Conference Board Leading Indicator]]-B87)/B87</f>
        <v/>
      </c>
      <c r="E99" s="2" t="n">
        <v>84.739998</v>
      </c>
      <c r="F99" s="4">
        <f>(Table3[[#This Row],[UMSCI]]-E88)/E88</f>
        <v/>
      </c>
    </row>
    <row r="100">
      <c r="A100" s="6" t="n">
        <v>24289</v>
      </c>
      <c r="B100" s="2" t="n">
        <v>44.1</v>
      </c>
      <c r="C100" s="4">
        <f>(Table3[[#This Row],[Conference Board Leading Indicator]]-B88)/B88</f>
        <v/>
      </c>
      <c r="D100" s="3" t="n">
        <v>0.06042896625657584</v>
      </c>
      <c r="E100" s="2" t="n">
        <v>83.599998</v>
      </c>
      <c r="F100" s="4">
        <f>(Table3[[#This Row],[UMSCI]]-E89)/E89</f>
        <v/>
      </c>
    </row>
    <row r="101">
      <c r="A101" s="6" t="n">
        <v>24320</v>
      </c>
      <c r="B101" s="2" t="n">
        <v>44</v>
      </c>
      <c r="C101" s="4">
        <f>(Table3[[#This Row],[Conference Board Leading Indicator]]-B89)/B89</f>
        <v/>
      </c>
      <c r="E101" s="2" t="n">
        <v>77.099998</v>
      </c>
      <c r="F101" s="4">
        <f>(Table3[[#This Row],[UMSCI]]-E90)/E90</f>
        <v/>
      </c>
    </row>
    <row r="102">
      <c r="A102" s="6" t="n">
        <v>24351</v>
      </c>
      <c r="B102" s="2" t="n">
        <v>43.9</v>
      </c>
      <c r="C102" s="4">
        <f>(Table3[[#This Row],[Conference Board Leading Indicator]]-B90)/B90</f>
        <v/>
      </c>
      <c r="E102" s="2" t="n">
        <v>76.55999799999999</v>
      </c>
      <c r="F102" s="4">
        <f>(Table3[[#This Row],[UMSCI]]-E91)/E91</f>
        <v/>
      </c>
    </row>
    <row r="103">
      <c r="A103" s="6" t="n">
        <v>24381</v>
      </c>
      <c r="B103" s="2" t="n">
        <v>43.8</v>
      </c>
      <c r="C103" s="4">
        <f>(Table3[[#This Row],[Conference Board Leading Indicator]]-B91)/B91</f>
        <v/>
      </c>
      <c r="D103" s="3" t="n">
        <v>0.04505002704572997</v>
      </c>
      <c r="E103" s="2" t="n">
        <v>80.199997</v>
      </c>
      <c r="F103" s="4">
        <f>(Table3[[#This Row],[UMSCI]]-E92)/E92</f>
        <v/>
      </c>
    </row>
    <row r="104">
      <c r="A104" s="6" t="n">
        <v>24412</v>
      </c>
      <c r="B104" s="2" t="n">
        <v>43.8</v>
      </c>
      <c r="C104" s="4">
        <f>(Table3[[#This Row],[Conference Board Leading Indicator]]-B92)/B92</f>
        <v/>
      </c>
      <c r="E104" s="2" t="n">
        <v>80.449997</v>
      </c>
      <c r="F104" s="4">
        <f>(Table3[[#This Row],[UMSCI]]-E93)/E93</f>
        <v/>
      </c>
    </row>
    <row r="105">
      <c r="A105" s="6" t="n">
        <v>24442</v>
      </c>
      <c r="B105" s="2" t="n">
        <v>43.7</v>
      </c>
      <c r="C105" s="4">
        <f>(Table3[[#This Row],[Conference Board Leading Indicator]]-B93)/B93</f>
        <v/>
      </c>
      <c r="E105" s="2" t="n">
        <v>80.33000199999999</v>
      </c>
      <c r="F105" s="4">
        <f>(Table3[[#This Row],[UMSCI]]-E94)/E94</f>
        <v/>
      </c>
    </row>
    <row r="106">
      <c r="A106" s="6" t="n">
        <v>24473</v>
      </c>
      <c r="B106" s="2" t="n">
        <v>44</v>
      </c>
      <c r="C106" s="4">
        <f>(Table3[[#This Row],[Conference Board Leading Indicator]]-B94)/B94</f>
        <v/>
      </c>
      <c r="D106" s="3" t="n">
        <v>0.02925050599168132</v>
      </c>
      <c r="E106" s="2" t="n">
        <v>86.610001</v>
      </c>
      <c r="F106" s="4">
        <f>(Table3[[#This Row],[UMSCI]]-E95)/E95</f>
        <v/>
      </c>
    </row>
    <row r="107">
      <c r="A107" s="6" t="n">
        <v>24504</v>
      </c>
      <c r="B107" s="2" t="n">
        <v>43.7</v>
      </c>
      <c r="C107" s="4">
        <f>(Table3[[#This Row],[Conference Board Leading Indicator]]-B95)/B95</f>
        <v/>
      </c>
      <c r="E107" s="2" t="n">
        <v>86.779999</v>
      </c>
      <c r="F107" s="4">
        <f>(Table3[[#This Row],[UMSCI]]-E96)/E96</f>
        <v/>
      </c>
    </row>
    <row r="108">
      <c r="A108" s="6" t="n">
        <v>24532</v>
      </c>
      <c r="B108" s="2" t="n">
        <v>44</v>
      </c>
      <c r="C108" s="4">
        <f>(Table3[[#This Row],[Conference Board Leading Indicator]]-B96)/B96</f>
        <v/>
      </c>
      <c r="E108" s="2" t="n">
        <v>90.199997</v>
      </c>
      <c r="F108" s="4">
        <f>(Table3[[#This Row],[UMSCI]]-E97)/E97</f>
        <v/>
      </c>
    </row>
    <row r="109">
      <c r="A109" s="6" t="n">
        <v>24563</v>
      </c>
      <c r="B109" s="2" t="n">
        <v>44.1</v>
      </c>
      <c r="C109" s="4">
        <f>(Table3[[#This Row],[Conference Board Leading Indicator]]-B97)/B97</f>
        <v/>
      </c>
      <c r="D109" s="3" t="n">
        <v>0.02637486948032069</v>
      </c>
      <c r="E109" s="2" t="n">
        <v>94.010002</v>
      </c>
      <c r="F109" s="4">
        <f>(Table3[[#This Row],[UMSCI]]-E98)/E98</f>
        <v/>
      </c>
    </row>
    <row r="110">
      <c r="A110" s="6" t="n">
        <v>24593</v>
      </c>
      <c r="B110" s="2" t="n">
        <v>44.5</v>
      </c>
      <c r="C110" s="4">
        <f>(Table3[[#This Row],[Conference Board Leading Indicator]]-B98)/B98</f>
        <v/>
      </c>
      <c r="E110" s="2" t="n">
        <v>89.08000199999999</v>
      </c>
      <c r="F110" s="4">
        <f>(Table3[[#This Row],[UMSCI]]-E99)/E99</f>
        <v/>
      </c>
    </row>
    <row r="111">
      <c r="A111" s="6" t="n">
        <v>24624</v>
      </c>
      <c r="B111" s="2" t="n">
        <v>44.8</v>
      </c>
      <c r="C111" s="4">
        <f>(Table3[[#This Row],[Conference Board Leading Indicator]]-B99)/B99</f>
        <v/>
      </c>
      <c r="E111" s="2" t="n">
        <v>90.639999</v>
      </c>
      <c r="F111" s="4">
        <f>(Table3[[#This Row],[UMSCI]]-E100)/E100</f>
        <v/>
      </c>
    </row>
    <row r="112">
      <c r="A112" s="6" t="n">
        <v>24654</v>
      </c>
      <c r="B112" s="2" t="n">
        <v>45</v>
      </c>
      <c r="C112" s="4">
        <f>(Table3[[#This Row],[Conference Board Leading Indicator]]-B100)/B100</f>
        <v/>
      </c>
      <c r="D112" s="3" t="n">
        <v>0.02738476339339287</v>
      </c>
      <c r="E112" s="2" t="n">
        <v>94.75</v>
      </c>
      <c r="F112" s="4">
        <f>(Table3[[#This Row],[UMSCI]]-E101)/E101</f>
        <v/>
      </c>
    </row>
    <row r="113">
      <c r="A113" s="6" t="n">
        <v>24685</v>
      </c>
      <c r="B113" s="2" t="n">
        <v>45.5</v>
      </c>
      <c r="C113" s="4">
        <f>(Table3[[#This Row],[Conference Board Leading Indicator]]-B101)/B101</f>
        <v/>
      </c>
      <c r="E113" s="2" t="n">
        <v>93.639999</v>
      </c>
      <c r="F113" s="4">
        <f>(Table3[[#This Row],[UMSCI]]-E102)/E102</f>
        <v/>
      </c>
    </row>
    <row r="114">
      <c r="A114" s="6" t="n">
        <v>24716</v>
      </c>
      <c r="B114" s="2" t="n">
        <v>45.7</v>
      </c>
      <c r="C114" s="4">
        <f>(Table3[[#This Row],[Conference Board Leading Indicator]]-B102)/B102</f>
        <v/>
      </c>
      <c r="E114" s="2" t="n">
        <v>96.709999</v>
      </c>
      <c r="F114" s="4">
        <f>(Table3[[#This Row],[UMSCI]]-E103)/E103</f>
        <v/>
      </c>
    </row>
    <row r="115">
      <c r="A115" s="6" t="n">
        <v>24746</v>
      </c>
      <c r="B115" s="2" t="n">
        <v>45.8</v>
      </c>
      <c r="C115" s="4">
        <f>(Table3[[#This Row],[Conference Board Leading Indicator]]-B103)/B103</f>
        <v/>
      </c>
      <c r="D115" s="3" t="n">
        <v>0.02670862011171818</v>
      </c>
      <c r="E115" s="2" t="n">
        <v>93.300003</v>
      </c>
      <c r="F115" s="4">
        <f>(Table3[[#This Row],[UMSCI]]-E104)/E104</f>
        <v/>
      </c>
    </row>
    <row r="116">
      <c r="A116" s="6" t="n">
        <v>24777</v>
      </c>
      <c r="B116" s="2" t="n">
        <v>46.1</v>
      </c>
      <c r="C116" s="4">
        <f>(Table3[[#This Row],[Conference Board Leading Indicator]]-B104)/B104</f>
        <v/>
      </c>
      <c r="E116" s="2" t="n">
        <v>94</v>
      </c>
      <c r="F116" s="4">
        <f>(Table3[[#This Row],[UMSCI]]-E105)/E105</f>
        <v/>
      </c>
    </row>
    <row r="117">
      <c r="A117" s="6" t="n">
        <v>24807</v>
      </c>
      <c r="B117" s="2" t="n">
        <v>46.5</v>
      </c>
      <c r="C117" s="4">
        <f>(Table3[[#This Row],[Conference Board Leading Indicator]]-B105)/B105</f>
        <v/>
      </c>
      <c r="E117" s="2" t="n">
        <v>96.470001</v>
      </c>
      <c r="F117" s="4">
        <f>(Table3[[#This Row],[UMSCI]]-E106)/E106</f>
        <v/>
      </c>
    </row>
    <row r="118">
      <c r="A118" s="6" t="n">
        <v>24838</v>
      </c>
      <c r="B118" s="2" t="n">
        <v>46.6</v>
      </c>
      <c r="C118" s="4">
        <f>(Table3[[#This Row],[Conference Board Leading Indicator]]-B106)/B106</f>
        <v/>
      </c>
      <c r="D118" s="3" t="n">
        <v>0.03845187981015043</v>
      </c>
      <c r="E118" s="2" t="n">
        <v>92.239998</v>
      </c>
      <c r="F118" s="4">
        <f>(Table3[[#This Row],[UMSCI]]-E107)/E107</f>
        <v/>
      </c>
    </row>
    <row r="119">
      <c r="A119" s="6" t="n">
        <v>24869</v>
      </c>
      <c r="B119" s="2" t="n">
        <v>46.8</v>
      </c>
      <c r="C119" s="4">
        <f>(Table3[[#This Row],[Conference Board Leading Indicator]]-B107)/B107</f>
        <v/>
      </c>
      <c r="E119" s="2" t="n">
        <v>89.360001</v>
      </c>
      <c r="F119" s="4">
        <f>(Table3[[#This Row],[UMSCI]]-E108)/E108</f>
        <v/>
      </c>
    </row>
    <row r="120">
      <c r="A120" s="6" t="n">
        <v>24898</v>
      </c>
      <c r="B120" s="2" t="n">
        <v>46.9</v>
      </c>
      <c r="C120" s="4">
        <f>(Table3[[#This Row],[Conference Board Leading Indicator]]-B108)/B108</f>
        <v/>
      </c>
      <c r="E120" s="2" t="n">
        <v>90.199997</v>
      </c>
      <c r="F120" s="4">
        <f>(Table3[[#This Row],[UMSCI]]-E109)/E109</f>
        <v/>
      </c>
    </row>
    <row r="121">
      <c r="A121" s="6" t="n">
        <v>24929</v>
      </c>
      <c r="B121" s="2" t="n">
        <v>47</v>
      </c>
      <c r="C121" s="4">
        <f>(Table3[[#This Row],[Conference Board Leading Indicator]]-B109)/B109</f>
        <v/>
      </c>
      <c r="D121" s="3" t="n">
        <v>0.05515592602630465</v>
      </c>
      <c r="E121" s="2" t="n">
        <v>97.459999</v>
      </c>
      <c r="F121" s="4">
        <f>(Table3[[#This Row],[UMSCI]]-E110)/E110</f>
        <v/>
      </c>
    </row>
    <row r="122">
      <c r="A122" s="6" t="n">
        <v>24959</v>
      </c>
      <c r="B122" s="2" t="n">
        <v>47.3</v>
      </c>
      <c r="C122" s="4">
        <f>(Table3[[#This Row],[Conference Board Leading Indicator]]-B110)/B110</f>
        <v/>
      </c>
      <c r="E122" s="2" t="n">
        <v>98.68000000000001</v>
      </c>
      <c r="F122" s="4">
        <f>(Table3[[#This Row],[UMSCI]]-E111)/E111</f>
        <v/>
      </c>
    </row>
    <row r="123">
      <c r="A123" s="6" t="n">
        <v>24990</v>
      </c>
      <c r="B123" s="2" t="n">
        <v>47.5</v>
      </c>
      <c r="C123" s="4">
        <f>(Table3[[#This Row],[Conference Board Leading Indicator]]-B111)/B111</f>
        <v/>
      </c>
      <c r="E123" s="2" t="n">
        <v>99.58000199999999</v>
      </c>
      <c r="F123" s="4">
        <f>(Table3[[#This Row],[UMSCI]]-E112)/E112</f>
        <v/>
      </c>
    </row>
    <row r="124">
      <c r="A124" s="6" t="n">
        <v>25020</v>
      </c>
      <c r="B124" s="2" t="n">
        <v>47.6</v>
      </c>
      <c r="C124" s="4">
        <f>(Table3[[#This Row],[Conference Board Leading Indicator]]-B112)/B112</f>
        <v/>
      </c>
      <c r="D124" s="3" t="n">
        <v>0.05336684340654598</v>
      </c>
      <c r="E124" s="2" t="n">
        <v>97.739998</v>
      </c>
      <c r="F124" s="4">
        <f>(Table3[[#This Row],[UMSCI]]-E113)/E113</f>
        <v/>
      </c>
    </row>
    <row r="125">
      <c r="A125" s="6" t="n">
        <v>25051</v>
      </c>
      <c r="B125" s="2" t="n">
        <v>47.5</v>
      </c>
      <c r="C125" s="4">
        <f>(Table3[[#This Row],[Conference Board Leading Indicator]]-B113)/B113</f>
        <v/>
      </c>
      <c r="E125" s="2" t="n">
        <v>98.860001</v>
      </c>
      <c r="F125" s="4">
        <f>(Table3[[#This Row],[UMSCI]]-E114)/E114</f>
        <v/>
      </c>
    </row>
    <row r="126">
      <c r="A126" s="6" t="n">
        <v>25082</v>
      </c>
      <c r="B126" s="2" t="n">
        <v>48</v>
      </c>
      <c r="C126" s="4">
        <f>(Table3[[#This Row],[Conference Board Leading Indicator]]-B114)/B114</f>
        <v/>
      </c>
      <c r="E126" s="2" t="n">
        <v>102.669998</v>
      </c>
      <c r="F126" s="4">
        <f>(Table3[[#This Row],[UMSCI]]-E115)/E115</f>
        <v/>
      </c>
    </row>
    <row r="127">
      <c r="A127" s="6" t="n">
        <v>25112</v>
      </c>
      <c r="B127" s="2" t="n">
        <v>48.3</v>
      </c>
      <c r="C127" s="4">
        <f>(Table3[[#This Row],[Conference Board Leading Indicator]]-B115)/B115</f>
        <v/>
      </c>
      <c r="D127" s="3" t="n">
        <v>0.0495956002065058</v>
      </c>
      <c r="E127" s="2" t="n">
        <v>103.410004</v>
      </c>
      <c r="F127" s="4">
        <f>(Table3[[#This Row],[UMSCI]]-E116)/E116</f>
        <v/>
      </c>
    </row>
    <row r="128">
      <c r="A128" s="6" t="n">
        <v>25143</v>
      </c>
      <c r="B128" s="2" t="n">
        <v>48.4</v>
      </c>
      <c r="C128" s="4">
        <f>(Table3[[#This Row],[Conference Board Leading Indicator]]-B116)/B116</f>
        <v/>
      </c>
      <c r="E128" s="2" t="n">
        <v>108.370003</v>
      </c>
      <c r="F128" s="4">
        <f>(Table3[[#This Row],[UMSCI]]-E117)/E117</f>
        <v/>
      </c>
    </row>
    <row r="129">
      <c r="A129" s="6" t="n">
        <v>25173</v>
      </c>
      <c r="B129" s="2" t="n">
        <v>48.4</v>
      </c>
      <c r="C129" s="4">
        <f>(Table3[[#This Row],[Conference Board Leading Indicator]]-B117)/B117</f>
        <v/>
      </c>
      <c r="E129" s="2" t="n">
        <v>103.860001</v>
      </c>
      <c r="F129" s="4">
        <f>(Table3[[#This Row],[UMSCI]]-E118)/E118</f>
        <v/>
      </c>
    </row>
    <row r="130">
      <c r="A130" s="6" t="n">
        <v>25204</v>
      </c>
      <c r="B130" s="2" t="n">
        <v>48.5</v>
      </c>
      <c r="C130" s="4">
        <f>(Table3[[#This Row],[Conference Board Leading Indicator]]-B118)/B118</f>
        <v/>
      </c>
      <c r="D130" s="3" t="n">
        <v>0.04471599002376419</v>
      </c>
      <c r="E130" s="2" t="n">
        <v>103.010002</v>
      </c>
      <c r="F130" s="4">
        <f>(Table3[[#This Row],[UMSCI]]-E119)/E119</f>
        <v/>
      </c>
    </row>
    <row r="131">
      <c r="A131" s="6" t="n">
        <v>25235</v>
      </c>
      <c r="B131" s="2" t="n">
        <v>48.7</v>
      </c>
      <c r="C131" s="4">
        <f>(Table3[[#This Row],[Conference Board Leading Indicator]]-B119)/B119</f>
        <v/>
      </c>
      <c r="E131" s="2" t="n">
        <v>98.129997</v>
      </c>
      <c r="F131" s="4">
        <f>(Table3[[#This Row],[UMSCI]]-E120)/E120</f>
        <v/>
      </c>
    </row>
    <row r="132">
      <c r="A132" s="6" t="n">
        <v>25263</v>
      </c>
      <c r="B132" s="2" t="n">
        <v>48.8</v>
      </c>
      <c r="C132" s="4">
        <f>(Table3[[#This Row],[Conference Board Leading Indicator]]-B120)/B120</f>
        <v/>
      </c>
      <c r="E132" s="2" t="n">
        <v>101.510002</v>
      </c>
      <c r="F132" s="4">
        <f>(Table3[[#This Row],[UMSCI]]-E121)/E121</f>
        <v/>
      </c>
    </row>
    <row r="133">
      <c r="A133" s="6" t="n">
        <v>25294</v>
      </c>
      <c r="B133" s="2" t="n">
        <v>49.1</v>
      </c>
      <c r="C133" s="4">
        <f>(Table3[[#This Row],[Conference Board Leading Indicator]]-B121)/B121</f>
        <v/>
      </c>
      <c r="D133" s="3" t="n">
        <v>0.0306714490482571</v>
      </c>
      <c r="E133" s="2" t="n">
        <v>103.690002</v>
      </c>
      <c r="F133" s="4">
        <f>(Table3[[#This Row],[UMSCI]]-E122)/E122</f>
        <v/>
      </c>
    </row>
    <row r="134">
      <c r="A134" s="6" t="n">
        <v>25324</v>
      </c>
      <c r="B134" s="2" t="n">
        <v>48.8</v>
      </c>
      <c r="C134" s="4">
        <f>(Table3[[#This Row],[Conference Board Leading Indicator]]-B122)/B122</f>
        <v/>
      </c>
      <c r="E134" s="2" t="n">
        <v>103.459999</v>
      </c>
      <c r="F134" s="4">
        <f>(Table3[[#This Row],[UMSCI]]-E123)/E123</f>
        <v/>
      </c>
    </row>
    <row r="135">
      <c r="A135" s="6" t="n">
        <v>25355</v>
      </c>
      <c r="B135" s="2" t="n">
        <v>48.5</v>
      </c>
      <c r="C135" s="4">
        <f>(Table3[[#This Row],[Conference Board Leading Indicator]]-B123)/B123</f>
        <v/>
      </c>
      <c r="E135" s="2" t="n">
        <v>97.709999</v>
      </c>
      <c r="F135" s="4">
        <f>(Table3[[#This Row],[UMSCI]]-E124)/E124</f>
        <v/>
      </c>
    </row>
    <row r="136">
      <c r="A136" s="6" t="n">
        <v>25385</v>
      </c>
      <c r="B136" s="2" t="n">
        <v>48.2</v>
      </c>
      <c r="C136" s="4">
        <f>(Table3[[#This Row],[Conference Board Leading Indicator]]-B124)/B124</f>
        <v/>
      </c>
      <c r="D136" s="3" t="n">
        <v>0.02950081426930541</v>
      </c>
      <c r="E136" s="2" t="n">
        <v>91.83000199999999</v>
      </c>
      <c r="F136" s="4">
        <f>(Table3[[#This Row],[UMSCI]]-E125)/E125</f>
        <v/>
      </c>
    </row>
    <row r="137">
      <c r="A137" s="6" t="n">
        <v>25416</v>
      </c>
      <c r="B137" s="2" t="n">
        <v>48.1</v>
      </c>
      <c r="C137" s="4">
        <f>(Table3[[#This Row],[Conference Board Leading Indicator]]-B125)/B125</f>
        <v/>
      </c>
      <c r="E137" s="2" t="n">
        <v>95.510002</v>
      </c>
      <c r="F137" s="4">
        <f>(Table3[[#This Row],[UMSCI]]-E126)/E126</f>
        <v/>
      </c>
    </row>
    <row r="138">
      <c r="A138" s="6" t="n">
        <v>25447</v>
      </c>
      <c r="B138" s="2" t="n">
        <v>48.2</v>
      </c>
      <c r="C138" s="4">
        <f>(Table3[[#This Row],[Conference Board Leading Indicator]]-B126)/B126</f>
        <v/>
      </c>
      <c r="E138" s="2" t="n">
        <v>93.120003</v>
      </c>
      <c r="F138" s="4">
        <f>(Table3[[#This Row],[UMSCI]]-E127)/E127</f>
        <v/>
      </c>
    </row>
    <row r="139">
      <c r="A139" s="6" t="n">
        <v>25477</v>
      </c>
      <c r="B139" s="2" t="n">
        <v>47.9</v>
      </c>
      <c r="C139" s="4">
        <f>(Table3[[#This Row],[Conference Board Leading Indicator]]-B127)/B127</f>
        <v/>
      </c>
      <c r="D139" s="3" t="n">
        <v>0.02046656823768431</v>
      </c>
      <c r="E139" s="2" t="n">
        <v>97.120003</v>
      </c>
      <c r="F139" s="4">
        <f>(Table3[[#This Row],[UMSCI]]-E128)/E128</f>
        <v/>
      </c>
    </row>
    <row r="140">
      <c r="A140" s="6" t="n">
        <v>25508</v>
      </c>
      <c r="B140" s="2" t="n">
        <v>47.7</v>
      </c>
      <c r="C140" s="4">
        <f>(Table3[[#This Row],[Conference Board Leading Indicator]]-B128)/B128</f>
        <v/>
      </c>
      <c r="E140" s="2" t="n">
        <v>93.80999799999999</v>
      </c>
      <c r="F140" s="4">
        <f>(Table3[[#This Row],[UMSCI]]-E129)/E129</f>
        <v/>
      </c>
    </row>
    <row r="141">
      <c r="A141" s="6" t="n">
        <v>25538</v>
      </c>
      <c r="B141" s="2" t="n">
        <v>47.4</v>
      </c>
      <c r="C141" s="4">
        <f>(Table3[[#This Row],[Conference Board Leading Indicator]]-B129)/B129</f>
        <v/>
      </c>
      <c r="E141" s="2" t="n">
        <v>92.05999799999999</v>
      </c>
      <c r="F141" s="4">
        <f>(Table3[[#This Row],[UMSCI]]-E130)/E130</f>
        <v/>
      </c>
    </row>
    <row r="142">
      <c r="A142" s="6" t="n">
        <v>25569</v>
      </c>
      <c r="B142" s="2" t="n">
        <v>46.9</v>
      </c>
      <c r="C142" s="4">
        <f>(Table3[[#This Row],[Conference Board Leading Indicator]]-B130)/B130</f>
        <v/>
      </c>
      <c r="D142" s="3" t="n">
        <v>0.003249397177786164</v>
      </c>
      <c r="E142" s="2" t="n">
        <v>85.019997</v>
      </c>
      <c r="F142" s="4">
        <f>(Table3[[#This Row],[UMSCI]]-E131)/E131</f>
        <v/>
      </c>
    </row>
    <row r="143">
      <c r="A143" s="6" t="n">
        <v>25600</v>
      </c>
      <c r="B143" s="2" t="n">
        <v>46.5</v>
      </c>
      <c r="C143" s="4">
        <f>(Table3[[#This Row],[Conference Board Leading Indicator]]-B131)/B131</f>
        <v/>
      </c>
      <c r="E143" s="2" t="n">
        <v>89.5</v>
      </c>
      <c r="F143" s="4">
        <f>(Table3[[#This Row],[UMSCI]]-E132)/E132</f>
        <v/>
      </c>
    </row>
    <row r="144">
      <c r="A144" s="6" t="n">
        <v>25628</v>
      </c>
      <c r="B144" s="2" t="n">
        <v>46.2</v>
      </c>
      <c r="C144" s="4">
        <f>(Table3[[#This Row],[Conference Board Leading Indicator]]-B132)/B132</f>
        <v/>
      </c>
      <c r="E144" s="2" t="n">
        <v>89.629997</v>
      </c>
      <c r="F144" s="4">
        <f>(Table3[[#This Row],[UMSCI]]-E133)/E133</f>
        <v/>
      </c>
    </row>
    <row r="145">
      <c r="A145" s="6" t="n">
        <v>25659</v>
      </c>
      <c r="B145" s="2" t="n">
        <v>45.8</v>
      </c>
      <c r="C145" s="4">
        <f>(Table3[[#This Row],[Conference Board Leading Indicator]]-B133)/B133</f>
        <v/>
      </c>
      <c r="D145" s="3" t="n">
        <v>0.001628182716301533</v>
      </c>
      <c r="E145" s="2" t="n">
        <v>81.519997</v>
      </c>
      <c r="F145" s="4">
        <f>(Table3[[#This Row],[UMSCI]]-E134)/E134</f>
        <v/>
      </c>
    </row>
    <row r="146">
      <c r="A146" s="6" t="n">
        <v>25689</v>
      </c>
      <c r="B146" s="2" t="n">
        <v>45.8</v>
      </c>
      <c r="C146" s="4">
        <f>(Table3[[#This Row],[Conference Board Leading Indicator]]-B134)/B134</f>
        <v/>
      </c>
      <c r="E146" s="2" t="n">
        <v>76.550003</v>
      </c>
      <c r="F146" s="4">
        <f>(Table3[[#This Row],[UMSCI]]-E135)/E135</f>
        <v/>
      </c>
    </row>
    <row r="147">
      <c r="A147" s="6" t="n">
        <v>25720</v>
      </c>
      <c r="B147" s="2" t="n">
        <v>45.8</v>
      </c>
      <c r="C147" s="4">
        <f>(Table3[[#This Row],[Conference Board Leading Indicator]]-B135)/B135</f>
        <v/>
      </c>
      <c r="E147" s="2" t="n">
        <v>72.720001</v>
      </c>
      <c r="F147" s="4">
        <f>(Table3[[#This Row],[UMSCI]]-E136)/E136</f>
        <v/>
      </c>
    </row>
    <row r="148">
      <c r="A148" s="6" t="n">
        <v>25750</v>
      </c>
      <c r="B148" s="2" t="n">
        <v>45.9</v>
      </c>
      <c r="C148" s="4">
        <f>(Table3[[#This Row],[Conference Board Leading Indicator]]-B136)/B136</f>
        <v/>
      </c>
      <c r="D148" s="3" t="n">
        <v>0.004225907196300262</v>
      </c>
      <c r="E148" s="2" t="n">
        <v>78.050003</v>
      </c>
      <c r="F148" s="4">
        <f>(Table3[[#This Row],[UMSCI]]-E137)/E137</f>
        <v/>
      </c>
    </row>
    <row r="149">
      <c r="A149" s="6" t="n">
        <v>25781</v>
      </c>
      <c r="B149" s="2" t="n">
        <v>46</v>
      </c>
      <c r="C149" s="4">
        <f>(Table3[[#This Row],[Conference Board Leading Indicator]]-B137)/B137</f>
        <v/>
      </c>
      <c r="E149" s="2" t="n">
        <v>81.519997</v>
      </c>
      <c r="F149" s="4">
        <f>(Table3[[#This Row],[UMSCI]]-E138)/E138</f>
        <v/>
      </c>
    </row>
    <row r="150">
      <c r="A150" s="6" t="n">
        <v>25812</v>
      </c>
      <c r="B150" s="2" t="n">
        <v>46</v>
      </c>
      <c r="C150" s="4">
        <f>(Table3[[#This Row],[Conference Board Leading Indicator]]-B138)/B138</f>
        <v/>
      </c>
      <c r="E150" s="2" t="n">
        <v>84.300003</v>
      </c>
      <c r="F150" s="4">
        <f>(Table3[[#This Row],[UMSCI]]-E139)/E139</f>
        <v/>
      </c>
    </row>
    <row r="151">
      <c r="A151" s="6" t="n">
        <v>25842</v>
      </c>
      <c r="B151" s="2" t="n">
        <v>45.9</v>
      </c>
      <c r="C151" s="4">
        <f>(Table3[[#This Row],[Conference Board Leading Indicator]]-B139)/B139</f>
        <v/>
      </c>
      <c r="D151" s="3" t="n">
        <v>-0.00166709311509965</v>
      </c>
      <c r="E151" s="2" t="n">
        <v>83.25</v>
      </c>
      <c r="F151" s="4">
        <f>(Table3[[#This Row],[UMSCI]]-E140)/E140</f>
        <v/>
      </c>
    </row>
    <row r="152">
      <c r="A152" s="6" t="n">
        <v>25873</v>
      </c>
      <c r="B152" s="2" t="n">
        <v>45.9</v>
      </c>
      <c r="C152" s="4">
        <f>(Table3[[#This Row],[Conference Board Leading Indicator]]-B140)/B140</f>
        <v/>
      </c>
      <c r="E152" s="2" t="n">
        <v>87.199997</v>
      </c>
      <c r="F152" s="4">
        <f>(Table3[[#This Row],[UMSCI]]-E141)/E141</f>
        <v/>
      </c>
    </row>
    <row r="153">
      <c r="A153" s="6" t="n">
        <v>25903</v>
      </c>
      <c r="B153" s="2" t="n">
        <v>46.5</v>
      </c>
      <c r="C153" s="4">
        <f>(Table3[[#This Row],[Conference Board Leading Indicator]]-B141)/B141</f>
        <v/>
      </c>
      <c r="E153" s="2" t="n">
        <v>92.150002</v>
      </c>
      <c r="F153" s="4">
        <f>(Table3[[#This Row],[UMSCI]]-E142)/E142</f>
        <v/>
      </c>
    </row>
    <row r="154">
      <c r="A154" s="6" t="n">
        <v>25934</v>
      </c>
      <c r="B154" s="2" t="n">
        <v>46.8</v>
      </c>
      <c r="C154" s="4">
        <f>(Table3[[#This Row],[Conference Board Leading Indicator]]-B142)/B142</f>
        <v/>
      </c>
      <c r="D154" s="3" t="n">
        <v>0.02697244294345454</v>
      </c>
      <c r="E154" s="2" t="n">
        <v>95.879997</v>
      </c>
      <c r="F154" s="4">
        <f>(Table3[[#This Row],[UMSCI]]-E143)/E143</f>
        <v/>
      </c>
    </row>
    <row r="155">
      <c r="A155" s="6" t="n">
        <v>25965</v>
      </c>
      <c r="B155" s="2" t="n">
        <v>47.2</v>
      </c>
      <c r="C155" s="4">
        <f>(Table3[[#This Row],[Conference Board Leading Indicator]]-B143)/B143</f>
        <v/>
      </c>
      <c r="E155" s="2" t="n">
        <v>96.75</v>
      </c>
      <c r="F155" s="4">
        <f>(Table3[[#This Row],[UMSCI]]-E144)/E144</f>
        <v/>
      </c>
    </row>
    <row r="156">
      <c r="A156" s="6" t="n">
        <v>25993</v>
      </c>
      <c r="B156" s="2" t="n">
        <v>47.6</v>
      </c>
      <c r="C156" s="4">
        <f>(Table3[[#This Row],[Conference Board Leading Indicator]]-B144)/B144</f>
        <v/>
      </c>
      <c r="E156" s="2" t="n">
        <v>100.309998</v>
      </c>
      <c r="F156" s="4">
        <f>(Table3[[#This Row],[UMSCI]]-E145)/E145</f>
        <v/>
      </c>
    </row>
    <row r="157">
      <c r="A157" s="6" t="n">
        <v>26024</v>
      </c>
      <c r="B157" s="2" t="n">
        <v>47.8</v>
      </c>
      <c r="C157" s="4">
        <f>(Table3[[#This Row],[Conference Board Leading Indicator]]-B145)/B145</f>
        <v/>
      </c>
      <c r="D157" s="3" t="n">
        <v>0.03106622704102268</v>
      </c>
      <c r="E157" s="2" t="n">
        <v>103.949997</v>
      </c>
      <c r="F157" s="4">
        <f>(Table3[[#This Row],[UMSCI]]-E146)/E146</f>
        <v/>
      </c>
    </row>
    <row r="158">
      <c r="A158" s="6" t="n">
        <v>26054</v>
      </c>
      <c r="B158" s="2" t="n">
        <v>48.1</v>
      </c>
      <c r="C158" s="4">
        <f>(Table3[[#This Row],[Conference Board Leading Indicator]]-B146)/B146</f>
        <v/>
      </c>
      <c r="E158" s="2" t="n">
        <v>99.629997</v>
      </c>
      <c r="F158" s="4">
        <f>(Table3[[#This Row],[UMSCI]]-E147)/E147</f>
        <v/>
      </c>
    </row>
    <row r="159">
      <c r="A159" s="6" t="n">
        <v>26085</v>
      </c>
      <c r="B159" s="2" t="n">
        <v>48.2</v>
      </c>
      <c r="C159" s="4">
        <f>(Table3[[#This Row],[Conference Board Leading Indicator]]-B147)/B147</f>
        <v/>
      </c>
      <c r="E159" s="2" t="n">
        <v>98.699997</v>
      </c>
      <c r="F159" s="4">
        <f>(Table3[[#This Row],[UMSCI]]-E148)/E148</f>
        <v/>
      </c>
    </row>
    <row r="160">
      <c r="A160" s="6" t="n">
        <v>26115</v>
      </c>
      <c r="B160" s="2" t="n">
        <v>48.4</v>
      </c>
      <c r="C160" s="4">
        <f>(Table3[[#This Row],[Conference Board Leading Indicator]]-B148)/B148</f>
        <v/>
      </c>
      <c r="D160" s="3" t="n">
        <v>0.03005897386713874</v>
      </c>
      <c r="E160" s="2" t="n">
        <v>95.58000199999999</v>
      </c>
      <c r="F160" s="4">
        <f>(Table3[[#This Row],[UMSCI]]-E149)/E149</f>
        <v/>
      </c>
    </row>
    <row r="161">
      <c r="A161" s="6" t="n">
        <v>26146</v>
      </c>
      <c r="B161" s="2" t="n">
        <v>48.5</v>
      </c>
      <c r="C161" s="4">
        <f>(Table3[[#This Row],[Conference Board Leading Indicator]]-B149)/B149</f>
        <v/>
      </c>
      <c r="E161" s="2" t="n">
        <v>99.029999</v>
      </c>
      <c r="F161" s="4">
        <f>(Table3[[#This Row],[UMSCI]]-E150)/E150</f>
        <v/>
      </c>
    </row>
    <row r="162">
      <c r="A162" s="6" t="n">
        <v>26177</v>
      </c>
      <c r="B162" s="2" t="n">
        <v>48.7</v>
      </c>
      <c r="C162" s="4">
        <f>(Table3[[#This Row],[Conference Board Leading Indicator]]-B150)/B150</f>
        <v/>
      </c>
      <c r="E162" s="2" t="n">
        <v>98.339996</v>
      </c>
      <c r="F162" s="4">
        <f>(Table3[[#This Row],[UMSCI]]-E151)/E151</f>
        <v/>
      </c>
    </row>
    <row r="163">
      <c r="A163" s="6" t="n">
        <v>26207</v>
      </c>
      <c r="B163" s="2" t="n">
        <v>49</v>
      </c>
      <c r="C163" s="4">
        <f>(Table3[[#This Row],[Conference Board Leading Indicator]]-B151)/B151</f>
        <v/>
      </c>
      <c r="D163" s="3" t="n">
        <v>0.04367208414299667</v>
      </c>
      <c r="E163" s="2" t="n">
        <v>94.230003</v>
      </c>
      <c r="F163" s="4">
        <f>(Table3[[#This Row],[UMSCI]]-E152)/E152</f>
        <v/>
      </c>
    </row>
    <row r="164">
      <c r="A164" s="6" t="n">
        <v>26238</v>
      </c>
      <c r="B164" s="2" t="n">
        <v>49.2</v>
      </c>
      <c r="C164" s="4">
        <f>(Table3[[#This Row],[Conference Board Leading Indicator]]-B152)/B152</f>
        <v/>
      </c>
      <c r="E164" s="2" t="n">
        <v>93.989998</v>
      </c>
      <c r="F164" s="4">
        <f>(Table3[[#This Row],[UMSCI]]-E153)/E153</f>
        <v/>
      </c>
    </row>
    <row r="165">
      <c r="A165" s="6" t="n">
        <v>26268</v>
      </c>
      <c r="B165" s="2" t="n">
        <v>49.7</v>
      </c>
      <c r="C165" s="4">
        <f>(Table3[[#This Row],[Conference Board Leading Indicator]]-B153)/B153</f>
        <v/>
      </c>
      <c r="E165" s="2" t="n">
        <v>102.089996</v>
      </c>
      <c r="F165" s="4">
        <f>(Table3[[#This Row],[UMSCI]]-E154)/E154</f>
        <v/>
      </c>
    </row>
    <row r="166">
      <c r="A166" s="6" t="n">
        <v>26299</v>
      </c>
      <c r="B166" s="2" t="n">
        <v>50.2</v>
      </c>
      <c r="C166" s="4">
        <f>(Table3[[#This Row],[Conference Board Leading Indicator]]-B154)/B154</f>
        <v/>
      </c>
      <c r="D166" s="3" t="n">
        <v>0.034760715822844</v>
      </c>
      <c r="E166" s="2" t="n">
        <v>103.940002</v>
      </c>
      <c r="F166" s="4">
        <f>(Table3[[#This Row],[UMSCI]]-E155)/E155</f>
        <v/>
      </c>
    </row>
    <row r="167">
      <c r="A167" s="6" t="n">
        <v>26330</v>
      </c>
      <c r="B167" s="2" t="n">
        <v>50.8</v>
      </c>
      <c r="C167" s="4">
        <f>(Table3[[#This Row],[Conference Board Leading Indicator]]-B155)/B155</f>
        <v/>
      </c>
      <c r="E167" s="2" t="n">
        <v>106.57</v>
      </c>
      <c r="F167" s="4">
        <f>(Table3[[#This Row],[UMSCI]]-E156)/E156</f>
        <v/>
      </c>
    </row>
    <row r="168">
      <c r="A168" s="6" t="n">
        <v>26359</v>
      </c>
      <c r="B168" s="2" t="n">
        <v>51.2</v>
      </c>
      <c r="C168" s="4">
        <f>(Table3[[#This Row],[Conference Board Leading Indicator]]-B156)/B156</f>
        <v/>
      </c>
      <c r="E168" s="2" t="n">
        <v>107.199997</v>
      </c>
      <c r="F168" s="4">
        <f>(Table3[[#This Row],[UMSCI]]-E157)/E157</f>
        <v/>
      </c>
    </row>
    <row r="169">
      <c r="A169" s="6" t="n">
        <v>26390</v>
      </c>
      <c r="B169" s="2" t="n">
        <v>51.5</v>
      </c>
      <c r="C169" s="4">
        <f>(Table3[[#This Row],[Conference Board Leading Indicator]]-B157)/B157</f>
        <v/>
      </c>
      <c r="D169" s="3" t="n">
        <v>0.05255181346387874</v>
      </c>
      <c r="E169" s="2" t="n">
        <v>107.669998</v>
      </c>
      <c r="F169" s="4">
        <f>(Table3[[#This Row],[UMSCI]]-E158)/E158</f>
        <v/>
      </c>
    </row>
    <row r="170">
      <c r="A170" s="6" t="n">
        <v>26420</v>
      </c>
      <c r="B170" s="2" t="n">
        <v>51.7</v>
      </c>
      <c r="C170" s="4">
        <f>(Table3[[#This Row],[Conference Board Leading Indicator]]-B158)/B158</f>
        <v/>
      </c>
      <c r="E170" s="2" t="n">
        <v>109.529999</v>
      </c>
      <c r="F170" s="4">
        <f>(Table3[[#This Row],[UMSCI]]-E159)/E159</f>
        <v/>
      </c>
    </row>
    <row r="171">
      <c r="A171" s="6" t="n">
        <v>26451</v>
      </c>
      <c r="B171" s="2" t="n">
        <v>52.1</v>
      </c>
      <c r="C171" s="4">
        <f>(Table3[[#This Row],[Conference Board Leading Indicator]]-B159)/B159</f>
        <v/>
      </c>
      <c r="E171" s="2" t="n">
        <v>107.139999</v>
      </c>
      <c r="F171" s="4">
        <f>(Table3[[#This Row],[UMSCI]]-E160)/E160</f>
        <v/>
      </c>
    </row>
    <row r="172">
      <c r="A172" s="6" t="n">
        <v>26481</v>
      </c>
      <c r="B172" s="2" t="n">
        <v>52.4</v>
      </c>
      <c r="C172" s="4">
        <f>(Table3[[#This Row],[Conference Board Leading Indicator]]-B160)/B160</f>
        <v/>
      </c>
      <c r="D172" s="3" t="n">
        <v>0.05381924715632706</v>
      </c>
      <c r="E172" s="2" t="n">
        <v>107.389999</v>
      </c>
      <c r="F172" s="4">
        <f>(Table3[[#This Row],[UMSCI]]-E161)/E161</f>
        <v/>
      </c>
    </row>
    <row r="173">
      <c r="A173" s="6" t="n">
        <v>26512</v>
      </c>
      <c r="B173" s="2" t="n">
        <v>53.1</v>
      </c>
      <c r="C173" s="4">
        <f>(Table3[[#This Row],[Conference Board Leading Indicator]]-B161)/B161</f>
        <v/>
      </c>
      <c r="E173" s="2" t="n">
        <v>111.089996</v>
      </c>
      <c r="F173" s="4">
        <f>(Table3[[#This Row],[UMSCI]]-E162)/E162</f>
        <v/>
      </c>
    </row>
    <row r="174">
      <c r="A174" s="6" t="n">
        <v>26543</v>
      </c>
      <c r="B174" s="2" t="n">
        <v>53.7</v>
      </c>
      <c r="C174" s="4">
        <f>(Table3[[#This Row],[Conference Board Leading Indicator]]-B162)/B162</f>
        <v/>
      </c>
      <c r="E174" s="2" t="n">
        <v>110.550003</v>
      </c>
      <c r="F174" s="4">
        <f>(Table3[[#This Row],[UMSCI]]-E163)/E163</f>
        <v/>
      </c>
    </row>
    <row r="175">
      <c r="A175" s="6" t="n">
        <v>26573</v>
      </c>
      <c r="B175" s="2" t="n">
        <v>54.1</v>
      </c>
      <c r="C175" s="4">
        <f>(Table3[[#This Row],[Conference Board Leading Indicator]]-B163)/B163</f>
        <v/>
      </c>
      <c r="D175" s="3" t="n">
        <v>0.06894469201134869</v>
      </c>
      <c r="E175" s="2" t="n">
        <v>111.580002</v>
      </c>
      <c r="F175" s="4">
        <f>(Table3[[#This Row],[UMSCI]]-E164)/E164</f>
        <v/>
      </c>
    </row>
    <row r="176">
      <c r="A176" s="6" t="n">
        <v>26604</v>
      </c>
      <c r="B176" s="2" t="n">
        <v>54.7</v>
      </c>
      <c r="C176" s="4">
        <f>(Table3[[#This Row],[Conference Board Leading Indicator]]-B164)/B164</f>
        <v/>
      </c>
      <c r="E176" s="2" t="n">
        <v>116.669998</v>
      </c>
      <c r="F176" s="4">
        <f>(Table3[[#This Row],[UMSCI]]-E165)/E165</f>
        <v/>
      </c>
    </row>
    <row r="177">
      <c r="A177" s="6" t="n">
        <v>26634</v>
      </c>
      <c r="B177" s="2" t="n">
        <v>55.3</v>
      </c>
      <c r="C177" s="4">
        <f>(Table3[[#This Row],[Conference Board Leading Indicator]]-B165)/B165</f>
        <v/>
      </c>
      <c r="E177" s="2" t="n">
        <v>118.050003</v>
      </c>
      <c r="F177" s="4">
        <f>(Table3[[#This Row],[UMSCI]]-E166)/E166</f>
        <v/>
      </c>
    </row>
    <row r="178">
      <c r="A178" s="6" t="n">
        <v>26665</v>
      </c>
      <c r="B178" s="2" t="n">
        <v>55.6</v>
      </c>
      <c r="C178" s="4">
        <f>(Table3[[#This Row],[Conference Board Leading Indicator]]-B166)/B166</f>
        <v/>
      </c>
      <c r="D178" s="3" t="n">
        <v>0.0756189413062283</v>
      </c>
      <c r="E178" s="2" t="n">
        <v>116.029999</v>
      </c>
      <c r="F178" s="4">
        <f>(Table3[[#This Row],[UMSCI]]-E167)/E167</f>
        <v/>
      </c>
    </row>
    <row r="179">
      <c r="A179" s="6" t="n">
        <v>26696</v>
      </c>
      <c r="B179" s="2" t="n">
        <v>55.8</v>
      </c>
      <c r="C179" s="4">
        <f>(Table3[[#This Row],[Conference Board Leading Indicator]]-B167)/B167</f>
        <v/>
      </c>
      <c r="E179" s="2" t="n">
        <v>111.68</v>
      </c>
      <c r="F179" s="4">
        <f>(Table3[[#This Row],[UMSCI]]-E168)/E168</f>
        <v/>
      </c>
    </row>
    <row r="180">
      <c r="A180" s="6" t="n">
        <v>26724</v>
      </c>
      <c r="B180" s="2" t="n">
        <v>55.7</v>
      </c>
      <c r="C180" s="4">
        <f>(Table3[[#This Row],[Conference Board Leading Indicator]]-B168)/B168</f>
        <v/>
      </c>
      <c r="E180" s="2" t="n">
        <v>111.519997</v>
      </c>
      <c r="F180" s="4">
        <f>(Table3[[#This Row],[UMSCI]]-E169)/E169</f>
        <v/>
      </c>
    </row>
    <row r="181">
      <c r="A181" s="6" t="n">
        <v>26755</v>
      </c>
      <c r="B181" s="2" t="n">
        <v>55.4</v>
      </c>
      <c r="C181" s="4">
        <f>(Table3[[#This Row],[Conference Board Leading Indicator]]-B169)/B169</f>
        <v/>
      </c>
      <c r="D181" s="3" t="n">
        <v>0.06319667402603331</v>
      </c>
      <c r="E181" s="2" t="n">
        <v>106.970001</v>
      </c>
      <c r="F181" s="4">
        <f>(Table3[[#This Row],[UMSCI]]-E170)/E170</f>
        <v/>
      </c>
    </row>
    <row r="182">
      <c r="A182" s="6" t="n">
        <v>26785</v>
      </c>
      <c r="B182" s="2" t="n">
        <v>55.4</v>
      </c>
      <c r="C182" s="4">
        <f>(Table3[[#This Row],[Conference Board Leading Indicator]]-B170)/B170</f>
        <v/>
      </c>
      <c r="E182" s="2" t="n">
        <v>104.949997</v>
      </c>
      <c r="F182" s="4">
        <f>(Table3[[#This Row],[UMSCI]]-E171)/E171</f>
        <v/>
      </c>
    </row>
    <row r="183">
      <c r="A183" s="6" t="n">
        <v>26816</v>
      </c>
      <c r="B183" s="2" t="n">
        <v>55.3</v>
      </c>
      <c r="C183" s="4">
        <f>(Table3[[#This Row],[Conference Board Leading Indicator]]-B171)/B171</f>
        <v/>
      </c>
      <c r="E183" s="2" t="n">
        <v>104.260002</v>
      </c>
      <c r="F183" s="4">
        <f>(Table3[[#This Row],[UMSCI]]-E172)/E172</f>
        <v/>
      </c>
    </row>
    <row r="184">
      <c r="A184" s="6" t="n">
        <v>26846</v>
      </c>
      <c r="B184" s="2" t="n">
        <v>54.9</v>
      </c>
      <c r="C184" s="4">
        <f>(Table3[[#This Row],[Conference Board Leading Indicator]]-B172)/B172</f>
        <v/>
      </c>
      <c r="D184" s="3" t="n">
        <v>0.04771080884655608</v>
      </c>
      <c r="E184" s="2" t="n">
        <v>108.220001</v>
      </c>
      <c r="F184" s="4">
        <f>(Table3[[#This Row],[UMSCI]]-E173)/E173</f>
        <v/>
      </c>
    </row>
    <row r="185">
      <c r="A185" s="6" t="n">
        <v>26877</v>
      </c>
      <c r="B185" s="2" t="n">
        <v>54.4</v>
      </c>
      <c r="C185" s="4">
        <f>(Table3[[#This Row],[Conference Board Leading Indicator]]-B173)/B173</f>
        <v/>
      </c>
      <c r="E185" s="2" t="n">
        <v>104.25</v>
      </c>
      <c r="F185" s="4">
        <f>(Table3[[#This Row],[UMSCI]]-E174)/E174</f>
        <v/>
      </c>
    </row>
    <row r="186">
      <c r="A186" s="6" t="n">
        <v>26908</v>
      </c>
      <c r="B186" s="2" t="n">
        <v>54.2</v>
      </c>
      <c r="C186" s="4">
        <f>(Table3[[#This Row],[Conference Board Leading Indicator]]-B174)/B174</f>
        <v/>
      </c>
      <c r="E186" s="2" t="n">
        <v>108.43</v>
      </c>
      <c r="F186" s="4">
        <f>(Table3[[#This Row],[UMSCI]]-E175)/E175</f>
        <v/>
      </c>
    </row>
    <row r="187">
      <c r="A187" s="6" t="n">
        <v>26938</v>
      </c>
      <c r="B187" s="2" t="n">
        <v>54.1</v>
      </c>
      <c r="C187" s="4">
        <f>(Table3[[#This Row],[Conference Board Leading Indicator]]-B175)/B175</f>
        <v/>
      </c>
      <c r="D187" s="3" t="n">
        <v>0.04023757099925256</v>
      </c>
      <c r="E187" s="2" t="n">
        <v>108.290001</v>
      </c>
      <c r="F187" s="4">
        <f>(Table3[[#This Row],[UMSCI]]-E176)/E176</f>
        <v/>
      </c>
    </row>
    <row r="188">
      <c r="A188" s="6" t="n">
        <v>26969</v>
      </c>
      <c r="B188" s="2" t="n">
        <v>53.8</v>
      </c>
      <c r="C188" s="4">
        <f>(Table3[[#This Row],[Conference Board Leading Indicator]]-B176)/B176</f>
        <v/>
      </c>
      <c r="E188" s="2" t="n">
        <v>95.959999</v>
      </c>
      <c r="F188" s="4">
        <f>(Table3[[#This Row],[UMSCI]]-E177)/E177</f>
        <v/>
      </c>
    </row>
    <row r="189">
      <c r="A189" s="6" t="n">
        <v>26999</v>
      </c>
      <c r="B189" s="2" t="n">
        <v>53.2</v>
      </c>
      <c r="C189" s="4">
        <f>(Table3[[#This Row],[Conference Board Leading Indicator]]-B177)/B177</f>
        <v/>
      </c>
      <c r="E189" s="2" t="n">
        <v>97.550003</v>
      </c>
      <c r="F189" s="4">
        <f>(Table3[[#This Row],[UMSCI]]-E178)/E178</f>
        <v/>
      </c>
    </row>
    <row r="190">
      <c r="A190" s="6" t="n">
        <v>27030</v>
      </c>
      <c r="B190" s="2" t="n">
        <v>52.8</v>
      </c>
      <c r="C190" s="4">
        <f>(Table3[[#This Row],[Conference Board Leading Indicator]]-B178)/B178</f>
        <v/>
      </c>
      <c r="D190" s="3" t="n">
        <v>0.006387757282945335</v>
      </c>
      <c r="E190" s="2" t="n">
        <v>96.56999999999999</v>
      </c>
      <c r="F190" s="4">
        <f>(Table3[[#This Row],[UMSCI]]-E179)/E179</f>
        <v/>
      </c>
    </row>
    <row r="191">
      <c r="A191" s="6" t="n">
        <v>27061</v>
      </c>
      <c r="B191" s="2" t="n">
        <v>52.5</v>
      </c>
      <c r="C191" s="4">
        <f>(Table3[[#This Row],[Conference Board Leading Indicator]]-B179)/B179</f>
        <v/>
      </c>
      <c r="E191" s="2" t="n">
        <v>96.220001</v>
      </c>
      <c r="F191" s="4">
        <f>(Table3[[#This Row],[UMSCI]]-E180)/E180</f>
        <v/>
      </c>
    </row>
    <row r="192">
      <c r="A192" s="6" t="n">
        <v>27089</v>
      </c>
      <c r="B192" s="2" t="n">
        <v>52.4</v>
      </c>
      <c r="C192" s="4">
        <f>(Table3[[#This Row],[Conference Board Leading Indicator]]-B180)/B180</f>
        <v/>
      </c>
      <c r="E192" s="2" t="n">
        <v>93.980003</v>
      </c>
      <c r="F192" s="4">
        <f>(Table3[[#This Row],[UMSCI]]-E181)/E181</f>
        <v/>
      </c>
    </row>
    <row r="193">
      <c r="A193" s="6" t="n">
        <v>27120</v>
      </c>
      <c r="B193" s="2" t="n">
        <v>51.6</v>
      </c>
      <c r="C193" s="4">
        <f>(Table3[[#This Row],[Conference Board Leading Indicator]]-B181)/B181</f>
        <v/>
      </c>
      <c r="D193" s="3" t="n">
        <v>-0.002084115665614427</v>
      </c>
      <c r="E193" s="2" t="n">
        <v>90.30999799999999</v>
      </c>
      <c r="F193" s="4">
        <f>(Table3[[#This Row],[UMSCI]]-E182)/E182</f>
        <v/>
      </c>
    </row>
    <row r="194">
      <c r="A194" s="6" t="n">
        <v>27150</v>
      </c>
      <c r="B194" s="2" t="n">
        <v>51.4</v>
      </c>
      <c r="C194" s="4">
        <f>(Table3[[#This Row],[Conference Board Leading Indicator]]-B182)/B182</f>
        <v/>
      </c>
      <c r="E194" s="2" t="n">
        <v>87.279999</v>
      </c>
      <c r="F194" s="4">
        <f>(Table3[[#This Row],[UMSCI]]-E183)/E183</f>
        <v/>
      </c>
    </row>
    <row r="195">
      <c r="A195" s="6" t="n">
        <v>27181</v>
      </c>
      <c r="B195" s="2" t="n">
        <v>50.8</v>
      </c>
      <c r="C195" s="4">
        <f>(Table3[[#This Row],[Conference Board Leading Indicator]]-B183)/B183</f>
        <v/>
      </c>
      <c r="E195" s="2" t="n">
        <v>86</v>
      </c>
      <c r="F195" s="4">
        <f>(Table3[[#This Row],[UMSCI]]-E184)/E184</f>
        <v/>
      </c>
    </row>
    <row r="196">
      <c r="A196" s="6" t="n">
        <v>27211</v>
      </c>
      <c r="B196" s="2" t="n">
        <v>50.3</v>
      </c>
      <c r="C196" s="4">
        <f>(Table3[[#This Row],[Conference Board Leading Indicator]]-B184)/B184</f>
        <v/>
      </c>
      <c r="D196" s="3" t="n">
        <v>-0.006289808075289526</v>
      </c>
      <c r="E196" s="2" t="n">
        <v>79.30999799999999</v>
      </c>
      <c r="F196" s="4">
        <f>(Table3[[#This Row],[UMSCI]]-E185)/E185</f>
        <v/>
      </c>
    </row>
    <row r="197">
      <c r="A197" s="6" t="n">
        <v>27242</v>
      </c>
      <c r="B197" s="2" t="n">
        <v>49.4</v>
      </c>
      <c r="C197" s="4">
        <f>(Table3[[#This Row],[Conference Board Leading Indicator]]-B185)/B185</f>
        <v/>
      </c>
      <c r="E197" s="2" t="n">
        <v>72.150002</v>
      </c>
      <c r="F197" s="4">
        <f>(Table3[[#This Row],[UMSCI]]-E186)/E186</f>
        <v/>
      </c>
    </row>
    <row r="198">
      <c r="A198" s="6" t="n">
        <v>27273</v>
      </c>
      <c r="B198" s="2" t="n">
        <v>48.5</v>
      </c>
      <c r="C198" s="4">
        <f>(Table3[[#This Row],[Conference Board Leading Indicator]]-B186)/B186</f>
        <v/>
      </c>
      <c r="E198" s="2" t="n">
        <v>63.540001</v>
      </c>
      <c r="F198" s="4">
        <f>(Table3[[#This Row],[UMSCI]]-E187)/E187</f>
        <v/>
      </c>
    </row>
    <row r="199">
      <c r="A199" s="6" t="n">
        <v>27303</v>
      </c>
      <c r="B199" s="2" t="n">
        <v>47.9</v>
      </c>
      <c r="C199" s="4">
        <f>(Table3[[#This Row],[Conference Board Leading Indicator]]-B187)/B187</f>
        <v/>
      </c>
      <c r="D199" s="3" t="n">
        <v>-0.01945439563125444</v>
      </c>
      <c r="E199" s="2" t="n">
        <v>73.900002</v>
      </c>
      <c r="F199" s="4">
        <f>(Table3[[#This Row],[UMSCI]]-E188)/E188</f>
        <v/>
      </c>
    </row>
    <row r="200">
      <c r="A200" s="6" t="n">
        <v>27334</v>
      </c>
      <c r="B200" s="2" t="n">
        <v>47.1</v>
      </c>
      <c r="C200" s="4">
        <f>(Table3[[#This Row],[Conference Board Leading Indicator]]-B188)/B188</f>
        <v/>
      </c>
      <c r="E200" s="2" t="n">
        <v>69.970001</v>
      </c>
      <c r="F200" s="4">
        <f>(Table3[[#This Row],[UMSCI]]-E189)/E189</f>
        <v/>
      </c>
    </row>
    <row r="201">
      <c r="A201" s="6" t="n">
        <v>27364</v>
      </c>
      <c r="B201" s="2" t="n">
        <v>46.3</v>
      </c>
      <c r="C201" s="4">
        <f>(Table3[[#This Row],[Conference Board Leading Indicator]]-B189)/B189</f>
        <v/>
      </c>
      <c r="E201" s="2" t="n">
        <v>68.55999799999999</v>
      </c>
      <c r="F201" s="4">
        <f>(Table3[[#This Row],[UMSCI]]-E190)/E190</f>
        <v/>
      </c>
    </row>
    <row r="202">
      <c r="A202" s="6" t="n">
        <v>27395</v>
      </c>
      <c r="B202" s="2" t="n">
        <v>45.9</v>
      </c>
      <c r="C202" s="4">
        <f>(Table3[[#This Row],[Conference Board Leading Indicator]]-B190)/B190</f>
        <v/>
      </c>
      <c r="D202" s="3" t="n">
        <v>-0.02299059663694922</v>
      </c>
      <c r="E202" s="2" t="n">
        <v>76.980003</v>
      </c>
      <c r="F202" s="4">
        <f>(Table3[[#This Row],[UMSCI]]-E191)/E191</f>
        <v/>
      </c>
    </row>
    <row r="203">
      <c r="A203" s="6" t="n">
        <v>27426</v>
      </c>
      <c r="B203" s="2" t="n">
        <v>45.8</v>
      </c>
      <c r="C203" s="4">
        <f>(Table3[[#This Row],[Conference Board Leading Indicator]]-B191)/B191</f>
        <v/>
      </c>
      <c r="E203" s="2" t="n">
        <v>81.589996</v>
      </c>
      <c r="F203" s="4">
        <f>(Table3[[#This Row],[UMSCI]]-E192)/E192</f>
        <v/>
      </c>
    </row>
    <row r="204">
      <c r="A204" s="6" t="n">
        <v>27454</v>
      </c>
      <c r="B204" s="2" t="n">
        <v>45.6</v>
      </c>
      <c r="C204" s="4">
        <f>(Table3[[#This Row],[Conference Board Leading Indicator]]-B192)/B192</f>
        <v/>
      </c>
      <c r="E204" s="2" t="n">
        <v>83.360001</v>
      </c>
      <c r="F204" s="4">
        <f>(Table3[[#This Row],[UMSCI]]-E193)/E193</f>
        <v/>
      </c>
    </row>
    <row r="205">
      <c r="A205" s="6" t="n">
        <v>27485</v>
      </c>
      <c r="B205" s="2" t="n">
        <v>46.2</v>
      </c>
      <c r="C205" s="4">
        <f>(Table3[[#This Row],[Conference Board Leading Indicator]]-B193)/B193</f>
        <v/>
      </c>
      <c r="D205" s="3" t="n">
        <v>-0.01834261209618054</v>
      </c>
      <c r="E205" s="2" t="n">
        <v>87.300003</v>
      </c>
      <c r="F205" s="4">
        <f>(Table3[[#This Row],[UMSCI]]-E194)/E194</f>
        <v/>
      </c>
    </row>
    <row r="206">
      <c r="A206" s="6" t="n">
        <v>27515</v>
      </c>
      <c r="B206" s="2" t="n">
        <v>46.5</v>
      </c>
      <c r="C206" s="4">
        <f>(Table3[[#This Row],[Conference Board Leading Indicator]]-B194)/B194</f>
        <v/>
      </c>
      <c r="E206" s="2" t="n">
        <v>91.150002</v>
      </c>
      <c r="F206" s="4">
        <f>(Table3[[#This Row],[UMSCI]]-E195)/E195</f>
        <v/>
      </c>
    </row>
    <row r="207">
      <c r="A207" s="6" t="n">
        <v>27546</v>
      </c>
      <c r="B207" s="2" t="n">
        <v>46.8</v>
      </c>
      <c r="C207" s="4">
        <f>(Table3[[#This Row],[Conference Board Leading Indicator]]-B195)/B195</f>
        <v/>
      </c>
      <c r="E207" s="2" t="n">
        <v>95.19000200000001</v>
      </c>
      <c r="F207" s="4">
        <f>(Table3[[#This Row],[UMSCI]]-E196)/E196</f>
        <v/>
      </c>
    </row>
    <row r="208">
      <c r="A208" s="6" t="n">
        <v>27576</v>
      </c>
      <c r="B208" s="2" t="n">
        <v>47.3</v>
      </c>
      <c r="C208" s="4">
        <f>(Table3[[#This Row],[Conference Board Leading Indicator]]-B196)/B196</f>
        <v/>
      </c>
      <c r="D208" s="3" t="n">
        <v>0.007986824656804968</v>
      </c>
      <c r="E208" s="2" t="n">
        <v>88.75</v>
      </c>
      <c r="F208" s="4">
        <f>(Table3[[#This Row],[UMSCI]]-E197)/E197</f>
        <v/>
      </c>
    </row>
    <row r="209">
      <c r="A209" s="6" t="n">
        <v>27607</v>
      </c>
      <c r="B209" s="2" t="n">
        <v>47.4</v>
      </c>
      <c r="C209" s="4">
        <f>(Table3[[#This Row],[Conference Board Leading Indicator]]-B197)/B197</f>
        <v/>
      </c>
      <c r="E209" s="2" t="n">
        <v>86.879997</v>
      </c>
      <c r="F209" s="4">
        <f>(Table3[[#This Row],[UMSCI]]-E198)/E198</f>
        <v/>
      </c>
    </row>
    <row r="210">
      <c r="A210" s="6" t="n">
        <v>27638</v>
      </c>
      <c r="B210" s="2" t="n">
        <v>47.6</v>
      </c>
      <c r="C210" s="4">
        <f>(Table3[[#This Row],[Conference Board Leading Indicator]]-B198)/B198</f>
        <v/>
      </c>
      <c r="E210" s="2" t="n">
        <v>83.870003</v>
      </c>
      <c r="F210" s="4">
        <f>(Table3[[#This Row],[UMSCI]]-E199)/E199</f>
        <v/>
      </c>
    </row>
    <row r="211">
      <c r="A211" s="6" t="n">
        <v>27668</v>
      </c>
      <c r="B211" s="2" t="n">
        <v>48</v>
      </c>
      <c r="C211" s="4">
        <f>(Table3[[#This Row],[Conference Board Leading Indicator]]-B199)/B199</f>
        <v/>
      </c>
      <c r="D211" s="3" t="n">
        <v>0.02553998681747399</v>
      </c>
      <c r="E211" s="2" t="n">
        <v>89.040001</v>
      </c>
      <c r="F211" s="4">
        <f>(Table3[[#This Row],[UMSCI]]-E200)/E200</f>
        <v/>
      </c>
    </row>
    <row r="212">
      <c r="A212" s="6" t="n">
        <v>27699</v>
      </c>
      <c r="B212" s="2" t="n">
        <v>48.2</v>
      </c>
      <c r="C212" s="4">
        <f>(Table3[[#This Row],[Conference Board Leading Indicator]]-B200)/B200</f>
        <v/>
      </c>
      <c r="E212" s="2" t="n">
        <v>91.239998</v>
      </c>
      <c r="F212" s="4">
        <f>(Table3[[#This Row],[UMSCI]]-E201)/E201</f>
        <v/>
      </c>
    </row>
    <row r="213">
      <c r="A213" s="6" t="n">
        <v>27729</v>
      </c>
      <c r="B213" s="2" t="n">
        <v>48.5</v>
      </c>
      <c r="C213" s="4">
        <f>(Table3[[#This Row],[Conference Board Leading Indicator]]-B201)/B201</f>
        <v/>
      </c>
      <c r="E213" s="2" t="n">
        <v>90.19000200000001</v>
      </c>
      <c r="F213" s="4">
        <f>(Table3[[#This Row],[UMSCI]]-E202)/E202</f>
        <v/>
      </c>
    </row>
    <row r="214">
      <c r="A214" s="6" t="n">
        <v>27760</v>
      </c>
      <c r="B214" s="2" t="n">
        <v>49.2</v>
      </c>
      <c r="C214" s="4">
        <f>(Table3[[#This Row],[Conference Board Leading Indicator]]-B202)/B202</f>
        <v/>
      </c>
      <c r="D214" s="3" t="n">
        <v>0.06152386486609245</v>
      </c>
      <c r="E214" s="2" t="n">
        <v>100.860001</v>
      </c>
      <c r="F214" s="4">
        <f>(Table3[[#This Row],[UMSCI]]-E203)/E203</f>
        <v/>
      </c>
    </row>
    <row r="215">
      <c r="A215" s="6" t="n">
        <v>27791</v>
      </c>
      <c r="B215" s="2" t="n">
        <v>49.9</v>
      </c>
      <c r="C215" s="4">
        <f>(Table3[[#This Row],[Conference Board Leading Indicator]]-B203)/B203</f>
        <v/>
      </c>
      <c r="E215" s="2" t="n">
        <v>99.709999</v>
      </c>
      <c r="F215" s="4">
        <f>(Table3[[#This Row],[UMSCI]]-E204)/E204</f>
        <v/>
      </c>
    </row>
    <row r="216">
      <c r="A216" s="6" t="n">
        <v>27820</v>
      </c>
      <c r="B216" s="2" t="n">
        <v>50.1</v>
      </c>
      <c r="C216" s="4">
        <f>(Table3[[#This Row],[Conference Board Leading Indicator]]-B204)/B204</f>
        <v/>
      </c>
      <c r="E216" s="2" t="n">
        <v>102.769997</v>
      </c>
      <c r="F216" s="4">
        <f>(Table3[[#This Row],[UMSCI]]-E205)/E205</f>
        <v/>
      </c>
    </row>
    <row r="217">
      <c r="A217" s="6" t="n">
        <v>27851</v>
      </c>
      <c r="B217" s="2" t="n">
        <v>50.3</v>
      </c>
      <c r="C217" s="4">
        <f>(Table3[[#This Row],[Conference Board Leading Indicator]]-B205)/B205</f>
        <v/>
      </c>
      <c r="D217" s="3" t="n">
        <v>0.06172572389849315</v>
      </c>
      <c r="E217" s="2" t="n">
        <v>101.639999</v>
      </c>
      <c r="F217" s="4">
        <f>(Table3[[#This Row],[UMSCI]]-E206)/E206</f>
        <v/>
      </c>
    </row>
    <row r="218">
      <c r="A218" s="6" t="n">
        <v>27881</v>
      </c>
      <c r="B218" s="2" t="n">
        <v>50.7</v>
      </c>
      <c r="C218" s="4">
        <f>(Table3[[#This Row],[Conference Board Leading Indicator]]-B206)/B206</f>
        <v/>
      </c>
      <c r="E218" s="2" t="n">
        <v>100.18</v>
      </c>
      <c r="F218" s="4">
        <f>(Table3[[#This Row],[UMSCI]]-E207)/E207</f>
        <v/>
      </c>
    </row>
    <row r="219">
      <c r="A219" s="6" t="n">
        <v>27912</v>
      </c>
      <c r="B219" s="2" t="n">
        <v>50.8</v>
      </c>
      <c r="C219" s="4">
        <f>(Table3[[#This Row],[Conference Board Leading Indicator]]-B207)/B207</f>
        <v/>
      </c>
      <c r="E219" s="2" t="n">
        <v>104.279999</v>
      </c>
      <c r="F219" s="4">
        <f>(Table3[[#This Row],[UMSCI]]-E208)/E208</f>
        <v/>
      </c>
    </row>
    <row r="220">
      <c r="A220" s="6" t="n">
        <v>27942</v>
      </c>
      <c r="B220" s="2" t="n">
        <v>51.3</v>
      </c>
      <c r="C220" s="4">
        <f>(Table3[[#This Row],[Conference Board Leading Indicator]]-B208)/B208</f>
        <v/>
      </c>
      <c r="D220" s="3" t="n">
        <v>0.04958630717571949</v>
      </c>
      <c r="E220" s="2" t="n">
        <v>103.440002</v>
      </c>
      <c r="F220" s="4">
        <f>(Table3[[#This Row],[UMSCI]]-E209)/E209</f>
        <v/>
      </c>
    </row>
    <row r="221">
      <c r="A221" s="6" t="n">
        <v>27973</v>
      </c>
      <c r="B221" s="2" t="n">
        <v>51.5</v>
      </c>
      <c r="C221" s="4">
        <f>(Table3[[#This Row],[Conference Board Leading Indicator]]-B209)/B209</f>
        <v/>
      </c>
      <c r="E221" s="2" t="n">
        <v>102.910004</v>
      </c>
      <c r="F221" s="4">
        <f>(Table3[[#This Row],[UMSCI]]-E210)/E210</f>
        <v/>
      </c>
    </row>
    <row r="222">
      <c r="A222" s="6" t="n">
        <v>28004</v>
      </c>
      <c r="B222" s="2" t="n">
        <v>51.9</v>
      </c>
      <c r="C222" s="4">
        <f>(Table3[[#This Row],[Conference Board Leading Indicator]]-B210)/B210</f>
        <v/>
      </c>
      <c r="E222" s="2" t="n">
        <v>105.239998</v>
      </c>
      <c r="F222" s="4">
        <f>(Table3[[#This Row],[UMSCI]]-E211)/E211</f>
        <v/>
      </c>
    </row>
    <row r="223">
      <c r="A223" s="6" t="n">
        <v>28034</v>
      </c>
      <c r="B223" s="2" t="n">
        <v>51.9</v>
      </c>
      <c r="C223" s="4">
        <f>(Table3[[#This Row],[Conference Board Leading Indicator]]-B211)/B211</f>
        <v/>
      </c>
      <c r="D223" s="3" t="n">
        <v>0.04314812641450343</v>
      </c>
      <c r="E223" s="2" t="n">
        <v>102.900002</v>
      </c>
      <c r="F223" s="4">
        <f>(Table3[[#This Row],[UMSCI]]-E212)/E212</f>
        <v/>
      </c>
    </row>
    <row r="224">
      <c r="A224" s="6" t="n">
        <v>28065</v>
      </c>
      <c r="B224" s="2" t="n">
        <v>52.4</v>
      </c>
      <c r="C224" s="4">
        <f>(Table3[[#This Row],[Conference Board Leading Indicator]]-B212)/B212</f>
        <v/>
      </c>
      <c r="E224" s="2" t="n">
        <v>102.099998</v>
      </c>
      <c r="F224" s="4">
        <f>(Table3[[#This Row],[UMSCI]]-E213)/E213</f>
        <v/>
      </c>
    </row>
    <row r="225">
      <c r="A225" s="6" t="n">
        <v>28095</v>
      </c>
      <c r="B225" s="2" t="n">
        <v>52.9</v>
      </c>
      <c r="C225" s="4">
        <f>(Table3[[#This Row],[Conference Board Leading Indicator]]-B213)/B213</f>
        <v/>
      </c>
      <c r="E225" s="2" t="n">
        <v>107.459999</v>
      </c>
      <c r="F225" s="4">
        <f>(Table3[[#This Row],[UMSCI]]-E214)/E214</f>
        <v/>
      </c>
    </row>
    <row r="226">
      <c r="A226" s="6" t="n">
        <v>28126</v>
      </c>
      <c r="B226" s="2" t="n">
        <v>52.9</v>
      </c>
      <c r="C226" s="4">
        <f>(Table3[[#This Row],[Conference Board Leading Indicator]]-B214)/B214</f>
        <v/>
      </c>
      <c r="D226" s="3" t="n">
        <v>0.03225978436200012</v>
      </c>
      <c r="E226" s="2" t="n">
        <v>102.029999</v>
      </c>
      <c r="F226" s="4">
        <f>(Table3[[#This Row],[UMSCI]]-E215)/E215</f>
        <v/>
      </c>
    </row>
    <row r="227">
      <c r="A227" s="6" t="n">
        <v>28157</v>
      </c>
      <c r="B227" s="2" t="n">
        <v>53.2</v>
      </c>
      <c r="C227" s="4">
        <f>(Table3[[#This Row],[Conference Board Leading Indicator]]-B215)/B215</f>
        <v/>
      </c>
      <c r="E227" s="2" t="n">
        <v>99.81999999999999</v>
      </c>
      <c r="F227" s="4">
        <f>(Table3[[#This Row],[UMSCI]]-E216)/E216</f>
        <v/>
      </c>
    </row>
    <row r="228">
      <c r="A228" s="6" t="n">
        <v>28185</v>
      </c>
      <c r="B228" s="2" t="n">
        <v>54</v>
      </c>
      <c r="C228" s="4">
        <f>(Table3[[#This Row],[Conference Board Leading Indicator]]-B216)/B216</f>
        <v/>
      </c>
      <c r="E228" s="2" t="n">
        <v>98.41999800000001</v>
      </c>
      <c r="F228" s="4">
        <f>(Table3[[#This Row],[UMSCI]]-E217)/E217</f>
        <v/>
      </c>
    </row>
    <row r="229">
      <c r="A229" s="6" t="n">
        <v>28216</v>
      </c>
      <c r="B229" s="2" t="n">
        <v>54.1</v>
      </c>
      <c r="C229" s="4">
        <f>(Table3[[#This Row],[Conference Board Leading Indicator]]-B217)/B217</f>
        <v/>
      </c>
      <c r="D229" s="3" t="n">
        <v>0.04466339250302256</v>
      </c>
      <c r="E229" s="2" t="n">
        <v>98.44000200000001</v>
      </c>
      <c r="F229" s="4">
        <f>(Table3[[#This Row],[UMSCI]]-E218)/E218</f>
        <v/>
      </c>
    </row>
    <row r="230">
      <c r="A230" s="6" t="n">
        <v>28246</v>
      </c>
      <c r="B230" s="2" t="n">
        <v>54.4</v>
      </c>
      <c r="C230" s="4">
        <f>(Table3[[#This Row],[Conference Board Leading Indicator]]-B218)/B218</f>
        <v/>
      </c>
      <c r="E230" s="2" t="n">
        <v>96.120003</v>
      </c>
      <c r="F230" s="4">
        <f>(Table3[[#This Row],[UMSCI]]-E219)/E219</f>
        <v/>
      </c>
    </row>
    <row r="231">
      <c r="A231" s="6" t="n">
        <v>28277</v>
      </c>
      <c r="B231" s="2" t="n">
        <v>54.8</v>
      </c>
      <c r="C231" s="4">
        <f>(Table3[[#This Row],[Conference Board Leading Indicator]]-B219)/B219</f>
        <v/>
      </c>
      <c r="E231" s="2" t="n">
        <v>100.480003</v>
      </c>
      <c r="F231" s="4">
        <f>(Table3[[#This Row],[UMSCI]]-E220)/E220</f>
        <v/>
      </c>
    </row>
    <row r="232">
      <c r="A232" s="6" t="n">
        <v>28307</v>
      </c>
      <c r="B232" s="2" t="n">
        <v>54.8</v>
      </c>
      <c r="C232" s="4">
        <f>(Table3[[#This Row],[Conference Board Leading Indicator]]-B220)/B220</f>
        <v/>
      </c>
      <c r="D232" s="3" t="n">
        <v>0.05770891988872243</v>
      </c>
      <c r="E232" s="2" t="n">
        <v>98.849998</v>
      </c>
      <c r="F232" s="4">
        <f>(Table3[[#This Row],[UMSCI]]-E221)/E221</f>
        <v/>
      </c>
    </row>
    <row r="233">
      <c r="A233" s="6" t="n">
        <v>28338</v>
      </c>
      <c r="B233" s="2" t="n">
        <v>55.1</v>
      </c>
      <c r="C233" s="4">
        <f>(Table3[[#This Row],[Conference Board Leading Indicator]]-B221)/B221</f>
        <v/>
      </c>
      <c r="E233" s="2" t="n">
        <v>96.769997</v>
      </c>
      <c r="F233" s="4">
        <f>(Table3[[#This Row],[UMSCI]]-E222)/E222</f>
        <v/>
      </c>
    </row>
    <row r="234">
      <c r="A234" s="6" t="n">
        <v>28369</v>
      </c>
      <c r="B234" s="2" t="n">
        <v>55.2</v>
      </c>
      <c r="C234" s="4">
        <f>(Table3[[#This Row],[Conference Board Leading Indicator]]-B222)/B222</f>
        <v/>
      </c>
      <c r="E234" s="2" t="n">
        <v>96.529999</v>
      </c>
      <c r="F234" s="4">
        <f>(Table3[[#This Row],[UMSCI]]-E223)/E223</f>
        <v/>
      </c>
    </row>
    <row r="235">
      <c r="A235" s="6" t="n">
        <v>28399</v>
      </c>
      <c r="B235" s="2" t="n">
        <v>55.3</v>
      </c>
      <c r="C235" s="4">
        <f>(Table3[[#This Row],[Conference Board Leading Indicator]]-B223)/B223</f>
        <v/>
      </c>
      <c r="D235" s="3" t="n">
        <v>0.05012029616689948</v>
      </c>
      <c r="E235" s="2" t="n">
        <v>92.339996</v>
      </c>
      <c r="F235" s="4">
        <f>(Table3[[#This Row],[UMSCI]]-E224)/E224</f>
        <v/>
      </c>
    </row>
    <row r="236">
      <c r="A236" s="6" t="n">
        <v>28430</v>
      </c>
      <c r="B236" s="2" t="n">
        <v>55.5</v>
      </c>
      <c r="C236" s="4">
        <f>(Table3[[#This Row],[Conference Board Leading Indicator]]-B224)/B224</f>
        <v/>
      </c>
      <c r="E236" s="2" t="n">
        <v>94.83000199999999</v>
      </c>
      <c r="F236" s="4">
        <f>(Table3[[#This Row],[UMSCI]]-E225)/E225</f>
        <v/>
      </c>
    </row>
    <row r="237">
      <c r="A237" s="6" t="n">
        <v>28460</v>
      </c>
      <c r="B237" s="2" t="n">
        <v>55.6</v>
      </c>
      <c r="C237" s="4">
        <f>(Table3[[#This Row],[Conference Board Leading Indicator]]-B225)/B225</f>
        <v/>
      </c>
      <c r="E237" s="2" t="n">
        <v>95.099998</v>
      </c>
      <c r="F237" s="4">
        <f>(Table3[[#This Row],[UMSCI]]-E226)/E226</f>
        <v/>
      </c>
    </row>
    <row r="238">
      <c r="A238" s="6" t="n">
        <v>28491</v>
      </c>
      <c r="B238" s="2">
        <f>VLOOKUP(Table3[[#This Row],[Date]],'DB LEI'!$A:$F,2)</f>
        <v/>
      </c>
      <c r="C238" s="4">
        <f>(Table3[[#This Row],[Conference Board Leading Indicator]]-B226)/B226</f>
        <v/>
      </c>
      <c r="D238" s="3">
        <f>IF(VLOOKUP(Table3[[#This Row],[Date]],'DB LEI'!$A:$I,9)=0,"",VLOOKUP(Table3[[#This Row],[Date]],'DB LEI'!$A:$I,9))</f>
        <v/>
      </c>
      <c r="E238" s="2" t="n">
        <v>89.25</v>
      </c>
      <c r="F238" s="4">
        <f>(Table3[[#This Row],[UMSCI]]-E227)/E227</f>
        <v/>
      </c>
    </row>
    <row r="239">
      <c r="A239" s="6" t="n">
        <v>28522</v>
      </c>
      <c r="B239" s="2">
        <f>VLOOKUP(Table3[[#This Row],[Date]],'DB LEI'!$A:$F,2)</f>
        <v/>
      </c>
      <c r="C239" s="4">
        <f>(Table3[[#This Row],[Conference Board Leading Indicator]]-B227)/B227</f>
        <v/>
      </c>
      <c r="D239" s="3">
        <f>IF(VLOOKUP(Table3[[#This Row],[Date]],'DB LEI'!$A:$I,9)=0,"",VLOOKUP(Table3[[#This Row],[Date]],'DB LEI'!$A:$I,9))</f>
        <v/>
      </c>
      <c r="E239" s="2" t="n">
        <v>87.040001</v>
      </c>
      <c r="F239" s="4">
        <f>(Table3[[#This Row],[UMSCI]]-E228)/E228</f>
        <v/>
      </c>
    </row>
    <row r="240">
      <c r="A240" s="6" t="n">
        <v>28550</v>
      </c>
      <c r="B240" s="2">
        <f>VLOOKUP(Table3[[#This Row],[Date]],'DB LEI'!$A:$F,2)</f>
        <v/>
      </c>
      <c r="C240" s="4">
        <f>(Table3[[#This Row],[Conference Board Leading Indicator]]-B228)/B228</f>
        <v/>
      </c>
      <c r="D240" s="3">
        <f>IF(VLOOKUP(Table3[[#This Row],[Date]],'DB LEI'!$A:$I,9)=0,"",VLOOKUP(Table3[[#This Row],[Date]],'DB LEI'!$A:$I,9))</f>
        <v/>
      </c>
      <c r="E240" s="2" t="n">
        <v>89.209999</v>
      </c>
      <c r="F240" s="4">
        <f>(Table3[[#This Row],[UMSCI]]-E229)/E229</f>
        <v/>
      </c>
    </row>
    <row r="241">
      <c r="A241" s="6" t="n">
        <v>28581</v>
      </c>
      <c r="B241" s="2">
        <f>VLOOKUP(Table3[[#This Row],[Date]],'DB LEI'!$A:$F,2)</f>
        <v/>
      </c>
      <c r="C241" s="4">
        <f>(Table3[[#This Row],[Conference Board Leading Indicator]]-B229)/B229</f>
        <v/>
      </c>
      <c r="D241" s="3">
        <f>IF(VLOOKUP(Table3[[#This Row],[Date]],'DB LEI'!$A:$I,9)=0,"",VLOOKUP(Table3[[#This Row],[Date]],'DB LEI'!$A:$I,9))</f>
        <v/>
      </c>
      <c r="E241" s="2" t="n">
        <v>96.83000199999999</v>
      </c>
      <c r="F241" s="4">
        <f>(Table3[[#This Row],[UMSCI]]-E230)/E230</f>
        <v/>
      </c>
    </row>
    <row r="242">
      <c r="A242" s="6" t="n">
        <v>28611</v>
      </c>
      <c r="B242" s="2">
        <f>VLOOKUP(Table3[[#This Row],[Date]],'DB LEI'!$A:$F,2)</f>
        <v/>
      </c>
      <c r="C242" s="4">
        <f>(Table3[[#This Row],[Conference Board Leading Indicator]]-B230)/B230</f>
        <v/>
      </c>
      <c r="D242" s="3">
        <f>IF(VLOOKUP(Table3[[#This Row],[Date]],'DB LEI'!$A:$I,9)=0,"",VLOOKUP(Table3[[#This Row],[Date]],'DB LEI'!$A:$I,9))</f>
        <v/>
      </c>
      <c r="E242" s="2" t="n">
        <v>97.239998</v>
      </c>
      <c r="F242" s="4">
        <f>(Table3[[#This Row],[UMSCI]]-E231)/E231</f>
        <v/>
      </c>
    </row>
    <row r="243">
      <c r="A243" s="6" t="n">
        <v>28642</v>
      </c>
      <c r="B243" s="2">
        <f>VLOOKUP(Table3[[#This Row],[Date]],'DB LEI'!$A:$F,2)</f>
        <v/>
      </c>
      <c r="C243" s="4">
        <f>(Table3[[#This Row],[Conference Board Leading Indicator]]-B231)/B231</f>
        <v/>
      </c>
      <c r="D243" s="3">
        <f>IF(VLOOKUP(Table3[[#This Row],[Date]],'DB LEI'!$A:$I,9)=0,"",VLOOKUP(Table3[[#This Row],[Date]],'DB LEI'!$A:$I,9))</f>
        <v/>
      </c>
      <c r="E243" s="2" t="n">
        <v>95.529999</v>
      </c>
      <c r="F243" s="4">
        <f>(Table3[[#This Row],[UMSCI]]-E232)/E232</f>
        <v/>
      </c>
    </row>
    <row r="244">
      <c r="A244" s="6" t="n">
        <v>28672</v>
      </c>
      <c r="B244" s="2">
        <f>VLOOKUP(Table3[[#This Row],[Date]],'DB LEI'!$A:$F,2)</f>
        <v/>
      </c>
      <c r="C244" s="4">
        <f>(Table3[[#This Row],[Conference Board Leading Indicator]]-B232)/B232</f>
        <v/>
      </c>
      <c r="D244" s="3">
        <f>IF(VLOOKUP(Table3[[#This Row],[Date]],'DB LEI'!$A:$I,9)=0,"",VLOOKUP(Table3[[#This Row],[Date]],'DB LEI'!$A:$I,9))</f>
        <v/>
      </c>
      <c r="E244" s="2" t="n">
        <v>100.68</v>
      </c>
      <c r="F244" s="4">
        <f>(Table3[[#This Row],[UMSCI]]-E233)/E233</f>
        <v/>
      </c>
    </row>
    <row r="245">
      <c r="A245" s="6" t="n">
        <v>28703</v>
      </c>
      <c r="B245" s="2">
        <f>VLOOKUP(Table3[[#This Row],[Date]],'DB LEI'!$A:$F,2)</f>
        <v/>
      </c>
      <c r="C245" s="4">
        <f>(Table3[[#This Row],[Conference Board Leading Indicator]]-B233)/B233</f>
        <v/>
      </c>
      <c r="D245" s="3">
        <f>IF(VLOOKUP(Table3[[#This Row],[Date]],'DB LEI'!$A:$I,9)=0,"",VLOOKUP(Table3[[#This Row],[Date]],'DB LEI'!$A:$I,9))</f>
        <v/>
      </c>
      <c r="E245" s="2" t="n">
        <v>103.290001</v>
      </c>
      <c r="F245" s="4">
        <f>(Table3[[#This Row],[UMSCI]]-E234)/E234</f>
        <v/>
      </c>
    </row>
    <row r="246">
      <c r="A246" s="6" t="n">
        <v>28734</v>
      </c>
      <c r="B246" s="2">
        <f>VLOOKUP(Table3[[#This Row],[Date]],'DB LEI'!$A:$F,2)</f>
        <v/>
      </c>
      <c r="C246" s="4">
        <f>(Table3[[#This Row],[Conference Board Leading Indicator]]-B234)/B234</f>
        <v/>
      </c>
      <c r="D246" s="3">
        <f>IF(VLOOKUP(Table3[[#This Row],[Date]],'DB LEI'!$A:$I,9)=0,"",VLOOKUP(Table3[[#This Row],[Date]],'DB LEI'!$A:$I,9))</f>
        <v/>
      </c>
      <c r="E246" s="2" t="n">
        <v>102.540001</v>
      </c>
      <c r="F246" s="4">
        <f>(Table3[[#This Row],[UMSCI]]-E235)/E235</f>
        <v/>
      </c>
    </row>
    <row r="247">
      <c r="A247" s="6" t="n">
        <v>28764</v>
      </c>
      <c r="B247" s="2">
        <f>VLOOKUP(Table3[[#This Row],[Date]],'DB LEI'!$A:$F,2)</f>
        <v/>
      </c>
      <c r="C247" s="4">
        <f>(Table3[[#This Row],[Conference Board Leading Indicator]]-B235)/B235</f>
        <v/>
      </c>
      <c r="D247" s="3">
        <f>IF(VLOOKUP(Table3[[#This Row],[Date]],'DB LEI'!$A:$I,9)=0,"",VLOOKUP(Table3[[#This Row],[Date]],'DB LEI'!$A:$I,9))</f>
        <v/>
      </c>
      <c r="E247" s="2" t="n">
        <v>93.150002</v>
      </c>
      <c r="F247" s="4">
        <f>(Table3[[#This Row],[UMSCI]]-E236)/E236</f>
        <v/>
      </c>
    </row>
    <row r="248">
      <c r="A248" s="6" t="n">
        <v>28795</v>
      </c>
      <c r="B248" s="2">
        <f>VLOOKUP(Table3[[#This Row],[Date]],'DB LEI'!$A:$F,2)</f>
        <v/>
      </c>
      <c r="C248" s="4">
        <f>(Table3[[#This Row],[Conference Board Leading Indicator]]-B236)/B236</f>
        <v/>
      </c>
      <c r="D248" s="3">
        <f>IF(VLOOKUP(Table3[[#This Row],[Date]],'DB LEI'!$A:$I,9)=0,"",VLOOKUP(Table3[[#This Row],[Date]],'DB LEI'!$A:$I,9))</f>
        <v/>
      </c>
      <c r="E248" s="2" t="n">
        <v>94.699997</v>
      </c>
      <c r="F248" s="4">
        <f>(Table3[[#This Row],[UMSCI]]-E237)/E237</f>
        <v/>
      </c>
    </row>
    <row r="249">
      <c r="A249" s="6" t="n">
        <v>28825</v>
      </c>
      <c r="B249" s="2">
        <f>VLOOKUP(Table3[[#This Row],[Date]],'DB LEI'!$A:$F,2)</f>
        <v/>
      </c>
      <c r="C249" s="4">
        <f>(Table3[[#This Row],[Conference Board Leading Indicator]]-B237)/B237</f>
        <v/>
      </c>
      <c r="D249" s="3">
        <f>IF(VLOOKUP(Table3[[#This Row],[Date]],'DB LEI'!$A:$I,9)=0,"",VLOOKUP(Table3[[#This Row],[Date]],'DB LEI'!$A:$I,9))</f>
        <v/>
      </c>
      <c r="E249" s="2" t="n">
        <v>96.110001</v>
      </c>
      <c r="F249" s="4">
        <f>(Table3[[#This Row],[UMSCI]]-E238)/E238</f>
        <v/>
      </c>
    </row>
    <row r="250">
      <c r="A250" s="6" t="n">
        <v>28856</v>
      </c>
      <c r="B250" s="2">
        <f>VLOOKUP(Table3[[#This Row],[Date]],'DB LEI'!$A:$F,2)</f>
        <v/>
      </c>
      <c r="C250" s="4">
        <f>(Table3[[#This Row],[Conference Board Leading Indicator]]-B238)/B238</f>
        <v/>
      </c>
      <c r="D250" s="3">
        <f>IF(VLOOKUP(Table3[[#This Row],[Date]],'DB LEI'!$A:$I,9)=0,"",VLOOKUP(Table3[[#This Row],[Date]],'DB LEI'!$A:$I,9))</f>
        <v/>
      </c>
      <c r="E250" s="2" t="n">
        <v>99.93000000000001</v>
      </c>
      <c r="F250" s="4">
        <f>(Table3[[#This Row],[UMSCI]]-E239)/E239</f>
        <v/>
      </c>
    </row>
    <row r="251">
      <c r="A251" s="6" t="n">
        <v>28887</v>
      </c>
      <c r="B251" s="2">
        <f>VLOOKUP(Table3[[#This Row],[Date]],'DB LEI'!$A:$F,2)</f>
        <v/>
      </c>
      <c r="C251" s="4">
        <f>(Table3[[#This Row],[Conference Board Leading Indicator]]-B239)/B239</f>
        <v/>
      </c>
      <c r="D251" s="3">
        <f>IF(VLOOKUP(Table3[[#This Row],[Date]],'DB LEI'!$A:$I,9)=0,"",VLOOKUP(Table3[[#This Row],[Date]],'DB LEI'!$A:$I,9))</f>
        <v/>
      </c>
      <c r="E251" s="2" t="n">
        <v>96.279999</v>
      </c>
      <c r="F251" s="4">
        <f>(Table3[[#This Row],[UMSCI]]-E240)/E240</f>
        <v/>
      </c>
    </row>
    <row r="252">
      <c r="A252" s="6" t="n">
        <v>28915</v>
      </c>
      <c r="B252" s="2">
        <f>VLOOKUP(Table3[[#This Row],[Date]],'DB LEI'!$A:$F,2)</f>
        <v/>
      </c>
      <c r="C252" s="4">
        <f>(Table3[[#This Row],[Conference Board Leading Indicator]]-B240)/B240</f>
        <v/>
      </c>
      <c r="D252" s="3">
        <f>IF(VLOOKUP(Table3[[#This Row],[Date]],'DB LEI'!$A:$I,9)=0,"",VLOOKUP(Table3[[#This Row],[Date]],'DB LEI'!$A:$I,9))</f>
        <v/>
      </c>
      <c r="E252" s="2" t="n">
        <v>101.589996</v>
      </c>
      <c r="F252" s="4">
        <f>(Table3[[#This Row],[UMSCI]]-E241)/E241</f>
        <v/>
      </c>
    </row>
    <row r="253">
      <c r="A253" s="6" t="n">
        <v>28946</v>
      </c>
      <c r="B253" s="2">
        <f>VLOOKUP(Table3[[#This Row],[Date]],'DB LEI'!$A:$F,2)</f>
        <v/>
      </c>
      <c r="C253" s="4">
        <f>(Table3[[#This Row],[Conference Board Leading Indicator]]-B241)/B241</f>
        <v/>
      </c>
      <c r="D253" s="3">
        <f>IF(VLOOKUP(Table3[[#This Row],[Date]],'DB LEI'!$A:$I,9)=0,"",VLOOKUP(Table3[[#This Row],[Date]],'DB LEI'!$A:$I,9))</f>
        <v/>
      </c>
      <c r="E253" s="2" t="n">
        <v>101.760002</v>
      </c>
      <c r="F253" s="4">
        <f>(Table3[[#This Row],[UMSCI]]-E242)/E242</f>
        <v/>
      </c>
    </row>
    <row r="254">
      <c r="A254" s="6" t="n">
        <v>28976</v>
      </c>
      <c r="B254" s="2">
        <f>VLOOKUP(Table3[[#This Row],[Date]],'DB LEI'!$A:$F,2)</f>
        <v/>
      </c>
      <c r="C254" s="4">
        <f>(Table3[[#This Row],[Conference Board Leading Indicator]]-B242)/B242</f>
        <v/>
      </c>
      <c r="D254" s="3">
        <f>IF(VLOOKUP(Table3[[#This Row],[Date]],'DB LEI'!$A:$I,9)=0,"",VLOOKUP(Table3[[#This Row],[Date]],'DB LEI'!$A:$I,9))</f>
        <v/>
      </c>
      <c r="E254" s="2" t="n">
        <v>99.08000199999999</v>
      </c>
      <c r="F254" s="4">
        <f>(Table3[[#This Row],[UMSCI]]-E243)/E243</f>
        <v/>
      </c>
    </row>
    <row r="255">
      <c r="A255" s="6" t="n">
        <v>29007</v>
      </c>
      <c r="B255" s="2">
        <f>VLOOKUP(Table3[[#This Row],[Date]],'DB LEI'!$A:$F,2)</f>
        <v/>
      </c>
      <c r="C255" s="4">
        <f>(Table3[[#This Row],[Conference Board Leading Indicator]]-B243)/B243</f>
        <v/>
      </c>
      <c r="D255" s="3">
        <f>IF(VLOOKUP(Table3[[#This Row],[Date]],'DB LEI'!$A:$I,9)=0,"",VLOOKUP(Table3[[#This Row],[Date]],'DB LEI'!$A:$I,9))</f>
        <v/>
      </c>
      <c r="E255" s="2" t="n">
        <v>102.910004</v>
      </c>
      <c r="F255" s="4">
        <f>(Table3[[#This Row],[UMSCI]]-E244)/E244</f>
        <v/>
      </c>
    </row>
    <row r="256">
      <c r="A256" s="6" t="n">
        <v>29037</v>
      </c>
      <c r="B256" s="2">
        <f>VLOOKUP(Table3[[#This Row],[Date]],'DB LEI'!$A:$F,2)</f>
        <v/>
      </c>
      <c r="C256" s="4">
        <f>(Table3[[#This Row],[Conference Board Leading Indicator]]-B244)/B244</f>
        <v/>
      </c>
      <c r="D256" s="3">
        <f>IF(VLOOKUP(Table3[[#This Row],[Date]],'DB LEI'!$A:$I,9)=0,"",VLOOKUP(Table3[[#This Row],[Date]],'DB LEI'!$A:$I,9))</f>
        <v/>
      </c>
      <c r="E256" s="2" t="n">
        <v>103.809998</v>
      </c>
      <c r="F256" s="4">
        <f>(Table3[[#This Row],[UMSCI]]-E245)/E245</f>
        <v/>
      </c>
    </row>
    <row r="257">
      <c r="A257" s="6" t="n">
        <v>29068</v>
      </c>
      <c r="B257" s="2">
        <f>VLOOKUP(Table3[[#This Row],[Date]],'DB LEI'!$A:$F,2)</f>
        <v/>
      </c>
      <c r="C257" s="4">
        <f>(Table3[[#This Row],[Conference Board Leading Indicator]]-B245)/B245</f>
        <v/>
      </c>
      <c r="D257" s="3">
        <f>IF(VLOOKUP(Table3[[#This Row],[Date]],'DB LEI'!$A:$I,9)=0,"",VLOOKUP(Table3[[#This Row],[Date]],'DB LEI'!$A:$I,9))</f>
        <v/>
      </c>
      <c r="E257" s="2" t="n">
        <v>109.32</v>
      </c>
      <c r="F257" s="4">
        <f>(Table3[[#This Row],[UMSCI]]-E246)/E246</f>
        <v/>
      </c>
    </row>
    <row r="258">
      <c r="A258" s="6" t="n">
        <v>29099</v>
      </c>
      <c r="B258" s="2">
        <f>VLOOKUP(Table3[[#This Row],[Date]],'DB LEI'!$A:$F,2)</f>
        <v/>
      </c>
      <c r="C258" s="4">
        <f>(Table3[[#This Row],[Conference Board Leading Indicator]]-B246)/B246</f>
        <v/>
      </c>
      <c r="D258" s="3">
        <f>IF(VLOOKUP(Table3[[#This Row],[Date]],'DB LEI'!$A:$I,9)=0,"",VLOOKUP(Table3[[#This Row],[Date]],'DB LEI'!$A:$I,9))</f>
        <v/>
      </c>
      <c r="E258" s="2" t="n">
        <v>109.32</v>
      </c>
      <c r="F258" s="4">
        <f>(Table3[[#This Row],[UMSCI]]-E247)/E247</f>
        <v/>
      </c>
    </row>
    <row r="259">
      <c r="A259" s="6" t="n">
        <v>29129</v>
      </c>
      <c r="B259" s="2">
        <f>VLOOKUP(Table3[[#This Row],[Date]],'DB LEI'!$A:$F,2)</f>
        <v/>
      </c>
      <c r="C259" s="4">
        <f>(Table3[[#This Row],[Conference Board Leading Indicator]]-B247)/B247</f>
        <v/>
      </c>
      <c r="D259" s="3">
        <f>IF(VLOOKUP(Table3[[#This Row],[Date]],'DB LEI'!$A:$I,9)=0,"",VLOOKUP(Table3[[#This Row],[Date]],'DB LEI'!$A:$I,9))</f>
        <v/>
      </c>
      <c r="E259" s="2" t="n">
        <v>101.82</v>
      </c>
      <c r="F259" s="4">
        <f>(Table3[[#This Row],[UMSCI]]-E248)/E248</f>
        <v/>
      </c>
    </row>
    <row r="260">
      <c r="A260" s="6" t="n">
        <v>29160</v>
      </c>
      <c r="B260" s="2">
        <f>VLOOKUP(Table3[[#This Row],[Date]],'DB LEI'!$A:$F,2)</f>
        <v/>
      </c>
      <c r="C260" s="4">
        <f>(Table3[[#This Row],[Conference Board Leading Indicator]]-B248)/B248</f>
        <v/>
      </c>
      <c r="D260" s="3">
        <f>IF(VLOOKUP(Table3[[#This Row],[Date]],'DB LEI'!$A:$I,9)=0,"",VLOOKUP(Table3[[#This Row],[Date]],'DB LEI'!$A:$I,9))</f>
        <v/>
      </c>
      <c r="E260" s="2" t="n">
        <v>106.160004</v>
      </c>
      <c r="F260" s="4">
        <f>(Table3[[#This Row],[UMSCI]]-E249)/E249</f>
        <v/>
      </c>
    </row>
    <row r="261">
      <c r="A261" s="6" t="n">
        <v>29190</v>
      </c>
      <c r="B261" s="2">
        <f>VLOOKUP(Table3[[#This Row],[Date]],'DB LEI'!$A:$F,2)</f>
        <v/>
      </c>
      <c r="C261" s="4">
        <f>(Table3[[#This Row],[Conference Board Leading Indicator]]-B249)/B249</f>
        <v/>
      </c>
      <c r="D261" s="3">
        <f>IF(VLOOKUP(Table3[[#This Row],[Date]],'DB LEI'!$A:$I,9)=0,"",VLOOKUP(Table3[[#This Row],[Date]],'DB LEI'!$A:$I,9))</f>
        <v/>
      </c>
      <c r="E261" s="2" t="n">
        <v>107.940002</v>
      </c>
      <c r="F261" s="4">
        <f>(Table3[[#This Row],[UMSCI]]-E250)/E250</f>
        <v/>
      </c>
    </row>
    <row r="262">
      <c r="A262" s="6" t="n">
        <v>29221</v>
      </c>
      <c r="B262" s="2">
        <f>VLOOKUP(Table3[[#This Row],[Date]],'DB LEI'!$A:$F,2)</f>
        <v/>
      </c>
      <c r="C262" s="4">
        <f>(Table3[[#This Row],[Conference Board Leading Indicator]]-B250)/B250</f>
        <v/>
      </c>
      <c r="D262" s="3">
        <f>IF(VLOOKUP(Table3[[#This Row],[Date]],'DB LEI'!$A:$I,9)=0,"",VLOOKUP(Table3[[#This Row],[Date]],'DB LEI'!$A:$I,9))</f>
        <v/>
      </c>
      <c r="E262" s="2" t="n">
        <v>114.160004</v>
      </c>
      <c r="F262" s="4">
        <f>(Table3[[#This Row],[UMSCI]]-E251)/E251</f>
        <v/>
      </c>
    </row>
    <row r="263">
      <c r="A263" s="6" t="n">
        <v>29252</v>
      </c>
      <c r="B263" s="2">
        <f>VLOOKUP(Table3[[#This Row],[Date]],'DB LEI'!$A:$F,2)</f>
        <v/>
      </c>
      <c r="C263" s="4">
        <f>(Table3[[#This Row],[Conference Board Leading Indicator]]-B251)/B251</f>
        <v/>
      </c>
      <c r="D263" s="3">
        <f>IF(VLOOKUP(Table3[[#This Row],[Date]],'DB LEI'!$A:$I,9)=0,"",VLOOKUP(Table3[[#This Row],[Date]],'DB LEI'!$A:$I,9))</f>
        <v/>
      </c>
      <c r="E263" s="2" t="n">
        <v>113.660004</v>
      </c>
      <c r="F263" s="4">
        <f>(Table3[[#This Row],[UMSCI]]-E252)/E252</f>
        <v/>
      </c>
    </row>
    <row r="264">
      <c r="A264" s="6" t="n">
        <v>29281</v>
      </c>
      <c r="B264" s="2">
        <f>VLOOKUP(Table3[[#This Row],[Date]],'DB LEI'!$A:$F,2)</f>
        <v/>
      </c>
      <c r="C264" s="4">
        <f>(Table3[[#This Row],[Conference Board Leading Indicator]]-B252)/B252</f>
        <v/>
      </c>
      <c r="D264" s="3">
        <f>IF(VLOOKUP(Table3[[#This Row],[Date]],'DB LEI'!$A:$I,9)=0,"",VLOOKUP(Table3[[#This Row],[Date]],'DB LEI'!$A:$I,9))</f>
        <v/>
      </c>
      <c r="E264" s="2" t="n">
        <v>102.089996</v>
      </c>
      <c r="F264" s="4">
        <f>(Table3[[#This Row],[UMSCI]]-E253)/E253</f>
        <v/>
      </c>
    </row>
    <row r="265">
      <c r="A265" s="6" t="n">
        <v>29312</v>
      </c>
      <c r="B265" s="2">
        <f>VLOOKUP(Table3[[#This Row],[Date]],'DB LEI'!$A:$F,2)</f>
        <v/>
      </c>
      <c r="C265" s="4">
        <f>(Table3[[#This Row],[Conference Board Leading Indicator]]-B253)/B253</f>
        <v/>
      </c>
      <c r="D265" s="3">
        <f>IF(VLOOKUP(Table3[[#This Row],[Date]],'DB LEI'!$A:$I,9)=0,"",VLOOKUP(Table3[[#This Row],[Date]],'DB LEI'!$A:$I,9))</f>
        <v/>
      </c>
      <c r="E265" s="2" t="n">
        <v>106.290001</v>
      </c>
      <c r="F265" s="4">
        <f>(Table3[[#This Row],[UMSCI]]-E254)/E254</f>
        <v/>
      </c>
    </row>
    <row r="266">
      <c r="A266" s="6" t="n">
        <v>29342</v>
      </c>
      <c r="B266" s="2">
        <f>VLOOKUP(Table3[[#This Row],[Date]],'DB LEI'!$A:$F,2)</f>
        <v/>
      </c>
      <c r="C266" s="4">
        <f>(Table3[[#This Row],[Conference Board Leading Indicator]]-B254)/B254</f>
        <v/>
      </c>
      <c r="D266" s="3">
        <f>IF(VLOOKUP(Table3[[#This Row],[Date]],'DB LEI'!$A:$I,9)=0,"",VLOOKUP(Table3[[#This Row],[Date]],'DB LEI'!$A:$I,9))</f>
        <v/>
      </c>
      <c r="E266" s="2" t="n">
        <v>111.239998</v>
      </c>
      <c r="F266" s="4">
        <f>(Table3[[#This Row],[UMSCI]]-E255)/E255</f>
        <v/>
      </c>
    </row>
    <row r="267">
      <c r="A267" s="6" t="n">
        <v>29373</v>
      </c>
      <c r="B267" s="2">
        <f>VLOOKUP(Table3[[#This Row],[Date]],'DB LEI'!$A:$F,2)</f>
        <v/>
      </c>
      <c r="C267" s="4">
        <f>(Table3[[#This Row],[Conference Board Leading Indicator]]-B255)/B255</f>
        <v/>
      </c>
      <c r="D267" s="3">
        <f>IF(VLOOKUP(Table3[[#This Row],[Date]],'DB LEI'!$A:$I,9)=0,"",VLOOKUP(Table3[[#This Row],[Date]],'DB LEI'!$A:$I,9))</f>
        <v/>
      </c>
      <c r="E267" s="2" t="n">
        <v>114.239998</v>
      </c>
      <c r="F267" s="4">
        <f>(Table3[[#This Row],[UMSCI]]-E256)/E256</f>
        <v/>
      </c>
    </row>
    <row r="268">
      <c r="A268" s="6" t="n">
        <v>29403</v>
      </c>
      <c r="B268" s="2">
        <f>VLOOKUP(Table3[[#This Row],[Date]],'DB LEI'!$A:$F,2)</f>
        <v/>
      </c>
      <c r="C268" s="4">
        <f>(Table3[[#This Row],[Conference Board Leading Indicator]]-B256)/B256</f>
        <v/>
      </c>
      <c r="D268" s="3">
        <f>IF(VLOOKUP(Table3[[#This Row],[Date]],'DB LEI'!$A:$I,9)=0,"",VLOOKUP(Table3[[#This Row],[Date]],'DB LEI'!$A:$I,9))</f>
        <v/>
      </c>
      <c r="E268" s="2" t="n">
        <v>121.669998</v>
      </c>
      <c r="F268" s="4">
        <f>(Table3[[#This Row],[UMSCI]]-E257)/E257</f>
        <v/>
      </c>
    </row>
    <row r="269">
      <c r="A269" s="6" t="n">
        <v>29434</v>
      </c>
      <c r="B269" s="2">
        <f>VLOOKUP(Table3[[#This Row],[Date]],'DB LEI'!$A:$F,2)</f>
        <v/>
      </c>
      <c r="C269" s="4">
        <f>(Table3[[#This Row],[Conference Board Leading Indicator]]-B257)/B257</f>
        <v/>
      </c>
      <c r="D269" s="3">
        <f>IF(VLOOKUP(Table3[[#This Row],[Date]],'DB LEI'!$A:$I,9)=0,"",VLOOKUP(Table3[[#This Row],[Date]],'DB LEI'!$A:$I,9))</f>
        <v/>
      </c>
      <c r="E269" s="2" t="n">
        <v>122.379997</v>
      </c>
      <c r="F269" s="4">
        <f>(Table3[[#This Row],[UMSCI]]-E258)/E258</f>
        <v/>
      </c>
    </row>
    <row r="270">
      <c r="A270" s="6" t="n">
        <v>29465</v>
      </c>
      <c r="B270" s="2">
        <f>VLOOKUP(Table3[[#This Row],[Date]],'DB LEI'!$A:$F,2)</f>
        <v/>
      </c>
      <c r="C270" s="4">
        <f>(Table3[[#This Row],[Conference Board Leading Indicator]]-B258)/B258</f>
        <v/>
      </c>
      <c r="D270" s="3">
        <f>IF(VLOOKUP(Table3[[#This Row],[Date]],'DB LEI'!$A:$I,9)=0,"",VLOOKUP(Table3[[#This Row],[Date]],'DB LEI'!$A:$I,9))</f>
        <v/>
      </c>
      <c r="E270" s="2" t="n">
        <v>125.459999</v>
      </c>
      <c r="F270" s="4">
        <f>(Table3[[#This Row],[UMSCI]]-E259)/E259</f>
        <v/>
      </c>
    </row>
    <row r="271">
      <c r="A271" s="6" t="n">
        <v>29495</v>
      </c>
      <c r="B271" s="2">
        <f>VLOOKUP(Table3[[#This Row],[Date]],'DB LEI'!$A:$F,2)</f>
        <v/>
      </c>
      <c r="C271" s="4">
        <f>(Table3[[#This Row],[Conference Board Leading Indicator]]-B259)/B259</f>
        <v/>
      </c>
      <c r="D271" s="3">
        <f>IF(VLOOKUP(Table3[[#This Row],[Date]],'DB LEI'!$A:$I,9)=0,"",VLOOKUP(Table3[[#This Row],[Date]],'DB LEI'!$A:$I,9))</f>
        <v/>
      </c>
      <c r="E271" s="2" t="n">
        <v>127.470001</v>
      </c>
      <c r="F271" s="4">
        <f>(Table3[[#This Row],[UMSCI]]-E260)/E260</f>
        <v/>
      </c>
    </row>
    <row r="272">
      <c r="A272" s="6" t="n">
        <v>29526</v>
      </c>
      <c r="B272" s="2">
        <f>VLOOKUP(Table3[[#This Row],[Date]],'DB LEI'!$A:$F,2)</f>
        <v/>
      </c>
      <c r="C272" s="4">
        <f>(Table3[[#This Row],[Conference Board Leading Indicator]]-B260)/B260</f>
        <v/>
      </c>
      <c r="D272" s="3">
        <f>IF(VLOOKUP(Table3[[#This Row],[Date]],'DB LEI'!$A:$I,9)=0,"",VLOOKUP(Table3[[#This Row],[Date]],'DB LEI'!$A:$I,9))</f>
        <v/>
      </c>
      <c r="E272" s="2" t="n">
        <v>140.520004</v>
      </c>
      <c r="F272" s="4">
        <f>(Table3[[#This Row],[UMSCI]]-E261)/E261</f>
        <v/>
      </c>
    </row>
    <row r="273">
      <c r="A273" s="6" t="n">
        <v>29556</v>
      </c>
      <c r="B273" s="2">
        <f>VLOOKUP(Table3[[#This Row],[Date]],'DB LEI'!$A:$F,2)</f>
        <v/>
      </c>
      <c r="C273" s="4">
        <f>(Table3[[#This Row],[Conference Board Leading Indicator]]-B261)/B261</f>
        <v/>
      </c>
      <c r="D273" s="3">
        <f>IF(VLOOKUP(Table3[[#This Row],[Date]],'DB LEI'!$A:$I,9)=0,"",VLOOKUP(Table3[[#This Row],[Date]],'DB LEI'!$A:$I,9))</f>
        <v/>
      </c>
      <c r="E273" s="2" t="n">
        <v>135.759995</v>
      </c>
      <c r="F273" s="4">
        <f>(Table3[[#This Row],[UMSCI]]-E262)/E262</f>
        <v/>
      </c>
    </row>
    <row r="274">
      <c r="A274" s="6" t="n">
        <v>29587</v>
      </c>
      <c r="B274" s="2">
        <f>VLOOKUP(Table3[[#This Row],[Date]],'DB LEI'!$A:$F,2)</f>
        <v/>
      </c>
      <c r="C274" s="4">
        <f>(Table3[[#This Row],[Conference Board Leading Indicator]]-B262)/B262</f>
        <v/>
      </c>
      <c r="D274" s="3">
        <f>IF(VLOOKUP(Table3[[#This Row],[Date]],'DB LEI'!$A:$I,9)=0,"",VLOOKUP(Table3[[#This Row],[Date]],'DB LEI'!$A:$I,9))</f>
        <v/>
      </c>
      <c r="E274" s="2" t="n">
        <v>129.550003</v>
      </c>
      <c r="F274" s="4">
        <f>(Table3[[#This Row],[UMSCI]]-E263)/E263</f>
        <v/>
      </c>
    </row>
    <row r="275">
      <c r="A275" s="6" t="n">
        <v>29618</v>
      </c>
      <c r="B275" s="2">
        <f>VLOOKUP(Table3[[#This Row],[Date]],'DB LEI'!$A:$F,2)</f>
        <v/>
      </c>
      <c r="C275" s="4">
        <f>(Table3[[#This Row],[Conference Board Leading Indicator]]-B263)/B263</f>
        <v/>
      </c>
      <c r="D275" s="3">
        <f>IF(VLOOKUP(Table3[[#This Row],[Date]],'DB LEI'!$A:$I,9)=0,"",VLOOKUP(Table3[[#This Row],[Date]],'DB LEI'!$A:$I,9))</f>
        <v/>
      </c>
      <c r="E275" s="2" t="n">
        <v>131.270004</v>
      </c>
      <c r="F275" s="4">
        <f>(Table3[[#This Row],[UMSCI]]-E264)/E264</f>
        <v/>
      </c>
    </row>
    <row r="276">
      <c r="A276" s="6" t="n">
        <v>29646</v>
      </c>
      <c r="B276" s="2">
        <f>VLOOKUP(Table3[[#This Row],[Date]],'DB LEI'!$A:$F,2)</f>
        <v/>
      </c>
      <c r="C276" s="4">
        <f>(Table3[[#This Row],[Conference Board Leading Indicator]]-B264)/B264</f>
        <v/>
      </c>
      <c r="D276" s="3">
        <f>IF(VLOOKUP(Table3[[#This Row],[Date]],'DB LEI'!$A:$I,9)=0,"",VLOOKUP(Table3[[#This Row],[Date]],'DB LEI'!$A:$I,9))</f>
        <v/>
      </c>
      <c r="E276" s="2" t="n">
        <v>136</v>
      </c>
      <c r="F276" s="4">
        <f>(Table3[[#This Row],[UMSCI]]-E265)/E265</f>
        <v/>
      </c>
    </row>
    <row r="277">
      <c r="A277" s="6" t="n">
        <v>29677</v>
      </c>
      <c r="B277" s="2">
        <f>VLOOKUP(Table3[[#This Row],[Date]],'DB LEI'!$A:$F,2)</f>
        <v/>
      </c>
      <c r="C277" s="4">
        <f>(Table3[[#This Row],[Conference Board Leading Indicator]]-B265)/B265</f>
        <v/>
      </c>
      <c r="D277" s="3">
        <f>IF(VLOOKUP(Table3[[#This Row],[Date]],'DB LEI'!$A:$I,9)=0,"",VLOOKUP(Table3[[#This Row],[Date]],'DB LEI'!$A:$I,9))</f>
        <v/>
      </c>
      <c r="E277" s="2" t="n">
        <v>132.809998</v>
      </c>
      <c r="F277" s="4">
        <f>(Table3[[#This Row],[UMSCI]]-E266)/E266</f>
        <v/>
      </c>
    </row>
    <row r="278">
      <c r="A278" s="6" t="n">
        <v>29707</v>
      </c>
      <c r="B278" s="2">
        <f>VLOOKUP(Table3[[#This Row],[Date]],'DB LEI'!$A:$F,2)</f>
        <v/>
      </c>
      <c r="C278" s="4">
        <f>(Table3[[#This Row],[Conference Board Leading Indicator]]-B266)/B266</f>
        <v/>
      </c>
      <c r="D278" s="3">
        <f>IF(VLOOKUP(Table3[[#This Row],[Date]],'DB LEI'!$A:$I,9)=0,"",VLOOKUP(Table3[[#This Row],[Date]],'DB LEI'!$A:$I,9))</f>
        <v/>
      </c>
      <c r="E278" s="2" t="n">
        <v>132.589996</v>
      </c>
      <c r="F278" s="4">
        <f>(Table3[[#This Row],[UMSCI]]-E267)/E267</f>
        <v/>
      </c>
    </row>
    <row r="279">
      <c r="A279" s="6" t="n">
        <v>29738</v>
      </c>
      <c r="B279" s="2">
        <f>VLOOKUP(Table3[[#This Row],[Date]],'DB LEI'!$A:$F,2)</f>
        <v/>
      </c>
      <c r="C279" s="4">
        <f>(Table3[[#This Row],[Conference Board Leading Indicator]]-B267)/B267</f>
        <v/>
      </c>
      <c r="D279" s="3">
        <f>IF(VLOOKUP(Table3[[#This Row],[Date]],'DB LEI'!$A:$I,9)=0,"",VLOOKUP(Table3[[#This Row],[Date]],'DB LEI'!$A:$I,9))</f>
        <v/>
      </c>
      <c r="E279" s="2" t="n">
        <v>131.210007</v>
      </c>
      <c r="F279" s="4">
        <f>(Table3[[#This Row],[UMSCI]]-E268)/E268</f>
        <v/>
      </c>
    </row>
    <row r="280">
      <c r="A280" s="6" t="n">
        <v>29768</v>
      </c>
      <c r="B280" s="2">
        <f>VLOOKUP(Table3[[#This Row],[Date]],'DB LEI'!$A:$F,2)</f>
        <v/>
      </c>
      <c r="C280" s="4">
        <f>(Table3[[#This Row],[Conference Board Leading Indicator]]-B268)/B268</f>
        <v/>
      </c>
      <c r="D280" s="3">
        <f>IF(VLOOKUP(Table3[[#This Row],[Date]],'DB LEI'!$A:$I,9)=0,"",VLOOKUP(Table3[[#This Row],[Date]],'DB LEI'!$A:$I,9))</f>
        <v/>
      </c>
      <c r="E280" s="2" t="n">
        <v>130.919998</v>
      </c>
      <c r="F280" s="4">
        <f>(Table3[[#This Row],[UMSCI]]-E269)/E269</f>
        <v/>
      </c>
    </row>
    <row r="281">
      <c r="A281" s="6" t="n">
        <v>29799</v>
      </c>
      <c r="B281" s="2">
        <f>VLOOKUP(Table3[[#This Row],[Date]],'DB LEI'!$A:$F,2)</f>
        <v/>
      </c>
      <c r="C281" s="4">
        <f>(Table3[[#This Row],[Conference Board Leading Indicator]]-B269)/B269</f>
        <v/>
      </c>
      <c r="D281" s="3">
        <f>IF(VLOOKUP(Table3[[#This Row],[Date]],'DB LEI'!$A:$I,9)=0,"",VLOOKUP(Table3[[#This Row],[Date]],'DB LEI'!$A:$I,9))</f>
        <v/>
      </c>
      <c r="E281" s="2" t="n">
        <v>122.790001</v>
      </c>
      <c r="F281" s="4">
        <f>(Table3[[#This Row],[UMSCI]]-E270)/E270</f>
        <v/>
      </c>
    </row>
    <row r="282">
      <c r="A282" s="6" t="n">
        <v>29830</v>
      </c>
      <c r="B282" s="2">
        <f>VLOOKUP(Table3[[#This Row],[Date]],'DB LEI'!$A:$F,2)</f>
        <v/>
      </c>
      <c r="C282" s="4">
        <f>(Table3[[#This Row],[Conference Board Leading Indicator]]-B270)/B270</f>
        <v/>
      </c>
      <c r="D282" s="3">
        <f>IF(VLOOKUP(Table3[[#This Row],[Date]],'DB LEI'!$A:$I,9)=0,"",VLOOKUP(Table3[[#This Row],[Date]],'DB LEI'!$A:$I,9))</f>
        <v/>
      </c>
      <c r="E282" s="2" t="n">
        <v>116.18</v>
      </c>
      <c r="F282" s="4">
        <f>(Table3[[#This Row],[UMSCI]]-E271)/E271</f>
        <v/>
      </c>
    </row>
    <row r="283">
      <c r="A283" s="6" t="n">
        <v>29860</v>
      </c>
      <c r="B283" s="2">
        <f>VLOOKUP(Table3[[#This Row],[Date]],'DB LEI'!$A:$F,2)</f>
        <v/>
      </c>
      <c r="C283" s="4">
        <f>(Table3[[#This Row],[Conference Board Leading Indicator]]-B271)/B271</f>
        <v/>
      </c>
      <c r="D283" s="3">
        <f>IF(VLOOKUP(Table3[[#This Row],[Date]],'DB LEI'!$A:$I,9)=0,"",VLOOKUP(Table3[[#This Row],[Date]],'DB LEI'!$A:$I,9))</f>
        <v/>
      </c>
      <c r="E283" s="2" t="n">
        <v>121.889999</v>
      </c>
      <c r="F283" s="4">
        <f>(Table3[[#This Row],[UMSCI]]-E272)/E272</f>
        <v/>
      </c>
    </row>
    <row r="284">
      <c r="A284" s="6" t="n">
        <v>29891</v>
      </c>
      <c r="B284" s="2">
        <f>VLOOKUP(Table3[[#This Row],[Date]],'DB LEI'!$A:$F,2)</f>
        <v/>
      </c>
      <c r="C284" s="4">
        <f>(Table3[[#This Row],[Conference Board Leading Indicator]]-B272)/B272</f>
        <v/>
      </c>
      <c r="D284" s="3">
        <f>IF(VLOOKUP(Table3[[#This Row],[Date]],'DB LEI'!$A:$I,9)=0,"",VLOOKUP(Table3[[#This Row],[Date]],'DB LEI'!$A:$I,9))</f>
        <v/>
      </c>
      <c r="E284" s="2" t="n">
        <v>126.349998</v>
      </c>
      <c r="F284" s="4">
        <f>(Table3[[#This Row],[UMSCI]]-E273)/E273</f>
        <v/>
      </c>
    </row>
    <row r="285">
      <c r="A285" s="6" t="n">
        <v>29921</v>
      </c>
      <c r="B285" s="2">
        <f>VLOOKUP(Table3[[#This Row],[Date]],'DB LEI'!$A:$F,2)</f>
        <v/>
      </c>
      <c r="C285" s="4">
        <f>(Table3[[#This Row],[Conference Board Leading Indicator]]-B273)/B273</f>
        <v/>
      </c>
      <c r="D285" s="3">
        <f>IF(VLOOKUP(Table3[[#This Row],[Date]],'DB LEI'!$A:$I,9)=0,"",VLOOKUP(Table3[[#This Row],[Date]],'DB LEI'!$A:$I,9))</f>
        <v/>
      </c>
      <c r="E285" s="2" t="n">
        <v>122.550003</v>
      </c>
      <c r="F285" s="4">
        <f>(Table3[[#This Row],[UMSCI]]-E274)/E274</f>
        <v/>
      </c>
    </row>
    <row r="286">
      <c r="A286" s="6" t="n">
        <v>29952</v>
      </c>
      <c r="B286" s="2">
        <f>VLOOKUP(Table3[[#This Row],[Date]],'DB LEI'!$A:$F,2)</f>
        <v/>
      </c>
      <c r="C286" s="4">
        <f>(Table3[[#This Row],[Conference Board Leading Indicator]]-B274)/B274</f>
        <v/>
      </c>
      <c r="D286" s="3">
        <f>IF(VLOOKUP(Table3[[#This Row],[Date]],'DB LEI'!$A:$I,9)=0,"",VLOOKUP(Table3[[#This Row],[Date]],'DB LEI'!$A:$I,9))</f>
        <v/>
      </c>
      <c r="E286" s="2" t="n">
        <v>120.400002</v>
      </c>
      <c r="F286" s="4">
        <f>(Table3[[#This Row],[UMSCI]]-E275)/E275</f>
        <v/>
      </c>
    </row>
    <row r="287">
      <c r="A287" s="6" t="n">
        <v>29983</v>
      </c>
      <c r="B287" s="2">
        <f>VLOOKUP(Table3[[#This Row],[Date]],'DB LEI'!$A:$F,2)</f>
        <v/>
      </c>
      <c r="C287" s="4">
        <f>(Table3[[#This Row],[Conference Board Leading Indicator]]-B275)/B275</f>
        <v/>
      </c>
      <c r="D287" s="3">
        <f>IF(VLOOKUP(Table3[[#This Row],[Date]],'DB LEI'!$A:$I,9)=0,"",VLOOKUP(Table3[[#This Row],[Date]],'DB LEI'!$A:$I,9))</f>
        <v/>
      </c>
      <c r="E287" s="2" t="n">
        <v>113.110001</v>
      </c>
      <c r="F287" s="4">
        <f>(Table3[[#This Row],[UMSCI]]-E276)/E276</f>
        <v/>
      </c>
    </row>
    <row r="288">
      <c r="A288" s="6" t="n">
        <v>30011</v>
      </c>
      <c r="B288" s="2">
        <f>VLOOKUP(Table3[[#This Row],[Date]],'DB LEI'!$A:$F,2)</f>
        <v/>
      </c>
      <c r="C288" s="4">
        <f>(Table3[[#This Row],[Conference Board Leading Indicator]]-B276)/B276</f>
        <v/>
      </c>
      <c r="D288" s="3">
        <f>IF(VLOOKUP(Table3[[#This Row],[Date]],'DB LEI'!$A:$I,9)=0,"",VLOOKUP(Table3[[#This Row],[Date]],'DB LEI'!$A:$I,9))</f>
        <v/>
      </c>
      <c r="E288" s="2" t="n">
        <v>111.959999</v>
      </c>
      <c r="F288" s="4">
        <f>(Table3[[#This Row],[UMSCI]]-E277)/E277</f>
        <v/>
      </c>
    </row>
    <row r="289">
      <c r="A289" s="6" t="n">
        <v>30042</v>
      </c>
      <c r="B289" s="2">
        <f>VLOOKUP(Table3[[#This Row],[Date]],'DB LEI'!$A:$F,2)</f>
        <v/>
      </c>
      <c r="C289" s="4">
        <f>(Table3[[#This Row],[Conference Board Leading Indicator]]-B277)/B277</f>
        <v/>
      </c>
      <c r="D289" s="3">
        <f>IF(VLOOKUP(Table3[[#This Row],[Date]],'DB LEI'!$A:$I,9)=0,"",VLOOKUP(Table3[[#This Row],[Date]],'DB LEI'!$A:$I,9))</f>
        <v/>
      </c>
      <c r="E289" s="2" t="n">
        <v>116.440002</v>
      </c>
      <c r="F289" s="4">
        <f>(Table3[[#This Row],[UMSCI]]-E278)/E278</f>
        <v/>
      </c>
    </row>
    <row r="290">
      <c r="A290" s="6" t="n">
        <v>30072</v>
      </c>
      <c r="B290" s="2">
        <f>VLOOKUP(Table3[[#This Row],[Date]],'DB LEI'!$A:$F,2)</f>
        <v/>
      </c>
      <c r="C290" s="4">
        <f>(Table3[[#This Row],[Conference Board Leading Indicator]]-B278)/B278</f>
        <v/>
      </c>
      <c r="D290" s="3">
        <f>IF(VLOOKUP(Table3[[#This Row],[Date]],'DB LEI'!$A:$I,9)=0,"",VLOOKUP(Table3[[#This Row],[Date]],'DB LEI'!$A:$I,9))</f>
        <v/>
      </c>
      <c r="E290" s="2" t="n">
        <v>111.879997</v>
      </c>
      <c r="F290" s="4">
        <f>(Table3[[#This Row],[UMSCI]]-E279)/E279</f>
        <v/>
      </c>
    </row>
    <row r="291">
      <c r="A291" s="6" t="n">
        <v>30103</v>
      </c>
      <c r="B291" s="2">
        <f>VLOOKUP(Table3[[#This Row],[Date]],'DB LEI'!$A:$F,2)</f>
        <v/>
      </c>
      <c r="C291" s="4">
        <f>(Table3[[#This Row],[Conference Board Leading Indicator]]-B279)/B279</f>
        <v/>
      </c>
      <c r="D291" s="3">
        <f>IF(VLOOKUP(Table3[[#This Row],[Date]],'DB LEI'!$A:$I,9)=0,"",VLOOKUP(Table3[[#This Row],[Date]],'DB LEI'!$A:$I,9))</f>
        <v/>
      </c>
      <c r="E291" s="2" t="n">
        <v>109.610001</v>
      </c>
      <c r="F291" s="4">
        <f>(Table3[[#This Row],[UMSCI]]-E280)/E280</f>
        <v/>
      </c>
    </row>
    <row r="292">
      <c r="A292" s="6" t="n">
        <v>30133</v>
      </c>
      <c r="B292" s="2">
        <f>VLOOKUP(Table3[[#This Row],[Date]],'DB LEI'!$A:$F,2)</f>
        <v/>
      </c>
      <c r="C292" s="4">
        <f>(Table3[[#This Row],[Conference Board Leading Indicator]]-B280)/B280</f>
        <v/>
      </c>
      <c r="D292" s="3">
        <f>IF(VLOOKUP(Table3[[#This Row],[Date]],'DB LEI'!$A:$I,9)=0,"",VLOOKUP(Table3[[#This Row],[Date]],'DB LEI'!$A:$I,9))</f>
        <v/>
      </c>
      <c r="E292" s="2" t="n">
        <v>107.089996</v>
      </c>
      <c r="F292" s="4">
        <f>(Table3[[#This Row],[UMSCI]]-E281)/E281</f>
        <v/>
      </c>
    </row>
    <row r="293">
      <c r="A293" s="6" t="n">
        <v>30164</v>
      </c>
      <c r="B293" s="2">
        <f>VLOOKUP(Table3[[#This Row],[Date]],'DB LEI'!$A:$F,2)</f>
        <v/>
      </c>
      <c r="C293" s="4">
        <f>(Table3[[#This Row],[Conference Board Leading Indicator]]-B281)/B281</f>
        <v/>
      </c>
      <c r="D293" s="3">
        <f>IF(VLOOKUP(Table3[[#This Row],[Date]],'DB LEI'!$A:$I,9)=0,"",VLOOKUP(Table3[[#This Row],[Date]],'DB LEI'!$A:$I,9))</f>
        <v/>
      </c>
      <c r="E293" s="2" t="n">
        <v>119.510002</v>
      </c>
      <c r="F293" s="4">
        <f>(Table3[[#This Row],[UMSCI]]-E282)/E282</f>
        <v/>
      </c>
    </row>
    <row r="294">
      <c r="A294" s="6" t="n">
        <v>30195</v>
      </c>
      <c r="B294" s="2">
        <f>VLOOKUP(Table3[[#This Row],[Date]],'DB LEI'!$A:$F,2)</f>
        <v/>
      </c>
      <c r="C294" s="4">
        <f>(Table3[[#This Row],[Conference Board Leading Indicator]]-B282)/B282</f>
        <v/>
      </c>
      <c r="D294" s="3">
        <f>IF(VLOOKUP(Table3[[#This Row],[Date]],'DB LEI'!$A:$I,9)=0,"",VLOOKUP(Table3[[#This Row],[Date]],'DB LEI'!$A:$I,9))</f>
        <v/>
      </c>
      <c r="E294" s="2" t="n">
        <v>120.419998</v>
      </c>
      <c r="F294" s="4">
        <f>(Table3[[#This Row],[UMSCI]]-E283)/E283</f>
        <v/>
      </c>
    </row>
    <row r="295">
      <c r="A295" s="6" t="n">
        <v>30225</v>
      </c>
      <c r="B295" s="2">
        <f>VLOOKUP(Table3[[#This Row],[Date]],'DB LEI'!$A:$F,2)</f>
        <v/>
      </c>
      <c r="C295" s="4">
        <f>(Table3[[#This Row],[Conference Board Leading Indicator]]-B283)/B283</f>
        <v/>
      </c>
      <c r="D295" s="3">
        <f>IF(VLOOKUP(Table3[[#This Row],[Date]],'DB LEI'!$A:$I,9)=0,"",VLOOKUP(Table3[[#This Row],[Date]],'DB LEI'!$A:$I,9))</f>
        <v/>
      </c>
      <c r="E295" s="2" t="n">
        <v>133.720001</v>
      </c>
      <c r="F295" s="4">
        <f>(Table3[[#This Row],[UMSCI]]-E284)/E284</f>
        <v/>
      </c>
    </row>
    <row r="296">
      <c r="A296" s="6" t="n">
        <v>30256</v>
      </c>
      <c r="B296" s="2">
        <f>VLOOKUP(Table3[[#This Row],[Date]],'DB LEI'!$A:$F,2)</f>
        <v/>
      </c>
      <c r="C296" s="4">
        <f>(Table3[[#This Row],[Conference Board Leading Indicator]]-B284)/B284</f>
        <v/>
      </c>
      <c r="D296" s="3">
        <f>IF(VLOOKUP(Table3[[#This Row],[Date]],'DB LEI'!$A:$I,9)=0,"",VLOOKUP(Table3[[#This Row],[Date]],'DB LEI'!$A:$I,9))</f>
        <v/>
      </c>
      <c r="E296" s="2" t="n">
        <v>138.529999</v>
      </c>
      <c r="F296" s="4">
        <f>(Table3[[#This Row],[UMSCI]]-E285)/E285</f>
        <v/>
      </c>
    </row>
    <row r="297">
      <c r="A297" s="6" t="n">
        <v>30286</v>
      </c>
      <c r="B297" s="2">
        <f>VLOOKUP(Table3[[#This Row],[Date]],'DB LEI'!$A:$F,2)</f>
        <v/>
      </c>
      <c r="C297" s="4">
        <f>(Table3[[#This Row],[Conference Board Leading Indicator]]-B285)/B285</f>
        <v/>
      </c>
      <c r="D297" s="3">
        <f>IF(VLOOKUP(Table3[[#This Row],[Date]],'DB LEI'!$A:$I,9)=0,"",VLOOKUP(Table3[[#This Row],[Date]],'DB LEI'!$A:$I,9))</f>
        <v/>
      </c>
      <c r="E297" s="2" t="n">
        <v>140.639999</v>
      </c>
      <c r="F297" s="4">
        <f>(Table3[[#This Row],[UMSCI]]-E286)/E286</f>
        <v/>
      </c>
    </row>
    <row r="298">
      <c r="A298" s="6" t="n">
        <v>30317</v>
      </c>
      <c r="B298" s="2">
        <f>VLOOKUP(Table3[[#This Row],[Date]],'DB LEI'!$A:$F,2)</f>
        <v/>
      </c>
      <c r="C298" s="4">
        <f>(Table3[[#This Row],[Conference Board Leading Indicator]]-B286)/B286</f>
        <v/>
      </c>
      <c r="D298" s="3">
        <f>IF(VLOOKUP(Table3[[#This Row],[Date]],'DB LEI'!$A:$I,9)=0,"",VLOOKUP(Table3[[#This Row],[Date]],'DB LEI'!$A:$I,9))</f>
        <v/>
      </c>
      <c r="E298" s="2" t="n">
        <v>145.300003</v>
      </c>
      <c r="F298" s="4">
        <f>(Table3[[#This Row],[UMSCI]]-E287)/E287</f>
        <v/>
      </c>
    </row>
    <row r="299">
      <c r="A299" s="6" t="n">
        <v>30348</v>
      </c>
      <c r="B299" s="2">
        <f>VLOOKUP(Table3[[#This Row],[Date]],'DB LEI'!$A:$F,2)</f>
        <v/>
      </c>
      <c r="C299" s="4">
        <f>(Table3[[#This Row],[Conference Board Leading Indicator]]-B287)/B287</f>
        <v/>
      </c>
      <c r="D299" s="3">
        <f>IF(VLOOKUP(Table3[[#This Row],[Date]],'DB LEI'!$A:$I,9)=0,"",VLOOKUP(Table3[[#This Row],[Date]],'DB LEI'!$A:$I,9))</f>
        <v/>
      </c>
      <c r="E299" s="2" t="n">
        <v>148.059998</v>
      </c>
      <c r="F299" s="4">
        <f>(Table3[[#This Row],[UMSCI]]-E288)/E288</f>
        <v/>
      </c>
    </row>
    <row r="300">
      <c r="A300" s="6" t="n">
        <v>30376</v>
      </c>
      <c r="B300" s="2">
        <f>VLOOKUP(Table3[[#This Row],[Date]],'DB LEI'!$A:$F,2)</f>
        <v/>
      </c>
      <c r="C300" s="4">
        <f>(Table3[[#This Row],[Conference Board Leading Indicator]]-B288)/B288</f>
        <v/>
      </c>
      <c r="D300" s="3">
        <f>IF(VLOOKUP(Table3[[#This Row],[Date]],'DB LEI'!$A:$I,9)=0,"",VLOOKUP(Table3[[#This Row],[Date]],'DB LEI'!$A:$I,9))</f>
        <v/>
      </c>
      <c r="E300" s="2" t="n">
        <v>152.960007</v>
      </c>
      <c r="F300" s="4">
        <f>(Table3[[#This Row],[UMSCI]]-E289)/E289</f>
        <v/>
      </c>
    </row>
    <row r="301">
      <c r="A301" s="6" t="n">
        <v>30407</v>
      </c>
      <c r="B301" s="2">
        <f>VLOOKUP(Table3[[#This Row],[Date]],'DB LEI'!$A:$F,2)</f>
        <v/>
      </c>
      <c r="C301" s="4">
        <f>(Table3[[#This Row],[Conference Board Leading Indicator]]-B289)/B289</f>
        <v/>
      </c>
      <c r="D301" s="3">
        <f>IF(VLOOKUP(Table3[[#This Row],[Date]],'DB LEI'!$A:$I,9)=0,"",VLOOKUP(Table3[[#This Row],[Date]],'DB LEI'!$A:$I,9))</f>
        <v/>
      </c>
      <c r="E301" s="2" t="n">
        <v>164.429993</v>
      </c>
      <c r="F301" s="4">
        <f>(Table3[[#This Row],[UMSCI]]-E290)/E290</f>
        <v/>
      </c>
    </row>
    <row r="302">
      <c r="A302" s="6" t="n">
        <v>30437</v>
      </c>
      <c r="B302" s="2">
        <f>VLOOKUP(Table3[[#This Row],[Date]],'DB LEI'!$A:$F,2)</f>
        <v/>
      </c>
      <c r="C302" s="4">
        <f>(Table3[[#This Row],[Conference Board Leading Indicator]]-B290)/B290</f>
        <v/>
      </c>
      <c r="D302" s="3">
        <f>IF(VLOOKUP(Table3[[#This Row],[Date]],'DB LEI'!$A:$I,9)=0,"",VLOOKUP(Table3[[#This Row],[Date]],'DB LEI'!$A:$I,9))</f>
        <v/>
      </c>
      <c r="E302" s="2" t="n">
        <v>162.389999</v>
      </c>
      <c r="F302" s="4">
        <f>(Table3[[#This Row],[UMSCI]]-E291)/E291</f>
        <v/>
      </c>
    </row>
    <row r="303">
      <c r="A303" s="6" t="n">
        <v>30468</v>
      </c>
      <c r="B303" s="2">
        <f>VLOOKUP(Table3[[#This Row],[Date]],'DB LEI'!$A:$F,2)</f>
        <v/>
      </c>
      <c r="C303" s="4">
        <f>(Table3[[#This Row],[Conference Board Leading Indicator]]-B291)/B291</f>
        <v/>
      </c>
      <c r="D303" s="3">
        <f>IF(VLOOKUP(Table3[[#This Row],[Date]],'DB LEI'!$A:$I,9)=0,"",VLOOKUP(Table3[[#This Row],[Date]],'DB LEI'!$A:$I,9))</f>
        <v/>
      </c>
      <c r="E303" s="2" t="n">
        <v>167.639999</v>
      </c>
      <c r="F303" s="4">
        <f>(Table3[[#This Row],[UMSCI]]-E292)/E292</f>
        <v/>
      </c>
    </row>
    <row r="304">
      <c r="A304" s="6" t="n">
        <v>30498</v>
      </c>
      <c r="B304" s="2">
        <f>VLOOKUP(Table3[[#This Row],[Date]],'DB LEI'!$A:$F,2)</f>
        <v/>
      </c>
      <c r="C304" s="4">
        <f>(Table3[[#This Row],[Conference Board Leading Indicator]]-B292)/B292</f>
        <v/>
      </c>
      <c r="D304" s="3">
        <f>IF(VLOOKUP(Table3[[#This Row],[Date]],'DB LEI'!$A:$I,9)=0,"",VLOOKUP(Table3[[#This Row],[Date]],'DB LEI'!$A:$I,9))</f>
        <v/>
      </c>
      <c r="E304" s="2" t="n">
        <v>162.559998</v>
      </c>
      <c r="F304" s="4">
        <f>(Table3[[#This Row],[UMSCI]]-E293)/E293</f>
        <v/>
      </c>
    </row>
    <row r="305">
      <c r="A305" s="6" t="n">
        <v>30529</v>
      </c>
      <c r="B305" s="2">
        <f>VLOOKUP(Table3[[#This Row],[Date]],'DB LEI'!$A:$F,2)</f>
        <v/>
      </c>
      <c r="C305" s="4">
        <f>(Table3[[#This Row],[Conference Board Leading Indicator]]-B293)/B293</f>
        <v/>
      </c>
      <c r="D305" s="3">
        <f>IF(VLOOKUP(Table3[[#This Row],[Date]],'DB LEI'!$A:$I,9)=0,"",VLOOKUP(Table3[[#This Row],[Date]],'DB LEI'!$A:$I,9))</f>
        <v/>
      </c>
      <c r="E305" s="2" t="n">
        <v>164.399994</v>
      </c>
      <c r="F305" s="4">
        <f>(Table3[[#This Row],[UMSCI]]-E294)/E294</f>
        <v/>
      </c>
    </row>
    <row r="306">
      <c r="A306" s="6" t="n">
        <v>30560</v>
      </c>
      <c r="B306" s="2">
        <f>VLOOKUP(Table3[[#This Row],[Date]],'DB LEI'!$A:$F,2)</f>
        <v/>
      </c>
      <c r="C306" s="4">
        <f>(Table3[[#This Row],[Conference Board Leading Indicator]]-B294)/B294</f>
        <v/>
      </c>
      <c r="D306" s="3">
        <f>IF(VLOOKUP(Table3[[#This Row],[Date]],'DB LEI'!$A:$I,9)=0,"",VLOOKUP(Table3[[#This Row],[Date]],'DB LEI'!$A:$I,9))</f>
        <v/>
      </c>
      <c r="E306" s="2" t="n">
        <v>166.070007</v>
      </c>
      <c r="F306" s="4">
        <f>(Table3[[#This Row],[UMSCI]]-E295)/E295</f>
        <v/>
      </c>
    </row>
    <row r="307">
      <c r="A307" s="6" t="n">
        <v>30590</v>
      </c>
      <c r="B307" s="2">
        <f>VLOOKUP(Table3[[#This Row],[Date]],'DB LEI'!$A:$F,2)</f>
        <v/>
      </c>
      <c r="C307" s="4">
        <f>(Table3[[#This Row],[Conference Board Leading Indicator]]-B295)/B295</f>
        <v/>
      </c>
      <c r="D307" s="3">
        <f>IF(VLOOKUP(Table3[[#This Row],[Date]],'DB LEI'!$A:$I,9)=0,"",VLOOKUP(Table3[[#This Row],[Date]],'DB LEI'!$A:$I,9))</f>
        <v/>
      </c>
      <c r="E307" s="2" t="n">
        <v>163.550003</v>
      </c>
      <c r="F307" s="4">
        <f>(Table3[[#This Row],[UMSCI]]-E296)/E296</f>
        <v/>
      </c>
    </row>
    <row r="308">
      <c r="A308" s="6" t="n">
        <v>30621</v>
      </c>
      <c r="B308" s="2">
        <f>VLOOKUP(Table3[[#This Row],[Date]],'DB LEI'!$A:$F,2)</f>
        <v/>
      </c>
      <c r="C308" s="4">
        <f>(Table3[[#This Row],[Conference Board Leading Indicator]]-B296)/B296</f>
        <v/>
      </c>
      <c r="D308" s="3">
        <f>IF(VLOOKUP(Table3[[#This Row],[Date]],'DB LEI'!$A:$I,9)=0,"",VLOOKUP(Table3[[#This Row],[Date]],'DB LEI'!$A:$I,9))</f>
        <v/>
      </c>
      <c r="E308" s="2" t="n">
        <v>166.399994</v>
      </c>
      <c r="F308" s="4">
        <f>(Table3[[#This Row],[UMSCI]]-E297)/E297</f>
        <v/>
      </c>
    </row>
    <row r="309">
      <c r="A309" s="6" t="n">
        <v>30651</v>
      </c>
      <c r="B309" s="2">
        <f>VLOOKUP(Table3[[#This Row],[Date]],'DB LEI'!$A:$F,2)</f>
        <v/>
      </c>
      <c r="C309" s="4">
        <f>(Table3[[#This Row],[Conference Board Leading Indicator]]-B297)/B297</f>
        <v/>
      </c>
      <c r="D309" s="3">
        <f>IF(VLOOKUP(Table3[[#This Row],[Date]],'DB LEI'!$A:$I,9)=0,"",VLOOKUP(Table3[[#This Row],[Date]],'DB LEI'!$A:$I,9))</f>
        <v/>
      </c>
      <c r="E309" s="2" t="n">
        <v>164.929993</v>
      </c>
      <c r="F309" s="4">
        <f>(Table3[[#This Row],[UMSCI]]-E298)/E298</f>
        <v/>
      </c>
    </row>
    <row r="310">
      <c r="A310" s="6" t="n">
        <v>30682</v>
      </c>
      <c r="B310" s="2">
        <f>VLOOKUP(Table3[[#This Row],[Date]],'DB LEI'!$A:$F,2)</f>
        <v/>
      </c>
      <c r="C310" s="4">
        <f>(Table3[[#This Row],[Conference Board Leading Indicator]]-B298)/B298</f>
        <v/>
      </c>
      <c r="D310" s="3">
        <f>IF(VLOOKUP(Table3[[#This Row],[Date]],'DB LEI'!$A:$I,9)=0,"",VLOOKUP(Table3[[#This Row],[Date]],'DB LEI'!$A:$I,9))</f>
        <v/>
      </c>
      <c r="E310" s="2" t="n">
        <v>163.410004</v>
      </c>
      <c r="F310" s="4">
        <f>(Table3[[#This Row],[UMSCI]]-E299)/E299</f>
        <v/>
      </c>
    </row>
    <row r="311">
      <c r="A311" s="6" t="n">
        <v>30713</v>
      </c>
      <c r="B311" s="2">
        <f>VLOOKUP(Table3[[#This Row],[Date]],'DB LEI'!$A:$F,2)</f>
        <v/>
      </c>
      <c r="C311" s="4">
        <f>(Table3[[#This Row],[Conference Board Leading Indicator]]-B299)/B299</f>
        <v/>
      </c>
      <c r="D311" s="3">
        <f>IF(VLOOKUP(Table3[[#This Row],[Date]],'DB LEI'!$A:$I,9)=0,"",VLOOKUP(Table3[[#This Row],[Date]],'DB LEI'!$A:$I,9))</f>
        <v/>
      </c>
      <c r="E311" s="2" t="n">
        <v>157.059998</v>
      </c>
      <c r="F311" s="4">
        <f>(Table3[[#This Row],[UMSCI]]-E300)/E300</f>
        <v/>
      </c>
    </row>
    <row r="312">
      <c r="A312" s="6" t="n">
        <v>30742</v>
      </c>
      <c r="B312" s="2">
        <f>VLOOKUP(Table3[[#This Row],[Date]],'DB LEI'!$A:$F,2)</f>
        <v/>
      </c>
      <c r="C312" s="4">
        <f>(Table3[[#This Row],[Conference Board Leading Indicator]]-B300)/B300</f>
        <v/>
      </c>
      <c r="D312" s="3">
        <f>IF(VLOOKUP(Table3[[#This Row],[Date]],'DB LEI'!$A:$I,9)=0,"",VLOOKUP(Table3[[#This Row],[Date]],'DB LEI'!$A:$I,9))</f>
        <v/>
      </c>
      <c r="E312" s="2" t="n">
        <v>159.179993</v>
      </c>
      <c r="F312" s="4">
        <f>(Table3[[#This Row],[UMSCI]]-E301)/E301</f>
        <v/>
      </c>
    </row>
    <row r="313">
      <c r="A313" s="6" t="n">
        <v>30773</v>
      </c>
      <c r="B313" s="2">
        <f>VLOOKUP(Table3[[#This Row],[Date]],'DB LEI'!$A:$F,2)</f>
        <v/>
      </c>
      <c r="C313" s="4">
        <f>(Table3[[#This Row],[Conference Board Leading Indicator]]-B301)/B301</f>
        <v/>
      </c>
      <c r="D313" s="3">
        <f>IF(VLOOKUP(Table3[[#This Row],[Date]],'DB LEI'!$A:$I,9)=0,"",VLOOKUP(Table3[[#This Row],[Date]],'DB LEI'!$A:$I,9))</f>
        <v/>
      </c>
      <c r="E313" s="2" t="n">
        <v>160.050003</v>
      </c>
      <c r="F313" s="4">
        <f>(Table3[[#This Row],[UMSCI]]-E302)/E302</f>
        <v/>
      </c>
    </row>
    <row r="314">
      <c r="A314" s="6" t="n">
        <v>30803</v>
      </c>
      <c r="B314" s="2">
        <f>VLOOKUP(Table3[[#This Row],[Date]],'DB LEI'!$A:$F,2)</f>
        <v/>
      </c>
      <c r="C314" s="4">
        <f>(Table3[[#This Row],[Conference Board Leading Indicator]]-B302)/B302</f>
        <v/>
      </c>
      <c r="D314" s="3">
        <f>IF(VLOOKUP(Table3[[#This Row],[Date]],'DB LEI'!$A:$I,9)=0,"",VLOOKUP(Table3[[#This Row],[Date]],'DB LEI'!$A:$I,9))</f>
        <v/>
      </c>
      <c r="E314" s="2" t="n">
        <v>150.550003</v>
      </c>
      <c r="F314" s="4">
        <f>(Table3[[#This Row],[UMSCI]]-E303)/E303</f>
        <v/>
      </c>
    </row>
    <row r="315">
      <c r="A315" s="6" t="n">
        <v>30834</v>
      </c>
      <c r="B315" s="2">
        <f>VLOOKUP(Table3[[#This Row],[Date]],'DB LEI'!$A:$F,2)</f>
        <v/>
      </c>
      <c r="C315" s="4">
        <f>(Table3[[#This Row],[Conference Board Leading Indicator]]-B303)/B303</f>
        <v/>
      </c>
      <c r="D315" s="3">
        <f>IF(VLOOKUP(Table3[[#This Row],[Date]],'DB LEI'!$A:$I,9)=0,"",VLOOKUP(Table3[[#This Row],[Date]],'DB LEI'!$A:$I,9))</f>
        <v/>
      </c>
      <c r="E315" s="2" t="n">
        <v>153.179993</v>
      </c>
      <c r="F315" s="4">
        <f>(Table3[[#This Row],[UMSCI]]-E304)/E304</f>
        <v/>
      </c>
    </row>
    <row r="316">
      <c r="A316" s="6" t="n">
        <v>30864</v>
      </c>
      <c r="B316" s="2">
        <f>VLOOKUP(Table3[[#This Row],[Date]],'DB LEI'!$A:$F,2)</f>
        <v/>
      </c>
      <c r="C316" s="4">
        <f>(Table3[[#This Row],[Conference Board Leading Indicator]]-B304)/B304</f>
        <v/>
      </c>
      <c r="D316" s="3">
        <f>IF(VLOOKUP(Table3[[#This Row],[Date]],'DB LEI'!$A:$I,9)=0,"",VLOOKUP(Table3[[#This Row],[Date]],'DB LEI'!$A:$I,9))</f>
        <v/>
      </c>
      <c r="E316" s="2" t="n">
        <v>150.660004</v>
      </c>
      <c r="F316" s="4">
        <f>(Table3[[#This Row],[UMSCI]]-E305)/E305</f>
        <v/>
      </c>
    </row>
    <row r="317">
      <c r="A317" s="6" t="n">
        <v>30895</v>
      </c>
      <c r="B317" s="2">
        <f>VLOOKUP(Table3[[#This Row],[Date]],'DB LEI'!$A:$F,2)</f>
        <v/>
      </c>
      <c r="C317" s="4">
        <f>(Table3[[#This Row],[Conference Board Leading Indicator]]-B305)/B305</f>
        <v/>
      </c>
      <c r="D317" s="3">
        <f>IF(VLOOKUP(Table3[[#This Row],[Date]],'DB LEI'!$A:$I,9)=0,"",VLOOKUP(Table3[[#This Row],[Date]],'DB LEI'!$A:$I,9))</f>
        <v/>
      </c>
      <c r="E317" s="2" t="n">
        <v>166.679993</v>
      </c>
      <c r="F317" s="4">
        <f>(Table3[[#This Row],[UMSCI]]-E306)/E306</f>
        <v/>
      </c>
    </row>
    <row r="318">
      <c r="A318" s="6" t="n">
        <v>30926</v>
      </c>
      <c r="B318" s="2">
        <f>VLOOKUP(Table3[[#This Row],[Date]],'DB LEI'!$A:$F,2)</f>
        <v/>
      </c>
      <c r="C318" s="4">
        <f>(Table3[[#This Row],[Conference Board Leading Indicator]]-B306)/B306</f>
        <v/>
      </c>
      <c r="D318" s="3">
        <f>IF(VLOOKUP(Table3[[#This Row],[Date]],'DB LEI'!$A:$I,9)=0,"",VLOOKUP(Table3[[#This Row],[Date]],'DB LEI'!$A:$I,9))</f>
        <v/>
      </c>
      <c r="E318" s="2" t="n">
        <v>166.100006</v>
      </c>
      <c r="F318" s="4">
        <f>(Table3[[#This Row],[UMSCI]]-E307)/E307</f>
        <v/>
      </c>
    </row>
    <row r="319">
      <c r="A319" s="6" t="n">
        <v>30956</v>
      </c>
      <c r="B319" s="2">
        <f>VLOOKUP(Table3[[#This Row],[Date]],'DB LEI'!$A:$F,2)</f>
        <v/>
      </c>
      <c r="C319" s="4">
        <f>(Table3[[#This Row],[Conference Board Leading Indicator]]-B307)/B307</f>
        <v/>
      </c>
      <c r="D319" s="3">
        <f>IF(VLOOKUP(Table3[[#This Row],[Date]],'DB LEI'!$A:$I,9)=0,"",VLOOKUP(Table3[[#This Row],[Date]],'DB LEI'!$A:$I,9))</f>
        <v/>
      </c>
      <c r="E319" s="2" t="n">
        <v>166.089996</v>
      </c>
      <c r="F319" s="4">
        <f>(Table3[[#This Row],[UMSCI]]-E308)/E308</f>
        <v/>
      </c>
    </row>
    <row r="320">
      <c r="A320" s="6" t="n">
        <v>30987</v>
      </c>
      <c r="B320" s="2">
        <f>VLOOKUP(Table3[[#This Row],[Date]],'DB LEI'!$A:$F,2)</f>
        <v/>
      </c>
      <c r="C320" s="4">
        <f>(Table3[[#This Row],[Conference Board Leading Indicator]]-B308)/B308</f>
        <v/>
      </c>
      <c r="D320" s="3">
        <f>IF(VLOOKUP(Table3[[#This Row],[Date]],'DB LEI'!$A:$I,9)=0,"",VLOOKUP(Table3[[#This Row],[Date]],'DB LEI'!$A:$I,9))</f>
        <v/>
      </c>
      <c r="E320" s="2" t="n">
        <v>163.580002</v>
      </c>
      <c r="F320" s="4">
        <f>(Table3[[#This Row],[UMSCI]]-E309)/E309</f>
        <v/>
      </c>
    </row>
    <row r="321">
      <c r="A321" s="6" t="n">
        <v>31017</v>
      </c>
      <c r="B321" s="2">
        <f>VLOOKUP(Table3[[#This Row],[Date]],'DB LEI'!$A:$F,2)</f>
        <v/>
      </c>
      <c r="C321" s="4">
        <f>(Table3[[#This Row],[Conference Board Leading Indicator]]-B309)/B309</f>
        <v/>
      </c>
      <c r="D321" s="3">
        <f>IF(VLOOKUP(Table3[[#This Row],[Date]],'DB LEI'!$A:$I,9)=0,"",VLOOKUP(Table3[[#This Row],[Date]],'DB LEI'!$A:$I,9))</f>
        <v/>
      </c>
      <c r="E321" s="2" t="n">
        <v>167.240005</v>
      </c>
      <c r="F321" s="4">
        <f>(Table3[[#This Row],[UMSCI]]-E310)/E310</f>
        <v/>
      </c>
    </row>
    <row r="322">
      <c r="A322" s="6" t="n">
        <v>31048</v>
      </c>
      <c r="B322" s="2">
        <f>VLOOKUP(Table3[[#This Row],[Date]],'DB LEI'!$A:$F,2)</f>
        <v/>
      </c>
      <c r="C322" s="4">
        <f>(Table3[[#This Row],[Conference Board Leading Indicator]]-B310)/B310</f>
        <v/>
      </c>
      <c r="D322" s="3">
        <f>IF(VLOOKUP(Table3[[#This Row],[Date]],'DB LEI'!$A:$I,9)=0,"",VLOOKUP(Table3[[#This Row],[Date]],'DB LEI'!$A:$I,9))</f>
        <v/>
      </c>
      <c r="E322" s="2">
        <f>VLOOKUP(Table3[[#This Row],[Date]],'DB LEI'!$A:$F,4)</f>
        <v/>
      </c>
      <c r="F322" s="4">
        <f>(Table3[[#This Row],[UMSCI]]-E311)/E311</f>
        <v/>
      </c>
    </row>
    <row r="323">
      <c r="A323" s="6" t="n">
        <v>31079</v>
      </c>
      <c r="B323" s="2">
        <f>VLOOKUP(Table3[[#This Row],[Date]],'DB LEI'!$A:$F,2)</f>
        <v/>
      </c>
      <c r="C323" s="4">
        <f>(Table3[[#This Row],[Conference Board Leading Indicator]]-B311)/B311</f>
        <v/>
      </c>
      <c r="D323" s="3">
        <f>IF(VLOOKUP(Table3[[#This Row],[Date]],'DB LEI'!$A:$I,9)=0,"",VLOOKUP(Table3[[#This Row],[Date]],'DB LEI'!$A:$I,9))</f>
        <v/>
      </c>
      <c r="E323" s="2">
        <f>VLOOKUP(Table3[[#This Row],[Date]],'DB LEI'!$A:$F,4)</f>
        <v/>
      </c>
      <c r="F323" s="4">
        <f>(Table3[[#This Row],[UMSCI]]-E312)/E312</f>
        <v/>
      </c>
    </row>
    <row r="324">
      <c r="A324" s="6" t="n">
        <v>31107</v>
      </c>
      <c r="B324" s="2">
        <f>VLOOKUP(Table3[[#This Row],[Date]],'DB LEI'!$A:$F,2)</f>
        <v/>
      </c>
      <c r="C324" s="4">
        <f>(Table3[[#This Row],[Conference Board Leading Indicator]]-B312)/B312</f>
        <v/>
      </c>
      <c r="D324" s="3">
        <f>IF(VLOOKUP(Table3[[#This Row],[Date]],'DB LEI'!$A:$I,9)=0,"",VLOOKUP(Table3[[#This Row],[Date]],'DB LEI'!$A:$I,9))</f>
        <v/>
      </c>
      <c r="E324" s="2">
        <f>VLOOKUP(Table3[[#This Row],[Date]],'DB LEI'!$A:$F,4)</f>
        <v/>
      </c>
      <c r="F324" s="4">
        <f>(Table3[[#This Row],[UMSCI]]-E313)/E313</f>
        <v/>
      </c>
    </row>
    <row r="325">
      <c r="A325" s="6" t="n">
        <v>31138</v>
      </c>
      <c r="B325" s="2">
        <f>VLOOKUP(Table3[[#This Row],[Date]],'DB LEI'!$A:$F,2)</f>
        <v/>
      </c>
      <c r="C325" s="4">
        <f>(Table3[[#This Row],[Conference Board Leading Indicator]]-B313)/B313</f>
        <v/>
      </c>
      <c r="D325" s="3">
        <f>IF(VLOOKUP(Table3[[#This Row],[Date]],'DB LEI'!$A:$I,9)=0,"",VLOOKUP(Table3[[#This Row],[Date]],'DB LEI'!$A:$I,9))</f>
        <v/>
      </c>
      <c r="E325" s="2">
        <f>VLOOKUP(Table3[[#This Row],[Date]],'DB LEI'!$A:$F,4)</f>
        <v/>
      </c>
      <c r="F325" s="4">
        <f>(Table3[[#This Row],[UMSCI]]-E314)/E314</f>
        <v/>
      </c>
    </row>
    <row r="326">
      <c r="A326" s="6" t="n">
        <v>31168</v>
      </c>
      <c r="B326" s="2">
        <f>VLOOKUP(Table3[[#This Row],[Date]],'DB LEI'!$A:$F,2)</f>
        <v/>
      </c>
      <c r="C326" s="4">
        <f>(Table3[[#This Row],[Conference Board Leading Indicator]]-B314)/B314</f>
        <v/>
      </c>
      <c r="D326" s="3">
        <f>IF(VLOOKUP(Table3[[#This Row],[Date]],'DB LEI'!$A:$I,9)=0,"",VLOOKUP(Table3[[#This Row],[Date]],'DB LEI'!$A:$I,9))</f>
        <v/>
      </c>
      <c r="E326" s="2">
        <f>VLOOKUP(Table3[[#This Row],[Date]],'DB LEI'!$A:$F,4)</f>
        <v/>
      </c>
      <c r="F326" s="4">
        <f>(Table3[[#This Row],[UMSCI]]-E315)/E315</f>
        <v/>
      </c>
    </row>
    <row r="327">
      <c r="A327" s="6" t="n">
        <v>31199</v>
      </c>
      <c r="B327" s="2">
        <f>VLOOKUP(Table3[[#This Row],[Date]],'DB LEI'!$A:$F,2)</f>
        <v/>
      </c>
      <c r="C327" s="4">
        <f>(Table3[[#This Row],[Conference Board Leading Indicator]]-B315)/B315</f>
        <v/>
      </c>
      <c r="D327" s="3">
        <f>IF(VLOOKUP(Table3[[#This Row],[Date]],'DB LEI'!$A:$I,9)=0,"",VLOOKUP(Table3[[#This Row],[Date]],'DB LEI'!$A:$I,9))</f>
        <v/>
      </c>
      <c r="E327" s="2">
        <f>VLOOKUP(Table3[[#This Row],[Date]],'DB LEI'!$A:$F,4)</f>
        <v/>
      </c>
      <c r="F327" s="4">
        <f>(Table3[[#This Row],[UMSCI]]-E316)/E316</f>
        <v/>
      </c>
    </row>
    <row r="328">
      <c r="A328" s="6" t="n">
        <v>31229</v>
      </c>
      <c r="B328" s="2">
        <f>VLOOKUP(Table3[[#This Row],[Date]],'DB LEI'!$A:$F,2)</f>
        <v/>
      </c>
      <c r="C328" s="4">
        <f>(Table3[[#This Row],[Conference Board Leading Indicator]]-B316)/B316</f>
        <v/>
      </c>
      <c r="D328" s="3">
        <f>IF(VLOOKUP(Table3[[#This Row],[Date]],'DB LEI'!$A:$I,9)=0,"",VLOOKUP(Table3[[#This Row],[Date]],'DB LEI'!$A:$I,9))</f>
        <v/>
      </c>
      <c r="E328" s="2">
        <f>VLOOKUP(Table3[[#This Row],[Date]],'DB LEI'!$A:$F,4)</f>
        <v/>
      </c>
      <c r="F328" s="4">
        <f>(Table3[[#This Row],[UMSCI]]-E317)/E317</f>
        <v/>
      </c>
    </row>
    <row r="329">
      <c r="A329" s="6" t="n">
        <v>31260</v>
      </c>
      <c r="B329" s="2">
        <f>VLOOKUP(Table3[[#This Row],[Date]],'DB LEI'!$A:$F,2)</f>
        <v/>
      </c>
      <c r="C329" s="4">
        <f>(Table3[[#This Row],[Conference Board Leading Indicator]]-B317)/B317</f>
        <v/>
      </c>
      <c r="D329" s="3">
        <f>IF(VLOOKUP(Table3[[#This Row],[Date]],'DB LEI'!$A:$I,9)=0,"",VLOOKUP(Table3[[#This Row],[Date]],'DB LEI'!$A:$I,9))</f>
        <v/>
      </c>
      <c r="E329" s="2">
        <f>VLOOKUP(Table3[[#This Row],[Date]],'DB LEI'!$A:$F,4)</f>
        <v/>
      </c>
      <c r="F329" s="4">
        <f>(Table3[[#This Row],[UMSCI]]-E318)/E318</f>
        <v/>
      </c>
    </row>
    <row r="330">
      <c r="A330" s="6" t="n">
        <v>31291</v>
      </c>
      <c r="B330" s="2">
        <f>VLOOKUP(Table3[[#This Row],[Date]],'DB LEI'!$A:$F,2)</f>
        <v/>
      </c>
      <c r="C330" s="4">
        <f>(Table3[[#This Row],[Conference Board Leading Indicator]]-B318)/B318</f>
        <v/>
      </c>
      <c r="D330" s="3">
        <f>IF(VLOOKUP(Table3[[#This Row],[Date]],'DB LEI'!$A:$I,9)=0,"",VLOOKUP(Table3[[#This Row],[Date]],'DB LEI'!$A:$I,9))</f>
        <v/>
      </c>
      <c r="E330" s="2">
        <f>VLOOKUP(Table3[[#This Row],[Date]],'DB LEI'!$A:$F,4)</f>
        <v/>
      </c>
      <c r="F330" s="4">
        <f>(Table3[[#This Row],[UMSCI]]-E319)/E319</f>
        <v/>
      </c>
    </row>
    <row r="331">
      <c r="A331" s="6" t="n">
        <v>31321</v>
      </c>
      <c r="B331" s="2">
        <f>VLOOKUP(Table3[[#This Row],[Date]],'DB LEI'!$A:$F,2)</f>
        <v/>
      </c>
      <c r="C331" s="4">
        <f>(Table3[[#This Row],[Conference Board Leading Indicator]]-B319)/B319</f>
        <v/>
      </c>
      <c r="D331" s="3">
        <f>IF(VLOOKUP(Table3[[#This Row],[Date]],'DB LEI'!$A:$I,9)=0,"",VLOOKUP(Table3[[#This Row],[Date]],'DB LEI'!$A:$I,9))</f>
        <v/>
      </c>
      <c r="E331" s="2">
        <f>VLOOKUP(Table3[[#This Row],[Date]],'DB LEI'!$A:$F,4)</f>
        <v/>
      </c>
      <c r="F331" s="4">
        <f>(Table3[[#This Row],[UMSCI]]-E320)/E320</f>
        <v/>
      </c>
    </row>
    <row r="332">
      <c r="A332" s="6" t="n">
        <v>31352</v>
      </c>
      <c r="B332" s="2">
        <f>VLOOKUP(Table3[[#This Row],[Date]],'DB LEI'!$A:$F,2)</f>
        <v/>
      </c>
      <c r="C332" s="4">
        <f>(Table3[[#This Row],[Conference Board Leading Indicator]]-B320)/B320</f>
        <v/>
      </c>
      <c r="D332" s="3">
        <f>IF(VLOOKUP(Table3[[#This Row],[Date]],'DB LEI'!$A:$I,9)=0,"",VLOOKUP(Table3[[#This Row],[Date]],'DB LEI'!$A:$I,9))</f>
        <v/>
      </c>
      <c r="E332" s="2">
        <f>VLOOKUP(Table3[[#This Row],[Date]],'DB LEI'!$A:$F,4)</f>
        <v/>
      </c>
      <c r="F332" s="4">
        <f>(Table3[[#This Row],[UMSCI]]-E321)/E321</f>
        <v/>
      </c>
    </row>
    <row r="333">
      <c r="A333" s="6" t="n">
        <v>31382</v>
      </c>
      <c r="B333" s="2">
        <f>VLOOKUP(Table3[[#This Row],[Date]],'DB LEI'!$A:$F,2)</f>
        <v/>
      </c>
      <c r="C333" s="4">
        <f>(Table3[[#This Row],[Conference Board Leading Indicator]]-B321)/B321</f>
        <v/>
      </c>
      <c r="D333" s="3">
        <f>IF(VLOOKUP(Table3[[#This Row],[Date]],'DB LEI'!$A:$I,9)=0,"",VLOOKUP(Table3[[#This Row],[Date]],'DB LEI'!$A:$I,9))</f>
        <v/>
      </c>
      <c r="E333" s="2">
        <f>VLOOKUP(Table3[[#This Row],[Date]],'DB LEI'!$A:$F,4)</f>
        <v/>
      </c>
      <c r="F333" s="4">
        <f>(Table3[[#This Row],[UMSCI]]-E322)/E322</f>
        <v/>
      </c>
    </row>
    <row r="334">
      <c r="A334" s="6" t="n">
        <v>31413</v>
      </c>
      <c r="B334" s="2">
        <f>VLOOKUP(Table3[[#This Row],[Date]],'DB LEI'!$A:$F,2)</f>
        <v/>
      </c>
      <c r="C334" s="4">
        <f>(Table3[[#This Row],[Conference Board Leading Indicator]]-B322)/B322</f>
        <v/>
      </c>
      <c r="D334" s="3">
        <f>IF(VLOOKUP(Table3[[#This Row],[Date]],'DB LEI'!$A:$I,9)=0,"",VLOOKUP(Table3[[#This Row],[Date]],'DB LEI'!$A:$I,9))</f>
        <v/>
      </c>
      <c r="E334" s="2">
        <f>VLOOKUP(Table3[[#This Row],[Date]],'DB LEI'!$A:$F,4)</f>
        <v/>
      </c>
      <c r="F334" s="4">
        <f>(Table3[[#This Row],[UMSCI]]-E323)/E323</f>
        <v/>
      </c>
    </row>
    <row r="335">
      <c r="A335" s="6" t="n">
        <v>31444</v>
      </c>
      <c r="B335" s="2">
        <f>VLOOKUP(Table3[[#This Row],[Date]],'DB LEI'!$A:$F,2)</f>
        <v/>
      </c>
      <c r="C335" s="4">
        <f>(Table3[[#This Row],[Conference Board Leading Indicator]]-B323)/B323</f>
        <v/>
      </c>
      <c r="D335" s="3">
        <f>IF(VLOOKUP(Table3[[#This Row],[Date]],'DB LEI'!$A:$I,9)=0,"",VLOOKUP(Table3[[#This Row],[Date]],'DB LEI'!$A:$I,9))</f>
        <v/>
      </c>
      <c r="E335" s="2">
        <f>VLOOKUP(Table3[[#This Row],[Date]],'DB LEI'!$A:$F,4)</f>
        <v/>
      </c>
      <c r="F335" s="4">
        <f>(Table3[[#This Row],[UMSCI]]-E324)/E324</f>
        <v/>
      </c>
    </row>
    <row r="336">
      <c r="A336" s="6" t="n">
        <v>31472</v>
      </c>
      <c r="B336" s="2">
        <f>VLOOKUP(Table3[[#This Row],[Date]],'DB LEI'!$A:$F,2)</f>
        <v/>
      </c>
      <c r="C336" s="4">
        <f>(Table3[[#This Row],[Conference Board Leading Indicator]]-B324)/B324</f>
        <v/>
      </c>
      <c r="D336" s="3">
        <f>IF(VLOOKUP(Table3[[#This Row],[Date]],'DB LEI'!$A:$I,9)=0,"",VLOOKUP(Table3[[#This Row],[Date]],'DB LEI'!$A:$I,9))</f>
        <v/>
      </c>
      <c r="E336" s="2">
        <f>VLOOKUP(Table3[[#This Row],[Date]],'DB LEI'!$A:$F,4)</f>
        <v/>
      </c>
      <c r="F336" s="4">
        <f>(Table3[[#This Row],[UMSCI]]-E325)/E325</f>
        <v/>
      </c>
    </row>
    <row r="337">
      <c r="A337" s="6" t="n">
        <v>31503</v>
      </c>
      <c r="B337" s="2">
        <f>VLOOKUP(Table3[[#This Row],[Date]],'DB LEI'!$A:$F,2)</f>
        <v/>
      </c>
      <c r="C337" s="4">
        <f>(Table3[[#This Row],[Conference Board Leading Indicator]]-B325)/B325</f>
        <v/>
      </c>
      <c r="D337" s="3">
        <f>IF(VLOOKUP(Table3[[#This Row],[Date]],'DB LEI'!$A:$I,9)=0,"",VLOOKUP(Table3[[#This Row],[Date]],'DB LEI'!$A:$I,9))</f>
        <v/>
      </c>
      <c r="E337" s="2">
        <f>VLOOKUP(Table3[[#This Row],[Date]],'DB LEI'!$A:$F,4)</f>
        <v/>
      </c>
      <c r="F337" s="4">
        <f>(Table3[[#This Row],[UMSCI]]-E326)/E326</f>
        <v/>
      </c>
    </row>
    <row r="338">
      <c r="A338" s="6" t="n">
        <v>31533</v>
      </c>
      <c r="B338" s="2">
        <f>VLOOKUP(Table3[[#This Row],[Date]],'DB LEI'!$A:$F,2)</f>
        <v/>
      </c>
      <c r="C338" s="4">
        <f>(Table3[[#This Row],[Conference Board Leading Indicator]]-B326)/B326</f>
        <v/>
      </c>
      <c r="D338" s="3">
        <f>IF(VLOOKUP(Table3[[#This Row],[Date]],'DB LEI'!$A:$I,9)=0,"",VLOOKUP(Table3[[#This Row],[Date]],'DB LEI'!$A:$I,9))</f>
        <v/>
      </c>
      <c r="E338" s="2">
        <f>VLOOKUP(Table3[[#This Row],[Date]],'DB LEI'!$A:$F,4)</f>
        <v/>
      </c>
      <c r="F338" s="4">
        <f>(Table3[[#This Row],[UMSCI]]-E327)/E327</f>
        <v/>
      </c>
    </row>
    <row r="339">
      <c r="A339" s="6" t="n">
        <v>31564</v>
      </c>
      <c r="B339" s="2">
        <f>VLOOKUP(Table3[[#This Row],[Date]],'DB LEI'!$A:$F,2)</f>
        <v/>
      </c>
      <c r="C339" s="4">
        <f>(Table3[[#This Row],[Conference Board Leading Indicator]]-B327)/B327</f>
        <v/>
      </c>
      <c r="D339" s="3">
        <f>IF(VLOOKUP(Table3[[#This Row],[Date]],'DB LEI'!$A:$I,9)=0,"",VLOOKUP(Table3[[#This Row],[Date]],'DB LEI'!$A:$I,9))</f>
        <v/>
      </c>
      <c r="E339" s="2">
        <f>VLOOKUP(Table3[[#This Row],[Date]],'DB LEI'!$A:$F,4)</f>
        <v/>
      </c>
      <c r="F339" s="4">
        <f>(Table3[[#This Row],[UMSCI]]-E328)/E328</f>
        <v/>
      </c>
    </row>
    <row r="340">
      <c r="A340" s="6" t="n">
        <v>31594</v>
      </c>
      <c r="B340" s="2">
        <f>VLOOKUP(Table3[[#This Row],[Date]],'DB LEI'!$A:$F,2)</f>
        <v/>
      </c>
      <c r="C340" s="4">
        <f>(Table3[[#This Row],[Conference Board Leading Indicator]]-B328)/B328</f>
        <v/>
      </c>
      <c r="D340" s="3">
        <f>IF(VLOOKUP(Table3[[#This Row],[Date]],'DB LEI'!$A:$I,9)=0,"",VLOOKUP(Table3[[#This Row],[Date]],'DB LEI'!$A:$I,9))</f>
        <v/>
      </c>
      <c r="E340" s="2">
        <f>VLOOKUP(Table3[[#This Row],[Date]],'DB LEI'!$A:$F,4)</f>
        <v/>
      </c>
      <c r="F340" s="4">
        <f>(Table3[[#This Row],[UMSCI]]-E329)/E329</f>
        <v/>
      </c>
    </row>
    <row r="341">
      <c r="A341" s="6" t="n">
        <v>31625</v>
      </c>
      <c r="B341" s="2">
        <f>VLOOKUP(Table3[[#This Row],[Date]],'DB LEI'!$A:$F,2)</f>
        <v/>
      </c>
      <c r="C341" s="4">
        <f>(Table3[[#This Row],[Conference Board Leading Indicator]]-B329)/B329</f>
        <v/>
      </c>
      <c r="D341" s="3">
        <f>IF(VLOOKUP(Table3[[#This Row],[Date]],'DB LEI'!$A:$I,9)=0,"",VLOOKUP(Table3[[#This Row],[Date]],'DB LEI'!$A:$I,9))</f>
        <v/>
      </c>
      <c r="E341" s="2">
        <f>VLOOKUP(Table3[[#This Row],[Date]],'DB LEI'!$A:$F,4)</f>
        <v/>
      </c>
      <c r="F341" s="4">
        <f>(Table3[[#This Row],[UMSCI]]-E330)/E330</f>
        <v/>
      </c>
    </row>
    <row r="342">
      <c r="A342" s="6" t="n">
        <v>31656</v>
      </c>
      <c r="B342" s="2">
        <f>VLOOKUP(Table3[[#This Row],[Date]],'DB LEI'!$A:$F,2)</f>
        <v/>
      </c>
      <c r="C342" s="4">
        <f>(Table3[[#This Row],[Conference Board Leading Indicator]]-B330)/B330</f>
        <v/>
      </c>
      <c r="D342" s="3">
        <f>IF(VLOOKUP(Table3[[#This Row],[Date]],'DB LEI'!$A:$I,9)=0,"",VLOOKUP(Table3[[#This Row],[Date]],'DB LEI'!$A:$I,9))</f>
        <v/>
      </c>
      <c r="E342" s="2">
        <f>VLOOKUP(Table3[[#This Row],[Date]],'DB LEI'!$A:$F,4)</f>
        <v/>
      </c>
      <c r="F342" s="4">
        <f>(Table3[[#This Row],[UMSCI]]-E331)/E331</f>
        <v/>
      </c>
    </row>
    <row r="343">
      <c r="A343" s="6" t="n">
        <v>31686</v>
      </c>
      <c r="B343" s="2">
        <f>VLOOKUP(Table3[[#This Row],[Date]],'DB LEI'!$A:$F,2)</f>
        <v/>
      </c>
      <c r="C343" s="4">
        <f>(Table3[[#This Row],[Conference Board Leading Indicator]]-B331)/B331</f>
        <v/>
      </c>
      <c r="D343" s="3">
        <f>IF(VLOOKUP(Table3[[#This Row],[Date]],'DB LEI'!$A:$I,9)=0,"",VLOOKUP(Table3[[#This Row],[Date]],'DB LEI'!$A:$I,9))</f>
        <v/>
      </c>
      <c r="E343" s="2">
        <f>VLOOKUP(Table3[[#This Row],[Date]],'DB LEI'!$A:$F,4)</f>
        <v/>
      </c>
      <c r="F343" s="4">
        <f>(Table3[[#This Row],[UMSCI]]-E332)/E332</f>
        <v/>
      </c>
    </row>
    <row r="344">
      <c r="A344" s="6" t="n">
        <v>31717</v>
      </c>
      <c r="B344" s="2">
        <f>VLOOKUP(Table3[[#This Row],[Date]],'DB LEI'!$A:$F,2)</f>
        <v/>
      </c>
      <c r="C344" s="4">
        <f>(Table3[[#This Row],[Conference Board Leading Indicator]]-B332)/B332</f>
        <v/>
      </c>
      <c r="D344" s="3">
        <f>IF(VLOOKUP(Table3[[#This Row],[Date]],'DB LEI'!$A:$I,9)=0,"",VLOOKUP(Table3[[#This Row],[Date]],'DB LEI'!$A:$I,9))</f>
        <v/>
      </c>
      <c r="E344" s="2">
        <f>VLOOKUP(Table3[[#This Row],[Date]],'DB LEI'!$A:$F,4)</f>
        <v/>
      </c>
      <c r="F344" s="4">
        <f>(Table3[[#This Row],[UMSCI]]-E333)/E333</f>
        <v/>
      </c>
    </row>
    <row r="345">
      <c r="A345" s="6" t="n">
        <v>31747</v>
      </c>
      <c r="B345" s="2">
        <f>VLOOKUP(Table3[[#This Row],[Date]],'DB LEI'!$A:$F,2)</f>
        <v/>
      </c>
      <c r="C345" s="4">
        <f>(Table3[[#This Row],[Conference Board Leading Indicator]]-B333)/B333</f>
        <v/>
      </c>
      <c r="D345" s="3">
        <f>IF(VLOOKUP(Table3[[#This Row],[Date]],'DB LEI'!$A:$I,9)=0,"",VLOOKUP(Table3[[#This Row],[Date]],'DB LEI'!$A:$I,9))</f>
        <v/>
      </c>
      <c r="E345" s="2">
        <f>VLOOKUP(Table3[[#This Row],[Date]],'DB LEI'!$A:$F,4)</f>
        <v/>
      </c>
      <c r="F345" s="4">
        <f>(Table3[[#This Row],[UMSCI]]-E334)/E334</f>
        <v/>
      </c>
    </row>
    <row r="346">
      <c r="A346" s="6" t="n">
        <v>31778</v>
      </c>
      <c r="B346" s="2">
        <f>VLOOKUP(Table3[[#This Row],[Date]],'DB LEI'!$A:$F,2)</f>
        <v/>
      </c>
      <c r="C346" s="4">
        <f>(Table3[[#This Row],[Conference Board Leading Indicator]]-B334)/B334</f>
        <v/>
      </c>
      <c r="D346" s="3">
        <f>IF(VLOOKUP(Table3[[#This Row],[Date]],'DB LEI'!$A:$I,9)=0,"",VLOOKUP(Table3[[#This Row],[Date]],'DB LEI'!$A:$I,9))</f>
        <v/>
      </c>
      <c r="E346" s="2">
        <f>VLOOKUP(Table3[[#This Row],[Date]],'DB LEI'!$A:$F,4)</f>
        <v/>
      </c>
      <c r="F346" s="4">
        <f>(Table3[[#This Row],[UMSCI]]-E335)/E335</f>
        <v/>
      </c>
    </row>
    <row r="347">
      <c r="A347" s="6" t="n">
        <v>31809</v>
      </c>
      <c r="B347" s="2">
        <f>VLOOKUP(Table3[[#This Row],[Date]],'DB LEI'!$A:$F,2)</f>
        <v/>
      </c>
      <c r="C347" s="4">
        <f>(Table3[[#This Row],[Conference Board Leading Indicator]]-B335)/B335</f>
        <v/>
      </c>
      <c r="D347" s="3">
        <f>IF(VLOOKUP(Table3[[#This Row],[Date]],'DB LEI'!$A:$I,9)=0,"",VLOOKUP(Table3[[#This Row],[Date]],'DB LEI'!$A:$I,9))</f>
        <v/>
      </c>
      <c r="E347" s="2">
        <f>VLOOKUP(Table3[[#This Row],[Date]],'DB LEI'!$A:$F,4)</f>
        <v/>
      </c>
      <c r="F347" s="4">
        <f>(Table3[[#This Row],[UMSCI]]-E336)/E336</f>
        <v/>
      </c>
    </row>
    <row r="348">
      <c r="A348" s="6" t="n">
        <v>31837</v>
      </c>
      <c r="B348" s="2">
        <f>VLOOKUP(Table3[[#This Row],[Date]],'DB LEI'!$A:$F,2)</f>
        <v/>
      </c>
      <c r="C348" s="4">
        <f>(Table3[[#This Row],[Conference Board Leading Indicator]]-B336)/B336</f>
        <v/>
      </c>
      <c r="D348" s="3">
        <f>IF(VLOOKUP(Table3[[#This Row],[Date]],'DB LEI'!$A:$I,9)=0,"",VLOOKUP(Table3[[#This Row],[Date]],'DB LEI'!$A:$I,9))</f>
        <v/>
      </c>
      <c r="E348" s="2">
        <f>VLOOKUP(Table3[[#This Row],[Date]],'DB LEI'!$A:$F,4)</f>
        <v/>
      </c>
      <c r="F348" s="4">
        <f>(Table3[[#This Row],[UMSCI]]-E337)/E337</f>
        <v/>
      </c>
    </row>
    <row r="349">
      <c r="A349" s="6" t="n">
        <v>31868</v>
      </c>
      <c r="B349" s="2">
        <f>VLOOKUP(Table3[[#This Row],[Date]],'DB LEI'!$A:$F,2)</f>
        <v/>
      </c>
      <c r="C349" s="4">
        <f>(Table3[[#This Row],[Conference Board Leading Indicator]]-B337)/B337</f>
        <v/>
      </c>
      <c r="D349" s="3">
        <f>IF(VLOOKUP(Table3[[#This Row],[Date]],'DB LEI'!$A:$I,9)=0,"",VLOOKUP(Table3[[#This Row],[Date]],'DB LEI'!$A:$I,9))</f>
        <v/>
      </c>
      <c r="E349" s="2">
        <f>VLOOKUP(Table3[[#This Row],[Date]],'DB LEI'!$A:$F,4)</f>
        <v/>
      </c>
      <c r="F349" s="4">
        <f>(Table3[[#This Row],[UMSCI]]-E338)/E338</f>
        <v/>
      </c>
    </row>
    <row r="350">
      <c r="A350" s="6" t="n">
        <v>31898</v>
      </c>
      <c r="B350" s="2">
        <f>VLOOKUP(Table3[[#This Row],[Date]],'DB LEI'!$A:$F,2)</f>
        <v/>
      </c>
      <c r="C350" s="4">
        <f>(Table3[[#This Row],[Conference Board Leading Indicator]]-B338)/B338</f>
        <v/>
      </c>
      <c r="D350" s="3">
        <f>IF(VLOOKUP(Table3[[#This Row],[Date]],'DB LEI'!$A:$I,9)=0,"",VLOOKUP(Table3[[#This Row],[Date]],'DB LEI'!$A:$I,9))</f>
        <v/>
      </c>
      <c r="E350" s="2">
        <f>VLOOKUP(Table3[[#This Row],[Date]],'DB LEI'!$A:$F,4)</f>
        <v/>
      </c>
      <c r="F350" s="4">
        <f>(Table3[[#This Row],[UMSCI]]-E339)/E339</f>
        <v/>
      </c>
    </row>
    <row r="351">
      <c r="A351" s="6" t="n">
        <v>31929</v>
      </c>
      <c r="B351" s="2">
        <f>VLOOKUP(Table3[[#This Row],[Date]],'DB LEI'!$A:$F,2)</f>
        <v/>
      </c>
      <c r="C351" s="4">
        <f>(Table3[[#This Row],[Conference Board Leading Indicator]]-B339)/B339</f>
        <v/>
      </c>
      <c r="D351" s="3">
        <f>IF(VLOOKUP(Table3[[#This Row],[Date]],'DB LEI'!$A:$I,9)=0,"",VLOOKUP(Table3[[#This Row],[Date]],'DB LEI'!$A:$I,9))</f>
        <v/>
      </c>
      <c r="E351" s="2">
        <f>VLOOKUP(Table3[[#This Row],[Date]],'DB LEI'!$A:$F,4)</f>
        <v/>
      </c>
      <c r="F351" s="4">
        <f>(Table3[[#This Row],[UMSCI]]-E340)/E340</f>
        <v/>
      </c>
    </row>
    <row r="352">
      <c r="A352" s="6" t="n">
        <v>31959</v>
      </c>
      <c r="B352" s="2">
        <f>VLOOKUP(Table3[[#This Row],[Date]],'DB LEI'!$A:$F,2)</f>
        <v/>
      </c>
      <c r="C352" s="4">
        <f>(Table3[[#This Row],[Conference Board Leading Indicator]]-B340)/B340</f>
        <v/>
      </c>
      <c r="D352" s="3">
        <f>IF(VLOOKUP(Table3[[#This Row],[Date]],'DB LEI'!$A:$I,9)=0,"",VLOOKUP(Table3[[#This Row],[Date]],'DB LEI'!$A:$I,9))</f>
        <v/>
      </c>
      <c r="E352" s="2">
        <f>VLOOKUP(Table3[[#This Row],[Date]],'DB LEI'!$A:$F,4)</f>
        <v/>
      </c>
      <c r="F352" s="4">
        <f>(Table3[[#This Row],[UMSCI]]-E341)/E341</f>
        <v/>
      </c>
    </row>
    <row r="353">
      <c r="A353" s="6" t="n">
        <v>31990</v>
      </c>
      <c r="B353" s="2">
        <f>VLOOKUP(Table3[[#This Row],[Date]],'DB LEI'!$A:$F,2)</f>
        <v/>
      </c>
      <c r="C353" s="4">
        <f>(Table3[[#This Row],[Conference Board Leading Indicator]]-B341)/B341</f>
        <v/>
      </c>
      <c r="D353" s="3">
        <f>IF(VLOOKUP(Table3[[#This Row],[Date]],'DB LEI'!$A:$I,9)=0,"",VLOOKUP(Table3[[#This Row],[Date]],'DB LEI'!$A:$I,9))</f>
        <v/>
      </c>
      <c r="E353" s="2">
        <f>VLOOKUP(Table3[[#This Row],[Date]],'DB LEI'!$A:$F,4)</f>
        <v/>
      </c>
      <c r="F353" s="4">
        <f>(Table3[[#This Row],[UMSCI]]-E342)/E342</f>
        <v/>
      </c>
    </row>
    <row r="354">
      <c r="A354" s="6" t="n">
        <v>32021</v>
      </c>
      <c r="B354" s="2">
        <f>VLOOKUP(Table3[[#This Row],[Date]],'DB LEI'!$A:$F,2)</f>
        <v/>
      </c>
      <c r="C354" s="4">
        <f>(Table3[[#This Row],[Conference Board Leading Indicator]]-B342)/B342</f>
        <v/>
      </c>
      <c r="D354" s="3">
        <f>IF(VLOOKUP(Table3[[#This Row],[Date]],'DB LEI'!$A:$I,9)=0,"",VLOOKUP(Table3[[#This Row],[Date]],'DB LEI'!$A:$I,9))</f>
        <v/>
      </c>
      <c r="E354" s="2">
        <f>VLOOKUP(Table3[[#This Row],[Date]],'DB LEI'!$A:$F,4)</f>
        <v/>
      </c>
      <c r="F354" s="4">
        <f>(Table3[[#This Row],[UMSCI]]-E343)/E343</f>
        <v/>
      </c>
    </row>
    <row r="355">
      <c r="A355" s="6" t="n">
        <v>32051</v>
      </c>
      <c r="B355" s="2">
        <f>VLOOKUP(Table3[[#This Row],[Date]],'DB LEI'!$A:$F,2)</f>
        <v/>
      </c>
      <c r="C355" s="4">
        <f>(Table3[[#This Row],[Conference Board Leading Indicator]]-B343)/B343</f>
        <v/>
      </c>
      <c r="D355" s="3">
        <f>IF(VLOOKUP(Table3[[#This Row],[Date]],'DB LEI'!$A:$I,9)=0,"",VLOOKUP(Table3[[#This Row],[Date]],'DB LEI'!$A:$I,9))</f>
        <v/>
      </c>
      <c r="E355" s="2">
        <f>VLOOKUP(Table3[[#This Row],[Date]],'DB LEI'!$A:$F,4)</f>
        <v/>
      </c>
      <c r="F355" s="4">
        <f>(Table3[[#This Row],[UMSCI]]-E344)/E344</f>
        <v/>
      </c>
    </row>
    <row r="356">
      <c r="A356" s="6" t="n">
        <v>32082</v>
      </c>
      <c r="B356" s="2">
        <f>VLOOKUP(Table3[[#This Row],[Date]],'DB LEI'!$A:$F,2)</f>
        <v/>
      </c>
      <c r="C356" s="4">
        <f>(Table3[[#This Row],[Conference Board Leading Indicator]]-B344)/B344</f>
        <v/>
      </c>
      <c r="D356" s="3">
        <f>IF(VLOOKUP(Table3[[#This Row],[Date]],'DB LEI'!$A:$I,9)=0,"",VLOOKUP(Table3[[#This Row],[Date]],'DB LEI'!$A:$I,9))</f>
        <v/>
      </c>
      <c r="E356" s="2">
        <f>VLOOKUP(Table3[[#This Row],[Date]],'DB LEI'!$A:$F,4)</f>
        <v/>
      </c>
      <c r="F356" s="4">
        <f>(Table3[[#This Row],[UMSCI]]-E345)/E345</f>
        <v/>
      </c>
    </row>
    <row r="357">
      <c r="A357" s="6" t="n">
        <v>32112</v>
      </c>
      <c r="B357" s="2">
        <f>VLOOKUP(Table3[[#This Row],[Date]],'DB LEI'!$A:$F,2)</f>
        <v/>
      </c>
      <c r="C357" s="4">
        <f>(Table3[[#This Row],[Conference Board Leading Indicator]]-B345)/B345</f>
        <v/>
      </c>
      <c r="D357" s="3">
        <f>IF(VLOOKUP(Table3[[#This Row],[Date]],'DB LEI'!$A:$I,9)=0,"",VLOOKUP(Table3[[#This Row],[Date]],'DB LEI'!$A:$I,9))</f>
        <v/>
      </c>
      <c r="E357" s="2">
        <f>VLOOKUP(Table3[[#This Row],[Date]],'DB LEI'!$A:$F,4)</f>
        <v/>
      </c>
      <c r="F357" s="4">
        <f>(Table3[[#This Row],[UMSCI]]-E346)/E346</f>
        <v/>
      </c>
    </row>
    <row r="358">
      <c r="A358" s="6" t="n">
        <v>32143</v>
      </c>
      <c r="B358" s="2">
        <f>VLOOKUP(Table3[[#This Row],[Date]],'DB LEI'!$A:$F,2)</f>
        <v/>
      </c>
      <c r="C358" s="4">
        <f>(Table3[[#This Row],[Conference Board Leading Indicator]]-B346)/B346</f>
        <v/>
      </c>
      <c r="D358" s="3">
        <f>IF(VLOOKUP(Table3[[#This Row],[Date]],'DB LEI'!$A:$I,9)=0,"",VLOOKUP(Table3[[#This Row],[Date]],'DB LEI'!$A:$I,9))</f>
        <v/>
      </c>
      <c r="E358" s="2">
        <f>VLOOKUP(Table3[[#This Row],[Date]],'DB LEI'!$A:$F,4)</f>
        <v/>
      </c>
      <c r="F358" s="4">
        <f>(Table3[[#This Row],[UMSCI]]-E347)/E347</f>
        <v/>
      </c>
    </row>
    <row r="359">
      <c r="A359" s="6" t="n">
        <v>32174</v>
      </c>
      <c r="B359" s="2">
        <f>VLOOKUP(Table3[[#This Row],[Date]],'DB LEI'!$A:$F,2)</f>
        <v/>
      </c>
      <c r="C359" s="4">
        <f>(Table3[[#This Row],[Conference Board Leading Indicator]]-B347)/B347</f>
        <v/>
      </c>
      <c r="D359" s="3">
        <f>IF(VLOOKUP(Table3[[#This Row],[Date]],'DB LEI'!$A:$I,9)=0,"",VLOOKUP(Table3[[#This Row],[Date]],'DB LEI'!$A:$I,9))</f>
        <v/>
      </c>
      <c r="E359" s="2">
        <f>VLOOKUP(Table3[[#This Row],[Date]],'DB LEI'!$A:$F,4)</f>
        <v/>
      </c>
      <c r="F359" s="4">
        <f>(Table3[[#This Row],[UMSCI]]-E348)/E348</f>
        <v/>
      </c>
    </row>
    <row r="360">
      <c r="A360" s="6" t="n">
        <v>32203</v>
      </c>
      <c r="B360" s="2">
        <f>VLOOKUP(Table3[[#This Row],[Date]],'DB LEI'!$A:$F,2)</f>
        <v/>
      </c>
      <c r="C360" s="4">
        <f>(Table3[[#This Row],[Conference Board Leading Indicator]]-B348)/B348</f>
        <v/>
      </c>
      <c r="D360" s="3">
        <f>IF(VLOOKUP(Table3[[#This Row],[Date]],'DB LEI'!$A:$I,9)=0,"",VLOOKUP(Table3[[#This Row],[Date]],'DB LEI'!$A:$I,9))</f>
        <v/>
      </c>
      <c r="E360" s="2">
        <f>VLOOKUP(Table3[[#This Row],[Date]],'DB LEI'!$A:$F,4)</f>
        <v/>
      </c>
      <c r="F360" s="4">
        <f>(Table3[[#This Row],[UMSCI]]-E349)/E349</f>
        <v/>
      </c>
    </row>
    <row r="361">
      <c r="A361" s="6" t="n">
        <v>32234</v>
      </c>
      <c r="B361" s="2">
        <f>VLOOKUP(Table3[[#This Row],[Date]],'DB LEI'!$A:$F,2)</f>
        <v/>
      </c>
      <c r="C361" s="4">
        <f>(Table3[[#This Row],[Conference Board Leading Indicator]]-B349)/B349</f>
        <v/>
      </c>
      <c r="D361" s="3">
        <f>IF(VLOOKUP(Table3[[#This Row],[Date]],'DB LEI'!$A:$I,9)=0,"",VLOOKUP(Table3[[#This Row],[Date]],'DB LEI'!$A:$I,9))</f>
        <v/>
      </c>
      <c r="E361" s="2">
        <f>VLOOKUP(Table3[[#This Row],[Date]],'DB LEI'!$A:$F,4)</f>
        <v/>
      </c>
      <c r="F361" s="4">
        <f>(Table3[[#This Row],[UMSCI]]-E350)/E350</f>
        <v/>
      </c>
    </row>
    <row r="362">
      <c r="A362" s="6" t="n">
        <v>32264</v>
      </c>
      <c r="B362" s="2">
        <f>VLOOKUP(Table3[[#This Row],[Date]],'DB LEI'!$A:$F,2)</f>
        <v/>
      </c>
      <c r="C362" s="4">
        <f>(Table3[[#This Row],[Conference Board Leading Indicator]]-B350)/B350</f>
        <v/>
      </c>
      <c r="D362" s="3">
        <f>IF(VLOOKUP(Table3[[#This Row],[Date]],'DB LEI'!$A:$I,9)=0,"",VLOOKUP(Table3[[#This Row],[Date]],'DB LEI'!$A:$I,9))</f>
        <v/>
      </c>
      <c r="E362" s="2">
        <f>VLOOKUP(Table3[[#This Row],[Date]],'DB LEI'!$A:$F,4)</f>
        <v/>
      </c>
      <c r="F362" s="4">
        <f>(Table3[[#This Row],[UMSCI]]-E351)/E351</f>
        <v/>
      </c>
    </row>
    <row r="363">
      <c r="A363" s="6" t="n">
        <v>32295</v>
      </c>
      <c r="B363" s="2">
        <f>VLOOKUP(Table3[[#This Row],[Date]],'DB LEI'!$A:$F,2)</f>
        <v/>
      </c>
      <c r="C363" s="4">
        <f>(Table3[[#This Row],[Conference Board Leading Indicator]]-B351)/B351</f>
        <v/>
      </c>
      <c r="D363" s="3">
        <f>IF(VLOOKUP(Table3[[#This Row],[Date]],'DB LEI'!$A:$I,9)=0,"",VLOOKUP(Table3[[#This Row],[Date]],'DB LEI'!$A:$I,9))</f>
        <v/>
      </c>
      <c r="E363" s="2">
        <f>VLOOKUP(Table3[[#This Row],[Date]],'DB LEI'!$A:$F,4)</f>
        <v/>
      </c>
      <c r="F363" s="4">
        <f>(Table3[[#This Row],[UMSCI]]-E352)/E352</f>
        <v/>
      </c>
    </row>
    <row r="364">
      <c r="A364" s="6" t="n">
        <v>32325</v>
      </c>
      <c r="B364" s="2">
        <f>VLOOKUP(Table3[[#This Row],[Date]],'DB LEI'!$A:$F,2)</f>
        <v/>
      </c>
      <c r="C364" s="4">
        <f>(Table3[[#This Row],[Conference Board Leading Indicator]]-B352)/B352</f>
        <v/>
      </c>
      <c r="D364" s="3">
        <f>IF(VLOOKUP(Table3[[#This Row],[Date]],'DB LEI'!$A:$I,9)=0,"",VLOOKUP(Table3[[#This Row],[Date]],'DB LEI'!$A:$I,9))</f>
        <v/>
      </c>
      <c r="E364" s="2">
        <f>VLOOKUP(Table3[[#This Row],[Date]],'DB LEI'!$A:$F,4)</f>
        <v/>
      </c>
      <c r="F364" s="4">
        <f>(Table3[[#This Row],[UMSCI]]-E353)/E353</f>
        <v/>
      </c>
    </row>
    <row r="365">
      <c r="A365" s="6" t="n">
        <v>32356</v>
      </c>
      <c r="B365" s="2">
        <f>VLOOKUP(Table3[[#This Row],[Date]],'DB LEI'!$A:$F,2)</f>
        <v/>
      </c>
      <c r="C365" s="4">
        <f>(Table3[[#This Row],[Conference Board Leading Indicator]]-B353)/B353</f>
        <v/>
      </c>
      <c r="D365" s="3">
        <f>IF(VLOOKUP(Table3[[#This Row],[Date]],'DB LEI'!$A:$I,9)=0,"",VLOOKUP(Table3[[#This Row],[Date]],'DB LEI'!$A:$I,9))</f>
        <v/>
      </c>
      <c r="E365" s="2">
        <f>VLOOKUP(Table3[[#This Row],[Date]],'DB LEI'!$A:$F,4)</f>
        <v/>
      </c>
      <c r="F365" s="4">
        <f>(Table3[[#This Row],[UMSCI]]-E354)/E354</f>
        <v/>
      </c>
    </row>
    <row r="366">
      <c r="A366" s="6" t="n">
        <v>32387</v>
      </c>
      <c r="B366" s="2">
        <f>VLOOKUP(Table3[[#This Row],[Date]],'DB LEI'!$A:$F,2)</f>
        <v/>
      </c>
      <c r="C366" s="4">
        <f>(Table3[[#This Row],[Conference Board Leading Indicator]]-B354)/B354</f>
        <v/>
      </c>
      <c r="D366" s="3">
        <f>IF(VLOOKUP(Table3[[#This Row],[Date]],'DB LEI'!$A:$I,9)=0,"",VLOOKUP(Table3[[#This Row],[Date]],'DB LEI'!$A:$I,9))</f>
        <v/>
      </c>
      <c r="E366" s="2">
        <f>VLOOKUP(Table3[[#This Row],[Date]],'DB LEI'!$A:$F,4)</f>
        <v/>
      </c>
      <c r="F366" s="4">
        <f>(Table3[[#This Row],[UMSCI]]-E355)/E355</f>
        <v/>
      </c>
    </row>
    <row r="367">
      <c r="A367" s="6" t="n">
        <v>32417</v>
      </c>
      <c r="B367" s="2">
        <f>VLOOKUP(Table3[[#This Row],[Date]],'DB LEI'!$A:$F,2)</f>
        <v/>
      </c>
      <c r="C367" s="4">
        <f>(Table3[[#This Row],[Conference Board Leading Indicator]]-B355)/B355</f>
        <v/>
      </c>
      <c r="D367" s="3">
        <f>IF(VLOOKUP(Table3[[#This Row],[Date]],'DB LEI'!$A:$I,9)=0,"",VLOOKUP(Table3[[#This Row],[Date]],'DB LEI'!$A:$I,9))</f>
        <v/>
      </c>
      <c r="E367" s="2">
        <f>VLOOKUP(Table3[[#This Row],[Date]],'DB LEI'!$A:$F,4)</f>
        <v/>
      </c>
      <c r="F367" s="4">
        <f>(Table3[[#This Row],[UMSCI]]-E356)/E356</f>
        <v/>
      </c>
    </row>
    <row r="368">
      <c r="A368" s="6" t="n">
        <v>32448</v>
      </c>
      <c r="B368" s="2">
        <f>VLOOKUP(Table3[[#This Row],[Date]],'DB LEI'!$A:$F,2)</f>
        <v/>
      </c>
      <c r="C368" s="4">
        <f>(Table3[[#This Row],[Conference Board Leading Indicator]]-B356)/B356</f>
        <v/>
      </c>
      <c r="D368" s="3">
        <f>IF(VLOOKUP(Table3[[#This Row],[Date]],'DB LEI'!$A:$I,9)=0,"",VLOOKUP(Table3[[#This Row],[Date]],'DB LEI'!$A:$I,9))</f>
        <v/>
      </c>
      <c r="E368" s="2">
        <f>VLOOKUP(Table3[[#This Row],[Date]],'DB LEI'!$A:$F,4)</f>
        <v/>
      </c>
      <c r="F368" s="4">
        <f>(Table3[[#This Row],[UMSCI]]-E357)/E357</f>
        <v/>
      </c>
    </row>
    <row r="369">
      <c r="A369" s="6" t="n">
        <v>32478</v>
      </c>
      <c r="B369" s="2">
        <f>VLOOKUP(Table3[[#This Row],[Date]],'DB LEI'!$A:$F,2)</f>
        <v/>
      </c>
      <c r="C369" s="4">
        <f>(Table3[[#This Row],[Conference Board Leading Indicator]]-B357)/B357</f>
        <v/>
      </c>
      <c r="D369" s="3">
        <f>IF(VLOOKUP(Table3[[#This Row],[Date]],'DB LEI'!$A:$I,9)=0,"",VLOOKUP(Table3[[#This Row],[Date]],'DB LEI'!$A:$I,9))</f>
        <v/>
      </c>
      <c r="E369" s="2">
        <f>VLOOKUP(Table3[[#This Row],[Date]],'DB LEI'!$A:$F,4)</f>
        <v/>
      </c>
      <c r="F369" s="4">
        <f>(Table3[[#This Row],[UMSCI]]-E358)/E358</f>
        <v/>
      </c>
    </row>
    <row r="370">
      <c r="A370" s="6" t="n">
        <v>32509</v>
      </c>
      <c r="B370" s="2">
        <f>VLOOKUP(Table3[[#This Row],[Date]],'DB LEI'!$A:$F,2)</f>
        <v/>
      </c>
      <c r="C370" s="4">
        <f>(Table3[[#This Row],[Conference Board Leading Indicator]]-B358)/B358</f>
        <v/>
      </c>
      <c r="D370" s="3">
        <f>IF(VLOOKUP(Table3[[#This Row],[Date]],'DB LEI'!$A:$I,9)=0,"",VLOOKUP(Table3[[#This Row],[Date]],'DB LEI'!$A:$I,9))</f>
        <v/>
      </c>
      <c r="E370" s="2">
        <f>VLOOKUP(Table3[[#This Row],[Date]],'DB LEI'!$A:$F,4)</f>
        <v/>
      </c>
      <c r="F370" s="4">
        <f>(Table3[[#This Row],[UMSCI]]-E359)/E359</f>
        <v/>
      </c>
    </row>
    <row r="371">
      <c r="A371" s="6" t="n">
        <v>32540</v>
      </c>
      <c r="B371" s="2">
        <f>VLOOKUP(Table3[[#This Row],[Date]],'DB LEI'!$A:$F,2)</f>
        <v/>
      </c>
      <c r="C371" s="4">
        <f>(Table3[[#This Row],[Conference Board Leading Indicator]]-B359)/B359</f>
        <v/>
      </c>
      <c r="D371" s="3">
        <f>IF(VLOOKUP(Table3[[#This Row],[Date]],'DB LEI'!$A:$I,9)=0,"",VLOOKUP(Table3[[#This Row],[Date]],'DB LEI'!$A:$I,9))</f>
        <v/>
      </c>
      <c r="E371" s="2">
        <f>VLOOKUP(Table3[[#This Row],[Date]],'DB LEI'!$A:$F,4)</f>
        <v/>
      </c>
      <c r="F371" s="4">
        <f>(Table3[[#This Row],[UMSCI]]-E360)/E360</f>
        <v/>
      </c>
    </row>
    <row r="372">
      <c r="A372" s="6" t="n">
        <v>32568</v>
      </c>
      <c r="B372" s="2">
        <f>VLOOKUP(Table3[[#This Row],[Date]],'DB LEI'!$A:$F,2)</f>
        <v/>
      </c>
      <c r="C372" s="4">
        <f>(Table3[[#This Row],[Conference Board Leading Indicator]]-B360)/B360</f>
        <v/>
      </c>
      <c r="D372" s="3">
        <f>IF(VLOOKUP(Table3[[#This Row],[Date]],'DB LEI'!$A:$I,9)=0,"",VLOOKUP(Table3[[#This Row],[Date]],'DB LEI'!$A:$I,9))</f>
        <v/>
      </c>
      <c r="E372" s="2">
        <f>VLOOKUP(Table3[[#This Row],[Date]],'DB LEI'!$A:$F,4)</f>
        <v/>
      </c>
      <c r="F372" s="4">
        <f>(Table3[[#This Row],[UMSCI]]-E361)/E361</f>
        <v/>
      </c>
    </row>
    <row r="373">
      <c r="A373" s="6" t="n">
        <v>32599</v>
      </c>
      <c r="B373" s="2">
        <f>VLOOKUP(Table3[[#This Row],[Date]],'DB LEI'!$A:$F,2)</f>
        <v/>
      </c>
      <c r="C373" s="4">
        <f>(Table3[[#This Row],[Conference Board Leading Indicator]]-B361)/B361</f>
        <v/>
      </c>
      <c r="D373" s="3">
        <f>IF(VLOOKUP(Table3[[#This Row],[Date]],'DB LEI'!$A:$I,9)=0,"",VLOOKUP(Table3[[#This Row],[Date]],'DB LEI'!$A:$I,9))</f>
        <v/>
      </c>
      <c r="E373" s="2">
        <f>VLOOKUP(Table3[[#This Row],[Date]],'DB LEI'!$A:$F,4)</f>
        <v/>
      </c>
      <c r="F373" s="4">
        <f>(Table3[[#This Row],[UMSCI]]-E362)/E362</f>
        <v/>
      </c>
    </row>
    <row r="374">
      <c r="A374" s="6" t="n">
        <v>32629</v>
      </c>
      <c r="B374" s="2">
        <f>VLOOKUP(Table3[[#This Row],[Date]],'DB LEI'!$A:$F,2)</f>
        <v/>
      </c>
      <c r="C374" s="4">
        <f>(Table3[[#This Row],[Conference Board Leading Indicator]]-B362)/B362</f>
        <v/>
      </c>
      <c r="D374" s="3">
        <f>IF(VLOOKUP(Table3[[#This Row],[Date]],'DB LEI'!$A:$I,9)=0,"",VLOOKUP(Table3[[#This Row],[Date]],'DB LEI'!$A:$I,9))</f>
        <v/>
      </c>
      <c r="E374" s="2">
        <f>VLOOKUP(Table3[[#This Row],[Date]],'DB LEI'!$A:$F,4)</f>
        <v/>
      </c>
      <c r="F374" s="4">
        <f>(Table3[[#This Row],[UMSCI]]-E363)/E363</f>
        <v/>
      </c>
    </row>
    <row r="375">
      <c r="A375" s="6" t="n">
        <v>32660</v>
      </c>
      <c r="B375" s="2">
        <f>VLOOKUP(Table3[[#This Row],[Date]],'DB LEI'!$A:$F,2)</f>
        <v/>
      </c>
      <c r="C375" s="4">
        <f>(Table3[[#This Row],[Conference Board Leading Indicator]]-B363)/B363</f>
        <v/>
      </c>
      <c r="D375" s="3">
        <f>IF(VLOOKUP(Table3[[#This Row],[Date]],'DB LEI'!$A:$I,9)=0,"",VLOOKUP(Table3[[#This Row],[Date]],'DB LEI'!$A:$I,9))</f>
        <v/>
      </c>
      <c r="E375" s="2">
        <f>VLOOKUP(Table3[[#This Row],[Date]],'DB LEI'!$A:$F,4)</f>
        <v/>
      </c>
      <c r="F375" s="4">
        <f>(Table3[[#This Row],[UMSCI]]-E364)/E364</f>
        <v/>
      </c>
    </row>
    <row r="376">
      <c r="A376" s="6" t="n">
        <v>32690</v>
      </c>
      <c r="B376" s="2">
        <f>VLOOKUP(Table3[[#This Row],[Date]],'DB LEI'!$A:$F,2)</f>
        <v/>
      </c>
      <c r="C376" s="4">
        <f>(Table3[[#This Row],[Conference Board Leading Indicator]]-B364)/B364</f>
        <v/>
      </c>
      <c r="D376" s="3">
        <f>IF(VLOOKUP(Table3[[#This Row],[Date]],'DB LEI'!$A:$I,9)=0,"",VLOOKUP(Table3[[#This Row],[Date]],'DB LEI'!$A:$I,9))</f>
        <v/>
      </c>
      <c r="E376" s="2">
        <f>VLOOKUP(Table3[[#This Row],[Date]],'DB LEI'!$A:$F,4)</f>
        <v/>
      </c>
      <c r="F376" s="4">
        <f>(Table3[[#This Row],[UMSCI]]-E365)/E365</f>
        <v/>
      </c>
    </row>
    <row r="377">
      <c r="A377" s="6" t="n">
        <v>32721</v>
      </c>
      <c r="B377" s="2">
        <f>VLOOKUP(Table3[[#This Row],[Date]],'DB LEI'!$A:$F,2)</f>
        <v/>
      </c>
      <c r="C377" s="4">
        <f>(Table3[[#This Row],[Conference Board Leading Indicator]]-B365)/B365</f>
        <v/>
      </c>
      <c r="D377" s="3">
        <f>IF(VLOOKUP(Table3[[#This Row],[Date]],'DB LEI'!$A:$I,9)=0,"",VLOOKUP(Table3[[#This Row],[Date]],'DB LEI'!$A:$I,9))</f>
        <v/>
      </c>
      <c r="E377" s="2">
        <f>VLOOKUP(Table3[[#This Row],[Date]],'DB LEI'!$A:$F,4)</f>
        <v/>
      </c>
      <c r="F377" s="4">
        <f>(Table3[[#This Row],[UMSCI]]-E366)/E366</f>
        <v/>
      </c>
    </row>
    <row r="378">
      <c r="A378" s="6" t="n">
        <v>32752</v>
      </c>
      <c r="B378" s="2">
        <f>VLOOKUP(Table3[[#This Row],[Date]],'DB LEI'!$A:$F,2)</f>
        <v/>
      </c>
      <c r="C378" s="4">
        <f>(Table3[[#This Row],[Conference Board Leading Indicator]]-B366)/B366</f>
        <v/>
      </c>
      <c r="D378" s="3">
        <f>IF(VLOOKUP(Table3[[#This Row],[Date]],'DB LEI'!$A:$I,9)=0,"",VLOOKUP(Table3[[#This Row],[Date]],'DB LEI'!$A:$I,9))</f>
        <v/>
      </c>
      <c r="E378" s="2">
        <f>VLOOKUP(Table3[[#This Row],[Date]],'DB LEI'!$A:$F,4)</f>
        <v/>
      </c>
      <c r="F378" s="4">
        <f>(Table3[[#This Row],[UMSCI]]-E367)/E367</f>
        <v/>
      </c>
    </row>
    <row r="379">
      <c r="A379" s="6" t="n">
        <v>32782</v>
      </c>
      <c r="B379" s="2">
        <f>VLOOKUP(Table3[[#This Row],[Date]],'DB LEI'!$A:$F,2)</f>
        <v/>
      </c>
      <c r="C379" s="4">
        <f>(Table3[[#This Row],[Conference Board Leading Indicator]]-B367)/B367</f>
        <v/>
      </c>
      <c r="D379" s="3">
        <f>IF(VLOOKUP(Table3[[#This Row],[Date]],'DB LEI'!$A:$I,9)=0,"",VLOOKUP(Table3[[#This Row],[Date]],'DB LEI'!$A:$I,9))</f>
        <v/>
      </c>
      <c r="E379" s="2">
        <f>VLOOKUP(Table3[[#This Row],[Date]],'DB LEI'!$A:$F,4)</f>
        <v/>
      </c>
      <c r="F379" s="4">
        <f>(Table3[[#This Row],[UMSCI]]-E368)/E368</f>
        <v/>
      </c>
    </row>
    <row r="380">
      <c r="A380" s="6" t="n">
        <v>32813</v>
      </c>
      <c r="B380" s="2">
        <f>VLOOKUP(Table3[[#This Row],[Date]],'DB LEI'!$A:$F,2)</f>
        <v/>
      </c>
      <c r="C380" s="4">
        <f>(Table3[[#This Row],[Conference Board Leading Indicator]]-B368)/B368</f>
        <v/>
      </c>
      <c r="D380" s="3">
        <f>IF(VLOOKUP(Table3[[#This Row],[Date]],'DB LEI'!$A:$I,9)=0,"",VLOOKUP(Table3[[#This Row],[Date]],'DB LEI'!$A:$I,9))</f>
        <v/>
      </c>
      <c r="E380" s="2">
        <f>VLOOKUP(Table3[[#This Row],[Date]],'DB LEI'!$A:$F,4)</f>
        <v/>
      </c>
      <c r="F380" s="4">
        <f>(Table3[[#This Row],[UMSCI]]-E369)/E369</f>
        <v/>
      </c>
    </row>
    <row r="381">
      <c r="A381" s="6" t="n">
        <v>32843</v>
      </c>
      <c r="B381" s="2">
        <f>VLOOKUP(Table3[[#This Row],[Date]],'DB LEI'!$A:$F,2)</f>
        <v/>
      </c>
      <c r="C381" s="4">
        <f>(Table3[[#This Row],[Conference Board Leading Indicator]]-B369)/B369</f>
        <v/>
      </c>
      <c r="D381" s="3">
        <f>IF(VLOOKUP(Table3[[#This Row],[Date]],'DB LEI'!$A:$I,9)=0,"",VLOOKUP(Table3[[#This Row],[Date]],'DB LEI'!$A:$I,9))</f>
        <v/>
      </c>
      <c r="E381" s="2">
        <f>VLOOKUP(Table3[[#This Row],[Date]],'DB LEI'!$A:$F,4)</f>
        <v/>
      </c>
      <c r="F381" s="4">
        <f>(Table3[[#This Row],[UMSCI]]-E370)/E370</f>
        <v/>
      </c>
    </row>
    <row r="382">
      <c r="A382" s="6" t="n">
        <v>32874</v>
      </c>
      <c r="B382" s="2">
        <f>VLOOKUP(Table3[[#This Row],[Date]],'DB LEI'!$A:$F,2)</f>
        <v/>
      </c>
      <c r="C382" s="4">
        <f>(Table3[[#This Row],[Conference Board Leading Indicator]]-B370)/B370</f>
        <v/>
      </c>
      <c r="D382" s="3">
        <f>IF(VLOOKUP(Table3[[#This Row],[Date]],'DB LEI'!$A:$I,9)=0,"",VLOOKUP(Table3[[#This Row],[Date]],'DB LEI'!$A:$I,9))</f>
        <v/>
      </c>
      <c r="E382" s="2">
        <f>VLOOKUP(Table3[[#This Row],[Date]],'DB LEI'!$A:$F,4)</f>
        <v/>
      </c>
      <c r="F382" s="4">
        <f>(Table3[[#This Row],[UMSCI]]-E371)/E371</f>
        <v/>
      </c>
    </row>
    <row r="383">
      <c r="A383" s="6" t="n">
        <v>32905</v>
      </c>
      <c r="B383" s="2">
        <f>VLOOKUP(Table3[[#This Row],[Date]],'DB LEI'!$A:$F,2)</f>
        <v/>
      </c>
      <c r="C383" s="4">
        <f>(Table3[[#This Row],[Conference Board Leading Indicator]]-B371)/B371</f>
        <v/>
      </c>
      <c r="D383" s="3">
        <f>IF(VLOOKUP(Table3[[#This Row],[Date]],'DB LEI'!$A:$I,9)=0,"",VLOOKUP(Table3[[#This Row],[Date]],'DB LEI'!$A:$I,9))</f>
        <v/>
      </c>
      <c r="E383" s="2">
        <f>VLOOKUP(Table3[[#This Row],[Date]],'DB LEI'!$A:$F,4)</f>
        <v/>
      </c>
      <c r="F383" s="4">
        <f>(Table3[[#This Row],[UMSCI]]-E372)/E372</f>
        <v/>
      </c>
    </row>
    <row r="384">
      <c r="A384" s="6" t="n">
        <v>32933</v>
      </c>
      <c r="B384" s="2">
        <f>VLOOKUP(Table3[[#This Row],[Date]],'DB LEI'!$A:$F,2)</f>
        <v/>
      </c>
      <c r="C384" s="4">
        <f>(Table3[[#This Row],[Conference Board Leading Indicator]]-B372)/B372</f>
        <v/>
      </c>
      <c r="D384" s="3">
        <f>IF(VLOOKUP(Table3[[#This Row],[Date]],'DB LEI'!$A:$I,9)=0,"",VLOOKUP(Table3[[#This Row],[Date]],'DB LEI'!$A:$I,9))</f>
        <v/>
      </c>
      <c r="E384" s="2">
        <f>VLOOKUP(Table3[[#This Row],[Date]],'DB LEI'!$A:$F,4)</f>
        <v/>
      </c>
      <c r="F384" s="4">
        <f>(Table3[[#This Row],[UMSCI]]-E373)/E373</f>
        <v/>
      </c>
    </row>
    <row r="385">
      <c r="A385" s="6" t="n">
        <v>32964</v>
      </c>
      <c r="B385" s="2">
        <f>VLOOKUP(Table3[[#This Row],[Date]],'DB LEI'!$A:$F,2)</f>
        <v/>
      </c>
      <c r="C385" s="4">
        <f>(Table3[[#This Row],[Conference Board Leading Indicator]]-B373)/B373</f>
        <v/>
      </c>
      <c r="D385" s="3">
        <f>IF(VLOOKUP(Table3[[#This Row],[Date]],'DB LEI'!$A:$I,9)=0,"",VLOOKUP(Table3[[#This Row],[Date]],'DB LEI'!$A:$I,9))</f>
        <v/>
      </c>
      <c r="E385" s="2">
        <f>VLOOKUP(Table3[[#This Row],[Date]],'DB LEI'!$A:$F,4)</f>
        <v/>
      </c>
      <c r="F385" s="4">
        <f>(Table3[[#This Row],[UMSCI]]-E374)/E374</f>
        <v/>
      </c>
    </row>
    <row r="386">
      <c r="A386" s="6" t="n">
        <v>32994</v>
      </c>
      <c r="B386" s="2">
        <f>VLOOKUP(Table3[[#This Row],[Date]],'DB LEI'!$A:$F,2)</f>
        <v/>
      </c>
      <c r="C386" s="4">
        <f>(Table3[[#This Row],[Conference Board Leading Indicator]]-B374)/B374</f>
        <v/>
      </c>
      <c r="D386" s="3">
        <f>IF(VLOOKUP(Table3[[#This Row],[Date]],'DB LEI'!$A:$I,9)=0,"",VLOOKUP(Table3[[#This Row],[Date]],'DB LEI'!$A:$I,9))</f>
        <v/>
      </c>
      <c r="E386" s="2">
        <f>VLOOKUP(Table3[[#This Row],[Date]],'DB LEI'!$A:$F,4)</f>
        <v/>
      </c>
      <c r="F386" s="4">
        <f>(Table3[[#This Row],[UMSCI]]-E375)/E375</f>
        <v/>
      </c>
    </row>
    <row r="387">
      <c r="A387" s="6" t="n">
        <v>33025</v>
      </c>
      <c r="B387" s="2">
        <f>VLOOKUP(Table3[[#This Row],[Date]],'DB LEI'!$A:$F,2)</f>
        <v/>
      </c>
      <c r="C387" s="4">
        <f>(Table3[[#This Row],[Conference Board Leading Indicator]]-B375)/B375</f>
        <v/>
      </c>
      <c r="D387" s="3">
        <f>IF(VLOOKUP(Table3[[#This Row],[Date]],'DB LEI'!$A:$I,9)=0,"",VLOOKUP(Table3[[#This Row],[Date]],'DB LEI'!$A:$I,9))</f>
        <v/>
      </c>
      <c r="E387" s="2">
        <f>VLOOKUP(Table3[[#This Row],[Date]],'DB LEI'!$A:$F,4)</f>
        <v/>
      </c>
      <c r="F387" s="4">
        <f>(Table3[[#This Row],[UMSCI]]-E376)/E376</f>
        <v/>
      </c>
    </row>
    <row r="388">
      <c r="A388" s="6" t="n">
        <v>33055</v>
      </c>
      <c r="B388" s="2">
        <f>VLOOKUP(Table3[[#This Row],[Date]],'DB LEI'!$A:$F,2)</f>
        <v/>
      </c>
      <c r="C388" s="4">
        <f>(Table3[[#This Row],[Conference Board Leading Indicator]]-B376)/B376</f>
        <v/>
      </c>
      <c r="D388" s="3">
        <f>IF(VLOOKUP(Table3[[#This Row],[Date]],'DB LEI'!$A:$I,9)=0,"",VLOOKUP(Table3[[#This Row],[Date]],'DB LEI'!$A:$I,9))</f>
        <v/>
      </c>
      <c r="E388" s="2">
        <f>VLOOKUP(Table3[[#This Row],[Date]],'DB LEI'!$A:$F,4)</f>
        <v/>
      </c>
      <c r="F388" s="4">
        <f>(Table3[[#This Row],[UMSCI]]-E377)/E377</f>
        <v/>
      </c>
    </row>
    <row r="389">
      <c r="A389" s="6" t="n">
        <v>33086</v>
      </c>
      <c r="B389" s="2">
        <f>VLOOKUP(Table3[[#This Row],[Date]],'DB LEI'!$A:$F,2)</f>
        <v/>
      </c>
      <c r="C389" s="4">
        <f>(Table3[[#This Row],[Conference Board Leading Indicator]]-B377)/B377</f>
        <v/>
      </c>
      <c r="D389" s="3">
        <f>IF(VLOOKUP(Table3[[#This Row],[Date]],'DB LEI'!$A:$I,9)=0,"",VLOOKUP(Table3[[#This Row],[Date]],'DB LEI'!$A:$I,9))</f>
        <v/>
      </c>
      <c r="E389" s="2">
        <f>VLOOKUP(Table3[[#This Row],[Date]],'DB LEI'!$A:$F,4)</f>
        <v/>
      </c>
      <c r="F389" s="4">
        <f>(Table3[[#This Row],[UMSCI]]-E378)/E378</f>
        <v/>
      </c>
    </row>
    <row r="390">
      <c r="A390" s="6" t="n">
        <v>33117</v>
      </c>
      <c r="B390" s="2">
        <f>VLOOKUP(Table3[[#This Row],[Date]],'DB LEI'!$A:$F,2)</f>
        <v/>
      </c>
      <c r="C390" s="4">
        <f>(Table3[[#This Row],[Conference Board Leading Indicator]]-B378)/B378</f>
        <v/>
      </c>
      <c r="D390" s="3">
        <f>IF(VLOOKUP(Table3[[#This Row],[Date]],'DB LEI'!$A:$I,9)=0,"",VLOOKUP(Table3[[#This Row],[Date]],'DB LEI'!$A:$I,9))</f>
        <v/>
      </c>
      <c r="E390" s="2">
        <f>VLOOKUP(Table3[[#This Row],[Date]],'DB LEI'!$A:$F,4)</f>
        <v/>
      </c>
      <c r="F390" s="4">
        <f>(Table3[[#This Row],[UMSCI]]-E379)/E379</f>
        <v/>
      </c>
    </row>
    <row r="391">
      <c r="A391" s="6" t="n">
        <v>33147</v>
      </c>
      <c r="B391" s="2">
        <f>VLOOKUP(Table3[[#This Row],[Date]],'DB LEI'!$A:$F,2)</f>
        <v/>
      </c>
      <c r="C391" s="4">
        <f>(Table3[[#This Row],[Conference Board Leading Indicator]]-B379)/B379</f>
        <v/>
      </c>
      <c r="D391" s="3">
        <f>IF(VLOOKUP(Table3[[#This Row],[Date]],'DB LEI'!$A:$I,9)=0,"",VLOOKUP(Table3[[#This Row],[Date]],'DB LEI'!$A:$I,9))</f>
        <v/>
      </c>
      <c r="E391" s="2">
        <f>VLOOKUP(Table3[[#This Row],[Date]],'DB LEI'!$A:$F,4)</f>
        <v/>
      </c>
      <c r="F391" s="4">
        <f>(Table3[[#This Row],[UMSCI]]-E380)/E380</f>
        <v/>
      </c>
    </row>
    <row r="392">
      <c r="A392" s="6" t="n">
        <v>33178</v>
      </c>
      <c r="B392" s="2">
        <f>VLOOKUP(Table3[[#This Row],[Date]],'DB LEI'!$A:$F,2)</f>
        <v/>
      </c>
      <c r="C392" s="4">
        <f>(Table3[[#This Row],[Conference Board Leading Indicator]]-B380)/B380</f>
        <v/>
      </c>
      <c r="D392" s="3">
        <f>IF(VLOOKUP(Table3[[#This Row],[Date]],'DB LEI'!$A:$I,9)=0,"",VLOOKUP(Table3[[#This Row],[Date]],'DB LEI'!$A:$I,9))</f>
        <v/>
      </c>
      <c r="E392" s="2">
        <f>VLOOKUP(Table3[[#This Row],[Date]],'DB LEI'!$A:$F,4)</f>
        <v/>
      </c>
      <c r="F392" s="4">
        <f>(Table3[[#This Row],[UMSCI]]-E381)/E381</f>
        <v/>
      </c>
    </row>
    <row r="393">
      <c r="A393" s="6" t="n">
        <v>33208</v>
      </c>
      <c r="B393" s="2">
        <f>VLOOKUP(Table3[[#This Row],[Date]],'DB LEI'!$A:$F,2)</f>
        <v/>
      </c>
      <c r="C393" s="4">
        <f>(Table3[[#This Row],[Conference Board Leading Indicator]]-B381)/B381</f>
        <v/>
      </c>
      <c r="D393" s="3">
        <f>IF(VLOOKUP(Table3[[#This Row],[Date]],'DB LEI'!$A:$I,9)=0,"",VLOOKUP(Table3[[#This Row],[Date]],'DB LEI'!$A:$I,9))</f>
        <v/>
      </c>
      <c r="E393" s="2">
        <f>VLOOKUP(Table3[[#This Row],[Date]],'DB LEI'!$A:$F,4)</f>
        <v/>
      </c>
      <c r="F393" s="4">
        <f>(Table3[[#This Row],[UMSCI]]-E382)/E382</f>
        <v/>
      </c>
    </row>
    <row r="394">
      <c r="A394" s="6" t="n">
        <v>33239</v>
      </c>
      <c r="B394" s="2">
        <f>VLOOKUP(Table3[[#This Row],[Date]],'DB LEI'!$A:$F,2)</f>
        <v/>
      </c>
      <c r="C394" s="4">
        <f>(Table3[[#This Row],[Conference Board Leading Indicator]]-B382)/B382</f>
        <v/>
      </c>
      <c r="D394" s="3">
        <f>IF(VLOOKUP(Table3[[#This Row],[Date]],'DB LEI'!$A:$I,9)=0,"",VLOOKUP(Table3[[#This Row],[Date]],'DB LEI'!$A:$I,9))</f>
        <v/>
      </c>
      <c r="E394" s="2">
        <f>VLOOKUP(Table3[[#This Row],[Date]],'DB LEI'!$A:$F,4)</f>
        <v/>
      </c>
      <c r="F394" s="4">
        <f>(Table3[[#This Row],[UMSCI]]-E383)/E383</f>
        <v/>
      </c>
    </row>
    <row r="395">
      <c r="A395" s="6" t="n">
        <v>33270</v>
      </c>
      <c r="B395" s="2">
        <f>VLOOKUP(Table3[[#This Row],[Date]],'DB LEI'!$A:$F,2)</f>
        <v/>
      </c>
      <c r="C395" s="4">
        <f>(Table3[[#This Row],[Conference Board Leading Indicator]]-B383)/B383</f>
        <v/>
      </c>
      <c r="D395" s="3">
        <f>IF(VLOOKUP(Table3[[#This Row],[Date]],'DB LEI'!$A:$I,9)=0,"",VLOOKUP(Table3[[#This Row],[Date]],'DB LEI'!$A:$I,9))</f>
        <v/>
      </c>
      <c r="E395" s="2">
        <f>VLOOKUP(Table3[[#This Row],[Date]],'DB LEI'!$A:$F,4)</f>
        <v/>
      </c>
      <c r="F395" s="4">
        <f>(Table3[[#This Row],[UMSCI]]-E384)/E384</f>
        <v/>
      </c>
    </row>
    <row r="396">
      <c r="A396" s="6" t="n">
        <v>33298</v>
      </c>
      <c r="B396" s="2">
        <f>VLOOKUP(Table3[[#This Row],[Date]],'DB LEI'!$A:$F,2)</f>
        <v/>
      </c>
      <c r="C396" s="4">
        <f>(Table3[[#This Row],[Conference Board Leading Indicator]]-B384)/B384</f>
        <v/>
      </c>
      <c r="D396" s="3">
        <f>IF(VLOOKUP(Table3[[#This Row],[Date]],'DB LEI'!$A:$I,9)=0,"",VLOOKUP(Table3[[#This Row],[Date]],'DB LEI'!$A:$I,9))</f>
        <v/>
      </c>
      <c r="E396" s="2">
        <f>VLOOKUP(Table3[[#This Row],[Date]],'DB LEI'!$A:$F,4)</f>
        <v/>
      </c>
      <c r="F396" s="4">
        <f>(Table3[[#This Row],[UMSCI]]-E385)/E385</f>
        <v/>
      </c>
    </row>
    <row r="397">
      <c r="A397" s="6" t="n">
        <v>33329</v>
      </c>
      <c r="B397" s="2">
        <f>VLOOKUP(Table3[[#This Row],[Date]],'DB LEI'!$A:$F,2)</f>
        <v/>
      </c>
      <c r="C397" s="4">
        <f>(Table3[[#This Row],[Conference Board Leading Indicator]]-B385)/B385</f>
        <v/>
      </c>
      <c r="D397" s="3">
        <f>IF(VLOOKUP(Table3[[#This Row],[Date]],'DB LEI'!$A:$I,9)=0,"",VLOOKUP(Table3[[#This Row],[Date]],'DB LEI'!$A:$I,9))</f>
        <v/>
      </c>
      <c r="E397" s="2">
        <f>VLOOKUP(Table3[[#This Row],[Date]],'DB LEI'!$A:$F,4)</f>
        <v/>
      </c>
      <c r="F397" s="4">
        <f>(Table3[[#This Row],[UMSCI]]-E386)/E386</f>
        <v/>
      </c>
    </row>
    <row r="398">
      <c r="A398" s="6" t="n">
        <v>33359</v>
      </c>
      <c r="B398" s="2">
        <f>VLOOKUP(Table3[[#This Row],[Date]],'DB LEI'!$A:$F,2)</f>
        <v/>
      </c>
      <c r="C398" s="4">
        <f>(Table3[[#This Row],[Conference Board Leading Indicator]]-B386)/B386</f>
        <v/>
      </c>
      <c r="D398" s="3">
        <f>IF(VLOOKUP(Table3[[#This Row],[Date]],'DB LEI'!$A:$I,9)=0,"",VLOOKUP(Table3[[#This Row],[Date]],'DB LEI'!$A:$I,9))</f>
        <v/>
      </c>
      <c r="E398" s="2">
        <f>VLOOKUP(Table3[[#This Row],[Date]],'DB LEI'!$A:$F,4)</f>
        <v/>
      </c>
      <c r="F398" s="4">
        <f>(Table3[[#This Row],[UMSCI]]-E387)/E387</f>
        <v/>
      </c>
    </row>
    <row r="399">
      <c r="A399" s="6" t="n">
        <v>33390</v>
      </c>
      <c r="B399" s="2">
        <f>VLOOKUP(Table3[[#This Row],[Date]],'DB LEI'!$A:$F,2)</f>
        <v/>
      </c>
      <c r="C399" s="4">
        <f>(Table3[[#This Row],[Conference Board Leading Indicator]]-B387)/B387</f>
        <v/>
      </c>
      <c r="D399" s="3">
        <f>IF(VLOOKUP(Table3[[#This Row],[Date]],'DB LEI'!$A:$I,9)=0,"",VLOOKUP(Table3[[#This Row],[Date]],'DB LEI'!$A:$I,9))</f>
        <v/>
      </c>
      <c r="E399" s="2">
        <f>VLOOKUP(Table3[[#This Row],[Date]],'DB LEI'!$A:$F,4)</f>
        <v/>
      </c>
      <c r="F399" s="4">
        <f>(Table3[[#This Row],[UMSCI]]-E388)/E388</f>
        <v/>
      </c>
    </row>
    <row r="400">
      <c r="A400" s="6" t="n">
        <v>33420</v>
      </c>
      <c r="B400" s="2">
        <f>VLOOKUP(Table3[[#This Row],[Date]],'DB LEI'!$A:$F,2)</f>
        <v/>
      </c>
      <c r="C400" s="4">
        <f>(Table3[[#This Row],[Conference Board Leading Indicator]]-B388)/B388</f>
        <v/>
      </c>
      <c r="D400" s="3">
        <f>IF(VLOOKUP(Table3[[#This Row],[Date]],'DB LEI'!$A:$I,9)=0,"",VLOOKUP(Table3[[#This Row],[Date]],'DB LEI'!$A:$I,9))</f>
        <v/>
      </c>
      <c r="E400" s="2">
        <f>VLOOKUP(Table3[[#This Row],[Date]],'DB LEI'!$A:$F,4)</f>
        <v/>
      </c>
      <c r="F400" s="4">
        <f>(Table3[[#This Row],[UMSCI]]-E389)/E389</f>
        <v/>
      </c>
    </row>
    <row r="401">
      <c r="A401" s="6" t="n">
        <v>33451</v>
      </c>
      <c r="B401" s="2">
        <f>VLOOKUP(Table3[[#This Row],[Date]],'DB LEI'!$A:$F,2)</f>
        <v/>
      </c>
      <c r="C401" s="4">
        <f>(Table3[[#This Row],[Conference Board Leading Indicator]]-B389)/B389</f>
        <v/>
      </c>
      <c r="D401" s="3">
        <f>IF(VLOOKUP(Table3[[#This Row],[Date]],'DB LEI'!$A:$I,9)=0,"",VLOOKUP(Table3[[#This Row],[Date]],'DB LEI'!$A:$I,9))</f>
        <v/>
      </c>
      <c r="E401" s="2">
        <f>VLOOKUP(Table3[[#This Row],[Date]],'DB LEI'!$A:$F,4)</f>
        <v/>
      </c>
      <c r="F401" s="4">
        <f>(Table3[[#This Row],[UMSCI]]-E390)/E390</f>
        <v/>
      </c>
    </row>
    <row r="402">
      <c r="A402" s="6" t="n">
        <v>33482</v>
      </c>
      <c r="B402" s="2">
        <f>VLOOKUP(Table3[[#This Row],[Date]],'DB LEI'!$A:$F,2)</f>
        <v/>
      </c>
      <c r="C402" s="4">
        <f>(Table3[[#This Row],[Conference Board Leading Indicator]]-B390)/B390</f>
        <v/>
      </c>
      <c r="D402" s="3">
        <f>IF(VLOOKUP(Table3[[#This Row],[Date]],'DB LEI'!$A:$I,9)=0,"",VLOOKUP(Table3[[#This Row],[Date]],'DB LEI'!$A:$I,9))</f>
        <v/>
      </c>
      <c r="E402" s="2">
        <f>VLOOKUP(Table3[[#This Row],[Date]],'DB LEI'!$A:$F,4)</f>
        <v/>
      </c>
      <c r="F402" s="4">
        <f>(Table3[[#This Row],[UMSCI]]-E391)/E391</f>
        <v/>
      </c>
    </row>
    <row r="403">
      <c r="A403" s="6" t="n">
        <v>33512</v>
      </c>
      <c r="B403" s="2">
        <f>VLOOKUP(Table3[[#This Row],[Date]],'DB LEI'!$A:$F,2)</f>
        <v/>
      </c>
      <c r="C403" s="4">
        <f>(Table3[[#This Row],[Conference Board Leading Indicator]]-B391)/B391</f>
        <v/>
      </c>
      <c r="D403" s="3">
        <f>IF(VLOOKUP(Table3[[#This Row],[Date]],'DB LEI'!$A:$I,9)=0,"",VLOOKUP(Table3[[#This Row],[Date]],'DB LEI'!$A:$I,9))</f>
        <v/>
      </c>
      <c r="E403" s="2">
        <f>VLOOKUP(Table3[[#This Row],[Date]],'DB LEI'!$A:$F,4)</f>
        <v/>
      </c>
      <c r="F403" s="4">
        <f>(Table3[[#This Row],[UMSCI]]-E392)/E392</f>
        <v/>
      </c>
    </row>
    <row r="404">
      <c r="A404" s="6" t="n">
        <v>33543</v>
      </c>
      <c r="B404" s="2">
        <f>VLOOKUP(Table3[[#This Row],[Date]],'DB LEI'!$A:$F,2)</f>
        <v/>
      </c>
      <c r="C404" s="4">
        <f>(Table3[[#This Row],[Conference Board Leading Indicator]]-B392)/B392</f>
        <v/>
      </c>
      <c r="D404" s="3">
        <f>IF(VLOOKUP(Table3[[#This Row],[Date]],'DB LEI'!$A:$I,9)=0,"",VLOOKUP(Table3[[#This Row],[Date]],'DB LEI'!$A:$I,9))</f>
        <v/>
      </c>
      <c r="E404" s="2">
        <f>VLOOKUP(Table3[[#This Row],[Date]],'DB LEI'!$A:$F,4)</f>
        <v/>
      </c>
      <c r="F404" s="4">
        <f>(Table3[[#This Row],[UMSCI]]-E393)/E393</f>
        <v/>
      </c>
    </row>
    <row r="405">
      <c r="A405" s="6" t="n">
        <v>33573</v>
      </c>
      <c r="B405" s="2">
        <f>VLOOKUP(Table3[[#This Row],[Date]],'DB LEI'!$A:$F,2)</f>
        <v/>
      </c>
      <c r="C405" s="4">
        <f>(Table3[[#This Row],[Conference Board Leading Indicator]]-B393)/B393</f>
        <v/>
      </c>
      <c r="D405" s="3">
        <f>IF(VLOOKUP(Table3[[#This Row],[Date]],'DB LEI'!$A:$I,9)=0,"",VLOOKUP(Table3[[#This Row],[Date]],'DB LEI'!$A:$I,9))</f>
        <v/>
      </c>
      <c r="E405" s="2">
        <f>VLOOKUP(Table3[[#This Row],[Date]],'DB LEI'!$A:$F,4)</f>
        <v/>
      </c>
      <c r="F405" s="4">
        <f>(Table3[[#This Row],[UMSCI]]-E394)/E394</f>
        <v/>
      </c>
    </row>
    <row r="406">
      <c r="A406" s="6" t="n">
        <v>33604</v>
      </c>
      <c r="B406" s="2">
        <f>VLOOKUP(Table3[[#This Row],[Date]],'DB LEI'!$A:$F,2)</f>
        <v/>
      </c>
      <c r="C406" s="4">
        <f>(Table3[[#This Row],[Conference Board Leading Indicator]]-B394)/B394</f>
        <v/>
      </c>
      <c r="D406" s="3">
        <f>IF(VLOOKUP(Table3[[#This Row],[Date]],'DB LEI'!$A:$I,9)=0,"",VLOOKUP(Table3[[#This Row],[Date]],'DB LEI'!$A:$I,9))</f>
        <v/>
      </c>
      <c r="E406" s="2">
        <f>VLOOKUP(Table3[[#This Row],[Date]],'DB LEI'!$A:$F,4)</f>
        <v/>
      </c>
      <c r="F406" s="4">
        <f>(Table3[[#This Row],[UMSCI]]-E395)/E395</f>
        <v/>
      </c>
    </row>
    <row r="407">
      <c r="A407" s="6" t="n">
        <v>33635</v>
      </c>
      <c r="B407" s="2">
        <f>VLOOKUP(Table3[[#This Row],[Date]],'DB LEI'!$A:$F,2)</f>
        <v/>
      </c>
      <c r="C407" s="4">
        <f>(Table3[[#This Row],[Conference Board Leading Indicator]]-B395)/B395</f>
        <v/>
      </c>
      <c r="D407" s="3">
        <f>IF(VLOOKUP(Table3[[#This Row],[Date]],'DB LEI'!$A:$I,9)=0,"",VLOOKUP(Table3[[#This Row],[Date]],'DB LEI'!$A:$I,9))</f>
        <v/>
      </c>
      <c r="E407" s="2">
        <f>VLOOKUP(Table3[[#This Row],[Date]],'DB LEI'!$A:$F,4)</f>
        <v/>
      </c>
      <c r="F407" s="4">
        <f>(Table3[[#This Row],[UMSCI]]-E396)/E396</f>
        <v/>
      </c>
    </row>
    <row r="408">
      <c r="A408" s="6" t="n">
        <v>33664</v>
      </c>
      <c r="B408" s="2">
        <f>VLOOKUP(Table3[[#This Row],[Date]],'DB LEI'!$A:$F,2)</f>
        <v/>
      </c>
      <c r="C408" s="4">
        <f>(Table3[[#This Row],[Conference Board Leading Indicator]]-B396)/B396</f>
        <v/>
      </c>
      <c r="D408" s="3">
        <f>IF(VLOOKUP(Table3[[#This Row],[Date]],'DB LEI'!$A:$I,9)=0,"",VLOOKUP(Table3[[#This Row],[Date]],'DB LEI'!$A:$I,9))</f>
        <v/>
      </c>
      <c r="E408" s="2">
        <f>VLOOKUP(Table3[[#This Row],[Date]],'DB LEI'!$A:$F,4)</f>
        <v/>
      </c>
      <c r="F408" s="4">
        <f>(Table3[[#This Row],[UMSCI]]-E397)/E397</f>
        <v/>
      </c>
    </row>
    <row r="409">
      <c r="A409" s="6" t="n">
        <v>33695</v>
      </c>
      <c r="B409" s="2">
        <f>VLOOKUP(Table3[[#This Row],[Date]],'DB LEI'!$A:$F,2)</f>
        <v/>
      </c>
      <c r="C409" s="4">
        <f>(Table3[[#This Row],[Conference Board Leading Indicator]]-B397)/B397</f>
        <v/>
      </c>
      <c r="D409" s="3">
        <f>IF(VLOOKUP(Table3[[#This Row],[Date]],'DB LEI'!$A:$I,9)=0,"",VLOOKUP(Table3[[#This Row],[Date]],'DB LEI'!$A:$I,9))</f>
        <v/>
      </c>
      <c r="E409" s="2">
        <f>VLOOKUP(Table3[[#This Row],[Date]],'DB LEI'!$A:$F,4)</f>
        <v/>
      </c>
      <c r="F409" s="4">
        <f>(Table3[[#This Row],[UMSCI]]-E398)/E398</f>
        <v/>
      </c>
    </row>
    <row r="410">
      <c r="A410" s="6" t="n">
        <v>33725</v>
      </c>
      <c r="B410" s="2">
        <f>VLOOKUP(Table3[[#This Row],[Date]],'DB LEI'!$A:$F,2)</f>
        <v/>
      </c>
      <c r="C410" s="4">
        <f>(Table3[[#This Row],[Conference Board Leading Indicator]]-B398)/B398</f>
        <v/>
      </c>
      <c r="D410" s="3">
        <f>IF(VLOOKUP(Table3[[#This Row],[Date]],'DB LEI'!$A:$I,9)=0,"",VLOOKUP(Table3[[#This Row],[Date]],'DB LEI'!$A:$I,9))</f>
        <v/>
      </c>
      <c r="E410" s="2">
        <f>VLOOKUP(Table3[[#This Row],[Date]],'DB LEI'!$A:$F,4)</f>
        <v/>
      </c>
      <c r="F410" s="4">
        <f>(Table3[[#This Row],[UMSCI]]-E399)/E399</f>
        <v/>
      </c>
    </row>
    <row r="411">
      <c r="A411" s="6" t="n">
        <v>33756</v>
      </c>
      <c r="B411" s="2">
        <f>VLOOKUP(Table3[[#This Row],[Date]],'DB LEI'!$A:$F,2)</f>
        <v/>
      </c>
      <c r="C411" s="4">
        <f>(Table3[[#This Row],[Conference Board Leading Indicator]]-B399)/B399</f>
        <v/>
      </c>
      <c r="D411" s="3">
        <f>IF(VLOOKUP(Table3[[#This Row],[Date]],'DB LEI'!$A:$I,9)=0,"",VLOOKUP(Table3[[#This Row],[Date]],'DB LEI'!$A:$I,9))</f>
        <v/>
      </c>
      <c r="E411" s="2">
        <f>VLOOKUP(Table3[[#This Row],[Date]],'DB LEI'!$A:$F,4)</f>
        <v/>
      </c>
      <c r="F411" s="4">
        <f>(Table3[[#This Row],[UMSCI]]-E400)/E400</f>
        <v/>
      </c>
    </row>
    <row r="412">
      <c r="A412" s="6" t="n">
        <v>33786</v>
      </c>
      <c r="B412" s="2">
        <f>VLOOKUP(Table3[[#This Row],[Date]],'DB LEI'!$A:$F,2)</f>
        <v/>
      </c>
      <c r="C412" s="4">
        <f>(Table3[[#This Row],[Conference Board Leading Indicator]]-B400)/B400</f>
        <v/>
      </c>
      <c r="D412" s="3">
        <f>IF(VLOOKUP(Table3[[#This Row],[Date]],'DB LEI'!$A:$I,9)=0,"",VLOOKUP(Table3[[#This Row],[Date]],'DB LEI'!$A:$I,9))</f>
        <v/>
      </c>
      <c r="E412" s="2">
        <f>VLOOKUP(Table3[[#This Row],[Date]],'DB LEI'!$A:$F,4)</f>
        <v/>
      </c>
      <c r="F412" s="4">
        <f>(Table3[[#This Row],[UMSCI]]-E401)/E401</f>
        <v/>
      </c>
    </row>
    <row r="413">
      <c r="A413" s="6" t="n">
        <v>33817</v>
      </c>
      <c r="B413" s="2">
        <f>VLOOKUP(Table3[[#This Row],[Date]],'DB LEI'!$A:$F,2)</f>
        <v/>
      </c>
      <c r="C413" s="4">
        <f>(Table3[[#This Row],[Conference Board Leading Indicator]]-B401)/B401</f>
        <v/>
      </c>
      <c r="D413" s="3">
        <f>IF(VLOOKUP(Table3[[#This Row],[Date]],'DB LEI'!$A:$I,9)=0,"",VLOOKUP(Table3[[#This Row],[Date]],'DB LEI'!$A:$I,9))</f>
        <v/>
      </c>
      <c r="E413" s="2">
        <f>VLOOKUP(Table3[[#This Row],[Date]],'DB LEI'!$A:$F,4)</f>
        <v/>
      </c>
      <c r="F413" s="4">
        <f>(Table3[[#This Row],[UMSCI]]-E402)/E402</f>
        <v/>
      </c>
    </row>
    <row r="414">
      <c r="A414" s="6" t="n">
        <v>33848</v>
      </c>
      <c r="B414" s="2">
        <f>VLOOKUP(Table3[[#This Row],[Date]],'DB LEI'!$A:$F,2)</f>
        <v/>
      </c>
      <c r="C414" s="4">
        <f>(Table3[[#This Row],[Conference Board Leading Indicator]]-B402)/B402</f>
        <v/>
      </c>
      <c r="D414" s="3">
        <f>IF(VLOOKUP(Table3[[#This Row],[Date]],'DB LEI'!$A:$I,9)=0,"",VLOOKUP(Table3[[#This Row],[Date]],'DB LEI'!$A:$I,9))</f>
        <v/>
      </c>
      <c r="E414" s="2">
        <f>VLOOKUP(Table3[[#This Row],[Date]],'DB LEI'!$A:$F,4)</f>
        <v/>
      </c>
      <c r="F414" s="4">
        <f>(Table3[[#This Row],[UMSCI]]-E403)/E403</f>
        <v/>
      </c>
    </row>
    <row r="415">
      <c r="A415" s="6" t="n">
        <v>33878</v>
      </c>
      <c r="B415" s="2">
        <f>VLOOKUP(Table3[[#This Row],[Date]],'DB LEI'!$A:$F,2)</f>
        <v/>
      </c>
      <c r="C415" s="4">
        <f>(Table3[[#This Row],[Conference Board Leading Indicator]]-B403)/B403</f>
        <v/>
      </c>
      <c r="D415" s="3">
        <f>IF(VLOOKUP(Table3[[#This Row],[Date]],'DB LEI'!$A:$I,9)=0,"",VLOOKUP(Table3[[#This Row],[Date]],'DB LEI'!$A:$I,9))</f>
        <v/>
      </c>
      <c r="E415" s="2">
        <f>VLOOKUP(Table3[[#This Row],[Date]],'DB LEI'!$A:$F,4)</f>
        <v/>
      </c>
      <c r="F415" s="4">
        <f>(Table3[[#This Row],[UMSCI]]-E404)/E404</f>
        <v/>
      </c>
    </row>
    <row r="416">
      <c r="A416" s="6" t="n">
        <v>33909</v>
      </c>
      <c r="B416" s="2">
        <f>VLOOKUP(Table3[[#This Row],[Date]],'DB LEI'!$A:$F,2)</f>
        <v/>
      </c>
      <c r="C416" s="4">
        <f>(Table3[[#This Row],[Conference Board Leading Indicator]]-B404)/B404</f>
        <v/>
      </c>
      <c r="D416" s="3">
        <f>IF(VLOOKUP(Table3[[#This Row],[Date]],'DB LEI'!$A:$I,9)=0,"",VLOOKUP(Table3[[#This Row],[Date]],'DB LEI'!$A:$I,9))</f>
        <v/>
      </c>
      <c r="E416" s="2">
        <f>VLOOKUP(Table3[[#This Row],[Date]],'DB LEI'!$A:$F,4)</f>
        <v/>
      </c>
      <c r="F416" s="4">
        <f>(Table3[[#This Row],[UMSCI]]-E405)/E405</f>
        <v/>
      </c>
    </row>
    <row r="417">
      <c r="A417" s="6" t="n">
        <v>33939</v>
      </c>
      <c r="B417" s="2">
        <f>VLOOKUP(Table3[[#This Row],[Date]],'DB LEI'!$A:$F,2)</f>
        <v/>
      </c>
      <c r="C417" s="4">
        <f>(Table3[[#This Row],[Conference Board Leading Indicator]]-B405)/B405</f>
        <v/>
      </c>
      <c r="D417" s="3">
        <f>IF(VLOOKUP(Table3[[#This Row],[Date]],'DB LEI'!$A:$I,9)=0,"",VLOOKUP(Table3[[#This Row],[Date]],'DB LEI'!$A:$I,9))</f>
        <v/>
      </c>
      <c r="E417" s="2">
        <f>VLOOKUP(Table3[[#This Row],[Date]],'DB LEI'!$A:$F,4)</f>
        <v/>
      </c>
      <c r="F417" s="4">
        <f>(Table3[[#This Row],[UMSCI]]-E406)/E406</f>
        <v/>
      </c>
    </row>
    <row r="418">
      <c r="A418" s="6" t="n">
        <v>33970</v>
      </c>
      <c r="B418" s="2">
        <f>VLOOKUP(Table3[[#This Row],[Date]],'DB LEI'!$A:$F,2)</f>
        <v/>
      </c>
      <c r="C418" s="4">
        <f>(Table3[[#This Row],[Conference Board Leading Indicator]]-B406)/B406</f>
        <v/>
      </c>
      <c r="D418" s="3">
        <f>IF(VLOOKUP(Table3[[#This Row],[Date]],'DB LEI'!$A:$I,9)=0,"",VLOOKUP(Table3[[#This Row],[Date]],'DB LEI'!$A:$I,9))</f>
        <v/>
      </c>
      <c r="E418" s="2">
        <f>VLOOKUP(Table3[[#This Row],[Date]],'DB LEI'!$A:$F,4)</f>
        <v/>
      </c>
      <c r="F418" s="4">
        <f>(Table3[[#This Row],[UMSCI]]-E407)/E407</f>
        <v/>
      </c>
    </row>
    <row r="419">
      <c r="A419" s="6" t="n">
        <v>34001</v>
      </c>
      <c r="B419" s="2">
        <f>VLOOKUP(Table3[[#This Row],[Date]],'DB LEI'!$A:$F,2)</f>
        <v/>
      </c>
      <c r="C419" s="4">
        <f>(Table3[[#This Row],[Conference Board Leading Indicator]]-B407)/B407</f>
        <v/>
      </c>
      <c r="D419" s="3">
        <f>IF(VLOOKUP(Table3[[#This Row],[Date]],'DB LEI'!$A:$I,9)=0,"",VLOOKUP(Table3[[#This Row],[Date]],'DB LEI'!$A:$I,9))</f>
        <v/>
      </c>
      <c r="E419" s="2">
        <f>VLOOKUP(Table3[[#This Row],[Date]],'DB LEI'!$A:$F,4)</f>
        <v/>
      </c>
      <c r="F419" s="4">
        <f>(Table3[[#This Row],[UMSCI]]-E408)/E408</f>
        <v/>
      </c>
    </row>
    <row r="420">
      <c r="A420" s="6" t="n">
        <v>34029</v>
      </c>
      <c r="B420" s="2">
        <f>VLOOKUP(Table3[[#This Row],[Date]],'DB LEI'!$A:$F,2)</f>
        <v/>
      </c>
      <c r="C420" s="4">
        <f>(Table3[[#This Row],[Conference Board Leading Indicator]]-B408)/B408</f>
        <v/>
      </c>
      <c r="D420" s="3">
        <f>IF(VLOOKUP(Table3[[#This Row],[Date]],'DB LEI'!$A:$I,9)=0,"",VLOOKUP(Table3[[#This Row],[Date]],'DB LEI'!$A:$I,9))</f>
        <v/>
      </c>
      <c r="E420" s="2">
        <f>VLOOKUP(Table3[[#This Row],[Date]],'DB LEI'!$A:$F,4)</f>
        <v/>
      </c>
      <c r="F420" s="4">
        <f>(Table3[[#This Row],[UMSCI]]-E409)/E409</f>
        <v/>
      </c>
    </row>
    <row r="421">
      <c r="A421" s="6" t="n">
        <v>34060</v>
      </c>
      <c r="B421" s="2">
        <f>VLOOKUP(Table3[[#This Row],[Date]],'DB LEI'!$A:$F,2)</f>
        <v/>
      </c>
      <c r="C421" s="4">
        <f>(Table3[[#This Row],[Conference Board Leading Indicator]]-B409)/B409</f>
        <v/>
      </c>
      <c r="D421" s="3">
        <f>IF(VLOOKUP(Table3[[#This Row],[Date]],'DB LEI'!$A:$I,9)=0,"",VLOOKUP(Table3[[#This Row],[Date]],'DB LEI'!$A:$I,9))</f>
        <v/>
      </c>
      <c r="E421" s="2">
        <f>VLOOKUP(Table3[[#This Row],[Date]],'DB LEI'!$A:$F,4)</f>
        <v/>
      </c>
      <c r="F421" s="4">
        <f>(Table3[[#This Row],[UMSCI]]-E410)/E410</f>
        <v/>
      </c>
    </row>
    <row r="422">
      <c r="A422" s="6" t="n">
        <v>34090</v>
      </c>
      <c r="B422" s="2">
        <f>VLOOKUP(Table3[[#This Row],[Date]],'DB LEI'!$A:$F,2)</f>
        <v/>
      </c>
      <c r="C422" s="4">
        <f>(Table3[[#This Row],[Conference Board Leading Indicator]]-B410)/B410</f>
        <v/>
      </c>
      <c r="D422" s="3">
        <f>IF(VLOOKUP(Table3[[#This Row],[Date]],'DB LEI'!$A:$I,9)=0,"",VLOOKUP(Table3[[#This Row],[Date]],'DB LEI'!$A:$I,9))</f>
        <v/>
      </c>
      <c r="E422" s="2">
        <f>VLOOKUP(Table3[[#This Row],[Date]],'DB LEI'!$A:$F,4)</f>
        <v/>
      </c>
      <c r="F422" s="4">
        <f>(Table3[[#This Row],[UMSCI]]-E411)/E411</f>
        <v/>
      </c>
    </row>
    <row r="423">
      <c r="A423" s="6" t="n">
        <v>34121</v>
      </c>
      <c r="B423" s="2">
        <f>VLOOKUP(Table3[[#This Row],[Date]],'DB LEI'!$A:$F,2)</f>
        <v/>
      </c>
      <c r="C423" s="4">
        <f>(Table3[[#This Row],[Conference Board Leading Indicator]]-B411)/B411</f>
        <v/>
      </c>
      <c r="D423" s="3">
        <f>IF(VLOOKUP(Table3[[#This Row],[Date]],'DB LEI'!$A:$I,9)=0,"",VLOOKUP(Table3[[#This Row],[Date]],'DB LEI'!$A:$I,9))</f>
        <v/>
      </c>
      <c r="E423" s="2">
        <f>VLOOKUP(Table3[[#This Row],[Date]],'DB LEI'!$A:$F,4)</f>
        <v/>
      </c>
      <c r="F423" s="4">
        <f>(Table3[[#This Row],[UMSCI]]-E412)/E412</f>
        <v/>
      </c>
    </row>
    <row r="424">
      <c r="A424" s="6" t="n">
        <v>34151</v>
      </c>
      <c r="B424" s="2">
        <f>VLOOKUP(Table3[[#This Row],[Date]],'DB LEI'!$A:$F,2)</f>
        <v/>
      </c>
      <c r="C424" s="4">
        <f>(Table3[[#This Row],[Conference Board Leading Indicator]]-B412)/B412</f>
        <v/>
      </c>
      <c r="D424" s="3">
        <f>IF(VLOOKUP(Table3[[#This Row],[Date]],'DB LEI'!$A:$I,9)=0,"",VLOOKUP(Table3[[#This Row],[Date]],'DB LEI'!$A:$I,9))</f>
        <v/>
      </c>
      <c r="E424" s="2">
        <f>VLOOKUP(Table3[[#This Row],[Date]],'DB LEI'!$A:$F,4)</f>
        <v/>
      </c>
      <c r="F424" s="4">
        <f>(Table3[[#This Row],[UMSCI]]-E413)/E413</f>
        <v/>
      </c>
    </row>
    <row r="425">
      <c r="A425" s="6" t="n">
        <v>34182</v>
      </c>
      <c r="B425" s="2">
        <f>VLOOKUP(Table3[[#This Row],[Date]],'DB LEI'!$A:$F,2)</f>
        <v/>
      </c>
      <c r="C425" s="4">
        <f>(Table3[[#This Row],[Conference Board Leading Indicator]]-B413)/B413</f>
        <v/>
      </c>
      <c r="D425" s="3">
        <f>IF(VLOOKUP(Table3[[#This Row],[Date]],'DB LEI'!$A:$I,9)=0,"",VLOOKUP(Table3[[#This Row],[Date]],'DB LEI'!$A:$I,9))</f>
        <v/>
      </c>
      <c r="E425" s="2">
        <f>VLOOKUP(Table3[[#This Row],[Date]],'DB LEI'!$A:$F,4)</f>
        <v/>
      </c>
      <c r="F425" s="4">
        <f>(Table3[[#This Row],[UMSCI]]-E414)/E414</f>
        <v/>
      </c>
    </row>
    <row r="426">
      <c r="A426" s="6" t="n">
        <v>34213</v>
      </c>
      <c r="B426" s="2">
        <f>VLOOKUP(Table3[[#This Row],[Date]],'DB LEI'!$A:$F,2)</f>
        <v/>
      </c>
      <c r="C426" s="4">
        <f>(Table3[[#This Row],[Conference Board Leading Indicator]]-B414)/B414</f>
        <v/>
      </c>
      <c r="D426" s="3">
        <f>IF(VLOOKUP(Table3[[#This Row],[Date]],'DB LEI'!$A:$I,9)=0,"",VLOOKUP(Table3[[#This Row],[Date]],'DB LEI'!$A:$I,9))</f>
        <v/>
      </c>
      <c r="E426" s="2">
        <f>VLOOKUP(Table3[[#This Row],[Date]],'DB LEI'!$A:$F,4)</f>
        <v/>
      </c>
      <c r="F426" s="4">
        <f>(Table3[[#This Row],[UMSCI]]-E415)/E415</f>
        <v/>
      </c>
    </row>
    <row r="427">
      <c r="A427" s="6" t="n">
        <v>34243</v>
      </c>
      <c r="B427" s="2">
        <f>VLOOKUP(Table3[[#This Row],[Date]],'DB LEI'!$A:$F,2)</f>
        <v/>
      </c>
      <c r="C427" s="4">
        <f>(Table3[[#This Row],[Conference Board Leading Indicator]]-B415)/B415</f>
        <v/>
      </c>
      <c r="D427" s="3">
        <f>IF(VLOOKUP(Table3[[#This Row],[Date]],'DB LEI'!$A:$I,9)=0,"",VLOOKUP(Table3[[#This Row],[Date]],'DB LEI'!$A:$I,9))</f>
        <v/>
      </c>
      <c r="E427" s="2">
        <f>VLOOKUP(Table3[[#This Row],[Date]],'DB LEI'!$A:$F,4)</f>
        <v/>
      </c>
      <c r="F427" s="4">
        <f>(Table3[[#This Row],[UMSCI]]-E416)/E416</f>
        <v/>
      </c>
    </row>
    <row r="428">
      <c r="A428" s="6" t="n">
        <v>34274</v>
      </c>
      <c r="B428" s="2">
        <f>VLOOKUP(Table3[[#This Row],[Date]],'DB LEI'!$A:$F,2)</f>
        <v/>
      </c>
      <c r="C428" s="4">
        <f>(Table3[[#This Row],[Conference Board Leading Indicator]]-B416)/B416</f>
        <v/>
      </c>
      <c r="D428" s="3">
        <f>IF(VLOOKUP(Table3[[#This Row],[Date]],'DB LEI'!$A:$I,9)=0,"",VLOOKUP(Table3[[#This Row],[Date]],'DB LEI'!$A:$I,9))</f>
        <v/>
      </c>
      <c r="E428" s="2">
        <f>VLOOKUP(Table3[[#This Row],[Date]],'DB LEI'!$A:$F,4)</f>
        <v/>
      </c>
      <c r="F428" s="4">
        <f>(Table3[[#This Row],[UMSCI]]-E417)/E417</f>
        <v/>
      </c>
    </row>
    <row r="429">
      <c r="A429" s="6" t="n">
        <v>34304</v>
      </c>
      <c r="B429" s="2">
        <f>VLOOKUP(Table3[[#This Row],[Date]],'DB LEI'!$A:$F,2)</f>
        <v/>
      </c>
      <c r="C429" s="4">
        <f>(Table3[[#This Row],[Conference Board Leading Indicator]]-B417)/B417</f>
        <v/>
      </c>
      <c r="D429" s="3">
        <f>IF(VLOOKUP(Table3[[#This Row],[Date]],'DB LEI'!$A:$I,9)=0,"",VLOOKUP(Table3[[#This Row],[Date]],'DB LEI'!$A:$I,9))</f>
        <v/>
      </c>
      <c r="E429" s="2">
        <f>VLOOKUP(Table3[[#This Row],[Date]],'DB LEI'!$A:$F,4)</f>
        <v/>
      </c>
      <c r="F429" s="4">
        <f>(Table3[[#This Row],[UMSCI]]-E418)/E418</f>
        <v/>
      </c>
    </row>
    <row r="430">
      <c r="A430" s="6" t="n">
        <v>34335</v>
      </c>
      <c r="B430" s="2">
        <f>VLOOKUP(Table3[[#This Row],[Date]],'DB LEI'!$A:$F,2)</f>
        <v/>
      </c>
      <c r="C430" s="4">
        <f>(Table3[[#This Row],[Conference Board Leading Indicator]]-B418)/B418</f>
        <v/>
      </c>
      <c r="D430" s="3">
        <f>IF(VLOOKUP(Table3[[#This Row],[Date]],'DB LEI'!$A:$I,9)=0,"",VLOOKUP(Table3[[#This Row],[Date]],'DB LEI'!$A:$I,9))</f>
        <v/>
      </c>
      <c r="E430" s="2">
        <f>VLOOKUP(Table3[[#This Row],[Date]],'DB LEI'!$A:$F,4)</f>
        <v/>
      </c>
      <c r="F430" s="4">
        <f>(Table3[[#This Row],[UMSCI]]-E419)/E419</f>
        <v/>
      </c>
    </row>
    <row r="431">
      <c r="A431" s="6" t="n">
        <v>34366</v>
      </c>
      <c r="B431" s="2">
        <f>VLOOKUP(Table3[[#This Row],[Date]],'DB LEI'!$A:$F,2)</f>
        <v/>
      </c>
      <c r="C431" s="4">
        <f>(Table3[[#This Row],[Conference Board Leading Indicator]]-B419)/B419</f>
        <v/>
      </c>
      <c r="D431" s="3">
        <f>IF(VLOOKUP(Table3[[#This Row],[Date]],'DB LEI'!$A:$I,9)=0,"",VLOOKUP(Table3[[#This Row],[Date]],'DB LEI'!$A:$I,9))</f>
        <v/>
      </c>
      <c r="E431" s="2">
        <f>VLOOKUP(Table3[[#This Row],[Date]],'DB LEI'!$A:$F,4)</f>
        <v/>
      </c>
      <c r="F431" s="4">
        <f>(Table3[[#This Row],[UMSCI]]-E420)/E420</f>
        <v/>
      </c>
    </row>
    <row r="432">
      <c r="A432" s="6" t="n">
        <v>34394</v>
      </c>
      <c r="B432" s="2">
        <f>VLOOKUP(Table3[[#This Row],[Date]],'DB LEI'!$A:$F,2)</f>
        <v/>
      </c>
      <c r="C432" s="4">
        <f>(Table3[[#This Row],[Conference Board Leading Indicator]]-B420)/B420</f>
        <v/>
      </c>
      <c r="D432" s="3">
        <f>IF(VLOOKUP(Table3[[#This Row],[Date]],'DB LEI'!$A:$I,9)=0,"",VLOOKUP(Table3[[#This Row],[Date]],'DB LEI'!$A:$I,9))</f>
        <v/>
      </c>
      <c r="E432" s="2">
        <f>VLOOKUP(Table3[[#This Row],[Date]],'DB LEI'!$A:$F,4)</f>
        <v/>
      </c>
      <c r="F432" s="4">
        <f>(Table3[[#This Row],[UMSCI]]-E421)/E421</f>
        <v/>
      </c>
    </row>
    <row r="433">
      <c r="A433" s="6" t="n">
        <v>34425</v>
      </c>
      <c r="B433" s="2">
        <f>VLOOKUP(Table3[[#This Row],[Date]],'DB LEI'!$A:$F,2)</f>
        <v/>
      </c>
      <c r="C433" s="4">
        <f>(Table3[[#This Row],[Conference Board Leading Indicator]]-B421)/B421</f>
        <v/>
      </c>
      <c r="D433" s="3">
        <f>IF(VLOOKUP(Table3[[#This Row],[Date]],'DB LEI'!$A:$I,9)=0,"",VLOOKUP(Table3[[#This Row],[Date]],'DB LEI'!$A:$I,9))</f>
        <v/>
      </c>
      <c r="E433" s="2">
        <f>VLOOKUP(Table3[[#This Row],[Date]],'DB LEI'!$A:$F,4)</f>
        <v/>
      </c>
      <c r="F433" s="4">
        <f>(Table3[[#This Row],[UMSCI]]-E422)/E422</f>
        <v/>
      </c>
    </row>
    <row r="434">
      <c r="A434" s="6" t="n">
        <v>34455</v>
      </c>
      <c r="B434" s="2">
        <f>VLOOKUP(Table3[[#This Row],[Date]],'DB LEI'!$A:$F,2)</f>
        <v/>
      </c>
      <c r="C434" s="4">
        <f>(Table3[[#This Row],[Conference Board Leading Indicator]]-B422)/B422</f>
        <v/>
      </c>
      <c r="D434" s="3">
        <f>IF(VLOOKUP(Table3[[#This Row],[Date]],'DB LEI'!$A:$I,9)=0,"",VLOOKUP(Table3[[#This Row],[Date]],'DB LEI'!$A:$I,9))</f>
        <v/>
      </c>
      <c r="E434" s="2">
        <f>VLOOKUP(Table3[[#This Row],[Date]],'DB LEI'!$A:$F,4)</f>
        <v/>
      </c>
      <c r="F434" s="4">
        <f>(Table3[[#This Row],[UMSCI]]-E423)/E423</f>
        <v/>
      </c>
    </row>
    <row r="435">
      <c r="A435" s="6" t="n">
        <v>34486</v>
      </c>
      <c r="B435" s="2">
        <f>VLOOKUP(Table3[[#This Row],[Date]],'DB LEI'!$A:$F,2)</f>
        <v/>
      </c>
      <c r="C435" s="4">
        <f>(Table3[[#This Row],[Conference Board Leading Indicator]]-B423)/B423</f>
        <v/>
      </c>
      <c r="D435" s="3">
        <f>IF(VLOOKUP(Table3[[#This Row],[Date]],'DB LEI'!$A:$I,9)=0,"",VLOOKUP(Table3[[#This Row],[Date]],'DB LEI'!$A:$I,9))</f>
        <v/>
      </c>
      <c r="E435" s="2">
        <f>VLOOKUP(Table3[[#This Row],[Date]],'DB LEI'!$A:$F,4)</f>
        <v/>
      </c>
      <c r="F435" s="4">
        <f>(Table3[[#This Row],[UMSCI]]-E424)/E424</f>
        <v/>
      </c>
    </row>
    <row r="436">
      <c r="A436" s="6" t="n">
        <v>34516</v>
      </c>
      <c r="B436" s="2">
        <f>VLOOKUP(Table3[[#This Row],[Date]],'DB LEI'!$A:$F,2)</f>
        <v/>
      </c>
      <c r="C436" s="4">
        <f>(Table3[[#This Row],[Conference Board Leading Indicator]]-B424)/B424</f>
        <v/>
      </c>
      <c r="D436" s="3">
        <f>IF(VLOOKUP(Table3[[#This Row],[Date]],'DB LEI'!$A:$I,9)=0,"",VLOOKUP(Table3[[#This Row],[Date]],'DB LEI'!$A:$I,9))</f>
        <v/>
      </c>
      <c r="E436" s="2">
        <f>VLOOKUP(Table3[[#This Row],[Date]],'DB LEI'!$A:$F,4)</f>
        <v/>
      </c>
      <c r="F436" s="4">
        <f>(Table3[[#This Row],[UMSCI]]-E425)/E425</f>
        <v/>
      </c>
    </row>
    <row r="437">
      <c r="A437" s="6" t="n">
        <v>34547</v>
      </c>
      <c r="B437" s="2">
        <f>VLOOKUP(Table3[[#This Row],[Date]],'DB LEI'!$A:$F,2)</f>
        <v/>
      </c>
      <c r="C437" s="4">
        <f>(Table3[[#This Row],[Conference Board Leading Indicator]]-B425)/B425</f>
        <v/>
      </c>
      <c r="D437" s="3">
        <f>IF(VLOOKUP(Table3[[#This Row],[Date]],'DB LEI'!$A:$I,9)=0,"",VLOOKUP(Table3[[#This Row],[Date]],'DB LEI'!$A:$I,9))</f>
        <v/>
      </c>
      <c r="E437" s="2">
        <f>VLOOKUP(Table3[[#This Row],[Date]],'DB LEI'!$A:$F,4)</f>
        <v/>
      </c>
      <c r="F437" s="4">
        <f>(Table3[[#This Row],[UMSCI]]-E426)/E426</f>
        <v/>
      </c>
    </row>
    <row r="438">
      <c r="A438" s="6" t="n">
        <v>34578</v>
      </c>
      <c r="B438" s="2">
        <f>VLOOKUP(Table3[[#This Row],[Date]],'DB LEI'!$A:$F,2)</f>
        <v/>
      </c>
      <c r="C438" s="4">
        <f>(Table3[[#This Row],[Conference Board Leading Indicator]]-B426)/B426</f>
        <v/>
      </c>
      <c r="D438" s="3">
        <f>IF(VLOOKUP(Table3[[#This Row],[Date]],'DB LEI'!$A:$I,9)=0,"",VLOOKUP(Table3[[#This Row],[Date]],'DB LEI'!$A:$I,9))</f>
        <v/>
      </c>
      <c r="E438" s="2">
        <f>VLOOKUP(Table3[[#This Row],[Date]],'DB LEI'!$A:$F,4)</f>
        <v/>
      </c>
      <c r="F438" s="4">
        <f>(Table3[[#This Row],[UMSCI]]-E427)/E427</f>
        <v/>
      </c>
    </row>
    <row r="439">
      <c r="A439" s="6" t="n">
        <v>34608</v>
      </c>
      <c r="B439" s="2">
        <f>VLOOKUP(Table3[[#This Row],[Date]],'DB LEI'!$A:$F,2)</f>
        <v/>
      </c>
      <c r="C439" s="4">
        <f>(Table3[[#This Row],[Conference Board Leading Indicator]]-B427)/B427</f>
        <v/>
      </c>
      <c r="D439" s="3">
        <f>IF(VLOOKUP(Table3[[#This Row],[Date]],'DB LEI'!$A:$I,9)=0,"",VLOOKUP(Table3[[#This Row],[Date]],'DB LEI'!$A:$I,9))</f>
        <v/>
      </c>
      <c r="E439" s="2">
        <f>VLOOKUP(Table3[[#This Row],[Date]],'DB LEI'!$A:$F,4)</f>
        <v/>
      </c>
      <c r="F439" s="4">
        <f>(Table3[[#This Row],[UMSCI]]-E428)/E428</f>
        <v/>
      </c>
    </row>
    <row r="440">
      <c r="A440" s="6" t="n">
        <v>34639</v>
      </c>
      <c r="B440" s="2">
        <f>VLOOKUP(Table3[[#This Row],[Date]],'DB LEI'!$A:$F,2)</f>
        <v/>
      </c>
      <c r="C440" s="4">
        <f>(Table3[[#This Row],[Conference Board Leading Indicator]]-B428)/B428</f>
        <v/>
      </c>
      <c r="D440" s="3">
        <f>IF(VLOOKUP(Table3[[#This Row],[Date]],'DB LEI'!$A:$I,9)=0,"",VLOOKUP(Table3[[#This Row],[Date]],'DB LEI'!$A:$I,9))</f>
        <v/>
      </c>
      <c r="E440" s="2">
        <f>VLOOKUP(Table3[[#This Row],[Date]],'DB LEI'!$A:$F,4)</f>
        <v/>
      </c>
      <c r="F440" s="4">
        <f>(Table3[[#This Row],[UMSCI]]-E429)/E429</f>
        <v/>
      </c>
    </row>
    <row r="441">
      <c r="A441" s="6" t="n">
        <v>34669</v>
      </c>
      <c r="B441" s="2">
        <f>VLOOKUP(Table3[[#This Row],[Date]],'DB LEI'!$A:$F,2)</f>
        <v/>
      </c>
      <c r="C441" s="4">
        <f>(Table3[[#This Row],[Conference Board Leading Indicator]]-B429)/B429</f>
        <v/>
      </c>
      <c r="D441" s="3">
        <f>IF(VLOOKUP(Table3[[#This Row],[Date]],'DB LEI'!$A:$I,9)=0,"",VLOOKUP(Table3[[#This Row],[Date]],'DB LEI'!$A:$I,9))</f>
        <v/>
      </c>
      <c r="E441" s="2">
        <f>VLOOKUP(Table3[[#This Row],[Date]],'DB LEI'!$A:$F,4)</f>
        <v/>
      </c>
      <c r="F441" s="4">
        <f>(Table3[[#This Row],[UMSCI]]-E430)/E430</f>
        <v/>
      </c>
    </row>
    <row r="442">
      <c r="A442" s="6" t="n">
        <v>34700</v>
      </c>
      <c r="B442" s="2">
        <f>VLOOKUP(Table3[[#This Row],[Date]],'DB LEI'!$A:$F,2)</f>
        <v/>
      </c>
      <c r="C442" s="4">
        <f>(Table3[[#This Row],[Conference Board Leading Indicator]]-B430)/B430</f>
        <v/>
      </c>
      <c r="D442" s="3">
        <f>IF(VLOOKUP(Table3[[#This Row],[Date]],'DB LEI'!$A:$I,9)=0,"",VLOOKUP(Table3[[#This Row],[Date]],'DB LEI'!$A:$I,9))</f>
        <v/>
      </c>
      <c r="E442" s="2">
        <f>VLOOKUP(Table3[[#This Row],[Date]],'DB LEI'!$A:$F,4)</f>
        <v/>
      </c>
      <c r="F442" s="4">
        <f>(Table3[[#This Row],[UMSCI]]-E431)/E431</f>
        <v/>
      </c>
    </row>
    <row r="443">
      <c r="A443" s="6" t="n">
        <v>34731</v>
      </c>
      <c r="B443" s="2">
        <f>VLOOKUP(Table3[[#This Row],[Date]],'DB LEI'!$A:$F,2)</f>
        <v/>
      </c>
      <c r="C443" s="4">
        <f>(Table3[[#This Row],[Conference Board Leading Indicator]]-B431)/B431</f>
        <v/>
      </c>
      <c r="D443" s="3">
        <f>IF(VLOOKUP(Table3[[#This Row],[Date]],'DB LEI'!$A:$I,9)=0,"",VLOOKUP(Table3[[#This Row],[Date]],'DB LEI'!$A:$I,9))</f>
        <v/>
      </c>
      <c r="E443" s="2">
        <f>VLOOKUP(Table3[[#This Row],[Date]],'DB LEI'!$A:$F,4)</f>
        <v/>
      </c>
      <c r="F443" s="4">
        <f>(Table3[[#This Row],[UMSCI]]-E432)/E432</f>
        <v/>
      </c>
    </row>
    <row r="444">
      <c r="A444" s="6" t="n">
        <v>34759</v>
      </c>
      <c r="B444" s="2">
        <f>VLOOKUP(Table3[[#This Row],[Date]],'DB LEI'!$A:$F,2)</f>
        <v/>
      </c>
      <c r="C444" s="4">
        <f>(Table3[[#This Row],[Conference Board Leading Indicator]]-B432)/B432</f>
        <v/>
      </c>
      <c r="D444" s="3">
        <f>IF(VLOOKUP(Table3[[#This Row],[Date]],'DB LEI'!$A:$I,9)=0,"",VLOOKUP(Table3[[#This Row],[Date]],'DB LEI'!$A:$I,9))</f>
        <v/>
      </c>
      <c r="E444" s="2">
        <f>VLOOKUP(Table3[[#This Row],[Date]],'DB LEI'!$A:$F,4)</f>
        <v/>
      </c>
      <c r="F444" s="4">
        <f>(Table3[[#This Row],[UMSCI]]-E433)/E433</f>
        <v/>
      </c>
    </row>
    <row r="445">
      <c r="A445" s="6" t="n">
        <v>34790</v>
      </c>
      <c r="B445" s="2">
        <f>VLOOKUP(Table3[[#This Row],[Date]],'DB LEI'!$A:$F,2)</f>
        <v/>
      </c>
      <c r="C445" s="4">
        <f>(Table3[[#This Row],[Conference Board Leading Indicator]]-B433)/B433</f>
        <v/>
      </c>
      <c r="D445" s="3">
        <f>IF(VLOOKUP(Table3[[#This Row],[Date]],'DB LEI'!$A:$I,9)=0,"",VLOOKUP(Table3[[#This Row],[Date]],'DB LEI'!$A:$I,9))</f>
        <v/>
      </c>
      <c r="E445" s="2">
        <f>VLOOKUP(Table3[[#This Row],[Date]],'DB LEI'!$A:$F,4)</f>
        <v/>
      </c>
      <c r="F445" s="4">
        <f>(Table3[[#This Row],[UMSCI]]-E434)/E434</f>
        <v/>
      </c>
    </row>
    <row r="446">
      <c r="A446" s="6" t="n">
        <v>34820</v>
      </c>
      <c r="B446" s="2">
        <f>VLOOKUP(Table3[[#This Row],[Date]],'DB LEI'!$A:$F,2)</f>
        <v/>
      </c>
      <c r="C446" s="4">
        <f>(Table3[[#This Row],[Conference Board Leading Indicator]]-B434)/B434</f>
        <v/>
      </c>
      <c r="D446" s="3">
        <f>IF(VLOOKUP(Table3[[#This Row],[Date]],'DB LEI'!$A:$I,9)=0,"",VLOOKUP(Table3[[#This Row],[Date]],'DB LEI'!$A:$I,9))</f>
        <v/>
      </c>
      <c r="E446" s="2">
        <f>VLOOKUP(Table3[[#This Row],[Date]],'DB LEI'!$A:$F,4)</f>
        <v/>
      </c>
      <c r="F446" s="4">
        <f>(Table3[[#This Row],[UMSCI]]-E435)/E435</f>
        <v/>
      </c>
    </row>
    <row r="447">
      <c r="A447" s="6" t="n">
        <v>34851</v>
      </c>
      <c r="B447" s="2">
        <f>VLOOKUP(Table3[[#This Row],[Date]],'DB LEI'!$A:$F,2)</f>
        <v/>
      </c>
      <c r="C447" s="4">
        <f>(Table3[[#This Row],[Conference Board Leading Indicator]]-B435)/B435</f>
        <v/>
      </c>
      <c r="D447" s="3">
        <f>IF(VLOOKUP(Table3[[#This Row],[Date]],'DB LEI'!$A:$I,9)=0,"",VLOOKUP(Table3[[#This Row],[Date]],'DB LEI'!$A:$I,9))</f>
        <v/>
      </c>
      <c r="E447" s="2">
        <f>VLOOKUP(Table3[[#This Row],[Date]],'DB LEI'!$A:$F,4)</f>
        <v/>
      </c>
      <c r="F447" s="4">
        <f>(Table3[[#This Row],[UMSCI]]-E436)/E436</f>
        <v/>
      </c>
    </row>
    <row r="448">
      <c r="A448" s="6" t="n">
        <v>34881</v>
      </c>
      <c r="B448" s="2">
        <f>VLOOKUP(Table3[[#This Row],[Date]],'DB LEI'!$A:$F,2)</f>
        <v/>
      </c>
      <c r="C448" s="4">
        <f>(Table3[[#This Row],[Conference Board Leading Indicator]]-B436)/B436</f>
        <v/>
      </c>
      <c r="D448" s="3">
        <f>IF(VLOOKUP(Table3[[#This Row],[Date]],'DB LEI'!$A:$I,9)=0,"",VLOOKUP(Table3[[#This Row],[Date]],'DB LEI'!$A:$I,9))</f>
        <v/>
      </c>
      <c r="E448" s="2">
        <f>VLOOKUP(Table3[[#This Row],[Date]],'DB LEI'!$A:$F,4)</f>
        <v/>
      </c>
      <c r="F448" s="4">
        <f>(Table3[[#This Row],[UMSCI]]-E437)/E437</f>
        <v/>
      </c>
    </row>
    <row r="449">
      <c r="A449" s="6" t="n">
        <v>34912</v>
      </c>
      <c r="B449" s="2">
        <f>VLOOKUP(Table3[[#This Row],[Date]],'DB LEI'!$A:$F,2)</f>
        <v/>
      </c>
      <c r="C449" s="4">
        <f>(Table3[[#This Row],[Conference Board Leading Indicator]]-B437)/B437</f>
        <v/>
      </c>
      <c r="D449" s="3">
        <f>IF(VLOOKUP(Table3[[#This Row],[Date]],'DB LEI'!$A:$I,9)=0,"",VLOOKUP(Table3[[#This Row],[Date]],'DB LEI'!$A:$I,9))</f>
        <v/>
      </c>
      <c r="E449" s="2">
        <f>VLOOKUP(Table3[[#This Row],[Date]],'DB LEI'!$A:$F,4)</f>
        <v/>
      </c>
      <c r="F449" s="4">
        <f>(Table3[[#This Row],[UMSCI]]-E438)/E438</f>
        <v/>
      </c>
    </row>
    <row r="450">
      <c r="A450" s="6" t="n">
        <v>34943</v>
      </c>
      <c r="B450" s="2">
        <f>VLOOKUP(Table3[[#This Row],[Date]],'DB LEI'!$A:$F,2)</f>
        <v/>
      </c>
      <c r="C450" s="4">
        <f>(Table3[[#This Row],[Conference Board Leading Indicator]]-B438)/B438</f>
        <v/>
      </c>
      <c r="D450" s="3">
        <f>IF(VLOOKUP(Table3[[#This Row],[Date]],'DB LEI'!$A:$I,9)=0,"",VLOOKUP(Table3[[#This Row],[Date]],'DB LEI'!$A:$I,9))</f>
        <v/>
      </c>
      <c r="E450" s="2">
        <f>VLOOKUP(Table3[[#This Row],[Date]],'DB LEI'!$A:$F,4)</f>
        <v/>
      </c>
      <c r="F450" s="4">
        <f>(Table3[[#This Row],[UMSCI]]-E439)/E439</f>
        <v/>
      </c>
    </row>
    <row r="451">
      <c r="A451" s="6" t="n">
        <v>34973</v>
      </c>
      <c r="B451" s="2">
        <f>VLOOKUP(Table3[[#This Row],[Date]],'DB LEI'!$A:$F,2)</f>
        <v/>
      </c>
      <c r="C451" s="4">
        <f>(Table3[[#This Row],[Conference Board Leading Indicator]]-B439)/B439</f>
        <v/>
      </c>
      <c r="D451" s="3">
        <f>IF(VLOOKUP(Table3[[#This Row],[Date]],'DB LEI'!$A:$I,9)=0,"",VLOOKUP(Table3[[#This Row],[Date]],'DB LEI'!$A:$I,9))</f>
        <v/>
      </c>
      <c r="E451" s="2">
        <f>VLOOKUP(Table3[[#This Row],[Date]],'DB LEI'!$A:$F,4)</f>
        <v/>
      </c>
      <c r="F451" s="4">
        <f>(Table3[[#This Row],[UMSCI]]-E440)/E440</f>
        <v/>
      </c>
    </row>
    <row r="452">
      <c r="A452" s="6" t="n">
        <v>35004</v>
      </c>
      <c r="B452" s="2">
        <f>VLOOKUP(Table3[[#This Row],[Date]],'DB LEI'!$A:$F,2)</f>
        <v/>
      </c>
      <c r="C452" s="4">
        <f>(Table3[[#This Row],[Conference Board Leading Indicator]]-B440)/B440</f>
        <v/>
      </c>
      <c r="D452" s="3">
        <f>IF(VLOOKUP(Table3[[#This Row],[Date]],'DB LEI'!$A:$I,9)=0,"",VLOOKUP(Table3[[#This Row],[Date]],'DB LEI'!$A:$I,9))</f>
        <v/>
      </c>
      <c r="E452" s="2">
        <f>VLOOKUP(Table3[[#This Row],[Date]],'DB LEI'!$A:$F,4)</f>
        <v/>
      </c>
      <c r="F452" s="4">
        <f>(Table3[[#This Row],[UMSCI]]-E441)/E441</f>
        <v/>
      </c>
    </row>
    <row r="453">
      <c r="A453" s="6" t="n">
        <v>35034</v>
      </c>
      <c r="B453" s="2">
        <f>VLOOKUP(Table3[[#This Row],[Date]],'DB LEI'!$A:$F,2)</f>
        <v/>
      </c>
      <c r="C453" s="4">
        <f>(Table3[[#This Row],[Conference Board Leading Indicator]]-B441)/B441</f>
        <v/>
      </c>
      <c r="D453" s="3">
        <f>IF(VLOOKUP(Table3[[#This Row],[Date]],'DB LEI'!$A:$I,9)=0,"",VLOOKUP(Table3[[#This Row],[Date]],'DB LEI'!$A:$I,9))</f>
        <v/>
      </c>
      <c r="E453" s="2">
        <f>VLOOKUP(Table3[[#This Row],[Date]],'DB LEI'!$A:$F,4)</f>
        <v/>
      </c>
      <c r="F453" s="4">
        <f>(Table3[[#This Row],[UMSCI]]-E442)/E442</f>
        <v/>
      </c>
    </row>
    <row r="454">
      <c r="A454" s="6" t="n">
        <v>35065</v>
      </c>
      <c r="B454" s="2">
        <f>VLOOKUP(Table3[[#This Row],[Date]],'DB LEI'!$A:$F,2)</f>
        <v/>
      </c>
      <c r="C454" s="4">
        <f>(Table3[[#This Row],[Conference Board Leading Indicator]]-B442)/B442</f>
        <v/>
      </c>
      <c r="D454" s="3">
        <f>IF(VLOOKUP(Table3[[#This Row],[Date]],'DB LEI'!$A:$I,9)=0,"",VLOOKUP(Table3[[#This Row],[Date]],'DB LEI'!$A:$I,9))</f>
        <v/>
      </c>
      <c r="E454" s="2">
        <f>VLOOKUP(Table3[[#This Row],[Date]],'DB LEI'!$A:$F,4)</f>
        <v/>
      </c>
      <c r="F454" s="4">
        <f>(Table3[[#This Row],[UMSCI]]-E443)/E443</f>
        <v/>
      </c>
    </row>
    <row r="455">
      <c r="A455" s="6" t="n">
        <v>35096</v>
      </c>
      <c r="B455" s="2">
        <f>VLOOKUP(Table3[[#This Row],[Date]],'DB LEI'!$A:$F,2)</f>
        <v/>
      </c>
      <c r="C455" s="4">
        <f>(Table3[[#This Row],[Conference Board Leading Indicator]]-B443)/B443</f>
        <v/>
      </c>
      <c r="D455" s="3">
        <f>IF(VLOOKUP(Table3[[#This Row],[Date]],'DB LEI'!$A:$I,9)=0,"",VLOOKUP(Table3[[#This Row],[Date]],'DB LEI'!$A:$I,9))</f>
        <v/>
      </c>
      <c r="E455" s="2">
        <f>VLOOKUP(Table3[[#This Row],[Date]],'DB LEI'!$A:$F,4)</f>
        <v/>
      </c>
      <c r="F455" s="4">
        <f>(Table3[[#This Row],[UMSCI]]-E444)/E444</f>
        <v/>
      </c>
    </row>
    <row r="456">
      <c r="A456" s="6" t="n">
        <v>35125</v>
      </c>
      <c r="B456" s="2">
        <f>VLOOKUP(Table3[[#This Row],[Date]],'DB LEI'!$A:$F,2)</f>
        <v/>
      </c>
      <c r="C456" s="4">
        <f>(Table3[[#This Row],[Conference Board Leading Indicator]]-B444)/B444</f>
        <v/>
      </c>
      <c r="D456" s="3">
        <f>IF(VLOOKUP(Table3[[#This Row],[Date]],'DB LEI'!$A:$I,9)=0,"",VLOOKUP(Table3[[#This Row],[Date]],'DB LEI'!$A:$I,9))</f>
        <v/>
      </c>
      <c r="E456" s="2">
        <f>VLOOKUP(Table3[[#This Row],[Date]],'DB LEI'!$A:$F,4)</f>
        <v/>
      </c>
      <c r="F456" s="4">
        <f>(Table3[[#This Row],[UMSCI]]-E445)/E445</f>
        <v/>
      </c>
    </row>
    <row r="457">
      <c r="A457" s="6" t="n">
        <v>35156</v>
      </c>
      <c r="B457" s="2">
        <f>VLOOKUP(Table3[[#This Row],[Date]],'DB LEI'!$A:$F,2)</f>
        <v/>
      </c>
      <c r="C457" s="4">
        <f>(Table3[[#This Row],[Conference Board Leading Indicator]]-B445)/B445</f>
        <v/>
      </c>
      <c r="D457" s="3">
        <f>IF(VLOOKUP(Table3[[#This Row],[Date]],'DB LEI'!$A:$I,9)=0,"",VLOOKUP(Table3[[#This Row],[Date]],'DB LEI'!$A:$I,9))</f>
        <v/>
      </c>
      <c r="E457" s="2">
        <f>VLOOKUP(Table3[[#This Row],[Date]],'DB LEI'!$A:$F,4)</f>
        <v/>
      </c>
      <c r="F457" s="4">
        <f>(Table3[[#This Row],[UMSCI]]-E446)/E446</f>
        <v/>
      </c>
    </row>
    <row r="458">
      <c r="A458" s="6" t="n">
        <v>35186</v>
      </c>
      <c r="B458" s="2">
        <f>VLOOKUP(Table3[[#This Row],[Date]],'DB LEI'!$A:$F,2)</f>
        <v/>
      </c>
      <c r="C458" s="4">
        <f>(Table3[[#This Row],[Conference Board Leading Indicator]]-B446)/B446</f>
        <v/>
      </c>
      <c r="D458" s="3">
        <f>IF(VLOOKUP(Table3[[#This Row],[Date]],'DB LEI'!$A:$I,9)=0,"",VLOOKUP(Table3[[#This Row],[Date]],'DB LEI'!$A:$I,9))</f>
        <v/>
      </c>
      <c r="E458" s="2">
        <f>VLOOKUP(Table3[[#This Row],[Date]],'DB LEI'!$A:$F,4)</f>
        <v/>
      </c>
      <c r="F458" s="4">
        <f>(Table3[[#This Row],[UMSCI]]-E447)/E447</f>
        <v/>
      </c>
    </row>
    <row r="459">
      <c r="A459" s="6" t="n">
        <v>35217</v>
      </c>
      <c r="B459" s="2">
        <f>VLOOKUP(Table3[[#This Row],[Date]],'DB LEI'!$A:$F,2)</f>
        <v/>
      </c>
      <c r="C459" s="4">
        <f>(Table3[[#This Row],[Conference Board Leading Indicator]]-B447)/B447</f>
        <v/>
      </c>
      <c r="D459" s="3">
        <f>IF(VLOOKUP(Table3[[#This Row],[Date]],'DB LEI'!$A:$I,9)=0,"",VLOOKUP(Table3[[#This Row],[Date]],'DB LEI'!$A:$I,9))</f>
        <v/>
      </c>
      <c r="E459" s="2">
        <f>VLOOKUP(Table3[[#This Row],[Date]],'DB LEI'!$A:$F,4)</f>
        <v/>
      </c>
      <c r="F459" s="4">
        <f>(Table3[[#This Row],[UMSCI]]-E448)/E448</f>
        <v/>
      </c>
    </row>
    <row r="460">
      <c r="A460" s="6" t="n">
        <v>35247</v>
      </c>
      <c r="B460" s="2">
        <f>VLOOKUP(Table3[[#This Row],[Date]],'DB LEI'!$A:$F,2)</f>
        <v/>
      </c>
      <c r="C460" s="4">
        <f>(Table3[[#This Row],[Conference Board Leading Indicator]]-B448)/B448</f>
        <v/>
      </c>
      <c r="D460" s="3">
        <f>IF(VLOOKUP(Table3[[#This Row],[Date]],'DB LEI'!$A:$I,9)=0,"",VLOOKUP(Table3[[#This Row],[Date]],'DB LEI'!$A:$I,9))</f>
        <v/>
      </c>
      <c r="E460" s="2">
        <f>VLOOKUP(Table3[[#This Row],[Date]],'DB LEI'!$A:$F,4)</f>
        <v/>
      </c>
      <c r="F460" s="4">
        <f>(Table3[[#This Row],[UMSCI]]-E449)/E449</f>
        <v/>
      </c>
    </row>
    <row r="461">
      <c r="A461" s="6" t="n">
        <v>35278</v>
      </c>
      <c r="B461" s="2">
        <f>VLOOKUP(Table3[[#This Row],[Date]],'DB LEI'!$A:$F,2)</f>
        <v/>
      </c>
      <c r="C461" s="4">
        <f>(Table3[[#This Row],[Conference Board Leading Indicator]]-B449)/B449</f>
        <v/>
      </c>
      <c r="D461" s="3">
        <f>IF(VLOOKUP(Table3[[#This Row],[Date]],'DB LEI'!$A:$I,9)=0,"",VLOOKUP(Table3[[#This Row],[Date]],'DB LEI'!$A:$I,9))</f>
        <v/>
      </c>
      <c r="E461" s="2">
        <f>VLOOKUP(Table3[[#This Row],[Date]],'DB LEI'!$A:$F,4)</f>
        <v/>
      </c>
      <c r="F461" s="4">
        <f>(Table3[[#This Row],[UMSCI]]-E450)/E450</f>
        <v/>
      </c>
    </row>
    <row r="462">
      <c r="A462" s="6" t="n">
        <v>35309</v>
      </c>
      <c r="B462" s="2">
        <f>VLOOKUP(Table3[[#This Row],[Date]],'DB LEI'!$A:$F,2)</f>
        <v/>
      </c>
      <c r="C462" s="4">
        <f>(Table3[[#This Row],[Conference Board Leading Indicator]]-B450)/B450</f>
        <v/>
      </c>
      <c r="D462" s="3">
        <f>IF(VLOOKUP(Table3[[#This Row],[Date]],'DB LEI'!$A:$I,9)=0,"",VLOOKUP(Table3[[#This Row],[Date]],'DB LEI'!$A:$I,9))</f>
        <v/>
      </c>
      <c r="E462" s="2">
        <f>VLOOKUP(Table3[[#This Row],[Date]],'DB LEI'!$A:$F,4)</f>
        <v/>
      </c>
      <c r="F462" s="4">
        <f>(Table3[[#This Row],[UMSCI]]-E451)/E451</f>
        <v/>
      </c>
    </row>
    <row r="463">
      <c r="A463" s="6" t="n">
        <v>35339</v>
      </c>
      <c r="B463" s="2">
        <f>VLOOKUP(Table3[[#This Row],[Date]],'DB LEI'!$A:$F,2)</f>
        <v/>
      </c>
      <c r="C463" s="4">
        <f>(Table3[[#This Row],[Conference Board Leading Indicator]]-B451)/B451</f>
        <v/>
      </c>
      <c r="D463" s="3">
        <f>IF(VLOOKUP(Table3[[#This Row],[Date]],'DB LEI'!$A:$I,9)=0,"",VLOOKUP(Table3[[#This Row],[Date]],'DB LEI'!$A:$I,9))</f>
        <v/>
      </c>
      <c r="E463" s="2">
        <f>VLOOKUP(Table3[[#This Row],[Date]],'DB LEI'!$A:$F,4)</f>
        <v/>
      </c>
      <c r="F463" s="4">
        <f>(Table3[[#This Row],[UMSCI]]-E452)/E452</f>
        <v/>
      </c>
    </row>
    <row r="464">
      <c r="A464" s="6" t="n">
        <v>35370</v>
      </c>
      <c r="B464" s="2">
        <f>VLOOKUP(Table3[[#This Row],[Date]],'DB LEI'!$A:$F,2)</f>
        <v/>
      </c>
      <c r="C464" s="4">
        <f>(Table3[[#This Row],[Conference Board Leading Indicator]]-B452)/B452</f>
        <v/>
      </c>
      <c r="D464" s="3">
        <f>IF(VLOOKUP(Table3[[#This Row],[Date]],'DB LEI'!$A:$I,9)=0,"",VLOOKUP(Table3[[#This Row],[Date]],'DB LEI'!$A:$I,9))</f>
        <v/>
      </c>
      <c r="E464" s="2">
        <f>VLOOKUP(Table3[[#This Row],[Date]],'DB LEI'!$A:$F,4)</f>
        <v/>
      </c>
      <c r="F464" s="4">
        <f>(Table3[[#This Row],[UMSCI]]-E453)/E453</f>
        <v/>
      </c>
    </row>
    <row r="465">
      <c r="A465" s="6" t="n">
        <v>35400</v>
      </c>
      <c r="B465" s="2">
        <f>VLOOKUP(Table3[[#This Row],[Date]],'DB LEI'!$A:$F,2)</f>
        <v/>
      </c>
      <c r="C465" s="4">
        <f>(Table3[[#This Row],[Conference Board Leading Indicator]]-B453)/B453</f>
        <v/>
      </c>
      <c r="D465" s="3">
        <f>IF(VLOOKUP(Table3[[#This Row],[Date]],'DB LEI'!$A:$I,9)=0,"",VLOOKUP(Table3[[#This Row],[Date]],'DB LEI'!$A:$I,9))</f>
        <v/>
      </c>
      <c r="E465" s="2">
        <f>VLOOKUP(Table3[[#This Row],[Date]],'DB LEI'!$A:$F,4)</f>
        <v/>
      </c>
      <c r="F465" s="4">
        <f>(Table3[[#This Row],[UMSCI]]-E454)/E454</f>
        <v/>
      </c>
    </row>
    <row r="466">
      <c r="A466" s="6" t="n">
        <v>35431</v>
      </c>
      <c r="B466" s="2">
        <f>VLOOKUP(Table3[[#This Row],[Date]],'DB LEI'!$A:$F,2)</f>
        <v/>
      </c>
      <c r="C466" s="4">
        <f>(Table3[[#This Row],[Conference Board Leading Indicator]]-B454)/B454</f>
        <v/>
      </c>
      <c r="D466" s="3">
        <f>IF(VLOOKUP(Table3[[#This Row],[Date]],'DB LEI'!$A:$I,9)=0,"",VLOOKUP(Table3[[#This Row],[Date]],'DB LEI'!$A:$I,9))</f>
        <v/>
      </c>
      <c r="E466" s="2">
        <f>VLOOKUP(Table3[[#This Row],[Date]],'DB LEI'!$A:$F,4)</f>
        <v/>
      </c>
      <c r="F466" s="4">
        <f>(Table3[[#This Row],[UMSCI]]-E455)/E455</f>
        <v/>
      </c>
    </row>
    <row r="467">
      <c r="A467" s="6" t="n">
        <v>35462</v>
      </c>
      <c r="B467" s="2">
        <f>VLOOKUP(Table3[[#This Row],[Date]],'DB LEI'!$A:$F,2)</f>
        <v/>
      </c>
      <c r="C467" s="4">
        <f>(Table3[[#This Row],[Conference Board Leading Indicator]]-B455)/B455</f>
        <v/>
      </c>
      <c r="D467" s="3">
        <f>IF(VLOOKUP(Table3[[#This Row],[Date]],'DB LEI'!$A:$I,9)=0,"",VLOOKUP(Table3[[#This Row],[Date]],'DB LEI'!$A:$I,9))</f>
        <v/>
      </c>
      <c r="E467" s="2">
        <f>VLOOKUP(Table3[[#This Row],[Date]],'DB LEI'!$A:$F,4)</f>
        <v/>
      </c>
      <c r="F467" s="4">
        <f>(Table3[[#This Row],[UMSCI]]-E456)/E456</f>
        <v/>
      </c>
    </row>
    <row r="468">
      <c r="A468" s="6" t="n">
        <v>35490</v>
      </c>
      <c r="B468" s="2">
        <f>VLOOKUP(Table3[[#This Row],[Date]],'DB LEI'!$A:$F,2)</f>
        <v/>
      </c>
      <c r="C468" s="4">
        <f>(Table3[[#This Row],[Conference Board Leading Indicator]]-B456)/B456</f>
        <v/>
      </c>
      <c r="D468" s="3">
        <f>IF(VLOOKUP(Table3[[#This Row],[Date]],'DB LEI'!$A:$I,9)=0,"",VLOOKUP(Table3[[#This Row],[Date]],'DB LEI'!$A:$I,9))</f>
        <v/>
      </c>
      <c r="E468" s="2">
        <f>VLOOKUP(Table3[[#This Row],[Date]],'DB LEI'!$A:$F,4)</f>
        <v/>
      </c>
      <c r="F468" s="4">
        <f>(Table3[[#This Row],[UMSCI]]-E457)/E457</f>
        <v/>
      </c>
    </row>
    <row r="469">
      <c r="A469" s="6" t="n">
        <v>35521</v>
      </c>
      <c r="B469" s="2">
        <f>VLOOKUP(Table3[[#This Row],[Date]],'DB LEI'!$A:$F,2)</f>
        <v/>
      </c>
      <c r="C469" s="4">
        <f>(Table3[[#This Row],[Conference Board Leading Indicator]]-B457)/B457</f>
        <v/>
      </c>
      <c r="D469" s="3">
        <f>IF(VLOOKUP(Table3[[#This Row],[Date]],'DB LEI'!$A:$I,9)=0,"",VLOOKUP(Table3[[#This Row],[Date]],'DB LEI'!$A:$I,9))</f>
        <v/>
      </c>
      <c r="E469" s="2">
        <f>VLOOKUP(Table3[[#This Row],[Date]],'DB LEI'!$A:$F,4)</f>
        <v/>
      </c>
      <c r="F469" s="4">
        <f>(Table3[[#This Row],[UMSCI]]-E458)/E458</f>
        <v/>
      </c>
    </row>
    <row r="470">
      <c r="A470" s="6" t="n">
        <v>35551</v>
      </c>
      <c r="B470" s="2">
        <f>VLOOKUP(Table3[[#This Row],[Date]],'DB LEI'!$A:$F,2)</f>
        <v/>
      </c>
      <c r="C470" s="4">
        <f>(Table3[[#This Row],[Conference Board Leading Indicator]]-B458)/B458</f>
        <v/>
      </c>
      <c r="D470" s="3">
        <f>IF(VLOOKUP(Table3[[#This Row],[Date]],'DB LEI'!$A:$I,9)=0,"",VLOOKUP(Table3[[#This Row],[Date]],'DB LEI'!$A:$I,9))</f>
        <v/>
      </c>
      <c r="E470" s="2">
        <f>VLOOKUP(Table3[[#This Row],[Date]],'DB LEI'!$A:$F,4)</f>
        <v/>
      </c>
      <c r="F470" s="4">
        <f>(Table3[[#This Row],[UMSCI]]-E459)/E459</f>
        <v/>
      </c>
    </row>
    <row r="471">
      <c r="A471" s="6" t="n">
        <v>35582</v>
      </c>
      <c r="B471" s="2">
        <f>VLOOKUP(Table3[[#This Row],[Date]],'DB LEI'!$A:$F,2)</f>
        <v/>
      </c>
      <c r="C471" s="4">
        <f>(Table3[[#This Row],[Conference Board Leading Indicator]]-B459)/B459</f>
        <v/>
      </c>
      <c r="D471" s="3">
        <f>IF(VLOOKUP(Table3[[#This Row],[Date]],'DB LEI'!$A:$I,9)=0,"",VLOOKUP(Table3[[#This Row],[Date]],'DB LEI'!$A:$I,9))</f>
        <v/>
      </c>
      <c r="E471" s="2">
        <f>VLOOKUP(Table3[[#This Row],[Date]],'DB LEI'!$A:$F,4)</f>
        <v/>
      </c>
      <c r="F471" s="4">
        <f>(Table3[[#This Row],[UMSCI]]-E460)/E460</f>
        <v/>
      </c>
    </row>
    <row r="472">
      <c r="A472" s="6" t="n">
        <v>35612</v>
      </c>
      <c r="B472" s="2">
        <f>VLOOKUP(Table3[[#This Row],[Date]],'DB LEI'!$A:$F,2)</f>
        <v/>
      </c>
      <c r="C472" s="4">
        <f>(Table3[[#This Row],[Conference Board Leading Indicator]]-B460)/B460</f>
        <v/>
      </c>
      <c r="D472" s="3">
        <f>IF(VLOOKUP(Table3[[#This Row],[Date]],'DB LEI'!$A:$I,9)=0,"",VLOOKUP(Table3[[#This Row],[Date]],'DB LEI'!$A:$I,9))</f>
        <v/>
      </c>
      <c r="E472" s="2">
        <f>VLOOKUP(Table3[[#This Row],[Date]],'DB LEI'!$A:$F,4)</f>
        <v/>
      </c>
      <c r="F472" s="4">
        <f>(Table3[[#This Row],[UMSCI]]-E461)/E461</f>
        <v/>
      </c>
    </row>
    <row r="473">
      <c r="A473" s="6" t="n">
        <v>35643</v>
      </c>
      <c r="B473" s="2">
        <f>VLOOKUP(Table3[[#This Row],[Date]],'DB LEI'!$A:$F,2)</f>
        <v/>
      </c>
      <c r="C473" s="4">
        <f>(Table3[[#This Row],[Conference Board Leading Indicator]]-B461)/B461</f>
        <v/>
      </c>
      <c r="D473" s="3">
        <f>IF(VLOOKUP(Table3[[#This Row],[Date]],'DB LEI'!$A:$I,9)=0,"",VLOOKUP(Table3[[#This Row],[Date]],'DB LEI'!$A:$I,9))</f>
        <v/>
      </c>
      <c r="E473" s="2">
        <f>VLOOKUP(Table3[[#This Row],[Date]],'DB LEI'!$A:$F,4)</f>
        <v/>
      </c>
      <c r="F473" s="4">
        <f>(Table3[[#This Row],[UMSCI]]-E462)/E462</f>
        <v/>
      </c>
    </row>
    <row r="474">
      <c r="A474" s="6" t="n">
        <v>35674</v>
      </c>
      <c r="B474" s="2">
        <f>VLOOKUP(Table3[[#This Row],[Date]],'DB LEI'!$A:$F,2)</f>
        <v/>
      </c>
      <c r="C474" s="4">
        <f>(Table3[[#This Row],[Conference Board Leading Indicator]]-B462)/B462</f>
        <v/>
      </c>
      <c r="D474" s="3">
        <f>IF(VLOOKUP(Table3[[#This Row],[Date]],'DB LEI'!$A:$I,9)=0,"",VLOOKUP(Table3[[#This Row],[Date]],'DB LEI'!$A:$I,9))</f>
        <v/>
      </c>
      <c r="E474" s="2">
        <f>VLOOKUP(Table3[[#This Row],[Date]],'DB LEI'!$A:$F,4)</f>
        <v/>
      </c>
      <c r="F474" s="4">
        <f>(Table3[[#This Row],[UMSCI]]-E463)/E463</f>
        <v/>
      </c>
    </row>
    <row r="475">
      <c r="A475" s="6" t="n">
        <v>35704</v>
      </c>
      <c r="B475" s="2">
        <f>VLOOKUP(Table3[[#This Row],[Date]],'DB LEI'!$A:$F,2)</f>
        <v/>
      </c>
      <c r="C475" s="4">
        <f>(Table3[[#This Row],[Conference Board Leading Indicator]]-B463)/B463</f>
        <v/>
      </c>
      <c r="D475" s="3">
        <f>IF(VLOOKUP(Table3[[#This Row],[Date]],'DB LEI'!$A:$I,9)=0,"",VLOOKUP(Table3[[#This Row],[Date]],'DB LEI'!$A:$I,9))</f>
        <v/>
      </c>
      <c r="E475" s="2">
        <f>VLOOKUP(Table3[[#This Row],[Date]],'DB LEI'!$A:$F,4)</f>
        <v/>
      </c>
      <c r="F475" s="4">
        <f>(Table3[[#This Row],[UMSCI]]-E464)/E464</f>
        <v/>
      </c>
    </row>
    <row r="476">
      <c r="A476" s="6" t="n">
        <v>35735</v>
      </c>
      <c r="B476" s="2">
        <f>VLOOKUP(Table3[[#This Row],[Date]],'DB LEI'!$A:$F,2)</f>
        <v/>
      </c>
      <c r="C476" s="4">
        <f>(Table3[[#This Row],[Conference Board Leading Indicator]]-B464)/B464</f>
        <v/>
      </c>
      <c r="D476" s="3">
        <f>IF(VLOOKUP(Table3[[#This Row],[Date]],'DB LEI'!$A:$I,9)=0,"",VLOOKUP(Table3[[#This Row],[Date]],'DB LEI'!$A:$I,9))</f>
        <v/>
      </c>
      <c r="E476" s="2">
        <f>VLOOKUP(Table3[[#This Row],[Date]],'DB LEI'!$A:$F,4)</f>
        <v/>
      </c>
      <c r="F476" s="4">
        <f>(Table3[[#This Row],[UMSCI]]-E465)/E465</f>
        <v/>
      </c>
    </row>
    <row r="477">
      <c r="A477" s="6" t="n">
        <v>35765</v>
      </c>
      <c r="B477" s="2">
        <f>VLOOKUP(Table3[[#This Row],[Date]],'DB LEI'!$A:$F,2)</f>
        <v/>
      </c>
      <c r="C477" s="4">
        <f>(Table3[[#This Row],[Conference Board Leading Indicator]]-B465)/B465</f>
        <v/>
      </c>
      <c r="D477" s="3">
        <f>IF(VLOOKUP(Table3[[#This Row],[Date]],'DB LEI'!$A:$I,9)=0,"",VLOOKUP(Table3[[#This Row],[Date]],'DB LEI'!$A:$I,9))</f>
        <v/>
      </c>
      <c r="E477" s="2">
        <f>VLOOKUP(Table3[[#This Row],[Date]],'DB LEI'!$A:$F,4)</f>
        <v/>
      </c>
      <c r="F477" s="4">
        <f>(Table3[[#This Row],[UMSCI]]-E466)/E466</f>
        <v/>
      </c>
    </row>
    <row r="478">
      <c r="A478" s="6" t="n">
        <v>35796</v>
      </c>
      <c r="B478" s="2">
        <f>VLOOKUP(Table3[[#This Row],[Date]],'DB LEI'!$A:$F,2)</f>
        <v/>
      </c>
      <c r="C478" s="4">
        <f>(Table3[[#This Row],[Conference Board Leading Indicator]]-B466)/B466</f>
        <v/>
      </c>
      <c r="D478" s="3">
        <f>IF(VLOOKUP(Table3[[#This Row],[Date]],'DB LEI'!$A:$I,9)=0,"",VLOOKUP(Table3[[#This Row],[Date]],'DB LEI'!$A:$I,9))</f>
        <v/>
      </c>
      <c r="E478" s="2">
        <f>VLOOKUP(Table3[[#This Row],[Date]],'DB LEI'!$A:$F,4)</f>
        <v/>
      </c>
      <c r="F478" s="4">
        <f>(Table3[[#This Row],[UMSCI]]-E467)/E467</f>
        <v/>
      </c>
    </row>
    <row r="479">
      <c r="A479" s="6" t="n">
        <v>35827</v>
      </c>
      <c r="B479" s="2">
        <f>VLOOKUP(Table3[[#This Row],[Date]],'DB LEI'!$A:$F,2)</f>
        <v/>
      </c>
      <c r="C479" s="4">
        <f>(Table3[[#This Row],[Conference Board Leading Indicator]]-B467)/B467</f>
        <v/>
      </c>
      <c r="D479" s="3">
        <f>IF(VLOOKUP(Table3[[#This Row],[Date]],'DB LEI'!$A:$I,9)=0,"",VLOOKUP(Table3[[#This Row],[Date]],'DB LEI'!$A:$I,9))</f>
        <v/>
      </c>
      <c r="E479" s="2">
        <f>VLOOKUP(Table3[[#This Row],[Date]],'DB LEI'!$A:$F,4)</f>
        <v/>
      </c>
      <c r="F479" s="4">
        <f>(Table3[[#This Row],[UMSCI]]-E468)/E468</f>
        <v/>
      </c>
    </row>
    <row r="480">
      <c r="A480" s="6" t="n">
        <v>35855</v>
      </c>
      <c r="B480" s="2">
        <f>VLOOKUP(Table3[[#This Row],[Date]],'DB LEI'!$A:$F,2)</f>
        <v/>
      </c>
      <c r="C480" s="4">
        <f>(Table3[[#This Row],[Conference Board Leading Indicator]]-B468)/B468</f>
        <v/>
      </c>
      <c r="D480" s="3">
        <f>IF(VLOOKUP(Table3[[#This Row],[Date]],'DB LEI'!$A:$I,9)=0,"",VLOOKUP(Table3[[#This Row],[Date]],'DB LEI'!$A:$I,9))</f>
        <v/>
      </c>
      <c r="E480" s="2">
        <f>VLOOKUP(Table3[[#This Row],[Date]],'DB LEI'!$A:$F,4)</f>
        <v/>
      </c>
      <c r="F480" s="4">
        <f>(Table3[[#This Row],[UMSCI]]-E469)/E469</f>
        <v/>
      </c>
    </row>
    <row r="481">
      <c r="A481" s="6" t="n">
        <v>35886</v>
      </c>
      <c r="B481" s="2">
        <f>VLOOKUP(Table3[[#This Row],[Date]],'DB LEI'!$A:$F,2)</f>
        <v/>
      </c>
      <c r="C481" s="4">
        <f>(Table3[[#This Row],[Conference Board Leading Indicator]]-B469)/B469</f>
        <v/>
      </c>
      <c r="D481" s="3">
        <f>IF(VLOOKUP(Table3[[#This Row],[Date]],'DB LEI'!$A:$I,9)=0,"",VLOOKUP(Table3[[#This Row],[Date]],'DB LEI'!$A:$I,9))</f>
        <v/>
      </c>
      <c r="E481" s="2">
        <f>VLOOKUP(Table3[[#This Row],[Date]],'DB LEI'!$A:$F,4)</f>
        <v/>
      </c>
      <c r="F481" s="4">
        <f>(Table3[[#This Row],[UMSCI]]-E470)/E470</f>
        <v/>
      </c>
    </row>
    <row r="482">
      <c r="A482" s="6" t="n">
        <v>35916</v>
      </c>
      <c r="B482" s="2">
        <f>VLOOKUP(Table3[[#This Row],[Date]],'DB LEI'!$A:$F,2)</f>
        <v/>
      </c>
      <c r="C482" s="4">
        <f>(Table3[[#This Row],[Conference Board Leading Indicator]]-B470)/B470</f>
        <v/>
      </c>
      <c r="D482" s="3">
        <f>IF(VLOOKUP(Table3[[#This Row],[Date]],'DB LEI'!$A:$I,9)=0,"",VLOOKUP(Table3[[#This Row],[Date]],'DB LEI'!$A:$I,9))</f>
        <v/>
      </c>
      <c r="E482" s="2">
        <f>VLOOKUP(Table3[[#This Row],[Date]],'DB LEI'!$A:$F,4)</f>
        <v/>
      </c>
      <c r="F482" s="4">
        <f>(Table3[[#This Row],[UMSCI]]-E471)/E471</f>
        <v/>
      </c>
    </row>
    <row r="483">
      <c r="A483" s="6" t="n">
        <v>35947</v>
      </c>
      <c r="B483" s="2">
        <f>VLOOKUP(Table3[[#This Row],[Date]],'DB LEI'!$A:$F,2)</f>
        <v/>
      </c>
      <c r="C483" s="4">
        <f>(Table3[[#This Row],[Conference Board Leading Indicator]]-B471)/B471</f>
        <v/>
      </c>
      <c r="D483" s="3">
        <f>IF(VLOOKUP(Table3[[#This Row],[Date]],'DB LEI'!$A:$I,9)=0,"",VLOOKUP(Table3[[#This Row],[Date]],'DB LEI'!$A:$I,9))</f>
        <v/>
      </c>
      <c r="E483" s="2">
        <f>VLOOKUP(Table3[[#This Row],[Date]],'DB LEI'!$A:$F,4)</f>
        <v/>
      </c>
      <c r="F483" s="4">
        <f>(Table3[[#This Row],[UMSCI]]-E472)/E472</f>
        <v/>
      </c>
    </row>
    <row r="484">
      <c r="A484" s="6" t="n">
        <v>35977</v>
      </c>
      <c r="B484" s="2">
        <f>VLOOKUP(Table3[[#This Row],[Date]],'DB LEI'!$A:$F,2)</f>
        <v/>
      </c>
      <c r="C484" s="4">
        <f>(Table3[[#This Row],[Conference Board Leading Indicator]]-B472)/B472</f>
        <v/>
      </c>
      <c r="D484" s="3">
        <f>IF(VLOOKUP(Table3[[#This Row],[Date]],'DB LEI'!$A:$I,9)=0,"",VLOOKUP(Table3[[#This Row],[Date]],'DB LEI'!$A:$I,9))</f>
        <v/>
      </c>
      <c r="E484" s="2">
        <f>VLOOKUP(Table3[[#This Row],[Date]],'DB LEI'!$A:$F,4)</f>
        <v/>
      </c>
      <c r="F484" s="4">
        <f>(Table3[[#This Row],[UMSCI]]-E473)/E473</f>
        <v/>
      </c>
    </row>
    <row r="485">
      <c r="A485" s="6" t="n">
        <v>36008</v>
      </c>
      <c r="B485" s="2">
        <f>VLOOKUP(Table3[[#This Row],[Date]],'DB LEI'!$A:$F,2)</f>
        <v/>
      </c>
      <c r="C485" s="4">
        <f>(Table3[[#This Row],[Conference Board Leading Indicator]]-B473)/B473</f>
        <v/>
      </c>
      <c r="D485" s="3">
        <f>IF(VLOOKUP(Table3[[#This Row],[Date]],'DB LEI'!$A:$I,9)=0,"",VLOOKUP(Table3[[#This Row],[Date]],'DB LEI'!$A:$I,9))</f>
        <v/>
      </c>
      <c r="E485" s="2">
        <f>VLOOKUP(Table3[[#This Row],[Date]],'DB LEI'!$A:$F,4)</f>
        <v/>
      </c>
      <c r="F485" s="4">
        <f>(Table3[[#This Row],[UMSCI]]-E474)/E474</f>
        <v/>
      </c>
    </row>
    <row r="486">
      <c r="A486" s="6" t="n">
        <v>36039</v>
      </c>
      <c r="B486" s="2">
        <f>VLOOKUP(Table3[[#This Row],[Date]],'DB LEI'!$A:$F,2)</f>
        <v/>
      </c>
      <c r="C486" s="4">
        <f>(Table3[[#This Row],[Conference Board Leading Indicator]]-B474)/B474</f>
        <v/>
      </c>
      <c r="D486" s="3">
        <f>IF(VLOOKUP(Table3[[#This Row],[Date]],'DB LEI'!$A:$I,9)=0,"",VLOOKUP(Table3[[#This Row],[Date]],'DB LEI'!$A:$I,9))</f>
        <v/>
      </c>
      <c r="E486" s="2">
        <f>VLOOKUP(Table3[[#This Row],[Date]],'DB LEI'!$A:$F,4)</f>
        <v/>
      </c>
      <c r="F486" s="4">
        <f>(Table3[[#This Row],[UMSCI]]-E475)/E475</f>
        <v/>
      </c>
    </row>
    <row r="487">
      <c r="A487" s="6" t="n">
        <v>36069</v>
      </c>
      <c r="B487" s="2">
        <f>VLOOKUP(Table3[[#This Row],[Date]],'DB LEI'!$A:$F,2)</f>
        <v/>
      </c>
      <c r="C487" s="4">
        <f>(Table3[[#This Row],[Conference Board Leading Indicator]]-B475)/B475</f>
        <v/>
      </c>
      <c r="D487" s="3">
        <f>IF(VLOOKUP(Table3[[#This Row],[Date]],'DB LEI'!$A:$I,9)=0,"",VLOOKUP(Table3[[#This Row],[Date]],'DB LEI'!$A:$I,9))</f>
        <v/>
      </c>
      <c r="E487" s="2">
        <f>VLOOKUP(Table3[[#This Row],[Date]],'DB LEI'!$A:$F,4)</f>
        <v/>
      </c>
      <c r="F487" s="4">
        <f>(Table3[[#This Row],[UMSCI]]-E476)/E476</f>
        <v/>
      </c>
    </row>
    <row r="488">
      <c r="A488" s="6" t="n">
        <v>36100</v>
      </c>
      <c r="B488" s="2">
        <f>VLOOKUP(Table3[[#This Row],[Date]],'DB LEI'!$A:$F,2)</f>
        <v/>
      </c>
      <c r="C488" s="4">
        <f>(Table3[[#This Row],[Conference Board Leading Indicator]]-B476)/B476</f>
        <v/>
      </c>
      <c r="D488" s="3">
        <f>IF(VLOOKUP(Table3[[#This Row],[Date]],'DB LEI'!$A:$I,9)=0,"",VLOOKUP(Table3[[#This Row],[Date]],'DB LEI'!$A:$I,9))</f>
        <v/>
      </c>
      <c r="E488" s="2">
        <f>VLOOKUP(Table3[[#This Row],[Date]],'DB LEI'!$A:$F,4)</f>
        <v/>
      </c>
      <c r="F488" s="4">
        <f>(Table3[[#This Row],[UMSCI]]-E477)/E477</f>
        <v/>
      </c>
    </row>
    <row r="489">
      <c r="A489" s="6" t="n">
        <v>36130</v>
      </c>
      <c r="B489" s="2">
        <f>VLOOKUP(Table3[[#This Row],[Date]],'DB LEI'!$A:$F,2)</f>
        <v/>
      </c>
      <c r="C489" s="4">
        <f>(Table3[[#This Row],[Conference Board Leading Indicator]]-B477)/B477</f>
        <v/>
      </c>
      <c r="D489" s="3">
        <f>IF(VLOOKUP(Table3[[#This Row],[Date]],'DB LEI'!$A:$I,9)=0,"",VLOOKUP(Table3[[#This Row],[Date]],'DB LEI'!$A:$I,9))</f>
        <v/>
      </c>
      <c r="E489" s="2">
        <f>VLOOKUP(Table3[[#This Row],[Date]],'DB LEI'!$A:$F,4)</f>
        <v/>
      </c>
      <c r="F489" s="4">
        <f>(Table3[[#This Row],[UMSCI]]-E478)/E478</f>
        <v/>
      </c>
    </row>
    <row r="490">
      <c r="A490" s="6" t="n">
        <v>36161</v>
      </c>
      <c r="B490" s="2">
        <f>VLOOKUP(Table3[[#This Row],[Date]],'DB LEI'!$A:$F,2)</f>
        <v/>
      </c>
      <c r="C490" s="4">
        <f>(Table3[[#This Row],[Conference Board Leading Indicator]]-B478)/B478</f>
        <v/>
      </c>
      <c r="D490" s="3">
        <f>IF(VLOOKUP(Table3[[#This Row],[Date]],'DB LEI'!$A:$I,9)=0,"",VLOOKUP(Table3[[#This Row],[Date]],'DB LEI'!$A:$I,9))</f>
        <v/>
      </c>
      <c r="E490" s="2">
        <f>VLOOKUP(Table3[[#This Row],[Date]],'DB LEI'!$A:$F,4)</f>
        <v/>
      </c>
      <c r="F490" s="4">
        <f>(Table3[[#This Row],[UMSCI]]-E479)/E479</f>
        <v/>
      </c>
    </row>
    <row r="491">
      <c r="A491" s="6" t="n">
        <v>36192</v>
      </c>
      <c r="B491" s="2">
        <f>VLOOKUP(Table3[[#This Row],[Date]],'DB LEI'!$A:$F,2)</f>
        <v/>
      </c>
      <c r="C491" s="4">
        <f>(Table3[[#This Row],[Conference Board Leading Indicator]]-B479)/B479</f>
        <v/>
      </c>
      <c r="D491" s="3">
        <f>IF(VLOOKUP(Table3[[#This Row],[Date]],'DB LEI'!$A:$I,9)=0,"",VLOOKUP(Table3[[#This Row],[Date]],'DB LEI'!$A:$I,9))</f>
        <v/>
      </c>
      <c r="E491" s="2">
        <f>VLOOKUP(Table3[[#This Row],[Date]],'DB LEI'!$A:$F,4)</f>
        <v/>
      </c>
      <c r="F491" s="4">
        <f>(Table3[[#This Row],[UMSCI]]-E480)/E480</f>
        <v/>
      </c>
    </row>
    <row r="492">
      <c r="A492" s="6" t="n">
        <v>36220</v>
      </c>
      <c r="B492" s="2">
        <f>VLOOKUP(Table3[[#This Row],[Date]],'DB LEI'!$A:$F,2)</f>
        <v/>
      </c>
      <c r="C492" s="4">
        <f>(Table3[[#This Row],[Conference Board Leading Indicator]]-B480)/B480</f>
        <v/>
      </c>
      <c r="D492" s="3">
        <f>IF(VLOOKUP(Table3[[#This Row],[Date]],'DB LEI'!$A:$I,9)=0,"",VLOOKUP(Table3[[#This Row],[Date]],'DB LEI'!$A:$I,9))</f>
        <v/>
      </c>
      <c r="E492" s="2">
        <f>VLOOKUP(Table3[[#This Row],[Date]],'DB LEI'!$A:$F,4)</f>
        <v/>
      </c>
      <c r="F492" s="4">
        <f>(Table3[[#This Row],[UMSCI]]-E481)/E481</f>
        <v/>
      </c>
    </row>
    <row r="493">
      <c r="A493" s="6" t="n">
        <v>36251</v>
      </c>
      <c r="B493" s="2">
        <f>VLOOKUP(Table3[[#This Row],[Date]],'DB LEI'!$A:$F,2)</f>
        <v/>
      </c>
      <c r="C493" s="4">
        <f>(Table3[[#This Row],[Conference Board Leading Indicator]]-B481)/B481</f>
        <v/>
      </c>
      <c r="D493" s="3">
        <f>IF(VLOOKUP(Table3[[#This Row],[Date]],'DB LEI'!$A:$I,9)=0,"",VLOOKUP(Table3[[#This Row],[Date]],'DB LEI'!$A:$I,9))</f>
        <v/>
      </c>
      <c r="E493" s="2">
        <f>VLOOKUP(Table3[[#This Row],[Date]],'DB LEI'!$A:$F,4)</f>
        <v/>
      </c>
      <c r="F493" s="4">
        <f>(Table3[[#This Row],[UMSCI]]-E482)/E482</f>
        <v/>
      </c>
    </row>
    <row r="494">
      <c r="A494" s="6" t="n">
        <v>36281</v>
      </c>
      <c r="B494" s="2">
        <f>VLOOKUP(Table3[[#This Row],[Date]],'DB LEI'!$A:$F,2)</f>
        <v/>
      </c>
      <c r="C494" s="4">
        <f>(Table3[[#This Row],[Conference Board Leading Indicator]]-B482)/B482</f>
        <v/>
      </c>
      <c r="D494" s="3">
        <f>IF(VLOOKUP(Table3[[#This Row],[Date]],'DB LEI'!$A:$I,9)=0,"",VLOOKUP(Table3[[#This Row],[Date]],'DB LEI'!$A:$I,9))</f>
        <v/>
      </c>
      <c r="E494" s="2">
        <f>VLOOKUP(Table3[[#This Row],[Date]],'DB LEI'!$A:$F,4)</f>
        <v/>
      </c>
      <c r="F494" s="4">
        <f>(Table3[[#This Row],[UMSCI]]-E483)/E483</f>
        <v/>
      </c>
    </row>
    <row r="495">
      <c r="A495" s="6" t="n">
        <v>36312</v>
      </c>
      <c r="B495" s="2">
        <f>VLOOKUP(Table3[[#This Row],[Date]],'DB LEI'!$A:$F,2)</f>
        <v/>
      </c>
      <c r="C495" s="4">
        <f>(Table3[[#This Row],[Conference Board Leading Indicator]]-B483)/B483</f>
        <v/>
      </c>
      <c r="D495" s="3">
        <f>IF(VLOOKUP(Table3[[#This Row],[Date]],'DB LEI'!$A:$I,9)=0,"",VLOOKUP(Table3[[#This Row],[Date]],'DB LEI'!$A:$I,9))</f>
        <v/>
      </c>
      <c r="E495" s="2">
        <f>VLOOKUP(Table3[[#This Row],[Date]],'DB LEI'!$A:$F,4)</f>
        <v/>
      </c>
      <c r="F495" s="4">
        <f>(Table3[[#This Row],[UMSCI]]-E484)/E484</f>
        <v/>
      </c>
    </row>
    <row r="496">
      <c r="A496" s="6" t="n">
        <v>36342</v>
      </c>
      <c r="B496" s="2">
        <f>VLOOKUP(Table3[[#This Row],[Date]],'DB LEI'!$A:$F,2)</f>
        <v/>
      </c>
      <c r="C496" s="4">
        <f>(Table3[[#This Row],[Conference Board Leading Indicator]]-B484)/B484</f>
        <v/>
      </c>
      <c r="D496" s="3">
        <f>IF(VLOOKUP(Table3[[#This Row],[Date]],'DB LEI'!$A:$I,9)=0,"",VLOOKUP(Table3[[#This Row],[Date]],'DB LEI'!$A:$I,9))</f>
        <v/>
      </c>
      <c r="E496" s="2">
        <f>VLOOKUP(Table3[[#This Row],[Date]],'DB LEI'!$A:$F,4)</f>
        <v/>
      </c>
      <c r="F496" s="4">
        <f>(Table3[[#This Row],[UMSCI]]-E485)/E485</f>
        <v/>
      </c>
    </row>
    <row r="497">
      <c r="A497" s="6" t="n">
        <v>36373</v>
      </c>
      <c r="B497" s="2">
        <f>VLOOKUP(Table3[[#This Row],[Date]],'DB LEI'!$A:$F,2)</f>
        <v/>
      </c>
      <c r="C497" s="4">
        <f>(Table3[[#This Row],[Conference Board Leading Indicator]]-B485)/B485</f>
        <v/>
      </c>
      <c r="D497" s="3">
        <f>IF(VLOOKUP(Table3[[#This Row],[Date]],'DB LEI'!$A:$I,9)=0,"",VLOOKUP(Table3[[#This Row],[Date]],'DB LEI'!$A:$I,9))</f>
        <v/>
      </c>
      <c r="E497" s="2">
        <f>VLOOKUP(Table3[[#This Row],[Date]],'DB LEI'!$A:$F,4)</f>
        <v/>
      </c>
      <c r="F497" s="4">
        <f>(Table3[[#This Row],[UMSCI]]-E486)/E486</f>
        <v/>
      </c>
    </row>
    <row r="498">
      <c r="A498" s="6" t="n">
        <v>36404</v>
      </c>
      <c r="B498" s="2">
        <f>VLOOKUP(Table3[[#This Row],[Date]],'DB LEI'!$A:$F,2)</f>
        <v/>
      </c>
      <c r="C498" s="4">
        <f>(Table3[[#This Row],[Conference Board Leading Indicator]]-B486)/B486</f>
        <v/>
      </c>
      <c r="D498" s="3">
        <f>IF(VLOOKUP(Table3[[#This Row],[Date]],'DB LEI'!$A:$I,9)=0,"",VLOOKUP(Table3[[#This Row],[Date]],'DB LEI'!$A:$I,9))</f>
        <v/>
      </c>
      <c r="E498" s="2">
        <f>VLOOKUP(Table3[[#This Row],[Date]],'DB LEI'!$A:$F,4)</f>
        <v/>
      </c>
      <c r="F498" s="4">
        <f>(Table3[[#This Row],[UMSCI]]-E487)/E487</f>
        <v/>
      </c>
    </row>
    <row r="499">
      <c r="A499" s="6" t="n">
        <v>36434</v>
      </c>
      <c r="B499" s="2">
        <f>VLOOKUP(Table3[[#This Row],[Date]],'DB LEI'!$A:$F,2)</f>
        <v/>
      </c>
      <c r="C499" s="4">
        <f>(Table3[[#This Row],[Conference Board Leading Indicator]]-B487)/B487</f>
        <v/>
      </c>
      <c r="D499" s="3">
        <f>IF(VLOOKUP(Table3[[#This Row],[Date]],'DB LEI'!$A:$I,9)=0,"",VLOOKUP(Table3[[#This Row],[Date]],'DB LEI'!$A:$I,9))</f>
        <v/>
      </c>
      <c r="E499" s="2">
        <f>VLOOKUP(Table3[[#This Row],[Date]],'DB LEI'!$A:$F,4)</f>
        <v/>
      </c>
      <c r="F499" s="4">
        <f>(Table3[[#This Row],[UMSCI]]-E488)/E488</f>
        <v/>
      </c>
    </row>
    <row r="500">
      <c r="A500" s="6" t="n">
        <v>36465</v>
      </c>
      <c r="B500" s="2">
        <f>VLOOKUP(Table3[[#This Row],[Date]],'DB LEI'!$A:$F,2)</f>
        <v/>
      </c>
      <c r="C500" s="4">
        <f>(Table3[[#This Row],[Conference Board Leading Indicator]]-B488)/B488</f>
        <v/>
      </c>
      <c r="D500" s="3">
        <f>IF(VLOOKUP(Table3[[#This Row],[Date]],'DB LEI'!$A:$I,9)=0,"",VLOOKUP(Table3[[#This Row],[Date]],'DB LEI'!$A:$I,9))</f>
        <v/>
      </c>
      <c r="E500" s="2">
        <f>VLOOKUP(Table3[[#This Row],[Date]],'DB LEI'!$A:$F,4)</f>
        <v/>
      </c>
      <c r="F500" s="4">
        <f>(Table3[[#This Row],[UMSCI]]-E489)/E489</f>
        <v/>
      </c>
    </row>
    <row r="501">
      <c r="A501" s="6" t="n">
        <v>36495</v>
      </c>
      <c r="B501" s="2">
        <f>VLOOKUP(Table3[[#This Row],[Date]],'DB LEI'!$A:$F,2)</f>
        <v/>
      </c>
      <c r="C501" s="4">
        <f>(Table3[[#This Row],[Conference Board Leading Indicator]]-B489)/B489</f>
        <v/>
      </c>
      <c r="D501" s="3">
        <f>IF(VLOOKUP(Table3[[#This Row],[Date]],'DB LEI'!$A:$I,9)=0,"",VLOOKUP(Table3[[#This Row],[Date]],'DB LEI'!$A:$I,9))</f>
        <v/>
      </c>
      <c r="E501" s="2">
        <f>VLOOKUP(Table3[[#This Row],[Date]],'DB LEI'!$A:$F,4)</f>
        <v/>
      </c>
      <c r="F501" s="4">
        <f>(Table3[[#This Row],[UMSCI]]-E490)/E490</f>
        <v/>
      </c>
    </row>
    <row r="502">
      <c r="A502" s="6" t="n">
        <v>36526</v>
      </c>
      <c r="B502" s="2">
        <f>VLOOKUP(Table3[[#This Row],[Date]],'DB LEI'!$A:$F,2)</f>
        <v/>
      </c>
      <c r="C502" s="4">
        <f>(Table3[[#This Row],[Conference Board Leading Indicator]]-B490)/B490</f>
        <v/>
      </c>
      <c r="D502" s="3">
        <f>IF(VLOOKUP(Table3[[#This Row],[Date]],'DB LEI'!$A:$I,9)=0,"",VLOOKUP(Table3[[#This Row],[Date]],'DB LEI'!$A:$I,9))</f>
        <v/>
      </c>
      <c r="E502" s="2">
        <f>VLOOKUP(Table3[[#This Row],[Date]],'DB LEI'!$A:$F,4)</f>
        <v/>
      </c>
      <c r="F502" s="4">
        <f>(Table3[[#This Row],[UMSCI]]-E491)/E491</f>
        <v/>
      </c>
    </row>
    <row r="503">
      <c r="A503" s="6" t="n">
        <v>36557</v>
      </c>
      <c r="B503" s="2">
        <f>VLOOKUP(Table3[[#This Row],[Date]],'DB LEI'!$A:$F,2)</f>
        <v/>
      </c>
      <c r="C503" s="4">
        <f>(Table3[[#This Row],[Conference Board Leading Indicator]]-B491)/B491</f>
        <v/>
      </c>
      <c r="D503" s="3">
        <f>IF(VLOOKUP(Table3[[#This Row],[Date]],'DB LEI'!$A:$I,9)=0,"",VLOOKUP(Table3[[#This Row],[Date]],'DB LEI'!$A:$I,9))</f>
        <v/>
      </c>
      <c r="E503" s="2">
        <f>VLOOKUP(Table3[[#This Row],[Date]],'DB LEI'!$A:$F,4)</f>
        <v/>
      </c>
      <c r="F503" s="4">
        <f>(Table3[[#This Row],[UMSCI]]-E492)/E492</f>
        <v/>
      </c>
    </row>
    <row r="504">
      <c r="A504" s="6" t="n">
        <v>36586</v>
      </c>
      <c r="B504" s="2">
        <f>VLOOKUP(Table3[[#This Row],[Date]],'DB LEI'!$A:$F,2)</f>
        <v/>
      </c>
      <c r="C504" s="4">
        <f>(Table3[[#This Row],[Conference Board Leading Indicator]]-B492)/B492</f>
        <v/>
      </c>
      <c r="D504" s="3">
        <f>IF(VLOOKUP(Table3[[#This Row],[Date]],'DB LEI'!$A:$I,9)=0,"",VLOOKUP(Table3[[#This Row],[Date]],'DB LEI'!$A:$I,9))</f>
        <v/>
      </c>
      <c r="E504" s="2">
        <f>VLOOKUP(Table3[[#This Row],[Date]],'DB LEI'!$A:$F,4)</f>
        <v/>
      </c>
      <c r="F504" s="4">
        <f>(Table3[[#This Row],[UMSCI]]-E493)/E493</f>
        <v/>
      </c>
    </row>
    <row r="505">
      <c r="A505" s="6" t="n">
        <v>36617</v>
      </c>
      <c r="B505" s="2">
        <f>VLOOKUP(Table3[[#This Row],[Date]],'DB LEI'!$A:$F,2)</f>
        <v/>
      </c>
      <c r="C505" s="4">
        <f>(Table3[[#This Row],[Conference Board Leading Indicator]]-B493)/B493</f>
        <v/>
      </c>
      <c r="D505" s="3">
        <f>IF(VLOOKUP(Table3[[#This Row],[Date]],'DB LEI'!$A:$I,9)=0,"",VLOOKUP(Table3[[#This Row],[Date]],'DB LEI'!$A:$I,9))</f>
        <v/>
      </c>
      <c r="E505" s="2">
        <f>VLOOKUP(Table3[[#This Row],[Date]],'DB LEI'!$A:$F,4)</f>
        <v/>
      </c>
      <c r="F505" s="4">
        <f>(Table3[[#This Row],[UMSCI]]-E494)/E494</f>
        <v/>
      </c>
    </row>
    <row r="506">
      <c r="A506" s="6" t="n">
        <v>36647</v>
      </c>
      <c r="B506" s="2">
        <f>VLOOKUP(Table3[[#This Row],[Date]],'DB LEI'!$A:$F,2)</f>
        <v/>
      </c>
      <c r="C506" s="4">
        <f>(Table3[[#This Row],[Conference Board Leading Indicator]]-B494)/B494</f>
        <v/>
      </c>
      <c r="D506" s="3">
        <f>IF(VLOOKUP(Table3[[#This Row],[Date]],'DB LEI'!$A:$I,9)=0,"",VLOOKUP(Table3[[#This Row],[Date]],'DB LEI'!$A:$I,9))</f>
        <v/>
      </c>
      <c r="E506" s="2">
        <f>VLOOKUP(Table3[[#This Row],[Date]],'DB LEI'!$A:$F,4)</f>
        <v/>
      </c>
      <c r="F506" s="4">
        <f>(Table3[[#This Row],[UMSCI]]-E495)/E495</f>
        <v/>
      </c>
    </row>
    <row r="507">
      <c r="A507" s="6" t="n">
        <v>36678</v>
      </c>
      <c r="B507" s="2">
        <f>VLOOKUP(Table3[[#This Row],[Date]],'DB LEI'!$A:$F,2)</f>
        <v/>
      </c>
      <c r="C507" s="4">
        <f>(Table3[[#This Row],[Conference Board Leading Indicator]]-B495)/B495</f>
        <v/>
      </c>
      <c r="D507" s="3">
        <f>IF(VLOOKUP(Table3[[#This Row],[Date]],'DB LEI'!$A:$I,9)=0,"",VLOOKUP(Table3[[#This Row],[Date]],'DB LEI'!$A:$I,9))</f>
        <v/>
      </c>
      <c r="E507" s="2">
        <f>VLOOKUP(Table3[[#This Row],[Date]],'DB LEI'!$A:$F,4)</f>
        <v/>
      </c>
      <c r="F507" s="4">
        <f>(Table3[[#This Row],[UMSCI]]-E496)/E496</f>
        <v/>
      </c>
    </row>
    <row r="508">
      <c r="A508" s="6" t="n">
        <v>36708</v>
      </c>
      <c r="B508" s="2">
        <f>VLOOKUP(Table3[[#This Row],[Date]],'DB LEI'!$A:$F,2)</f>
        <v/>
      </c>
      <c r="C508" s="4">
        <f>(Table3[[#This Row],[Conference Board Leading Indicator]]-B496)/B496</f>
        <v/>
      </c>
      <c r="D508" s="3">
        <f>IF(VLOOKUP(Table3[[#This Row],[Date]],'DB LEI'!$A:$I,9)=0,"",VLOOKUP(Table3[[#This Row],[Date]],'DB LEI'!$A:$I,9))</f>
        <v/>
      </c>
      <c r="E508" s="2">
        <f>VLOOKUP(Table3[[#This Row],[Date]],'DB LEI'!$A:$F,4)</f>
        <v/>
      </c>
      <c r="F508" s="4">
        <f>(Table3[[#This Row],[UMSCI]]-E497)/E497</f>
        <v/>
      </c>
    </row>
    <row r="509">
      <c r="A509" s="6" t="n">
        <v>36739</v>
      </c>
      <c r="B509" s="2">
        <f>VLOOKUP(Table3[[#This Row],[Date]],'DB LEI'!$A:$F,2)</f>
        <v/>
      </c>
      <c r="C509" s="4">
        <f>(Table3[[#This Row],[Conference Board Leading Indicator]]-B497)/B497</f>
        <v/>
      </c>
      <c r="D509" s="3">
        <f>IF(VLOOKUP(Table3[[#This Row],[Date]],'DB LEI'!$A:$I,9)=0,"",VLOOKUP(Table3[[#This Row],[Date]],'DB LEI'!$A:$I,9))</f>
        <v/>
      </c>
      <c r="E509" s="2">
        <f>VLOOKUP(Table3[[#This Row],[Date]],'DB LEI'!$A:$F,4)</f>
        <v/>
      </c>
      <c r="F509" s="4">
        <f>(Table3[[#This Row],[UMSCI]]-E498)/E498</f>
        <v/>
      </c>
    </row>
    <row r="510">
      <c r="A510" s="6" t="n">
        <v>36770</v>
      </c>
      <c r="B510" s="2">
        <f>VLOOKUP(Table3[[#This Row],[Date]],'DB LEI'!$A:$F,2)</f>
        <v/>
      </c>
      <c r="C510" s="4">
        <f>(Table3[[#This Row],[Conference Board Leading Indicator]]-B498)/B498</f>
        <v/>
      </c>
      <c r="D510" s="3">
        <f>IF(VLOOKUP(Table3[[#This Row],[Date]],'DB LEI'!$A:$I,9)=0,"",VLOOKUP(Table3[[#This Row],[Date]],'DB LEI'!$A:$I,9))</f>
        <v/>
      </c>
      <c r="E510" s="2">
        <f>VLOOKUP(Table3[[#This Row],[Date]],'DB LEI'!$A:$F,4)</f>
        <v/>
      </c>
      <c r="F510" s="4">
        <f>(Table3[[#This Row],[UMSCI]]-E499)/E499</f>
        <v/>
      </c>
    </row>
    <row r="511">
      <c r="A511" s="6" t="n">
        <v>36800</v>
      </c>
      <c r="B511" s="2">
        <f>VLOOKUP(Table3[[#This Row],[Date]],'DB LEI'!$A:$F,2)</f>
        <v/>
      </c>
      <c r="C511" s="4">
        <f>(Table3[[#This Row],[Conference Board Leading Indicator]]-B499)/B499</f>
        <v/>
      </c>
      <c r="D511" s="3">
        <f>IF(VLOOKUP(Table3[[#This Row],[Date]],'DB LEI'!$A:$I,9)=0,"",VLOOKUP(Table3[[#This Row],[Date]],'DB LEI'!$A:$I,9))</f>
        <v/>
      </c>
      <c r="E511" s="2">
        <f>VLOOKUP(Table3[[#This Row],[Date]],'DB LEI'!$A:$F,4)</f>
        <v/>
      </c>
      <c r="F511" s="4">
        <f>(Table3[[#This Row],[UMSCI]]-E500)/E500</f>
        <v/>
      </c>
    </row>
    <row r="512">
      <c r="A512" s="6" t="n">
        <v>36831</v>
      </c>
      <c r="B512" s="2">
        <f>VLOOKUP(Table3[[#This Row],[Date]],'DB LEI'!$A:$F,2)</f>
        <v/>
      </c>
      <c r="C512" s="4">
        <f>(Table3[[#This Row],[Conference Board Leading Indicator]]-B500)/B500</f>
        <v/>
      </c>
      <c r="D512" s="3">
        <f>IF(VLOOKUP(Table3[[#This Row],[Date]],'DB LEI'!$A:$I,9)=0,"",VLOOKUP(Table3[[#This Row],[Date]],'DB LEI'!$A:$I,9))</f>
        <v/>
      </c>
      <c r="E512" s="2">
        <f>VLOOKUP(Table3[[#This Row],[Date]],'DB LEI'!$A:$F,4)</f>
        <v/>
      </c>
      <c r="F512" s="4">
        <f>(Table3[[#This Row],[UMSCI]]-E501)/E501</f>
        <v/>
      </c>
    </row>
    <row r="513">
      <c r="A513" s="6" t="n">
        <v>36861</v>
      </c>
      <c r="B513" s="2">
        <f>VLOOKUP(Table3[[#This Row],[Date]],'DB LEI'!$A:$F,2)</f>
        <v/>
      </c>
      <c r="C513" s="4">
        <f>(Table3[[#This Row],[Conference Board Leading Indicator]]-B501)/B501</f>
        <v/>
      </c>
      <c r="D513" s="3">
        <f>IF(VLOOKUP(Table3[[#This Row],[Date]],'DB LEI'!$A:$I,9)=0,"",VLOOKUP(Table3[[#This Row],[Date]],'DB LEI'!$A:$I,9))</f>
        <v/>
      </c>
      <c r="E513" s="2">
        <f>VLOOKUP(Table3[[#This Row],[Date]],'DB LEI'!$A:$F,4)</f>
        <v/>
      </c>
      <c r="F513" s="4">
        <f>(Table3[[#This Row],[UMSCI]]-E502)/E502</f>
        <v/>
      </c>
    </row>
    <row r="514">
      <c r="A514" s="6" t="n">
        <v>36892</v>
      </c>
      <c r="B514" s="2">
        <f>VLOOKUP(Table3[[#This Row],[Date]],'DB LEI'!$A:$F,2)</f>
        <v/>
      </c>
      <c r="C514" s="4">
        <f>(Table3[[#This Row],[Conference Board Leading Indicator]]-B502)/B502</f>
        <v/>
      </c>
      <c r="D514" s="3">
        <f>IF(VLOOKUP(Table3[[#This Row],[Date]],'DB LEI'!$A:$I,9)=0,"",VLOOKUP(Table3[[#This Row],[Date]],'DB LEI'!$A:$I,9))</f>
        <v/>
      </c>
      <c r="E514" s="2">
        <f>VLOOKUP(Table3[[#This Row],[Date]],'DB LEI'!$A:$F,4)</f>
        <v/>
      </c>
      <c r="F514" s="4">
        <f>(Table3[[#This Row],[UMSCI]]-E503)/E503</f>
        <v/>
      </c>
    </row>
    <row r="515">
      <c r="A515" s="6" t="n">
        <v>36923</v>
      </c>
      <c r="B515" s="2">
        <f>VLOOKUP(Table3[[#This Row],[Date]],'DB LEI'!$A:$F,2)</f>
        <v/>
      </c>
      <c r="C515" s="4">
        <f>(Table3[[#This Row],[Conference Board Leading Indicator]]-B503)/B503</f>
        <v/>
      </c>
      <c r="D515" s="3">
        <f>IF(VLOOKUP(Table3[[#This Row],[Date]],'DB LEI'!$A:$I,9)=0,"",VLOOKUP(Table3[[#This Row],[Date]],'DB LEI'!$A:$I,9))</f>
        <v/>
      </c>
      <c r="E515" s="2">
        <f>VLOOKUP(Table3[[#This Row],[Date]],'DB LEI'!$A:$F,4)</f>
        <v/>
      </c>
      <c r="F515" s="4">
        <f>(Table3[[#This Row],[UMSCI]]-E504)/E504</f>
        <v/>
      </c>
    </row>
    <row r="516">
      <c r="A516" s="6" t="n">
        <v>36951</v>
      </c>
      <c r="B516" s="2">
        <f>VLOOKUP(Table3[[#This Row],[Date]],'DB LEI'!$A:$F,2)</f>
        <v/>
      </c>
      <c r="C516" s="4">
        <f>(Table3[[#This Row],[Conference Board Leading Indicator]]-B504)/B504</f>
        <v/>
      </c>
      <c r="D516" s="3">
        <f>IF(VLOOKUP(Table3[[#This Row],[Date]],'DB LEI'!$A:$I,9)=0,"",VLOOKUP(Table3[[#This Row],[Date]],'DB LEI'!$A:$I,9))</f>
        <v/>
      </c>
      <c r="E516" s="2">
        <f>VLOOKUP(Table3[[#This Row],[Date]],'DB LEI'!$A:$F,4)</f>
        <v/>
      </c>
      <c r="F516" s="4">
        <f>(Table3[[#This Row],[UMSCI]]-E505)/E505</f>
        <v/>
      </c>
    </row>
    <row r="517">
      <c r="A517" s="6" t="n">
        <v>36982</v>
      </c>
      <c r="B517" s="2">
        <f>VLOOKUP(Table3[[#This Row],[Date]],'DB LEI'!$A:$F,2)</f>
        <v/>
      </c>
      <c r="C517" s="4">
        <f>(Table3[[#This Row],[Conference Board Leading Indicator]]-B505)/B505</f>
        <v/>
      </c>
      <c r="D517" s="3">
        <f>IF(VLOOKUP(Table3[[#This Row],[Date]],'DB LEI'!$A:$I,9)=0,"",VLOOKUP(Table3[[#This Row],[Date]],'DB LEI'!$A:$I,9))</f>
        <v/>
      </c>
      <c r="E517" s="2">
        <f>VLOOKUP(Table3[[#This Row],[Date]],'DB LEI'!$A:$F,4)</f>
        <v/>
      </c>
      <c r="F517" s="4">
        <f>(Table3[[#This Row],[UMSCI]]-E506)/E506</f>
        <v/>
      </c>
    </row>
    <row r="518">
      <c r="A518" s="6" t="n">
        <v>37012</v>
      </c>
      <c r="B518" s="2">
        <f>VLOOKUP(Table3[[#This Row],[Date]],'DB LEI'!$A:$F,2)</f>
        <v/>
      </c>
      <c r="C518" s="4">
        <f>(Table3[[#This Row],[Conference Board Leading Indicator]]-B506)/B506</f>
        <v/>
      </c>
      <c r="D518" s="3">
        <f>IF(VLOOKUP(Table3[[#This Row],[Date]],'DB LEI'!$A:$I,9)=0,"",VLOOKUP(Table3[[#This Row],[Date]],'DB LEI'!$A:$I,9))</f>
        <v/>
      </c>
      <c r="E518" s="2">
        <f>VLOOKUP(Table3[[#This Row],[Date]],'DB LEI'!$A:$F,4)</f>
        <v/>
      </c>
      <c r="F518" s="4">
        <f>(Table3[[#This Row],[UMSCI]]-E507)/E507</f>
        <v/>
      </c>
    </row>
    <row r="519">
      <c r="A519" s="6" t="n">
        <v>37043</v>
      </c>
      <c r="B519" s="2">
        <f>VLOOKUP(Table3[[#This Row],[Date]],'DB LEI'!$A:$F,2)</f>
        <v/>
      </c>
      <c r="C519" s="4">
        <f>(Table3[[#This Row],[Conference Board Leading Indicator]]-B507)/B507</f>
        <v/>
      </c>
      <c r="D519" s="3">
        <f>IF(VLOOKUP(Table3[[#This Row],[Date]],'DB LEI'!$A:$I,9)=0,"",VLOOKUP(Table3[[#This Row],[Date]],'DB LEI'!$A:$I,9))</f>
        <v/>
      </c>
      <c r="E519" s="2">
        <f>VLOOKUP(Table3[[#This Row],[Date]],'DB LEI'!$A:$F,4)</f>
        <v/>
      </c>
      <c r="F519" s="4">
        <f>(Table3[[#This Row],[UMSCI]]-E508)/E508</f>
        <v/>
      </c>
    </row>
    <row r="520">
      <c r="A520" s="6" t="n">
        <v>37073</v>
      </c>
      <c r="B520" s="2">
        <f>VLOOKUP(Table3[[#This Row],[Date]],'DB LEI'!$A:$F,2)</f>
        <v/>
      </c>
      <c r="C520" s="4">
        <f>(Table3[[#This Row],[Conference Board Leading Indicator]]-B508)/B508</f>
        <v/>
      </c>
      <c r="D520" s="3">
        <f>IF(VLOOKUP(Table3[[#This Row],[Date]],'DB LEI'!$A:$I,9)=0,"",VLOOKUP(Table3[[#This Row],[Date]],'DB LEI'!$A:$I,9))</f>
        <v/>
      </c>
      <c r="E520" s="2">
        <f>VLOOKUP(Table3[[#This Row],[Date]],'DB LEI'!$A:$F,4)</f>
        <v/>
      </c>
      <c r="F520" s="4">
        <f>(Table3[[#This Row],[UMSCI]]-E509)/E509</f>
        <v/>
      </c>
    </row>
    <row r="521">
      <c r="A521" s="6" t="n">
        <v>37104</v>
      </c>
      <c r="B521" s="2">
        <f>VLOOKUP(Table3[[#This Row],[Date]],'DB LEI'!$A:$F,2)</f>
        <v/>
      </c>
      <c r="C521" s="4">
        <f>(Table3[[#This Row],[Conference Board Leading Indicator]]-B509)/B509</f>
        <v/>
      </c>
      <c r="D521" s="3">
        <f>IF(VLOOKUP(Table3[[#This Row],[Date]],'DB LEI'!$A:$I,9)=0,"",VLOOKUP(Table3[[#This Row],[Date]],'DB LEI'!$A:$I,9))</f>
        <v/>
      </c>
      <c r="E521" s="2">
        <f>VLOOKUP(Table3[[#This Row],[Date]],'DB LEI'!$A:$F,4)</f>
        <v/>
      </c>
      <c r="F521" s="4">
        <f>(Table3[[#This Row],[UMSCI]]-E510)/E510</f>
        <v/>
      </c>
    </row>
    <row r="522">
      <c r="A522" s="6" t="n">
        <v>37135</v>
      </c>
      <c r="B522" s="2">
        <f>VLOOKUP(Table3[[#This Row],[Date]],'DB LEI'!$A:$F,2)</f>
        <v/>
      </c>
      <c r="C522" s="4">
        <f>(Table3[[#This Row],[Conference Board Leading Indicator]]-B510)/B510</f>
        <v/>
      </c>
      <c r="D522" s="3">
        <f>IF(VLOOKUP(Table3[[#This Row],[Date]],'DB LEI'!$A:$I,9)=0,"",VLOOKUP(Table3[[#This Row],[Date]],'DB LEI'!$A:$I,9))</f>
        <v/>
      </c>
      <c r="E522" s="2">
        <f>VLOOKUP(Table3[[#This Row],[Date]],'DB LEI'!$A:$F,4)</f>
        <v/>
      </c>
      <c r="F522" s="4">
        <f>(Table3[[#This Row],[UMSCI]]-E511)/E511</f>
        <v/>
      </c>
    </row>
    <row r="523">
      <c r="A523" s="6" t="n">
        <v>37165</v>
      </c>
      <c r="B523" s="2">
        <f>VLOOKUP(Table3[[#This Row],[Date]],'DB LEI'!$A:$F,2)</f>
        <v/>
      </c>
      <c r="C523" s="4">
        <f>(Table3[[#This Row],[Conference Board Leading Indicator]]-B511)/B511</f>
        <v/>
      </c>
      <c r="D523" s="3">
        <f>IF(VLOOKUP(Table3[[#This Row],[Date]],'DB LEI'!$A:$I,9)=0,"",VLOOKUP(Table3[[#This Row],[Date]],'DB LEI'!$A:$I,9))</f>
        <v/>
      </c>
      <c r="E523" s="2">
        <f>VLOOKUP(Table3[[#This Row],[Date]],'DB LEI'!$A:$F,4)</f>
        <v/>
      </c>
      <c r="F523" s="4">
        <f>(Table3[[#This Row],[UMSCI]]-E512)/E512</f>
        <v/>
      </c>
    </row>
    <row r="524">
      <c r="A524" s="6" t="n">
        <v>37196</v>
      </c>
      <c r="B524" s="2">
        <f>VLOOKUP(Table3[[#This Row],[Date]],'DB LEI'!$A:$F,2)</f>
        <v/>
      </c>
      <c r="C524" s="4">
        <f>(Table3[[#This Row],[Conference Board Leading Indicator]]-B512)/B512</f>
        <v/>
      </c>
      <c r="D524" s="3">
        <f>IF(VLOOKUP(Table3[[#This Row],[Date]],'DB LEI'!$A:$I,9)=0,"",VLOOKUP(Table3[[#This Row],[Date]],'DB LEI'!$A:$I,9))</f>
        <v/>
      </c>
      <c r="E524" s="2">
        <f>VLOOKUP(Table3[[#This Row],[Date]],'DB LEI'!$A:$F,4)</f>
        <v/>
      </c>
      <c r="F524" s="4">
        <f>(Table3[[#This Row],[UMSCI]]-E513)/E513</f>
        <v/>
      </c>
    </row>
    <row r="525">
      <c r="A525" s="6" t="n">
        <v>37226</v>
      </c>
      <c r="B525" s="2">
        <f>VLOOKUP(Table3[[#This Row],[Date]],'DB LEI'!$A:$F,2)</f>
        <v/>
      </c>
      <c r="C525" s="4">
        <f>(Table3[[#This Row],[Conference Board Leading Indicator]]-B513)/B513</f>
        <v/>
      </c>
      <c r="D525" s="3">
        <f>IF(VLOOKUP(Table3[[#This Row],[Date]],'DB LEI'!$A:$I,9)=0,"",VLOOKUP(Table3[[#This Row],[Date]],'DB LEI'!$A:$I,9))</f>
        <v/>
      </c>
      <c r="E525" s="2">
        <f>VLOOKUP(Table3[[#This Row],[Date]],'DB LEI'!$A:$F,4)</f>
        <v/>
      </c>
      <c r="F525" s="4">
        <f>(Table3[[#This Row],[UMSCI]]-E514)/E514</f>
        <v/>
      </c>
    </row>
    <row r="526">
      <c r="A526" s="6" t="n">
        <v>37257</v>
      </c>
      <c r="B526" s="2">
        <f>VLOOKUP(Table3[[#This Row],[Date]],'DB LEI'!$A:$F,2)</f>
        <v/>
      </c>
      <c r="C526" s="4">
        <f>(Table3[[#This Row],[Conference Board Leading Indicator]]-B514)/B514</f>
        <v/>
      </c>
      <c r="D526" s="3">
        <f>IF(VLOOKUP(Table3[[#This Row],[Date]],'DB LEI'!$A:$I,9)=0,"",VLOOKUP(Table3[[#This Row],[Date]],'DB LEI'!$A:$I,9))</f>
        <v/>
      </c>
      <c r="E526" s="2">
        <f>VLOOKUP(Table3[[#This Row],[Date]],'DB LEI'!$A:$F,4)</f>
        <v/>
      </c>
      <c r="F526" s="4">
        <f>(Table3[[#This Row],[UMSCI]]-E515)/E515</f>
        <v/>
      </c>
    </row>
    <row r="527">
      <c r="A527" s="6" t="n">
        <v>37288</v>
      </c>
      <c r="B527" s="2">
        <f>VLOOKUP(Table3[[#This Row],[Date]],'DB LEI'!$A:$F,2)</f>
        <v/>
      </c>
      <c r="C527" s="4">
        <f>(Table3[[#This Row],[Conference Board Leading Indicator]]-B515)/B515</f>
        <v/>
      </c>
      <c r="D527" s="3">
        <f>IF(VLOOKUP(Table3[[#This Row],[Date]],'DB LEI'!$A:$I,9)=0,"",VLOOKUP(Table3[[#This Row],[Date]],'DB LEI'!$A:$I,9))</f>
        <v/>
      </c>
      <c r="E527" s="2">
        <f>VLOOKUP(Table3[[#This Row],[Date]],'DB LEI'!$A:$F,4)</f>
        <v/>
      </c>
      <c r="F527" s="4">
        <f>(Table3[[#This Row],[UMSCI]]-E516)/E516</f>
        <v/>
      </c>
    </row>
    <row r="528">
      <c r="A528" s="6" t="n">
        <v>37316</v>
      </c>
      <c r="B528" s="2">
        <f>VLOOKUP(Table3[[#This Row],[Date]],'DB LEI'!$A:$F,2)</f>
        <v/>
      </c>
      <c r="C528" s="4">
        <f>(Table3[[#This Row],[Conference Board Leading Indicator]]-B516)/B516</f>
        <v/>
      </c>
      <c r="D528" s="3">
        <f>IF(VLOOKUP(Table3[[#This Row],[Date]],'DB LEI'!$A:$I,9)=0,"",VLOOKUP(Table3[[#This Row],[Date]],'DB LEI'!$A:$I,9))</f>
        <v/>
      </c>
      <c r="E528" s="2">
        <f>VLOOKUP(Table3[[#This Row],[Date]],'DB LEI'!$A:$F,4)</f>
        <v/>
      </c>
      <c r="F528" s="4">
        <f>(Table3[[#This Row],[UMSCI]]-E517)/E517</f>
        <v/>
      </c>
    </row>
    <row r="529">
      <c r="A529" s="6" t="n">
        <v>37347</v>
      </c>
      <c r="B529" s="2">
        <f>VLOOKUP(Table3[[#This Row],[Date]],'DB LEI'!$A:$F,2)</f>
        <v/>
      </c>
      <c r="C529" s="4">
        <f>(Table3[[#This Row],[Conference Board Leading Indicator]]-B517)/B517</f>
        <v/>
      </c>
      <c r="D529" s="3">
        <f>IF(VLOOKUP(Table3[[#This Row],[Date]],'DB LEI'!$A:$I,9)=0,"",VLOOKUP(Table3[[#This Row],[Date]],'DB LEI'!$A:$I,9))</f>
        <v/>
      </c>
      <c r="E529" s="2">
        <f>VLOOKUP(Table3[[#This Row],[Date]],'DB LEI'!$A:$F,4)</f>
        <v/>
      </c>
      <c r="F529" s="4">
        <f>(Table3[[#This Row],[UMSCI]]-E518)/E518</f>
        <v/>
      </c>
    </row>
    <row r="530">
      <c r="A530" s="6" t="n">
        <v>37377</v>
      </c>
      <c r="B530" s="2">
        <f>VLOOKUP(Table3[[#This Row],[Date]],'DB LEI'!$A:$F,2)</f>
        <v/>
      </c>
      <c r="C530" s="4">
        <f>(Table3[[#This Row],[Conference Board Leading Indicator]]-B518)/B518</f>
        <v/>
      </c>
      <c r="D530" s="3">
        <f>IF(VLOOKUP(Table3[[#This Row],[Date]],'DB LEI'!$A:$I,9)=0,"",VLOOKUP(Table3[[#This Row],[Date]],'DB LEI'!$A:$I,9))</f>
        <v/>
      </c>
      <c r="E530" s="2">
        <f>VLOOKUP(Table3[[#This Row],[Date]],'DB LEI'!$A:$F,4)</f>
        <v/>
      </c>
      <c r="F530" s="4">
        <f>(Table3[[#This Row],[UMSCI]]-E519)/E519</f>
        <v/>
      </c>
    </row>
    <row r="531">
      <c r="A531" s="6" t="n">
        <v>37408</v>
      </c>
      <c r="B531" s="2">
        <f>VLOOKUP(Table3[[#This Row],[Date]],'DB LEI'!$A:$F,2)</f>
        <v/>
      </c>
      <c r="C531" s="4">
        <f>(Table3[[#This Row],[Conference Board Leading Indicator]]-B519)/B519</f>
        <v/>
      </c>
      <c r="D531" s="3">
        <f>IF(VLOOKUP(Table3[[#This Row],[Date]],'DB LEI'!$A:$I,9)=0,"",VLOOKUP(Table3[[#This Row],[Date]],'DB LEI'!$A:$I,9))</f>
        <v/>
      </c>
      <c r="E531" s="2">
        <f>VLOOKUP(Table3[[#This Row],[Date]],'DB LEI'!$A:$F,4)</f>
        <v/>
      </c>
      <c r="F531" s="4">
        <f>(Table3[[#This Row],[UMSCI]]-E520)/E520</f>
        <v/>
      </c>
    </row>
    <row r="532">
      <c r="A532" s="6" t="n">
        <v>37438</v>
      </c>
      <c r="B532" s="2">
        <f>VLOOKUP(Table3[[#This Row],[Date]],'DB LEI'!$A:$F,2)</f>
        <v/>
      </c>
      <c r="C532" s="4">
        <f>(Table3[[#This Row],[Conference Board Leading Indicator]]-B520)/B520</f>
        <v/>
      </c>
      <c r="D532" s="3">
        <f>IF(VLOOKUP(Table3[[#This Row],[Date]],'DB LEI'!$A:$I,9)=0,"",VLOOKUP(Table3[[#This Row],[Date]],'DB LEI'!$A:$I,9))</f>
        <v/>
      </c>
      <c r="E532" s="2">
        <f>VLOOKUP(Table3[[#This Row],[Date]],'DB LEI'!$A:$F,4)</f>
        <v/>
      </c>
      <c r="F532" s="4">
        <f>(Table3[[#This Row],[UMSCI]]-E521)/E521</f>
        <v/>
      </c>
    </row>
    <row r="533">
      <c r="A533" s="6" t="n">
        <v>37469</v>
      </c>
      <c r="B533" s="2">
        <f>VLOOKUP(Table3[[#This Row],[Date]],'DB LEI'!$A:$F,2)</f>
        <v/>
      </c>
      <c r="C533" s="4">
        <f>(Table3[[#This Row],[Conference Board Leading Indicator]]-B521)/B521</f>
        <v/>
      </c>
      <c r="D533" s="3">
        <f>IF(VLOOKUP(Table3[[#This Row],[Date]],'DB LEI'!$A:$I,9)=0,"",VLOOKUP(Table3[[#This Row],[Date]],'DB LEI'!$A:$I,9))</f>
        <v/>
      </c>
      <c r="E533" s="2">
        <f>VLOOKUP(Table3[[#This Row],[Date]],'DB LEI'!$A:$F,4)</f>
        <v/>
      </c>
      <c r="F533" s="4">
        <f>(Table3[[#This Row],[UMSCI]]-E522)/E522</f>
        <v/>
      </c>
    </row>
    <row r="534">
      <c r="A534" s="6" t="n">
        <v>37500</v>
      </c>
      <c r="B534" s="2">
        <f>VLOOKUP(Table3[[#This Row],[Date]],'DB LEI'!$A:$F,2)</f>
        <v/>
      </c>
      <c r="C534" s="4">
        <f>(Table3[[#This Row],[Conference Board Leading Indicator]]-B522)/B522</f>
        <v/>
      </c>
      <c r="D534" s="3">
        <f>IF(VLOOKUP(Table3[[#This Row],[Date]],'DB LEI'!$A:$I,9)=0,"",VLOOKUP(Table3[[#This Row],[Date]],'DB LEI'!$A:$I,9))</f>
        <v/>
      </c>
      <c r="E534" s="2">
        <f>VLOOKUP(Table3[[#This Row],[Date]],'DB LEI'!$A:$F,4)</f>
        <v/>
      </c>
      <c r="F534" s="4">
        <f>(Table3[[#This Row],[UMSCI]]-E523)/E523</f>
        <v/>
      </c>
    </row>
    <row r="535">
      <c r="A535" s="6" t="n">
        <v>37530</v>
      </c>
      <c r="B535" s="2">
        <f>VLOOKUP(Table3[[#This Row],[Date]],'DB LEI'!$A:$F,2)</f>
        <v/>
      </c>
      <c r="C535" s="4">
        <f>(Table3[[#This Row],[Conference Board Leading Indicator]]-B523)/B523</f>
        <v/>
      </c>
      <c r="D535" s="3">
        <f>IF(VLOOKUP(Table3[[#This Row],[Date]],'DB LEI'!$A:$I,9)=0,"",VLOOKUP(Table3[[#This Row],[Date]],'DB LEI'!$A:$I,9))</f>
        <v/>
      </c>
      <c r="E535" s="2">
        <f>VLOOKUP(Table3[[#This Row],[Date]],'DB LEI'!$A:$F,4)</f>
        <v/>
      </c>
      <c r="F535" s="4">
        <f>(Table3[[#This Row],[UMSCI]]-E524)/E524</f>
        <v/>
      </c>
    </row>
    <row r="536">
      <c r="A536" s="6" t="n">
        <v>37561</v>
      </c>
      <c r="B536" s="2">
        <f>VLOOKUP(Table3[[#This Row],[Date]],'DB LEI'!$A:$F,2)</f>
        <v/>
      </c>
      <c r="C536" s="4">
        <f>(Table3[[#This Row],[Conference Board Leading Indicator]]-B524)/B524</f>
        <v/>
      </c>
      <c r="D536" s="3">
        <f>IF(VLOOKUP(Table3[[#This Row],[Date]],'DB LEI'!$A:$I,9)=0,"",VLOOKUP(Table3[[#This Row],[Date]],'DB LEI'!$A:$I,9))</f>
        <v/>
      </c>
      <c r="E536" s="2">
        <f>VLOOKUP(Table3[[#This Row],[Date]],'DB LEI'!$A:$F,4)</f>
        <v/>
      </c>
      <c r="F536" s="4">
        <f>(Table3[[#This Row],[UMSCI]]-E525)/E525</f>
        <v/>
      </c>
    </row>
    <row r="537">
      <c r="A537" s="6" t="n">
        <v>37591</v>
      </c>
      <c r="B537" s="2">
        <f>VLOOKUP(Table3[[#This Row],[Date]],'DB LEI'!$A:$F,2)</f>
        <v/>
      </c>
      <c r="C537" s="4">
        <f>(Table3[[#This Row],[Conference Board Leading Indicator]]-B525)/B525</f>
        <v/>
      </c>
      <c r="D537" s="3">
        <f>IF(VLOOKUP(Table3[[#This Row],[Date]],'DB LEI'!$A:$I,9)=0,"",VLOOKUP(Table3[[#This Row],[Date]],'DB LEI'!$A:$I,9))</f>
        <v/>
      </c>
      <c r="E537" s="2">
        <f>VLOOKUP(Table3[[#This Row],[Date]],'DB LEI'!$A:$F,4)</f>
        <v/>
      </c>
      <c r="F537" s="4">
        <f>(Table3[[#This Row],[UMSCI]]-E526)/E526</f>
        <v/>
      </c>
    </row>
    <row r="538">
      <c r="A538" s="6" t="n">
        <v>37622</v>
      </c>
      <c r="B538" s="2">
        <f>VLOOKUP(Table3[[#This Row],[Date]],'DB LEI'!$A:$F,2)</f>
        <v/>
      </c>
      <c r="C538" s="4">
        <f>(Table3[[#This Row],[Conference Board Leading Indicator]]-B526)/B526</f>
        <v/>
      </c>
      <c r="D538" s="3">
        <f>IF(VLOOKUP(Table3[[#This Row],[Date]],'DB LEI'!$A:$I,9)=0,"",VLOOKUP(Table3[[#This Row],[Date]],'DB LEI'!$A:$I,9))</f>
        <v/>
      </c>
      <c r="E538" s="2">
        <f>VLOOKUP(Table3[[#This Row],[Date]],'DB LEI'!$A:$F,4)</f>
        <v/>
      </c>
      <c r="F538" s="4">
        <f>(Table3[[#This Row],[UMSCI]]-E527)/E527</f>
        <v/>
      </c>
    </row>
    <row r="539">
      <c r="A539" s="6" t="n">
        <v>37653</v>
      </c>
      <c r="B539" s="2">
        <f>VLOOKUP(Table3[[#This Row],[Date]],'DB LEI'!$A:$F,2)</f>
        <v/>
      </c>
      <c r="C539" s="4">
        <f>(Table3[[#This Row],[Conference Board Leading Indicator]]-B527)/B527</f>
        <v/>
      </c>
      <c r="D539" s="3">
        <f>IF(VLOOKUP(Table3[[#This Row],[Date]],'DB LEI'!$A:$I,9)=0,"",VLOOKUP(Table3[[#This Row],[Date]],'DB LEI'!$A:$I,9))</f>
        <v/>
      </c>
      <c r="E539" s="2">
        <f>VLOOKUP(Table3[[#This Row],[Date]],'DB LEI'!$A:$F,4)</f>
        <v/>
      </c>
      <c r="F539" s="4">
        <f>(Table3[[#This Row],[UMSCI]]-E528)/E528</f>
        <v/>
      </c>
    </row>
    <row r="540">
      <c r="A540" s="6" t="n">
        <v>37681</v>
      </c>
      <c r="B540" s="2">
        <f>VLOOKUP(Table3[[#This Row],[Date]],'DB LEI'!$A:$F,2)</f>
        <v/>
      </c>
      <c r="C540" s="4">
        <f>(Table3[[#This Row],[Conference Board Leading Indicator]]-B528)/B528</f>
        <v/>
      </c>
      <c r="D540" s="3">
        <f>IF(VLOOKUP(Table3[[#This Row],[Date]],'DB LEI'!$A:$I,9)=0,"",VLOOKUP(Table3[[#This Row],[Date]],'DB LEI'!$A:$I,9))</f>
        <v/>
      </c>
      <c r="E540" s="2">
        <f>VLOOKUP(Table3[[#This Row],[Date]],'DB LEI'!$A:$F,4)</f>
        <v/>
      </c>
      <c r="F540" s="4">
        <f>(Table3[[#This Row],[UMSCI]]-E529)/E529</f>
        <v/>
      </c>
    </row>
    <row r="541">
      <c r="A541" s="6" t="n">
        <v>37712</v>
      </c>
      <c r="B541" s="2">
        <f>VLOOKUP(Table3[[#This Row],[Date]],'DB LEI'!$A:$F,2)</f>
        <v/>
      </c>
      <c r="C541" s="4">
        <f>(Table3[[#This Row],[Conference Board Leading Indicator]]-B529)/B529</f>
        <v/>
      </c>
      <c r="D541" s="3">
        <f>IF(VLOOKUP(Table3[[#This Row],[Date]],'DB LEI'!$A:$I,9)=0,"",VLOOKUP(Table3[[#This Row],[Date]],'DB LEI'!$A:$I,9))</f>
        <v/>
      </c>
      <c r="E541" s="2">
        <f>VLOOKUP(Table3[[#This Row],[Date]],'DB LEI'!$A:$F,4)</f>
        <v/>
      </c>
      <c r="F541" s="4">
        <f>(Table3[[#This Row],[UMSCI]]-E530)/E530</f>
        <v/>
      </c>
    </row>
    <row r="542">
      <c r="A542" s="6" t="n">
        <v>37742</v>
      </c>
      <c r="B542" s="2">
        <f>VLOOKUP(Table3[[#This Row],[Date]],'DB LEI'!$A:$F,2)</f>
        <v/>
      </c>
      <c r="C542" s="4">
        <f>(Table3[[#This Row],[Conference Board Leading Indicator]]-B530)/B530</f>
        <v/>
      </c>
      <c r="D542" s="3">
        <f>IF(VLOOKUP(Table3[[#This Row],[Date]],'DB LEI'!$A:$I,9)=0,"",VLOOKUP(Table3[[#This Row],[Date]],'DB LEI'!$A:$I,9))</f>
        <v/>
      </c>
      <c r="E542" s="2">
        <f>VLOOKUP(Table3[[#This Row],[Date]],'DB LEI'!$A:$F,4)</f>
        <v/>
      </c>
      <c r="F542" s="4">
        <f>(Table3[[#This Row],[UMSCI]]-E531)/E531</f>
        <v/>
      </c>
    </row>
    <row r="543">
      <c r="A543" s="6" t="n">
        <v>37773</v>
      </c>
      <c r="B543" s="2">
        <f>VLOOKUP(Table3[[#This Row],[Date]],'DB LEI'!$A:$F,2)</f>
        <v/>
      </c>
      <c r="C543" s="4">
        <f>(Table3[[#This Row],[Conference Board Leading Indicator]]-B531)/B531</f>
        <v/>
      </c>
      <c r="D543" s="3">
        <f>IF(VLOOKUP(Table3[[#This Row],[Date]],'DB LEI'!$A:$I,9)=0,"",VLOOKUP(Table3[[#This Row],[Date]],'DB LEI'!$A:$I,9))</f>
        <v/>
      </c>
      <c r="E543" s="2">
        <f>VLOOKUP(Table3[[#This Row],[Date]],'DB LEI'!$A:$F,4)</f>
        <v/>
      </c>
      <c r="F543" s="4">
        <f>(Table3[[#This Row],[UMSCI]]-E532)/E532</f>
        <v/>
      </c>
    </row>
    <row r="544">
      <c r="A544" s="6" t="n">
        <v>37803</v>
      </c>
      <c r="B544" s="2">
        <f>VLOOKUP(Table3[[#This Row],[Date]],'DB LEI'!$A:$F,2)</f>
        <v/>
      </c>
      <c r="C544" s="4">
        <f>(Table3[[#This Row],[Conference Board Leading Indicator]]-B532)/B532</f>
        <v/>
      </c>
      <c r="D544" s="3">
        <f>IF(VLOOKUP(Table3[[#This Row],[Date]],'DB LEI'!$A:$I,9)=0,"",VLOOKUP(Table3[[#This Row],[Date]],'DB LEI'!$A:$I,9))</f>
        <v/>
      </c>
      <c r="E544" s="2">
        <f>VLOOKUP(Table3[[#This Row],[Date]],'DB LEI'!$A:$F,4)</f>
        <v/>
      </c>
      <c r="F544" s="4">
        <f>(Table3[[#This Row],[UMSCI]]-E533)/E533</f>
        <v/>
      </c>
    </row>
    <row r="545">
      <c r="A545" s="6" t="n">
        <v>37834</v>
      </c>
      <c r="B545" s="2">
        <f>VLOOKUP(Table3[[#This Row],[Date]],'DB LEI'!$A:$F,2)</f>
        <v/>
      </c>
      <c r="C545" s="4">
        <f>(Table3[[#This Row],[Conference Board Leading Indicator]]-B533)/B533</f>
        <v/>
      </c>
      <c r="D545" s="3">
        <f>IF(VLOOKUP(Table3[[#This Row],[Date]],'DB LEI'!$A:$I,9)=0,"",VLOOKUP(Table3[[#This Row],[Date]],'DB LEI'!$A:$I,9))</f>
        <v/>
      </c>
      <c r="E545" s="2">
        <f>VLOOKUP(Table3[[#This Row],[Date]],'DB LEI'!$A:$F,4)</f>
        <v/>
      </c>
      <c r="F545" s="4">
        <f>(Table3[[#This Row],[UMSCI]]-E534)/E534</f>
        <v/>
      </c>
    </row>
    <row r="546">
      <c r="A546" s="6" t="n">
        <v>37865</v>
      </c>
      <c r="B546" s="2">
        <f>VLOOKUP(Table3[[#This Row],[Date]],'DB LEI'!$A:$F,2)</f>
        <v/>
      </c>
      <c r="C546" s="4">
        <f>(Table3[[#This Row],[Conference Board Leading Indicator]]-B534)/B534</f>
        <v/>
      </c>
      <c r="D546" s="3">
        <f>IF(VLOOKUP(Table3[[#This Row],[Date]],'DB LEI'!$A:$I,9)=0,"",VLOOKUP(Table3[[#This Row],[Date]],'DB LEI'!$A:$I,9))</f>
        <v/>
      </c>
      <c r="E546" s="2">
        <f>VLOOKUP(Table3[[#This Row],[Date]],'DB LEI'!$A:$F,4)</f>
        <v/>
      </c>
      <c r="F546" s="4">
        <f>(Table3[[#This Row],[UMSCI]]-E535)/E535</f>
        <v/>
      </c>
    </row>
    <row r="547">
      <c r="A547" s="6" t="n">
        <v>37895</v>
      </c>
      <c r="B547" s="2">
        <f>VLOOKUP(Table3[[#This Row],[Date]],'DB LEI'!$A:$F,2)</f>
        <v/>
      </c>
      <c r="C547" s="4">
        <f>(Table3[[#This Row],[Conference Board Leading Indicator]]-B535)/B535</f>
        <v/>
      </c>
      <c r="D547" s="3">
        <f>IF(VLOOKUP(Table3[[#This Row],[Date]],'DB LEI'!$A:$I,9)=0,"",VLOOKUP(Table3[[#This Row],[Date]],'DB LEI'!$A:$I,9))</f>
        <v/>
      </c>
      <c r="E547" s="2">
        <f>VLOOKUP(Table3[[#This Row],[Date]],'DB LEI'!$A:$F,4)</f>
        <v/>
      </c>
      <c r="F547" s="4">
        <f>(Table3[[#This Row],[UMSCI]]-E536)/E536</f>
        <v/>
      </c>
    </row>
    <row r="548">
      <c r="A548" s="6" t="n">
        <v>37926</v>
      </c>
      <c r="B548" s="2">
        <f>VLOOKUP(Table3[[#This Row],[Date]],'DB LEI'!$A:$F,2)</f>
        <v/>
      </c>
      <c r="C548" s="4">
        <f>(Table3[[#This Row],[Conference Board Leading Indicator]]-B536)/B536</f>
        <v/>
      </c>
      <c r="D548" s="3">
        <f>IF(VLOOKUP(Table3[[#This Row],[Date]],'DB LEI'!$A:$I,9)=0,"",VLOOKUP(Table3[[#This Row],[Date]],'DB LEI'!$A:$I,9))</f>
        <v/>
      </c>
      <c r="E548" s="2">
        <f>VLOOKUP(Table3[[#This Row],[Date]],'DB LEI'!$A:$F,4)</f>
        <v/>
      </c>
      <c r="F548" s="4">
        <f>(Table3[[#This Row],[UMSCI]]-E537)/E537</f>
        <v/>
      </c>
    </row>
    <row r="549">
      <c r="A549" s="6" t="n">
        <v>37956</v>
      </c>
      <c r="B549" s="2">
        <f>VLOOKUP(Table3[[#This Row],[Date]],'DB LEI'!$A:$F,2)</f>
        <v/>
      </c>
      <c r="C549" s="4">
        <f>(Table3[[#This Row],[Conference Board Leading Indicator]]-B537)/B537</f>
        <v/>
      </c>
      <c r="D549" s="3">
        <f>IF(VLOOKUP(Table3[[#This Row],[Date]],'DB LEI'!$A:$I,9)=0,"",VLOOKUP(Table3[[#This Row],[Date]],'DB LEI'!$A:$I,9))</f>
        <v/>
      </c>
      <c r="E549" s="2">
        <f>VLOOKUP(Table3[[#This Row],[Date]],'DB LEI'!$A:$F,4)</f>
        <v/>
      </c>
      <c r="F549" s="4">
        <f>(Table3[[#This Row],[UMSCI]]-E538)/E538</f>
        <v/>
      </c>
    </row>
    <row r="550">
      <c r="A550" s="6" t="n">
        <v>37987</v>
      </c>
      <c r="B550" s="2">
        <f>VLOOKUP(Table3[[#This Row],[Date]],'DB LEI'!$A:$F,2)</f>
        <v/>
      </c>
      <c r="C550" s="4">
        <f>(Table3[[#This Row],[Conference Board Leading Indicator]]-B538)/B538</f>
        <v/>
      </c>
      <c r="D550" s="3">
        <f>IF(VLOOKUP(Table3[[#This Row],[Date]],'DB LEI'!$A:$I,9)=0,"",VLOOKUP(Table3[[#This Row],[Date]],'DB LEI'!$A:$I,9))</f>
        <v/>
      </c>
      <c r="E550" s="2">
        <f>VLOOKUP(Table3[[#This Row],[Date]],'DB LEI'!$A:$F,4)</f>
        <v/>
      </c>
      <c r="F550" s="4">
        <f>(Table3[[#This Row],[UMSCI]]-E539)/E539</f>
        <v/>
      </c>
    </row>
    <row r="551">
      <c r="A551" s="6" t="n">
        <v>38018</v>
      </c>
      <c r="B551" s="2">
        <f>VLOOKUP(Table3[[#This Row],[Date]],'DB LEI'!$A:$F,2)</f>
        <v/>
      </c>
      <c r="C551" s="4">
        <f>(Table3[[#This Row],[Conference Board Leading Indicator]]-B539)/B539</f>
        <v/>
      </c>
      <c r="D551" s="3">
        <f>IF(VLOOKUP(Table3[[#This Row],[Date]],'DB LEI'!$A:$I,9)=0,"",VLOOKUP(Table3[[#This Row],[Date]],'DB LEI'!$A:$I,9))</f>
        <v/>
      </c>
      <c r="E551" s="2">
        <f>VLOOKUP(Table3[[#This Row],[Date]],'DB LEI'!$A:$F,4)</f>
        <v/>
      </c>
      <c r="F551" s="4">
        <f>(Table3[[#This Row],[UMSCI]]-E540)/E540</f>
        <v/>
      </c>
    </row>
    <row r="552">
      <c r="A552" s="6" t="n">
        <v>38047</v>
      </c>
      <c r="B552" s="2">
        <f>VLOOKUP(Table3[[#This Row],[Date]],'DB LEI'!$A:$F,2)</f>
        <v/>
      </c>
      <c r="C552" s="4">
        <f>(Table3[[#This Row],[Conference Board Leading Indicator]]-B540)/B540</f>
        <v/>
      </c>
      <c r="D552" s="3">
        <f>IF(VLOOKUP(Table3[[#This Row],[Date]],'DB LEI'!$A:$I,9)=0,"",VLOOKUP(Table3[[#This Row],[Date]],'DB LEI'!$A:$I,9))</f>
        <v/>
      </c>
      <c r="E552" s="2">
        <f>VLOOKUP(Table3[[#This Row],[Date]],'DB LEI'!$A:$F,4)</f>
        <v/>
      </c>
      <c r="F552" s="4">
        <f>(Table3[[#This Row],[UMSCI]]-E541)/E541</f>
        <v/>
      </c>
    </row>
    <row r="553">
      <c r="A553" s="6" t="n">
        <v>38078</v>
      </c>
      <c r="B553" s="2">
        <f>VLOOKUP(Table3[[#This Row],[Date]],'DB LEI'!$A:$F,2)</f>
        <v/>
      </c>
      <c r="C553" s="4">
        <f>(Table3[[#This Row],[Conference Board Leading Indicator]]-B541)/B541</f>
        <v/>
      </c>
      <c r="D553" s="3">
        <f>IF(VLOOKUP(Table3[[#This Row],[Date]],'DB LEI'!$A:$I,9)=0,"",VLOOKUP(Table3[[#This Row],[Date]],'DB LEI'!$A:$I,9))</f>
        <v/>
      </c>
      <c r="E553" s="2">
        <f>VLOOKUP(Table3[[#This Row],[Date]],'DB LEI'!$A:$F,4)</f>
        <v/>
      </c>
      <c r="F553" s="4">
        <f>(Table3[[#This Row],[UMSCI]]-E542)/E542</f>
        <v/>
      </c>
    </row>
    <row r="554">
      <c r="A554" s="6" t="n">
        <v>38108</v>
      </c>
      <c r="B554" s="2">
        <f>VLOOKUP(Table3[[#This Row],[Date]],'DB LEI'!$A:$F,2)</f>
        <v/>
      </c>
      <c r="C554" s="4">
        <f>(Table3[[#This Row],[Conference Board Leading Indicator]]-B542)/B542</f>
        <v/>
      </c>
      <c r="D554" s="3">
        <f>IF(VLOOKUP(Table3[[#This Row],[Date]],'DB LEI'!$A:$I,9)=0,"",VLOOKUP(Table3[[#This Row],[Date]],'DB LEI'!$A:$I,9))</f>
        <v/>
      </c>
      <c r="E554" s="2">
        <f>VLOOKUP(Table3[[#This Row],[Date]],'DB LEI'!$A:$F,4)</f>
        <v/>
      </c>
      <c r="F554" s="4">
        <f>(Table3[[#This Row],[UMSCI]]-E543)/E543</f>
        <v/>
      </c>
    </row>
    <row r="555">
      <c r="A555" s="6" t="n">
        <v>38139</v>
      </c>
      <c r="B555" s="2">
        <f>VLOOKUP(Table3[[#This Row],[Date]],'DB LEI'!$A:$F,2)</f>
        <v/>
      </c>
      <c r="C555" s="4">
        <f>(Table3[[#This Row],[Conference Board Leading Indicator]]-B543)/B543</f>
        <v/>
      </c>
      <c r="D555" s="3">
        <f>IF(VLOOKUP(Table3[[#This Row],[Date]],'DB LEI'!$A:$I,9)=0,"",VLOOKUP(Table3[[#This Row],[Date]],'DB LEI'!$A:$I,9))</f>
        <v/>
      </c>
      <c r="E555" s="2">
        <f>VLOOKUP(Table3[[#This Row],[Date]],'DB LEI'!$A:$F,4)</f>
        <v/>
      </c>
      <c r="F555" s="4">
        <f>(Table3[[#This Row],[UMSCI]]-E544)/E544</f>
        <v/>
      </c>
    </row>
    <row r="556">
      <c r="A556" s="6" t="n">
        <v>38169</v>
      </c>
      <c r="B556" s="2">
        <f>VLOOKUP(Table3[[#This Row],[Date]],'DB LEI'!$A:$F,2)</f>
        <v/>
      </c>
      <c r="C556" s="4">
        <f>(Table3[[#This Row],[Conference Board Leading Indicator]]-B544)/B544</f>
        <v/>
      </c>
      <c r="D556" s="3">
        <f>IF(VLOOKUP(Table3[[#This Row],[Date]],'DB LEI'!$A:$I,9)=0,"",VLOOKUP(Table3[[#This Row],[Date]],'DB LEI'!$A:$I,9))</f>
        <v/>
      </c>
      <c r="E556" s="2">
        <f>VLOOKUP(Table3[[#This Row],[Date]],'DB LEI'!$A:$F,4)</f>
        <v/>
      </c>
      <c r="F556" s="4">
        <f>(Table3[[#This Row],[UMSCI]]-E545)/E545</f>
        <v/>
      </c>
    </row>
    <row r="557">
      <c r="A557" s="6" t="n">
        <v>38200</v>
      </c>
      <c r="B557" s="2">
        <f>VLOOKUP(Table3[[#This Row],[Date]],'DB LEI'!$A:$F,2)</f>
        <v/>
      </c>
      <c r="C557" s="4">
        <f>(Table3[[#This Row],[Conference Board Leading Indicator]]-B545)/B545</f>
        <v/>
      </c>
      <c r="D557" s="3">
        <f>IF(VLOOKUP(Table3[[#This Row],[Date]],'DB LEI'!$A:$I,9)=0,"",VLOOKUP(Table3[[#This Row],[Date]],'DB LEI'!$A:$I,9))</f>
        <v/>
      </c>
      <c r="E557" s="2">
        <f>VLOOKUP(Table3[[#This Row],[Date]],'DB LEI'!$A:$F,4)</f>
        <v/>
      </c>
      <c r="F557" s="4">
        <f>(Table3[[#This Row],[UMSCI]]-E546)/E546</f>
        <v/>
      </c>
    </row>
    <row r="558">
      <c r="A558" s="6" t="n">
        <v>38231</v>
      </c>
      <c r="B558" s="2">
        <f>VLOOKUP(Table3[[#This Row],[Date]],'DB LEI'!$A:$F,2)</f>
        <v/>
      </c>
      <c r="C558" s="4">
        <f>(Table3[[#This Row],[Conference Board Leading Indicator]]-B546)/B546</f>
        <v/>
      </c>
      <c r="D558" s="3">
        <f>IF(VLOOKUP(Table3[[#This Row],[Date]],'DB LEI'!$A:$I,9)=0,"",VLOOKUP(Table3[[#This Row],[Date]],'DB LEI'!$A:$I,9))</f>
        <v/>
      </c>
      <c r="E558" s="2">
        <f>VLOOKUP(Table3[[#This Row],[Date]],'DB LEI'!$A:$F,4)</f>
        <v/>
      </c>
      <c r="F558" s="4">
        <f>(Table3[[#This Row],[UMSCI]]-E547)/E547</f>
        <v/>
      </c>
    </row>
    <row r="559">
      <c r="A559" s="6" t="n">
        <v>38261</v>
      </c>
      <c r="B559" s="2">
        <f>VLOOKUP(Table3[[#This Row],[Date]],'DB LEI'!$A:$F,2)</f>
        <v/>
      </c>
      <c r="C559" s="4">
        <f>(Table3[[#This Row],[Conference Board Leading Indicator]]-B547)/B547</f>
        <v/>
      </c>
      <c r="D559" s="3">
        <f>IF(VLOOKUP(Table3[[#This Row],[Date]],'DB LEI'!$A:$I,9)=0,"",VLOOKUP(Table3[[#This Row],[Date]],'DB LEI'!$A:$I,9))</f>
        <v/>
      </c>
      <c r="E559" s="2">
        <f>VLOOKUP(Table3[[#This Row],[Date]],'DB LEI'!$A:$F,4)</f>
        <v/>
      </c>
      <c r="F559" s="4">
        <f>(Table3[[#This Row],[UMSCI]]-E548)/E548</f>
        <v/>
      </c>
    </row>
    <row r="560">
      <c r="A560" s="6" t="n">
        <v>38292</v>
      </c>
      <c r="B560" s="2">
        <f>VLOOKUP(Table3[[#This Row],[Date]],'DB LEI'!$A:$F,2)</f>
        <v/>
      </c>
      <c r="C560" s="4">
        <f>(Table3[[#This Row],[Conference Board Leading Indicator]]-B548)/B548</f>
        <v/>
      </c>
      <c r="D560" s="3">
        <f>IF(VLOOKUP(Table3[[#This Row],[Date]],'DB LEI'!$A:$I,9)=0,"",VLOOKUP(Table3[[#This Row],[Date]],'DB LEI'!$A:$I,9))</f>
        <v/>
      </c>
      <c r="E560" s="2">
        <f>VLOOKUP(Table3[[#This Row],[Date]],'DB LEI'!$A:$F,4)</f>
        <v/>
      </c>
      <c r="F560" s="4">
        <f>(Table3[[#This Row],[UMSCI]]-E549)/E549</f>
        <v/>
      </c>
    </row>
    <row r="561">
      <c r="A561" s="6" t="n">
        <v>38322</v>
      </c>
      <c r="B561" s="2">
        <f>VLOOKUP(Table3[[#This Row],[Date]],'DB LEI'!$A:$F,2)</f>
        <v/>
      </c>
      <c r="C561" s="4">
        <f>(Table3[[#This Row],[Conference Board Leading Indicator]]-B549)/B549</f>
        <v/>
      </c>
      <c r="D561" s="3">
        <f>IF(VLOOKUP(Table3[[#This Row],[Date]],'DB LEI'!$A:$I,9)=0,"",VLOOKUP(Table3[[#This Row],[Date]],'DB LEI'!$A:$I,9))</f>
        <v/>
      </c>
      <c r="E561" s="2">
        <f>VLOOKUP(Table3[[#This Row],[Date]],'DB LEI'!$A:$F,4)</f>
        <v/>
      </c>
      <c r="F561" s="4">
        <f>(Table3[[#This Row],[UMSCI]]-E550)/E550</f>
        <v/>
      </c>
    </row>
    <row r="562">
      <c r="A562" s="6" t="n">
        <v>38353</v>
      </c>
      <c r="B562" s="2">
        <f>VLOOKUP(Table3[[#This Row],[Date]],'DB LEI'!$A:$F,2)</f>
        <v/>
      </c>
      <c r="C562" s="4">
        <f>(Table3[[#This Row],[Conference Board Leading Indicator]]-B550)/B550</f>
        <v/>
      </c>
      <c r="D562" s="3">
        <f>IF(VLOOKUP(Table3[[#This Row],[Date]],'DB LEI'!$A:$I,9)=0,"",VLOOKUP(Table3[[#This Row],[Date]],'DB LEI'!$A:$I,9))</f>
        <v/>
      </c>
      <c r="E562" s="2">
        <f>VLOOKUP(Table3[[#This Row],[Date]],'DB LEI'!$A:$F,4)</f>
        <v/>
      </c>
      <c r="F562" s="4">
        <f>(Table3[[#This Row],[UMSCI]]-E551)/E551</f>
        <v/>
      </c>
    </row>
    <row r="563">
      <c r="A563" s="6" t="n">
        <v>38384</v>
      </c>
      <c r="B563" s="2">
        <f>VLOOKUP(Table3[[#This Row],[Date]],'DB LEI'!$A:$F,2)</f>
        <v/>
      </c>
      <c r="C563" s="4">
        <f>(Table3[[#This Row],[Conference Board Leading Indicator]]-B551)/B551</f>
        <v/>
      </c>
      <c r="D563" s="3">
        <f>IF(VLOOKUP(Table3[[#This Row],[Date]],'DB LEI'!$A:$I,9)=0,"",VLOOKUP(Table3[[#This Row],[Date]],'DB LEI'!$A:$I,9))</f>
        <v/>
      </c>
      <c r="E563" s="2">
        <f>VLOOKUP(Table3[[#This Row],[Date]],'DB LEI'!$A:$F,4)</f>
        <v/>
      </c>
      <c r="F563" s="4">
        <f>(Table3[[#This Row],[UMSCI]]-E552)/E552</f>
        <v/>
      </c>
    </row>
    <row r="564">
      <c r="A564" s="6" t="n">
        <v>38412</v>
      </c>
      <c r="B564" s="2">
        <f>VLOOKUP(Table3[[#This Row],[Date]],'DB LEI'!$A:$F,2)</f>
        <v/>
      </c>
      <c r="C564" s="4">
        <f>(Table3[[#This Row],[Conference Board Leading Indicator]]-B552)/B552</f>
        <v/>
      </c>
      <c r="D564" s="3">
        <f>IF(VLOOKUP(Table3[[#This Row],[Date]],'DB LEI'!$A:$I,9)=0,"",VLOOKUP(Table3[[#This Row],[Date]],'DB LEI'!$A:$I,9))</f>
        <v/>
      </c>
      <c r="E564" s="2">
        <f>VLOOKUP(Table3[[#This Row],[Date]],'DB LEI'!$A:$F,4)</f>
        <v/>
      </c>
      <c r="F564" s="4">
        <f>(Table3[[#This Row],[UMSCI]]-E553)/E553</f>
        <v/>
      </c>
    </row>
    <row r="565">
      <c r="A565" s="6" t="n">
        <v>38443</v>
      </c>
      <c r="B565" s="2">
        <f>VLOOKUP(Table3[[#This Row],[Date]],'DB LEI'!$A:$F,2)</f>
        <v/>
      </c>
      <c r="C565" s="4">
        <f>(Table3[[#This Row],[Conference Board Leading Indicator]]-B553)/B553</f>
        <v/>
      </c>
      <c r="D565" s="3">
        <f>IF(VLOOKUP(Table3[[#This Row],[Date]],'DB LEI'!$A:$I,9)=0,"",VLOOKUP(Table3[[#This Row],[Date]],'DB LEI'!$A:$I,9))</f>
        <v/>
      </c>
      <c r="E565" s="2">
        <f>VLOOKUP(Table3[[#This Row],[Date]],'DB LEI'!$A:$F,4)</f>
        <v/>
      </c>
      <c r="F565" s="4">
        <f>(Table3[[#This Row],[UMSCI]]-E554)/E554</f>
        <v/>
      </c>
    </row>
    <row r="566">
      <c r="A566" s="6" t="n">
        <v>38473</v>
      </c>
      <c r="B566" s="2">
        <f>VLOOKUP(Table3[[#This Row],[Date]],'DB LEI'!$A:$F,2)</f>
        <v/>
      </c>
      <c r="C566" s="4">
        <f>(Table3[[#This Row],[Conference Board Leading Indicator]]-B554)/B554</f>
        <v/>
      </c>
      <c r="D566" s="3">
        <f>IF(VLOOKUP(Table3[[#This Row],[Date]],'DB LEI'!$A:$I,9)=0,"",VLOOKUP(Table3[[#This Row],[Date]],'DB LEI'!$A:$I,9))</f>
        <v/>
      </c>
      <c r="E566" s="2">
        <f>VLOOKUP(Table3[[#This Row],[Date]],'DB LEI'!$A:$F,4)</f>
        <v/>
      </c>
      <c r="F566" s="4">
        <f>(Table3[[#This Row],[UMSCI]]-E555)/E555</f>
        <v/>
      </c>
    </row>
    <row r="567">
      <c r="A567" s="6" t="n">
        <v>38504</v>
      </c>
      <c r="B567" s="2">
        <f>VLOOKUP(Table3[[#This Row],[Date]],'DB LEI'!$A:$F,2)</f>
        <v/>
      </c>
      <c r="C567" s="4">
        <f>(Table3[[#This Row],[Conference Board Leading Indicator]]-B555)/B555</f>
        <v/>
      </c>
      <c r="D567" s="3">
        <f>IF(VLOOKUP(Table3[[#This Row],[Date]],'DB LEI'!$A:$I,9)=0,"",VLOOKUP(Table3[[#This Row],[Date]],'DB LEI'!$A:$I,9))</f>
        <v/>
      </c>
      <c r="E567" s="2">
        <f>VLOOKUP(Table3[[#This Row],[Date]],'DB LEI'!$A:$F,4)</f>
        <v/>
      </c>
      <c r="F567" s="4">
        <f>(Table3[[#This Row],[UMSCI]]-E556)/E556</f>
        <v/>
      </c>
    </row>
    <row r="568">
      <c r="A568" s="6" t="n">
        <v>38534</v>
      </c>
      <c r="B568" s="2">
        <f>VLOOKUP(Table3[[#This Row],[Date]],'DB LEI'!$A:$F,2)</f>
        <v/>
      </c>
      <c r="C568" s="4">
        <f>(Table3[[#This Row],[Conference Board Leading Indicator]]-B556)/B556</f>
        <v/>
      </c>
      <c r="D568" s="3">
        <f>IF(VLOOKUP(Table3[[#This Row],[Date]],'DB LEI'!$A:$I,9)=0,"",VLOOKUP(Table3[[#This Row],[Date]],'DB LEI'!$A:$I,9))</f>
        <v/>
      </c>
      <c r="E568" s="2">
        <f>VLOOKUP(Table3[[#This Row],[Date]],'DB LEI'!$A:$F,4)</f>
        <v/>
      </c>
      <c r="F568" s="4">
        <f>(Table3[[#This Row],[UMSCI]]-E557)/E557</f>
        <v/>
      </c>
    </row>
    <row r="569">
      <c r="A569" s="6" t="n">
        <v>38565</v>
      </c>
      <c r="B569" s="2">
        <f>VLOOKUP(Table3[[#This Row],[Date]],'DB LEI'!$A:$F,2)</f>
        <v/>
      </c>
      <c r="C569" s="4">
        <f>(Table3[[#This Row],[Conference Board Leading Indicator]]-B557)/B557</f>
        <v/>
      </c>
      <c r="D569" s="3">
        <f>IF(VLOOKUP(Table3[[#This Row],[Date]],'DB LEI'!$A:$I,9)=0,"",VLOOKUP(Table3[[#This Row],[Date]],'DB LEI'!$A:$I,9))</f>
        <v/>
      </c>
      <c r="E569" s="2">
        <f>VLOOKUP(Table3[[#This Row],[Date]],'DB LEI'!$A:$F,4)</f>
        <v/>
      </c>
      <c r="F569" s="4">
        <f>(Table3[[#This Row],[UMSCI]]-E558)/E558</f>
        <v/>
      </c>
    </row>
    <row r="570">
      <c r="A570" s="6" t="n">
        <v>38596</v>
      </c>
      <c r="B570" s="2">
        <f>VLOOKUP(Table3[[#This Row],[Date]],'DB LEI'!$A:$F,2)</f>
        <v/>
      </c>
      <c r="C570" s="4">
        <f>(Table3[[#This Row],[Conference Board Leading Indicator]]-B558)/B558</f>
        <v/>
      </c>
      <c r="D570" s="3">
        <f>IF(VLOOKUP(Table3[[#This Row],[Date]],'DB LEI'!$A:$I,9)=0,"",VLOOKUP(Table3[[#This Row],[Date]],'DB LEI'!$A:$I,9))</f>
        <v/>
      </c>
      <c r="E570" s="2">
        <f>VLOOKUP(Table3[[#This Row],[Date]],'DB LEI'!$A:$F,4)</f>
        <v/>
      </c>
      <c r="F570" s="4">
        <f>(Table3[[#This Row],[UMSCI]]-E559)/E559</f>
        <v/>
      </c>
    </row>
    <row r="571">
      <c r="A571" s="6" t="n">
        <v>38626</v>
      </c>
      <c r="B571" s="2">
        <f>VLOOKUP(Table3[[#This Row],[Date]],'DB LEI'!$A:$F,2)</f>
        <v/>
      </c>
      <c r="C571" s="4">
        <f>(Table3[[#This Row],[Conference Board Leading Indicator]]-B559)/B559</f>
        <v/>
      </c>
      <c r="D571" s="3">
        <f>IF(VLOOKUP(Table3[[#This Row],[Date]],'DB LEI'!$A:$I,9)=0,"",VLOOKUP(Table3[[#This Row],[Date]],'DB LEI'!$A:$I,9))</f>
        <v/>
      </c>
      <c r="E571" s="2">
        <f>VLOOKUP(Table3[[#This Row],[Date]],'DB LEI'!$A:$F,4)</f>
        <v/>
      </c>
      <c r="F571" s="4">
        <f>(Table3[[#This Row],[UMSCI]]-E560)/E560</f>
        <v/>
      </c>
    </row>
    <row r="572">
      <c r="A572" s="6" t="n">
        <v>38657</v>
      </c>
      <c r="B572" s="2">
        <f>VLOOKUP(Table3[[#This Row],[Date]],'DB LEI'!$A:$F,2)</f>
        <v/>
      </c>
      <c r="C572" s="4">
        <f>(Table3[[#This Row],[Conference Board Leading Indicator]]-B560)/B560</f>
        <v/>
      </c>
      <c r="D572" s="3">
        <f>IF(VLOOKUP(Table3[[#This Row],[Date]],'DB LEI'!$A:$I,9)=0,"",VLOOKUP(Table3[[#This Row],[Date]],'DB LEI'!$A:$I,9))</f>
        <v/>
      </c>
      <c r="E572" s="2">
        <f>VLOOKUP(Table3[[#This Row],[Date]],'DB LEI'!$A:$F,4)</f>
        <v/>
      </c>
      <c r="F572" s="4">
        <f>(Table3[[#This Row],[UMSCI]]-E561)/E561</f>
        <v/>
      </c>
    </row>
    <row r="573">
      <c r="A573" s="6" t="n">
        <v>38687</v>
      </c>
      <c r="B573" s="2">
        <f>VLOOKUP(Table3[[#This Row],[Date]],'DB LEI'!$A:$F,2)</f>
        <v/>
      </c>
      <c r="C573" s="4">
        <f>(Table3[[#This Row],[Conference Board Leading Indicator]]-B561)/B561</f>
        <v/>
      </c>
      <c r="D573" s="3">
        <f>IF(VLOOKUP(Table3[[#This Row],[Date]],'DB LEI'!$A:$I,9)=0,"",VLOOKUP(Table3[[#This Row],[Date]],'DB LEI'!$A:$I,9))</f>
        <v/>
      </c>
      <c r="E573" s="2">
        <f>VLOOKUP(Table3[[#This Row],[Date]],'DB LEI'!$A:$F,4)</f>
        <v/>
      </c>
      <c r="F573" s="4">
        <f>(Table3[[#This Row],[UMSCI]]-E562)/E562</f>
        <v/>
      </c>
    </row>
    <row r="574">
      <c r="A574" s="6" t="n">
        <v>38718</v>
      </c>
      <c r="B574" s="2">
        <f>VLOOKUP(Table3[[#This Row],[Date]],'DB LEI'!$A:$F,2)</f>
        <v/>
      </c>
      <c r="C574" s="4">
        <f>(Table3[[#This Row],[Conference Board Leading Indicator]]-B562)/B562</f>
        <v/>
      </c>
      <c r="D574" s="3">
        <f>IF(VLOOKUP(Table3[[#This Row],[Date]],'DB LEI'!$A:$I,9)=0,"",VLOOKUP(Table3[[#This Row],[Date]],'DB LEI'!$A:$I,9))</f>
        <v/>
      </c>
      <c r="E574" s="2">
        <f>VLOOKUP(Table3[[#This Row],[Date]],'DB LEI'!$A:$F,4)</f>
        <v/>
      </c>
      <c r="F574" s="4">
        <f>(Table3[[#This Row],[UMSCI]]-E563)/E563</f>
        <v/>
      </c>
    </row>
    <row r="575">
      <c r="A575" s="6" t="n">
        <v>38749</v>
      </c>
      <c r="B575" s="2">
        <f>VLOOKUP(Table3[[#This Row],[Date]],'DB LEI'!$A:$F,2)</f>
        <v/>
      </c>
      <c r="C575" s="4">
        <f>(Table3[[#This Row],[Conference Board Leading Indicator]]-B563)/B563</f>
        <v/>
      </c>
      <c r="D575" s="3">
        <f>IF(VLOOKUP(Table3[[#This Row],[Date]],'DB LEI'!$A:$I,9)=0,"",VLOOKUP(Table3[[#This Row],[Date]],'DB LEI'!$A:$I,9))</f>
        <v/>
      </c>
      <c r="E575" s="2">
        <f>VLOOKUP(Table3[[#This Row],[Date]],'DB LEI'!$A:$F,4)</f>
        <v/>
      </c>
      <c r="F575" s="4">
        <f>(Table3[[#This Row],[UMSCI]]-E564)/E564</f>
        <v/>
      </c>
    </row>
    <row r="576">
      <c r="A576" s="6" t="n">
        <v>38777</v>
      </c>
      <c r="B576" s="2">
        <f>VLOOKUP(Table3[[#This Row],[Date]],'DB LEI'!$A:$F,2)</f>
        <v/>
      </c>
      <c r="C576" s="4">
        <f>(Table3[[#This Row],[Conference Board Leading Indicator]]-B564)/B564</f>
        <v/>
      </c>
      <c r="D576" s="3">
        <f>IF(VLOOKUP(Table3[[#This Row],[Date]],'DB LEI'!$A:$I,9)=0,"",VLOOKUP(Table3[[#This Row],[Date]],'DB LEI'!$A:$I,9))</f>
        <v/>
      </c>
      <c r="E576" s="2">
        <f>VLOOKUP(Table3[[#This Row],[Date]],'DB LEI'!$A:$F,4)</f>
        <v/>
      </c>
      <c r="F576" s="4">
        <f>(Table3[[#This Row],[UMSCI]]-E565)/E565</f>
        <v/>
      </c>
    </row>
    <row r="577">
      <c r="A577" s="6" t="n">
        <v>38808</v>
      </c>
      <c r="B577" s="2">
        <f>VLOOKUP(Table3[[#This Row],[Date]],'DB LEI'!$A:$F,2)</f>
        <v/>
      </c>
      <c r="C577" s="4">
        <f>(Table3[[#This Row],[Conference Board Leading Indicator]]-B565)/B565</f>
        <v/>
      </c>
      <c r="D577" s="3">
        <f>IF(VLOOKUP(Table3[[#This Row],[Date]],'DB LEI'!$A:$I,9)=0,"",VLOOKUP(Table3[[#This Row],[Date]],'DB LEI'!$A:$I,9))</f>
        <v/>
      </c>
      <c r="E577" s="2">
        <f>VLOOKUP(Table3[[#This Row],[Date]],'DB LEI'!$A:$F,4)</f>
        <v/>
      </c>
      <c r="F577" s="4">
        <f>(Table3[[#This Row],[UMSCI]]-E566)/E566</f>
        <v/>
      </c>
    </row>
    <row r="578">
      <c r="A578" s="6" t="n">
        <v>38838</v>
      </c>
      <c r="B578" s="2">
        <f>VLOOKUP(Table3[[#This Row],[Date]],'DB LEI'!$A:$F,2)</f>
        <v/>
      </c>
      <c r="C578" s="4">
        <f>(Table3[[#This Row],[Conference Board Leading Indicator]]-B566)/B566</f>
        <v/>
      </c>
      <c r="D578" s="3">
        <f>IF(VLOOKUP(Table3[[#This Row],[Date]],'DB LEI'!$A:$I,9)=0,"",VLOOKUP(Table3[[#This Row],[Date]],'DB LEI'!$A:$I,9))</f>
        <v/>
      </c>
      <c r="E578" s="2">
        <f>VLOOKUP(Table3[[#This Row],[Date]],'DB LEI'!$A:$F,4)</f>
        <v/>
      </c>
      <c r="F578" s="4">
        <f>(Table3[[#This Row],[UMSCI]]-E567)/E567</f>
        <v/>
      </c>
    </row>
    <row r="579">
      <c r="A579" s="6" t="n">
        <v>38869</v>
      </c>
      <c r="B579" s="2">
        <f>VLOOKUP(Table3[[#This Row],[Date]],'DB LEI'!$A:$F,2)</f>
        <v/>
      </c>
      <c r="C579" s="4">
        <f>(Table3[[#This Row],[Conference Board Leading Indicator]]-B567)/B567</f>
        <v/>
      </c>
      <c r="D579" s="3">
        <f>IF(VLOOKUP(Table3[[#This Row],[Date]],'DB LEI'!$A:$I,9)=0,"",VLOOKUP(Table3[[#This Row],[Date]],'DB LEI'!$A:$I,9))</f>
        <v/>
      </c>
      <c r="E579" s="2">
        <f>VLOOKUP(Table3[[#This Row],[Date]],'DB LEI'!$A:$F,4)</f>
        <v/>
      </c>
      <c r="F579" s="4">
        <f>(Table3[[#This Row],[UMSCI]]-E568)/E568</f>
        <v/>
      </c>
    </row>
    <row r="580">
      <c r="A580" s="6" t="n">
        <v>38899</v>
      </c>
      <c r="B580" s="2">
        <f>VLOOKUP(Table3[[#This Row],[Date]],'DB LEI'!$A:$F,2)</f>
        <v/>
      </c>
      <c r="C580" s="4">
        <f>(Table3[[#This Row],[Conference Board Leading Indicator]]-B568)/B568</f>
        <v/>
      </c>
      <c r="D580" s="3">
        <f>IF(VLOOKUP(Table3[[#This Row],[Date]],'DB LEI'!$A:$I,9)=0,"",VLOOKUP(Table3[[#This Row],[Date]],'DB LEI'!$A:$I,9))</f>
        <v/>
      </c>
      <c r="E580" s="2">
        <f>VLOOKUP(Table3[[#This Row],[Date]],'DB LEI'!$A:$F,4)</f>
        <v/>
      </c>
      <c r="F580" s="4">
        <f>(Table3[[#This Row],[UMSCI]]-E569)/E569</f>
        <v/>
      </c>
    </row>
    <row r="581">
      <c r="A581" s="6" t="n">
        <v>38930</v>
      </c>
      <c r="B581" s="2">
        <f>VLOOKUP(Table3[[#This Row],[Date]],'DB LEI'!$A:$F,2)</f>
        <v/>
      </c>
      <c r="C581" s="4">
        <f>(Table3[[#This Row],[Conference Board Leading Indicator]]-B569)/B569</f>
        <v/>
      </c>
      <c r="D581" s="3">
        <f>IF(VLOOKUP(Table3[[#This Row],[Date]],'DB LEI'!$A:$I,9)=0,"",VLOOKUP(Table3[[#This Row],[Date]],'DB LEI'!$A:$I,9))</f>
        <v/>
      </c>
      <c r="E581" s="2">
        <f>VLOOKUP(Table3[[#This Row],[Date]],'DB LEI'!$A:$F,4)</f>
        <v/>
      </c>
      <c r="F581" s="4">
        <f>(Table3[[#This Row],[UMSCI]]-E570)/E570</f>
        <v/>
      </c>
    </row>
    <row r="582">
      <c r="A582" s="6" t="n">
        <v>38961</v>
      </c>
      <c r="B582" s="2">
        <f>VLOOKUP(Table3[[#This Row],[Date]],'DB LEI'!$A:$F,2)</f>
        <v/>
      </c>
      <c r="C582" s="4">
        <f>(Table3[[#This Row],[Conference Board Leading Indicator]]-B570)/B570</f>
        <v/>
      </c>
      <c r="D582" s="3">
        <f>IF(VLOOKUP(Table3[[#This Row],[Date]],'DB LEI'!$A:$I,9)=0,"",VLOOKUP(Table3[[#This Row],[Date]],'DB LEI'!$A:$I,9))</f>
        <v/>
      </c>
      <c r="E582" s="2">
        <f>VLOOKUP(Table3[[#This Row],[Date]],'DB LEI'!$A:$F,4)</f>
        <v/>
      </c>
      <c r="F582" s="4">
        <f>(Table3[[#This Row],[UMSCI]]-E571)/E571</f>
        <v/>
      </c>
    </row>
    <row r="583">
      <c r="A583" s="6" t="n">
        <v>38991</v>
      </c>
      <c r="B583" s="2">
        <f>VLOOKUP(Table3[[#This Row],[Date]],'DB LEI'!$A:$F,2)</f>
        <v/>
      </c>
      <c r="C583" s="4">
        <f>(Table3[[#This Row],[Conference Board Leading Indicator]]-B571)/B571</f>
        <v/>
      </c>
      <c r="D583" s="3">
        <f>IF(VLOOKUP(Table3[[#This Row],[Date]],'DB LEI'!$A:$I,9)=0,"",VLOOKUP(Table3[[#This Row],[Date]],'DB LEI'!$A:$I,9))</f>
        <v/>
      </c>
      <c r="E583" s="2">
        <f>VLOOKUP(Table3[[#This Row],[Date]],'DB LEI'!$A:$F,4)</f>
        <v/>
      </c>
      <c r="F583" s="4">
        <f>(Table3[[#This Row],[UMSCI]]-E572)/E572</f>
        <v/>
      </c>
    </row>
    <row r="584">
      <c r="A584" s="6" t="n">
        <v>39022</v>
      </c>
      <c r="B584" s="2">
        <f>VLOOKUP(Table3[[#This Row],[Date]],'DB LEI'!$A:$F,2)</f>
        <v/>
      </c>
      <c r="C584" s="4">
        <f>(Table3[[#This Row],[Conference Board Leading Indicator]]-B572)/B572</f>
        <v/>
      </c>
      <c r="D584" s="3">
        <f>IF(VLOOKUP(Table3[[#This Row],[Date]],'DB LEI'!$A:$I,9)=0,"",VLOOKUP(Table3[[#This Row],[Date]],'DB LEI'!$A:$I,9))</f>
        <v/>
      </c>
      <c r="E584" s="2">
        <f>VLOOKUP(Table3[[#This Row],[Date]],'DB LEI'!$A:$F,4)</f>
        <v/>
      </c>
      <c r="F584" s="4">
        <f>(Table3[[#This Row],[UMSCI]]-E573)/E573</f>
        <v/>
      </c>
    </row>
    <row r="585">
      <c r="A585" s="6" t="n">
        <v>39052</v>
      </c>
      <c r="B585" s="2">
        <f>VLOOKUP(Table3[[#This Row],[Date]],'DB LEI'!$A:$F,2)</f>
        <v/>
      </c>
      <c r="C585" s="4">
        <f>(Table3[[#This Row],[Conference Board Leading Indicator]]-B573)/B573</f>
        <v/>
      </c>
      <c r="D585" s="3">
        <f>IF(VLOOKUP(Table3[[#This Row],[Date]],'DB LEI'!$A:$I,9)=0,"",VLOOKUP(Table3[[#This Row],[Date]],'DB LEI'!$A:$I,9))</f>
        <v/>
      </c>
      <c r="E585" s="2">
        <f>VLOOKUP(Table3[[#This Row],[Date]],'DB LEI'!$A:$F,4)</f>
        <v/>
      </c>
      <c r="F585" s="4">
        <f>(Table3[[#This Row],[UMSCI]]-E574)/E574</f>
        <v/>
      </c>
    </row>
    <row r="586">
      <c r="A586" s="6" t="n">
        <v>39083</v>
      </c>
      <c r="B586" s="2">
        <f>VLOOKUP(Table3[[#This Row],[Date]],'DB LEI'!$A:$F,2)</f>
        <v/>
      </c>
      <c r="C586" s="4">
        <f>(Table3[[#This Row],[Conference Board Leading Indicator]]-B574)/B574</f>
        <v/>
      </c>
      <c r="D586" s="3">
        <f>IF(VLOOKUP(Table3[[#This Row],[Date]],'DB LEI'!$A:$I,9)=0,"",VLOOKUP(Table3[[#This Row],[Date]],'DB LEI'!$A:$I,9))</f>
        <v/>
      </c>
      <c r="E586" s="2">
        <f>VLOOKUP(Table3[[#This Row],[Date]],'DB LEI'!$A:$F,4)</f>
        <v/>
      </c>
      <c r="F586" s="4">
        <f>(Table3[[#This Row],[UMSCI]]-E575)/E575</f>
        <v/>
      </c>
    </row>
    <row r="587">
      <c r="A587" s="6" t="n">
        <v>39114</v>
      </c>
      <c r="B587" s="2">
        <f>VLOOKUP(Table3[[#This Row],[Date]],'DB LEI'!$A:$F,2)</f>
        <v/>
      </c>
      <c r="C587" s="4">
        <f>(Table3[[#This Row],[Conference Board Leading Indicator]]-B575)/B575</f>
        <v/>
      </c>
      <c r="D587" s="3">
        <f>IF(VLOOKUP(Table3[[#This Row],[Date]],'DB LEI'!$A:$I,9)=0,"",VLOOKUP(Table3[[#This Row],[Date]],'DB LEI'!$A:$I,9))</f>
        <v/>
      </c>
      <c r="E587" s="2">
        <f>VLOOKUP(Table3[[#This Row],[Date]],'DB LEI'!$A:$F,4)</f>
        <v/>
      </c>
      <c r="F587" s="4">
        <f>(Table3[[#This Row],[UMSCI]]-E576)/E576</f>
        <v/>
      </c>
    </row>
    <row r="588">
      <c r="A588" s="6" t="n">
        <v>39142</v>
      </c>
      <c r="B588" s="2">
        <f>VLOOKUP(Table3[[#This Row],[Date]],'DB LEI'!$A:$F,2)</f>
        <v/>
      </c>
      <c r="C588" s="4">
        <f>(Table3[[#This Row],[Conference Board Leading Indicator]]-B576)/B576</f>
        <v/>
      </c>
      <c r="D588" s="3">
        <f>IF(VLOOKUP(Table3[[#This Row],[Date]],'DB LEI'!$A:$I,9)=0,"",VLOOKUP(Table3[[#This Row],[Date]],'DB LEI'!$A:$I,9))</f>
        <v/>
      </c>
      <c r="E588" s="2">
        <f>VLOOKUP(Table3[[#This Row],[Date]],'DB LEI'!$A:$F,4)</f>
        <v/>
      </c>
      <c r="F588" s="4">
        <f>(Table3[[#This Row],[UMSCI]]-E577)/E577</f>
        <v/>
      </c>
    </row>
    <row r="589">
      <c r="A589" s="6" t="n">
        <v>39173</v>
      </c>
      <c r="B589" s="2">
        <f>VLOOKUP(Table3[[#This Row],[Date]],'DB LEI'!$A:$F,2)</f>
        <v/>
      </c>
      <c r="C589" s="4">
        <f>(Table3[[#This Row],[Conference Board Leading Indicator]]-B577)/B577</f>
        <v/>
      </c>
      <c r="D589" s="3">
        <f>IF(VLOOKUP(Table3[[#This Row],[Date]],'DB LEI'!$A:$I,9)=0,"",VLOOKUP(Table3[[#This Row],[Date]],'DB LEI'!$A:$I,9))</f>
        <v/>
      </c>
      <c r="E589" s="2">
        <f>VLOOKUP(Table3[[#This Row],[Date]],'DB LEI'!$A:$F,4)</f>
        <v/>
      </c>
      <c r="F589" s="4">
        <f>(Table3[[#This Row],[UMSCI]]-E578)/E578</f>
        <v/>
      </c>
    </row>
    <row r="590">
      <c r="A590" s="6" t="n">
        <v>39203</v>
      </c>
      <c r="B590" s="2">
        <f>VLOOKUP(Table3[[#This Row],[Date]],'DB LEI'!$A:$F,2)</f>
        <v/>
      </c>
      <c r="C590" s="4">
        <f>(Table3[[#This Row],[Conference Board Leading Indicator]]-B578)/B578</f>
        <v/>
      </c>
      <c r="D590" s="3">
        <f>IF(VLOOKUP(Table3[[#This Row],[Date]],'DB LEI'!$A:$I,9)=0,"",VLOOKUP(Table3[[#This Row],[Date]],'DB LEI'!$A:$I,9))</f>
        <v/>
      </c>
      <c r="E590" s="2">
        <f>VLOOKUP(Table3[[#This Row],[Date]],'DB LEI'!$A:$F,4)</f>
        <v/>
      </c>
      <c r="F590" s="4">
        <f>(Table3[[#This Row],[UMSCI]]-E579)/E579</f>
        <v/>
      </c>
    </row>
    <row r="591">
      <c r="A591" s="6" t="n">
        <v>39234</v>
      </c>
      <c r="B591" s="2">
        <f>VLOOKUP(Table3[[#This Row],[Date]],'DB LEI'!$A:$F,2)</f>
        <v/>
      </c>
      <c r="C591" s="4">
        <f>(Table3[[#This Row],[Conference Board Leading Indicator]]-B579)/B579</f>
        <v/>
      </c>
      <c r="D591" s="3">
        <f>IF(VLOOKUP(Table3[[#This Row],[Date]],'DB LEI'!$A:$I,9)=0,"",VLOOKUP(Table3[[#This Row],[Date]],'DB LEI'!$A:$I,9))</f>
        <v/>
      </c>
      <c r="E591" s="2">
        <f>VLOOKUP(Table3[[#This Row],[Date]],'DB LEI'!$A:$F,4)</f>
        <v/>
      </c>
      <c r="F591" s="4">
        <f>(Table3[[#This Row],[UMSCI]]-E580)/E580</f>
        <v/>
      </c>
    </row>
    <row r="592">
      <c r="A592" s="6" t="n">
        <v>39264</v>
      </c>
      <c r="B592" s="2">
        <f>VLOOKUP(Table3[[#This Row],[Date]],'DB LEI'!$A:$F,2)</f>
        <v/>
      </c>
      <c r="C592" s="4">
        <f>(Table3[[#This Row],[Conference Board Leading Indicator]]-B580)/B580</f>
        <v/>
      </c>
      <c r="D592" s="3">
        <f>IF(VLOOKUP(Table3[[#This Row],[Date]],'DB LEI'!$A:$I,9)=0,"",VLOOKUP(Table3[[#This Row],[Date]],'DB LEI'!$A:$I,9))</f>
        <v/>
      </c>
      <c r="E592" s="2">
        <f>VLOOKUP(Table3[[#This Row],[Date]],'DB LEI'!$A:$F,4)</f>
        <v/>
      </c>
      <c r="F592" s="4">
        <f>(Table3[[#This Row],[UMSCI]]-E581)/E581</f>
        <v/>
      </c>
    </row>
    <row r="593">
      <c r="A593" s="6" t="n">
        <v>39295</v>
      </c>
      <c r="B593" s="2">
        <f>VLOOKUP(Table3[[#This Row],[Date]],'DB LEI'!$A:$F,2)</f>
        <v/>
      </c>
      <c r="C593" s="4">
        <f>(Table3[[#This Row],[Conference Board Leading Indicator]]-B581)/B581</f>
        <v/>
      </c>
      <c r="D593" s="3">
        <f>IF(VLOOKUP(Table3[[#This Row],[Date]],'DB LEI'!$A:$I,9)=0,"",VLOOKUP(Table3[[#This Row],[Date]],'DB LEI'!$A:$I,9))</f>
        <v/>
      </c>
      <c r="E593" s="2">
        <f>VLOOKUP(Table3[[#This Row],[Date]],'DB LEI'!$A:$F,4)</f>
        <v/>
      </c>
      <c r="F593" s="4">
        <f>(Table3[[#This Row],[UMSCI]]-E582)/E582</f>
        <v/>
      </c>
    </row>
    <row r="594">
      <c r="A594" s="6" t="n">
        <v>39326</v>
      </c>
      <c r="B594" s="2">
        <f>VLOOKUP(Table3[[#This Row],[Date]],'DB LEI'!$A:$F,2)</f>
        <v/>
      </c>
      <c r="C594" s="4">
        <f>(Table3[[#This Row],[Conference Board Leading Indicator]]-B582)/B582</f>
        <v/>
      </c>
      <c r="D594" s="3">
        <f>IF(VLOOKUP(Table3[[#This Row],[Date]],'DB LEI'!$A:$I,9)=0,"",VLOOKUP(Table3[[#This Row],[Date]],'DB LEI'!$A:$I,9))</f>
        <v/>
      </c>
      <c r="E594" s="2">
        <f>VLOOKUP(Table3[[#This Row],[Date]],'DB LEI'!$A:$F,4)</f>
        <v/>
      </c>
      <c r="F594" s="4">
        <f>(Table3[[#This Row],[UMSCI]]-E583)/E583</f>
        <v/>
      </c>
    </row>
    <row r="595">
      <c r="A595" s="6" t="n">
        <v>39356</v>
      </c>
      <c r="B595" s="2">
        <f>VLOOKUP(Table3[[#This Row],[Date]],'DB LEI'!$A:$F,2)</f>
        <v/>
      </c>
      <c r="C595" s="4">
        <f>(Table3[[#This Row],[Conference Board Leading Indicator]]-B583)/B583</f>
        <v/>
      </c>
      <c r="D595" s="3">
        <f>IF(VLOOKUP(Table3[[#This Row],[Date]],'DB LEI'!$A:$I,9)=0,"",VLOOKUP(Table3[[#This Row],[Date]],'DB LEI'!$A:$I,9))</f>
        <v/>
      </c>
      <c r="E595" s="2">
        <f>VLOOKUP(Table3[[#This Row],[Date]],'DB LEI'!$A:$F,4)</f>
        <v/>
      </c>
      <c r="F595" s="4">
        <f>(Table3[[#This Row],[UMSCI]]-E584)/E584</f>
        <v/>
      </c>
    </row>
    <row r="596">
      <c r="A596" s="6" t="n">
        <v>39387</v>
      </c>
      <c r="B596" s="2">
        <f>VLOOKUP(Table3[[#This Row],[Date]],'DB LEI'!$A:$F,2)</f>
        <v/>
      </c>
      <c r="C596" s="4">
        <f>(Table3[[#This Row],[Conference Board Leading Indicator]]-B584)/B584</f>
        <v/>
      </c>
      <c r="D596" s="3">
        <f>IF(VLOOKUP(Table3[[#This Row],[Date]],'DB LEI'!$A:$I,9)=0,"",VLOOKUP(Table3[[#This Row],[Date]],'DB LEI'!$A:$I,9))</f>
        <v/>
      </c>
      <c r="E596" s="2">
        <f>VLOOKUP(Table3[[#This Row],[Date]],'DB LEI'!$A:$F,4)</f>
        <v/>
      </c>
      <c r="F596" s="4">
        <f>(Table3[[#This Row],[UMSCI]]-E585)/E585</f>
        <v/>
      </c>
    </row>
    <row r="597">
      <c r="A597" s="6" t="n">
        <v>39417</v>
      </c>
      <c r="B597" s="2">
        <f>VLOOKUP(Table3[[#This Row],[Date]],'DB LEI'!$A:$F,2)</f>
        <v/>
      </c>
      <c r="C597" s="4">
        <f>(Table3[[#This Row],[Conference Board Leading Indicator]]-B585)/B585</f>
        <v/>
      </c>
      <c r="D597" s="3">
        <f>IF(VLOOKUP(Table3[[#This Row],[Date]],'DB LEI'!$A:$I,9)=0,"",VLOOKUP(Table3[[#This Row],[Date]],'DB LEI'!$A:$I,9))</f>
        <v/>
      </c>
      <c r="E597" s="2">
        <f>VLOOKUP(Table3[[#This Row],[Date]],'DB LEI'!$A:$F,4)</f>
        <v/>
      </c>
      <c r="F597" s="4">
        <f>(Table3[[#This Row],[UMSCI]]-E586)/E586</f>
        <v/>
      </c>
    </row>
    <row r="598">
      <c r="A598" s="6" t="n">
        <v>39448</v>
      </c>
      <c r="B598" s="2">
        <f>VLOOKUP(Table3[[#This Row],[Date]],'DB LEI'!$A:$F,2)</f>
        <v/>
      </c>
      <c r="C598" s="4">
        <f>(Table3[[#This Row],[Conference Board Leading Indicator]]-B586)/B586</f>
        <v/>
      </c>
      <c r="D598" s="3">
        <f>IF(VLOOKUP(Table3[[#This Row],[Date]],'DB LEI'!$A:$I,9)=0,"",VLOOKUP(Table3[[#This Row],[Date]],'DB LEI'!$A:$I,9))</f>
        <v/>
      </c>
      <c r="E598" s="2">
        <f>VLOOKUP(Table3[[#This Row],[Date]],'DB LEI'!$A:$F,4)</f>
        <v/>
      </c>
      <c r="F598" s="4">
        <f>(Table3[[#This Row],[UMSCI]]-E587)/E587</f>
        <v/>
      </c>
    </row>
    <row r="599">
      <c r="A599" s="6" t="n">
        <v>39479</v>
      </c>
      <c r="B599" s="2">
        <f>VLOOKUP(Table3[[#This Row],[Date]],'DB LEI'!$A:$F,2)</f>
        <v/>
      </c>
      <c r="C599" s="4">
        <f>(Table3[[#This Row],[Conference Board Leading Indicator]]-B587)/B587</f>
        <v/>
      </c>
      <c r="D599" s="3">
        <f>IF(VLOOKUP(Table3[[#This Row],[Date]],'DB LEI'!$A:$I,9)=0,"",VLOOKUP(Table3[[#This Row],[Date]],'DB LEI'!$A:$I,9))</f>
        <v/>
      </c>
      <c r="E599" s="2">
        <f>VLOOKUP(Table3[[#This Row],[Date]],'DB LEI'!$A:$F,4)</f>
        <v/>
      </c>
      <c r="F599" s="4">
        <f>(Table3[[#This Row],[UMSCI]]-E588)/E588</f>
        <v/>
      </c>
    </row>
    <row r="600">
      <c r="A600" s="6" t="n">
        <v>39508</v>
      </c>
      <c r="B600" s="2">
        <f>VLOOKUP(Table3[[#This Row],[Date]],'DB LEI'!$A:$F,2)</f>
        <v/>
      </c>
      <c r="C600" s="4">
        <f>(Table3[[#This Row],[Conference Board Leading Indicator]]-B588)/B588</f>
        <v/>
      </c>
      <c r="D600" s="3">
        <f>IF(VLOOKUP(Table3[[#This Row],[Date]],'DB LEI'!$A:$I,9)=0,"",VLOOKUP(Table3[[#This Row],[Date]],'DB LEI'!$A:$I,9))</f>
        <v/>
      </c>
      <c r="E600" s="2">
        <f>VLOOKUP(Table3[[#This Row],[Date]],'DB LEI'!$A:$F,4)</f>
        <v/>
      </c>
      <c r="F600" s="4">
        <f>(Table3[[#This Row],[UMSCI]]-E589)/E589</f>
        <v/>
      </c>
    </row>
    <row r="601">
      <c r="A601" s="6" t="n">
        <v>39539</v>
      </c>
      <c r="B601" s="2">
        <f>VLOOKUP(Table3[[#This Row],[Date]],'DB LEI'!$A:$F,2)</f>
        <v/>
      </c>
      <c r="C601" s="4">
        <f>(Table3[[#This Row],[Conference Board Leading Indicator]]-B589)/B589</f>
        <v/>
      </c>
      <c r="D601" s="3">
        <f>IF(VLOOKUP(Table3[[#This Row],[Date]],'DB LEI'!$A:$I,9)=0,"",VLOOKUP(Table3[[#This Row],[Date]],'DB LEI'!$A:$I,9))</f>
        <v/>
      </c>
      <c r="E601" s="2">
        <f>VLOOKUP(Table3[[#This Row],[Date]],'DB LEI'!$A:$F,4)</f>
        <v/>
      </c>
      <c r="F601" s="4">
        <f>(Table3[[#This Row],[UMSCI]]-E590)/E590</f>
        <v/>
      </c>
    </row>
    <row r="602">
      <c r="A602" s="6" t="n">
        <v>39569</v>
      </c>
      <c r="B602" s="2">
        <f>VLOOKUP(Table3[[#This Row],[Date]],'DB LEI'!$A:$F,2)</f>
        <v/>
      </c>
      <c r="C602" s="4">
        <f>(Table3[[#This Row],[Conference Board Leading Indicator]]-B590)/B590</f>
        <v/>
      </c>
      <c r="D602" s="3">
        <f>IF(VLOOKUP(Table3[[#This Row],[Date]],'DB LEI'!$A:$I,9)=0,"",VLOOKUP(Table3[[#This Row],[Date]],'DB LEI'!$A:$I,9))</f>
        <v/>
      </c>
      <c r="E602" s="2">
        <f>VLOOKUP(Table3[[#This Row],[Date]],'DB LEI'!$A:$F,4)</f>
        <v/>
      </c>
      <c r="F602" s="4">
        <f>(Table3[[#This Row],[UMSCI]]-E591)/E591</f>
        <v/>
      </c>
    </row>
    <row r="603">
      <c r="A603" s="6" t="n">
        <v>39600</v>
      </c>
      <c r="B603" s="2">
        <f>VLOOKUP(Table3[[#This Row],[Date]],'DB LEI'!$A:$F,2)</f>
        <v/>
      </c>
      <c r="C603" s="4">
        <f>(Table3[[#This Row],[Conference Board Leading Indicator]]-B591)/B591</f>
        <v/>
      </c>
      <c r="D603" s="3">
        <f>IF(VLOOKUP(Table3[[#This Row],[Date]],'DB LEI'!$A:$I,9)=0,"",VLOOKUP(Table3[[#This Row],[Date]],'DB LEI'!$A:$I,9))</f>
        <v/>
      </c>
      <c r="E603" s="2">
        <f>VLOOKUP(Table3[[#This Row],[Date]],'DB LEI'!$A:$F,4)</f>
        <v/>
      </c>
      <c r="F603" s="4">
        <f>(Table3[[#This Row],[UMSCI]]-E592)/E592</f>
        <v/>
      </c>
    </row>
    <row r="604">
      <c r="A604" s="6" t="n">
        <v>39630</v>
      </c>
      <c r="B604" s="2">
        <f>VLOOKUP(Table3[[#This Row],[Date]],'DB LEI'!$A:$F,2)</f>
        <v/>
      </c>
      <c r="C604" s="4">
        <f>(Table3[[#This Row],[Conference Board Leading Indicator]]-B592)/B592</f>
        <v/>
      </c>
      <c r="D604" s="3">
        <f>IF(VLOOKUP(Table3[[#This Row],[Date]],'DB LEI'!$A:$I,9)=0,"",VLOOKUP(Table3[[#This Row],[Date]],'DB LEI'!$A:$I,9))</f>
        <v/>
      </c>
      <c r="E604" s="2">
        <f>VLOOKUP(Table3[[#This Row],[Date]],'DB LEI'!$A:$F,4)</f>
        <v/>
      </c>
      <c r="F604" s="4">
        <f>(Table3[[#This Row],[UMSCI]]-E593)/E593</f>
        <v/>
      </c>
    </row>
    <row r="605">
      <c r="A605" s="6" t="n">
        <v>39661</v>
      </c>
      <c r="B605" s="2">
        <f>VLOOKUP(Table3[[#This Row],[Date]],'DB LEI'!$A:$F,2)</f>
        <v/>
      </c>
      <c r="C605" s="4">
        <f>(Table3[[#This Row],[Conference Board Leading Indicator]]-B593)/B593</f>
        <v/>
      </c>
      <c r="D605" s="3">
        <f>IF(VLOOKUP(Table3[[#This Row],[Date]],'DB LEI'!$A:$I,9)=0,"",VLOOKUP(Table3[[#This Row],[Date]],'DB LEI'!$A:$I,9))</f>
        <v/>
      </c>
      <c r="E605" s="2">
        <f>VLOOKUP(Table3[[#This Row],[Date]],'DB LEI'!$A:$F,4)</f>
        <v/>
      </c>
      <c r="F605" s="4">
        <f>(Table3[[#This Row],[UMSCI]]-E594)/E594</f>
        <v/>
      </c>
    </row>
    <row r="606">
      <c r="A606" s="6" t="n">
        <v>39692</v>
      </c>
      <c r="B606" s="2">
        <f>VLOOKUP(Table3[[#This Row],[Date]],'DB LEI'!$A:$F,2)</f>
        <v/>
      </c>
      <c r="C606" s="4">
        <f>(Table3[[#This Row],[Conference Board Leading Indicator]]-B594)/B594</f>
        <v/>
      </c>
      <c r="D606" s="3">
        <f>IF(VLOOKUP(Table3[[#This Row],[Date]],'DB LEI'!$A:$I,9)=0,"",VLOOKUP(Table3[[#This Row],[Date]],'DB LEI'!$A:$I,9))</f>
        <v/>
      </c>
      <c r="E606" s="2">
        <f>VLOOKUP(Table3[[#This Row],[Date]],'DB LEI'!$A:$F,4)</f>
        <v/>
      </c>
      <c r="F606" s="4">
        <f>(Table3[[#This Row],[UMSCI]]-E595)/E595</f>
        <v/>
      </c>
    </row>
    <row r="607">
      <c r="A607" s="6" t="n">
        <v>39722</v>
      </c>
      <c r="B607" s="2">
        <f>VLOOKUP(Table3[[#This Row],[Date]],'DB LEI'!$A:$F,2)</f>
        <v/>
      </c>
      <c r="C607" s="4">
        <f>(Table3[[#This Row],[Conference Board Leading Indicator]]-B595)/B595</f>
        <v/>
      </c>
      <c r="D607" s="3">
        <f>IF(VLOOKUP(Table3[[#This Row],[Date]],'DB LEI'!$A:$I,9)=0,"",VLOOKUP(Table3[[#This Row],[Date]],'DB LEI'!$A:$I,9))</f>
        <v/>
      </c>
      <c r="E607" s="2">
        <f>VLOOKUP(Table3[[#This Row],[Date]],'DB LEI'!$A:$F,4)</f>
        <v/>
      </c>
      <c r="F607" s="4">
        <f>(Table3[[#This Row],[UMSCI]]-E596)/E596</f>
        <v/>
      </c>
    </row>
    <row r="608">
      <c r="A608" s="6" t="n">
        <v>39753</v>
      </c>
      <c r="B608" s="2">
        <f>VLOOKUP(Table3[[#This Row],[Date]],'DB LEI'!$A:$F,2)</f>
        <v/>
      </c>
      <c r="C608" s="4">
        <f>(Table3[[#This Row],[Conference Board Leading Indicator]]-B596)/B596</f>
        <v/>
      </c>
      <c r="D608" s="3">
        <f>IF(VLOOKUP(Table3[[#This Row],[Date]],'DB LEI'!$A:$I,9)=0,"",VLOOKUP(Table3[[#This Row],[Date]],'DB LEI'!$A:$I,9))</f>
        <v/>
      </c>
      <c r="E608" s="2">
        <f>VLOOKUP(Table3[[#This Row],[Date]],'DB LEI'!$A:$F,4)</f>
        <v/>
      </c>
      <c r="F608" s="4">
        <f>(Table3[[#This Row],[UMSCI]]-E597)/E597</f>
        <v/>
      </c>
    </row>
    <row r="609">
      <c r="A609" s="6" t="n">
        <v>39783</v>
      </c>
      <c r="B609" s="2">
        <f>VLOOKUP(Table3[[#This Row],[Date]],'DB LEI'!$A:$F,2)</f>
        <v/>
      </c>
      <c r="C609" s="4">
        <f>(Table3[[#This Row],[Conference Board Leading Indicator]]-B597)/B597</f>
        <v/>
      </c>
      <c r="D609" s="3">
        <f>IF(VLOOKUP(Table3[[#This Row],[Date]],'DB LEI'!$A:$I,9)=0,"",VLOOKUP(Table3[[#This Row],[Date]],'DB LEI'!$A:$I,9))</f>
        <v/>
      </c>
      <c r="E609" s="2">
        <f>VLOOKUP(Table3[[#This Row],[Date]],'DB LEI'!$A:$F,4)</f>
        <v/>
      </c>
      <c r="F609" s="4">
        <f>(Table3[[#This Row],[UMSCI]]-E598)/E598</f>
        <v/>
      </c>
    </row>
    <row r="610">
      <c r="A610" s="6" t="n">
        <v>39814</v>
      </c>
      <c r="B610" s="2">
        <f>VLOOKUP(Table3[[#This Row],[Date]],'DB LEI'!$A:$F,2)</f>
        <v/>
      </c>
      <c r="C610" s="4">
        <f>(Table3[[#This Row],[Conference Board Leading Indicator]]-B598)/B598</f>
        <v/>
      </c>
      <c r="D610" s="3">
        <f>IF(VLOOKUP(Table3[[#This Row],[Date]],'DB LEI'!$A:$I,9)=0,"",VLOOKUP(Table3[[#This Row],[Date]],'DB LEI'!$A:$I,9))</f>
        <v/>
      </c>
      <c r="E610" s="2">
        <f>VLOOKUP(Table3[[#This Row],[Date]],'DB LEI'!$A:$F,4)</f>
        <v/>
      </c>
      <c r="F610" s="4">
        <f>(Table3[[#This Row],[UMSCI]]-E599)/E599</f>
        <v/>
      </c>
    </row>
    <row r="611">
      <c r="A611" s="6" t="n">
        <v>39845</v>
      </c>
      <c r="B611" s="2">
        <f>VLOOKUP(Table3[[#This Row],[Date]],'DB LEI'!$A:$F,2)</f>
        <v/>
      </c>
      <c r="C611" s="4">
        <f>(Table3[[#This Row],[Conference Board Leading Indicator]]-B599)/B599</f>
        <v/>
      </c>
      <c r="D611" s="3">
        <f>IF(VLOOKUP(Table3[[#This Row],[Date]],'DB LEI'!$A:$I,9)=0,"",VLOOKUP(Table3[[#This Row],[Date]],'DB LEI'!$A:$I,9))</f>
        <v/>
      </c>
      <c r="E611" s="2">
        <f>VLOOKUP(Table3[[#This Row],[Date]],'DB LEI'!$A:$F,4)</f>
        <v/>
      </c>
      <c r="F611" s="4">
        <f>(Table3[[#This Row],[UMSCI]]-E600)/E600</f>
        <v/>
      </c>
    </row>
    <row r="612">
      <c r="A612" s="6" t="n">
        <v>39873</v>
      </c>
      <c r="B612" s="2">
        <f>VLOOKUP(Table3[[#This Row],[Date]],'DB LEI'!$A:$F,2)</f>
        <v/>
      </c>
      <c r="C612" s="4">
        <f>(Table3[[#This Row],[Conference Board Leading Indicator]]-B600)/B600</f>
        <v/>
      </c>
      <c r="D612" s="3">
        <f>IF(VLOOKUP(Table3[[#This Row],[Date]],'DB LEI'!$A:$I,9)=0,"",VLOOKUP(Table3[[#This Row],[Date]],'DB LEI'!$A:$I,9))</f>
        <v/>
      </c>
      <c r="E612" s="2">
        <f>VLOOKUP(Table3[[#This Row],[Date]],'DB LEI'!$A:$F,4)</f>
        <v/>
      </c>
      <c r="F612" s="4">
        <f>(Table3[[#This Row],[UMSCI]]-E601)/E601</f>
        <v/>
      </c>
    </row>
    <row r="613">
      <c r="A613" s="6" t="n">
        <v>39904</v>
      </c>
      <c r="B613" s="2">
        <f>VLOOKUP(Table3[[#This Row],[Date]],'DB LEI'!$A:$F,2)</f>
        <v/>
      </c>
      <c r="C613" s="4">
        <f>(Table3[[#This Row],[Conference Board Leading Indicator]]-B601)/B601</f>
        <v/>
      </c>
      <c r="D613" s="3">
        <f>IF(VLOOKUP(Table3[[#This Row],[Date]],'DB LEI'!$A:$I,9)=0,"",VLOOKUP(Table3[[#This Row],[Date]],'DB LEI'!$A:$I,9))</f>
        <v/>
      </c>
      <c r="E613" s="2">
        <f>VLOOKUP(Table3[[#This Row],[Date]],'DB LEI'!$A:$F,4)</f>
        <v/>
      </c>
      <c r="F613" s="4">
        <f>(Table3[[#This Row],[UMSCI]]-E602)/E602</f>
        <v/>
      </c>
    </row>
    <row r="614">
      <c r="A614" s="6" t="n">
        <v>39934</v>
      </c>
      <c r="B614" s="2">
        <f>VLOOKUP(Table3[[#This Row],[Date]],'DB LEI'!$A:$F,2)</f>
        <v/>
      </c>
      <c r="C614" s="4">
        <f>(Table3[[#This Row],[Conference Board Leading Indicator]]-B602)/B602</f>
        <v/>
      </c>
      <c r="D614" s="3">
        <f>IF(VLOOKUP(Table3[[#This Row],[Date]],'DB LEI'!$A:$I,9)=0,"",VLOOKUP(Table3[[#This Row],[Date]],'DB LEI'!$A:$I,9))</f>
        <v/>
      </c>
      <c r="E614" s="2">
        <f>VLOOKUP(Table3[[#This Row],[Date]],'DB LEI'!$A:$F,4)</f>
        <v/>
      </c>
      <c r="F614" s="4">
        <f>(Table3[[#This Row],[UMSCI]]-E603)/E603</f>
        <v/>
      </c>
    </row>
    <row r="615">
      <c r="A615" s="6" t="n">
        <v>39965</v>
      </c>
      <c r="B615" s="2">
        <f>VLOOKUP(Table3[[#This Row],[Date]],'DB LEI'!$A:$F,2)</f>
        <v/>
      </c>
      <c r="C615" s="4">
        <f>(Table3[[#This Row],[Conference Board Leading Indicator]]-B603)/B603</f>
        <v/>
      </c>
      <c r="D615" s="3">
        <f>IF(VLOOKUP(Table3[[#This Row],[Date]],'DB LEI'!$A:$I,9)=0,"",VLOOKUP(Table3[[#This Row],[Date]],'DB LEI'!$A:$I,9))</f>
        <v/>
      </c>
      <c r="E615" s="2">
        <f>VLOOKUP(Table3[[#This Row],[Date]],'DB LEI'!$A:$F,4)</f>
        <v/>
      </c>
      <c r="F615" s="4">
        <f>(Table3[[#This Row],[UMSCI]]-E604)/E604</f>
        <v/>
      </c>
    </row>
    <row r="616">
      <c r="A616" s="6" t="n">
        <v>39995</v>
      </c>
      <c r="B616" s="2">
        <f>VLOOKUP(Table3[[#This Row],[Date]],'DB LEI'!$A:$F,2)</f>
        <v/>
      </c>
      <c r="C616" s="4">
        <f>(Table3[[#This Row],[Conference Board Leading Indicator]]-B604)/B604</f>
        <v/>
      </c>
      <c r="D616" s="3">
        <f>IF(VLOOKUP(Table3[[#This Row],[Date]],'DB LEI'!$A:$I,9)=0,"",VLOOKUP(Table3[[#This Row],[Date]],'DB LEI'!$A:$I,9))</f>
        <v/>
      </c>
      <c r="E616" s="2">
        <f>VLOOKUP(Table3[[#This Row],[Date]],'DB LEI'!$A:$F,4)</f>
        <v/>
      </c>
      <c r="F616" s="4">
        <f>(Table3[[#This Row],[UMSCI]]-E605)/E605</f>
        <v/>
      </c>
    </row>
    <row r="617">
      <c r="A617" s="6" t="n">
        <v>40026</v>
      </c>
      <c r="B617" s="2">
        <f>VLOOKUP(Table3[[#This Row],[Date]],'DB LEI'!$A:$F,2)</f>
        <v/>
      </c>
      <c r="C617" s="4">
        <f>(Table3[[#This Row],[Conference Board Leading Indicator]]-B605)/B605</f>
        <v/>
      </c>
      <c r="D617" s="3">
        <f>IF(VLOOKUP(Table3[[#This Row],[Date]],'DB LEI'!$A:$I,9)=0,"",VLOOKUP(Table3[[#This Row],[Date]],'DB LEI'!$A:$I,9))</f>
        <v/>
      </c>
      <c r="E617" s="2">
        <f>VLOOKUP(Table3[[#This Row],[Date]],'DB LEI'!$A:$F,4)</f>
        <v/>
      </c>
      <c r="F617" s="4">
        <f>(Table3[[#This Row],[UMSCI]]-E606)/E606</f>
        <v/>
      </c>
    </row>
    <row r="618">
      <c r="A618" s="6" t="n">
        <v>40057</v>
      </c>
      <c r="B618" s="2">
        <f>VLOOKUP(Table3[[#This Row],[Date]],'DB LEI'!$A:$F,2)</f>
        <v/>
      </c>
      <c r="C618" s="4">
        <f>(Table3[[#This Row],[Conference Board Leading Indicator]]-B606)/B606</f>
        <v/>
      </c>
      <c r="D618" s="3">
        <f>IF(VLOOKUP(Table3[[#This Row],[Date]],'DB LEI'!$A:$I,9)=0,"",VLOOKUP(Table3[[#This Row],[Date]],'DB LEI'!$A:$I,9))</f>
        <v/>
      </c>
      <c r="E618" s="2">
        <f>VLOOKUP(Table3[[#This Row],[Date]],'DB LEI'!$A:$F,4)</f>
        <v/>
      </c>
      <c r="F618" s="4">
        <f>(Table3[[#This Row],[UMSCI]]-E607)/E607</f>
        <v/>
      </c>
    </row>
    <row r="619">
      <c r="A619" s="6" t="n">
        <v>40087</v>
      </c>
      <c r="B619" s="2">
        <f>VLOOKUP(Table3[[#This Row],[Date]],'DB LEI'!$A:$F,2)</f>
        <v/>
      </c>
      <c r="C619" s="4">
        <f>(Table3[[#This Row],[Conference Board Leading Indicator]]-B607)/B607</f>
        <v/>
      </c>
      <c r="D619" s="3">
        <f>IF(VLOOKUP(Table3[[#This Row],[Date]],'DB LEI'!$A:$I,9)=0,"",VLOOKUP(Table3[[#This Row],[Date]],'DB LEI'!$A:$I,9))</f>
        <v/>
      </c>
      <c r="E619" s="2">
        <f>VLOOKUP(Table3[[#This Row],[Date]],'DB LEI'!$A:$F,4)</f>
        <v/>
      </c>
      <c r="F619" s="4">
        <f>(Table3[[#This Row],[UMSCI]]-E608)/E608</f>
        <v/>
      </c>
    </row>
    <row r="620">
      <c r="A620" s="6" t="n">
        <v>40118</v>
      </c>
      <c r="B620" s="2">
        <f>VLOOKUP(Table3[[#This Row],[Date]],'DB LEI'!$A:$F,2)</f>
        <v/>
      </c>
      <c r="C620" s="4">
        <f>(Table3[[#This Row],[Conference Board Leading Indicator]]-B608)/B608</f>
        <v/>
      </c>
      <c r="D620" s="3">
        <f>IF(VLOOKUP(Table3[[#This Row],[Date]],'DB LEI'!$A:$I,9)=0,"",VLOOKUP(Table3[[#This Row],[Date]],'DB LEI'!$A:$I,9))</f>
        <v/>
      </c>
      <c r="E620" s="2">
        <f>VLOOKUP(Table3[[#This Row],[Date]],'DB LEI'!$A:$F,4)</f>
        <v/>
      </c>
      <c r="F620" s="4">
        <f>(Table3[[#This Row],[UMSCI]]-E609)/E609</f>
        <v/>
      </c>
    </row>
    <row r="621">
      <c r="A621" s="6" t="n">
        <v>40148</v>
      </c>
      <c r="B621" s="2">
        <f>VLOOKUP(Table3[[#This Row],[Date]],'DB LEI'!$A:$F,2)</f>
        <v/>
      </c>
      <c r="C621" s="4">
        <f>(Table3[[#This Row],[Conference Board Leading Indicator]]-B609)/B609</f>
        <v/>
      </c>
      <c r="D621" s="3">
        <f>IF(VLOOKUP(Table3[[#This Row],[Date]],'DB LEI'!$A:$I,9)=0,"",VLOOKUP(Table3[[#This Row],[Date]],'DB LEI'!$A:$I,9))</f>
        <v/>
      </c>
      <c r="E621" s="2">
        <f>VLOOKUP(Table3[[#This Row],[Date]],'DB LEI'!$A:$F,4)</f>
        <v/>
      </c>
      <c r="F621" s="4">
        <f>(Table3[[#This Row],[UMSCI]]-E610)/E610</f>
        <v/>
      </c>
    </row>
    <row r="622">
      <c r="A622" s="6" t="n">
        <v>40179</v>
      </c>
      <c r="B622" s="2">
        <f>VLOOKUP(Table3[[#This Row],[Date]],'DB LEI'!$A:$F,2)</f>
        <v/>
      </c>
      <c r="C622" s="4">
        <f>(Table3[[#This Row],[Conference Board Leading Indicator]]-B610)/B610</f>
        <v/>
      </c>
      <c r="D622" s="3">
        <f>IF(VLOOKUP(Table3[[#This Row],[Date]],'DB LEI'!$A:$I,9)=0,"",VLOOKUP(Table3[[#This Row],[Date]],'DB LEI'!$A:$I,9))</f>
        <v/>
      </c>
      <c r="E622" s="2">
        <f>VLOOKUP(Table3[[#This Row],[Date]],'DB LEI'!$A:$F,4)</f>
        <v/>
      </c>
      <c r="F622" s="4">
        <f>(Table3[[#This Row],[UMSCI]]-E611)/E611</f>
        <v/>
      </c>
    </row>
    <row r="623">
      <c r="A623" s="6" t="n">
        <v>40210</v>
      </c>
      <c r="B623" s="2">
        <f>VLOOKUP(Table3[[#This Row],[Date]],'DB LEI'!$A:$F,2)</f>
        <v/>
      </c>
      <c r="C623" s="4">
        <f>(Table3[[#This Row],[Conference Board Leading Indicator]]-B611)/B611</f>
        <v/>
      </c>
      <c r="D623" s="3">
        <f>IF(VLOOKUP(Table3[[#This Row],[Date]],'DB LEI'!$A:$I,9)=0,"",VLOOKUP(Table3[[#This Row],[Date]],'DB LEI'!$A:$I,9))</f>
        <v/>
      </c>
      <c r="E623" s="2">
        <f>VLOOKUP(Table3[[#This Row],[Date]],'DB LEI'!$A:$F,4)</f>
        <v/>
      </c>
      <c r="F623" s="4">
        <f>(Table3[[#This Row],[UMSCI]]-E612)/E612</f>
        <v/>
      </c>
    </row>
    <row r="624">
      <c r="A624" s="6" t="n">
        <v>40238</v>
      </c>
      <c r="B624" s="2">
        <f>VLOOKUP(Table3[[#This Row],[Date]],'DB LEI'!$A:$F,2)</f>
        <v/>
      </c>
      <c r="C624" s="4">
        <f>(Table3[[#This Row],[Conference Board Leading Indicator]]-B612)/B612</f>
        <v/>
      </c>
      <c r="D624" s="3">
        <f>IF(VLOOKUP(Table3[[#This Row],[Date]],'DB LEI'!$A:$I,9)=0,"",VLOOKUP(Table3[[#This Row],[Date]],'DB LEI'!$A:$I,9))</f>
        <v/>
      </c>
      <c r="E624" s="2">
        <f>VLOOKUP(Table3[[#This Row],[Date]],'DB LEI'!$A:$F,4)</f>
        <v/>
      </c>
      <c r="F624" s="4">
        <f>(Table3[[#This Row],[UMSCI]]-E613)/E613</f>
        <v/>
      </c>
    </row>
    <row r="625">
      <c r="A625" s="6" t="n">
        <v>40269</v>
      </c>
      <c r="B625" s="2">
        <f>VLOOKUP(Table3[[#This Row],[Date]],'DB LEI'!$A:$F,2)</f>
        <v/>
      </c>
      <c r="C625" s="4">
        <f>(Table3[[#This Row],[Conference Board Leading Indicator]]-B613)/B613</f>
        <v/>
      </c>
      <c r="D625" s="3">
        <f>IF(VLOOKUP(Table3[[#This Row],[Date]],'DB LEI'!$A:$I,9)=0,"",VLOOKUP(Table3[[#This Row],[Date]],'DB LEI'!$A:$I,9))</f>
        <v/>
      </c>
      <c r="E625" s="2">
        <f>VLOOKUP(Table3[[#This Row],[Date]],'DB LEI'!$A:$F,4)</f>
        <v/>
      </c>
      <c r="F625" s="4">
        <f>(Table3[[#This Row],[UMSCI]]-E614)/E614</f>
        <v/>
      </c>
    </row>
    <row r="626">
      <c r="A626" s="6" t="n">
        <v>40299</v>
      </c>
      <c r="B626" s="2">
        <f>VLOOKUP(Table3[[#This Row],[Date]],'DB LEI'!$A:$F,2)</f>
        <v/>
      </c>
      <c r="C626" s="4">
        <f>(Table3[[#This Row],[Conference Board Leading Indicator]]-B614)/B614</f>
        <v/>
      </c>
      <c r="D626" s="3">
        <f>IF(VLOOKUP(Table3[[#This Row],[Date]],'DB LEI'!$A:$I,9)=0,"",VLOOKUP(Table3[[#This Row],[Date]],'DB LEI'!$A:$I,9))</f>
        <v/>
      </c>
      <c r="E626" s="2">
        <f>VLOOKUP(Table3[[#This Row],[Date]],'DB LEI'!$A:$F,4)</f>
        <v/>
      </c>
      <c r="F626" s="4">
        <f>(Table3[[#This Row],[UMSCI]]-E615)/E615</f>
        <v/>
      </c>
    </row>
    <row r="627">
      <c r="A627" s="6" t="n">
        <v>40330</v>
      </c>
      <c r="B627" s="2">
        <f>VLOOKUP(Table3[[#This Row],[Date]],'DB LEI'!$A:$F,2)</f>
        <v/>
      </c>
      <c r="C627" s="4">
        <f>(Table3[[#This Row],[Conference Board Leading Indicator]]-B615)/B615</f>
        <v/>
      </c>
      <c r="D627" s="3">
        <f>IF(VLOOKUP(Table3[[#This Row],[Date]],'DB LEI'!$A:$I,9)=0,"",VLOOKUP(Table3[[#This Row],[Date]],'DB LEI'!$A:$I,9))</f>
        <v/>
      </c>
      <c r="E627" s="2">
        <f>VLOOKUP(Table3[[#This Row],[Date]],'DB LEI'!$A:$F,4)</f>
        <v/>
      </c>
      <c r="F627" s="4">
        <f>(Table3[[#This Row],[UMSCI]]-E616)/E616</f>
        <v/>
      </c>
    </row>
    <row r="628">
      <c r="A628" s="6" t="n">
        <v>40360</v>
      </c>
      <c r="B628" s="2">
        <f>VLOOKUP(Table3[[#This Row],[Date]],'DB LEI'!$A:$F,2)</f>
        <v/>
      </c>
      <c r="C628" s="4">
        <f>(Table3[[#This Row],[Conference Board Leading Indicator]]-B616)/B616</f>
        <v/>
      </c>
      <c r="D628" s="3">
        <f>IF(VLOOKUP(Table3[[#This Row],[Date]],'DB LEI'!$A:$I,9)=0,"",VLOOKUP(Table3[[#This Row],[Date]],'DB LEI'!$A:$I,9))</f>
        <v/>
      </c>
      <c r="E628" s="2">
        <f>VLOOKUP(Table3[[#This Row],[Date]],'DB LEI'!$A:$F,4)</f>
        <v/>
      </c>
      <c r="F628" s="4">
        <f>(Table3[[#This Row],[UMSCI]]-E617)/E617</f>
        <v/>
      </c>
    </row>
    <row r="629">
      <c r="A629" s="6" t="n">
        <v>40391</v>
      </c>
      <c r="B629" s="2">
        <f>VLOOKUP(Table3[[#This Row],[Date]],'DB LEI'!$A:$F,2)</f>
        <v/>
      </c>
      <c r="C629" s="4">
        <f>(Table3[[#This Row],[Conference Board Leading Indicator]]-B617)/B617</f>
        <v/>
      </c>
      <c r="D629" s="3">
        <f>IF(VLOOKUP(Table3[[#This Row],[Date]],'DB LEI'!$A:$I,9)=0,"",VLOOKUP(Table3[[#This Row],[Date]],'DB LEI'!$A:$I,9))</f>
        <v/>
      </c>
      <c r="E629" s="2">
        <f>VLOOKUP(Table3[[#This Row],[Date]],'DB LEI'!$A:$F,4)</f>
        <v/>
      </c>
      <c r="F629" s="4">
        <f>(Table3[[#This Row],[UMSCI]]-E618)/E618</f>
        <v/>
      </c>
    </row>
    <row r="630">
      <c r="A630" s="6" t="n">
        <v>40422</v>
      </c>
      <c r="B630" s="2">
        <f>VLOOKUP(Table3[[#This Row],[Date]],'DB LEI'!$A:$F,2)</f>
        <v/>
      </c>
      <c r="C630" s="4">
        <f>(Table3[[#This Row],[Conference Board Leading Indicator]]-B618)/B618</f>
        <v/>
      </c>
      <c r="D630" s="3">
        <f>IF(VLOOKUP(Table3[[#This Row],[Date]],'DB LEI'!$A:$I,9)=0,"",VLOOKUP(Table3[[#This Row],[Date]],'DB LEI'!$A:$I,9))</f>
        <v/>
      </c>
      <c r="E630" s="2">
        <f>VLOOKUP(Table3[[#This Row],[Date]],'DB LEI'!$A:$F,4)</f>
        <v/>
      </c>
      <c r="F630" s="4">
        <f>(Table3[[#This Row],[UMSCI]]-E619)/E619</f>
        <v/>
      </c>
    </row>
    <row r="631">
      <c r="A631" s="6" t="n">
        <v>40452</v>
      </c>
      <c r="B631" s="2">
        <f>VLOOKUP(Table3[[#This Row],[Date]],'DB LEI'!$A:$F,2)</f>
        <v/>
      </c>
      <c r="C631" s="4">
        <f>(Table3[[#This Row],[Conference Board Leading Indicator]]-B619)/B619</f>
        <v/>
      </c>
      <c r="D631" s="3">
        <f>IF(VLOOKUP(Table3[[#This Row],[Date]],'DB LEI'!$A:$I,9)=0,"",VLOOKUP(Table3[[#This Row],[Date]],'DB LEI'!$A:$I,9))</f>
        <v/>
      </c>
      <c r="E631" s="2">
        <f>VLOOKUP(Table3[[#This Row],[Date]],'DB LEI'!$A:$F,4)</f>
        <v/>
      </c>
      <c r="F631" s="4">
        <f>(Table3[[#This Row],[UMSCI]]-E620)/E620</f>
        <v/>
      </c>
    </row>
    <row r="632">
      <c r="A632" s="6" t="n">
        <v>40483</v>
      </c>
      <c r="B632" s="2">
        <f>VLOOKUP(Table3[[#This Row],[Date]],'DB LEI'!$A:$F,2)</f>
        <v/>
      </c>
      <c r="C632" s="4">
        <f>(Table3[[#This Row],[Conference Board Leading Indicator]]-B620)/B620</f>
        <v/>
      </c>
      <c r="D632" s="3">
        <f>IF(VLOOKUP(Table3[[#This Row],[Date]],'DB LEI'!$A:$I,9)=0,"",VLOOKUP(Table3[[#This Row],[Date]],'DB LEI'!$A:$I,9))</f>
        <v/>
      </c>
      <c r="E632" s="2">
        <f>VLOOKUP(Table3[[#This Row],[Date]],'DB LEI'!$A:$F,4)</f>
        <v/>
      </c>
      <c r="F632" s="4">
        <f>(Table3[[#This Row],[UMSCI]]-E621)/E621</f>
        <v/>
      </c>
    </row>
    <row r="633">
      <c r="A633" s="6" t="n">
        <v>40513</v>
      </c>
      <c r="B633" s="2">
        <f>VLOOKUP(Table3[[#This Row],[Date]],'DB LEI'!$A:$F,2)</f>
        <v/>
      </c>
      <c r="C633" s="4">
        <f>(Table3[[#This Row],[Conference Board Leading Indicator]]-B621)/B621</f>
        <v/>
      </c>
      <c r="D633" s="3">
        <f>IF(VLOOKUP(Table3[[#This Row],[Date]],'DB LEI'!$A:$I,9)=0,"",VLOOKUP(Table3[[#This Row],[Date]],'DB LEI'!$A:$I,9))</f>
        <v/>
      </c>
      <c r="E633" s="2">
        <f>VLOOKUP(Table3[[#This Row],[Date]],'DB LEI'!$A:$F,4)</f>
        <v/>
      </c>
      <c r="F633" s="4">
        <f>(Table3[[#This Row],[UMSCI]]-E622)/E622</f>
        <v/>
      </c>
    </row>
    <row r="634">
      <c r="A634" s="6" t="n">
        <v>40544</v>
      </c>
      <c r="B634" s="2">
        <f>VLOOKUP(Table3[[#This Row],[Date]],'DB LEI'!$A:$F,2)</f>
        <v/>
      </c>
      <c r="C634" s="4">
        <f>(Table3[[#This Row],[Conference Board Leading Indicator]]-B622)/B622</f>
        <v/>
      </c>
      <c r="D634" s="3">
        <f>IF(VLOOKUP(Table3[[#This Row],[Date]],'DB LEI'!$A:$I,9)=0,"",VLOOKUP(Table3[[#This Row],[Date]],'DB LEI'!$A:$I,9))</f>
        <v/>
      </c>
      <c r="E634" s="2">
        <f>VLOOKUP(Table3[[#This Row],[Date]],'DB LEI'!$A:$F,4)</f>
        <v/>
      </c>
      <c r="F634" s="4">
        <f>(Table3[[#This Row],[UMSCI]]-E623)/E623</f>
        <v/>
      </c>
    </row>
    <row r="635">
      <c r="A635" s="6" t="n">
        <v>40575</v>
      </c>
      <c r="B635" s="2">
        <f>VLOOKUP(Table3[[#This Row],[Date]],'DB LEI'!$A:$F,2)</f>
        <v/>
      </c>
      <c r="C635" s="4">
        <f>(Table3[[#This Row],[Conference Board Leading Indicator]]-B623)/B623</f>
        <v/>
      </c>
      <c r="D635" s="3">
        <f>IF(VLOOKUP(Table3[[#This Row],[Date]],'DB LEI'!$A:$I,9)=0,"",VLOOKUP(Table3[[#This Row],[Date]],'DB LEI'!$A:$I,9))</f>
        <v/>
      </c>
      <c r="E635" s="2">
        <f>VLOOKUP(Table3[[#This Row],[Date]],'DB LEI'!$A:$F,4)</f>
        <v/>
      </c>
      <c r="F635" s="4">
        <f>(Table3[[#This Row],[UMSCI]]-E624)/E624</f>
        <v/>
      </c>
    </row>
    <row r="636">
      <c r="A636" s="6" t="n">
        <v>40603</v>
      </c>
      <c r="B636" s="2">
        <f>VLOOKUP(Table3[[#This Row],[Date]],'DB LEI'!$A:$F,2)</f>
        <v/>
      </c>
      <c r="C636" s="4">
        <f>(Table3[[#This Row],[Conference Board Leading Indicator]]-B624)/B624</f>
        <v/>
      </c>
      <c r="D636" s="3">
        <f>IF(VLOOKUP(Table3[[#This Row],[Date]],'DB LEI'!$A:$I,9)=0,"",VLOOKUP(Table3[[#This Row],[Date]],'DB LEI'!$A:$I,9))</f>
        <v/>
      </c>
      <c r="E636" s="2">
        <f>VLOOKUP(Table3[[#This Row],[Date]],'DB LEI'!$A:$F,4)</f>
        <v/>
      </c>
      <c r="F636" s="4">
        <f>(Table3[[#This Row],[UMSCI]]-E625)/E625</f>
        <v/>
      </c>
    </row>
    <row r="637">
      <c r="A637" s="6" t="n">
        <v>40634</v>
      </c>
      <c r="B637" s="2">
        <f>VLOOKUP(Table3[[#This Row],[Date]],'DB LEI'!$A:$F,2)</f>
        <v/>
      </c>
      <c r="C637" s="4">
        <f>(Table3[[#This Row],[Conference Board Leading Indicator]]-B625)/B625</f>
        <v/>
      </c>
      <c r="D637" s="3">
        <f>IF(VLOOKUP(Table3[[#This Row],[Date]],'DB LEI'!$A:$I,9)=0,"",VLOOKUP(Table3[[#This Row],[Date]],'DB LEI'!$A:$I,9))</f>
        <v/>
      </c>
      <c r="E637" s="2">
        <f>VLOOKUP(Table3[[#This Row],[Date]],'DB LEI'!$A:$F,4)</f>
        <v/>
      </c>
      <c r="F637" s="4">
        <f>(Table3[[#This Row],[UMSCI]]-E626)/E626</f>
        <v/>
      </c>
    </row>
    <row r="638">
      <c r="A638" s="6" t="n">
        <v>40664</v>
      </c>
      <c r="B638" s="2">
        <f>VLOOKUP(Table3[[#This Row],[Date]],'DB LEI'!$A:$F,2)</f>
        <v/>
      </c>
      <c r="C638" s="4">
        <f>(Table3[[#This Row],[Conference Board Leading Indicator]]-B626)/B626</f>
        <v/>
      </c>
      <c r="D638" s="3">
        <f>IF(VLOOKUP(Table3[[#This Row],[Date]],'DB LEI'!$A:$I,9)=0,"",VLOOKUP(Table3[[#This Row],[Date]],'DB LEI'!$A:$I,9))</f>
        <v/>
      </c>
      <c r="E638" s="2">
        <f>VLOOKUP(Table3[[#This Row],[Date]],'DB LEI'!$A:$F,4)</f>
        <v/>
      </c>
      <c r="F638" s="4">
        <f>(Table3[[#This Row],[UMSCI]]-E627)/E627</f>
        <v/>
      </c>
    </row>
    <row r="639">
      <c r="A639" s="6" t="n">
        <v>40695</v>
      </c>
      <c r="B639" s="2">
        <f>VLOOKUP(Table3[[#This Row],[Date]],'DB LEI'!$A:$F,2)</f>
        <v/>
      </c>
      <c r="C639" s="4">
        <f>(Table3[[#This Row],[Conference Board Leading Indicator]]-B627)/B627</f>
        <v/>
      </c>
      <c r="D639" s="3">
        <f>IF(VLOOKUP(Table3[[#This Row],[Date]],'DB LEI'!$A:$I,9)=0,"",VLOOKUP(Table3[[#This Row],[Date]],'DB LEI'!$A:$I,9))</f>
        <v/>
      </c>
      <c r="E639" s="2">
        <f>VLOOKUP(Table3[[#This Row],[Date]],'DB LEI'!$A:$F,4)</f>
        <v/>
      </c>
      <c r="F639" s="4">
        <f>(Table3[[#This Row],[UMSCI]]-E628)/E628</f>
        <v/>
      </c>
    </row>
    <row r="640">
      <c r="A640" s="6" t="n">
        <v>40725</v>
      </c>
      <c r="B640" s="2">
        <f>VLOOKUP(Table3[[#This Row],[Date]],'DB LEI'!$A:$F,2)</f>
        <v/>
      </c>
      <c r="C640" s="4">
        <f>(Table3[[#This Row],[Conference Board Leading Indicator]]-B628)/B628</f>
        <v/>
      </c>
      <c r="D640" s="3">
        <f>IF(VLOOKUP(Table3[[#This Row],[Date]],'DB LEI'!$A:$I,9)=0,"",VLOOKUP(Table3[[#This Row],[Date]],'DB LEI'!$A:$I,9))</f>
        <v/>
      </c>
      <c r="E640" s="2">
        <f>VLOOKUP(Table3[[#This Row],[Date]],'DB LEI'!$A:$F,4)</f>
        <v/>
      </c>
      <c r="F640" s="4">
        <f>(Table3[[#This Row],[UMSCI]]-E629)/E629</f>
        <v/>
      </c>
    </row>
    <row r="641">
      <c r="A641" s="6" t="n">
        <v>40756</v>
      </c>
      <c r="B641" s="2">
        <f>VLOOKUP(Table3[[#This Row],[Date]],'DB LEI'!$A:$F,2)</f>
        <v/>
      </c>
      <c r="C641" s="4">
        <f>(Table3[[#This Row],[Conference Board Leading Indicator]]-B629)/B629</f>
        <v/>
      </c>
      <c r="D641" s="3">
        <f>IF(VLOOKUP(Table3[[#This Row],[Date]],'DB LEI'!$A:$I,9)=0,"",VLOOKUP(Table3[[#This Row],[Date]],'DB LEI'!$A:$I,9))</f>
        <v/>
      </c>
      <c r="E641" s="2">
        <f>VLOOKUP(Table3[[#This Row],[Date]],'DB LEI'!$A:$F,4)</f>
        <v/>
      </c>
      <c r="F641" s="4">
        <f>(Table3[[#This Row],[UMSCI]]-E630)/E630</f>
        <v/>
      </c>
    </row>
    <row r="642">
      <c r="A642" s="6" t="n">
        <v>40787</v>
      </c>
      <c r="B642" s="2">
        <f>VLOOKUP(Table3[[#This Row],[Date]],'DB LEI'!$A:$F,2)</f>
        <v/>
      </c>
      <c r="C642" s="4">
        <f>(Table3[[#This Row],[Conference Board Leading Indicator]]-B630)/B630</f>
        <v/>
      </c>
      <c r="D642" s="3">
        <f>IF(VLOOKUP(Table3[[#This Row],[Date]],'DB LEI'!$A:$I,9)=0,"",VLOOKUP(Table3[[#This Row],[Date]],'DB LEI'!$A:$I,9))</f>
        <v/>
      </c>
      <c r="E642" s="2">
        <f>VLOOKUP(Table3[[#This Row],[Date]],'DB LEI'!$A:$F,4)</f>
        <v/>
      </c>
      <c r="F642" s="4">
        <f>(Table3[[#This Row],[UMSCI]]-E631)/E631</f>
        <v/>
      </c>
    </row>
    <row r="643">
      <c r="A643" s="6" t="n">
        <v>40817</v>
      </c>
      <c r="B643" s="2">
        <f>VLOOKUP(Table3[[#This Row],[Date]],'DB LEI'!$A:$F,2)</f>
        <v/>
      </c>
      <c r="C643" s="4">
        <f>(Table3[[#This Row],[Conference Board Leading Indicator]]-B631)/B631</f>
        <v/>
      </c>
      <c r="D643" s="3">
        <f>IF(VLOOKUP(Table3[[#This Row],[Date]],'DB LEI'!$A:$I,9)=0,"",VLOOKUP(Table3[[#This Row],[Date]],'DB LEI'!$A:$I,9))</f>
        <v/>
      </c>
      <c r="E643" s="2">
        <f>VLOOKUP(Table3[[#This Row],[Date]],'DB LEI'!$A:$F,4)</f>
        <v/>
      </c>
      <c r="F643" s="4">
        <f>(Table3[[#This Row],[UMSCI]]-E632)/E632</f>
        <v/>
      </c>
    </row>
    <row r="644">
      <c r="A644" s="6" t="n">
        <v>40848</v>
      </c>
      <c r="B644" s="2">
        <f>VLOOKUP(Table3[[#This Row],[Date]],'DB LEI'!$A:$F,2)</f>
        <v/>
      </c>
      <c r="C644" s="4">
        <f>(Table3[[#This Row],[Conference Board Leading Indicator]]-B632)/B632</f>
        <v/>
      </c>
      <c r="D644" s="3">
        <f>IF(VLOOKUP(Table3[[#This Row],[Date]],'DB LEI'!$A:$I,9)=0,"",VLOOKUP(Table3[[#This Row],[Date]],'DB LEI'!$A:$I,9))</f>
        <v/>
      </c>
      <c r="E644" s="2">
        <f>VLOOKUP(Table3[[#This Row],[Date]],'DB LEI'!$A:$F,4)</f>
        <v/>
      </c>
      <c r="F644" s="4">
        <f>(Table3[[#This Row],[UMSCI]]-E633)/E633</f>
        <v/>
      </c>
    </row>
    <row r="645">
      <c r="A645" s="6" t="n">
        <v>40878</v>
      </c>
      <c r="B645" s="2">
        <f>VLOOKUP(Table3[[#This Row],[Date]],'DB LEI'!$A:$F,2)</f>
        <v/>
      </c>
      <c r="C645" s="4">
        <f>(Table3[[#This Row],[Conference Board Leading Indicator]]-B633)/B633</f>
        <v/>
      </c>
      <c r="D645" s="3">
        <f>IF(VLOOKUP(Table3[[#This Row],[Date]],'DB LEI'!$A:$I,9)=0,"",VLOOKUP(Table3[[#This Row],[Date]],'DB LEI'!$A:$I,9))</f>
        <v/>
      </c>
      <c r="E645" s="2">
        <f>VLOOKUP(Table3[[#This Row],[Date]],'DB LEI'!$A:$F,4)</f>
        <v/>
      </c>
      <c r="F645" s="4">
        <f>(Table3[[#This Row],[UMSCI]]-E634)/E634</f>
        <v/>
      </c>
    </row>
    <row r="646">
      <c r="A646" s="6" t="n">
        <v>40909</v>
      </c>
      <c r="B646" s="2">
        <f>VLOOKUP(Table3[[#This Row],[Date]],'DB LEI'!$A:$F,2)</f>
        <v/>
      </c>
      <c r="C646" s="4">
        <f>(Table3[[#This Row],[Conference Board Leading Indicator]]-B634)/B634</f>
        <v/>
      </c>
      <c r="D646" s="3">
        <f>IF(VLOOKUP(Table3[[#This Row],[Date]],'DB LEI'!$A:$I,9)=0,"",VLOOKUP(Table3[[#This Row],[Date]],'DB LEI'!$A:$I,9))</f>
        <v/>
      </c>
      <c r="E646" s="2">
        <f>VLOOKUP(Table3[[#This Row],[Date]],'DB LEI'!$A:$F,4)</f>
        <v/>
      </c>
      <c r="F646" s="4">
        <f>(Table3[[#This Row],[UMSCI]]-E635)/E635</f>
        <v/>
      </c>
    </row>
    <row r="647">
      <c r="A647" s="6" t="n">
        <v>40940</v>
      </c>
      <c r="B647" s="2">
        <f>VLOOKUP(Table3[[#This Row],[Date]],'DB LEI'!$A:$F,2)</f>
        <v/>
      </c>
      <c r="C647" s="4">
        <f>(Table3[[#This Row],[Conference Board Leading Indicator]]-B635)/B635</f>
        <v/>
      </c>
      <c r="D647" s="3">
        <f>IF(VLOOKUP(Table3[[#This Row],[Date]],'DB LEI'!$A:$I,9)=0,"",VLOOKUP(Table3[[#This Row],[Date]],'DB LEI'!$A:$I,9))</f>
        <v/>
      </c>
      <c r="E647" s="2">
        <f>VLOOKUP(Table3[[#This Row],[Date]],'DB LEI'!$A:$F,4)</f>
        <v/>
      </c>
      <c r="F647" s="4">
        <f>(Table3[[#This Row],[UMSCI]]-E636)/E636</f>
        <v/>
      </c>
    </row>
    <row r="648">
      <c r="A648" s="6" t="n">
        <v>40969</v>
      </c>
      <c r="B648" s="2">
        <f>VLOOKUP(Table3[[#This Row],[Date]],'DB LEI'!$A:$F,2)</f>
        <v/>
      </c>
      <c r="C648" s="4">
        <f>(Table3[[#This Row],[Conference Board Leading Indicator]]-B636)/B636</f>
        <v/>
      </c>
      <c r="D648" s="3">
        <f>IF(VLOOKUP(Table3[[#This Row],[Date]],'DB LEI'!$A:$I,9)=0,"",VLOOKUP(Table3[[#This Row],[Date]],'DB LEI'!$A:$I,9))</f>
        <v/>
      </c>
      <c r="E648" s="2">
        <f>VLOOKUP(Table3[[#This Row],[Date]],'DB LEI'!$A:$F,4)</f>
        <v/>
      </c>
      <c r="F648" s="4">
        <f>(Table3[[#This Row],[UMSCI]]-E637)/E637</f>
        <v/>
      </c>
    </row>
    <row r="649">
      <c r="A649" s="6" t="n">
        <v>41000</v>
      </c>
      <c r="B649" s="2">
        <f>VLOOKUP(Table3[[#This Row],[Date]],'DB LEI'!$A:$F,2)</f>
        <v/>
      </c>
      <c r="C649" s="4">
        <f>(Table3[[#This Row],[Conference Board Leading Indicator]]-B637)/B637</f>
        <v/>
      </c>
      <c r="D649" s="3">
        <f>IF(VLOOKUP(Table3[[#This Row],[Date]],'DB LEI'!$A:$I,9)=0,"",VLOOKUP(Table3[[#This Row],[Date]],'DB LEI'!$A:$I,9))</f>
        <v/>
      </c>
      <c r="E649" s="2">
        <f>VLOOKUP(Table3[[#This Row],[Date]],'DB LEI'!$A:$F,4)</f>
        <v/>
      </c>
      <c r="F649" s="4">
        <f>(Table3[[#This Row],[UMSCI]]-E638)/E638</f>
        <v/>
      </c>
    </row>
    <row r="650">
      <c r="A650" s="6" t="n">
        <v>41030</v>
      </c>
      <c r="B650" s="2">
        <f>VLOOKUP(Table3[[#This Row],[Date]],'DB LEI'!$A:$F,2)</f>
        <v/>
      </c>
      <c r="C650" s="4">
        <f>(Table3[[#This Row],[Conference Board Leading Indicator]]-B638)/B638</f>
        <v/>
      </c>
      <c r="D650" s="3">
        <f>IF(VLOOKUP(Table3[[#This Row],[Date]],'DB LEI'!$A:$I,9)=0,"",VLOOKUP(Table3[[#This Row],[Date]],'DB LEI'!$A:$I,9))</f>
        <v/>
      </c>
      <c r="E650" s="2">
        <f>VLOOKUP(Table3[[#This Row],[Date]],'DB LEI'!$A:$F,4)</f>
        <v/>
      </c>
      <c r="F650" s="4">
        <f>(Table3[[#This Row],[UMSCI]]-E639)/E639</f>
        <v/>
      </c>
    </row>
    <row r="651">
      <c r="A651" s="6" t="n">
        <v>41061</v>
      </c>
      <c r="B651" s="2">
        <f>VLOOKUP(Table3[[#This Row],[Date]],'DB LEI'!$A:$F,2)</f>
        <v/>
      </c>
      <c r="C651" s="4">
        <f>(Table3[[#This Row],[Conference Board Leading Indicator]]-B639)/B639</f>
        <v/>
      </c>
      <c r="D651" s="3">
        <f>IF(VLOOKUP(Table3[[#This Row],[Date]],'DB LEI'!$A:$I,9)=0,"",VLOOKUP(Table3[[#This Row],[Date]],'DB LEI'!$A:$I,9))</f>
        <v/>
      </c>
      <c r="E651" s="2">
        <f>VLOOKUP(Table3[[#This Row],[Date]],'DB LEI'!$A:$F,4)</f>
        <v/>
      </c>
      <c r="F651" s="4">
        <f>(Table3[[#This Row],[UMSCI]]-E640)/E640</f>
        <v/>
      </c>
    </row>
    <row r="652">
      <c r="A652" s="6" t="n">
        <v>41091</v>
      </c>
      <c r="B652" s="2">
        <f>VLOOKUP(Table3[[#This Row],[Date]],'DB LEI'!$A:$F,2)</f>
        <v/>
      </c>
      <c r="C652" s="4">
        <f>(Table3[[#This Row],[Conference Board Leading Indicator]]-B640)/B640</f>
        <v/>
      </c>
      <c r="D652" s="3">
        <f>IF(VLOOKUP(Table3[[#This Row],[Date]],'DB LEI'!$A:$I,9)=0,"",VLOOKUP(Table3[[#This Row],[Date]],'DB LEI'!$A:$I,9))</f>
        <v/>
      </c>
      <c r="E652" s="2">
        <f>VLOOKUP(Table3[[#This Row],[Date]],'DB LEI'!$A:$F,4)</f>
        <v/>
      </c>
      <c r="F652" s="4">
        <f>(Table3[[#This Row],[UMSCI]]-E641)/E641</f>
        <v/>
      </c>
    </row>
    <row r="653">
      <c r="A653" s="6" t="n">
        <v>41122</v>
      </c>
      <c r="B653" s="2">
        <f>VLOOKUP(Table3[[#This Row],[Date]],'DB LEI'!$A:$F,2)</f>
        <v/>
      </c>
      <c r="C653" s="4">
        <f>(Table3[[#This Row],[Conference Board Leading Indicator]]-B641)/B641</f>
        <v/>
      </c>
      <c r="D653" s="3">
        <f>IF(VLOOKUP(Table3[[#This Row],[Date]],'DB LEI'!$A:$I,9)=0,"",VLOOKUP(Table3[[#This Row],[Date]],'DB LEI'!$A:$I,9))</f>
        <v/>
      </c>
      <c r="E653" s="2">
        <f>VLOOKUP(Table3[[#This Row],[Date]],'DB LEI'!$A:$F,4)</f>
        <v/>
      </c>
      <c r="F653" s="4">
        <f>(Table3[[#This Row],[UMSCI]]-E642)/E642</f>
        <v/>
      </c>
    </row>
    <row r="654">
      <c r="A654" s="6" t="n">
        <v>41153</v>
      </c>
      <c r="B654" s="2">
        <f>VLOOKUP(Table3[[#This Row],[Date]],'DB LEI'!$A:$F,2)</f>
        <v/>
      </c>
      <c r="C654" s="4">
        <f>(Table3[[#This Row],[Conference Board Leading Indicator]]-B642)/B642</f>
        <v/>
      </c>
      <c r="D654" s="3">
        <f>IF(VLOOKUP(Table3[[#This Row],[Date]],'DB LEI'!$A:$I,9)=0,"",VLOOKUP(Table3[[#This Row],[Date]],'DB LEI'!$A:$I,9))</f>
        <v/>
      </c>
      <c r="E654" s="2">
        <f>VLOOKUP(Table3[[#This Row],[Date]],'DB LEI'!$A:$F,4)</f>
        <v/>
      </c>
      <c r="F654" s="4">
        <f>(Table3[[#This Row],[UMSCI]]-E643)/E643</f>
        <v/>
      </c>
    </row>
    <row r="655">
      <c r="A655" s="6" t="n">
        <v>41183</v>
      </c>
      <c r="B655" s="2">
        <f>VLOOKUP(Table3[[#This Row],[Date]],'DB LEI'!$A:$F,2)</f>
        <v/>
      </c>
      <c r="C655" s="4">
        <f>(Table3[[#This Row],[Conference Board Leading Indicator]]-B643)/B643</f>
        <v/>
      </c>
      <c r="D655" s="3">
        <f>IF(VLOOKUP(Table3[[#This Row],[Date]],'DB LEI'!$A:$I,9)=0,"",VLOOKUP(Table3[[#This Row],[Date]],'DB LEI'!$A:$I,9))</f>
        <v/>
      </c>
      <c r="E655" s="2">
        <f>VLOOKUP(Table3[[#This Row],[Date]],'DB LEI'!$A:$F,4)</f>
        <v/>
      </c>
      <c r="F655" s="4">
        <f>(Table3[[#This Row],[UMSCI]]-E644)/E644</f>
        <v/>
      </c>
    </row>
    <row r="656">
      <c r="A656" s="6" t="n">
        <v>41214</v>
      </c>
      <c r="B656" s="2">
        <f>VLOOKUP(Table3[[#This Row],[Date]],'DB LEI'!$A:$F,2)</f>
        <v/>
      </c>
      <c r="C656" s="4">
        <f>(Table3[[#This Row],[Conference Board Leading Indicator]]-B644)/B644</f>
        <v/>
      </c>
      <c r="D656" s="3">
        <f>IF(VLOOKUP(Table3[[#This Row],[Date]],'DB LEI'!$A:$I,9)=0,"",VLOOKUP(Table3[[#This Row],[Date]],'DB LEI'!$A:$I,9))</f>
        <v/>
      </c>
      <c r="E656" s="2">
        <f>VLOOKUP(Table3[[#This Row],[Date]],'DB LEI'!$A:$F,4)</f>
        <v/>
      </c>
      <c r="F656" s="4">
        <f>(Table3[[#This Row],[UMSCI]]-E645)/E645</f>
        <v/>
      </c>
    </row>
    <row r="657">
      <c r="A657" s="6" t="n">
        <v>41244</v>
      </c>
      <c r="B657" s="2">
        <f>VLOOKUP(Table3[[#This Row],[Date]],'DB LEI'!$A:$F,2)</f>
        <v/>
      </c>
      <c r="C657" s="4">
        <f>(Table3[[#This Row],[Conference Board Leading Indicator]]-B645)/B645</f>
        <v/>
      </c>
      <c r="D657" s="3">
        <f>IF(VLOOKUP(Table3[[#This Row],[Date]],'DB LEI'!$A:$I,9)=0,"",VLOOKUP(Table3[[#This Row],[Date]],'DB LEI'!$A:$I,9))</f>
        <v/>
      </c>
      <c r="E657" s="2">
        <f>VLOOKUP(Table3[[#This Row],[Date]],'DB LEI'!$A:$F,4)</f>
        <v/>
      </c>
      <c r="F657" s="4">
        <f>(Table3[[#This Row],[UMSCI]]-E646)/E646</f>
        <v/>
      </c>
    </row>
    <row r="658">
      <c r="A658" s="6" t="n">
        <v>41275</v>
      </c>
      <c r="B658" s="2">
        <f>VLOOKUP(Table3[[#This Row],[Date]],'DB LEI'!$A:$F,2)</f>
        <v/>
      </c>
      <c r="C658" s="4">
        <f>(Table3[[#This Row],[Conference Board Leading Indicator]]-B646)/B646</f>
        <v/>
      </c>
      <c r="D658" s="3">
        <f>IF(VLOOKUP(Table3[[#This Row],[Date]],'DB LEI'!$A:$I,9)=0,"",VLOOKUP(Table3[[#This Row],[Date]],'DB LEI'!$A:$I,9))</f>
        <v/>
      </c>
      <c r="E658" s="2">
        <f>VLOOKUP(Table3[[#This Row],[Date]],'DB LEI'!$A:$F,4)</f>
        <v/>
      </c>
      <c r="F658" s="4">
        <f>(Table3[[#This Row],[UMSCI]]-E647)/E647</f>
        <v/>
      </c>
    </row>
    <row r="659">
      <c r="A659" s="6" t="n">
        <v>41306</v>
      </c>
      <c r="B659" s="2">
        <f>VLOOKUP(Table3[[#This Row],[Date]],'DB LEI'!$A:$F,2)</f>
        <v/>
      </c>
      <c r="C659" s="4">
        <f>(Table3[[#This Row],[Conference Board Leading Indicator]]-B647)/B647</f>
        <v/>
      </c>
      <c r="D659" s="3">
        <f>IF(VLOOKUP(Table3[[#This Row],[Date]],'DB LEI'!$A:$I,9)=0,"",VLOOKUP(Table3[[#This Row],[Date]],'DB LEI'!$A:$I,9))</f>
        <v/>
      </c>
      <c r="E659" s="2">
        <f>VLOOKUP(Table3[[#This Row],[Date]],'DB LEI'!$A:$F,4)</f>
        <v/>
      </c>
      <c r="F659" s="4">
        <f>(Table3[[#This Row],[UMSCI]]-E648)/E648</f>
        <v/>
      </c>
    </row>
    <row r="660">
      <c r="A660" s="6" t="n">
        <v>41334</v>
      </c>
      <c r="B660" s="2">
        <f>VLOOKUP(Table3[[#This Row],[Date]],'DB LEI'!$A:$F,2)</f>
        <v/>
      </c>
      <c r="C660" s="4">
        <f>(Table3[[#This Row],[Conference Board Leading Indicator]]-B648)/B648</f>
        <v/>
      </c>
      <c r="D660" s="3">
        <f>IF(VLOOKUP(Table3[[#This Row],[Date]],'DB LEI'!$A:$I,9)=0,"",VLOOKUP(Table3[[#This Row],[Date]],'DB LEI'!$A:$I,9))</f>
        <v/>
      </c>
      <c r="E660" s="2">
        <f>VLOOKUP(Table3[[#This Row],[Date]],'DB LEI'!$A:$F,4)</f>
        <v/>
      </c>
      <c r="F660" s="4">
        <f>(Table3[[#This Row],[UMSCI]]-E649)/E649</f>
        <v/>
      </c>
    </row>
    <row r="661">
      <c r="A661" s="6" t="n">
        <v>41365</v>
      </c>
      <c r="B661" s="2">
        <f>VLOOKUP(Table3[[#This Row],[Date]],'DB LEI'!$A:$F,2)</f>
        <v/>
      </c>
      <c r="C661" s="4">
        <f>(Table3[[#This Row],[Conference Board Leading Indicator]]-B649)/B649</f>
        <v/>
      </c>
      <c r="D661" s="3">
        <f>IF(VLOOKUP(Table3[[#This Row],[Date]],'DB LEI'!$A:$I,9)=0,"",VLOOKUP(Table3[[#This Row],[Date]],'DB LEI'!$A:$I,9))</f>
        <v/>
      </c>
      <c r="E661" s="2">
        <f>VLOOKUP(Table3[[#This Row],[Date]],'DB LEI'!$A:$F,4)</f>
        <v/>
      </c>
      <c r="F661" s="4">
        <f>(Table3[[#This Row],[UMSCI]]-E650)/E650</f>
        <v/>
      </c>
    </row>
    <row r="662">
      <c r="A662" s="6" t="n">
        <v>41395</v>
      </c>
      <c r="B662" s="2">
        <f>VLOOKUP(Table3[[#This Row],[Date]],'DB LEI'!$A:$F,2)</f>
        <v/>
      </c>
      <c r="C662" s="4">
        <f>(Table3[[#This Row],[Conference Board Leading Indicator]]-B650)/B650</f>
        <v/>
      </c>
      <c r="D662" s="3">
        <f>IF(VLOOKUP(Table3[[#This Row],[Date]],'DB LEI'!$A:$I,9)=0,"",VLOOKUP(Table3[[#This Row],[Date]],'DB LEI'!$A:$I,9))</f>
        <v/>
      </c>
      <c r="E662" s="2">
        <f>VLOOKUP(Table3[[#This Row],[Date]],'DB LEI'!$A:$F,4)</f>
        <v/>
      </c>
      <c r="F662" s="4">
        <f>(Table3[[#This Row],[UMSCI]]-E651)/E651</f>
        <v/>
      </c>
    </row>
    <row r="663">
      <c r="A663" s="6" t="n">
        <v>41426</v>
      </c>
      <c r="B663" s="2">
        <f>VLOOKUP(Table3[[#This Row],[Date]],'DB LEI'!$A:$F,2)</f>
        <v/>
      </c>
      <c r="C663" s="4">
        <f>(Table3[[#This Row],[Conference Board Leading Indicator]]-B651)/B651</f>
        <v/>
      </c>
      <c r="D663" s="3">
        <f>IF(VLOOKUP(Table3[[#This Row],[Date]],'DB LEI'!$A:$I,9)=0,"",VLOOKUP(Table3[[#This Row],[Date]],'DB LEI'!$A:$I,9))</f>
        <v/>
      </c>
      <c r="E663" s="2">
        <f>VLOOKUP(Table3[[#This Row],[Date]],'DB LEI'!$A:$F,4)</f>
        <v/>
      </c>
      <c r="F663" s="4">
        <f>(Table3[[#This Row],[UMSCI]]-E652)/E652</f>
        <v/>
      </c>
    </row>
    <row r="664">
      <c r="A664" s="6" t="n">
        <v>41456</v>
      </c>
      <c r="B664" s="2">
        <f>VLOOKUP(Table3[[#This Row],[Date]],'DB LEI'!$A:$F,2)</f>
        <v/>
      </c>
      <c r="C664" s="4">
        <f>(Table3[[#This Row],[Conference Board Leading Indicator]]-B652)/B652</f>
        <v/>
      </c>
      <c r="D664" s="3">
        <f>IF(VLOOKUP(Table3[[#This Row],[Date]],'DB LEI'!$A:$I,9)=0,"",VLOOKUP(Table3[[#This Row],[Date]],'DB LEI'!$A:$I,9))</f>
        <v/>
      </c>
      <c r="E664" s="2">
        <f>VLOOKUP(Table3[[#This Row],[Date]],'DB LEI'!$A:$F,4)</f>
        <v/>
      </c>
      <c r="F664" s="4">
        <f>(Table3[[#This Row],[UMSCI]]-E653)/E653</f>
        <v/>
      </c>
    </row>
    <row r="665">
      <c r="A665" s="6" t="n">
        <v>41487</v>
      </c>
      <c r="B665" s="2">
        <f>VLOOKUP(Table3[[#This Row],[Date]],'DB LEI'!$A:$F,2)</f>
        <v/>
      </c>
      <c r="C665" s="4">
        <f>(Table3[[#This Row],[Conference Board Leading Indicator]]-B653)/B653</f>
        <v/>
      </c>
      <c r="D665" s="3">
        <f>IF(VLOOKUP(Table3[[#This Row],[Date]],'DB LEI'!$A:$I,9)=0,"",VLOOKUP(Table3[[#This Row],[Date]],'DB LEI'!$A:$I,9))</f>
        <v/>
      </c>
      <c r="E665" s="2">
        <f>VLOOKUP(Table3[[#This Row],[Date]],'DB LEI'!$A:$F,4)</f>
        <v/>
      </c>
      <c r="F665" s="4">
        <f>(Table3[[#This Row],[UMSCI]]-E654)/E654</f>
        <v/>
      </c>
    </row>
    <row r="666">
      <c r="A666" s="6" t="n">
        <v>41518</v>
      </c>
      <c r="B666" s="2">
        <f>VLOOKUP(Table3[[#This Row],[Date]],'DB LEI'!$A:$F,2)</f>
        <v/>
      </c>
      <c r="C666" s="4">
        <f>(Table3[[#This Row],[Conference Board Leading Indicator]]-B654)/B654</f>
        <v/>
      </c>
      <c r="D666" s="3">
        <f>IF(VLOOKUP(Table3[[#This Row],[Date]],'DB LEI'!$A:$I,9)=0,"",VLOOKUP(Table3[[#This Row],[Date]],'DB LEI'!$A:$I,9))</f>
        <v/>
      </c>
      <c r="E666" s="2">
        <f>VLOOKUP(Table3[[#This Row],[Date]],'DB LEI'!$A:$F,4)</f>
        <v/>
      </c>
      <c r="F666" s="4">
        <f>(Table3[[#This Row],[UMSCI]]-E655)/E655</f>
        <v/>
      </c>
    </row>
    <row r="667">
      <c r="A667" s="6" t="n">
        <v>41548</v>
      </c>
      <c r="B667" s="2">
        <f>VLOOKUP(Table3[[#This Row],[Date]],'DB LEI'!$A:$F,2)</f>
        <v/>
      </c>
      <c r="C667" s="4">
        <f>(Table3[[#This Row],[Conference Board Leading Indicator]]-B655)/B655</f>
        <v/>
      </c>
      <c r="D667" s="3">
        <f>IF(VLOOKUP(Table3[[#This Row],[Date]],'DB LEI'!$A:$I,9)=0,"",VLOOKUP(Table3[[#This Row],[Date]],'DB LEI'!$A:$I,9))</f>
        <v/>
      </c>
      <c r="E667" s="2">
        <f>VLOOKUP(Table3[[#This Row],[Date]],'DB LEI'!$A:$F,4)</f>
        <v/>
      </c>
      <c r="F667" s="4">
        <f>(Table3[[#This Row],[UMSCI]]-E656)/E656</f>
        <v/>
      </c>
    </row>
    <row r="668">
      <c r="A668" s="6" t="n">
        <v>41579</v>
      </c>
      <c r="B668" s="2">
        <f>VLOOKUP(Table3[[#This Row],[Date]],'DB LEI'!$A:$F,2)</f>
        <v/>
      </c>
      <c r="C668" s="4">
        <f>(Table3[[#This Row],[Conference Board Leading Indicator]]-B656)/B656</f>
        <v/>
      </c>
      <c r="D668" s="3">
        <f>IF(VLOOKUP(Table3[[#This Row],[Date]],'DB LEI'!$A:$I,9)=0,"",VLOOKUP(Table3[[#This Row],[Date]],'DB LEI'!$A:$I,9))</f>
        <v/>
      </c>
      <c r="E668" s="2">
        <f>VLOOKUP(Table3[[#This Row],[Date]],'DB LEI'!$A:$F,4)</f>
        <v/>
      </c>
      <c r="F668" s="4">
        <f>(Table3[[#This Row],[UMSCI]]-E657)/E657</f>
        <v/>
      </c>
    </row>
    <row r="669">
      <c r="A669" s="6" t="n">
        <v>41609</v>
      </c>
      <c r="B669" s="2">
        <f>VLOOKUP(Table3[[#This Row],[Date]],'DB LEI'!$A:$F,2)</f>
        <v/>
      </c>
      <c r="C669" s="4">
        <f>(Table3[[#This Row],[Conference Board Leading Indicator]]-B657)/B657</f>
        <v/>
      </c>
      <c r="D669" s="3">
        <f>IF(VLOOKUP(Table3[[#This Row],[Date]],'DB LEI'!$A:$I,9)=0,"",VLOOKUP(Table3[[#This Row],[Date]],'DB LEI'!$A:$I,9))</f>
        <v/>
      </c>
      <c r="E669" s="2">
        <f>VLOOKUP(Table3[[#This Row],[Date]],'DB LEI'!$A:$F,4)</f>
        <v/>
      </c>
      <c r="F669" s="4">
        <f>(Table3[[#This Row],[UMSCI]]-E658)/E658</f>
        <v/>
      </c>
    </row>
    <row r="670">
      <c r="A670" s="6" t="n">
        <v>41640</v>
      </c>
      <c r="B670" s="2">
        <f>VLOOKUP(Table3[[#This Row],[Date]],'DB LEI'!$A:$F,2)</f>
        <v/>
      </c>
      <c r="C670" s="4">
        <f>(Table3[[#This Row],[Conference Board Leading Indicator]]-B658)/B658</f>
        <v/>
      </c>
      <c r="D670" s="3">
        <f>IF(VLOOKUP(Table3[[#This Row],[Date]],'DB LEI'!$A:$I,9)=0,"",VLOOKUP(Table3[[#This Row],[Date]],'DB LEI'!$A:$I,9))</f>
        <v/>
      </c>
      <c r="E670" s="2">
        <f>VLOOKUP(Table3[[#This Row],[Date]],'DB LEI'!$A:$F,4)</f>
        <v/>
      </c>
      <c r="F670" s="4">
        <f>(Table3[[#This Row],[UMSCI]]-E659)/E659</f>
        <v/>
      </c>
    </row>
    <row r="671">
      <c r="A671" s="6" t="n">
        <v>41671</v>
      </c>
      <c r="B671" s="2">
        <f>VLOOKUP(Table3[[#This Row],[Date]],'DB LEI'!$A:$F,2)</f>
        <v/>
      </c>
      <c r="C671" s="4">
        <f>(Table3[[#This Row],[Conference Board Leading Indicator]]-B659)/B659</f>
        <v/>
      </c>
      <c r="D671" s="3">
        <f>IF(VLOOKUP(Table3[[#This Row],[Date]],'DB LEI'!$A:$I,9)=0,"",VLOOKUP(Table3[[#This Row],[Date]],'DB LEI'!$A:$I,9))</f>
        <v/>
      </c>
      <c r="E671" s="2">
        <f>VLOOKUP(Table3[[#This Row],[Date]],'DB LEI'!$A:$F,4)</f>
        <v/>
      </c>
      <c r="F671" s="4">
        <f>(Table3[[#This Row],[UMSCI]]-E660)/E660</f>
        <v/>
      </c>
    </row>
    <row r="672">
      <c r="A672" s="6" t="n">
        <v>41699</v>
      </c>
      <c r="B672" s="2">
        <f>VLOOKUP(Table3[[#This Row],[Date]],'DB LEI'!$A:$F,2)</f>
        <v/>
      </c>
      <c r="C672" s="4">
        <f>(Table3[[#This Row],[Conference Board Leading Indicator]]-B660)/B660</f>
        <v/>
      </c>
      <c r="D672" s="3">
        <f>IF(VLOOKUP(Table3[[#This Row],[Date]],'DB LEI'!$A:$I,9)=0,"",VLOOKUP(Table3[[#This Row],[Date]],'DB LEI'!$A:$I,9))</f>
        <v/>
      </c>
      <c r="E672" s="2">
        <f>VLOOKUP(Table3[[#This Row],[Date]],'DB LEI'!$A:$F,4)</f>
        <v/>
      </c>
      <c r="F672" s="4">
        <f>(Table3[[#This Row],[UMSCI]]-E661)/E661</f>
        <v/>
      </c>
    </row>
    <row r="673">
      <c r="A673" s="6" t="n">
        <v>41730</v>
      </c>
      <c r="B673" s="2">
        <f>VLOOKUP(Table3[[#This Row],[Date]],'DB LEI'!$A:$F,2)</f>
        <v/>
      </c>
      <c r="C673" s="4">
        <f>(Table3[[#This Row],[Conference Board Leading Indicator]]-B661)/B661</f>
        <v/>
      </c>
      <c r="D673" s="3">
        <f>IF(VLOOKUP(Table3[[#This Row],[Date]],'DB LEI'!$A:$I,9)=0,"",VLOOKUP(Table3[[#This Row],[Date]],'DB LEI'!$A:$I,9))</f>
        <v/>
      </c>
      <c r="E673" s="2">
        <f>VLOOKUP(Table3[[#This Row],[Date]],'DB LEI'!$A:$F,4)</f>
        <v/>
      </c>
      <c r="F673" s="4">
        <f>(Table3[[#This Row],[UMSCI]]-E662)/E662</f>
        <v/>
      </c>
    </row>
    <row r="674">
      <c r="A674" s="6" t="n">
        <v>41760</v>
      </c>
      <c r="B674" s="2">
        <f>VLOOKUP(Table3[[#This Row],[Date]],'DB LEI'!$A:$F,2)</f>
        <v/>
      </c>
      <c r="C674" s="4">
        <f>(Table3[[#This Row],[Conference Board Leading Indicator]]-B662)/B662</f>
        <v/>
      </c>
      <c r="D674" s="3">
        <f>IF(VLOOKUP(Table3[[#This Row],[Date]],'DB LEI'!$A:$I,9)=0,"",VLOOKUP(Table3[[#This Row],[Date]],'DB LEI'!$A:$I,9))</f>
        <v/>
      </c>
      <c r="E674" s="2">
        <f>VLOOKUP(Table3[[#This Row],[Date]],'DB LEI'!$A:$F,4)</f>
        <v/>
      </c>
      <c r="F674" s="4">
        <f>(Table3[[#This Row],[UMSCI]]-E663)/E663</f>
        <v/>
      </c>
    </row>
    <row r="675">
      <c r="A675" s="6" t="n">
        <v>41791</v>
      </c>
      <c r="B675" s="2">
        <f>VLOOKUP(Table3[[#This Row],[Date]],'DB LEI'!$A:$F,2)</f>
        <v/>
      </c>
      <c r="C675" s="4">
        <f>(Table3[[#This Row],[Conference Board Leading Indicator]]-B663)/B663</f>
        <v/>
      </c>
      <c r="D675" s="3">
        <f>IF(VLOOKUP(Table3[[#This Row],[Date]],'DB LEI'!$A:$I,9)=0,"",VLOOKUP(Table3[[#This Row],[Date]],'DB LEI'!$A:$I,9))</f>
        <v/>
      </c>
      <c r="E675" s="2">
        <f>VLOOKUP(Table3[[#This Row],[Date]],'DB LEI'!$A:$F,4)</f>
        <v/>
      </c>
      <c r="F675" s="4">
        <f>(Table3[[#This Row],[UMSCI]]-E664)/E664</f>
        <v/>
      </c>
    </row>
    <row r="676">
      <c r="A676" s="6" t="n">
        <v>41821</v>
      </c>
      <c r="B676" s="2">
        <f>VLOOKUP(Table3[[#This Row],[Date]],'DB LEI'!$A:$F,2)</f>
        <v/>
      </c>
      <c r="C676" s="4">
        <f>(Table3[[#This Row],[Conference Board Leading Indicator]]-B664)/B664</f>
        <v/>
      </c>
      <c r="D676" s="3">
        <f>IF(VLOOKUP(Table3[[#This Row],[Date]],'DB LEI'!$A:$I,9)=0,"",VLOOKUP(Table3[[#This Row],[Date]],'DB LEI'!$A:$I,9))</f>
        <v/>
      </c>
      <c r="E676" s="2">
        <f>VLOOKUP(Table3[[#This Row],[Date]],'DB LEI'!$A:$F,4)</f>
        <v/>
      </c>
      <c r="F676" s="4">
        <f>(Table3[[#This Row],[UMSCI]]-E665)/E665</f>
        <v/>
      </c>
    </row>
    <row r="677">
      <c r="A677" s="6" t="n">
        <v>41852</v>
      </c>
      <c r="B677" s="2">
        <f>VLOOKUP(Table3[[#This Row],[Date]],'DB LEI'!$A:$F,2)</f>
        <v/>
      </c>
      <c r="C677" s="4">
        <f>(Table3[[#This Row],[Conference Board Leading Indicator]]-B665)/B665</f>
        <v/>
      </c>
      <c r="D677" s="3">
        <f>IF(VLOOKUP(Table3[[#This Row],[Date]],'DB LEI'!$A:$I,9)=0,"",VLOOKUP(Table3[[#This Row],[Date]],'DB LEI'!$A:$I,9))</f>
        <v/>
      </c>
      <c r="E677" s="2">
        <f>VLOOKUP(Table3[[#This Row],[Date]],'DB LEI'!$A:$F,4)</f>
        <v/>
      </c>
      <c r="F677" s="4">
        <f>(Table3[[#This Row],[UMSCI]]-E666)/E666</f>
        <v/>
      </c>
    </row>
    <row r="678">
      <c r="A678" s="6" t="n">
        <v>41883</v>
      </c>
      <c r="B678" s="2">
        <f>VLOOKUP(Table3[[#This Row],[Date]],'DB LEI'!$A:$F,2)</f>
        <v/>
      </c>
      <c r="C678" s="4">
        <f>(Table3[[#This Row],[Conference Board Leading Indicator]]-B666)/B666</f>
        <v/>
      </c>
      <c r="D678" s="3">
        <f>IF(VLOOKUP(Table3[[#This Row],[Date]],'DB LEI'!$A:$I,9)=0,"",VLOOKUP(Table3[[#This Row],[Date]],'DB LEI'!$A:$I,9))</f>
        <v/>
      </c>
      <c r="E678" s="2">
        <f>VLOOKUP(Table3[[#This Row],[Date]],'DB LEI'!$A:$F,4)</f>
        <v/>
      </c>
      <c r="F678" s="4">
        <f>(Table3[[#This Row],[UMSCI]]-E667)/E667</f>
        <v/>
      </c>
    </row>
    <row r="679">
      <c r="A679" s="6" t="n">
        <v>41913</v>
      </c>
      <c r="B679" s="2">
        <f>VLOOKUP(Table3[[#This Row],[Date]],'DB LEI'!$A:$F,2)</f>
        <v/>
      </c>
      <c r="C679" s="4">
        <f>(Table3[[#This Row],[Conference Board Leading Indicator]]-B667)/B667</f>
        <v/>
      </c>
      <c r="D679" s="3">
        <f>IF(VLOOKUP(Table3[[#This Row],[Date]],'DB LEI'!$A:$I,9)=0,"",VLOOKUP(Table3[[#This Row],[Date]],'DB LEI'!$A:$I,9))</f>
        <v/>
      </c>
      <c r="E679" s="2">
        <f>VLOOKUP(Table3[[#This Row],[Date]],'DB LEI'!$A:$F,4)</f>
        <v/>
      </c>
      <c r="F679" s="4">
        <f>(Table3[[#This Row],[UMSCI]]-E668)/E668</f>
        <v/>
      </c>
    </row>
    <row r="680">
      <c r="A680" s="6" t="n">
        <v>41944</v>
      </c>
      <c r="B680" s="2">
        <f>VLOOKUP(Table3[[#This Row],[Date]],'DB LEI'!$A:$F,2)</f>
        <v/>
      </c>
      <c r="C680" s="4">
        <f>(Table3[[#This Row],[Conference Board Leading Indicator]]-B668)/B668</f>
        <v/>
      </c>
      <c r="D680" s="3">
        <f>IF(VLOOKUP(Table3[[#This Row],[Date]],'DB LEI'!$A:$I,9)=0,"",VLOOKUP(Table3[[#This Row],[Date]],'DB LEI'!$A:$I,9))</f>
        <v/>
      </c>
      <c r="E680" s="2">
        <f>VLOOKUP(Table3[[#This Row],[Date]],'DB LEI'!$A:$F,4)</f>
        <v/>
      </c>
      <c r="F680" s="4">
        <f>(Table3[[#This Row],[UMSCI]]-E669)/E669</f>
        <v/>
      </c>
    </row>
    <row r="681">
      <c r="A681" s="6" t="n">
        <v>41974</v>
      </c>
      <c r="B681" s="2">
        <f>VLOOKUP(Table3[[#This Row],[Date]],'DB LEI'!$A:$F,2)</f>
        <v/>
      </c>
      <c r="C681" s="4">
        <f>(Table3[[#This Row],[Conference Board Leading Indicator]]-B669)/B669</f>
        <v/>
      </c>
      <c r="D681" s="3">
        <f>IF(VLOOKUP(Table3[[#This Row],[Date]],'DB LEI'!$A:$I,9)=0,"",VLOOKUP(Table3[[#This Row],[Date]],'DB LEI'!$A:$I,9))</f>
        <v/>
      </c>
      <c r="E681" s="2">
        <f>VLOOKUP(Table3[[#This Row],[Date]],'DB LEI'!$A:$F,4)</f>
        <v/>
      </c>
      <c r="F681" s="4">
        <f>(Table3[[#This Row],[UMSCI]]-E670)/E670</f>
        <v/>
      </c>
    </row>
    <row r="682">
      <c r="A682" s="6" t="n">
        <v>42005</v>
      </c>
      <c r="B682" s="2">
        <f>VLOOKUP(Table3[[#This Row],[Date]],'DB LEI'!$A:$F,2)</f>
        <v/>
      </c>
      <c r="C682" s="4">
        <f>(Table3[[#This Row],[Conference Board Leading Indicator]]-B670)/B670</f>
        <v/>
      </c>
      <c r="D682" s="3">
        <f>IF(VLOOKUP(Table3[[#This Row],[Date]],'DB LEI'!$A:$I,9)=0,"",VLOOKUP(Table3[[#This Row],[Date]],'DB LEI'!$A:$I,9))</f>
        <v/>
      </c>
      <c r="E682" s="2">
        <f>VLOOKUP(Table3[[#This Row],[Date]],'DB LEI'!$A:$F,4)</f>
        <v/>
      </c>
      <c r="F682" s="4">
        <f>(Table3[[#This Row],[UMSCI]]-E671)/E671</f>
        <v/>
      </c>
    </row>
    <row r="683">
      <c r="A683" s="6" t="n">
        <v>42036</v>
      </c>
      <c r="B683" s="2">
        <f>VLOOKUP(Table3[[#This Row],[Date]],'DB LEI'!$A:$F,2)</f>
        <v/>
      </c>
      <c r="C683" s="4">
        <f>(Table3[[#This Row],[Conference Board Leading Indicator]]-B671)/B671</f>
        <v/>
      </c>
      <c r="D683" s="3">
        <f>IF(VLOOKUP(Table3[[#This Row],[Date]],'DB LEI'!$A:$I,9)=0,"",VLOOKUP(Table3[[#This Row],[Date]],'DB LEI'!$A:$I,9))</f>
        <v/>
      </c>
      <c r="E683" s="2">
        <f>VLOOKUP(Table3[[#This Row],[Date]],'DB LEI'!$A:$F,4)</f>
        <v/>
      </c>
      <c r="F683" s="4">
        <f>(Table3[[#This Row],[UMSCI]]-E672)/E672</f>
        <v/>
      </c>
    </row>
    <row r="684">
      <c r="A684" s="6" t="n">
        <v>42064</v>
      </c>
      <c r="B684" s="2">
        <f>VLOOKUP(Table3[[#This Row],[Date]],'DB LEI'!$A:$F,2)</f>
        <v/>
      </c>
      <c r="C684" s="4">
        <f>(Table3[[#This Row],[Conference Board Leading Indicator]]-B672)/B672</f>
        <v/>
      </c>
      <c r="D684" s="3">
        <f>IF(VLOOKUP(Table3[[#This Row],[Date]],'DB LEI'!$A:$I,9)=0,"",VLOOKUP(Table3[[#This Row],[Date]],'DB LEI'!$A:$I,9))</f>
        <v/>
      </c>
      <c r="E684" s="2">
        <f>VLOOKUP(Table3[[#This Row],[Date]],'DB LEI'!$A:$F,4)</f>
        <v/>
      </c>
      <c r="F684" s="4">
        <f>(Table3[[#This Row],[UMSCI]]-E673)/E673</f>
        <v/>
      </c>
    </row>
    <row r="685">
      <c r="A685" s="6" t="n">
        <v>42095</v>
      </c>
      <c r="B685" s="2">
        <f>VLOOKUP(Table3[[#This Row],[Date]],'DB LEI'!$A:$F,2)</f>
        <v/>
      </c>
      <c r="C685" s="4">
        <f>(Table3[[#This Row],[Conference Board Leading Indicator]]-B673)/B673</f>
        <v/>
      </c>
      <c r="D685" s="3">
        <f>IF(VLOOKUP(Table3[[#This Row],[Date]],'DB LEI'!$A:$I,9)=0,"",VLOOKUP(Table3[[#This Row],[Date]],'DB LEI'!$A:$I,9))</f>
        <v/>
      </c>
      <c r="E685" s="2">
        <f>VLOOKUP(Table3[[#This Row],[Date]],'DB LEI'!$A:$F,4)</f>
        <v/>
      </c>
      <c r="F685" s="4">
        <f>(Table3[[#This Row],[UMSCI]]-E674)/E674</f>
        <v/>
      </c>
    </row>
    <row r="686">
      <c r="A686" s="6" t="n">
        <v>42125</v>
      </c>
      <c r="B686" s="2">
        <f>VLOOKUP(Table3[[#This Row],[Date]],'DB LEI'!$A:$F,2)</f>
        <v/>
      </c>
      <c r="C686" s="4">
        <f>(Table3[[#This Row],[Conference Board Leading Indicator]]-B674)/B674</f>
        <v/>
      </c>
      <c r="D686" s="3">
        <f>IF(VLOOKUP(Table3[[#This Row],[Date]],'DB LEI'!$A:$I,9)=0,"",VLOOKUP(Table3[[#This Row],[Date]],'DB LEI'!$A:$I,9))</f>
        <v/>
      </c>
      <c r="E686" s="2">
        <f>VLOOKUP(Table3[[#This Row],[Date]],'DB LEI'!$A:$F,4)</f>
        <v/>
      </c>
      <c r="F686" s="4">
        <f>(Table3[[#This Row],[UMSCI]]-E675)/E675</f>
        <v/>
      </c>
    </row>
    <row r="687">
      <c r="A687" s="6" t="n">
        <v>42156</v>
      </c>
      <c r="B687" s="2">
        <f>VLOOKUP(Table3[[#This Row],[Date]],'DB LEI'!$A:$F,2)</f>
        <v/>
      </c>
      <c r="C687" s="4">
        <f>(Table3[[#This Row],[Conference Board Leading Indicator]]-B675)/B675</f>
        <v/>
      </c>
      <c r="D687" s="3">
        <f>IF(VLOOKUP(Table3[[#This Row],[Date]],'DB LEI'!$A:$I,9)=0,"",VLOOKUP(Table3[[#This Row],[Date]],'DB LEI'!$A:$I,9))</f>
        <v/>
      </c>
      <c r="E687" s="2">
        <f>VLOOKUP(Table3[[#This Row],[Date]],'DB LEI'!$A:$F,4)</f>
        <v/>
      </c>
      <c r="F687" s="4">
        <f>(Table3[[#This Row],[UMSCI]]-E676)/E676</f>
        <v/>
      </c>
    </row>
    <row r="688">
      <c r="A688" s="6" t="n">
        <v>42186</v>
      </c>
      <c r="B688" s="2">
        <f>VLOOKUP(Table3[[#This Row],[Date]],'DB LEI'!$A:$F,2)</f>
        <v/>
      </c>
      <c r="C688" s="4">
        <f>(Table3[[#This Row],[Conference Board Leading Indicator]]-B676)/B676</f>
        <v/>
      </c>
      <c r="D688" s="3">
        <f>IF(VLOOKUP(Table3[[#This Row],[Date]],'DB LEI'!$A:$I,9)=0,"",VLOOKUP(Table3[[#This Row],[Date]],'DB LEI'!$A:$I,9))</f>
        <v/>
      </c>
      <c r="E688" s="2">
        <f>VLOOKUP(Table3[[#This Row],[Date]],'DB LEI'!$A:$F,4)</f>
        <v/>
      </c>
      <c r="F688" s="4">
        <f>(Table3[[#This Row],[UMSCI]]-E677)/E677</f>
        <v/>
      </c>
    </row>
    <row r="689">
      <c r="A689" s="6" t="n">
        <v>42217</v>
      </c>
      <c r="B689" s="2">
        <f>VLOOKUP(Table3[[#This Row],[Date]],'DB LEI'!$A:$F,2)</f>
        <v/>
      </c>
      <c r="C689" s="4">
        <f>(Table3[[#This Row],[Conference Board Leading Indicator]]-B677)/B677</f>
        <v/>
      </c>
      <c r="D689" s="3">
        <f>IF(VLOOKUP(Table3[[#This Row],[Date]],'DB LEI'!$A:$I,9)=0,"",VLOOKUP(Table3[[#This Row],[Date]],'DB LEI'!$A:$I,9))</f>
        <v/>
      </c>
      <c r="E689" s="2">
        <f>VLOOKUP(Table3[[#This Row],[Date]],'DB LEI'!$A:$F,4)</f>
        <v/>
      </c>
      <c r="F689" s="4">
        <f>(Table3[[#This Row],[UMSCI]]-E678)/E678</f>
        <v/>
      </c>
    </row>
    <row r="690">
      <c r="A690" s="6" t="n">
        <v>42248</v>
      </c>
      <c r="B690" s="2">
        <f>VLOOKUP(Table3[[#This Row],[Date]],'DB LEI'!$A:$F,2)</f>
        <v/>
      </c>
      <c r="C690" s="4">
        <f>(Table3[[#This Row],[Conference Board Leading Indicator]]-B678)/B678</f>
        <v/>
      </c>
      <c r="D690" s="3">
        <f>IF(VLOOKUP(Table3[[#This Row],[Date]],'DB LEI'!$A:$I,9)=0,"",VLOOKUP(Table3[[#This Row],[Date]],'DB LEI'!$A:$I,9))</f>
        <v/>
      </c>
      <c r="E690" s="2">
        <f>VLOOKUP(Table3[[#This Row],[Date]],'DB LEI'!$A:$F,4)</f>
        <v/>
      </c>
      <c r="F690" s="4">
        <f>(Table3[[#This Row],[UMSCI]]-E679)/E679</f>
        <v/>
      </c>
    </row>
    <row r="691">
      <c r="A691" s="6" t="n">
        <v>42278</v>
      </c>
      <c r="B691" s="2">
        <f>VLOOKUP(Table3[[#This Row],[Date]],'DB LEI'!$A:$F,2)</f>
        <v/>
      </c>
      <c r="C691" s="4">
        <f>(Table3[[#This Row],[Conference Board Leading Indicator]]-B679)/B679</f>
        <v/>
      </c>
      <c r="D691" s="3">
        <f>IF(VLOOKUP(Table3[[#This Row],[Date]],'DB LEI'!$A:$I,9)=0,"",VLOOKUP(Table3[[#This Row],[Date]],'DB LEI'!$A:$I,9))</f>
        <v/>
      </c>
      <c r="E691" s="2">
        <f>VLOOKUP(Table3[[#This Row],[Date]],'DB LEI'!$A:$F,4)</f>
        <v/>
      </c>
      <c r="F691" s="4">
        <f>(Table3[[#This Row],[UMSCI]]-E680)/E680</f>
        <v/>
      </c>
    </row>
    <row r="692">
      <c r="A692" s="6" t="n">
        <v>42309</v>
      </c>
      <c r="B692" s="2">
        <f>VLOOKUP(Table3[[#This Row],[Date]],'DB LEI'!$A:$F,2)</f>
        <v/>
      </c>
      <c r="C692" s="4">
        <f>(Table3[[#This Row],[Conference Board Leading Indicator]]-B680)/B680</f>
        <v/>
      </c>
      <c r="D692" s="3">
        <f>IF(VLOOKUP(Table3[[#This Row],[Date]],'DB LEI'!$A:$I,9)=0,"",VLOOKUP(Table3[[#This Row],[Date]],'DB LEI'!$A:$I,9))</f>
        <v/>
      </c>
      <c r="E692" s="2">
        <f>VLOOKUP(Table3[[#This Row],[Date]],'DB LEI'!$A:$F,4)</f>
        <v/>
      </c>
      <c r="F692" s="4">
        <f>(Table3[[#This Row],[UMSCI]]-E681)/E681</f>
        <v/>
      </c>
    </row>
    <row r="693">
      <c r="A693" s="6" t="n">
        <v>42339</v>
      </c>
      <c r="B693" s="2">
        <f>VLOOKUP(Table3[[#This Row],[Date]],'DB LEI'!$A:$F,2)</f>
        <v/>
      </c>
      <c r="C693" s="4">
        <f>(Table3[[#This Row],[Conference Board Leading Indicator]]-B681)/B681</f>
        <v/>
      </c>
      <c r="D693" s="3">
        <f>IF(VLOOKUP(Table3[[#This Row],[Date]],'DB LEI'!$A:$I,9)=0,"",VLOOKUP(Table3[[#This Row],[Date]],'DB LEI'!$A:$I,9))</f>
        <v/>
      </c>
      <c r="E693" s="2">
        <f>VLOOKUP(Table3[[#This Row],[Date]],'DB LEI'!$A:$F,4)</f>
        <v/>
      </c>
      <c r="F693" s="4">
        <f>(Table3[[#This Row],[UMSCI]]-E682)/E682</f>
        <v/>
      </c>
    </row>
    <row r="694">
      <c r="A694" s="6" t="n">
        <v>42370</v>
      </c>
      <c r="B694" s="2">
        <f>VLOOKUP(Table3[[#This Row],[Date]],'DB LEI'!$A:$F,2)</f>
        <v/>
      </c>
      <c r="C694" s="4">
        <f>(Table3[[#This Row],[Conference Board Leading Indicator]]-B682)/B682</f>
        <v/>
      </c>
      <c r="D694" s="3">
        <f>IF(VLOOKUP(Table3[[#This Row],[Date]],'DB LEI'!$A:$I,9)=0,"",VLOOKUP(Table3[[#This Row],[Date]],'DB LEI'!$A:$I,9))</f>
        <v/>
      </c>
      <c r="E694" s="2">
        <f>VLOOKUP(Table3[[#This Row],[Date]],'DB LEI'!$A:$F,4)</f>
        <v/>
      </c>
      <c r="F694" s="4">
        <f>(Table3[[#This Row],[UMSCI]]-E683)/E683</f>
        <v/>
      </c>
    </row>
    <row r="695">
      <c r="A695" s="6" t="n">
        <v>42401</v>
      </c>
      <c r="B695" s="2">
        <f>VLOOKUP(Table3[[#This Row],[Date]],'DB LEI'!$A:$F,2)</f>
        <v/>
      </c>
      <c r="C695" s="4">
        <f>(Table3[[#This Row],[Conference Board Leading Indicator]]-B683)/B683</f>
        <v/>
      </c>
      <c r="D695" s="3">
        <f>IF(VLOOKUP(Table3[[#This Row],[Date]],'DB LEI'!$A:$I,9)=0,"",VLOOKUP(Table3[[#This Row],[Date]],'DB LEI'!$A:$I,9))</f>
        <v/>
      </c>
      <c r="E695" s="2">
        <f>VLOOKUP(Table3[[#This Row],[Date]],'DB LEI'!$A:$F,4)</f>
        <v/>
      </c>
      <c r="F695" s="4">
        <f>(Table3[[#This Row],[UMSCI]]-E684)/E684</f>
        <v/>
      </c>
    </row>
    <row r="696">
      <c r="A696" s="6" t="n">
        <v>42430</v>
      </c>
      <c r="B696" s="2">
        <f>VLOOKUP(Table3[[#This Row],[Date]],'DB LEI'!$A:$F,2)</f>
        <v/>
      </c>
      <c r="C696" s="4">
        <f>(Table3[[#This Row],[Conference Board Leading Indicator]]-B684)/B684</f>
        <v/>
      </c>
      <c r="D696" s="3">
        <f>IF(VLOOKUP(Table3[[#This Row],[Date]],'DB LEI'!$A:$I,9)=0,"",VLOOKUP(Table3[[#This Row],[Date]],'DB LEI'!$A:$I,9))</f>
        <v/>
      </c>
      <c r="E696" s="2">
        <f>VLOOKUP(Table3[[#This Row],[Date]],'DB LEI'!$A:$F,4)</f>
        <v/>
      </c>
      <c r="F696" s="4">
        <f>(Table3[[#This Row],[UMSCI]]-E685)/E685</f>
        <v/>
      </c>
    </row>
    <row r="697">
      <c r="A697" s="6" t="n">
        <v>42461</v>
      </c>
      <c r="B697" s="2">
        <f>VLOOKUP(Table3[[#This Row],[Date]],'DB LEI'!$A:$F,2)</f>
        <v/>
      </c>
      <c r="C697" s="4">
        <f>(Table3[[#This Row],[Conference Board Leading Indicator]]-B685)/B685</f>
        <v/>
      </c>
      <c r="D697" s="3">
        <f>IF(VLOOKUP(Table3[[#This Row],[Date]],'DB LEI'!$A:$I,9)=0,"",VLOOKUP(Table3[[#This Row],[Date]],'DB LEI'!$A:$I,9))</f>
        <v/>
      </c>
      <c r="E697" s="2">
        <f>VLOOKUP(Table3[[#This Row],[Date]],'DB LEI'!$A:$F,4)</f>
        <v/>
      </c>
      <c r="F697" s="4">
        <f>(Table3[[#This Row],[UMSCI]]-E686)/E686</f>
        <v/>
      </c>
    </row>
    <row r="698">
      <c r="A698" s="6" t="n">
        <v>42491</v>
      </c>
      <c r="B698" s="2">
        <f>VLOOKUP(Table3[[#This Row],[Date]],'DB LEI'!$A:$F,2)</f>
        <v/>
      </c>
      <c r="C698" s="4">
        <f>(Table3[[#This Row],[Conference Board Leading Indicator]]-B686)/B686</f>
        <v/>
      </c>
      <c r="D698" s="3">
        <f>IF(VLOOKUP(Table3[[#This Row],[Date]],'DB LEI'!$A:$I,9)=0,"",VLOOKUP(Table3[[#This Row],[Date]],'DB LEI'!$A:$I,9))</f>
        <v/>
      </c>
      <c r="E698" s="2">
        <f>VLOOKUP(Table3[[#This Row],[Date]],'DB LEI'!$A:$F,4)</f>
        <v/>
      </c>
      <c r="F698" s="4">
        <f>(Table3[[#This Row],[UMSCI]]-E687)/E687</f>
        <v/>
      </c>
    </row>
    <row r="699">
      <c r="A699" s="6" t="n">
        <v>42522</v>
      </c>
      <c r="B699" s="2">
        <f>VLOOKUP(Table3[[#This Row],[Date]],'DB LEI'!$A:$F,2)</f>
        <v/>
      </c>
      <c r="C699" s="4">
        <f>(Table3[[#This Row],[Conference Board Leading Indicator]]-B687)/B687</f>
        <v/>
      </c>
      <c r="D699" s="3">
        <f>IF(VLOOKUP(Table3[[#This Row],[Date]],'DB LEI'!$A:$I,9)=0,"",VLOOKUP(Table3[[#This Row],[Date]],'DB LEI'!$A:$I,9))</f>
        <v/>
      </c>
      <c r="E699" s="2">
        <f>VLOOKUP(Table3[[#This Row],[Date]],'DB LEI'!$A:$F,4)</f>
        <v/>
      </c>
      <c r="F699" s="4">
        <f>(Table3[[#This Row],[UMSCI]]-E688)/E688</f>
        <v/>
      </c>
    </row>
    <row r="700">
      <c r="A700" s="6" t="n">
        <v>42552</v>
      </c>
      <c r="B700" s="2">
        <f>VLOOKUP(Table3[[#This Row],[Date]],'DB LEI'!$A:$F,2)</f>
        <v/>
      </c>
      <c r="C700" s="4">
        <f>(Table3[[#This Row],[Conference Board Leading Indicator]]-B688)/B688</f>
        <v/>
      </c>
      <c r="D700" s="3">
        <f>IF(VLOOKUP(Table3[[#This Row],[Date]],'DB LEI'!$A:$I,9)=0,"",VLOOKUP(Table3[[#This Row],[Date]],'DB LEI'!$A:$I,9))</f>
        <v/>
      </c>
      <c r="E700" s="2">
        <f>VLOOKUP(Table3[[#This Row],[Date]],'DB LEI'!$A:$F,4)</f>
        <v/>
      </c>
      <c r="F700" s="4">
        <f>(Table3[[#This Row],[UMSCI]]-E689)/E689</f>
        <v/>
      </c>
    </row>
    <row r="701">
      <c r="A701" s="6" t="n">
        <v>42583</v>
      </c>
      <c r="B701" s="2">
        <f>VLOOKUP(Table3[[#This Row],[Date]],'DB LEI'!$A:$F,2)</f>
        <v/>
      </c>
      <c r="C701" s="4">
        <f>(Table3[[#This Row],[Conference Board Leading Indicator]]-B689)/B689</f>
        <v/>
      </c>
      <c r="D701" s="3">
        <f>IF(VLOOKUP(Table3[[#This Row],[Date]],'DB LEI'!$A:$I,9)=0,"",VLOOKUP(Table3[[#This Row],[Date]],'DB LEI'!$A:$I,9))</f>
        <v/>
      </c>
      <c r="E701" s="2">
        <f>VLOOKUP(Table3[[#This Row],[Date]],'DB LEI'!$A:$F,4)</f>
        <v/>
      </c>
      <c r="F701" s="4">
        <f>(Table3[[#This Row],[UMSCI]]-E690)/E690</f>
        <v/>
      </c>
    </row>
    <row r="702">
      <c r="A702" s="6" t="n">
        <v>42614</v>
      </c>
      <c r="B702" s="2">
        <f>VLOOKUP(Table3[[#This Row],[Date]],'DB LEI'!$A:$F,2)</f>
        <v/>
      </c>
      <c r="C702" s="4">
        <f>(Table3[[#This Row],[Conference Board Leading Indicator]]-B690)/B690</f>
        <v/>
      </c>
      <c r="D702" s="3">
        <f>IF(VLOOKUP(Table3[[#This Row],[Date]],'DB LEI'!$A:$I,9)=0,"",VLOOKUP(Table3[[#This Row],[Date]],'DB LEI'!$A:$I,9))</f>
        <v/>
      </c>
      <c r="E702" s="2">
        <f>VLOOKUP(Table3[[#This Row],[Date]],'DB LEI'!$A:$F,4)</f>
        <v/>
      </c>
      <c r="F702" s="4">
        <f>(Table3[[#This Row],[UMSCI]]-E691)/E691</f>
        <v/>
      </c>
    </row>
    <row r="703">
      <c r="A703" s="6" t="n">
        <v>42644</v>
      </c>
      <c r="B703" s="2">
        <f>VLOOKUP(Table3[[#This Row],[Date]],'DB LEI'!$A:$F,2)</f>
        <v/>
      </c>
      <c r="C703" s="4">
        <f>(Table3[[#This Row],[Conference Board Leading Indicator]]-B691)/B691</f>
        <v/>
      </c>
      <c r="D703" s="3">
        <f>IF(VLOOKUP(Table3[[#This Row],[Date]],'DB LEI'!$A:$I,9)=0,"",VLOOKUP(Table3[[#This Row],[Date]],'DB LEI'!$A:$I,9))</f>
        <v/>
      </c>
      <c r="E703" s="2">
        <f>VLOOKUP(Table3[[#This Row],[Date]],'DB LEI'!$A:$F,4)</f>
        <v/>
      </c>
      <c r="F703" s="4">
        <f>(Table3[[#This Row],[UMSCI]]-E692)/E692</f>
        <v/>
      </c>
    </row>
    <row r="704">
      <c r="A704" s="6" t="n">
        <v>42675</v>
      </c>
      <c r="B704" s="2">
        <f>VLOOKUP(Table3[[#This Row],[Date]],'DB LEI'!$A:$F,2)</f>
        <v/>
      </c>
      <c r="C704" s="4">
        <f>(Table3[[#This Row],[Conference Board Leading Indicator]]-B692)/B692</f>
        <v/>
      </c>
      <c r="D704" s="3">
        <f>IF(VLOOKUP(Table3[[#This Row],[Date]],'DB LEI'!$A:$I,9)=0,"",VLOOKUP(Table3[[#This Row],[Date]],'DB LEI'!$A:$I,9))</f>
        <v/>
      </c>
      <c r="E704" s="2">
        <f>VLOOKUP(Table3[[#This Row],[Date]],'DB LEI'!$A:$F,4)</f>
        <v/>
      </c>
      <c r="F704" s="4">
        <f>(Table3[[#This Row],[UMSCI]]-E693)/E693</f>
        <v/>
      </c>
    </row>
    <row r="705">
      <c r="A705" s="6" t="n">
        <v>42705</v>
      </c>
      <c r="B705" s="2">
        <f>VLOOKUP(Table3[[#This Row],[Date]],'DB LEI'!$A:$F,2)</f>
        <v/>
      </c>
      <c r="C705" s="4">
        <f>(Table3[[#This Row],[Conference Board Leading Indicator]]-B693)/B693</f>
        <v/>
      </c>
      <c r="D705" s="3">
        <f>IF(VLOOKUP(Table3[[#This Row],[Date]],'DB LEI'!$A:$I,9)=0,"",VLOOKUP(Table3[[#This Row],[Date]],'DB LEI'!$A:$I,9))</f>
        <v/>
      </c>
      <c r="E705" s="2">
        <f>VLOOKUP(Table3[[#This Row],[Date]],'DB LEI'!$A:$F,4)</f>
        <v/>
      </c>
      <c r="F705" s="4">
        <f>(Table3[[#This Row],[UMSCI]]-E694)/E694</f>
        <v/>
      </c>
    </row>
    <row r="706">
      <c r="A706" s="6" t="n">
        <v>42736</v>
      </c>
      <c r="B706" s="2">
        <f>VLOOKUP(Table3[[#This Row],[Date]],'DB LEI'!$A:$F,2)</f>
        <v/>
      </c>
      <c r="C706" s="4">
        <f>(Table3[[#This Row],[Conference Board Leading Indicator]]-B694)/B694</f>
        <v/>
      </c>
      <c r="D706" s="3">
        <f>IF(VLOOKUP(Table3[[#This Row],[Date]],'DB LEI'!$A:$I,9)=0,"",VLOOKUP(Table3[[#This Row],[Date]],'DB LEI'!$A:$I,9))</f>
        <v/>
      </c>
      <c r="E706" s="2">
        <f>VLOOKUP(Table3[[#This Row],[Date]],'DB LEI'!$A:$F,4)</f>
        <v/>
      </c>
      <c r="F706" s="4">
        <f>(Table3[[#This Row],[UMSCI]]-E695)/E695</f>
        <v/>
      </c>
    </row>
    <row r="707">
      <c r="A707" s="6" t="n">
        <v>42767</v>
      </c>
      <c r="B707" s="2">
        <f>VLOOKUP(Table3[[#This Row],[Date]],'DB LEI'!$A:$F,2)</f>
        <v/>
      </c>
      <c r="C707" s="4">
        <f>(Table3[[#This Row],[Conference Board Leading Indicator]]-B695)/B695</f>
        <v/>
      </c>
      <c r="D707" s="3">
        <f>IF(VLOOKUP(Table3[[#This Row],[Date]],'DB LEI'!$A:$I,9)=0,"",VLOOKUP(Table3[[#This Row],[Date]],'DB LEI'!$A:$I,9))</f>
        <v/>
      </c>
      <c r="E707" s="2">
        <f>VLOOKUP(Table3[[#This Row],[Date]],'DB LEI'!$A:$F,4)</f>
        <v/>
      </c>
      <c r="F707" s="4">
        <f>(Table3[[#This Row],[UMSCI]]-E696)/E696</f>
        <v/>
      </c>
    </row>
    <row r="708">
      <c r="A708" s="6" t="n">
        <v>42795</v>
      </c>
      <c r="B708" s="2">
        <f>VLOOKUP(Table3[[#This Row],[Date]],'DB LEI'!$A:$F,2)</f>
        <v/>
      </c>
      <c r="C708" s="4">
        <f>(Table3[[#This Row],[Conference Board Leading Indicator]]-B696)/B696</f>
        <v/>
      </c>
      <c r="D708" s="3">
        <f>IF(VLOOKUP(Table3[[#This Row],[Date]],'DB LEI'!$A:$I,9)=0,"",VLOOKUP(Table3[[#This Row],[Date]],'DB LEI'!$A:$I,9))</f>
        <v/>
      </c>
      <c r="E708" s="2">
        <f>VLOOKUP(Table3[[#This Row],[Date]],'DB LEI'!$A:$F,4)</f>
        <v/>
      </c>
      <c r="F708" s="4">
        <f>(Table3[[#This Row],[UMSCI]]-E697)/E697</f>
        <v/>
      </c>
    </row>
    <row r="709">
      <c r="A709" s="6" t="n">
        <v>42826</v>
      </c>
      <c r="B709" s="2">
        <f>VLOOKUP(Table3[[#This Row],[Date]],'DB LEI'!$A:$F,2)</f>
        <v/>
      </c>
      <c r="C709" s="4">
        <f>(Table3[[#This Row],[Conference Board Leading Indicator]]-B697)/B697</f>
        <v/>
      </c>
      <c r="D709" s="3">
        <f>IF(VLOOKUP(Table3[[#This Row],[Date]],'DB LEI'!$A:$I,9)=0,"",VLOOKUP(Table3[[#This Row],[Date]],'DB LEI'!$A:$I,9))</f>
        <v/>
      </c>
      <c r="E709" s="2">
        <f>VLOOKUP(Table3[[#This Row],[Date]],'DB LEI'!$A:$F,4)</f>
        <v/>
      </c>
      <c r="F709" s="4">
        <f>(Table3[[#This Row],[UMSCI]]-E698)/E698</f>
        <v/>
      </c>
    </row>
    <row r="710">
      <c r="A710" s="6" t="n">
        <v>42856</v>
      </c>
      <c r="B710" s="2">
        <f>VLOOKUP(Table3[[#This Row],[Date]],'DB LEI'!$A:$F,2)</f>
        <v/>
      </c>
      <c r="C710" s="4">
        <f>(Table3[[#This Row],[Conference Board Leading Indicator]]-B698)/B698</f>
        <v/>
      </c>
      <c r="D710" s="3">
        <f>IF(VLOOKUP(Table3[[#This Row],[Date]],'DB LEI'!$A:$I,9)=0,"",VLOOKUP(Table3[[#This Row],[Date]],'DB LEI'!$A:$I,9))</f>
        <v/>
      </c>
      <c r="E710" s="2">
        <f>VLOOKUP(Table3[[#This Row],[Date]],'DB LEI'!$A:$F,4)</f>
        <v/>
      </c>
      <c r="F710" s="4">
        <f>(Table3[[#This Row],[UMSCI]]-E699)/E699</f>
        <v/>
      </c>
    </row>
    <row r="711">
      <c r="A711" s="6" t="n">
        <v>42887</v>
      </c>
      <c r="B711" s="2">
        <f>VLOOKUP(Table3[[#This Row],[Date]],'DB LEI'!$A:$F,2)</f>
        <v/>
      </c>
      <c r="C711" s="4">
        <f>(Table3[[#This Row],[Conference Board Leading Indicator]]-B699)/B699</f>
        <v/>
      </c>
      <c r="D711" s="3">
        <f>IF(VLOOKUP(Table3[[#This Row],[Date]],'DB LEI'!$A:$I,9)=0,"",VLOOKUP(Table3[[#This Row],[Date]],'DB LEI'!$A:$I,9))</f>
        <v/>
      </c>
      <c r="E711" s="2">
        <f>VLOOKUP(Table3[[#This Row],[Date]],'DB LEI'!$A:$F,4)</f>
        <v/>
      </c>
      <c r="F711" s="4">
        <f>(Table3[[#This Row],[UMSCI]]-E700)/E700</f>
        <v/>
      </c>
    </row>
    <row r="712">
      <c r="A712" s="6" t="n">
        <v>42917</v>
      </c>
      <c r="B712" s="2">
        <f>VLOOKUP(Table3[[#This Row],[Date]],'DB LEI'!$A:$F,2)</f>
        <v/>
      </c>
      <c r="C712" s="4">
        <f>(Table3[[#This Row],[Conference Board Leading Indicator]]-B700)/B700</f>
        <v/>
      </c>
      <c r="D712" s="3">
        <f>IF(VLOOKUP(Table3[[#This Row],[Date]],'DB LEI'!$A:$I,9)=0,"",VLOOKUP(Table3[[#This Row],[Date]],'DB LEI'!$A:$I,9))</f>
        <v/>
      </c>
      <c r="E712" s="2">
        <f>VLOOKUP(Table3[[#This Row],[Date]],'DB LEI'!$A:$F,4)</f>
        <v/>
      </c>
      <c r="F712" s="4">
        <f>(Table3[[#This Row],[UMSCI]]-E701)/E701</f>
        <v/>
      </c>
    </row>
    <row r="713">
      <c r="A713" s="6" t="n">
        <v>42948</v>
      </c>
      <c r="B713" s="2">
        <f>VLOOKUP(Table3[[#This Row],[Date]],'DB LEI'!$A:$F,2)</f>
        <v/>
      </c>
      <c r="C713" s="4">
        <f>(Table3[[#This Row],[Conference Board Leading Indicator]]-B701)/B701</f>
        <v/>
      </c>
      <c r="D713" s="3">
        <f>IF(VLOOKUP(Table3[[#This Row],[Date]],'DB LEI'!$A:$I,9)=0,"",VLOOKUP(Table3[[#This Row],[Date]],'DB LEI'!$A:$I,9))</f>
        <v/>
      </c>
      <c r="E713" s="2">
        <f>VLOOKUP(Table3[[#This Row],[Date]],'DB LEI'!$A:$F,4)</f>
        <v/>
      </c>
      <c r="F713" s="4">
        <f>(Table3[[#This Row],[UMSCI]]-E702)/E702</f>
        <v/>
      </c>
    </row>
    <row r="714">
      <c r="A714" s="6" t="n">
        <v>42979</v>
      </c>
      <c r="B714" s="2">
        <f>VLOOKUP(Table3[[#This Row],[Date]],'DB LEI'!$A:$F,2)</f>
        <v/>
      </c>
      <c r="C714" s="4">
        <f>(Table3[[#This Row],[Conference Board Leading Indicator]]-B702)/B702</f>
        <v/>
      </c>
      <c r="D714" s="3">
        <f>IF(VLOOKUP(Table3[[#This Row],[Date]],'DB LEI'!$A:$I,9)=0,"",VLOOKUP(Table3[[#This Row],[Date]],'DB LEI'!$A:$I,9))</f>
        <v/>
      </c>
      <c r="E714" s="2">
        <f>VLOOKUP(Table3[[#This Row],[Date]],'DB LEI'!$A:$F,4)</f>
        <v/>
      </c>
      <c r="F714" s="4">
        <f>(Table3[[#This Row],[UMSCI]]-E703)/E703</f>
        <v/>
      </c>
    </row>
    <row r="715">
      <c r="A715" s="6" t="n">
        <v>43009</v>
      </c>
      <c r="B715" s="2">
        <f>VLOOKUP(Table3[[#This Row],[Date]],'DB LEI'!$A:$F,2)</f>
        <v/>
      </c>
      <c r="C715" s="4">
        <f>(Table3[[#This Row],[Conference Board Leading Indicator]]-B703)/B703</f>
        <v/>
      </c>
      <c r="D715" s="3">
        <f>IF(VLOOKUP(Table3[[#This Row],[Date]],'DB LEI'!$A:$I,9)=0,"",VLOOKUP(Table3[[#This Row],[Date]],'DB LEI'!$A:$I,9))</f>
        <v/>
      </c>
      <c r="E715" s="2">
        <f>VLOOKUP(Table3[[#This Row],[Date]],'DB LEI'!$A:$F,4)</f>
        <v/>
      </c>
      <c r="F715" s="4">
        <f>(Table3[[#This Row],[UMSCI]]-E704)/E704</f>
        <v/>
      </c>
    </row>
    <row r="716">
      <c r="A716" s="6" t="n">
        <v>43040</v>
      </c>
      <c r="B716" s="2">
        <f>VLOOKUP(Table3[[#This Row],[Date]],'DB LEI'!$A:$F,2)</f>
        <v/>
      </c>
      <c r="C716" s="4">
        <f>(Table3[[#This Row],[Conference Board Leading Indicator]]-B704)/B704</f>
        <v/>
      </c>
      <c r="D716" s="3">
        <f>IF(VLOOKUP(Table3[[#This Row],[Date]],'DB LEI'!$A:$I,9)=0,"",VLOOKUP(Table3[[#This Row],[Date]],'DB LEI'!$A:$I,9))</f>
        <v/>
      </c>
      <c r="E716" s="2">
        <f>VLOOKUP(Table3[[#This Row],[Date]],'DB LEI'!$A:$F,4)</f>
        <v/>
      </c>
      <c r="F716" s="4">
        <f>(Table3[[#This Row],[UMSCI]]-E705)/E705</f>
        <v/>
      </c>
    </row>
    <row r="717">
      <c r="A717" s="6" t="n">
        <v>43070</v>
      </c>
      <c r="B717" s="2">
        <f>VLOOKUP(Table3[[#This Row],[Date]],'DB LEI'!$A:$F,2)</f>
        <v/>
      </c>
      <c r="C717" s="4">
        <f>(Table3[[#This Row],[Conference Board Leading Indicator]]-B705)/B705</f>
        <v/>
      </c>
      <c r="D717" s="3">
        <f>IF(VLOOKUP(Table3[[#This Row],[Date]],'DB LEI'!$A:$I,9)=0,"",VLOOKUP(Table3[[#This Row],[Date]],'DB LEI'!$A:$I,9))</f>
        <v/>
      </c>
      <c r="E717" s="2">
        <f>VLOOKUP(Table3[[#This Row],[Date]],'DB LEI'!$A:$F,4)</f>
        <v/>
      </c>
      <c r="F717" s="4">
        <f>(Table3[[#This Row],[UMSCI]]-E706)/E706</f>
        <v/>
      </c>
    </row>
    <row r="718">
      <c r="A718" s="6" t="n">
        <v>43101</v>
      </c>
      <c r="B718" s="2">
        <f>VLOOKUP(Table3[[#This Row],[Date]],'DB LEI'!$A:$F,2)</f>
        <v/>
      </c>
      <c r="C718" s="4">
        <f>(Table3[[#This Row],[Conference Board Leading Indicator]]-B706)/B706</f>
        <v/>
      </c>
      <c r="D718" s="3">
        <f>IF(VLOOKUP(Table3[[#This Row],[Date]],'DB LEI'!$A:$I,9)=0,"",VLOOKUP(Table3[[#This Row],[Date]],'DB LEI'!$A:$I,9))</f>
        <v/>
      </c>
      <c r="E718" s="2">
        <f>VLOOKUP(Table3[[#This Row],[Date]],'DB LEI'!$A:$F,4)</f>
        <v/>
      </c>
      <c r="F718" s="4">
        <f>(Table3[[#This Row],[UMSCI]]-E707)/E707</f>
        <v/>
      </c>
    </row>
    <row r="719">
      <c r="A719" s="6" t="n">
        <v>43132</v>
      </c>
      <c r="B719" s="2">
        <f>VLOOKUP(Table3[[#This Row],[Date]],'DB LEI'!$A:$F,2)</f>
        <v/>
      </c>
      <c r="C719" s="4">
        <f>(Table3[[#This Row],[Conference Board Leading Indicator]]-B707)/B707</f>
        <v/>
      </c>
      <c r="D719" s="3">
        <f>IF(VLOOKUP(Table3[[#This Row],[Date]],'DB LEI'!$A:$I,9)=0,"",VLOOKUP(Table3[[#This Row],[Date]],'DB LEI'!$A:$I,9))</f>
        <v/>
      </c>
      <c r="E719" s="2">
        <f>VLOOKUP(Table3[[#This Row],[Date]],'DB LEI'!$A:$F,4)</f>
        <v/>
      </c>
      <c r="F719" s="4">
        <f>(Table3[[#This Row],[UMSCI]]-E708)/E708</f>
        <v/>
      </c>
    </row>
    <row r="720">
      <c r="A720" s="6" t="n">
        <v>43160</v>
      </c>
      <c r="B720" s="2">
        <f>VLOOKUP(Table3[[#This Row],[Date]],'DB LEI'!$A:$F,2)</f>
        <v/>
      </c>
      <c r="C720" s="4">
        <f>(Table3[[#This Row],[Conference Board Leading Indicator]]-B708)/B708</f>
        <v/>
      </c>
      <c r="D720" s="3">
        <f>IF(VLOOKUP(Table3[[#This Row],[Date]],'DB LEI'!$A:$I,9)=0,"",VLOOKUP(Table3[[#This Row],[Date]],'DB LEI'!$A:$I,9))</f>
        <v/>
      </c>
      <c r="E720" s="2">
        <f>VLOOKUP(Table3[[#This Row],[Date]],'DB LEI'!$A:$F,4)</f>
        <v/>
      </c>
      <c r="F720" s="4">
        <f>(Table3[[#This Row],[UMSCI]]-E709)/E709</f>
        <v/>
      </c>
    </row>
    <row r="721">
      <c r="A721" s="6" t="n">
        <v>43191</v>
      </c>
      <c r="B721" s="2">
        <f>VLOOKUP(Table3[[#This Row],[Date]],'DB LEI'!$A:$F,2)</f>
        <v/>
      </c>
      <c r="C721" s="4">
        <f>(Table3[[#This Row],[Conference Board Leading Indicator]]-B709)/B709</f>
        <v/>
      </c>
      <c r="D721" s="3">
        <f>IF(VLOOKUP(Table3[[#This Row],[Date]],'DB LEI'!$A:$I,9)=0,"",VLOOKUP(Table3[[#This Row],[Date]],'DB LEI'!$A:$I,9))</f>
        <v/>
      </c>
      <c r="E721" s="2">
        <f>VLOOKUP(Table3[[#This Row],[Date]],'DB LEI'!$A:$F,4)</f>
        <v/>
      </c>
      <c r="F721" s="4">
        <f>(Table3[[#This Row],[UMSCI]]-E710)/E710</f>
        <v/>
      </c>
    </row>
    <row r="722">
      <c r="A722" s="6" t="n">
        <v>43221</v>
      </c>
      <c r="B722" s="2">
        <f>VLOOKUP(Table3[[#This Row],[Date]],'DB LEI'!$A:$F,2)</f>
        <v/>
      </c>
      <c r="C722" s="4">
        <f>(Table3[[#This Row],[Conference Board Leading Indicator]]-B710)/B710</f>
        <v/>
      </c>
      <c r="D722" s="3">
        <f>IF(VLOOKUP(Table3[[#This Row],[Date]],'DB LEI'!$A:$I,9)=0,"",VLOOKUP(Table3[[#This Row],[Date]],'DB LEI'!$A:$I,9))</f>
        <v/>
      </c>
      <c r="E722" s="2">
        <f>VLOOKUP(Table3[[#This Row],[Date]],'DB LEI'!$A:$F,4)</f>
        <v/>
      </c>
      <c r="F722" s="4">
        <f>(Table3[[#This Row],[UMSCI]]-E711)/E711</f>
        <v/>
      </c>
    </row>
    <row r="723">
      <c r="A723" s="6" t="n">
        <v>43252</v>
      </c>
      <c r="B723" s="2">
        <f>VLOOKUP(Table3[[#This Row],[Date]],'DB LEI'!$A:$F,2)</f>
        <v/>
      </c>
      <c r="C723" s="4">
        <f>(Table3[[#This Row],[Conference Board Leading Indicator]]-B711)/B711</f>
        <v/>
      </c>
      <c r="D723" s="3">
        <f>IF(VLOOKUP(Table3[[#This Row],[Date]],'DB LEI'!$A:$I,9)=0,"",VLOOKUP(Table3[[#This Row],[Date]],'DB LEI'!$A:$I,9))</f>
        <v/>
      </c>
      <c r="E723" s="2">
        <f>VLOOKUP(Table3[[#This Row],[Date]],'DB LEI'!$A:$F,4)</f>
        <v/>
      </c>
      <c r="F723" s="4">
        <f>(Table3[[#This Row],[UMSCI]]-E712)/E712</f>
        <v/>
      </c>
    </row>
    <row r="724">
      <c r="A724" s="6" t="n">
        <v>43282</v>
      </c>
      <c r="B724" s="2">
        <f>VLOOKUP(Table3[[#This Row],[Date]],'DB LEI'!$A:$F,2)</f>
        <v/>
      </c>
      <c r="C724" s="4">
        <f>(Table3[[#This Row],[Conference Board Leading Indicator]]-B712)/B712</f>
        <v/>
      </c>
      <c r="D724" s="3">
        <f>IF(VLOOKUP(Table3[[#This Row],[Date]],'DB LEI'!$A:$I,9)=0,"",VLOOKUP(Table3[[#This Row],[Date]],'DB LEI'!$A:$I,9))</f>
        <v/>
      </c>
      <c r="E724" s="2">
        <f>VLOOKUP(Table3[[#This Row],[Date]],'DB LEI'!$A:$F,4)</f>
        <v/>
      </c>
      <c r="F724" s="4">
        <f>(Table3[[#This Row],[UMSCI]]-E713)/E713</f>
        <v/>
      </c>
    </row>
    <row r="725">
      <c r="A725" s="6" t="n">
        <v>43313</v>
      </c>
      <c r="B725" s="2">
        <f>VLOOKUP(Table3[[#This Row],[Date]],'DB LEI'!$A:$F,2)</f>
        <v/>
      </c>
      <c r="C725" s="4">
        <f>(Table3[[#This Row],[Conference Board Leading Indicator]]-B713)/B713</f>
        <v/>
      </c>
      <c r="D725" s="3">
        <f>IF(VLOOKUP(Table3[[#This Row],[Date]],'DB LEI'!$A:$I,9)=0,"",VLOOKUP(Table3[[#This Row],[Date]],'DB LEI'!$A:$I,9))</f>
        <v/>
      </c>
      <c r="E725" s="2">
        <f>VLOOKUP(Table3[[#This Row],[Date]],'DB LEI'!$A:$F,4)</f>
        <v/>
      </c>
      <c r="F725" s="4">
        <f>(Table3[[#This Row],[UMSCI]]-E714)/E714</f>
        <v/>
      </c>
    </row>
    <row r="726">
      <c r="A726" s="6" t="n">
        <v>43344</v>
      </c>
      <c r="B726" s="2">
        <f>VLOOKUP(Table3[[#This Row],[Date]],'DB LEI'!$A:$F,2)</f>
        <v/>
      </c>
      <c r="C726" s="4">
        <f>(Table3[[#This Row],[Conference Board Leading Indicator]]-B714)/B714</f>
        <v/>
      </c>
      <c r="D726" s="3">
        <f>IF(VLOOKUP(Table3[[#This Row],[Date]],'DB LEI'!$A:$I,9)=0,"",VLOOKUP(Table3[[#This Row],[Date]],'DB LEI'!$A:$I,9))</f>
        <v/>
      </c>
      <c r="E726" s="2">
        <f>VLOOKUP(Table3[[#This Row],[Date]],'DB LEI'!$A:$F,4)</f>
        <v/>
      </c>
      <c r="F726" s="4">
        <f>(Table3[[#This Row],[UMSCI]]-E715)/E715</f>
        <v/>
      </c>
    </row>
    <row r="727">
      <c r="A727" s="6" t="n">
        <v>43374</v>
      </c>
      <c r="B727" s="2">
        <f>VLOOKUP(Table3[[#This Row],[Date]],'DB LEI'!$A:$F,2)</f>
        <v/>
      </c>
      <c r="C727" s="4">
        <f>(Table3[[#This Row],[Conference Board Leading Indicator]]-B715)/B715</f>
        <v/>
      </c>
      <c r="D727" s="3">
        <f>IF(VLOOKUP(Table3[[#This Row],[Date]],'DB LEI'!$A:$I,9)=0,"",VLOOKUP(Table3[[#This Row],[Date]],'DB LEI'!$A:$I,9))</f>
        <v/>
      </c>
      <c r="E727" s="2">
        <f>VLOOKUP(Table3[[#This Row],[Date]],'DB LEI'!$A:$F,4)</f>
        <v/>
      </c>
      <c r="F727" s="4">
        <f>(Table3[[#This Row],[UMSCI]]-E716)/E716</f>
        <v/>
      </c>
    </row>
    <row r="728">
      <c r="A728" s="6" t="n">
        <v>43405</v>
      </c>
      <c r="B728" s="2">
        <f>VLOOKUP(Table3[[#This Row],[Date]],'DB LEI'!$A:$F,2)</f>
        <v/>
      </c>
      <c r="C728" s="4">
        <f>(Table3[[#This Row],[Conference Board Leading Indicator]]-B716)/B716</f>
        <v/>
      </c>
      <c r="D728" s="3">
        <f>IF(VLOOKUP(Table3[[#This Row],[Date]],'DB LEI'!$A:$I,9)=0,"",VLOOKUP(Table3[[#This Row],[Date]],'DB LEI'!$A:$I,9))</f>
        <v/>
      </c>
      <c r="E728" s="2">
        <f>VLOOKUP(Table3[[#This Row],[Date]],'DB LEI'!$A:$F,4)</f>
        <v/>
      </c>
      <c r="F728" s="4">
        <f>(Table3[[#This Row],[UMSCI]]-E717)/E717</f>
        <v/>
      </c>
    </row>
    <row r="729">
      <c r="A729" s="6" t="n">
        <v>43435</v>
      </c>
      <c r="B729" s="2">
        <f>VLOOKUP(Table3[[#This Row],[Date]],'DB LEI'!$A:$F,2)</f>
        <v/>
      </c>
      <c r="C729" s="4">
        <f>(Table3[[#This Row],[Conference Board Leading Indicator]]-B717)/B717</f>
        <v/>
      </c>
      <c r="D729" s="3">
        <f>IF(VLOOKUP(Table3[[#This Row],[Date]],'DB LEI'!$A:$I,9)=0,"",VLOOKUP(Table3[[#This Row],[Date]],'DB LEI'!$A:$I,9))</f>
        <v/>
      </c>
      <c r="E729" s="2">
        <f>VLOOKUP(Table3[[#This Row],[Date]],'DB LEI'!$A:$F,4)</f>
        <v/>
      </c>
      <c r="F729" s="4">
        <f>(Table3[[#This Row],[UMSCI]]-E718)/E718</f>
        <v/>
      </c>
    </row>
    <row r="730">
      <c r="A730" s="6" t="n">
        <v>43466</v>
      </c>
      <c r="B730" s="2">
        <f>VLOOKUP(Table3[[#This Row],[Date]],'DB LEI'!$A:$F,2)</f>
        <v/>
      </c>
      <c r="C730" s="4">
        <f>(Table3[[#This Row],[Conference Board Leading Indicator]]-B718)/B718</f>
        <v/>
      </c>
      <c r="D730" s="3">
        <f>IF(VLOOKUP(Table3[[#This Row],[Date]],'DB LEI'!$A:$I,9)=0,"",VLOOKUP(Table3[[#This Row],[Date]],'DB LEI'!$A:$I,9))</f>
        <v/>
      </c>
      <c r="E730" s="2">
        <f>VLOOKUP(Table3[[#This Row],[Date]],'DB LEI'!$A:$F,4)</f>
        <v/>
      </c>
      <c r="F730" s="4">
        <f>(Table3[[#This Row],[UMSCI]]-E719)/E719</f>
        <v/>
      </c>
    </row>
    <row r="731">
      <c r="A731" s="6" t="n">
        <v>43497</v>
      </c>
      <c r="B731" s="2">
        <f>VLOOKUP(Table3[[#This Row],[Date]],'DB LEI'!$A:$F,2)</f>
        <v/>
      </c>
      <c r="C731" s="4">
        <f>(Table3[[#This Row],[Conference Board Leading Indicator]]-B719)/B719</f>
        <v/>
      </c>
      <c r="D731" s="3">
        <f>IF(VLOOKUP(Table3[[#This Row],[Date]],'DB LEI'!$A:$I,9)=0,"",VLOOKUP(Table3[[#This Row],[Date]],'DB LEI'!$A:$I,9))</f>
        <v/>
      </c>
      <c r="E731" s="2">
        <f>VLOOKUP(Table3[[#This Row],[Date]],'DB LEI'!$A:$F,4)</f>
        <v/>
      </c>
      <c r="F731" s="4">
        <f>(Table3[[#This Row],[UMSCI]]-E720)/E720</f>
        <v/>
      </c>
    </row>
    <row r="732">
      <c r="A732" s="6" t="n">
        <v>43525</v>
      </c>
      <c r="B732" s="2">
        <f>VLOOKUP(Table3[[#This Row],[Date]],'DB LEI'!$A:$F,2)</f>
        <v/>
      </c>
      <c r="C732" s="4">
        <f>(Table3[[#This Row],[Conference Board Leading Indicator]]-B720)/B720</f>
        <v/>
      </c>
      <c r="D732" s="3">
        <f>IF(VLOOKUP(Table3[[#This Row],[Date]],'DB LEI'!$A:$I,9)=0,"",VLOOKUP(Table3[[#This Row],[Date]],'DB LEI'!$A:$I,9))</f>
        <v/>
      </c>
      <c r="E732" s="2">
        <f>VLOOKUP(Table3[[#This Row],[Date]],'DB LEI'!$A:$F,4)</f>
        <v/>
      </c>
      <c r="F732" s="4">
        <f>(Table3[[#This Row],[UMSCI]]-E721)/E721</f>
        <v/>
      </c>
    </row>
    <row r="733">
      <c r="A733" s="6" t="n">
        <v>43556</v>
      </c>
      <c r="B733" s="2">
        <f>VLOOKUP(Table3[[#This Row],[Date]],'DB LEI'!$A:$F,2)</f>
        <v/>
      </c>
      <c r="C733" s="4">
        <f>(Table3[[#This Row],[Conference Board Leading Indicator]]-B721)/B721</f>
        <v/>
      </c>
      <c r="D733" s="3">
        <f>IF(VLOOKUP(Table3[[#This Row],[Date]],'DB LEI'!$A:$I,9)=0,"",VLOOKUP(Table3[[#This Row],[Date]],'DB LEI'!$A:$I,9))</f>
        <v/>
      </c>
      <c r="E733" s="2">
        <f>VLOOKUP(Table3[[#This Row],[Date]],'DB LEI'!$A:$F,4)</f>
        <v/>
      </c>
      <c r="F733" s="4">
        <f>(Table3[[#This Row],[UMSCI]]-E722)/E722</f>
        <v/>
      </c>
    </row>
    <row r="734">
      <c r="A734" s="6" t="n">
        <v>43586</v>
      </c>
      <c r="B734" s="2">
        <f>VLOOKUP(Table3[[#This Row],[Date]],'DB LEI'!$A:$F,2)</f>
        <v/>
      </c>
      <c r="C734" s="4">
        <f>(Table3[[#This Row],[Conference Board Leading Indicator]]-B722)/B722</f>
        <v/>
      </c>
      <c r="D734" s="3">
        <f>IF(VLOOKUP(Table3[[#This Row],[Date]],'DB LEI'!$A:$I,9)=0,"",VLOOKUP(Table3[[#This Row],[Date]],'DB LEI'!$A:$I,9))</f>
        <v/>
      </c>
      <c r="E734" s="2">
        <f>VLOOKUP(Table3[[#This Row],[Date]],'DB LEI'!$A:$F,4)</f>
        <v/>
      </c>
      <c r="F734" s="4">
        <f>(Table3[[#This Row],[UMSCI]]-E723)/E723</f>
        <v/>
      </c>
    </row>
    <row r="735">
      <c r="A735" s="6" t="n">
        <v>43617</v>
      </c>
      <c r="B735" s="2">
        <f>VLOOKUP(Table3[[#This Row],[Date]],'DB LEI'!$A:$F,2)</f>
        <v/>
      </c>
      <c r="C735" s="4">
        <f>(Table3[[#This Row],[Conference Board Leading Indicator]]-B723)/B723</f>
        <v/>
      </c>
      <c r="D735" s="3">
        <f>IF(VLOOKUP(Table3[[#This Row],[Date]],'DB LEI'!$A:$I,9)=0,"",VLOOKUP(Table3[[#This Row],[Date]],'DB LEI'!$A:$I,9))</f>
        <v/>
      </c>
      <c r="E735" s="2">
        <f>VLOOKUP(Table3[[#This Row],[Date]],'DB LEI'!$A:$F,4)</f>
        <v/>
      </c>
      <c r="F735" s="4">
        <f>(Table3[[#This Row],[UMSCI]]-E724)/E724</f>
        <v/>
      </c>
    </row>
    <row r="736">
      <c r="A736" s="6" t="n">
        <v>43647</v>
      </c>
      <c r="B736" s="2">
        <f>VLOOKUP(Table3[[#This Row],[Date]],'DB LEI'!$A:$F,2)</f>
        <v/>
      </c>
      <c r="C736" s="4">
        <f>(Table3[[#This Row],[Conference Board Leading Indicator]]-B724)/B724</f>
        <v/>
      </c>
      <c r="D736" s="3">
        <f>IF(VLOOKUP(Table3[[#This Row],[Date]],'DB LEI'!$A:$I,9)=0,"",VLOOKUP(Table3[[#This Row],[Date]],'DB LEI'!$A:$I,9))</f>
        <v/>
      </c>
      <c r="E736" s="2">
        <f>VLOOKUP(Table3[[#This Row],[Date]],'DB LEI'!$A:$F,4)</f>
        <v/>
      </c>
      <c r="F736" s="4">
        <f>(Table3[[#This Row],[UMSCI]]-E725)/E725</f>
        <v/>
      </c>
    </row>
    <row r="737">
      <c r="A737" s="6" t="n">
        <v>43678</v>
      </c>
      <c r="B737" s="2">
        <f>VLOOKUP(Table3[[#This Row],[Date]],'DB LEI'!$A:$F,2)</f>
        <v/>
      </c>
      <c r="C737" s="4">
        <f>(Table3[[#This Row],[Conference Board Leading Indicator]]-B725)/B725</f>
        <v/>
      </c>
      <c r="D737" s="3">
        <f>IF(VLOOKUP(Table3[[#This Row],[Date]],'DB LEI'!$A:$I,9)=0,"",VLOOKUP(Table3[[#This Row],[Date]],'DB LEI'!$A:$I,9))</f>
        <v/>
      </c>
      <c r="E737" s="2">
        <f>VLOOKUP(Table3[[#This Row],[Date]],'DB LEI'!$A:$F,4)</f>
        <v/>
      </c>
      <c r="F737" s="4">
        <f>(Table3[[#This Row],[UMSCI]]-E726)/E726</f>
        <v/>
      </c>
    </row>
    <row r="738">
      <c r="A738" s="6" t="n">
        <v>43709</v>
      </c>
      <c r="B738" s="2">
        <f>VLOOKUP(Table3[[#This Row],[Date]],'DB LEI'!$A:$F,2)</f>
        <v/>
      </c>
      <c r="C738" s="4">
        <f>(Table3[[#This Row],[Conference Board Leading Indicator]]-B726)/B726</f>
        <v/>
      </c>
      <c r="D738" s="3">
        <f>IF(VLOOKUP(Table3[[#This Row],[Date]],'DB LEI'!$A:$I,9)=0,"",VLOOKUP(Table3[[#This Row],[Date]],'DB LEI'!$A:$I,9))</f>
        <v/>
      </c>
      <c r="E738" s="2">
        <f>VLOOKUP(Table3[[#This Row],[Date]],'DB LEI'!$A:$F,4)</f>
        <v/>
      </c>
      <c r="F738" s="4">
        <f>(Table3[[#This Row],[UMSCI]]-E727)/E727</f>
        <v/>
      </c>
    </row>
    <row r="739">
      <c r="A739" s="6" t="n">
        <v>43739</v>
      </c>
      <c r="B739" s="2">
        <f>VLOOKUP(Table3[[#This Row],[Date]],'DB LEI'!$A:$F,2)</f>
        <v/>
      </c>
      <c r="C739" s="4">
        <f>(Table3[[#This Row],[Conference Board Leading Indicator]]-B727)/B727</f>
        <v/>
      </c>
      <c r="D739" s="3">
        <f>IF(VLOOKUP(Table3[[#This Row],[Date]],'DB LEI'!$A:$I,9)=0,"",VLOOKUP(Table3[[#This Row],[Date]],'DB LEI'!$A:$I,9))</f>
        <v/>
      </c>
      <c r="E739" s="2">
        <f>VLOOKUP(Table3[[#This Row],[Date]],'DB LEI'!$A:$F,4)</f>
        <v/>
      </c>
      <c r="F739" s="4">
        <f>(Table3[[#This Row],[UMSCI]]-E728)/E728</f>
        <v/>
      </c>
    </row>
    <row r="740">
      <c r="A740" s="6" t="n">
        <v>43770</v>
      </c>
      <c r="B740" s="2">
        <f>VLOOKUP(Table3[[#This Row],[Date]],'DB LEI'!$A:$F,2)</f>
        <v/>
      </c>
      <c r="C740" s="4">
        <f>(Table3[[#This Row],[Conference Board Leading Indicator]]-B728)/B728</f>
        <v/>
      </c>
      <c r="D740" s="3">
        <f>IF(VLOOKUP(Table3[[#This Row],[Date]],'DB LEI'!$A:$I,9)=0,"",VLOOKUP(Table3[[#This Row],[Date]],'DB LEI'!$A:$I,9))</f>
        <v/>
      </c>
      <c r="E740" s="2">
        <f>VLOOKUP(Table3[[#This Row],[Date]],'DB LEI'!$A:$F,4)</f>
        <v/>
      </c>
      <c r="F740" s="4">
        <f>(Table3[[#This Row],[UMSCI]]-E729)/E729</f>
        <v/>
      </c>
    </row>
    <row r="741">
      <c r="A741" s="6" t="n">
        <v>43800</v>
      </c>
      <c r="B741" s="2">
        <f>VLOOKUP(Table3[[#This Row],[Date]],'DB LEI'!$A:$F,2)</f>
        <v/>
      </c>
      <c r="C741" s="4">
        <f>(Table3[[#This Row],[Conference Board Leading Indicator]]-B729)/B729</f>
        <v/>
      </c>
      <c r="D741" s="3">
        <f>IF(VLOOKUP(Table3[[#This Row],[Date]],'DB LEI'!$A:$I,9)=0,"",VLOOKUP(Table3[[#This Row],[Date]],'DB LEI'!$A:$I,9))</f>
        <v/>
      </c>
      <c r="E741" s="2">
        <f>VLOOKUP(Table3[[#This Row],[Date]],'DB LEI'!$A:$F,4)</f>
        <v/>
      </c>
      <c r="F741" s="4">
        <f>(Table3[[#This Row],[UMSCI]]-E730)/E730</f>
        <v/>
      </c>
    </row>
    <row r="742">
      <c r="A742" s="6" t="n">
        <v>43831</v>
      </c>
      <c r="B742" s="2">
        <f>VLOOKUP(Table3[[#This Row],[Date]],'DB LEI'!$A:$F,2)</f>
        <v/>
      </c>
      <c r="C742" s="4">
        <f>(Table3[[#This Row],[Conference Board Leading Indicator]]-B730)/B730</f>
        <v/>
      </c>
      <c r="D742" s="3">
        <f>IF(VLOOKUP(Table3[[#This Row],[Date]],'DB LEI'!$A:$I,9)=0,"",VLOOKUP(Table3[[#This Row],[Date]],'DB LEI'!$A:$I,9))</f>
        <v/>
      </c>
      <c r="E742" s="2">
        <f>VLOOKUP(Table3[[#This Row],[Date]],'DB LEI'!$A:$F,4)</f>
        <v/>
      </c>
      <c r="F742" s="4">
        <f>(Table3[[#This Row],[UMSCI]]-E731)/E731</f>
        <v/>
      </c>
    </row>
    <row r="743">
      <c r="A743" s="6" t="n">
        <v>43862</v>
      </c>
      <c r="B743" s="2">
        <f>VLOOKUP(Table3[[#This Row],[Date]],'DB LEI'!$A:$F,2)</f>
        <v/>
      </c>
      <c r="C743" s="4">
        <f>(Table3[[#This Row],[Conference Board Leading Indicator]]-B731)/B731</f>
        <v/>
      </c>
      <c r="D743" s="3">
        <f>IF(VLOOKUP(Table3[[#This Row],[Date]],'DB LEI'!$A:$I,9)=0,"",VLOOKUP(Table3[[#This Row],[Date]],'DB LEI'!$A:$I,9))</f>
        <v/>
      </c>
      <c r="E743" s="2">
        <f>VLOOKUP(Table3[[#This Row],[Date]],'DB LEI'!$A:$F,4)</f>
        <v/>
      </c>
      <c r="F743" s="4">
        <f>(Table3[[#This Row],[UMSCI]]-E732)/E732</f>
        <v/>
      </c>
    </row>
    <row r="744">
      <c r="A744" s="6" t="n">
        <v>43891</v>
      </c>
      <c r="B744" s="2">
        <f>VLOOKUP(Table3[[#This Row],[Date]],'DB LEI'!$A:$F,2)</f>
        <v/>
      </c>
      <c r="C744" s="4">
        <f>(Table3[[#This Row],[Conference Board Leading Indicator]]-B732)/B732</f>
        <v/>
      </c>
      <c r="D744" s="3">
        <f>IF(VLOOKUP(Table3[[#This Row],[Date]],'DB LEI'!$A:$I,9)=0,"",VLOOKUP(Table3[[#This Row],[Date]],'DB LEI'!$A:$I,9))</f>
        <v/>
      </c>
      <c r="E744" s="2">
        <f>VLOOKUP(Table3[[#This Row],[Date]],'DB LEI'!$A:$F,4)</f>
        <v/>
      </c>
      <c r="F744" s="4">
        <f>(Table3[[#This Row],[UMSCI]]-E733)/E733</f>
        <v/>
      </c>
    </row>
    <row r="745">
      <c r="A745" s="6" t="n">
        <v>43922</v>
      </c>
      <c r="B745" s="2">
        <f>VLOOKUP(Table3[[#This Row],[Date]],'DB LEI'!$A:$F,2)</f>
        <v/>
      </c>
      <c r="C745" s="4">
        <f>(Table3[[#This Row],[Conference Board Leading Indicator]]-B733)/B733</f>
        <v/>
      </c>
      <c r="D745" s="3">
        <f>IF(VLOOKUP(Table3[[#This Row],[Date]],'DB LEI'!$A:$I,9)=0,"",VLOOKUP(Table3[[#This Row],[Date]],'DB LEI'!$A:$I,9))</f>
        <v/>
      </c>
      <c r="E745" s="2">
        <f>VLOOKUP(Table3[[#This Row],[Date]],'DB LEI'!$A:$F,4)</f>
        <v/>
      </c>
      <c r="F745" s="4">
        <f>(Table3[[#This Row],[UMSCI]]-E734)/E734</f>
        <v/>
      </c>
    </row>
    <row r="746">
      <c r="A746" s="6" t="n">
        <v>43952</v>
      </c>
      <c r="B746" s="2">
        <f>VLOOKUP(Table3[[#This Row],[Date]],'DB LEI'!$A:$F,2)</f>
        <v/>
      </c>
      <c r="C746" s="4">
        <f>(Table3[[#This Row],[Conference Board Leading Indicator]]-B734)/B734</f>
        <v/>
      </c>
      <c r="D746" s="3">
        <f>IF(VLOOKUP(Table3[[#This Row],[Date]],'DB LEI'!$A:$I,9)=0,"",VLOOKUP(Table3[[#This Row],[Date]],'DB LEI'!$A:$I,9))</f>
        <v/>
      </c>
      <c r="E746" s="2">
        <f>VLOOKUP(Table3[[#This Row],[Date]],'DB LEI'!$A:$F,4)</f>
        <v/>
      </c>
      <c r="F746" s="4">
        <f>(Table3[[#This Row],[UMSCI]]-E735)/E735</f>
        <v/>
      </c>
    </row>
    <row r="747">
      <c r="A747" s="6" t="n">
        <v>43983</v>
      </c>
      <c r="B747" s="2">
        <f>VLOOKUP(Table3[[#This Row],[Date]],'DB LEI'!$A:$F,2)</f>
        <v/>
      </c>
      <c r="C747" s="4">
        <f>(Table3[[#This Row],[Conference Board Leading Indicator]]-B735)/B735</f>
        <v/>
      </c>
      <c r="D747" s="3">
        <f>IF(VLOOKUP(Table3[[#This Row],[Date]],'DB LEI'!$A:$I,9)=0,"",VLOOKUP(Table3[[#This Row],[Date]],'DB LEI'!$A:$I,9))</f>
        <v/>
      </c>
      <c r="E747" s="2">
        <f>VLOOKUP(Table3[[#This Row],[Date]],'DB LEI'!$A:$F,4)</f>
        <v/>
      </c>
      <c r="F747" s="4">
        <f>(Table3[[#This Row],[UMSCI]]-E736)/E736</f>
        <v/>
      </c>
    </row>
    <row r="748">
      <c r="A748" s="6" t="n">
        <v>44013</v>
      </c>
      <c r="B748" s="2">
        <f>VLOOKUP(Table3[[#This Row],[Date]],'DB LEI'!$A:$F,2)</f>
        <v/>
      </c>
      <c r="C748" s="4">
        <f>(Table3[[#This Row],[Conference Board Leading Indicator]]-B736)/B736</f>
        <v/>
      </c>
      <c r="D748" s="3">
        <f>IF(VLOOKUP(Table3[[#This Row],[Date]],'DB LEI'!$A:$I,9)=0,"",VLOOKUP(Table3[[#This Row],[Date]],'DB LEI'!$A:$I,9))</f>
        <v/>
      </c>
      <c r="E748" s="2">
        <f>VLOOKUP(Table3[[#This Row],[Date]],'DB LEI'!$A:$F,4)</f>
        <v/>
      </c>
      <c r="F748" s="4">
        <f>(Table3[[#This Row],[UMSCI]]-E737)/E737</f>
        <v/>
      </c>
    </row>
    <row r="749">
      <c r="A749" s="6" t="n">
        <v>44044</v>
      </c>
      <c r="B749" s="2">
        <f>VLOOKUP(Table3[[#This Row],[Date]],'DB LEI'!$A:$F,2)</f>
        <v/>
      </c>
      <c r="C749" s="4">
        <f>(Table3[[#This Row],[Conference Board Leading Indicator]]-B737)/B737</f>
        <v/>
      </c>
      <c r="D749" s="3">
        <f>IF(VLOOKUP(Table3[[#This Row],[Date]],'DB LEI'!$A:$I,9)=0,"",VLOOKUP(Table3[[#This Row],[Date]],'DB LEI'!$A:$I,9))</f>
        <v/>
      </c>
      <c r="E749" s="2">
        <f>VLOOKUP(Table3[[#This Row],[Date]],'DB LEI'!$A:$F,4)</f>
        <v/>
      </c>
      <c r="F749" s="4">
        <f>(Table3[[#This Row],[UMSCI]]-E738)/E738</f>
        <v/>
      </c>
    </row>
    <row r="750">
      <c r="A750" s="6" t="n">
        <v>44075</v>
      </c>
      <c r="B750" s="2">
        <f>VLOOKUP(Table3[[#This Row],[Date]],'DB LEI'!$A:$F,2)</f>
        <v/>
      </c>
      <c r="C750" s="4">
        <f>(Table3[[#This Row],[Conference Board Leading Indicator]]-B738)/B738</f>
        <v/>
      </c>
      <c r="D750" s="3">
        <f>IF(VLOOKUP(Table3[[#This Row],[Date]],'DB LEI'!$A:$I,9)=0,"",VLOOKUP(Table3[[#This Row],[Date]],'DB LEI'!$A:$I,9))</f>
        <v/>
      </c>
      <c r="E750" s="2">
        <f>VLOOKUP(Table3[[#This Row],[Date]],'DB LEI'!$A:$F,4)</f>
        <v/>
      </c>
      <c r="F750" s="4">
        <f>(Table3[[#This Row],[UMSCI]]-E739)/E739</f>
        <v/>
      </c>
    </row>
    <row r="751">
      <c r="A751" s="6" t="n">
        <v>44105</v>
      </c>
      <c r="B751" s="2">
        <f>VLOOKUP(Table3[[#This Row],[Date]],'DB LEI'!$A:$F,2)</f>
        <v/>
      </c>
      <c r="C751" s="4">
        <f>(Table3[[#This Row],[Conference Board Leading Indicator]]-B739)/B739</f>
        <v/>
      </c>
      <c r="D751" s="3">
        <f>IF(VLOOKUP(Table3[[#This Row],[Date]],'DB LEI'!$A:$I,9)=0,"",VLOOKUP(Table3[[#This Row],[Date]],'DB LEI'!$A:$I,9))</f>
        <v/>
      </c>
      <c r="E751" s="2">
        <f>VLOOKUP(Table3[[#This Row],[Date]],'DB LEI'!$A:$F,4)</f>
        <v/>
      </c>
      <c r="F751" s="4">
        <f>(Table3[[#This Row],[UMSCI]]-E740)/E740</f>
        <v/>
      </c>
    </row>
    <row r="752">
      <c r="A752" s="6" t="n">
        <v>44136</v>
      </c>
      <c r="B752" s="2">
        <f>VLOOKUP(Table3[[#This Row],[Date]],'DB LEI'!$A:$F,2)</f>
        <v/>
      </c>
      <c r="C752" s="4">
        <f>(Table3[[#This Row],[Conference Board Leading Indicator]]-B740)/B740</f>
        <v/>
      </c>
      <c r="D752" s="3">
        <f>IF(VLOOKUP(Table3[[#This Row],[Date]],'DB LEI'!$A:$I,9)=0,"",VLOOKUP(Table3[[#This Row],[Date]],'DB LEI'!$A:$I,9))</f>
        <v/>
      </c>
      <c r="E752" s="2">
        <f>VLOOKUP(Table3[[#This Row],[Date]],'DB LEI'!$A:$F,4)</f>
        <v/>
      </c>
      <c r="F752" s="4">
        <f>(Table3[[#This Row],[UMSCI]]-E741)/E741</f>
        <v/>
      </c>
    </row>
    <row r="753">
      <c r="A753" s="6" t="n">
        <v>44166</v>
      </c>
      <c r="B753" s="2">
        <f>VLOOKUP(Table3[[#This Row],[Date]],'DB LEI'!$A:$F,2)</f>
        <v/>
      </c>
      <c r="C753" s="4">
        <f>(Table3[[#This Row],[Conference Board Leading Indicator]]-B741)/B741</f>
        <v/>
      </c>
      <c r="D753" s="3">
        <f>IF(VLOOKUP(Table3[[#This Row],[Date]],'DB LEI'!$A:$I,9)=0,"",VLOOKUP(Table3[[#This Row],[Date]],'DB LEI'!$A:$I,9))</f>
        <v/>
      </c>
      <c r="E753" s="2">
        <f>VLOOKUP(Table3[[#This Row],[Date]],'DB LEI'!$A:$F,4)</f>
        <v/>
      </c>
      <c r="F753" s="4">
        <f>(Table3[[#This Row],[UMSCI]]-E742)/E742</f>
        <v/>
      </c>
    </row>
    <row r="754">
      <c r="A754" s="6" t="n">
        <v>44197</v>
      </c>
      <c r="B754" s="2">
        <f>VLOOKUP(Table3[[#This Row],[Date]],'DB LEI'!$A:$F,2)</f>
        <v/>
      </c>
      <c r="C754" s="4">
        <f>(Table3[[#This Row],[Conference Board Leading Indicator]]-B742)/B742</f>
        <v/>
      </c>
      <c r="D754" s="3">
        <f>IF(VLOOKUP(Table3[[#This Row],[Date]],'DB LEI'!$A:$I,9)=0,"",VLOOKUP(Table3[[#This Row],[Date]],'DB LEI'!$A:$I,9))</f>
        <v/>
      </c>
      <c r="E754" s="2">
        <f>VLOOKUP(Table3[[#This Row],[Date]],'DB LEI'!$A:$F,4)</f>
        <v/>
      </c>
      <c r="F754" s="4">
        <f>(Table3[[#This Row],[UMSCI]]-E743)/E743</f>
        <v/>
      </c>
    </row>
    <row r="755">
      <c r="A755" s="6" t="n">
        <v>44228</v>
      </c>
      <c r="B755" s="2">
        <f>VLOOKUP(Table3[[#This Row],[Date]],'DB LEI'!$A:$F,2)</f>
        <v/>
      </c>
      <c r="C755" s="4">
        <f>(Table3[[#This Row],[Conference Board Leading Indicator]]-B743)/B743</f>
        <v/>
      </c>
      <c r="D755" s="3">
        <f>IF(VLOOKUP(Table3[[#This Row],[Date]],'DB LEI'!$A:$I,9)=0,"",VLOOKUP(Table3[[#This Row],[Date]],'DB LEI'!$A:$I,9))</f>
        <v/>
      </c>
      <c r="E755" s="2">
        <f>VLOOKUP(Table3[[#This Row],[Date]],'DB LEI'!$A:$F,4)</f>
        <v/>
      </c>
      <c r="F755" s="4">
        <f>(Table3[[#This Row],[UMSCI]]-E744)/E744</f>
        <v/>
      </c>
    </row>
    <row r="756">
      <c r="A756" s="6" t="n">
        <v>44256</v>
      </c>
      <c r="B756" s="2">
        <f>VLOOKUP(Table3[[#This Row],[Date]],'DB LEI'!$A:$F,2)</f>
        <v/>
      </c>
      <c r="C756" s="4">
        <f>(Table3[[#This Row],[Conference Board Leading Indicator]]-B744)/B744</f>
        <v/>
      </c>
      <c r="D756" s="3">
        <f>IF(VLOOKUP(Table3[[#This Row],[Date]],'DB LEI'!$A:$I,9)=0,"",VLOOKUP(Table3[[#This Row],[Date]],'DB LEI'!$A:$I,9))</f>
        <v/>
      </c>
      <c r="E756" s="2">
        <f>VLOOKUP(Table3[[#This Row],[Date]],'DB LEI'!$A:$F,4)</f>
        <v/>
      </c>
      <c r="F756" s="4">
        <f>(Table3[[#This Row],[UMSCI]]-E745)/E745</f>
        <v/>
      </c>
    </row>
    <row r="757">
      <c r="A757" s="6" t="n">
        <v>44287</v>
      </c>
      <c r="B757" s="2">
        <f>VLOOKUP(Table3[[#This Row],[Date]],'DB LEI'!$A:$F,2)</f>
        <v/>
      </c>
      <c r="C757" s="4">
        <f>(Table3[[#This Row],[Conference Board Leading Indicator]]-B745)/B745</f>
        <v/>
      </c>
      <c r="D757" s="3">
        <f>IF(VLOOKUP(Table3[[#This Row],[Date]],'DB LEI'!$A:$I,9)=0,"",VLOOKUP(Table3[[#This Row],[Date]],'DB LEI'!$A:$I,9))</f>
        <v/>
      </c>
      <c r="E757" s="2">
        <f>VLOOKUP(Table3[[#This Row],[Date]],'DB LEI'!$A:$F,4)</f>
        <v/>
      </c>
      <c r="F757" s="4">
        <f>(Table3[[#This Row],[UMSCI]]-E746)/E746</f>
        <v/>
      </c>
    </row>
    <row r="758">
      <c r="A758" s="6" t="n">
        <v>44317</v>
      </c>
      <c r="B758" s="2">
        <f>VLOOKUP(Table3[[#This Row],[Date]],'DB LEI'!$A:$F,2)</f>
        <v/>
      </c>
      <c r="C758" s="4">
        <f>(Table3[[#This Row],[Conference Board Leading Indicator]]-B746)/B746</f>
        <v/>
      </c>
      <c r="D758" s="3">
        <f>IF(VLOOKUP(Table3[[#This Row],[Date]],'DB LEI'!$A:$I,9)=0,"",VLOOKUP(Table3[[#This Row],[Date]],'DB LEI'!$A:$I,9))</f>
        <v/>
      </c>
      <c r="E758" s="2">
        <f>VLOOKUP(Table3[[#This Row],[Date]],'DB LEI'!$A:$F,4)</f>
        <v/>
      </c>
      <c r="F758" s="4">
        <f>(Table3[[#This Row],[UMSCI]]-E747)/E747</f>
        <v/>
      </c>
    </row>
    <row r="759">
      <c r="A759" s="6" t="n">
        <v>44348</v>
      </c>
      <c r="B759" s="2">
        <f>VLOOKUP(Table3[[#This Row],[Date]],'DB LEI'!$A:$F,2)</f>
        <v/>
      </c>
      <c r="C759" s="4">
        <f>(Table3[[#This Row],[Conference Board Leading Indicator]]-B747)/B747</f>
        <v/>
      </c>
      <c r="D759" s="3">
        <f>IF(VLOOKUP(Table3[[#This Row],[Date]],'DB LEI'!$A:$I,9)=0,"",VLOOKUP(Table3[[#This Row],[Date]],'DB LEI'!$A:$I,9))</f>
        <v/>
      </c>
      <c r="E759" s="2">
        <f>VLOOKUP(Table3[[#This Row],[Date]],'DB LEI'!$A:$F,4)</f>
        <v/>
      </c>
      <c r="F759" s="4">
        <f>(Table3[[#This Row],[UMSCI]]-E748)/E748</f>
        <v/>
      </c>
    </row>
    <row r="760">
      <c r="A760" s="6" t="n">
        <v>44378</v>
      </c>
      <c r="B760" s="2">
        <f>VLOOKUP(Table3[[#This Row],[Date]],'DB LEI'!$A:$F,2)</f>
        <v/>
      </c>
      <c r="C760" s="4">
        <f>(Table3[[#This Row],[Conference Board Leading Indicator]]-B748)/B748</f>
        <v/>
      </c>
      <c r="D760" s="3">
        <f>IF(VLOOKUP(Table3[[#This Row],[Date]],'DB LEI'!$A:$I,9)=0,"",VLOOKUP(Table3[[#This Row],[Date]],'DB LEI'!$A:$I,9))</f>
        <v/>
      </c>
      <c r="E760" s="2">
        <f>VLOOKUP(Table3[[#This Row],[Date]],'DB LEI'!$A:$F,4)</f>
        <v/>
      </c>
      <c r="F760" s="4">
        <f>(Table3[[#This Row],[UMSCI]]-E749)/E749</f>
        <v/>
      </c>
    </row>
    <row r="761">
      <c r="A761" s="6" t="n">
        <v>44409</v>
      </c>
      <c r="B761" s="2">
        <f>VLOOKUP(Table3[[#This Row],[Date]],'DB LEI'!$A:$F,2)</f>
        <v/>
      </c>
      <c r="C761" s="4">
        <f>(Table3[[#This Row],[Conference Board Leading Indicator]]-B749)/B749</f>
        <v/>
      </c>
      <c r="D761" s="3">
        <f>IF(VLOOKUP(Table3[[#This Row],[Date]],'DB LEI'!$A:$I,9)=0,"",VLOOKUP(Table3[[#This Row],[Date]],'DB LEI'!$A:$I,9))</f>
        <v/>
      </c>
      <c r="E761" s="2">
        <f>VLOOKUP(Table3[[#This Row],[Date]],'DB LEI'!$A:$F,4)</f>
        <v/>
      </c>
      <c r="F761" s="4">
        <f>(Table3[[#This Row],[UMSCI]]-E750)/E750</f>
        <v/>
      </c>
    </row>
    <row r="762">
      <c r="A762" s="6" t="n">
        <v>44440</v>
      </c>
      <c r="B762" s="2">
        <f>VLOOKUP(Table3[[#This Row],[Date]],'DB LEI'!$A:$F,2)</f>
        <v/>
      </c>
      <c r="C762" s="4">
        <f>(Table3[[#This Row],[Conference Board Leading Indicator]]-B750)/B750</f>
        <v/>
      </c>
      <c r="D762" s="3">
        <f>IF(VLOOKUP(Table3[[#This Row],[Date]],'DB LEI'!$A:$I,9)=0,"",VLOOKUP(Table3[[#This Row],[Date]],'DB LEI'!$A:$I,9))</f>
        <v/>
      </c>
      <c r="E762" s="2">
        <f>VLOOKUP(Table3[[#This Row],[Date]],'DB LEI'!$A:$F,4)</f>
        <v/>
      </c>
      <c r="F762" s="4">
        <f>(Table3[[#This Row],[UMSCI]]-E751)/E751</f>
        <v/>
      </c>
    </row>
    <row r="763">
      <c r="A763" s="6" t="n">
        <v>44470</v>
      </c>
      <c r="B763" s="2">
        <f>VLOOKUP(Table3[[#This Row],[Date]],'DB LEI'!$A:$F,2)</f>
        <v/>
      </c>
      <c r="C763" s="4">
        <f>(Table3[[#This Row],[Conference Board Leading Indicator]]-B751)/B751</f>
        <v/>
      </c>
      <c r="D763" s="3">
        <f>IF(VLOOKUP(Table3[[#This Row],[Date]],'DB LEI'!$A:$I,9)=0,"",VLOOKUP(Table3[[#This Row],[Date]],'DB LEI'!$A:$I,9))</f>
        <v/>
      </c>
      <c r="E763" s="2">
        <f>VLOOKUP(Table3[[#This Row],[Date]],'DB LEI'!$A:$F,4)</f>
        <v/>
      </c>
      <c r="F763" s="4">
        <f>(Table3[[#This Row],[UMSCI]]-E752)/E752</f>
        <v/>
      </c>
    </row>
    <row r="764">
      <c r="A764" s="6" t="n">
        <v>44501</v>
      </c>
      <c r="B764" s="2">
        <f>VLOOKUP(Table3[[#This Row],[Date]],'DB LEI'!$A:$F,2)</f>
        <v/>
      </c>
      <c r="C764" s="4">
        <f>(Table3[[#This Row],[Conference Board Leading Indicator]]-B752)/B752</f>
        <v/>
      </c>
      <c r="D764" s="3">
        <f>IF(VLOOKUP(Table3[[#This Row],[Date]],'DB LEI'!$A:$I,9)=0,"",VLOOKUP(Table3[[#This Row],[Date]],'DB LEI'!$A:$I,9))</f>
        <v/>
      </c>
      <c r="E764" s="2">
        <f>VLOOKUP(Table3[[#This Row],[Date]],'DB LEI'!$A:$F,4)</f>
        <v/>
      </c>
      <c r="F764" s="4">
        <f>(Table3[[#This Row],[UMSCI]]-E753)/E753</f>
        <v/>
      </c>
    </row>
    <row r="765">
      <c r="A765" s="6" t="n">
        <v>44531</v>
      </c>
      <c r="B765" s="2">
        <f>VLOOKUP(Table3[[#This Row],[Date]],'DB LEI'!$A:$F,2)</f>
        <v/>
      </c>
      <c r="C765" s="4">
        <f>(Table3[[#This Row],[Conference Board Leading Indicator]]-B753)/B753</f>
        <v/>
      </c>
      <c r="D765" s="3">
        <f>IF(VLOOKUP(Table3[[#This Row],[Date]],'DB LEI'!$A:$I,9)=0,"",VLOOKUP(Table3[[#This Row],[Date]],'DB LEI'!$A:$I,9))</f>
        <v/>
      </c>
      <c r="E765" s="2">
        <f>VLOOKUP(Table3[[#This Row],[Date]],'DB LEI'!$A:$F,4)</f>
        <v/>
      </c>
      <c r="F765" s="4">
        <f>(Table3[[#This Row],[UMSCI]]-E754)/E754</f>
        <v/>
      </c>
    </row>
    <row r="766">
      <c r="A766" s="6" t="n">
        <v>44562</v>
      </c>
      <c r="B766" s="2">
        <f>VLOOKUP(Table3[[#This Row],[Date]],'DB LEI'!$A:$F,2)</f>
        <v/>
      </c>
      <c r="C766" s="4">
        <f>(Table3[[#This Row],[Conference Board Leading Indicator]]-B754)/B754</f>
        <v/>
      </c>
      <c r="D766" s="3">
        <f>IF(VLOOKUP(Table3[[#This Row],[Date]],'DB LEI'!$A:$I,9)=0,"",VLOOKUP(Table3[[#This Row],[Date]],'DB LEI'!$A:$I,9))</f>
        <v/>
      </c>
      <c r="E766" s="2">
        <f>VLOOKUP(Table3[[#This Row],[Date]],'DB LEI'!$A:$F,4)</f>
        <v/>
      </c>
      <c r="F766" s="4">
        <f>(Table3[[#This Row],[UMSCI]]-E755)/E755</f>
        <v/>
      </c>
    </row>
    <row r="767">
      <c r="A767" s="6" t="n">
        <v>44593</v>
      </c>
      <c r="B767" s="2">
        <f>VLOOKUP(Table3[[#This Row],[Date]],'DB LEI'!$A:$F,2)</f>
        <v/>
      </c>
      <c r="C767" s="4">
        <f>(Table3[[#This Row],[Conference Board Leading Indicator]]-B755)/B755</f>
        <v/>
      </c>
      <c r="D767" s="3">
        <f>IF(VLOOKUP(Table3[[#This Row],[Date]],'DB LEI'!$A:$I,9)=0,"",VLOOKUP(Table3[[#This Row],[Date]],'DB LEI'!$A:$I,9))</f>
        <v/>
      </c>
      <c r="E767" s="2">
        <f>VLOOKUP(Table3[[#This Row],[Date]],'DB LEI'!$A:$F,4)</f>
        <v/>
      </c>
      <c r="F767" s="4">
        <f>(Table3[[#This Row],[UMSCI]]-E756)/E756</f>
        <v/>
      </c>
    </row>
    <row r="768">
      <c r="A768" s="6" t="n">
        <v>44621</v>
      </c>
      <c r="B768" s="2">
        <f>VLOOKUP(Table3[[#This Row],[Date]],'DB LEI'!$A:$F,2)</f>
        <v/>
      </c>
      <c r="C768" s="4">
        <f>(Table3[[#This Row],[Conference Board Leading Indicator]]-B756)/B756</f>
        <v/>
      </c>
      <c r="D768" s="3">
        <f>IF(VLOOKUP(Table3[[#This Row],[Date]],'DB LEI'!$A:$I,9)=0,"",VLOOKUP(Table3[[#This Row],[Date]],'DB LEI'!$A:$I,9))</f>
        <v/>
      </c>
      <c r="E768" s="2">
        <f>VLOOKUP(Table3[[#This Row],[Date]],'DB LEI'!$A:$F,4)</f>
        <v/>
      </c>
      <c r="F768" s="4">
        <f>(Table3[[#This Row],[UMSCI]]-E757)/E757</f>
        <v/>
      </c>
    </row>
    <row r="769">
      <c r="A769" s="6" t="n">
        <v>44652</v>
      </c>
      <c r="B769" s="2">
        <f>VLOOKUP(Table3[[#This Row],[Date]],'DB LEI'!$A:$F,2)</f>
        <v/>
      </c>
      <c r="C769" s="4">
        <f>(Table3[[#This Row],[Conference Board Leading Indicator]]-B757)/B757</f>
        <v/>
      </c>
      <c r="D769" s="3">
        <f>IF(VLOOKUP(Table3[[#This Row],[Date]],'DB LEI'!$A:$I,9)=0,"",VLOOKUP(Table3[[#This Row],[Date]],'DB LEI'!$A:$I,9))</f>
        <v/>
      </c>
      <c r="E769" s="2">
        <f>VLOOKUP(Table3[[#This Row],[Date]],'DB LEI'!$A:$F,4)</f>
        <v/>
      </c>
      <c r="F769" s="4">
        <f>(Table3[[#This Row],[UMSCI]]-E758)/E758</f>
        <v/>
      </c>
    </row>
    <row r="770">
      <c r="A770" s="6" t="n">
        <v>44682</v>
      </c>
      <c r="B770" s="2">
        <f>VLOOKUP(Table3[[#This Row],[Date]],'DB LEI'!$A:$F,2)</f>
        <v/>
      </c>
      <c r="C770" s="4">
        <f>(Table3[[#This Row],[Conference Board Leading Indicator]]-B758)/B758</f>
        <v/>
      </c>
      <c r="D770" s="3">
        <f>IF(VLOOKUP(Table3[[#This Row],[Date]],'DB LEI'!$A:$I,9)=0,"",VLOOKUP(Table3[[#This Row],[Date]],'DB LEI'!$A:$I,9))</f>
        <v/>
      </c>
      <c r="E770" s="2">
        <f>VLOOKUP(Table3[[#This Row],[Date]],'DB LEI'!$A:$F,4)</f>
        <v/>
      </c>
      <c r="F770" s="4">
        <f>(Table3[[#This Row],[UMSCI]]-E759)/E759</f>
        <v/>
      </c>
    </row>
    <row r="771">
      <c r="A771" s="6" t="n">
        <v>44713</v>
      </c>
      <c r="B771" s="2">
        <f>VLOOKUP(Table3[[#This Row],[Date]],'DB LEI'!$A:$F,2)</f>
        <v/>
      </c>
      <c r="C771" s="4">
        <f>(Table3[[#This Row],[Conference Board Leading Indicator]]-B759)/B759</f>
        <v/>
      </c>
      <c r="D771" s="3">
        <f>IF(VLOOKUP(Table3[[#This Row],[Date]],'DB LEI'!$A:$I,9)=0,"",VLOOKUP(Table3[[#This Row],[Date]],'DB LEI'!$A:$I,9))</f>
        <v/>
      </c>
      <c r="E771" s="2">
        <f>VLOOKUP(Table3[[#This Row],[Date]],'DB LEI'!$A:$F,4)</f>
        <v/>
      </c>
      <c r="F771" s="4">
        <f>(Table3[[#This Row],[UMSCI]]-E760)/E760</f>
        <v/>
      </c>
    </row>
    <row r="772">
      <c r="A772" s="6" t="n">
        <v>44743</v>
      </c>
      <c r="B772" s="2">
        <f>VLOOKUP(Table3[[#This Row],[Date]],'DB LEI'!$A:$F,2)</f>
        <v/>
      </c>
      <c r="C772" s="4">
        <f>(Table3[[#This Row],[Conference Board Leading Indicator]]-B760)/B760</f>
        <v/>
      </c>
      <c r="D772" s="3">
        <f>IF(VLOOKUP(Table3[[#This Row],[Date]],'DB LEI'!$A:$I,9)=0,"",VLOOKUP(Table3[[#This Row],[Date]],'DB LEI'!$A:$I,9))</f>
        <v/>
      </c>
      <c r="E772" s="2">
        <f>VLOOKUP(Table3[[#This Row],[Date]],'DB LEI'!$A:$F,4)</f>
        <v/>
      </c>
      <c r="F772" s="4">
        <f>(Table3[[#This Row],[UMSCI]]-E761)/E761</f>
        <v/>
      </c>
    </row>
    <row r="773">
      <c r="A773" s="6" t="n">
        <v>44774</v>
      </c>
      <c r="B773" s="2">
        <f>VLOOKUP(Table3[[#This Row],[Date]],'DB LEI'!$A:$F,2)</f>
        <v/>
      </c>
      <c r="C773" s="4">
        <f>(Table3[[#This Row],[Conference Board Leading Indicator]]-B761)/B761</f>
        <v/>
      </c>
      <c r="D773" s="3">
        <f>IF(VLOOKUP(Table3[[#This Row],[Date]],'DB LEI'!$A:$I,9)=0,"",VLOOKUP(Table3[[#This Row],[Date]],'DB LEI'!$A:$I,9))</f>
        <v/>
      </c>
      <c r="E773" s="2">
        <f>VLOOKUP(Table3[[#This Row],[Date]],'DB LEI'!$A:$F,4)</f>
        <v/>
      </c>
      <c r="F773" s="4">
        <f>(Table3[[#This Row],[UMSCI]]-E762)/E762</f>
        <v/>
      </c>
    </row>
    <row r="774">
      <c r="A774" s="6" t="n">
        <v>44805</v>
      </c>
      <c r="B774" s="2">
        <f>VLOOKUP(Table3[[#This Row],[Date]],'DB LEI'!$A:$F,2)</f>
        <v/>
      </c>
      <c r="C774" s="4">
        <f>(Table3[[#This Row],[Conference Board Leading Indicator]]-B762)/B762</f>
        <v/>
      </c>
      <c r="D774" s="3">
        <f>IF(VLOOKUP(Table3[[#This Row],[Date]],'DB LEI'!$A:$I,9)=0,"",VLOOKUP(Table3[[#This Row],[Date]],'DB LEI'!$A:$I,9))</f>
        <v/>
      </c>
      <c r="E774" s="2">
        <f>VLOOKUP(Table3[[#This Row],[Date]],'DB LEI'!$A:$F,4)</f>
        <v/>
      </c>
      <c r="F774" s="4">
        <f>(Table3[[#This Row],[UMSCI]]-E763)/E763</f>
        <v/>
      </c>
    </row>
  </sheetData>
  <conditionalFormatting sqref="B622:B774">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1"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4.xml><?xml version="1.0" encoding="utf-8"?>
<worksheet xmlns="http://schemas.openxmlformats.org/spreadsheetml/2006/main">
  <sheetPr>
    <outlinePr summaryBelow="1" summaryRight="1"/>
    <pageSetUpPr/>
  </sheetPr>
  <dimension ref="A1:D280"/>
  <sheetViews>
    <sheetView zoomScaleNormal="100" workbookViewId="0">
      <pane ySplit="6" topLeftCell="A232" activePane="bottomLeft" state="frozen"/>
      <selection activeCell="M746" sqref="M746"/>
      <selection pane="bottomLeft" activeCell="N280" sqref="N280"/>
    </sheetView>
  </sheetViews>
  <sheetFormatPr baseColWidth="10" defaultColWidth="9.1640625" defaultRowHeight="15"/>
  <cols>
    <col width="14.1640625" customWidth="1" style="16" min="1" max="1"/>
    <col width="16" customWidth="1" style="16" min="2" max="4"/>
    <col width="9.1640625" customWidth="1" style="55" min="5" max="33"/>
    <col width="9.1640625" customWidth="1" style="55" min="34" max="16384"/>
  </cols>
  <sheetData>
    <row r="1" ht="19" customHeight="1">
      <c r="A1" s="17" t="inlineStr">
        <is>
          <t xml:space="preserve">University of Michigan Consumer Sentiment Index (MCSI) </t>
        </is>
      </c>
    </row>
    <row r="5" ht="16" customHeight="1" thickBot="1"/>
    <row r="6" ht="39.75" customHeight="1">
      <c r="A6" s="11" t="inlineStr">
        <is>
          <t>Date</t>
        </is>
      </c>
      <c r="B6" s="12" t="inlineStr">
        <is>
          <t>UMCSI</t>
        </is>
      </c>
      <c r="C6" s="12" t="inlineStr">
        <is>
          <t>Mich Current Index</t>
        </is>
      </c>
      <c r="D6" s="13" t="inlineStr">
        <is>
          <t>Mich Expected Index</t>
        </is>
      </c>
    </row>
    <row r="7">
      <c r="A7" s="14" t="n">
        <v>36526</v>
      </c>
      <c r="B7" s="15">
        <f>VLOOKUP(Table2[[#This Row],[Date]],'DB LEI'!$A:$F,4)</f>
        <v/>
      </c>
      <c r="C7" s="15">
        <f>VLOOKUP(Table2[[#This Row],[Date]],'DB LEI'!$A:$F,5)</f>
        <v/>
      </c>
      <c r="D7" s="15">
        <f>VLOOKUP(Table2[[#This Row],[Date]],'DB LEI'!$A:$F,6)</f>
        <v/>
      </c>
    </row>
    <row r="8">
      <c r="A8" s="14" t="n">
        <v>36557</v>
      </c>
      <c r="B8" s="15">
        <f>VLOOKUP(Table2[[#This Row],[Date]],'DB LEI'!$A:$F,4)</f>
        <v/>
      </c>
      <c r="C8" s="15">
        <f>VLOOKUP(Table2[[#This Row],[Date]],'DB LEI'!$A:$F,5)</f>
        <v/>
      </c>
      <c r="D8" s="15">
        <f>VLOOKUP(Table2[[#This Row],[Date]],'DB LEI'!$A:$F,6)</f>
        <v/>
      </c>
    </row>
    <row r="9">
      <c r="A9" s="14" t="n">
        <v>36586</v>
      </c>
      <c r="B9" s="15">
        <f>VLOOKUP(Table2[[#This Row],[Date]],'DB LEI'!$A:$F,4)</f>
        <v/>
      </c>
      <c r="C9" s="15">
        <f>VLOOKUP(Table2[[#This Row],[Date]],'DB LEI'!$A:$F,5)</f>
        <v/>
      </c>
      <c r="D9" s="15">
        <f>VLOOKUP(Table2[[#This Row],[Date]],'DB LEI'!$A:$F,6)</f>
        <v/>
      </c>
    </row>
    <row r="10">
      <c r="A10" s="14" t="n">
        <v>36617</v>
      </c>
      <c r="B10" s="15">
        <f>VLOOKUP(Table2[[#This Row],[Date]],'DB LEI'!$A:$F,4)</f>
        <v/>
      </c>
      <c r="C10" s="15">
        <f>VLOOKUP(Table2[[#This Row],[Date]],'DB LEI'!$A:$F,5)</f>
        <v/>
      </c>
      <c r="D10" s="15">
        <f>VLOOKUP(Table2[[#This Row],[Date]],'DB LEI'!$A:$F,6)</f>
        <v/>
      </c>
    </row>
    <row r="11">
      <c r="A11" s="14" t="n">
        <v>36647</v>
      </c>
      <c r="B11" s="15">
        <f>VLOOKUP(Table2[[#This Row],[Date]],'DB LEI'!$A:$F,4)</f>
        <v/>
      </c>
      <c r="C11" s="15">
        <f>VLOOKUP(Table2[[#This Row],[Date]],'DB LEI'!$A:$F,5)</f>
        <v/>
      </c>
      <c r="D11" s="15">
        <f>VLOOKUP(Table2[[#This Row],[Date]],'DB LEI'!$A:$F,6)</f>
        <v/>
      </c>
    </row>
    <row r="12">
      <c r="A12" s="14" t="n">
        <v>36678</v>
      </c>
      <c r="B12" s="15">
        <f>VLOOKUP(Table2[[#This Row],[Date]],'DB LEI'!$A:$F,4)</f>
        <v/>
      </c>
      <c r="C12" s="15">
        <f>VLOOKUP(Table2[[#This Row],[Date]],'DB LEI'!$A:$F,5)</f>
        <v/>
      </c>
      <c r="D12" s="15">
        <f>VLOOKUP(Table2[[#This Row],[Date]],'DB LEI'!$A:$F,6)</f>
        <v/>
      </c>
    </row>
    <row r="13">
      <c r="A13" s="14" t="n">
        <v>36708</v>
      </c>
      <c r="B13" s="15">
        <f>VLOOKUP(Table2[[#This Row],[Date]],'DB LEI'!$A:$F,4)</f>
        <v/>
      </c>
      <c r="C13" s="15">
        <f>VLOOKUP(Table2[[#This Row],[Date]],'DB LEI'!$A:$F,5)</f>
        <v/>
      </c>
      <c r="D13" s="15">
        <f>VLOOKUP(Table2[[#This Row],[Date]],'DB LEI'!$A:$F,6)</f>
        <v/>
      </c>
    </row>
    <row r="14">
      <c r="A14" s="14" t="n">
        <v>36739</v>
      </c>
      <c r="B14" s="15">
        <f>VLOOKUP(Table2[[#This Row],[Date]],'DB LEI'!$A:$F,4)</f>
        <v/>
      </c>
      <c r="C14" s="15">
        <f>VLOOKUP(Table2[[#This Row],[Date]],'DB LEI'!$A:$F,5)</f>
        <v/>
      </c>
      <c r="D14" s="15">
        <f>VLOOKUP(Table2[[#This Row],[Date]],'DB LEI'!$A:$F,6)</f>
        <v/>
      </c>
    </row>
    <row r="15">
      <c r="A15" s="14" t="n">
        <v>36770</v>
      </c>
      <c r="B15" s="15">
        <f>VLOOKUP(Table2[[#This Row],[Date]],'DB LEI'!$A:$F,4)</f>
        <v/>
      </c>
      <c r="C15" s="15">
        <f>VLOOKUP(Table2[[#This Row],[Date]],'DB LEI'!$A:$F,5)</f>
        <v/>
      </c>
      <c r="D15" s="15">
        <f>VLOOKUP(Table2[[#This Row],[Date]],'DB LEI'!$A:$F,6)</f>
        <v/>
      </c>
    </row>
    <row r="16">
      <c r="A16" s="14" t="n">
        <v>36800</v>
      </c>
      <c r="B16" s="15">
        <f>VLOOKUP(Table2[[#This Row],[Date]],'DB LEI'!$A:$F,4)</f>
        <v/>
      </c>
      <c r="C16" s="15">
        <f>VLOOKUP(Table2[[#This Row],[Date]],'DB LEI'!$A:$F,5)</f>
        <v/>
      </c>
      <c r="D16" s="15">
        <f>VLOOKUP(Table2[[#This Row],[Date]],'DB LEI'!$A:$F,6)</f>
        <v/>
      </c>
    </row>
    <row r="17">
      <c r="A17" s="14" t="n">
        <v>36831</v>
      </c>
      <c r="B17" s="15">
        <f>VLOOKUP(Table2[[#This Row],[Date]],'DB LEI'!$A:$F,4)</f>
        <v/>
      </c>
      <c r="C17" s="15">
        <f>VLOOKUP(Table2[[#This Row],[Date]],'DB LEI'!$A:$F,5)</f>
        <v/>
      </c>
      <c r="D17" s="15">
        <f>VLOOKUP(Table2[[#This Row],[Date]],'DB LEI'!$A:$F,6)</f>
        <v/>
      </c>
    </row>
    <row r="18">
      <c r="A18" s="14" t="n">
        <v>36861</v>
      </c>
      <c r="B18" s="15">
        <f>VLOOKUP(Table2[[#This Row],[Date]],'DB LEI'!$A:$F,4)</f>
        <v/>
      </c>
      <c r="C18" s="15">
        <f>VLOOKUP(Table2[[#This Row],[Date]],'DB LEI'!$A:$F,5)</f>
        <v/>
      </c>
      <c r="D18" s="15">
        <f>VLOOKUP(Table2[[#This Row],[Date]],'DB LEI'!$A:$F,6)</f>
        <v/>
      </c>
    </row>
    <row r="19">
      <c r="A19" s="14" t="n">
        <v>36892</v>
      </c>
      <c r="B19" s="15">
        <f>VLOOKUP(Table2[[#This Row],[Date]],'DB LEI'!$A:$F,4)</f>
        <v/>
      </c>
      <c r="C19" s="15">
        <f>VLOOKUP(Table2[[#This Row],[Date]],'DB LEI'!$A:$F,5)</f>
        <v/>
      </c>
      <c r="D19" s="15">
        <f>VLOOKUP(Table2[[#This Row],[Date]],'DB LEI'!$A:$F,6)</f>
        <v/>
      </c>
    </row>
    <row r="20">
      <c r="A20" s="14" t="n">
        <v>36923</v>
      </c>
      <c r="B20" s="15">
        <f>VLOOKUP(Table2[[#This Row],[Date]],'DB LEI'!$A:$F,4)</f>
        <v/>
      </c>
      <c r="C20" s="15">
        <f>VLOOKUP(Table2[[#This Row],[Date]],'DB LEI'!$A:$F,5)</f>
        <v/>
      </c>
      <c r="D20" s="15">
        <f>VLOOKUP(Table2[[#This Row],[Date]],'DB LEI'!$A:$F,6)</f>
        <v/>
      </c>
    </row>
    <row r="21">
      <c r="A21" s="14" t="n">
        <v>36951</v>
      </c>
      <c r="B21" s="15">
        <f>VLOOKUP(Table2[[#This Row],[Date]],'DB LEI'!$A:$F,4)</f>
        <v/>
      </c>
      <c r="C21" s="15">
        <f>VLOOKUP(Table2[[#This Row],[Date]],'DB LEI'!$A:$F,5)</f>
        <v/>
      </c>
      <c r="D21" s="15">
        <f>VLOOKUP(Table2[[#This Row],[Date]],'DB LEI'!$A:$F,6)</f>
        <v/>
      </c>
    </row>
    <row r="22">
      <c r="A22" s="14" t="n">
        <v>36982</v>
      </c>
      <c r="B22" s="15">
        <f>VLOOKUP(Table2[[#This Row],[Date]],'DB LEI'!$A:$F,4)</f>
        <v/>
      </c>
      <c r="C22" s="15">
        <f>VLOOKUP(Table2[[#This Row],[Date]],'DB LEI'!$A:$F,5)</f>
        <v/>
      </c>
      <c r="D22" s="15">
        <f>VLOOKUP(Table2[[#This Row],[Date]],'DB LEI'!$A:$F,6)</f>
        <v/>
      </c>
    </row>
    <row r="23">
      <c r="A23" s="14" t="n">
        <v>37012</v>
      </c>
      <c r="B23" s="15">
        <f>VLOOKUP(Table2[[#This Row],[Date]],'DB LEI'!$A:$F,4)</f>
        <v/>
      </c>
      <c r="C23" s="15">
        <f>VLOOKUP(Table2[[#This Row],[Date]],'DB LEI'!$A:$F,5)</f>
        <v/>
      </c>
      <c r="D23" s="15">
        <f>VLOOKUP(Table2[[#This Row],[Date]],'DB LEI'!$A:$F,6)</f>
        <v/>
      </c>
    </row>
    <row r="24">
      <c r="A24" s="14" t="n">
        <v>37043</v>
      </c>
      <c r="B24" s="15">
        <f>VLOOKUP(Table2[[#This Row],[Date]],'DB LEI'!$A:$F,4)</f>
        <v/>
      </c>
      <c r="C24" s="15">
        <f>VLOOKUP(Table2[[#This Row],[Date]],'DB LEI'!$A:$F,5)</f>
        <v/>
      </c>
      <c r="D24" s="15">
        <f>VLOOKUP(Table2[[#This Row],[Date]],'DB LEI'!$A:$F,6)</f>
        <v/>
      </c>
    </row>
    <row r="25">
      <c r="A25" s="14" t="n">
        <v>37073</v>
      </c>
      <c r="B25" s="15">
        <f>VLOOKUP(Table2[[#This Row],[Date]],'DB LEI'!$A:$F,4)</f>
        <v/>
      </c>
      <c r="C25" s="15">
        <f>VLOOKUP(Table2[[#This Row],[Date]],'DB LEI'!$A:$F,5)</f>
        <v/>
      </c>
      <c r="D25" s="15">
        <f>VLOOKUP(Table2[[#This Row],[Date]],'DB LEI'!$A:$F,6)</f>
        <v/>
      </c>
    </row>
    <row r="26">
      <c r="A26" s="14" t="n">
        <v>37104</v>
      </c>
      <c r="B26" s="15">
        <f>VLOOKUP(Table2[[#This Row],[Date]],'DB LEI'!$A:$F,4)</f>
        <v/>
      </c>
      <c r="C26" s="15">
        <f>VLOOKUP(Table2[[#This Row],[Date]],'DB LEI'!$A:$F,5)</f>
        <v/>
      </c>
      <c r="D26" s="15">
        <f>VLOOKUP(Table2[[#This Row],[Date]],'DB LEI'!$A:$F,6)</f>
        <v/>
      </c>
    </row>
    <row r="27">
      <c r="A27" s="14" t="n">
        <v>37135</v>
      </c>
      <c r="B27" s="15">
        <f>VLOOKUP(Table2[[#This Row],[Date]],'DB LEI'!$A:$F,4)</f>
        <v/>
      </c>
      <c r="C27" s="15">
        <f>VLOOKUP(Table2[[#This Row],[Date]],'DB LEI'!$A:$F,5)</f>
        <v/>
      </c>
      <c r="D27" s="15">
        <f>VLOOKUP(Table2[[#This Row],[Date]],'DB LEI'!$A:$F,6)</f>
        <v/>
      </c>
    </row>
    <row r="28">
      <c r="A28" s="14" t="n">
        <v>37165</v>
      </c>
      <c r="B28" s="15">
        <f>VLOOKUP(Table2[[#This Row],[Date]],'DB LEI'!$A:$F,4)</f>
        <v/>
      </c>
      <c r="C28" s="15">
        <f>VLOOKUP(Table2[[#This Row],[Date]],'DB LEI'!$A:$F,5)</f>
        <v/>
      </c>
      <c r="D28" s="15">
        <f>VLOOKUP(Table2[[#This Row],[Date]],'DB LEI'!$A:$F,6)</f>
        <v/>
      </c>
    </row>
    <row r="29">
      <c r="A29" s="14" t="n">
        <v>37196</v>
      </c>
      <c r="B29" s="15">
        <f>VLOOKUP(Table2[[#This Row],[Date]],'DB LEI'!$A:$F,4)</f>
        <v/>
      </c>
      <c r="C29" s="15">
        <f>VLOOKUP(Table2[[#This Row],[Date]],'DB LEI'!$A:$F,5)</f>
        <v/>
      </c>
      <c r="D29" s="15">
        <f>VLOOKUP(Table2[[#This Row],[Date]],'DB LEI'!$A:$F,6)</f>
        <v/>
      </c>
    </row>
    <row r="30">
      <c r="A30" s="14" t="n">
        <v>37226</v>
      </c>
      <c r="B30" s="15">
        <f>VLOOKUP(Table2[[#This Row],[Date]],'DB LEI'!$A:$F,4)</f>
        <v/>
      </c>
      <c r="C30" s="15">
        <f>VLOOKUP(Table2[[#This Row],[Date]],'DB LEI'!$A:$F,5)</f>
        <v/>
      </c>
      <c r="D30" s="15">
        <f>VLOOKUP(Table2[[#This Row],[Date]],'DB LEI'!$A:$F,6)</f>
        <v/>
      </c>
    </row>
    <row r="31">
      <c r="A31" s="14" t="n">
        <v>37257</v>
      </c>
      <c r="B31" s="15">
        <f>VLOOKUP(Table2[[#This Row],[Date]],'DB LEI'!$A:$F,4)</f>
        <v/>
      </c>
      <c r="C31" s="15">
        <f>VLOOKUP(Table2[[#This Row],[Date]],'DB LEI'!$A:$F,5)</f>
        <v/>
      </c>
      <c r="D31" s="15">
        <f>VLOOKUP(Table2[[#This Row],[Date]],'DB LEI'!$A:$F,6)</f>
        <v/>
      </c>
    </row>
    <row r="32">
      <c r="A32" s="14" t="n">
        <v>37288</v>
      </c>
      <c r="B32" s="15">
        <f>VLOOKUP(Table2[[#This Row],[Date]],'DB LEI'!$A:$F,4)</f>
        <v/>
      </c>
      <c r="C32" s="15">
        <f>VLOOKUP(Table2[[#This Row],[Date]],'DB LEI'!$A:$F,5)</f>
        <v/>
      </c>
      <c r="D32" s="15">
        <f>VLOOKUP(Table2[[#This Row],[Date]],'DB LEI'!$A:$F,6)</f>
        <v/>
      </c>
    </row>
    <row r="33">
      <c r="A33" s="14" t="n">
        <v>37316</v>
      </c>
      <c r="B33" s="15">
        <f>VLOOKUP(Table2[[#This Row],[Date]],'DB LEI'!$A:$F,4)</f>
        <v/>
      </c>
      <c r="C33" s="15">
        <f>VLOOKUP(Table2[[#This Row],[Date]],'DB LEI'!$A:$F,5)</f>
        <v/>
      </c>
      <c r="D33" s="15">
        <f>VLOOKUP(Table2[[#This Row],[Date]],'DB LEI'!$A:$F,6)</f>
        <v/>
      </c>
    </row>
    <row r="34">
      <c r="A34" s="14" t="n">
        <v>37347</v>
      </c>
      <c r="B34" s="15">
        <f>VLOOKUP(Table2[[#This Row],[Date]],'DB LEI'!$A:$F,4)</f>
        <v/>
      </c>
      <c r="C34" s="15">
        <f>VLOOKUP(Table2[[#This Row],[Date]],'DB LEI'!$A:$F,5)</f>
        <v/>
      </c>
      <c r="D34" s="15">
        <f>VLOOKUP(Table2[[#This Row],[Date]],'DB LEI'!$A:$F,6)</f>
        <v/>
      </c>
    </row>
    <row r="35">
      <c r="A35" s="14" t="n">
        <v>37377</v>
      </c>
      <c r="B35" s="15">
        <f>VLOOKUP(Table2[[#This Row],[Date]],'DB LEI'!$A:$F,4)</f>
        <v/>
      </c>
      <c r="C35" s="15">
        <f>VLOOKUP(Table2[[#This Row],[Date]],'DB LEI'!$A:$F,5)</f>
        <v/>
      </c>
      <c r="D35" s="15">
        <f>VLOOKUP(Table2[[#This Row],[Date]],'DB LEI'!$A:$F,6)</f>
        <v/>
      </c>
    </row>
    <row r="36">
      <c r="A36" s="14" t="n">
        <v>37408</v>
      </c>
      <c r="B36" s="15">
        <f>VLOOKUP(Table2[[#This Row],[Date]],'DB LEI'!$A:$F,4)</f>
        <v/>
      </c>
      <c r="C36" s="15">
        <f>VLOOKUP(Table2[[#This Row],[Date]],'DB LEI'!$A:$F,5)</f>
        <v/>
      </c>
      <c r="D36" s="15">
        <f>VLOOKUP(Table2[[#This Row],[Date]],'DB LEI'!$A:$F,6)</f>
        <v/>
      </c>
    </row>
    <row r="37">
      <c r="A37" s="14" t="n">
        <v>37438</v>
      </c>
      <c r="B37" s="15">
        <f>VLOOKUP(Table2[[#This Row],[Date]],'DB LEI'!$A:$F,4)</f>
        <v/>
      </c>
      <c r="C37" s="15">
        <f>VLOOKUP(Table2[[#This Row],[Date]],'DB LEI'!$A:$F,5)</f>
        <v/>
      </c>
      <c r="D37" s="15">
        <f>VLOOKUP(Table2[[#This Row],[Date]],'DB LEI'!$A:$F,6)</f>
        <v/>
      </c>
    </row>
    <row r="38">
      <c r="A38" s="14" t="n">
        <v>37469</v>
      </c>
      <c r="B38" s="15">
        <f>VLOOKUP(Table2[[#This Row],[Date]],'DB LEI'!$A:$F,4)</f>
        <v/>
      </c>
      <c r="C38" s="15">
        <f>VLOOKUP(Table2[[#This Row],[Date]],'DB LEI'!$A:$F,5)</f>
        <v/>
      </c>
      <c r="D38" s="15">
        <f>VLOOKUP(Table2[[#This Row],[Date]],'DB LEI'!$A:$F,6)</f>
        <v/>
      </c>
    </row>
    <row r="39">
      <c r="A39" s="14" t="n">
        <v>37500</v>
      </c>
      <c r="B39" s="15">
        <f>VLOOKUP(Table2[[#This Row],[Date]],'DB LEI'!$A:$F,4)</f>
        <v/>
      </c>
      <c r="C39" s="15">
        <f>VLOOKUP(Table2[[#This Row],[Date]],'DB LEI'!$A:$F,5)</f>
        <v/>
      </c>
      <c r="D39" s="15">
        <f>VLOOKUP(Table2[[#This Row],[Date]],'DB LEI'!$A:$F,6)</f>
        <v/>
      </c>
    </row>
    <row r="40">
      <c r="A40" s="14" t="n">
        <v>37530</v>
      </c>
      <c r="B40" s="15">
        <f>VLOOKUP(Table2[[#This Row],[Date]],'DB LEI'!$A:$F,4)</f>
        <v/>
      </c>
      <c r="C40" s="15">
        <f>VLOOKUP(Table2[[#This Row],[Date]],'DB LEI'!$A:$F,5)</f>
        <v/>
      </c>
      <c r="D40" s="15">
        <f>VLOOKUP(Table2[[#This Row],[Date]],'DB LEI'!$A:$F,6)</f>
        <v/>
      </c>
    </row>
    <row r="41">
      <c r="A41" s="14" t="n">
        <v>37561</v>
      </c>
      <c r="B41" s="15">
        <f>VLOOKUP(Table2[[#This Row],[Date]],'DB LEI'!$A:$F,4)</f>
        <v/>
      </c>
      <c r="C41" s="15">
        <f>VLOOKUP(Table2[[#This Row],[Date]],'DB LEI'!$A:$F,5)</f>
        <v/>
      </c>
      <c r="D41" s="15">
        <f>VLOOKUP(Table2[[#This Row],[Date]],'DB LEI'!$A:$F,6)</f>
        <v/>
      </c>
    </row>
    <row r="42">
      <c r="A42" s="14" t="n">
        <v>37591</v>
      </c>
      <c r="B42" s="15">
        <f>VLOOKUP(Table2[[#This Row],[Date]],'DB LEI'!$A:$F,4)</f>
        <v/>
      </c>
      <c r="C42" s="15">
        <f>VLOOKUP(Table2[[#This Row],[Date]],'DB LEI'!$A:$F,5)</f>
        <v/>
      </c>
      <c r="D42" s="15">
        <f>VLOOKUP(Table2[[#This Row],[Date]],'DB LEI'!$A:$F,6)</f>
        <v/>
      </c>
    </row>
    <row r="43">
      <c r="A43" s="14" t="n">
        <v>37622</v>
      </c>
      <c r="B43" s="15">
        <f>VLOOKUP(Table2[[#This Row],[Date]],'DB LEI'!$A:$F,4)</f>
        <v/>
      </c>
      <c r="C43" s="15">
        <f>VLOOKUP(Table2[[#This Row],[Date]],'DB LEI'!$A:$F,5)</f>
        <v/>
      </c>
      <c r="D43" s="15">
        <f>VLOOKUP(Table2[[#This Row],[Date]],'DB LEI'!$A:$F,6)</f>
        <v/>
      </c>
    </row>
    <row r="44">
      <c r="A44" s="14" t="n">
        <v>37653</v>
      </c>
      <c r="B44" s="15">
        <f>VLOOKUP(Table2[[#This Row],[Date]],'DB LEI'!$A:$F,4)</f>
        <v/>
      </c>
      <c r="C44" s="15">
        <f>VLOOKUP(Table2[[#This Row],[Date]],'DB LEI'!$A:$F,5)</f>
        <v/>
      </c>
      <c r="D44" s="15">
        <f>VLOOKUP(Table2[[#This Row],[Date]],'DB LEI'!$A:$F,6)</f>
        <v/>
      </c>
    </row>
    <row r="45">
      <c r="A45" s="14" t="n">
        <v>37681</v>
      </c>
      <c r="B45" s="15">
        <f>VLOOKUP(Table2[[#This Row],[Date]],'DB LEI'!$A:$F,4)</f>
        <v/>
      </c>
      <c r="C45" s="15">
        <f>VLOOKUP(Table2[[#This Row],[Date]],'DB LEI'!$A:$F,5)</f>
        <v/>
      </c>
      <c r="D45" s="15">
        <f>VLOOKUP(Table2[[#This Row],[Date]],'DB LEI'!$A:$F,6)</f>
        <v/>
      </c>
    </row>
    <row r="46">
      <c r="A46" s="14" t="n">
        <v>37712</v>
      </c>
      <c r="B46" s="15">
        <f>VLOOKUP(Table2[[#This Row],[Date]],'DB LEI'!$A:$F,4)</f>
        <v/>
      </c>
      <c r="C46" s="15">
        <f>VLOOKUP(Table2[[#This Row],[Date]],'DB LEI'!$A:$F,5)</f>
        <v/>
      </c>
      <c r="D46" s="15">
        <f>VLOOKUP(Table2[[#This Row],[Date]],'DB LEI'!$A:$F,6)</f>
        <v/>
      </c>
    </row>
    <row r="47">
      <c r="A47" s="14" t="n">
        <v>37742</v>
      </c>
      <c r="B47" s="15">
        <f>VLOOKUP(Table2[[#This Row],[Date]],'DB LEI'!$A:$F,4)</f>
        <v/>
      </c>
      <c r="C47" s="15">
        <f>VLOOKUP(Table2[[#This Row],[Date]],'DB LEI'!$A:$F,5)</f>
        <v/>
      </c>
      <c r="D47" s="15">
        <f>VLOOKUP(Table2[[#This Row],[Date]],'DB LEI'!$A:$F,6)</f>
        <v/>
      </c>
    </row>
    <row r="48">
      <c r="A48" s="14" t="n">
        <v>37773</v>
      </c>
      <c r="B48" s="15">
        <f>VLOOKUP(Table2[[#This Row],[Date]],'DB LEI'!$A:$F,4)</f>
        <v/>
      </c>
      <c r="C48" s="15">
        <f>VLOOKUP(Table2[[#This Row],[Date]],'DB LEI'!$A:$F,5)</f>
        <v/>
      </c>
      <c r="D48" s="15">
        <f>VLOOKUP(Table2[[#This Row],[Date]],'DB LEI'!$A:$F,6)</f>
        <v/>
      </c>
    </row>
    <row r="49">
      <c r="A49" s="14" t="n">
        <v>37803</v>
      </c>
      <c r="B49" s="15">
        <f>VLOOKUP(Table2[[#This Row],[Date]],'DB LEI'!$A:$F,4)</f>
        <v/>
      </c>
      <c r="C49" s="15">
        <f>VLOOKUP(Table2[[#This Row],[Date]],'DB LEI'!$A:$F,5)</f>
        <v/>
      </c>
      <c r="D49" s="15">
        <f>VLOOKUP(Table2[[#This Row],[Date]],'DB LEI'!$A:$F,6)</f>
        <v/>
      </c>
    </row>
    <row r="50">
      <c r="A50" s="14" t="n">
        <v>37834</v>
      </c>
      <c r="B50" s="15">
        <f>VLOOKUP(Table2[[#This Row],[Date]],'DB LEI'!$A:$F,4)</f>
        <v/>
      </c>
      <c r="C50" s="15">
        <f>VLOOKUP(Table2[[#This Row],[Date]],'DB LEI'!$A:$F,5)</f>
        <v/>
      </c>
      <c r="D50" s="15">
        <f>VLOOKUP(Table2[[#This Row],[Date]],'DB LEI'!$A:$F,6)</f>
        <v/>
      </c>
    </row>
    <row r="51">
      <c r="A51" s="14" t="n">
        <v>37865</v>
      </c>
      <c r="B51" s="15">
        <f>VLOOKUP(Table2[[#This Row],[Date]],'DB LEI'!$A:$F,4)</f>
        <v/>
      </c>
      <c r="C51" s="15">
        <f>VLOOKUP(Table2[[#This Row],[Date]],'DB LEI'!$A:$F,5)</f>
        <v/>
      </c>
      <c r="D51" s="15">
        <f>VLOOKUP(Table2[[#This Row],[Date]],'DB LEI'!$A:$F,6)</f>
        <v/>
      </c>
    </row>
    <row r="52">
      <c r="A52" s="14" t="n">
        <v>37895</v>
      </c>
      <c r="B52" s="15">
        <f>VLOOKUP(Table2[[#This Row],[Date]],'DB LEI'!$A:$F,4)</f>
        <v/>
      </c>
      <c r="C52" s="15">
        <f>VLOOKUP(Table2[[#This Row],[Date]],'DB LEI'!$A:$F,5)</f>
        <v/>
      </c>
      <c r="D52" s="15">
        <f>VLOOKUP(Table2[[#This Row],[Date]],'DB LEI'!$A:$F,6)</f>
        <v/>
      </c>
    </row>
    <row r="53">
      <c r="A53" s="14" t="n">
        <v>37926</v>
      </c>
      <c r="B53" s="15">
        <f>VLOOKUP(Table2[[#This Row],[Date]],'DB LEI'!$A:$F,4)</f>
        <v/>
      </c>
      <c r="C53" s="15">
        <f>VLOOKUP(Table2[[#This Row],[Date]],'DB LEI'!$A:$F,5)</f>
        <v/>
      </c>
      <c r="D53" s="15">
        <f>VLOOKUP(Table2[[#This Row],[Date]],'DB LEI'!$A:$F,6)</f>
        <v/>
      </c>
    </row>
    <row r="54">
      <c r="A54" s="14" t="n">
        <v>37956</v>
      </c>
      <c r="B54" s="15">
        <f>VLOOKUP(Table2[[#This Row],[Date]],'DB LEI'!$A:$F,4)</f>
        <v/>
      </c>
      <c r="C54" s="15">
        <f>VLOOKUP(Table2[[#This Row],[Date]],'DB LEI'!$A:$F,5)</f>
        <v/>
      </c>
      <c r="D54" s="15">
        <f>VLOOKUP(Table2[[#This Row],[Date]],'DB LEI'!$A:$F,6)</f>
        <v/>
      </c>
    </row>
    <row r="55">
      <c r="A55" s="14" t="n">
        <v>37987</v>
      </c>
      <c r="B55" s="15">
        <f>VLOOKUP(Table2[[#This Row],[Date]],'DB LEI'!$A:$F,4)</f>
        <v/>
      </c>
      <c r="C55" s="15">
        <f>VLOOKUP(Table2[[#This Row],[Date]],'DB LEI'!$A:$F,5)</f>
        <v/>
      </c>
      <c r="D55" s="15">
        <f>VLOOKUP(Table2[[#This Row],[Date]],'DB LEI'!$A:$F,6)</f>
        <v/>
      </c>
    </row>
    <row r="56">
      <c r="A56" s="14" t="n">
        <v>38018</v>
      </c>
      <c r="B56" s="15">
        <f>VLOOKUP(Table2[[#This Row],[Date]],'DB LEI'!$A:$F,4)</f>
        <v/>
      </c>
      <c r="C56" s="15">
        <f>VLOOKUP(Table2[[#This Row],[Date]],'DB LEI'!$A:$F,5)</f>
        <v/>
      </c>
      <c r="D56" s="15">
        <f>VLOOKUP(Table2[[#This Row],[Date]],'DB LEI'!$A:$F,6)</f>
        <v/>
      </c>
    </row>
    <row r="57">
      <c r="A57" s="14" t="n">
        <v>38047</v>
      </c>
      <c r="B57" s="15">
        <f>VLOOKUP(Table2[[#This Row],[Date]],'DB LEI'!$A:$F,4)</f>
        <v/>
      </c>
      <c r="C57" s="15">
        <f>VLOOKUP(Table2[[#This Row],[Date]],'DB LEI'!$A:$F,5)</f>
        <v/>
      </c>
      <c r="D57" s="15">
        <f>VLOOKUP(Table2[[#This Row],[Date]],'DB LEI'!$A:$F,6)</f>
        <v/>
      </c>
    </row>
    <row r="58">
      <c r="A58" s="14" t="n">
        <v>38078</v>
      </c>
      <c r="B58" s="15">
        <f>VLOOKUP(Table2[[#This Row],[Date]],'DB LEI'!$A:$F,4)</f>
        <v/>
      </c>
      <c r="C58" s="15">
        <f>VLOOKUP(Table2[[#This Row],[Date]],'DB LEI'!$A:$F,5)</f>
        <v/>
      </c>
      <c r="D58" s="15">
        <f>VLOOKUP(Table2[[#This Row],[Date]],'DB LEI'!$A:$F,6)</f>
        <v/>
      </c>
    </row>
    <row r="59">
      <c r="A59" s="14" t="n">
        <v>38108</v>
      </c>
      <c r="B59" s="15">
        <f>VLOOKUP(Table2[[#This Row],[Date]],'DB LEI'!$A:$F,4)</f>
        <v/>
      </c>
      <c r="C59" s="15">
        <f>VLOOKUP(Table2[[#This Row],[Date]],'DB LEI'!$A:$F,5)</f>
        <v/>
      </c>
      <c r="D59" s="15">
        <f>VLOOKUP(Table2[[#This Row],[Date]],'DB LEI'!$A:$F,6)</f>
        <v/>
      </c>
    </row>
    <row r="60">
      <c r="A60" s="14" t="n">
        <v>38139</v>
      </c>
      <c r="B60" s="15">
        <f>VLOOKUP(Table2[[#This Row],[Date]],'DB LEI'!$A:$F,4)</f>
        <v/>
      </c>
      <c r="C60" s="15">
        <f>VLOOKUP(Table2[[#This Row],[Date]],'DB LEI'!$A:$F,5)</f>
        <v/>
      </c>
      <c r="D60" s="15">
        <f>VLOOKUP(Table2[[#This Row],[Date]],'DB LEI'!$A:$F,6)</f>
        <v/>
      </c>
    </row>
    <row r="61">
      <c r="A61" s="14" t="n">
        <v>38169</v>
      </c>
      <c r="B61" s="15">
        <f>VLOOKUP(Table2[[#This Row],[Date]],'DB LEI'!$A:$F,4)</f>
        <v/>
      </c>
      <c r="C61" s="15">
        <f>VLOOKUP(Table2[[#This Row],[Date]],'DB LEI'!$A:$F,5)</f>
        <v/>
      </c>
      <c r="D61" s="15">
        <f>VLOOKUP(Table2[[#This Row],[Date]],'DB LEI'!$A:$F,6)</f>
        <v/>
      </c>
    </row>
    <row r="62">
      <c r="A62" s="14" t="n">
        <v>38200</v>
      </c>
      <c r="B62" s="15">
        <f>VLOOKUP(Table2[[#This Row],[Date]],'DB LEI'!$A:$F,4)</f>
        <v/>
      </c>
      <c r="C62" s="15">
        <f>VLOOKUP(Table2[[#This Row],[Date]],'DB LEI'!$A:$F,5)</f>
        <v/>
      </c>
      <c r="D62" s="15">
        <f>VLOOKUP(Table2[[#This Row],[Date]],'DB LEI'!$A:$F,6)</f>
        <v/>
      </c>
    </row>
    <row r="63">
      <c r="A63" s="14" t="n">
        <v>38231</v>
      </c>
      <c r="B63" s="15">
        <f>VLOOKUP(Table2[[#This Row],[Date]],'DB LEI'!$A:$F,4)</f>
        <v/>
      </c>
      <c r="C63" s="15">
        <f>VLOOKUP(Table2[[#This Row],[Date]],'DB LEI'!$A:$F,5)</f>
        <v/>
      </c>
      <c r="D63" s="15">
        <f>VLOOKUP(Table2[[#This Row],[Date]],'DB LEI'!$A:$F,6)</f>
        <v/>
      </c>
    </row>
    <row r="64">
      <c r="A64" s="14" t="n">
        <v>38261</v>
      </c>
      <c r="B64" s="15">
        <f>VLOOKUP(Table2[[#This Row],[Date]],'DB LEI'!$A:$F,4)</f>
        <v/>
      </c>
      <c r="C64" s="15">
        <f>VLOOKUP(Table2[[#This Row],[Date]],'DB LEI'!$A:$F,5)</f>
        <v/>
      </c>
      <c r="D64" s="15">
        <f>VLOOKUP(Table2[[#This Row],[Date]],'DB LEI'!$A:$F,6)</f>
        <v/>
      </c>
    </row>
    <row r="65">
      <c r="A65" s="14" t="n">
        <v>38292</v>
      </c>
      <c r="B65" s="15">
        <f>VLOOKUP(Table2[[#This Row],[Date]],'DB LEI'!$A:$F,4)</f>
        <v/>
      </c>
      <c r="C65" s="15">
        <f>VLOOKUP(Table2[[#This Row],[Date]],'DB LEI'!$A:$F,5)</f>
        <v/>
      </c>
      <c r="D65" s="15">
        <f>VLOOKUP(Table2[[#This Row],[Date]],'DB LEI'!$A:$F,6)</f>
        <v/>
      </c>
    </row>
    <row r="66">
      <c r="A66" s="14" t="n">
        <v>38322</v>
      </c>
      <c r="B66" s="15">
        <f>VLOOKUP(Table2[[#This Row],[Date]],'DB LEI'!$A:$F,4)</f>
        <v/>
      </c>
      <c r="C66" s="15">
        <f>VLOOKUP(Table2[[#This Row],[Date]],'DB LEI'!$A:$F,5)</f>
        <v/>
      </c>
      <c r="D66" s="15">
        <f>VLOOKUP(Table2[[#This Row],[Date]],'DB LEI'!$A:$F,6)</f>
        <v/>
      </c>
    </row>
    <row r="67">
      <c r="A67" s="14" t="n">
        <v>38353</v>
      </c>
      <c r="B67" s="15">
        <f>VLOOKUP(Table2[[#This Row],[Date]],'DB LEI'!$A:$F,4)</f>
        <v/>
      </c>
      <c r="C67" s="15">
        <f>VLOOKUP(Table2[[#This Row],[Date]],'DB LEI'!$A:$F,5)</f>
        <v/>
      </c>
      <c r="D67" s="15">
        <f>VLOOKUP(Table2[[#This Row],[Date]],'DB LEI'!$A:$F,6)</f>
        <v/>
      </c>
    </row>
    <row r="68">
      <c r="A68" s="14" t="n">
        <v>38384</v>
      </c>
      <c r="B68" s="15">
        <f>VLOOKUP(Table2[[#This Row],[Date]],'DB LEI'!$A:$F,4)</f>
        <v/>
      </c>
      <c r="C68" s="15">
        <f>VLOOKUP(Table2[[#This Row],[Date]],'DB LEI'!$A:$F,5)</f>
        <v/>
      </c>
      <c r="D68" s="15">
        <f>VLOOKUP(Table2[[#This Row],[Date]],'DB LEI'!$A:$F,6)</f>
        <v/>
      </c>
    </row>
    <row r="69">
      <c r="A69" s="14" t="n">
        <v>38412</v>
      </c>
      <c r="B69" s="15">
        <f>VLOOKUP(Table2[[#This Row],[Date]],'DB LEI'!$A:$F,4)</f>
        <v/>
      </c>
      <c r="C69" s="15">
        <f>VLOOKUP(Table2[[#This Row],[Date]],'DB LEI'!$A:$F,5)</f>
        <v/>
      </c>
      <c r="D69" s="15">
        <f>VLOOKUP(Table2[[#This Row],[Date]],'DB LEI'!$A:$F,6)</f>
        <v/>
      </c>
    </row>
    <row r="70">
      <c r="A70" s="14" t="n">
        <v>38443</v>
      </c>
      <c r="B70" s="15">
        <f>VLOOKUP(Table2[[#This Row],[Date]],'DB LEI'!$A:$F,4)</f>
        <v/>
      </c>
      <c r="C70" s="15">
        <f>VLOOKUP(Table2[[#This Row],[Date]],'DB LEI'!$A:$F,5)</f>
        <v/>
      </c>
      <c r="D70" s="15">
        <f>VLOOKUP(Table2[[#This Row],[Date]],'DB LEI'!$A:$F,6)</f>
        <v/>
      </c>
    </row>
    <row r="71">
      <c r="A71" s="14" t="n">
        <v>38473</v>
      </c>
      <c r="B71" s="15">
        <f>VLOOKUP(Table2[[#This Row],[Date]],'DB LEI'!$A:$F,4)</f>
        <v/>
      </c>
      <c r="C71" s="15">
        <f>VLOOKUP(Table2[[#This Row],[Date]],'DB LEI'!$A:$F,5)</f>
        <v/>
      </c>
      <c r="D71" s="15">
        <f>VLOOKUP(Table2[[#This Row],[Date]],'DB LEI'!$A:$F,6)</f>
        <v/>
      </c>
    </row>
    <row r="72">
      <c r="A72" s="14" t="n">
        <v>38504</v>
      </c>
      <c r="B72" s="15">
        <f>VLOOKUP(Table2[[#This Row],[Date]],'DB LEI'!$A:$F,4)</f>
        <v/>
      </c>
      <c r="C72" s="15">
        <f>VLOOKUP(Table2[[#This Row],[Date]],'DB LEI'!$A:$F,5)</f>
        <v/>
      </c>
      <c r="D72" s="15">
        <f>VLOOKUP(Table2[[#This Row],[Date]],'DB LEI'!$A:$F,6)</f>
        <v/>
      </c>
    </row>
    <row r="73">
      <c r="A73" s="14" t="n">
        <v>38534</v>
      </c>
      <c r="B73" s="15">
        <f>VLOOKUP(Table2[[#This Row],[Date]],'DB LEI'!$A:$F,4)</f>
        <v/>
      </c>
      <c r="C73" s="15">
        <f>VLOOKUP(Table2[[#This Row],[Date]],'DB LEI'!$A:$F,5)</f>
        <v/>
      </c>
      <c r="D73" s="15">
        <f>VLOOKUP(Table2[[#This Row],[Date]],'DB LEI'!$A:$F,6)</f>
        <v/>
      </c>
    </row>
    <row r="74">
      <c r="A74" s="14" t="n">
        <v>38565</v>
      </c>
      <c r="B74" s="15">
        <f>VLOOKUP(Table2[[#This Row],[Date]],'DB LEI'!$A:$F,4)</f>
        <v/>
      </c>
      <c r="C74" s="15">
        <f>VLOOKUP(Table2[[#This Row],[Date]],'DB LEI'!$A:$F,5)</f>
        <v/>
      </c>
      <c r="D74" s="15">
        <f>VLOOKUP(Table2[[#This Row],[Date]],'DB LEI'!$A:$F,6)</f>
        <v/>
      </c>
    </row>
    <row r="75">
      <c r="A75" s="14" t="n">
        <v>38596</v>
      </c>
      <c r="B75" s="15">
        <f>VLOOKUP(Table2[[#This Row],[Date]],'DB LEI'!$A:$F,4)</f>
        <v/>
      </c>
      <c r="C75" s="15">
        <f>VLOOKUP(Table2[[#This Row],[Date]],'DB LEI'!$A:$F,5)</f>
        <v/>
      </c>
      <c r="D75" s="15">
        <f>VLOOKUP(Table2[[#This Row],[Date]],'DB LEI'!$A:$F,6)</f>
        <v/>
      </c>
    </row>
    <row r="76">
      <c r="A76" s="14" t="n">
        <v>38626</v>
      </c>
      <c r="B76" s="15">
        <f>VLOOKUP(Table2[[#This Row],[Date]],'DB LEI'!$A:$F,4)</f>
        <v/>
      </c>
      <c r="C76" s="15">
        <f>VLOOKUP(Table2[[#This Row],[Date]],'DB LEI'!$A:$F,5)</f>
        <v/>
      </c>
      <c r="D76" s="15">
        <f>VLOOKUP(Table2[[#This Row],[Date]],'DB LEI'!$A:$F,6)</f>
        <v/>
      </c>
    </row>
    <row r="77">
      <c r="A77" s="14" t="n">
        <v>38657</v>
      </c>
      <c r="B77" s="15">
        <f>VLOOKUP(Table2[[#This Row],[Date]],'DB LEI'!$A:$F,4)</f>
        <v/>
      </c>
      <c r="C77" s="15">
        <f>VLOOKUP(Table2[[#This Row],[Date]],'DB LEI'!$A:$F,5)</f>
        <v/>
      </c>
      <c r="D77" s="15">
        <f>VLOOKUP(Table2[[#This Row],[Date]],'DB LEI'!$A:$F,6)</f>
        <v/>
      </c>
    </row>
    <row r="78">
      <c r="A78" s="14" t="n">
        <v>38687</v>
      </c>
      <c r="B78" s="15">
        <f>VLOOKUP(Table2[[#This Row],[Date]],'DB LEI'!$A:$F,4)</f>
        <v/>
      </c>
      <c r="C78" s="15">
        <f>VLOOKUP(Table2[[#This Row],[Date]],'DB LEI'!$A:$F,5)</f>
        <v/>
      </c>
      <c r="D78" s="15">
        <f>VLOOKUP(Table2[[#This Row],[Date]],'DB LEI'!$A:$F,6)</f>
        <v/>
      </c>
    </row>
    <row r="79">
      <c r="A79" s="14" t="n">
        <v>38718</v>
      </c>
      <c r="B79" s="15">
        <f>VLOOKUP(Table2[[#This Row],[Date]],'DB LEI'!$A:$F,4)</f>
        <v/>
      </c>
      <c r="C79" s="15">
        <f>VLOOKUP(Table2[[#This Row],[Date]],'DB LEI'!$A:$F,5)</f>
        <v/>
      </c>
      <c r="D79" s="15">
        <f>VLOOKUP(Table2[[#This Row],[Date]],'DB LEI'!$A:$F,6)</f>
        <v/>
      </c>
    </row>
    <row r="80">
      <c r="A80" s="14" t="n">
        <v>38749</v>
      </c>
      <c r="B80" s="15">
        <f>VLOOKUP(Table2[[#This Row],[Date]],'DB LEI'!$A:$F,4)</f>
        <v/>
      </c>
      <c r="C80" s="15">
        <f>VLOOKUP(Table2[[#This Row],[Date]],'DB LEI'!$A:$F,5)</f>
        <v/>
      </c>
      <c r="D80" s="15">
        <f>VLOOKUP(Table2[[#This Row],[Date]],'DB LEI'!$A:$F,6)</f>
        <v/>
      </c>
    </row>
    <row r="81">
      <c r="A81" s="14" t="n">
        <v>38777</v>
      </c>
      <c r="B81" s="15">
        <f>VLOOKUP(Table2[[#This Row],[Date]],'DB LEI'!$A:$F,4)</f>
        <v/>
      </c>
      <c r="C81" s="15">
        <f>VLOOKUP(Table2[[#This Row],[Date]],'DB LEI'!$A:$F,5)</f>
        <v/>
      </c>
      <c r="D81" s="15">
        <f>VLOOKUP(Table2[[#This Row],[Date]],'DB LEI'!$A:$F,6)</f>
        <v/>
      </c>
    </row>
    <row r="82">
      <c r="A82" s="14" t="n">
        <v>38808</v>
      </c>
      <c r="B82" s="15">
        <f>VLOOKUP(Table2[[#This Row],[Date]],'DB LEI'!$A:$F,4)</f>
        <v/>
      </c>
      <c r="C82" s="15">
        <f>VLOOKUP(Table2[[#This Row],[Date]],'DB LEI'!$A:$F,5)</f>
        <v/>
      </c>
      <c r="D82" s="15">
        <f>VLOOKUP(Table2[[#This Row],[Date]],'DB LEI'!$A:$F,6)</f>
        <v/>
      </c>
    </row>
    <row r="83">
      <c r="A83" s="14" t="n">
        <v>38838</v>
      </c>
      <c r="B83" s="15">
        <f>VLOOKUP(Table2[[#This Row],[Date]],'DB LEI'!$A:$F,4)</f>
        <v/>
      </c>
      <c r="C83" s="15">
        <f>VLOOKUP(Table2[[#This Row],[Date]],'DB LEI'!$A:$F,5)</f>
        <v/>
      </c>
      <c r="D83" s="15">
        <f>VLOOKUP(Table2[[#This Row],[Date]],'DB LEI'!$A:$F,6)</f>
        <v/>
      </c>
    </row>
    <row r="84">
      <c r="A84" s="14" t="n">
        <v>38869</v>
      </c>
      <c r="B84" s="15">
        <f>VLOOKUP(Table2[[#This Row],[Date]],'DB LEI'!$A:$F,4)</f>
        <v/>
      </c>
      <c r="C84" s="15">
        <f>VLOOKUP(Table2[[#This Row],[Date]],'DB LEI'!$A:$F,5)</f>
        <v/>
      </c>
      <c r="D84" s="15">
        <f>VLOOKUP(Table2[[#This Row],[Date]],'DB LEI'!$A:$F,6)</f>
        <v/>
      </c>
    </row>
    <row r="85">
      <c r="A85" s="14" t="n">
        <v>38899</v>
      </c>
      <c r="B85" s="15">
        <f>VLOOKUP(Table2[[#This Row],[Date]],'DB LEI'!$A:$F,4)</f>
        <v/>
      </c>
      <c r="C85" s="15">
        <f>VLOOKUP(Table2[[#This Row],[Date]],'DB LEI'!$A:$F,5)</f>
        <v/>
      </c>
      <c r="D85" s="15">
        <f>VLOOKUP(Table2[[#This Row],[Date]],'DB LEI'!$A:$F,6)</f>
        <v/>
      </c>
    </row>
    <row r="86">
      <c r="A86" s="14" t="n">
        <v>38930</v>
      </c>
      <c r="B86" s="15">
        <f>VLOOKUP(Table2[[#This Row],[Date]],'DB LEI'!$A:$F,4)</f>
        <v/>
      </c>
      <c r="C86" s="15">
        <f>VLOOKUP(Table2[[#This Row],[Date]],'DB LEI'!$A:$F,5)</f>
        <v/>
      </c>
      <c r="D86" s="15">
        <f>VLOOKUP(Table2[[#This Row],[Date]],'DB LEI'!$A:$F,6)</f>
        <v/>
      </c>
    </row>
    <row r="87">
      <c r="A87" s="14" t="n">
        <v>38961</v>
      </c>
      <c r="B87" s="15">
        <f>VLOOKUP(Table2[[#This Row],[Date]],'DB LEI'!$A:$F,4)</f>
        <v/>
      </c>
      <c r="C87" s="15">
        <f>VLOOKUP(Table2[[#This Row],[Date]],'DB LEI'!$A:$F,5)</f>
        <v/>
      </c>
      <c r="D87" s="15">
        <f>VLOOKUP(Table2[[#This Row],[Date]],'DB LEI'!$A:$F,6)</f>
        <v/>
      </c>
    </row>
    <row r="88">
      <c r="A88" s="14" t="n">
        <v>38991</v>
      </c>
      <c r="B88" s="15">
        <f>VLOOKUP(Table2[[#This Row],[Date]],'DB LEI'!$A:$F,4)</f>
        <v/>
      </c>
      <c r="C88" s="15">
        <f>VLOOKUP(Table2[[#This Row],[Date]],'DB LEI'!$A:$F,5)</f>
        <v/>
      </c>
      <c r="D88" s="15">
        <f>VLOOKUP(Table2[[#This Row],[Date]],'DB LEI'!$A:$F,6)</f>
        <v/>
      </c>
    </row>
    <row r="89">
      <c r="A89" s="14" t="n">
        <v>39022</v>
      </c>
      <c r="B89" s="15">
        <f>VLOOKUP(Table2[[#This Row],[Date]],'DB LEI'!$A:$F,4)</f>
        <v/>
      </c>
      <c r="C89" s="15">
        <f>VLOOKUP(Table2[[#This Row],[Date]],'DB LEI'!$A:$F,5)</f>
        <v/>
      </c>
      <c r="D89" s="15">
        <f>VLOOKUP(Table2[[#This Row],[Date]],'DB LEI'!$A:$F,6)</f>
        <v/>
      </c>
    </row>
    <row r="90">
      <c r="A90" s="14" t="n">
        <v>39052</v>
      </c>
      <c r="B90" s="15">
        <f>VLOOKUP(Table2[[#This Row],[Date]],'DB LEI'!$A:$F,4)</f>
        <v/>
      </c>
      <c r="C90" s="15">
        <f>VLOOKUP(Table2[[#This Row],[Date]],'DB LEI'!$A:$F,5)</f>
        <v/>
      </c>
      <c r="D90" s="15">
        <f>VLOOKUP(Table2[[#This Row],[Date]],'DB LEI'!$A:$F,6)</f>
        <v/>
      </c>
    </row>
    <row r="91">
      <c r="A91" s="14" t="n">
        <v>39083</v>
      </c>
      <c r="B91" s="15">
        <f>VLOOKUP(Table2[[#This Row],[Date]],'DB LEI'!$A:$F,4)</f>
        <v/>
      </c>
      <c r="C91" s="15">
        <f>VLOOKUP(Table2[[#This Row],[Date]],'DB LEI'!$A:$F,5)</f>
        <v/>
      </c>
      <c r="D91" s="15">
        <f>VLOOKUP(Table2[[#This Row],[Date]],'DB LEI'!$A:$F,6)</f>
        <v/>
      </c>
    </row>
    <row r="92">
      <c r="A92" s="14" t="n">
        <v>39114</v>
      </c>
      <c r="B92" s="15">
        <f>VLOOKUP(Table2[[#This Row],[Date]],'DB LEI'!$A:$F,4)</f>
        <v/>
      </c>
      <c r="C92" s="15">
        <f>VLOOKUP(Table2[[#This Row],[Date]],'DB LEI'!$A:$F,5)</f>
        <v/>
      </c>
      <c r="D92" s="15">
        <f>VLOOKUP(Table2[[#This Row],[Date]],'DB LEI'!$A:$F,6)</f>
        <v/>
      </c>
    </row>
    <row r="93">
      <c r="A93" s="14" t="n">
        <v>39142</v>
      </c>
      <c r="B93" s="15">
        <f>VLOOKUP(Table2[[#This Row],[Date]],'DB LEI'!$A:$F,4)</f>
        <v/>
      </c>
      <c r="C93" s="15">
        <f>VLOOKUP(Table2[[#This Row],[Date]],'DB LEI'!$A:$F,5)</f>
        <v/>
      </c>
      <c r="D93" s="15">
        <f>VLOOKUP(Table2[[#This Row],[Date]],'DB LEI'!$A:$F,6)</f>
        <v/>
      </c>
    </row>
    <row r="94">
      <c r="A94" s="14" t="n">
        <v>39173</v>
      </c>
      <c r="B94" s="15">
        <f>VLOOKUP(Table2[[#This Row],[Date]],'DB LEI'!$A:$F,4)</f>
        <v/>
      </c>
      <c r="C94" s="15">
        <f>VLOOKUP(Table2[[#This Row],[Date]],'DB LEI'!$A:$F,5)</f>
        <v/>
      </c>
      <c r="D94" s="15">
        <f>VLOOKUP(Table2[[#This Row],[Date]],'DB LEI'!$A:$F,6)</f>
        <v/>
      </c>
    </row>
    <row r="95">
      <c r="A95" s="14" t="n">
        <v>39203</v>
      </c>
      <c r="B95" s="15">
        <f>VLOOKUP(Table2[[#This Row],[Date]],'DB LEI'!$A:$F,4)</f>
        <v/>
      </c>
      <c r="C95" s="15">
        <f>VLOOKUP(Table2[[#This Row],[Date]],'DB LEI'!$A:$F,5)</f>
        <v/>
      </c>
      <c r="D95" s="15">
        <f>VLOOKUP(Table2[[#This Row],[Date]],'DB LEI'!$A:$F,6)</f>
        <v/>
      </c>
    </row>
    <row r="96">
      <c r="A96" s="14" t="n">
        <v>39234</v>
      </c>
      <c r="B96" s="15">
        <f>VLOOKUP(Table2[[#This Row],[Date]],'DB LEI'!$A:$F,4)</f>
        <v/>
      </c>
      <c r="C96" s="15">
        <f>VLOOKUP(Table2[[#This Row],[Date]],'DB LEI'!$A:$F,5)</f>
        <v/>
      </c>
      <c r="D96" s="15">
        <f>VLOOKUP(Table2[[#This Row],[Date]],'DB LEI'!$A:$F,6)</f>
        <v/>
      </c>
    </row>
    <row r="97">
      <c r="A97" s="14" t="n">
        <v>39264</v>
      </c>
      <c r="B97" s="15">
        <f>VLOOKUP(Table2[[#This Row],[Date]],'DB LEI'!$A:$F,4)</f>
        <v/>
      </c>
      <c r="C97" s="15">
        <f>VLOOKUP(Table2[[#This Row],[Date]],'DB LEI'!$A:$F,5)</f>
        <v/>
      </c>
      <c r="D97" s="15">
        <f>VLOOKUP(Table2[[#This Row],[Date]],'DB LEI'!$A:$F,6)</f>
        <v/>
      </c>
    </row>
    <row r="98">
      <c r="A98" s="14" t="n">
        <v>39295</v>
      </c>
      <c r="B98" s="15">
        <f>VLOOKUP(Table2[[#This Row],[Date]],'DB LEI'!$A:$F,4)</f>
        <v/>
      </c>
      <c r="C98" s="15">
        <f>VLOOKUP(Table2[[#This Row],[Date]],'DB LEI'!$A:$F,5)</f>
        <v/>
      </c>
      <c r="D98" s="15">
        <f>VLOOKUP(Table2[[#This Row],[Date]],'DB LEI'!$A:$F,6)</f>
        <v/>
      </c>
    </row>
    <row r="99">
      <c r="A99" s="14" t="n">
        <v>39326</v>
      </c>
      <c r="B99" s="15">
        <f>VLOOKUP(Table2[[#This Row],[Date]],'DB LEI'!$A:$F,4)</f>
        <v/>
      </c>
      <c r="C99" s="15">
        <f>VLOOKUP(Table2[[#This Row],[Date]],'DB LEI'!$A:$F,5)</f>
        <v/>
      </c>
      <c r="D99" s="15">
        <f>VLOOKUP(Table2[[#This Row],[Date]],'DB LEI'!$A:$F,6)</f>
        <v/>
      </c>
    </row>
    <row r="100">
      <c r="A100" s="14" t="n">
        <v>39356</v>
      </c>
      <c r="B100" s="15">
        <f>VLOOKUP(Table2[[#This Row],[Date]],'DB LEI'!$A:$F,4)</f>
        <v/>
      </c>
      <c r="C100" s="15">
        <f>VLOOKUP(Table2[[#This Row],[Date]],'DB LEI'!$A:$F,5)</f>
        <v/>
      </c>
      <c r="D100" s="15">
        <f>VLOOKUP(Table2[[#This Row],[Date]],'DB LEI'!$A:$F,6)</f>
        <v/>
      </c>
    </row>
    <row r="101">
      <c r="A101" s="14" t="n">
        <v>39387</v>
      </c>
      <c r="B101" s="15">
        <f>VLOOKUP(Table2[[#This Row],[Date]],'DB LEI'!$A:$F,4)</f>
        <v/>
      </c>
      <c r="C101" s="15">
        <f>VLOOKUP(Table2[[#This Row],[Date]],'DB LEI'!$A:$F,5)</f>
        <v/>
      </c>
      <c r="D101" s="15">
        <f>VLOOKUP(Table2[[#This Row],[Date]],'DB LEI'!$A:$F,6)</f>
        <v/>
      </c>
    </row>
    <row r="102">
      <c r="A102" s="14" t="n">
        <v>39417</v>
      </c>
      <c r="B102" s="15">
        <f>VLOOKUP(Table2[[#This Row],[Date]],'DB LEI'!$A:$F,4)</f>
        <v/>
      </c>
      <c r="C102" s="15">
        <f>VLOOKUP(Table2[[#This Row],[Date]],'DB LEI'!$A:$F,5)</f>
        <v/>
      </c>
      <c r="D102" s="15">
        <f>VLOOKUP(Table2[[#This Row],[Date]],'DB LEI'!$A:$F,6)</f>
        <v/>
      </c>
    </row>
    <row r="103">
      <c r="A103" s="14" t="n">
        <v>39448</v>
      </c>
      <c r="B103" s="15">
        <f>VLOOKUP(Table2[[#This Row],[Date]],'DB LEI'!$A:$F,4)</f>
        <v/>
      </c>
      <c r="C103" s="15">
        <f>VLOOKUP(Table2[[#This Row],[Date]],'DB LEI'!$A:$F,5)</f>
        <v/>
      </c>
      <c r="D103" s="15">
        <f>VLOOKUP(Table2[[#This Row],[Date]],'DB LEI'!$A:$F,6)</f>
        <v/>
      </c>
    </row>
    <row r="104">
      <c r="A104" s="14" t="n">
        <v>39479</v>
      </c>
      <c r="B104" s="15">
        <f>VLOOKUP(Table2[[#This Row],[Date]],'DB LEI'!$A:$F,4)</f>
        <v/>
      </c>
      <c r="C104" s="15">
        <f>VLOOKUP(Table2[[#This Row],[Date]],'DB LEI'!$A:$F,5)</f>
        <v/>
      </c>
      <c r="D104" s="15">
        <f>VLOOKUP(Table2[[#This Row],[Date]],'DB LEI'!$A:$F,6)</f>
        <v/>
      </c>
    </row>
    <row r="105">
      <c r="A105" s="14" t="n">
        <v>39508</v>
      </c>
      <c r="B105" s="15">
        <f>VLOOKUP(Table2[[#This Row],[Date]],'DB LEI'!$A:$F,4)</f>
        <v/>
      </c>
      <c r="C105" s="15">
        <f>VLOOKUP(Table2[[#This Row],[Date]],'DB LEI'!$A:$F,5)</f>
        <v/>
      </c>
      <c r="D105" s="15">
        <f>VLOOKUP(Table2[[#This Row],[Date]],'DB LEI'!$A:$F,6)</f>
        <v/>
      </c>
    </row>
    <row r="106">
      <c r="A106" s="14" t="n">
        <v>39539</v>
      </c>
      <c r="B106" s="15">
        <f>VLOOKUP(Table2[[#This Row],[Date]],'DB LEI'!$A:$F,4)</f>
        <v/>
      </c>
      <c r="C106" s="15">
        <f>VLOOKUP(Table2[[#This Row],[Date]],'DB LEI'!$A:$F,5)</f>
        <v/>
      </c>
      <c r="D106" s="15">
        <f>VLOOKUP(Table2[[#This Row],[Date]],'DB LEI'!$A:$F,6)</f>
        <v/>
      </c>
    </row>
    <row r="107">
      <c r="A107" s="14" t="n">
        <v>39569</v>
      </c>
      <c r="B107" s="15">
        <f>VLOOKUP(Table2[[#This Row],[Date]],'DB LEI'!$A:$F,4)</f>
        <v/>
      </c>
      <c r="C107" s="15">
        <f>VLOOKUP(Table2[[#This Row],[Date]],'DB LEI'!$A:$F,5)</f>
        <v/>
      </c>
      <c r="D107" s="15">
        <f>VLOOKUP(Table2[[#This Row],[Date]],'DB LEI'!$A:$F,6)</f>
        <v/>
      </c>
    </row>
    <row r="108">
      <c r="A108" s="14" t="n">
        <v>39600</v>
      </c>
      <c r="B108" s="15">
        <f>VLOOKUP(Table2[[#This Row],[Date]],'DB LEI'!$A:$F,4)</f>
        <v/>
      </c>
      <c r="C108" s="15">
        <f>VLOOKUP(Table2[[#This Row],[Date]],'DB LEI'!$A:$F,5)</f>
        <v/>
      </c>
      <c r="D108" s="15">
        <f>VLOOKUP(Table2[[#This Row],[Date]],'DB LEI'!$A:$F,6)</f>
        <v/>
      </c>
    </row>
    <row r="109">
      <c r="A109" s="14" t="n">
        <v>39630</v>
      </c>
      <c r="B109" s="15">
        <f>VLOOKUP(Table2[[#This Row],[Date]],'DB LEI'!$A:$F,4)</f>
        <v/>
      </c>
      <c r="C109" s="15">
        <f>VLOOKUP(Table2[[#This Row],[Date]],'DB LEI'!$A:$F,5)</f>
        <v/>
      </c>
      <c r="D109" s="15">
        <f>VLOOKUP(Table2[[#This Row],[Date]],'DB LEI'!$A:$F,6)</f>
        <v/>
      </c>
    </row>
    <row r="110">
      <c r="A110" s="14" t="n">
        <v>39661</v>
      </c>
      <c r="B110" s="15">
        <f>VLOOKUP(Table2[[#This Row],[Date]],'DB LEI'!$A:$F,4)</f>
        <v/>
      </c>
      <c r="C110" s="15">
        <f>VLOOKUP(Table2[[#This Row],[Date]],'DB LEI'!$A:$F,5)</f>
        <v/>
      </c>
      <c r="D110" s="15">
        <f>VLOOKUP(Table2[[#This Row],[Date]],'DB LEI'!$A:$F,6)</f>
        <v/>
      </c>
    </row>
    <row r="111">
      <c r="A111" s="14" t="n">
        <v>39692</v>
      </c>
      <c r="B111" s="15">
        <f>VLOOKUP(Table2[[#This Row],[Date]],'DB LEI'!$A:$F,4)</f>
        <v/>
      </c>
      <c r="C111" s="15">
        <f>VLOOKUP(Table2[[#This Row],[Date]],'DB LEI'!$A:$F,5)</f>
        <v/>
      </c>
      <c r="D111" s="15">
        <f>VLOOKUP(Table2[[#This Row],[Date]],'DB LEI'!$A:$F,6)</f>
        <v/>
      </c>
    </row>
    <row r="112">
      <c r="A112" s="14" t="n">
        <v>39722</v>
      </c>
      <c r="B112" s="15">
        <f>VLOOKUP(Table2[[#This Row],[Date]],'DB LEI'!$A:$F,4)</f>
        <v/>
      </c>
      <c r="C112" s="15">
        <f>VLOOKUP(Table2[[#This Row],[Date]],'DB LEI'!$A:$F,5)</f>
        <v/>
      </c>
      <c r="D112" s="15">
        <f>VLOOKUP(Table2[[#This Row],[Date]],'DB LEI'!$A:$F,6)</f>
        <v/>
      </c>
    </row>
    <row r="113">
      <c r="A113" s="14" t="n">
        <v>39753</v>
      </c>
      <c r="B113" s="15">
        <f>VLOOKUP(Table2[[#This Row],[Date]],'DB LEI'!$A:$F,4)</f>
        <v/>
      </c>
      <c r="C113" s="15">
        <f>VLOOKUP(Table2[[#This Row],[Date]],'DB LEI'!$A:$F,5)</f>
        <v/>
      </c>
      <c r="D113" s="15">
        <f>VLOOKUP(Table2[[#This Row],[Date]],'DB LEI'!$A:$F,6)</f>
        <v/>
      </c>
    </row>
    <row r="114">
      <c r="A114" s="14" t="n">
        <v>39783</v>
      </c>
      <c r="B114" s="15">
        <f>VLOOKUP(Table2[[#This Row],[Date]],'DB LEI'!$A:$F,4)</f>
        <v/>
      </c>
      <c r="C114" s="15">
        <f>VLOOKUP(Table2[[#This Row],[Date]],'DB LEI'!$A:$F,5)</f>
        <v/>
      </c>
      <c r="D114" s="15">
        <f>VLOOKUP(Table2[[#This Row],[Date]],'DB LEI'!$A:$F,6)</f>
        <v/>
      </c>
    </row>
    <row r="115">
      <c r="A115" s="14" t="n">
        <v>39814</v>
      </c>
      <c r="B115" s="15">
        <f>VLOOKUP(Table2[[#This Row],[Date]],'DB LEI'!$A:$F,4)</f>
        <v/>
      </c>
      <c r="C115" s="15">
        <f>VLOOKUP(Table2[[#This Row],[Date]],'DB LEI'!$A:$F,5)</f>
        <v/>
      </c>
      <c r="D115" s="15">
        <f>VLOOKUP(Table2[[#This Row],[Date]],'DB LEI'!$A:$F,6)</f>
        <v/>
      </c>
    </row>
    <row r="116">
      <c r="A116" s="14" t="n">
        <v>39845</v>
      </c>
      <c r="B116" s="15">
        <f>VLOOKUP(Table2[[#This Row],[Date]],'DB LEI'!$A:$F,4)</f>
        <v/>
      </c>
      <c r="C116" s="15">
        <f>VLOOKUP(Table2[[#This Row],[Date]],'DB LEI'!$A:$F,5)</f>
        <v/>
      </c>
      <c r="D116" s="15">
        <f>VLOOKUP(Table2[[#This Row],[Date]],'DB LEI'!$A:$F,6)</f>
        <v/>
      </c>
    </row>
    <row r="117">
      <c r="A117" s="14" t="n">
        <v>39873</v>
      </c>
      <c r="B117" s="15">
        <f>VLOOKUP(Table2[[#This Row],[Date]],'DB LEI'!$A:$F,4)</f>
        <v/>
      </c>
      <c r="C117" s="15">
        <f>VLOOKUP(Table2[[#This Row],[Date]],'DB LEI'!$A:$F,5)</f>
        <v/>
      </c>
      <c r="D117" s="15">
        <f>VLOOKUP(Table2[[#This Row],[Date]],'DB LEI'!$A:$F,6)</f>
        <v/>
      </c>
    </row>
    <row r="118">
      <c r="A118" s="14" t="n">
        <v>39904</v>
      </c>
      <c r="B118" s="15">
        <f>VLOOKUP(Table2[[#This Row],[Date]],'DB LEI'!$A:$F,4)</f>
        <v/>
      </c>
      <c r="C118" s="15">
        <f>VLOOKUP(Table2[[#This Row],[Date]],'DB LEI'!$A:$F,5)</f>
        <v/>
      </c>
      <c r="D118" s="15">
        <f>VLOOKUP(Table2[[#This Row],[Date]],'DB LEI'!$A:$F,6)</f>
        <v/>
      </c>
    </row>
    <row r="119">
      <c r="A119" s="14" t="n">
        <v>39934</v>
      </c>
      <c r="B119" s="15">
        <f>VLOOKUP(Table2[[#This Row],[Date]],'DB LEI'!$A:$F,4)</f>
        <v/>
      </c>
      <c r="C119" s="15">
        <f>VLOOKUP(Table2[[#This Row],[Date]],'DB LEI'!$A:$F,5)</f>
        <v/>
      </c>
      <c r="D119" s="15">
        <f>VLOOKUP(Table2[[#This Row],[Date]],'DB LEI'!$A:$F,6)</f>
        <v/>
      </c>
    </row>
    <row r="120">
      <c r="A120" s="14" t="n">
        <v>39973</v>
      </c>
      <c r="B120" s="15">
        <f>VLOOKUP(Table2[[#This Row],[Date]],'DB LEI'!$A:$F,4)</f>
        <v/>
      </c>
      <c r="C120" s="15">
        <f>VLOOKUP(Table2[[#This Row],[Date]],'DB LEI'!$A:$F,5)</f>
        <v/>
      </c>
      <c r="D120" s="15">
        <f>VLOOKUP(Table2[[#This Row],[Date]],'DB LEI'!$A:$F,6)</f>
        <v/>
      </c>
    </row>
    <row r="121">
      <c r="A121" s="14" t="n">
        <v>39995</v>
      </c>
      <c r="B121" s="15">
        <f>VLOOKUP(Table2[[#This Row],[Date]],'DB LEI'!$A:$F,4)</f>
        <v/>
      </c>
      <c r="C121" s="15">
        <f>VLOOKUP(Table2[[#This Row],[Date]],'DB LEI'!$A:$F,5)</f>
        <v/>
      </c>
      <c r="D121" s="15">
        <f>VLOOKUP(Table2[[#This Row],[Date]],'DB LEI'!$A:$F,6)</f>
        <v/>
      </c>
    </row>
    <row r="122">
      <c r="A122" s="14" t="n">
        <v>40026</v>
      </c>
      <c r="B122" s="15">
        <f>VLOOKUP(Table2[[#This Row],[Date]],'DB LEI'!$A:$F,4)</f>
        <v/>
      </c>
      <c r="C122" s="15">
        <f>VLOOKUP(Table2[[#This Row],[Date]],'DB LEI'!$A:$F,5)</f>
        <v/>
      </c>
      <c r="D122" s="15">
        <f>VLOOKUP(Table2[[#This Row],[Date]],'DB LEI'!$A:$F,6)</f>
        <v/>
      </c>
    </row>
    <row r="123">
      <c r="A123" s="14" t="n">
        <v>40057</v>
      </c>
      <c r="B123" s="15">
        <f>VLOOKUP(Table2[[#This Row],[Date]],'DB LEI'!$A:$F,4)</f>
        <v/>
      </c>
      <c r="C123" s="15">
        <f>VLOOKUP(Table2[[#This Row],[Date]],'DB LEI'!$A:$F,5)</f>
        <v/>
      </c>
      <c r="D123" s="15">
        <f>VLOOKUP(Table2[[#This Row],[Date]],'DB LEI'!$A:$F,6)</f>
        <v/>
      </c>
    </row>
    <row r="124">
      <c r="A124" s="14" t="n">
        <v>40087</v>
      </c>
      <c r="B124" s="15">
        <f>VLOOKUP(Table2[[#This Row],[Date]],'DB LEI'!$A:$F,4)</f>
        <v/>
      </c>
      <c r="C124" s="15">
        <f>VLOOKUP(Table2[[#This Row],[Date]],'DB LEI'!$A:$F,5)</f>
        <v/>
      </c>
      <c r="D124" s="15">
        <f>VLOOKUP(Table2[[#This Row],[Date]],'DB LEI'!$A:$F,6)</f>
        <v/>
      </c>
    </row>
    <row r="125">
      <c r="A125" s="14" t="n">
        <v>40118</v>
      </c>
      <c r="B125" s="15">
        <f>VLOOKUP(Table2[[#This Row],[Date]],'DB LEI'!$A:$F,4)</f>
        <v/>
      </c>
      <c r="C125" s="15">
        <f>VLOOKUP(Table2[[#This Row],[Date]],'DB LEI'!$A:$F,5)</f>
        <v/>
      </c>
      <c r="D125" s="15">
        <f>VLOOKUP(Table2[[#This Row],[Date]],'DB LEI'!$A:$F,6)</f>
        <v/>
      </c>
    </row>
    <row r="126">
      <c r="A126" s="14" t="n">
        <v>40148</v>
      </c>
      <c r="B126" s="15">
        <f>VLOOKUP(Table2[[#This Row],[Date]],'DB LEI'!$A:$F,4)</f>
        <v/>
      </c>
      <c r="C126" s="15">
        <f>VLOOKUP(Table2[[#This Row],[Date]],'DB LEI'!$A:$F,5)</f>
        <v/>
      </c>
      <c r="D126" s="15">
        <f>VLOOKUP(Table2[[#This Row],[Date]],'DB LEI'!$A:$F,6)</f>
        <v/>
      </c>
    </row>
    <row r="127">
      <c r="A127" s="14" t="n">
        <v>40179</v>
      </c>
      <c r="B127" s="15">
        <f>VLOOKUP(Table2[[#This Row],[Date]],'DB LEI'!$A:$F,4)</f>
        <v/>
      </c>
      <c r="C127" s="15">
        <f>VLOOKUP(Table2[[#This Row],[Date]],'DB LEI'!$A:$F,5)</f>
        <v/>
      </c>
      <c r="D127" s="15">
        <f>VLOOKUP(Table2[[#This Row],[Date]],'DB LEI'!$A:$F,6)</f>
        <v/>
      </c>
    </row>
    <row r="128">
      <c r="A128" s="14" t="n">
        <v>40210</v>
      </c>
      <c r="B128" s="15">
        <f>VLOOKUP(Table2[[#This Row],[Date]],'DB LEI'!$A:$F,4)</f>
        <v/>
      </c>
      <c r="C128" s="15">
        <f>VLOOKUP(Table2[[#This Row],[Date]],'DB LEI'!$A:$F,5)</f>
        <v/>
      </c>
      <c r="D128" s="15">
        <f>VLOOKUP(Table2[[#This Row],[Date]],'DB LEI'!$A:$F,6)</f>
        <v/>
      </c>
    </row>
    <row r="129">
      <c r="A129" s="14" t="n">
        <v>40238</v>
      </c>
      <c r="B129" s="15">
        <f>VLOOKUP(Table2[[#This Row],[Date]],'DB LEI'!$A:$F,4)</f>
        <v/>
      </c>
      <c r="C129" s="15">
        <f>VLOOKUP(Table2[[#This Row],[Date]],'DB LEI'!$A:$F,5)</f>
        <v/>
      </c>
      <c r="D129" s="15">
        <f>VLOOKUP(Table2[[#This Row],[Date]],'DB LEI'!$A:$F,6)</f>
        <v/>
      </c>
    </row>
    <row r="130">
      <c r="A130" s="14" t="n">
        <v>40269</v>
      </c>
      <c r="B130" s="15">
        <f>VLOOKUP(Table2[[#This Row],[Date]],'DB LEI'!$A:$F,4)</f>
        <v/>
      </c>
      <c r="C130" s="15">
        <f>VLOOKUP(Table2[[#This Row],[Date]],'DB LEI'!$A:$F,5)</f>
        <v/>
      </c>
      <c r="D130" s="15">
        <f>VLOOKUP(Table2[[#This Row],[Date]],'DB LEI'!$A:$F,6)</f>
        <v/>
      </c>
    </row>
    <row r="131">
      <c r="A131" s="14" t="n">
        <v>40299</v>
      </c>
      <c r="B131" s="15">
        <f>VLOOKUP(Table2[[#This Row],[Date]],'DB LEI'!$A:$F,4)</f>
        <v/>
      </c>
      <c r="C131" s="15">
        <f>VLOOKUP(Table2[[#This Row],[Date]],'DB LEI'!$A:$F,5)</f>
        <v/>
      </c>
      <c r="D131" s="15">
        <f>VLOOKUP(Table2[[#This Row],[Date]],'DB LEI'!$A:$F,6)</f>
        <v/>
      </c>
    </row>
    <row r="132">
      <c r="A132" s="14" t="n">
        <v>40330</v>
      </c>
      <c r="B132" s="15">
        <f>VLOOKUP(Table2[[#This Row],[Date]],'DB LEI'!$A:$F,4)</f>
        <v/>
      </c>
      <c r="C132" s="15">
        <f>VLOOKUP(Table2[[#This Row],[Date]],'DB LEI'!$A:$F,5)</f>
        <v/>
      </c>
      <c r="D132" s="15">
        <f>VLOOKUP(Table2[[#This Row],[Date]],'DB LEI'!$A:$F,6)</f>
        <v/>
      </c>
    </row>
    <row r="133">
      <c r="A133" s="14" t="n">
        <v>40360</v>
      </c>
      <c r="B133" s="15">
        <f>VLOOKUP(Table2[[#This Row],[Date]],'DB LEI'!$A:$F,4)</f>
        <v/>
      </c>
      <c r="C133" s="15">
        <f>VLOOKUP(Table2[[#This Row],[Date]],'DB LEI'!$A:$F,5)</f>
        <v/>
      </c>
      <c r="D133" s="15">
        <f>VLOOKUP(Table2[[#This Row],[Date]],'DB LEI'!$A:$F,6)</f>
        <v/>
      </c>
    </row>
    <row r="134">
      <c r="A134" s="14" t="n">
        <v>40391</v>
      </c>
      <c r="B134" s="15">
        <f>VLOOKUP(Table2[[#This Row],[Date]],'DB LEI'!$A:$F,4)</f>
        <v/>
      </c>
      <c r="C134" s="15">
        <f>VLOOKUP(Table2[[#This Row],[Date]],'DB LEI'!$A:$F,5)</f>
        <v/>
      </c>
      <c r="D134" s="15">
        <f>VLOOKUP(Table2[[#This Row],[Date]],'DB LEI'!$A:$F,6)</f>
        <v/>
      </c>
    </row>
    <row r="135">
      <c r="A135" s="14" t="n">
        <v>40422</v>
      </c>
      <c r="B135" s="15">
        <f>VLOOKUP(Table2[[#This Row],[Date]],'DB LEI'!$A:$F,4)</f>
        <v/>
      </c>
      <c r="C135" s="15">
        <f>VLOOKUP(Table2[[#This Row],[Date]],'DB LEI'!$A:$F,5)</f>
        <v/>
      </c>
      <c r="D135" s="15">
        <f>VLOOKUP(Table2[[#This Row],[Date]],'DB LEI'!$A:$F,6)</f>
        <v/>
      </c>
    </row>
    <row r="136">
      <c r="A136" s="14" t="n">
        <v>40452</v>
      </c>
      <c r="B136" s="15">
        <f>VLOOKUP(Table2[[#This Row],[Date]],'DB LEI'!$A:$F,4)</f>
        <v/>
      </c>
      <c r="C136" s="15">
        <f>VLOOKUP(Table2[[#This Row],[Date]],'DB LEI'!$A:$F,5)</f>
        <v/>
      </c>
      <c r="D136" s="15">
        <f>VLOOKUP(Table2[[#This Row],[Date]],'DB LEI'!$A:$F,6)</f>
        <v/>
      </c>
    </row>
    <row r="137">
      <c r="A137" s="14" t="n">
        <v>40483</v>
      </c>
      <c r="B137" s="15">
        <f>VLOOKUP(Table2[[#This Row],[Date]],'DB LEI'!$A:$F,4)</f>
        <v/>
      </c>
      <c r="C137" s="15">
        <f>VLOOKUP(Table2[[#This Row],[Date]],'DB LEI'!$A:$F,5)</f>
        <v/>
      </c>
      <c r="D137" s="15">
        <f>VLOOKUP(Table2[[#This Row],[Date]],'DB LEI'!$A:$F,6)</f>
        <v/>
      </c>
    </row>
    <row r="138">
      <c r="A138" s="14" t="n">
        <v>40513</v>
      </c>
      <c r="B138" s="15">
        <f>VLOOKUP(Table2[[#This Row],[Date]],'DB LEI'!$A:$F,4)</f>
        <v/>
      </c>
      <c r="C138" s="15">
        <f>VLOOKUP(Table2[[#This Row],[Date]],'DB LEI'!$A:$F,5)</f>
        <v/>
      </c>
      <c r="D138" s="15">
        <f>VLOOKUP(Table2[[#This Row],[Date]],'DB LEI'!$A:$F,6)</f>
        <v/>
      </c>
    </row>
    <row r="139">
      <c r="A139" s="14" t="n">
        <v>40544</v>
      </c>
      <c r="B139" s="15">
        <f>VLOOKUP(Table2[[#This Row],[Date]],'DB LEI'!$A:$F,4)</f>
        <v/>
      </c>
      <c r="C139" s="15">
        <f>VLOOKUP(Table2[[#This Row],[Date]],'DB LEI'!$A:$F,5)</f>
        <v/>
      </c>
      <c r="D139" s="15">
        <f>VLOOKUP(Table2[[#This Row],[Date]],'DB LEI'!$A:$F,6)</f>
        <v/>
      </c>
    </row>
    <row r="140">
      <c r="A140" s="14" t="n">
        <v>40575</v>
      </c>
      <c r="B140" s="15">
        <f>VLOOKUP(Table2[[#This Row],[Date]],'DB LEI'!$A:$F,4)</f>
        <v/>
      </c>
      <c r="C140" s="15">
        <f>VLOOKUP(Table2[[#This Row],[Date]],'DB LEI'!$A:$F,5)</f>
        <v/>
      </c>
      <c r="D140" s="15">
        <f>VLOOKUP(Table2[[#This Row],[Date]],'DB LEI'!$A:$F,6)</f>
        <v/>
      </c>
    </row>
    <row r="141">
      <c r="A141" s="14" t="n">
        <v>40603</v>
      </c>
      <c r="B141" s="15">
        <f>VLOOKUP(Table2[[#This Row],[Date]],'DB LEI'!$A:$F,4)</f>
        <v/>
      </c>
      <c r="C141" s="15">
        <f>VLOOKUP(Table2[[#This Row],[Date]],'DB LEI'!$A:$F,5)</f>
        <v/>
      </c>
      <c r="D141" s="15">
        <f>VLOOKUP(Table2[[#This Row],[Date]],'DB LEI'!$A:$F,6)</f>
        <v/>
      </c>
    </row>
    <row r="142">
      <c r="A142" s="14" t="n">
        <v>40634</v>
      </c>
      <c r="B142" s="15">
        <f>VLOOKUP(Table2[[#This Row],[Date]],'DB LEI'!$A:$F,4)</f>
        <v/>
      </c>
      <c r="C142" s="15">
        <f>VLOOKUP(Table2[[#This Row],[Date]],'DB LEI'!$A:$F,5)</f>
        <v/>
      </c>
      <c r="D142" s="15">
        <f>VLOOKUP(Table2[[#This Row],[Date]],'DB LEI'!$A:$F,6)</f>
        <v/>
      </c>
    </row>
    <row r="143">
      <c r="A143" s="14" t="n">
        <v>40664</v>
      </c>
      <c r="B143" s="15">
        <f>VLOOKUP(Table2[[#This Row],[Date]],'DB LEI'!$A:$F,4)</f>
        <v/>
      </c>
      <c r="C143" s="15">
        <f>VLOOKUP(Table2[[#This Row],[Date]],'DB LEI'!$A:$F,5)</f>
        <v/>
      </c>
      <c r="D143" s="15">
        <f>VLOOKUP(Table2[[#This Row],[Date]],'DB LEI'!$A:$F,6)</f>
        <v/>
      </c>
    </row>
    <row r="144">
      <c r="A144" s="14" t="n">
        <v>40695</v>
      </c>
      <c r="B144" s="15">
        <f>VLOOKUP(Table2[[#This Row],[Date]],'DB LEI'!$A:$F,4)</f>
        <v/>
      </c>
      <c r="C144" s="15">
        <f>VLOOKUP(Table2[[#This Row],[Date]],'DB LEI'!$A:$F,5)</f>
        <v/>
      </c>
      <c r="D144" s="15">
        <f>VLOOKUP(Table2[[#This Row],[Date]],'DB LEI'!$A:$F,6)</f>
        <v/>
      </c>
    </row>
    <row r="145">
      <c r="A145" s="14" t="n">
        <v>40725</v>
      </c>
      <c r="B145" s="15">
        <f>VLOOKUP(Table2[[#This Row],[Date]],'DB LEI'!$A:$F,4)</f>
        <v/>
      </c>
      <c r="C145" s="15">
        <f>VLOOKUP(Table2[[#This Row],[Date]],'DB LEI'!$A:$F,5)</f>
        <v/>
      </c>
      <c r="D145" s="15">
        <f>VLOOKUP(Table2[[#This Row],[Date]],'DB LEI'!$A:$F,6)</f>
        <v/>
      </c>
    </row>
    <row r="146">
      <c r="A146" s="14" t="n">
        <v>40756</v>
      </c>
      <c r="B146" s="15">
        <f>VLOOKUP(Table2[[#This Row],[Date]],'DB LEI'!$A:$F,4)</f>
        <v/>
      </c>
      <c r="C146" s="15">
        <f>VLOOKUP(Table2[[#This Row],[Date]],'DB LEI'!$A:$F,5)</f>
        <v/>
      </c>
      <c r="D146" s="15">
        <f>VLOOKUP(Table2[[#This Row],[Date]],'DB LEI'!$A:$F,6)</f>
        <v/>
      </c>
    </row>
    <row r="147">
      <c r="A147" s="14" t="n">
        <v>40787</v>
      </c>
      <c r="B147" s="15">
        <f>VLOOKUP(Table2[[#This Row],[Date]],'DB LEI'!$A:$F,4)</f>
        <v/>
      </c>
      <c r="C147" s="15">
        <f>VLOOKUP(Table2[[#This Row],[Date]],'DB LEI'!$A:$F,5)</f>
        <v/>
      </c>
      <c r="D147" s="15">
        <f>VLOOKUP(Table2[[#This Row],[Date]],'DB LEI'!$A:$F,6)</f>
        <v/>
      </c>
    </row>
    <row r="148">
      <c r="A148" s="14" t="n">
        <v>40817</v>
      </c>
      <c r="B148" s="15">
        <f>VLOOKUP(Table2[[#This Row],[Date]],'DB LEI'!$A:$F,4)</f>
        <v/>
      </c>
      <c r="C148" s="15">
        <f>VLOOKUP(Table2[[#This Row],[Date]],'DB LEI'!$A:$F,5)</f>
        <v/>
      </c>
      <c r="D148" s="15">
        <f>VLOOKUP(Table2[[#This Row],[Date]],'DB LEI'!$A:$F,6)</f>
        <v/>
      </c>
    </row>
    <row r="149">
      <c r="A149" s="14" t="n">
        <v>40848</v>
      </c>
      <c r="B149" s="15">
        <f>VLOOKUP(Table2[[#This Row],[Date]],'DB LEI'!$A:$F,4)</f>
        <v/>
      </c>
      <c r="C149" s="15">
        <f>VLOOKUP(Table2[[#This Row],[Date]],'DB LEI'!$A:$F,5)</f>
        <v/>
      </c>
      <c r="D149" s="15">
        <f>VLOOKUP(Table2[[#This Row],[Date]],'DB LEI'!$A:$F,6)</f>
        <v/>
      </c>
    </row>
    <row r="150">
      <c r="A150" s="14" t="n">
        <v>40878</v>
      </c>
      <c r="B150" s="15">
        <f>VLOOKUP(Table2[[#This Row],[Date]],'DB LEI'!$A:$F,4)</f>
        <v/>
      </c>
      <c r="C150" s="15">
        <f>VLOOKUP(Table2[[#This Row],[Date]],'DB LEI'!$A:$F,5)</f>
        <v/>
      </c>
      <c r="D150" s="15">
        <f>VLOOKUP(Table2[[#This Row],[Date]],'DB LEI'!$A:$F,6)</f>
        <v/>
      </c>
    </row>
    <row r="151">
      <c r="A151" s="14" t="n">
        <v>40909</v>
      </c>
      <c r="B151" s="15">
        <f>VLOOKUP(Table2[[#This Row],[Date]],'DB LEI'!$A:$F,4)</f>
        <v/>
      </c>
      <c r="C151" s="15">
        <f>VLOOKUP(Table2[[#This Row],[Date]],'DB LEI'!$A:$F,5)</f>
        <v/>
      </c>
      <c r="D151" s="15">
        <f>VLOOKUP(Table2[[#This Row],[Date]],'DB LEI'!$A:$F,6)</f>
        <v/>
      </c>
    </row>
    <row r="152">
      <c r="A152" s="14" t="n">
        <v>40940</v>
      </c>
      <c r="B152" s="15">
        <f>VLOOKUP(Table2[[#This Row],[Date]],'DB LEI'!$A:$F,4)</f>
        <v/>
      </c>
      <c r="C152" s="15">
        <f>VLOOKUP(Table2[[#This Row],[Date]],'DB LEI'!$A:$F,5)</f>
        <v/>
      </c>
      <c r="D152" s="15">
        <f>VLOOKUP(Table2[[#This Row],[Date]],'DB LEI'!$A:$F,6)</f>
        <v/>
      </c>
    </row>
    <row r="153">
      <c r="A153" s="14" t="n">
        <v>40969</v>
      </c>
      <c r="B153" s="15">
        <f>VLOOKUP(Table2[[#This Row],[Date]],'DB LEI'!$A:$F,4)</f>
        <v/>
      </c>
      <c r="C153" s="15">
        <f>VLOOKUP(Table2[[#This Row],[Date]],'DB LEI'!$A:$F,5)</f>
        <v/>
      </c>
      <c r="D153" s="15">
        <f>VLOOKUP(Table2[[#This Row],[Date]],'DB LEI'!$A:$F,6)</f>
        <v/>
      </c>
    </row>
    <row r="154">
      <c r="A154" s="14" t="n">
        <v>41000</v>
      </c>
      <c r="B154" s="15">
        <f>VLOOKUP(Table2[[#This Row],[Date]],'DB LEI'!$A:$F,4)</f>
        <v/>
      </c>
      <c r="C154" s="15">
        <f>VLOOKUP(Table2[[#This Row],[Date]],'DB LEI'!$A:$F,5)</f>
        <v/>
      </c>
      <c r="D154" s="15">
        <f>VLOOKUP(Table2[[#This Row],[Date]],'DB LEI'!$A:$F,6)</f>
        <v/>
      </c>
    </row>
    <row r="155">
      <c r="A155" s="14" t="n">
        <v>41030</v>
      </c>
      <c r="B155" s="15">
        <f>VLOOKUP(Table2[[#This Row],[Date]],'DB LEI'!$A:$F,4)</f>
        <v/>
      </c>
      <c r="C155" s="15">
        <f>VLOOKUP(Table2[[#This Row],[Date]],'DB LEI'!$A:$F,5)</f>
        <v/>
      </c>
      <c r="D155" s="15">
        <f>VLOOKUP(Table2[[#This Row],[Date]],'DB LEI'!$A:$F,6)</f>
        <v/>
      </c>
    </row>
    <row r="156">
      <c r="A156" s="14" t="n">
        <v>41061</v>
      </c>
      <c r="B156" s="15">
        <f>VLOOKUP(Table2[[#This Row],[Date]],'DB LEI'!$A:$F,4)</f>
        <v/>
      </c>
      <c r="C156" s="15">
        <f>VLOOKUP(Table2[[#This Row],[Date]],'DB LEI'!$A:$F,5)</f>
        <v/>
      </c>
      <c r="D156" s="15">
        <f>VLOOKUP(Table2[[#This Row],[Date]],'DB LEI'!$A:$F,6)</f>
        <v/>
      </c>
    </row>
    <row r="157">
      <c r="A157" s="14" t="n">
        <v>41091</v>
      </c>
      <c r="B157" s="15">
        <f>VLOOKUP(Table2[[#This Row],[Date]],'DB LEI'!$A:$F,4)</f>
        <v/>
      </c>
      <c r="C157" s="15">
        <f>VLOOKUP(Table2[[#This Row],[Date]],'DB LEI'!$A:$F,5)</f>
        <v/>
      </c>
      <c r="D157" s="15">
        <f>VLOOKUP(Table2[[#This Row],[Date]],'DB LEI'!$A:$F,6)</f>
        <v/>
      </c>
    </row>
    <row r="158">
      <c r="A158" s="14" t="n">
        <v>41122</v>
      </c>
      <c r="B158" s="15">
        <f>VLOOKUP(Table2[[#This Row],[Date]],'DB LEI'!$A:$F,4)</f>
        <v/>
      </c>
      <c r="C158" s="15">
        <f>VLOOKUP(Table2[[#This Row],[Date]],'DB LEI'!$A:$F,5)</f>
        <v/>
      </c>
      <c r="D158" s="15">
        <f>VLOOKUP(Table2[[#This Row],[Date]],'DB LEI'!$A:$F,6)</f>
        <v/>
      </c>
    </row>
    <row r="159">
      <c r="A159" s="14" t="n">
        <v>41153</v>
      </c>
      <c r="B159" s="15">
        <f>VLOOKUP(Table2[[#This Row],[Date]],'DB LEI'!$A:$F,4)</f>
        <v/>
      </c>
      <c r="C159" s="15">
        <f>VLOOKUP(Table2[[#This Row],[Date]],'DB LEI'!$A:$F,5)</f>
        <v/>
      </c>
      <c r="D159" s="15">
        <f>VLOOKUP(Table2[[#This Row],[Date]],'DB LEI'!$A:$F,6)</f>
        <v/>
      </c>
    </row>
    <row r="160">
      <c r="A160" s="14" t="n">
        <v>41183</v>
      </c>
      <c r="B160" s="15">
        <f>VLOOKUP(Table2[[#This Row],[Date]],'DB LEI'!$A:$F,4)</f>
        <v/>
      </c>
      <c r="C160" s="15">
        <f>VLOOKUP(Table2[[#This Row],[Date]],'DB LEI'!$A:$F,5)</f>
        <v/>
      </c>
      <c r="D160" s="15">
        <f>VLOOKUP(Table2[[#This Row],[Date]],'DB LEI'!$A:$F,6)</f>
        <v/>
      </c>
    </row>
    <row r="161">
      <c r="A161" s="14" t="n">
        <v>41214</v>
      </c>
      <c r="B161" s="15">
        <f>VLOOKUP(Table2[[#This Row],[Date]],'DB LEI'!$A:$F,4)</f>
        <v/>
      </c>
      <c r="C161" s="15">
        <f>VLOOKUP(Table2[[#This Row],[Date]],'DB LEI'!$A:$F,5)</f>
        <v/>
      </c>
      <c r="D161" s="15">
        <f>VLOOKUP(Table2[[#This Row],[Date]],'DB LEI'!$A:$F,6)</f>
        <v/>
      </c>
    </row>
    <row r="162">
      <c r="A162" s="14" t="n">
        <v>41244</v>
      </c>
      <c r="B162" s="15">
        <f>VLOOKUP(Table2[[#This Row],[Date]],'DB LEI'!$A:$F,4)</f>
        <v/>
      </c>
      <c r="C162" s="15">
        <f>VLOOKUP(Table2[[#This Row],[Date]],'DB LEI'!$A:$F,5)</f>
        <v/>
      </c>
      <c r="D162" s="15">
        <f>VLOOKUP(Table2[[#This Row],[Date]],'DB LEI'!$A:$F,6)</f>
        <v/>
      </c>
    </row>
    <row r="163">
      <c r="A163" s="14" t="n">
        <v>41275</v>
      </c>
      <c r="B163" s="15">
        <f>VLOOKUP(Table2[[#This Row],[Date]],'DB LEI'!$A:$F,4)</f>
        <v/>
      </c>
      <c r="C163" s="15">
        <f>VLOOKUP(Table2[[#This Row],[Date]],'DB LEI'!$A:$F,5)</f>
        <v/>
      </c>
      <c r="D163" s="15">
        <f>VLOOKUP(Table2[[#This Row],[Date]],'DB LEI'!$A:$F,6)</f>
        <v/>
      </c>
    </row>
    <row r="164">
      <c r="A164" s="14" t="n">
        <v>41306</v>
      </c>
      <c r="B164" s="15">
        <f>VLOOKUP(Table2[[#This Row],[Date]],'DB LEI'!$A:$F,4)</f>
        <v/>
      </c>
      <c r="C164" s="15">
        <f>VLOOKUP(Table2[[#This Row],[Date]],'DB LEI'!$A:$F,5)</f>
        <v/>
      </c>
      <c r="D164" s="15">
        <f>VLOOKUP(Table2[[#This Row],[Date]],'DB LEI'!$A:$F,6)</f>
        <v/>
      </c>
    </row>
    <row r="165">
      <c r="A165" s="14" t="n">
        <v>41334</v>
      </c>
      <c r="B165" s="15">
        <f>VLOOKUP(Table2[[#This Row],[Date]],'DB LEI'!$A:$F,4)</f>
        <v/>
      </c>
      <c r="C165" s="15">
        <f>VLOOKUP(Table2[[#This Row],[Date]],'DB LEI'!$A:$F,5)</f>
        <v/>
      </c>
      <c r="D165" s="15">
        <f>VLOOKUP(Table2[[#This Row],[Date]],'DB LEI'!$A:$F,6)</f>
        <v/>
      </c>
    </row>
    <row r="166">
      <c r="A166" s="14" t="n">
        <v>41365</v>
      </c>
      <c r="B166" s="15">
        <f>VLOOKUP(Table2[[#This Row],[Date]],'DB LEI'!$A:$F,4)</f>
        <v/>
      </c>
      <c r="C166" s="15">
        <f>VLOOKUP(Table2[[#This Row],[Date]],'DB LEI'!$A:$F,5)</f>
        <v/>
      </c>
      <c r="D166" s="15">
        <f>VLOOKUP(Table2[[#This Row],[Date]],'DB LEI'!$A:$F,6)</f>
        <v/>
      </c>
    </row>
    <row r="167">
      <c r="A167" s="14" t="n">
        <v>41395</v>
      </c>
      <c r="B167" s="15">
        <f>VLOOKUP(Table2[[#This Row],[Date]],'DB LEI'!$A:$F,4)</f>
        <v/>
      </c>
      <c r="C167" s="15">
        <f>VLOOKUP(Table2[[#This Row],[Date]],'DB LEI'!$A:$F,5)</f>
        <v/>
      </c>
      <c r="D167" s="15">
        <f>VLOOKUP(Table2[[#This Row],[Date]],'DB LEI'!$A:$F,6)</f>
        <v/>
      </c>
    </row>
    <row r="168">
      <c r="A168" s="14" t="n">
        <v>41426</v>
      </c>
      <c r="B168" s="15">
        <f>VLOOKUP(Table2[[#This Row],[Date]],'DB LEI'!$A:$F,4)</f>
        <v/>
      </c>
      <c r="C168" s="15">
        <f>VLOOKUP(Table2[[#This Row],[Date]],'DB LEI'!$A:$F,5)</f>
        <v/>
      </c>
      <c r="D168" s="15">
        <f>VLOOKUP(Table2[[#This Row],[Date]],'DB LEI'!$A:$F,6)</f>
        <v/>
      </c>
    </row>
    <row r="169">
      <c r="A169" s="14" t="n">
        <v>41456</v>
      </c>
      <c r="B169" s="15">
        <f>VLOOKUP(Table2[[#This Row],[Date]],'DB LEI'!$A:$F,4)</f>
        <v/>
      </c>
      <c r="C169" s="15">
        <f>VLOOKUP(Table2[[#This Row],[Date]],'DB LEI'!$A:$F,5)</f>
        <v/>
      </c>
      <c r="D169" s="15">
        <f>VLOOKUP(Table2[[#This Row],[Date]],'DB LEI'!$A:$F,6)</f>
        <v/>
      </c>
    </row>
    <row r="170">
      <c r="A170" s="14" t="n">
        <v>41487</v>
      </c>
      <c r="B170" s="15">
        <f>VLOOKUP(Table2[[#This Row],[Date]],'DB LEI'!$A:$F,4)</f>
        <v/>
      </c>
      <c r="C170" s="15">
        <f>VLOOKUP(Table2[[#This Row],[Date]],'DB LEI'!$A:$F,5)</f>
        <v/>
      </c>
      <c r="D170" s="15">
        <f>VLOOKUP(Table2[[#This Row],[Date]],'DB LEI'!$A:$F,6)</f>
        <v/>
      </c>
    </row>
    <row r="171">
      <c r="A171" s="14" t="n">
        <v>41518</v>
      </c>
      <c r="B171" s="15">
        <f>VLOOKUP(Table2[[#This Row],[Date]],'DB LEI'!$A:$F,4)</f>
        <v/>
      </c>
      <c r="C171" s="15">
        <f>VLOOKUP(Table2[[#This Row],[Date]],'DB LEI'!$A:$F,5)</f>
        <v/>
      </c>
      <c r="D171" s="15">
        <f>VLOOKUP(Table2[[#This Row],[Date]],'DB LEI'!$A:$F,6)</f>
        <v/>
      </c>
    </row>
    <row r="172">
      <c r="A172" s="14" t="n">
        <v>41548</v>
      </c>
      <c r="B172" s="15">
        <f>VLOOKUP(Table2[[#This Row],[Date]],'DB LEI'!$A:$F,4)</f>
        <v/>
      </c>
      <c r="C172" s="15">
        <f>VLOOKUP(Table2[[#This Row],[Date]],'DB LEI'!$A:$F,5)</f>
        <v/>
      </c>
      <c r="D172" s="15">
        <f>VLOOKUP(Table2[[#This Row],[Date]],'DB LEI'!$A:$F,6)</f>
        <v/>
      </c>
    </row>
    <row r="173">
      <c r="A173" s="14" t="n">
        <v>41579</v>
      </c>
      <c r="B173" s="15">
        <f>VLOOKUP(Table2[[#This Row],[Date]],'DB LEI'!$A:$F,4)</f>
        <v/>
      </c>
      <c r="C173" s="15">
        <f>VLOOKUP(Table2[[#This Row],[Date]],'DB LEI'!$A:$F,5)</f>
        <v/>
      </c>
      <c r="D173" s="15">
        <f>VLOOKUP(Table2[[#This Row],[Date]],'DB LEI'!$A:$F,6)</f>
        <v/>
      </c>
    </row>
    <row r="174">
      <c r="A174" s="14" t="n">
        <v>41609</v>
      </c>
      <c r="B174" s="15">
        <f>VLOOKUP(Table2[[#This Row],[Date]],'DB LEI'!$A:$F,4)</f>
        <v/>
      </c>
      <c r="C174" s="15">
        <f>VLOOKUP(Table2[[#This Row],[Date]],'DB LEI'!$A:$F,5)</f>
        <v/>
      </c>
      <c r="D174" s="15">
        <f>VLOOKUP(Table2[[#This Row],[Date]],'DB LEI'!$A:$F,6)</f>
        <v/>
      </c>
    </row>
    <row r="175">
      <c r="A175" s="14" t="n">
        <v>41640</v>
      </c>
      <c r="B175" s="15">
        <f>VLOOKUP(Table2[[#This Row],[Date]],'DB LEI'!$A:$F,4)</f>
        <v/>
      </c>
      <c r="C175" s="15">
        <f>VLOOKUP(Table2[[#This Row],[Date]],'DB LEI'!$A:$F,5)</f>
        <v/>
      </c>
      <c r="D175" s="15">
        <f>VLOOKUP(Table2[[#This Row],[Date]],'DB LEI'!$A:$F,6)</f>
        <v/>
      </c>
    </row>
    <row r="176">
      <c r="A176" s="14" t="n">
        <v>41671</v>
      </c>
      <c r="B176" s="15">
        <f>VLOOKUP(Table2[[#This Row],[Date]],'DB LEI'!$A:$F,4)</f>
        <v/>
      </c>
      <c r="C176" s="15">
        <f>VLOOKUP(Table2[[#This Row],[Date]],'DB LEI'!$A:$F,5)</f>
        <v/>
      </c>
      <c r="D176" s="15">
        <f>VLOOKUP(Table2[[#This Row],[Date]],'DB LEI'!$A:$F,6)</f>
        <v/>
      </c>
    </row>
    <row r="177">
      <c r="A177" s="14" t="n">
        <v>41699</v>
      </c>
      <c r="B177" s="15">
        <f>VLOOKUP(Table2[[#This Row],[Date]],'DB LEI'!$A:$F,4)</f>
        <v/>
      </c>
      <c r="C177" s="15">
        <f>VLOOKUP(Table2[[#This Row],[Date]],'DB LEI'!$A:$F,5)</f>
        <v/>
      </c>
      <c r="D177" s="15">
        <f>VLOOKUP(Table2[[#This Row],[Date]],'DB LEI'!$A:$F,6)</f>
        <v/>
      </c>
    </row>
    <row r="178">
      <c r="A178" s="14" t="n">
        <v>41730</v>
      </c>
      <c r="B178" s="15">
        <f>VLOOKUP(Table2[[#This Row],[Date]],'DB LEI'!$A:$F,4)</f>
        <v/>
      </c>
      <c r="C178" s="15">
        <f>VLOOKUP(Table2[[#This Row],[Date]],'DB LEI'!$A:$F,5)</f>
        <v/>
      </c>
      <c r="D178" s="15">
        <f>VLOOKUP(Table2[[#This Row],[Date]],'DB LEI'!$A:$F,6)</f>
        <v/>
      </c>
    </row>
    <row r="179">
      <c r="A179" s="14" t="n">
        <v>41760</v>
      </c>
      <c r="B179" s="15">
        <f>VLOOKUP(Table2[[#This Row],[Date]],'DB LEI'!$A:$F,4)</f>
        <v/>
      </c>
      <c r="C179" s="15">
        <f>VLOOKUP(Table2[[#This Row],[Date]],'DB LEI'!$A:$F,5)</f>
        <v/>
      </c>
      <c r="D179" s="15">
        <f>VLOOKUP(Table2[[#This Row],[Date]],'DB LEI'!$A:$F,6)</f>
        <v/>
      </c>
    </row>
    <row r="180">
      <c r="A180" s="14" t="n">
        <v>41791</v>
      </c>
      <c r="B180" s="15">
        <f>VLOOKUP(Table2[[#This Row],[Date]],'DB LEI'!$A:$F,4)</f>
        <v/>
      </c>
      <c r="C180" s="15">
        <f>VLOOKUP(Table2[[#This Row],[Date]],'DB LEI'!$A:$F,5)</f>
        <v/>
      </c>
      <c r="D180" s="15">
        <f>VLOOKUP(Table2[[#This Row],[Date]],'DB LEI'!$A:$F,6)</f>
        <v/>
      </c>
    </row>
    <row r="181">
      <c r="A181" s="14" t="n">
        <v>41821</v>
      </c>
      <c r="B181" s="15">
        <f>VLOOKUP(Table2[[#This Row],[Date]],'DB LEI'!$A:$F,4)</f>
        <v/>
      </c>
      <c r="C181" s="15">
        <f>VLOOKUP(Table2[[#This Row],[Date]],'DB LEI'!$A:$F,5)</f>
        <v/>
      </c>
      <c r="D181" s="15">
        <f>VLOOKUP(Table2[[#This Row],[Date]],'DB LEI'!$A:$F,6)</f>
        <v/>
      </c>
    </row>
    <row r="182">
      <c r="A182" s="14" t="n">
        <v>41852</v>
      </c>
      <c r="B182" s="15">
        <f>VLOOKUP(Table2[[#This Row],[Date]],'DB LEI'!$A:$F,4)</f>
        <v/>
      </c>
      <c r="C182" s="15">
        <f>VLOOKUP(Table2[[#This Row],[Date]],'DB LEI'!$A:$F,5)</f>
        <v/>
      </c>
      <c r="D182" s="15">
        <f>VLOOKUP(Table2[[#This Row],[Date]],'DB LEI'!$A:$F,6)</f>
        <v/>
      </c>
    </row>
    <row r="183">
      <c r="A183" s="14" t="n">
        <v>41883</v>
      </c>
      <c r="B183" s="15">
        <f>VLOOKUP(Table2[[#This Row],[Date]],'DB LEI'!$A:$F,4)</f>
        <v/>
      </c>
      <c r="C183" s="15">
        <f>VLOOKUP(Table2[[#This Row],[Date]],'DB LEI'!$A:$F,5)</f>
        <v/>
      </c>
      <c r="D183" s="15">
        <f>VLOOKUP(Table2[[#This Row],[Date]],'DB LEI'!$A:$F,6)</f>
        <v/>
      </c>
    </row>
    <row r="184">
      <c r="A184" s="14" t="n">
        <v>41913</v>
      </c>
      <c r="B184" s="15">
        <f>VLOOKUP(Table2[[#This Row],[Date]],'DB LEI'!$A:$F,4)</f>
        <v/>
      </c>
      <c r="C184" s="15">
        <f>VLOOKUP(Table2[[#This Row],[Date]],'DB LEI'!$A:$F,5)</f>
        <v/>
      </c>
      <c r="D184" s="15">
        <f>VLOOKUP(Table2[[#This Row],[Date]],'DB LEI'!$A:$F,6)</f>
        <v/>
      </c>
    </row>
    <row r="185">
      <c r="A185" s="14" t="n">
        <v>41944</v>
      </c>
      <c r="B185" s="15">
        <f>VLOOKUP(Table2[[#This Row],[Date]],'DB LEI'!$A:$F,4)</f>
        <v/>
      </c>
      <c r="C185" s="15">
        <f>VLOOKUP(Table2[[#This Row],[Date]],'DB LEI'!$A:$F,5)</f>
        <v/>
      </c>
      <c r="D185" s="15">
        <f>VLOOKUP(Table2[[#This Row],[Date]],'DB LEI'!$A:$F,6)</f>
        <v/>
      </c>
    </row>
    <row r="186">
      <c r="A186" s="14" t="n">
        <v>41974</v>
      </c>
      <c r="B186" s="15">
        <f>VLOOKUP(Table2[[#This Row],[Date]],'DB LEI'!$A:$F,4)</f>
        <v/>
      </c>
      <c r="C186" s="15">
        <f>VLOOKUP(Table2[[#This Row],[Date]],'DB LEI'!$A:$F,5)</f>
        <v/>
      </c>
      <c r="D186" s="15">
        <f>VLOOKUP(Table2[[#This Row],[Date]],'DB LEI'!$A:$F,6)</f>
        <v/>
      </c>
    </row>
    <row r="187">
      <c r="A187" s="14" t="n">
        <v>42005</v>
      </c>
      <c r="B187" s="15">
        <f>VLOOKUP(Table2[[#This Row],[Date]],'DB LEI'!$A:$F,4)</f>
        <v/>
      </c>
      <c r="C187" s="15">
        <f>VLOOKUP(Table2[[#This Row],[Date]],'DB LEI'!$A:$F,5)</f>
        <v/>
      </c>
      <c r="D187" s="15">
        <f>VLOOKUP(Table2[[#This Row],[Date]],'DB LEI'!$A:$F,6)</f>
        <v/>
      </c>
    </row>
    <row r="188">
      <c r="A188" s="14" t="n">
        <v>42036</v>
      </c>
      <c r="B188" s="15">
        <f>VLOOKUP(Table2[[#This Row],[Date]],'DB LEI'!$A:$F,4)</f>
        <v/>
      </c>
      <c r="C188" s="15">
        <f>VLOOKUP(Table2[[#This Row],[Date]],'DB LEI'!$A:$F,5)</f>
        <v/>
      </c>
      <c r="D188" s="15">
        <f>VLOOKUP(Table2[[#This Row],[Date]],'DB LEI'!$A:$F,6)</f>
        <v/>
      </c>
    </row>
    <row r="189">
      <c r="A189" s="14" t="n">
        <v>42064</v>
      </c>
      <c r="B189" s="15">
        <f>VLOOKUP(Table2[[#This Row],[Date]],'DB LEI'!$A:$F,4)</f>
        <v/>
      </c>
      <c r="C189" s="15">
        <f>VLOOKUP(Table2[[#This Row],[Date]],'DB LEI'!$A:$F,5)</f>
        <v/>
      </c>
      <c r="D189" s="15">
        <f>VLOOKUP(Table2[[#This Row],[Date]],'DB LEI'!$A:$F,6)</f>
        <v/>
      </c>
    </row>
    <row r="190">
      <c r="A190" s="14" t="n">
        <v>42095</v>
      </c>
      <c r="B190" s="15">
        <f>VLOOKUP(Table2[[#This Row],[Date]],'DB LEI'!$A:$F,4)</f>
        <v/>
      </c>
      <c r="C190" s="15">
        <f>VLOOKUP(Table2[[#This Row],[Date]],'DB LEI'!$A:$F,5)</f>
        <v/>
      </c>
      <c r="D190" s="15">
        <f>VLOOKUP(Table2[[#This Row],[Date]],'DB LEI'!$A:$F,6)</f>
        <v/>
      </c>
    </row>
    <row r="191">
      <c r="A191" s="14" t="n">
        <v>42125</v>
      </c>
      <c r="B191" s="15">
        <f>VLOOKUP(Table2[[#This Row],[Date]],'DB LEI'!$A:$F,4)</f>
        <v/>
      </c>
      <c r="C191" s="15">
        <f>VLOOKUP(Table2[[#This Row],[Date]],'DB LEI'!$A:$F,5)</f>
        <v/>
      </c>
      <c r="D191" s="15">
        <f>VLOOKUP(Table2[[#This Row],[Date]],'DB LEI'!$A:$F,6)</f>
        <v/>
      </c>
    </row>
    <row r="192">
      <c r="A192" s="14" t="n">
        <v>42156</v>
      </c>
      <c r="B192" s="15">
        <f>VLOOKUP(Table2[[#This Row],[Date]],'DB LEI'!$A:$F,4)</f>
        <v/>
      </c>
      <c r="C192" s="15">
        <f>VLOOKUP(Table2[[#This Row],[Date]],'DB LEI'!$A:$F,5)</f>
        <v/>
      </c>
      <c r="D192" s="15">
        <f>VLOOKUP(Table2[[#This Row],[Date]],'DB LEI'!$A:$F,6)</f>
        <v/>
      </c>
    </row>
    <row r="193">
      <c r="A193" s="14" t="n">
        <v>42186</v>
      </c>
      <c r="B193" s="15">
        <f>VLOOKUP(Table2[[#This Row],[Date]],'DB LEI'!$A:$F,4)</f>
        <v/>
      </c>
      <c r="C193" s="15">
        <f>VLOOKUP(Table2[[#This Row],[Date]],'DB LEI'!$A:$F,5)</f>
        <v/>
      </c>
      <c r="D193" s="15">
        <f>VLOOKUP(Table2[[#This Row],[Date]],'DB LEI'!$A:$F,6)</f>
        <v/>
      </c>
    </row>
    <row r="194">
      <c r="A194" s="14" t="n">
        <v>42217</v>
      </c>
      <c r="B194" s="15">
        <f>VLOOKUP(Table2[[#This Row],[Date]],'DB LEI'!$A:$F,4)</f>
        <v/>
      </c>
      <c r="C194" s="15">
        <f>VLOOKUP(Table2[[#This Row],[Date]],'DB LEI'!$A:$F,5)</f>
        <v/>
      </c>
      <c r="D194" s="15">
        <f>VLOOKUP(Table2[[#This Row],[Date]],'DB LEI'!$A:$F,6)</f>
        <v/>
      </c>
    </row>
    <row r="195">
      <c r="A195" s="14" t="n">
        <v>42248</v>
      </c>
      <c r="B195" s="15">
        <f>VLOOKUP(Table2[[#This Row],[Date]],'DB LEI'!$A:$F,4)</f>
        <v/>
      </c>
      <c r="C195" s="15">
        <f>VLOOKUP(Table2[[#This Row],[Date]],'DB LEI'!$A:$F,5)</f>
        <v/>
      </c>
      <c r="D195" s="15">
        <f>VLOOKUP(Table2[[#This Row],[Date]],'DB LEI'!$A:$F,6)</f>
        <v/>
      </c>
    </row>
    <row r="196">
      <c r="A196" s="14" t="n">
        <v>42278</v>
      </c>
      <c r="B196" s="15">
        <f>VLOOKUP(Table2[[#This Row],[Date]],'DB LEI'!$A:$F,4)</f>
        <v/>
      </c>
      <c r="C196" s="15">
        <f>VLOOKUP(Table2[[#This Row],[Date]],'DB LEI'!$A:$F,5)</f>
        <v/>
      </c>
      <c r="D196" s="15">
        <f>VLOOKUP(Table2[[#This Row],[Date]],'DB LEI'!$A:$F,6)</f>
        <v/>
      </c>
    </row>
    <row r="197">
      <c r="A197" s="14" t="n">
        <v>42309</v>
      </c>
      <c r="B197" s="15">
        <f>VLOOKUP(Table2[[#This Row],[Date]],'DB LEI'!$A:$F,4)</f>
        <v/>
      </c>
      <c r="C197" s="15">
        <f>VLOOKUP(Table2[[#This Row],[Date]],'DB LEI'!$A:$F,5)</f>
        <v/>
      </c>
      <c r="D197" s="15">
        <f>VLOOKUP(Table2[[#This Row],[Date]],'DB LEI'!$A:$F,6)</f>
        <v/>
      </c>
    </row>
    <row r="198">
      <c r="A198" s="14" t="n">
        <v>42339</v>
      </c>
      <c r="B198" s="15">
        <f>VLOOKUP(Table2[[#This Row],[Date]],'DB LEI'!$A:$F,4)</f>
        <v/>
      </c>
      <c r="C198" s="15">
        <f>VLOOKUP(Table2[[#This Row],[Date]],'DB LEI'!$A:$F,5)</f>
        <v/>
      </c>
      <c r="D198" s="15">
        <f>VLOOKUP(Table2[[#This Row],[Date]],'DB LEI'!$A:$F,6)</f>
        <v/>
      </c>
    </row>
    <row r="199">
      <c r="A199" s="14" t="n">
        <v>42370</v>
      </c>
      <c r="B199" s="15">
        <f>VLOOKUP(Table2[[#This Row],[Date]],'DB LEI'!$A:$F,4)</f>
        <v/>
      </c>
      <c r="C199" s="15">
        <f>VLOOKUP(Table2[[#This Row],[Date]],'DB LEI'!$A:$F,5)</f>
        <v/>
      </c>
      <c r="D199" s="15">
        <f>VLOOKUP(Table2[[#This Row],[Date]],'DB LEI'!$A:$F,6)</f>
        <v/>
      </c>
    </row>
    <row r="200">
      <c r="A200" s="14" t="n">
        <v>42401</v>
      </c>
      <c r="B200" s="15">
        <f>VLOOKUP(Table2[[#This Row],[Date]],'DB LEI'!$A:$F,4)</f>
        <v/>
      </c>
      <c r="C200" s="15">
        <f>VLOOKUP(Table2[[#This Row],[Date]],'DB LEI'!$A:$F,5)</f>
        <v/>
      </c>
      <c r="D200" s="15">
        <f>VLOOKUP(Table2[[#This Row],[Date]],'DB LEI'!$A:$F,6)</f>
        <v/>
      </c>
    </row>
    <row r="201">
      <c r="A201" s="14" t="n">
        <v>42430</v>
      </c>
      <c r="B201" s="15">
        <f>VLOOKUP(Table2[[#This Row],[Date]],'DB LEI'!$A:$F,4)</f>
        <v/>
      </c>
      <c r="C201" s="15">
        <f>VLOOKUP(Table2[[#This Row],[Date]],'DB LEI'!$A:$F,5)</f>
        <v/>
      </c>
      <c r="D201" s="15">
        <f>VLOOKUP(Table2[[#This Row],[Date]],'DB LEI'!$A:$F,6)</f>
        <v/>
      </c>
    </row>
    <row r="202">
      <c r="A202" s="14" t="n">
        <v>42461</v>
      </c>
      <c r="B202" s="15">
        <f>VLOOKUP(Table2[[#This Row],[Date]],'DB LEI'!$A:$F,4)</f>
        <v/>
      </c>
      <c r="C202" s="15">
        <f>VLOOKUP(Table2[[#This Row],[Date]],'DB LEI'!$A:$F,5)</f>
        <v/>
      </c>
      <c r="D202" s="15">
        <f>VLOOKUP(Table2[[#This Row],[Date]],'DB LEI'!$A:$F,6)</f>
        <v/>
      </c>
    </row>
    <row r="203">
      <c r="A203" s="14" t="n">
        <v>42491</v>
      </c>
      <c r="B203" s="15">
        <f>VLOOKUP(Table2[[#This Row],[Date]],'DB LEI'!$A:$F,4)</f>
        <v/>
      </c>
      <c r="C203" s="15">
        <f>VLOOKUP(Table2[[#This Row],[Date]],'DB LEI'!$A:$F,5)</f>
        <v/>
      </c>
      <c r="D203" s="15">
        <f>VLOOKUP(Table2[[#This Row],[Date]],'DB LEI'!$A:$F,6)</f>
        <v/>
      </c>
    </row>
    <row r="204">
      <c r="A204" s="14" t="n">
        <v>42522</v>
      </c>
      <c r="B204" s="15">
        <f>VLOOKUP(Table2[[#This Row],[Date]],'DB LEI'!$A:$F,4)</f>
        <v/>
      </c>
      <c r="C204" s="15">
        <f>VLOOKUP(Table2[[#This Row],[Date]],'DB LEI'!$A:$F,5)</f>
        <v/>
      </c>
      <c r="D204" s="15">
        <f>VLOOKUP(Table2[[#This Row],[Date]],'DB LEI'!$A:$F,6)</f>
        <v/>
      </c>
    </row>
    <row r="205">
      <c r="A205" s="14" t="n">
        <v>42552</v>
      </c>
      <c r="B205" s="15">
        <f>VLOOKUP(Table2[[#This Row],[Date]],'DB LEI'!$A:$F,4)</f>
        <v/>
      </c>
      <c r="C205" s="15">
        <f>VLOOKUP(Table2[[#This Row],[Date]],'DB LEI'!$A:$F,5)</f>
        <v/>
      </c>
      <c r="D205" s="15">
        <f>VLOOKUP(Table2[[#This Row],[Date]],'DB LEI'!$A:$F,6)</f>
        <v/>
      </c>
    </row>
    <row r="206">
      <c r="A206" s="14" t="n">
        <v>42583</v>
      </c>
      <c r="B206" s="15">
        <f>VLOOKUP(Table2[[#This Row],[Date]],'DB LEI'!$A:$F,4)</f>
        <v/>
      </c>
      <c r="C206" s="15">
        <f>VLOOKUP(Table2[[#This Row],[Date]],'DB LEI'!$A:$F,5)</f>
        <v/>
      </c>
      <c r="D206" s="15">
        <f>VLOOKUP(Table2[[#This Row],[Date]],'DB LEI'!$A:$F,6)</f>
        <v/>
      </c>
    </row>
    <row r="207">
      <c r="A207" s="14" t="n">
        <v>42614</v>
      </c>
      <c r="B207" s="15">
        <f>VLOOKUP(Table2[[#This Row],[Date]],'DB LEI'!$A:$F,4)</f>
        <v/>
      </c>
      <c r="C207" s="15">
        <f>VLOOKUP(Table2[[#This Row],[Date]],'DB LEI'!$A:$F,5)</f>
        <v/>
      </c>
      <c r="D207" s="15">
        <f>VLOOKUP(Table2[[#This Row],[Date]],'DB LEI'!$A:$F,6)</f>
        <v/>
      </c>
    </row>
    <row r="208">
      <c r="A208" s="14" t="n">
        <v>42644</v>
      </c>
      <c r="B208" s="15">
        <f>VLOOKUP(Table2[[#This Row],[Date]],'DB LEI'!$A:$F,4)</f>
        <v/>
      </c>
      <c r="C208" s="15">
        <f>VLOOKUP(Table2[[#This Row],[Date]],'DB LEI'!$A:$F,5)</f>
        <v/>
      </c>
      <c r="D208" s="15">
        <f>VLOOKUP(Table2[[#This Row],[Date]],'DB LEI'!$A:$F,6)</f>
        <v/>
      </c>
    </row>
    <row r="209">
      <c r="A209" s="14" t="n">
        <v>42675</v>
      </c>
      <c r="B209" s="15">
        <f>VLOOKUP(Table2[[#This Row],[Date]],'DB LEI'!$A:$F,4)</f>
        <v/>
      </c>
      <c r="C209" s="15">
        <f>VLOOKUP(Table2[[#This Row],[Date]],'DB LEI'!$A:$F,5)</f>
        <v/>
      </c>
      <c r="D209" s="15">
        <f>VLOOKUP(Table2[[#This Row],[Date]],'DB LEI'!$A:$F,6)</f>
        <v/>
      </c>
    </row>
    <row r="210">
      <c r="A210" s="14" t="n">
        <v>42705</v>
      </c>
      <c r="B210" s="15">
        <f>VLOOKUP(Table2[[#This Row],[Date]],'DB LEI'!$A:$F,4)</f>
        <v/>
      </c>
      <c r="C210" s="15">
        <f>VLOOKUP(Table2[[#This Row],[Date]],'DB LEI'!$A:$F,5)</f>
        <v/>
      </c>
      <c r="D210" s="15">
        <f>VLOOKUP(Table2[[#This Row],[Date]],'DB LEI'!$A:$F,6)</f>
        <v/>
      </c>
    </row>
    <row r="211">
      <c r="A211" s="14" t="n">
        <v>42736</v>
      </c>
      <c r="B211" s="15">
        <f>VLOOKUP(Table2[[#This Row],[Date]],'DB LEI'!$A:$F,4)</f>
        <v/>
      </c>
      <c r="C211" s="15">
        <f>VLOOKUP(Table2[[#This Row],[Date]],'DB LEI'!$A:$F,5)</f>
        <v/>
      </c>
      <c r="D211" s="15">
        <f>VLOOKUP(Table2[[#This Row],[Date]],'DB LEI'!$A:$F,6)</f>
        <v/>
      </c>
    </row>
    <row r="212">
      <c r="A212" s="14" t="n">
        <v>42767</v>
      </c>
      <c r="B212" s="15">
        <f>VLOOKUP(Table2[[#This Row],[Date]],'DB LEI'!$A:$F,4)</f>
        <v/>
      </c>
      <c r="C212" s="15">
        <f>VLOOKUP(Table2[[#This Row],[Date]],'DB LEI'!$A:$F,5)</f>
        <v/>
      </c>
      <c r="D212" s="15">
        <f>VLOOKUP(Table2[[#This Row],[Date]],'DB LEI'!$A:$F,6)</f>
        <v/>
      </c>
    </row>
    <row r="213">
      <c r="A213" s="14" t="n">
        <v>42795</v>
      </c>
      <c r="B213" s="15">
        <f>VLOOKUP(Table2[[#This Row],[Date]],'DB LEI'!$A:$F,4)</f>
        <v/>
      </c>
      <c r="C213" s="15">
        <f>VLOOKUP(Table2[[#This Row],[Date]],'DB LEI'!$A:$F,5)</f>
        <v/>
      </c>
      <c r="D213" s="15">
        <f>VLOOKUP(Table2[[#This Row],[Date]],'DB LEI'!$A:$F,6)</f>
        <v/>
      </c>
    </row>
    <row r="214">
      <c r="A214" s="14" t="n">
        <v>42826</v>
      </c>
      <c r="B214" s="15">
        <f>VLOOKUP(Table2[[#This Row],[Date]],'DB LEI'!$A:$F,4)</f>
        <v/>
      </c>
      <c r="C214" s="15">
        <f>VLOOKUP(Table2[[#This Row],[Date]],'DB LEI'!$A:$F,5)</f>
        <v/>
      </c>
      <c r="D214" s="15">
        <f>VLOOKUP(Table2[[#This Row],[Date]],'DB LEI'!$A:$F,6)</f>
        <v/>
      </c>
    </row>
    <row r="215">
      <c r="A215" s="14" t="n">
        <v>42856</v>
      </c>
      <c r="B215" s="15">
        <f>VLOOKUP(Table2[[#This Row],[Date]],'DB LEI'!$A:$F,4)</f>
        <v/>
      </c>
      <c r="C215" s="15">
        <f>VLOOKUP(Table2[[#This Row],[Date]],'DB LEI'!$A:$F,5)</f>
        <v/>
      </c>
      <c r="D215" s="15">
        <f>VLOOKUP(Table2[[#This Row],[Date]],'DB LEI'!$A:$F,6)</f>
        <v/>
      </c>
    </row>
    <row r="216">
      <c r="A216" s="14" t="n">
        <v>42887</v>
      </c>
      <c r="B216" s="15">
        <f>VLOOKUP(Table2[[#This Row],[Date]],'DB LEI'!$A:$F,4)</f>
        <v/>
      </c>
      <c r="C216" s="15">
        <f>VLOOKUP(Table2[[#This Row],[Date]],'DB LEI'!$A:$F,5)</f>
        <v/>
      </c>
      <c r="D216" s="15">
        <f>VLOOKUP(Table2[[#This Row],[Date]],'DB LEI'!$A:$F,6)</f>
        <v/>
      </c>
    </row>
    <row r="217">
      <c r="A217" s="14" t="n">
        <v>42917</v>
      </c>
      <c r="B217" s="15">
        <f>VLOOKUP(Table2[[#This Row],[Date]],'DB LEI'!$A:$F,4)</f>
        <v/>
      </c>
      <c r="C217" s="15">
        <f>VLOOKUP(Table2[[#This Row],[Date]],'DB LEI'!$A:$F,5)</f>
        <v/>
      </c>
      <c r="D217" s="15">
        <f>VLOOKUP(Table2[[#This Row],[Date]],'DB LEI'!$A:$F,6)</f>
        <v/>
      </c>
    </row>
    <row r="218">
      <c r="A218" s="14" t="n">
        <v>42948</v>
      </c>
      <c r="B218" s="15">
        <f>VLOOKUP(Table2[[#This Row],[Date]],'DB LEI'!$A:$F,4)</f>
        <v/>
      </c>
      <c r="C218" s="15">
        <f>VLOOKUP(Table2[[#This Row],[Date]],'DB LEI'!$A:$F,5)</f>
        <v/>
      </c>
      <c r="D218" s="15">
        <f>VLOOKUP(Table2[[#This Row],[Date]],'DB LEI'!$A:$F,6)</f>
        <v/>
      </c>
    </row>
    <row r="219">
      <c r="A219" s="14" t="n">
        <v>42979</v>
      </c>
      <c r="B219" s="15">
        <f>VLOOKUP(Table2[[#This Row],[Date]],'DB LEI'!$A:$F,4)</f>
        <v/>
      </c>
      <c r="C219" s="15">
        <f>VLOOKUP(Table2[[#This Row],[Date]],'DB LEI'!$A:$F,5)</f>
        <v/>
      </c>
      <c r="D219" s="15">
        <f>VLOOKUP(Table2[[#This Row],[Date]],'DB LEI'!$A:$F,6)</f>
        <v/>
      </c>
    </row>
    <row r="220">
      <c r="A220" s="14" t="n">
        <v>43009</v>
      </c>
      <c r="B220" s="15">
        <f>VLOOKUP(Table2[[#This Row],[Date]],'DB LEI'!$A:$F,4)</f>
        <v/>
      </c>
      <c r="C220" s="15">
        <f>VLOOKUP(Table2[[#This Row],[Date]],'DB LEI'!$A:$F,5)</f>
        <v/>
      </c>
      <c r="D220" s="15">
        <f>VLOOKUP(Table2[[#This Row],[Date]],'DB LEI'!$A:$F,6)</f>
        <v/>
      </c>
    </row>
    <row r="221">
      <c r="A221" s="14" t="n">
        <v>43040</v>
      </c>
      <c r="B221" s="15">
        <f>VLOOKUP(Table2[[#This Row],[Date]],'DB LEI'!$A:$F,4)</f>
        <v/>
      </c>
      <c r="C221" s="15">
        <f>VLOOKUP(Table2[[#This Row],[Date]],'DB LEI'!$A:$F,5)</f>
        <v/>
      </c>
      <c r="D221" s="15">
        <f>VLOOKUP(Table2[[#This Row],[Date]],'DB LEI'!$A:$F,6)</f>
        <v/>
      </c>
    </row>
    <row r="222">
      <c r="A222" s="14" t="n">
        <v>43070</v>
      </c>
      <c r="B222" s="15">
        <f>VLOOKUP(Table2[[#This Row],[Date]],'DB LEI'!$A:$F,4)</f>
        <v/>
      </c>
      <c r="C222" s="15">
        <f>VLOOKUP(Table2[[#This Row],[Date]],'DB LEI'!$A:$F,5)</f>
        <v/>
      </c>
      <c r="D222" s="15">
        <f>VLOOKUP(Table2[[#This Row],[Date]],'DB LEI'!$A:$F,6)</f>
        <v/>
      </c>
    </row>
    <row r="223">
      <c r="A223" s="14" t="n">
        <v>43101</v>
      </c>
      <c r="B223" s="15">
        <f>VLOOKUP(Table2[[#This Row],[Date]],'DB LEI'!$A:$F,4)</f>
        <v/>
      </c>
      <c r="C223" s="15">
        <f>VLOOKUP(Table2[[#This Row],[Date]],'DB LEI'!$A:$F,5)</f>
        <v/>
      </c>
      <c r="D223" s="15">
        <f>VLOOKUP(Table2[[#This Row],[Date]],'DB LEI'!$A:$F,6)</f>
        <v/>
      </c>
    </row>
    <row r="224">
      <c r="A224" s="14" t="n">
        <v>43132</v>
      </c>
      <c r="B224" s="15">
        <f>VLOOKUP(Table2[[#This Row],[Date]],'DB LEI'!$A:$F,4)</f>
        <v/>
      </c>
      <c r="C224" s="15">
        <f>VLOOKUP(Table2[[#This Row],[Date]],'DB LEI'!$A:$F,5)</f>
        <v/>
      </c>
      <c r="D224" s="15">
        <f>VLOOKUP(Table2[[#This Row],[Date]],'DB LEI'!$A:$F,6)</f>
        <v/>
      </c>
    </row>
    <row r="225">
      <c r="A225" s="14" t="n">
        <v>43160</v>
      </c>
      <c r="B225" s="15">
        <f>VLOOKUP(Table2[[#This Row],[Date]],'DB LEI'!$A:$F,4)</f>
        <v/>
      </c>
      <c r="C225" s="15">
        <f>VLOOKUP(Table2[[#This Row],[Date]],'DB LEI'!$A:$F,5)</f>
        <v/>
      </c>
      <c r="D225" s="15">
        <f>VLOOKUP(Table2[[#This Row],[Date]],'DB LEI'!$A:$F,6)</f>
        <v/>
      </c>
    </row>
    <row r="226">
      <c r="A226" s="14" t="n">
        <v>43191</v>
      </c>
      <c r="B226" s="15">
        <f>VLOOKUP(Table2[[#This Row],[Date]],'DB LEI'!$A:$F,4)</f>
        <v/>
      </c>
      <c r="C226" s="15">
        <f>VLOOKUP(Table2[[#This Row],[Date]],'DB LEI'!$A:$F,5)</f>
        <v/>
      </c>
      <c r="D226" s="15">
        <f>VLOOKUP(Table2[[#This Row],[Date]],'DB LEI'!$A:$F,6)</f>
        <v/>
      </c>
    </row>
    <row r="227">
      <c r="A227" s="28" t="n">
        <v>43221</v>
      </c>
      <c r="B227" s="15">
        <f>VLOOKUP(Table2[[#This Row],[Date]],'DB LEI'!$A:$F,4)</f>
        <v/>
      </c>
      <c r="C227" s="15">
        <f>VLOOKUP(Table2[[#This Row],[Date]],'DB LEI'!$A:$F,5)</f>
        <v/>
      </c>
      <c r="D227" s="15">
        <f>VLOOKUP(Table2[[#This Row],[Date]],'DB LEI'!$A:$F,6)</f>
        <v/>
      </c>
    </row>
    <row r="228">
      <c r="A228" s="28" t="n">
        <v>43252</v>
      </c>
      <c r="B228" s="15">
        <f>VLOOKUP(Table2[[#This Row],[Date]],'DB LEI'!$A:$F,4)</f>
        <v/>
      </c>
      <c r="C228" s="15">
        <f>VLOOKUP(Table2[[#This Row],[Date]],'DB LEI'!$A:$F,5)</f>
        <v/>
      </c>
      <c r="D228" s="15">
        <f>VLOOKUP(Table2[[#This Row],[Date]],'DB LEI'!$A:$F,6)</f>
        <v/>
      </c>
    </row>
    <row r="229">
      <c r="A229" s="28" t="n">
        <v>43282</v>
      </c>
      <c r="B229" s="15">
        <f>VLOOKUP(Table2[[#This Row],[Date]],'DB LEI'!$A:$F,4)</f>
        <v/>
      </c>
      <c r="C229" s="15">
        <f>VLOOKUP(Table2[[#This Row],[Date]],'DB LEI'!$A:$F,5)</f>
        <v/>
      </c>
      <c r="D229" s="15">
        <f>VLOOKUP(Table2[[#This Row],[Date]],'DB LEI'!$A:$F,6)</f>
        <v/>
      </c>
    </row>
    <row r="230">
      <c r="A230" s="28" t="n">
        <v>43313</v>
      </c>
      <c r="B230" s="15">
        <f>VLOOKUP(Table2[[#This Row],[Date]],'DB LEI'!$A:$F,4)</f>
        <v/>
      </c>
      <c r="C230" s="15">
        <f>VLOOKUP(Table2[[#This Row],[Date]],'DB LEI'!$A:$F,5)</f>
        <v/>
      </c>
      <c r="D230" s="15">
        <f>VLOOKUP(Table2[[#This Row],[Date]],'DB LEI'!$A:$F,6)</f>
        <v/>
      </c>
    </row>
    <row r="231">
      <c r="A231" s="28" t="n">
        <v>43344</v>
      </c>
      <c r="B231" s="15">
        <f>VLOOKUP(Table2[[#This Row],[Date]],'DB LEI'!$A:$F,4)</f>
        <v/>
      </c>
      <c r="C231" s="15">
        <f>VLOOKUP(Table2[[#This Row],[Date]],'DB LEI'!$A:$F,5)</f>
        <v/>
      </c>
      <c r="D231" s="15">
        <f>VLOOKUP(Table2[[#This Row],[Date]],'DB LEI'!$A:$F,6)</f>
        <v/>
      </c>
    </row>
    <row r="232">
      <c r="A232" s="28" t="n">
        <v>43374</v>
      </c>
      <c r="B232" s="15">
        <f>VLOOKUP(Table2[[#This Row],[Date]],'DB LEI'!$A:$F,4)</f>
        <v/>
      </c>
      <c r="C232" s="15">
        <f>VLOOKUP(Table2[[#This Row],[Date]],'DB LEI'!$A:$F,5)</f>
        <v/>
      </c>
      <c r="D232" s="15">
        <f>VLOOKUP(Table2[[#This Row],[Date]],'DB LEI'!$A:$F,6)</f>
        <v/>
      </c>
    </row>
    <row r="233">
      <c r="A233" s="28" t="n">
        <v>43405</v>
      </c>
      <c r="B233" s="15">
        <f>VLOOKUP(Table2[[#This Row],[Date]],'DB LEI'!$A:$F,4)</f>
        <v/>
      </c>
      <c r="C233" s="15">
        <f>VLOOKUP(Table2[[#This Row],[Date]],'DB LEI'!$A:$F,5)</f>
        <v/>
      </c>
      <c r="D233" s="15">
        <f>VLOOKUP(Table2[[#This Row],[Date]],'DB LEI'!$A:$F,6)</f>
        <v/>
      </c>
    </row>
    <row r="234">
      <c r="A234" s="28" t="n">
        <v>43435</v>
      </c>
      <c r="B234" s="15">
        <f>VLOOKUP(Table2[[#This Row],[Date]],'DB LEI'!$A:$F,4)</f>
        <v/>
      </c>
      <c r="C234" s="15">
        <f>VLOOKUP(Table2[[#This Row],[Date]],'DB LEI'!$A:$F,5)</f>
        <v/>
      </c>
      <c r="D234" s="15">
        <f>VLOOKUP(Table2[[#This Row],[Date]],'DB LEI'!$A:$F,6)</f>
        <v/>
      </c>
    </row>
    <row r="235">
      <c r="A235" s="28" t="n">
        <v>43466</v>
      </c>
      <c r="B235" s="15">
        <f>VLOOKUP(Table2[[#This Row],[Date]],'DB LEI'!$A:$F,4)</f>
        <v/>
      </c>
      <c r="C235" s="15">
        <f>VLOOKUP(Table2[[#This Row],[Date]],'DB LEI'!$A:$F,5)</f>
        <v/>
      </c>
      <c r="D235" s="15">
        <f>VLOOKUP(Table2[[#This Row],[Date]],'DB LEI'!$A:$F,6)</f>
        <v/>
      </c>
    </row>
    <row r="236">
      <c r="A236" s="28" t="n">
        <v>43497</v>
      </c>
      <c r="B236" s="15">
        <f>VLOOKUP(Table2[[#This Row],[Date]],'DB LEI'!$A:$F,4)</f>
        <v/>
      </c>
      <c r="C236" s="15">
        <f>VLOOKUP(Table2[[#This Row],[Date]],'DB LEI'!$A:$F,5)</f>
        <v/>
      </c>
      <c r="D236" s="15">
        <f>VLOOKUP(Table2[[#This Row],[Date]],'DB LEI'!$A:$F,6)</f>
        <v/>
      </c>
    </row>
    <row r="237">
      <c r="A237" s="28" t="n">
        <v>43525</v>
      </c>
      <c r="B237" s="15">
        <f>VLOOKUP(Table2[[#This Row],[Date]],'DB LEI'!$A:$F,4)</f>
        <v/>
      </c>
      <c r="C237" s="15">
        <f>VLOOKUP(Table2[[#This Row],[Date]],'DB LEI'!$A:$F,5)</f>
        <v/>
      </c>
      <c r="D237" s="15">
        <f>VLOOKUP(Table2[[#This Row],[Date]],'DB LEI'!$A:$F,6)</f>
        <v/>
      </c>
    </row>
    <row r="238">
      <c r="A238" s="28" t="n">
        <v>43556</v>
      </c>
      <c r="B238" s="15">
        <f>VLOOKUP(Table2[[#This Row],[Date]],'DB LEI'!$A:$F,4)</f>
        <v/>
      </c>
      <c r="C238" s="15">
        <f>VLOOKUP(Table2[[#This Row],[Date]],'DB LEI'!$A:$F,5)</f>
        <v/>
      </c>
      <c r="D238" s="15">
        <f>VLOOKUP(Table2[[#This Row],[Date]],'DB LEI'!$A:$F,6)</f>
        <v/>
      </c>
    </row>
    <row r="239">
      <c r="A239" s="28" t="n">
        <v>43586</v>
      </c>
      <c r="B239" s="15">
        <f>VLOOKUP(Table2[[#This Row],[Date]],'DB LEI'!$A:$F,4)</f>
        <v/>
      </c>
      <c r="C239" s="15">
        <f>VLOOKUP(Table2[[#This Row],[Date]],'DB LEI'!$A:$F,5)</f>
        <v/>
      </c>
      <c r="D239" s="15">
        <f>VLOOKUP(Table2[[#This Row],[Date]],'DB LEI'!$A:$F,6)</f>
        <v/>
      </c>
    </row>
    <row r="240">
      <c r="A240" s="28" t="n">
        <v>43617</v>
      </c>
      <c r="B240" s="15">
        <f>VLOOKUP(Table2[[#This Row],[Date]],'DB LEI'!$A:$F,4)</f>
        <v/>
      </c>
      <c r="C240" s="15">
        <f>VLOOKUP(Table2[[#This Row],[Date]],'DB LEI'!$A:$F,5)</f>
        <v/>
      </c>
      <c r="D240" s="15">
        <f>VLOOKUP(Table2[[#This Row],[Date]],'DB LEI'!$A:$F,6)</f>
        <v/>
      </c>
    </row>
    <row r="241">
      <c r="A241" s="28" t="n">
        <v>43647</v>
      </c>
      <c r="B241" s="15">
        <f>VLOOKUP(Table2[[#This Row],[Date]],'DB LEI'!$A:$F,4)</f>
        <v/>
      </c>
      <c r="C241" s="15">
        <f>VLOOKUP(Table2[[#This Row],[Date]],'DB LEI'!$A:$F,5)</f>
        <v/>
      </c>
      <c r="D241" s="15">
        <f>VLOOKUP(Table2[[#This Row],[Date]],'DB LEI'!$A:$F,6)</f>
        <v/>
      </c>
    </row>
    <row r="242">
      <c r="A242" s="28" t="n">
        <v>43678</v>
      </c>
      <c r="B242" s="15">
        <f>VLOOKUP(Table2[[#This Row],[Date]],'DB LEI'!$A:$F,4)</f>
        <v/>
      </c>
      <c r="C242" s="15">
        <f>VLOOKUP(Table2[[#This Row],[Date]],'DB LEI'!$A:$F,5)</f>
        <v/>
      </c>
      <c r="D242" s="15">
        <f>VLOOKUP(Table2[[#This Row],[Date]],'DB LEI'!$A:$F,6)</f>
        <v/>
      </c>
    </row>
    <row r="243">
      <c r="A243" s="28" t="n">
        <v>43709</v>
      </c>
      <c r="B243" s="15">
        <f>VLOOKUP(Table2[[#This Row],[Date]],'DB LEI'!$A:$F,4)</f>
        <v/>
      </c>
      <c r="C243" s="15">
        <f>VLOOKUP(Table2[[#This Row],[Date]],'DB LEI'!$A:$F,5)</f>
        <v/>
      </c>
      <c r="D243" s="15">
        <f>VLOOKUP(Table2[[#This Row],[Date]],'DB LEI'!$A:$F,6)</f>
        <v/>
      </c>
    </row>
    <row r="244">
      <c r="A244" s="28" t="n">
        <v>43739</v>
      </c>
      <c r="B244" s="15">
        <f>VLOOKUP(Table2[[#This Row],[Date]],'DB LEI'!$A:$F,4)</f>
        <v/>
      </c>
      <c r="C244" s="15">
        <f>VLOOKUP(Table2[[#This Row],[Date]],'DB LEI'!$A:$F,5)</f>
        <v/>
      </c>
      <c r="D244" s="15">
        <f>VLOOKUP(Table2[[#This Row],[Date]],'DB LEI'!$A:$F,6)</f>
        <v/>
      </c>
    </row>
    <row r="245">
      <c r="A245" s="28" t="n">
        <v>43770</v>
      </c>
      <c r="B245" s="15">
        <f>VLOOKUP(Table2[[#This Row],[Date]],'DB LEI'!$A:$F,4)</f>
        <v/>
      </c>
      <c r="C245" s="15">
        <f>VLOOKUP(Table2[[#This Row],[Date]],'DB LEI'!$A:$F,5)</f>
        <v/>
      </c>
      <c r="D245" s="15">
        <f>VLOOKUP(Table2[[#This Row],[Date]],'DB LEI'!$A:$F,6)</f>
        <v/>
      </c>
    </row>
    <row r="246">
      <c r="A246" s="28" t="n">
        <v>43800</v>
      </c>
      <c r="B246" s="15">
        <f>VLOOKUP(Table2[[#This Row],[Date]],'DB LEI'!$A:$F,4)</f>
        <v/>
      </c>
      <c r="C246" s="15">
        <f>VLOOKUP(Table2[[#This Row],[Date]],'DB LEI'!$A:$F,5)</f>
        <v/>
      </c>
      <c r="D246" s="15">
        <f>VLOOKUP(Table2[[#This Row],[Date]],'DB LEI'!$A:$F,6)</f>
        <v/>
      </c>
    </row>
    <row r="247">
      <c r="A247" s="28" t="n">
        <v>43831</v>
      </c>
      <c r="B247" s="15">
        <f>VLOOKUP(Table2[[#This Row],[Date]],'DB LEI'!$A:$F,4)</f>
        <v/>
      </c>
      <c r="C247" s="15">
        <f>VLOOKUP(Table2[[#This Row],[Date]],'DB LEI'!$A:$F,5)</f>
        <v/>
      </c>
      <c r="D247" s="15">
        <f>VLOOKUP(Table2[[#This Row],[Date]],'DB LEI'!$A:$F,6)</f>
        <v/>
      </c>
    </row>
    <row r="248">
      <c r="A248" s="28" t="n">
        <v>43862</v>
      </c>
      <c r="B248" s="15">
        <f>VLOOKUP(Table2[[#This Row],[Date]],'DB LEI'!$A:$F,4)</f>
        <v/>
      </c>
      <c r="C248" s="15">
        <f>VLOOKUP(Table2[[#This Row],[Date]],'DB LEI'!$A:$F,5)</f>
        <v/>
      </c>
      <c r="D248" s="15">
        <f>VLOOKUP(Table2[[#This Row],[Date]],'DB LEI'!$A:$F,6)</f>
        <v/>
      </c>
    </row>
    <row r="249">
      <c r="A249" s="28" t="n">
        <v>43891</v>
      </c>
      <c r="B249" s="15">
        <f>VLOOKUP(Table2[[#This Row],[Date]],'DB LEI'!$A:$F,4)</f>
        <v/>
      </c>
      <c r="C249" s="15">
        <f>VLOOKUP(Table2[[#This Row],[Date]],'DB LEI'!$A:$F,5)</f>
        <v/>
      </c>
      <c r="D249" s="15">
        <f>VLOOKUP(Table2[[#This Row],[Date]],'DB LEI'!$A:$F,6)</f>
        <v/>
      </c>
    </row>
    <row r="250">
      <c r="A250" s="28" t="n">
        <v>43922</v>
      </c>
      <c r="B250" s="15">
        <f>VLOOKUP(Table2[[#This Row],[Date]],'DB LEI'!$A:$F,4)</f>
        <v/>
      </c>
      <c r="C250" s="15">
        <f>VLOOKUP(Table2[[#This Row],[Date]],'DB LEI'!$A:$F,5)</f>
        <v/>
      </c>
      <c r="D250" s="15">
        <f>VLOOKUP(Table2[[#This Row],[Date]],'DB LEI'!$A:$F,6)</f>
        <v/>
      </c>
    </row>
    <row r="251">
      <c r="A251" s="28" t="n">
        <v>43952</v>
      </c>
      <c r="B251" s="15">
        <f>VLOOKUP(Table2[[#This Row],[Date]],'DB LEI'!$A:$F,4)</f>
        <v/>
      </c>
      <c r="C251" s="15">
        <f>VLOOKUP(Table2[[#This Row],[Date]],'DB LEI'!$A:$F,5)</f>
        <v/>
      </c>
      <c r="D251" s="15">
        <f>VLOOKUP(Table2[[#This Row],[Date]],'DB LEI'!$A:$F,6)</f>
        <v/>
      </c>
    </row>
    <row r="252">
      <c r="A252" s="28" t="n">
        <v>43983</v>
      </c>
      <c r="B252" s="15">
        <f>VLOOKUP(Table2[[#This Row],[Date]],'DB LEI'!$A:$F,4)</f>
        <v/>
      </c>
      <c r="C252" s="15">
        <f>VLOOKUP(Table2[[#This Row],[Date]],'DB LEI'!$A:$F,5)</f>
        <v/>
      </c>
      <c r="D252" s="15">
        <f>VLOOKUP(Table2[[#This Row],[Date]],'DB LEI'!$A:$F,6)</f>
        <v/>
      </c>
    </row>
    <row r="253">
      <c r="A253" s="28" t="n">
        <v>44013</v>
      </c>
      <c r="B253" s="15">
        <f>VLOOKUP(Table2[[#This Row],[Date]],'DB LEI'!$A:$F,4)</f>
        <v/>
      </c>
      <c r="C253" s="15">
        <f>VLOOKUP(Table2[[#This Row],[Date]],'DB LEI'!$A:$F,5)</f>
        <v/>
      </c>
      <c r="D253" s="15">
        <f>VLOOKUP(Table2[[#This Row],[Date]],'DB LEI'!$A:$F,6)</f>
        <v/>
      </c>
    </row>
    <row r="254">
      <c r="A254" s="28" t="n">
        <v>44044</v>
      </c>
      <c r="B254" s="15">
        <f>VLOOKUP(Table2[[#This Row],[Date]],'DB LEI'!$A:$F,4)</f>
        <v/>
      </c>
      <c r="C254" s="15">
        <f>VLOOKUP(Table2[[#This Row],[Date]],'DB LEI'!$A:$F,5)</f>
        <v/>
      </c>
      <c r="D254" s="15">
        <f>VLOOKUP(Table2[[#This Row],[Date]],'DB LEI'!$A:$F,6)</f>
        <v/>
      </c>
    </row>
    <row r="255">
      <c r="A255" s="28" t="n">
        <v>44075</v>
      </c>
      <c r="B255" s="15">
        <f>VLOOKUP(Table2[[#This Row],[Date]],'DB LEI'!$A:$F,4)</f>
        <v/>
      </c>
      <c r="C255" s="15">
        <f>VLOOKUP(Table2[[#This Row],[Date]],'DB LEI'!$A:$F,5)</f>
        <v/>
      </c>
      <c r="D255" s="15">
        <f>VLOOKUP(Table2[[#This Row],[Date]],'DB LEI'!$A:$F,6)</f>
        <v/>
      </c>
    </row>
    <row r="256">
      <c r="A256" s="28" t="n">
        <v>44105</v>
      </c>
      <c r="B256" s="15">
        <f>VLOOKUP(Table2[[#This Row],[Date]],'DB LEI'!$A:$F,4)</f>
        <v/>
      </c>
      <c r="C256" s="15">
        <f>VLOOKUP(Table2[[#This Row],[Date]],'DB LEI'!$A:$F,5)</f>
        <v/>
      </c>
      <c r="D256" s="15">
        <f>VLOOKUP(Table2[[#This Row],[Date]],'DB LEI'!$A:$F,6)</f>
        <v/>
      </c>
    </row>
    <row r="257">
      <c r="A257" s="28" t="n">
        <v>44136</v>
      </c>
      <c r="B257" s="15">
        <f>VLOOKUP(Table2[[#This Row],[Date]],'DB LEI'!$A:$F,4)</f>
        <v/>
      </c>
      <c r="C257" s="15">
        <f>VLOOKUP(Table2[[#This Row],[Date]],'DB LEI'!$A:$F,5)</f>
        <v/>
      </c>
      <c r="D257" s="15">
        <f>VLOOKUP(Table2[[#This Row],[Date]],'DB LEI'!$A:$F,6)</f>
        <v/>
      </c>
    </row>
    <row r="258">
      <c r="A258" s="28" t="n">
        <v>44166</v>
      </c>
      <c r="B258" s="15">
        <f>VLOOKUP(Table2[[#This Row],[Date]],'DB LEI'!$A:$F,4)</f>
        <v/>
      </c>
      <c r="C258" s="15">
        <f>VLOOKUP(Table2[[#This Row],[Date]],'DB LEI'!$A:$F,5)</f>
        <v/>
      </c>
      <c r="D258" s="15">
        <f>VLOOKUP(Table2[[#This Row],[Date]],'DB LEI'!$A:$F,6)</f>
        <v/>
      </c>
    </row>
    <row r="259">
      <c r="A259" s="28" t="n">
        <v>44197</v>
      </c>
      <c r="B259" s="15">
        <f>VLOOKUP(Table2[[#This Row],[Date]],'DB LEI'!$A:$F,4)</f>
        <v/>
      </c>
      <c r="C259" s="15">
        <f>VLOOKUP(Table2[[#This Row],[Date]],'DB LEI'!$A:$F,5)</f>
        <v/>
      </c>
      <c r="D259" s="15">
        <f>VLOOKUP(Table2[[#This Row],[Date]],'DB LEI'!$A:$F,6)</f>
        <v/>
      </c>
    </row>
    <row r="260">
      <c r="A260" s="28" t="n">
        <v>44228</v>
      </c>
      <c r="B260" s="15">
        <f>VLOOKUP(Table2[[#This Row],[Date]],'DB LEI'!$A:$F,4)</f>
        <v/>
      </c>
      <c r="C260" s="15">
        <f>VLOOKUP(Table2[[#This Row],[Date]],'DB LEI'!$A:$F,5)</f>
        <v/>
      </c>
      <c r="D260" s="15">
        <f>VLOOKUP(Table2[[#This Row],[Date]],'DB LEI'!$A:$F,6)</f>
        <v/>
      </c>
    </row>
    <row r="261">
      <c r="A261" s="28" t="n">
        <v>44256</v>
      </c>
      <c r="B261" s="15">
        <f>VLOOKUP(Table2[[#This Row],[Date]],'DB LEI'!$A:$F,4)</f>
        <v/>
      </c>
      <c r="C261" s="15">
        <f>VLOOKUP(Table2[[#This Row],[Date]],'DB LEI'!$A:$F,5)</f>
        <v/>
      </c>
      <c r="D261" s="15">
        <f>VLOOKUP(Table2[[#This Row],[Date]],'DB LEI'!$A:$F,6)</f>
        <v/>
      </c>
    </row>
    <row r="262">
      <c r="A262" s="28" t="n">
        <v>44287</v>
      </c>
      <c r="B262" s="15">
        <f>VLOOKUP(Table2[[#This Row],[Date]],'DB LEI'!$A:$F,4)</f>
        <v/>
      </c>
      <c r="C262" s="15">
        <f>VLOOKUP(Table2[[#This Row],[Date]],'DB LEI'!$A:$F,5)</f>
        <v/>
      </c>
      <c r="D262" s="15">
        <f>VLOOKUP(Table2[[#This Row],[Date]],'DB LEI'!$A:$F,6)</f>
        <v/>
      </c>
    </row>
    <row r="263">
      <c r="A263" s="28" t="n">
        <v>44317</v>
      </c>
      <c r="B263" s="15">
        <f>VLOOKUP(Table2[[#This Row],[Date]],'DB LEI'!$A:$F,4)</f>
        <v/>
      </c>
      <c r="C263" s="15">
        <f>VLOOKUP(Table2[[#This Row],[Date]],'DB LEI'!$A:$F,5)</f>
        <v/>
      </c>
      <c r="D263" s="15">
        <f>VLOOKUP(Table2[[#This Row],[Date]],'DB LEI'!$A:$F,6)</f>
        <v/>
      </c>
    </row>
    <row r="264">
      <c r="A264" s="28" t="n">
        <v>44348</v>
      </c>
      <c r="B264" s="15">
        <f>VLOOKUP(Table2[[#This Row],[Date]],'DB LEI'!$A:$F,4)</f>
        <v/>
      </c>
      <c r="C264" s="15">
        <f>VLOOKUP(Table2[[#This Row],[Date]],'DB LEI'!$A:$F,5)</f>
        <v/>
      </c>
      <c r="D264" s="15">
        <f>VLOOKUP(Table2[[#This Row],[Date]],'DB LEI'!$A:$F,6)</f>
        <v/>
      </c>
    </row>
    <row r="265">
      <c r="A265" s="28" t="n">
        <v>44378</v>
      </c>
      <c r="B265" s="15">
        <f>VLOOKUP(Table2[[#This Row],[Date]],'DB LEI'!$A:$F,4)</f>
        <v/>
      </c>
      <c r="C265" s="15">
        <f>VLOOKUP(Table2[[#This Row],[Date]],'DB LEI'!$A:$F,5)</f>
        <v/>
      </c>
      <c r="D265" s="15">
        <f>VLOOKUP(Table2[[#This Row],[Date]],'DB LEI'!$A:$F,6)</f>
        <v/>
      </c>
    </row>
    <row r="266">
      <c r="A266" s="28" t="n">
        <v>44409</v>
      </c>
      <c r="B266" s="15">
        <f>VLOOKUP(Table2[[#This Row],[Date]],'DB LEI'!$A:$F,4)</f>
        <v/>
      </c>
      <c r="C266" s="15">
        <f>VLOOKUP(Table2[[#This Row],[Date]],'DB LEI'!$A:$F,5)</f>
        <v/>
      </c>
      <c r="D266" s="15">
        <f>VLOOKUP(Table2[[#This Row],[Date]],'DB LEI'!$A:$F,6)</f>
        <v/>
      </c>
    </row>
    <row r="267">
      <c r="A267" s="28" t="n">
        <v>44440</v>
      </c>
      <c r="B267" s="15">
        <f>VLOOKUP(Table2[[#This Row],[Date]],'DB LEI'!$A:$F,4)</f>
        <v/>
      </c>
      <c r="C267" s="15">
        <f>VLOOKUP(Table2[[#This Row],[Date]],'DB LEI'!$A:$F,5)</f>
        <v/>
      </c>
      <c r="D267" s="15">
        <f>VLOOKUP(Table2[[#This Row],[Date]],'DB LEI'!$A:$F,6)</f>
        <v/>
      </c>
    </row>
    <row r="268">
      <c r="A268" s="28" t="n">
        <v>44470</v>
      </c>
      <c r="B268" s="15">
        <f>VLOOKUP(Table2[[#This Row],[Date]],'DB LEI'!$A:$F,4)</f>
        <v/>
      </c>
      <c r="C268" s="15">
        <f>VLOOKUP(Table2[[#This Row],[Date]],'DB LEI'!$A:$F,5)</f>
        <v/>
      </c>
      <c r="D268" s="15">
        <f>VLOOKUP(Table2[[#This Row],[Date]],'DB LEI'!$A:$F,6)</f>
        <v/>
      </c>
    </row>
    <row r="269">
      <c r="A269" s="28" t="n">
        <v>44501</v>
      </c>
      <c r="B269" s="15">
        <f>VLOOKUP(Table2[[#This Row],[Date]],'DB LEI'!$A:$F,4)</f>
        <v/>
      </c>
      <c r="C269" s="15">
        <f>VLOOKUP(Table2[[#This Row],[Date]],'DB LEI'!$A:$F,5)</f>
        <v/>
      </c>
      <c r="D269" s="15">
        <f>VLOOKUP(Table2[[#This Row],[Date]],'DB LEI'!$A:$F,6)</f>
        <v/>
      </c>
    </row>
    <row r="270">
      <c r="A270" s="28" t="n">
        <v>44531</v>
      </c>
      <c r="B270" s="15">
        <f>VLOOKUP(Table2[[#This Row],[Date]],'DB LEI'!$A:$F,4)</f>
        <v/>
      </c>
      <c r="C270" s="15">
        <f>VLOOKUP(Table2[[#This Row],[Date]],'DB LEI'!$A:$F,5)</f>
        <v/>
      </c>
      <c r="D270" s="15">
        <f>VLOOKUP(Table2[[#This Row],[Date]],'DB LEI'!$A:$F,6)</f>
        <v/>
      </c>
    </row>
    <row r="271">
      <c r="A271" s="28" t="n">
        <v>44562</v>
      </c>
      <c r="B271" s="15">
        <f>VLOOKUP(Table2[[#This Row],[Date]],'DB LEI'!$A:$F,4)</f>
        <v/>
      </c>
      <c r="C271" s="15">
        <f>VLOOKUP(Table2[[#This Row],[Date]],'DB LEI'!$A:$F,5)</f>
        <v/>
      </c>
      <c r="D271" s="15">
        <f>VLOOKUP(Table2[[#This Row],[Date]],'DB LEI'!$A:$F,6)</f>
        <v/>
      </c>
    </row>
    <row r="272">
      <c r="A272" s="28" t="n">
        <v>44593</v>
      </c>
      <c r="B272" s="15">
        <f>VLOOKUP(Table2[[#This Row],[Date]],'DB LEI'!$A:$F,4)</f>
        <v/>
      </c>
      <c r="C272" s="15">
        <f>VLOOKUP(Table2[[#This Row],[Date]],'DB LEI'!$A:$F,5)</f>
        <v/>
      </c>
      <c r="D272" s="15">
        <f>VLOOKUP(Table2[[#This Row],[Date]],'DB LEI'!$A:$F,6)</f>
        <v/>
      </c>
    </row>
    <row r="273">
      <c r="A273" s="28" t="n">
        <v>44621</v>
      </c>
      <c r="B273" s="15">
        <f>VLOOKUP(Table2[[#This Row],[Date]],'DB LEI'!$A:$F,4)</f>
        <v/>
      </c>
      <c r="C273" s="15">
        <f>VLOOKUP(Table2[[#This Row],[Date]],'DB LEI'!$A:$F,5)</f>
        <v/>
      </c>
      <c r="D273" s="15">
        <f>VLOOKUP(Table2[[#This Row],[Date]],'DB LEI'!$A:$F,6)</f>
        <v/>
      </c>
    </row>
    <row r="274">
      <c r="A274" s="28" t="n">
        <v>44652</v>
      </c>
      <c r="B274" s="15">
        <f>VLOOKUP(Table2[[#This Row],[Date]],'DB LEI'!$A:$F,4)</f>
        <v/>
      </c>
      <c r="C274" s="15">
        <f>VLOOKUP(Table2[[#This Row],[Date]],'DB LEI'!$A:$F,5)</f>
        <v/>
      </c>
      <c r="D274" s="15">
        <f>VLOOKUP(Table2[[#This Row],[Date]],'DB LEI'!$A:$F,6)</f>
        <v/>
      </c>
    </row>
    <row r="275">
      <c r="A275" s="28" t="n">
        <v>44682</v>
      </c>
      <c r="B275" s="15">
        <f>VLOOKUP(Table2[[#This Row],[Date]],'DB LEI'!$A:$F,4)</f>
        <v/>
      </c>
      <c r="C275" s="15">
        <f>VLOOKUP(Table2[[#This Row],[Date]],'DB LEI'!$A:$F,5)</f>
        <v/>
      </c>
      <c r="D275" s="15">
        <f>VLOOKUP(Table2[[#This Row],[Date]],'DB LEI'!$A:$F,6)</f>
        <v/>
      </c>
    </row>
    <row r="276">
      <c r="A276" s="28" t="n">
        <v>44713</v>
      </c>
      <c r="B276" s="15">
        <f>VLOOKUP(Table2[[#This Row],[Date]],'DB LEI'!$A:$F,4)</f>
        <v/>
      </c>
      <c r="C276" s="15">
        <f>VLOOKUP(Table2[[#This Row],[Date]],'DB LEI'!$A:$F,5)</f>
        <v/>
      </c>
      <c r="D276" s="15">
        <f>VLOOKUP(Table2[[#This Row],[Date]],'DB LEI'!$A:$F,6)</f>
        <v/>
      </c>
    </row>
    <row r="277">
      <c r="A277" s="28" t="n">
        <v>44743</v>
      </c>
      <c r="B277" s="15">
        <f>VLOOKUP(Table2[[#This Row],[Date]],'DB LEI'!$A:$F,4)</f>
        <v/>
      </c>
      <c r="C277" s="15">
        <f>VLOOKUP(Table2[[#This Row],[Date]],'DB LEI'!$A:$F,5)</f>
        <v/>
      </c>
      <c r="D277" s="15">
        <f>VLOOKUP(Table2[[#This Row],[Date]],'DB LEI'!$A:$F,6)</f>
        <v/>
      </c>
    </row>
    <row r="278">
      <c r="A278" s="28" t="n">
        <v>44774</v>
      </c>
      <c r="B278" s="15">
        <f>VLOOKUP(Table2[[#This Row],[Date]],'DB LEI'!$A:$F,4)</f>
        <v/>
      </c>
      <c r="C278" s="15">
        <f>VLOOKUP(Table2[[#This Row],[Date]],'DB LEI'!$A:$F,5)</f>
        <v/>
      </c>
      <c r="D278" s="15">
        <f>VLOOKUP(Table2[[#This Row],[Date]],'DB LEI'!$A:$F,6)</f>
        <v/>
      </c>
    </row>
    <row r="279">
      <c r="A279" s="28" t="n">
        <v>44805</v>
      </c>
      <c r="B279" s="15">
        <f>VLOOKUP(Table2[[#This Row],[Date]],'DB LEI'!$A:$F,4)</f>
        <v/>
      </c>
      <c r="C279" s="15">
        <f>VLOOKUP(Table2[[#This Row],[Date]],'DB LEI'!$A:$F,5)</f>
        <v/>
      </c>
      <c r="D279" s="15">
        <f>VLOOKUP(Table2[[#This Row],[Date]],'DB LEI'!$A:$F,6)</f>
        <v/>
      </c>
    </row>
    <row r="280">
      <c r="A280" s="28" t="n">
        <v>44835</v>
      </c>
      <c r="B280" s="15">
        <f>VLOOKUP(Table2[[#This Row],[Date]],'DB LEI'!$A:$F,4)</f>
        <v/>
      </c>
      <c r="C280" s="15">
        <f>VLOOKUP(Table2[[#This Row],[Date]],'DB LEI'!$A:$F,5)</f>
        <v/>
      </c>
      <c r="D280" s="15">
        <f>VLOOKUP(Table2[[#This Row],[Date]],'DB LEI'!$A:$F,6)</f>
        <v/>
      </c>
    </row>
  </sheetData>
  <conditionalFormatting sqref="B127:B28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outlinePr summaryBelow="1" summaryRight="1"/>
    <pageSetUpPr/>
  </sheetPr>
  <dimension ref="A1:D544"/>
  <sheetViews>
    <sheetView tabSelected="1" zoomScaleNormal="100" workbookViewId="0">
      <pane ySplit="6" topLeftCell="A509" activePane="bottomLeft" state="frozen"/>
      <selection activeCell="L765" sqref="L765"/>
      <selection pane="bottomLeft" activeCell="J553" sqref="J553"/>
    </sheetView>
  </sheetViews>
  <sheetFormatPr baseColWidth="10" defaultColWidth="9.1640625" defaultRowHeight="15"/>
  <cols>
    <col width="11.6640625" customWidth="1" style="16" min="1" max="1"/>
    <col width="15" customWidth="1" style="16" min="2" max="4"/>
    <col width="9.1640625" customWidth="1" style="55" min="5" max="33"/>
    <col width="9.1640625" customWidth="1" style="55" min="34" max="16384"/>
  </cols>
  <sheetData>
    <row r="1">
      <c r="A1" s="26" t="inlineStr">
        <is>
          <t>UMCSI vs GDP</t>
        </is>
      </c>
    </row>
    <row r="5" ht="16" customHeight="1" thickBot="1"/>
    <row r="6" ht="16" customHeight="1">
      <c r="A6" s="19" t="inlineStr">
        <is>
          <t>Date</t>
        </is>
      </c>
      <c r="B6" s="20" t="inlineStr">
        <is>
          <t>UMCSI</t>
        </is>
      </c>
      <c r="C6" s="21" t="inlineStr">
        <is>
          <t>GDP yoy %</t>
        </is>
      </c>
      <c r="D6" s="22" t="inlineStr">
        <is>
          <t>GDP qoq %</t>
        </is>
      </c>
    </row>
    <row r="7">
      <c r="A7" s="23" t="n">
        <v>28491</v>
      </c>
      <c r="B7" s="18">
        <f>VLOOKUP(Table48[[#This Row],[Date]],'DB LEI'!$A:$F,5)</f>
        <v/>
      </c>
      <c r="C7" s="24">
        <f>IF(VLOOKUP(Table48[[#This Row],[Date]],'DB LEI'!$A:$M,13)=0,"",VLOOKUP(Table48[[#This Row],[Date]],'DB LEI'!$A:$M,13))</f>
        <v/>
      </c>
      <c r="D7" s="24">
        <f>IF(VLOOKUP(Table48[[#This Row],[Date]],'DB LEI'!$A:$M,11)=0,"",VLOOKUP(Table48[[#This Row],[Date]],'DB LEI'!$A:$M,11))</f>
        <v/>
      </c>
    </row>
    <row r="8">
      <c r="A8" s="23" t="n">
        <v>28522</v>
      </c>
      <c r="B8" s="18">
        <f>VLOOKUP(Table48[[#This Row],[Date]],'DB LEI'!$A:$F,5)</f>
        <v/>
      </c>
      <c r="C8" s="24">
        <f>IF(VLOOKUP(Table48[[#This Row],[Date]],'DB LEI'!$A:$M,13)=0,"",VLOOKUP(Table48[[#This Row],[Date]],'DB LEI'!$A:$M,13))</f>
        <v/>
      </c>
      <c r="D8" s="24">
        <f>IF(VLOOKUP(Table48[[#This Row],[Date]],'DB LEI'!$A:$M,11)=0,"",VLOOKUP(Table48[[#This Row],[Date]],'DB LEI'!$A:$M,11))</f>
        <v/>
      </c>
    </row>
    <row r="9">
      <c r="A9" s="23" t="n">
        <v>28550</v>
      </c>
      <c r="B9" s="18">
        <f>VLOOKUP(Table48[[#This Row],[Date]],'DB LEI'!$A:$F,5)</f>
        <v/>
      </c>
      <c r="C9" s="24">
        <f>IF(VLOOKUP(Table48[[#This Row],[Date]],'DB LEI'!$A:$M,13)=0,"",VLOOKUP(Table48[[#This Row],[Date]],'DB LEI'!$A:$M,13))</f>
        <v/>
      </c>
      <c r="D9" s="24">
        <f>IF(VLOOKUP(Table48[[#This Row],[Date]],'DB LEI'!$A:$M,11)=0,"",VLOOKUP(Table48[[#This Row],[Date]],'DB LEI'!$A:$M,11))</f>
        <v/>
      </c>
    </row>
    <row r="10">
      <c r="A10" s="23" t="n">
        <v>28581</v>
      </c>
      <c r="B10" s="18">
        <f>VLOOKUP(Table48[[#This Row],[Date]],'DB LEI'!$A:$F,5)</f>
        <v/>
      </c>
      <c r="C10" s="24">
        <f>IF(VLOOKUP(Table48[[#This Row],[Date]],'DB LEI'!$A:$M,13)=0,"",VLOOKUP(Table48[[#This Row],[Date]],'DB LEI'!$A:$M,13))</f>
        <v/>
      </c>
      <c r="D10" s="24">
        <f>IF(VLOOKUP(Table48[[#This Row],[Date]],'DB LEI'!$A:$M,11)=0,"",VLOOKUP(Table48[[#This Row],[Date]],'DB LEI'!$A:$M,11))</f>
        <v/>
      </c>
    </row>
    <row r="11">
      <c r="A11" s="23" t="n">
        <v>28611</v>
      </c>
      <c r="B11" s="18">
        <f>VLOOKUP(Table48[[#This Row],[Date]],'DB LEI'!$A:$F,5)</f>
        <v/>
      </c>
      <c r="C11" s="24">
        <f>IF(VLOOKUP(Table48[[#This Row],[Date]],'DB LEI'!$A:$M,13)=0,"",VLOOKUP(Table48[[#This Row],[Date]],'DB LEI'!$A:$M,13))</f>
        <v/>
      </c>
      <c r="D11" s="24">
        <f>IF(VLOOKUP(Table48[[#This Row],[Date]],'DB LEI'!$A:$M,11)=0,"",VLOOKUP(Table48[[#This Row],[Date]],'DB LEI'!$A:$M,11))</f>
        <v/>
      </c>
    </row>
    <row r="12">
      <c r="A12" s="23" t="n">
        <v>28642</v>
      </c>
      <c r="B12" s="18">
        <f>VLOOKUP(Table48[[#This Row],[Date]],'DB LEI'!$A:$F,5)</f>
        <v/>
      </c>
      <c r="C12" s="24">
        <f>IF(VLOOKUP(Table48[[#This Row],[Date]],'DB LEI'!$A:$M,13)=0,"",VLOOKUP(Table48[[#This Row],[Date]],'DB LEI'!$A:$M,13))</f>
        <v/>
      </c>
      <c r="D12" s="24">
        <f>IF(VLOOKUP(Table48[[#This Row],[Date]],'DB LEI'!$A:$M,11)=0,"",VLOOKUP(Table48[[#This Row],[Date]],'DB LEI'!$A:$M,11))</f>
        <v/>
      </c>
    </row>
    <row r="13">
      <c r="A13" s="23" t="n">
        <v>28672</v>
      </c>
      <c r="B13" s="18">
        <f>VLOOKUP(Table48[[#This Row],[Date]],'DB LEI'!$A:$F,5)</f>
        <v/>
      </c>
      <c r="C13" s="24">
        <f>IF(VLOOKUP(Table48[[#This Row],[Date]],'DB LEI'!$A:$M,13)=0,"",VLOOKUP(Table48[[#This Row],[Date]],'DB LEI'!$A:$M,13))</f>
        <v/>
      </c>
      <c r="D13" s="24">
        <f>IF(VLOOKUP(Table48[[#This Row],[Date]],'DB LEI'!$A:$M,11)=0,"",VLOOKUP(Table48[[#This Row],[Date]],'DB LEI'!$A:$M,11))</f>
        <v/>
      </c>
    </row>
    <row r="14">
      <c r="A14" s="23" t="n">
        <v>28703</v>
      </c>
      <c r="B14" s="18">
        <f>VLOOKUP(Table48[[#This Row],[Date]],'DB LEI'!$A:$F,5)</f>
        <v/>
      </c>
      <c r="C14" s="24">
        <f>IF(VLOOKUP(Table48[[#This Row],[Date]],'DB LEI'!$A:$M,13)=0,"",VLOOKUP(Table48[[#This Row],[Date]],'DB LEI'!$A:$M,13))</f>
        <v/>
      </c>
      <c r="D14" s="24">
        <f>IF(VLOOKUP(Table48[[#This Row],[Date]],'DB LEI'!$A:$M,11)=0,"",VLOOKUP(Table48[[#This Row],[Date]],'DB LEI'!$A:$M,11))</f>
        <v/>
      </c>
    </row>
    <row r="15">
      <c r="A15" s="23" t="n">
        <v>28734</v>
      </c>
      <c r="B15" s="18">
        <f>VLOOKUP(Table48[[#This Row],[Date]],'DB LEI'!$A:$F,5)</f>
        <v/>
      </c>
      <c r="C15" s="24">
        <f>IF(VLOOKUP(Table48[[#This Row],[Date]],'DB LEI'!$A:$M,13)=0,"",VLOOKUP(Table48[[#This Row],[Date]],'DB LEI'!$A:$M,13))</f>
        <v/>
      </c>
      <c r="D15" s="24">
        <f>IF(VLOOKUP(Table48[[#This Row],[Date]],'DB LEI'!$A:$M,11)=0,"",VLOOKUP(Table48[[#This Row],[Date]],'DB LEI'!$A:$M,11))</f>
        <v/>
      </c>
    </row>
    <row r="16">
      <c r="A16" s="23" t="n">
        <v>28764</v>
      </c>
      <c r="B16" s="18">
        <f>VLOOKUP(Table48[[#This Row],[Date]],'DB LEI'!$A:$F,5)</f>
        <v/>
      </c>
      <c r="C16" s="24">
        <f>IF(VLOOKUP(Table48[[#This Row],[Date]],'DB LEI'!$A:$M,13)=0,"",VLOOKUP(Table48[[#This Row],[Date]],'DB LEI'!$A:$M,13))</f>
        <v/>
      </c>
      <c r="D16" s="24">
        <f>IF(VLOOKUP(Table48[[#This Row],[Date]],'DB LEI'!$A:$M,11)=0,"",VLOOKUP(Table48[[#This Row],[Date]],'DB LEI'!$A:$M,11))</f>
        <v/>
      </c>
    </row>
    <row r="17">
      <c r="A17" s="23" t="n">
        <v>28795</v>
      </c>
      <c r="B17" s="18">
        <f>VLOOKUP(Table48[[#This Row],[Date]],'DB LEI'!$A:$F,5)</f>
        <v/>
      </c>
      <c r="C17" s="24">
        <f>IF(VLOOKUP(Table48[[#This Row],[Date]],'DB LEI'!$A:$M,13)=0,"",VLOOKUP(Table48[[#This Row],[Date]],'DB LEI'!$A:$M,13))</f>
        <v/>
      </c>
      <c r="D17" s="24">
        <f>IF(VLOOKUP(Table48[[#This Row],[Date]],'DB LEI'!$A:$M,11)=0,"",VLOOKUP(Table48[[#This Row],[Date]],'DB LEI'!$A:$M,11))</f>
        <v/>
      </c>
    </row>
    <row r="18">
      <c r="A18" s="23" t="n">
        <v>28825</v>
      </c>
      <c r="B18" s="18">
        <f>VLOOKUP(Table48[[#This Row],[Date]],'DB LEI'!$A:$F,5)</f>
        <v/>
      </c>
      <c r="C18" s="24">
        <f>IF(VLOOKUP(Table48[[#This Row],[Date]],'DB LEI'!$A:$M,13)=0,"",VLOOKUP(Table48[[#This Row],[Date]],'DB LEI'!$A:$M,13))</f>
        <v/>
      </c>
      <c r="D18" s="24">
        <f>IF(VLOOKUP(Table48[[#This Row],[Date]],'DB LEI'!$A:$M,11)=0,"",VLOOKUP(Table48[[#This Row],[Date]],'DB LEI'!$A:$M,11))</f>
        <v/>
      </c>
    </row>
    <row r="19">
      <c r="A19" s="23" t="n">
        <v>28856</v>
      </c>
      <c r="B19" s="18">
        <f>VLOOKUP(Table48[[#This Row],[Date]],'DB LEI'!$A:$F,5)</f>
        <v/>
      </c>
      <c r="C19" s="24">
        <f>IF(VLOOKUP(Table48[[#This Row],[Date]],'DB LEI'!$A:$M,13)=0,"",VLOOKUP(Table48[[#This Row],[Date]],'DB LEI'!$A:$M,13))</f>
        <v/>
      </c>
      <c r="D19" s="24">
        <f>IF(VLOOKUP(Table48[[#This Row],[Date]],'DB LEI'!$A:$M,11)=0,"",VLOOKUP(Table48[[#This Row],[Date]],'DB LEI'!$A:$M,11))</f>
        <v/>
      </c>
    </row>
    <row r="20">
      <c r="A20" s="23" t="n">
        <v>28887</v>
      </c>
      <c r="B20" s="18">
        <f>VLOOKUP(Table48[[#This Row],[Date]],'DB LEI'!$A:$F,5)</f>
        <v/>
      </c>
      <c r="C20" s="24">
        <f>IF(VLOOKUP(Table48[[#This Row],[Date]],'DB LEI'!$A:$M,13)=0,"",VLOOKUP(Table48[[#This Row],[Date]],'DB LEI'!$A:$M,13))</f>
        <v/>
      </c>
      <c r="D20" s="24">
        <f>IF(VLOOKUP(Table48[[#This Row],[Date]],'DB LEI'!$A:$M,11)=0,"",VLOOKUP(Table48[[#This Row],[Date]],'DB LEI'!$A:$M,11))</f>
        <v/>
      </c>
    </row>
    <row r="21">
      <c r="A21" s="23" t="n">
        <v>28915</v>
      </c>
      <c r="B21" s="18">
        <f>VLOOKUP(Table48[[#This Row],[Date]],'DB LEI'!$A:$F,5)</f>
        <v/>
      </c>
      <c r="C21" s="24">
        <f>IF(VLOOKUP(Table48[[#This Row],[Date]],'DB LEI'!$A:$M,13)=0,"",VLOOKUP(Table48[[#This Row],[Date]],'DB LEI'!$A:$M,13))</f>
        <v/>
      </c>
      <c r="D21" s="24">
        <f>IF(VLOOKUP(Table48[[#This Row],[Date]],'DB LEI'!$A:$M,11)=0,"",VLOOKUP(Table48[[#This Row],[Date]],'DB LEI'!$A:$M,11))</f>
        <v/>
      </c>
    </row>
    <row r="22">
      <c r="A22" s="23" t="n">
        <v>28946</v>
      </c>
      <c r="B22" s="18">
        <f>VLOOKUP(Table48[[#This Row],[Date]],'DB LEI'!$A:$F,5)</f>
        <v/>
      </c>
      <c r="C22" s="24">
        <f>IF(VLOOKUP(Table48[[#This Row],[Date]],'DB LEI'!$A:$M,13)=0,"",VLOOKUP(Table48[[#This Row],[Date]],'DB LEI'!$A:$M,13))</f>
        <v/>
      </c>
      <c r="D22" s="24">
        <f>IF(VLOOKUP(Table48[[#This Row],[Date]],'DB LEI'!$A:$M,11)=0,"",VLOOKUP(Table48[[#This Row],[Date]],'DB LEI'!$A:$M,11))</f>
        <v/>
      </c>
    </row>
    <row r="23">
      <c r="A23" s="23" t="n">
        <v>28976</v>
      </c>
      <c r="B23" s="18">
        <f>VLOOKUP(Table48[[#This Row],[Date]],'DB LEI'!$A:$F,5)</f>
        <v/>
      </c>
      <c r="C23" s="24">
        <f>IF(VLOOKUP(Table48[[#This Row],[Date]],'DB LEI'!$A:$M,13)=0,"",VLOOKUP(Table48[[#This Row],[Date]],'DB LEI'!$A:$M,13))</f>
        <v/>
      </c>
      <c r="D23" s="24">
        <f>IF(VLOOKUP(Table48[[#This Row],[Date]],'DB LEI'!$A:$M,11)=0,"",VLOOKUP(Table48[[#This Row],[Date]],'DB LEI'!$A:$M,11))</f>
        <v/>
      </c>
    </row>
    <row r="24">
      <c r="A24" s="23" t="n">
        <v>29007</v>
      </c>
      <c r="B24" s="18">
        <f>VLOOKUP(Table48[[#This Row],[Date]],'DB LEI'!$A:$F,5)</f>
        <v/>
      </c>
      <c r="C24" s="24">
        <f>IF(VLOOKUP(Table48[[#This Row],[Date]],'DB LEI'!$A:$M,13)=0,"",VLOOKUP(Table48[[#This Row],[Date]],'DB LEI'!$A:$M,13))</f>
        <v/>
      </c>
      <c r="D24" s="24">
        <f>IF(VLOOKUP(Table48[[#This Row],[Date]],'DB LEI'!$A:$M,11)=0,"",VLOOKUP(Table48[[#This Row],[Date]],'DB LEI'!$A:$M,11))</f>
        <v/>
      </c>
    </row>
    <row r="25">
      <c r="A25" s="23" t="n">
        <v>29037</v>
      </c>
      <c r="B25" s="18">
        <f>VLOOKUP(Table48[[#This Row],[Date]],'DB LEI'!$A:$F,5)</f>
        <v/>
      </c>
      <c r="C25" s="24">
        <f>IF(VLOOKUP(Table48[[#This Row],[Date]],'DB LEI'!$A:$M,13)=0,"",VLOOKUP(Table48[[#This Row],[Date]],'DB LEI'!$A:$M,13))</f>
        <v/>
      </c>
      <c r="D25" s="24">
        <f>IF(VLOOKUP(Table48[[#This Row],[Date]],'DB LEI'!$A:$M,11)=0,"",VLOOKUP(Table48[[#This Row],[Date]],'DB LEI'!$A:$M,11))</f>
        <v/>
      </c>
    </row>
    <row r="26">
      <c r="A26" s="23" t="n">
        <v>29068</v>
      </c>
      <c r="B26" s="18">
        <f>VLOOKUP(Table48[[#This Row],[Date]],'DB LEI'!$A:$F,5)</f>
        <v/>
      </c>
      <c r="C26" s="24">
        <f>IF(VLOOKUP(Table48[[#This Row],[Date]],'DB LEI'!$A:$M,13)=0,"",VLOOKUP(Table48[[#This Row],[Date]],'DB LEI'!$A:$M,13))</f>
        <v/>
      </c>
      <c r="D26" s="24">
        <f>IF(VLOOKUP(Table48[[#This Row],[Date]],'DB LEI'!$A:$M,11)=0,"",VLOOKUP(Table48[[#This Row],[Date]],'DB LEI'!$A:$M,11))</f>
        <v/>
      </c>
    </row>
    <row r="27">
      <c r="A27" s="23" t="n">
        <v>29099</v>
      </c>
      <c r="B27" s="18">
        <f>VLOOKUP(Table48[[#This Row],[Date]],'DB LEI'!$A:$F,5)</f>
        <v/>
      </c>
      <c r="C27" s="24">
        <f>IF(VLOOKUP(Table48[[#This Row],[Date]],'DB LEI'!$A:$M,13)=0,"",VLOOKUP(Table48[[#This Row],[Date]],'DB LEI'!$A:$M,13))</f>
        <v/>
      </c>
      <c r="D27" s="24">
        <f>IF(VLOOKUP(Table48[[#This Row],[Date]],'DB LEI'!$A:$M,11)=0,"",VLOOKUP(Table48[[#This Row],[Date]],'DB LEI'!$A:$M,11))</f>
        <v/>
      </c>
    </row>
    <row r="28">
      <c r="A28" s="23" t="n">
        <v>29129</v>
      </c>
      <c r="B28" s="18">
        <f>VLOOKUP(Table48[[#This Row],[Date]],'DB LEI'!$A:$F,5)</f>
        <v/>
      </c>
      <c r="C28" s="24">
        <f>IF(VLOOKUP(Table48[[#This Row],[Date]],'DB LEI'!$A:$M,13)=0,"",VLOOKUP(Table48[[#This Row],[Date]],'DB LEI'!$A:$M,13))</f>
        <v/>
      </c>
      <c r="D28" s="24">
        <f>IF(VLOOKUP(Table48[[#This Row],[Date]],'DB LEI'!$A:$M,11)=0,"",VLOOKUP(Table48[[#This Row],[Date]],'DB LEI'!$A:$M,11))</f>
        <v/>
      </c>
    </row>
    <row r="29">
      <c r="A29" s="23" t="n">
        <v>29160</v>
      </c>
      <c r="B29" s="18">
        <f>VLOOKUP(Table48[[#This Row],[Date]],'DB LEI'!$A:$F,5)</f>
        <v/>
      </c>
      <c r="C29" s="24">
        <f>IF(VLOOKUP(Table48[[#This Row],[Date]],'DB LEI'!$A:$M,13)=0,"",VLOOKUP(Table48[[#This Row],[Date]],'DB LEI'!$A:$M,13))</f>
        <v/>
      </c>
      <c r="D29" s="24">
        <f>IF(VLOOKUP(Table48[[#This Row],[Date]],'DB LEI'!$A:$M,11)=0,"",VLOOKUP(Table48[[#This Row],[Date]],'DB LEI'!$A:$M,11))</f>
        <v/>
      </c>
    </row>
    <row r="30">
      <c r="A30" s="23" t="n">
        <v>29190</v>
      </c>
      <c r="B30" s="18">
        <f>VLOOKUP(Table48[[#This Row],[Date]],'DB LEI'!$A:$F,5)</f>
        <v/>
      </c>
      <c r="C30" s="24">
        <f>IF(VLOOKUP(Table48[[#This Row],[Date]],'DB LEI'!$A:$M,13)=0,"",VLOOKUP(Table48[[#This Row],[Date]],'DB LEI'!$A:$M,13))</f>
        <v/>
      </c>
      <c r="D30" s="24">
        <f>IF(VLOOKUP(Table48[[#This Row],[Date]],'DB LEI'!$A:$M,11)=0,"",VLOOKUP(Table48[[#This Row],[Date]],'DB LEI'!$A:$M,11))</f>
        <v/>
      </c>
    </row>
    <row r="31">
      <c r="A31" s="23" t="n">
        <v>29221</v>
      </c>
      <c r="B31" s="18">
        <f>VLOOKUP(Table48[[#This Row],[Date]],'DB LEI'!$A:$F,5)</f>
        <v/>
      </c>
      <c r="C31" s="24">
        <f>IF(VLOOKUP(Table48[[#This Row],[Date]],'DB LEI'!$A:$M,13)=0,"",VLOOKUP(Table48[[#This Row],[Date]],'DB LEI'!$A:$M,13))</f>
        <v/>
      </c>
      <c r="D31" s="24">
        <f>IF(VLOOKUP(Table48[[#This Row],[Date]],'DB LEI'!$A:$M,11)=0,"",VLOOKUP(Table48[[#This Row],[Date]],'DB LEI'!$A:$M,11))</f>
        <v/>
      </c>
    </row>
    <row r="32">
      <c r="A32" s="23" t="n">
        <v>29252</v>
      </c>
      <c r="B32" s="18">
        <f>VLOOKUP(Table48[[#This Row],[Date]],'DB LEI'!$A:$F,5)</f>
        <v/>
      </c>
      <c r="C32" s="24">
        <f>IF(VLOOKUP(Table48[[#This Row],[Date]],'DB LEI'!$A:$M,13)=0,"",VLOOKUP(Table48[[#This Row],[Date]],'DB LEI'!$A:$M,13))</f>
        <v/>
      </c>
      <c r="D32" s="24">
        <f>IF(VLOOKUP(Table48[[#This Row],[Date]],'DB LEI'!$A:$M,11)=0,"",VLOOKUP(Table48[[#This Row],[Date]],'DB LEI'!$A:$M,11))</f>
        <v/>
      </c>
    </row>
    <row r="33">
      <c r="A33" s="23" t="n">
        <v>29342</v>
      </c>
      <c r="B33" s="18">
        <f>VLOOKUP(Table48[[#This Row],[Date]],'DB LEI'!$A:$F,5)</f>
        <v/>
      </c>
      <c r="C33" s="24">
        <f>IF(VLOOKUP(Table48[[#This Row],[Date]],'DB LEI'!$A:$M,13)=0,"",VLOOKUP(Table48[[#This Row],[Date]],'DB LEI'!$A:$M,13))</f>
        <v/>
      </c>
      <c r="D33" s="24">
        <f>IF(VLOOKUP(Table48[[#This Row],[Date]],'DB LEI'!$A:$M,11)=0,"",VLOOKUP(Table48[[#This Row],[Date]],'DB LEI'!$A:$M,11))</f>
        <v/>
      </c>
    </row>
    <row r="34">
      <c r="A34" s="23" t="n">
        <v>29312</v>
      </c>
      <c r="B34" s="18">
        <f>VLOOKUP(Table48[[#This Row],[Date]],'DB LEI'!$A:$F,5)</f>
        <v/>
      </c>
      <c r="C34" s="24">
        <f>IF(VLOOKUP(Table48[[#This Row],[Date]],'DB LEI'!$A:$M,13)=0,"",VLOOKUP(Table48[[#This Row],[Date]],'DB LEI'!$A:$M,13))</f>
        <v/>
      </c>
      <c r="D34" s="24">
        <f>IF(VLOOKUP(Table48[[#This Row],[Date]],'DB LEI'!$A:$M,11)=0,"",VLOOKUP(Table48[[#This Row],[Date]],'DB LEI'!$A:$M,11))</f>
        <v/>
      </c>
    </row>
    <row r="35">
      <c r="A35" s="23" t="n">
        <v>29281</v>
      </c>
      <c r="B35" s="18">
        <f>VLOOKUP(Table48[[#This Row],[Date]],'DB LEI'!$A:$F,5)</f>
        <v/>
      </c>
      <c r="C35" s="24">
        <f>IF(VLOOKUP(Table48[[#This Row],[Date]],'DB LEI'!$A:$M,13)=0,"",VLOOKUP(Table48[[#This Row],[Date]],'DB LEI'!$A:$M,13))</f>
        <v/>
      </c>
      <c r="D35" s="24">
        <f>IF(VLOOKUP(Table48[[#This Row],[Date]],'DB LEI'!$A:$M,11)=0,"",VLOOKUP(Table48[[#This Row],[Date]],'DB LEI'!$A:$M,11))</f>
        <v/>
      </c>
    </row>
    <row r="36">
      <c r="A36" s="23" t="n">
        <v>29252</v>
      </c>
      <c r="B36" s="18">
        <f>VLOOKUP(Table48[[#This Row],[Date]],'DB LEI'!$A:$F,5)</f>
        <v/>
      </c>
      <c r="C36" s="24">
        <f>IF(VLOOKUP(Table48[[#This Row],[Date]],'DB LEI'!$A:$M,13)=0,"",VLOOKUP(Table48[[#This Row],[Date]],'DB LEI'!$A:$M,13))</f>
        <v/>
      </c>
      <c r="D36" s="24">
        <f>IF(VLOOKUP(Table48[[#This Row],[Date]],'DB LEI'!$A:$M,11)=0,"",VLOOKUP(Table48[[#This Row],[Date]],'DB LEI'!$A:$M,11))</f>
        <v/>
      </c>
    </row>
    <row r="37">
      <c r="A37" s="23" t="n">
        <v>29403</v>
      </c>
      <c r="B37" s="18">
        <f>VLOOKUP(Table48[[#This Row],[Date]],'DB LEI'!$A:$F,5)</f>
        <v/>
      </c>
      <c r="C37" s="24">
        <f>IF(VLOOKUP(Table48[[#This Row],[Date]],'DB LEI'!$A:$M,13)=0,"",VLOOKUP(Table48[[#This Row],[Date]],'DB LEI'!$A:$M,13))</f>
        <v/>
      </c>
      <c r="D37" s="24">
        <f>IF(VLOOKUP(Table48[[#This Row],[Date]],'DB LEI'!$A:$M,11)=0,"",VLOOKUP(Table48[[#This Row],[Date]],'DB LEI'!$A:$M,11))</f>
        <v/>
      </c>
    </row>
    <row r="38">
      <c r="A38" s="23" t="n">
        <v>29434</v>
      </c>
      <c r="B38" s="18">
        <f>VLOOKUP(Table48[[#This Row],[Date]],'DB LEI'!$A:$F,5)</f>
        <v/>
      </c>
      <c r="C38" s="24">
        <f>IF(VLOOKUP(Table48[[#This Row],[Date]],'DB LEI'!$A:$M,13)=0,"",VLOOKUP(Table48[[#This Row],[Date]],'DB LEI'!$A:$M,13))</f>
        <v/>
      </c>
      <c r="D38" s="24">
        <f>IF(VLOOKUP(Table48[[#This Row],[Date]],'DB LEI'!$A:$M,11)=0,"",VLOOKUP(Table48[[#This Row],[Date]],'DB LEI'!$A:$M,11))</f>
        <v/>
      </c>
    </row>
    <row r="39">
      <c r="A39" s="23" t="n">
        <v>29465</v>
      </c>
      <c r="B39" s="18">
        <f>VLOOKUP(Table48[[#This Row],[Date]],'DB LEI'!$A:$F,5)</f>
        <v/>
      </c>
      <c r="C39" s="24">
        <f>IF(VLOOKUP(Table48[[#This Row],[Date]],'DB LEI'!$A:$M,13)=0,"",VLOOKUP(Table48[[#This Row],[Date]],'DB LEI'!$A:$M,13))</f>
        <v/>
      </c>
      <c r="D39" s="24">
        <f>IF(VLOOKUP(Table48[[#This Row],[Date]],'DB LEI'!$A:$M,11)=0,"",VLOOKUP(Table48[[#This Row],[Date]],'DB LEI'!$A:$M,11))</f>
        <v/>
      </c>
    </row>
    <row r="40">
      <c r="A40" s="23" t="n">
        <v>29495</v>
      </c>
      <c r="B40" s="18">
        <f>VLOOKUP(Table48[[#This Row],[Date]],'DB LEI'!$A:$F,5)</f>
        <v/>
      </c>
      <c r="C40" s="24">
        <f>IF(VLOOKUP(Table48[[#This Row],[Date]],'DB LEI'!$A:$M,13)=0,"",VLOOKUP(Table48[[#This Row],[Date]],'DB LEI'!$A:$M,13))</f>
        <v/>
      </c>
      <c r="D40" s="24">
        <f>IF(VLOOKUP(Table48[[#This Row],[Date]],'DB LEI'!$A:$M,11)=0,"",VLOOKUP(Table48[[#This Row],[Date]],'DB LEI'!$A:$M,11))</f>
        <v/>
      </c>
    </row>
    <row r="41">
      <c r="A41" s="23" t="n">
        <v>29526</v>
      </c>
      <c r="B41" s="18">
        <f>VLOOKUP(Table48[[#This Row],[Date]],'DB LEI'!$A:$F,5)</f>
        <v/>
      </c>
      <c r="C41" s="24">
        <f>IF(VLOOKUP(Table48[[#This Row],[Date]],'DB LEI'!$A:$M,13)=0,"",VLOOKUP(Table48[[#This Row],[Date]],'DB LEI'!$A:$M,13))</f>
        <v/>
      </c>
      <c r="D41" s="24">
        <f>IF(VLOOKUP(Table48[[#This Row],[Date]],'DB LEI'!$A:$M,11)=0,"",VLOOKUP(Table48[[#This Row],[Date]],'DB LEI'!$A:$M,11))</f>
        <v/>
      </c>
    </row>
    <row r="42">
      <c r="A42" s="23" t="n">
        <v>29556</v>
      </c>
      <c r="B42" s="18">
        <f>VLOOKUP(Table48[[#This Row],[Date]],'DB LEI'!$A:$F,5)</f>
        <v/>
      </c>
      <c r="C42" s="24">
        <f>IF(VLOOKUP(Table48[[#This Row],[Date]],'DB LEI'!$A:$M,13)=0,"",VLOOKUP(Table48[[#This Row],[Date]],'DB LEI'!$A:$M,13))</f>
        <v/>
      </c>
      <c r="D42" s="24">
        <f>IF(VLOOKUP(Table48[[#This Row],[Date]],'DB LEI'!$A:$M,11)=0,"",VLOOKUP(Table48[[#This Row],[Date]],'DB LEI'!$A:$M,11))</f>
        <v/>
      </c>
    </row>
    <row r="43">
      <c r="A43" s="23" t="n">
        <v>29587</v>
      </c>
      <c r="B43" s="18">
        <f>VLOOKUP(Table48[[#This Row],[Date]],'DB LEI'!$A:$F,5)</f>
        <v/>
      </c>
      <c r="C43" s="24">
        <f>IF(VLOOKUP(Table48[[#This Row],[Date]],'DB LEI'!$A:$M,13)=0,"",VLOOKUP(Table48[[#This Row],[Date]],'DB LEI'!$A:$M,13))</f>
        <v/>
      </c>
      <c r="D43" s="24">
        <f>IF(VLOOKUP(Table48[[#This Row],[Date]],'DB LEI'!$A:$M,11)=0,"",VLOOKUP(Table48[[#This Row],[Date]],'DB LEI'!$A:$M,11))</f>
        <v/>
      </c>
    </row>
    <row r="44">
      <c r="A44" s="23" t="n">
        <v>29618</v>
      </c>
      <c r="B44" s="18">
        <f>VLOOKUP(Table48[[#This Row],[Date]],'DB LEI'!$A:$F,5)</f>
        <v/>
      </c>
      <c r="C44" s="24">
        <f>IF(VLOOKUP(Table48[[#This Row],[Date]],'DB LEI'!$A:$M,13)=0,"",VLOOKUP(Table48[[#This Row],[Date]],'DB LEI'!$A:$M,13))</f>
        <v/>
      </c>
      <c r="D44" s="24">
        <f>IF(VLOOKUP(Table48[[#This Row],[Date]],'DB LEI'!$A:$M,11)=0,"",VLOOKUP(Table48[[#This Row],[Date]],'DB LEI'!$A:$M,11))</f>
        <v/>
      </c>
    </row>
    <row r="45">
      <c r="A45" s="23" t="n">
        <v>29646</v>
      </c>
      <c r="B45" s="18">
        <f>VLOOKUP(Table48[[#This Row],[Date]],'DB LEI'!$A:$F,5)</f>
        <v/>
      </c>
      <c r="C45" s="24">
        <f>IF(VLOOKUP(Table48[[#This Row],[Date]],'DB LEI'!$A:$M,13)=0,"",VLOOKUP(Table48[[#This Row],[Date]],'DB LEI'!$A:$M,13))</f>
        <v/>
      </c>
      <c r="D45" s="24">
        <f>IF(VLOOKUP(Table48[[#This Row],[Date]],'DB LEI'!$A:$M,11)=0,"",VLOOKUP(Table48[[#This Row],[Date]],'DB LEI'!$A:$M,11))</f>
        <v/>
      </c>
    </row>
    <row r="46">
      <c r="A46" s="23" t="n">
        <v>29677</v>
      </c>
      <c r="B46" s="18">
        <f>VLOOKUP(Table48[[#This Row],[Date]],'DB LEI'!$A:$F,5)</f>
        <v/>
      </c>
      <c r="C46" s="24">
        <f>IF(VLOOKUP(Table48[[#This Row],[Date]],'DB LEI'!$A:$M,13)=0,"",VLOOKUP(Table48[[#This Row],[Date]],'DB LEI'!$A:$M,13))</f>
        <v/>
      </c>
      <c r="D46" s="24">
        <f>IF(VLOOKUP(Table48[[#This Row],[Date]],'DB LEI'!$A:$M,11)=0,"",VLOOKUP(Table48[[#This Row],[Date]],'DB LEI'!$A:$M,11))</f>
        <v/>
      </c>
    </row>
    <row r="47">
      <c r="A47" s="23" t="n">
        <v>29707</v>
      </c>
      <c r="B47" s="18">
        <f>VLOOKUP(Table48[[#This Row],[Date]],'DB LEI'!$A:$F,5)</f>
        <v/>
      </c>
      <c r="C47" s="24">
        <f>IF(VLOOKUP(Table48[[#This Row],[Date]],'DB LEI'!$A:$M,13)=0,"",VLOOKUP(Table48[[#This Row],[Date]],'DB LEI'!$A:$M,13))</f>
        <v/>
      </c>
      <c r="D47" s="24">
        <f>IF(VLOOKUP(Table48[[#This Row],[Date]],'DB LEI'!$A:$M,11)=0,"",VLOOKUP(Table48[[#This Row],[Date]],'DB LEI'!$A:$M,11))</f>
        <v/>
      </c>
    </row>
    <row r="48">
      <c r="A48" s="23" t="n">
        <v>29738</v>
      </c>
      <c r="B48" s="18">
        <f>VLOOKUP(Table48[[#This Row],[Date]],'DB LEI'!$A:$F,5)</f>
        <v/>
      </c>
      <c r="C48" s="24">
        <f>IF(VLOOKUP(Table48[[#This Row],[Date]],'DB LEI'!$A:$M,13)=0,"",VLOOKUP(Table48[[#This Row],[Date]],'DB LEI'!$A:$M,13))</f>
        <v/>
      </c>
      <c r="D48" s="24">
        <f>IF(VLOOKUP(Table48[[#This Row],[Date]],'DB LEI'!$A:$M,11)=0,"",VLOOKUP(Table48[[#This Row],[Date]],'DB LEI'!$A:$M,11))</f>
        <v/>
      </c>
    </row>
    <row r="49">
      <c r="A49" s="23" t="n">
        <v>29768</v>
      </c>
      <c r="B49" s="18">
        <f>VLOOKUP(Table48[[#This Row],[Date]],'DB LEI'!$A:$F,5)</f>
        <v/>
      </c>
      <c r="C49" s="24">
        <f>IF(VLOOKUP(Table48[[#This Row],[Date]],'DB LEI'!$A:$M,13)=0,"",VLOOKUP(Table48[[#This Row],[Date]],'DB LEI'!$A:$M,13))</f>
        <v/>
      </c>
      <c r="D49" s="24">
        <f>IF(VLOOKUP(Table48[[#This Row],[Date]],'DB LEI'!$A:$M,11)=0,"",VLOOKUP(Table48[[#This Row],[Date]],'DB LEI'!$A:$M,11))</f>
        <v/>
      </c>
    </row>
    <row r="50">
      <c r="A50" s="23" t="n">
        <v>29799</v>
      </c>
      <c r="B50" s="18">
        <f>VLOOKUP(Table48[[#This Row],[Date]],'DB LEI'!$A:$F,5)</f>
        <v/>
      </c>
      <c r="C50" s="24">
        <f>IF(VLOOKUP(Table48[[#This Row],[Date]],'DB LEI'!$A:$M,13)=0,"",VLOOKUP(Table48[[#This Row],[Date]],'DB LEI'!$A:$M,13))</f>
        <v/>
      </c>
      <c r="D50" s="24">
        <f>IF(VLOOKUP(Table48[[#This Row],[Date]],'DB LEI'!$A:$M,11)=0,"",VLOOKUP(Table48[[#This Row],[Date]],'DB LEI'!$A:$M,11))</f>
        <v/>
      </c>
    </row>
    <row r="51">
      <c r="A51" s="23" t="n">
        <v>29830</v>
      </c>
      <c r="B51" s="18">
        <f>VLOOKUP(Table48[[#This Row],[Date]],'DB LEI'!$A:$F,5)</f>
        <v/>
      </c>
      <c r="C51" s="24">
        <f>IF(VLOOKUP(Table48[[#This Row],[Date]],'DB LEI'!$A:$M,13)=0,"",VLOOKUP(Table48[[#This Row],[Date]],'DB LEI'!$A:$M,13))</f>
        <v/>
      </c>
      <c r="D51" s="24">
        <f>IF(VLOOKUP(Table48[[#This Row],[Date]],'DB LEI'!$A:$M,11)=0,"",VLOOKUP(Table48[[#This Row],[Date]],'DB LEI'!$A:$M,11))</f>
        <v/>
      </c>
    </row>
    <row r="52">
      <c r="A52" s="23" t="n">
        <v>29860</v>
      </c>
      <c r="B52" s="18">
        <f>VLOOKUP(Table48[[#This Row],[Date]],'DB LEI'!$A:$F,5)</f>
        <v/>
      </c>
      <c r="C52" s="24">
        <f>IF(VLOOKUP(Table48[[#This Row],[Date]],'DB LEI'!$A:$M,13)=0,"",VLOOKUP(Table48[[#This Row],[Date]],'DB LEI'!$A:$M,13))</f>
        <v/>
      </c>
      <c r="D52" s="24">
        <f>IF(VLOOKUP(Table48[[#This Row],[Date]],'DB LEI'!$A:$M,11)=0,"",VLOOKUP(Table48[[#This Row],[Date]],'DB LEI'!$A:$M,11))</f>
        <v/>
      </c>
    </row>
    <row r="53">
      <c r="A53" s="23" t="n">
        <v>29891</v>
      </c>
      <c r="B53" s="18">
        <f>VLOOKUP(Table48[[#This Row],[Date]],'DB LEI'!$A:$F,5)</f>
        <v/>
      </c>
      <c r="C53" s="24">
        <f>IF(VLOOKUP(Table48[[#This Row],[Date]],'DB LEI'!$A:$M,13)=0,"",VLOOKUP(Table48[[#This Row],[Date]],'DB LEI'!$A:$M,13))</f>
        <v/>
      </c>
      <c r="D53" s="24">
        <f>IF(VLOOKUP(Table48[[#This Row],[Date]],'DB LEI'!$A:$M,11)=0,"",VLOOKUP(Table48[[#This Row],[Date]],'DB LEI'!$A:$M,11))</f>
        <v/>
      </c>
    </row>
    <row r="54">
      <c r="A54" s="23" t="n">
        <v>29921</v>
      </c>
      <c r="B54" s="18">
        <f>VLOOKUP(Table48[[#This Row],[Date]],'DB LEI'!$A:$F,5)</f>
        <v/>
      </c>
      <c r="C54" s="24">
        <f>IF(VLOOKUP(Table48[[#This Row],[Date]],'DB LEI'!$A:$M,13)=0,"",VLOOKUP(Table48[[#This Row],[Date]],'DB LEI'!$A:$M,13))</f>
        <v/>
      </c>
      <c r="D54" s="24">
        <f>IF(VLOOKUP(Table48[[#This Row],[Date]],'DB LEI'!$A:$M,11)=0,"",VLOOKUP(Table48[[#This Row],[Date]],'DB LEI'!$A:$M,11))</f>
        <v/>
      </c>
    </row>
    <row r="55">
      <c r="A55" s="23" t="n">
        <v>29952</v>
      </c>
      <c r="B55" s="18">
        <f>VLOOKUP(Table48[[#This Row],[Date]],'DB LEI'!$A:$F,5)</f>
        <v/>
      </c>
      <c r="C55" s="24">
        <f>IF(VLOOKUP(Table48[[#This Row],[Date]],'DB LEI'!$A:$M,13)=0,"",VLOOKUP(Table48[[#This Row],[Date]],'DB LEI'!$A:$M,13))</f>
        <v/>
      </c>
      <c r="D55" s="24">
        <f>IF(VLOOKUP(Table48[[#This Row],[Date]],'DB LEI'!$A:$M,11)=0,"",VLOOKUP(Table48[[#This Row],[Date]],'DB LEI'!$A:$M,11))</f>
        <v/>
      </c>
    </row>
    <row r="56">
      <c r="A56" s="23" t="n">
        <v>29983</v>
      </c>
      <c r="B56" s="18">
        <f>VLOOKUP(Table48[[#This Row],[Date]],'DB LEI'!$A:$F,5)</f>
        <v/>
      </c>
      <c r="C56" s="24">
        <f>IF(VLOOKUP(Table48[[#This Row],[Date]],'DB LEI'!$A:$M,13)=0,"",VLOOKUP(Table48[[#This Row],[Date]],'DB LEI'!$A:$M,13))</f>
        <v/>
      </c>
      <c r="D56" s="24">
        <f>IF(VLOOKUP(Table48[[#This Row],[Date]],'DB LEI'!$A:$M,11)=0,"",VLOOKUP(Table48[[#This Row],[Date]],'DB LEI'!$A:$M,11))</f>
        <v/>
      </c>
    </row>
    <row r="57">
      <c r="A57" s="23" t="n">
        <v>30011</v>
      </c>
      <c r="B57" s="18">
        <f>VLOOKUP(Table48[[#This Row],[Date]],'DB LEI'!$A:$F,5)</f>
        <v/>
      </c>
      <c r="C57" s="24">
        <f>IF(VLOOKUP(Table48[[#This Row],[Date]],'DB LEI'!$A:$M,13)=0,"",VLOOKUP(Table48[[#This Row],[Date]],'DB LEI'!$A:$M,13))</f>
        <v/>
      </c>
      <c r="D57" s="24">
        <f>IF(VLOOKUP(Table48[[#This Row],[Date]],'DB LEI'!$A:$M,11)=0,"",VLOOKUP(Table48[[#This Row],[Date]],'DB LEI'!$A:$M,11))</f>
        <v/>
      </c>
    </row>
    <row r="58">
      <c r="A58" s="23" t="n">
        <v>30042</v>
      </c>
      <c r="B58" s="18">
        <f>VLOOKUP(Table48[[#This Row],[Date]],'DB LEI'!$A:$F,5)</f>
        <v/>
      </c>
      <c r="C58" s="24">
        <f>IF(VLOOKUP(Table48[[#This Row],[Date]],'DB LEI'!$A:$M,13)=0,"",VLOOKUP(Table48[[#This Row],[Date]],'DB LEI'!$A:$M,13))</f>
        <v/>
      </c>
      <c r="D58" s="24">
        <f>IF(VLOOKUP(Table48[[#This Row],[Date]],'DB LEI'!$A:$M,11)=0,"",VLOOKUP(Table48[[#This Row],[Date]],'DB LEI'!$A:$M,11))</f>
        <v/>
      </c>
    </row>
    <row r="59">
      <c r="A59" s="23" t="n">
        <v>30072</v>
      </c>
      <c r="B59" s="18">
        <f>VLOOKUP(Table48[[#This Row],[Date]],'DB LEI'!$A:$F,5)</f>
        <v/>
      </c>
      <c r="C59" s="24">
        <f>IF(VLOOKUP(Table48[[#This Row],[Date]],'DB LEI'!$A:$M,13)=0,"",VLOOKUP(Table48[[#This Row],[Date]],'DB LEI'!$A:$M,13))</f>
        <v/>
      </c>
      <c r="D59" s="24">
        <f>IF(VLOOKUP(Table48[[#This Row],[Date]],'DB LEI'!$A:$M,11)=0,"",VLOOKUP(Table48[[#This Row],[Date]],'DB LEI'!$A:$M,11))</f>
        <v/>
      </c>
    </row>
    <row r="60">
      <c r="A60" s="23" t="n">
        <v>30103</v>
      </c>
      <c r="B60" s="18">
        <f>VLOOKUP(Table48[[#This Row],[Date]],'DB LEI'!$A:$F,5)</f>
        <v/>
      </c>
      <c r="C60" s="24">
        <f>IF(VLOOKUP(Table48[[#This Row],[Date]],'DB LEI'!$A:$M,13)=0,"",VLOOKUP(Table48[[#This Row],[Date]],'DB LEI'!$A:$M,13))</f>
        <v/>
      </c>
      <c r="D60" s="24">
        <f>IF(VLOOKUP(Table48[[#This Row],[Date]],'DB LEI'!$A:$M,11)=0,"",VLOOKUP(Table48[[#This Row],[Date]],'DB LEI'!$A:$M,11))</f>
        <v/>
      </c>
    </row>
    <row r="61">
      <c r="A61" s="23" t="n">
        <v>30133</v>
      </c>
      <c r="B61" s="18">
        <f>VLOOKUP(Table48[[#This Row],[Date]],'DB LEI'!$A:$F,5)</f>
        <v/>
      </c>
      <c r="C61" s="24">
        <f>IF(VLOOKUP(Table48[[#This Row],[Date]],'DB LEI'!$A:$M,13)=0,"",VLOOKUP(Table48[[#This Row],[Date]],'DB LEI'!$A:$M,13))</f>
        <v/>
      </c>
      <c r="D61" s="24">
        <f>IF(VLOOKUP(Table48[[#This Row],[Date]],'DB LEI'!$A:$M,11)=0,"",VLOOKUP(Table48[[#This Row],[Date]],'DB LEI'!$A:$M,11))</f>
        <v/>
      </c>
    </row>
    <row r="62">
      <c r="A62" s="23" t="n">
        <v>30164</v>
      </c>
      <c r="B62" s="18">
        <f>VLOOKUP(Table48[[#This Row],[Date]],'DB LEI'!$A:$F,5)</f>
        <v/>
      </c>
      <c r="C62" s="24">
        <f>IF(VLOOKUP(Table48[[#This Row],[Date]],'DB LEI'!$A:$M,13)=0,"",VLOOKUP(Table48[[#This Row],[Date]],'DB LEI'!$A:$M,13))</f>
        <v/>
      </c>
      <c r="D62" s="24">
        <f>IF(VLOOKUP(Table48[[#This Row],[Date]],'DB LEI'!$A:$M,11)=0,"",VLOOKUP(Table48[[#This Row],[Date]],'DB LEI'!$A:$M,11))</f>
        <v/>
      </c>
    </row>
    <row r="63">
      <c r="A63" s="23" t="n">
        <v>30195</v>
      </c>
      <c r="B63" s="18">
        <f>VLOOKUP(Table48[[#This Row],[Date]],'DB LEI'!$A:$F,5)</f>
        <v/>
      </c>
      <c r="C63" s="24">
        <f>IF(VLOOKUP(Table48[[#This Row],[Date]],'DB LEI'!$A:$M,13)=0,"",VLOOKUP(Table48[[#This Row],[Date]],'DB LEI'!$A:$M,13))</f>
        <v/>
      </c>
      <c r="D63" s="24">
        <f>IF(VLOOKUP(Table48[[#This Row],[Date]],'DB LEI'!$A:$M,11)=0,"",VLOOKUP(Table48[[#This Row],[Date]],'DB LEI'!$A:$M,11))</f>
        <v/>
      </c>
    </row>
    <row r="64">
      <c r="A64" s="23" t="n">
        <v>30225</v>
      </c>
      <c r="B64" s="18">
        <f>VLOOKUP(Table48[[#This Row],[Date]],'DB LEI'!$A:$F,5)</f>
        <v/>
      </c>
      <c r="C64" s="24">
        <f>IF(VLOOKUP(Table48[[#This Row],[Date]],'DB LEI'!$A:$M,13)=0,"",VLOOKUP(Table48[[#This Row],[Date]],'DB LEI'!$A:$M,13))</f>
        <v/>
      </c>
      <c r="D64" s="24">
        <f>IF(VLOOKUP(Table48[[#This Row],[Date]],'DB LEI'!$A:$M,11)=0,"",VLOOKUP(Table48[[#This Row],[Date]],'DB LEI'!$A:$M,11))</f>
        <v/>
      </c>
    </row>
    <row r="65">
      <c r="A65" s="23" t="n">
        <v>30256</v>
      </c>
      <c r="B65" s="18">
        <f>VLOOKUP(Table48[[#This Row],[Date]],'DB LEI'!$A:$F,5)</f>
        <v/>
      </c>
      <c r="C65" s="24">
        <f>IF(VLOOKUP(Table48[[#This Row],[Date]],'DB LEI'!$A:$M,13)=0,"",VLOOKUP(Table48[[#This Row],[Date]],'DB LEI'!$A:$M,13))</f>
        <v/>
      </c>
      <c r="D65" s="24">
        <f>IF(VLOOKUP(Table48[[#This Row],[Date]],'DB LEI'!$A:$M,11)=0,"",VLOOKUP(Table48[[#This Row],[Date]],'DB LEI'!$A:$M,11))</f>
        <v/>
      </c>
    </row>
    <row r="66">
      <c r="A66" s="23" t="n">
        <v>30286</v>
      </c>
      <c r="B66" s="18">
        <f>VLOOKUP(Table48[[#This Row],[Date]],'DB LEI'!$A:$F,5)</f>
        <v/>
      </c>
      <c r="C66" s="24">
        <f>IF(VLOOKUP(Table48[[#This Row],[Date]],'DB LEI'!$A:$M,13)=0,"",VLOOKUP(Table48[[#This Row],[Date]],'DB LEI'!$A:$M,13))</f>
        <v/>
      </c>
      <c r="D66" s="24">
        <f>IF(VLOOKUP(Table48[[#This Row],[Date]],'DB LEI'!$A:$M,11)=0,"",VLOOKUP(Table48[[#This Row],[Date]],'DB LEI'!$A:$M,11))</f>
        <v/>
      </c>
    </row>
    <row r="67">
      <c r="A67" s="23" t="n">
        <v>30317</v>
      </c>
      <c r="B67" s="18">
        <f>VLOOKUP(Table48[[#This Row],[Date]],'DB LEI'!$A:$F,5)</f>
        <v/>
      </c>
      <c r="C67" s="24">
        <f>IF(VLOOKUP(Table48[[#This Row],[Date]],'DB LEI'!$A:$M,13)=0,"",VLOOKUP(Table48[[#This Row],[Date]],'DB LEI'!$A:$M,13))</f>
        <v/>
      </c>
      <c r="D67" s="24">
        <f>IF(VLOOKUP(Table48[[#This Row],[Date]],'DB LEI'!$A:$M,11)=0,"",VLOOKUP(Table48[[#This Row],[Date]],'DB LEI'!$A:$M,11))</f>
        <v/>
      </c>
    </row>
    <row r="68">
      <c r="A68" s="23" t="n">
        <v>30348</v>
      </c>
      <c r="B68" s="18">
        <f>VLOOKUP(Table48[[#This Row],[Date]],'DB LEI'!$A:$F,5)</f>
        <v/>
      </c>
      <c r="C68" s="24">
        <f>IF(VLOOKUP(Table48[[#This Row],[Date]],'DB LEI'!$A:$M,13)=0,"",VLOOKUP(Table48[[#This Row],[Date]],'DB LEI'!$A:$M,13))</f>
        <v/>
      </c>
      <c r="D68" s="24">
        <f>IF(VLOOKUP(Table48[[#This Row],[Date]],'DB LEI'!$A:$M,11)=0,"",VLOOKUP(Table48[[#This Row],[Date]],'DB LEI'!$A:$M,11))</f>
        <v/>
      </c>
    </row>
    <row r="69">
      <c r="A69" s="23" t="n">
        <v>30376</v>
      </c>
      <c r="B69" s="18">
        <f>VLOOKUP(Table48[[#This Row],[Date]],'DB LEI'!$A:$F,5)</f>
        <v/>
      </c>
      <c r="C69" s="24">
        <f>IF(VLOOKUP(Table48[[#This Row],[Date]],'DB LEI'!$A:$M,13)=0,"",VLOOKUP(Table48[[#This Row],[Date]],'DB LEI'!$A:$M,13))</f>
        <v/>
      </c>
      <c r="D69" s="24">
        <f>IF(VLOOKUP(Table48[[#This Row],[Date]],'DB LEI'!$A:$M,11)=0,"",VLOOKUP(Table48[[#This Row],[Date]],'DB LEI'!$A:$M,11))</f>
        <v/>
      </c>
    </row>
    <row r="70">
      <c r="A70" s="23" t="n">
        <v>30407</v>
      </c>
      <c r="B70" s="18">
        <f>VLOOKUP(Table48[[#This Row],[Date]],'DB LEI'!$A:$F,5)</f>
        <v/>
      </c>
      <c r="C70" s="24">
        <f>IF(VLOOKUP(Table48[[#This Row],[Date]],'DB LEI'!$A:$M,13)=0,"",VLOOKUP(Table48[[#This Row],[Date]],'DB LEI'!$A:$M,13))</f>
        <v/>
      </c>
      <c r="D70" s="24">
        <f>IF(VLOOKUP(Table48[[#This Row],[Date]],'DB LEI'!$A:$M,11)=0,"",VLOOKUP(Table48[[#This Row],[Date]],'DB LEI'!$A:$M,11))</f>
        <v/>
      </c>
    </row>
    <row r="71">
      <c r="A71" s="23" t="n">
        <v>30437</v>
      </c>
      <c r="B71" s="18">
        <f>VLOOKUP(Table48[[#This Row],[Date]],'DB LEI'!$A:$F,5)</f>
        <v/>
      </c>
      <c r="C71" s="24">
        <f>IF(VLOOKUP(Table48[[#This Row],[Date]],'DB LEI'!$A:$M,13)=0,"",VLOOKUP(Table48[[#This Row],[Date]],'DB LEI'!$A:$M,13))</f>
        <v/>
      </c>
      <c r="D71" s="24">
        <f>IF(VLOOKUP(Table48[[#This Row],[Date]],'DB LEI'!$A:$M,11)=0,"",VLOOKUP(Table48[[#This Row],[Date]],'DB LEI'!$A:$M,11))</f>
        <v/>
      </c>
    </row>
    <row r="72">
      <c r="A72" s="23" t="n">
        <v>30468</v>
      </c>
      <c r="B72" s="18">
        <f>VLOOKUP(Table48[[#This Row],[Date]],'DB LEI'!$A:$F,5)</f>
        <v/>
      </c>
      <c r="C72" s="24">
        <f>IF(VLOOKUP(Table48[[#This Row],[Date]],'DB LEI'!$A:$M,13)=0,"",VLOOKUP(Table48[[#This Row],[Date]],'DB LEI'!$A:$M,13))</f>
        <v/>
      </c>
      <c r="D72" s="24">
        <f>IF(VLOOKUP(Table48[[#This Row],[Date]],'DB LEI'!$A:$M,11)=0,"",VLOOKUP(Table48[[#This Row],[Date]],'DB LEI'!$A:$M,11))</f>
        <v/>
      </c>
    </row>
    <row r="73">
      <c r="A73" s="23" t="n">
        <v>30498</v>
      </c>
      <c r="B73" s="18">
        <f>VLOOKUP(Table48[[#This Row],[Date]],'DB LEI'!$A:$F,5)</f>
        <v/>
      </c>
      <c r="C73" s="24">
        <f>IF(VLOOKUP(Table48[[#This Row],[Date]],'DB LEI'!$A:$M,13)=0,"",VLOOKUP(Table48[[#This Row],[Date]],'DB LEI'!$A:$M,13))</f>
        <v/>
      </c>
      <c r="D73" s="24">
        <f>IF(VLOOKUP(Table48[[#This Row],[Date]],'DB LEI'!$A:$M,11)=0,"",VLOOKUP(Table48[[#This Row],[Date]],'DB LEI'!$A:$M,11))</f>
        <v/>
      </c>
    </row>
    <row r="74">
      <c r="A74" s="23" t="n">
        <v>30529</v>
      </c>
      <c r="B74" s="18">
        <f>VLOOKUP(Table48[[#This Row],[Date]],'DB LEI'!$A:$F,5)</f>
        <v/>
      </c>
      <c r="C74" s="24">
        <f>IF(VLOOKUP(Table48[[#This Row],[Date]],'DB LEI'!$A:$M,13)=0,"",VLOOKUP(Table48[[#This Row],[Date]],'DB LEI'!$A:$M,13))</f>
        <v/>
      </c>
      <c r="D74" s="24">
        <f>IF(VLOOKUP(Table48[[#This Row],[Date]],'DB LEI'!$A:$M,11)=0,"",VLOOKUP(Table48[[#This Row],[Date]],'DB LEI'!$A:$M,11))</f>
        <v/>
      </c>
    </row>
    <row r="75">
      <c r="A75" s="23" t="n">
        <v>30560</v>
      </c>
      <c r="B75" s="18">
        <f>VLOOKUP(Table48[[#This Row],[Date]],'DB LEI'!$A:$F,5)</f>
        <v/>
      </c>
      <c r="C75" s="24">
        <f>IF(VLOOKUP(Table48[[#This Row],[Date]],'DB LEI'!$A:$M,13)=0,"",VLOOKUP(Table48[[#This Row],[Date]],'DB LEI'!$A:$M,13))</f>
        <v/>
      </c>
      <c r="D75" s="24">
        <f>IF(VLOOKUP(Table48[[#This Row],[Date]],'DB LEI'!$A:$M,11)=0,"",VLOOKUP(Table48[[#This Row],[Date]],'DB LEI'!$A:$M,11))</f>
        <v/>
      </c>
    </row>
    <row r="76">
      <c r="A76" s="23" t="n">
        <v>30590</v>
      </c>
      <c r="B76" s="18">
        <f>VLOOKUP(Table48[[#This Row],[Date]],'DB LEI'!$A:$F,5)</f>
        <v/>
      </c>
      <c r="C76" s="24">
        <f>IF(VLOOKUP(Table48[[#This Row],[Date]],'DB LEI'!$A:$M,13)=0,"",VLOOKUP(Table48[[#This Row],[Date]],'DB LEI'!$A:$M,13))</f>
        <v/>
      </c>
      <c r="D76" s="24">
        <f>IF(VLOOKUP(Table48[[#This Row],[Date]],'DB LEI'!$A:$M,11)=0,"",VLOOKUP(Table48[[#This Row],[Date]],'DB LEI'!$A:$M,11))</f>
        <v/>
      </c>
    </row>
    <row r="77">
      <c r="A77" s="23" t="n">
        <v>30621</v>
      </c>
      <c r="B77" s="18">
        <f>VLOOKUP(Table48[[#This Row],[Date]],'DB LEI'!$A:$F,5)</f>
        <v/>
      </c>
      <c r="C77" s="24">
        <f>IF(VLOOKUP(Table48[[#This Row],[Date]],'DB LEI'!$A:$M,13)=0,"",VLOOKUP(Table48[[#This Row],[Date]],'DB LEI'!$A:$M,13))</f>
        <v/>
      </c>
      <c r="D77" s="24">
        <f>IF(VLOOKUP(Table48[[#This Row],[Date]],'DB LEI'!$A:$M,11)=0,"",VLOOKUP(Table48[[#This Row],[Date]],'DB LEI'!$A:$M,11))</f>
        <v/>
      </c>
    </row>
    <row r="78">
      <c r="A78" s="23" t="n">
        <v>30651</v>
      </c>
      <c r="B78" s="18">
        <f>VLOOKUP(Table48[[#This Row],[Date]],'DB LEI'!$A:$F,5)</f>
        <v/>
      </c>
      <c r="C78" s="24">
        <f>IF(VLOOKUP(Table48[[#This Row],[Date]],'DB LEI'!$A:$M,13)=0,"",VLOOKUP(Table48[[#This Row],[Date]],'DB LEI'!$A:$M,13))</f>
        <v/>
      </c>
      <c r="D78" s="24">
        <f>IF(VLOOKUP(Table48[[#This Row],[Date]],'DB LEI'!$A:$M,11)=0,"",VLOOKUP(Table48[[#This Row],[Date]],'DB LEI'!$A:$M,11))</f>
        <v/>
      </c>
    </row>
    <row r="79">
      <c r="A79" s="23" t="n">
        <v>30682</v>
      </c>
      <c r="B79" s="18">
        <f>VLOOKUP(Table48[[#This Row],[Date]],'DB LEI'!$A:$F,5)</f>
        <v/>
      </c>
      <c r="C79" s="24">
        <f>IF(VLOOKUP(Table48[[#This Row],[Date]],'DB LEI'!$A:$M,13)=0,"",VLOOKUP(Table48[[#This Row],[Date]],'DB LEI'!$A:$M,13))</f>
        <v/>
      </c>
      <c r="D79" s="24">
        <f>IF(VLOOKUP(Table48[[#This Row],[Date]],'DB LEI'!$A:$M,11)=0,"",VLOOKUP(Table48[[#This Row],[Date]],'DB LEI'!$A:$M,11))</f>
        <v/>
      </c>
    </row>
    <row r="80">
      <c r="A80" s="23" t="n">
        <v>30713</v>
      </c>
      <c r="B80" s="18">
        <f>VLOOKUP(Table48[[#This Row],[Date]],'DB LEI'!$A:$F,5)</f>
        <v/>
      </c>
      <c r="C80" s="24">
        <f>IF(VLOOKUP(Table48[[#This Row],[Date]],'DB LEI'!$A:$M,13)=0,"",VLOOKUP(Table48[[#This Row],[Date]],'DB LEI'!$A:$M,13))</f>
        <v/>
      </c>
      <c r="D80" s="24">
        <f>IF(VLOOKUP(Table48[[#This Row],[Date]],'DB LEI'!$A:$M,11)=0,"",VLOOKUP(Table48[[#This Row],[Date]],'DB LEI'!$A:$M,11))</f>
        <v/>
      </c>
    </row>
    <row r="81">
      <c r="A81" s="23" t="n">
        <v>30742</v>
      </c>
      <c r="B81" s="18">
        <f>VLOOKUP(Table48[[#This Row],[Date]],'DB LEI'!$A:$F,5)</f>
        <v/>
      </c>
      <c r="C81" s="24">
        <f>IF(VLOOKUP(Table48[[#This Row],[Date]],'DB LEI'!$A:$M,13)=0,"",VLOOKUP(Table48[[#This Row],[Date]],'DB LEI'!$A:$M,13))</f>
        <v/>
      </c>
      <c r="D81" s="24">
        <f>IF(VLOOKUP(Table48[[#This Row],[Date]],'DB LEI'!$A:$M,11)=0,"",VLOOKUP(Table48[[#This Row],[Date]],'DB LEI'!$A:$M,11))</f>
        <v/>
      </c>
    </row>
    <row r="82">
      <c r="A82" s="23" t="n">
        <v>30773</v>
      </c>
      <c r="B82" s="18">
        <f>VLOOKUP(Table48[[#This Row],[Date]],'DB LEI'!$A:$F,5)</f>
        <v/>
      </c>
      <c r="C82" s="24">
        <f>IF(VLOOKUP(Table48[[#This Row],[Date]],'DB LEI'!$A:$M,13)=0,"",VLOOKUP(Table48[[#This Row],[Date]],'DB LEI'!$A:$M,13))</f>
        <v/>
      </c>
      <c r="D82" s="24">
        <f>IF(VLOOKUP(Table48[[#This Row],[Date]],'DB LEI'!$A:$M,11)=0,"",VLOOKUP(Table48[[#This Row],[Date]],'DB LEI'!$A:$M,11))</f>
        <v/>
      </c>
    </row>
    <row r="83">
      <c r="A83" s="23" t="n">
        <v>30803</v>
      </c>
      <c r="B83" s="18">
        <f>VLOOKUP(Table48[[#This Row],[Date]],'DB LEI'!$A:$F,5)</f>
        <v/>
      </c>
      <c r="C83" s="24">
        <f>IF(VLOOKUP(Table48[[#This Row],[Date]],'DB LEI'!$A:$M,13)=0,"",VLOOKUP(Table48[[#This Row],[Date]],'DB LEI'!$A:$M,13))</f>
        <v/>
      </c>
      <c r="D83" s="24">
        <f>IF(VLOOKUP(Table48[[#This Row],[Date]],'DB LEI'!$A:$M,11)=0,"",VLOOKUP(Table48[[#This Row],[Date]],'DB LEI'!$A:$M,11))</f>
        <v/>
      </c>
    </row>
    <row r="84">
      <c r="A84" s="23" t="n">
        <v>30834</v>
      </c>
      <c r="B84" s="18">
        <f>VLOOKUP(Table48[[#This Row],[Date]],'DB LEI'!$A:$F,5)</f>
        <v/>
      </c>
      <c r="C84" s="24">
        <f>IF(VLOOKUP(Table48[[#This Row],[Date]],'DB LEI'!$A:$M,13)=0,"",VLOOKUP(Table48[[#This Row],[Date]],'DB LEI'!$A:$M,13))</f>
        <v/>
      </c>
      <c r="D84" s="24">
        <f>IF(VLOOKUP(Table48[[#This Row],[Date]],'DB LEI'!$A:$M,11)=0,"",VLOOKUP(Table48[[#This Row],[Date]],'DB LEI'!$A:$M,11))</f>
        <v/>
      </c>
    </row>
    <row r="85">
      <c r="A85" s="23" t="n">
        <v>30864</v>
      </c>
      <c r="B85" s="18">
        <f>VLOOKUP(Table48[[#This Row],[Date]],'DB LEI'!$A:$F,5)</f>
        <v/>
      </c>
      <c r="C85" s="24">
        <f>IF(VLOOKUP(Table48[[#This Row],[Date]],'DB LEI'!$A:$M,13)=0,"",VLOOKUP(Table48[[#This Row],[Date]],'DB LEI'!$A:$M,13))</f>
        <v/>
      </c>
      <c r="D85" s="24">
        <f>IF(VLOOKUP(Table48[[#This Row],[Date]],'DB LEI'!$A:$M,11)=0,"",VLOOKUP(Table48[[#This Row],[Date]],'DB LEI'!$A:$M,11))</f>
        <v/>
      </c>
    </row>
    <row r="86">
      <c r="A86" s="23" t="n">
        <v>30895</v>
      </c>
      <c r="B86" s="18">
        <f>VLOOKUP(Table48[[#This Row],[Date]],'DB LEI'!$A:$F,5)</f>
        <v/>
      </c>
      <c r="C86" s="24">
        <f>IF(VLOOKUP(Table48[[#This Row],[Date]],'DB LEI'!$A:$M,13)=0,"",VLOOKUP(Table48[[#This Row],[Date]],'DB LEI'!$A:$M,13))</f>
        <v/>
      </c>
      <c r="D86" s="24">
        <f>IF(VLOOKUP(Table48[[#This Row],[Date]],'DB LEI'!$A:$M,11)=0,"",VLOOKUP(Table48[[#This Row],[Date]],'DB LEI'!$A:$M,11))</f>
        <v/>
      </c>
    </row>
    <row r="87">
      <c r="A87" s="23" t="n">
        <v>30926</v>
      </c>
      <c r="B87" s="18">
        <f>VLOOKUP(Table48[[#This Row],[Date]],'DB LEI'!$A:$F,5)</f>
        <v/>
      </c>
      <c r="C87" s="24">
        <f>IF(VLOOKUP(Table48[[#This Row],[Date]],'DB LEI'!$A:$M,13)=0,"",VLOOKUP(Table48[[#This Row],[Date]],'DB LEI'!$A:$M,13))</f>
        <v/>
      </c>
      <c r="D87" s="24">
        <f>IF(VLOOKUP(Table48[[#This Row],[Date]],'DB LEI'!$A:$M,11)=0,"",VLOOKUP(Table48[[#This Row],[Date]],'DB LEI'!$A:$M,11))</f>
        <v/>
      </c>
    </row>
    <row r="88">
      <c r="A88" s="23" t="n">
        <v>30956</v>
      </c>
      <c r="B88" s="18">
        <f>VLOOKUP(Table48[[#This Row],[Date]],'DB LEI'!$A:$F,5)</f>
        <v/>
      </c>
      <c r="C88" s="24">
        <f>IF(VLOOKUP(Table48[[#This Row],[Date]],'DB LEI'!$A:$M,13)=0,"",VLOOKUP(Table48[[#This Row],[Date]],'DB LEI'!$A:$M,13))</f>
        <v/>
      </c>
      <c r="D88" s="24">
        <f>IF(VLOOKUP(Table48[[#This Row],[Date]],'DB LEI'!$A:$M,11)=0,"",VLOOKUP(Table48[[#This Row],[Date]],'DB LEI'!$A:$M,11))</f>
        <v/>
      </c>
    </row>
    <row r="89">
      <c r="A89" s="23" t="n">
        <v>30987</v>
      </c>
      <c r="B89" s="18">
        <f>VLOOKUP(Table48[[#This Row],[Date]],'DB LEI'!$A:$F,5)</f>
        <v/>
      </c>
      <c r="C89" s="24">
        <f>IF(VLOOKUP(Table48[[#This Row],[Date]],'DB LEI'!$A:$M,13)=0,"",VLOOKUP(Table48[[#This Row],[Date]],'DB LEI'!$A:$M,13))</f>
        <v/>
      </c>
      <c r="D89" s="24">
        <f>IF(VLOOKUP(Table48[[#This Row],[Date]],'DB LEI'!$A:$M,11)=0,"",VLOOKUP(Table48[[#This Row],[Date]],'DB LEI'!$A:$M,11))</f>
        <v/>
      </c>
    </row>
    <row r="90">
      <c r="A90" s="23" t="n">
        <v>31017</v>
      </c>
      <c r="B90" s="18">
        <f>VLOOKUP(Table48[[#This Row],[Date]],'DB LEI'!$A:$F,5)</f>
        <v/>
      </c>
      <c r="C90" s="24">
        <f>IF(VLOOKUP(Table48[[#This Row],[Date]],'DB LEI'!$A:$M,13)=0,"",VLOOKUP(Table48[[#This Row],[Date]],'DB LEI'!$A:$M,13))</f>
        <v/>
      </c>
      <c r="D90" s="24">
        <f>IF(VLOOKUP(Table48[[#This Row],[Date]],'DB LEI'!$A:$M,11)=0,"",VLOOKUP(Table48[[#This Row],[Date]],'DB LEI'!$A:$M,11))</f>
        <v/>
      </c>
    </row>
    <row r="91">
      <c r="A91" s="23" t="n">
        <v>31048</v>
      </c>
      <c r="B91" s="18">
        <f>VLOOKUP(Table48[[#This Row],[Date]],'DB LEI'!$A:$F,5)</f>
        <v/>
      </c>
      <c r="C91" s="24">
        <f>IF(VLOOKUP(Table48[[#This Row],[Date]],'DB LEI'!$A:$M,13)=0,"",VLOOKUP(Table48[[#This Row],[Date]],'DB LEI'!$A:$M,13))</f>
        <v/>
      </c>
      <c r="D91" s="24">
        <f>IF(VLOOKUP(Table48[[#This Row],[Date]],'DB LEI'!$A:$M,11)=0,"",VLOOKUP(Table48[[#This Row],[Date]],'DB LEI'!$A:$M,11))</f>
        <v/>
      </c>
    </row>
    <row r="92">
      <c r="A92" s="23" t="n">
        <v>31079</v>
      </c>
      <c r="B92" s="18">
        <f>VLOOKUP(Table48[[#This Row],[Date]],'DB LEI'!$A:$F,5)</f>
        <v/>
      </c>
      <c r="C92" s="24">
        <f>IF(VLOOKUP(Table48[[#This Row],[Date]],'DB LEI'!$A:$M,13)=0,"",VLOOKUP(Table48[[#This Row],[Date]],'DB LEI'!$A:$M,13))</f>
        <v/>
      </c>
      <c r="D92" s="24">
        <f>IF(VLOOKUP(Table48[[#This Row],[Date]],'DB LEI'!$A:$M,11)=0,"",VLOOKUP(Table48[[#This Row],[Date]],'DB LEI'!$A:$M,11))</f>
        <v/>
      </c>
    </row>
    <row r="93">
      <c r="A93" s="23" t="n">
        <v>31107</v>
      </c>
      <c r="B93" s="18">
        <f>VLOOKUP(Table48[[#This Row],[Date]],'DB LEI'!$A:$F,5)</f>
        <v/>
      </c>
      <c r="C93" s="24">
        <f>IF(VLOOKUP(Table48[[#This Row],[Date]],'DB LEI'!$A:$M,13)=0,"",VLOOKUP(Table48[[#This Row],[Date]],'DB LEI'!$A:$M,13))</f>
        <v/>
      </c>
      <c r="D93" s="24">
        <f>IF(VLOOKUP(Table48[[#This Row],[Date]],'DB LEI'!$A:$M,11)=0,"",VLOOKUP(Table48[[#This Row],[Date]],'DB LEI'!$A:$M,11))</f>
        <v/>
      </c>
    </row>
    <row r="94">
      <c r="A94" s="23" t="n">
        <v>31138</v>
      </c>
      <c r="B94" s="18">
        <f>VLOOKUP(Table48[[#This Row],[Date]],'DB LEI'!$A:$F,5)</f>
        <v/>
      </c>
      <c r="C94" s="24">
        <f>IF(VLOOKUP(Table48[[#This Row],[Date]],'DB LEI'!$A:$M,13)=0,"",VLOOKUP(Table48[[#This Row],[Date]],'DB LEI'!$A:$M,13))</f>
        <v/>
      </c>
      <c r="D94" s="24">
        <f>IF(VLOOKUP(Table48[[#This Row],[Date]],'DB LEI'!$A:$M,11)=0,"",VLOOKUP(Table48[[#This Row],[Date]],'DB LEI'!$A:$M,11))</f>
        <v/>
      </c>
    </row>
    <row r="95">
      <c r="A95" s="23" t="n">
        <v>31168</v>
      </c>
      <c r="B95" s="18">
        <f>VLOOKUP(Table48[[#This Row],[Date]],'DB LEI'!$A:$F,5)</f>
        <v/>
      </c>
      <c r="C95" s="24">
        <f>IF(VLOOKUP(Table48[[#This Row],[Date]],'DB LEI'!$A:$M,13)=0,"",VLOOKUP(Table48[[#This Row],[Date]],'DB LEI'!$A:$M,13))</f>
        <v/>
      </c>
      <c r="D95" s="24">
        <f>IF(VLOOKUP(Table48[[#This Row],[Date]],'DB LEI'!$A:$M,11)=0,"",VLOOKUP(Table48[[#This Row],[Date]],'DB LEI'!$A:$M,11))</f>
        <v/>
      </c>
    </row>
    <row r="96">
      <c r="A96" s="23" t="n">
        <v>31199</v>
      </c>
      <c r="B96" s="18">
        <f>VLOOKUP(Table48[[#This Row],[Date]],'DB LEI'!$A:$F,5)</f>
        <v/>
      </c>
      <c r="C96" s="24">
        <f>IF(VLOOKUP(Table48[[#This Row],[Date]],'DB LEI'!$A:$M,13)=0,"",VLOOKUP(Table48[[#This Row],[Date]],'DB LEI'!$A:$M,13))</f>
        <v/>
      </c>
      <c r="D96" s="24">
        <f>IF(VLOOKUP(Table48[[#This Row],[Date]],'DB LEI'!$A:$M,11)=0,"",VLOOKUP(Table48[[#This Row],[Date]],'DB LEI'!$A:$M,11))</f>
        <v/>
      </c>
    </row>
    <row r="97">
      <c r="A97" s="23" t="n">
        <v>31229</v>
      </c>
      <c r="B97" s="18">
        <f>VLOOKUP(Table48[[#This Row],[Date]],'DB LEI'!$A:$F,5)</f>
        <v/>
      </c>
      <c r="C97" s="24">
        <f>IF(VLOOKUP(Table48[[#This Row],[Date]],'DB LEI'!$A:$M,13)=0,"",VLOOKUP(Table48[[#This Row],[Date]],'DB LEI'!$A:$M,13))</f>
        <v/>
      </c>
      <c r="D97" s="24">
        <f>IF(VLOOKUP(Table48[[#This Row],[Date]],'DB LEI'!$A:$M,11)=0,"",VLOOKUP(Table48[[#This Row],[Date]],'DB LEI'!$A:$M,11))</f>
        <v/>
      </c>
    </row>
    <row r="98">
      <c r="A98" s="23" t="n">
        <v>31260</v>
      </c>
      <c r="B98" s="18">
        <f>VLOOKUP(Table48[[#This Row],[Date]],'DB LEI'!$A:$F,5)</f>
        <v/>
      </c>
      <c r="C98" s="24">
        <f>IF(VLOOKUP(Table48[[#This Row],[Date]],'DB LEI'!$A:$M,13)=0,"",VLOOKUP(Table48[[#This Row],[Date]],'DB LEI'!$A:$M,13))</f>
        <v/>
      </c>
      <c r="D98" s="24">
        <f>IF(VLOOKUP(Table48[[#This Row],[Date]],'DB LEI'!$A:$M,11)=0,"",VLOOKUP(Table48[[#This Row],[Date]],'DB LEI'!$A:$M,11))</f>
        <v/>
      </c>
    </row>
    <row r="99">
      <c r="A99" s="23" t="n">
        <v>31291</v>
      </c>
      <c r="B99" s="18">
        <f>VLOOKUP(Table48[[#This Row],[Date]],'DB LEI'!$A:$F,5)</f>
        <v/>
      </c>
      <c r="C99" s="24">
        <f>IF(VLOOKUP(Table48[[#This Row],[Date]],'DB LEI'!$A:$M,13)=0,"",VLOOKUP(Table48[[#This Row],[Date]],'DB LEI'!$A:$M,13))</f>
        <v/>
      </c>
      <c r="D99" s="24">
        <f>IF(VLOOKUP(Table48[[#This Row],[Date]],'DB LEI'!$A:$M,11)=0,"",VLOOKUP(Table48[[#This Row],[Date]],'DB LEI'!$A:$M,11))</f>
        <v/>
      </c>
    </row>
    <row r="100">
      <c r="A100" s="23" t="n">
        <v>31321</v>
      </c>
      <c r="B100" s="18">
        <f>VLOOKUP(Table48[[#This Row],[Date]],'DB LEI'!$A:$F,5)</f>
        <v/>
      </c>
      <c r="C100" s="24">
        <f>IF(VLOOKUP(Table48[[#This Row],[Date]],'DB LEI'!$A:$M,13)=0,"",VLOOKUP(Table48[[#This Row],[Date]],'DB LEI'!$A:$M,13))</f>
        <v/>
      </c>
      <c r="D100" s="24">
        <f>IF(VLOOKUP(Table48[[#This Row],[Date]],'DB LEI'!$A:$M,11)=0,"",VLOOKUP(Table48[[#This Row],[Date]],'DB LEI'!$A:$M,11))</f>
        <v/>
      </c>
    </row>
    <row r="101">
      <c r="A101" s="23" t="n">
        <v>31352</v>
      </c>
      <c r="B101" s="18">
        <f>VLOOKUP(Table48[[#This Row],[Date]],'DB LEI'!$A:$F,5)</f>
        <v/>
      </c>
      <c r="C101" s="24">
        <f>IF(VLOOKUP(Table48[[#This Row],[Date]],'DB LEI'!$A:$M,13)=0,"",VLOOKUP(Table48[[#This Row],[Date]],'DB LEI'!$A:$M,13))</f>
        <v/>
      </c>
      <c r="D101" s="24">
        <f>IF(VLOOKUP(Table48[[#This Row],[Date]],'DB LEI'!$A:$M,11)=0,"",VLOOKUP(Table48[[#This Row],[Date]],'DB LEI'!$A:$M,11))</f>
        <v/>
      </c>
    </row>
    <row r="102">
      <c r="A102" s="23" t="n">
        <v>31382</v>
      </c>
      <c r="B102" s="18">
        <f>VLOOKUP(Table48[[#This Row],[Date]],'DB LEI'!$A:$F,5)</f>
        <v/>
      </c>
      <c r="C102" s="24">
        <f>IF(VLOOKUP(Table48[[#This Row],[Date]],'DB LEI'!$A:$M,13)=0,"",VLOOKUP(Table48[[#This Row],[Date]],'DB LEI'!$A:$M,13))</f>
        <v/>
      </c>
      <c r="D102" s="24">
        <f>IF(VLOOKUP(Table48[[#This Row],[Date]],'DB LEI'!$A:$M,11)=0,"",VLOOKUP(Table48[[#This Row],[Date]],'DB LEI'!$A:$M,11))</f>
        <v/>
      </c>
    </row>
    <row r="103">
      <c r="A103" s="23" t="n">
        <v>31413</v>
      </c>
      <c r="B103" s="18">
        <f>VLOOKUP(Table48[[#This Row],[Date]],'DB LEI'!$A:$F,5)</f>
        <v/>
      </c>
      <c r="C103" s="24">
        <f>IF(VLOOKUP(Table48[[#This Row],[Date]],'DB LEI'!$A:$M,13)=0,"",VLOOKUP(Table48[[#This Row],[Date]],'DB LEI'!$A:$M,13))</f>
        <v/>
      </c>
      <c r="D103" s="24">
        <f>IF(VLOOKUP(Table48[[#This Row],[Date]],'DB LEI'!$A:$M,11)=0,"",VLOOKUP(Table48[[#This Row],[Date]],'DB LEI'!$A:$M,11))</f>
        <v/>
      </c>
    </row>
    <row r="104">
      <c r="A104" s="23" t="n">
        <v>31444</v>
      </c>
      <c r="B104" s="18">
        <f>VLOOKUP(Table48[[#This Row],[Date]],'DB LEI'!$A:$F,5)</f>
        <v/>
      </c>
      <c r="C104" s="24">
        <f>IF(VLOOKUP(Table48[[#This Row],[Date]],'DB LEI'!$A:$M,13)=0,"",VLOOKUP(Table48[[#This Row],[Date]],'DB LEI'!$A:$M,13))</f>
        <v/>
      </c>
      <c r="D104" s="24">
        <f>IF(VLOOKUP(Table48[[#This Row],[Date]],'DB LEI'!$A:$M,11)=0,"",VLOOKUP(Table48[[#This Row],[Date]],'DB LEI'!$A:$M,11))</f>
        <v/>
      </c>
    </row>
    <row r="105">
      <c r="A105" s="23" t="n">
        <v>31472</v>
      </c>
      <c r="B105" s="18">
        <f>VLOOKUP(Table48[[#This Row],[Date]],'DB LEI'!$A:$F,5)</f>
        <v/>
      </c>
      <c r="C105" s="24">
        <f>IF(VLOOKUP(Table48[[#This Row],[Date]],'DB LEI'!$A:$M,13)=0,"",VLOOKUP(Table48[[#This Row],[Date]],'DB LEI'!$A:$M,13))</f>
        <v/>
      </c>
      <c r="D105" s="24">
        <f>IF(VLOOKUP(Table48[[#This Row],[Date]],'DB LEI'!$A:$M,11)=0,"",VLOOKUP(Table48[[#This Row],[Date]],'DB LEI'!$A:$M,11))</f>
        <v/>
      </c>
    </row>
    <row r="106">
      <c r="A106" s="23" t="n">
        <v>31503</v>
      </c>
      <c r="B106" s="18">
        <f>VLOOKUP(Table48[[#This Row],[Date]],'DB LEI'!$A:$F,5)</f>
        <v/>
      </c>
      <c r="C106" s="24">
        <f>IF(VLOOKUP(Table48[[#This Row],[Date]],'DB LEI'!$A:$M,13)=0,"",VLOOKUP(Table48[[#This Row],[Date]],'DB LEI'!$A:$M,13))</f>
        <v/>
      </c>
      <c r="D106" s="24">
        <f>IF(VLOOKUP(Table48[[#This Row],[Date]],'DB LEI'!$A:$M,11)=0,"",VLOOKUP(Table48[[#This Row],[Date]],'DB LEI'!$A:$M,11))</f>
        <v/>
      </c>
    </row>
    <row r="107">
      <c r="A107" s="23" t="n">
        <v>31533</v>
      </c>
      <c r="B107" s="18">
        <f>VLOOKUP(Table48[[#This Row],[Date]],'DB LEI'!$A:$F,5)</f>
        <v/>
      </c>
      <c r="C107" s="24">
        <f>IF(VLOOKUP(Table48[[#This Row],[Date]],'DB LEI'!$A:$M,13)=0,"",VLOOKUP(Table48[[#This Row],[Date]],'DB LEI'!$A:$M,13))</f>
        <v/>
      </c>
      <c r="D107" s="24">
        <f>IF(VLOOKUP(Table48[[#This Row],[Date]],'DB LEI'!$A:$M,11)=0,"",VLOOKUP(Table48[[#This Row],[Date]],'DB LEI'!$A:$M,11))</f>
        <v/>
      </c>
    </row>
    <row r="108">
      <c r="A108" s="23" t="n">
        <v>31564</v>
      </c>
      <c r="B108" s="18">
        <f>VLOOKUP(Table48[[#This Row],[Date]],'DB LEI'!$A:$F,5)</f>
        <v/>
      </c>
      <c r="C108" s="24">
        <f>IF(VLOOKUP(Table48[[#This Row],[Date]],'DB LEI'!$A:$M,13)=0,"",VLOOKUP(Table48[[#This Row],[Date]],'DB LEI'!$A:$M,13))</f>
        <v/>
      </c>
      <c r="D108" s="24">
        <f>IF(VLOOKUP(Table48[[#This Row],[Date]],'DB LEI'!$A:$M,11)=0,"",VLOOKUP(Table48[[#This Row],[Date]],'DB LEI'!$A:$M,11))</f>
        <v/>
      </c>
    </row>
    <row r="109">
      <c r="A109" s="23" t="n">
        <v>31594</v>
      </c>
      <c r="B109" s="18">
        <f>VLOOKUP(Table48[[#This Row],[Date]],'DB LEI'!$A:$F,5)</f>
        <v/>
      </c>
      <c r="C109" s="24">
        <f>IF(VLOOKUP(Table48[[#This Row],[Date]],'DB LEI'!$A:$M,13)=0,"",VLOOKUP(Table48[[#This Row],[Date]],'DB LEI'!$A:$M,13))</f>
        <v/>
      </c>
      <c r="D109" s="24">
        <f>IF(VLOOKUP(Table48[[#This Row],[Date]],'DB LEI'!$A:$M,11)=0,"",VLOOKUP(Table48[[#This Row],[Date]],'DB LEI'!$A:$M,11))</f>
        <v/>
      </c>
    </row>
    <row r="110">
      <c r="A110" s="23" t="n">
        <v>31625</v>
      </c>
      <c r="B110" s="18">
        <f>VLOOKUP(Table48[[#This Row],[Date]],'DB LEI'!$A:$F,5)</f>
        <v/>
      </c>
      <c r="C110" s="24">
        <f>IF(VLOOKUP(Table48[[#This Row],[Date]],'DB LEI'!$A:$M,13)=0,"",VLOOKUP(Table48[[#This Row],[Date]],'DB LEI'!$A:$M,13))</f>
        <v/>
      </c>
      <c r="D110" s="24">
        <f>IF(VLOOKUP(Table48[[#This Row],[Date]],'DB LEI'!$A:$M,11)=0,"",VLOOKUP(Table48[[#This Row],[Date]],'DB LEI'!$A:$M,11))</f>
        <v/>
      </c>
    </row>
    <row r="111">
      <c r="A111" s="23" t="n">
        <v>31656</v>
      </c>
      <c r="B111" s="18">
        <f>VLOOKUP(Table48[[#This Row],[Date]],'DB LEI'!$A:$F,5)</f>
        <v/>
      </c>
      <c r="C111" s="24">
        <f>IF(VLOOKUP(Table48[[#This Row],[Date]],'DB LEI'!$A:$M,13)=0,"",VLOOKUP(Table48[[#This Row],[Date]],'DB LEI'!$A:$M,13))</f>
        <v/>
      </c>
      <c r="D111" s="24">
        <f>IF(VLOOKUP(Table48[[#This Row],[Date]],'DB LEI'!$A:$M,11)=0,"",VLOOKUP(Table48[[#This Row],[Date]],'DB LEI'!$A:$M,11))</f>
        <v/>
      </c>
    </row>
    <row r="112">
      <c r="A112" s="23" t="n">
        <v>31686</v>
      </c>
      <c r="B112" s="18">
        <f>VLOOKUP(Table48[[#This Row],[Date]],'DB LEI'!$A:$F,5)</f>
        <v/>
      </c>
      <c r="C112" s="24">
        <f>IF(VLOOKUP(Table48[[#This Row],[Date]],'DB LEI'!$A:$M,13)=0,"",VLOOKUP(Table48[[#This Row],[Date]],'DB LEI'!$A:$M,13))</f>
        <v/>
      </c>
      <c r="D112" s="24">
        <f>IF(VLOOKUP(Table48[[#This Row],[Date]],'DB LEI'!$A:$M,11)=0,"",VLOOKUP(Table48[[#This Row],[Date]],'DB LEI'!$A:$M,11))</f>
        <v/>
      </c>
    </row>
    <row r="113">
      <c r="A113" s="23" t="n">
        <v>31717</v>
      </c>
      <c r="B113" s="18">
        <f>VLOOKUP(Table48[[#This Row],[Date]],'DB LEI'!$A:$F,5)</f>
        <v/>
      </c>
      <c r="C113" s="24">
        <f>IF(VLOOKUP(Table48[[#This Row],[Date]],'DB LEI'!$A:$M,13)=0,"",VLOOKUP(Table48[[#This Row],[Date]],'DB LEI'!$A:$M,13))</f>
        <v/>
      </c>
      <c r="D113" s="24">
        <f>IF(VLOOKUP(Table48[[#This Row],[Date]],'DB LEI'!$A:$M,11)=0,"",VLOOKUP(Table48[[#This Row],[Date]],'DB LEI'!$A:$M,11))</f>
        <v/>
      </c>
    </row>
    <row r="114">
      <c r="A114" s="23" t="n">
        <v>31747</v>
      </c>
      <c r="B114" s="18">
        <f>VLOOKUP(Table48[[#This Row],[Date]],'DB LEI'!$A:$F,5)</f>
        <v/>
      </c>
      <c r="C114" s="24">
        <f>IF(VLOOKUP(Table48[[#This Row],[Date]],'DB LEI'!$A:$M,13)=0,"",VLOOKUP(Table48[[#This Row],[Date]],'DB LEI'!$A:$M,13))</f>
        <v/>
      </c>
      <c r="D114" s="24">
        <f>IF(VLOOKUP(Table48[[#This Row],[Date]],'DB LEI'!$A:$M,11)=0,"",VLOOKUP(Table48[[#This Row],[Date]],'DB LEI'!$A:$M,11))</f>
        <v/>
      </c>
    </row>
    <row r="115">
      <c r="A115" s="23" t="n">
        <v>31778</v>
      </c>
      <c r="B115" s="18">
        <f>VLOOKUP(Table48[[#This Row],[Date]],'DB LEI'!$A:$F,5)</f>
        <v/>
      </c>
      <c r="C115" s="24">
        <f>IF(VLOOKUP(Table48[[#This Row],[Date]],'DB LEI'!$A:$M,13)=0,"",VLOOKUP(Table48[[#This Row],[Date]],'DB LEI'!$A:$M,13))</f>
        <v/>
      </c>
      <c r="D115" s="24">
        <f>IF(VLOOKUP(Table48[[#This Row],[Date]],'DB LEI'!$A:$M,11)=0,"",VLOOKUP(Table48[[#This Row],[Date]],'DB LEI'!$A:$M,11))</f>
        <v/>
      </c>
    </row>
    <row r="116">
      <c r="A116" s="23" t="n">
        <v>31809</v>
      </c>
      <c r="B116" s="18">
        <f>VLOOKUP(Table48[[#This Row],[Date]],'DB LEI'!$A:$F,5)</f>
        <v/>
      </c>
      <c r="C116" s="24">
        <f>IF(VLOOKUP(Table48[[#This Row],[Date]],'DB LEI'!$A:$M,13)=0,"",VLOOKUP(Table48[[#This Row],[Date]],'DB LEI'!$A:$M,13))</f>
        <v/>
      </c>
      <c r="D116" s="24">
        <f>IF(VLOOKUP(Table48[[#This Row],[Date]],'DB LEI'!$A:$M,11)=0,"",VLOOKUP(Table48[[#This Row],[Date]],'DB LEI'!$A:$M,11))</f>
        <v/>
      </c>
    </row>
    <row r="117">
      <c r="A117" s="23" t="n">
        <v>31837</v>
      </c>
      <c r="B117" s="18">
        <f>VLOOKUP(Table48[[#This Row],[Date]],'DB LEI'!$A:$F,5)</f>
        <v/>
      </c>
      <c r="C117" s="24">
        <f>IF(VLOOKUP(Table48[[#This Row],[Date]],'DB LEI'!$A:$M,13)=0,"",VLOOKUP(Table48[[#This Row],[Date]],'DB LEI'!$A:$M,13))</f>
        <v/>
      </c>
      <c r="D117" s="24">
        <f>IF(VLOOKUP(Table48[[#This Row],[Date]],'DB LEI'!$A:$M,11)=0,"",VLOOKUP(Table48[[#This Row],[Date]],'DB LEI'!$A:$M,11))</f>
        <v/>
      </c>
    </row>
    <row r="118">
      <c r="A118" s="23" t="n">
        <v>31868</v>
      </c>
      <c r="B118" s="18">
        <f>VLOOKUP(Table48[[#This Row],[Date]],'DB LEI'!$A:$F,5)</f>
        <v/>
      </c>
      <c r="C118" s="24">
        <f>IF(VLOOKUP(Table48[[#This Row],[Date]],'DB LEI'!$A:$M,13)=0,"",VLOOKUP(Table48[[#This Row],[Date]],'DB LEI'!$A:$M,13))</f>
        <v/>
      </c>
      <c r="D118" s="24">
        <f>IF(VLOOKUP(Table48[[#This Row],[Date]],'DB LEI'!$A:$M,11)=0,"",VLOOKUP(Table48[[#This Row],[Date]],'DB LEI'!$A:$M,11))</f>
        <v/>
      </c>
    </row>
    <row r="119">
      <c r="A119" s="23" t="n">
        <v>31898</v>
      </c>
      <c r="B119" s="18">
        <f>VLOOKUP(Table48[[#This Row],[Date]],'DB LEI'!$A:$F,5)</f>
        <v/>
      </c>
      <c r="C119" s="24">
        <f>IF(VLOOKUP(Table48[[#This Row],[Date]],'DB LEI'!$A:$M,13)=0,"",VLOOKUP(Table48[[#This Row],[Date]],'DB LEI'!$A:$M,13))</f>
        <v/>
      </c>
      <c r="D119" s="24">
        <f>IF(VLOOKUP(Table48[[#This Row],[Date]],'DB LEI'!$A:$M,11)=0,"",VLOOKUP(Table48[[#This Row],[Date]],'DB LEI'!$A:$M,11))</f>
        <v/>
      </c>
    </row>
    <row r="120">
      <c r="A120" s="23" t="n">
        <v>31929</v>
      </c>
      <c r="B120" s="18">
        <f>VLOOKUP(Table48[[#This Row],[Date]],'DB LEI'!$A:$F,5)</f>
        <v/>
      </c>
      <c r="C120" s="24">
        <f>IF(VLOOKUP(Table48[[#This Row],[Date]],'DB LEI'!$A:$M,13)=0,"",VLOOKUP(Table48[[#This Row],[Date]],'DB LEI'!$A:$M,13))</f>
        <v/>
      </c>
      <c r="D120" s="24">
        <f>IF(VLOOKUP(Table48[[#This Row],[Date]],'DB LEI'!$A:$M,11)=0,"",VLOOKUP(Table48[[#This Row],[Date]],'DB LEI'!$A:$M,11))</f>
        <v/>
      </c>
    </row>
    <row r="121">
      <c r="A121" s="23" t="n">
        <v>31959</v>
      </c>
      <c r="B121" s="18">
        <f>VLOOKUP(Table48[[#This Row],[Date]],'DB LEI'!$A:$F,5)</f>
        <v/>
      </c>
      <c r="C121" s="24">
        <f>IF(VLOOKUP(Table48[[#This Row],[Date]],'DB LEI'!$A:$M,13)=0,"",VLOOKUP(Table48[[#This Row],[Date]],'DB LEI'!$A:$M,13))</f>
        <v/>
      </c>
      <c r="D121" s="24">
        <f>IF(VLOOKUP(Table48[[#This Row],[Date]],'DB LEI'!$A:$M,11)=0,"",VLOOKUP(Table48[[#This Row],[Date]],'DB LEI'!$A:$M,11))</f>
        <v/>
      </c>
    </row>
    <row r="122">
      <c r="A122" s="23" t="n">
        <v>31990</v>
      </c>
      <c r="B122" s="18">
        <f>VLOOKUP(Table48[[#This Row],[Date]],'DB LEI'!$A:$F,5)</f>
        <v/>
      </c>
      <c r="C122" s="24">
        <f>IF(VLOOKUP(Table48[[#This Row],[Date]],'DB LEI'!$A:$M,13)=0,"",VLOOKUP(Table48[[#This Row],[Date]],'DB LEI'!$A:$M,13))</f>
        <v/>
      </c>
      <c r="D122" s="24">
        <f>IF(VLOOKUP(Table48[[#This Row],[Date]],'DB LEI'!$A:$M,11)=0,"",VLOOKUP(Table48[[#This Row],[Date]],'DB LEI'!$A:$M,11))</f>
        <v/>
      </c>
    </row>
    <row r="123">
      <c r="A123" s="23" t="n">
        <v>32021</v>
      </c>
      <c r="B123" s="18">
        <f>VLOOKUP(Table48[[#This Row],[Date]],'DB LEI'!$A:$F,5)</f>
        <v/>
      </c>
      <c r="C123" s="24">
        <f>IF(VLOOKUP(Table48[[#This Row],[Date]],'DB LEI'!$A:$M,13)=0,"",VLOOKUP(Table48[[#This Row],[Date]],'DB LEI'!$A:$M,13))</f>
        <v/>
      </c>
      <c r="D123" s="24">
        <f>IF(VLOOKUP(Table48[[#This Row],[Date]],'DB LEI'!$A:$M,11)=0,"",VLOOKUP(Table48[[#This Row],[Date]],'DB LEI'!$A:$M,11))</f>
        <v/>
      </c>
    </row>
    <row r="124">
      <c r="A124" s="23" t="n">
        <v>32051</v>
      </c>
      <c r="B124" s="18">
        <f>VLOOKUP(Table48[[#This Row],[Date]],'DB LEI'!$A:$F,5)</f>
        <v/>
      </c>
      <c r="C124" s="24">
        <f>IF(VLOOKUP(Table48[[#This Row],[Date]],'DB LEI'!$A:$M,13)=0,"",VLOOKUP(Table48[[#This Row],[Date]],'DB LEI'!$A:$M,13))</f>
        <v/>
      </c>
      <c r="D124" s="24">
        <f>IF(VLOOKUP(Table48[[#This Row],[Date]],'DB LEI'!$A:$M,11)=0,"",VLOOKUP(Table48[[#This Row],[Date]],'DB LEI'!$A:$M,11))</f>
        <v/>
      </c>
    </row>
    <row r="125">
      <c r="A125" s="23" t="n">
        <v>32082</v>
      </c>
      <c r="B125" s="18">
        <f>VLOOKUP(Table48[[#This Row],[Date]],'DB LEI'!$A:$F,5)</f>
        <v/>
      </c>
      <c r="C125" s="24">
        <f>IF(VLOOKUP(Table48[[#This Row],[Date]],'DB LEI'!$A:$M,13)=0,"",VLOOKUP(Table48[[#This Row],[Date]],'DB LEI'!$A:$M,13))</f>
        <v/>
      </c>
      <c r="D125" s="24">
        <f>IF(VLOOKUP(Table48[[#This Row],[Date]],'DB LEI'!$A:$M,11)=0,"",VLOOKUP(Table48[[#This Row],[Date]],'DB LEI'!$A:$M,11))</f>
        <v/>
      </c>
    </row>
    <row r="126">
      <c r="A126" s="23" t="n">
        <v>32112</v>
      </c>
      <c r="B126" s="18">
        <f>VLOOKUP(Table48[[#This Row],[Date]],'DB LEI'!$A:$F,5)</f>
        <v/>
      </c>
      <c r="C126" s="24">
        <f>IF(VLOOKUP(Table48[[#This Row],[Date]],'DB LEI'!$A:$M,13)=0,"",VLOOKUP(Table48[[#This Row],[Date]],'DB LEI'!$A:$M,13))</f>
        <v/>
      </c>
      <c r="D126" s="24">
        <f>IF(VLOOKUP(Table48[[#This Row],[Date]],'DB LEI'!$A:$M,11)=0,"",VLOOKUP(Table48[[#This Row],[Date]],'DB LEI'!$A:$M,11))</f>
        <v/>
      </c>
    </row>
    <row r="127">
      <c r="A127" s="23" t="n">
        <v>32143</v>
      </c>
      <c r="B127" s="18">
        <f>VLOOKUP(Table48[[#This Row],[Date]],'DB LEI'!$A:$F,5)</f>
        <v/>
      </c>
      <c r="C127" s="24">
        <f>IF(VLOOKUP(Table48[[#This Row],[Date]],'DB LEI'!$A:$M,13)=0,"",VLOOKUP(Table48[[#This Row],[Date]],'DB LEI'!$A:$M,13))</f>
        <v/>
      </c>
      <c r="D127" s="24">
        <f>IF(VLOOKUP(Table48[[#This Row],[Date]],'DB LEI'!$A:$M,11)=0,"",VLOOKUP(Table48[[#This Row],[Date]],'DB LEI'!$A:$M,11))</f>
        <v/>
      </c>
    </row>
    <row r="128">
      <c r="A128" s="23" t="n">
        <v>32174</v>
      </c>
      <c r="B128" s="18">
        <f>VLOOKUP(Table48[[#This Row],[Date]],'DB LEI'!$A:$F,5)</f>
        <v/>
      </c>
      <c r="C128" s="24">
        <f>IF(VLOOKUP(Table48[[#This Row],[Date]],'DB LEI'!$A:$M,13)=0,"",VLOOKUP(Table48[[#This Row],[Date]],'DB LEI'!$A:$M,13))</f>
        <v/>
      </c>
      <c r="D128" s="24">
        <f>IF(VLOOKUP(Table48[[#This Row],[Date]],'DB LEI'!$A:$M,11)=0,"",VLOOKUP(Table48[[#This Row],[Date]],'DB LEI'!$A:$M,11))</f>
        <v/>
      </c>
    </row>
    <row r="129">
      <c r="A129" s="23" t="n">
        <v>32203</v>
      </c>
      <c r="B129" s="18">
        <f>VLOOKUP(Table48[[#This Row],[Date]],'DB LEI'!$A:$F,5)</f>
        <v/>
      </c>
      <c r="C129" s="24">
        <f>IF(VLOOKUP(Table48[[#This Row],[Date]],'DB LEI'!$A:$M,13)=0,"",VLOOKUP(Table48[[#This Row],[Date]],'DB LEI'!$A:$M,13))</f>
        <v/>
      </c>
      <c r="D129" s="24">
        <f>IF(VLOOKUP(Table48[[#This Row],[Date]],'DB LEI'!$A:$M,11)=0,"",VLOOKUP(Table48[[#This Row],[Date]],'DB LEI'!$A:$M,11))</f>
        <v/>
      </c>
    </row>
    <row r="130">
      <c r="A130" s="23" t="n">
        <v>32234</v>
      </c>
      <c r="B130" s="18">
        <f>VLOOKUP(Table48[[#This Row],[Date]],'DB LEI'!$A:$F,5)</f>
        <v/>
      </c>
      <c r="C130" s="24">
        <f>IF(VLOOKUP(Table48[[#This Row],[Date]],'DB LEI'!$A:$M,13)=0,"",VLOOKUP(Table48[[#This Row],[Date]],'DB LEI'!$A:$M,13))</f>
        <v/>
      </c>
      <c r="D130" s="24">
        <f>IF(VLOOKUP(Table48[[#This Row],[Date]],'DB LEI'!$A:$M,11)=0,"",VLOOKUP(Table48[[#This Row],[Date]],'DB LEI'!$A:$M,11))</f>
        <v/>
      </c>
    </row>
    <row r="131">
      <c r="A131" s="23" t="n">
        <v>32264</v>
      </c>
      <c r="B131" s="18">
        <f>VLOOKUP(Table48[[#This Row],[Date]],'DB LEI'!$A:$F,5)</f>
        <v/>
      </c>
      <c r="C131" s="24">
        <f>IF(VLOOKUP(Table48[[#This Row],[Date]],'DB LEI'!$A:$M,13)=0,"",VLOOKUP(Table48[[#This Row],[Date]],'DB LEI'!$A:$M,13))</f>
        <v/>
      </c>
      <c r="D131" s="24">
        <f>IF(VLOOKUP(Table48[[#This Row],[Date]],'DB LEI'!$A:$M,11)=0,"",VLOOKUP(Table48[[#This Row],[Date]],'DB LEI'!$A:$M,11))</f>
        <v/>
      </c>
    </row>
    <row r="132">
      <c r="A132" s="23" t="n">
        <v>32295</v>
      </c>
      <c r="B132" s="18">
        <f>VLOOKUP(Table48[[#This Row],[Date]],'DB LEI'!$A:$F,5)</f>
        <v/>
      </c>
      <c r="C132" s="24">
        <f>IF(VLOOKUP(Table48[[#This Row],[Date]],'DB LEI'!$A:$M,13)=0,"",VLOOKUP(Table48[[#This Row],[Date]],'DB LEI'!$A:$M,13))</f>
        <v/>
      </c>
      <c r="D132" s="24">
        <f>IF(VLOOKUP(Table48[[#This Row],[Date]],'DB LEI'!$A:$M,11)=0,"",VLOOKUP(Table48[[#This Row],[Date]],'DB LEI'!$A:$M,11))</f>
        <v/>
      </c>
    </row>
    <row r="133">
      <c r="A133" s="23" t="n">
        <v>32325</v>
      </c>
      <c r="B133" s="18">
        <f>VLOOKUP(Table48[[#This Row],[Date]],'DB LEI'!$A:$F,5)</f>
        <v/>
      </c>
      <c r="C133" s="24">
        <f>IF(VLOOKUP(Table48[[#This Row],[Date]],'DB LEI'!$A:$M,13)=0,"",VLOOKUP(Table48[[#This Row],[Date]],'DB LEI'!$A:$M,13))</f>
        <v/>
      </c>
      <c r="D133" s="24">
        <f>IF(VLOOKUP(Table48[[#This Row],[Date]],'DB LEI'!$A:$M,11)=0,"",VLOOKUP(Table48[[#This Row],[Date]],'DB LEI'!$A:$M,11))</f>
        <v/>
      </c>
    </row>
    <row r="134">
      <c r="A134" s="23" t="n">
        <v>32356</v>
      </c>
      <c r="B134" s="18">
        <f>VLOOKUP(Table48[[#This Row],[Date]],'DB LEI'!$A:$F,5)</f>
        <v/>
      </c>
      <c r="C134" s="24">
        <f>IF(VLOOKUP(Table48[[#This Row],[Date]],'DB LEI'!$A:$M,13)=0,"",VLOOKUP(Table48[[#This Row],[Date]],'DB LEI'!$A:$M,13))</f>
        <v/>
      </c>
      <c r="D134" s="24">
        <f>IF(VLOOKUP(Table48[[#This Row],[Date]],'DB LEI'!$A:$M,11)=0,"",VLOOKUP(Table48[[#This Row],[Date]],'DB LEI'!$A:$M,11))</f>
        <v/>
      </c>
    </row>
    <row r="135">
      <c r="A135" s="23" t="n">
        <v>32387</v>
      </c>
      <c r="B135" s="18">
        <f>VLOOKUP(Table48[[#This Row],[Date]],'DB LEI'!$A:$F,5)</f>
        <v/>
      </c>
      <c r="C135" s="24">
        <f>IF(VLOOKUP(Table48[[#This Row],[Date]],'DB LEI'!$A:$M,13)=0,"",VLOOKUP(Table48[[#This Row],[Date]],'DB LEI'!$A:$M,13))</f>
        <v/>
      </c>
      <c r="D135" s="24">
        <f>IF(VLOOKUP(Table48[[#This Row],[Date]],'DB LEI'!$A:$M,11)=0,"",VLOOKUP(Table48[[#This Row],[Date]],'DB LEI'!$A:$M,11))</f>
        <v/>
      </c>
    </row>
    <row r="136">
      <c r="A136" s="23" t="n">
        <v>32417</v>
      </c>
      <c r="B136" s="18">
        <f>VLOOKUP(Table48[[#This Row],[Date]],'DB LEI'!$A:$F,5)</f>
        <v/>
      </c>
      <c r="C136" s="24">
        <f>IF(VLOOKUP(Table48[[#This Row],[Date]],'DB LEI'!$A:$M,13)=0,"",VLOOKUP(Table48[[#This Row],[Date]],'DB LEI'!$A:$M,13))</f>
        <v/>
      </c>
      <c r="D136" s="24">
        <f>IF(VLOOKUP(Table48[[#This Row],[Date]],'DB LEI'!$A:$M,11)=0,"",VLOOKUP(Table48[[#This Row],[Date]],'DB LEI'!$A:$M,11))</f>
        <v/>
      </c>
    </row>
    <row r="137">
      <c r="A137" s="23" t="n">
        <v>32448</v>
      </c>
      <c r="B137" s="18">
        <f>VLOOKUP(Table48[[#This Row],[Date]],'DB LEI'!$A:$F,5)</f>
        <v/>
      </c>
      <c r="C137" s="24">
        <f>IF(VLOOKUP(Table48[[#This Row],[Date]],'DB LEI'!$A:$M,13)=0,"",VLOOKUP(Table48[[#This Row],[Date]],'DB LEI'!$A:$M,13))</f>
        <v/>
      </c>
      <c r="D137" s="24">
        <f>IF(VLOOKUP(Table48[[#This Row],[Date]],'DB LEI'!$A:$M,11)=0,"",VLOOKUP(Table48[[#This Row],[Date]],'DB LEI'!$A:$M,11))</f>
        <v/>
      </c>
    </row>
    <row r="138">
      <c r="A138" s="23" t="n">
        <v>32478</v>
      </c>
      <c r="B138" s="18">
        <f>VLOOKUP(Table48[[#This Row],[Date]],'DB LEI'!$A:$F,5)</f>
        <v/>
      </c>
      <c r="C138" s="24">
        <f>IF(VLOOKUP(Table48[[#This Row],[Date]],'DB LEI'!$A:$M,13)=0,"",VLOOKUP(Table48[[#This Row],[Date]],'DB LEI'!$A:$M,13))</f>
        <v/>
      </c>
      <c r="D138" s="24">
        <f>IF(VLOOKUP(Table48[[#This Row],[Date]],'DB LEI'!$A:$M,11)=0,"",VLOOKUP(Table48[[#This Row],[Date]],'DB LEI'!$A:$M,11))</f>
        <v/>
      </c>
    </row>
    <row r="139">
      <c r="A139" s="23" t="n">
        <v>32509</v>
      </c>
      <c r="B139" s="18">
        <f>VLOOKUP(Table48[[#This Row],[Date]],'DB LEI'!$A:$F,5)</f>
        <v/>
      </c>
      <c r="C139" s="24">
        <f>IF(VLOOKUP(Table48[[#This Row],[Date]],'DB LEI'!$A:$M,13)=0,"",VLOOKUP(Table48[[#This Row],[Date]],'DB LEI'!$A:$M,13))</f>
        <v/>
      </c>
      <c r="D139" s="24">
        <f>IF(VLOOKUP(Table48[[#This Row],[Date]],'DB LEI'!$A:$M,11)=0,"",VLOOKUP(Table48[[#This Row],[Date]],'DB LEI'!$A:$M,11))</f>
        <v/>
      </c>
    </row>
    <row r="140">
      <c r="A140" s="23" t="n">
        <v>32540</v>
      </c>
      <c r="B140" s="18">
        <f>VLOOKUP(Table48[[#This Row],[Date]],'DB LEI'!$A:$F,5)</f>
        <v/>
      </c>
      <c r="C140" s="24">
        <f>IF(VLOOKUP(Table48[[#This Row],[Date]],'DB LEI'!$A:$M,13)=0,"",VLOOKUP(Table48[[#This Row],[Date]],'DB LEI'!$A:$M,13))</f>
        <v/>
      </c>
      <c r="D140" s="24">
        <f>IF(VLOOKUP(Table48[[#This Row],[Date]],'DB LEI'!$A:$M,11)=0,"",VLOOKUP(Table48[[#This Row],[Date]],'DB LEI'!$A:$M,11))</f>
        <v/>
      </c>
    </row>
    <row r="141">
      <c r="A141" s="23" t="n">
        <v>32568</v>
      </c>
      <c r="B141" s="18">
        <f>VLOOKUP(Table48[[#This Row],[Date]],'DB LEI'!$A:$F,5)</f>
        <v/>
      </c>
      <c r="C141" s="24">
        <f>IF(VLOOKUP(Table48[[#This Row],[Date]],'DB LEI'!$A:$M,13)=0,"",VLOOKUP(Table48[[#This Row],[Date]],'DB LEI'!$A:$M,13))</f>
        <v/>
      </c>
      <c r="D141" s="24">
        <f>IF(VLOOKUP(Table48[[#This Row],[Date]],'DB LEI'!$A:$M,11)=0,"",VLOOKUP(Table48[[#This Row],[Date]],'DB LEI'!$A:$M,11))</f>
        <v/>
      </c>
    </row>
    <row r="142">
      <c r="A142" s="23" t="n">
        <v>32599</v>
      </c>
      <c r="B142" s="18">
        <f>VLOOKUP(Table48[[#This Row],[Date]],'DB LEI'!$A:$F,5)</f>
        <v/>
      </c>
      <c r="C142" s="24">
        <f>IF(VLOOKUP(Table48[[#This Row],[Date]],'DB LEI'!$A:$M,13)=0,"",VLOOKUP(Table48[[#This Row],[Date]],'DB LEI'!$A:$M,13))</f>
        <v/>
      </c>
      <c r="D142" s="24">
        <f>IF(VLOOKUP(Table48[[#This Row],[Date]],'DB LEI'!$A:$M,11)=0,"",VLOOKUP(Table48[[#This Row],[Date]],'DB LEI'!$A:$M,11))</f>
        <v/>
      </c>
    </row>
    <row r="143">
      <c r="A143" s="23" t="n">
        <v>32629</v>
      </c>
      <c r="B143" s="18">
        <f>VLOOKUP(Table48[[#This Row],[Date]],'DB LEI'!$A:$F,5)</f>
        <v/>
      </c>
      <c r="C143" s="24">
        <f>IF(VLOOKUP(Table48[[#This Row],[Date]],'DB LEI'!$A:$M,13)=0,"",VLOOKUP(Table48[[#This Row],[Date]],'DB LEI'!$A:$M,13))</f>
        <v/>
      </c>
      <c r="D143" s="24">
        <f>IF(VLOOKUP(Table48[[#This Row],[Date]],'DB LEI'!$A:$M,11)=0,"",VLOOKUP(Table48[[#This Row],[Date]],'DB LEI'!$A:$M,11))</f>
        <v/>
      </c>
    </row>
    <row r="144">
      <c r="A144" s="23" t="n">
        <v>32660</v>
      </c>
      <c r="B144" s="18">
        <f>VLOOKUP(Table48[[#This Row],[Date]],'DB LEI'!$A:$F,5)</f>
        <v/>
      </c>
      <c r="C144" s="24">
        <f>IF(VLOOKUP(Table48[[#This Row],[Date]],'DB LEI'!$A:$M,13)=0,"",VLOOKUP(Table48[[#This Row],[Date]],'DB LEI'!$A:$M,13))</f>
        <v/>
      </c>
      <c r="D144" s="24">
        <f>IF(VLOOKUP(Table48[[#This Row],[Date]],'DB LEI'!$A:$M,11)=0,"",VLOOKUP(Table48[[#This Row],[Date]],'DB LEI'!$A:$M,11))</f>
        <v/>
      </c>
    </row>
    <row r="145">
      <c r="A145" s="23" t="n">
        <v>32690</v>
      </c>
      <c r="B145" s="18">
        <f>VLOOKUP(Table48[[#This Row],[Date]],'DB LEI'!$A:$F,5)</f>
        <v/>
      </c>
      <c r="C145" s="24">
        <f>IF(VLOOKUP(Table48[[#This Row],[Date]],'DB LEI'!$A:$M,13)=0,"",VLOOKUP(Table48[[#This Row],[Date]],'DB LEI'!$A:$M,13))</f>
        <v/>
      </c>
      <c r="D145" s="24">
        <f>IF(VLOOKUP(Table48[[#This Row],[Date]],'DB LEI'!$A:$M,11)=0,"",VLOOKUP(Table48[[#This Row],[Date]],'DB LEI'!$A:$M,11))</f>
        <v/>
      </c>
    </row>
    <row r="146">
      <c r="A146" s="23" t="n">
        <v>32721</v>
      </c>
      <c r="B146" s="18">
        <f>VLOOKUP(Table48[[#This Row],[Date]],'DB LEI'!$A:$F,5)</f>
        <v/>
      </c>
      <c r="C146" s="24">
        <f>IF(VLOOKUP(Table48[[#This Row],[Date]],'DB LEI'!$A:$M,13)=0,"",VLOOKUP(Table48[[#This Row],[Date]],'DB LEI'!$A:$M,13))</f>
        <v/>
      </c>
      <c r="D146" s="24">
        <f>IF(VLOOKUP(Table48[[#This Row],[Date]],'DB LEI'!$A:$M,11)=0,"",VLOOKUP(Table48[[#This Row],[Date]],'DB LEI'!$A:$M,11))</f>
        <v/>
      </c>
    </row>
    <row r="147">
      <c r="A147" s="23" t="n">
        <v>32752</v>
      </c>
      <c r="B147" s="18">
        <f>VLOOKUP(Table48[[#This Row],[Date]],'DB LEI'!$A:$F,5)</f>
        <v/>
      </c>
      <c r="C147" s="24">
        <f>IF(VLOOKUP(Table48[[#This Row],[Date]],'DB LEI'!$A:$M,13)=0,"",VLOOKUP(Table48[[#This Row],[Date]],'DB LEI'!$A:$M,13))</f>
        <v/>
      </c>
      <c r="D147" s="24">
        <f>IF(VLOOKUP(Table48[[#This Row],[Date]],'DB LEI'!$A:$M,11)=0,"",VLOOKUP(Table48[[#This Row],[Date]],'DB LEI'!$A:$M,11))</f>
        <v/>
      </c>
    </row>
    <row r="148">
      <c r="A148" s="23" t="n">
        <v>32782</v>
      </c>
      <c r="B148" s="18">
        <f>VLOOKUP(Table48[[#This Row],[Date]],'DB LEI'!$A:$F,5)</f>
        <v/>
      </c>
      <c r="C148" s="24">
        <f>IF(VLOOKUP(Table48[[#This Row],[Date]],'DB LEI'!$A:$M,13)=0,"",VLOOKUP(Table48[[#This Row],[Date]],'DB LEI'!$A:$M,13))</f>
        <v/>
      </c>
      <c r="D148" s="24">
        <f>IF(VLOOKUP(Table48[[#This Row],[Date]],'DB LEI'!$A:$M,11)=0,"",VLOOKUP(Table48[[#This Row],[Date]],'DB LEI'!$A:$M,11))</f>
        <v/>
      </c>
    </row>
    <row r="149">
      <c r="A149" s="23" t="n">
        <v>32813</v>
      </c>
      <c r="B149" s="18">
        <f>VLOOKUP(Table48[[#This Row],[Date]],'DB LEI'!$A:$F,5)</f>
        <v/>
      </c>
      <c r="C149" s="24">
        <f>IF(VLOOKUP(Table48[[#This Row],[Date]],'DB LEI'!$A:$M,13)=0,"",VLOOKUP(Table48[[#This Row],[Date]],'DB LEI'!$A:$M,13))</f>
        <v/>
      </c>
      <c r="D149" s="24">
        <f>IF(VLOOKUP(Table48[[#This Row],[Date]],'DB LEI'!$A:$M,11)=0,"",VLOOKUP(Table48[[#This Row],[Date]],'DB LEI'!$A:$M,11))</f>
        <v/>
      </c>
    </row>
    <row r="150">
      <c r="A150" s="23" t="n">
        <v>32843</v>
      </c>
      <c r="B150" s="18">
        <f>VLOOKUP(Table48[[#This Row],[Date]],'DB LEI'!$A:$F,5)</f>
        <v/>
      </c>
      <c r="C150" s="24">
        <f>IF(VLOOKUP(Table48[[#This Row],[Date]],'DB LEI'!$A:$M,13)=0,"",VLOOKUP(Table48[[#This Row],[Date]],'DB LEI'!$A:$M,13))</f>
        <v/>
      </c>
      <c r="D150" s="24">
        <f>IF(VLOOKUP(Table48[[#This Row],[Date]],'DB LEI'!$A:$M,11)=0,"",VLOOKUP(Table48[[#This Row],[Date]],'DB LEI'!$A:$M,11))</f>
        <v/>
      </c>
    </row>
    <row r="151">
      <c r="A151" s="23" t="n">
        <v>32874</v>
      </c>
      <c r="B151" s="18">
        <f>VLOOKUP(Table48[[#This Row],[Date]],'DB LEI'!$A:$F,5)</f>
        <v/>
      </c>
      <c r="C151" s="24">
        <f>IF(VLOOKUP(Table48[[#This Row],[Date]],'DB LEI'!$A:$M,13)=0,"",VLOOKUP(Table48[[#This Row],[Date]],'DB LEI'!$A:$M,13))</f>
        <v/>
      </c>
      <c r="D151" s="24">
        <f>IF(VLOOKUP(Table48[[#This Row],[Date]],'DB LEI'!$A:$M,11)=0,"",VLOOKUP(Table48[[#This Row],[Date]],'DB LEI'!$A:$M,11))</f>
        <v/>
      </c>
    </row>
    <row r="152">
      <c r="A152" s="23" t="n">
        <v>32905</v>
      </c>
      <c r="B152" s="18">
        <f>VLOOKUP(Table48[[#This Row],[Date]],'DB LEI'!$A:$F,5)</f>
        <v/>
      </c>
      <c r="C152" s="24">
        <f>IF(VLOOKUP(Table48[[#This Row],[Date]],'DB LEI'!$A:$M,13)=0,"",VLOOKUP(Table48[[#This Row],[Date]],'DB LEI'!$A:$M,13))</f>
        <v/>
      </c>
      <c r="D152" s="24">
        <f>IF(VLOOKUP(Table48[[#This Row],[Date]],'DB LEI'!$A:$M,11)=0,"",VLOOKUP(Table48[[#This Row],[Date]],'DB LEI'!$A:$M,11))</f>
        <v/>
      </c>
    </row>
    <row r="153">
      <c r="A153" s="23" t="n">
        <v>32933</v>
      </c>
      <c r="B153" s="18">
        <f>VLOOKUP(Table48[[#This Row],[Date]],'DB LEI'!$A:$F,5)</f>
        <v/>
      </c>
      <c r="C153" s="24">
        <f>IF(VLOOKUP(Table48[[#This Row],[Date]],'DB LEI'!$A:$M,13)=0,"",VLOOKUP(Table48[[#This Row],[Date]],'DB LEI'!$A:$M,13))</f>
        <v/>
      </c>
      <c r="D153" s="24">
        <f>IF(VLOOKUP(Table48[[#This Row],[Date]],'DB LEI'!$A:$M,11)=0,"",VLOOKUP(Table48[[#This Row],[Date]],'DB LEI'!$A:$M,11))</f>
        <v/>
      </c>
    </row>
    <row r="154">
      <c r="A154" s="23" t="n">
        <v>32964</v>
      </c>
      <c r="B154" s="18">
        <f>VLOOKUP(Table48[[#This Row],[Date]],'DB LEI'!$A:$F,5)</f>
        <v/>
      </c>
      <c r="C154" s="24">
        <f>IF(VLOOKUP(Table48[[#This Row],[Date]],'DB LEI'!$A:$M,13)=0,"",VLOOKUP(Table48[[#This Row],[Date]],'DB LEI'!$A:$M,13))</f>
        <v/>
      </c>
      <c r="D154" s="24">
        <f>IF(VLOOKUP(Table48[[#This Row],[Date]],'DB LEI'!$A:$M,11)=0,"",VLOOKUP(Table48[[#This Row],[Date]],'DB LEI'!$A:$M,11))</f>
        <v/>
      </c>
    </row>
    <row r="155">
      <c r="A155" s="23" t="n">
        <v>32994</v>
      </c>
      <c r="B155" s="18">
        <f>VLOOKUP(Table48[[#This Row],[Date]],'DB LEI'!$A:$F,5)</f>
        <v/>
      </c>
      <c r="C155" s="24">
        <f>IF(VLOOKUP(Table48[[#This Row],[Date]],'DB LEI'!$A:$M,13)=0,"",VLOOKUP(Table48[[#This Row],[Date]],'DB LEI'!$A:$M,13))</f>
        <v/>
      </c>
      <c r="D155" s="24">
        <f>IF(VLOOKUP(Table48[[#This Row],[Date]],'DB LEI'!$A:$M,11)=0,"",VLOOKUP(Table48[[#This Row],[Date]],'DB LEI'!$A:$M,11))</f>
        <v/>
      </c>
    </row>
    <row r="156">
      <c r="A156" s="23" t="n">
        <v>33025</v>
      </c>
      <c r="B156" s="18">
        <f>VLOOKUP(Table48[[#This Row],[Date]],'DB LEI'!$A:$F,5)</f>
        <v/>
      </c>
      <c r="C156" s="24">
        <f>IF(VLOOKUP(Table48[[#This Row],[Date]],'DB LEI'!$A:$M,13)=0,"",VLOOKUP(Table48[[#This Row],[Date]],'DB LEI'!$A:$M,13))</f>
        <v/>
      </c>
      <c r="D156" s="24">
        <f>IF(VLOOKUP(Table48[[#This Row],[Date]],'DB LEI'!$A:$M,11)=0,"",VLOOKUP(Table48[[#This Row],[Date]],'DB LEI'!$A:$M,11))</f>
        <v/>
      </c>
    </row>
    <row r="157">
      <c r="A157" s="23" t="n">
        <v>33055</v>
      </c>
      <c r="B157" s="18">
        <f>VLOOKUP(Table48[[#This Row],[Date]],'DB LEI'!$A:$F,5)</f>
        <v/>
      </c>
      <c r="C157" s="24">
        <f>IF(VLOOKUP(Table48[[#This Row],[Date]],'DB LEI'!$A:$M,13)=0,"",VLOOKUP(Table48[[#This Row],[Date]],'DB LEI'!$A:$M,13))</f>
        <v/>
      </c>
      <c r="D157" s="24">
        <f>IF(VLOOKUP(Table48[[#This Row],[Date]],'DB LEI'!$A:$M,11)=0,"",VLOOKUP(Table48[[#This Row],[Date]],'DB LEI'!$A:$M,11))</f>
        <v/>
      </c>
    </row>
    <row r="158">
      <c r="A158" s="23" t="n">
        <v>33086</v>
      </c>
      <c r="B158" s="18">
        <f>VLOOKUP(Table48[[#This Row],[Date]],'DB LEI'!$A:$F,5)</f>
        <v/>
      </c>
      <c r="C158" s="24">
        <f>IF(VLOOKUP(Table48[[#This Row],[Date]],'DB LEI'!$A:$M,13)=0,"",VLOOKUP(Table48[[#This Row],[Date]],'DB LEI'!$A:$M,13))</f>
        <v/>
      </c>
      <c r="D158" s="24">
        <f>IF(VLOOKUP(Table48[[#This Row],[Date]],'DB LEI'!$A:$M,11)=0,"",VLOOKUP(Table48[[#This Row],[Date]],'DB LEI'!$A:$M,11))</f>
        <v/>
      </c>
    </row>
    <row r="159">
      <c r="A159" s="23" t="n">
        <v>33117</v>
      </c>
      <c r="B159" s="18">
        <f>VLOOKUP(Table48[[#This Row],[Date]],'DB LEI'!$A:$F,5)</f>
        <v/>
      </c>
      <c r="C159" s="24">
        <f>IF(VLOOKUP(Table48[[#This Row],[Date]],'DB LEI'!$A:$M,13)=0,"",VLOOKUP(Table48[[#This Row],[Date]],'DB LEI'!$A:$M,13))</f>
        <v/>
      </c>
      <c r="D159" s="24">
        <f>IF(VLOOKUP(Table48[[#This Row],[Date]],'DB LEI'!$A:$M,11)=0,"",VLOOKUP(Table48[[#This Row],[Date]],'DB LEI'!$A:$M,11))</f>
        <v/>
      </c>
    </row>
    <row r="160">
      <c r="A160" s="23" t="n">
        <v>33147</v>
      </c>
      <c r="B160" s="18">
        <f>VLOOKUP(Table48[[#This Row],[Date]],'DB LEI'!$A:$F,5)</f>
        <v/>
      </c>
      <c r="C160" s="24">
        <f>IF(VLOOKUP(Table48[[#This Row],[Date]],'DB LEI'!$A:$M,13)=0,"",VLOOKUP(Table48[[#This Row],[Date]],'DB LEI'!$A:$M,13))</f>
        <v/>
      </c>
      <c r="D160" s="24">
        <f>IF(VLOOKUP(Table48[[#This Row],[Date]],'DB LEI'!$A:$M,11)=0,"",VLOOKUP(Table48[[#This Row],[Date]],'DB LEI'!$A:$M,11))</f>
        <v/>
      </c>
    </row>
    <row r="161">
      <c r="A161" s="23" t="n">
        <v>33178</v>
      </c>
      <c r="B161" s="18">
        <f>VLOOKUP(Table48[[#This Row],[Date]],'DB LEI'!$A:$F,5)</f>
        <v/>
      </c>
      <c r="C161" s="24">
        <f>IF(VLOOKUP(Table48[[#This Row],[Date]],'DB LEI'!$A:$M,13)=0,"",VLOOKUP(Table48[[#This Row],[Date]],'DB LEI'!$A:$M,13))</f>
        <v/>
      </c>
      <c r="D161" s="24">
        <f>IF(VLOOKUP(Table48[[#This Row],[Date]],'DB LEI'!$A:$M,11)=0,"",VLOOKUP(Table48[[#This Row],[Date]],'DB LEI'!$A:$M,11))</f>
        <v/>
      </c>
    </row>
    <row r="162">
      <c r="A162" s="23" t="n">
        <v>33208</v>
      </c>
      <c r="B162" s="18">
        <f>VLOOKUP(Table48[[#This Row],[Date]],'DB LEI'!$A:$F,5)</f>
        <v/>
      </c>
      <c r="C162" s="24">
        <f>IF(VLOOKUP(Table48[[#This Row],[Date]],'DB LEI'!$A:$M,13)=0,"",VLOOKUP(Table48[[#This Row],[Date]],'DB LEI'!$A:$M,13))</f>
        <v/>
      </c>
      <c r="D162" s="24">
        <f>IF(VLOOKUP(Table48[[#This Row],[Date]],'DB LEI'!$A:$M,11)=0,"",VLOOKUP(Table48[[#This Row],[Date]],'DB LEI'!$A:$M,11))</f>
        <v/>
      </c>
    </row>
    <row r="163">
      <c r="A163" s="23" t="n">
        <v>33239</v>
      </c>
      <c r="B163" s="18">
        <f>VLOOKUP(Table48[[#This Row],[Date]],'DB LEI'!$A:$F,5)</f>
        <v/>
      </c>
      <c r="C163" s="24">
        <f>IF(VLOOKUP(Table48[[#This Row],[Date]],'DB LEI'!$A:$M,13)=0,"",VLOOKUP(Table48[[#This Row],[Date]],'DB LEI'!$A:$M,13))</f>
        <v/>
      </c>
      <c r="D163" s="24">
        <f>IF(VLOOKUP(Table48[[#This Row],[Date]],'DB LEI'!$A:$M,11)=0,"",VLOOKUP(Table48[[#This Row],[Date]],'DB LEI'!$A:$M,11))</f>
        <v/>
      </c>
    </row>
    <row r="164">
      <c r="A164" s="23" t="n">
        <v>33270</v>
      </c>
      <c r="B164" s="18">
        <f>VLOOKUP(Table48[[#This Row],[Date]],'DB LEI'!$A:$F,5)</f>
        <v/>
      </c>
      <c r="C164" s="24">
        <f>IF(VLOOKUP(Table48[[#This Row],[Date]],'DB LEI'!$A:$M,13)=0,"",VLOOKUP(Table48[[#This Row],[Date]],'DB LEI'!$A:$M,13))</f>
        <v/>
      </c>
      <c r="D164" s="24">
        <f>IF(VLOOKUP(Table48[[#This Row],[Date]],'DB LEI'!$A:$M,11)=0,"",VLOOKUP(Table48[[#This Row],[Date]],'DB LEI'!$A:$M,11))</f>
        <v/>
      </c>
    </row>
    <row r="165">
      <c r="A165" s="23" t="n">
        <v>33298</v>
      </c>
      <c r="B165" s="18">
        <f>VLOOKUP(Table48[[#This Row],[Date]],'DB LEI'!$A:$F,5)</f>
        <v/>
      </c>
      <c r="C165" s="24">
        <f>IF(VLOOKUP(Table48[[#This Row],[Date]],'DB LEI'!$A:$M,13)=0,"",VLOOKUP(Table48[[#This Row],[Date]],'DB LEI'!$A:$M,13))</f>
        <v/>
      </c>
      <c r="D165" s="24">
        <f>IF(VLOOKUP(Table48[[#This Row],[Date]],'DB LEI'!$A:$M,11)=0,"",VLOOKUP(Table48[[#This Row],[Date]],'DB LEI'!$A:$M,11))</f>
        <v/>
      </c>
    </row>
    <row r="166">
      <c r="A166" s="23" t="n">
        <v>33329</v>
      </c>
      <c r="B166" s="18">
        <f>VLOOKUP(Table48[[#This Row],[Date]],'DB LEI'!$A:$F,5)</f>
        <v/>
      </c>
      <c r="C166" s="24">
        <f>IF(VLOOKUP(Table48[[#This Row],[Date]],'DB LEI'!$A:$M,13)=0,"",VLOOKUP(Table48[[#This Row],[Date]],'DB LEI'!$A:$M,13))</f>
        <v/>
      </c>
      <c r="D166" s="24">
        <f>IF(VLOOKUP(Table48[[#This Row],[Date]],'DB LEI'!$A:$M,11)=0,"",VLOOKUP(Table48[[#This Row],[Date]],'DB LEI'!$A:$M,11))</f>
        <v/>
      </c>
    </row>
    <row r="167">
      <c r="A167" s="23" t="n">
        <v>33359</v>
      </c>
      <c r="B167" s="18">
        <f>VLOOKUP(Table48[[#This Row],[Date]],'DB LEI'!$A:$F,5)</f>
        <v/>
      </c>
      <c r="C167" s="24">
        <f>IF(VLOOKUP(Table48[[#This Row],[Date]],'DB LEI'!$A:$M,13)=0,"",VLOOKUP(Table48[[#This Row],[Date]],'DB LEI'!$A:$M,13))</f>
        <v/>
      </c>
      <c r="D167" s="24">
        <f>IF(VLOOKUP(Table48[[#This Row],[Date]],'DB LEI'!$A:$M,11)=0,"",VLOOKUP(Table48[[#This Row],[Date]],'DB LEI'!$A:$M,11))</f>
        <v/>
      </c>
    </row>
    <row r="168">
      <c r="A168" s="23" t="n">
        <v>33390</v>
      </c>
      <c r="B168" s="18">
        <f>VLOOKUP(Table48[[#This Row],[Date]],'DB LEI'!$A:$F,5)</f>
        <v/>
      </c>
      <c r="C168" s="24">
        <f>IF(VLOOKUP(Table48[[#This Row],[Date]],'DB LEI'!$A:$M,13)=0,"",VLOOKUP(Table48[[#This Row],[Date]],'DB LEI'!$A:$M,13))</f>
        <v/>
      </c>
      <c r="D168" s="24">
        <f>IF(VLOOKUP(Table48[[#This Row],[Date]],'DB LEI'!$A:$M,11)=0,"",VLOOKUP(Table48[[#This Row],[Date]],'DB LEI'!$A:$M,11))</f>
        <v/>
      </c>
    </row>
    <row r="169">
      <c r="A169" s="23" t="n">
        <v>33420</v>
      </c>
      <c r="B169" s="18">
        <f>VLOOKUP(Table48[[#This Row],[Date]],'DB LEI'!$A:$F,5)</f>
        <v/>
      </c>
      <c r="C169" s="24">
        <f>IF(VLOOKUP(Table48[[#This Row],[Date]],'DB LEI'!$A:$M,13)=0,"",VLOOKUP(Table48[[#This Row],[Date]],'DB LEI'!$A:$M,13))</f>
        <v/>
      </c>
      <c r="D169" s="24">
        <f>IF(VLOOKUP(Table48[[#This Row],[Date]],'DB LEI'!$A:$M,11)=0,"",VLOOKUP(Table48[[#This Row],[Date]],'DB LEI'!$A:$M,11))</f>
        <v/>
      </c>
    </row>
    <row r="170">
      <c r="A170" s="23" t="n">
        <v>33451</v>
      </c>
      <c r="B170" s="18">
        <f>VLOOKUP(Table48[[#This Row],[Date]],'DB LEI'!$A:$F,5)</f>
        <v/>
      </c>
      <c r="C170" s="24">
        <f>IF(VLOOKUP(Table48[[#This Row],[Date]],'DB LEI'!$A:$M,13)=0,"",VLOOKUP(Table48[[#This Row],[Date]],'DB LEI'!$A:$M,13))</f>
        <v/>
      </c>
      <c r="D170" s="24">
        <f>IF(VLOOKUP(Table48[[#This Row],[Date]],'DB LEI'!$A:$M,11)=0,"",VLOOKUP(Table48[[#This Row],[Date]],'DB LEI'!$A:$M,11))</f>
        <v/>
      </c>
    </row>
    <row r="171">
      <c r="A171" s="23" t="n">
        <v>33482</v>
      </c>
      <c r="B171" s="18">
        <f>VLOOKUP(Table48[[#This Row],[Date]],'DB LEI'!$A:$F,5)</f>
        <v/>
      </c>
      <c r="C171" s="24">
        <f>IF(VLOOKUP(Table48[[#This Row],[Date]],'DB LEI'!$A:$M,13)=0,"",VLOOKUP(Table48[[#This Row],[Date]],'DB LEI'!$A:$M,13))</f>
        <v/>
      </c>
      <c r="D171" s="24">
        <f>IF(VLOOKUP(Table48[[#This Row],[Date]],'DB LEI'!$A:$M,11)=0,"",VLOOKUP(Table48[[#This Row],[Date]],'DB LEI'!$A:$M,11))</f>
        <v/>
      </c>
    </row>
    <row r="172">
      <c r="A172" s="23" t="n">
        <v>33512</v>
      </c>
      <c r="B172" s="18">
        <f>VLOOKUP(Table48[[#This Row],[Date]],'DB LEI'!$A:$F,5)</f>
        <v/>
      </c>
      <c r="C172" s="24">
        <f>IF(VLOOKUP(Table48[[#This Row],[Date]],'DB LEI'!$A:$M,13)=0,"",VLOOKUP(Table48[[#This Row],[Date]],'DB LEI'!$A:$M,13))</f>
        <v/>
      </c>
      <c r="D172" s="24">
        <f>IF(VLOOKUP(Table48[[#This Row],[Date]],'DB LEI'!$A:$M,11)=0,"",VLOOKUP(Table48[[#This Row],[Date]],'DB LEI'!$A:$M,11))</f>
        <v/>
      </c>
    </row>
    <row r="173">
      <c r="A173" s="23" t="n">
        <v>33543</v>
      </c>
      <c r="B173" s="18">
        <f>VLOOKUP(Table48[[#This Row],[Date]],'DB LEI'!$A:$F,5)</f>
        <v/>
      </c>
      <c r="C173" s="24">
        <f>IF(VLOOKUP(Table48[[#This Row],[Date]],'DB LEI'!$A:$M,13)=0,"",VLOOKUP(Table48[[#This Row],[Date]],'DB LEI'!$A:$M,13))</f>
        <v/>
      </c>
      <c r="D173" s="24">
        <f>IF(VLOOKUP(Table48[[#This Row],[Date]],'DB LEI'!$A:$M,11)=0,"",VLOOKUP(Table48[[#This Row],[Date]],'DB LEI'!$A:$M,11))</f>
        <v/>
      </c>
    </row>
    <row r="174">
      <c r="A174" s="23" t="n">
        <v>33573</v>
      </c>
      <c r="B174" s="18">
        <f>VLOOKUP(Table48[[#This Row],[Date]],'DB LEI'!$A:$F,5)</f>
        <v/>
      </c>
      <c r="C174" s="24">
        <f>IF(VLOOKUP(Table48[[#This Row],[Date]],'DB LEI'!$A:$M,13)=0,"",VLOOKUP(Table48[[#This Row],[Date]],'DB LEI'!$A:$M,13))</f>
        <v/>
      </c>
      <c r="D174" s="24">
        <f>IF(VLOOKUP(Table48[[#This Row],[Date]],'DB LEI'!$A:$M,11)=0,"",VLOOKUP(Table48[[#This Row],[Date]],'DB LEI'!$A:$M,11))</f>
        <v/>
      </c>
    </row>
    <row r="175">
      <c r="A175" s="23" t="n">
        <v>33604</v>
      </c>
      <c r="B175" s="18">
        <f>VLOOKUP(Table48[[#This Row],[Date]],'DB LEI'!$A:$F,5)</f>
        <v/>
      </c>
      <c r="C175" s="24">
        <f>IF(VLOOKUP(Table48[[#This Row],[Date]],'DB LEI'!$A:$M,13)=0,"",VLOOKUP(Table48[[#This Row],[Date]],'DB LEI'!$A:$M,13))</f>
        <v/>
      </c>
      <c r="D175" s="24">
        <f>IF(VLOOKUP(Table48[[#This Row],[Date]],'DB LEI'!$A:$M,11)=0,"",VLOOKUP(Table48[[#This Row],[Date]],'DB LEI'!$A:$M,11))</f>
        <v/>
      </c>
    </row>
    <row r="176">
      <c r="A176" s="23" t="n">
        <v>33635</v>
      </c>
      <c r="B176" s="18">
        <f>VLOOKUP(Table48[[#This Row],[Date]],'DB LEI'!$A:$F,5)</f>
        <v/>
      </c>
      <c r="C176" s="24">
        <f>IF(VLOOKUP(Table48[[#This Row],[Date]],'DB LEI'!$A:$M,13)=0,"",VLOOKUP(Table48[[#This Row],[Date]],'DB LEI'!$A:$M,13))</f>
        <v/>
      </c>
      <c r="D176" s="24">
        <f>IF(VLOOKUP(Table48[[#This Row],[Date]],'DB LEI'!$A:$M,11)=0,"",VLOOKUP(Table48[[#This Row],[Date]],'DB LEI'!$A:$M,11))</f>
        <v/>
      </c>
    </row>
    <row r="177">
      <c r="A177" s="23" t="n">
        <v>33664</v>
      </c>
      <c r="B177" s="18">
        <f>VLOOKUP(Table48[[#This Row],[Date]],'DB LEI'!$A:$F,5)</f>
        <v/>
      </c>
      <c r="C177" s="24">
        <f>IF(VLOOKUP(Table48[[#This Row],[Date]],'DB LEI'!$A:$M,13)=0,"",VLOOKUP(Table48[[#This Row],[Date]],'DB LEI'!$A:$M,13))</f>
        <v/>
      </c>
      <c r="D177" s="24">
        <f>IF(VLOOKUP(Table48[[#This Row],[Date]],'DB LEI'!$A:$M,11)=0,"",VLOOKUP(Table48[[#This Row],[Date]],'DB LEI'!$A:$M,11))</f>
        <v/>
      </c>
    </row>
    <row r="178">
      <c r="A178" s="23" t="n">
        <v>33695</v>
      </c>
      <c r="B178" s="18">
        <f>VLOOKUP(Table48[[#This Row],[Date]],'DB LEI'!$A:$F,5)</f>
        <v/>
      </c>
      <c r="C178" s="24">
        <f>IF(VLOOKUP(Table48[[#This Row],[Date]],'DB LEI'!$A:$M,13)=0,"",VLOOKUP(Table48[[#This Row],[Date]],'DB LEI'!$A:$M,13))</f>
        <v/>
      </c>
      <c r="D178" s="24">
        <f>IF(VLOOKUP(Table48[[#This Row],[Date]],'DB LEI'!$A:$M,11)=0,"",VLOOKUP(Table48[[#This Row],[Date]],'DB LEI'!$A:$M,11))</f>
        <v/>
      </c>
    </row>
    <row r="179">
      <c r="A179" s="23" t="n">
        <v>33725</v>
      </c>
      <c r="B179" s="18">
        <f>VLOOKUP(Table48[[#This Row],[Date]],'DB LEI'!$A:$F,5)</f>
        <v/>
      </c>
      <c r="C179" s="24">
        <f>IF(VLOOKUP(Table48[[#This Row],[Date]],'DB LEI'!$A:$M,13)=0,"",VLOOKUP(Table48[[#This Row],[Date]],'DB LEI'!$A:$M,13))</f>
        <v/>
      </c>
      <c r="D179" s="24">
        <f>IF(VLOOKUP(Table48[[#This Row],[Date]],'DB LEI'!$A:$M,11)=0,"",VLOOKUP(Table48[[#This Row],[Date]],'DB LEI'!$A:$M,11))</f>
        <v/>
      </c>
    </row>
    <row r="180">
      <c r="A180" s="23" t="n">
        <v>33756</v>
      </c>
      <c r="B180" s="18">
        <f>VLOOKUP(Table48[[#This Row],[Date]],'DB LEI'!$A:$F,5)</f>
        <v/>
      </c>
      <c r="C180" s="24">
        <f>IF(VLOOKUP(Table48[[#This Row],[Date]],'DB LEI'!$A:$M,13)=0,"",VLOOKUP(Table48[[#This Row],[Date]],'DB LEI'!$A:$M,13))</f>
        <v/>
      </c>
      <c r="D180" s="24">
        <f>IF(VLOOKUP(Table48[[#This Row],[Date]],'DB LEI'!$A:$M,11)=0,"",VLOOKUP(Table48[[#This Row],[Date]],'DB LEI'!$A:$M,11))</f>
        <v/>
      </c>
    </row>
    <row r="181">
      <c r="A181" s="23" t="n">
        <v>33786</v>
      </c>
      <c r="B181" s="18">
        <f>VLOOKUP(Table48[[#This Row],[Date]],'DB LEI'!$A:$F,5)</f>
        <v/>
      </c>
      <c r="C181" s="24">
        <f>IF(VLOOKUP(Table48[[#This Row],[Date]],'DB LEI'!$A:$M,13)=0,"",VLOOKUP(Table48[[#This Row],[Date]],'DB LEI'!$A:$M,13))</f>
        <v/>
      </c>
      <c r="D181" s="24">
        <f>IF(VLOOKUP(Table48[[#This Row],[Date]],'DB LEI'!$A:$M,11)=0,"",VLOOKUP(Table48[[#This Row],[Date]],'DB LEI'!$A:$M,11))</f>
        <v/>
      </c>
    </row>
    <row r="182">
      <c r="A182" s="23" t="n">
        <v>33817</v>
      </c>
      <c r="B182" s="18">
        <f>VLOOKUP(Table48[[#This Row],[Date]],'DB LEI'!$A:$F,5)</f>
        <v/>
      </c>
      <c r="C182" s="24">
        <f>IF(VLOOKUP(Table48[[#This Row],[Date]],'DB LEI'!$A:$M,13)=0,"",VLOOKUP(Table48[[#This Row],[Date]],'DB LEI'!$A:$M,13))</f>
        <v/>
      </c>
      <c r="D182" s="24">
        <f>IF(VLOOKUP(Table48[[#This Row],[Date]],'DB LEI'!$A:$M,11)=0,"",VLOOKUP(Table48[[#This Row],[Date]],'DB LEI'!$A:$M,11))</f>
        <v/>
      </c>
    </row>
    <row r="183">
      <c r="A183" s="23" t="n">
        <v>33848</v>
      </c>
      <c r="B183" s="18">
        <f>VLOOKUP(Table48[[#This Row],[Date]],'DB LEI'!$A:$F,5)</f>
        <v/>
      </c>
      <c r="C183" s="24">
        <f>IF(VLOOKUP(Table48[[#This Row],[Date]],'DB LEI'!$A:$M,13)=0,"",VLOOKUP(Table48[[#This Row],[Date]],'DB LEI'!$A:$M,13))</f>
        <v/>
      </c>
      <c r="D183" s="24">
        <f>IF(VLOOKUP(Table48[[#This Row],[Date]],'DB LEI'!$A:$M,11)=0,"",VLOOKUP(Table48[[#This Row],[Date]],'DB LEI'!$A:$M,11))</f>
        <v/>
      </c>
    </row>
    <row r="184">
      <c r="A184" s="23" t="n">
        <v>33878</v>
      </c>
      <c r="B184" s="18">
        <f>VLOOKUP(Table48[[#This Row],[Date]],'DB LEI'!$A:$F,5)</f>
        <v/>
      </c>
      <c r="C184" s="24">
        <f>IF(VLOOKUP(Table48[[#This Row],[Date]],'DB LEI'!$A:$M,13)=0,"",VLOOKUP(Table48[[#This Row],[Date]],'DB LEI'!$A:$M,13))</f>
        <v/>
      </c>
      <c r="D184" s="24">
        <f>IF(VLOOKUP(Table48[[#This Row],[Date]],'DB LEI'!$A:$M,11)=0,"",VLOOKUP(Table48[[#This Row],[Date]],'DB LEI'!$A:$M,11))</f>
        <v/>
      </c>
    </row>
    <row r="185">
      <c r="A185" s="23" t="n">
        <v>33909</v>
      </c>
      <c r="B185" s="18">
        <f>VLOOKUP(Table48[[#This Row],[Date]],'DB LEI'!$A:$F,5)</f>
        <v/>
      </c>
      <c r="C185" s="24">
        <f>IF(VLOOKUP(Table48[[#This Row],[Date]],'DB LEI'!$A:$M,13)=0,"",VLOOKUP(Table48[[#This Row],[Date]],'DB LEI'!$A:$M,13))</f>
        <v/>
      </c>
      <c r="D185" s="24">
        <f>IF(VLOOKUP(Table48[[#This Row],[Date]],'DB LEI'!$A:$M,11)=0,"",VLOOKUP(Table48[[#This Row],[Date]],'DB LEI'!$A:$M,11))</f>
        <v/>
      </c>
    </row>
    <row r="186">
      <c r="A186" s="23" t="n">
        <v>33939</v>
      </c>
      <c r="B186" s="18">
        <f>VLOOKUP(Table48[[#This Row],[Date]],'DB LEI'!$A:$F,5)</f>
        <v/>
      </c>
      <c r="C186" s="24">
        <f>IF(VLOOKUP(Table48[[#This Row],[Date]],'DB LEI'!$A:$M,13)=0,"",VLOOKUP(Table48[[#This Row],[Date]],'DB LEI'!$A:$M,13))</f>
        <v/>
      </c>
      <c r="D186" s="24">
        <f>IF(VLOOKUP(Table48[[#This Row],[Date]],'DB LEI'!$A:$M,11)=0,"",VLOOKUP(Table48[[#This Row],[Date]],'DB LEI'!$A:$M,11))</f>
        <v/>
      </c>
    </row>
    <row r="187">
      <c r="A187" s="23" t="n">
        <v>33970</v>
      </c>
      <c r="B187" s="18">
        <f>VLOOKUP(Table48[[#This Row],[Date]],'DB LEI'!$A:$F,5)</f>
        <v/>
      </c>
      <c r="C187" s="24">
        <f>IF(VLOOKUP(Table48[[#This Row],[Date]],'DB LEI'!$A:$M,13)=0,"",VLOOKUP(Table48[[#This Row],[Date]],'DB LEI'!$A:$M,13))</f>
        <v/>
      </c>
      <c r="D187" s="24">
        <f>IF(VLOOKUP(Table48[[#This Row],[Date]],'DB LEI'!$A:$M,11)=0,"",VLOOKUP(Table48[[#This Row],[Date]],'DB LEI'!$A:$M,11))</f>
        <v/>
      </c>
    </row>
    <row r="188">
      <c r="A188" s="23" t="n">
        <v>34001</v>
      </c>
      <c r="B188" s="18">
        <f>VLOOKUP(Table48[[#This Row],[Date]],'DB LEI'!$A:$F,5)</f>
        <v/>
      </c>
      <c r="C188" s="24">
        <f>IF(VLOOKUP(Table48[[#This Row],[Date]],'DB LEI'!$A:$M,13)=0,"",VLOOKUP(Table48[[#This Row],[Date]],'DB LEI'!$A:$M,13))</f>
        <v/>
      </c>
      <c r="D188" s="24">
        <f>IF(VLOOKUP(Table48[[#This Row],[Date]],'DB LEI'!$A:$M,11)=0,"",VLOOKUP(Table48[[#This Row],[Date]],'DB LEI'!$A:$M,11))</f>
        <v/>
      </c>
    </row>
    <row r="189">
      <c r="A189" s="23" t="n">
        <v>34029</v>
      </c>
      <c r="B189" s="18">
        <f>VLOOKUP(Table48[[#This Row],[Date]],'DB LEI'!$A:$F,5)</f>
        <v/>
      </c>
      <c r="C189" s="24">
        <f>IF(VLOOKUP(Table48[[#This Row],[Date]],'DB LEI'!$A:$M,13)=0,"",VLOOKUP(Table48[[#This Row],[Date]],'DB LEI'!$A:$M,13))</f>
        <v/>
      </c>
      <c r="D189" s="24">
        <f>IF(VLOOKUP(Table48[[#This Row],[Date]],'DB LEI'!$A:$M,11)=0,"",VLOOKUP(Table48[[#This Row],[Date]],'DB LEI'!$A:$M,11))</f>
        <v/>
      </c>
    </row>
    <row r="190">
      <c r="A190" s="23" t="n">
        <v>34060</v>
      </c>
      <c r="B190" s="18">
        <f>VLOOKUP(Table48[[#This Row],[Date]],'DB LEI'!$A:$F,5)</f>
        <v/>
      </c>
      <c r="C190" s="24">
        <f>IF(VLOOKUP(Table48[[#This Row],[Date]],'DB LEI'!$A:$M,13)=0,"",VLOOKUP(Table48[[#This Row],[Date]],'DB LEI'!$A:$M,13))</f>
        <v/>
      </c>
      <c r="D190" s="24">
        <f>IF(VLOOKUP(Table48[[#This Row],[Date]],'DB LEI'!$A:$M,11)=0,"",VLOOKUP(Table48[[#This Row],[Date]],'DB LEI'!$A:$M,11))</f>
        <v/>
      </c>
    </row>
    <row r="191">
      <c r="A191" s="23" t="n">
        <v>34090</v>
      </c>
      <c r="B191" s="18">
        <f>VLOOKUP(Table48[[#This Row],[Date]],'DB LEI'!$A:$F,5)</f>
        <v/>
      </c>
      <c r="C191" s="24">
        <f>IF(VLOOKUP(Table48[[#This Row],[Date]],'DB LEI'!$A:$M,13)=0,"",VLOOKUP(Table48[[#This Row],[Date]],'DB LEI'!$A:$M,13))</f>
        <v/>
      </c>
      <c r="D191" s="24">
        <f>IF(VLOOKUP(Table48[[#This Row],[Date]],'DB LEI'!$A:$M,11)=0,"",VLOOKUP(Table48[[#This Row],[Date]],'DB LEI'!$A:$M,11))</f>
        <v/>
      </c>
    </row>
    <row r="192">
      <c r="A192" s="23" t="n">
        <v>34121</v>
      </c>
      <c r="B192" s="18">
        <f>VLOOKUP(Table48[[#This Row],[Date]],'DB LEI'!$A:$F,5)</f>
        <v/>
      </c>
      <c r="C192" s="24">
        <f>IF(VLOOKUP(Table48[[#This Row],[Date]],'DB LEI'!$A:$M,13)=0,"",VLOOKUP(Table48[[#This Row],[Date]],'DB LEI'!$A:$M,13))</f>
        <v/>
      </c>
      <c r="D192" s="24">
        <f>IF(VLOOKUP(Table48[[#This Row],[Date]],'DB LEI'!$A:$M,11)=0,"",VLOOKUP(Table48[[#This Row],[Date]],'DB LEI'!$A:$M,11))</f>
        <v/>
      </c>
    </row>
    <row r="193">
      <c r="A193" s="23" t="n">
        <v>34151</v>
      </c>
      <c r="B193" s="18">
        <f>VLOOKUP(Table48[[#This Row],[Date]],'DB LEI'!$A:$F,5)</f>
        <v/>
      </c>
      <c r="C193" s="24">
        <f>IF(VLOOKUP(Table48[[#This Row],[Date]],'DB LEI'!$A:$M,13)=0,"",VLOOKUP(Table48[[#This Row],[Date]],'DB LEI'!$A:$M,13))</f>
        <v/>
      </c>
      <c r="D193" s="24">
        <f>IF(VLOOKUP(Table48[[#This Row],[Date]],'DB LEI'!$A:$M,11)=0,"",VLOOKUP(Table48[[#This Row],[Date]],'DB LEI'!$A:$M,11))</f>
        <v/>
      </c>
    </row>
    <row r="194">
      <c r="A194" s="23" t="n">
        <v>34182</v>
      </c>
      <c r="B194" s="18">
        <f>VLOOKUP(Table48[[#This Row],[Date]],'DB LEI'!$A:$F,5)</f>
        <v/>
      </c>
      <c r="C194" s="24">
        <f>IF(VLOOKUP(Table48[[#This Row],[Date]],'DB LEI'!$A:$M,13)=0,"",VLOOKUP(Table48[[#This Row],[Date]],'DB LEI'!$A:$M,13))</f>
        <v/>
      </c>
      <c r="D194" s="24">
        <f>IF(VLOOKUP(Table48[[#This Row],[Date]],'DB LEI'!$A:$M,11)=0,"",VLOOKUP(Table48[[#This Row],[Date]],'DB LEI'!$A:$M,11))</f>
        <v/>
      </c>
    </row>
    <row r="195">
      <c r="A195" s="23" t="n">
        <v>34213</v>
      </c>
      <c r="B195" s="18">
        <f>VLOOKUP(Table48[[#This Row],[Date]],'DB LEI'!$A:$F,5)</f>
        <v/>
      </c>
      <c r="C195" s="24">
        <f>IF(VLOOKUP(Table48[[#This Row],[Date]],'DB LEI'!$A:$M,13)=0,"",VLOOKUP(Table48[[#This Row],[Date]],'DB LEI'!$A:$M,13))</f>
        <v/>
      </c>
      <c r="D195" s="24">
        <f>IF(VLOOKUP(Table48[[#This Row],[Date]],'DB LEI'!$A:$M,11)=0,"",VLOOKUP(Table48[[#This Row],[Date]],'DB LEI'!$A:$M,11))</f>
        <v/>
      </c>
    </row>
    <row r="196">
      <c r="A196" s="23" t="n">
        <v>34243</v>
      </c>
      <c r="B196" s="18">
        <f>VLOOKUP(Table48[[#This Row],[Date]],'DB LEI'!$A:$F,5)</f>
        <v/>
      </c>
      <c r="C196" s="24">
        <f>IF(VLOOKUP(Table48[[#This Row],[Date]],'DB LEI'!$A:$M,13)=0,"",VLOOKUP(Table48[[#This Row],[Date]],'DB LEI'!$A:$M,13))</f>
        <v/>
      </c>
      <c r="D196" s="24">
        <f>IF(VLOOKUP(Table48[[#This Row],[Date]],'DB LEI'!$A:$M,11)=0,"",VLOOKUP(Table48[[#This Row],[Date]],'DB LEI'!$A:$M,11))</f>
        <v/>
      </c>
    </row>
    <row r="197">
      <c r="A197" s="23" t="n">
        <v>34274</v>
      </c>
      <c r="B197" s="18">
        <f>VLOOKUP(Table48[[#This Row],[Date]],'DB LEI'!$A:$F,5)</f>
        <v/>
      </c>
      <c r="C197" s="24">
        <f>IF(VLOOKUP(Table48[[#This Row],[Date]],'DB LEI'!$A:$M,13)=0,"",VLOOKUP(Table48[[#This Row],[Date]],'DB LEI'!$A:$M,13))</f>
        <v/>
      </c>
      <c r="D197" s="24">
        <f>IF(VLOOKUP(Table48[[#This Row],[Date]],'DB LEI'!$A:$M,11)=0,"",VLOOKUP(Table48[[#This Row],[Date]],'DB LEI'!$A:$M,11))</f>
        <v/>
      </c>
    </row>
    <row r="198">
      <c r="A198" s="23" t="n">
        <v>34304</v>
      </c>
      <c r="B198" s="18">
        <f>VLOOKUP(Table48[[#This Row],[Date]],'DB LEI'!$A:$F,5)</f>
        <v/>
      </c>
      <c r="C198" s="24">
        <f>IF(VLOOKUP(Table48[[#This Row],[Date]],'DB LEI'!$A:$M,13)=0,"",VLOOKUP(Table48[[#This Row],[Date]],'DB LEI'!$A:$M,13))</f>
        <v/>
      </c>
      <c r="D198" s="24">
        <f>IF(VLOOKUP(Table48[[#This Row],[Date]],'DB LEI'!$A:$M,11)=0,"",VLOOKUP(Table48[[#This Row],[Date]],'DB LEI'!$A:$M,11))</f>
        <v/>
      </c>
    </row>
    <row r="199">
      <c r="A199" s="23" t="n">
        <v>34335</v>
      </c>
      <c r="B199" s="18">
        <f>VLOOKUP(Table48[[#This Row],[Date]],'DB LEI'!$A:$F,5)</f>
        <v/>
      </c>
      <c r="C199" s="24">
        <f>IF(VLOOKUP(Table48[[#This Row],[Date]],'DB LEI'!$A:$M,13)=0,"",VLOOKUP(Table48[[#This Row],[Date]],'DB LEI'!$A:$M,13))</f>
        <v/>
      </c>
      <c r="D199" s="24">
        <f>IF(VLOOKUP(Table48[[#This Row],[Date]],'DB LEI'!$A:$M,11)=0,"",VLOOKUP(Table48[[#This Row],[Date]],'DB LEI'!$A:$M,11))</f>
        <v/>
      </c>
    </row>
    <row r="200">
      <c r="A200" s="23" t="n">
        <v>34366</v>
      </c>
      <c r="B200" s="18">
        <f>VLOOKUP(Table48[[#This Row],[Date]],'DB LEI'!$A:$F,5)</f>
        <v/>
      </c>
      <c r="C200" s="24">
        <f>IF(VLOOKUP(Table48[[#This Row],[Date]],'DB LEI'!$A:$M,13)=0,"",VLOOKUP(Table48[[#This Row],[Date]],'DB LEI'!$A:$M,13))</f>
        <v/>
      </c>
      <c r="D200" s="24">
        <f>IF(VLOOKUP(Table48[[#This Row],[Date]],'DB LEI'!$A:$M,11)=0,"",VLOOKUP(Table48[[#This Row],[Date]],'DB LEI'!$A:$M,11))</f>
        <v/>
      </c>
    </row>
    <row r="201">
      <c r="A201" s="23" t="n">
        <v>34394</v>
      </c>
      <c r="B201" s="18">
        <f>VLOOKUP(Table48[[#This Row],[Date]],'DB LEI'!$A:$F,5)</f>
        <v/>
      </c>
      <c r="C201" s="24">
        <f>IF(VLOOKUP(Table48[[#This Row],[Date]],'DB LEI'!$A:$M,13)=0,"",VLOOKUP(Table48[[#This Row],[Date]],'DB LEI'!$A:$M,13))</f>
        <v/>
      </c>
      <c r="D201" s="24">
        <f>IF(VLOOKUP(Table48[[#This Row],[Date]],'DB LEI'!$A:$M,11)=0,"",VLOOKUP(Table48[[#This Row],[Date]],'DB LEI'!$A:$M,11))</f>
        <v/>
      </c>
    </row>
    <row r="202">
      <c r="A202" s="23" t="n">
        <v>34425</v>
      </c>
      <c r="B202" s="18">
        <f>VLOOKUP(Table48[[#This Row],[Date]],'DB LEI'!$A:$F,5)</f>
        <v/>
      </c>
      <c r="C202" s="24">
        <f>IF(VLOOKUP(Table48[[#This Row],[Date]],'DB LEI'!$A:$M,13)=0,"",VLOOKUP(Table48[[#This Row],[Date]],'DB LEI'!$A:$M,13))</f>
        <v/>
      </c>
      <c r="D202" s="24">
        <f>IF(VLOOKUP(Table48[[#This Row],[Date]],'DB LEI'!$A:$M,11)=0,"",VLOOKUP(Table48[[#This Row],[Date]],'DB LEI'!$A:$M,11))</f>
        <v/>
      </c>
    </row>
    <row r="203">
      <c r="A203" s="23" t="n">
        <v>34455</v>
      </c>
      <c r="B203" s="18">
        <f>VLOOKUP(Table48[[#This Row],[Date]],'DB LEI'!$A:$F,5)</f>
        <v/>
      </c>
      <c r="C203" s="24">
        <f>IF(VLOOKUP(Table48[[#This Row],[Date]],'DB LEI'!$A:$M,13)=0,"",VLOOKUP(Table48[[#This Row],[Date]],'DB LEI'!$A:$M,13))</f>
        <v/>
      </c>
      <c r="D203" s="24">
        <f>IF(VLOOKUP(Table48[[#This Row],[Date]],'DB LEI'!$A:$M,11)=0,"",VLOOKUP(Table48[[#This Row],[Date]],'DB LEI'!$A:$M,11))</f>
        <v/>
      </c>
    </row>
    <row r="204">
      <c r="A204" s="23" t="n">
        <v>34486</v>
      </c>
      <c r="B204" s="18">
        <f>VLOOKUP(Table48[[#This Row],[Date]],'DB LEI'!$A:$F,5)</f>
        <v/>
      </c>
      <c r="C204" s="24">
        <f>IF(VLOOKUP(Table48[[#This Row],[Date]],'DB LEI'!$A:$M,13)=0,"",VLOOKUP(Table48[[#This Row],[Date]],'DB LEI'!$A:$M,13))</f>
        <v/>
      </c>
      <c r="D204" s="24">
        <f>IF(VLOOKUP(Table48[[#This Row],[Date]],'DB LEI'!$A:$M,11)=0,"",VLOOKUP(Table48[[#This Row],[Date]],'DB LEI'!$A:$M,11))</f>
        <v/>
      </c>
    </row>
    <row r="205">
      <c r="A205" s="23" t="n">
        <v>34516</v>
      </c>
      <c r="B205" s="18">
        <f>VLOOKUP(Table48[[#This Row],[Date]],'DB LEI'!$A:$F,5)</f>
        <v/>
      </c>
      <c r="C205" s="24">
        <f>IF(VLOOKUP(Table48[[#This Row],[Date]],'DB LEI'!$A:$M,13)=0,"",VLOOKUP(Table48[[#This Row],[Date]],'DB LEI'!$A:$M,13))</f>
        <v/>
      </c>
      <c r="D205" s="24">
        <f>IF(VLOOKUP(Table48[[#This Row],[Date]],'DB LEI'!$A:$M,11)=0,"",VLOOKUP(Table48[[#This Row],[Date]],'DB LEI'!$A:$M,11))</f>
        <v/>
      </c>
    </row>
    <row r="206">
      <c r="A206" s="23" t="n">
        <v>34547</v>
      </c>
      <c r="B206" s="18">
        <f>VLOOKUP(Table48[[#This Row],[Date]],'DB LEI'!$A:$F,5)</f>
        <v/>
      </c>
      <c r="C206" s="24">
        <f>IF(VLOOKUP(Table48[[#This Row],[Date]],'DB LEI'!$A:$M,13)=0,"",VLOOKUP(Table48[[#This Row],[Date]],'DB LEI'!$A:$M,13))</f>
        <v/>
      </c>
      <c r="D206" s="24">
        <f>IF(VLOOKUP(Table48[[#This Row],[Date]],'DB LEI'!$A:$M,11)=0,"",VLOOKUP(Table48[[#This Row],[Date]],'DB LEI'!$A:$M,11))</f>
        <v/>
      </c>
    </row>
    <row r="207">
      <c r="A207" s="23" t="n">
        <v>34578</v>
      </c>
      <c r="B207" s="18">
        <f>VLOOKUP(Table48[[#This Row],[Date]],'DB LEI'!$A:$F,5)</f>
        <v/>
      </c>
      <c r="C207" s="24">
        <f>IF(VLOOKUP(Table48[[#This Row],[Date]],'DB LEI'!$A:$M,13)=0,"",VLOOKUP(Table48[[#This Row],[Date]],'DB LEI'!$A:$M,13))</f>
        <v/>
      </c>
      <c r="D207" s="24">
        <f>IF(VLOOKUP(Table48[[#This Row],[Date]],'DB LEI'!$A:$M,11)=0,"",VLOOKUP(Table48[[#This Row],[Date]],'DB LEI'!$A:$M,11))</f>
        <v/>
      </c>
    </row>
    <row r="208">
      <c r="A208" s="23" t="n">
        <v>34608</v>
      </c>
      <c r="B208" s="18">
        <f>VLOOKUP(Table48[[#This Row],[Date]],'DB LEI'!$A:$F,5)</f>
        <v/>
      </c>
      <c r="C208" s="24">
        <f>IF(VLOOKUP(Table48[[#This Row],[Date]],'DB LEI'!$A:$M,13)=0,"",VLOOKUP(Table48[[#This Row],[Date]],'DB LEI'!$A:$M,13))</f>
        <v/>
      </c>
      <c r="D208" s="24">
        <f>IF(VLOOKUP(Table48[[#This Row],[Date]],'DB LEI'!$A:$M,11)=0,"",VLOOKUP(Table48[[#This Row],[Date]],'DB LEI'!$A:$M,11))</f>
        <v/>
      </c>
    </row>
    <row r="209">
      <c r="A209" s="23" t="n">
        <v>34639</v>
      </c>
      <c r="B209" s="18">
        <f>VLOOKUP(Table48[[#This Row],[Date]],'DB LEI'!$A:$F,5)</f>
        <v/>
      </c>
      <c r="C209" s="24">
        <f>IF(VLOOKUP(Table48[[#This Row],[Date]],'DB LEI'!$A:$M,13)=0,"",VLOOKUP(Table48[[#This Row],[Date]],'DB LEI'!$A:$M,13))</f>
        <v/>
      </c>
      <c r="D209" s="24">
        <f>IF(VLOOKUP(Table48[[#This Row],[Date]],'DB LEI'!$A:$M,11)=0,"",VLOOKUP(Table48[[#This Row],[Date]],'DB LEI'!$A:$M,11))</f>
        <v/>
      </c>
    </row>
    <row r="210">
      <c r="A210" s="23" t="n">
        <v>34669</v>
      </c>
      <c r="B210" s="18">
        <f>VLOOKUP(Table48[[#This Row],[Date]],'DB LEI'!$A:$F,5)</f>
        <v/>
      </c>
      <c r="C210" s="24">
        <f>IF(VLOOKUP(Table48[[#This Row],[Date]],'DB LEI'!$A:$M,13)=0,"",VLOOKUP(Table48[[#This Row],[Date]],'DB LEI'!$A:$M,13))</f>
        <v/>
      </c>
      <c r="D210" s="24">
        <f>IF(VLOOKUP(Table48[[#This Row],[Date]],'DB LEI'!$A:$M,11)=0,"",VLOOKUP(Table48[[#This Row],[Date]],'DB LEI'!$A:$M,11))</f>
        <v/>
      </c>
    </row>
    <row r="211">
      <c r="A211" s="23" t="n">
        <v>34700</v>
      </c>
      <c r="B211" s="18">
        <f>VLOOKUP(Table48[[#This Row],[Date]],'DB LEI'!$A:$F,5)</f>
        <v/>
      </c>
      <c r="C211" s="24">
        <f>IF(VLOOKUP(Table48[[#This Row],[Date]],'DB LEI'!$A:$M,13)=0,"",VLOOKUP(Table48[[#This Row],[Date]],'DB LEI'!$A:$M,13))</f>
        <v/>
      </c>
      <c r="D211" s="24">
        <f>IF(VLOOKUP(Table48[[#This Row],[Date]],'DB LEI'!$A:$M,11)=0,"",VLOOKUP(Table48[[#This Row],[Date]],'DB LEI'!$A:$M,11))</f>
        <v/>
      </c>
    </row>
    <row r="212">
      <c r="A212" s="23" t="n">
        <v>34731</v>
      </c>
      <c r="B212" s="18">
        <f>VLOOKUP(Table48[[#This Row],[Date]],'DB LEI'!$A:$F,5)</f>
        <v/>
      </c>
      <c r="C212" s="24">
        <f>IF(VLOOKUP(Table48[[#This Row],[Date]],'DB LEI'!$A:$M,13)=0,"",VLOOKUP(Table48[[#This Row],[Date]],'DB LEI'!$A:$M,13))</f>
        <v/>
      </c>
      <c r="D212" s="24">
        <f>IF(VLOOKUP(Table48[[#This Row],[Date]],'DB LEI'!$A:$M,11)=0,"",VLOOKUP(Table48[[#This Row],[Date]],'DB LEI'!$A:$M,11))</f>
        <v/>
      </c>
    </row>
    <row r="213">
      <c r="A213" s="23" t="n">
        <v>34759</v>
      </c>
      <c r="B213" s="18">
        <f>VLOOKUP(Table48[[#This Row],[Date]],'DB LEI'!$A:$F,5)</f>
        <v/>
      </c>
      <c r="C213" s="24">
        <f>IF(VLOOKUP(Table48[[#This Row],[Date]],'DB LEI'!$A:$M,13)=0,"",VLOOKUP(Table48[[#This Row],[Date]],'DB LEI'!$A:$M,13))</f>
        <v/>
      </c>
      <c r="D213" s="24">
        <f>IF(VLOOKUP(Table48[[#This Row],[Date]],'DB LEI'!$A:$M,11)=0,"",VLOOKUP(Table48[[#This Row],[Date]],'DB LEI'!$A:$M,11))</f>
        <v/>
      </c>
    </row>
    <row r="214">
      <c r="A214" s="23" t="n">
        <v>34790</v>
      </c>
      <c r="B214" s="18">
        <f>VLOOKUP(Table48[[#This Row],[Date]],'DB LEI'!$A:$F,5)</f>
        <v/>
      </c>
      <c r="C214" s="24">
        <f>IF(VLOOKUP(Table48[[#This Row],[Date]],'DB LEI'!$A:$M,13)=0,"",VLOOKUP(Table48[[#This Row],[Date]],'DB LEI'!$A:$M,13))</f>
        <v/>
      </c>
      <c r="D214" s="24">
        <f>IF(VLOOKUP(Table48[[#This Row],[Date]],'DB LEI'!$A:$M,11)=0,"",VLOOKUP(Table48[[#This Row],[Date]],'DB LEI'!$A:$M,11))</f>
        <v/>
      </c>
    </row>
    <row r="215">
      <c r="A215" s="23" t="n">
        <v>34820</v>
      </c>
      <c r="B215" s="18">
        <f>VLOOKUP(Table48[[#This Row],[Date]],'DB LEI'!$A:$F,5)</f>
        <v/>
      </c>
      <c r="C215" s="24">
        <f>IF(VLOOKUP(Table48[[#This Row],[Date]],'DB LEI'!$A:$M,13)=0,"",VLOOKUP(Table48[[#This Row],[Date]],'DB LEI'!$A:$M,13))</f>
        <v/>
      </c>
      <c r="D215" s="24">
        <f>IF(VLOOKUP(Table48[[#This Row],[Date]],'DB LEI'!$A:$M,11)=0,"",VLOOKUP(Table48[[#This Row],[Date]],'DB LEI'!$A:$M,11))</f>
        <v/>
      </c>
    </row>
    <row r="216">
      <c r="A216" s="23" t="n">
        <v>34851</v>
      </c>
      <c r="B216" s="18">
        <f>VLOOKUP(Table48[[#This Row],[Date]],'DB LEI'!$A:$F,5)</f>
        <v/>
      </c>
      <c r="C216" s="24">
        <f>IF(VLOOKUP(Table48[[#This Row],[Date]],'DB LEI'!$A:$M,13)=0,"",VLOOKUP(Table48[[#This Row],[Date]],'DB LEI'!$A:$M,13))</f>
        <v/>
      </c>
      <c r="D216" s="24">
        <f>IF(VLOOKUP(Table48[[#This Row],[Date]],'DB LEI'!$A:$M,11)=0,"",VLOOKUP(Table48[[#This Row],[Date]],'DB LEI'!$A:$M,11))</f>
        <v/>
      </c>
    </row>
    <row r="217">
      <c r="A217" s="23" t="n">
        <v>34881</v>
      </c>
      <c r="B217" s="18">
        <f>VLOOKUP(Table48[[#This Row],[Date]],'DB LEI'!$A:$F,5)</f>
        <v/>
      </c>
      <c r="C217" s="24">
        <f>IF(VLOOKUP(Table48[[#This Row],[Date]],'DB LEI'!$A:$M,13)=0,"",VLOOKUP(Table48[[#This Row],[Date]],'DB LEI'!$A:$M,13))</f>
        <v/>
      </c>
      <c r="D217" s="24">
        <f>IF(VLOOKUP(Table48[[#This Row],[Date]],'DB LEI'!$A:$M,11)=0,"",VLOOKUP(Table48[[#This Row],[Date]],'DB LEI'!$A:$M,11))</f>
        <v/>
      </c>
    </row>
    <row r="218">
      <c r="A218" s="23" t="n">
        <v>34912</v>
      </c>
      <c r="B218" s="18">
        <f>VLOOKUP(Table48[[#This Row],[Date]],'DB LEI'!$A:$F,5)</f>
        <v/>
      </c>
      <c r="C218" s="24">
        <f>IF(VLOOKUP(Table48[[#This Row],[Date]],'DB LEI'!$A:$M,13)=0,"",VLOOKUP(Table48[[#This Row],[Date]],'DB LEI'!$A:$M,13))</f>
        <v/>
      </c>
      <c r="D218" s="24">
        <f>IF(VLOOKUP(Table48[[#This Row],[Date]],'DB LEI'!$A:$M,11)=0,"",VLOOKUP(Table48[[#This Row],[Date]],'DB LEI'!$A:$M,11))</f>
        <v/>
      </c>
    </row>
    <row r="219">
      <c r="A219" s="23" t="n">
        <v>34943</v>
      </c>
      <c r="B219" s="18">
        <f>VLOOKUP(Table48[[#This Row],[Date]],'DB LEI'!$A:$F,5)</f>
        <v/>
      </c>
      <c r="C219" s="24">
        <f>IF(VLOOKUP(Table48[[#This Row],[Date]],'DB LEI'!$A:$M,13)=0,"",VLOOKUP(Table48[[#This Row],[Date]],'DB LEI'!$A:$M,13))</f>
        <v/>
      </c>
      <c r="D219" s="24">
        <f>IF(VLOOKUP(Table48[[#This Row],[Date]],'DB LEI'!$A:$M,11)=0,"",VLOOKUP(Table48[[#This Row],[Date]],'DB LEI'!$A:$M,11))</f>
        <v/>
      </c>
    </row>
    <row r="220">
      <c r="A220" s="23" t="n">
        <v>34973</v>
      </c>
      <c r="B220" s="18">
        <f>VLOOKUP(Table48[[#This Row],[Date]],'DB LEI'!$A:$F,5)</f>
        <v/>
      </c>
      <c r="C220" s="24">
        <f>IF(VLOOKUP(Table48[[#This Row],[Date]],'DB LEI'!$A:$M,13)=0,"",VLOOKUP(Table48[[#This Row],[Date]],'DB LEI'!$A:$M,13))</f>
        <v/>
      </c>
      <c r="D220" s="24">
        <f>IF(VLOOKUP(Table48[[#This Row],[Date]],'DB LEI'!$A:$M,11)=0,"",VLOOKUP(Table48[[#This Row],[Date]],'DB LEI'!$A:$M,11))</f>
        <v/>
      </c>
    </row>
    <row r="221">
      <c r="A221" s="23" t="n">
        <v>35004</v>
      </c>
      <c r="B221" s="18">
        <f>VLOOKUP(Table48[[#This Row],[Date]],'DB LEI'!$A:$F,5)</f>
        <v/>
      </c>
      <c r="C221" s="24">
        <f>IF(VLOOKUP(Table48[[#This Row],[Date]],'DB LEI'!$A:$M,13)=0,"",VLOOKUP(Table48[[#This Row],[Date]],'DB LEI'!$A:$M,13))</f>
        <v/>
      </c>
      <c r="D221" s="24">
        <f>IF(VLOOKUP(Table48[[#This Row],[Date]],'DB LEI'!$A:$M,11)=0,"",VLOOKUP(Table48[[#This Row],[Date]],'DB LEI'!$A:$M,11))</f>
        <v/>
      </c>
    </row>
    <row r="222">
      <c r="A222" s="23" t="n">
        <v>35034</v>
      </c>
      <c r="B222" s="18">
        <f>VLOOKUP(Table48[[#This Row],[Date]],'DB LEI'!$A:$F,5)</f>
        <v/>
      </c>
      <c r="C222" s="24">
        <f>IF(VLOOKUP(Table48[[#This Row],[Date]],'DB LEI'!$A:$M,13)=0,"",VLOOKUP(Table48[[#This Row],[Date]],'DB LEI'!$A:$M,13))</f>
        <v/>
      </c>
      <c r="D222" s="24">
        <f>IF(VLOOKUP(Table48[[#This Row],[Date]],'DB LEI'!$A:$M,11)=0,"",VLOOKUP(Table48[[#This Row],[Date]],'DB LEI'!$A:$M,11))</f>
        <v/>
      </c>
    </row>
    <row r="223">
      <c r="A223" s="23" t="n">
        <v>35065</v>
      </c>
      <c r="B223" s="18">
        <f>VLOOKUP(Table48[[#This Row],[Date]],'DB LEI'!$A:$F,5)</f>
        <v/>
      </c>
      <c r="C223" s="24">
        <f>IF(VLOOKUP(Table48[[#This Row],[Date]],'DB LEI'!$A:$M,13)=0,"",VLOOKUP(Table48[[#This Row],[Date]],'DB LEI'!$A:$M,13))</f>
        <v/>
      </c>
      <c r="D223" s="24">
        <f>IF(VLOOKUP(Table48[[#This Row],[Date]],'DB LEI'!$A:$M,11)=0,"",VLOOKUP(Table48[[#This Row],[Date]],'DB LEI'!$A:$M,11))</f>
        <v/>
      </c>
    </row>
    <row r="224">
      <c r="A224" s="23" t="n">
        <v>35096</v>
      </c>
      <c r="B224" s="18">
        <f>VLOOKUP(Table48[[#This Row],[Date]],'DB LEI'!$A:$F,5)</f>
        <v/>
      </c>
      <c r="C224" s="24">
        <f>IF(VLOOKUP(Table48[[#This Row],[Date]],'DB LEI'!$A:$M,13)=0,"",VLOOKUP(Table48[[#This Row],[Date]],'DB LEI'!$A:$M,13))</f>
        <v/>
      </c>
      <c r="D224" s="24">
        <f>IF(VLOOKUP(Table48[[#This Row],[Date]],'DB LEI'!$A:$M,11)=0,"",VLOOKUP(Table48[[#This Row],[Date]],'DB LEI'!$A:$M,11))</f>
        <v/>
      </c>
    </row>
    <row r="225">
      <c r="A225" s="23" t="n">
        <v>35125</v>
      </c>
      <c r="B225" s="18">
        <f>VLOOKUP(Table48[[#This Row],[Date]],'DB LEI'!$A:$F,5)</f>
        <v/>
      </c>
      <c r="C225" s="24">
        <f>IF(VLOOKUP(Table48[[#This Row],[Date]],'DB LEI'!$A:$M,13)=0,"",VLOOKUP(Table48[[#This Row],[Date]],'DB LEI'!$A:$M,13))</f>
        <v/>
      </c>
      <c r="D225" s="24">
        <f>IF(VLOOKUP(Table48[[#This Row],[Date]],'DB LEI'!$A:$M,11)=0,"",VLOOKUP(Table48[[#This Row],[Date]],'DB LEI'!$A:$M,11))</f>
        <v/>
      </c>
    </row>
    <row r="226">
      <c r="A226" s="23" t="n">
        <v>35156</v>
      </c>
      <c r="B226" s="18">
        <f>VLOOKUP(Table48[[#This Row],[Date]],'DB LEI'!$A:$F,5)</f>
        <v/>
      </c>
      <c r="C226" s="24">
        <f>IF(VLOOKUP(Table48[[#This Row],[Date]],'DB LEI'!$A:$M,13)=0,"",VLOOKUP(Table48[[#This Row],[Date]],'DB LEI'!$A:$M,13))</f>
        <v/>
      </c>
      <c r="D226" s="24">
        <f>IF(VLOOKUP(Table48[[#This Row],[Date]],'DB LEI'!$A:$M,11)=0,"",VLOOKUP(Table48[[#This Row],[Date]],'DB LEI'!$A:$M,11))</f>
        <v/>
      </c>
    </row>
    <row r="227">
      <c r="A227" s="23" t="n">
        <v>35186</v>
      </c>
      <c r="B227" s="18">
        <f>VLOOKUP(Table48[[#This Row],[Date]],'DB LEI'!$A:$F,5)</f>
        <v/>
      </c>
      <c r="C227" s="24">
        <f>IF(VLOOKUP(Table48[[#This Row],[Date]],'DB LEI'!$A:$M,13)=0,"",VLOOKUP(Table48[[#This Row],[Date]],'DB LEI'!$A:$M,13))</f>
        <v/>
      </c>
      <c r="D227" s="24">
        <f>IF(VLOOKUP(Table48[[#This Row],[Date]],'DB LEI'!$A:$M,11)=0,"",VLOOKUP(Table48[[#This Row],[Date]],'DB LEI'!$A:$M,11))</f>
        <v/>
      </c>
    </row>
    <row r="228">
      <c r="A228" s="23" t="n">
        <v>35217</v>
      </c>
      <c r="B228" s="18">
        <f>VLOOKUP(Table48[[#This Row],[Date]],'DB LEI'!$A:$F,5)</f>
        <v/>
      </c>
      <c r="C228" s="24">
        <f>IF(VLOOKUP(Table48[[#This Row],[Date]],'DB LEI'!$A:$M,13)=0,"",VLOOKUP(Table48[[#This Row],[Date]],'DB LEI'!$A:$M,13))</f>
        <v/>
      </c>
      <c r="D228" s="24">
        <f>IF(VLOOKUP(Table48[[#This Row],[Date]],'DB LEI'!$A:$M,11)=0,"",VLOOKUP(Table48[[#This Row],[Date]],'DB LEI'!$A:$M,11))</f>
        <v/>
      </c>
    </row>
    <row r="229">
      <c r="A229" s="23" t="n">
        <v>35247</v>
      </c>
      <c r="B229" s="18">
        <f>VLOOKUP(Table48[[#This Row],[Date]],'DB LEI'!$A:$F,5)</f>
        <v/>
      </c>
      <c r="C229" s="24">
        <f>IF(VLOOKUP(Table48[[#This Row],[Date]],'DB LEI'!$A:$M,13)=0,"",VLOOKUP(Table48[[#This Row],[Date]],'DB LEI'!$A:$M,13))</f>
        <v/>
      </c>
      <c r="D229" s="24">
        <f>IF(VLOOKUP(Table48[[#This Row],[Date]],'DB LEI'!$A:$M,11)=0,"",VLOOKUP(Table48[[#This Row],[Date]],'DB LEI'!$A:$M,11))</f>
        <v/>
      </c>
    </row>
    <row r="230">
      <c r="A230" s="23" t="n">
        <v>35278</v>
      </c>
      <c r="B230" s="18">
        <f>VLOOKUP(Table48[[#This Row],[Date]],'DB LEI'!$A:$F,5)</f>
        <v/>
      </c>
      <c r="C230" s="24">
        <f>IF(VLOOKUP(Table48[[#This Row],[Date]],'DB LEI'!$A:$M,13)=0,"",VLOOKUP(Table48[[#This Row],[Date]],'DB LEI'!$A:$M,13))</f>
        <v/>
      </c>
      <c r="D230" s="24">
        <f>IF(VLOOKUP(Table48[[#This Row],[Date]],'DB LEI'!$A:$M,11)=0,"",VLOOKUP(Table48[[#This Row],[Date]],'DB LEI'!$A:$M,11))</f>
        <v/>
      </c>
    </row>
    <row r="231">
      <c r="A231" s="23" t="n">
        <v>35309</v>
      </c>
      <c r="B231" s="18">
        <f>VLOOKUP(Table48[[#This Row],[Date]],'DB LEI'!$A:$F,5)</f>
        <v/>
      </c>
      <c r="C231" s="24">
        <f>IF(VLOOKUP(Table48[[#This Row],[Date]],'DB LEI'!$A:$M,13)=0,"",VLOOKUP(Table48[[#This Row],[Date]],'DB LEI'!$A:$M,13))</f>
        <v/>
      </c>
      <c r="D231" s="24">
        <f>IF(VLOOKUP(Table48[[#This Row],[Date]],'DB LEI'!$A:$M,11)=0,"",VLOOKUP(Table48[[#This Row],[Date]],'DB LEI'!$A:$M,11))</f>
        <v/>
      </c>
    </row>
    <row r="232">
      <c r="A232" s="23" t="n">
        <v>35339</v>
      </c>
      <c r="B232" s="18">
        <f>VLOOKUP(Table48[[#This Row],[Date]],'DB LEI'!$A:$F,5)</f>
        <v/>
      </c>
      <c r="C232" s="24">
        <f>IF(VLOOKUP(Table48[[#This Row],[Date]],'DB LEI'!$A:$M,13)=0,"",VLOOKUP(Table48[[#This Row],[Date]],'DB LEI'!$A:$M,13))</f>
        <v/>
      </c>
      <c r="D232" s="24">
        <f>IF(VLOOKUP(Table48[[#This Row],[Date]],'DB LEI'!$A:$M,11)=0,"",VLOOKUP(Table48[[#This Row],[Date]],'DB LEI'!$A:$M,11))</f>
        <v/>
      </c>
    </row>
    <row r="233">
      <c r="A233" s="23" t="n">
        <v>35370</v>
      </c>
      <c r="B233" s="18">
        <f>VLOOKUP(Table48[[#This Row],[Date]],'DB LEI'!$A:$F,5)</f>
        <v/>
      </c>
      <c r="C233" s="24">
        <f>IF(VLOOKUP(Table48[[#This Row],[Date]],'DB LEI'!$A:$M,13)=0,"",VLOOKUP(Table48[[#This Row],[Date]],'DB LEI'!$A:$M,13))</f>
        <v/>
      </c>
      <c r="D233" s="24">
        <f>IF(VLOOKUP(Table48[[#This Row],[Date]],'DB LEI'!$A:$M,11)=0,"",VLOOKUP(Table48[[#This Row],[Date]],'DB LEI'!$A:$M,11))</f>
        <v/>
      </c>
    </row>
    <row r="234">
      <c r="A234" s="23" t="n">
        <v>35400</v>
      </c>
      <c r="B234" s="18">
        <f>VLOOKUP(Table48[[#This Row],[Date]],'DB LEI'!$A:$F,5)</f>
        <v/>
      </c>
      <c r="C234" s="24">
        <f>IF(VLOOKUP(Table48[[#This Row],[Date]],'DB LEI'!$A:$M,13)=0,"",VLOOKUP(Table48[[#This Row],[Date]],'DB LEI'!$A:$M,13))</f>
        <v/>
      </c>
      <c r="D234" s="24">
        <f>IF(VLOOKUP(Table48[[#This Row],[Date]],'DB LEI'!$A:$M,11)=0,"",VLOOKUP(Table48[[#This Row],[Date]],'DB LEI'!$A:$M,11))</f>
        <v/>
      </c>
    </row>
    <row r="235">
      <c r="A235" s="23" t="n">
        <v>35431</v>
      </c>
      <c r="B235" s="18">
        <f>VLOOKUP(Table48[[#This Row],[Date]],'DB LEI'!$A:$F,5)</f>
        <v/>
      </c>
      <c r="C235" s="24">
        <f>IF(VLOOKUP(Table48[[#This Row],[Date]],'DB LEI'!$A:$M,13)=0,"",VLOOKUP(Table48[[#This Row],[Date]],'DB LEI'!$A:$M,13))</f>
        <v/>
      </c>
      <c r="D235" s="24">
        <f>IF(VLOOKUP(Table48[[#This Row],[Date]],'DB LEI'!$A:$M,11)=0,"",VLOOKUP(Table48[[#This Row],[Date]],'DB LEI'!$A:$M,11))</f>
        <v/>
      </c>
    </row>
    <row r="236">
      <c r="A236" s="23" t="n">
        <v>35462</v>
      </c>
      <c r="B236" s="18">
        <f>VLOOKUP(Table48[[#This Row],[Date]],'DB LEI'!$A:$F,5)</f>
        <v/>
      </c>
      <c r="C236" s="24">
        <f>IF(VLOOKUP(Table48[[#This Row],[Date]],'DB LEI'!$A:$M,13)=0,"",VLOOKUP(Table48[[#This Row],[Date]],'DB LEI'!$A:$M,13))</f>
        <v/>
      </c>
      <c r="D236" s="24">
        <f>IF(VLOOKUP(Table48[[#This Row],[Date]],'DB LEI'!$A:$M,11)=0,"",VLOOKUP(Table48[[#This Row],[Date]],'DB LEI'!$A:$M,11))</f>
        <v/>
      </c>
    </row>
    <row r="237">
      <c r="A237" s="23" t="n">
        <v>35490</v>
      </c>
      <c r="B237" s="18">
        <f>VLOOKUP(Table48[[#This Row],[Date]],'DB LEI'!$A:$F,5)</f>
        <v/>
      </c>
      <c r="C237" s="24">
        <f>IF(VLOOKUP(Table48[[#This Row],[Date]],'DB LEI'!$A:$M,13)=0,"",VLOOKUP(Table48[[#This Row],[Date]],'DB LEI'!$A:$M,13))</f>
        <v/>
      </c>
      <c r="D237" s="24">
        <f>IF(VLOOKUP(Table48[[#This Row],[Date]],'DB LEI'!$A:$M,11)=0,"",VLOOKUP(Table48[[#This Row],[Date]],'DB LEI'!$A:$M,11))</f>
        <v/>
      </c>
    </row>
    <row r="238">
      <c r="A238" s="23" t="n">
        <v>35521</v>
      </c>
      <c r="B238" s="18">
        <f>VLOOKUP(Table48[[#This Row],[Date]],'DB LEI'!$A:$F,5)</f>
        <v/>
      </c>
      <c r="C238" s="24">
        <f>IF(VLOOKUP(Table48[[#This Row],[Date]],'DB LEI'!$A:$M,13)=0,"",VLOOKUP(Table48[[#This Row],[Date]],'DB LEI'!$A:$M,13))</f>
        <v/>
      </c>
      <c r="D238" s="24">
        <f>IF(VLOOKUP(Table48[[#This Row],[Date]],'DB LEI'!$A:$M,11)=0,"",VLOOKUP(Table48[[#This Row],[Date]],'DB LEI'!$A:$M,11))</f>
        <v/>
      </c>
    </row>
    <row r="239">
      <c r="A239" s="23" t="n">
        <v>35551</v>
      </c>
      <c r="B239" s="18">
        <f>VLOOKUP(Table48[[#This Row],[Date]],'DB LEI'!$A:$F,5)</f>
        <v/>
      </c>
      <c r="C239" s="24">
        <f>IF(VLOOKUP(Table48[[#This Row],[Date]],'DB LEI'!$A:$M,13)=0,"",VLOOKUP(Table48[[#This Row],[Date]],'DB LEI'!$A:$M,13))</f>
        <v/>
      </c>
      <c r="D239" s="24">
        <f>IF(VLOOKUP(Table48[[#This Row],[Date]],'DB LEI'!$A:$M,11)=0,"",VLOOKUP(Table48[[#This Row],[Date]],'DB LEI'!$A:$M,11))</f>
        <v/>
      </c>
    </row>
    <row r="240">
      <c r="A240" s="23" t="n">
        <v>35582</v>
      </c>
      <c r="B240" s="18">
        <f>VLOOKUP(Table48[[#This Row],[Date]],'DB LEI'!$A:$F,5)</f>
        <v/>
      </c>
      <c r="C240" s="24">
        <f>IF(VLOOKUP(Table48[[#This Row],[Date]],'DB LEI'!$A:$M,13)=0,"",VLOOKUP(Table48[[#This Row],[Date]],'DB LEI'!$A:$M,13))</f>
        <v/>
      </c>
      <c r="D240" s="24">
        <f>IF(VLOOKUP(Table48[[#This Row],[Date]],'DB LEI'!$A:$M,11)=0,"",VLOOKUP(Table48[[#This Row],[Date]],'DB LEI'!$A:$M,11))</f>
        <v/>
      </c>
    </row>
    <row r="241">
      <c r="A241" s="23" t="n">
        <v>35612</v>
      </c>
      <c r="B241" s="18">
        <f>VLOOKUP(Table48[[#This Row],[Date]],'DB LEI'!$A:$F,5)</f>
        <v/>
      </c>
      <c r="C241" s="24">
        <f>IF(VLOOKUP(Table48[[#This Row],[Date]],'DB LEI'!$A:$M,13)=0,"",VLOOKUP(Table48[[#This Row],[Date]],'DB LEI'!$A:$M,13))</f>
        <v/>
      </c>
      <c r="D241" s="24">
        <f>IF(VLOOKUP(Table48[[#This Row],[Date]],'DB LEI'!$A:$M,11)=0,"",VLOOKUP(Table48[[#This Row],[Date]],'DB LEI'!$A:$M,11))</f>
        <v/>
      </c>
    </row>
    <row r="242">
      <c r="A242" s="23" t="n">
        <v>35643</v>
      </c>
      <c r="B242" s="18">
        <f>VLOOKUP(Table48[[#This Row],[Date]],'DB LEI'!$A:$F,5)</f>
        <v/>
      </c>
      <c r="C242" s="24">
        <f>IF(VLOOKUP(Table48[[#This Row],[Date]],'DB LEI'!$A:$M,13)=0,"",VLOOKUP(Table48[[#This Row],[Date]],'DB LEI'!$A:$M,13))</f>
        <v/>
      </c>
      <c r="D242" s="24">
        <f>IF(VLOOKUP(Table48[[#This Row],[Date]],'DB LEI'!$A:$M,11)=0,"",VLOOKUP(Table48[[#This Row],[Date]],'DB LEI'!$A:$M,11))</f>
        <v/>
      </c>
    </row>
    <row r="243">
      <c r="A243" s="23" t="n">
        <v>35674</v>
      </c>
      <c r="B243" s="18">
        <f>VLOOKUP(Table48[[#This Row],[Date]],'DB LEI'!$A:$F,5)</f>
        <v/>
      </c>
      <c r="C243" s="24">
        <f>IF(VLOOKUP(Table48[[#This Row],[Date]],'DB LEI'!$A:$M,13)=0,"",VLOOKUP(Table48[[#This Row],[Date]],'DB LEI'!$A:$M,13))</f>
        <v/>
      </c>
      <c r="D243" s="24">
        <f>IF(VLOOKUP(Table48[[#This Row],[Date]],'DB LEI'!$A:$M,11)=0,"",VLOOKUP(Table48[[#This Row],[Date]],'DB LEI'!$A:$M,11))</f>
        <v/>
      </c>
    </row>
    <row r="244">
      <c r="A244" s="23" t="n">
        <v>35704</v>
      </c>
      <c r="B244" s="18">
        <f>VLOOKUP(Table48[[#This Row],[Date]],'DB LEI'!$A:$F,5)</f>
        <v/>
      </c>
      <c r="C244" s="24">
        <f>IF(VLOOKUP(Table48[[#This Row],[Date]],'DB LEI'!$A:$M,13)=0,"",VLOOKUP(Table48[[#This Row],[Date]],'DB LEI'!$A:$M,13))</f>
        <v/>
      </c>
      <c r="D244" s="24">
        <f>IF(VLOOKUP(Table48[[#This Row],[Date]],'DB LEI'!$A:$M,11)=0,"",VLOOKUP(Table48[[#This Row],[Date]],'DB LEI'!$A:$M,11))</f>
        <v/>
      </c>
    </row>
    <row r="245">
      <c r="A245" s="23" t="n">
        <v>35735</v>
      </c>
      <c r="B245" s="18">
        <f>VLOOKUP(Table48[[#This Row],[Date]],'DB LEI'!$A:$F,5)</f>
        <v/>
      </c>
      <c r="C245" s="24">
        <f>IF(VLOOKUP(Table48[[#This Row],[Date]],'DB LEI'!$A:$M,13)=0,"",VLOOKUP(Table48[[#This Row],[Date]],'DB LEI'!$A:$M,13))</f>
        <v/>
      </c>
      <c r="D245" s="24">
        <f>IF(VLOOKUP(Table48[[#This Row],[Date]],'DB LEI'!$A:$M,11)=0,"",VLOOKUP(Table48[[#This Row],[Date]],'DB LEI'!$A:$M,11))</f>
        <v/>
      </c>
    </row>
    <row r="246">
      <c r="A246" s="23" t="n">
        <v>35765</v>
      </c>
      <c r="B246" s="18">
        <f>VLOOKUP(Table48[[#This Row],[Date]],'DB LEI'!$A:$F,5)</f>
        <v/>
      </c>
      <c r="C246" s="24">
        <f>IF(VLOOKUP(Table48[[#This Row],[Date]],'DB LEI'!$A:$M,13)=0,"",VLOOKUP(Table48[[#This Row],[Date]],'DB LEI'!$A:$M,13))</f>
        <v/>
      </c>
      <c r="D246" s="24">
        <f>IF(VLOOKUP(Table48[[#This Row],[Date]],'DB LEI'!$A:$M,11)=0,"",VLOOKUP(Table48[[#This Row],[Date]],'DB LEI'!$A:$M,11))</f>
        <v/>
      </c>
    </row>
    <row r="247">
      <c r="A247" s="23" t="n">
        <v>35796</v>
      </c>
      <c r="B247" s="18">
        <f>VLOOKUP(Table48[[#This Row],[Date]],'DB LEI'!$A:$F,5)</f>
        <v/>
      </c>
      <c r="C247" s="24">
        <f>IF(VLOOKUP(Table48[[#This Row],[Date]],'DB LEI'!$A:$M,13)=0,"",VLOOKUP(Table48[[#This Row],[Date]],'DB LEI'!$A:$M,13))</f>
        <v/>
      </c>
      <c r="D247" s="24">
        <f>IF(VLOOKUP(Table48[[#This Row],[Date]],'DB LEI'!$A:$M,11)=0,"",VLOOKUP(Table48[[#This Row],[Date]],'DB LEI'!$A:$M,11))</f>
        <v/>
      </c>
    </row>
    <row r="248">
      <c r="A248" s="23" t="n">
        <v>35827</v>
      </c>
      <c r="B248" s="18">
        <f>VLOOKUP(Table48[[#This Row],[Date]],'DB LEI'!$A:$F,5)</f>
        <v/>
      </c>
      <c r="C248" s="24">
        <f>IF(VLOOKUP(Table48[[#This Row],[Date]],'DB LEI'!$A:$M,13)=0,"",VLOOKUP(Table48[[#This Row],[Date]],'DB LEI'!$A:$M,13))</f>
        <v/>
      </c>
      <c r="D248" s="24">
        <f>IF(VLOOKUP(Table48[[#This Row],[Date]],'DB LEI'!$A:$M,11)=0,"",VLOOKUP(Table48[[#This Row],[Date]],'DB LEI'!$A:$M,11))</f>
        <v/>
      </c>
    </row>
    <row r="249">
      <c r="A249" s="23" t="n">
        <v>35855</v>
      </c>
      <c r="B249" s="18">
        <f>VLOOKUP(Table48[[#This Row],[Date]],'DB LEI'!$A:$F,5)</f>
        <v/>
      </c>
      <c r="C249" s="24">
        <f>IF(VLOOKUP(Table48[[#This Row],[Date]],'DB LEI'!$A:$M,13)=0,"",VLOOKUP(Table48[[#This Row],[Date]],'DB LEI'!$A:$M,13))</f>
        <v/>
      </c>
      <c r="D249" s="24">
        <f>IF(VLOOKUP(Table48[[#This Row],[Date]],'DB LEI'!$A:$M,11)=0,"",VLOOKUP(Table48[[#This Row],[Date]],'DB LEI'!$A:$M,11))</f>
        <v/>
      </c>
    </row>
    <row r="250">
      <c r="A250" s="23" t="n">
        <v>35886</v>
      </c>
      <c r="B250" s="18">
        <f>VLOOKUP(Table48[[#This Row],[Date]],'DB LEI'!$A:$F,5)</f>
        <v/>
      </c>
      <c r="C250" s="24">
        <f>IF(VLOOKUP(Table48[[#This Row],[Date]],'DB LEI'!$A:$M,13)=0,"",VLOOKUP(Table48[[#This Row],[Date]],'DB LEI'!$A:$M,13))</f>
        <v/>
      </c>
      <c r="D250" s="24">
        <f>IF(VLOOKUP(Table48[[#This Row],[Date]],'DB LEI'!$A:$M,11)=0,"",VLOOKUP(Table48[[#This Row],[Date]],'DB LEI'!$A:$M,11))</f>
        <v/>
      </c>
    </row>
    <row r="251">
      <c r="A251" s="23" t="n">
        <v>35916</v>
      </c>
      <c r="B251" s="18">
        <f>VLOOKUP(Table48[[#This Row],[Date]],'DB LEI'!$A:$F,5)</f>
        <v/>
      </c>
      <c r="C251" s="24">
        <f>IF(VLOOKUP(Table48[[#This Row],[Date]],'DB LEI'!$A:$M,13)=0,"",VLOOKUP(Table48[[#This Row],[Date]],'DB LEI'!$A:$M,13))</f>
        <v/>
      </c>
      <c r="D251" s="24">
        <f>IF(VLOOKUP(Table48[[#This Row],[Date]],'DB LEI'!$A:$M,11)=0,"",VLOOKUP(Table48[[#This Row],[Date]],'DB LEI'!$A:$M,11))</f>
        <v/>
      </c>
    </row>
    <row r="252">
      <c r="A252" s="23" t="n">
        <v>35947</v>
      </c>
      <c r="B252" s="18">
        <f>VLOOKUP(Table48[[#This Row],[Date]],'DB LEI'!$A:$F,5)</f>
        <v/>
      </c>
      <c r="C252" s="24">
        <f>IF(VLOOKUP(Table48[[#This Row],[Date]],'DB LEI'!$A:$M,13)=0,"",VLOOKUP(Table48[[#This Row],[Date]],'DB LEI'!$A:$M,13))</f>
        <v/>
      </c>
      <c r="D252" s="24">
        <f>IF(VLOOKUP(Table48[[#This Row],[Date]],'DB LEI'!$A:$M,11)=0,"",VLOOKUP(Table48[[#This Row],[Date]],'DB LEI'!$A:$M,11))</f>
        <v/>
      </c>
    </row>
    <row r="253">
      <c r="A253" s="23" t="n">
        <v>35977</v>
      </c>
      <c r="B253" s="18">
        <f>VLOOKUP(Table48[[#This Row],[Date]],'DB LEI'!$A:$F,5)</f>
        <v/>
      </c>
      <c r="C253" s="24">
        <f>IF(VLOOKUP(Table48[[#This Row],[Date]],'DB LEI'!$A:$M,13)=0,"",VLOOKUP(Table48[[#This Row],[Date]],'DB LEI'!$A:$M,13))</f>
        <v/>
      </c>
      <c r="D253" s="24">
        <f>IF(VLOOKUP(Table48[[#This Row],[Date]],'DB LEI'!$A:$M,11)=0,"",VLOOKUP(Table48[[#This Row],[Date]],'DB LEI'!$A:$M,11))</f>
        <v/>
      </c>
    </row>
    <row r="254">
      <c r="A254" s="23" t="n">
        <v>36008</v>
      </c>
      <c r="B254" s="18">
        <f>VLOOKUP(Table48[[#This Row],[Date]],'DB LEI'!$A:$F,5)</f>
        <v/>
      </c>
      <c r="C254" s="24">
        <f>IF(VLOOKUP(Table48[[#This Row],[Date]],'DB LEI'!$A:$M,13)=0,"",VLOOKUP(Table48[[#This Row],[Date]],'DB LEI'!$A:$M,13))</f>
        <v/>
      </c>
      <c r="D254" s="24">
        <f>IF(VLOOKUP(Table48[[#This Row],[Date]],'DB LEI'!$A:$M,11)=0,"",VLOOKUP(Table48[[#This Row],[Date]],'DB LEI'!$A:$M,11))</f>
        <v/>
      </c>
    </row>
    <row r="255">
      <c r="A255" s="23" t="n">
        <v>36039</v>
      </c>
      <c r="B255" s="18">
        <f>VLOOKUP(Table48[[#This Row],[Date]],'DB LEI'!$A:$F,5)</f>
        <v/>
      </c>
      <c r="C255" s="24">
        <f>IF(VLOOKUP(Table48[[#This Row],[Date]],'DB LEI'!$A:$M,13)=0,"",VLOOKUP(Table48[[#This Row],[Date]],'DB LEI'!$A:$M,13))</f>
        <v/>
      </c>
      <c r="D255" s="24">
        <f>IF(VLOOKUP(Table48[[#This Row],[Date]],'DB LEI'!$A:$M,11)=0,"",VLOOKUP(Table48[[#This Row],[Date]],'DB LEI'!$A:$M,11))</f>
        <v/>
      </c>
    </row>
    <row r="256">
      <c r="A256" s="23" t="n">
        <v>36069</v>
      </c>
      <c r="B256" s="18">
        <f>VLOOKUP(Table48[[#This Row],[Date]],'DB LEI'!$A:$F,5)</f>
        <v/>
      </c>
      <c r="C256" s="24">
        <f>IF(VLOOKUP(Table48[[#This Row],[Date]],'DB LEI'!$A:$M,13)=0,"",VLOOKUP(Table48[[#This Row],[Date]],'DB LEI'!$A:$M,13))</f>
        <v/>
      </c>
      <c r="D256" s="24">
        <f>IF(VLOOKUP(Table48[[#This Row],[Date]],'DB LEI'!$A:$M,11)=0,"",VLOOKUP(Table48[[#This Row],[Date]],'DB LEI'!$A:$M,11))</f>
        <v/>
      </c>
    </row>
    <row r="257">
      <c r="A257" s="23" t="n">
        <v>36100</v>
      </c>
      <c r="B257" s="18">
        <f>VLOOKUP(Table48[[#This Row],[Date]],'DB LEI'!$A:$F,5)</f>
        <v/>
      </c>
      <c r="C257" s="24">
        <f>IF(VLOOKUP(Table48[[#This Row],[Date]],'DB LEI'!$A:$M,13)=0,"",VLOOKUP(Table48[[#This Row],[Date]],'DB LEI'!$A:$M,13))</f>
        <v/>
      </c>
      <c r="D257" s="24">
        <f>IF(VLOOKUP(Table48[[#This Row],[Date]],'DB LEI'!$A:$M,11)=0,"",VLOOKUP(Table48[[#This Row],[Date]],'DB LEI'!$A:$M,11))</f>
        <v/>
      </c>
    </row>
    <row r="258">
      <c r="A258" s="23" t="n">
        <v>36130</v>
      </c>
      <c r="B258" s="18">
        <f>VLOOKUP(Table48[[#This Row],[Date]],'DB LEI'!$A:$F,5)</f>
        <v/>
      </c>
      <c r="C258" s="24">
        <f>IF(VLOOKUP(Table48[[#This Row],[Date]],'DB LEI'!$A:$M,13)=0,"",VLOOKUP(Table48[[#This Row],[Date]],'DB LEI'!$A:$M,13))</f>
        <v/>
      </c>
      <c r="D258" s="24">
        <f>IF(VLOOKUP(Table48[[#This Row],[Date]],'DB LEI'!$A:$M,11)=0,"",VLOOKUP(Table48[[#This Row],[Date]],'DB LEI'!$A:$M,11))</f>
        <v/>
      </c>
    </row>
    <row r="259">
      <c r="A259" s="23" t="n">
        <v>36161</v>
      </c>
      <c r="B259" s="18">
        <f>VLOOKUP(Table48[[#This Row],[Date]],'DB LEI'!$A:$F,5)</f>
        <v/>
      </c>
      <c r="C259" s="24">
        <f>IF(VLOOKUP(Table48[[#This Row],[Date]],'DB LEI'!$A:$M,13)=0,"",VLOOKUP(Table48[[#This Row],[Date]],'DB LEI'!$A:$M,13))</f>
        <v/>
      </c>
      <c r="D259" s="24">
        <f>IF(VLOOKUP(Table48[[#This Row],[Date]],'DB LEI'!$A:$M,11)=0,"",VLOOKUP(Table48[[#This Row],[Date]],'DB LEI'!$A:$M,11))</f>
        <v/>
      </c>
    </row>
    <row r="260">
      <c r="A260" s="23" t="n">
        <v>36192</v>
      </c>
      <c r="B260" s="18">
        <f>VLOOKUP(Table48[[#This Row],[Date]],'DB LEI'!$A:$F,5)</f>
        <v/>
      </c>
      <c r="C260" s="24">
        <f>IF(VLOOKUP(Table48[[#This Row],[Date]],'DB LEI'!$A:$M,13)=0,"",VLOOKUP(Table48[[#This Row],[Date]],'DB LEI'!$A:$M,13))</f>
        <v/>
      </c>
      <c r="D260" s="24">
        <f>IF(VLOOKUP(Table48[[#This Row],[Date]],'DB LEI'!$A:$M,11)=0,"",VLOOKUP(Table48[[#This Row],[Date]],'DB LEI'!$A:$M,11))</f>
        <v/>
      </c>
    </row>
    <row r="261">
      <c r="A261" s="23" t="n">
        <v>36220</v>
      </c>
      <c r="B261" s="18">
        <f>VLOOKUP(Table48[[#This Row],[Date]],'DB LEI'!$A:$F,5)</f>
        <v/>
      </c>
      <c r="C261" s="24">
        <f>IF(VLOOKUP(Table48[[#This Row],[Date]],'DB LEI'!$A:$M,13)=0,"",VLOOKUP(Table48[[#This Row],[Date]],'DB LEI'!$A:$M,13))</f>
        <v/>
      </c>
      <c r="D261" s="24">
        <f>IF(VLOOKUP(Table48[[#This Row],[Date]],'DB LEI'!$A:$M,11)=0,"",VLOOKUP(Table48[[#This Row],[Date]],'DB LEI'!$A:$M,11))</f>
        <v/>
      </c>
    </row>
    <row r="262">
      <c r="A262" s="23" t="n">
        <v>36251</v>
      </c>
      <c r="B262" s="18">
        <f>VLOOKUP(Table48[[#This Row],[Date]],'DB LEI'!$A:$F,5)</f>
        <v/>
      </c>
      <c r="C262" s="24">
        <f>IF(VLOOKUP(Table48[[#This Row],[Date]],'DB LEI'!$A:$M,13)=0,"",VLOOKUP(Table48[[#This Row],[Date]],'DB LEI'!$A:$M,13))</f>
        <v/>
      </c>
      <c r="D262" s="24">
        <f>IF(VLOOKUP(Table48[[#This Row],[Date]],'DB LEI'!$A:$M,11)=0,"",VLOOKUP(Table48[[#This Row],[Date]],'DB LEI'!$A:$M,11))</f>
        <v/>
      </c>
    </row>
    <row r="263">
      <c r="A263" s="23" t="n">
        <v>36281</v>
      </c>
      <c r="B263" s="18">
        <f>VLOOKUP(Table48[[#This Row],[Date]],'DB LEI'!$A:$F,5)</f>
        <v/>
      </c>
      <c r="C263" s="24">
        <f>IF(VLOOKUP(Table48[[#This Row],[Date]],'DB LEI'!$A:$M,13)=0,"",VLOOKUP(Table48[[#This Row],[Date]],'DB LEI'!$A:$M,13))</f>
        <v/>
      </c>
      <c r="D263" s="24">
        <f>IF(VLOOKUP(Table48[[#This Row],[Date]],'DB LEI'!$A:$M,11)=0,"",VLOOKUP(Table48[[#This Row],[Date]],'DB LEI'!$A:$M,11))</f>
        <v/>
      </c>
    </row>
    <row r="264">
      <c r="A264" s="23" t="n">
        <v>36312</v>
      </c>
      <c r="B264" s="18">
        <f>VLOOKUP(Table48[[#This Row],[Date]],'DB LEI'!$A:$F,5)</f>
        <v/>
      </c>
      <c r="C264" s="24">
        <f>IF(VLOOKUP(Table48[[#This Row],[Date]],'DB LEI'!$A:$M,13)=0,"",VLOOKUP(Table48[[#This Row],[Date]],'DB LEI'!$A:$M,13))</f>
        <v/>
      </c>
      <c r="D264" s="24">
        <f>IF(VLOOKUP(Table48[[#This Row],[Date]],'DB LEI'!$A:$M,11)=0,"",VLOOKUP(Table48[[#This Row],[Date]],'DB LEI'!$A:$M,11))</f>
        <v/>
      </c>
    </row>
    <row r="265">
      <c r="A265" s="23" t="n">
        <v>36342</v>
      </c>
      <c r="B265" s="18">
        <f>VLOOKUP(Table48[[#This Row],[Date]],'DB LEI'!$A:$F,5)</f>
        <v/>
      </c>
      <c r="C265" s="24">
        <f>IF(VLOOKUP(Table48[[#This Row],[Date]],'DB LEI'!$A:$M,13)=0,"",VLOOKUP(Table48[[#This Row],[Date]],'DB LEI'!$A:$M,13))</f>
        <v/>
      </c>
      <c r="D265" s="24">
        <f>IF(VLOOKUP(Table48[[#This Row],[Date]],'DB LEI'!$A:$M,11)=0,"",VLOOKUP(Table48[[#This Row],[Date]],'DB LEI'!$A:$M,11))</f>
        <v/>
      </c>
    </row>
    <row r="266">
      <c r="A266" s="23" t="n">
        <v>36373</v>
      </c>
      <c r="B266" s="18">
        <f>VLOOKUP(Table48[[#This Row],[Date]],'DB LEI'!$A:$F,5)</f>
        <v/>
      </c>
      <c r="C266" s="24">
        <f>IF(VLOOKUP(Table48[[#This Row],[Date]],'DB LEI'!$A:$M,13)=0,"",VLOOKUP(Table48[[#This Row],[Date]],'DB LEI'!$A:$M,13))</f>
        <v/>
      </c>
      <c r="D266" s="24">
        <f>IF(VLOOKUP(Table48[[#This Row],[Date]],'DB LEI'!$A:$M,11)=0,"",VLOOKUP(Table48[[#This Row],[Date]],'DB LEI'!$A:$M,11))</f>
        <v/>
      </c>
    </row>
    <row r="267">
      <c r="A267" s="23" t="n">
        <v>36404</v>
      </c>
      <c r="B267" s="18">
        <f>VLOOKUP(Table48[[#This Row],[Date]],'DB LEI'!$A:$F,5)</f>
        <v/>
      </c>
      <c r="C267" s="24">
        <f>IF(VLOOKUP(Table48[[#This Row],[Date]],'DB LEI'!$A:$M,13)=0,"",VLOOKUP(Table48[[#This Row],[Date]],'DB LEI'!$A:$M,13))</f>
        <v/>
      </c>
      <c r="D267" s="24">
        <f>IF(VLOOKUP(Table48[[#This Row],[Date]],'DB LEI'!$A:$M,11)=0,"",VLOOKUP(Table48[[#This Row],[Date]],'DB LEI'!$A:$M,11))</f>
        <v/>
      </c>
    </row>
    <row r="268">
      <c r="A268" s="23" t="n">
        <v>36434</v>
      </c>
      <c r="B268" s="18">
        <f>VLOOKUP(Table48[[#This Row],[Date]],'DB LEI'!$A:$F,5)</f>
        <v/>
      </c>
      <c r="C268" s="24">
        <f>IF(VLOOKUP(Table48[[#This Row],[Date]],'DB LEI'!$A:$M,13)=0,"",VLOOKUP(Table48[[#This Row],[Date]],'DB LEI'!$A:$M,13))</f>
        <v/>
      </c>
      <c r="D268" s="24">
        <f>IF(VLOOKUP(Table48[[#This Row],[Date]],'DB LEI'!$A:$M,11)=0,"",VLOOKUP(Table48[[#This Row],[Date]],'DB LEI'!$A:$M,11))</f>
        <v/>
      </c>
    </row>
    <row r="269">
      <c r="A269" s="23" t="n">
        <v>36465</v>
      </c>
      <c r="B269" s="18">
        <f>VLOOKUP(Table48[[#This Row],[Date]],'DB LEI'!$A:$F,5)</f>
        <v/>
      </c>
      <c r="C269" s="24">
        <f>IF(VLOOKUP(Table48[[#This Row],[Date]],'DB LEI'!$A:$M,13)=0,"",VLOOKUP(Table48[[#This Row],[Date]],'DB LEI'!$A:$M,13))</f>
        <v/>
      </c>
      <c r="D269" s="24">
        <f>IF(VLOOKUP(Table48[[#This Row],[Date]],'DB LEI'!$A:$M,11)=0,"",VLOOKUP(Table48[[#This Row],[Date]],'DB LEI'!$A:$M,11))</f>
        <v/>
      </c>
    </row>
    <row r="270">
      <c r="A270" s="23" t="n">
        <v>36495</v>
      </c>
      <c r="B270" s="18">
        <f>VLOOKUP(Table48[[#This Row],[Date]],'DB LEI'!$A:$F,5)</f>
        <v/>
      </c>
      <c r="C270" s="24">
        <f>IF(VLOOKUP(Table48[[#This Row],[Date]],'DB LEI'!$A:$M,13)=0,"",VLOOKUP(Table48[[#This Row],[Date]],'DB LEI'!$A:$M,13))</f>
        <v/>
      </c>
      <c r="D270" s="24">
        <f>IF(VLOOKUP(Table48[[#This Row],[Date]],'DB LEI'!$A:$M,11)=0,"",VLOOKUP(Table48[[#This Row],[Date]],'DB LEI'!$A:$M,11))</f>
        <v/>
      </c>
    </row>
    <row r="271">
      <c r="A271" s="23" t="n">
        <v>36526</v>
      </c>
      <c r="B271" s="18">
        <f>VLOOKUP(Table48[[#This Row],[Date]],'DB LEI'!$A:$F,5)</f>
        <v/>
      </c>
      <c r="C271" s="24">
        <f>IF(VLOOKUP(Table48[[#This Row],[Date]],'DB LEI'!$A:$M,13)=0,"",VLOOKUP(Table48[[#This Row],[Date]],'DB LEI'!$A:$M,13))</f>
        <v/>
      </c>
      <c r="D271" s="24">
        <f>IF(VLOOKUP(Table48[[#This Row],[Date]],'DB LEI'!$A:$M,11)=0,"",VLOOKUP(Table48[[#This Row],[Date]],'DB LEI'!$A:$M,11))</f>
        <v/>
      </c>
    </row>
    <row r="272">
      <c r="A272" s="23" t="n">
        <v>36557</v>
      </c>
      <c r="B272" s="18">
        <f>VLOOKUP(Table48[[#This Row],[Date]],'DB LEI'!$A:$F,5)</f>
        <v/>
      </c>
      <c r="C272" s="24">
        <f>IF(VLOOKUP(Table48[[#This Row],[Date]],'DB LEI'!$A:$M,13)=0,"",VLOOKUP(Table48[[#This Row],[Date]],'DB LEI'!$A:$M,13))</f>
        <v/>
      </c>
      <c r="D272" s="24">
        <f>IF(VLOOKUP(Table48[[#This Row],[Date]],'DB LEI'!$A:$M,11)=0,"",VLOOKUP(Table48[[#This Row],[Date]],'DB LEI'!$A:$M,11))</f>
        <v/>
      </c>
    </row>
    <row r="273">
      <c r="A273" s="23" t="n">
        <v>36586</v>
      </c>
      <c r="B273" s="18">
        <f>VLOOKUP(Table48[[#This Row],[Date]],'DB LEI'!$A:$F,5)</f>
        <v/>
      </c>
      <c r="C273" s="24">
        <f>IF(VLOOKUP(Table48[[#This Row],[Date]],'DB LEI'!$A:$M,13)=0,"",VLOOKUP(Table48[[#This Row],[Date]],'DB LEI'!$A:$M,13))</f>
        <v/>
      </c>
      <c r="D273" s="24">
        <f>IF(VLOOKUP(Table48[[#This Row],[Date]],'DB LEI'!$A:$M,11)=0,"",VLOOKUP(Table48[[#This Row],[Date]],'DB LEI'!$A:$M,11))</f>
        <v/>
      </c>
    </row>
    <row r="274">
      <c r="A274" s="23" t="n">
        <v>36617</v>
      </c>
      <c r="B274" s="18">
        <f>VLOOKUP(Table48[[#This Row],[Date]],'DB LEI'!$A:$F,5)</f>
        <v/>
      </c>
      <c r="C274" s="24">
        <f>IF(VLOOKUP(Table48[[#This Row],[Date]],'DB LEI'!$A:$M,13)=0,"",VLOOKUP(Table48[[#This Row],[Date]],'DB LEI'!$A:$M,13))</f>
        <v/>
      </c>
      <c r="D274" s="24">
        <f>IF(VLOOKUP(Table48[[#This Row],[Date]],'DB LEI'!$A:$M,11)=0,"",VLOOKUP(Table48[[#This Row],[Date]],'DB LEI'!$A:$M,11))</f>
        <v/>
      </c>
    </row>
    <row r="275">
      <c r="A275" s="23" t="n">
        <v>36647</v>
      </c>
      <c r="B275" s="18">
        <f>VLOOKUP(Table48[[#This Row],[Date]],'DB LEI'!$A:$F,5)</f>
        <v/>
      </c>
      <c r="C275" s="24">
        <f>IF(VLOOKUP(Table48[[#This Row],[Date]],'DB LEI'!$A:$M,13)=0,"",VLOOKUP(Table48[[#This Row],[Date]],'DB LEI'!$A:$M,13))</f>
        <v/>
      </c>
      <c r="D275" s="24">
        <f>IF(VLOOKUP(Table48[[#This Row],[Date]],'DB LEI'!$A:$M,11)=0,"",VLOOKUP(Table48[[#This Row],[Date]],'DB LEI'!$A:$M,11))</f>
        <v/>
      </c>
    </row>
    <row r="276">
      <c r="A276" s="23" t="n">
        <v>36678</v>
      </c>
      <c r="B276" s="18">
        <f>VLOOKUP(Table48[[#This Row],[Date]],'DB LEI'!$A:$F,5)</f>
        <v/>
      </c>
      <c r="C276" s="24">
        <f>IF(VLOOKUP(Table48[[#This Row],[Date]],'DB LEI'!$A:$M,13)=0,"",VLOOKUP(Table48[[#This Row],[Date]],'DB LEI'!$A:$M,13))</f>
        <v/>
      </c>
      <c r="D276" s="24">
        <f>IF(VLOOKUP(Table48[[#This Row],[Date]],'DB LEI'!$A:$M,11)=0,"",VLOOKUP(Table48[[#This Row],[Date]],'DB LEI'!$A:$M,11))</f>
        <v/>
      </c>
    </row>
    <row r="277">
      <c r="A277" s="23" t="n">
        <v>36708</v>
      </c>
      <c r="B277" s="18">
        <f>VLOOKUP(Table48[[#This Row],[Date]],'DB LEI'!$A:$F,5)</f>
        <v/>
      </c>
      <c r="C277" s="24">
        <f>IF(VLOOKUP(Table48[[#This Row],[Date]],'DB LEI'!$A:$M,13)=0,"",VLOOKUP(Table48[[#This Row],[Date]],'DB LEI'!$A:$M,13))</f>
        <v/>
      </c>
      <c r="D277" s="24">
        <f>IF(VLOOKUP(Table48[[#This Row],[Date]],'DB LEI'!$A:$M,11)=0,"",VLOOKUP(Table48[[#This Row],[Date]],'DB LEI'!$A:$M,11))</f>
        <v/>
      </c>
    </row>
    <row r="278">
      <c r="A278" s="23" t="n">
        <v>36739</v>
      </c>
      <c r="B278" s="18">
        <f>VLOOKUP(Table48[[#This Row],[Date]],'DB LEI'!$A:$F,5)</f>
        <v/>
      </c>
      <c r="C278" s="24">
        <f>IF(VLOOKUP(Table48[[#This Row],[Date]],'DB LEI'!$A:$M,13)=0,"",VLOOKUP(Table48[[#This Row],[Date]],'DB LEI'!$A:$M,13))</f>
        <v/>
      </c>
      <c r="D278" s="24">
        <f>IF(VLOOKUP(Table48[[#This Row],[Date]],'DB LEI'!$A:$M,11)=0,"",VLOOKUP(Table48[[#This Row],[Date]],'DB LEI'!$A:$M,11))</f>
        <v/>
      </c>
    </row>
    <row r="279">
      <c r="A279" s="23" t="n">
        <v>36770</v>
      </c>
      <c r="B279" s="18">
        <f>VLOOKUP(Table48[[#This Row],[Date]],'DB LEI'!$A:$F,5)</f>
        <v/>
      </c>
      <c r="C279" s="24">
        <f>IF(VLOOKUP(Table48[[#This Row],[Date]],'DB LEI'!$A:$M,13)=0,"",VLOOKUP(Table48[[#This Row],[Date]],'DB LEI'!$A:$M,13))</f>
        <v/>
      </c>
      <c r="D279" s="24">
        <f>IF(VLOOKUP(Table48[[#This Row],[Date]],'DB LEI'!$A:$M,11)=0,"",VLOOKUP(Table48[[#This Row],[Date]],'DB LEI'!$A:$M,11))</f>
        <v/>
      </c>
    </row>
    <row r="280">
      <c r="A280" s="23" t="n">
        <v>36800</v>
      </c>
      <c r="B280" s="18">
        <f>VLOOKUP(Table48[[#This Row],[Date]],'DB LEI'!$A:$F,5)</f>
        <v/>
      </c>
      <c r="C280" s="24">
        <f>IF(VLOOKUP(Table48[[#This Row],[Date]],'DB LEI'!$A:$M,13)=0,"",VLOOKUP(Table48[[#This Row],[Date]],'DB LEI'!$A:$M,13))</f>
        <v/>
      </c>
      <c r="D280" s="24">
        <f>IF(VLOOKUP(Table48[[#This Row],[Date]],'DB LEI'!$A:$M,11)=0,"",VLOOKUP(Table48[[#This Row],[Date]],'DB LEI'!$A:$M,11))</f>
        <v/>
      </c>
    </row>
    <row r="281">
      <c r="A281" s="23" t="n">
        <v>36831</v>
      </c>
      <c r="B281" s="18">
        <f>VLOOKUP(Table48[[#This Row],[Date]],'DB LEI'!$A:$F,5)</f>
        <v/>
      </c>
      <c r="C281" s="24">
        <f>IF(VLOOKUP(Table48[[#This Row],[Date]],'DB LEI'!$A:$M,13)=0,"",VLOOKUP(Table48[[#This Row],[Date]],'DB LEI'!$A:$M,13))</f>
        <v/>
      </c>
      <c r="D281" s="24">
        <f>IF(VLOOKUP(Table48[[#This Row],[Date]],'DB LEI'!$A:$M,11)=0,"",VLOOKUP(Table48[[#This Row],[Date]],'DB LEI'!$A:$M,11))</f>
        <v/>
      </c>
    </row>
    <row r="282">
      <c r="A282" s="23" t="n">
        <v>36861</v>
      </c>
      <c r="B282" s="18">
        <f>VLOOKUP(Table48[[#This Row],[Date]],'DB LEI'!$A:$F,5)</f>
        <v/>
      </c>
      <c r="C282" s="24">
        <f>IF(VLOOKUP(Table48[[#This Row],[Date]],'DB LEI'!$A:$M,13)=0,"",VLOOKUP(Table48[[#This Row],[Date]],'DB LEI'!$A:$M,13))</f>
        <v/>
      </c>
      <c r="D282" s="24">
        <f>IF(VLOOKUP(Table48[[#This Row],[Date]],'DB LEI'!$A:$M,11)=0,"",VLOOKUP(Table48[[#This Row],[Date]],'DB LEI'!$A:$M,11))</f>
        <v/>
      </c>
    </row>
    <row r="283">
      <c r="A283" s="23" t="n">
        <v>36892</v>
      </c>
      <c r="B283" s="18">
        <f>VLOOKUP(Table48[[#This Row],[Date]],'DB LEI'!$A:$F,5)</f>
        <v/>
      </c>
      <c r="C283" s="24">
        <f>IF(VLOOKUP(Table48[[#This Row],[Date]],'DB LEI'!$A:$M,13)=0,"",VLOOKUP(Table48[[#This Row],[Date]],'DB LEI'!$A:$M,13))</f>
        <v/>
      </c>
      <c r="D283" s="24">
        <f>IF(VLOOKUP(Table48[[#This Row],[Date]],'DB LEI'!$A:$M,11)=0,"",VLOOKUP(Table48[[#This Row],[Date]],'DB LEI'!$A:$M,11))</f>
        <v/>
      </c>
    </row>
    <row r="284">
      <c r="A284" s="23" t="n">
        <v>36923</v>
      </c>
      <c r="B284" s="18">
        <f>VLOOKUP(Table48[[#This Row],[Date]],'DB LEI'!$A:$F,5)</f>
        <v/>
      </c>
      <c r="C284" s="24">
        <f>IF(VLOOKUP(Table48[[#This Row],[Date]],'DB LEI'!$A:$M,13)=0,"",VLOOKUP(Table48[[#This Row],[Date]],'DB LEI'!$A:$M,13))</f>
        <v/>
      </c>
      <c r="D284" s="24">
        <f>IF(VLOOKUP(Table48[[#This Row],[Date]],'DB LEI'!$A:$M,11)=0,"",VLOOKUP(Table48[[#This Row],[Date]],'DB LEI'!$A:$M,11))</f>
        <v/>
      </c>
    </row>
    <row r="285">
      <c r="A285" s="23" t="n">
        <v>36951</v>
      </c>
      <c r="B285" s="18">
        <f>VLOOKUP(Table48[[#This Row],[Date]],'DB LEI'!$A:$F,5)</f>
        <v/>
      </c>
      <c r="C285" s="24">
        <f>IF(VLOOKUP(Table48[[#This Row],[Date]],'DB LEI'!$A:$M,13)=0,"",VLOOKUP(Table48[[#This Row],[Date]],'DB LEI'!$A:$M,13))</f>
        <v/>
      </c>
      <c r="D285" s="24">
        <f>IF(VLOOKUP(Table48[[#This Row],[Date]],'DB LEI'!$A:$M,11)=0,"",VLOOKUP(Table48[[#This Row],[Date]],'DB LEI'!$A:$M,11))</f>
        <v/>
      </c>
    </row>
    <row r="286">
      <c r="A286" s="23" t="n">
        <v>36982</v>
      </c>
      <c r="B286" s="18">
        <f>VLOOKUP(Table48[[#This Row],[Date]],'DB LEI'!$A:$F,5)</f>
        <v/>
      </c>
      <c r="C286" s="24">
        <f>IF(VLOOKUP(Table48[[#This Row],[Date]],'DB LEI'!$A:$M,13)=0,"",VLOOKUP(Table48[[#This Row],[Date]],'DB LEI'!$A:$M,13))</f>
        <v/>
      </c>
      <c r="D286" s="24">
        <f>IF(VLOOKUP(Table48[[#This Row],[Date]],'DB LEI'!$A:$M,11)=0,"",VLOOKUP(Table48[[#This Row],[Date]],'DB LEI'!$A:$M,11))</f>
        <v/>
      </c>
    </row>
    <row r="287">
      <c r="A287" s="23" t="n">
        <v>37012</v>
      </c>
      <c r="B287" s="18">
        <f>VLOOKUP(Table48[[#This Row],[Date]],'DB LEI'!$A:$F,5)</f>
        <v/>
      </c>
      <c r="C287" s="24">
        <f>IF(VLOOKUP(Table48[[#This Row],[Date]],'DB LEI'!$A:$M,13)=0,"",VLOOKUP(Table48[[#This Row],[Date]],'DB LEI'!$A:$M,13))</f>
        <v/>
      </c>
      <c r="D287" s="24">
        <f>IF(VLOOKUP(Table48[[#This Row],[Date]],'DB LEI'!$A:$M,11)=0,"",VLOOKUP(Table48[[#This Row],[Date]],'DB LEI'!$A:$M,11))</f>
        <v/>
      </c>
    </row>
    <row r="288">
      <c r="A288" s="23" t="n">
        <v>37043</v>
      </c>
      <c r="B288" s="18">
        <f>VLOOKUP(Table48[[#This Row],[Date]],'DB LEI'!$A:$F,5)</f>
        <v/>
      </c>
      <c r="C288" s="24">
        <f>IF(VLOOKUP(Table48[[#This Row],[Date]],'DB LEI'!$A:$M,13)=0,"",VLOOKUP(Table48[[#This Row],[Date]],'DB LEI'!$A:$M,13))</f>
        <v/>
      </c>
      <c r="D288" s="24">
        <f>IF(VLOOKUP(Table48[[#This Row],[Date]],'DB LEI'!$A:$M,11)=0,"",VLOOKUP(Table48[[#This Row],[Date]],'DB LEI'!$A:$M,11))</f>
        <v/>
      </c>
    </row>
    <row r="289">
      <c r="A289" s="23" t="n">
        <v>37073</v>
      </c>
      <c r="B289" s="18">
        <f>VLOOKUP(Table48[[#This Row],[Date]],'DB LEI'!$A:$F,5)</f>
        <v/>
      </c>
      <c r="C289" s="24">
        <f>IF(VLOOKUP(Table48[[#This Row],[Date]],'DB LEI'!$A:$M,13)=0,"",VLOOKUP(Table48[[#This Row],[Date]],'DB LEI'!$A:$M,13))</f>
        <v/>
      </c>
      <c r="D289" s="24">
        <f>IF(VLOOKUP(Table48[[#This Row],[Date]],'DB LEI'!$A:$M,11)=0,"",VLOOKUP(Table48[[#This Row],[Date]],'DB LEI'!$A:$M,11))</f>
        <v/>
      </c>
    </row>
    <row r="290">
      <c r="A290" s="23" t="n">
        <v>37104</v>
      </c>
      <c r="B290" s="18">
        <f>VLOOKUP(Table48[[#This Row],[Date]],'DB LEI'!$A:$F,5)</f>
        <v/>
      </c>
      <c r="C290" s="24">
        <f>IF(VLOOKUP(Table48[[#This Row],[Date]],'DB LEI'!$A:$M,13)=0,"",VLOOKUP(Table48[[#This Row],[Date]],'DB LEI'!$A:$M,13))</f>
        <v/>
      </c>
      <c r="D290" s="24">
        <f>IF(VLOOKUP(Table48[[#This Row],[Date]],'DB LEI'!$A:$M,11)=0,"",VLOOKUP(Table48[[#This Row],[Date]],'DB LEI'!$A:$M,11))</f>
        <v/>
      </c>
    </row>
    <row r="291">
      <c r="A291" s="23" t="n">
        <v>37135</v>
      </c>
      <c r="B291" s="18">
        <f>VLOOKUP(Table48[[#This Row],[Date]],'DB LEI'!$A:$F,5)</f>
        <v/>
      </c>
      <c r="C291" s="24">
        <f>IF(VLOOKUP(Table48[[#This Row],[Date]],'DB LEI'!$A:$M,13)=0,"",VLOOKUP(Table48[[#This Row],[Date]],'DB LEI'!$A:$M,13))</f>
        <v/>
      </c>
      <c r="D291" s="24">
        <f>IF(VLOOKUP(Table48[[#This Row],[Date]],'DB LEI'!$A:$M,11)=0,"",VLOOKUP(Table48[[#This Row],[Date]],'DB LEI'!$A:$M,11))</f>
        <v/>
      </c>
    </row>
    <row r="292">
      <c r="A292" s="23" t="n">
        <v>37165</v>
      </c>
      <c r="B292" s="18">
        <f>VLOOKUP(Table48[[#This Row],[Date]],'DB LEI'!$A:$F,5)</f>
        <v/>
      </c>
      <c r="C292" s="24">
        <f>IF(VLOOKUP(Table48[[#This Row],[Date]],'DB LEI'!$A:$M,13)=0,"",VLOOKUP(Table48[[#This Row],[Date]],'DB LEI'!$A:$M,13))</f>
        <v/>
      </c>
      <c r="D292" s="24">
        <f>IF(VLOOKUP(Table48[[#This Row],[Date]],'DB LEI'!$A:$M,11)=0,"",VLOOKUP(Table48[[#This Row],[Date]],'DB LEI'!$A:$M,11))</f>
        <v/>
      </c>
    </row>
    <row r="293">
      <c r="A293" s="23" t="n">
        <v>37196</v>
      </c>
      <c r="B293" s="18">
        <f>VLOOKUP(Table48[[#This Row],[Date]],'DB LEI'!$A:$F,5)</f>
        <v/>
      </c>
      <c r="C293" s="24">
        <f>IF(VLOOKUP(Table48[[#This Row],[Date]],'DB LEI'!$A:$M,13)=0,"",VLOOKUP(Table48[[#This Row],[Date]],'DB LEI'!$A:$M,13))</f>
        <v/>
      </c>
      <c r="D293" s="24">
        <f>IF(VLOOKUP(Table48[[#This Row],[Date]],'DB LEI'!$A:$M,11)=0,"",VLOOKUP(Table48[[#This Row],[Date]],'DB LEI'!$A:$M,11))</f>
        <v/>
      </c>
    </row>
    <row r="294">
      <c r="A294" s="23" t="n">
        <v>37226</v>
      </c>
      <c r="B294" s="18">
        <f>VLOOKUP(Table48[[#This Row],[Date]],'DB LEI'!$A:$F,5)</f>
        <v/>
      </c>
      <c r="C294" s="24">
        <f>IF(VLOOKUP(Table48[[#This Row],[Date]],'DB LEI'!$A:$M,13)=0,"",VLOOKUP(Table48[[#This Row],[Date]],'DB LEI'!$A:$M,13))</f>
        <v/>
      </c>
      <c r="D294" s="24">
        <f>IF(VLOOKUP(Table48[[#This Row],[Date]],'DB LEI'!$A:$M,11)=0,"",VLOOKUP(Table48[[#This Row],[Date]],'DB LEI'!$A:$M,11))</f>
        <v/>
      </c>
    </row>
    <row r="295">
      <c r="A295" s="23" t="n">
        <v>37257</v>
      </c>
      <c r="B295" s="18">
        <f>VLOOKUP(Table48[[#This Row],[Date]],'DB LEI'!$A:$F,5)</f>
        <v/>
      </c>
      <c r="C295" s="24">
        <f>IF(VLOOKUP(Table48[[#This Row],[Date]],'DB LEI'!$A:$M,13)=0,"",VLOOKUP(Table48[[#This Row],[Date]],'DB LEI'!$A:$M,13))</f>
        <v/>
      </c>
      <c r="D295" s="24">
        <f>IF(VLOOKUP(Table48[[#This Row],[Date]],'DB LEI'!$A:$M,11)=0,"",VLOOKUP(Table48[[#This Row],[Date]],'DB LEI'!$A:$M,11))</f>
        <v/>
      </c>
    </row>
    <row r="296">
      <c r="A296" s="23" t="n">
        <v>37288</v>
      </c>
      <c r="B296" s="18">
        <f>VLOOKUP(Table48[[#This Row],[Date]],'DB LEI'!$A:$F,5)</f>
        <v/>
      </c>
      <c r="C296" s="24">
        <f>IF(VLOOKUP(Table48[[#This Row],[Date]],'DB LEI'!$A:$M,13)=0,"",VLOOKUP(Table48[[#This Row],[Date]],'DB LEI'!$A:$M,13))</f>
        <v/>
      </c>
      <c r="D296" s="24">
        <f>IF(VLOOKUP(Table48[[#This Row],[Date]],'DB LEI'!$A:$M,11)=0,"",VLOOKUP(Table48[[#This Row],[Date]],'DB LEI'!$A:$M,11))</f>
        <v/>
      </c>
    </row>
    <row r="297">
      <c r="A297" s="23" t="n">
        <v>37316</v>
      </c>
      <c r="B297" s="18">
        <f>VLOOKUP(Table48[[#This Row],[Date]],'DB LEI'!$A:$F,5)</f>
        <v/>
      </c>
      <c r="C297" s="24">
        <f>IF(VLOOKUP(Table48[[#This Row],[Date]],'DB LEI'!$A:$M,13)=0,"",VLOOKUP(Table48[[#This Row],[Date]],'DB LEI'!$A:$M,13))</f>
        <v/>
      </c>
      <c r="D297" s="24">
        <f>IF(VLOOKUP(Table48[[#This Row],[Date]],'DB LEI'!$A:$M,11)=0,"",VLOOKUP(Table48[[#This Row],[Date]],'DB LEI'!$A:$M,11))</f>
        <v/>
      </c>
    </row>
    <row r="298">
      <c r="A298" s="23" t="n">
        <v>37347</v>
      </c>
      <c r="B298" s="18">
        <f>VLOOKUP(Table48[[#This Row],[Date]],'DB LEI'!$A:$F,5)</f>
        <v/>
      </c>
      <c r="C298" s="24">
        <f>IF(VLOOKUP(Table48[[#This Row],[Date]],'DB LEI'!$A:$M,13)=0,"",VLOOKUP(Table48[[#This Row],[Date]],'DB LEI'!$A:$M,13))</f>
        <v/>
      </c>
      <c r="D298" s="24">
        <f>IF(VLOOKUP(Table48[[#This Row],[Date]],'DB LEI'!$A:$M,11)=0,"",VLOOKUP(Table48[[#This Row],[Date]],'DB LEI'!$A:$M,11))</f>
        <v/>
      </c>
    </row>
    <row r="299">
      <c r="A299" s="23" t="n">
        <v>37377</v>
      </c>
      <c r="B299" s="18">
        <f>VLOOKUP(Table48[[#This Row],[Date]],'DB LEI'!$A:$F,5)</f>
        <v/>
      </c>
      <c r="C299" s="24">
        <f>IF(VLOOKUP(Table48[[#This Row],[Date]],'DB LEI'!$A:$M,13)=0,"",VLOOKUP(Table48[[#This Row],[Date]],'DB LEI'!$A:$M,13))</f>
        <v/>
      </c>
      <c r="D299" s="24">
        <f>IF(VLOOKUP(Table48[[#This Row],[Date]],'DB LEI'!$A:$M,11)=0,"",VLOOKUP(Table48[[#This Row],[Date]],'DB LEI'!$A:$M,11))</f>
        <v/>
      </c>
    </row>
    <row r="300">
      <c r="A300" s="23" t="n">
        <v>37408</v>
      </c>
      <c r="B300" s="18">
        <f>VLOOKUP(Table48[[#This Row],[Date]],'DB LEI'!$A:$F,5)</f>
        <v/>
      </c>
      <c r="C300" s="24">
        <f>IF(VLOOKUP(Table48[[#This Row],[Date]],'DB LEI'!$A:$M,13)=0,"",VLOOKUP(Table48[[#This Row],[Date]],'DB LEI'!$A:$M,13))</f>
        <v/>
      </c>
      <c r="D300" s="24">
        <f>IF(VLOOKUP(Table48[[#This Row],[Date]],'DB LEI'!$A:$M,11)=0,"",VLOOKUP(Table48[[#This Row],[Date]],'DB LEI'!$A:$M,11))</f>
        <v/>
      </c>
    </row>
    <row r="301">
      <c r="A301" s="23" t="n">
        <v>37438</v>
      </c>
      <c r="B301" s="18">
        <f>VLOOKUP(Table48[[#This Row],[Date]],'DB LEI'!$A:$F,5)</f>
        <v/>
      </c>
      <c r="C301" s="24">
        <f>IF(VLOOKUP(Table48[[#This Row],[Date]],'DB LEI'!$A:$M,13)=0,"",VLOOKUP(Table48[[#This Row],[Date]],'DB LEI'!$A:$M,13))</f>
        <v/>
      </c>
      <c r="D301" s="24">
        <f>IF(VLOOKUP(Table48[[#This Row],[Date]],'DB LEI'!$A:$M,11)=0,"",VLOOKUP(Table48[[#This Row],[Date]],'DB LEI'!$A:$M,11))</f>
        <v/>
      </c>
    </row>
    <row r="302">
      <c r="A302" s="23" t="n">
        <v>37469</v>
      </c>
      <c r="B302" s="18">
        <f>VLOOKUP(Table48[[#This Row],[Date]],'DB LEI'!$A:$F,5)</f>
        <v/>
      </c>
      <c r="C302" s="24">
        <f>IF(VLOOKUP(Table48[[#This Row],[Date]],'DB LEI'!$A:$M,13)=0,"",VLOOKUP(Table48[[#This Row],[Date]],'DB LEI'!$A:$M,13))</f>
        <v/>
      </c>
      <c r="D302" s="24">
        <f>IF(VLOOKUP(Table48[[#This Row],[Date]],'DB LEI'!$A:$M,11)=0,"",VLOOKUP(Table48[[#This Row],[Date]],'DB LEI'!$A:$M,11))</f>
        <v/>
      </c>
    </row>
    <row r="303">
      <c r="A303" s="23" t="n">
        <v>37500</v>
      </c>
      <c r="B303" s="18">
        <f>VLOOKUP(Table48[[#This Row],[Date]],'DB LEI'!$A:$F,5)</f>
        <v/>
      </c>
      <c r="C303" s="24">
        <f>IF(VLOOKUP(Table48[[#This Row],[Date]],'DB LEI'!$A:$M,13)=0,"",VLOOKUP(Table48[[#This Row],[Date]],'DB LEI'!$A:$M,13))</f>
        <v/>
      </c>
      <c r="D303" s="24">
        <f>IF(VLOOKUP(Table48[[#This Row],[Date]],'DB LEI'!$A:$M,11)=0,"",VLOOKUP(Table48[[#This Row],[Date]],'DB LEI'!$A:$M,11))</f>
        <v/>
      </c>
    </row>
    <row r="304">
      <c r="A304" s="23" t="n">
        <v>37530</v>
      </c>
      <c r="B304" s="18">
        <f>VLOOKUP(Table48[[#This Row],[Date]],'DB LEI'!$A:$F,5)</f>
        <v/>
      </c>
      <c r="C304" s="24">
        <f>IF(VLOOKUP(Table48[[#This Row],[Date]],'DB LEI'!$A:$M,13)=0,"",VLOOKUP(Table48[[#This Row],[Date]],'DB LEI'!$A:$M,13))</f>
        <v/>
      </c>
      <c r="D304" s="24">
        <f>IF(VLOOKUP(Table48[[#This Row],[Date]],'DB LEI'!$A:$M,11)=0,"",VLOOKUP(Table48[[#This Row],[Date]],'DB LEI'!$A:$M,11))</f>
        <v/>
      </c>
    </row>
    <row r="305">
      <c r="A305" s="23" t="n">
        <v>37561</v>
      </c>
      <c r="B305" s="18">
        <f>VLOOKUP(Table48[[#This Row],[Date]],'DB LEI'!$A:$F,5)</f>
        <v/>
      </c>
      <c r="C305" s="24">
        <f>IF(VLOOKUP(Table48[[#This Row],[Date]],'DB LEI'!$A:$M,13)=0,"",VLOOKUP(Table48[[#This Row],[Date]],'DB LEI'!$A:$M,13))</f>
        <v/>
      </c>
      <c r="D305" s="24">
        <f>IF(VLOOKUP(Table48[[#This Row],[Date]],'DB LEI'!$A:$M,11)=0,"",VLOOKUP(Table48[[#This Row],[Date]],'DB LEI'!$A:$M,11))</f>
        <v/>
      </c>
    </row>
    <row r="306">
      <c r="A306" s="23" t="n">
        <v>37591</v>
      </c>
      <c r="B306" s="18">
        <f>VLOOKUP(Table48[[#This Row],[Date]],'DB LEI'!$A:$F,5)</f>
        <v/>
      </c>
      <c r="C306" s="24">
        <f>IF(VLOOKUP(Table48[[#This Row],[Date]],'DB LEI'!$A:$M,13)=0,"",VLOOKUP(Table48[[#This Row],[Date]],'DB LEI'!$A:$M,13))</f>
        <v/>
      </c>
      <c r="D306" s="24">
        <f>IF(VLOOKUP(Table48[[#This Row],[Date]],'DB LEI'!$A:$M,11)=0,"",VLOOKUP(Table48[[#This Row],[Date]],'DB LEI'!$A:$M,11))</f>
        <v/>
      </c>
    </row>
    <row r="307">
      <c r="A307" s="23" t="n">
        <v>37622</v>
      </c>
      <c r="B307" s="18">
        <f>VLOOKUP(Table48[[#This Row],[Date]],'DB LEI'!$A:$F,5)</f>
        <v/>
      </c>
      <c r="C307" s="24">
        <f>IF(VLOOKUP(Table48[[#This Row],[Date]],'DB LEI'!$A:$M,13)=0,"",VLOOKUP(Table48[[#This Row],[Date]],'DB LEI'!$A:$M,13))</f>
        <v/>
      </c>
      <c r="D307" s="24">
        <f>IF(VLOOKUP(Table48[[#This Row],[Date]],'DB LEI'!$A:$M,11)=0,"",VLOOKUP(Table48[[#This Row],[Date]],'DB LEI'!$A:$M,11))</f>
        <v/>
      </c>
    </row>
    <row r="308">
      <c r="A308" s="23" t="n">
        <v>37653</v>
      </c>
      <c r="B308" s="18">
        <f>VLOOKUP(Table48[[#This Row],[Date]],'DB LEI'!$A:$F,5)</f>
        <v/>
      </c>
      <c r="C308" s="24">
        <f>IF(VLOOKUP(Table48[[#This Row],[Date]],'DB LEI'!$A:$M,13)=0,"",VLOOKUP(Table48[[#This Row],[Date]],'DB LEI'!$A:$M,13))</f>
        <v/>
      </c>
      <c r="D308" s="24">
        <f>IF(VLOOKUP(Table48[[#This Row],[Date]],'DB LEI'!$A:$M,11)=0,"",VLOOKUP(Table48[[#This Row],[Date]],'DB LEI'!$A:$M,11))</f>
        <v/>
      </c>
    </row>
    <row r="309">
      <c r="A309" s="23" t="n">
        <v>37681</v>
      </c>
      <c r="B309" s="18">
        <f>VLOOKUP(Table48[[#This Row],[Date]],'DB LEI'!$A:$F,5)</f>
        <v/>
      </c>
      <c r="C309" s="24">
        <f>IF(VLOOKUP(Table48[[#This Row],[Date]],'DB LEI'!$A:$M,13)=0,"",VLOOKUP(Table48[[#This Row],[Date]],'DB LEI'!$A:$M,13))</f>
        <v/>
      </c>
      <c r="D309" s="24">
        <f>IF(VLOOKUP(Table48[[#This Row],[Date]],'DB LEI'!$A:$M,11)=0,"",VLOOKUP(Table48[[#This Row],[Date]],'DB LEI'!$A:$M,11))</f>
        <v/>
      </c>
    </row>
    <row r="310">
      <c r="A310" s="23" t="n">
        <v>37712</v>
      </c>
      <c r="B310" s="18">
        <f>VLOOKUP(Table48[[#This Row],[Date]],'DB LEI'!$A:$F,5)</f>
        <v/>
      </c>
      <c r="C310" s="24">
        <f>IF(VLOOKUP(Table48[[#This Row],[Date]],'DB LEI'!$A:$M,13)=0,"",VLOOKUP(Table48[[#This Row],[Date]],'DB LEI'!$A:$M,13))</f>
        <v/>
      </c>
      <c r="D310" s="24">
        <f>IF(VLOOKUP(Table48[[#This Row],[Date]],'DB LEI'!$A:$M,11)=0,"",VLOOKUP(Table48[[#This Row],[Date]],'DB LEI'!$A:$M,11))</f>
        <v/>
      </c>
    </row>
    <row r="311">
      <c r="A311" s="23" t="n">
        <v>37742</v>
      </c>
      <c r="B311" s="18">
        <f>VLOOKUP(Table48[[#This Row],[Date]],'DB LEI'!$A:$F,5)</f>
        <v/>
      </c>
      <c r="C311" s="24">
        <f>IF(VLOOKUP(Table48[[#This Row],[Date]],'DB LEI'!$A:$M,13)=0,"",VLOOKUP(Table48[[#This Row],[Date]],'DB LEI'!$A:$M,13))</f>
        <v/>
      </c>
      <c r="D311" s="24">
        <f>IF(VLOOKUP(Table48[[#This Row],[Date]],'DB LEI'!$A:$M,11)=0,"",VLOOKUP(Table48[[#This Row],[Date]],'DB LEI'!$A:$M,11))</f>
        <v/>
      </c>
    </row>
    <row r="312">
      <c r="A312" s="23" t="n">
        <v>37773</v>
      </c>
      <c r="B312" s="18">
        <f>VLOOKUP(Table48[[#This Row],[Date]],'DB LEI'!$A:$F,5)</f>
        <v/>
      </c>
      <c r="C312" s="24">
        <f>IF(VLOOKUP(Table48[[#This Row],[Date]],'DB LEI'!$A:$M,13)=0,"",VLOOKUP(Table48[[#This Row],[Date]],'DB LEI'!$A:$M,13))</f>
        <v/>
      </c>
      <c r="D312" s="24">
        <f>IF(VLOOKUP(Table48[[#This Row],[Date]],'DB LEI'!$A:$M,11)=0,"",VLOOKUP(Table48[[#This Row],[Date]],'DB LEI'!$A:$M,11))</f>
        <v/>
      </c>
    </row>
    <row r="313">
      <c r="A313" s="23" t="n">
        <v>37803</v>
      </c>
      <c r="B313" s="18">
        <f>VLOOKUP(Table48[[#This Row],[Date]],'DB LEI'!$A:$F,5)</f>
        <v/>
      </c>
      <c r="C313" s="24">
        <f>IF(VLOOKUP(Table48[[#This Row],[Date]],'DB LEI'!$A:$M,13)=0,"",VLOOKUP(Table48[[#This Row],[Date]],'DB LEI'!$A:$M,13))</f>
        <v/>
      </c>
      <c r="D313" s="24">
        <f>IF(VLOOKUP(Table48[[#This Row],[Date]],'DB LEI'!$A:$M,11)=0,"",VLOOKUP(Table48[[#This Row],[Date]],'DB LEI'!$A:$M,11))</f>
        <v/>
      </c>
    </row>
    <row r="314">
      <c r="A314" s="23" t="n">
        <v>37834</v>
      </c>
      <c r="B314" s="18">
        <f>VLOOKUP(Table48[[#This Row],[Date]],'DB LEI'!$A:$F,5)</f>
        <v/>
      </c>
      <c r="C314" s="24">
        <f>IF(VLOOKUP(Table48[[#This Row],[Date]],'DB LEI'!$A:$M,13)=0,"",VLOOKUP(Table48[[#This Row],[Date]],'DB LEI'!$A:$M,13))</f>
        <v/>
      </c>
      <c r="D314" s="24">
        <f>IF(VLOOKUP(Table48[[#This Row],[Date]],'DB LEI'!$A:$M,11)=0,"",VLOOKUP(Table48[[#This Row],[Date]],'DB LEI'!$A:$M,11))</f>
        <v/>
      </c>
    </row>
    <row r="315">
      <c r="A315" s="23" t="n">
        <v>37865</v>
      </c>
      <c r="B315" s="18">
        <f>VLOOKUP(Table48[[#This Row],[Date]],'DB LEI'!$A:$F,5)</f>
        <v/>
      </c>
      <c r="C315" s="24">
        <f>IF(VLOOKUP(Table48[[#This Row],[Date]],'DB LEI'!$A:$M,13)=0,"",VLOOKUP(Table48[[#This Row],[Date]],'DB LEI'!$A:$M,13))</f>
        <v/>
      </c>
      <c r="D315" s="24">
        <f>IF(VLOOKUP(Table48[[#This Row],[Date]],'DB LEI'!$A:$M,11)=0,"",VLOOKUP(Table48[[#This Row],[Date]],'DB LEI'!$A:$M,11))</f>
        <v/>
      </c>
    </row>
    <row r="316">
      <c r="A316" s="23" t="n">
        <v>37895</v>
      </c>
      <c r="B316" s="18">
        <f>VLOOKUP(Table48[[#This Row],[Date]],'DB LEI'!$A:$F,5)</f>
        <v/>
      </c>
      <c r="C316" s="24">
        <f>IF(VLOOKUP(Table48[[#This Row],[Date]],'DB LEI'!$A:$M,13)=0,"",VLOOKUP(Table48[[#This Row],[Date]],'DB LEI'!$A:$M,13))</f>
        <v/>
      </c>
      <c r="D316" s="24">
        <f>IF(VLOOKUP(Table48[[#This Row],[Date]],'DB LEI'!$A:$M,11)=0,"",VLOOKUP(Table48[[#This Row],[Date]],'DB LEI'!$A:$M,11))</f>
        <v/>
      </c>
    </row>
    <row r="317">
      <c r="A317" s="23" t="n">
        <v>37926</v>
      </c>
      <c r="B317" s="18">
        <f>VLOOKUP(Table48[[#This Row],[Date]],'DB LEI'!$A:$F,5)</f>
        <v/>
      </c>
      <c r="C317" s="24">
        <f>IF(VLOOKUP(Table48[[#This Row],[Date]],'DB LEI'!$A:$M,13)=0,"",VLOOKUP(Table48[[#This Row],[Date]],'DB LEI'!$A:$M,13))</f>
        <v/>
      </c>
      <c r="D317" s="24">
        <f>IF(VLOOKUP(Table48[[#This Row],[Date]],'DB LEI'!$A:$M,11)=0,"",VLOOKUP(Table48[[#This Row],[Date]],'DB LEI'!$A:$M,11))</f>
        <v/>
      </c>
    </row>
    <row r="318">
      <c r="A318" s="23" t="n">
        <v>37956</v>
      </c>
      <c r="B318" s="18">
        <f>VLOOKUP(Table48[[#This Row],[Date]],'DB LEI'!$A:$F,5)</f>
        <v/>
      </c>
      <c r="C318" s="24">
        <f>IF(VLOOKUP(Table48[[#This Row],[Date]],'DB LEI'!$A:$M,13)=0,"",VLOOKUP(Table48[[#This Row],[Date]],'DB LEI'!$A:$M,13))</f>
        <v/>
      </c>
      <c r="D318" s="24">
        <f>IF(VLOOKUP(Table48[[#This Row],[Date]],'DB LEI'!$A:$M,11)=0,"",VLOOKUP(Table48[[#This Row],[Date]],'DB LEI'!$A:$M,11))</f>
        <v/>
      </c>
    </row>
    <row r="319">
      <c r="A319" s="23" t="n">
        <v>37987</v>
      </c>
      <c r="B319" s="18">
        <f>VLOOKUP(Table48[[#This Row],[Date]],'DB LEI'!$A:$F,5)</f>
        <v/>
      </c>
      <c r="C319" s="24">
        <f>IF(VLOOKUP(Table48[[#This Row],[Date]],'DB LEI'!$A:$M,13)=0,"",VLOOKUP(Table48[[#This Row],[Date]],'DB LEI'!$A:$M,13))</f>
        <v/>
      </c>
      <c r="D319" s="24">
        <f>IF(VLOOKUP(Table48[[#This Row],[Date]],'DB LEI'!$A:$M,11)=0,"",VLOOKUP(Table48[[#This Row],[Date]],'DB LEI'!$A:$M,11))</f>
        <v/>
      </c>
    </row>
    <row r="320">
      <c r="A320" s="23" t="n">
        <v>38018</v>
      </c>
      <c r="B320" s="18">
        <f>VLOOKUP(Table48[[#This Row],[Date]],'DB LEI'!$A:$F,5)</f>
        <v/>
      </c>
      <c r="C320" s="24">
        <f>IF(VLOOKUP(Table48[[#This Row],[Date]],'DB LEI'!$A:$M,13)=0,"",VLOOKUP(Table48[[#This Row],[Date]],'DB LEI'!$A:$M,13))</f>
        <v/>
      </c>
      <c r="D320" s="24">
        <f>IF(VLOOKUP(Table48[[#This Row],[Date]],'DB LEI'!$A:$M,11)=0,"",VLOOKUP(Table48[[#This Row],[Date]],'DB LEI'!$A:$M,11))</f>
        <v/>
      </c>
    </row>
    <row r="321">
      <c r="A321" s="23" t="n">
        <v>38047</v>
      </c>
      <c r="B321" s="18">
        <f>VLOOKUP(Table48[[#This Row],[Date]],'DB LEI'!$A:$F,5)</f>
        <v/>
      </c>
      <c r="C321" s="24">
        <f>IF(VLOOKUP(Table48[[#This Row],[Date]],'DB LEI'!$A:$M,13)=0,"",VLOOKUP(Table48[[#This Row],[Date]],'DB LEI'!$A:$M,13))</f>
        <v/>
      </c>
      <c r="D321" s="24">
        <f>IF(VLOOKUP(Table48[[#This Row],[Date]],'DB LEI'!$A:$M,11)=0,"",VLOOKUP(Table48[[#This Row],[Date]],'DB LEI'!$A:$M,11))</f>
        <v/>
      </c>
    </row>
    <row r="322">
      <c r="A322" s="23" t="n">
        <v>38078</v>
      </c>
      <c r="B322" s="18">
        <f>VLOOKUP(Table48[[#This Row],[Date]],'DB LEI'!$A:$F,5)</f>
        <v/>
      </c>
      <c r="C322" s="24">
        <f>IF(VLOOKUP(Table48[[#This Row],[Date]],'DB LEI'!$A:$M,13)=0,"",VLOOKUP(Table48[[#This Row],[Date]],'DB LEI'!$A:$M,13))</f>
        <v/>
      </c>
      <c r="D322" s="24">
        <f>IF(VLOOKUP(Table48[[#This Row],[Date]],'DB LEI'!$A:$M,11)=0,"",VLOOKUP(Table48[[#This Row],[Date]],'DB LEI'!$A:$M,11))</f>
        <v/>
      </c>
    </row>
    <row r="323">
      <c r="A323" s="23" t="n">
        <v>38108</v>
      </c>
      <c r="B323" s="18">
        <f>VLOOKUP(Table48[[#This Row],[Date]],'DB LEI'!$A:$F,5)</f>
        <v/>
      </c>
      <c r="C323" s="24">
        <f>IF(VLOOKUP(Table48[[#This Row],[Date]],'DB LEI'!$A:$M,13)=0,"",VLOOKUP(Table48[[#This Row],[Date]],'DB LEI'!$A:$M,13))</f>
        <v/>
      </c>
      <c r="D323" s="24">
        <f>IF(VLOOKUP(Table48[[#This Row],[Date]],'DB LEI'!$A:$M,11)=0,"",VLOOKUP(Table48[[#This Row],[Date]],'DB LEI'!$A:$M,11))</f>
        <v/>
      </c>
    </row>
    <row r="324">
      <c r="A324" s="23" t="n">
        <v>38139</v>
      </c>
      <c r="B324" s="18">
        <f>VLOOKUP(Table48[[#This Row],[Date]],'DB LEI'!$A:$F,5)</f>
        <v/>
      </c>
      <c r="C324" s="24">
        <f>IF(VLOOKUP(Table48[[#This Row],[Date]],'DB LEI'!$A:$M,13)=0,"",VLOOKUP(Table48[[#This Row],[Date]],'DB LEI'!$A:$M,13))</f>
        <v/>
      </c>
      <c r="D324" s="24">
        <f>IF(VLOOKUP(Table48[[#This Row],[Date]],'DB LEI'!$A:$M,11)=0,"",VLOOKUP(Table48[[#This Row],[Date]],'DB LEI'!$A:$M,11))</f>
        <v/>
      </c>
    </row>
    <row r="325">
      <c r="A325" s="23" t="n">
        <v>38169</v>
      </c>
      <c r="B325" s="18">
        <f>VLOOKUP(Table48[[#This Row],[Date]],'DB LEI'!$A:$F,5)</f>
        <v/>
      </c>
      <c r="C325" s="24">
        <f>IF(VLOOKUP(Table48[[#This Row],[Date]],'DB LEI'!$A:$M,13)=0,"",VLOOKUP(Table48[[#This Row],[Date]],'DB LEI'!$A:$M,13))</f>
        <v/>
      </c>
      <c r="D325" s="24">
        <f>IF(VLOOKUP(Table48[[#This Row],[Date]],'DB LEI'!$A:$M,11)=0,"",VLOOKUP(Table48[[#This Row],[Date]],'DB LEI'!$A:$M,11))</f>
        <v/>
      </c>
    </row>
    <row r="326">
      <c r="A326" s="23" t="n">
        <v>38200</v>
      </c>
      <c r="B326" s="18">
        <f>VLOOKUP(Table48[[#This Row],[Date]],'DB LEI'!$A:$F,5)</f>
        <v/>
      </c>
      <c r="C326" s="24">
        <f>IF(VLOOKUP(Table48[[#This Row],[Date]],'DB LEI'!$A:$M,13)=0,"",VLOOKUP(Table48[[#This Row],[Date]],'DB LEI'!$A:$M,13))</f>
        <v/>
      </c>
      <c r="D326" s="24">
        <f>IF(VLOOKUP(Table48[[#This Row],[Date]],'DB LEI'!$A:$M,11)=0,"",VLOOKUP(Table48[[#This Row],[Date]],'DB LEI'!$A:$M,11))</f>
        <v/>
      </c>
    </row>
    <row r="327">
      <c r="A327" s="23" t="n">
        <v>38231</v>
      </c>
      <c r="B327" s="18">
        <f>VLOOKUP(Table48[[#This Row],[Date]],'DB LEI'!$A:$F,5)</f>
        <v/>
      </c>
      <c r="C327" s="24">
        <f>IF(VLOOKUP(Table48[[#This Row],[Date]],'DB LEI'!$A:$M,13)=0,"",VLOOKUP(Table48[[#This Row],[Date]],'DB LEI'!$A:$M,13))</f>
        <v/>
      </c>
      <c r="D327" s="24">
        <f>IF(VLOOKUP(Table48[[#This Row],[Date]],'DB LEI'!$A:$M,11)=0,"",VLOOKUP(Table48[[#This Row],[Date]],'DB LEI'!$A:$M,11))</f>
        <v/>
      </c>
    </row>
    <row r="328">
      <c r="A328" s="23" t="n">
        <v>38261</v>
      </c>
      <c r="B328" s="18">
        <f>VLOOKUP(Table48[[#This Row],[Date]],'DB LEI'!$A:$F,5)</f>
        <v/>
      </c>
      <c r="C328" s="24">
        <f>IF(VLOOKUP(Table48[[#This Row],[Date]],'DB LEI'!$A:$M,13)=0,"",VLOOKUP(Table48[[#This Row],[Date]],'DB LEI'!$A:$M,13))</f>
        <v/>
      </c>
      <c r="D328" s="24">
        <f>IF(VLOOKUP(Table48[[#This Row],[Date]],'DB LEI'!$A:$M,11)=0,"",VLOOKUP(Table48[[#This Row],[Date]],'DB LEI'!$A:$M,11))</f>
        <v/>
      </c>
    </row>
    <row r="329">
      <c r="A329" s="23" t="n">
        <v>38292</v>
      </c>
      <c r="B329" s="18">
        <f>VLOOKUP(Table48[[#This Row],[Date]],'DB LEI'!$A:$F,5)</f>
        <v/>
      </c>
      <c r="C329" s="24">
        <f>IF(VLOOKUP(Table48[[#This Row],[Date]],'DB LEI'!$A:$M,13)=0,"",VLOOKUP(Table48[[#This Row],[Date]],'DB LEI'!$A:$M,13))</f>
        <v/>
      </c>
      <c r="D329" s="24">
        <f>IF(VLOOKUP(Table48[[#This Row],[Date]],'DB LEI'!$A:$M,11)=0,"",VLOOKUP(Table48[[#This Row],[Date]],'DB LEI'!$A:$M,11))</f>
        <v/>
      </c>
    </row>
    <row r="330">
      <c r="A330" s="23" t="n">
        <v>38322</v>
      </c>
      <c r="B330" s="18">
        <f>VLOOKUP(Table48[[#This Row],[Date]],'DB LEI'!$A:$F,5)</f>
        <v/>
      </c>
      <c r="C330" s="24">
        <f>IF(VLOOKUP(Table48[[#This Row],[Date]],'DB LEI'!$A:$M,13)=0,"",VLOOKUP(Table48[[#This Row],[Date]],'DB LEI'!$A:$M,13))</f>
        <v/>
      </c>
      <c r="D330" s="24">
        <f>IF(VLOOKUP(Table48[[#This Row],[Date]],'DB LEI'!$A:$M,11)=0,"",VLOOKUP(Table48[[#This Row],[Date]],'DB LEI'!$A:$M,11))</f>
        <v/>
      </c>
    </row>
    <row r="331">
      <c r="A331" s="23" t="n">
        <v>38353</v>
      </c>
      <c r="B331" s="18">
        <f>VLOOKUP(Table48[[#This Row],[Date]],'DB LEI'!$A:$F,5)</f>
        <v/>
      </c>
      <c r="C331" s="24">
        <f>IF(VLOOKUP(Table48[[#This Row],[Date]],'DB LEI'!$A:$M,13)=0,"",VLOOKUP(Table48[[#This Row],[Date]],'DB LEI'!$A:$M,13))</f>
        <v/>
      </c>
      <c r="D331" s="24">
        <f>IF(VLOOKUP(Table48[[#This Row],[Date]],'DB LEI'!$A:$M,11)=0,"",VLOOKUP(Table48[[#This Row],[Date]],'DB LEI'!$A:$M,11))</f>
        <v/>
      </c>
    </row>
    <row r="332">
      <c r="A332" s="23" t="n">
        <v>38384</v>
      </c>
      <c r="B332" s="18">
        <f>VLOOKUP(Table48[[#This Row],[Date]],'DB LEI'!$A:$F,5)</f>
        <v/>
      </c>
      <c r="C332" s="24">
        <f>IF(VLOOKUP(Table48[[#This Row],[Date]],'DB LEI'!$A:$M,13)=0,"",VLOOKUP(Table48[[#This Row],[Date]],'DB LEI'!$A:$M,13))</f>
        <v/>
      </c>
      <c r="D332" s="24">
        <f>IF(VLOOKUP(Table48[[#This Row],[Date]],'DB LEI'!$A:$M,11)=0,"",VLOOKUP(Table48[[#This Row],[Date]],'DB LEI'!$A:$M,11))</f>
        <v/>
      </c>
    </row>
    <row r="333">
      <c r="A333" s="23" t="n">
        <v>38412</v>
      </c>
      <c r="B333" s="18">
        <f>VLOOKUP(Table48[[#This Row],[Date]],'DB LEI'!$A:$F,5)</f>
        <v/>
      </c>
      <c r="C333" s="24">
        <f>IF(VLOOKUP(Table48[[#This Row],[Date]],'DB LEI'!$A:$M,13)=0,"",VLOOKUP(Table48[[#This Row],[Date]],'DB LEI'!$A:$M,13))</f>
        <v/>
      </c>
      <c r="D333" s="24">
        <f>IF(VLOOKUP(Table48[[#This Row],[Date]],'DB LEI'!$A:$M,11)=0,"",VLOOKUP(Table48[[#This Row],[Date]],'DB LEI'!$A:$M,11))</f>
        <v/>
      </c>
    </row>
    <row r="334">
      <c r="A334" s="23" t="n">
        <v>38443</v>
      </c>
      <c r="B334" s="18">
        <f>VLOOKUP(Table48[[#This Row],[Date]],'DB LEI'!$A:$F,5)</f>
        <v/>
      </c>
      <c r="C334" s="24">
        <f>IF(VLOOKUP(Table48[[#This Row],[Date]],'DB LEI'!$A:$M,13)=0,"",VLOOKUP(Table48[[#This Row],[Date]],'DB LEI'!$A:$M,13))</f>
        <v/>
      </c>
      <c r="D334" s="24">
        <f>IF(VLOOKUP(Table48[[#This Row],[Date]],'DB LEI'!$A:$M,11)=0,"",VLOOKUP(Table48[[#This Row],[Date]],'DB LEI'!$A:$M,11))</f>
        <v/>
      </c>
    </row>
    <row r="335">
      <c r="A335" s="23" t="n">
        <v>38473</v>
      </c>
      <c r="B335" s="18">
        <f>VLOOKUP(Table48[[#This Row],[Date]],'DB LEI'!$A:$F,5)</f>
        <v/>
      </c>
      <c r="C335" s="24">
        <f>IF(VLOOKUP(Table48[[#This Row],[Date]],'DB LEI'!$A:$M,13)=0,"",VLOOKUP(Table48[[#This Row],[Date]],'DB LEI'!$A:$M,13))</f>
        <v/>
      </c>
      <c r="D335" s="24">
        <f>IF(VLOOKUP(Table48[[#This Row],[Date]],'DB LEI'!$A:$M,11)=0,"",VLOOKUP(Table48[[#This Row],[Date]],'DB LEI'!$A:$M,11))</f>
        <v/>
      </c>
    </row>
    <row r="336">
      <c r="A336" s="23" t="n">
        <v>38504</v>
      </c>
      <c r="B336" s="18">
        <f>VLOOKUP(Table48[[#This Row],[Date]],'DB LEI'!$A:$F,5)</f>
        <v/>
      </c>
      <c r="C336" s="24">
        <f>IF(VLOOKUP(Table48[[#This Row],[Date]],'DB LEI'!$A:$M,13)=0,"",VLOOKUP(Table48[[#This Row],[Date]],'DB LEI'!$A:$M,13))</f>
        <v/>
      </c>
      <c r="D336" s="24">
        <f>IF(VLOOKUP(Table48[[#This Row],[Date]],'DB LEI'!$A:$M,11)=0,"",VLOOKUP(Table48[[#This Row],[Date]],'DB LEI'!$A:$M,11))</f>
        <v/>
      </c>
    </row>
    <row r="337">
      <c r="A337" s="23" t="n">
        <v>38534</v>
      </c>
      <c r="B337" s="18">
        <f>VLOOKUP(Table48[[#This Row],[Date]],'DB LEI'!$A:$F,5)</f>
        <v/>
      </c>
      <c r="C337" s="24">
        <f>IF(VLOOKUP(Table48[[#This Row],[Date]],'DB LEI'!$A:$M,13)=0,"",VLOOKUP(Table48[[#This Row],[Date]],'DB LEI'!$A:$M,13))</f>
        <v/>
      </c>
      <c r="D337" s="24">
        <f>IF(VLOOKUP(Table48[[#This Row],[Date]],'DB LEI'!$A:$M,11)=0,"",VLOOKUP(Table48[[#This Row],[Date]],'DB LEI'!$A:$M,11))</f>
        <v/>
      </c>
    </row>
    <row r="338">
      <c r="A338" s="23" t="n">
        <v>38565</v>
      </c>
      <c r="B338" s="18">
        <f>VLOOKUP(Table48[[#This Row],[Date]],'DB LEI'!$A:$F,5)</f>
        <v/>
      </c>
      <c r="C338" s="24">
        <f>IF(VLOOKUP(Table48[[#This Row],[Date]],'DB LEI'!$A:$M,13)=0,"",VLOOKUP(Table48[[#This Row],[Date]],'DB LEI'!$A:$M,13))</f>
        <v/>
      </c>
      <c r="D338" s="24">
        <f>IF(VLOOKUP(Table48[[#This Row],[Date]],'DB LEI'!$A:$M,11)=0,"",VLOOKUP(Table48[[#This Row],[Date]],'DB LEI'!$A:$M,11))</f>
        <v/>
      </c>
    </row>
    <row r="339">
      <c r="A339" s="23" t="n">
        <v>38596</v>
      </c>
      <c r="B339" s="18">
        <f>VLOOKUP(Table48[[#This Row],[Date]],'DB LEI'!$A:$F,5)</f>
        <v/>
      </c>
      <c r="C339" s="24">
        <f>IF(VLOOKUP(Table48[[#This Row],[Date]],'DB LEI'!$A:$M,13)=0,"",VLOOKUP(Table48[[#This Row],[Date]],'DB LEI'!$A:$M,13))</f>
        <v/>
      </c>
      <c r="D339" s="24">
        <f>IF(VLOOKUP(Table48[[#This Row],[Date]],'DB LEI'!$A:$M,11)=0,"",VLOOKUP(Table48[[#This Row],[Date]],'DB LEI'!$A:$M,11))</f>
        <v/>
      </c>
    </row>
    <row r="340">
      <c r="A340" s="23" t="n">
        <v>38626</v>
      </c>
      <c r="B340" s="18">
        <f>VLOOKUP(Table48[[#This Row],[Date]],'DB LEI'!$A:$F,5)</f>
        <v/>
      </c>
      <c r="C340" s="24">
        <f>IF(VLOOKUP(Table48[[#This Row],[Date]],'DB LEI'!$A:$M,13)=0,"",VLOOKUP(Table48[[#This Row],[Date]],'DB LEI'!$A:$M,13))</f>
        <v/>
      </c>
      <c r="D340" s="24">
        <f>IF(VLOOKUP(Table48[[#This Row],[Date]],'DB LEI'!$A:$M,11)=0,"",VLOOKUP(Table48[[#This Row],[Date]],'DB LEI'!$A:$M,11))</f>
        <v/>
      </c>
    </row>
    <row r="341">
      <c r="A341" s="23" t="n">
        <v>38657</v>
      </c>
      <c r="B341" s="18">
        <f>VLOOKUP(Table48[[#This Row],[Date]],'DB LEI'!$A:$F,5)</f>
        <v/>
      </c>
      <c r="C341" s="24">
        <f>IF(VLOOKUP(Table48[[#This Row],[Date]],'DB LEI'!$A:$M,13)=0,"",VLOOKUP(Table48[[#This Row],[Date]],'DB LEI'!$A:$M,13))</f>
        <v/>
      </c>
      <c r="D341" s="24">
        <f>IF(VLOOKUP(Table48[[#This Row],[Date]],'DB LEI'!$A:$M,11)=0,"",VLOOKUP(Table48[[#This Row],[Date]],'DB LEI'!$A:$M,11))</f>
        <v/>
      </c>
    </row>
    <row r="342">
      <c r="A342" s="23" t="n">
        <v>38687</v>
      </c>
      <c r="B342" s="18">
        <f>VLOOKUP(Table48[[#This Row],[Date]],'DB LEI'!$A:$F,5)</f>
        <v/>
      </c>
      <c r="C342" s="24">
        <f>IF(VLOOKUP(Table48[[#This Row],[Date]],'DB LEI'!$A:$M,13)=0,"",VLOOKUP(Table48[[#This Row],[Date]],'DB LEI'!$A:$M,13))</f>
        <v/>
      </c>
      <c r="D342" s="24">
        <f>IF(VLOOKUP(Table48[[#This Row],[Date]],'DB LEI'!$A:$M,11)=0,"",VLOOKUP(Table48[[#This Row],[Date]],'DB LEI'!$A:$M,11))</f>
        <v/>
      </c>
    </row>
    <row r="343">
      <c r="A343" s="23" t="n">
        <v>38718</v>
      </c>
      <c r="B343" s="18">
        <f>VLOOKUP(Table48[[#This Row],[Date]],'DB LEI'!$A:$F,5)</f>
        <v/>
      </c>
      <c r="C343" s="24">
        <f>IF(VLOOKUP(Table48[[#This Row],[Date]],'DB LEI'!$A:$M,13)=0,"",VLOOKUP(Table48[[#This Row],[Date]],'DB LEI'!$A:$M,13))</f>
        <v/>
      </c>
      <c r="D343" s="24">
        <f>IF(VLOOKUP(Table48[[#This Row],[Date]],'DB LEI'!$A:$M,11)=0,"",VLOOKUP(Table48[[#This Row],[Date]],'DB LEI'!$A:$M,11))</f>
        <v/>
      </c>
    </row>
    <row r="344">
      <c r="A344" s="23" t="n">
        <v>38749</v>
      </c>
      <c r="B344" s="18">
        <f>VLOOKUP(Table48[[#This Row],[Date]],'DB LEI'!$A:$F,5)</f>
        <v/>
      </c>
      <c r="C344" s="24">
        <f>IF(VLOOKUP(Table48[[#This Row],[Date]],'DB LEI'!$A:$M,13)=0,"",VLOOKUP(Table48[[#This Row],[Date]],'DB LEI'!$A:$M,13))</f>
        <v/>
      </c>
      <c r="D344" s="24">
        <f>IF(VLOOKUP(Table48[[#This Row],[Date]],'DB LEI'!$A:$M,11)=0,"",VLOOKUP(Table48[[#This Row],[Date]],'DB LEI'!$A:$M,11))</f>
        <v/>
      </c>
    </row>
    <row r="345">
      <c r="A345" s="23" t="n">
        <v>38777</v>
      </c>
      <c r="B345" s="18">
        <f>VLOOKUP(Table48[[#This Row],[Date]],'DB LEI'!$A:$F,5)</f>
        <v/>
      </c>
      <c r="C345" s="24">
        <f>IF(VLOOKUP(Table48[[#This Row],[Date]],'DB LEI'!$A:$M,13)=0,"",VLOOKUP(Table48[[#This Row],[Date]],'DB LEI'!$A:$M,13))</f>
        <v/>
      </c>
      <c r="D345" s="24">
        <f>IF(VLOOKUP(Table48[[#This Row],[Date]],'DB LEI'!$A:$M,11)=0,"",VLOOKUP(Table48[[#This Row],[Date]],'DB LEI'!$A:$M,11))</f>
        <v/>
      </c>
    </row>
    <row r="346">
      <c r="A346" s="23" t="n">
        <v>38808</v>
      </c>
      <c r="B346" s="18">
        <f>VLOOKUP(Table48[[#This Row],[Date]],'DB LEI'!$A:$F,5)</f>
        <v/>
      </c>
      <c r="C346" s="24">
        <f>IF(VLOOKUP(Table48[[#This Row],[Date]],'DB LEI'!$A:$M,13)=0,"",VLOOKUP(Table48[[#This Row],[Date]],'DB LEI'!$A:$M,13))</f>
        <v/>
      </c>
      <c r="D346" s="24">
        <f>IF(VLOOKUP(Table48[[#This Row],[Date]],'DB LEI'!$A:$M,11)=0,"",VLOOKUP(Table48[[#This Row],[Date]],'DB LEI'!$A:$M,11))</f>
        <v/>
      </c>
    </row>
    <row r="347">
      <c r="A347" s="23" t="n">
        <v>38838</v>
      </c>
      <c r="B347" s="18">
        <f>VLOOKUP(Table48[[#This Row],[Date]],'DB LEI'!$A:$F,5)</f>
        <v/>
      </c>
      <c r="C347" s="24">
        <f>IF(VLOOKUP(Table48[[#This Row],[Date]],'DB LEI'!$A:$M,13)=0,"",VLOOKUP(Table48[[#This Row],[Date]],'DB LEI'!$A:$M,13))</f>
        <v/>
      </c>
      <c r="D347" s="24">
        <f>IF(VLOOKUP(Table48[[#This Row],[Date]],'DB LEI'!$A:$M,11)=0,"",VLOOKUP(Table48[[#This Row],[Date]],'DB LEI'!$A:$M,11))</f>
        <v/>
      </c>
    </row>
    <row r="348">
      <c r="A348" s="23" t="n">
        <v>38869</v>
      </c>
      <c r="B348" s="18">
        <f>VLOOKUP(Table48[[#This Row],[Date]],'DB LEI'!$A:$F,5)</f>
        <v/>
      </c>
      <c r="C348" s="24">
        <f>IF(VLOOKUP(Table48[[#This Row],[Date]],'DB LEI'!$A:$M,13)=0,"",VLOOKUP(Table48[[#This Row],[Date]],'DB LEI'!$A:$M,13))</f>
        <v/>
      </c>
      <c r="D348" s="24">
        <f>IF(VLOOKUP(Table48[[#This Row],[Date]],'DB LEI'!$A:$M,11)=0,"",VLOOKUP(Table48[[#This Row],[Date]],'DB LEI'!$A:$M,11))</f>
        <v/>
      </c>
    </row>
    <row r="349">
      <c r="A349" s="23" t="n">
        <v>38899</v>
      </c>
      <c r="B349" s="18">
        <f>VLOOKUP(Table48[[#This Row],[Date]],'DB LEI'!$A:$F,5)</f>
        <v/>
      </c>
      <c r="C349" s="24">
        <f>IF(VLOOKUP(Table48[[#This Row],[Date]],'DB LEI'!$A:$M,13)=0,"",VLOOKUP(Table48[[#This Row],[Date]],'DB LEI'!$A:$M,13))</f>
        <v/>
      </c>
      <c r="D349" s="24">
        <f>IF(VLOOKUP(Table48[[#This Row],[Date]],'DB LEI'!$A:$M,11)=0,"",VLOOKUP(Table48[[#This Row],[Date]],'DB LEI'!$A:$M,11))</f>
        <v/>
      </c>
    </row>
    <row r="350">
      <c r="A350" s="23" t="n">
        <v>38930</v>
      </c>
      <c r="B350" s="18">
        <f>VLOOKUP(Table48[[#This Row],[Date]],'DB LEI'!$A:$F,5)</f>
        <v/>
      </c>
      <c r="C350" s="24">
        <f>IF(VLOOKUP(Table48[[#This Row],[Date]],'DB LEI'!$A:$M,13)=0,"",VLOOKUP(Table48[[#This Row],[Date]],'DB LEI'!$A:$M,13))</f>
        <v/>
      </c>
      <c r="D350" s="24">
        <f>IF(VLOOKUP(Table48[[#This Row],[Date]],'DB LEI'!$A:$M,11)=0,"",VLOOKUP(Table48[[#This Row],[Date]],'DB LEI'!$A:$M,11))</f>
        <v/>
      </c>
    </row>
    <row r="351">
      <c r="A351" s="23" t="n">
        <v>38961</v>
      </c>
      <c r="B351" s="18">
        <f>VLOOKUP(Table48[[#This Row],[Date]],'DB LEI'!$A:$F,5)</f>
        <v/>
      </c>
      <c r="C351" s="24">
        <f>IF(VLOOKUP(Table48[[#This Row],[Date]],'DB LEI'!$A:$M,13)=0,"",VLOOKUP(Table48[[#This Row],[Date]],'DB LEI'!$A:$M,13))</f>
        <v/>
      </c>
      <c r="D351" s="24">
        <f>IF(VLOOKUP(Table48[[#This Row],[Date]],'DB LEI'!$A:$M,11)=0,"",VLOOKUP(Table48[[#This Row],[Date]],'DB LEI'!$A:$M,11))</f>
        <v/>
      </c>
    </row>
    <row r="352">
      <c r="A352" s="23" t="n">
        <v>38991</v>
      </c>
      <c r="B352" s="18">
        <f>VLOOKUP(Table48[[#This Row],[Date]],'DB LEI'!$A:$F,5)</f>
        <v/>
      </c>
      <c r="C352" s="24">
        <f>IF(VLOOKUP(Table48[[#This Row],[Date]],'DB LEI'!$A:$M,13)=0,"",VLOOKUP(Table48[[#This Row],[Date]],'DB LEI'!$A:$M,13))</f>
        <v/>
      </c>
      <c r="D352" s="24">
        <f>IF(VLOOKUP(Table48[[#This Row],[Date]],'DB LEI'!$A:$M,11)=0,"",VLOOKUP(Table48[[#This Row],[Date]],'DB LEI'!$A:$M,11))</f>
        <v/>
      </c>
    </row>
    <row r="353">
      <c r="A353" s="23" t="n">
        <v>39022</v>
      </c>
      <c r="B353" s="18">
        <f>VLOOKUP(Table48[[#This Row],[Date]],'DB LEI'!$A:$F,5)</f>
        <v/>
      </c>
      <c r="C353" s="24">
        <f>IF(VLOOKUP(Table48[[#This Row],[Date]],'DB LEI'!$A:$M,13)=0,"",VLOOKUP(Table48[[#This Row],[Date]],'DB LEI'!$A:$M,13))</f>
        <v/>
      </c>
      <c r="D353" s="24">
        <f>IF(VLOOKUP(Table48[[#This Row],[Date]],'DB LEI'!$A:$M,11)=0,"",VLOOKUP(Table48[[#This Row],[Date]],'DB LEI'!$A:$M,11))</f>
        <v/>
      </c>
    </row>
    <row r="354">
      <c r="A354" s="23" t="n">
        <v>39052</v>
      </c>
      <c r="B354" s="18">
        <f>VLOOKUP(Table48[[#This Row],[Date]],'DB LEI'!$A:$F,5)</f>
        <v/>
      </c>
      <c r="C354" s="24">
        <f>IF(VLOOKUP(Table48[[#This Row],[Date]],'DB LEI'!$A:$M,13)=0,"",VLOOKUP(Table48[[#This Row],[Date]],'DB LEI'!$A:$M,13))</f>
        <v/>
      </c>
      <c r="D354" s="24">
        <f>IF(VLOOKUP(Table48[[#This Row],[Date]],'DB LEI'!$A:$M,11)=0,"",VLOOKUP(Table48[[#This Row],[Date]],'DB LEI'!$A:$M,11))</f>
        <v/>
      </c>
    </row>
    <row r="355">
      <c r="A355" s="23" t="n">
        <v>39083</v>
      </c>
      <c r="B355" s="18">
        <f>VLOOKUP(Table48[[#This Row],[Date]],'DB LEI'!$A:$F,5)</f>
        <v/>
      </c>
      <c r="C355" s="24">
        <f>IF(VLOOKUP(Table48[[#This Row],[Date]],'DB LEI'!$A:$M,13)=0,"",VLOOKUP(Table48[[#This Row],[Date]],'DB LEI'!$A:$M,13))</f>
        <v/>
      </c>
      <c r="D355" s="24">
        <f>IF(VLOOKUP(Table48[[#This Row],[Date]],'DB LEI'!$A:$M,11)=0,"",VLOOKUP(Table48[[#This Row],[Date]],'DB LEI'!$A:$M,11))</f>
        <v/>
      </c>
    </row>
    <row r="356">
      <c r="A356" s="23" t="n">
        <v>39114</v>
      </c>
      <c r="B356" s="18">
        <f>VLOOKUP(Table48[[#This Row],[Date]],'DB LEI'!$A:$F,5)</f>
        <v/>
      </c>
      <c r="C356" s="24">
        <f>IF(VLOOKUP(Table48[[#This Row],[Date]],'DB LEI'!$A:$M,13)=0,"",VLOOKUP(Table48[[#This Row],[Date]],'DB LEI'!$A:$M,13))</f>
        <v/>
      </c>
      <c r="D356" s="24">
        <f>IF(VLOOKUP(Table48[[#This Row],[Date]],'DB LEI'!$A:$M,11)=0,"",VLOOKUP(Table48[[#This Row],[Date]],'DB LEI'!$A:$M,11))</f>
        <v/>
      </c>
    </row>
    <row r="357">
      <c r="A357" s="23" t="n">
        <v>39142</v>
      </c>
      <c r="B357" s="18">
        <f>VLOOKUP(Table48[[#This Row],[Date]],'DB LEI'!$A:$F,5)</f>
        <v/>
      </c>
      <c r="C357" s="24">
        <f>IF(VLOOKUP(Table48[[#This Row],[Date]],'DB LEI'!$A:$M,13)=0,"",VLOOKUP(Table48[[#This Row],[Date]],'DB LEI'!$A:$M,13))</f>
        <v/>
      </c>
      <c r="D357" s="24">
        <f>IF(VLOOKUP(Table48[[#This Row],[Date]],'DB LEI'!$A:$M,11)=0,"",VLOOKUP(Table48[[#This Row],[Date]],'DB LEI'!$A:$M,11))</f>
        <v/>
      </c>
    </row>
    <row r="358">
      <c r="A358" s="23" t="n">
        <v>39173</v>
      </c>
      <c r="B358" s="18">
        <f>VLOOKUP(Table48[[#This Row],[Date]],'DB LEI'!$A:$F,5)</f>
        <v/>
      </c>
      <c r="C358" s="24">
        <f>IF(VLOOKUP(Table48[[#This Row],[Date]],'DB LEI'!$A:$M,13)=0,"",VLOOKUP(Table48[[#This Row],[Date]],'DB LEI'!$A:$M,13))</f>
        <v/>
      </c>
      <c r="D358" s="24">
        <f>IF(VLOOKUP(Table48[[#This Row],[Date]],'DB LEI'!$A:$M,11)=0,"",VLOOKUP(Table48[[#This Row],[Date]],'DB LEI'!$A:$M,11))</f>
        <v/>
      </c>
    </row>
    <row r="359">
      <c r="A359" s="23" t="n">
        <v>39203</v>
      </c>
      <c r="B359" s="18">
        <f>VLOOKUP(Table48[[#This Row],[Date]],'DB LEI'!$A:$F,5)</f>
        <v/>
      </c>
      <c r="C359" s="24">
        <f>IF(VLOOKUP(Table48[[#This Row],[Date]],'DB LEI'!$A:$M,13)=0,"",VLOOKUP(Table48[[#This Row],[Date]],'DB LEI'!$A:$M,13))</f>
        <v/>
      </c>
      <c r="D359" s="24">
        <f>IF(VLOOKUP(Table48[[#This Row],[Date]],'DB LEI'!$A:$M,11)=0,"",VLOOKUP(Table48[[#This Row],[Date]],'DB LEI'!$A:$M,11))</f>
        <v/>
      </c>
    </row>
    <row r="360">
      <c r="A360" s="23" t="n">
        <v>39234</v>
      </c>
      <c r="B360" s="18">
        <f>VLOOKUP(Table48[[#This Row],[Date]],'DB LEI'!$A:$F,5)</f>
        <v/>
      </c>
      <c r="C360" s="24">
        <f>IF(VLOOKUP(Table48[[#This Row],[Date]],'DB LEI'!$A:$M,13)=0,"",VLOOKUP(Table48[[#This Row],[Date]],'DB LEI'!$A:$M,13))</f>
        <v/>
      </c>
      <c r="D360" s="24">
        <f>IF(VLOOKUP(Table48[[#This Row],[Date]],'DB LEI'!$A:$M,11)=0,"",VLOOKUP(Table48[[#This Row],[Date]],'DB LEI'!$A:$M,11))</f>
        <v/>
      </c>
    </row>
    <row r="361">
      <c r="A361" s="23" t="n">
        <v>39264</v>
      </c>
      <c r="B361" s="18">
        <f>VLOOKUP(Table48[[#This Row],[Date]],'DB LEI'!$A:$F,5)</f>
        <v/>
      </c>
      <c r="C361" s="24">
        <f>IF(VLOOKUP(Table48[[#This Row],[Date]],'DB LEI'!$A:$M,13)=0,"",VLOOKUP(Table48[[#This Row],[Date]],'DB LEI'!$A:$M,13))</f>
        <v/>
      </c>
      <c r="D361" s="24">
        <f>IF(VLOOKUP(Table48[[#This Row],[Date]],'DB LEI'!$A:$M,11)=0,"",VLOOKUP(Table48[[#This Row],[Date]],'DB LEI'!$A:$M,11))</f>
        <v/>
      </c>
    </row>
    <row r="362">
      <c r="A362" s="23" t="n">
        <v>39295</v>
      </c>
      <c r="B362" s="18">
        <f>VLOOKUP(Table48[[#This Row],[Date]],'DB LEI'!$A:$F,5)</f>
        <v/>
      </c>
      <c r="C362" s="24">
        <f>IF(VLOOKUP(Table48[[#This Row],[Date]],'DB LEI'!$A:$M,13)=0,"",VLOOKUP(Table48[[#This Row],[Date]],'DB LEI'!$A:$M,13))</f>
        <v/>
      </c>
      <c r="D362" s="24">
        <f>IF(VLOOKUP(Table48[[#This Row],[Date]],'DB LEI'!$A:$M,11)=0,"",VLOOKUP(Table48[[#This Row],[Date]],'DB LEI'!$A:$M,11))</f>
        <v/>
      </c>
    </row>
    <row r="363">
      <c r="A363" s="23" t="n">
        <v>39326</v>
      </c>
      <c r="B363" s="18">
        <f>VLOOKUP(Table48[[#This Row],[Date]],'DB LEI'!$A:$F,5)</f>
        <v/>
      </c>
      <c r="C363" s="24">
        <f>IF(VLOOKUP(Table48[[#This Row],[Date]],'DB LEI'!$A:$M,13)=0,"",VLOOKUP(Table48[[#This Row],[Date]],'DB LEI'!$A:$M,13))</f>
        <v/>
      </c>
      <c r="D363" s="24">
        <f>IF(VLOOKUP(Table48[[#This Row],[Date]],'DB LEI'!$A:$M,11)=0,"",VLOOKUP(Table48[[#This Row],[Date]],'DB LEI'!$A:$M,11))</f>
        <v/>
      </c>
    </row>
    <row r="364">
      <c r="A364" s="23" t="n">
        <v>39356</v>
      </c>
      <c r="B364" s="18">
        <f>VLOOKUP(Table48[[#This Row],[Date]],'DB LEI'!$A:$F,5)</f>
        <v/>
      </c>
      <c r="C364" s="24">
        <f>IF(VLOOKUP(Table48[[#This Row],[Date]],'DB LEI'!$A:$M,13)=0,"",VLOOKUP(Table48[[#This Row],[Date]],'DB LEI'!$A:$M,13))</f>
        <v/>
      </c>
      <c r="D364" s="24">
        <f>IF(VLOOKUP(Table48[[#This Row],[Date]],'DB LEI'!$A:$M,11)=0,"",VLOOKUP(Table48[[#This Row],[Date]],'DB LEI'!$A:$M,11))</f>
        <v/>
      </c>
    </row>
    <row r="365">
      <c r="A365" s="23" t="n">
        <v>39387</v>
      </c>
      <c r="B365" s="18">
        <f>VLOOKUP(Table48[[#This Row],[Date]],'DB LEI'!$A:$F,5)</f>
        <v/>
      </c>
      <c r="C365" s="24">
        <f>IF(VLOOKUP(Table48[[#This Row],[Date]],'DB LEI'!$A:$M,13)=0,"",VLOOKUP(Table48[[#This Row],[Date]],'DB LEI'!$A:$M,13))</f>
        <v/>
      </c>
      <c r="D365" s="24">
        <f>IF(VLOOKUP(Table48[[#This Row],[Date]],'DB LEI'!$A:$M,11)=0,"",VLOOKUP(Table48[[#This Row],[Date]],'DB LEI'!$A:$M,11))</f>
        <v/>
      </c>
    </row>
    <row r="366">
      <c r="A366" s="23" t="n">
        <v>39417</v>
      </c>
      <c r="B366" s="18">
        <f>VLOOKUP(Table48[[#This Row],[Date]],'DB LEI'!$A:$F,5)</f>
        <v/>
      </c>
      <c r="C366" s="24">
        <f>IF(VLOOKUP(Table48[[#This Row],[Date]],'DB LEI'!$A:$M,13)=0,"",VLOOKUP(Table48[[#This Row],[Date]],'DB LEI'!$A:$M,13))</f>
        <v/>
      </c>
      <c r="D366" s="24">
        <f>IF(VLOOKUP(Table48[[#This Row],[Date]],'DB LEI'!$A:$M,11)=0,"",VLOOKUP(Table48[[#This Row],[Date]],'DB LEI'!$A:$M,11))</f>
        <v/>
      </c>
    </row>
    <row r="367">
      <c r="A367" s="23" t="n">
        <v>39448</v>
      </c>
      <c r="B367" s="18">
        <f>VLOOKUP(Table48[[#This Row],[Date]],'DB LEI'!$A:$F,5)</f>
        <v/>
      </c>
      <c r="C367" s="24">
        <f>IF(VLOOKUP(Table48[[#This Row],[Date]],'DB LEI'!$A:$M,13)=0,"",VLOOKUP(Table48[[#This Row],[Date]],'DB LEI'!$A:$M,13))</f>
        <v/>
      </c>
      <c r="D367" s="24">
        <f>IF(VLOOKUP(Table48[[#This Row],[Date]],'DB LEI'!$A:$M,11)=0,"",VLOOKUP(Table48[[#This Row],[Date]],'DB LEI'!$A:$M,11))</f>
        <v/>
      </c>
    </row>
    <row r="368">
      <c r="A368" s="23" t="n">
        <v>39479</v>
      </c>
      <c r="B368" s="18">
        <f>VLOOKUP(Table48[[#This Row],[Date]],'DB LEI'!$A:$F,5)</f>
        <v/>
      </c>
      <c r="C368" s="24">
        <f>IF(VLOOKUP(Table48[[#This Row],[Date]],'DB LEI'!$A:$M,13)=0,"",VLOOKUP(Table48[[#This Row],[Date]],'DB LEI'!$A:$M,13))</f>
        <v/>
      </c>
      <c r="D368" s="24">
        <f>IF(VLOOKUP(Table48[[#This Row],[Date]],'DB LEI'!$A:$M,11)=0,"",VLOOKUP(Table48[[#This Row],[Date]],'DB LEI'!$A:$M,11))</f>
        <v/>
      </c>
    </row>
    <row r="369">
      <c r="A369" s="23" t="n">
        <v>39508</v>
      </c>
      <c r="B369" s="18">
        <f>VLOOKUP(Table48[[#This Row],[Date]],'DB LEI'!$A:$F,5)</f>
        <v/>
      </c>
      <c r="C369" s="24">
        <f>IF(VLOOKUP(Table48[[#This Row],[Date]],'DB LEI'!$A:$M,13)=0,"",VLOOKUP(Table48[[#This Row],[Date]],'DB LEI'!$A:$M,13))</f>
        <v/>
      </c>
      <c r="D369" s="24">
        <f>IF(VLOOKUP(Table48[[#This Row],[Date]],'DB LEI'!$A:$M,11)=0,"",VLOOKUP(Table48[[#This Row],[Date]],'DB LEI'!$A:$M,11))</f>
        <v/>
      </c>
    </row>
    <row r="370">
      <c r="A370" s="23" t="n">
        <v>39539</v>
      </c>
      <c r="B370" s="18">
        <f>VLOOKUP(Table48[[#This Row],[Date]],'DB LEI'!$A:$F,5)</f>
        <v/>
      </c>
      <c r="C370" s="24">
        <f>IF(VLOOKUP(Table48[[#This Row],[Date]],'DB LEI'!$A:$M,13)=0,"",VLOOKUP(Table48[[#This Row],[Date]],'DB LEI'!$A:$M,13))</f>
        <v/>
      </c>
      <c r="D370" s="24">
        <f>IF(VLOOKUP(Table48[[#This Row],[Date]],'DB LEI'!$A:$M,11)=0,"",VLOOKUP(Table48[[#This Row],[Date]],'DB LEI'!$A:$M,11))</f>
        <v/>
      </c>
    </row>
    <row r="371">
      <c r="A371" s="23" t="n">
        <v>39845</v>
      </c>
      <c r="B371" s="18">
        <f>VLOOKUP(Table48[[#This Row],[Date]],'DB LEI'!$A:$F,5)</f>
        <v/>
      </c>
      <c r="C371" s="24">
        <f>IF(VLOOKUP(Table48[[#This Row],[Date]],'DB LEI'!$A:$M,13)=0,"",VLOOKUP(Table48[[#This Row],[Date]],'DB LEI'!$A:$M,13))</f>
        <v/>
      </c>
      <c r="D371" s="24">
        <f>IF(VLOOKUP(Table48[[#This Row],[Date]],'DB LEI'!$A:$M,11)=0,"",VLOOKUP(Table48[[#This Row],[Date]],'DB LEI'!$A:$M,11))</f>
        <v/>
      </c>
    </row>
    <row r="372">
      <c r="A372" s="23" t="n">
        <v>39600</v>
      </c>
      <c r="B372" s="18">
        <f>VLOOKUP(Table48[[#This Row],[Date]],'DB LEI'!$A:$F,5)</f>
        <v/>
      </c>
      <c r="C372" s="24">
        <f>IF(VLOOKUP(Table48[[#This Row],[Date]],'DB LEI'!$A:$M,13)=0,"",VLOOKUP(Table48[[#This Row],[Date]],'DB LEI'!$A:$M,13))</f>
        <v/>
      </c>
      <c r="D372" s="24">
        <f>IF(VLOOKUP(Table48[[#This Row],[Date]],'DB LEI'!$A:$M,11)=0,"",VLOOKUP(Table48[[#This Row],[Date]],'DB LEI'!$A:$M,11))</f>
        <v/>
      </c>
    </row>
    <row r="373">
      <c r="A373" s="23" t="n">
        <v>39630</v>
      </c>
      <c r="B373" s="18">
        <f>VLOOKUP(Table48[[#This Row],[Date]],'DB LEI'!$A:$F,5)</f>
        <v/>
      </c>
      <c r="C373" s="24">
        <f>IF(VLOOKUP(Table48[[#This Row],[Date]],'DB LEI'!$A:$M,13)=0,"",VLOOKUP(Table48[[#This Row],[Date]],'DB LEI'!$A:$M,13))</f>
        <v/>
      </c>
      <c r="D373" s="24">
        <f>IF(VLOOKUP(Table48[[#This Row],[Date]],'DB LEI'!$A:$M,11)=0,"",VLOOKUP(Table48[[#This Row],[Date]],'DB LEI'!$A:$M,11))</f>
        <v/>
      </c>
    </row>
    <row r="374">
      <c r="A374" s="23" t="n">
        <v>39661</v>
      </c>
      <c r="B374" s="18">
        <f>VLOOKUP(Table48[[#This Row],[Date]],'DB LEI'!$A:$F,5)</f>
        <v/>
      </c>
      <c r="C374" s="24">
        <f>IF(VLOOKUP(Table48[[#This Row],[Date]],'DB LEI'!$A:$M,13)=0,"",VLOOKUP(Table48[[#This Row],[Date]],'DB LEI'!$A:$M,13))</f>
        <v/>
      </c>
      <c r="D374" s="24">
        <f>IF(VLOOKUP(Table48[[#This Row],[Date]],'DB LEI'!$A:$M,11)=0,"",VLOOKUP(Table48[[#This Row],[Date]],'DB LEI'!$A:$M,11))</f>
        <v/>
      </c>
    </row>
    <row r="375">
      <c r="A375" s="23" t="n">
        <v>39692</v>
      </c>
      <c r="B375" s="18">
        <f>VLOOKUP(Table48[[#This Row],[Date]],'DB LEI'!$A:$F,5)</f>
        <v/>
      </c>
      <c r="C375" s="24">
        <f>IF(VLOOKUP(Table48[[#This Row],[Date]],'DB LEI'!$A:$M,13)=0,"",VLOOKUP(Table48[[#This Row],[Date]],'DB LEI'!$A:$M,13))</f>
        <v/>
      </c>
      <c r="D375" s="24">
        <f>IF(VLOOKUP(Table48[[#This Row],[Date]],'DB LEI'!$A:$M,11)=0,"",VLOOKUP(Table48[[#This Row],[Date]],'DB LEI'!$A:$M,11))</f>
        <v/>
      </c>
    </row>
    <row r="376">
      <c r="A376" s="23" t="n">
        <v>29281</v>
      </c>
      <c r="B376" s="18">
        <f>VLOOKUP(Table48[[#This Row],[Date]],'DB LEI'!$A:$F,5)</f>
        <v/>
      </c>
      <c r="C376" s="24">
        <f>IF(VLOOKUP(Table48[[#This Row],[Date]],'DB LEI'!$A:$M,13)=0,"",VLOOKUP(Table48[[#This Row],[Date]],'DB LEI'!$A:$M,13))</f>
        <v/>
      </c>
      <c r="D376" s="24">
        <f>IF(VLOOKUP(Table48[[#This Row],[Date]],'DB LEI'!$A:$M,11)=0,"",VLOOKUP(Table48[[#This Row],[Date]],'DB LEI'!$A:$M,11))</f>
        <v/>
      </c>
    </row>
    <row r="377">
      <c r="A377" s="23" t="n">
        <v>39873</v>
      </c>
      <c r="B377" s="18">
        <f>VLOOKUP(Table48[[#This Row],[Date]],'DB LEI'!$A:$F,5)</f>
        <v/>
      </c>
      <c r="C377" s="24">
        <f>IF(VLOOKUP(Table48[[#This Row],[Date]],'DB LEI'!$A:$M,13)=0,"",VLOOKUP(Table48[[#This Row],[Date]],'DB LEI'!$A:$M,13))</f>
        <v/>
      </c>
      <c r="D377" s="24">
        <f>IF(VLOOKUP(Table48[[#This Row],[Date]],'DB LEI'!$A:$M,11)=0,"",VLOOKUP(Table48[[#This Row],[Date]],'DB LEI'!$A:$M,11))</f>
        <v/>
      </c>
    </row>
    <row r="378">
      <c r="A378" s="23" t="n">
        <v>39783</v>
      </c>
      <c r="B378" s="18">
        <f>VLOOKUP(Table48[[#This Row],[Date]],'DB LEI'!$A:$F,5)</f>
        <v/>
      </c>
      <c r="C378" s="24">
        <f>IF(VLOOKUP(Table48[[#This Row],[Date]],'DB LEI'!$A:$M,13)=0,"",VLOOKUP(Table48[[#This Row],[Date]],'DB LEI'!$A:$M,13))</f>
        <v/>
      </c>
      <c r="D378" s="24">
        <f>IF(VLOOKUP(Table48[[#This Row],[Date]],'DB LEI'!$A:$M,11)=0,"",VLOOKUP(Table48[[#This Row],[Date]],'DB LEI'!$A:$M,11))</f>
        <v/>
      </c>
    </row>
    <row r="379">
      <c r="A379" s="23" t="n">
        <v>39814</v>
      </c>
      <c r="B379" s="18">
        <f>VLOOKUP(Table48[[#This Row],[Date]],'DB LEI'!$A:$F,5)</f>
        <v/>
      </c>
      <c r="C379" s="24">
        <f>IF(VLOOKUP(Table48[[#This Row],[Date]],'DB LEI'!$A:$M,13)=0,"",VLOOKUP(Table48[[#This Row],[Date]],'DB LEI'!$A:$M,13))</f>
        <v/>
      </c>
      <c r="D379" s="24">
        <f>IF(VLOOKUP(Table48[[#This Row],[Date]],'DB LEI'!$A:$M,11)=0,"",VLOOKUP(Table48[[#This Row],[Date]],'DB LEI'!$A:$M,11))</f>
        <v/>
      </c>
    </row>
    <row r="380">
      <c r="A380" s="23" t="n">
        <v>39722</v>
      </c>
      <c r="B380" s="18">
        <f>VLOOKUP(Table48[[#This Row],[Date]],'DB LEI'!$A:$F,5)</f>
        <v/>
      </c>
      <c r="C380" s="24">
        <f>IF(VLOOKUP(Table48[[#This Row],[Date]],'DB LEI'!$A:$M,13)=0,"",VLOOKUP(Table48[[#This Row],[Date]],'DB LEI'!$A:$M,13))</f>
        <v/>
      </c>
      <c r="D380" s="24">
        <f>IF(VLOOKUP(Table48[[#This Row],[Date]],'DB LEI'!$A:$M,11)=0,"",VLOOKUP(Table48[[#This Row],[Date]],'DB LEI'!$A:$M,11))</f>
        <v/>
      </c>
    </row>
    <row r="381">
      <c r="A381" s="23" t="n">
        <v>39873</v>
      </c>
      <c r="B381" s="18">
        <f>VLOOKUP(Table48[[#This Row],[Date]],'DB LEI'!$A:$F,5)</f>
        <v/>
      </c>
      <c r="C381" s="24">
        <f>IF(VLOOKUP(Table48[[#This Row],[Date]],'DB LEI'!$A:$M,13)=0,"",VLOOKUP(Table48[[#This Row],[Date]],'DB LEI'!$A:$M,13))</f>
        <v/>
      </c>
      <c r="D381" s="24">
        <f>IF(VLOOKUP(Table48[[#This Row],[Date]],'DB LEI'!$A:$M,11)=0,"",VLOOKUP(Table48[[#This Row],[Date]],'DB LEI'!$A:$M,11))</f>
        <v/>
      </c>
    </row>
    <row r="382">
      <c r="A382" s="23" t="n">
        <v>39904</v>
      </c>
      <c r="B382" s="18">
        <f>VLOOKUP(Table48[[#This Row],[Date]],'DB LEI'!$A:$F,5)</f>
        <v/>
      </c>
      <c r="C382" s="24">
        <f>IF(VLOOKUP(Table48[[#This Row],[Date]],'DB LEI'!$A:$M,13)=0,"",VLOOKUP(Table48[[#This Row],[Date]],'DB LEI'!$A:$M,13))</f>
        <v/>
      </c>
      <c r="D382" s="24">
        <f>IF(VLOOKUP(Table48[[#This Row],[Date]],'DB LEI'!$A:$M,11)=0,"",VLOOKUP(Table48[[#This Row],[Date]],'DB LEI'!$A:$M,11))</f>
        <v/>
      </c>
    </row>
    <row r="383">
      <c r="A383" s="23" t="n">
        <v>39934</v>
      </c>
      <c r="B383" s="18">
        <f>VLOOKUP(Table48[[#This Row],[Date]],'DB LEI'!$A:$F,5)</f>
        <v/>
      </c>
      <c r="C383" s="24">
        <f>IF(VLOOKUP(Table48[[#This Row],[Date]],'DB LEI'!$A:$M,13)=0,"",VLOOKUP(Table48[[#This Row],[Date]],'DB LEI'!$A:$M,13))</f>
        <v/>
      </c>
      <c r="D383" s="24">
        <f>IF(VLOOKUP(Table48[[#This Row],[Date]],'DB LEI'!$A:$M,11)=0,"",VLOOKUP(Table48[[#This Row],[Date]],'DB LEI'!$A:$M,11))</f>
        <v/>
      </c>
    </row>
    <row r="384">
      <c r="A384" s="23" t="n">
        <v>39973</v>
      </c>
      <c r="B384" s="18">
        <f>VLOOKUP(Table48[[#This Row],[Date]],'DB LEI'!$A:$F,5)</f>
        <v/>
      </c>
      <c r="C384" s="24">
        <f>IF(VLOOKUP(Table48[[#This Row],[Date]],'DB LEI'!$A:$M,13)=0,"",VLOOKUP(Table48[[#This Row],[Date]],'DB LEI'!$A:$M,13))</f>
        <v/>
      </c>
      <c r="D384" s="24">
        <f>IF(VLOOKUP(Table48[[#This Row],[Date]],'DB LEI'!$A:$M,11)=0,"",VLOOKUP(Table48[[#This Row],[Date]],'DB LEI'!$A:$M,11))</f>
        <v/>
      </c>
    </row>
    <row r="385">
      <c r="A385" s="23" t="n">
        <v>39995</v>
      </c>
      <c r="B385" s="18">
        <f>VLOOKUP(Table48[[#This Row],[Date]],'DB LEI'!$A:$F,5)</f>
        <v/>
      </c>
      <c r="C385" s="24">
        <f>IF(VLOOKUP(Table48[[#This Row],[Date]],'DB LEI'!$A:$M,13)=0,"",VLOOKUP(Table48[[#This Row],[Date]],'DB LEI'!$A:$M,13))</f>
        <v/>
      </c>
      <c r="D385" s="24">
        <f>IF(VLOOKUP(Table48[[#This Row],[Date]],'DB LEI'!$A:$M,11)=0,"",VLOOKUP(Table48[[#This Row],[Date]],'DB LEI'!$A:$M,11))</f>
        <v/>
      </c>
    </row>
    <row r="386">
      <c r="A386" s="23" t="n">
        <v>40026</v>
      </c>
      <c r="B386" s="18">
        <f>VLOOKUP(Table48[[#This Row],[Date]],'DB LEI'!$A:$F,5)</f>
        <v/>
      </c>
      <c r="C386" s="24">
        <f>IF(VLOOKUP(Table48[[#This Row],[Date]],'DB LEI'!$A:$M,13)=0,"",VLOOKUP(Table48[[#This Row],[Date]],'DB LEI'!$A:$M,13))</f>
        <v/>
      </c>
      <c r="D386" s="24">
        <f>IF(VLOOKUP(Table48[[#This Row],[Date]],'DB LEI'!$A:$M,11)=0,"",VLOOKUP(Table48[[#This Row],[Date]],'DB LEI'!$A:$M,11))</f>
        <v/>
      </c>
    </row>
    <row r="387">
      <c r="A387" s="23" t="n">
        <v>40057</v>
      </c>
      <c r="B387" s="18">
        <f>VLOOKUP(Table48[[#This Row],[Date]],'DB LEI'!$A:$F,5)</f>
        <v/>
      </c>
      <c r="C387" s="24">
        <f>IF(VLOOKUP(Table48[[#This Row],[Date]],'DB LEI'!$A:$M,13)=0,"",VLOOKUP(Table48[[#This Row],[Date]],'DB LEI'!$A:$M,13))</f>
        <v/>
      </c>
      <c r="D387" s="24">
        <f>IF(VLOOKUP(Table48[[#This Row],[Date]],'DB LEI'!$A:$M,11)=0,"",VLOOKUP(Table48[[#This Row],[Date]],'DB LEI'!$A:$M,11))</f>
        <v/>
      </c>
    </row>
    <row r="388">
      <c r="A388" s="23" t="n">
        <v>40087</v>
      </c>
      <c r="B388" s="18">
        <f>VLOOKUP(Table48[[#This Row],[Date]],'DB LEI'!$A:$F,5)</f>
        <v/>
      </c>
      <c r="C388" s="24">
        <f>IF(VLOOKUP(Table48[[#This Row],[Date]],'DB LEI'!$A:$M,13)=0,"",VLOOKUP(Table48[[#This Row],[Date]],'DB LEI'!$A:$M,13))</f>
        <v/>
      </c>
      <c r="D388" s="24">
        <f>IF(VLOOKUP(Table48[[#This Row],[Date]],'DB LEI'!$A:$M,11)=0,"",VLOOKUP(Table48[[#This Row],[Date]],'DB LEI'!$A:$M,11))</f>
        <v/>
      </c>
    </row>
    <row r="389">
      <c r="A389" s="23" t="n">
        <v>40118</v>
      </c>
      <c r="B389" s="18">
        <f>VLOOKUP(Table48[[#This Row],[Date]],'DB LEI'!$A:$F,5)</f>
        <v/>
      </c>
      <c r="C389" s="24">
        <f>IF(VLOOKUP(Table48[[#This Row],[Date]],'DB LEI'!$A:$M,13)=0,"",VLOOKUP(Table48[[#This Row],[Date]],'DB LEI'!$A:$M,13))</f>
        <v/>
      </c>
      <c r="D389" s="24">
        <f>IF(VLOOKUP(Table48[[#This Row],[Date]],'DB LEI'!$A:$M,11)=0,"",VLOOKUP(Table48[[#This Row],[Date]],'DB LEI'!$A:$M,11))</f>
        <v/>
      </c>
    </row>
    <row r="390">
      <c r="A390" s="23" t="n">
        <v>40148</v>
      </c>
      <c r="B390" s="18">
        <f>VLOOKUP(Table48[[#This Row],[Date]],'DB LEI'!$A:$F,5)</f>
        <v/>
      </c>
      <c r="C390" s="24">
        <f>IF(VLOOKUP(Table48[[#This Row],[Date]],'DB LEI'!$A:$M,13)=0,"",VLOOKUP(Table48[[#This Row],[Date]],'DB LEI'!$A:$M,13))</f>
        <v/>
      </c>
      <c r="D390" s="24">
        <f>IF(VLOOKUP(Table48[[#This Row],[Date]],'DB LEI'!$A:$M,11)=0,"",VLOOKUP(Table48[[#This Row],[Date]],'DB LEI'!$A:$M,11))</f>
        <v/>
      </c>
    </row>
    <row r="391">
      <c r="A391" s="23" t="n">
        <v>40179</v>
      </c>
      <c r="B391" s="18">
        <f>VLOOKUP(Table48[[#This Row],[Date]],'DB LEI'!$A:$F,5)</f>
        <v/>
      </c>
      <c r="C391" s="24">
        <f>IF(VLOOKUP(Table48[[#This Row],[Date]],'DB LEI'!$A:$M,13)=0,"",VLOOKUP(Table48[[#This Row],[Date]],'DB LEI'!$A:$M,13))</f>
        <v/>
      </c>
      <c r="D391" s="24">
        <f>IF(VLOOKUP(Table48[[#This Row],[Date]],'DB LEI'!$A:$M,11)=0,"",VLOOKUP(Table48[[#This Row],[Date]],'DB LEI'!$A:$M,11))</f>
        <v/>
      </c>
    </row>
    <row r="392">
      <c r="A392" s="23" t="n">
        <v>40210</v>
      </c>
      <c r="B392" s="18">
        <f>VLOOKUP(Table48[[#This Row],[Date]],'DB LEI'!$A:$F,5)</f>
        <v/>
      </c>
      <c r="C392" s="24">
        <f>IF(VLOOKUP(Table48[[#This Row],[Date]],'DB LEI'!$A:$M,13)=0,"",VLOOKUP(Table48[[#This Row],[Date]],'DB LEI'!$A:$M,13))</f>
        <v/>
      </c>
      <c r="D392" s="24">
        <f>IF(VLOOKUP(Table48[[#This Row],[Date]],'DB LEI'!$A:$M,11)=0,"",VLOOKUP(Table48[[#This Row],[Date]],'DB LEI'!$A:$M,11))</f>
        <v/>
      </c>
    </row>
    <row r="393">
      <c r="A393" s="23" t="n">
        <v>40238</v>
      </c>
      <c r="B393" s="18">
        <f>VLOOKUP(Table48[[#This Row],[Date]],'DB LEI'!$A:$F,5)</f>
        <v/>
      </c>
      <c r="C393" s="24">
        <f>IF(VLOOKUP(Table48[[#This Row],[Date]],'DB LEI'!$A:$M,13)=0,"",VLOOKUP(Table48[[#This Row],[Date]],'DB LEI'!$A:$M,13))</f>
        <v/>
      </c>
      <c r="D393" s="24">
        <f>IF(VLOOKUP(Table48[[#This Row],[Date]],'DB LEI'!$A:$M,11)=0,"",VLOOKUP(Table48[[#This Row],[Date]],'DB LEI'!$A:$M,11))</f>
        <v/>
      </c>
    </row>
    <row r="394">
      <c r="A394" s="23" t="n">
        <v>40269</v>
      </c>
      <c r="B394" s="18">
        <f>VLOOKUP(Table48[[#This Row],[Date]],'DB LEI'!$A:$F,5)</f>
        <v/>
      </c>
      <c r="C394" s="24">
        <f>IF(VLOOKUP(Table48[[#This Row],[Date]],'DB LEI'!$A:$M,13)=0,"",VLOOKUP(Table48[[#This Row],[Date]],'DB LEI'!$A:$M,13))</f>
        <v/>
      </c>
      <c r="D394" s="24">
        <f>IF(VLOOKUP(Table48[[#This Row],[Date]],'DB LEI'!$A:$M,11)=0,"",VLOOKUP(Table48[[#This Row],[Date]],'DB LEI'!$A:$M,11))</f>
        <v/>
      </c>
    </row>
    <row r="395">
      <c r="A395" s="23" t="n">
        <v>40299</v>
      </c>
      <c r="B395" s="18">
        <f>VLOOKUP(Table48[[#This Row],[Date]],'DB LEI'!$A:$F,5)</f>
        <v/>
      </c>
      <c r="C395" s="24">
        <f>IF(VLOOKUP(Table48[[#This Row],[Date]],'DB LEI'!$A:$M,13)=0,"",VLOOKUP(Table48[[#This Row],[Date]],'DB LEI'!$A:$M,13))</f>
        <v/>
      </c>
      <c r="D395" s="24">
        <f>IF(VLOOKUP(Table48[[#This Row],[Date]],'DB LEI'!$A:$M,11)=0,"",VLOOKUP(Table48[[#This Row],[Date]],'DB LEI'!$A:$M,11))</f>
        <v/>
      </c>
    </row>
    <row r="396">
      <c r="A396" s="23" t="n">
        <v>40330</v>
      </c>
      <c r="B396" s="18">
        <f>VLOOKUP(Table48[[#This Row],[Date]],'DB LEI'!$A:$F,5)</f>
        <v/>
      </c>
      <c r="C396" s="24">
        <f>IF(VLOOKUP(Table48[[#This Row],[Date]],'DB LEI'!$A:$M,13)=0,"",VLOOKUP(Table48[[#This Row],[Date]],'DB LEI'!$A:$M,13))</f>
        <v/>
      </c>
      <c r="D396" s="24">
        <f>IF(VLOOKUP(Table48[[#This Row],[Date]],'DB LEI'!$A:$M,11)=0,"",VLOOKUP(Table48[[#This Row],[Date]],'DB LEI'!$A:$M,11))</f>
        <v/>
      </c>
    </row>
    <row r="397">
      <c r="A397" s="23" t="n">
        <v>40360</v>
      </c>
      <c r="B397" s="18">
        <f>VLOOKUP(Table48[[#This Row],[Date]],'DB LEI'!$A:$F,5)</f>
        <v/>
      </c>
      <c r="C397" s="24">
        <f>IF(VLOOKUP(Table48[[#This Row],[Date]],'DB LEI'!$A:$M,13)=0,"",VLOOKUP(Table48[[#This Row],[Date]],'DB LEI'!$A:$M,13))</f>
        <v/>
      </c>
      <c r="D397" s="24">
        <f>IF(VLOOKUP(Table48[[#This Row],[Date]],'DB LEI'!$A:$M,11)=0,"",VLOOKUP(Table48[[#This Row],[Date]],'DB LEI'!$A:$M,11))</f>
        <v/>
      </c>
    </row>
    <row r="398">
      <c r="A398" s="23" t="n">
        <v>40391</v>
      </c>
      <c r="B398" s="18">
        <f>VLOOKUP(Table48[[#This Row],[Date]],'DB LEI'!$A:$F,5)</f>
        <v/>
      </c>
      <c r="C398" s="24">
        <f>IF(VLOOKUP(Table48[[#This Row],[Date]],'DB LEI'!$A:$M,13)=0,"",VLOOKUP(Table48[[#This Row],[Date]],'DB LEI'!$A:$M,13))</f>
        <v/>
      </c>
      <c r="D398" s="24">
        <f>IF(VLOOKUP(Table48[[#This Row],[Date]],'DB LEI'!$A:$M,11)=0,"",VLOOKUP(Table48[[#This Row],[Date]],'DB LEI'!$A:$M,11))</f>
        <v/>
      </c>
    </row>
    <row r="399">
      <c r="A399" s="23" t="n">
        <v>40422</v>
      </c>
      <c r="B399" s="18">
        <f>VLOOKUP(Table48[[#This Row],[Date]],'DB LEI'!$A:$F,5)</f>
        <v/>
      </c>
      <c r="C399" s="24">
        <f>IF(VLOOKUP(Table48[[#This Row],[Date]],'DB LEI'!$A:$M,13)=0,"",VLOOKUP(Table48[[#This Row],[Date]],'DB LEI'!$A:$M,13))</f>
        <v/>
      </c>
      <c r="D399" s="24">
        <f>IF(VLOOKUP(Table48[[#This Row],[Date]],'DB LEI'!$A:$M,11)=0,"",VLOOKUP(Table48[[#This Row],[Date]],'DB LEI'!$A:$M,11))</f>
        <v/>
      </c>
    </row>
    <row r="400">
      <c r="A400" s="23" t="n">
        <v>40452</v>
      </c>
      <c r="B400" s="18">
        <f>VLOOKUP(Table48[[#This Row],[Date]],'DB LEI'!$A:$F,5)</f>
        <v/>
      </c>
      <c r="C400" s="24">
        <f>IF(VLOOKUP(Table48[[#This Row],[Date]],'DB LEI'!$A:$M,13)=0,"",VLOOKUP(Table48[[#This Row],[Date]],'DB LEI'!$A:$M,13))</f>
        <v/>
      </c>
      <c r="D400" s="24">
        <f>IF(VLOOKUP(Table48[[#This Row],[Date]],'DB LEI'!$A:$M,11)=0,"",VLOOKUP(Table48[[#This Row],[Date]],'DB LEI'!$A:$M,11))</f>
        <v/>
      </c>
    </row>
    <row r="401">
      <c r="A401" s="23" t="n">
        <v>40483</v>
      </c>
      <c r="B401" s="18">
        <f>VLOOKUP(Table48[[#This Row],[Date]],'DB LEI'!$A:$F,5)</f>
        <v/>
      </c>
      <c r="C401" s="24">
        <f>IF(VLOOKUP(Table48[[#This Row],[Date]],'DB LEI'!$A:$M,13)=0,"",VLOOKUP(Table48[[#This Row],[Date]],'DB LEI'!$A:$M,13))</f>
        <v/>
      </c>
      <c r="D401" s="24">
        <f>IF(VLOOKUP(Table48[[#This Row],[Date]],'DB LEI'!$A:$M,11)=0,"",VLOOKUP(Table48[[#This Row],[Date]],'DB LEI'!$A:$M,11))</f>
        <v/>
      </c>
    </row>
    <row r="402">
      <c r="A402" s="23" t="n">
        <v>40513</v>
      </c>
      <c r="B402" s="18">
        <f>VLOOKUP(Table48[[#This Row],[Date]],'DB LEI'!$A:$F,5)</f>
        <v/>
      </c>
      <c r="C402" s="24">
        <f>IF(VLOOKUP(Table48[[#This Row],[Date]],'DB LEI'!$A:$M,13)=0,"",VLOOKUP(Table48[[#This Row],[Date]],'DB LEI'!$A:$M,13))</f>
        <v/>
      </c>
      <c r="D402" s="24">
        <f>IF(VLOOKUP(Table48[[#This Row],[Date]],'DB LEI'!$A:$M,11)=0,"",VLOOKUP(Table48[[#This Row],[Date]],'DB LEI'!$A:$M,11))</f>
        <v/>
      </c>
    </row>
    <row r="403">
      <c r="A403" s="23" t="n">
        <v>40544</v>
      </c>
      <c r="B403" s="18">
        <f>VLOOKUP(Table48[[#This Row],[Date]],'DB LEI'!$A:$F,5)</f>
        <v/>
      </c>
      <c r="C403" s="24">
        <f>IF(VLOOKUP(Table48[[#This Row],[Date]],'DB LEI'!$A:$M,13)=0,"",VLOOKUP(Table48[[#This Row],[Date]],'DB LEI'!$A:$M,13))</f>
        <v/>
      </c>
      <c r="D403" s="24">
        <f>IF(VLOOKUP(Table48[[#This Row],[Date]],'DB LEI'!$A:$M,11)=0,"",VLOOKUP(Table48[[#This Row],[Date]],'DB LEI'!$A:$M,11))</f>
        <v/>
      </c>
    </row>
    <row r="404">
      <c r="A404" s="23" t="n">
        <v>40575</v>
      </c>
      <c r="B404" s="18">
        <f>VLOOKUP(Table48[[#This Row],[Date]],'DB LEI'!$A:$F,5)</f>
        <v/>
      </c>
      <c r="C404" s="24">
        <f>IF(VLOOKUP(Table48[[#This Row],[Date]],'DB LEI'!$A:$M,13)=0,"",VLOOKUP(Table48[[#This Row],[Date]],'DB LEI'!$A:$M,13))</f>
        <v/>
      </c>
      <c r="D404" s="24">
        <f>IF(VLOOKUP(Table48[[#This Row],[Date]],'DB LEI'!$A:$M,11)=0,"",VLOOKUP(Table48[[#This Row],[Date]],'DB LEI'!$A:$M,11))</f>
        <v/>
      </c>
    </row>
    <row r="405">
      <c r="A405" s="23" t="n">
        <v>40603</v>
      </c>
      <c r="B405" s="18">
        <f>VLOOKUP(Table48[[#This Row],[Date]],'DB LEI'!$A:$F,5)</f>
        <v/>
      </c>
      <c r="C405" s="24">
        <f>IF(VLOOKUP(Table48[[#This Row],[Date]],'DB LEI'!$A:$M,13)=0,"",VLOOKUP(Table48[[#This Row],[Date]],'DB LEI'!$A:$M,13))</f>
        <v/>
      </c>
      <c r="D405" s="24">
        <f>IF(VLOOKUP(Table48[[#This Row],[Date]],'DB LEI'!$A:$M,11)=0,"",VLOOKUP(Table48[[#This Row],[Date]],'DB LEI'!$A:$M,11))</f>
        <v/>
      </c>
    </row>
    <row r="406">
      <c r="A406" s="23" t="n">
        <v>40634</v>
      </c>
      <c r="B406" s="18">
        <f>VLOOKUP(Table48[[#This Row],[Date]],'DB LEI'!$A:$F,5)</f>
        <v/>
      </c>
      <c r="C406" s="24">
        <f>IF(VLOOKUP(Table48[[#This Row],[Date]],'DB LEI'!$A:$M,13)=0,"",VLOOKUP(Table48[[#This Row],[Date]],'DB LEI'!$A:$M,13))</f>
        <v/>
      </c>
      <c r="D406" s="24">
        <f>IF(VLOOKUP(Table48[[#This Row],[Date]],'DB LEI'!$A:$M,11)=0,"",VLOOKUP(Table48[[#This Row],[Date]],'DB LEI'!$A:$M,11))</f>
        <v/>
      </c>
    </row>
    <row r="407">
      <c r="A407" s="23" t="n">
        <v>40664</v>
      </c>
      <c r="B407" s="18">
        <f>VLOOKUP(Table48[[#This Row],[Date]],'DB LEI'!$A:$F,5)</f>
        <v/>
      </c>
      <c r="C407" s="24">
        <f>IF(VLOOKUP(Table48[[#This Row],[Date]],'DB LEI'!$A:$M,13)=0,"",VLOOKUP(Table48[[#This Row],[Date]],'DB LEI'!$A:$M,13))</f>
        <v/>
      </c>
      <c r="D407" s="24">
        <f>IF(VLOOKUP(Table48[[#This Row],[Date]],'DB LEI'!$A:$M,11)=0,"",VLOOKUP(Table48[[#This Row],[Date]],'DB LEI'!$A:$M,11))</f>
        <v/>
      </c>
    </row>
    <row r="408">
      <c r="A408" s="23" t="n">
        <v>40695</v>
      </c>
      <c r="B408" s="18">
        <f>VLOOKUP(Table48[[#This Row],[Date]],'DB LEI'!$A:$F,5)</f>
        <v/>
      </c>
      <c r="C408" s="24">
        <f>IF(VLOOKUP(Table48[[#This Row],[Date]],'DB LEI'!$A:$M,13)=0,"",VLOOKUP(Table48[[#This Row],[Date]],'DB LEI'!$A:$M,13))</f>
        <v/>
      </c>
      <c r="D408" s="24">
        <f>IF(VLOOKUP(Table48[[#This Row],[Date]],'DB LEI'!$A:$M,11)=0,"",VLOOKUP(Table48[[#This Row],[Date]],'DB LEI'!$A:$M,11))</f>
        <v/>
      </c>
    </row>
    <row r="409">
      <c r="A409" s="23" t="n">
        <v>40725</v>
      </c>
      <c r="B409" s="18">
        <f>VLOOKUP(Table48[[#This Row],[Date]],'DB LEI'!$A:$F,5)</f>
        <v/>
      </c>
      <c r="C409" s="24">
        <f>IF(VLOOKUP(Table48[[#This Row],[Date]],'DB LEI'!$A:$M,13)=0,"",VLOOKUP(Table48[[#This Row],[Date]],'DB LEI'!$A:$M,13))</f>
        <v/>
      </c>
      <c r="D409" s="24">
        <f>IF(VLOOKUP(Table48[[#This Row],[Date]],'DB LEI'!$A:$M,11)=0,"",VLOOKUP(Table48[[#This Row],[Date]],'DB LEI'!$A:$M,11))</f>
        <v/>
      </c>
    </row>
    <row r="410">
      <c r="A410" s="23" t="n">
        <v>40787</v>
      </c>
      <c r="B410" s="18">
        <f>VLOOKUP(Table48[[#This Row],[Date]],'DB LEI'!$A:$F,5)</f>
        <v/>
      </c>
      <c r="C410" s="24">
        <f>IF(VLOOKUP(Table48[[#This Row],[Date]],'DB LEI'!$A:$M,13)=0,"",VLOOKUP(Table48[[#This Row],[Date]],'DB LEI'!$A:$M,13))</f>
        <v/>
      </c>
      <c r="D410" s="24">
        <f>IF(VLOOKUP(Table48[[#This Row],[Date]],'DB LEI'!$A:$M,11)=0,"",VLOOKUP(Table48[[#This Row],[Date]],'DB LEI'!$A:$M,11))</f>
        <v/>
      </c>
    </row>
    <row r="411">
      <c r="A411" s="23" t="n">
        <v>39569</v>
      </c>
      <c r="B411" s="18">
        <f>VLOOKUP(Table48[[#This Row],[Date]],'DB LEI'!$A:$F,5)</f>
        <v/>
      </c>
      <c r="C411" s="24">
        <f>IF(VLOOKUP(Table48[[#This Row],[Date]],'DB LEI'!$A:$M,13)=0,"",VLOOKUP(Table48[[#This Row],[Date]],'DB LEI'!$A:$M,13))</f>
        <v/>
      </c>
      <c r="D411" s="24">
        <f>IF(VLOOKUP(Table48[[#This Row],[Date]],'DB LEI'!$A:$M,11)=0,"",VLOOKUP(Table48[[#This Row],[Date]],'DB LEI'!$A:$M,11))</f>
        <v/>
      </c>
    </row>
    <row r="412">
      <c r="A412" s="23" t="n">
        <v>40817</v>
      </c>
      <c r="B412" s="18">
        <f>VLOOKUP(Table48[[#This Row],[Date]],'DB LEI'!$A:$F,5)</f>
        <v/>
      </c>
      <c r="C412" s="24">
        <f>IF(VLOOKUP(Table48[[#This Row],[Date]],'DB LEI'!$A:$M,13)=0,"",VLOOKUP(Table48[[#This Row],[Date]],'DB LEI'!$A:$M,13))</f>
        <v/>
      </c>
      <c r="D412" s="24">
        <f>IF(VLOOKUP(Table48[[#This Row],[Date]],'DB LEI'!$A:$M,11)=0,"",VLOOKUP(Table48[[#This Row],[Date]],'DB LEI'!$A:$M,11))</f>
        <v/>
      </c>
    </row>
    <row r="413">
      <c r="A413" s="23" t="n">
        <v>40848</v>
      </c>
      <c r="B413" s="18">
        <f>VLOOKUP(Table48[[#This Row],[Date]],'DB LEI'!$A:$F,5)</f>
        <v/>
      </c>
      <c r="C413" s="24">
        <f>IF(VLOOKUP(Table48[[#This Row],[Date]],'DB LEI'!$A:$M,13)=0,"",VLOOKUP(Table48[[#This Row],[Date]],'DB LEI'!$A:$M,13))</f>
        <v/>
      </c>
      <c r="D413" s="24">
        <f>IF(VLOOKUP(Table48[[#This Row],[Date]],'DB LEI'!$A:$M,11)=0,"",VLOOKUP(Table48[[#This Row],[Date]],'DB LEI'!$A:$M,11))</f>
        <v/>
      </c>
    </row>
    <row r="414">
      <c r="A414" s="23" t="n">
        <v>40878</v>
      </c>
      <c r="B414" s="18">
        <f>VLOOKUP(Table48[[#This Row],[Date]],'DB LEI'!$A:$F,5)</f>
        <v/>
      </c>
      <c r="C414" s="24">
        <f>IF(VLOOKUP(Table48[[#This Row],[Date]],'DB LEI'!$A:$M,13)=0,"",VLOOKUP(Table48[[#This Row],[Date]],'DB LEI'!$A:$M,13))</f>
        <v/>
      </c>
      <c r="D414" s="24">
        <f>IF(VLOOKUP(Table48[[#This Row],[Date]],'DB LEI'!$A:$M,11)=0,"",VLOOKUP(Table48[[#This Row],[Date]],'DB LEI'!$A:$M,11))</f>
        <v/>
      </c>
    </row>
    <row r="415">
      <c r="A415" s="23" t="n">
        <v>40909</v>
      </c>
      <c r="B415" s="18">
        <f>VLOOKUP(Table48[[#This Row],[Date]],'DB LEI'!$A:$F,5)</f>
        <v/>
      </c>
      <c r="C415" s="24">
        <f>IF(VLOOKUP(Table48[[#This Row],[Date]],'DB LEI'!$A:$M,13)=0,"",VLOOKUP(Table48[[#This Row],[Date]],'DB LEI'!$A:$M,13))</f>
        <v/>
      </c>
      <c r="D415" s="24">
        <f>IF(VLOOKUP(Table48[[#This Row],[Date]],'DB LEI'!$A:$M,11)=0,"",VLOOKUP(Table48[[#This Row],[Date]],'DB LEI'!$A:$M,11))</f>
        <v/>
      </c>
    </row>
    <row r="416">
      <c r="A416" s="23" t="n">
        <v>40940</v>
      </c>
      <c r="B416" s="18">
        <f>VLOOKUP(Table48[[#This Row],[Date]],'DB LEI'!$A:$F,5)</f>
        <v/>
      </c>
      <c r="C416" s="24">
        <f>IF(VLOOKUP(Table48[[#This Row],[Date]],'DB LEI'!$A:$M,13)=0,"",VLOOKUP(Table48[[#This Row],[Date]],'DB LEI'!$A:$M,13))</f>
        <v/>
      </c>
      <c r="D416" s="24">
        <f>IF(VLOOKUP(Table48[[#This Row],[Date]],'DB LEI'!$A:$M,11)=0,"",VLOOKUP(Table48[[#This Row],[Date]],'DB LEI'!$A:$M,11))</f>
        <v/>
      </c>
    </row>
    <row r="417">
      <c r="A417" s="25" t="n">
        <v>40969</v>
      </c>
      <c r="B417" s="18">
        <f>VLOOKUP(Table48[[#This Row],[Date]],'DB LEI'!$A:$F,5)</f>
        <v/>
      </c>
      <c r="C417" s="24">
        <f>IF(VLOOKUP(Table48[[#This Row],[Date]],'DB LEI'!$A:$M,13)=0,"",VLOOKUP(Table48[[#This Row],[Date]],'DB LEI'!$A:$M,13))</f>
        <v/>
      </c>
      <c r="D417" s="24">
        <f>IF(VLOOKUP(Table48[[#This Row],[Date]],'DB LEI'!$A:$M,11)=0,"",VLOOKUP(Table48[[#This Row],[Date]],'DB LEI'!$A:$M,11))</f>
        <v/>
      </c>
    </row>
    <row r="418">
      <c r="A418" s="25" t="n">
        <v>41000</v>
      </c>
      <c r="B418" s="18">
        <f>VLOOKUP(Table48[[#This Row],[Date]],'DB LEI'!$A:$F,5)</f>
        <v/>
      </c>
      <c r="C418" s="24">
        <f>IF(VLOOKUP(Table48[[#This Row],[Date]],'DB LEI'!$A:$M,13)=0,"",VLOOKUP(Table48[[#This Row],[Date]],'DB LEI'!$A:$M,13))</f>
        <v/>
      </c>
      <c r="D418" s="24">
        <f>IF(VLOOKUP(Table48[[#This Row],[Date]],'DB LEI'!$A:$M,11)=0,"",VLOOKUP(Table48[[#This Row],[Date]],'DB LEI'!$A:$M,11))</f>
        <v/>
      </c>
    </row>
    <row r="419">
      <c r="A419" s="25" t="n">
        <v>41030</v>
      </c>
      <c r="B419" s="18">
        <f>VLOOKUP(Table48[[#This Row],[Date]],'DB LEI'!$A:$F,5)</f>
        <v/>
      </c>
      <c r="C419" s="24">
        <f>IF(VLOOKUP(Table48[[#This Row],[Date]],'DB LEI'!$A:$M,13)=0,"",VLOOKUP(Table48[[#This Row],[Date]],'DB LEI'!$A:$M,13))</f>
        <v/>
      </c>
      <c r="D419" s="24">
        <f>IF(VLOOKUP(Table48[[#This Row],[Date]],'DB LEI'!$A:$M,11)=0,"",VLOOKUP(Table48[[#This Row],[Date]],'DB LEI'!$A:$M,11))</f>
        <v/>
      </c>
    </row>
    <row r="420">
      <c r="A420" s="25" t="n">
        <v>41061</v>
      </c>
      <c r="B420" s="18">
        <f>VLOOKUP(Table48[[#This Row],[Date]],'DB LEI'!$A:$F,5)</f>
        <v/>
      </c>
      <c r="C420" s="24">
        <f>IF(VLOOKUP(Table48[[#This Row],[Date]],'DB LEI'!$A:$M,13)=0,"",VLOOKUP(Table48[[#This Row],[Date]],'DB LEI'!$A:$M,13))</f>
        <v/>
      </c>
      <c r="D420" s="24">
        <f>IF(VLOOKUP(Table48[[#This Row],[Date]],'DB LEI'!$A:$M,11)=0,"",VLOOKUP(Table48[[#This Row],[Date]],'DB LEI'!$A:$M,11))</f>
        <v/>
      </c>
    </row>
    <row r="421">
      <c r="A421" s="25" t="n">
        <v>41091</v>
      </c>
      <c r="B421" s="18">
        <f>VLOOKUP(Table48[[#This Row],[Date]],'DB LEI'!$A:$F,5)</f>
        <v/>
      </c>
      <c r="C421" s="24">
        <f>IF(VLOOKUP(Table48[[#This Row],[Date]],'DB LEI'!$A:$M,13)=0,"",VLOOKUP(Table48[[#This Row],[Date]],'DB LEI'!$A:$M,13))</f>
        <v/>
      </c>
      <c r="D421" s="24">
        <f>IF(VLOOKUP(Table48[[#This Row],[Date]],'DB LEI'!$A:$M,11)=0,"",VLOOKUP(Table48[[#This Row],[Date]],'DB LEI'!$A:$M,11))</f>
        <v/>
      </c>
    </row>
    <row r="422">
      <c r="A422" s="25" t="n">
        <v>41122</v>
      </c>
      <c r="B422" s="18">
        <f>VLOOKUP(Table48[[#This Row],[Date]],'DB LEI'!$A:$F,5)</f>
        <v/>
      </c>
      <c r="C422" s="24">
        <f>IF(VLOOKUP(Table48[[#This Row],[Date]],'DB LEI'!$A:$M,13)=0,"",VLOOKUP(Table48[[#This Row],[Date]],'DB LEI'!$A:$M,13))</f>
        <v/>
      </c>
      <c r="D422" s="24">
        <f>IF(VLOOKUP(Table48[[#This Row],[Date]],'DB LEI'!$A:$M,11)=0,"",VLOOKUP(Table48[[#This Row],[Date]],'DB LEI'!$A:$M,11))</f>
        <v/>
      </c>
    </row>
    <row r="423">
      <c r="A423" s="25" t="n">
        <v>41153</v>
      </c>
      <c r="B423" s="18">
        <f>VLOOKUP(Table48[[#This Row],[Date]],'DB LEI'!$A:$F,5)</f>
        <v/>
      </c>
      <c r="C423" s="24">
        <f>IF(VLOOKUP(Table48[[#This Row],[Date]],'DB LEI'!$A:$M,13)=0,"",VLOOKUP(Table48[[#This Row],[Date]],'DB LEI'!$A:$M,13))</f>
        <v/>
      </c>
      <c r="D423" s="24">
        <f>IF(VLOOKUP(Table48[[#This Row],[Date]],'DB LEI'!$A:$M,11)=0,"",VLOOKUP(Table48[[#This Row],[Date]],'DB LEI'!$A:$M,11))</f>
        <v/>
      </c>
    </row>
    <row r="424">
      <c r="A424" s="25" t="n">
        <v>41183</v>
      </c>
      <c r="B424" s="18">
        <f>VLOOKUP(Table48[[#This Row],[Date]],'DB LEI'!$A:$F,5)</f>
        <v/>
      </c>
      <c r="C424" s="24">
        <f>IF(VLOOKUP(Table48[[#This Row],[Date]],'DB LEI'!$A:$M,13)=0,"",VLOOKUP(Table48[[#This Row],[Date]],'DB LEI'!$A:$M,13))</f>
        <v/>
      </c>
      <c r="D424" s="24">
        <f>IF(VLOOKUP(Table48[[#This Row],[Date]],'DB LEI'!$A:$M,11)=0,"",VLOOKUP(Table48[[#This Row],[Date]],'DB LEI'!$A:$M,11))</f>
        <v/>
      </c>
    </row>
    <row r="425">
      <c r="A425" s="25" t="n">
        <v>41214</v>
      </c>
      <c r="B425" s="18">
        <f>VLOOKUP(Table48[[#This Row],[Date]],'DB LEI'!$A:$F,5)</f>
        <v/>
      </c>
      <c r="C425" s="24">
        <f>IF(VLOOKUP(Table48[[#This Row],[Date]],'DB LEI'!$A:$M,13)=0,"",VLOOKUP(Table48[[#This Row],[Date]],'DB LEI'!$A:$M,13))</f>
        <v/>
      </c>
      <c r="D425" s="24">
        <f>IF(VLOOKUP(Table48[[#This Row],[Date]],'DB LEI'!$A:$M,11)=0,"",VLOOKUP(Table48[[#This Row],[Date]],'DB LEI'!$A:$M,11))</f>
        <v/>
      </c>
    </row>
    <row r="426">
      <c r="A426" s="25" t="n">
        <v>41244</v>
      </c>
      <c r="B426" s="18">
        <f>VLOOKUP(Table48[[#This Row],[Date]],'DB LEI'!$A:$F,5)</f>
        <v/>
      </c>
      <c r="C426" s="24">
        <f>IF(VLOOKUP(Table48[[#This Row],[Date]],'DB LEI'!$A:$M,13)=0,"",VLOOKUP(Table48[[#This Row],[Date]],'DB LEI'!$A:$M,13))</f>
        <v/>
      </c>
      <c r="D426" s="24">
        <f>IF(VLOOKUP(Table48[[#This Row],[Date]],'DB LEI'!$A:$M,11)=0,"",VLOOKUP(Table48[[#This Row],[Date]],'DB LEI'!$A:$M,11))</f>
        <v/>
      </c>
    </row>
    <row r="427">
      <c r="A427" s="25" t="n">
        <v>41275</v>
      </c>
      <c r="B427" s="18">
        <f>VLOOKUP(Table48[[#This Row],[Date]],'DB LEI'!$A:$F,5)</f>
        <v/>
      </c>
      <c r="C427" s="24">
        <f>IF(VLOOKUP(Table48[[#This Row],[Date]],'DB LEI'!$A:$M,13)=0,"",VLOOKUP(Table48[[#This Row],[Date]],'DB LEI'!$A:$M,13))</f>
        <v/>
      </c>
      <c r="D427" s="24">
        <f>IF(VLOOKUP(Table48[[#This Row],[Date]],'DB LEI'!$A:$M,11)=0,"",VLOOKUP(Table48[[#This Row],[Date]],'DB LEI'!$A:$M,11))</f>
        <v/>
      </c>
    </row>
    <row r="428">
      <c r="A428" s="25" t="n">
        <v>41306</v>
      </c>
      <c r="B428" s="18">
        <f>VLOOKUP(Table48[[#This Row],[Date]],'DB LEI'!$A:$F,5)</f>
        <v/>
      </c>
      <c r="C428" s="24">
        <f>IF(VLOOKUP(Table48[[#This Row],[Date]],'DB LEI'!$A:$M,13)=0,"",VLOOKUP(Table48[[#This Row],[Date]],'DB LEI'!$A:$M,13))</f>
        <v/>
      </c>
      <c r="D428" s="24">
        <f>IF(VLOOKUP(Table48[[#This Row],[Date]],'DB LEI'!$A:$M,11)=0,"",VLOOKUP(Table48[[#This Row],[Date]],'DB LEI'!$A:$M,11))</f>
        <v/>
      </c>
    </row>
    <row r="429">
      <c r="A429" s="25" t="n">
        <v>41334</v>
      </c>
      <c r="B429" s="18">
        <f>VLOOKUP(Table48[[#This Row],[Date]],'DB LEI'!$A:$F,5)</f>
        <v/>
      </c>
      <c r="C429" s="24">
        <f>IF(VLOOKUP(Table48[[#This Row],[Date]],'DB LEI'!$A:$M,13)=0,"",VLOOKUP(Table48[[#This Row],[Date]],'DB LEI'!$A:$M,13))</f>
        <v/>
      </c>
      <c r="D429" s="24">
        <f>IF(VLOOKUP(Table48[[#This Row],[Date]],'DB LEI'!$A:$M,11)=0,"",VLOOKUP(Table48[[#This Row],[Date]],'DB LEI'!$A:$M,11))</f>
        <v/>
      </c>
    </row>
    <row r="430">
      <c r="A430" s="25" t="n">
        <v>41365</v>
      </c>
      <c r="B430" s="18">
        <f>VLOOKUP(Table48[[#This Row],[Date]],'DB LEI'!$A:$F,5)</f>
        <v/>
      </c>
      <c r="C430" s="24">
        <f>IF(VLOOKUP(Table48[[#This Row],[Date]],'DB LEI'!$A:$M,13)=0,"",VLOOKUP(Table48[[#This Row],[Date]],'DB LEI'!$A:$M,13))</f>
        <v/>
      </c>
      <c r="D430" s="24">
        <f>IF(VLOOKUP(Table48[[#This Row],[Date]],'DB LEI'!$A:$M,11)=0,"",VLOOKUP(Table48[[#This Row],[Date]],'DB LEI'!$A:$M,11))</f>
        <v/>
      </c>
    </row>
    <row r="431">
      <c r="A431" s="25" t="n">
        <v>41395</v>
      </c>
      <c r="B431" s="18">
        <f>VLOOKUP(Table48[[#This Row],[Date]],'DB LEI'!$A:$F,5)</f>
        <v/>
      </c>
      <c r="C431" s="24">
        <f>IF(VLOOKUP(Table48[[#This Row],[Date]],'DB LEI'!$A:$M,13)=0,"",VLOOKUP(Table48[[#This Row],[Date]],'DB LEI'!$A:$M,13))</f>
        <v/>
      </c>
      <c r="D431" s="24">
        <f>IF(VLOOKUP(Table48[[#This Row],[Date]],'DB LEI'!$A:$M,11)=0,"",VLOOKUP(Table48[[#This Row],[Date]],'DB LEI'!$A:$M,11))</f>
        <v/>
      </c>
    </row>
    <row r="432">
      <c r="A432" s="25" t="n">
        <v>41426</v>
      </c>
      <c r="B432" s="18">
        <f>VLOOKUP(Table48[[#This Row],[Date]],'DB LEI'!$A:$F,5)</f>
        <v/>
      </c>
      <c r="C432" s="24">
        <f>IF(VLOOKUP(Table48[[#This Row],[Date]],'DB LEI'!$A:$M,13)=0,"",VLOOKUP(Table48[[#This Row],[Date]],'DB LEI'!$A:$M,13))</f>
        <v/>
      </c>
      <c r="D432" s="24">
        <f>IF(VLOOKUP(Table48[[#This Row],[Date]],'DB LEI'!$A:$M,11)=0,"",VLOOKUP(Table48[[#This Row],[Date]],'DB LEI'!$A:$M,11))</f>
        <v/>
      </c>
    </row>
    <row r="433">
      <c r="A433" s="25" t="n">
        <v>41456</v>
      </c>
      <c r="B433" s="18">
        <f>VLOOKUP(Table48[[#This Row],[Date]],'DB LEI'!$A:$F,5)</f>
        <v/>
      </c>
      <c r="C433" s="24">
        <f>IF(VLOOKUP(Table48[[#This Row],[Date]],'DB LEI'!$A:$M,13)=0,"",VLOOKUP(Table48[[#This Row],[Date]],'DB LEI'!$A:$M,13))</f>
        <v/>
      </c>
      <c r="D433" s="24">
        <f>IF(VLOOKUP(Table48[[#This Row],[Date]],'DB LEI'!$A:$M,11)=0,"",VLOOKUP(Table48[[#This Row],[Date]],'DB LEI'!$A:$M,11))</f>
        <v/>
      </c>
    </row>
    <row r="434">
      <c r="A434" s="25" t="n">
        <v>41487</v>
      </c>
      <c r="B434" s="18">
        <f>VLOOKUP(Table48[[#This Row],[Date]],'DB LEI'!$A:$F,5)</f>
        <v/>
      </c>
      <c r="C434" s="24">
        <f>IF(VLOOKUP(Table48[[#This Row],[Date]],'DB LEI'!$A:$M,13)=0,"",VLOOKUP(Table48[[#This Row],[Date]],'DB LEI'!$A:$M,13))</f>
        <v/>
      </c>
      <c r="D434" s="24">
        <f>IF(VLOOKUP(Table48[[#This Row],[Date]],'DB LEI'!$A:$M,11)=0,"",VLOOKUP(Table48[[#This Row],[Date]],'DB LEI'!$A:$M,11))</f>
        <v/>
      </c>
    </row>
    <row r="435">
      <c r="A435" s="25" t="n">
        <v>41518</v>
      </c>
      <c r="B435" s="18">
        <f>VLOOKUP(Table48[[#This Row],[Date]],'DB LEI'!$A:$F,5)</f>
        <v/>
      </c>
      <c r="C435" s="24">
        <f>IF(VLOOKUP(Table48[[#This Row],[Date]],'DB LEI'!$A:$M,13)=0,"",VLOOKUP(Table48[[#This Row],[Date]],'DB LEI'!$A:$M,13))</f>
        <v/>
      </c>
      <c r="D435" s="24">
        <f>IF(VLOOKUP(Table48[[#This Row],[Date]],'DB LEI'!$A:$M,11)=0,"",VLOOKUP(Table48[[#This Row],[Date]],'DB LEI'!$A:$M,11))</f>
        <v/>
      </c>
    </row>
    <row r="436">
      <c r="A436" s="25" t="n">
        <v>41548</v>
      </c>
      <c r="B436" s="18">
        <f>VLOOKUP(Table48[[#This Row],[Date]],'DB LEI'!$A:$F,5)</f>
        <v/>
      </c>
      <c r="C436" s="24">
        <f>IF(VLOOKUP(Table48[[#This Row],[Date]],'DB LEI'!$A:$M,13)=0,"",VLOOKUP(Table48[[#This Row],[Date]],'DB LEI'!$A:$M,13))</f>
        <v/>
      </c>
      <c r="D436" s="24">
        <f>IF(VLOOKUP(Table48[[#This Row],[Date]],'DB LEI'!$A:$M,11)=0,"",VLOOKUP(Table48[[#This Row],[Date]],'DB LEI'!$A:$M,11))</f>
        <v/>
      </c>
    </row>
    <row r="437">
      <c r="A437" s="25" t="n">
        <v>41579</v>
      </c>
      <c r="B437" s="18">
        <f>VLOOKUP(Table48[[#This Row],[Date]],'DB LEI'!$A:$F,5)</f>
        <v/>
      </c>
      <c r="C437" s="24">
        <f>IF(VLOOKUP(Table48[[#This Row],[Date]],'DB LEI'!$A:$M,13)=0,"",VLOOKUP(Table48[[#This Row],[Date]],'DB LEI'!$A:$M,13))</f>
        <v/>
      </c>
      <c r="D437" s="24">
        <f>IF(VLOOKUP(Table48[[#This Row],[Date]],'DB LEI'!$A:$M,11)=0,"",VLOOKUP(Table48[[#This Row],[Date]],'DB LEI'!$A:$M,11))</f>
        <v/>
      </c>
    </row>
    <row r="438">
      <c r="A438" s="25" t="n">
        <v>41609</v>
      </c>
      <c r="B438" s="18">
        <f>VLOOKUP(Table48[[#This Row],[Date]],'DB LEI'!$A:$F,5)</f>
        <v/>
      </c>
      <c r="C438" s="24">
        <f>IF(VLOOKUP(Table48[[#This Row],[Date]],'DB LEI'!$A:$M,13)=0,"",VLOOKUP(Table48[[#This Row],[Date]],'DB LEI'!$A:$M,13))</f>
        <v/>
      </c>
      <c r="D438" s="24">
        <f>IF(VLOOKUP(Table48[[#This Row],[Date]],'DB LEI'!$A:$M,11)=0,"",VLOOKUP(Table48[[#This Row],[Date]],'DB LEI'!$A:$M,11))</f>
        <v/>
      </c>
    </row>
    <row r="439">
      <c r="A439" s="25" t="n">
        <v>41640</v>
      </c>
      <c r="B439" s="18">
        <f>VLOOKUP(Table48[[#This Row],[Date]],'DB LEI'!$A:$F,5)</f>
        <v/>
      </c>
      <c r="C439" s="24">
        <f>IF(VLOOKUP(Table48[[#This Row],[Date]],'DB LEI'!$A:$M,13)=0,"",VLOOKUP(Table48[[#This Row],[Date]],'DB LEI'!$A:$M,13))</f>
        <v/>
      </c>
      <c r="D439" s="24">
        <f>IF(VLOOKUP(Table48[[#This Row],[Date]],'DB LEI'!$A:$M,11)=0,"",VLOOKUP(Table48[[#This Row],[Date]],'DB LEI'!$A:$M,11))</f>
        <v/>
      </c>
    </row>
    <row r="440">
      <c r="A440" s="25" t="n">
        <v>41671</v>
      </c>
      <c r="B440" s="18">
        <f>VLOOKUP(Table48[[#This Row],[Date]],'DB LEI'!$A:$F,5)</f>
        <v/>
      </c>
      <c r="C440" s="24">
        <f>IF(VLOOKUP(Table48[[#This Row],[Date]],'DB LEI'!$A:$M,13)=0,"",VLOOKUP(Table48[[#This Row],[Date]],'DB LEI'!$A:$M,13))</f>
        <v/>
      </c>
      <c r="D440" s="24">
        <f>IF(VLOOKUP(Table48[[#This Row],[Date]],'DB LEI'!$A:$M,11)=0,"",VLOOKUP(Table48[[#This Row],[Date]],'DB LEI'!$A:$M,11))</f>
        <v/>
      </c>
    </row>
    <row r="441">
      <c r="A441" s="25" t="n">
        <v>41699</v>
      </c>
      <c r="B441" s="18">
        <f>VLOOKUP(Table48[[#This Row],[Date]],'DB LEI'!$A:$F,5)</f>
        <v/>
      </c>
      <c r="C441" s="24">
        <f>IF(VLOOKUP(Table48[[#This Row],[Date]],'DB LEI'!$A:$M,13)=0,"",VLOOKUP(Table48[[#This Row],[Date]],'DB LEI'!$A:$M,13))</f>
        <v/>
      </c>
      <c r="D441" s="24">
        <f>IF(VLOOKUP(Table48[[#This Row],[Date]],'DB LEI'!$A:$M,11)=0,"",VLOOKUP(Table48[[#This Row],[Date]],'DB LEI'!$A:$M,11))</f>
        <v/>
      </c>
    </row>
    <row r="442">
      <c r="A442" s="25" t="n">
        <v>41730</v>
      </c>
      <c r="B442" s="18">
        <f>VLOOKUP(Table48[[#This Row],[Date]],'DB LEI'!$A:$F,5)</f>
        <v/>
      </c>
      <c r="C442" s="24">
        <f>IF(VLOOKUP(Table48[[#This Row],[Date]],'DB LEI'!$A:$M,13)=0,"",VLOOKUP(Table48[[#This Row],[Date]],'DB LEI'!$A:$M,13))</f>
        <v/>
      </c>
      <c r="D442" s="24">
        <f>IF(VLOOKUP(Table48[[#This Row],[Date]],'DB LEI'!$A:$M,11)=0,"",VLOOKUP(Table48[[#This Row],[Date]],'DB LEI'!$A:$M,11))</f>
        <v/>
      </c>
    </row>
    <row r="443">
      <c r="A443" s="25" t="n">
        <v>41760</v>
      </c>
      <c r="B443" s="18">
        <f>VLOOKUP(Table48[[#This Row],[Date]],'DB LEI'!$A:$F,5)</f>
        <v/>
      </c>
      <c r="C443" s="24">
        <f>IF(VLOOKUP(Table48[[#This Row],[Date]],'DB LEI'!$A:$M,13)=0,"",VLOOKUP(Table48[[#This Row],[Date]],'DB LEI'!$A:$M,13))</f>
        <v/>
      </c>
      <c r="D443" s="24">
        <f>IF(VLOOKUP(Table48[[#This Row],[Date]],'DB LEI'!$A:$M,11)=0,"",VLOOKUP(Table48[[#This Row],[Date]],'DB LEI'!$A:$M,11))</f>
        <v/>
      </c>
    </row>
    <row r="444">
      <c r="A444" s="25" t="n">
        <v>41791</v>
      </c>
      <c r="B444" s="18">
        <f>VLOOKUP(Table48[[#This Row],[Date]],'DB LEI'!$A:$F,5)</f>
        <v/>
      </c>
      <c r="C444" s="24">
        <f>IF(VLOOKUP(Table48[[#This Row],[Date]],'DB LEI'!$A:$M,13)=0,"",VLOOKUP(Table48[[#This Row],[Date]],'DB LEI'!$A:$M,13))</f>
        <v/>
      </c>
      <c r="D444" s="24">
        <f>IF(VLOOKUP(Table48[[#This Row],[Date]],'DB LEI'!$A:$M,11)=0,"",VLOOKUP(Table48[[#This Row],[Date]],'DB LEI'!$A:$M,11))</f>
        <v/>
      </c>
    </row>
    <row r="445">
      <c r="A445" s="25" t="n">
        <v>41821</v>
      </c>
      <c r="B445" s="18">
        <f>VLOOKUP(Table48[[#This Row],[Date]],'DB LEI'!$A:$F,5)</f>
        <v/>
      </c>
      <c r="C445" s="24">
        <f>IF(VLOOKUP(Table48[[#This Row],[Date]],'DB LEI'!$A:$M,13)=0,"",VLOOKUP(Table48[[#This Row],[Date]],'DB LEI'!$A:$M,13))</f>
        <v/>
      </c>
      <c r="D445" s="24">
        <f>IF(VLOOKUP(Table48[[#This Row],[Date]],'DB LEI'!$A:$M,11)=0,"",VLOOKUP(Table48[[#This Row],[Date]],'DB LEI'!$A:$M,11))</f>
        <v/>
      </c>
    </row>
    <row r="446">
      <c r="A446" s="25" t="n">
        <v>41852</v>
      </c>
      <c r="B446" s="18">
        <f>VLOOKUP(Table48[[#This Row],[Date]],'DB LEI'!$A:$F,5)</f>
        <v/>
      </c>
      <c r="C446" s="24">
        <f>IF(VLOOKUP(Table48[[#This Row],[Date]],'DB LEI'!$A:$M,13)=0,"",VLOOKUP(Table48[[#This Row],[Date]],'DB LEI'!$A:$M,13))</f>
        <v/>
      </c>
      <c r="D446" s="24">
        <f>IF(VLOOKUP(Table48[[#This Row],[Date]],'DB LEI'!$A:$M,11)=0,"",VLOOKUP(Table48[[#This Row],[Date]],'DB LEI'!$A:$M,11))</f>
        <v/>
      </c>
    </row>
    <row r="447">
      <c r="A447" s="25" t="n">
        <v>41883</v>
      </c>
      <c r="B447" s="18">
        <f>VLOOKUP(Table48[[#This Row],[Date]],'DB LEI'!$A:$F,5)</f>
        <v/>
      </c>
      <c r="C447" s="24">
        <f>IF(VLOOKUP(Table48[[#This Row],[Date]],'DB LEI'!$A:$M,13)=0,"",VLOOKUP(Table48[[#This Row],[Date]],'DB LEI'!$A:$M,13))</f>
        <v/>
      </c>
      <c r="D447" s="24">
        <f>IF(VLOOKUP(Table48[[#This Row],[Date]],'DB LEI'!$A:$M,11)=0,"",VLOOKUP(Table48[[#This Row],[Date]],'DB LEI'!$A:$M,11))</f>
        <v/>
      </c>
    </row>
    <row r="448">
      <c r="A448" s="25" t="n">
        <v>41913</v>
      </c>
      <c r="B448" s="18">
        <f>VLOOKUP(Table48[[#This Row],[Date]],'DB LEI'!$A:$F,5)</f>
        <v/>
      </c>
      <c r="C448" s="24">
        <f>IF(VLOOKUP(Table48[[#This Row],[Date]],'DB LEI'!$A:$M,13)=0,"",VLOOKUP(Table48[[#This Row],[Date]],'DB LEI'!$A:$M,13))</f>
        <v/>
      </c>
      <c r="D448" s="24">
        <f>IF(VLOOKUP(Table48[[#This Row],[Date]],'DB LEI'!$A:$M,11)=0,"",VLOOKUP(Table48[[#This Row],[Date]],'DB LEI'!$A:$M,11))</f>
        <v/>
      </c>
    </row>
    <row r="449">
      <c r="A449" s="25" t="n">
        <v>41944</v>
      </c>
      <c r="B449" s="18">
        <f>VLOOKUP(Table48[[#This Row],[Date]],'DB LEI'!$A:$F,5)</f>
        <v/>
      </c>
      <c r="C449" s="24">
        <f>IF(VLOOKUP(Table48[[#This Row],[Date]],'DB LEI'!$A:$M,13)=0,"",VLOOKUP(Table48[[#This Row],[Date]],'DB LEI'!$A:$M,13))</f>
        <v/>
      </c>
      <c r="D449" s="24">
        <f>IF(VLOOKUP(Table48[[#This Row],[Date]],'DB LEI'!$A:$M,11)=0,"",VLOOKUP(Table48[[#This Row],[Date]],'DB LEI'!$A:$M,11))</f>
        <v/>
      </c>
    </row>
    <row r="450">
      <c r="A450" s="25" t="n">
        <v>41974</v>
      </c>
      <c r="B450" s="18">
        <f>VLOOKUP(Table48[[#This Row],[Date]],'DB LEI'!$A:$F,5)</f>
        <v/>
      </c>
      <c r="C450" s="24">
        <f>IF(VLOOKUP(Table48[[#This Row],[Date]],'DB LEI'!$A:$M,13)=0,"",VLOOKUP(Table48[[#This Row],[Date]],'DB LEI'!$A:$M,13))</f>
        <v/>
      </c>
      <c r="D450" s="24">
        <f>IF(VLOOKUP(Table48[[#This Row],[Date]],'DB LEI'!$A:$M,11)=0,"",VLOOKUP(Table48[[#This Row],[Date]],'DB LEI'!$A:$M,11))</f>
        <v/>
      </c>
    </row>
    <row r="451">
      <c r="A451" s="25" t="n">
        <v>42005</v>
      </c>
      <c r="B451" s="18">
        <f>VLOOKUP(Table48[[#This Row],[Date]],'DB LEI'!$A:$F,5)</f>
        <v/>
      </c>
      <c r="C451" s="24">
        <f>IF(VLOOKUP(Table48[[#This Row],[Date]],'DB LEI'!$A:$M,13)=0,"",VLOOKUP(Table48[[#This Row],[Date]],'DB LEI'!$A:$M,13))</f>
        <v/>
      </c>
      <c r="D451" s="24">
        <f>IF(VLOOKUP(Table48[[#This Row],[Date]],'DB LEI'!$A:$M,11)=0,"",VLOOKUP(Table48[[#This Row],[Date]],'DB LEI'!$A:$M,11))</f>
        <v/>
      </c>
    </row>
    <row r="452">
      <c r="A452" s="25" t="n">
        <v>42036</v>
      </c>
      <c r="B452" s="18">
        <f>VLOOKUP(Table48[[#This Row],[Date]],'DB LEI'!$A:$F,5)</f>
        <v/>
      </c>
      <c r="C452" s="24">
        <f>IF(VLOOKUP(Table48[[#This Row],[Date]],'DB LEI'!$A:$M,13)=0,"",VLOOKUP(Table48[[#This Row],[Date]],'DB LEI'!$A:$M,13))</f>
        <v/>
      </c>
      <c r="D452" s="24">
        <f>IF(VLOOKUP(Table48[[#This Row],[Date]],'DB LEI'!$A:$M,11)=0,"",VLOOKUP(Table48[[#This Row],[Date]],'DB LEI'!$A:$M,11))</f>
        <v/>
      </c>
    </row>
    <row r="453">
      <c r="A453" s="25" t="n">
        <v>42064</v>
      </c>
      <c r="B453" s="18">
        <f>VLOOKUP(Table48[[#This Row],[Date]],'DB LEI'!$A:$F,5)</f>
        <v/>
      </c>
      <c r="C453" s="24">
        <f>IF(VLOOKUP(Table48[[#This Row],[Date]],'DB LEI'!$A:$M,13)=0,"",VLOOKUP(Table48[[#This Row],[Date]],'DB LEI'!$A:$M,13))</f>
        <v/>
      </c>
      <c r="D453" s="24">
        <f>IF(VLOOKUP(Table48[[#This Row],[Date]],'DB LEI'!$A:$M,11)=0,"",VLOOKUP(Table48[[#This Row],[Date]],'DB LEI'!$A:$M,11))</f>
        <v/>
      </c>
    </row>
    <row r="454">
      <c r="A454" s="25" t="n">
        <v>42095</v>
      </c>
      <c r="B454" s="18">
        <f>VLOOKUP(Table48[[#This Row],[Date]],'DB LEI'!$A:$F,5)</f>
        <v/>
      </c>
      <c r="C454" s="24">
        <f>IF(VLOOKUP(Table48[[#This Row],[Date]],'DB LEI'!$A:$M,13)=0,"",VLOOKUP(Table48[[#This Row],[Date]],'DB LEI'!$A:$M,13))</f>
        <v/>
      </c>
      <c r="D454" s="24">
        <f>IF(VLOOKUP(Table48[[#This Row],[Date]],'DB LEI'!$A:$M,11)=0,"",VLOOKUP(Table48[[#This Row],[Date]],'DB LEI'!$A:$M,11))</f>
        <v/>
      </c>
    </row>
    <row r="455">
      <c r="A455" s="25" t="n">
        <v>42125</v>
      </c>
      <c r="B455" s="18">
        <f>VLOOKUP(Table48[[#This Row],[Date]],'DB LEI'!$A:$F,5)</f>
        <v/>
      </c>
      <c r="C455" s="24">
        <f>IF(VLOOKUP(Table48[[#This Row],[Date]],'DB LEI'!$A:$M,13)=0,"",VLOOKUP(Table48[[#This Row],[Date]],'DB LEI'!$A:$M,13))</f>
        <v/>
      </c>
      <c r="D455" s="24">
        <f>IF(VLOOKUP(Table48[[#This Row],[Date]],'DB LEI'!$A:$M,11)=0,"",VLOOKUP(Table48[[#This Row],[Date]],'DB LEI'!$A:$M,11))</f>
        <v/>
      </c>
    </row>
    <row r="456">
      <c r="A456" s="25" t="n">
        <v>42156</v>
      </c>
      <c r="B456" s="18">
        <f>VLOOKUP(Table48[[#This Row],[Date]],'DB LEI'!$A:$F,5)</f>
        <v/>
      </c>
      <c r="C456" s="24">
        <f>IF(VLOOKUP(Table48[[#This Row],[Date]],'DB LEI'!$A:$M,13)=0,"",VLOOKUP(Table48[[#This Row],[Date]],'DB LEI'!$A:$M,13))</f>
        <v/>
      </c>
      <c r="D456" s="24">
        <f>IF(VLOOKUP(Table48[[#This Row],[Date]],'DB LEI'!$A:$M,11)=0,"",VLOOKUP(Table48[[#This Row],[Date]],'DB LEI'!$A:$M,11))</f>
        <v/>
      </c>
    </row>
    <row r="457">
      <c r="A457" s="25" t="n">
        <v>42186</v>
      </c>
      <c r="B457" s="18">
        <f>VLOOKUP(Table48[[#This Row],[Date]],'DB LEI'!$A:$F,5)</f>
        <v/>
      </c>
      <c r="C457" s="24">
        <f>IF(VLOOKUP(Table48[[#This Row],[Date]],'DB LEI'!$A:$M,13)=0,"",VLOOKUP(Table48[[#This Row],[Date]],'DB LEI'!$A:$M,13))</f>
        <v/>
      </c>
      <c r="D457" s="24">
        <f>IF(VLOOKUP(Table48[[#This Row],[Date]],'DB LEI'!$A:$M,11)=0,"",VLOOKUP(Table48[[#This Row],[Date]],'DB LEI'!$A:$M,11))</f>
        <v/>
      </c>
    </row>
    <row r="458">
      <c r="A458" s="25" t="n">
        <v>42217</v>
      </c>
      <c r="B458" s="18">
        <f>VLOOKUP(Table48[[#This Row],[Date]],'DB LEI'!$A:$F,5)</f>
        <v/>
      </c>
      <c r="C458" s="24">
        <f>IF(VLOOKUP(Table48[[#This Row],[Date]],'DB LEI'!$A:$M,13)=0,"",VLOOKUP(Table48[[#This Row],[Date]],'DB LEI'!$A:$M,13))</f>
        <v/>
      </c>
      <c r="D458" s="24">
        <f>IF(VLOOKUP(Table48[[#This Row],[Date]],'DB LEI'!$A:$M,11)=0,"",VLOOKUP(Table48[[#This Row],[Date]],'DB LEI'!$A:$M,11))</f>
        <v/>
      </c>
    </row>
    <row r="459">
      <c r="A459" s="25" t="n">
        <v>42248</v>
      </c>
      <c r="B459" s="18">
        <f>VLOOKUP(Table48[[#This Row],[Date]],'DB LEI'!$A:$F,5)</f>
        <v/>
      </c>
      <c r="C459" s="24">
        <f>IF(VLOOKUP(Table48[[#This Row],[Date]],'DB LEI'!$A:$M,13)=0,"",VLOOKUP(Table48[[#This Row],[Date]],'DB LEI'!$A:$M,13))</f>
        <v/>
      </c>
      <c r="D459" s="24">
        <f>IF(VLOOKUP(Table48[[#This Row],[Date]],'DB LEI'!$A:$M,11)=0,"",VLOOKUP(Table48[[#This Row],[Date]],'DB LEI'!$A:$M,11))</f>
        <v/>
      </c>
    </row>
    <row r="460">
      <c r="A460" s="25" t="n">
        <v>42278</v>
      </c>
      <c r="B460" s="18">
        <f>VLOOKUP(Table48[[#This Row],[Date]],'DB LEI'!$A:$F,5)</f>
        <v/>
      </c>
      <c r="C460" s="24">
        <f>IF(VLOOKUP(Table48[[#This Row],[Date]],'DB LEI'!$A:$M,13)=0,"",VLOOKUP(Table48[[#This Row],[Date]],'DB LEI'!$A:$M,13))</f>
        <v/>
      </c>
      <c r="D460" s="24">
        <f>IF(VLOOKUP(Table48[[#This Row],[Date]],'DB LEI'!$A:$M,11)=0,"",VLOOKUP(Table48[[#This Row],[Date]],'DB LEI'!$A:$M,11))</f>
        <v/>
      </c>
    </row>
    <row r="461">
      <c r="A461" s="25" t="n">
        <v>42309</v>
      </c>
      <c r="B461" s="18">
        <f>VLOOKUP(Table48[[#This Row],[Date]],'DB LEI'!$A:$F,5)</f>
        <v/>
      </c>
      <c r="C461" s="24">
        <f>IF(VLOOKUP(Table48[[#This Row],[Date]],'DB LEI'!$A:$M,13)=0,"",VLOOKUP(Table48[[#This Row],[Date]],'DB LEI'!$A:$M,13))</f>
        <v/>
      </c>
      <c r="D461" s="24">
        <f>IF(VLOOKUP(Table48[[#This Row],[Date]],'DB LEI'!$A:$M,11)=0,"",VLOOKUP(Table48[[#This Row],[Date]],'DB LEI'!$A:$M,11))</f>
        <v/>
      </c>
    </row>
    <row r="462">
      <c r="A462" s="25" t="n">
        <v>42339</v>
      </c>
      <c r="B462" s="18">
        <f>VLOOKUP(Table48[[#This Row],[Date]],'DB LEI'!$A:$F,5)</f>
        <v/>
      </c>
      <c r="C462" s="24">
        <f>IF(VLOOKUP(Table48[[#This Row],[Date]],'DB LEI'!$A:$M,13)=0,"",VLOOKUP(Table48[[#This Row],[Date]],'DB LEI'!$A:$M,13))</f>
        <v/>
      </c>
      <c r="D462" s="24">
        <f>IF(VLOOKUP(Table48[[#This Row],[Date]],'DB LEI'!$A:$M,11)=0,"",VLOOKUP(Table48[[#This Row],[Date]],'DB LEI'!$A:$M,11))</f>
        <v/>
      </c>
    </row>
    <row r="463">
      <c r="A463" s="25" t="n">
        <v>42370</v>
      </c>
      <c r="B463" s="18">
        <f>VLOOKUP(Table48[[#This Row],[Date]],'DB LEI'!$A:$F,5)</f>
        <v/>
      </c>
      <c r="C463" s="24">
        <f>IF(VLOOKUP(Table48[[#This Row],[Date]],'DB LEI'!$A:$M,13)=0,"",VLOOKUP(Table48[[#This Row],[Date]],'DB LEI'!$A:$M,13))</f>
        <v/>
      </c>
      <c r="D463" s="24">
        <f>IF(VLOOKUP(Table48[[#This Row],[Date]],'DB LEI'!$A:$M,11)=0,"",VLOOKUP(Table48[[#This Row],[Date]],'DB LEI'!$A:$M,11))</f>
        <v/>
      </c>
    </row>
    <row r="464">
      <c r="A464" s="25" t="n">
        <v>42401</v>
      </c>
      <c r="B464" s="18">
        <f>VLOOKUP(Table48[[#This Row],[Date]],'DB LEI'!$A:$F,5)</f>
        <v/>
      </c>
      <c r="C464" s="24">
        <f>IF(VLOOKUP(Table48[[#This Row],[Date]],'DB LEI'!$A:$M,13)=0,"",VLOOKUP(Table48[[#This Row],[Date]],'DB LEI'!$A:$M,13))</f>
        <v/>
      </c>
      <c r="D464" s="24">
        <f>IF(VLOOKUP(Table48[[#This Row],[Date]],'DB LEI'!$A:$M,11)=0,"",VLOOKUP(Table48[[#This Row],[Date]],'DB LEI'!$A:$M,11))</f>
        <v/>
      </c>
    </row>
    <row r="465">
      <c r="A465" s="25" t="n">
        <v>42430</v>
      </c>
      <c r="B465" s="18">
        <f>VLOOKUP(Table48[[#This Row],[Date]],'DB LEI'!$A:$F,5)</f>
        <v/>
      </c>
      <c r="C465" s="24">
        <f>IF(VLOOKUP(Table48[[#This Row],[Date]],'DB LEI'!$A:$M,13)=0,"",VLOOKUP(Table48[[#This Row],[Date]],'DB LEI'!$A:$M,13))</f>
        <v/>
      </c>
      <c r="D465" s="24">
        <f>IF(VLOOKUP(Table48[[#This Row],[Date]],'DB LEI'!$A:$M,11)=0,"",VLOOKUP(Table48[[#This Row],[Date]],'DB LEI'!$A:$M,11))</f>
        <v/>
      </c>
    </row>
    <row r="466">
      <c r="A466" s="25" t="n">
        <v>42461</v>
      </c>
      <c r="B466" s="18">
        <f>VLOOKUP(Table48[[#This Row],[Date]],'DB LEI'!$A:$F,5)</f>
        <v/>
      </c>
      <c r="C466" s="24">
        <f>IF(VLOOKUP(Table48[[#This Row],[Date]],'DB LEI'!$A:$M,13)=0,"",VLOOKUP(Table48[[#This Row],[Date]],'DB LEI'!$A:$M,13))</f>
        <v/>
      </c>
      <c r="D466" s="24">
        <f>IF(VLOOKUP(Table48[[#This Row],[Date]],'DB LEI'!$A:$M,11)=0,"",VLOOKUP(Table48[[#This Row],[Date]],'DB LEI'!$A:$M,11))</f>
        <v/>
      </c>
    </row>
    <row r="467">
      <c r="A467" s="25" t="n">
        <v>42491</v>
      </c>
      <c r="B467" s="18">
        <f>VLOOKUP(Table48[[#This Row],[Date]],'DB LEI'!$A:$F,5)</f>
        <v/>
      </c>
      <c r="C467" s="24">
        <f>IF(VLOOKUP(Table48[[#This Row],[Date]],'DB LEI'!$A:$M,13)=0,"",VLOOKUP(Table48[[#This Row],[Date]],'DB LEI'!$A:$M,13))</f>
        <v/>
      </c>
      <c r="D467" s="24">
        <f>IF(VLOOKUP(Table48[[#This Row],[Date]],'DB LEI'!$A:$M,11)=0,"",VLOOKUP(Table48[[#This Row],[Date]],'DB LEI'!$A:$M,11))</f>
        <v/>
      </c>
    </row>
    <row r="468">
      <c r="A468" s="25" t="n">
        <v>42522</v>
      </c>
      <c r="B468" s="18">
        <f>VLOOKUP(Table48[[#This Row],[Date]],'DB LEI'!$A:$F,5)</f>
        <v/>
      </c>
      <c r="C468" s="24">
        <f>IF(VLOOKUP(Table48[[#This Row],[Date]],'DB LEI'!$A:$M,13)=0,"",VLOOKUP(Table48[[#This Row],[Date]],'DB LEI'!$A:$M,13))</f>
        <v/>
      </c>
      <c r="D468" s="24">
        <f>IF(VLOOKUP(Table48[[#This Row],[Date]],'DB LEI'!$A:$M,11)=0,"",VLOOKUP(Table48[[#This Row],[Date]],'DB LEI'!$A:$M,11))</f>
        <v/>
      </c>
    </row>
    <row r="469">
      <c r="A469" s="25" t="n">
        <v>42552</v>
      </c>
      <c r="B469" s="18">
        <f>VLOOKUP(Table48[[#This Row],[Date]],'DB LEI'!$A:$F,5)</f>
        <v/>
      </c>
      <c r="C469" s="24">
        <f>IF(VLOOKUP(Table48[[#This Row],[Date]],'DB LEI'!$A:$M,13)=0,"",VLOOKUP(Table48[[#This Row],[Date]],'DB LEI'!$A:$M,13))</f>
        <v/>
      </c>
      <c r="D469" s="24">
        <f>IF(VLOOKUP(Table48[[#This Row],[Date]],'DB LEI'!$A:$M,11)=0,"",VLOOKUP(Table48[[#This Row],[Date]],'DB LEI'!$A:$M,11))</f>
        <v/>
      </c>
    </row>
    <row r="470">
      <c r="A470" s="25" t="n">
        <v>42583</v>
      </c>
      <c r="B470" s="18">
        <f>VLOOKUP(Table48[[#This Row],[Date]],'DB LEI'!$A:$F,5)</f>
        <v/>
      </c>
      <c r="C470" s="24">
        <f>IF(VLOOKUP(Table48[[#This Row],[Date]],'DB LEI'!$A:$M,13)=0,"",VLOOKUP(Table48[[#This Row],[Date]],'DB LEI'!$A:$M,13))</f>
        <v/>
      </c>
      <c r="D470" s="24">
        <f>IF(VLOOKUP(Table48[[#This Row],[Date]],'DB LEI'!$A:$M,11)=0,"",VLOOKUP(Table48[[#This Row],[Date]],'DB LEI'!$A:$M,11))</f>
        <v/>
      </c>
    </row>
    <row r="471">
      <c r="A471" s="25" t="n">
        <v>42614</v>
      </c>
      <c r="B471" s="18">
        <f>VLOOKUP(Table48[[#This Row],[Date]],'DB LEI'!$A:$F,5)</f>
        <v/>
      </c>
      <c r="C471" s="24">
        <f>IF(VLOOKUP(Table48[[#This Row],[Date]],'DB LEI'!$A:$M,13)=0,"",VLOOKUP(Table48[[#This Row],[Date]],'DB LEI'!$A:$M,13))</f>
        <v/>
      </c>
      <c r="D471" s="24">
        <f>IF(VLOOKUP(Table48[[#This Row],[Date]],'DB LEI'!$A:$M,11)=0,"",VLOOKUP(Table48[[#This Row],[Date]],'DB LEI'!$A:$M,11))</f>
        <v/>
      </c>
    </row>
    <row r="472">
      <c r="A472" s="25" t="n">
        <v>42644</v>
      </c>
      <c r="B472" s="18">
        <f>VLOOKUP(Table48[[#This Row],[Date]],'DB LEI'!$A:$F,5)</f>
        <v/>
      </c>
      <c r="C472" s="24">
        <f>IF(VLOOKUP(Table48[[#This Row],[Date]],'DB LEI'!$A:$M,13)=0,"",VLOOKUP(Table48[[#This Row],[Date]],'DB LEI'!$A:$M,13))</f>
        <v/>
      </c>
      <c r="D472" s="24">
        <f>IF(VLOOKUP(Table48[[#This Row],[Date]],'DB LEI'!$A:$M,11)=0,"",VLOOKUP(Table48[[#This Row],[Date]],'DB LEI'!$A:$M,11))</f>
        <v/>
      </c>
    </row>
    <row r="473">
      <c r="A473" s="25" t="n">
        <v>42675</v>
      </c>
      <c r="B473" s="18">
        <f>VLOOKUP(Table48[[#This Row],[Date]],'DB LEI'!$A:$F,5)</f>
        <v/>
      </c>
      <c r="C473" s="24">
        <f>IF(VLOOKUP(Table48[[#This Row],[Date]],'DB LEI'!$A:$M,13)=0,"",VLOOKUP(Table48[[#This Row],[Date]],'DB LEI'!$A:$M,13))</f>
        <v/>
      </c>
      <c r="D473" s="24">
        <f>IF(VLOOKUP(Table48[[#This Row],[Date]],'DB LEI'!$A:$M,11)=0,"",VLOOKUP(Table48[[#This Row],[Date]],'DB LEI'!$A:$M,11))</f>
        <v/>
      </c>
    </row>
    <row r="474">
      <c r="A474" s="25" t="n">
        <v>42705</v>
      </c>
      <c r="B474" s="18">
        <f>VLOOKUP(Table48[[#This Row],[Date]],'DB LEI'!$A:$F,5)</f>
        <v/>
      </c>
      <c r="C474" s="24">
        <f>IF(VLOOKUP(Table48[[#This Row],[Date]],'DB LEI'!$A:$M,13)=0,"",VLOOKUP(Table48[[#This Row],[Date]],'DB LEI'!$A:$M,13))</f>
        <v/>
      </c>
      <c r="D474" s="24">
        <f>IF(VLOOKUP(Table48[[#This Row],[Date]],'DB LEI'!$A:$M,11)=0,"",VLOOKUP(Table48[[#This Row],[Date]],'DB LEI'!$A:$M,11))</f>
        <v/>
      </c>
    </row>
    <row r="475">
      <c r="A475" s="25" t="n">
        <v>42736</v>
      </c>
      <c r="B475" s="18">
        <f>VLOOKUP(Table48[[#This Row],[Date]],'DB LEI'!$A:$F,5)</f>
        <v/>
      </c>
      <c r="C475" s="24">
        <f>IF(VLOOKUP(Table48[[#This Row],[Date]],'DB LEI'!$A:$M,13)=0,"",VLOOKUP(Table48[[#This Row],[Date]],'DB LEI'!$A:$M,13))</f>
        <v/>
      </c>
      <c r="D475" s="24">
        <f>IF(VLOOKUP(Table48[[#This Row],[Date]],'DB LEI'!$A:$M,11)=0,"",VLOOKUP(Table48[[#This Row],[Date]],'DB LEI'!$A:$M,11))</f>
        <v/>
      </c>
    </row>
    <row r="476">
      <c r="A476" s="25" t="n">
        <v>42767</v>
      </c>
      <c r="B476" s="18">
        <f>VLOOKUP(Table48[[#This Row],[Date]],'DB LEI'!$A:$F,5)</f>
        <v/>
      </c>
      <c r="C476" s="24">
        <f>IF(VLOOKUP(Table48[[#This Row],[Date]],'DB LEI'!$A:$M,13)=0,"",VLOOKUP(Table48[[#This Row],[Date]],'DB LEI'!$A:$M,13))</f>
        <v/>
      </c>
      <c r="D476" s="24">
        <f>IF(VLOOKUP(Table48[[#This Row],[Date]],'DB LEI'!$A:$M,11)=0,"",VLOOKUP(Table48[[#This Row],[Date]],'DB LEI'!$A:$M,11))</f>
        <v/>
      </c>
    </row>
    <row r="477">
      <c r="A477" s="25" t="n">
        <v>42795</v>
      </c>
      <c r="B477" s="18">
        <f>VLOOKUP(Table48[[#This Row],[Date]],'DB LEI'!$A:$F,5)</f>
        <v/>
      </c>
      <c r="C477" s="24">
        <f>IF(VLOOKUP(Table48[[#This Row],[Date]],'DB LEI'!$A:$M,13)=0,"",VLOOKUP(Table48[[#This Row],[Date]],'DB LEI'!$A:$M,13))</f>
        <v/>
      </c>
      <c r="D477" s="24">
        <f>IF(VLOOKUP(Table48[[#This Row],[Date]],'DB LEI'!$A:$M,11)=0,"",VLOOKUP(Table48[[#This Row],[Date]],'DB LEI'!$A:$M,11))</f>
        <v/>
      </c>
    </row>
    <row r="478">
      <c r="A478" s="25" t="n">
        <v>42826</v>
      </c>
      <c r="B478" s="18">
        <f>VLOOKUP(Table48[[#This Row],[Date]],'DB LEI'!$A:$F,5)</f>
        <v/>
      </c>
      <c r="C478" s="24">
        <f>IF(VLOOKUP(Table48[[#This Row],[Date]],'DB LEI'!$A:$M,13)=0,"",VLOOKUP(Table48[[#This Row],[Date]],'DB LEI'!$A:$M,13))</f>
        <v/>
      </c>
      <c r="D478" s="24">
        <f>IF(VLOOKUP(Table48[[#This Row],[Date]],'DB LEI'!$A:$M,11)=0,"",VLOOKUP(Table48[[#This Row],[Date]],'DB LEI'!$A:$M,11))</f>
        <v/>
      </c>
    </row>
    <row r="479">
      <c r="A479" s="25" t="n">
        <v>42856</v>
      </c>
      <c r="B479" s="18">
        <f>VLOOKUP(Table48[[#This Row],[Date]],'DB LEI'!$A:$F,5)</f>
        <v/>
      </c>
      <c r="C479" s="24">
        <f>IF(VLOOKUP(Table48[[#This Row],[Date]],'DB LEI'!$A:$M,13)=0,"",VLOOKUP(Table48[[#This Row],[Date]],'DB LEI'!$A:$M,13))</f>
        <v/>
      </c>
      <c r="D479" s="24">
        <f>IF(VLOOKUP(Table48[[#This Row],[Date]],'DB LEI'!$A:$M,11)=0,"",VLOOKUP(Table48[[#This Row],[Date]],'DB LEI'!$A:$M,11))</f>
        <v/>
      </c>
    </row>
    <row r="480">
      <c r="A480" s="25" t="n">
        <v>42887</v>
      </c>
      <c r="B480" s="18">
        <f>VLOOKUP(Table48[[#This Row],[Date]],'DB LEI'!$A:$F,5)</f>
        <v/>
      </c>
      <c r="C480" s="24">
        <f>IF(VLOOKUP(Table48[[#This Row],[Date]],'DB LEI'!$A:$M,13)=0,"",VLOOKUP(Table48[[#This Row],[Date]],'DB LEI'!$A:$M,13))</f>
        <v/>
      </c>
      <c r="D480" s="24">
        <f>IF(VLOOKUP(Table48[[#This Row],[Date]],'DB LEI'!$A:$M,11)=0,"",VLOOKUP(Table48[[#This Row],[Date]],'DB LEI'!$A:$M,11))</f>
        <v/>
      </c>
    </row>
    <row r="481">
      <c r="A481" s="25" t="n">
        <v>42917</v>
      </c>
      <c r="B481" s="18">
        <f>VLOOKUP(Table48[[#This Row],[Date]],'DB LEI'!$A:$F,5)</f>
        <v/>
      </c>
      <c r="C481" s="24">
        <f>IF(VLOOKUP(Table48[[#This Row],[Date]],'DB LEI'!$A:$M,13)=0,"",VLOOKUP(Table48[[#This Row],[Date]],'DB LEI'!$A:$M,13))</f>
        <v/>
      </c>
      <c r="D481" s="24">
        <f>IF(VLOOKUP(Table48[[#This Row],[Date]],'DB LEI'!$A:$M,11)=0,"",VLOOKUP(Table48[[#This Row],[Date]],'DB LEI'!$A:$M,11))</f>
        <v/>
      </c>
    </row>
    <row r="482">
      <c r="A482" s="25" t="n">
        <v>42948</v>
      </c>
      <c r="B482" s="18">
        <f>VLOOKUP(Table48[[#This Row],[Date]],'DB LEI'!$A:$F,5)</f>
        <v/>
      </c>
      <c r="C482" s="24">
        <f>IF(VLOOKUP(Table48[[#This Row],[Date]],'DB LEI'!$A:$M,13)=0,"",VLOOKUP(Table48[[#This Row],[Date]],'DB LEI'!$A:$M,13))</f>
        <v/>
      </c>
      <c r="D482" s="24">
        <f>IF(VLOOKUP(Table48[[#This Row],[Date]],'DB LEI'!$A:$M,11)=0,"",VLOOKUP(Table48[[#This Row],[Date]],'DB LEI'!$A:$M,11))</f>
        <v/>
      </c>
    </row>
    <row r="483">
      <c r="A483" s="25" t="n">
        <v>42979</v>
      </c>
      <c r="B483" s="18">
        <f>VLOOKUP(Table48[[#This Row],[Date]],'DB LEI'!$A:$F,5)</f>
        <v/>
      </c>
      <c r="C483" s="24">
        <f>IF(VLOOKUP(Table48[[#This Row],[Date]],'DB LEI'!$A:$M,13)=0,"",VLOOKUP(Table48[[#This Row],[Date]],'DB LEI'!$A:$M,13))</f>
        <v/>
      </c>
      <c r="D483" s="24">
        <f>IF(VLOOKUP(Table48[[#This Row],[Date]],'DB LEI'!$A:$M,11)=0,"",VLOOKUP(Table48[[#This Row],[Date]],'DB LEI'!$A:$M,11))</f>
        <v/>
      </c>
    </row>
    <row r="484">
      <c r="A484" s="25" t="n">
        <v>43009</v>
      </c>
      <c r="B484" s="18">
        <f>VLOOKUP(Table48[[#This Row],[Date]],'DB LEI'!$A:$F,5)</f>
        <v/>
      </c>
      <c r="C484" s="24">
        <f>IF(VLOOKUP(Table48[[#This Row],[Date]],'DB LEI'!$A:$M,13)=0,"",VLOOKUP(Table48[[#This Row],[Date]],'DB LEI'!$A:$M,13))</f>
        <v/>
      </c>
      <c r="D484" s="24">
        <f>IF(VLOOKUP(Table48[[#This Row],[Date]],'DB LEI'!$A:$M,11)=0,"",VLOOKUP(Table48[[#This Row],[Date]],'DB LEI'!$A:$M,11))</f>
        <v/>
      </c>
    </row>
    <row r="485">
      <c r="A485" s="25" t="n">
        <v>43040</v>
      </c>
      <c r="B485" s="18">
        <f>VLOOKUP(Table48[[#This Row],[Date]],'DB LEI'!$A:$F,5)</f>
        <v/>
      </c>
      <c r="C485" s="24">
        <f>IF(VLOOKUP(Table48[[#This Row],[Date]],'DB LEI'!$A:$M,13)=0,"",VLOOKUP(Table48[[#This Row],[Date]],'DB LEI'!$A:$M,13))</f>
        <v/>
      </c>
      <c r="D485" s="24">
        <f>IF(VLOOKUP(Table48[[#This Row],[Date]],'DB LEI'!$A:$M,11)=0,"",VLOOKUP(Table48[[#This Row],[Date]],'DB LEI'!$A:$M,11))</f>
        <v/>
      </c>
    </row>
    <row r="486">
      <c r="A486" s="25" t="n">
        <v>43070</v>
      </c>
      <c r="B486" s="18">
        <f>VLOOKUP(Table48[[#This Row],[Date]],'DB LEI'!$A:$F,5)</f>
        <v/>
      </c>
      <c r="C486" s="24">
        <f>IF(VLOOKUP(Table48[[#This Row],[Date]],'DB LEI'!$A:$M,13)=0,"",VLOOKUP(Table48[[#This Row],[Date]],'DB LEI'!$A:$M,13))</f>
        <v/>
      </c>
      <c r="D486" s="24">
        <f>IF(VLOOKUP(Table48[[#This Row],[Date]],'DB LEI'!$A:$M,11)=0,"",VLOOKUP(Table48[[#This Row],[Date]],'DB LEI'!$A:$M,11))</f>
        <v/>
      </c>
    </row>
    <row r="487">
      <c r="A487" s="25" t="n">
        <v>43101</v>
      </c>
      <c r="B487" s="18">
        <f>VLOOKUP(Table48[[#This Row],[Date]],'DB LEI'!$A:$F,5)</f>
        <v/>
      </c>
      <c r="C487" s="24">
        <f>IF(VLOOKUP(Table48[[#This Row],[Date]],'DB LEI'!$A:$M,13)=0,"",VLOOKUP(Table48[[#This Row],[Date]],'DB LEI'!$A:$M,13))</f>
        <v/>
      </c>
      <c r="D487" s="24">
        <f>IF(VLOOKUP(Table48[[#This Row],[Date]],'DB LEI'!$A:$M,11)=0,"",VLOOKUP(Table48[[#This Row],[Date]],'DB LEI'!$A:$M,11))</f>
        <v/>
      </c>
    </row>
    <row r="488">
      <c r="A488" s="25" t="n">
        <v>43132</v>
      </c>
      <c r="B488" s="18">
        <f>VLOOKUP(Table48[[#This Row],[Date]],'DB LEI'!$A:$F,5)</f>
        <v/>
      </c>
      <c r="C488" s="24">
        <f>IF(VLOOKUP(Table48[[#This Row],[Date]],'DB LEI'!$A:$M,13)=0,"",VLOOKUP(Table48[[#This Row],[Date]],'DB LEI'!$A:$M,13))</f>
        <v/>
      </c>
      <c r="D488" s="24">
        <f>IF(VLOOKUP(Table48[[#This Row],[Date]],'DB LEI'!$A:$M,11)=0,"",VLOOKUP(Table48[[#This Row],[Date]],'DB LEI'!$A:$M,11))</f>
        <v/>
      </c>
    </row>
    <row r="489">
      <c r="A489" s="25" t="n">
        <v>43160</v>
      </c>
      <c r="B489" s="18">
        <f>VLOOKUP(Table48[[#This Row],[Date]],'DB LEI'!$A:$F,5)</f>
        <v/>
      </c>
      <c r="C489" s="24">
        <f>IF(VLOOKUP(Table48[[#This Row],[Date]],'DB LEI'!$A:$M,13)=0,"",VLOOKUP(Table48[[#This Row],[Date]],'DB LEI'!$A:$M,13))</f>
        <v/>
      </c>
      <c r="D489" s="24">
        <f>IF(VLOOKUP(Table48[[#This Row],[Date]],'DB LEI'!$A:$M,11)=0,"",VLOOKUP(Table48[[#This Row],[Date]],'DB LEI'!$A:$M,11))</f>
        <v/>
      </c>
    </row>
    <row r="490">
      <c r="A490" s="25" t="n">
        <v>43191</v>
      </c>
      <c r="B490" s="18">
        <f>VLOOKUP(Table48[[#This Row],[Date]],'DB LEI'!$A:$F,5)</f>
        <v/>
      </c>
      <c r="C490" s="24">
        <f>IF(VLOOKUP(Table48[[#This Row],[Date]],'DB LEI'!$A:$M,13)=0,"",VLOOKUP(Table48[[#This Row],[Date]],'DB LEI'!$A:$M,13))</f>
        <v/>
      </c>
      <c r="D490" s="24">
        <f>IF(VLOOKUP(Table48[[#This Row],[Date]],'DB LEI'!$A:$M,11)=0,"",VLOOKUP(Table48[[#This Row],[Date]],'DB LEI'!$A:$M,11))</f>
        <v/>
      </c>
    </row>
    <row r="491">
      <c r="A491" s="25" t="n">
        <v>43221</v>
      </c>
      <c r="B491" s="18">
        <f>VLOOKUP(Table48[[#This Row],[Date]],'DB LEI'!$A:$F,5)</f>
        <v/>
      </c>
      <c r="C491" s="24">
        <f>IF(VLOOKUP(Table48[[#This Row],[Date]],'DB LEI'!$A:$M,13)=0,"",VLOOKUP(Table48[[#This Row],[Date]],'DB LEI'!$A:$M,13))</f>
        <v/>
      </c>
      <c r="D491" s="24">
        <f>IF(VLOOKUP(Table48[[#This Row],[Date]],'DB LEI'!$A:$M,11)=0,"",VLOOKUP(Table48[[#This Row],[Date]],'DB LEI'!$A:$M,11))</f>
        <v/>
      </c>
    </row>
    <row r="492">
      <c r="A492" s="25" t="n">
        <v>43252</v>
      </c>
      <c r="B492" s="18">
        <f>VLOOKUP(Table48[[#This Row],[Date]],'DB LEI'!$A:$F,5)</f>
        <v/>
      </c>
      <c r="C492" s="24">
        <f>IF(VLOOKUP(Table48[[#This Row],[Date]],'DB LEI'!$A:$M,13)=0,"",VLOOKUP(Table48[[#This Row],[Date]],'DB LEI'!$A:$M,13))</f>
        <v/>
      </c>
      <c r="D492" s="24">
        <f>IF(VLOOKUP(Table48[[#This Row],[Date]],'DB LEI'!$A:$M,11)=0,"",VLOOKUP(Table48[[#This Row],[Date]],'DB LEI'!$A:$M,11))</f>
        <v/>
      </c>
    </row>
    <row r="493">
      <c r="A493" s="25" t="n">
        <v>43282</v>
      </c>
      <c r="B493" s="18">
        <f>VLOOKUP(Table48[[#This Row],[Date]],'DB LEI'!$A:$F,5)</f>
        <v/>
      </c>
      <c r="C493" s="24">
        <f>IF(VLOOKUP(Table48[[#This Row],[Date]],'DB LEI'!$A:$M,13)=0,"",VLOOKUP(Table48[[#This Row],[Date]],'DB LEI'!$A:$M,13))</f>
        <v/>
      </c>
      <c r="D493" s="24">
        <f>IF(VLOOKUP(Table48[[#This Row],[Date]],'DB LEI'!$A:$M,11)=0,"",VLOOKUP(Table48[[#This Row],[Date]],'DB LEI'!$A:$M,11))</f>
        <v/>
      </c>
    </row>
    <row r="494">
      <c r="A494" s="25" t="n">
        <v>43313</v>
      </c>
      <c r="B494" s="18">
        <f>VLOOKUP(Table48[[#This Row],[Date]],'DB LEI'!$A:$F,5)</f>
        <v/>
      </c>
      <c r="C494" s="24">
        <f>IF(VLOOKUP(Table48[[#This Row],[Date]],'DB LEI'!$A:$M,13)=0,"",VLOOKUP(Table48[[#This Row],[Date]],'DB LEI'!$A:$M,13))</f>
        <v/>
      </c>
      <c r="D494" s="24">
        <f>IF(VLOOKUP(Table48[[#This Row],[Date]],'DB LEI'!$A:$M,11)=0,"",VLOOKUP(Table48[[#This Row],[Date]],'DB LEI'!$A:$M,11))</f>
        <v/>
      </c>
    </row>
    <row r="495">
      <c r="A495" s="25" t="n">
        <v>43344</v>
      </c>
      <c r="B495" s="18">
        <f>VLOOKUP(Table48[[#This Row],[Date]],'DB LEI'!$A:$F,5)</f>
        <v/>
      </c>
      <c r="C495" s="24">
        <f>IF(VLOOKUP(Table48[[#This Row],[Date]],'DB LEI'!$A:$M,13)=0,"",VLOOKUP(Table48[[#This Row],[Date]],'DB LEI'!$A:$M,13))</f>
        <v/>
      </c>
      <c r="D495" s="24">
        <f>IF(VLOOKUP(Table48[[#This Row],[Date]],'DB LEI'!$A:$M,11)=0,"",VLOOKUP(Table48[[#This Row],[Date]],'DB LEI'!$A:$M,11))</f>
        <v/>
      </c>
    </row>
    <row r="496">
      <c r="A496" s="25" t="n">
        <v>43374</v>
      </c>
      <c r="B496" s="18">
        <f>VLOOKUP(Table48[[#This Row],[Date]],'DB LEI'!$A:$F,5)</f>
        <v/>
      </c>
      <c r="C496" s="24">
        <f>IF(VLOOKUP(Table48[[#This Row],[Date]],'DB LEI'!$A:$M,13)=0,"",VLOOKUP(Table48[[#This Row],[Date]],'DB LEI'!$A:$M,13))</f>
        <v/>
      </c>
      <c r="D496" s="24">
        <f>IF(VLOOKUP(Table48[[#This Row],[Date]],'DB LEI'!$A:$M,11)=0,"",VLOOKUP(Table48[[#This Row],[Date]],'DB LEI'!$A:$M,11))</f>
        <v/>
      </c>
    </row>
    <row r="497">
      <c r="A497" s="25" t="n">
        <v>43405</v>
      </c>
      <c r="B497" s="18">
        <f>VLOOKUP(Table48[[#This Row],[Date]],'DB LEI'!$A:$F,5)</f>
        <v/>
      </c>
      <c r="C497" s="24">
        <f>IF(VLOOKUP(Table48[[#This Row],[Date]],'DB LEI'!$A:$M,13)=0,"",VLOOKUP(Table48[[#This Row],[Date]],'DB LEI'!$A:$M,13))</f>
        <v/>
      </c>
      <c r="D497" s="24">
        <f>IF(VLOOKUP(Table48[[#This Row],[Date]],'DB LEI'!$A:$M,11)=0,"",VLOOKUP(Table48[[#This Row],[Date]],'DB LEI'!$A:$M,11))</f>
        <v/>
      </c>
    </row>
    <row r="498">
      <c r="A498" s="25" t="n">
        <v>43435</v>
      </c>
      <c r="B498" s="18">
        <f>VLOOKUP(Table48[[#This Row],[Date]],'DB LEI'!$A:$F,5)</f>
        <v/>
      </c>
      <c r="C498" s="24">
        <f>IF(VLOOKUP(Table48[[#This Row],[Date]],'DB LEI'!$A:$M,13)=0,"",VLOOKUP(Table48[[#This Row],[Date]],'DB LEI'!$A:$M,13))</f>
        <v/>
      </c>
      <c r="D498" s="24">
        <f>IF(VLOOKUP(Table48[[#This Row],[Date]],'DB LEI'!$A:$M,11)=0,"",VLOOKUP(Table48[[#This Row],[Date]],'DB LEI'!$A:$M,11))</f>
        <v/>
      </c>
    </row>
    <row r="499">
      <c r="A499" s="25" t="n">
        <v>43466</v>
      </c>
      <c r="B499" s="18">
        <f>VLOOKUP(Table48[[#This Row],[Date]],'DB LEI'!$A:$F,5)</f>
        <v/>
      </c>
      <c r="C499" s="24">
        <f>IF(VLOOKUP(Table48[[#This Row],[Date]],'DB LEI'!$A:$M,13)=0,"",VLOOKUP(Table48[[#This Row],[Date]],'DB LEI'!$A:$M,13))</f>
        <v/>
      </c>
      <c r="D499" s="24">
        <f>IF(VLOOKUP(Table48[[#This Row],[Date]],'DB LEI'!$A:$M,11)=0,"",VLOOKUP(Table48[[#This Row],[Date]],'DB LEI'!$A:$M,11))</f>
        <v/>
      </c>
    </row>
    <row r="500">
      <c r="A500" s="25" t="n">
        <v>43497</v>
      </c>
      <c r="B500" s="18">
        <f>VLOOKUP(Table48[[#This Row],[Date]],'DB LEI'!$A:$F,5)</f>
        <v/>
      </c>
      <c r="C500" s="24">
        <f>IF(VLOOKUP(Table48[[#This Row],[Date]],'DB LEI'!$A:$M,13)=0,"",VLOOKUP(Table48[[#This Row],[Date]],'DB LEI'!$A:$M,13))</f>
        <v/>
      </c>
      <c r="D500" s="24">
        <f>IF(VLOOKUP(Table48[[#This Row],[Date]],'DB LEI'!$A:$M,11)=0,"",VLOOKUP(Table48[[#This Row],[Date]],'DB LEI'!$A:$M,11))</f>
        <v/>
      </c>
    </row>
    <row r="501">
      <c r="A501" s="25" t="n">
        <v>43525</v>
      </c>
      <c r="B501" s="18">
        <f>VLOOKUP(Table48[[#This Row],[Date]],'DB LEI'!$A:$F,5)</f>
        <v/>
      </c>
      <c r="C501" s="24">
        <f>IF(VLOOKUP(Table48[[#This Row],[Date]],'DB LEI'!$A:$M,13)=0,"",VLOOKUP(Table48[[#This Row],[Date]],'DB LEI'!$A:$M,13))</f>
        <v/>
      </c>
      <c r="D501" s="24">
        <f>IF(VLOOKUP(Table48[[#This Row],[Date]],'DB LEI'!$A:$M,11)=0,"",VLOOKUP(Table48[[#This Row],[Date]],'DB LEI'!$A:$M,11))</f>
        <v/>
      </c>
    </row>
    <row r="502">
      <c r="A502" s="25" t="n">
        <v>43556</v>
      </c>
      <c r="B502" s="18">
        <f>VLOOKUP(Table48[[#This Row],[Date]],'DB LEI'!$A:$F,5)</f>
        <v/>
      </c>
      <c r="C502" s="24">
        <f>IF(VLOOKUP(Table48[[#This Row],[Date]],'DB LEI'!$A:$M,13)=0,"",VLOOKUP(Table48[[#This Row],[Date]],'DB LEI'!$A:$M,13))</f>
        <v/>
      </c>
      <c r="D502" s="24">
        <f>IF(VLOOKUP(Table48[[#This Row],[Date]],'DB LEI'!$A:$M,11)=0,"",VLOOKUP(Table48[[#This Row],[Date]],'DB LEI'!$A:$M,11))</f>
        <v/>
      </c>
    </row>
    <row r="503">
      <c r="A503" s="25" t="n">
        <v>43586</v>
      </c>
      <c r="B503" s="18">
        <f>VLOOKUP(Table48[[#This Row],[Date]],'DB LEI'!$A:$F,5)</f>
        <v/>
      </c>
      <c r="C503" s="24">
        <f>IF(VLOOKUP(Table48[[#This Row],[Date]],'DB LEI'!$A:$M,13)=0,"",VLOOKUP(Table48[[#This Row],[Date]],'DB LEI'!$A:$M,13))</f>
        <v/>
      </c>
      <c r="D503" s="24">
        <f>IF(VLOOKUP(Table48[[#This Row],[Date]],'DB LEI'!$A:$M,11)=0,"",VLOOKUP(Table48[[#This Row],[Date]],'DB LEI'!$A:$M,11))</f>
        <v/>
      </c>
    </row>
    <row r="504">
      <c r="A504" s="25" t="n">
        <v>43617</v>
      </c>
      <c r="B504" s="18">
        <f>VLOOKUP(Table48[[#This Row],[Date]],'DB LEI'!$A:$F,5)</f>
        <v/>
      </c>
      <c r="C504" s="24">
        <f>IF(VLOOKUP(Table48[[#This Row],[Date]],'DB LEI'!$A:$M,13)=0,"",VLOOKUP(Table48[[#This Row],[Date]],'DB LEI'!$A:$M,13))</f>
        <v/>
      </c>
      <c r="D504" s="24">
        <f>IF(VLOOKUP(Table48[[#This Row],[Date]],'DB LEI'!$A:$M,11)=0,"",VLOOKUP(Table48[[#This Row],[Date]],'DB LEI'!$A:$M,11))</f>
        <v/>
      </c>
    </row>
    <row r="505">
      <c r="A505" s="25" t="n">
        <v>43647</v>
      </c>
      <c r="B505" s="18">
        <f>VLOOKUP(Table48[[#This Row],[Date]],'DB LEI'!$A:$F,5)</f>
        <v/>
      </c>
      <c r="C505" s="24">
        <f>IF(VLOOKUP(Table48[[#This Row],[Date]],'DB LEI'!$A:$M,13)=0,"",VLOOKUP(Table48[[#This Row],[Date]],'DB LEI'!$A:$M,13))</f>
        <v/>
      </c>
      <c r="D505" s="24">
        <f>IF(VLOOKUP(Table48[[#This Row],[Date]],'DB LEI'!$A:$M,11)=0,"",VLOOKUP(Table48[[#This Row],[Date]],'DB LEI'!$A:$M,11))</f>
        <v/>
      </c>
    </row>
    <row r="506">
      <c r="A506" s="25" t="n">
        <v>43678</v>
      </c>
      <c r="B506" s="18">
        <f>VLOOKUP(Table48[[#This Row],[Date]],'DB LEI'!$A:$F,5)</f>
        <v/>
      </c>
      <c r="C506" s="24">
        <f>IF(VLOOKUP(Table48[[#This Row],[Date]],'DB LEI'!$A:$M,13)=0,"",VLOOKUP(Table48[[#This Row],[Date]],'DB LEI'!$A:$M,13))</f>
        <v/>
      </c>
      <c r="D506" s="24">
        <f>IF(VLOOKUP(Table48[[#This Row],[Date]],'DB LEI'!$A:$M,11)=0,"",VLOOKUP(Table48[[#This Row],[Date]],'DB LEI'!$A:$M,11))</f>
        <v/>
      </c>
    </row>
    <row r="507">
      <c r="A507" s="25" t="n">
        <v>43709</v>
      </c>
      <c r="B507" s="18">
        <f>VLOOKUP(Table48[[#This Row],[Date]],'DB LEI'!$A:$F,5)</f>
        <v/>
      </c>
      <c r="C507" s="24">
        <f>IF(VLOOKUP(Table48[[#This Row],[Date]],'DB LEI'!$A:$M,13)=0,"",VLOOKUP(Table48[[#This Row],[Date]],'DB LEI'!$A:$M,13))</f>
        <v/>
      </c>
      <c r="D507" s="24">
        <f>IF(VLOOKUP(Table48[[#This Row],[Date]],'DB LEI'!$A:$M,11)=0,"",VLOOKUP(Table48[[#This Row],[Date]],'DB LEI'!$A:$M,11))</f>
        <v/>
      </c>
    </row>
    <row r="508">
      <c r="A508" s="25" t="n">
        <v>43739</v>
      </c>
      <c r="B508" s="18">
        <f>VLOOKUP(Table48[[#This Row],[Date]],'DB LEI'!$A:$F,5)</f>
        <v/>
      </c>
      <c r="C508" s="24">
        <f>IF(VLOOKUP(Table48[[#This Row],[Date]],'DB LEI'!$A:$M,13)=0,"",VLOOKUP(Table48[[#This Row],[Date]],'DB LEI'!$A:$M,13))</f>
        <v/>
      </c>
      <c r="D508" s="24">
        <f>IF(VLOOKUP(Table48[[#This Row],[Date]],'DB LEI'!$A:$M,11)=0,"",VLOOKUP(Table48[[#This Row],[Date]],'DB LEI'!$A:$M,11))</f>
        <v/>
      </c>
    </row>
    <row r="509">
      <c r="A509" s="25" t="n">
        <v>43770</v>
      </c>
      <c r="B509" s="18">
        <f>VLOOKUP(Table48[[#This Row],[Date]],'DB LEI'!$A:$F,5)</f>
        <v/>
      </c>
      <c r="C509" s="24">
        <f>IF(VLOOKUP(Table48[[#This Row],[Date]],'DB LEI'!$A:$M,13)=0,"",VLOOKUP(Table48[[#This Row],[Date]],'DB LEI'!$A:$M,13))</f>
        <v/>
      </c>
      <c r="D509" s="24">
        <f>IF(VLOOKUP(Table48[[#This Row],[Date]],'DB LEI'!$A:$M,11)=0,"",VLOOKUP(Table48[[#This Row],[Date]],'DB LEI'!$A:$M,11))</f>
        <v/>
      </c>
    </row>
    <row r="510">
      <c r="A510" s="25" t="n">
        <v>43800</v>
      </c>
      <c r="B510" s="18">
        <f>VLOOKUP(Table48[[#This Row],[Date]],'DB LEI'!$A:$F,5)</f>
        <v/>
      </c>
      <c r="C510" s="24">
        <f>IF(VLOOKUP(Table48[[#This Row],[Date]],'DB LEI'!$A:$M,13)=0,"",VLOOKUP(Table48[[#This Row],[Date]],'DB LEI'!$A:$M,13))</f>
        <v/>
      </c>
      <c r="D510" s="24">
        <f>IF(VLOOKUP(Table48[[#This Row],[Date]],'DB LEI'!$A:$M,11)=0,"",VLOOKUP(Table48[[#This Row],[Date]],'DB LEI'!$A:$M,11))</f>
        <v/>
      </c>
    </row>
    <row r="511">
      <c r="A511" s="25" t="n">
        <v>43831</v>
      </c>
      <c r="B511" s="18">
        <f>VLOOKUP(Table48[[#This Row],[Date]],'DB LEI'!$A:$F,5)</f>
        <v/>
      </c>
      <c r="C511" s="24">
        <f>IF(VLOOKUP(Table48[[#This Row],[Date]],'DB LEI'!$A:$M,13)=0,"",VLOOKUP(Table48[[#This Row],[Date]],'DB LEI'!$A:$M,13))</f>
        <v/>
      </c>
      <c r="D511" s="24">
        <f>IF(VLOOKUP(Table48[[#This Row],[Date]],'DB LEI'!$A:$M,11)=0,"",VLOOKUP(Table48[[#This Row],[Date]],'DB LEI'!$A:$M,11))</f>
        <v/>
      </c>
    </row>
    <row r="512">
      <c r="A512" s="25" t="n">
        <v>43862</v>
      </c>
      <c r="B512" s="18">
        <f>VLOOKUP(Table48[[#This Row],[Date]],'DB LEI'!$A:$F,5)</f>
        <v/>
      </c>
      <c r="C512" s="24">
        <f>IF(VLOOKUP(Table48[[#This Row],[Date]],'DB LEI'!$A:$M,13)=0,"",VLOOKUP(Table48[[#This Row],[Date]],'DB LEI'!$A:$M,13))</f>
        <v/>
      </c>
      <c r="D512" s="24">
        <f>IF(VLOOKUP(Table48[[#This Row],[Date]],'DB LEI'!$A:$M,11)=0,"",VLOOKUP(Table48[[#This Row],[Date]],'DB LEI'!$A:$M,11))</f>
        <v/>
      </c>
    </row>
    <row r="513">
      <c r="A513" s="25" t="n">
        <v>43891</v>
      </c>
      <c r="B513" s="18">
        <f>VLOOKUP(Table48[[#This Row],[Date]],'DB LEI'!$A:$F,5)</f>
        <v/>
      </c>
      <c r="C513" s="24">
        <f>IF(VLOOKUP(Table48[[#This Row],[Date]],'DB LEI'!$A:$M,13)=0,"",VLOOKUP(Table48[[#This Row],[Date]],'DB LEI'!$A:$M,13))</f>
        <v/>
      </c>
      <c r="D513" s="24">
        <f>IF(VLOOKUP(Table48[[#This Row],[Date]],'DB LEI'!$A:$M,11)=0,"",VLOOKUP(Table48[[#This Row],[Date]],'DB LEI'!$A:$M,11))</f>
        <v/>
      </c>
    </row>
    <row r="514">
      <c r="A514" s="25" t="n">
        <v>43922</v>
      </c>
      <c r="B514" s="18">
        <f>VLOOKUP(Table48[[#This Row],[Date]],'DB LEI'!$A:$F,5)</f>
        <v/>
      </c>
      <c r="C514" s="24">
        <f>IF(VLOOKUP(Table48[[#This Row],[Date]],'DB LEI'!$A:$M,13)=0,"",VLOOKUP(Table48[[#This Row],[Date]],'DB LEI'!$A:$M,13))</f>
        <v/>
      </c>
      <c r="D514" s="24">
        <f>IF(VLOOKUP(Table48[[#This Row],[Date]],'DB LEI'!$A:$M,11)=0,"",VLOOKUP(Table48[[#This Row],[Date]],'DB LEI'!$A:$M,11))</f>
        <v/>
      </c>
    </row>
    <row r="515">
      <c r="A515" s="25" t="n">
        <v>43952</v>
      </c>
      <c r="B515" s="18">
        <f>VLOOKUP(Table48[[#This Row],[Date]],'DB LEI'!$A:$F,5)</f>
        <v/>
      </c>
      <c r="C515" s="24">
        <f>IF(VLOOKUP(Table48[[#This Row],[Date]],'DB LEI'!$A:$M,13)=0,"",VLOOKUP(Table48[[#This Row],[Date]],'DB LEI'!$A:$M,13))</f>
        <v/>
      </c>
      <c r="D515" s="24">
        <f>IF(VLOOKUP(Table48[[#This Row],[Date]],'DB LEI'!$A:$M,11)=0,"",VLOOKUP(Table48[[#This Row],[Date]],'DB LEI'!$A:$M,11))</f>
        <v/>
      </c>
    </row>
    <row r="516">
      <c r="A516" s="25" t="n">
        <v>43983</v>
      </c>
      <c r="B516" s="18">
        <f>VLOOKUP(Table48[[#This Row],[Date]],'DB LEI'!$A:$F,5)</f>
        <v/>
      </c>
      <c r="C516" s="24">
        <f>IF(VLOOKUP(Table48[[#This Row],[Date]],'DB LEI'!$A:$M,13)=0,"",VLOOKUP(Table48[[#This Row],[Date]],'DB LEI'!$A:$M,13))</f>
        <v/>
      </c>
      <c r="D516" s="24">
        <f>IF(VLOOKUP(Table48[[#This Row],[Date]],'DB LEI'!$A:$M,11)=0,"",VLOOKUP(Table48[[#This Row],[Date]],'DB LEI'!$A:$M,11))</f>
        <v/>
      </c>
    </row>
    <row r="517">
      <c r="A517" s="25" t="n">
        <v>44013</v>
      </c>
      <c r="B517" s="18">
        <f>VLOOKUP(Table48[[#This Row],[Date]],'DB LEI'!$A:$F,5)</f>
        <v/>
      </c>
      <c r="C517" s="24">
        <f>IF(VLOOKUP(Table48[[#This Row],[Date]],'DB LEI'!$A:$M,13)=0,"",VLOOKUP(Table48[[#This Row],[Date]],'DB LEI'!$A:$M,13))</f>
        <v/>
      </c>
      <c r="D517" s="24">
        <f>IF(VLOOKUP(Table48[[#This Row],[Date]],'DB LEI'!$A:$M,11)=0,"",VLOOKUP(Table48[[#This Row],[Date]],'DB LEI'!$A:$M,11))</f>
        <v/>
      </c>
    </row>
    <row r="518">
      <c r="A518" s="25" t="n">
        <v>44044</v>
      </c>
      <c r="B518" s="18">
        <f>VLOOKUP(Table48[[#This Row],[Date]],'DB LEI'!$A:$F,5)</f>
        <v/>
      </c>
      <c r="C518" s="24">
        <f>IF(VLOOKUP(Table48[[#This Row],[Date]],'DB LEI'!$A:$M,13)=0,"",VLOOKUP(Table48[[#This Row],[Date]],'DB LEI'!$A:$M,13))</f>
        <v/>
      </c>
      <c r="D518" s="24">
        <f>IF(VLOOKUP(Table48[[#This Row],[Date]],'DB LEI'!$A:$M,11)=0,"",VLOOKUP(Table48[[#This Row],[Date]],'DB LEI'!$A:$M,11))</f>
        <v/>
      </c>
    </row>
    <row r="519">
      <c r="A519" s="25" t="n">
        <v>44075</v>
      </c>
      <c r="B519" s="18">
        <f>VLOOKUP(Table48[[#This Row],[Date]],'DB LEI'!$A:$F,5)</f>
        <v/>
      </c>
      <c r="C519" s="24">
        <f>IF(VLOOKUP(Table48[[#This Row],[Date]],'DB LEI'!$A:$M,13)=0,"",VLOOKUP(Table48[[#This Row],[Date]],'DB LEI'!$A:$M,13))</f>
        <v/>
      </c>
      <c r="D519" s="24">
        <f>IF(VLOOKUP(Table48[[#This Row],[Date]],'DB LEI'!$A:$M,11)=0,"",VLOOKUP(Table48[[#This Row],[Date]],'DB LEI'!$A:$M,11))</f>
        <v/>
      </c>
    </row>
    <row r="520">
      <c r="A520" s="25" t="n">
        <v>44105</v>
      </c>
      <c r="B520" s="18">
        <f>VLOOKUP(Table48[[#This Row],[Date]],'DB LEI'!$A:$F,5)</f>
        <v/>
      </c>
      <c r="C520" s="24">
        <f>IF(VLOOKUP(Table48[[#This Row],[Date]],'DB LEI'!$A:$M,13)=0,"",VLOOKUP(Table48[[#This Row],[Date]],'DB LEI'!$A:$M,13))</f>
        <v/>
      </c>
      <c r="D520" s="24">
        <f>IF(VLOOKUP(Table48[[#This Row],[Date]],'DB LEI'!$A:$M,11)=0,"",VLOOKUP(Table48[[#This Row],[Date]],'DB LEI'!$A:$M,11))</f>
        <v/>
      </c>
    </row>
    <row r="521">
      <c r="A521" s="25" t="n">
        <v>44136</v>
      </c>
      <c r="B521" s="18">
        <f>VLOOKUP(Table48[[#This Row],[Date]],'DB LEI'!$A:$F,5)</f>
        <v/>
      </c>
      <c r="C521" s="24">
        <f>IF(VLOOKUP(Table48[[#This Row],[Date]],'DB LEI'!$A:$M,13)=0,"",VLOOKUP(Table48[[#This Row],[Date]],'DB LEI'!$A:$M,13))</f>
        <v/>
      </c>
      <c r="D521" s="24">
        <f>IF(VLOOKUP(Table48[[#This Row],[Date]],'DB LEI'!$A:$M,11)=0,"",VLOOKUP(Table48[[#This Row],[Date]],'DB LEI'!$A:$M,11))</f>
        <v/>
      </c>
    </row>
    <row r="522">
      <c r="A522" s="25" t="n">
        <v>44166</v>
      </c>
      <c r="B522" s="18">
        <f>VLOOKUP(Table48[[#This Row],[Date]],'DB LEI'!$A:$F,5)</f>
        <v/>
      </c>
      <c r="C522" s="24">
        <f>IF(VLOOKUP(Table48[[#This Row],[Date]],'DB LEI'!$A:$M,13)=0,"",VLOOKUP(Table48[[#This Row],[Date]],'DB LEI'!$A:$M,13))</f>
        <v/>
      </c>
      <c r="D522" s="24">
        <f>IF(VLOOKUP(Table48[[#This Row],[Date]],'DB LEI'!$A:$M,11)=0,"",VLOOKUP(Table48[[#This Row],[Date]],'DB LEI'!$A:$M,11))</f>
        <v/>
      </c>
    </row>
    <row r="523">
      <c r="A523" s="25" t="n">
        <v>44197</v>
      </c>
      <c r="B523" s="18">
        <f>VLOOKUP(Table48[[#This Row],[Date]],'DB LEI'!$A:$F,5)</f>
        <v/>
      </c>
      <c r="C523" s="24">
        <f>IF(VLOOKUP(Table48[[#This Row],[Date]],'DB LEI'!$A:$M,13)=0,"",VLOOKUP(Table48[[#This Row],[Date]],'DB LEI'!$A:$M,13))</f>
        <v/>
      </c>
      <c r="D523" s="24">
        <f>IF(VLOOKUP(Table48[[#This Row],[Date]],'DB LEI'!$A:$M,11)=0,"",VLOOKUP(Table48[[#This Row],[Date]],'DB LEI'!$A:$M,11))</f>
        <v/>
      </c>
    </row>
    <row r="524">
      <c r="A524" s="25" t="n">
        <v>44228</v>
      </c>
      <c r="B524" s="18">
        <f>VLOOKUP(Table48[[#This Row],[Date]],'DB LEI'!$A:$F,5)</f>
        <v/>
      </c>
      <c r="C524" s="24">
        <f>IF(VLOOKUP(Table48[[#This Row],[Date]],'DB LEI'!$A:$M,13)=0,"",VLOOKUP(Table48[[#This Row],[Date]],'DB LEI'!$A:$M,13))</f>
        <v/>
      </c>
      <c r="D524" s="24">
        <f>IF(VLOOKUP(Table48[[#This Row],[Date]],'DB LEI'!$A:$M,11)=0,"",VLOOKUP(Table48[[#This Row],[Date]],'DB LEI'!$A:$M,11))</f>
        <v/>
      </c>
    </row>
    <row r="525">
      <c r="A525" s="25" t="n">
        <v>44256</v>
      </c>
      <c r="B525" s="18">
        <f>VLOOKUP(Table48[[#This Row],[Date]],'DB LEI'!$A:$F,5)</f>
        <v/>
      </c>
      <c r="C525" s="24">
        <f>IF(VLOOKUP(Table48[[#This Row],[Date]],'DB LEI'!$A:$M,13)=0,"",VLOOKUP(Table48[[#This Row],[Date]],'DB LEI'!$A:$M,13))</f>
        <v/>
      </c>
      <c r="D525" s="24">
        <f>IF(VLOOKUP(Table48[[#This Row],[Date]],'DB LEI'!$A:$M,11)=0,"",VLOOKUP(Table48[[#This Row],[Date]],'DB LEI'!$A:$M,11))</f>
        <v/>
      </c>
    </row>
    <row r="526">
      <c r="A526" s="25" t="n">
        <v>44287</v>
      </c>
      <c r="B526" s="18">
        <f>VLOOKUP(Table48[[#This Row],[Date]],'DB LEI'!$A:$F,5)</f>
        <v/>
      </c>
      <c r="C526" s="24">
        <f>IF(VLOOKUP(Table48[[#This Row],[Date]],'DB LEI'!$A:$M,13)=0,"",VLOOKUP(Table48[[#This Row],[Date]],'DB LEI'!$A:$M,13))</f>
        <v/>
      </c>
      <c r="D526" s="24">
        <f>IF(VLOOKUP(Table48[[#This Row],[Date]],'DB LEI'!$A:$M,11)=0,"",VLOOKUP(Table48[[#This Row],[Date]],'DB LEI'!$A:$M,11))</f>
        <v/>
      </c>
    </row>
    <row r="527">
      <c r="A527" s="25" t="n">
        <v>44317</v>
      </c>
      <c r="B527" s="18">
        <f>VLOOKUP(Table48[[#This Row],[Date]],'DB LEI'!$A:$F,5)</f>
        <v/>
      </c>
      <c r="C527" s="24">
        <f>IF(VLOOKUP(Table48[[#This Row],[Date]],'DB LEI'!$A:$M,13)=0,"",VLOOKUP(Table48[[#This Row],[Date]],'DB LEI'!$A:$M,13))</f>
        <v/>
      </c>
      <c r="D527" s="24">
        <f>IF(VLOOKUP(Table48[[#This Row],[Date]],'DB LEI'!$A:$M,11)=0,"",VLOOKUP(Table48[[#This Row],[Date]],'DB LEI'!$A:$M,11))</f>
        <v/>
      </c>
    </row>
    <row r="528">
      <c r="A528" s="25" t="n">
        <v>44348</v>
      </c>
      <c r="B528" s="18">
        <f>VLOOKUP(Table48[[#This Row],[Date]],'DB LEI'!$A:$F,5)</f>
        <v/>
      </c>
      <c r="C528" s="24">
        <f>IF(VLOOKUP(Table48[[#This Row],[Date]],'DB LEI'!$A:$M,13)=0,"",VLOOKUP(Table48[[#This Row],[Date]],'DB LEI'!$A:$M,13))</f>
        <v/>
      </c>
      <c r="D528" s="24">
        <f>IF(VLOOKUP(Table48[[#This Row],[Date]],'DB LEI'!$A:$M,11)=0,"",VLOOKUP(Table48[[#This Row],[Date]],'DB LEI'!$A:$M,11))</f>
        <v/>
      </c>
    </row>
    <row r="529">
      <c r="A529" s="25" t="n">
        <v>44378</v>
      </c>
      <c r="B529" s="18">
        <f>VLOOKUP(Table48[[#This Row],[Date]],'DB LEI'!$A:$F,5)</f>
        <v/>
      </c>
      <c r="C529" s="24">
        <f>IF(VLOOKUP(Table48[[#This Row],[Date]],'DB LEI'!$A:$M,13)=0,"",VLOOKUP(Table48[[#This Row],[Date]],'DB LEI'!$A:$M,13))</f>
        <v/>
      </c>
      <c r="D529" s="24">
        <f>IF(VLOOKUP(Table48[[#This Row],[Date]],'DB LEI'!$A:$M,11)=0,"",VLOOKUP(Table48[[#This Row],[Date]],'DB LEI'!$A:$M,11))</f>
        <v/>
      </c>
    </row>
    <row r="530">
      <c r="A530" s="25" t="n">
        <v>44409</v>
      </c>
      <c r="B530" s="18">
        <f>VLOOKUP(Table48[[#This Row],[Date]],'DB LEI'!$A:$F,5)</f>
        <v/>
      </c>
      <c r="C530" s="24">
        <f>IF(VLOOKUP(Table48[[#This Row],[Date]],'DB LEI'!$A:$M,13)=0,"",VLOOKUP(Table48[[#This Row],[Date]],'DB LEI'!$A:$M,13))</f>
        <v/>
      </c>
      <c r="D530" s="24">
        <f>IF(VLOOKUP(Table48[[#This Row],[Date]],'DB LEI'!$A:$M,11)=0,"",VLOOKUP(Table48[[#This Row],[Date]],'DB LEI'!$A:$M,11))</f>
        <v/>
      </c>
    </row>
    <row r="531">
      <c r="A531" s="25" t="n">
        <v>44440</v>
      </c>
      <c r="B531" s="18">
        <f>VLOOKUP(Table48[[#This Row],[Date]],'DB LEI'!$A:$F,5)</f>
        <v/>
      </c>
      <c r="C531" s="24">
        <f>IF(VLOOKUP(Table48[[#This Row],[Date]],'DB LEI'!$A:$M,13)=0,"",VLOOKUP(Table48[[#This Row],[Date]],'DB LEI'!$A:$M,13))</f>
        <v/>
      </c>
      <c r="D531" s="24">
        <f>IF(VLOOKUP(Table48[[#This Row],[Date]],'DB LEI'!$A:$M,11)=0,"",VLOOKUP(Table48[[#This Row],[Date]],'DB LEI'!$A:$M,11))</f>
        <v/>
      </c>
    </row>
    <row r="532">
      <c r="A532" s="25" t="n">
        <v>44470</v>
      </c>
      <c r="B532" s="18">
        <f>VLOOKUP(Table48[[#This Row],[Date]],'DB LEI'!$A:$F,5)</f>
        <v/>
      </c>
      <c r="C532" s="24">
        <f>IF(VLOOKUP(Table48[[#This Row],[Date]],'DB LEI'!$A:$M,13)=0,"",VLOOKUP(Table48[[#This Row],[Date]],'DB LEI'!$A:$M,13))</f>
        <v/>
      </c>
      <c r="D532" s="24">
        <f>IF(VLOOKUP(Table48[[#This Row],[Date]],'DB LEI'!$A:$M,11)=0,"",VLOOKUP(Table48[[#This Row],[Date]],'DB LEI'!$A:$M,11))</f>
        <v/>
      </c>
    </row>
    <row r="533">
      <c r="A533" s="25" t="n">
        <v>44501</v>
      </c>
      <c r="B533" s="18">
        <f>VLOOKUP(Table48[[#This Row],[Date]],'DB LEI'!$A:$F,5)</f>
        <v/>
      </c>
      <c r="C533" s="24">
        <f>IF(VLOOKUP(Table48[[#This Row],[Date]],'DB LEI'!$A:$M,13)=0,"",VLOOKUP(Table48[[#This Row],[Date]],'DB LEI'!$A:$M,13))</f>
        <v/>
      </c>
      <c r="D533" s="24">
        <f>IF(VLOOKUP(Table48[[#This Row],[Date]],'DB LEI'!$A:$M,11)=0,"",VLOOKUP(Table48[[#This Row],[Date]],'DB LEI'!$A:$M,11))</f>
        <v/>
      </c>
    </row>
    <row r="534">
      <c r="A534" s="25" t="n">
        <v>44531</v>
      </c>
      <c r="B534" s="18">
        <f>VLOOKUP(Table48[[#This Row],[Date]],'DB LEI'!$A:$F,5)</f>
        <v/>
      </c>
      <c r="C534" s="24">
        <f>IF(VLOOKUP(Table48[[#This Row],[Date]],'DB LEI'!$A:$M,13)=0,"",VLOOKUP(Table48[[#This Row],[Date]],'DB LEI'!$A:$M,13))</f>
        <v/>
      </c>
      <c r="D534" s="24">
        <f>IF(VLOOKUP(Table48[[#This Row],[Date]],'DB LEI'!$A:$M,11)=0,"",VLOOKUP(Table48[[#This Row],[Date]],'DB LEI'!$A:$M,11))</f>
        <v/>
      </c>
    </row>
    <row r="535">
      <c r="A535" s="25" t="n">
        <v>44562</v>
      </c>
      <c r="B535" s="18">
        <f>VLOOKUP(Table48[[#This Row],[Date]],'DB LEI'!$A:$F,5)</f>
        <v/>
      </c>
      <c r="C535" s="24">
        <f>IF(VLOOKUP(Table48[[#This Row],[Date]],'DB LEI'!$A:$M,13)=0,"",VLOOKUP(Table48[[#This Row],[Date]],'DB LEI'!$A:$M,13))</f>
        <v/>
      </c>
      <c r="D535" s="24">
        <f>IF(VLOOKUP(Table48[[#This Row],[Date]],'DB LEI'!$A:$M,11)=0,"",VLOOKUP(Table48[[#This Row],[Date]],'DB LEI'!$A:$M,11))</f>
        <v/>
      </c>
    </row>
    <row r="536">
      <c r="A536" s="25" t="n">
        <v>44593</v>
      </c>
      <c r="B536" s="18">
        <f>VLOOKUP(Table48[[#This Row],[Date]],'DB LEI'!$A:$F,5)</f>
        <v/>
      </c>
      <c r="C536" s="24">
        <f>IF(VLOOKUP(Table48[[#This Row],[Date]],'DB LEI'!$A:$M,13)=0,"",VLOOKUP(Table48[[#This Row],[Date]],'DB LEI'!$A:$M,13))</f>
        <v/>
      </c>
      <c r="D536" s="24">
        <f>IF(VLOOKUP(Table48[[#This Row],[Date]],'DB LEI'!$A:$M,11)=0,"",VLOOKUP(Table48[[#This Row],[Date]],'DB LEI'!$A:$M,11))</f>
        <v/>
      </c>
    </row>
    <row r="537">
      <c r="A537" s="25" t="n">
        <v>44621</v>
      </c>
      <c r="B537" s="18">
        <f>VLOOKUP(Table48[[#This Row],[Date]],'DB LEI'!$A:$F,5)</f>
        <v/>
      </c>
      <c r="C537" s="24">
        <f>IF(VLOOKUP(Table48[[#This Row],[Date]],'DB LEI'!$A:$M,13)=0,"",VLOOKUP(Table48[[#This Row],[Date]],'DB LEI'!$A:$M,13))</f>
        <v/>
      </c>
      <c r="D537" s="24">
        <f>IF(VLOOKUP(Table48[[#This Row],[Date]],'DB LEI'!$A:$M,11)=0,"",VLOOKUP(Table48[[#This Row],[Date]],'DB LEI'!$A:$M,11))</f>
        <v/>
      </c>
    </row>
    <row r="538">
      <c r="A538" s="25" t="n">
        <v>44652</v>
      </c>
      <c r="B538" s="18">
        <f>VLOOKUP(Table48[[#This Row],[Date]],'DB LEI'!$A:$F,5)</f>
        <v/>
      </c>
      <c r="C538" s="24">
        <f>IF(VLOOKUP(Table48[[#This Row],[Date]],'DB LEI'!$A:$M,13)=0,"",VLOOKUP(Table48[[#This Row],[Date]],'DB LEI'!$A:$M,13))</f>
        <v/>
      </c>
      <c r="D538" s="24">
        <f>IF(VLOOKUP(Table48[[#This Row],[Date]],'DB LEI'!$A:$M,11)=0,"",VLOOKUP(Table48[[#This Row],[Date]],'DB LEI'!$A:$M,11))</f>
        <v/>
      </c>
    </row>
    <row r="539">
      <c r="A539" s="25" t="n">
        <v>44682</v>
      </c>
      <c r="B539" s="18">
        <f>VLOOKUP(Table48[[#This Row],[Date]],'DB LEI'!$A:$F,5)</f>
        <v/>
      </c>
      <c r="C539" s="24">
        <f>IF(VLOOKUP(Table48[[#This Row],[Date]],'DB LEI'!$A:$M,13)=0,"",VLOOKUP(Table48[[#This Row],[Date]],'DB LEI'!$A:$M,13))</f>
        <v/>
      </c>
      <c r="D539" s="24">
        <f>IF(VLOOKUP(Table48[[#This Row],[Date]],'DB LEI'!$A:$M,11)=0,"",VLOOKUP(Table48[[#This Row],[Date]],'DB LEI'!$A:$M,11))</f>
        <v/>
      </c>
    </row>
    <row r="540">
      <c r="A540" s="25" t="n">
        <v>44713</v>
      </c>
      <c r="B540" s="18">
        <f>VLOOKUP(Table48[[#This Row],[Date]],'DB LEI'!$A:$F,5)</f>
        <v/>
      </c>
      <c r="C540" s="24">
        <f>IF(VLOOKUP(Table48[[#This Row],[Date]],'DB LEI'!$A:$M,13)=0,"",VLOOKUP(Table48[[#This Row],[Date]],'DB LEI'!$A:$M,13))</f>
        <v/>
      </c>
      <c r="D540" s="24">
        <f>IF(VLOOKUP(Table48[[#This Row],[Date]],'DB LEI'!$A:$M,11)=0,"",VLOOKUP(Table48[[#This Row],[Date]],'DB LEI'!$A:$M,11))</f>
        <v/>
      </c>
    </row>
    <row r="541">
      <c r="A541" s="25" t="n">
        <v>44743</v>
      </c>
      <c r="B541" s="18">
        <f>VLOOKUP(Table48[[#This Row],[Date]],'DB LEI'!$A:$F,5)</f>
        <v/>
      </c>
      <c r="C541" s="24">
        <f>IF(VLOOKUP(Table48[[#This Row],[Date]],'DB LEI'!$A:$M,13)=0,"",VLOOKUP(Table48[[#This Row],[Date]],'DB LEI'!$A:$M,13))</f>
        <v/>
      </c>
      <c r="D541" s="24">
        <f>IF(VLOOKUP(Table48[[#This Row],[Date]],'DB LEI'!$A:$M,11)=0,"",VLOOKUP(Table48[[#This Row],[Date]],'DB LEI'!$A:$M,11))</f>
        <v/>
      </c>
    </row>
    <row r="542">
      <c r="A542" s="25" t="n">
        <v>44774</v>
      </c>
      <c r="B542" s="18">
        <f>VLOOKUP(Table48[[#This Row],[Date]],'DB LEI'!$A:$F,5)</f>
        <v/>
      </c>
      <c r="C542" s="24">
        <f>IF(VLOOKUP(Table48[[#This Row],[Date]],'DB LEI'!$A:$M,13)=0,"",VLOOKUP(Table48[[#This Row],[Date]],'DB LEI'!$A:$M,13))</f>
        <v/>
      </c>
      <c r="D542" s="24">
        <f>IF(VLOOKUP(Table48[[#This Row],[Date]],'DB LEI'!$A:$M,11)=0,"",VLOOKUP(Table48[[#This Row],[Date]],'DB LEI'!$A:$M,11))</f>
        <v/>
      </c>
    </row>
    <row r="543">
      <c r="A543" s="25" t="n">
        <v>44805</v>
      </c>
      <c r="B543" s="18">
        <f>VLOOKUP(Table48[[#This Row],[Date]],'DB LEI'!$A:$F,5)</f>
        <v/>
      </c>
      <c r="C543" s="24">
        <f>IF(VLOOKUP(Table48[[#This Row],[Date]],'DB LEI'!$A:$M,13)=0,"",VLOOKUP(Table48[[#This Row],[Date]],'DB LEI'!$A:$M,13))</f>
        <v/>
      </c>
      <c r="D543" s="24">
        <f>IF(VLOOKUP(Table48[[#This Row],[Date]],'DB LEI'!$A:$M,11)=0,"",VLOOKUP(Table48[[#This Row],[Date]],'DB LEI'!$A:$M,11))</f>
        <v/>
      </c>
    </row>
    <row r="544">
      <c r="A544" s="25" t="n">
        <v>44835</v>
      </c>
      <c r="B544" s="18">
        <f>VLOOKUP(Table48[[#This Row],[Date]],'DB LEI'!$A:$F,5)</f>
        <v/>
      </c>
      <c r="C544" s="24">
        <f>IF(VLOOKUP(Table48[[#This Row],[Date]],'DB LEI'!$A:$M,13)=0,"",VLOOKUP(Table48[[#This Row],[Date]],'DB LEI'!$A:$M,13))</f>
        <v/>
      </c>
      <c r="D544" s="24">
        <f>IF(VLOOKUP(Table48[[#This Row],[Date]],'DB LEI'!$A:$M,11)=0,"",VLOOKUP(Table48[[#This Row],[Date]],'DB LEI'!$A:$M,11))</f>
        <v/>
      </c>
    </row>
  </sheetData>
  <conditionalFormatting sqref="B391:B5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2019-09-13T10:39:02Z</dcterms:created>
  <dcterms:modified xmlns:dcterms="http://purl.org/dc/terms/" xmlns:xsi="http://www.w3.org/2001/XMLSchema-instance" xsi:type="dcterms:W3CDTF">2022-11-12T03:44:26Z</dcterms:modified>
  <cp:lastModifiedBy>Mark Mukherjee</cp:lastModifiedBy>
</cp:coreProperties>
</file>