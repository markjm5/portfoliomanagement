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9">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3" fillId="2" borderId="1" applyAlignment="1" pivotButton="0" quotePrefix="0" xfId="0">
      <alignment horizontal="center" vertical="center"/>
    </xf>
    <xf numFmtId="0" fontId="0" fillId="2" borderId="0" pivotButton="0" quotePrefix="0" xfId="0"/>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3" fillId="4" borderId="5" applyAlignment="1" pivotButton="0" quotePrefix="0" xfId="0">
      <alignment horizontal="center"/>
    </xf>
    <xf numFmtId="0" fontId="0" fillId="0" borderId="3" pivotButton="0" quotePrefix="0" xfId="0"/>
    <xf numFmtId="0" fontId="0" fillId="0" borderId="4" pivotButton="0" quotePrefix="0" xfId="0"/>
    <xf numFmtId="0" fontId="0" fillId="2" borderId="0" applyAlignment="1" pivotButton="0" quotePrefix="0" xfId="0">
      <alignment vertical="center" wrapText="1"/>
    </xf>
    <xf numFmtId="0" fontId="4" fillId="2" borderId="0" pivotButton="0" quotePrefix="0" xfId="2"/>
    <xf numFmtId="0" fontId="7" fillId="2" borderId="0" applyAlignment="1" pivotButton="0" quotePrefix="0" xfId="0">
      <alignment wrapText="1"/>
    </xf>
    <xf numFmtId="0" fontId="0" fillId="2" borderId="0" applyAlignment="1" pivotButton="0" quotePrefix="0" xfId="0">
      <alignment wrapText="1"/>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5">
    <dxf>
      <font>
        <color rgb="FF00B050"/>
      </font>
      <fill>
        <patternFill>
          <bgColor theme="0"/>
        </patternFill>
      </fill>
    </dxf>
    <dxf>
      <font>
        <color rgb="FFFF0000"/>
      </font>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UMCSI!$B$7:$B$274</f>
              <numCache>
                <formatCode>General</formatCode>
                <ptCount val="268"/>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UMCSI!$B$7:$B$273</f>
              <numCache>
                <formatCode>General</formatCode>
                <ptCount val="267"/>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UMCSI!$C$7:$C$273</f>
              <numCache>
                <formatCode>General</formatCode>
                <ptCount val="267"/>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UMCSI!$A$7:$A$273</f>
              <numCache>
                <formatCode>m/d/yy</formatCode>
                <ptCount val="26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UMCSI!$D$7:$D$273</f>
              <numCache>
                <formatCode>General</formatCode>
                <ptCount val="267"/>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UMCSI!$C$7:$C$274</f>
              <numCache>
                <formatCode>General</formatCode>
                <ptCount val="268"/>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UMCSI!$B$7:$B$274</f>
              <numCache>
                <formatCode>General</formatCode>
                <ptCount val="268"/>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UMCSI!$A$7:$A$274</f>
              <numCache>
                <formatCode>m/d/yy</formatCode>
                <ptCount val="26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numCache>
            </numRef>
          </cat>
          <val>
            <numRef>
              <f>UMCSI!$D$7:$D$274</f>
              <numCache>
                <formatCode>General</formatCode>
                <ptCount val="268"/>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GDP'!$C$7:$C$538</f>
              <numCache>
                <formatCode>0.00%</formatCode>
                <ptCount val="532"/>
                <pt idx="0">
                  <v>0.03954262874637982</v>
                </pt>
                <pt idx="1">
                  <v>0</v>
                </pt>
                <pt idx="2">
                  <v>0</v>
                </pt>
                <pt idx="3">
                  <v>0.05729877382819001</v>
                </pt>
                <pt idx="4">
                  <v>0</v>
                </pt>
                <pt idx="5">
                  <v>0</v>
                </pt>
                <pt idx="6">
                  <v>0.04984307921707858</v>
                </pt>
                <pt idx="7">
                  <v>0</v>
                </pt>
                <pt idx="8">
                  <v>0</v>
                </pt>
                <pt idx="9">
                  <v>0.06242466479033706</v>
                </pt>
                <pt idx="10">
                  <v>0</v>
                </pt>
                <pt idx="11">
                  <v>0</v>
                </pt>
                <pt idx="12">
                  <v>0.06112025538616253</v>
                </pt>
                <pt idx="13">
                  <v>0</v>
                </pt>
                <pt idx="14">
                  <v>0</v>
                </pt>
                <pt idx="15">
                  <v>0.02588093178106586</v>
                </pt>
                <pt idx="16">
                  <v>0</v>
                </pt>
                <pt idx="17">
                  <v>0</v>
                </pt>
                <pt idx="18">
                  <v>0.02334131641120721</v>
                </pt>
                <pt idx="19">
                  <v>0</v>
                </pt>
                <pt idx="20">
                  <v>0</v>
                </pt>
                <pt idx="21">
                  <v>0.01268266063315506</v>
                </pt>
                <pt idx="22">
                  <v>0</v>
                </pt>
                <pt idx="23">
                  <v>0</v>
                </pt>
                <pt idx="24">
                  <v>0.01400872022664638</v>
                </pt>
                <pt idx="25">
                  <v>0</v>
                </pt>
                <pt idx="26">
                  <v>0</v>
                </pt>
                <pt idx="27">
                  <v>-0.007811168584725406</v>
                </pt>
                <pt idx="28">
                  <v>0</v>
                </pt>
                <pt idx="29">
                  <v>0</v>
                </pt>
                <pt idx="30">
                  <v>-0.01650599828300321</v>
                </pt>
                <pt idx="31">
                  <v>0</v>
                </pt>
                <pt idx="32">
                  <v>0</v>
                </pt>
                <pt idx="33">
                  <v>-0.0003914693418195989</v>
                </pt>
                <pt idx="34">
                  <v>0</v>
                </pt>
                <pt idx="35">
                  <v>0</v>
                </pt>
                <pt idx="36">
                  <v>0.01574783553753539</v>
                </pt>
                <pt idx="37">
                  <v>0</v>
                </pt>
                <pt idx="38">
                  <v>0</v>
                </pt>
                <pt idx="39">
                  <v>0.0288310980611537</v>
                </pt>
                <pt idx="40">
                  <v>0</v>
                </pt>
                <pt idx="41">
                  <v>0</v>
                </pt>
                <pt idx="42">
                  <v>0.04146401438201681</v>
                </pt>
                <pt idx="43">
                  <v>0</v>
                </pt>
                <pt idx="44">
                  <v>0</v>
                </pt>
                <pt idx="45">
                  <v>0.0128322055840206</v>
                </pt>
                <pt idx="46">
                  <v>0</v>
                </pt>
                <pt idx="47">
                  <v>0</v>
                </pt>
                <pt idx="48">
                  <v>-0.02239399649931098</v>
                </pt>
                <pt idx="49">
                  <v>0</v>
                </pt>
                <pt idx="50">
                  <v>0</v>
                </pt>
                <pt idx="51">
                  <v>-0.01020884884025483</v>
                </pt>
                <pt idx="52">
                  <v>0</v>
                </pt>
                <pt idx="53">
                  <v>0</v>
                </pt>
                <pt idx="54">
                  <v>-0.02622962288101408</v>
                </pt>
                <pt idx="55">
                  <v>0</v>
                </pt>
                <pt idx="56">
                  <v>0</v>
                </pt>
                <pt idx="57">
                  <v>-0.01464288143558774</v>
                </pt>
                <pt idx="58">
                  <v>0</v>
                </pt>
                <pt idx="59">
                  <v>0</v>
                </pt>
                <pt idx="60">
                  <v>0.01411254101863226</v>
                </pt>
                <pt idx="61">
                  <v>0</v>
                </pt>
                <pt idx="62">
                  <v>0</v>
                </pt>
                <pt idx="63">
                  <v>0.03165081165378887</v>
                </pt>
                <pt idx="64">
                  <v>0</v>
                </pt>
                <pt idx="65">
                  <v>0</v>
                </pt>
                <pt idx="66">
                  <v>0.05425877864547713</v>
                </pt>
                <pt idx="67">
                  <v>0</v>
                </pt>
                <pt idx="68">
                  <v>0</v>
                </pt>
                <pt idx="69">
                  <v>0.07321572579135381</v>
                </pt>
                <pt idx="70">
                  <v>0</v>
                </pt>
                <pt idx="71">
                  <v>0</v>
                </pt>
                <pt idx="72">
                  <v>0.07900544953124052</v>
                </pt>
                <pt idx="73">
                  <v>0</v>
                </pt>
                <pt idx="74">
                  <v>0</v>
                </pt>
                <pt idx="75">
                  <v>0.07404575252374546</v>
                </pt>
                <pt idx="76">
                  <v>0</v>
                </pt>
                <pt idx="77">
                  <v>0</v>
                </pt>
                <pt idx="78">
                  <v>0.06455362999667791</v>
                </pt>
                <pt idx="79">
                  <v>0</v>
                </pt>
                <pt idx="80">
                  <v>0</v>
                </pt>
                <pt idx="81">
                  <v>0.05281323456945523</v>
                </pt>
                <pt idx="82">
                  <v>0</v>
                </pt>
                <pt idx="83">
                  <v>0</v>
                </pt>
                <pt idx="84">
                  <v>0.04356644178377009</v>
                </pt>
                <pt idx="85">
                  <v>0</v>
                </pt>
                <pt idx="86">
                  <v>0</v>
                </pt>
                <pt idx="87">
                  <v>0.03553305983621077</v>
                </pt>
                <pt idx="88">
                  <v>0</v>
                </pt>
                <pt idx="89">
                  <v>0</v>
                </pt>
                <pt idx="90">
                  <v>0.04088188158615581</v>
                </pt>
                <pt idx="91">
                  <v>0</v>
                </pt>
                <pt idx="92">
                  <v>0</v>
                </pt>
                <pt idx="93">
                  <v>0.04014376582535061</v>
                </pt>
                <pt idx="94">
                  <v>0</v>
                </pt>
                <pt idx="95">
                  <v>0</v>
                </pt>
                <pt idx="96">
                  <v>0.03980571581768511</v>
                </pt>
                <pt idx="97">
                  <v>0</v>
                </pt>
                <pt idx="98">
                  <v>0</v>
                </pt>
                <pt idx="99">
                  <v>0.03569454171098593</v>
                </pt>
                <pt idx="100">
                  <v>0</v>
                </pt>
                <pt idx="101">
                  <v>0</v>
                </pt>
                <pt idx="102">
                  <v>0.03024887727379636</v>
                </pt>
                <pt idx="103">
                  <v>0</v>
                </pt>
                <pt idx="104">
                  <v>0</v>
                </pt>
                <pt idx="105">
                  <v>0.02825856473055706</v>
                </pt>
                <pt idx="106">
                  <v>0</v>
                </pt>
                <pt idx="107">
                  <v>0</v>
                </pt>
                <pt idx="108">
                  <v>0.02644032899699756</v>
                </pt>
                <pt idx="109">
                  <v>0</v>
                </pt>
                <pt idx="110">
                  <v>0</v>
                </pt>
                <pt idx="111">
                  <v>0.03249350609464382</v>
                </pt>
                <pt idx="112">
                  <v>0</v>
                </pt>
                <pt idx="113">
                  <v>0</v>
                </pt>
                <pt idx="114">
                  <v>0.03163574508948583</v>
                </pt>
                <pt idx="115">
                  <v>0</v>
                </pt>
                <pt idx="116">
                  <v>0</v>
                </pt>
                <pt idx="117">
                  <v>0.04287003433461964</v>
                </pt>
                <pt idx="118">
                  <v>0</v>
                </pt>
                <pt idx="119">
                  <v>0</v>
                </pt>
                <pt idx="120">
                  <v>0.04069551480550696</v>
                </pt>
                <pt idx="121">
                  <v>0</v>
                </pt>
                <pt idx="122">
                  <v>0</v>
                </pt>
                <pt idx="123">
                  <v>0.04292119638948699</v>
                </pt>
                <pt idx="124">
                  <v>0</v>
                </pt>
                <pt idx="125">
                  <v>0</v>
                </pt>
                <pt idx="126">
                  <v>0.04024139532097335</v>
                </pt>
                <pt idx="127">
                  <v>0</v>
                </pt>
                <pt idx="128">
                  <v>0</v>
                </pt>
                <pt idx="129">
                  <v>0.03659931312856601</v>
                </pt>
                <pt idx="130">
                  <v>0</v>
                </pt>
                <pt idx="131">
                  <v>0</v>
                </pt>
                <pt idx="132">
                  <v>0.04136730105056231</v>
                </pt>
                <pt idx="133">
                  <v>0</v>
                </pt>
                <pt idx="134">
                  <v>0</v>
                </pt>
                <pt idx="135">
                  <v>0.03612871856470637</v>
                </pt>
                <pt idx="136">
                  <v>0</v>
                </pt>
                <pt idx="137">
                  <v>0</v>
                </pt>
                <pt idx="138">
                  <v>0.03761124072128647</v>
                </pt>
                <pt idx="139">
                  <v>0</v>
                </pt>
                <pt idx="140">
                  <v>0</v>
                </pt>
                <pt idx="141">
                  <v>0.02670529188441835</v>
                </pt>
                <pt idx="142">
                  <v>0</v>
                </pt>
                <pt idx="143">
                  <v>0</v>
                </pt>
                <pt idx="144">
                  <v>0.02743890360144884</v>
                </pt>
                <pt idx="145">
                  <v>0</v>
                </pt>
                <pt idx="146">
                  <v>0</v>
                </pt>
                <pt idx="147">
                  <v>0.02355929720055132</v>
                </pt>
                <pt idx="148">
                  <v>0</v>
                </pt>
                <pt idx="149">
                  <v>0</v>
                </pt>
                <pt idx="150">
                  <v>0.01697890391551102</v>
                </pt>
                <pt idx="151">
                  <v>0</v>
                </pt>
                <pt idx="152">
                  <v>0</v>
                </pt>
                <pt idx="153">
                  <v>0.005992460893352455</v>
                </pt>
                <pt idx="154">
                  <v>0</v>
                </pt>
                <pt idx="155">
                  <v>0</v>
                </pt>
                <pt idx="156">
                  <v>-0.009593568967651225</v>
                </pt>
                <pt idx="157">
                  <v>0</v>
                </pt>
                <pt idx="158">
                  <v>0</v>
                </pt>
                <pt idx="159">
                  <v>-0.005418076966732802</v>
                </pt>
                <pt idx="160">
                  <v>0</v>
                </pt>
                <pt idx="161">
                  <v>0</v>
                </pt>
                <pt idx="162">
                  <v>-0.00102822466048893</v>
                </pt>
                <pt idx="163">
                  <v>0</v>
                </pt>
                <pt idx="164">
                  <v>0</v>
                </pt>
                <pt idx="165">
                  <v>0.01153052941152136</v>
                </pt>
                <pt idx="166">
                  <v>0</v>
                </pt>
                <pt idx="167">
                  <v>0</v>
                </pt>
                <pt idx="168">
                  <v>0.02779409427905029</v>
                </pt>
                <pt idx="169">
                  <v>0</v>
                </pt>
                <pt idx="170">
                  <v>0</v>
                </pt>
                <pt idx="171">
                  <v>0.0307236921853032</v>
                </pt>
                <pt idx="172">
                  <v>0</v>
                </pt>
                <pt idx="173">
                  <v>0</v>
                </pt>
                <pt idx="174">
                  <v>0.03535727065457724</v>
                </pt>
                <pt idx="175">
                  <v>0</v>
                </pt>
                <pt idx="176">
                  <v>0</v>
                </pt>
                <pt idx="177">
                  <v>0.04198581145162372</v>
                </pt>
                <pt idx="178">
                  <v>0</v>
                </pt>
                <pt idx="179">
                  <v>0</v>
                </pt>
                <pt idx="180">
                  <v>0.03213300754728658</v>
                </pt>
                <pt idx="181">
                  <v>0</v>
                </pt>
                <pt idx="182">
                  <v>0</v>
                </pt>
                <pt idx="183">
                  <v>0.02730044132042106</v>
                </pt>
                <pt idx="184">
                  <v>0</v>
                </pt>
                <pt idx="185">
                  <v>0</v>
                </pt>
                <pt idx="186">
                  <v>0.02235402920715814</v>
                </pt>
                <pt idx="187">
                  <v>0</v>
                </pt>
                <pt idx="188">
                  <v>0</v>
                </pt>
                <pt idx="189">
                  <v>0.02541346937942787</v>
                </pt>
                <pt idx="190">
                  <v>0</v>
                </pt>
                <pt idx="191">
                  <v>0</v>
                </pt>
                <pt idx="192">
                  <v>0.03316741436134832</v>
                </pt>
                <pt idx="193">
                  <v>0</v>
                </pt>
                <pt idx="194">
                  <v>0</v>
                </pt>
                <pt idx="195">
                  <v>0.04054097863307625</v>
                </pt>
                <pt idx="196">
                  <v>0</v>
                </pt>
                <pt idx="197">
                  <v>0</v>
                </pt>
                <pt idx="198">
                  <v>0.04156525299747984</v>
                </pt>
                <pt idx="199">
                  <v>0</v>
                </pt>
                <pt idx="200">
                  <v>0</v>
                </pt>
                <pt idx="201">
                  <v>0.03953215088193036</v>
                </pt>
                <pt idx="202">
                  <v>0</v>
                </pt>
                <pt idx="203">
                  <v>0</v>
                </pt>
                <pt idx="204">
                  <v>0.03364024230324003</v>
                </pt>
                <pt idx="205">
                  <v>0</v>
                </pt>
                <pt idx="206">
                  <v>0</v>
                </pt>
                <pt idx="207">
                  <v>0.02345818351132412</v>
                </pt>
                <pt idx="208">
                  <v>0</v>
                </pt>
                <pt idx="209">
                  <v>0</v>
                </pt>
                <pt idx="210">
                  <v>0.02603512192671898</v>
                </pt>
                <pt idx="211">
                  <v>0</v>
                </pt>
                <pt idx="212">
                  <v>0</v>
                </pt>
                <pt idx="213">
                  <v>0.02152239677526569</v>
                </pt>
                <pt idx="214">
                  <v>0</v>
                </pt>
                <pt idx="215">
                  <v>0</v>
                </pt>
                <pt idx="216">
                  <v>0.02535161797944221</v>
                </pt>
                <pt idx="217">
                  <v>0</v>
                </pt>
                <pt idx="218">
                  <v>0</v>
                </pt>
                <pt idx="219">
                  <v>0.03848120395990379</v>
                </pt>
                <pt idx="220">
                  <v>0</v>
                </pt>
                <pt idx="221">
                  <v>0</v>
                </pt>
                <pt idx="222">
                  <v>0.03892286833451386</v>
                </pt>
                <pt idx="223">
                  <v>0</v>
                </pt>
                <pt idx="224">
                  <v>0</v>
                </pt>
                <pt idx="225">
                  <v>0.04234111086688774</v>
                </pt>
                <pt idx="226">
                  <v>0</v>
                </pt>
                <pt idx="227">
                  <v>0</v>
                </pt>
                <pt idx="228">
                  <v>0.04135714263574061</v>
                </pt>
                <pt idx="229">
                  <v>0</v>
                </pt>
                <pt idx="230">
                  <v>0</v>
                </pt>
                <pt idx="231">
                  <v>0.04130145226245777</v>
                </pt>
                <pt idx="232">
                  <v>0</v>
                </pt>
                <pt idx="233">
                  <v>0</v>
                </pt>
                <pt idx="234">
                  <v>0.04465112053254134</v>
                </pt>
                <pt idx="235">
                  <v>0</v>
                </pt>
                <pt idx="236">
                  <v>0</v>
                </pt>
                <pt idx="237">
                  <v>0.04294941055498888</v>
                </pt>
                <pt idx="238">
                  <v>0</v>
                </pt>
                <pt idx="239">
                  <v>0</v>
                </pt>
                <pt idx="240">
                  <v>0.04630208965026317</v>
                </pt>
                <pt idx="241">
                  <v>0</v>
                </pt>
                <pt idx="242">
                  <v>0</v>
                </pt>
                <pt idx="243">
                  <v>0.0393457730253303</v>
                </pt>
                <pt idx="244">
                  <v>0</v>
                </pt>
                <pt idx="245">
                  <v>0</v>
                </pt>
                <pt idx="246">
                  <v>0.03936461536973841</v>
                </pt>
                <pt idx="247">
                  <v>0</v>
                </pt>
                <pt idx="248">
                  <v>0</v>
                </pt>
                <pt idx="249">
                  <v>0.04652519203948807</v>
                </pt>
                <pt idx="250">
                  <v>0</v>
                </pt>
                <pt idx="251">
                  <v>0</v>
                </pt>
                <pt idx="252">
                  <v>0.04600050053268216</v>
                </pt>
                <pt idx="253">
                  <v>0</v>
                </pt>
                <pt idx="254">
                  <v>0</v>
                </pt>
                <pt idx="255">
                  <v>0.04514124839145402</v>
                </pt>
                <pt idx="256">
                  <v>0</v>
                </pt>
                <pt idx="257">
                  <v>0</v>
                </pt>
                <pt idx="258">
                  <v>0.04580339538470772</v>
                </pt>
                <pt idx="259">
                  <v>0</v>
                </pt>
                <pt idx="260">
                  <v>0</v>
                </pt>
                <pt idx="261">
                  <v>0.04605299962035291</v>
                </pt>
                <pt idx="262">
                  <v>0</v>
                </pt>
                <pt idx="263">
                  <v>0</v>
                </pt>
                <pt idx="264">
                  <v>0.040546098367469</v>
                </pt>
                <pt idx="265">
                  <v>0</v>
                </pt>
                <pt idx="266">
                  <v>0</v>
                </pt>
                <pt idx="267">
                  <v>0.04983323271895929</v>
                </pt>
                <pt idx="268">
                  <v>0</v>
                </pt>
                <pt idx="269">
                  <v>0</v>
                </pt>
                <pt idx="270">
                  <v>0.03822187533421461</v>
                </pt>
                <pt idx="271">
                  <v>0</v>
                </pt>
                <pt idx="272">
                  <v>0</v>
                </pt>
                <pt idx="273">
                  <v>0.02819800561744796</v>
                </pt>
                <pt idx="274">
                  <v>0</v>
                </pt>
                <pt idx="275">
                  <v>0</v>
                </pt>
                <pt idx="276">
                  <v>0.02148374367049992</v>
                </pt>
                <pt idx="277">
                  <v>0</v>
                </pt>
                <pt idx="278">
                  <v>0</v>
                </pt>
                <pt idx="279">
                  <v>0.009821902877247334</v>
                </pt>
                <pt idx="280">
                  <v>0</v>
                </pt>
                <pt idx="281">
                  <v>0</v>
                </pt>
                <pt idx="282">
                  <v>0.004849887629525741</v>
                </pt>
                <pt idx="283">
                  <v>0</v>
                </pt>
                <pt idx="284">
                  <v>0</v>
                </pt>
                <pt idx="285">
                  <v>0.001703515447372047</v>
                </pt>
                <pt idx="286">
                  <v>0</v>
                </pt>
                <pt idx="287">
                  <v>0</v>
                </pt>
                <pt idx="288">
                  <v>0.01311386190724683</v>
                </pt>
                <pt idx="289">
                  <v>0</v>
                </pt>
                <pt idx="290">
                  <v>0</v>
                </pt>
                <pt idx="291">
                  <v>0.01305612169033745</v>
                </pt>
                <pt idx="292">
                  <v>0</v>
                </pt>
                <pt idx="293">
                  <v>0</v>
                </pt>
                <pt idx="294">
                  <v>0.02095805706006346</v>
                </pt>
                <pt idx="295">
                  <v>0</v>
                </pt>
                <pt idx="296">
                  <v>0</v>
                </pt>
                <pt idx="297">
                  <v>0.01952408150872284</v>
                </pt>
                <pt idx="298">
                  <v>0</v>
                </pt>
                <pt idx="299">
                  <v>0</v>
                </pt>
                <pt idx="300">
                  <v>0.01648556026630765</v>
                </pt>
                <pt idx="301">
                  <v>0</v>
                </pt>
                <pt idx="302">
                  <v>0</v>
                </pt>
                <pt idx="303">
                  <v>0.01919430508764688</v>
                </pt>
                <pt idx="304">
                  <v>0</v>
                </pt>
                <pt idx="305">
                  <v>0</v>
                </pt>
                <pt idx="306">
                  <v>0.03138232447924524</v>
                </pt>
                <pt idx="307">
                  <v>0</v>
                </pt>
                <pt idx="308">
                  <v>0</v>
                </pt>
                <pt idx="309">
                  <v>0.04118196815753088</v>
                </pt>
                <pt idx="310">
                  <v>0</v>
                </pt>
                <pt idx="311">
                  <v>0</v>
                </pt>
                <pt idx="312">
                  <v>0.04171769040143994</v>
                </pt>
                <pt idx="313">
                  <v>0</v>
                </pt>
                <pt idx="314">
                  <v>0</v>
                </pt>
                <pt idx="315">
                  <v>0.04062761358169161</v>
                </pt>
                <pt idx="316">
                  <v>0</v>
                </pt>
                <pt idx="317">
                  <v>0</v>
                </pt>
                <pt idx="318">
                  <v>0.03373085259256028</v>
                </pt>
                <pt idx="319">
                  <v>0</v>
                </pt>
                <pt idx="320">
                  <v>0</v>
                </pt>
                <pt idx="321">
                  <v>0.03246810554448474</v>
                </pt>
                <pt idx="322">
                  <v>0</v>
                </pt>
                <pt idx="323">
                  <v>0</v>
                </pt>
                <pt idx="324">
                  <v>0.0376159123002772</v>
                </pt>
                <pt idx="325">
                  <v>0</v>
                </pt>
                <pt idx="326">
                  <v>0</v>
                </pt>
                <pt idx="327">
                  <v>0.03481807289052274</v>
                </pt>
                <pt idx="328">
                  <v>0</v>
                </pt>
                <pt idx="329">
                  <v>0</v>
                </pt>
                <pt idx="330">
                  <v>0.03332771473890144</v>
                </pt>
                <pt idx="331">
                  <v>0</v>
                </pt>
                <pt idx="332">
                  <v>0</v>
                </pt>
                <pt idx="333">
                  <v>0.02896285357476041</v>
                </pt>
                <pt idx="334">
                  <v>0</v>
                </pt>
                <pt idx="335">
                  <v>0</v>
                </pt>
                <pt idx="336">
                  <v>0.03124109490839991</v>
                </pt>
                <pt idx="337">
                  <v>0</v>
                </pt>
                <pt idx="338">
                  <v>0</v>
                </pt>
                <pt idx="339">
                  <v>0.02891190506183115</v>
                </pt>
                <pt idx="340">
                  <v>0</v>
                </pt>
                <pt idx="341">
                  <v>0</v>
                </pt>
                <pt idx="342">
                  <v>0.022753151896267</v>
                </pt>
                <pt idx="343">
                  <v>0</v>
                </pt>
                <pt idx="344">
                  <v>0</v>
                </pt>
                <pt idx="345">
                  <v>0.02542568854288</v>
                </pt>
                <pt idx="346">
                  <v>0</v>
                </pt>
                <pt idx="347">
                  <v>0</v>
                </pt>
                <pt idx="348">
                  <v>0.01517337474181078</v>
                </pt>
                <pt idx="349">
                  <v>0</v>
                </pt>
                <pt idx="350">
                  <v>0</v>
                </pt>
                <pt idx="351">
                  <v>0.01901773031957898</v>
                </pt>
                <pt idx="352">
                  <v>0</v>
                </pt>
                <pt idx="353">
                  <v>0</v>
                </pt>
                <pt idx="354">
                  <v>0.02342376546626844</v>
                </pt>
                <pt idx="355">
                  <v>0</v>
                </pt>
                <pt idx="356">
                  <v>0</v>
                </pt>
                <pt idx="357">
                  <v>0.02115176709849713</v>
                </pt>
                <pt idx="358">
                  <v>0</v>
                </pt>
                <pt idx="359">
                  <v>0</v>
                </pt>
                <pt idx="360">
                  <v>0.01426169143469373</v>
                </pt>
                <pt idx="361">
                  <v>0</v>
                </pt>
                <pt idx="362">
                  <v>0</v>
                </pt>
                <pt idx="363">
                  <v>0.01361344204719455</v>
                </pt>
                <pt idx="364">
                  <v>0</v>
                </pt>
                <pt idx="365">
                  <v>0</v>
                </pt>
                <pt idx="366">
                  <v>0.002416171755775262</v>
                </pt>
                <pt idx="367">
                  <v>0</v>
                </pt>
                <pt idx="368">
                  <v>0</v>
                </pt>
                <pt idx="369">
                  <v>0</v>
                </pt>
                <pt idx="370">
                  <v>0</v>
                </pt>
                <pt idx="371">
                  <v>0</v>
                </pt>
                <pt idx="372">
                  <v>-0.03393789948625433</v>
                </pt>
                <pt idx="373">
                  <v>-0.02606554589441903</v>
                </pt>
                <pt idx="374">
                  <v>0</v>
                </pt>
                <pt idx="375">
                  <v>-0.04161789268431146</v>
                </pt>
                <pt idx="376">
                  <v>0</v>
                </pt>
                <pt idx="377">
                  <v>0</v>
                </pt>
                <pt idx="378">
                  <v>-0.0323931415376856</v>
                </pt>
                <pt idx="379">
                  <v>0</v>
                </pt>
                <pt idx="380">
                  <v>0</v>
                </pt>
                <pt idx="381">
                  <v>0.0008159095867101076</v>
                </pt>
                <pt idx="382">
                  <v>0</v>
                </pt>
                <pt idx="383">
                  <v>0</v>
                </pt>
                <pt idx="384">
                  <v>0.01737726285853327</v>
                </pt>
                <pt idx="385">
                  <v>0</v>
                </pt>
                <pt idx="386">
                  <v>0</v>
                </pt>
                <pt idx="387">
                  <v>0.02844204667700651</v>
                </pt>
                <pt idx="388">
                  <v>0</v>
                </pt>
                <pt idx="389">
                  <v>0</v>
                </pt>
                <pt idx="390">
                  <v>0.03240657899940994</v>
                </pt>
                <pt idx="391">
                  <v>0</v>
                </pt>
                <pt idx="392">
                  <v>0</v>
                </pt>
                <pt idx="393">
                  <v>0.0271280450177268</v>
                </pt>
                <pt idx="394">
                  <v>0</v>
                </pt>
                <pt idx="395">
                  <v>0</v>
                </pt>
                <pt idx="396">
                  <v>0.0199019512538784</v>
                </pt>
                <pt idx="397">
                  <v>0</v>
                </pt>
                <pt idx="398">
                  <v>0</v>
                </pt>
                <pt idx="399">
                  <v>0.01708217863769982</v>
                </pt>
                <pt idx="400">
                  <v>0</v>
                </pt>
                <pt idx="401">
                  <v>0</v>
                </pt>
                <pt idx="402">
                  <v>0.009098662666334989</v>
                </pt>
                <pt idx="403">
                  <v>0</v>
                </pt>
                <pt idx="404">
                  <v>0</v>
                </pt>
                <pt idx="405">
                  <v>0.01499853383781433</v>
                </pt>
                <pt idx="406">
                  <v>0</v>
                </pt>
                <pt idx="407">
                  <v>0</v>
                </pt>
                <pt idx="408">
                  <v>0.02534349882521404</v>
                </pt>
                <pt idx="409">
                  <v>0</v>
                </pt>
                <pt idx="410">
                  <v>0</v>
                </pt>
                <pt idx="411">
                  <v>0.02318772938586516</v>
                </pt>
                <pt idx="412">
                  <v>0</v>
                </pt>
                <pt idx="413">
                  <v>0</v>
                </pt>
                <pt idx="414">
                  <v>0.02527104680456535</v>
                </pt>
                <pt idx="415">
                  <v>0</v>
                </pt>
                <pt idx="416">
                  <v>0</v>
                </pt>
                <pt idx="417">
                  <v>0.01541916934534193</v>
                </pt>
                <pt idx="418">
                  <v>0</v>
                </pt>
                <pt idx="419">
                  <v>0</v>
                </pt>
                <pt idx="420">
                  <v>0.01590592333964966</v>
                </pt>
                <pt idx="421">
                  <v>0</v>
                </pt>
                <pt idx="422">
                  <v>0</v>
                </pt>
                <pt idx="423">
                  <v>0.0127958488865856</v>
                </pt>
                <pt idx="424">
                  <v>0</v>
                </pt>
                <pt idx="425">
                  <v>0</v>
                </pt>
                <pt idx="426">
                  <v>0.01883680874117778</v>
                </pt>
                <pt idx="427">
                  <v>0</v>
                </pt>
                <pt idx="428">
                  <v>0</v>
                </pt>
                <pt idx="429">
                  <v>0.02469520294673044</v>
                </pt>
                <pt idx="430">
                  <v>0</v>
                </pt>
                <pt idx="431">
                  <v>0</v>
                </pt>
                <pt idx="432">
                  <v>0.01277523985323376</v>
                </pt>
                <pt idx="433">
                  <v>0</v>
                </pt>
                <pt idx="434">
                  <v>0</v>
                </pt>
                <pt idx="435">
                  <v>0.023933151012956</v>
                </pt>
                <pt idx="436">
                  <v>0</v>
                </pt>
                <pt idx="437">
                  <v>0</v>
                </pt>
                <pt idx="438">
                  <v>0.02753492958763345</v>
                </pt>
                <pt idx="439">
                  <v>0</v>
                </pt>
                <pt idx="440">
                  <v>0</v>
                </pt>
                <pt idx="441">
                  <v>0.02499674031655258</v>
                </pt>
                <pt idx="442">
                  <v>0</v>
                </pt>
                <pt idx="443">
                  <v>0</v>
                </pt>
                <pt idx="444">
                  <v>0.03624864277361845</v>
                </pt>
                <pt idx="445">
                  <v>0</v>
                </pt>
                <pt idx="446">
                  <v>0</v>
                </pt>
                <pt idx="447">
                  <v>0.0295017368228009</v>
                </pt>
                <pt idx="448">
                  <v>0</v>
                </pt>
                <pt idx="449">
                  <v>0</v>
                </pt>
                <pt idx="450">
                  <v>0.0213604571407598</v>
                </pt>
                <pt idx="451">
                  <v>0</v>
                </pt>
                <pt idx="452">
                  <v>0</v>
                </pt>
                <pt idx="453">
                  <v>0.01840186377968575</v>
                </pt>
                <pt idx="454">
                  <v>0</v>
                </pt>
                <pt idx="455">
                  <v>0</v>
                </pt>
                <pt idx="456">
                  <v>0.01621465756813152</v>
                </pt>
                <pt idx="457">
                  <v>0</v>
                </pt>
                <pt idx="458">
                  <v>0</v>
                </pt>
                <pt idx="459">
                  <v>0.0134917789349777</v>
                </pt>
                <pt idx="460">
                  <v>0</v>
                </pt>
                <pt idx="461">
                  <v>0</v>
                </pt>
                <pt idx="462">
                  <v>0.01621536169533574</v>
                </pt>
                <pt idx="463">
                  <v>0</v>
                </pt>
                <pt idx="464">
                  <v>0</v>
                </pt>
                <pt idx="465">
                  <v>0.01964798995764785</v>
                </pt>
                <pt idx="466">
                  <v>0</v>
                </pt>
                <pt idx="467">
                  <v>0</v>
                </pt>
                <pt idx="468">
                  <v>0.01850393786581968</v>
                </pt>
                <pt idx="469">
                  <v>0</v>
                </pt>
                <pt idx="470">
                  <v>0</v>
                </pt>
                <pt idx="471">
                  <v>0.02101601162250945</v>
                </pt>
                <pt idx="472">
                  <v>0</v>
                </pt>
                <pt idx="473">
                  <v>0</v>
                </pt>
                <pt idx="474">
                  <v>0.02216330084376071</v>
                </pt>
                <pt idx="475">
                  <v>0</v>
                </pt>
                <pt idx="476">
                  <v>0</v>
                </pt>
                <pt idx="477">
                  <v>0.02645971114439583</v>
                </pt>
                <pt idx="478">
                  <v>0</v>
                </pt>
                <pt idx="479">
                  <v>0</v>
                </pt>
                <pt idx="480">
                  <v>0.0292705213236826</v>
                </pt>
                <pt idx="481">
                  <v>0</v>
                </pt>
                <pt idx="482">
                  <v>0</v>
                </pt>
                <pt idx="483">
                  <v>0.03190972955142996</v>
                </pt>
                <pt idx="484">
                  <v>0</v>
                </pt>
                <pt idx="485">
                  <v>0</v>
                </pt>
                <pt idx="486">
                  <v>0.02962445821240593</v>
                </pt>
                <pt idx="487">
                  <v>0</v>
                </pt>
                <pt idx="488">
                  <v>0</v>
                </pt>
                <pt idx="489">
                  <v>0.02267985828533837</v>
                </pt>
                <pt idx="490">
                  <v>0</v>
                </pt>
                <pt idx="491">
                  <v>0</v>
                </pt>
                <pt idx="492">
                  <v>0.02107624330338007</v>
                </pt>
                <pt idx="493">
                  <v>0</v>
                </pt>
                <pt idx="494">
                  <v>0</v>
                </pt>
                <pt idx="495">
                  <v>0.02067817310739632</v>
                </pt>
                <pt idx="496">
                  <v>0</v>
                </pt>
                <pt idx="497">
                  <v>0</v>
                </pt>
                <pt idx="498">
                  <v>0.0226579742749476</v>
                </pt>
                <pt idx="499">
                  <v>0</v>
                </pt>
                <pt idx="500">
                  <v>0</v>
                </pt>
                <pt idx="501">
                  <v>0.02505057985211166</v>
                </pt>
                <pt idx="502">
                  <v>0</v>
                </pt>
                <pt idx="503">
                  <v>0</v>
                </pt>
                <pt idx="504">
                  <v>0.006268312059228321</v>
                </pt>
                <pt idx="505">
                  <v>0</v>
                </pt>
                <pt idx="506">
                  <v>0</v>
                </pt>
                <pt idx="507">
                  <v>-0.09991322967828906</v>
                </pt>
                <pt idx="508">
                  <v>0</v>
                </pt>
                <pt idx="509">
                  <v>0</v>
                </pt>
                <pt idx="510">
                  <v>-0.02973361994494395</v>
                </pt>
                <pt idx="511">
                  <v>0</v>
                </pt>
                <pt idx="512">
                  <v>0</v>
                </pt>
                <pt idx="513">
                  <v>-0.02315308716887012</v>
                </pt>
                <pt idx="514">
                  <v>0</v>
                </pt>
                <pt idx="515">
                  <v>0</v>
                </pt>
                <pt idx="516">
                  <v>0.005440012426757331</v>
                </pt>
                <pt idx="517">
                  <v>0</v>
                </pt>
                <pt idx="518">
                  <v>0</v>
                </pt>
                <pt idx="519">
                  <v>0.1089462632516724</v>
                </pt>
                <pt idx="520">
                  <v>0</v>
                </pt>
                <pt idx="521">
                  <v>0</v>
                </pt>
                <pt idx="522">
                  <v>0.04713404401369209</v>
                </pt>
                <pt idx="523">
                  <v>0</v>
                </pt>
                <pt idx="524">
                  <v>0</v>
                </pt>
                <pt idx="525">
                  <v>0.05531736362184171</v>
                </pt>
                <pt idx="526">
                  <v>0</v>
                </pt>
                <pt idx="527">
                  <v>0</v>
                </pt>
                <pt idx="528">
                  <v>0</v>
                </pt>
                <pt idx="529">
                  <v>0</v>
                </pt>
                <pt idx="530">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GDP'!$B$7:$B$538</f>
              <numCache>
                <formatCode>0.0</formatCode>
                <ptCount val="532"/>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q0q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GDP'!$D$7:$D$538</f>
              <numCache>
                <formatCode>0.00%</formatCode>
                <ptCount val="532"/>
                <pt idx="0">
                  <v>0.00318147830513139</v>
                </pt>
                <pt idx="1">
                  <v>0</v>
                </pt>
                <pt idx="2">
                  <v>0</v>
                </pt>
                <pt idx="3">
                  <v>0.03720500014820766</v>
                </pt>
                <pt idx="4">
                  <v>0</v>
                </pt>
                <pt idx="5">
                  <v>0</v>
                </pt>
                <pt idx="6">
                  <v>0.009955071323934693</v>
                </pt>
                <pt idx="7">
                  <v>0</v>
                </pt>
                <pt idx="8">
                  <v>0</v>
                </pt>
                <pt idx="9">
                  <v>0.01326315486223864</v>
                </pt>
                <pt idx="10">
                  <v>0</v>
                </pt>
                <pt idx="11">
                  <v>0</v>
                </pt>
                <pt idx="12">
                  <v>0.001794646330009767</v>
                </pt>
                <pt idx="13">
                  <v>0</v>
                </pt>
                <pt idx="14">
                  <v>0</v>
                </pt>
                <pt idx="15">
                  <v>0.001068056349189975</v>
                </pt>
                <pt idx="16">
                  <v>0</v>
                </pt>
                <pt idx="17">
                  <v>0</v>
                </pt>
                <pt idx="18">
                  <v>0.007373935814172506</v>
                </pt>
                <pt idx="19">
                  <v>0</v>
                </pt>
                <pt idx="20">
                  <v>0</v>
                </pt>
                <pt idx="21">
                  <v>0.002494512190473192</v>
                </pt>
                <pt idx="22">
                  <v>0</v>
                </pt>
                <pt idx="23">
                  <v>0</v>
                </pt>
                <pt idx="24">
                  <v>0.003135329545760176</v>
                </pt>
                <pt idx="25">
                  <v>0</v>
                </pt>
                <pt idx="26">
                  <v>0</v>
                </pt>
                <pt idx="27">
                  <v>-0.02103820806483048</v>
                </pt>
                <pt idx="28">
                  <v>0</v>
                </pt>
                <pt idx="29">
                  <v>0</v>
                </pt>
                <pt idx="30">
                  <v>-0.00118988531740683</v>
                </pt>
                <pt idx="31">
                  <v>0</v>
                </pt>
                <pt idx="32">
                  <v>0</v>
                </pt>
                <pt idx="33">
                  <v>0.01830782866814032</v>
                </pt>
                <pt idx="34">
                  <v>0</v>
                </pt>
                <pt idx="35">
                  <v>0</v>
                </pt>
                <pt idx="36">
                  <v>0.01921773661636808</v>
                </pt>
                <pt idx="37">
                  <v>0</v>
                </pt>
                <pt idx="38">
                  <v>0</v>
                </pt>
                <pt idx="39">
                  <v>-0.00746596366945996</v>
                </pt>
                <pt idx="40">
                  <v>0</v>
                </pt>
                <pt idx="41">
                  <v>0</v>
                </pt>
                <pt idx="42">
                  <v>0.01183354244810225</v>
                </pt>
                <pt idx="43">
                  <v>0</v>
                </pt>
                <pt idx="44">
                  <v>0</v>
                </pt>
                <pt idx="45">
                  <v>-0.0110156635844141</v>
                </pt>
                <pt idx="46">
                  <v>0</v>
                </pt>
                <pt idx="47">
                  <v>0</v>
                </pt>
                <pt idx="48">
                  <v>-0.01578060348865825</v>
                </pt>
                <pt idx="49">
                  <v>0</v>
                </pt>
                <pt idx="50">
                  <v>0</v>
                </pt>
                <pt idx="51">
                  <v>0.004541267956331331</v>
                </pt>
                <pt idx="52">
                  <v>0</v>
                </pt>
                <pt idx="53">
                  <v>0</v>
                </pt>
                <pt idx="54">
                  <v>-0.00383766410415779</v>
                </pt>
                <pt idx="55">
                  <v>0</v>
                </pt>
                <pt idx="56">
                  <v>0</v>
                </pt>
                <pt idx="57">
                  <v>0.0003993032320202771</v>
                </pt>
                <pt idx="58">
                  <v>0</v>
                </pt>
                <pt idx="59">
                  <v>0</v>
                </pt>
                <pt idx="60">
                  <v>0.01300706250550089</v>
                </pt>
                <pt idx="61">
                  <v>0</v>
                </pt>
                <pt idx="62">
                  <v>0</v>
                </pt>
                <pt idx="63">
                  <v>0.02224980506131712</v>
                </pt>
                <pt idx="64">
                  <v>0</v>
                </pt>
                <pt idx="65">
                  <v>0</v>
                </pt>
                <pt idx="66">
                  <v>0.01959884934388804</v>
                </pt>
                <pt idx="67">
                  <v>0</v>
                </pt>
                <pt idx="68">
                  <v>0</v>
                </pt>
                <pt idx="69">
                  <v>0.02043583875330394</v>
                </pt>
                <pt idx="70">
                  <v>0</v>
                </pt>
                <pt idx="71">
                  <v>0</v>
                </pt>
                <pt idx="72">
                  <v>0.01917291641599347</v>
                </pt>
                <pt idx="73">
                  <v>0</v>
                </pt>
                <pt idx="74">
                  <v>0</v>
                </pt>
                <pt idx="75">
                  <v>0.01698447019755824</v>
                </pt>
                <pt idx="76">
                  <v>0</v>
                </pt>
                <pt idx="77">
                  <v>0</v>
                </pt>
                <pt idx="78">
                  <v>0.009548581878654048</v>
                </pt>
                <pt idx="79">
                  <v>0</v>
                </pt>
                <pt idx="80">
                  <v>0</v>
                </pt>
                <pt idx="81">
                  <v>0.008141739414042955</v>
                </pt>
                <pt idx="82">
                  <v>0</v>
                </pt>
                <pt idx="83">
                  <v>0</v>
                </pt>
                <pt idx="84">
                  <v>0.009597714215647458</v>
                </pt>
                <pt idx="85">
                  <v>0</v>
                </pt>
                <pt idx="86">
                  <v>0</v>
                </pt>
                <pt idx="87">
                  <v>0.008727818030299104</v>
                </pt>
                <pt idx="88">
                  <v>0</v>
                </pt>
                <pt idx="89">
                  <v>0</v>
                </pt>
                <pt idx="90">
                  <v>0.01504151052855852</v>
                </pt>
                <pt idx="91">
                  <v>0</v>
                </pt>
                <pt idx="92">
                  <v>0</v>
                </pt>
                <pt idx="93">
                  <v>0.007378427575211198</v>
                </pt>
                <pt idx="94">
                  <v>0</v>
                </pt>
                <pt idx="95">
                  <v>0</v>
                </pt>
                <pt idx="96">
                  <v>0.009248906250057459</v>
                </pt>
                <pt idx="97">
                  <v>0</v>
                </pt>
                <pt idx="98">
                  <v>0</v>
                </pt>
                <pt idx="99">
                  <v>0.004483580593835429</v>
                </pt>
                <pt idx="100">
                  <v>0</v>
                </pt>
                <pt idx="101">
                  <v>0</v>
                </pt>
                <pt idx="102">
                  <v>0.009479213465821151</v>
                </pt>
                <pt idx="103">
                  <v>0</v>
                </pt>
                <pt idx="104">
                  <v>0</v>
                </pt>
                <pt idx="105">
                  <v>0.005341175830935811</v>
                </pt>
                <pt idx="106">
                  <v>0</v>
                </pt>
                <pt idx="107">
                  <v>0</v>
                </pt>
                <pt idx="108">
                  <v>0.007395101342356047</v>
                </pt>
                <pt idx="109">
                  <v>0</v>
                </pt>
                <pt idx="110">
                  <v>0</v>
                </pt>
                <pt idx="111">
                  <v>0.0106732753498558</v>
                </pt>
                <pt idx="112">
                  <v>0</v>
                </pt>
                <pt idx="113">
                  <v>0</v>
                </pt>
                <pt idx="114">
                  <v>0.008601048708437567</v>
                </pt>
                <pt idx="115">
                  <v>0</v>
                </pt>
                <pt idx="116">
                  <v>0</v>
                </pt>
                <pt idx="117">
                  <v>0.01688051639857435</v>
                </pt>
                <pt idx="118">
                  <v>0</v>
                </pt>
                <pt idx="119">
                  <v>0</v>
                </pt>
                <pt idx="120">
                  <v>0.005139985721434651</v>
                </pt>
                <pt idx="121">
                  <v>0</v>
                </pt>
                <pt idx="122">
                  <v>0</v>
                </pt>
                <pt idx="123">
                  <v>0.01296861150805866</v>
                </pt>
                <pt idx="124">
                  <v>0</v>
                </pt>
                <pt idx="125">
                  <v>0</v>
                </pt>
                <pt idx="126">
                  <v>0.005825151928598736</v>
                </pt>
                <pt idx="127">
                  <v>0</v>
                </pt>
                <pt idx="128">
                  <v>0</v>
                </pt>
                <pt idx="129">
                  <v>0.01314978458040959</v>
                </pt>
                <pt idx="130">
                  <v>0</v>
                </pt>
                <pt idx="131">
                  <v>0</v>
                </pt>
                <pt idx="132">
                  <v>0.01006366970546972</v>
                </pt>
                <pt idx="133">
                  <v>0</v>
                </pt>
                <pt idx="134">
                  <v>0</v>
                </pt>
                <pt idx="135">
                  <v>0.00757484041052523</v>
                </pt>
                <pt idx="136">
                  <v>0</v>
                </pt>
                <pt idx="137">
                  <v>0</v>
                </pt>
                <pt idx="138">
                  <v>0.007354283741288241</v>
                </pt>
                <pt idx="139">
                  <v>0</v>
                </pt>
                <pt idx="140">
                  <v>0</v>
                </pt>
                <pt idx="141">
                  <v>0.001966634470588492</v>
                </pt>
                <pt idx="142">
                  <v>0</v>
                </pt>
                <pt idx="143">
                  <v>0</v>
                </pt>
                <pt idx="144">
                  <v>0.01080982488844025</v>
                </pt>
                <pt idx="145">
                  <v>0</v>
                </pt>
                <pt idx="146">
                  <v>0</v>
                </pt>
                <pt idx="147">
                  <v>0.003615995032262986</v>
                </pt>
                <pt idx="148">
                  <v>0</v>
                </pt>
                <pt idx="149">
                  <v>0</v>
                </pt>
                <pt idx="150">
                  <v>0.000664682225327615</v>
                </pt>
                <pt idx="151">
                  <v>0</v>
                </pt>
                <pt idx="152">
                  <v>0</v>
                </pt>
                <pt idx="153">
                  <v>-0.009187588717781027</v>
                </pt>
                <pt idx="154">
                  <v>0</v>
                </pt>
                <pt idx="155">
                  <v>0</v>
                </pt>
                <pt idx="156">
                  <v>-0.004700668745598553</v>
                </pt>
                <pt idx="157">
                  <v>0</v>
                </pt>
                <pt idx="158">
                  <v>0</v>
                </pt>
                <pt idx="159">
                  <v>0.007736854723197835</v>
                </pt>
                <pt idx="160">
                  <v>0</v>
                </pt>
                <pt idx="161">
                  <v>0</v>
                </pt>
                <pt idx="162">
                  <v>0.005027976013200551</v>
                </pt>
                <pt idx="163">
                  <v>0</v>
                </pt>
                <pt idx="164">
                  <v>0</v>
                </pt>
                <pt idx="165">
                  <v>0.003473531545366663</v>
                </pt>
                <pt idx="166">
                  <v>0</v>
                </pt>
                <pt idx="167">
                  <v>0</v>
                </pt>
                <pt idx="168">
                  <v>0.01182995256824519</v>
                </pt>
                <pt idx="169">
                  <v>0</v>
                </pt>
                <pt idx="170">
                  <v>0</v>
                </pt>
                <pt idx="171">
                  <v>0.01072689213785351</v>
                </pt>
                <pt idx="172">
                  <v>0</v>
                </pt>
                <pt idx="173">
                  <v>0</v>
                </pt>
                <pt idx="174">
                  <v>0.009784391609770167</v>
                </pt>
                <pt idx="175">
                  <v>0</v>
                </pt>
                <pt idx="176">
                  <v>0</v>
                </pt>
                <pt idx="177">
                  <v>0.01032116139892965</v>
                </pt>
                <pt idx="178">
                  <v>0</v>
                </pt>
                <pt idx="179">
                  <v>0</v>
                </pt>
                <pt idx="180">
                  <v>0.001667007365693033</v>
                </pt>
                <pt idx="181">
                  <v>0</v>
                </pt>
                <pt idx="182">
                  <v>0</v>
                </pt>
                <pt idx="183">
                  <v>0.005787445036670899</v>
                </pt>
                <pt idx="184">
                  <v>0</v>
                </pt>
                <pt idx="185">
                  <v>0</v>
                </pt>
                <pt idx="186">
                  <v>0.004748906154495153</v>
                </pt>
                <pt idx="187">
                  <v>0</v>
                </pt>
                <pt idx="188">
                  <v>0</v>
                </pt>
                <pt idx="189">
                  <v>0.01341825716459404</v>
                </pt>
                <pt idx="190">
                  <v>0</v>
                </pt>
                <pt idx="191">
                  <v>0</v>
                </pt>
                <pt idx="192">
                  <v>0.009609882477657981</v>
                </pt>
                <pt idx="193">
                  <v>0</v>
                </pt>
                <pt idx="194">
                  <v>0</v>
                </pt>
                <pt idx="195">
                  <v>0.01336982308502603</v>
                </pt>
                <pt idx="196">
                  <v>0</v>
                </pt>
                <pt idx="197">
                  <v>0</v>
                </pt>
                <pt idx="198">
                  <v>0.005811390490843612</v>
                </pt>
                <pt idx="199">
                  <v>0</v>
                </pt>
                <pt idx="200">
                  <v>0</v>
                </pt>
                <pt idx="201">
                  <v>0.01132544757604948</v>
                </pt>
                <pt idx="202">
                  <v>0</v>
                </pt>
                <pt idx="203">
                  <v>0</v>
                </pt>
                <pt idx="204">
                  <v>0.003534418280664666</v>
                </pt>
                <pt idx="205">
                  <v>0</v>
                </pt>
                <pt idx="206">
                  <v>0</v>
                </pt>
                <pt idx="207">
                  <v>0.002974184827933953</v>
                </pt>
                <pt idx="208">
                  <v>0</v>
                </pt>
                <pt idx="209">
                  <v>0</v>
                </pt>
                <pt idx="210">
                  <v>0.008434895984140486</v>
                </pt>
                <pt idx="211">
                  <v>0</v>
                </pt>
                <pt idx="212">
                  <v>0</v>
                </pt>
                <pt idx="213">
                  <v>0.006744567279676319</v>
                </pt>
                <pt idx="214">
                  <v>0</v>
                </pt>
                <pt idx="215">
                  <v>0</v>
                </pt>
                <pt idx="216">
                  <v>0.007434034503025344</v>
                </pt>
                <pt idx="217">
                  <v>0</v>
                </pt>
                <pt idx="218">
                  <v>0</v>
                </pt>
                <pt idx="219">
                  <v>0.01640521945182904</v>
                </pt>
                <pt idx="220">
                  <v>0</v>
                </pt>
                <pt idx="221">
                  <v>0</v>
                </pt>
                <pt idx="222">
                  <v>0.008890361840194394</v>
                </pt>
                <pt idx="223">
                  <v>0</v>
                </pt>
                <pt idx="224">
                  <v>0</v>
                </pt>
                <pt idx="225">
                  <v>0.01027725768898029</v>
                </pt>
                <pt idx="226">
                  <v>0</v>
                </pt>
                <pt idx="227">
                  <v>0</v>
                </pt>
                <pt idx="228">
                  <v>0.00641420020873817</v>
                </pt>
                <pt idx="229">
                  <v>0</v>
                </pt>
                <pt idx="230">
                  <v>0</v>
                </pt>
                <pt idx="231">
                  <v>0.01634807954819655</v>
                </pt>
                <pt idx="232">
                  <v>0</v>
                </pt>
                <pt idx="233">
                  <v>0</v>
                </pt>
                <pt idx="234">
                  <v>0.01235327363342971</v>
                </pt>
                <pt idx="235">
                  <v>0</v>
                </pt>
                <pt idx="236">
                  <v>0</v>
                </pt>
                <pt idx="237">
                  <v>0.008514319455839667</v>
                </pt>
                <pt idx="238">
                  <v>0</v>
                </pt>
                <pt idx="239">
                  <v>0</v>
                </pt>
                <pt idx="240">
                  <v>0.009894867142189703</v>
                </pt>
                <pt idx="241">
                  <v>0</v>
                </pt>
                <pt idx="242">
                  <v>0</v>
                </pt>
                <pt idx="243">
                  <v>0.009173276989515537</v>
                </pt>
                <pt idx="244">
                  <v>0</v>
                </pt>
                <pt idx="245">
                  <v>0</v>
                </pt>
                <pt idx="246">
                  <v>0.01237264541075519</v>
                </pt>
                <pt idx="247">
                  <v>0</v>
                </pt>
                <pt idx="248">
                  <v>0</v>
                </pt>
                <pt idx="249">
                  <v>0.01590485424779712</v>
                </pt>
                <pt idx="250">
                  <v>0</v>
                </pt>
                <pt idx="251">
                  <v>0</v>
                </pt>
                <pt idx="252">
                  <v>0.009350018185806004</v>
                </pt>
                <pt idx="253">
                  <v>0</v>
                </pt>
                <pt idx="254">
                  <v>0</v>
                </pt>
                <pt idx="255">
                  <v>0.008280855155113946</v>
                </pt>
                <pt idx="256">
                  <v>0</v>
                </pt>
                <pt idx="257">
                  <v>0</v>
                </pt>
                <pt idx="258">
                  <v>0.01305751579833318</v>
                </pt>
                <pt idx="259">
                  <v>0</v>
                </pt>
                <pt idx="260">
                  <v>0</v>
                </pt>
                <pt idx="261">
                  <v>0.01616227951578648</v>
                </pt>
                <pt idx="262">
                  <v>0</v>
                </pt>
                <pt idx="263">
                  <v>0</v>
                </pt>
                <pt idx="264">
                  <v>0.003631239654240949</v>
                </pt>
                <pt idx="265">
                  <v>0</v>
                </pt>
                <pt idx="266">
                  <v>0</v>
                </pt>
                <pt idx="267">
                  <v>0.01788030430160042</v>
                </pt>
                <pt idx="268">
                  <v>0</v>
                </pt>
                <pt idx="269">
                  <v>0</v>
                </pt>
                <pt idx="270">
                  <v>0.0009967467871773521</v>
                </pt>
                <pt idx="271">
                  <v>0</v>
                </pt>
                <pt idx="272">
                  <v>0</v>
                </pt>
                <pt idx="273">
                  <v>0.005908499688966848</v>
                </pt>
                <pt idx="274">
                  <v>0</v>
                </pt>
                <pt idx="275">
                  <v>0</v>
                </pt>
                <pt idx="276">
                  <v>-0.003252756150859061</v>
                </pt>
                <pt idx="277">
                  <v>0</v>
                </pt>
                <pt idx="278">
                  <v>0</v>
                </pt>
                <pt idx="279">
                  <v>0.006175518144940299</v>
                </pt>
                <pt idx="280">
                  <v>0</v>
                </pt>
                <pt idx="281">
                  <v>0</v>
                </pt>
                <pt idx="282">
                  <v>-0.004019582519571454</v>
                </pt>
                <pt idx="283">
                  <v>0</v>
                </pt>
                <pt idx="284">
                  <v>0</v>
                </pt>
                <pt idx="285">
                  <v>0.002765474527020572</v>
                </pt>
                <pt idx="286">
                  <v>0</v>
                </pt>
                <pt idx="287">
                  <v>0</v>
                </pt>
                <pt idx="288">
                  <v>0.008214239588022648</v>
                </pt>
                <pt idx="289">
                  <v>0</v>
                </pt>
                <pt idx="290">
                  <v>0</v>
                </pt>
                <pt idx="291">
                  <v>0.006117371983050676</v>
                </pt>
                <pt idx="292">
                  <v>0</v>
                </pt>
                <pt idx="293">
                  <v>0</v>
                </pt>
                <pt idx="294">
                  <v>0.004019068943161137</v>
                </pt>
                <pt idx="295">
                  <v>0</v>
                </pt>
                <pt idx="296">
                  <v>0</v>
                </pt>
                <pt idx="297">
                  <v>0.001304852805149407</v>
                </pt>
                <pt idx="298">
                  <v>0</v>
                </pt>
                <pt idx="299">
                  <v>0</v>
                </pt>
                <pt idx="300">
                  <v>0.005140668841304199</v>
                </pt>
                <pt idx="301">
                  <v>0</v>
                </pt>
                <pt idx="302">
                  <v>0</v>
                </pt>
                <pt idx="303">
                  <v>0.008854672334623453</v>
                </pt>
                <pt idx="304">
                  <v>0</v>
                </pt>
                <pt idx="305">
                  <v>0</v>
                </pt>
                <pt idx="306">
                  <v>0.01639566398573754</v>
                </pt>
                <pt idx="307">
                  <v>0</v>
                </pt>
                <pt idx="308">
                  <v>0</v>
                </pt>
                <pt idx="309">
                  <v>0.01140879456987188</v>
                </pt>
                <pt idx="310">
                  <v>0</v>
                </pt>
                <pt idx="311">
                  <v>0</v>
                </pt>
                <pt idx="312">
                  <v>0.005696528509731636</v>
                </pt>
                <pt idx="313">
                  <v>0</v>
                </pt>
                <pt idx="314">
                  <v>0</v>
                </pt>
                <pt idx="315">
                  <v>0.007727212779262894</v>
                </pt>
                <pt idx="316">
                  <v>0</v>
                </pt>
                <pt idx="317">
                  <v>0</v>
                </pt>
                <pt idx="318">
                  <v>0.00932470373151386</v>
                </pt>
                <pt idx="319">
                  <v>0</v>
                </pt>
                <pt idx="320">
                  <v>0</v>
                </pt>
                <pt idx="321">
                  <v>0.010116876443582</v>
                </pt>
                <pt idx="322">
                  <v>0</v>
                </pt>
                <pt idx="323">
                  <v>0</v>
                </pt>
                <pt idx="324">
                  <v>0.01098677491626065</v>
                </pt>
                <pt idx="325">
                  <v>0</v>
                </pt>
                <pt idx="326">
                  <v>0</v>
                </pt>
                <pt idx="327">
                  <v>0.004842481054376666</v>
                </pt>
                <pt idx="328">
                  <v>0</v>
                </pt>
                <pt idx="329">
                  <v>0</v>
                </pt>
                <pt idx="330">
                  <v>0.007794980720821688</v>
                </pt>
                <pt idx="331">
                  <v>0</v>
                </pt>
                <pt idx="332">
                  <v>0</v>
                </pt>
                <pt idx="333">
                  <v>0.005647210281711014</v>
                </pt>
                <pt idx="334">
                  <v>0</v>
                </pt>
                <pt idx="335">
                  <v>0</v>
                </pt>
                <pt idx="336">
                  <v>0.0133071916142179</v>
                </pt>
                <pt idx="337">
                  <v>0</v>
                </pt>
                <pt idx="338">
                  <v>0</v>
                </pt>
                <pt idx="339">
                  <v>0.002449820943917567</v>
                </pt>
                <pt idx="340">
                  <v>0</v>
                </pt>
                <pt idx="341">
                  <v>0</v>
                </pt>
                <pt idx="342">
                  <v>0.001502301575410723</v>
                </pt>
                <pt idx="343">
                  <v>0</v>
                </pt>
                <pt idx="344">
                  <v>0</v>
                </pt>
                <pt idx="345">
                  <v>0.008366527591703411</v>
                </pt>
                <pt idx="346">
                  <v>0</v>
                </pt>
                <pt idx="347">
                  <v>0</v>
                </pt>
                <pt idx="348">
                  <v>0.002927393811313896</v>
                </pt>
                <pt idx="349">
                  <v>0</v>
                </pt>
                <pt idx="350">
                  <v>0</v>
                </pt>
                <pt idx="351">
                  <v>0.006343844010112116</v>
                </pt>
                <pt idx="352">
                  <v>0</v>
                </pt>
                <pt idx="353">
                  <v>0</v>
                </pt>
                <pt idx="354">
                  <v>0.005987006436162672</v>
                </pt>
                <pt idx="355">
                  <v>0</v>
                </pt>
                <pt idx="356">
                  <v>0</v>
                </pt>
                <pt idx="357">
                  <v>0.006059498656256565</v>
                </pt>
                <pt idx="358">
                  <v>0</v>
                </pt>
                <pt idx="359">
                  <v>0</v>
                </pt>
                <pt idx="360">
                  <v>-0.004090962526299258</v>
                </pt>
                <pt idx="361">
                  <v>0</v>
                </pt>
                <pt idx="362">
                  <v>0</v>
                </pt>
                <pt idx="363">
                  <v>0.00569038762223698</v>
                </pt>
                <pt idx="364">
                  <v>0</v>
                </pt>
                <pt idx="365">
                  <v>0</v>
                </pt>
                <pt idx="366">
                  <v>-0.005296837683953209</v>
                </pt>
                <pt idx="367">
                  <v>0</v>
                </pt>
                <pt idx="368">
                  <v>0</v>
                </pt>
                <pt idx="369">
                  <v>0</v>
                </pt>
                <pt idx="370">
                  <v>0</v>
                </pt>
                <pt idx="371">
                  <v>0</v>
                </pt>
                <pt idx="372">
                  <v>-0.01179471900365265</v>
                </pt>
                <pt idx="373">
                  <v>-0.02231819945678314</v>
                </pt>
                <pt idx="374">
                  <v>0</v>
                </pt>
                <pt idx="375">
                  <v>-0.001695250396853317</v>
                </pt>
                <pt idx="376">
                  <v>0</v>
                </pt>
                <pt idx="377">
                  <v>0</v>
                </pt>
                <pt idx="378">
                  <v>0.003606247815303857</v>
                </pt>
                <pt idx="379">
                  <v>0</v>
                </pt>
                <pt idx="380">
                  <v>0</v>
                </pt>
                <pt idx="381">
                  <v>0.01056677041098811</v>
                </pt>
                <pt idx="382">
                  <v>0</v>
                </pt>
                <pt idx="383">
                  <v>0</v>
                </pt>
                <pt idx="384">
                  <v>0.004975653884343909</v>
                </pt>
                <pt idx="385">
                  <v>0</v>
                </pt>
                <pt idx="386">
                  <v>0</v>
                </pt>
                <pt idx="387">
                  <v>0.009584298690190573</v>
                </pt>
                <pt idx="388">
                  <v>0</v>
                </pt>
                <pt idx="389">
                  <v>0</v>
                </pt>
                <pt idx="390">
                  <v>0.007672124918019316</v>
                </pt>
                <pt idx="391">
                  <v>0</v>
                </pt>
                <pt idx="392">
                  <v>0</v>
                </pt>
                <pt idx="393">
                  <v>0.005169093234151551</v>
                </pt>
                <pt idx="394">
                  <v>0</v>
                </pt>
                <pt idx="395">
                  <v>0</v>
                </pt>
                <pt idx="396">
                  <v>-0.002414978752892184</v>
                </pt>
                <pt idx="397">
                  <v>0</v>
                </pt>
                <pt idx="398">
                  <v>0</v>
                </pt>
                <pt idx="399">
                  <v>0.006734841866192627</v>
                </pt>
                <pt idx="400">
                  <v>0</v>
                </pt>
                <pt idx="401">
                  <v>0</v>
                </pt>
                <pt idx="402">
                  <v>-0.0003878219741506198</v>
                </pt>
                <pt idx="403">
                  <v>0</v>
                </pt>
                <pt idx="404">
                  <v>0</v>
                </pt>
                <pt idx="405">
                  <v>0.01109236123893384</v>
                </pt>
                <pt idx="406">
                  <v>0</v>
                </pt>
                <pt idx="407">
                  <v>0</v>
                </pt>
                <pt idx="408">
                  <v>0.008112871422242703</v>
                </pt>
                <pt idx="409">
                  <v>0</v>
                </pt>
                <pt idx="410">
                  <v>0</v>
                </pt>
                <pt idx="411">
                  <v>0.004537913337532564</v>
                </pt>
                <pt idx="412">
                  <v>0</v>
                </pt>
                <pt idx="413">
                  <v>0</v>
                </pt>
                <pt idx="414">
                  <v>0.001745776709723382</v>
                </pt>
                <pt idx="415">
                  <v>0</v>
                </pt>
                <pt idx="416">
                  <v>0</v>
                </pt>
                <pt idx="417">
                  <v>0.001097175558211992</v>
                </pt>
                <pt idx="418">
                  <v>0</v>
                </pt>
                <pt idx="419">
                  <v>0</v>
                </pt>
                <pt idx="420">
                  <v>0.00860323748128595</v>
                </pt>
                <pt idx="421">
                  <v>0</v>
                </pt>
                <pt idx="422">
                  <v>0</v>
                </pt>
                <pt idx="423">
                  <v>0.001391912077948391</v>
                </pt>
                <pt idx="424">
                  <v>0</v>
                </pt>
                <pt idx="425">
                  <v>0</v>
                </pt>
                <pt idx="426">
                  <v>0.007854354839963497</v>
                </pt>
                <pt idx="427">
                  <v>0</v>
                </pt>
                <pt idx="428">
                  <v>0</v>
                </pt>
                <pt idx="429">
                  <v>0.007061490741206111</v>
                </pt>
                <pt idx="430">
                  <v>0</v>
                </pt>
                <pt idx="431">
                  <v>0</v>
                </pt>
                <pt idx="432">
                  <v>-0.003513398114006536</v>
                </pt>
                <pt idx="433">
                  <v>0</v>
                </pt>
                <pt idx="434">
                  <v>0</v>
                </pt>
                <pt idx="435">
                  <v>0.01267848103186913</v>
                </pt>
                <pt idx="436">
                  <v>0</v>
                </pt>
                <pt idx="437">
                  <v>0</v>
                </pt>
                <pt idx="438">
                  <v>0.01151546568642397</v>
                </pt>
                <pt idx="439">
                  <v>0</v>
                </pt>
                <pt idx="440">
                  <v>0</v>
                </pt>
                <pt idx="441">
                  <v>0.004469864627606982</v>
                </pt>
                <pt idx="442">
                  <v>0</v>
                </pt>
                <pt idx="443">
                  <v>0</v>
                </pt>
                <pt idx="444">
                  <v>0.008067522008869243</v>
                </pt>
                <pt idx="445">
                  <v>0</v>
                </pt>
                <pt idx="446">
                  <v>0</v>
                </pt>
                <pt idx="447">
                  <v>0.005766568138830706</v>
                </pt>
                <pt idx="448">
                  <v>0</v>
                </pt>
                <pt idx="449">
                  <v>0</v>
                </pt>
                <pt idx="450">
                  <v>0.003223303443007759</v>
                </pt>
                <pt idx="451">
                  <v>0</v>
                </pt>
                <pt idx="452">
                  <v>0</v>
                </pt>
                <pt idx="453">
                  <v>0.001460208139931667</v>
                </pt>
                <pt idx="454">
                  <v>0</v>
                </pt>
                <pt idx="455">
                  <v>0</v>
                </pt>
                <pt idx="456">
                  <v>0.005857288719655221</v>
                </pt>
                <pt idx="457">
                  <v>0</v>
                </pt>
                <pt idx="458">
                  <v>0</v>
                </pt>
                <pt idx="459">
                  <v>0.003014771734454561</v>
                </pt>
                <pt idx="460">
                  <v>0</v>
                </pt>
                <pt idx="461">
                  <v>0</v>
                </pt>
                <pt idx="462">
                  <v>0.005975235731760903</v>
                </pt>
                <pt idx="463">
                  <v>0</v>
                </pt>
                <pt idx="464">
                  <v>0</v>
                </pt>
                <pt idx="465">
                  <v>0.004944320187553047</v>
                </pt>
                <pt idx="466">
                  <v>0</v>
                </pt>
                <pt idx="467">
                  <v>0</v>
                </pt>
                <pt idx="468">
                  <v>0.004697143142591666</v>
                </pt>
                <pt idx="469">
                  <v>0</v>
                </pt>
                <pt idx="470">
                  <v>0</v>
                </pt>
                <pt idx="471">
                  <v>0.005566488979542037</v>
                </pt>
                <pt idx="472">
                  <v>0</v>
                </pt>
                <pt idx="473">
                  <v>0</v>
                </pt>
                <pt idx="474">
                  <v>0.007140151513061741</v>
                </pt>
                <pt idx="475">
                  <v>0</v>
                </pt>
                <pt idx="476">
                  <v>0</v>
                </pt>
                <pt idx="477">
                  <v>0.009316387094165011</v>
                </pt>
                <pt idx="478">
                  <v>0</v>
                </pt>
                <pt idx="479">
                  <v>0</v>
                </pt>
                <pt idx="480">
                  <v>0.007570786312322829</v>
                </pt>
                <pt idx="481">
                  <v>0</v>
                </pt>
                <pt idx="482">
                  <v>0</v>
                </pt>
                <pt idx="483">
                  <v>0.008270143459893931</v>
                </pt>
                <pt idx="484">
                  <v>0</v>
                </pt>
                <pt idx="485">
                  <v>0</v>
                </pt>
                <pt idx="486">
                  <v>0.00479640917345161</v>
                </pt>
                <pt idx="487">
                  <v>0</v>
                </pt>
                <pt idx="488">
                  <v>0</v>
                </pt>
                <pt idx="489">
                  <v>0.002226450209256551</v>
                </pt>
                <pt idx="490">
                  <v>0</v>
                </pt>
                <pt idx="491">
                  <v>0</v>
                </pt>
                <pt idx="492">
                  <v>0.00594237993075528</v>
                </pt>
                <pt idx="493">
                  <v>0</v>
                </pt>
                <pt idx="494">
                  <v>0</v>
                </pt>
                <pt idx="495">
                  <v>0.007866865783103217</v>
                </pt>
                <pt idx="496">
                  <v>0</v>
                </pt>
                <pt idx="497">
                  <v>0</v>
                </pt>
                <pt idx="498">
                  <v>0.006808316982472293</v>
                </pt>
                <pt idx="499">
                  <v>0</v>
                </pt>
                <pt idx="500">
                  <v>0</v>
                </pt>
                <pt idx="501">
                  <v>0.004669073668741046</v>
                </pt>
                <pt idx="502">
                  <v>0</v>
                </pt>
                <pt idx="503">
                  <v>0</v>
                </pt>
                <pt idx="504">
                  <v>-0.01320800473111233</v>
                </pt>
                <pt idx="505">
                  <v>0</v>
                </pt>
                <pt idx="506">
                  <v>0</v>
                </pt>
                <pt idx="507">
                  <v>-0.09814386838028616</v>
                </pt>
                <pt idx="508">
                  <v>0</v>
                </pt>
                <pt idx="509">
                  <v>0</v>
                </pt>
                <pt idx="510">
                  <v>0.07017859276773691</v>
                </pt>
                <pt idx="511">
                  <v>0</v>
                </pt>
                <pt idx="512">
                  <v>0</v>
                </pt>
                <pt idx="513">
                  <v>0.01102975536049058</v>
                </pt>
                <pt idx="514">
                  <v>0</v>
                </pt>
                <pt idx="515">
                  <v>0</v>
                </pt>
                <pt idx="516">
                  <v>0.0151071689742494</v>
                </pt>
                <pt idx="517">
                  <v>0</v>
                </pt>
                <pt idx="518">
                  <v>0</v>
                </pt>
                <pt idx="519">
                  <v>0.01614260614374731</v>
                </pt>
                <pt idx="520">
                  <v>0</v>
                </pt>
                <pt idx="521">
                  <v>0</v>
                </pt>
                <pt idx="522">
                  <v>0.005677067993545564</v>
                </pt>
                <pt idx="523">
                  <v>0</v>
                </pt>
                <pt idx="524">
                  <v>0</v>
                </pt>
                <pt idx="525">
                  <v>0.01679094392068376</v>
                </pt>
                <pt idx="526">
                  <v>0</v>
                </pt>
                <pt idx="527">
                  <v>0</v>
                </pt>
                <pt idx="528">
                  <v>0</v>
                </pt>
                <pt idx="529">
                  <v>0</v>
                </pt>
                <pt idx="530">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GDP'!$A$7:$A$538</f>
              <numCache>
                <formatCode>mmm\-yy</formatCode>
                <ptCount val="532"/>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numCache>
            </numRef>
          </cat>
          <val>
            <numRef>
              <f>'UMCSI vs GDP'!$B$7:$B$538</f>
              <numCache>
                <formatCode>0.0</formatCode>
                <ptCount val="532"/>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s>
</file>

<file path=xl/drawings/_rels/drawing3.xml.rels><Relationships xmlns="http://schemas.openxmlformats.org/package/2006/relationships"><Relationship Type="http://schemas.openxmlformats.org/officeDocument/2006/relationships/chart" Target="/xl/charts/chart6.xml" Id="rId1"/><Relationship Type="http://schemas.openxmlformats.org/officeDocument/2006/relationships/chart" Target="/xl/charts/chart7.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205316</colOff>
      <row>235</row>
      <rowOff>99483</rowOff>
    </from>
    <to>
      <col>13</col>
      <colOff>186267</colOff>
      <row>252</row>
      <rowOff>51859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494242</colOff>
      <row>253</row>
      <rowOff>60325</rowOff>
    </from>
    <to>
      <col>18</col>
      <colOff>589493</colOff>
      <row>270</row>
      <rowOff>8467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201084</colOff>
      <row>253</row>
      <rowOff>60325</rowOff>
    </from>
    <to>
      <col>11</col>
      <colOff>389466</colOff>
      <row>270</row>
      <rowOff>8467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29634</colOff>
      <row>253</row>
      <rowOff>50800</rowOff>
    </from>
    <to>
      <col>26</col>
      <colOff>124883</colOff>
      <row>269</row>
      <rowOff>193676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4</col>
      <colOff>336550</colOff>
      <row>494</row>
      <rowOff>113552</rowOff>
    </from>
    <to>
      <col>13</col>
      <colOff>184149</colOff>
      <row>515</row>
      <rowOff>14567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342993</colOff>
      <row>515</row>
      <rowOff>73404</rowOff>
    </from>
    <to>
      <col>13</col>
      <colOff>179294</colOff>
      <row>536</row>
      <rowOff>59765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67" headerRowCount="1" totalsRowShown="0" headerRowDxfId="24" dataDxfId="23">
  <autoFilter ref="A9:F767"/>
  <tableColumns count="6">
    <tableColumn id="1" name="Date" dataDxfId="22"/>
    <tableColumn id="2" name="Conference Board Leading Indicator" dataDxfId="21"/>
    <tableColumn id="3" name="Var y/y %" dataDxfId="20"/>
    <tableColumn id="4" name="GDP y/y %" dataDxfId="19"/>
    <tableColumn id="5" name="S&amp;P 500" dataDxfId="18"/>
    <tableColumn id="6" name="S&amp;P y/y %" dataDxfId="1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73" headerRowCount="1" totalsRowShown="0" headerRowDxfId="16" dataDxfId="14" headerRowBorderDxfId="15">
  <autoFilter ref="A6:D273"/>
  <sortState ref="A7:D224">
    <sortCondition ref="A7:A224"/>
  </sortState>
  <tableColumns count="4">
    <tableColumn id="1" name="Date" dataDxfId="13"/>
    <tableColumn id="2" name="UMCSI" dataDxfId="12">
      <calculatedColumnFormula>VLOOKUP(Table2[[#This Row],[Date]],'DB LEI'!$A:$F,4)</calculatedColumnFormula>
    </tableColumn>
    <tableColumn id="3" name="Mich Current Index" dataDxfId="11">
      <calculatedColumnFormula>VLOOKUP(Table2[[#This Row],[Date]],'DB LEI'!$A:$F,5)</calculatedColumnFormula>
    </tableColumn>
    <tableColumn id="4"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37" headerRowCount="1" totalsRowShown="0" headerRowDxfId="9" dataDxfId="7" headerRowBorderDxfId="8" tableBorderDxfId="6">
  <autoFilter ref="A6:D537"/>
  <sortState ref="A7:D385">
    <sortCondition ref="B15:B512"/>
  </sortState>
  <tableColumns count="4">
    <tableColumn id="1" name="Date" dataDxfId="5"/>
    <tableColumn id="2" name="UMCSI" dataDxfId="4">
      <calculatedColumnFormula>VLOOKUP(Table48[[#This Row],[Date]],'DB LEI'!$A:$F,5)</calculatedColumnFormula>
    </tableColumn>
    <tableColumn id="3" name="GDP yoy %" dataDxfId="3">
      <calculatedColumnFormula>IF(VLOOKUP(Table48[[#This Row],[Date]],'DB LEI'!$A:$I,9)=0,"",VLOOKUP(Table48[[#This Row],[Date]],'DB LEI'!$A:$I,9))</calculatedColumnFormula>
    </tableColumn>
    <tableColumn id="4" name="GDP q0q %" dataDxfId="2">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zoomScale="160" zoomScaleNormal="160" workbookViewId="0">
      <selection activeCell="M746" sqref="M746"/>
    </sheetView>
  </sheetViews>
  <sheetFormatPr baseColWidth="10" defaultColWidth="9.1640625" defaultRowHeight="15"/>
  <cols>
    <col width="9.1640625" customWidth="1" style="55" min="1" max="1"/>
    <col width="12.83203125" customWidth="1" style="55" min="2" max="9"/>
    <col width="18.83203125" customWidth="1" style="55" min="10" max="10"/>
    <col width="3.33203125" customWidth="1" style="55" min="11" max="12"/>
    <col width="21.33203125" customWidth="1" style="55" min="13" max="13"/>
    <col width="10.6640625" bestFit="1" customWidth="1" style="55" min="14" max="15"/>
    <col width="9.1640625" customWidth="1" style="55" min="16" max="33"/>
    <col width="9.1640625" customWidth="1" style="55" min="34" max="16384"/>
  </cols>
  <sheetData>
    <row r="1" ht="16" customHeight="1" thickBot="1">
      <c r="B1" s="54" t="n"/>
      <c r="J1" s="55" t="inlineStr">
        <is>
          <t>GDPQoQ_ANNUALIZED</t>
        </is>
      </c>
    </row>
    <row r="2" ht="16" customHeight="1" thickBot="1">
      <c r="B2" s="56" t="n"/>
      <c r="C2" s="56" t="n"/>
      <c r="D2" s="56" t="n"/>
      <c r="E2" s="56" t="n"/>
      <c r="F2" s="56" t="n"/>
      <c r="G2" s="56" t="n"/>
      <c r="H2" s="56" t="n"/>
      <c r="I2" s="56" t="n"/>
    </row>
    <row r="3" ht="16" customHeight="1" thickBot="1">
      <c r="B3" s="57" t="inlineStr">
        <is>
          <t>Consumer Confidence</t>
        </is>
      </c>
      <c r="C3" s="58" t="n"/>
      <c r="D3" s="58" t="n"/>
      <c r="E3" s="58" t="n"/>
      <c r="F3" s="58" t="n"/>
      <c r="G3" s="58" t="n"/>
      <c r="H3" s="58" t="n"/>
      <c r="I3" s="59" t="n"/>
    </row>
    <row r="5">
      <c r="B5" s="60" t="inlineStr">
        <is>
          <t>Definition</t>
        </is>
      </c>
      <c r="C5" s="61" t="n"/>
      <c r="D5" s="61" t="n"/>
      <c r="E5" s="61" t="n"/>
      <c r="F5" s="61" t="n"/>
      <c r="G5" s="61" t="n"/>
      <c r="H5" s="61" t="n"/>
      <c r="I5" s="62" t="n"/>
    </row>
    <row r="7" ht="106.5" customHeight="1">
      <c r="B7" s="63"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4" t="inlineStr">
        <is>
          <t>http://www.sca.isr.umich.edu</t>
        </is>
      </c>
    </row>
    <row r="9">
      <c r="B9" s="7" t="n"/>
      <c r="C9" s="7" t="n"/>
      <c r="D9" s="7" t="n"/>
      <c r="E9" s="7" t="n"/>
    </row>
    <row r="10">
      <c r="B10" s="60" t="inlineStr">
        <is>
          <t>Process / TO DO LIST</t>
        </is>
      </c>
      <c r="C10" s="61" t="n"/>
      <c r="D10" s="61" t="n"/>
      <c r="E10" s="61" t="n"/>
      <c r="F10" s="61" t="n"/>
      <c r="G10" s="61" t="n"/>
      <c r="H10" s="61" t="n"/>
      <c r="I10" s="62" t="n"/>
      <c r="M10" s="60" t="inlineStr">
        <is>
          <t>Summary</t>
        </is>
      </c>
      <c r="N10" s="61" t="n"/>
      <c r="O10" s="61" t="n"/>
      <c r="P10" s="61" t="n"/>
      <c r="Q10" s="61" t="n"/>
      <c r="R10" s="62" t="n"/>
    </row>
    <row r="12">
      <c r="B12" s="60" t="inlineStr">
        <is>
          <t>TO DO LIST</t>
        </is>
      </c>
      <c r="C12" s="61" t="n"/>
      <c r="D12" s="61" t="n"/>
      <c r="E12" s="61" t="n"/>
      <c r="F12" s="62" t="n"/>
      <c r="G12" s="60" t="inlineStr">
        <is>
          <t>Comments</t>
        </is>
      </c>
      <c r="H12" s="61" t="n"/>
      <c r="I12" s="62" t="n"/>
    </row>
    <row r="13" ht="19.5" customHeight="1" thickBot="1"/>
    <row r="14" ht="19.5" customHeight="1">
      <c r="B14" s="64" t="inlineStr">
        <is>
          <t>https://www.conference-board.org/data/bcicountry.cfm?cid=1</t>
        </is>
      </c>
      <c r="G14" s="55" t="inlineStr">
        <is>
          <t>Conference Board</t>
        </is>
      </c>
      <c r="N14" s="40" t="n">
        <v>44531</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65"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65"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66" t="n"/>
    </row>
    <row r="23">
      <c r="B23" s="10" t="n"/>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priority="3" operator="lessThan" dxfId="1">
      <formula>0</formula>
    </cfRule>
    <cfRule type="cellIs" priority="4" operator="greaterThan" dxfId="0">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56"/>
  <sheetViews>
    <sheetView zoomScale="150" zoomScaleNormal="150" workbookViewId="0">
      <pane ySplit="1" topLeftCell="A736" activePane="bottomLeft" state="frozen"/>
      <selection pane="bottomLeft" activeCell="M746" sqref="M746"/>
    </sheetView>
  </sheetViews>
  <sheetFormatPr baseColWidth="10" defaultRowHeight="15"/>
  <cols>
    <col width="18.83203125" customWidth="1" min="10" max="10"/>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8" t="n">
        <v>17168</v>
      </c>
      <c r="B2" t="n">
        <v/>
      </c>
      <c r="C2" t="n">
        <v/>
      </c>
      <c r="D2" t="n">
        <v/>
      </c>
      <c r="E2" t="n">
        <v/>
      </c>
      <c r="F2" t="n">
        <v/>
      </c>
      <c r="G2" t="n">
        <v>2034.45</v>
      </c>
      <c r="H2" t="n">
        <v/>
      </c>
      <c r="I2" t="n">
        <v/>
      </c>
      <c r="J2" t="n">
        <v/>
      </c>
      <c r="K2" t="n">
        <v/>
      </c>
      <c r="L2" t="n">
        <v/>
      </c>
      <c r="M2" t="n">
        <v/>
      </c>
    </row>
    <row r="3">
      <c r="A3" s="68" t="n">
        <v>17258</v>
      </c>
      <c r="B3" t="n">
        <v/>
      </c>
      <c r="C3" t="n">
        <v/>
      </c>
      <c r="D3" t="n">
        <v/>
      </c>
      <c r="E3" t="n">
        <v/>
      </c>
      <c r="F3" t="n">
        <v/>
      </c>
      <c r="G3" t="n">
        <v>2029.024</v>
      </c>
      <c r="H3" t="n">
        <v>-0.00267419212389807</v>
      </c>
      <c r="I3" t="n">
        <v/>
      </c>
      <c r="J3" t="n">
        <v>-0.01065393711919616</v>
      </c>
      <c r="K3" t="n">
        <v>-0.002667059893337343</v>
      </c>
      <c r="L3" t="n">
        <v>-0.01062563615731604</v>
      </c>
      <c r="M3" t="n">
        <v/>
      </c>
    </row>
    <row r="4">
      <c r="A4" s="68" t="n">
        <v>17349</v>
      </c>
      <c r="B4" t="n">
        <v/>
      </c>
      <c r="C4" t="n">
        <v/>
      </c>
      <c r="D4" t="n">
        <v/>
      </c>
      <c r="E4" t="n">
        <v/>
      </c>
      <c r="F4" t="n">
        <v/>
      </c>
      <c r="G4" t="n">
        <v>2024.834</v>
      </c>
      <c r="H4" t="n">
        <v>-0.002069305434420712</v>
      </c>
      <c r="I4" t="n">
        <v/>
      </c>
      <c r="J4" t="n">
        <v>-0.008251565012731943</v>
      </c>
      <c r="K4" t="n">
        <v>-0.002065032251959478</v>
      </c>
      <c r="L4" t="n">
        <v>-0.00823457806459249</v>
      </c>
      <c r="M4" t="n">
        <v/>
      </c>
    </row>
    <row r="5">
      <c r="A5" s="68" t="n">
        <v>17441</v>
      </c>
      <c r="B5" t="n">
        <v/>
      </c>
      <c r="C5" t="n">
        <v/>
      </c>
      <c r="D5" t="n">
        <v/>
      </c>
      <c r="E5" t="n">
        <v/>
      </c>
      <c r="F5" t="n">
        <v/>
      </c>
      <c r="G5" t="n">
        <v>2056.508</v>
      </c>
      <c r="H5" t="n">
        <v>0.01540183651121209</v>
      </c>
      <c r="I5" t="n">
        <v/>
      </c>
      <c r="J5" t="n">
        <v>0.06304531600724439</v>
      </c>
      <c r="K5" t="n">
        <v>0.01564276380187203</v>
      </c>
      <c r="L5" t="n">
        <v>0.06405460233045623</v>
      </c>
      <c r="M5" t="n">
        <v/>
      </c>
    </row>
    <row r="6">
      <c r="A6" s="68"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8"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8"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8"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8"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8"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8"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8"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8"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8"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8"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8"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8"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8" t="n">
        <v>18660</v>
      </c>
      <c r="B19" t="n">
        <v/>
      </c>
      <c r="C19" t="n">
        <v/>
      </c>
      <c r="D19" t="n">
        <v/>
      </c>
      <c r="E19" t="n">
        <v>67.7</v>
      </c>
      <c r="F19" t="n">
        <v/>
      </c>
      <c r="G19" t="n">
        <v/>
      </c>
      <c r="H19" t="n">
        <v/>
      </c>
      <c r="I19" t="n">
        <v/>
      </c>
      <c r="J19" t="n">
        <v/>
      </c>
      <c r="K19" t="n">
        <v/>
      </c>
      <c r="L19" t="n">
        <v/>
      </c>
      <c r="M19" t="n">
        <v/>
      </c>
    </row>
    <row r="20">
      <c r="A20" s="68"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8" t="n">
        <v>18749</v>
      </c>
      <c r="B21" t="n">
        <v/>
      </c>
      <c r="C21" t="n">
        <v/>
      </c>
      <c r="D21" t="n">
        <v/>
      </c>
      <c r="E21" t="n">
        <v>60.2</v>
      </c>
      <c r="F21" t="n">
        <v/>
      </c>
      <c r="G21" t="n">
        <v/>
      </c>
      <c r="H21" t="n">
        <v/>
      </c>
      <c r="I21" t="n">
        <v/>
      </c>
      <c r="J21" t="n">
        <v/>
      </c>
      <c r="K21" t="n">
        <v/>
      </c>
      <c r="L21" t="n">
        <v/>
      </c>
      <c r="M21" t="n">
        <v/>
      </c>
    </row>
    <row r="22">
      <c r="A22" s="68"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8"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8" t="n">
        <v>18933</v>
      </c>
      <c r="B24" t="n">
        <v/>
      </c>
      <c r="C24" t="n">
        <v/>
      </c>
      <c r="D24" t="n">
        <v/>
      </c>
      <c r="E24" t="n">
        <v>63.6</v>
      </c>
      <c r="F24" t="n">
        <v/>
      </c>
      <c r="G24" t="n">
        <v/>
      </c>
      <c r="H24" t="n">
        <v/>
      </c>
      <c r="I24" t="n">
        <v/>
      </c>
      <c r="J24" t="n">
        <v/>
      </c>
      <c r="K24" t="n">
        <v/>
      </c>
      <c r="L24" t="n">
        <v/>
      </c>
      <c r="M24" t="n">
        <v/>
      </c>
    </row>
    <row r="25">
      <c r="A25" s="68"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8" t="n">
        <v>19025</v>
      </c>
      <c r="B26" t="n">
        <v/>
      </c>
      <c r="C26" t="n">
        <v/>
      </c>
      <c r="D26" t="n">
        <v/>
      </c>
      <c r="E26" t="n">
        <v>66.2</v>
      </c>
      <c r="F26" t="n">
        <v/>
      </c>
      <c r="G26" t="n">
        <v/>
      </c>
      <c r="H26" t="n">
        <v/>
      </c>
      <c r="I26" t="n">
        <v/>
      </c>
      <c r="J26" t="n">
        <v/>
      </c>
      <c r="K26" t="n">
        <v/>
      </c>
      <c r="L26" t="n">
        <v/>
      </c>
      <c r="M26" t="n">
        <v/>
      </c>
    </row>
    <row r="27">
      <c r="A27" s="68"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8" t="n">
        <v>19115</v>
      </c>
      <c r="B28" t="n">
        <v/>
      </c>
      <c r="C28" t="n">
        <v/>
      </c>
      <c r="D28" t="n">
        <v/>
      </c>
      <c r="E28" t="n">
        <v>70.40000000000001</v>
      </c>
      <c r="F28" t="n">
        <v/>
      </c>
      <c r="G28" t="n">
        <v/>
      </c>
      <c r="H28" t="n">
        <v/>
      </c>
      <c r="I28" t="n">
        <v/>
      </c>
      <c r="J28" t="n">
        <v/>
      </c>
      <c r="K28" t="n">
        <v/>
      </c>
      <c r="L28" t="n">
        <v/>
      </c>
      <c r="M28" t="n">
        <v/>
      </c>
    </row>
    <row r="29">
      <c r="A29" s="68"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8"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8" t="n">
        <v>19299</v>
      </c>
      <c r="B31" t="n">
        <v/>
      </c>
      <c r="C31" t="n">
        <v/>
      </c>
      <c r="D31" t="n">
        <v>86.2</v>
      </c>
      <c r="E31" t="n">
        <v>73.40000000000001</v>
      </c>
      <c r="F31" t="n">
        <v>92.40000000000001</v>
      </c>
      <c r="G31" t="n">
        <v/>
      </c>
      <c r="H31" t="n">
        <v/>
      </c>
      <c r="I31" t="n">
        <v/>
      </c>
      <c r="J31" t="n">
        <v/>
      </c>
      <c r="K31" t="n">
        <v/>
      </c>
      <c r="L31" t="n">
        <v/>
      </c>
      <c r="M31" t="n">
        <v/>
      </c>
    </row>
    <row r="32">
      <c r="A32" s="68"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8" t="n">
        <v>19391</v>
      </c>
      <c r="B33" t="n">
        <v/>
      </c>
      <c r="C33" t="n">
        <v/>
      </c>
      <c r="D33" t="n">
        <v>90.7</v>
      </c>
      <c r="E33" t="n">
        <v>78.7</v>
      </c>
      <c r="F33" t="n">
        <v>95.5</v>
      </c>
      <c r="G33" t="n">
        <v/>
      </c>
      <c r="H33" t="n">
        <v/>
      </c>
      <c r="I33" t="n">
        <v/>
      </c>
      <c r="J33" t="n">
        <v/>
      </c>
      <c r="K33" t="n">
        <v/>
      </c>
      <c r="L33" t="n">
        <v/>
      </c>
      <c r="M33" t="n">
        <v/>
      </c>
    </row>
    <row r="34">
      <c r="A34" s="68"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8"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8" t="n">
        <v>19572</v>
      </c>
      <c r="B36" t="n">
        <v/>
      </c>
      <c r="C36" t="n">
        <v/>
      </c>
      <c r="D36" t="n">
        <v>80.8</v>
      </c>
      <c r="E36" t="n">
        <v/>
      </c>
      <c r="F36" t="n">
        <v/>
      </c>
      <c r="G36" t="n">
        <v/>
      </c>
      <c r="H36" t="n">
        <v/>
      </c>
      <c r="I36" t="n">
        <v/>
      </c>
      <c r="J36" t="n">
        <v/>
      </c>
      <c r="K36" t="n">
        <v/>
      </c>
      <c r="L36" t="n">
        <v/>
      </c>
      <c r="M36" t="n">
        <v/>
      </c>
    </row>
    <row r="37">
      <c r="A37" s="68"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8" t="n">
        <v>19664</v>
      </c>
      <c r="B38" t="n">
        <v/>
      </c>
      <c r="C38" t="n">
        <v/>
      </c>
      <c r="D38" t="n">
        <v>80.7</v>
      </c>
      <c r="E38" t="n">
        <v>73.40000000000001</v>
      </c>
      <c r="F38" t="n">
        <v>83.90000000000001</v>
      </c>
      <c r="G38" t="n">
        <v/>
      </c>
      <c r="H38" t="n">
        <v/>
      </c>
      <c r="I38" t="n">
        <v/>
      </c>
      <c r="J38" t="n">
        <v/>
      </c>
      <c r="K38" t="n">
        <v/>
      </c>
      <c r="L38" t="n">
        <v/>
      </c>
      <c r="M38" t="n">
        <v/>
      </c>
    </row>
    <row r="39">
      <c r="A39" s="68"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8" t="n">
        <v>19756</v>
      </c>
      <c r="B40" t="n">
        <v/>
      </c>
      <c r="C40" t="n">
        <v/>
      </c>
      <c r="D40" t="n">
        <v>82</v>
      </c>
      <c r="E40" t="n">
        <v>75.7</v>
      </c>
      <c r="F40" t="n">
        <v>85.3</v>
      </c>
      <c r="G40" t="n">
        <v/>
      </c>
      <c r="H40" t="n">
        <v/>
      </c>
      <c r="I40" t="n">
        <v/>
      </c>
      <c r="J40" t="n">
        <v/>
      </c>
      <c r="K40" t="n">
        <v/>
      </c>
      <c r="L40" t="n">
        <v/>
      </c>
      <c r="M40" t="n">
        <v/>
      </c>
    </row>
    <row r="41">
      <c r="A41" s="68"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8" t="n">
        <v>19845</v>
      </c>
      <c r="B42" t="n">
        <v/>
      </c>
      <c r="C42" t="n">
        <v/>
      </c>
      <c r="D42" t="n">
        <v>82.90000000000001</v>
      </c>
      <c r="E42" t="n">
        <v>81.40000000000001</v>
      </c>
      <c r="F42" t="n">
        <v>86.09999999999999</v>
      </c>
      <c r="G42" t="n">
        <v/>
      </c>
      <c r="H42" t="n">
        <v/>
      </c>
      <c r="I42" t="n">
        <v/>
      </c>
      <c r="J42" t="n">
        <v/>
      </c>
      <c r="K42" t="n">
        <v/>
      </c>
      <c r="L42" t="n">
        <v/>
      </c>
      <c r="M42" t="n">
        <v/>
      </c>
    </row>
    <row r="43">
      <c r="A43" s="68"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8"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8" t="n">
        <v>20029</v>
      </c>
      <c r="B45" t="n">
        <v/>
      </c>
      <c r="C45" t="n">
        <v/>
      </c>
      <c r="D45" t="n">
        <v>87</v>
      </c>
      <c r="E45" t="n">
        <v>83.2</v>
      </c>
      <c r="F45" t="n">
        <v>89.7</v>
      </c>
      <c r="G45" t="n">
        <v/>
      </c>
      <c r="H45" t="n">
        <v/>
      </c>
      <c r="I45" t="n">
        <v/>
      </c>
      <c r="J45" t="n">
        <v/>
      </c>
      <c r="K45" t="n">
        <v/>
      </c>
      <c r="L45" t="n">
        <v/>
      </c>
      <c r="M45" t="n">
        <v/>
      </c>
    </row>
    <row r="46">
      <c r="A46" s="68"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8" t="n">
        <v>20121</v>
      </c>
      <c r="B47" t="n">
        <v/>
      </c>
      <c r="C47" t="n">
        <v/>
      </c>
      <c r="D47" t="n">
        <v>95.90000000000001</v>
      </c>
      <c r="E47" t="n">
        <v/>
      </c>
      <c r="F47" t="n">
        <v/>
      </c>
      <c r="G47" t="n">
        <v/>
      </c>
      <c r="H47" t="n">
        <v/>
      </c>
      <c r="I47" t="n">
        <v/>
      </c>
      <c r="J47" t="n">
        <v/>
      </c>
      <c r="K47" t="n">
        <v/>
      </c>
      <c r="L47" t="n">
        <v/>
      </c>
      <c r="M47" t="n">
        <v/>
      </c>
    </row>
    <row r="48">
      <c r="A48" s="68"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8" t="n">
        <v>20210</v>
      </c>
      <c r="B49" t="n">
        <v/>
      </c>
      <c r="C49" t="n">
        <v/>
      </c>
      <c r="D49" t="n">
        <v>99.09999999999999</v>
      </c>
      <c r="E49" t="n">
        <v>95</v>
      </c>
      <c r="F49" t="n">
        <v>99.90000000000001</v>
      </c>
      <c r="G49" t="n">
        <v/>
      </c>
      <c r="H49" t="n">
        <v/>
      </c>
      <c r="I49" t="n">
        <v/>
      </c>
      <c r="J49" t="n">
        <v/>
      </c>
      <c r="K49" t="n">
        <v/>
      </c>
      <c r="L49" t="n">
        <v/>
      </c>
      <c r="M49" t="n">
        <v/>
      </c>
    </row>
    <row r="50">
      <c r="A50" s="68"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8"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8" t="n">
        <v>20394</v>
      </c>
      <c r="B52" t="n">
        <v/>
      </c>
      <c r="C52" t="n">
        <v/>
      </c>
      <c r="D52" t="n">
        <v>99.7</v>
      </c>
      <c r="E52" t="n">
        <v>94.59999999999999</v>
      </c>
      <c r="F52" t="n">
        <v>103.8</v>
      </c>
      <c r="G52" t="n">
        <v/>
      </c>
      <c r="H52" t="n">
        <v/>
      </c>
      <c r="I52" t="n">
        <v/>
      </c>
      <c r="J52" t="n">
        <v/>
      </c>
      <c r="K52" t="n">
        <v/>
      </c>
      <c r="L52" t="n">
        <v/>
      </c>
      <c r="M52" t="n">
        <v/>
      </c>
    </row>
    <row r="53">
      <c r="A53" s="68"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8"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8" t="n">
        <v>20576</v>
      </c>
      <c r="B55" t="n">
        <v/>
      </c>
      <c r="C55" t="n">
        <v/>
      </c>
      <c r="D55" t="n">
        <v>98.2</v>
      </c>
      <c r="E55" t="n">
        <v/>
      </c>
      <c r="F55" t="n">
        <v>103.3</v>
      </c>
      <c r="G55" t="n">
        <v/>
      </c>
      <c r="H55" t="n">
        <v/>
      </c>
      <c r="I55" t="n">
        <v/>
      </c>
      <c r="J55" t="n">
        <v/>
      </c>
      <c r="K55" t="n">
        <v/>
      </c>
      <c r="L55" t="n">
        <v/>
      </c>
      <c r="M55" t="n">
        <v/>
      </c>
    </row>
    <row r="56">
      <c r="A56" s="68"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8" t="n">
        <v>20668</v>
      </c>
      <c r="B57" t="n">
        <v/>
      </c>
      <c r="C57" t="n">
        <v/>
      </c>
      <c r="D57" t="n">
        <v>99.90000000000001</v>
      </c>
      <c r="E57" t="n">
        <v>93.09999999999999</v>
      </c>
      <c r="F57" t="n">
        <v>105.2</v>
      </c>
      <c r="G57" t="n">
        <v/>
      </c>
      <c r="H57" t="n">
        <v/>
      </c>
      <c r="I57" t="n">
        <v/>
      </c>
      <c r="J57" t="n">
        <v/>
      </c>
      <c r="K57" t="n">
        <v/>
      </c>
      <c r="L57" t="n">
        <v/>
      </c>
      <c r="M57" t="n">
        <v/>
      </c>
    </row>
    <row r="58">
      <c r="A58" s="68"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8" t="n">
        <v>20760</v>
      </c>
      <c r="B59" t="n">
        <v/>
      </c>
      <c r="C59" t="n">
        <v/>
      </c>
      <c r="D59" t="n">
        <v>100.2</v>
      </c>
      <c r="E59" t="n">
        <v>94.2</v>
      </c>
      <c r="F59" t="n">
        <v>105.2</v>
      </c>
      <c r="G59" t="n">
        <v/>
      </c>
      <c r="H59" t="n">
        <v/>
      </c>
      <c r="I59" t="n">
        <v/>
      </c>
      <c r="J59" t="n">
        <v/>
      </c>
      <c r="K59" t="n">
        <v/>
      </c>
      <c r="L59" t="n">
        <v/>
      </c>
      <c r="M59" t="n">
        <v/>
      </c>
    </row>
    <row r="60">
      <c r="A60" s="68"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8"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8" t="n">
        <v>20941</v>
      </c>
      <c r="B62" t="n">
        <v/>
      </c>
      <c r="C62" t="n">
        <v/>
      </c>
      <c r="D62" t="n">
        <v>92.90000000000001</v>
      </c>
      <c r="E62" t="n">
        <v>88.90000000000001</v>
      </c>
      <c r="F62" t="n">
        <v>96.2</v>
      </c>
      <c r="G62" t="n">
        <v/>
      </c>
      <c r="H62" t="n">
        <v/>
      </c>
      <c r="I62" t="n">
        <v/>
      </c>
      <c r="J62" t="n">
        <v/>
      </c>
      <c r="K62" t="n">
        <v/>
      </c>
      <c r="L62" t="n">
        <v/>
      </c>
      <c r="M62" t="n">
        <v/>
      </c>
    </row>
    <row r="63">
      <c r="A63" s="68"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8"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8" t="n">
        <v>21125</v>
      </c>
      <c r="B65" t="n">
        <v/>
      </c>
      <c r="C65" t="n">
        <v/>
      </c>
      <c r="D65" t="n">
        <v>83.7</v>
      </c>
      <c r="E65" t="n">
        <v>79.5</v>
      </c>
      <c r="F65" t="n">
        <v>86.3</v>
      </c>
      <c r="G65" t="n">
        <v/>
      </c>
      <c r="H65" t="n">
        <v/>
      </c>
      <c r="I65" t="n">
        <v/>
      </c>
      <c r="J65" t="n">
        <v/>
      </c>
      <c r="K65" t="n">
        <v/>
      </c>
      <c r="L65" t="n">
        <v/>
      </c>
      <c r="M65" t="n">
        <v/>
      </c>
    </row>
    <row r="66">
      <c r="A66" s="68"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8" t="n">
        <v>21217</v>
      </c>
      <c r="B67" t="n">
        <v/>
      </c>
      <c r="C67" t="n">
        <v/>
      </c>
      <c r="D67" t="n">
        <v>78.5</v>
      </c>
      <c r="E67" t="n">
        <v/>
      </c>
      <c r="F67" t="n">
        <v/>
      </c>
      <c r="G67" t="n">
        <v/>
      </c>
      <c r="H67" t="n">
        <v/>
      </c>
      <c r="I67" t="n">
        <v/>
      </c>
      <c r="J67" t="n">
        <v/>
      </c>
      <c r="K67" t="n">
        <v/>
      </c>
      <c r="L67" t="n">
        <v/>
      </c>
      <c r="M67" t="n">
        <v/>
      </c>
    </row>
    <row r="68">
      <c r="A68" s="68"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8" t="n">
        <v>21306</v>
      </c>
      <c r="B69" t="n">
        <v/>
      </c>
      <c r="C69" t="n">
        <v/>
      </c>
      <c r="D69" t="n">
        <v>80.90000000000001</v>
      </c>
      <c r="E69" t="n">
        <v>78</v>
      </c>
      <c r="F69" t="n">
        <v>82.90000000000001</v>
      </c>
      <c r="G69" t="n">
        <v/>
      </c>
      <c r="H69" t="n">
        <v/>
      </c>
      <c r="I69" t="n">
        <v/>
      </c>
      <c r="J69" t="n">
        <v/>
      </c>
      <c r="K69" t="n">
        <v/>
      </c>
      <c r="L69" t="n">
        <v/>
      </c>
      <c r="M69" t="n">
        <v/>
      </c>
    </row>
    <row r="70">
      <c r="A70" s="68"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8"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8" t="n">
        <v>21490</v>
      </c>
      <c r="B72" t="n">
        <v/>
      </c>
      <c r="C72" t="n">
        <v/>
      </c>
      <c r="D72" t="n">
        <v>90.8</v>
      </c>
      <c r="E72" t="n">
        <v>86.7</v>
      </c>
      <c r="F72" t="n">
        <v>94.09999999999999</v>
      </c>
      <c r="G72" t="n">
        <v/>
      </c>
      <c r="H72" t="n">
        <v/>
      </c>
      <c r="I72" t="n">
        <v/>
      </c>
      <c r="J72" t="n">
        <v/>
      </c>
      <c r="K72" t="n">
        <v/>
      </c>
      <c r="L72" t="n">
        <v/>
      </c>
      <c r="M72" t="n">
        <v/>
      </c>
    </row>
    <row r="73">
      <c r="A73" s="68"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8"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8" t="n">
        <v>21671</v>
      </c>
      <c r="B75" t="n">
        <v/>
      </c>
      <c r="C75" t="n">
        <v/>
      </c>
      <c r="D75" t="n">
        <v>95.3</v>
      </c>
      <c r="E75" t="n">
        <v>92.7</v>
      </c>
      <c r="F75" t="n">
        <v>97.5</v>
      </c>
      <c r="G75" t="n">
        <v/>
      </c>
      <c r="H75" t="n">
        <v/>
      </c>
      <c r="I75" t="n">
        <v/>
      </c>
      <c r="J75" t="n">
        <v/>
      </c>
      <c r="K75" t="n">
        <v/>
      </c>
      <c r="L75" t="n">
        <v/>
      </c>
      <c r="M75" t="n">
        <v/>
      </c>
    </row>
    <row r="76">
      <c r="A76" s="68"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8"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8" t="n">
        <v>21855</v>
      </c>
      <c r="B78" t="n">
        <v/>
      </c>
      <c r="C78" t="n">
        <v/>
      </c>
      <c r="D78" t="n">
        <v>93.8</v>
      </c>
      <c r="E78" t="n">
        <v>87</v>
      </c>
      <c r="F78" t="n">
        <v>95.8</v>
      </c>
      <c r="G78" t="n">
        <v/>
      </c>
      <c r="H78" t="n">
        <v/>
      </c>
      <c r="I78" t="n">
        <v/>
      </c>
      <c r="J78" t="n">
        <v/>
      </c>
      <c r="K78" t="n">
        <v/>
      </c>
      <c r="L78" t="n">
        <v/>
      </c>
      <c r="M78" t="n">
        <v/>
      </c>
    </row>
    <row r="79">
      <c r="A79" s="68"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8" t="n">
        <v>21947</v>
      </c>
      <c r="B80" t="n">
        <v/>
      </c>
      <c r="C80" t="n">
        <v/>
      </c>
      <c r="D80" t="n">
        <v>100</v>
      </c>
      <c r="E80" t="n">
        <v>99.59999999999999</v>
      </c>
      <c r="F80" t="n">
        <v>104.6</v>
      </c>
      <c r="G80" t="n">
        <v/>
      </c>
      <c r="H80" t="n">
        <v/>
      </c>
      <c r="I80" t="n">
        <v/>
      </c>
      <c r="J80" t="n">
        <v/>
      </c>
      <c r="K80" t="n">
        <v/>
      </c>
      <c r="L80" t="n">
        <v/>
      </c>
      <c r="M80" t="n">
        <v/>
      </c>
    </row>
    <row r="81">
      <c r="A81" s="68"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8" t="n">
        <v>22037</v>
      </c>
      <c r="B82" t="n">
        <v/>
      </c>
      <c r="C82" t="n">
        <v/>
      </c>
      <c r="D82" t="n">
        <v>93.3</v>
      </c>
      <c r="E82" t="n">
        <v>91.59999999999999</v>
      </c>
      <c r="F82" t="n">
        <v>98.59999999999999</v>
      </c>
      <c r="G82" t="n">
        <v/>
      </c>
      <c r="H82" t="n">
        <v/>
      </c>
      <c r="I82" t="n">
        <v/>
      </c>
      <c r="J82" t="n">
        <v/>
      </c>
      <c r="K82" t="n">
        <v/>
      </c>
      <c r="L82" t="n">
        <v/>
      </c>
      <c r="M82" t="n">
        <v/>
      </c>
    </row>
    <row r="83">
      <c r="A83" s="68"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8" t="n">
        <v>22129</v>
      </c>
      <c r="B84" t="n">
        <v/>
      </c>
      <c r="C84" t="n">
        <v/>
      </c>
      <c r="D84" t="n">
        <v>97.2</v>
      </c>
      <c r="E84" t="n">
        <v>96.90000000000001</v>
      </c>
      <c r="F84" t="n">
        <v>97.5</v>
      </c>
      <c r="G84" t="n">
        <v/>
      </c>
      <c r="H84" t="n">
        <v/>
      </c>
      <c r="I84" t="n">
        <v/>
      </c>
      <c r="J84" t="n">
        <v/>
      </c>
      <c r="K84" t="n">
        <v/>
      </c>
      <c r="L84" t="n">
        <v/>
      </c>
      <c r="M84" t="n">
        <v/>
      </c>
    </row>
    <row r="85">
      <c r="A85" s="68"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8" t="n">
        <v>22221</v>
      </c>
      <c r="B86" t="n">
        <v/>
      </c>
      <c r="C86" t="n">
        <v/>
      </c>
      <c r="D86" t="n">
        <v>90.09999999999999</v>
      </c>
      <c r="E86" t="n">
        <v>89.3</v>
      </c>
      <c r="F86" t="n">
        <v>93.40000000000001</v>
      </c>
      <c r="G86" t="n">
        <v/>
      </c>
      <c r="H86" t="n">
        <v/>
      </c>
      <c r="I86" t="n">
        <v/>
      </c>
      <c r="J86" t="n">
        <v/>
      </c>
      <c r="K86" t="n">
        <v/>
      </c>
      <c r="L86" t="n">
        <v/>
      </c>
      <c r="M86" t="n">
        <v/>
      </c>
    </row>
    <row r="87">
      <c r="A87" s="68"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8" t="n">
        <v>22313</v>
      </c>
      <c r="B88" t="n">
        <v/>
      </c>
      <c r="C88" t="n">
        <v/>
      </c>
      <c r="D88" t="n">
        <v>91.59999999999999</v>
      </c>
      <c r="E88" t="n">
        <v>93.2</v>
      </c>
      <c r="F88" t="n">
        <v>94.90000000000001</v>
      </c>
      <c r="G88" t="n">
        <v/>
      </c>
      <c r="H88" t="n">
        <v/>
      </c>
      <c r="I88" t="n">
        <v/>
      </c>
      <c r="J88" t="n">
        <v/>
      </c>
      <c r="K88" t="n">
        <v/>
      </c>
      <c r="L88" t="n">
        <v/>
      </c>
      <c r="M88" t="n">
        <v/>
      </c>
    </row>
    <row r="89">
      <c r="A89" s="68"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8" t="n">
        <v>22402</v>
      </c>
      <c r="B90" t="n">
        <v/>
      </c>
      <c r="C90" t="n">
        <v/>
      </c>
      <c r="D90" t="n">
        <v>92.5</v>
      </c>
      <c r="E90" t="n">
        <v>90.90000000000001</v>
      </c>
      <c r="F90" t="n">
        <v>98.09999999999999</v>
      </c>
      <c r="G90" t="n">
        <v/>
      </c>
      <c r="H90" t="n">
        <v/>
      </c>
      <c r="I90" t="n">
        <v/>
      </c>
      <c r="J90" t="n">
        <v/>
      </c>
      <c r="K90" t="n">
        <v/>
      </c>
      <c r="L90" t="n">
        <v/>
      </c>
      <c r="M90" t="n">
        <v/>
      </c>
    </row>
    <row r="91">
      <c r="A91" s="68"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8" t="n">
        <v>22494</v>
      </c>
      <c r="B92" t="n">
        <v/>
      </c>
      <c r="C92" t="n">
        <v/>
      </c>
      <c r="D92" t="n">
        <v>99.2</v>
      </c>
      <c r="E92" t="n">
        <v>100.2</v>
      </c>
      <c r="F92" t="n">
        <v>98.5</v>
      </c>
      <c r="G92" t="n">
        <v/>
      </c>
      <c r="H92" t="n">
        <v/>
      </c>
      <c r="I92" t="n">
        <v/>
      </c>
      <c r="J92" t="n">
        <v/>
      </c>
      <c r="K92" t="n">
        <v/>
      </c>
      <c r="L92" t="n">
        <v/>
      </c>
      <c r="M92" t="n">
        <v/>
      </c>
    </row>
    <row r="93">
      <c r="A93" s="68"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8" t="n">
        <v>22586</v>
      </c>
      <c r="B94" t="n">
        <v/>
      </c>
      <c r="C94" t="n">
        <v/>
      </c>
      <c r="D94" t="n">
        <v>93</v>
      </c>
      <c r="E94" t="n">
        <v>94</v>
      </c>
      <c r="F94" t="n">
        <v>96.8</v>
      </c>
      <c r="G94" t="n">
        <v/>
      </c>
      <c r="H94" t="n">
        <v/>
      </c>
      <c r="I94" t="n">
        <v/>
      </c>
      <c r="J94" t="n">
        <v/>
      </c>
      <c r="K94" t="n">
        <v/>
      </c>
      <c r="L94" t="n">
        <v/>
      </c>
      <c r="M94" t="n">
        <v/>
      </c>
    </row>
    <row r="95">
      <c r="A95" s="68"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8" t="n">
        <v>22678</v>
      </c>
      <c r="B96" t="n">
        <v/>
      </c>
      <c r="C96" t="n">
        <v/>
      </c>
      <c r="D96" t="n">
        <v>99.90000000000001</v>
      </c>
      <c r="E96" t="n">
        <v>100.8</v>
      </c>
      <c r="F96" t="n">
        <v>103.4</v>
      </c>
      <c r="G96" t="n">
        <v/>
      </c>
      <c r="H96" t="n">
        <v/>
      </c>
      <c r="I96" t="n">
        <v/>
      </c>
      <c r="J96" t="n">
        <v/>
      </c>
      <c r="K96" t="n">
        <v/>
      </c>
      <c r="L96" t="n">
        <v/>
      </c>
      <c r="M96" t="n">
        <v/>
      </c>
    </row>
    <row r="97">
      <c r="A97" s="68"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8" t="n">
        <v>22767</v>
      </c>
      <c r="B98" t="n">
        <v/>
      </c>
      <c r="C98" t="n">
        <v/>
      </c>
      <c r="D98" t="n">
        <v>95.40000000000001</v>
      </c>
      <c r="E98" t="n">
        <v>94.2</v>
      </c>
      <c r="F98" t="n">
        <v>96.5</v>
      </c>
      <c r="G98" t="n">
        <v/>
      </c>
      <c r="H98" t="n">
        <v/>
      </c>
      <c r="I98" t="n">
        <v/>
      </c>
      <c r="J98" t="n">
        <v/>
      </c>
      <c r="K98" t="n">
        <v/>
      </c>
      <c r="L98" t="n">
        <v/>
      </c>
      <c r="M98" t="n">
        <v/>
      </c>
    </row>
    <row r="99">
      <c r="A99" s="68"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8" t="n">
        <v>22859</v>
      </c>
      <c r="B100" t="n">
        <v/>
      </c>
      <c r="C100" t="n">
        <v/>
      </c>
      <c r="D100" t="n">
        <v>91.59999999999999</v>
      </c>
      <c r="E100" t="n">
        <v>95.59999999999999</v>
      </c>
      <c r="F100" t="n">
        <v>93.40000000000001</v>
      </c>
      <c r="G100" t="n">
        <v/>
      </c>
      <c r="H100" t="n">
        <v/>
      </c>
      <c r="I100" t="n">
        <v/>
      </c>
      <c r="J100" t="n">
        <v/>
      </c>
      <c r="K100" t="n">
        <v/>
      </c>
      <c r="L100" t="n">
        <v/>
      </c>
      <c r="M100" t="n">
        <v/>
      </c>
    </row>
    <row r="101">
      <c r="A101" s="68"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8" t="n">
        <v>22951</v>
      </c>
      <c r="B102" t="n">
        <v/>
      </c>
      <c r="C102" t="n">
        <v/>
      </c>
      <c r="D102" t="n">
        <v>95</v>
      </c>
      <c r="E102" t="n">
        <v>95.5</v>
      </c>
      <c r="F102" t="n">
        <v>99.2</v>
      </c>
      <c r="G102" t="n">
        <v/>
      </c>
      <c r="H102" t="n">
        <v/>
      </c>
      <c r="I102" t="n">
        <v/>
      </c>
      <c r="J102" t="n">
        <v/>
      </c>
      <c r="K102" t="n">
        <v/>
      </c>
      <c r="L102" t="n">
        <v/>
      </c>
      <c r="M102" t="n">
        <v/>
      </c>
    </row>
    <row r="103">
      <c r="A103" s="68"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8" t="n">
        <v>23043</v>
      </c>
      <c r="B104" t="n">
        <v/>
      </c>
      <c r="C104" t="n">
        <v/>
      </c>
      <c r="D104" t="n">
        <v>98.40000000000001</v>
      </c>
      <c r="E104" t="n">
        <v>103.2</v>
      </c>
      <c r="F104" t="n">
        <v>99.90000000000001</v>
      </c>
      <c r="G104" t="n">
        <v/>
      </c>
      <c r="H104" t="n">
        <v/>
      </c>
      <c r="I104" t="n">
        <v/>
      </c>
      <c r="J104" t="n">
        <v/>
      </c>
      <c r="K104" t="n">
        <v/>
      </c>
      <c r="L104" t="n">
        <v/>
      </c>
      <c r="M104" t="n">
        <v/>
      </c>
    </row>
    <row r="105">
      <c r="A105" s="68"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8" t="n">
        <v>23132</v>
      </c>
      <c r="B106" t="n">
        <v/>
      </c>
      <c r="C106" t="n">
        <v/>
      </c>
      <c r="D106" t="n">
        <v>91.7</v>
      </c>
      <c r="E106" t="n">
        <v>94.3</v>
      </c>
      <c r="F106" t="n">
        <v>94.09999999999999</v>
      </c>
      <c r="G106" t="n">
        <v/>
      </c>
      <c r="H106" t="n">
        <v/>
      </c>
      <c r="I106" t="n">
        <v/>
      </c>
      <c r="J106" t="n">
        <v/>
      </c>
      <c r="K106" t="n">
        <v/>
      </c>
      <c r="L106" t="n">
        <v/>
      </c>
      <c r="M106" t="n">
        <v/>
      </c>
    </row>
    <row r="107">
      <c r="A107" s="68"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8" t="n">
        <v>23224</v>
      </c>
      <c r="B108" t="n">
        <v/>
      </c>
      <c r="C108" t="n">
        <v/>
      </c>
      <c r="D108" t="n">
        <v>96.40000000000001</v>
      </c>
      <c r="E108" t="n">
        <v>102.3</v>
      </c>
      <c r="F108" t="n">
        <v>97</v>
      </c>
      <c r="G108" t="n">
        <v/>
      </c>
      <c r="H108" t="n">
        <v/>
      </c>
      <c r="I108" t="n">
        <v/>
      </c>
      <c r="J108" t="n">
        <v/>
      </c>
      <c r="K108" t="n">
        <v/>
      </c>
      <c r="L108" t="n">
        <v/>
      </c>
      <c r="M108" t="n">
        <v/>
      </c>
    </row>
    <row r="109">
      <c r="A109" s="68"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8" t="n">
        <v>23316</v>
      </c>
      <c r="B110" t="n">
        <v/>
      </c>
      <c r="C110" t="n">
        <v/>
      </c>
      <c r="D110" t="n">
        <v>94.40000000000001</v>
      </c>
      <c r="E110" t="n">
        <v>97.59999999999999</v>
      </c>
      <c r="F110" t="n">
        <v>97</v>
      </c>
      <c r="G110" t="n">
        <v/>
      </c>
      <c r="H110" t="n">
        <v/>
      </c>
      <c r="I110" t="n">
        <v/>
      </c>
      <c r="J110" t="n">
        <v/>
      </c>
      <c r="K110" t="n">
        <v/>
      </c>
      <c r="L110" t="n">
        <v/>
      </c>
      <c r="M110" t="n">
        <v/>
      </c>
    </row>
    <row r="111">
      <c r="A111" s="68"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8" t="n">
        <v>23408</v>
      </c>
      <c r="B112" t="n">
        <v/>
      </c>
      <c r="C112" t="n">
        <v/>
      </c>
      <c r="D112" t="n">
        <v>99.5</v>
      </c>
      <c r="E112" t="n">
        <v>99.5</v>
      </c>
      <c r="F112" t="n">
        <v>99.40000000000001</v>
      </c>
      <c r="G112" t="n">
        <v/>
      </c>
      <c r="H112" t="n">
        <v/>
      </c>
      <c r="I112" t="n">
        <v/>
      </c>
      <c r="J112" t="n">
        <v/>
      </c>
      <c r="K112" t="n">
        <v/>
      </c>
      <c r="L112" t="n">
        <v/>
      </c>
      <c r="M112" t="n">
        <v/>
      </c>
    </row>
    <row r="113">
      <c r="A113" s="68"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8" t="n">
        <v>23498</v>
      </c>
      <c r="B114" t="n">
        <v/>
      </c>
      <c r="C114" t="n">
        <v/>
      </c>
      <c r="D114" t="n">
        <v>98.5</v>
      </c>
      <c r="E114" t="n">
        <v>99.90000000000001</v>
      </c>
      <c r="F114" t="n">
        <v>97.2</v>
      </c>
      <c r="G114" t="n">
        <v/>
      </c>
      <c r="H114" t="n">
        <v/>
      </c>
      <c r="I114" t="n">
        <v/>
      </c>
      <c r="J114" t="n">
        <v/>
      </c>
      <c r="K114" t="n">
        <v/>
      </c>
      <c r="L114" t="n">
        <v/>
      </c>
      <c r="M114" t="n">
        <v/>
      </c>
    </row>
    <row r="115">
      <c r="A115" s="68"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8" t="n">
        <v>23590</v>
      </c>
      <c r="B116" t="n">
        <v/>
      </c>
      <c r="C116" t="n">
        <v/>
      </c>
      <c r="D116" t="n">
        <v>100.6</v>
      </c>
      <c r="E116" t="n">
        <v/>
      </c>
      <c r="F116" t="n">
        <v/>
      </c>
      <c r="G116" t="n">
        <v/>
      </c>
      <c r="H116" t="n">
        <v/>
      </c>
      <c r="I116" t="n">
        <v/>
      </c>
      <c r="J116" t="n">
        <v/>
      </c>
      <c r="K116" t="n">
        <v/>
      </c>
      <c r="L116" t="n">
        <v/>
      </c>
      <c r="M116" t="n">
        <v/>
      </c>
    </row>
    <row r="117">
      <c r="A117" s="68"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8" t="n">
        <v>23682</v>
      </c>
      <c r="B118" t="n">
        <v/>
      </c>
      <c r="C118" t="n">
        <v/>
      </c>
      <c r="D118" t="n">
        <v>99.90000000000001</v>
      </c>
      <c r="E118" t="n">
        <v/>
      </c>
      <c r="F118" t="n">
        <v/>
      </c>
      <c r="G118" t="n">
        <v/>
      </c>
      <c r="H118" t="n">
        <v/>
      </c>
      <c r="I118" t="n">
        <v/>
      </c>
      <c r="J118" t="n">
        <v/>
      </c>
      <c r="K118" t="n">
        <v/>
      </c>
      <c r="L118" t="n">
        <v/>
      </c>
      <c r="M118" t="n">
        <v/>
      </c>
    </row>
    <row r="119">
      <c r="A119" s="68"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8" t="n">
        <v>23774</v>
      </c>
      <c r="B120" t="n">
        <v/>
      </c>
      <c r="C120" t="n">
        <v/>
      </c>
      <c r="D120" t="n">
        <v>102</v>
      </c>
      <c r="E120" t="n">
        <v>100.4</v>
      </c>
      <c r="F120" t="n">
        <v>103</v>
      </c>
      <c r="G120" t="n">
        <v/>
      </c>
      <c r="H120" t="n">
        <v/>
      </c>
      <c r="I120" t="n">
        <v/>
      </c>
      <c r="J120" t="n">
        <v/>
      </c>
      <c r="K120" t="n">
        <v/>
      </c>
      <c r="L120" t="n">
        <v/>
      </c>
      <c r="M120" t="n">
        <v/>
      </c>
    </row>
    <row r="121">
      <c r="A121" s="68"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8" t="n">
        <v>23863</v>
      </c>
      <c r="B122" t="n">
        <v/>
      </c>
      <c r="C122" t="n">
        <v/>
      </c>
      <c r="D122" t="n">
        <v>105.4</v>
      </c>
      <c r="E122" t="n">
        <v>109</v>
      </c>
      <c r="F122" t="n">
        <v>103.1</v>
      </c>
      <c r="G122" t="n">
        <v/>
      </c>
      <c r="H122" t="n">
        <v/>
      </c>
      <c r="I122" t="n">
        <v/>
      </c>
      <c r="J122" t="n">
        <v/>
      </c>
      <c r="K122" t="n">
        <v/>
      </c>
      <c r="L122" t="n">
        <v/>
      </c>
      <c r="M122" t="n">
        <v/>
      </c>
    </row>
    <row r="123">
      <c r="A123" s="68"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8" t="n">
        <v>23955</v>
      </c>
      <c r="B124" t="n">
        <v/>
      </c>
      <c r="C124" t="n">
        <v/>
      </c>
      <c r="D124" t="n">
        <v>103.4</v>
      </c>
      <c r="E124" t="n">
        <v>102.9</v>
      </c>
      <c r="F124" t="n">
        <v>104.3</v>
      </c>
      <c r="G124" t="n">
        <v/>
      </c>
      <c r="H124" t="n">
        <v/>
      </c>
      <c r="I124" t="n">
        <v/>
      </c>
      <c r="J124" t="n">
        <v/>
      </c>
      <c r="K124" t="n">
        <v/>
      </c>
      <c r="L124" t="n">
        <v/>
      </c>
      <c r="M124" t="n">
        <v/>
      </c>
    </row>
    <row r="125">
      <c r="A125" s="68"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8" t="n">
        <v>24047</v>
      </c>
      <c r="B126" t="n">
        <v/>
      </c>
      <c r="C126" t="n">
        <v/>
      </c>
      <c r="D126" t="n">
        <v>102.9</v>
      </c>
      <c r="E126" t="n">
        <v>100</v>
      </c>
      <c r="F126" t="n">
        <v>104.8</v>
      </c>
      <c r="G126" t="n">
        <v/>
      </c>
      <c r="H126" t="n">
        <v/>
      </c>
      <c r="I126" t="n">
        <v/>
      </c>
      <c r="J126" t="n">
        <v/>
      </c>
      <c r="K126" t="n">
        <v/>
      </c>
      <c r="L126" t="n">
        <v/>
      </c>
      <c r="M126" t="n">
        <v/>
      </c>
    </row>
    <row r="127">
      <c r="A127" s="68"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8" t="n">
        <v>24139</v>
      </c>
      <c r="B128" t="n">
        <v/>
      </c>
      <c r="C128" t="n">
        <v/>
      </c>
      <c r="D128" t="n">
        <v>100</v>
      </c>
      <c r="E128" t="n">
        <v>100</v>
      </c>
      <c r="F128" t="n">
        <v>100</v>
      </c>
      <c r="G128" t="n">
        <v/>
      </c>
      <c r="H128" t="n">
        <v/>
      </c>
      <c r="I128" t="n">
        <v/>
      </c>
      <c r="J128" t="n">
        <v/>
      </c>
      <c r="K128" t="n">
        <v/>
      </c>
      <c r="L128" t="n">
        <v/>
      </c>
      <c r="M128" t="n">
        <v/>
      </c>
    </row>
    <row r="129">
      <c r="A129" s="68"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8" t="n">
        <v>24228</v>
      </c>
      <c r="B130" t="n">
        <v/>
      </c>
      <c r="C130" t="n">
        <v/>
      </c>
      <c r="D130" t="n">
        <v>95.7</v>
      </c>
      <c r="E130" t="n">
        <v>95.7</v>
      </c>
      <c r="F130" t="n">
        <v>96</v>
      </c>
      <c r="G130" t="n">
        <v/>
      </c>
      <c r="H130" t="n">
        <v/>
      </c>
      <c r="I130" t="n">
        <v/>
      </c>
      <c r="J130" t="n">
        <v/>
      </c>
      <c r="K130" t="n">
        <v/>
      </c>
      <c r="L130" t="n">
        <v/>
      </c>
      <c r="M130" t="n">
        <v/>
      </c>
    </row>
    <row r="131">
      <c r="A131" s="68"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8" t="n">
        <v>24320</v>
      </c>
      <c r="B132" t="n">
        <v/>
      </c>
      <c r="C132" t="n">
        <v/>
      </c>
      <c r="D132" t="n">
        <v>91.2</v>
      </c>
      <c r="E132" t="n">
        <v>92</v>
      </c>
      <c r="F132" t="n">
        <v>90.7</v>
      </c>
      <c r="G132" t="n">
        <v/>
      </c>
      <c r="H132" t="n">
        <v/>
      </c>
      <c r="I132" t="n">
        <v/>
      </c>
      <c r="J132" t="n">
        <v/>
      </c>
      <c r="K132" t="n">
        <v/>
      </c>
      <c r="L132" t="n">
        <v/>
      </c>
      <c r="M132" t="n">
        <v/>
      </c>
    </row>
    <row r="133">
      <c r="A133" s="68"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8" t="n">
        <v>24412</v>
      </c>
      <c r="B134" t="n">
        <v/>
      </c>
      <c r="C134" t="n">
        <v/>
      </c>
      <c r="D134" t="n">
        <v>88.3</v>
      </c>
      <c r="E134" t="n">
        <v>85.09999999999999</v>
      </c>
      <c r="F134" t="n">
        <v>90.2</v>
      </c>
      <c r="G134" t="n">
        <v/>
      </c>
      <c r="H134" t="n">
        <v/>
      </c>
      <c r="I134" t="n">
        <v/>
      </c>
      <c r="J134" t="n">
        <v/>
      </c>
      <c r="K134" t="n">
        <v/>
      </c>
      <c r="L134" t="n">
        <v/>
      </c>
      <c r="M134" t="n">
        <v/>
      </c>
    </row>
    <row r="135">
      <c r="A135" s="68"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8" t="n">
        <v>24504</v>
      </c>
      <c r="B136" t="n">
        <v/>
      </c>
      <c r="C136" t="n">
        <v/>
      </c>
      <c r="D136" t="n">
        <v>94.09999999999999</v>
      </c>
      <c r="E136" t="n">
        <v>90.40000000000001</v>
      </c>
      <c r="F136" t="n">
        <v>96.40000000000001</v>
      </c>
      <c r="G136" t="n">
        <v/>
      </c>
      <c r="H136" t="n">
        <v/>
      </c>
      <c r="I136" t="n">
        <v/>
      </c>
      <c r="J136" t="n">
        <v/>
      </c>
      <c r="K136" t="n">
        <v/>
      </c>
      <c r="L136" t="n">
        <v/>
      </c>
      <c r="M136" t="n">
        <v/>
      </c>
    </row>
    <row r="137">
      <c r="A137" s="68"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8" t="n">
        <v>24593</v>
      </c>
      <c r="B138" t="n">
        <v/>
      </c>
      <c r="C138" t="n">
        <v/>
      </c>
      <c r="D138" t="n">
        <v>95.90000000000001</v>
      </c>
      <c r="E138" t="n">
        <v>98.40000000000001</v>
      </c>
      <c r="F138" t="n">
        <v>94.3</v>
      </c>
      <c r="G138" t="n">
        <v/>
      </c>
      <c r="H138" t="n">
        <v/>
      </c>
      <c r="I138" t="n">
        <v/>
      </c>
      <c r="J138" t="n">
        <v/>
      </c>
      <c r="K138" t="n">
        <v/>
      </c>
      <c r="L138" t="n">
        <v/>
      </c>
      <c r="M138" t="n">
        <v/>
      </c>
    </row>
    <row r="139">
      <c r="A139" s="68"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8" t="n">
        <v>24685</v>
      </c>
      <c r="B140" t="n">
        <v/>
      </c>
      <c r="C140" t="n">
        <v/>
      </c>
      <c r="D140" t="n">
        <v>97</v>
      </c>
      <c r="E140" t="n">
        <v>99.5</v>
      </c>
      <c r="F140" t="n">
        <v>95.5</v>
      </c>
      <c r="G140" t="n">
        <v/>
      </c>
      <c r="H140" t="n">
        <v/>
      </c>
      <c r="I140" t="n">
        <v/>
      </c>
      <c r="J140" t="n">
        <v/>
      </c>
      <c r="K140" t="n">
        <v/>
      </c>
      <c r="L140" t="n">
        <v/>
      </c>
      <c r="M140" t="n">
        <v/>
      </c>
    </row>
    <row r="141">
      <c r="A141" s="68"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8" t="n">
        <v>24777</v>
      </c>
      <c r="B142" t="n">
        <v/>
      </c>
      <c r="C142" t="n">
        <v/>
      </c>
      <c r="D142" t="n">
        <v>92.90000000000001</v>
      </c>
      <c r="E142" t="n">
        <v>95.59999999999999</v>
      </c>
      <c r="F142" t="n">
        <v>91.09999999999999</v>
      </c>
      <c r="G142" t="n">
        <v/>
      </c>
      <c r="H142" t="n">
        <v/>
      </c>
      <c r="I142" t="n">
        <v/>
      </c>
      <c r="J142" t="n">
        <v/>
      </c>
      <c r="K142" t="n">
        <v/>
      </c>
      <c r="L142" t="n">
        <v/>
      </c>
      <c r="M142" t="n">
        <v/>
      </c>
    </row>
    <row r="143">
      <c r="A143" s="68"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8" t="n">
        <v>24869</v>
      </c>
      <c r="B144" t="n">
        <v/>
      </c>
      <c r="C144" t="n">
        <v/>
      </c>
      <c r="D144" t="n">
        <v>97.2</v>
      </c>
      <c r="E144" t="n">
        <v>101.6</v>
      </c>
      <c r="F144" t="n">
        <v>94.3</v>
      </c>
      <c r="G144" t="n">
        <v/>
      </c>
      <c r="H144" t="n">
        <v/>
      </c>
      <c r="I144" t="n">
        <v/>
      </c>
      <c r="J144" t="n">
        <v/>
      </c>
      <c r="K144" t="n">
        <v/>
      </c>
      <c r="L144" t="n">
        <v/>
      </c>
      <c r="M144" t="n">
        <v/>
      </c>
    </row>
    <row r="145">
      <c r="A145" s="68"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8" t="n">
        <v>24959</v>
      </c>
      <c r="B146" t="n">
        <v/>
      </c>
      <c r="C146" t="n">
        <v/>
      </c>
      <c r="D146" t="n">
        <v>92.40000000000001</v>
      </c>
      <c r="E146" t="n">
        <v>96.40000000000001</v>
      </c>
      <c r="F146" t="n">
        <v>89.90000000000001</v>
      </c>
      <c r="G146" t="n">
        <v/>
      </c>
      <c r="H146" t="n">
        <v/>
      </c>
      <c r="I146" t="n">
        <v/>
      </c>
      <c r="J146" t="n">
        <v/>
      </c>
      <c r="K146" t="n">
        <v/>
      </c>
      <c r="L146" t="n">
        <v/>
      </c>
      <c r="M146" t="n">
        <v/>
      </c>
    </row>
    <row r="147">
      <c r="A147" s="68"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8" t="n">
        <v>25051</v>
      </c>
      <c r="B148" t="n">
        <v/>
      </c>
      <c r="C148" t="n">
        <v/>
      </c>
      <c r="D148" t="n">
        <v>92.40000000000001</v>
      </c>
      <c r="E148" t="n">
        <v>96.8</v>
      </c>
      <c r="F148" t="n">
        <v>89.59999999999999</v>
      </c>
      <c r="G148" t="n">
        <v/>
      </c>
      <c r="H148" t="n">
        <v/>
      </c>
      <c r="I148" t="n">
        <v/>
      </c>
      <c r="J148" t="n">
        <v/>
      </c>
      <c r="K148" t="n">
        <v/>
      </c>
      <c r="L148" t="n">
        <v/>
      </c>
      <c r="M148" t="n">
        <v/>
      </c>
    </row>
    <row r="149">
      <c r="A149" s="68"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8" t="n">
        <v>25143</v>
      </c>
      <c r="B150" t="n">
        <v/>
      </c>
      <c r="C150" t="n">
        <v/>
      </c>
      <c r="D150" t="n">
        <v>91.7</v>
      </c>
      <c r="E150" t="n">
        <v>91.90000000000001</v>
      </c>
      <c r="F150" t="n">
        <v>91.59999999999999</v>
      </c>
      <c r="G150" t="n">
        <v/>
      </c>
      <c r="H150" t="n">
        <v/>
      </c>
      <c r="I150" t="n">
        <v/>
      </c>
      <c r="J150" t="n">
        <v/>
      </c>
      <c r="K150" t="n">
        <v/>
      </c>
      <c r="L150" t="n">
        <v/>
      </c>
      <c r="M150" t="n">
        <v/>
      </c>
    </row>
    <row r="151">
      <c r="A151" s="68"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8" t="n">
        <v>25235</v>
      </c>
      <c r="B152" t="n">
        <v/>
      </c>
      <c r="C152" t="n">
        <v/>
      </c>
      <c r="D152" t="n">
        <v>98.2</v>
      </c>
      <c r="E152" t="n">
        <v>98.3</v>
      </c>
      <c r="F152" t="n">
        <v>98</v>
      </c>
      <c r="G152" t="n">
        <v/>
      </c>
      <c r="H152" t="n">
        <v/>
      </c>
      <c r="I152" t="n">
        <v/>
      </c>
      <c r="J152" t="n">
        <v/>
      </c>
      <c r="K152" t="n">
        <v/>
      </c>
      <c r="L152" t="n">
        <v/>
      </c>
      <c r="M152" t="n">
        <v/>
      </c>
    </row>
    <row r="153">
      <c r="A153" s="68"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8" t="n">
        <v>25324</v>
      </c>
      <c r="B154" t="n">
        <v/>
      </c>
      <c r="C154" t="n">
        <v/>
      </c>
      <c r="D154" t="n">
        <v>91.5</v>
      </c>
      <c r="E154" t="n">
        <v>92.2</v>
      </c>
      <c r="F154" t="n">
        <v>91.09999999999999</v>
      </c>
      <c r="G154" t="n">
        <v/>
      </c>
      <c r="H154" t="n">
        <v/>
      </c>
      <c r="I154" t="n">
        <v/>
      </c>
      <c r="J154" t="n">
        <v/>
      </c>
      <c r="K154" t="n">
        <v/>
      </c>
      <c r="L154" t="n">
        <v/>
      </c>
      <c r="M154" t="n">
        <v/>
      </c>
    </row>
    <row r="155">
      <c r="A155" s="68"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8" t="n">
        <v>25416</v>
      </c>
      <c r="B156" t="n">
        <v/>
      </c>
      <c r="C156" t="n">
        <v/>
      </c>
      <c r="D156" t="n">
        <v>86.40000000000001</v>
      </c>
      <c r="E156" t="n">
        <v>86.2</v>
      </c>
      <c r="F156" t="n">
        <v>86.59999999999999</v>
      </c>
      <c r="G156" t="n">
        <v/>
      </c>
      <c r="H156" t="n">
        <v/>
      </c>
      <c r="I156" t="n">
        <v/>
      </c>
      <c r="J156" t="n">
        <v/>
      </c>
      <c r="K156" t="n">
        <v/>
      </c>
      <c r="L156" t="n">
        <v/>
      </c>
      <c r="M156" t="n">
        <v/>
      </c>
    </row>
    <row r="157">
      <c r="A157" s="68"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8" t="n">
        <v>25508</v>
      </c>
      <c r="B158" t="n">
        <v/>
      </c>
      <c r="C158" t="n">
        <v/>
      </c>
      <c r="D158" t="n">
        <v>79.7</v>
      </c>
      <c r="E158" t="n">
        <v>79.90000000000001</v>
      </c>
      <c r="F158" t="n">
        <v>79.59999999999999</v>
      </c>
      <c r="G158" t="n">
        <v/>
      </c>
      <c r="H158" t="n">
        <v/>
      </c>
      <c r="I158" t="n">
        <v/>
      </c>
      <c r="J158" t="n">
        <v/>
      </c>
      <c r="K158" t="n">
        <v/>
      </c>
      <c r="L158" t="n">
        <v/>
      </c>
      <c r="M158" t="n">
        <v/>
      </c>
    </row>
    <row r="159">
      <c r="A159" s="68"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8" t="n">
        <v>25600</v>
      </c>
      <c r="B160" t="n">
        <v/>
      </c>
      <c r="C160" t="n">
        <v/>
      </c>
      <c r="D160" t="n">
        <v>78.09999999999999</v>
      </c>
      <c r="E160" t="n">
        <v>81.59999999999999</v>
      </c>
      <c r="F160" t="n">
        <v>75.8</v>
      </c>
      <c r="G160" t="n">
        <v/>
      </c>
      <c r="H160" t="n">
        <v/>
      </c>
      <c r="I160" t="n">
        <v/>
      </c>
      <c r="J160" t="n">
        <v/>
      </c>
      <c r="K160" t="n">
        <v/>
      </c>
      <c r="L160" t="n">
        <v/>
      </c>
      <c r="M160" t="n">
        <v/>
      </c>
    </row>
    <row r="161">
      <c r="A161" s="68"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8" t="n">
        <v>25689</v>
      </c>
      <c r="B162" t="n">
        <v/>
      </c>
      <c r="C162" t="n">
        <v/>
      </c>
      <c r="D162" t="n">
        <v>75.40000000000001</v>
      </c>
      <c r="E162" t="n">
        <v>81.90000000000001</v>
      </c>
      <c r="F162" t="n">
        <v>71.2</v>
      </c>
      <c r="G162" t="n">
        <v/>
      </c>
      <c r="H162" t="n">
        <v/>
      </c>
      <c r="I162" t="n">
        <v/>
      </c>
      <c r="J162" t="n">
        <v/>
      </c>
      <c r="K162" t="n">
        <v/>
      </c>
      <c r="L162" t="n">
        <v/>
      </c>
      <c r="M162" t="n">
        <v/>
      </c>
    </row>
    <row r="163">
      <c r="A163" s="68"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8" t="n">
        <v>25781</v>
      </c>
      <c r="B164" t="n">
        <v/>
      </c>
      <c r="C164" t="n">
        <v/>
      </c>
      <c r="D164" t="n">
        <v>77.59999999999999</v>
      </c>
      <c r="E164" t="n">
        <v>80.59999999999999</v>
      </c>
      <c r="F164" t="n">
        <v>75.7</v>
      </c>
      <c r="G164" t="n">
        <v/>
      </c>
      <c r="H164" t="n">
        <v/>
      </c>
      <c r="I164" t="n">
        <v/>
      </c>
      <c r="J164" t="n">
        <v/>
      </c>
      <c r="K164" t="n">
        <v/>
      </c>
      <c r="L164" t="n">
        <v/>
      </c>
      <c r="M164" t="n">
        <v/>
      </c>
    </row>
    <row r="165">
      <c r="A165" s="68"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8" t="n">
        <v>25873</v>
      </c>
      <c r="B166" t="n">
        <v/>
      </c>
      <c r="C166" t="n">
        <v/>
      </c>
      <c r="D166" t="n">
        <v>72.40000000000001</v>
      </c>
      <c r="E166" t="n">
        <v>74</v>
      </c>
      <c r="F166" t="n">
        <v>71.3</v>
      </c>
      <c r="G166" t="n">
        <v/>
      </c>
      <c r="H166" t="n">
        <v/>
      </c>
      <c r="I166" t="n">
        <v/>
      </c>
      <c r="J166" t="n">
        <v/>
      </c>
      <c r="K166" t="n">
        <v/>
      </c>
      <c r="L166" t="n">
        <v/>
      </c>
      <c r="M166" t="n">
        <v/>
      </c>
    </row>
    <row r="167">
      <c r="A167" s="68"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8" t="n">
        <v>25965</v>
      </c>
      <c r="B168" t="n">
        <v/>
      </c>
      <c r="C168" t="n">
        <v/>
      </c>
      <c r="D168" t="n">
        <v>78.09999999999999</v>
      </c>
      <c r="E168" t="n">
        <v>81.7</v>
      </c>
      <c r="F168" t="n">
        <v>75.90000000000001</v>
      </c>
      <c r="G168" t="n">
        <v/>
      </c>
      <c r="H168" t="n">
        <v/>
      </c>
      <c r="I168" t="n">
        <v/>
      </c>
      <c r="J168" t="n">
        <v/>
      </c>
      <c r="K168" t="n">
        <v/>
      </c>
      <c r="L168" t="n">
        <v/>
      </c>
      <c r="M168" t="n">
        <v/>
      </c>
    </row>
    <row r="169">
      <c r="A169" s="68"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8" t="n">
        <v>26054</v>
      </c>
      <c r="B170" t="n">
        <v/>
      </c>
      <c r="C170" t="n">
        <v/>
      </c>
      <c r="D170" t="n">
        <v>80.2</v>
      </c>
      <c r="E170" t="n">
        <v>87</v>
      </c>
      <c r="F170" t="n">
        <v>75.90000000000001</v>
      </c>
      <c r="G170" t="n">
        <v/>
      </c>
      <c r="H170" t="n">
        <v/>
      </c>
      <c r="I170" t="n">
        <v/>
      </c>
      <c r="J170" t="n">
        <v/>
      </c>
      <c r="K170" t="n">
        <v/>
      </c>
      <c r="L170" t="n">
        <v/>
      </c>
      <c r="M170" t="n">
        <v/>
      </c>
    </row>
    <row r="171">
      <c r="A171" s="68"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8" t="n">
        <v>26146</v>
      </c>
      <c r="B172" t="n">
        <v/>
      </c>
      <c r="C172" t="n">
        <v/>
      </c>
      <c r="D172" t="n">
        <v>82.09999999999999</v>
      </c>
      <c r="E172" t="n">
        <v>87.8</v>
      </c>
      <c r="F172" t="n">
        <v>78.40000000000001</v>
      </c>
      <c r="G172" t="n">
        <v/>
      </c>
      <c r="H172" t="n">
        <v/>
      </c>
      <c r="I172" t="n">
        <v/>
      </c>
      <c r="J172" t="n">
        <v/>
      </c>
      <c r="K172" t="n">
        <v/>
      </c>
      <c r="L172" t="n">
        <v/>
      </c>
      <c r="M172" t="n">
        <v/>
      </c>
    </row>
    <row r="173">
      <c r="A173" s="68"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8" t="n">
        <v>26238</v>
      </c>
      <c r="B174" t="n">
        <v/>
      </c>
      <c r="C174" t="n">
        <v/>
      </c>
      <c r="D174" t="n">
        <v>82</v>
      </c>
      <c r="E174" t="n">
        <v>89.59999999999999</v>
      </c>
      <c r="F174" t="n">
        <v>77.2</v>
      </c>
      <c r="G174" t="n">
        <v/>
      </c>
      <c r="H174" t="n">
        <v/>
      </c>
      <c r="I174" t="n">
        <v/>
      </c>
      <c r="J174" t="n">
        <v/>
      </c>
      <c r="K174" t="n">
        <v/>
      </c>
      <c r="L174" t="n">
        <v/>
      </c>
      <c r="M174" t="n">
        <v/>
      </c>
    </row>
    <row r="175">
      <c r="A175" s="68"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8" t="n">
        <v>26330</v>
      </c>
      <c r="B176" t="n">
        <v/>
      </c>
      <c r="C176" t="n">
        <v/>
      </c>
      <c r="D176" t="n">
        <v>92.8</v>
      </c>
      <c r="E176" t="n">
        <v>95.7</v>
      </c>
      <c r="F176" t="n">
        <v>90.90000000000001</v>
      </c>
      <c r="G176" t="n">
        <v/>
      </c>
      <c r="H176" t="n">
        <v/>
      </c>
      <c r="I176" t="n">
        <v/>
      </c>
      <c r="J176" t="n">
        <v/>
      </c>
      <c r="K176" t="n">
        <v/>
      </c>
      <c r="L176" t="n">
        <v/>
      </c>
      <c r="M176" t="n">
        <v/>
      </c>
    </row>
    <row r="177">
      <c r="A177" s="68"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8" t="n">
        <v>26420</v>
      </c>
      <c r="B178" t="n">
        <v/>
      </c>
      <c r="C178" t="n">
        <v/>
      </c>
      <c r="D178" t="n">
        <v>88.59999999999999</v>
      </c>
      <c r="E178" t="n">
        <v>98.59999999999999</v>
      </c>
      <c r="F178" t="n">
        <v>82.2</v>
      </c>
      <c r="G178" t="n">
        <v/>
      </c>
      <c r="H178" t="n">
        <v/>
      </c>
      <c r="I178" t="n">
        <v/>
      </c>
      <c r="J178" t="n">
        <v/>
      </c>
      <c r="K178" t="n">
        <v/>
      </c>
      <c r="L178" t="n">
        <v/>
      </c>
      <c r="M178" t="n">
        <v/>
      </c>
    </row>
    <row r="179">
      <c r="A179" s="68"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8" t="n">
        <v>26512</v>
      </c>
      <c r="B180" t="n">
        <v/>
      </c>
      <c r="C180" t="n">
        <v/>
      </c>
      <c r="D180" t="n">
        <v>95.2</v>
      </c>
      <c r="E180" t="n">
        <v>101.2</v>
      </c>
      <c r="F180" t="n">
        <v>91.3</v>
      </c>
      <c r="G180" t="n">
        <v/>
      </c>
      <c r="H180" t="n">
        <v/>
      </c>
      <c r="I180" t="n">
        <v/>
      </c>
      <c r="J180" t="n">
        <v/>
      </c>
      <c r="K180" t="n">
        <v/>
      </c>
      <c r="L180" t="n">
        <v/>
      </c>
      <c r="M180" t="n">
        <v/>
      </c>
    </row>
    <row r="181">
      <c r="A181" s="68"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8" t="n">
        <v>26604</v>
      </c>
      <c r="B182" t="n">
        <v/>
      </c>
      <c r="C182" t="n">
        <v/>
      </c>
      <c r="D182" t="n">
        <v>90.7</v>
      </c>
      <c r="E182" t="n">
        <v>95.2</v>
      </c>
      <c r="F182" t="n">
        <v>87.8</v>
      </c>
      <c r="G182" t="n">
        <v/>
      </c>
      <c r="H182" t="n">
        <v/>
      </c>
      <c r="I182" t="n">
        <v/>
      </c>
      <c r="J182" t="n">
        <v/>
      </c>
      <c r="K182" t="n">
        <v/>
      </c>
      <c r="L182" t="n">
        <v/>
      </c>
      <c r="M182" t="n">
        <v/>
      </c>
    </row>
    <row r="183">
      <c r="A183" s="68"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8" t="n">
        <v>26696</v>
      </c>
      <c r="B184" t="n">
        <v/>
      </c>
      <c r="C184" t="n">
        <v/>
      </c>
      <c r="D184" t="n">
        <v>81.90000000000001</v>
      </c>
      <c r="E184" t="n">
        <v>95.09999999999999</v>
      </c>
      <c r="F184" t="n">
        <v>73.3</v>
      </c>
      <c r="G184" t="n">
        <v/>
      </c>
      <c r="H184" t="n">
        <v/>
      </c>
      <c r="I184" t="n">
        <v/>
      </c>
      <c r="J184" t="n">
        <v/>
      </c>
      <c r="K184" t="n">
        <v/>
      </c>
      <c r="L184" t="n">
        <v/>
      </c>
      <c r="M184" t="n">
        <v/>
      </c>
    </row>
    <row r="185">
      <c r="A185" s="68"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8" t="n">
        <v>26785</v>
      </c>
      <c r="B186" t="n">
        <v/>
      </c>
      <c r="C186" t="n">
        <v/>
      </c>
      <c r="D186" t="n">
        <v>77</v>
      </c>
      <c r="E186" t="n">
        <v>92</v>
      </c>
      <c r="F186" t="n">
        <v>67.3</v>
      </c>
      <c r="G186" t="n">
        <v/>
      </c>
      <c r="H186" t="n">
        <v/>
      </c>
      <c r="I186" t="n">
        <v/>
      </c>
      <c r="J186" t="n">
        <v/>
      </c>
      <c r="K186" t="n">
        <v/>
      </c>
      <c r="L186" t="n">
        <v/>
      </c>
      <c r="M186" t="n">
        <v/>
      </c>
    </row>
    <row r="187">
      <c r="A187" s="68"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8" t="n">
        <v>26877</v>
      </c>
      <c r="B188" t="n">
        <v/>
      </c>
      <c r="C188" t="n">
        <v/>
      </c>
      <c r="D188" t="n">
        <v>72</v>
      </c>
      <c r="E188" t="n">
        <v>85.90000000000001</v>
      </c>
      <c r="F188" t="n">
        <v>63</v>
      </c>
      <c r="G188" t="n">
        <v/>
      </c>
      <c r="H188" t="n">
        <v/>
      </c>
      <c r="I188" t="n">
        <v/>
      </c>
      <c r="J188" t="n">
        <v/>
      </c>
      <c r="K188" t="n">
        <v/>
      </c>
      <c r="L188" t="n">
        <v/>
      </c>
      <c r="M188" t="n">
        <v/>
      </c>
    </row>
    <row r="189">
      <c r="A189" s="68"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8" t="n">
        <v>26969</v>
      </c>
      <c r="B190" t="n">
        <v/>
      </c>
      <c r="C190" t="n">
        <v/>
      </c>
      <c r="D190" t="n">
        <v>76.5</v>
      </c>
      <c r="E190" t="n">
        <v>91</v>
      </c>
      <c r="F190" t="n">
        <v>67.09999999999999</v>
      </c>
      <c r="G190" t="n">
        <v/>
      </c>
      <c r="H190" t="n">
        <v/>
      </c>
      <c r="I190" t="n">
        <v/>
      </c>
      <c r="J190" t="n">
        <v/>
      </c>
      <c r="K190" t="n">
        <v/>
      </c>
      <c r="L190" t="n">
        <v/>
      </c>
      <c r="M190" t="n">
        <v/>
      </c>
    </row>
    <row r="191">
      <c r="A191" s="68"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8" t="n">
        <v>27061</v>
      </c>
      <c r="B192" t="n">
        <v/>
      </c>
      <c r="C192" t="n">
        <v/>
      </c>
      <c r="D192" t="n">
        <v>61.8</v>
      </c>
      <c r="E192" t="n">
        <v>81.09999999999999</v>
      </c>
      <c r="F192" t="n">
        <v>49.4</v>
      </c>
      <c r="G192" t="n">
        <v/>
      </c>
      <c r="H192" t="n">
        <v/>
      </c>
      <c r="I192" t="n">
        <v/>
      </c>
      <c r="J192" t="n">
        <v/>
      </c>
      <c r="K192" t="n">
        <v/>
      </c>
      <c r="L192" t="n">
        <v/>
      </c>
      <c r="M192" t="n">
        <v/>
      </c>
    </row>
    <row r="193">
      <c r="A193" s="68"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8" t="n">
        <v>27150</v>
      </c>
      <c r="B194" t="n">
        <v/>
      </c>
      <c r="C194" t="n">
        <v/>
      </c>
      <c r="D194" t="n">
        <v>72.09999999999999</v>
      </c>
      <c r="E194" t="n">
        <v>84.90000000000001</v>
      </c>
      <c r="F194" t="n">
        <v>63.9</v>
      </c>
      <c r="G194" t="n">
        <v/>
      </c>
      <c r="H194" t="n">
        <v/>
      </c>
      <c r="I194" t="n">
        <v/>
      </c>
      <c r="J194" t="n">
        <v/>
      </c>
      <c r="K194" t="n">
        <v/>
      </c>
      <c r="L194" t="n">
        <v/>
      </c>
      <c r="M194" t="n">
        <v/>
      </c>
    </row>
    <row r="195">
      <c r="A195" s="68"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8" t="n">
        <v>27242</v>
      </c>
      <c r="B196" t="n">
        <v/>
      </c>
      <c r="C196" t="n">
        <v/>
      </c>
      <c r="D196" t="n">
        <v>64.40000000000001</v>
      </c>
      <c r="E196" t="n">
        <v>75</v>
      </c>
      <c r="F196" t="n">
        <v>57.6</v>
      </c>
      <c r="G196" t="n">
        <v/>
      </c>
      <c r="H196" t="n">
        <v/>
      </c>
      <c r="I196" t="n">
        <v/>
      </c>
      <c r="J196" t="n">
        <v/>
      </c>
      <c r="K196" t="n">
        <v/>
      </c>
      <c r="L196" t="n">
        <v/>
      </c>
      <c r="M196" t="n">
        <v/>
      </c>
    </row>
    <row r="197">
      <c r="A197" s="68"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8" t="n">
        <v>27334</v>
      </c>
      <c r="B198" t="n">
        <v/>
      </c>
      <c r="C198" t="n">
        <v/>
      </c>
      <c r="D198" t="n">
        <v>59.5</v>
      </c>
      <c r="E198" t="n">
        <v>72.40000000000001</v>
      </c>
      <c r="F198" t="n">
        <v>51.2</v>
      </c>
      <c r="G198" t="n">
        <v/>
      </c>
      <c r="H198" t="n">
        <v/>
      </c>
      <c r="I198" t="n">
        <v/>
      </c>
      <c r="J198" t="n">
        <v/>
      </c>
      <c r="K198" t="n">
        <v/>
      </c>
      <c r="L198" t="n">
        <v/>
      </c>
      <c r="M198" t="n">
        <v/>
      </c>
    </row>
    <row r="199">
      <c r="A199" s="68"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8" t="n">
        <v>27426</v>
      </c>
      <c r="B200" t="n">
        <v/>
      </c>
      <c r="C200" t="n">
        <v/>
      </c>
      <c r="D200" t="n">
        <v>57.6</v>
      </c>
      <c r="E200" t="n">
        <v>69.3</v>
      </c>
      <c r="F200" t="n">
        <v>50</v>
      </c>
      <c r="G200" t="n">
        <v/>
      </c>
      <c r="H200" t="n">
        <v/>
      </c>
      <c r="I200" t="n">
        <v/>
      </c>
      <c r="J200" t="n">
        <v/>
      </c>
      <c r="K200" t="n">
        <v/>
      </c>
      <c r="L200" t="n">
        <v/>
      </c>
      <c r="M200" t="n">
        <v/>
      </c>
    </row>
    <row r="201">
      <c r="A201" s="68"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8" t="n">
        <v>27515</v>
      </c>
      <c r="B202" t="n">
        <v/>
      </c>
      <c r="C202" t="n">
        <v/>
      </c>
      <c r="D202" t="n">
        <v>72.8</v>
      </c>
      <c r="E202" t="n">
        <v>77.40000000000001</v>
      </c>
      <c r="F202" t="n">
        <v>69.8</v>
      </c>
      <c r="G202" t="n">
        <v/>
      </c>
      <c r="H202" t="n">
        <v/>
      </c>
      <c r="I202" t="n">
        <v/>
      </c>
      <c r="J202" t="n">
        <v/>
      </c>
      <c r="K202" t="n">
        <v/>
      </c>
      <c r="L202" t="n">
        <v/>
      </c>
      <c r="M202" t="n">
        <v/>
      </c>
    </row>
    <row r="203">
      <c r="A203" s="68"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8" t="n">
        <v>27607</v>
      </c>
      <c r="B204" t="n">
        <v/>
      </c>
      <c r="C204" t="n">
        <v/>
      </c>
      <c r="D204" t="n">
        <v>75.7</v>
      </c>
      <c r="E204" t="n">
        <v>83.5</v>
      </c>
      <c r="F204" t="n">
        <v>70.7</v>
      </c>
      <c r="G204" t="n">
        <v/>
      </c>
      <c r="H204" t="n">
        <v/>
      </c>
      <c r="I204" t="n">
        <v/>
      </c>
      <c r="J204" t="n">
        <v/>
      </c>
      <c r="K204" t="n">
        <v/>
      </c>
      <c r="L204" t="n">
        <v/>
      </c>
      <c r="M204" t="n">
        <v/>
      </c>
    </row>
    <row r="205">
      <c r="A205" s="68"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8" t="n">
        <v>27699</v>
      </c>
      <c r="B206" t="n">
        <v/>
      </c>
      <c r="C206" t="n">
        <v/>
      </c>
      <c r="D206" t="n">
        <v>75.59999999999999</v>
      </c>
      <c r="E206" t="n">
        <v>84.40000000000001</v>
      </c>
      <c r="F206" t="n">
        <v>69.90000000000001</v>
      </c>
      <c r="G206" t="n">
        <v/>
      </c>
      <c r="H206" t="n">
        <v/>
      </c>
      <c r="I206" t="n">
        <v/>
      </c>
      <c r="J206" t="n">
        <v/>
      </c>
      <c r="K206" t="n">
        <v/>
      </c>
      <c r="L206" t="n">
        <v/>
      </c>
      <c r="M206" t="n">
        <v/>
      </c>
    </row>
    <row r="207">
      <c r="A207" s="68"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8" t="n">
        <v>27791</v>
      </c>
      <c r="B208" t="n">
        <v/>
      </c>
      <c r="C208" t="n">
        <v/>
      </c>
      <c r="D208" t="n">
        <v>84.59999999999999</v>
      </c>
      <c r="E208" t="n">
        <v>89.90000000000001</v>
      </c>
      <c r="F208" t="n">
        <v>81.2</v>
      </c>
      <c r="G208" t="n">
        <v/>
      </c>
      <c r="H208" t="n">
        <v/>
      </c>
      <c r="I208" t="n">
        <v/>
      </c>
      <c r="J208" t="n">
        <v/>
      </c>
      <c r="K208" t="n">
        <v/>
      </c>
      <c r="L208" t="n">
        <v/>
      </c>
      <c r="M208" t="n">
        <v/>
      </c>
    </row>
    <row r="209">
      <c r="A209" s="68"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8" t="n">
        <v>27881</v>
      </c>
      <c r="B210" t="n">
        <v/>
      </c>
      <c r="C210" t="n">
        <v/>
      </c>
      <c r="D210" t="n">
        <v>83.3</v>
      </c>
      <c r="E210" t="n">
        <v>89.09999999999999</v>
      </c>
      <c r="F210" t="n">
        <v>79.5</v>
      </c>
      <c r="G210" t="n">
        <v/>
      </c>
      <c r="H210" t="n">
        <v/>
      </c>
      <c r="I210" t="n">
        <v/>
      </c>
      <c r="J210" t="n">
        <v/>
      </c>
      <c r="K210" t="n">
        <v/>
      </c>
      <c r="L210" t="n">
        <v/>
      </c>
      <c r="M210" t="n">
        <v/>
      </c>
    </row>
    <row r="211">
      <c r="A211" s="68"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8" t="n">
        <v>27973</v>
      </c>
      <c r="B212" t="n">
        <v/>
      </c>
      <c r="C212" t="n">
        <v/>
      </c>
      <c r="D212" t="n">
        <v>89.7</v>
      </c>
      <c r="E212" t="n">
        <v>96.2</v>
      </c>
      <c r="F212" t="n">
        <v>85.5</v>
      </c>
      <c r="G212" t="n">
        <v/>
      </c>
      <c r="H212" t="n">
        <v/>
      </c>
      <c r="I212" t="n">
        <v/>
      </c>
      <c r="J212" t="n">
        <v/>
      </c>
      <c r="K212" t="n">
        <v/>
      </c>
      <c r="L212" t="n">
        <v/>
      </c>
      <c r="M212" t="n">
        <v/>
      </c>
    </row>
    <row r="213">
      <c r="A213" s="68"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8" t="n">
        <v>28065</v>
      </c>
      <c r="B214" t="n">
        <v/>
      </c>
      <c r="C214" t="n">
        <v/>
      </c>
      <c r="D214" t="n">
        <v>87</v>
      </c>
      <c r="E214" t="n">
        <v>88.7</v>
      </c>
      <c r="F214" t="n">
        <v>85.90000000000001</v>
      </c>
      <c r="G214" t="n">
        <v/>
      </c>
      <c r="H214" t="n">
        <v/>
      </c>
      <c r="I214" t="n">
        <v/>
      </c>
      <c r="J214" t="n">
        <v/>
      </c>
      <c r="K214" t="n">
        <v/>
      </c>
      <c r="L214" t="n">
        <v/>
      </c>
      <c r="M214" t="n">
        <v/>
      </c>
    </row>
    <row r="215">
      <c r="A215" s="68"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8" t="n">
        <v>28157</v>
      </c>
      <c r="B216" t="n">
        <v/>
      </c>
      <c r="C216" t="n">
        <v/>
      </c>
      <c r="D216" t="n">
        <v>87.09999999999999</v>
      </c>
      <c r="E216" t="n">
        <v>91.59999999999999</v>
      </c>
      <c r="F216" t="n">
        <v>84.2</v>
      </c>
      <c r="G216" t="n">
        <v/>
      </c>
      <c r="H216" t="n">
        <v/>
      </c>
      <c r="I216" t="n">
        <v/>
      </c>
      <c r="J216" t="n">
        <v/>
      </c>
      <c r="K216" t="n">
        <v/>
      </c>
      <c r="L216" t="n">
        <v/>
      </c>
      <c r="M216" t="n">
        <v/>
      </c>
    </row>
    <row r="217">
      <c r="A217" s="68"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8" t="n">
        <v>28246</v>
      </c>
      <c r="B218" t="n">
        <v/>
      </c>
      <c r="C218" t="n">
        <v/>
      </c>
      <c r="D218" t="n">
        <v>90.2</v>
      </c>
      <c r="E218" t="n">
        <v>100.4</v>
      </c>
      <c r="F218" t="n">
        <v>83.59999999999999</v>
      </c>
      <c r="G218" t="n">
        <v/>
      </c>
      <c r="H218" t="n">
        <v/>
      </c>
      <c r="I218" t="n">
        <v/>
      </c>
      <c r="J218" t="n">
        <v/>
      </c>
      <c r="K218" t="n">
        <v/>
      </c>
      <c r="L218" t="n">
        <v/>
      </c>
      <c r="M218" t="n">
        <v/>
      </c>
    </row>
    <row r="219">
      <c r="A219" s="68"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8" t="n">
        <v>28338</v>
      </c>
      <c r="B220" t="n">
        <v/>
      </c>
      <c r="C220" t="n">
        <v/>
      </c>
      <c r="D220" t="n">
        <v>89</v>
      </c>
      <c r="E220" t="n">
        <v>100.8</v>
      </c>
      <c r="F220" t="n">
        <v>81.5</v>
      </c>
      <c r="G220" t="n">
        <v/>
      </c>
      <c r="H220" t="n">
        <v/>
      </c>
      <c r="I220" t="n">
        <v/>
      </c>
      <c r="J220" t="n">
        <v/>
      </c>
      <c r="K220" t="n">
        <v/>
      </c>
      <c r="L220" t="n">
        <v/>
      </c>
      <c r="M220" t="n">
        <v/>
      </c>
    </row>
    <row r="221">
      <c r="A221" s="68"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8" t="n">
        <v>28430</v>
      </c>
      <c r="B222" t="n">
        <v/>
      </c>
      <c r="C222" t="n">
        <v/>
      </c>
      <c r="D222" t="n">
        <v>84.40000000000001</v>
      </c>
      <c r="E222" t="n">
        <v>97.59999999999999</v>
      </c>
      <c r="F222" t="n">
        <v>75.90000000000001</v>
      </c>
      <c r="G222" t="n">
        <v/>
      </c>
      <c r="H222" t="n">
        <v/>
      </c>
      <c r="I222" t="n">
        <v/>
      </c>
      <c r="J222" t="n">
        <v/>
      </c>
      <c r="K222" t="n">
        <v/>
      </c>
      <c r="L222" t="n">
        <v/>
      </c>
      <c r="M222" t="n">
        <v/>
      </c>
    </row>
    <row r="223">
      <c r="A223" s="68"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8" t="n">
        <v>28522</v>
      </c>
      <c r="B224" t="n">
        <v>55.5</v>
      </c>
      <c r="C224" t="n">
        <v/>
      </c>
      <c r="D224" t="n">
        <v>84.3</v>
      </c>
      <c r="E224" t="n">
        <v>95.40000000000001</v>
      </c>
      <c r="F224" t="n">
        <v>77.2</v>
      </c>
      <c r="G224" t="n">
        <v/>
      </c>
      <c r="H224" t="n">
        <v/>
      </c>
      <c r="I224" t="n">
        <v/>
      </c>
      <c r="J224" t="n">
        <v/>
      </c>
      <c r="K224" t="n">
        <v/>
      </c>
      <c r="L224" t="n">
        <v/>
      </c>
      <c r="M224" t="n">
        <v/>
      </c>
    </row>
    <row r="225">
      <c r="A225" s="68" t="n">
        <v>28550</v>
      </c>
      <c r="B225" t="n">
        <v>56</v>
      </c>
      <c r="C225" t="n">
        <v/>
      </c>
      <c r="D225" t="n">
        <v>78.8</v>
      </c>
      <c r="E225" t="n">
        <v>93.2</v>
      </c>
      <c r="F225" t="n">
        <v>69.5</v>
      </c>
      <c r="G225" t="n">
        <v/>
      </c>
      <c r="H225" t="n">
        <v/>
      </c>
      <c r="I225" t="n">
        <v/>
      </c>
      <c r="J225" t="n">
        <v/>
      </c>
      <c r="K225" t="n">
        <v/>
      </c>
      <c r="L225" t="n">
        <v/>
      </c>
      <c r="M225" t="n">
        <v/>
      </c>
    </row>
    <row r="226">
      <c r="A226" s="68"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8" t="n">
        <v>28611</v>
      </c>
      <c r="B227" t="n">
        <v>56.9</v>
      </c>
      <c r="C227" t="n">
        <v/>
      </c>
      <c r="D227" t="n">
        <v>82.90000000000001</v>
      </c>
      <c r="E227" t="n">
        <v>98.2</v>
      </c>
      <c r="F227" t="n">
        <v>73</v>
      </c>
      <c r="G227" t="n">
        <v/>
      </c>
      <c r="H227" t="n">
        <v/>
      </c>
      <c r="I227" t="n">
        <v/>
      </c>
      <c r="J227" t="n">
        <v/>
      </c>
      <c r="K227" t="n">
        <v/>
      </c>
      <c r="L227" t="n">
        <v/>
      </c>
      <c r="M227" t="n">
        <v/>
      </c>
    </row>
    <row r="228">
      <c r="A228" s="68" t="n">
        <v>28642</v>
      </c>
      <c r="B228" t="n">
        <v>57.1</v>
      </c>
      <c r="C228" t="n">
        <v/>
      </c>
      <c r="D228" t="n">
        <v>80</v>
      </c>
      <c r="E228" t="n">
        <v>98.40000000000001</v>
      </c>
      <c r="F228" t="n">
        <v>68.09999999999999</v>
      </c>
      <c r="G228" t="n">
        <v/>
      </c>
      <c r="H228" t="n">
        <v/>
      </c>
      <c r="I228" t="n">
        <v/>
      </c>
      <c r="J228" t="n">
        <v/>
      </c>
      <c r="K228" t="n">
        <v/>
      </c>
      <c r="L228" t="n">
        <v/>
      </c>
      <c r="M228" t="n">
        <v/>
      </c>
    </row>
    <row r="229">
      <c r="A229" s="68"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8" t="n">
        <v>28703</v>
      </c>
      <c r="B230" t="n">
        <v>57.4</v>
      </c>
      <c r="C230" t="n">
        <v/>
      </c>
      <c r="D230" t="n">
        <v>78.40000000000001</v>
      </c>
      <c r="E230" t="n">
        <v>96.09999999999999</v>
      </c>
      <c r="F230" t="n">
        <v>67</v>
      </c>
      <c r="G230" t="n">
        <v/>
      </c>
      <c r="H230" t="n">
        <v/>
      </c>
      <c r="I230" t="n">
        <v/>
      </c>
      <c r="J230" t="n">
        <v/>
      </c>
      <c r="K230" t="n">
        <v/>
      </c>
      <c r="L230" t="n">
        <v/>
      </c>
      <c r="M230" t="n">
        <v/>
      </c>
    </row>
    <row r="231">
      <c r="A231" s="68" t="n">
        <v>28734</v>
      </c>
      <c r="B231" t="n">
        <v>57.6</v>
      </c>
      <c r="C231" t="n">
        <v/>
      </c>
      <c r="D231" t="n">
        <v>80.40000000000001</v>
      </c>
      <c r="E231" t="n">
        <v>96.90000000000001</v>
      </c>
      <c r="F231" t="n">
        <v>69.8</v>
      </c>
      <c r="G231" t="n">
        <v/>
      </c>
      <c r="H231" t="n">
        <v/>
      </c>
      <c r="I231" t="n">
        <v/>
      </c>
      <c r="J231" t="n">
        <v/>
      </c>
      <c r="K231" t="n">
        <v/>
      </c>
      <c r="L231" t="n">
        <v/>
      </c>
      <c r="M231" t="n">
        <v/>
      </c>
    </row>
    <row r="232">
      <c r="A232" s="68"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8" t="n">
        <v>28795</v>
      </c>
      <c r="B233" t="n">
        <v>57.3</v>
      </c>
      <c r="C233" t="n">
        <v/>
      </c>
      <c r="D233" t="n">
        <v>75</v>
      </c>
      <c r="E233" t="n">
        <v>94.09999999999999</v>
      </c>
      <c r="F233" t="n">
        <v>62.8</v>
      </c>
      <c r="G233" t="n">
        <v/>
      </c>
      <c r="H233" t="n">
        <v/>
      </c>
      <c r="I233" t="n">
        <v/>
      </c>
      <c r="J233" t="n">
        <v/>
      </c>
      <c r="K233" t="n">
        <v/>
      </c>
      <c r="L233" t="n">
        <v/>
      </c>
      <c r="M233" t="n">
        <v/>
      </c>
    </row>
    <row r="234">
      <c r="A234" s="68" t="n">
        <v>28825</v>
      </c>
      <c r="B234" t="n">
        <v>57.3</v>
      </c>
      <c r="C234" t="n">
        <v/>
      </c>
      <c r="D234" t="n">
        <v>66.09999999999999</v>
      </c>
      <c r="E234" t="n">
        <v>85.2</v>
      </c>
      <c r="F234" t="n">
        <v>53.8</v>
      </c>
      <c r="G234" t="n">
        <v/>
      </c>
      <c r="H234" t="n">
        <v/>
      </c>
      <c r="I234" t="n">
        <v/>
      </c>
      <c r="J234" t="n">
        <v/>
      </c>
      <c r="K234" t="n">
        <v/>
      </c>
      <c r="L234" t="n">
        <v/>
      </c>
      <c r="M234" t="n">
        <v/>
      </c>
    </row>
    <row r="235">
      <c r="A235" s="68"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8" t="n">
        <v>28887</v>
      </c>
      <c r="B236" t="n">
        <v>56.9</v>
      </c>
      <c r="C236" t="n">
        <v/>
      </c>
      <c r="D236" t="n">
        <v>73.90000000000001</v>
      </c>
      <c r="E236" t="n">
        <v>92.2</v>
      </c>
      <c r="F236" t="n">
        <v>62.2</v>
      </c>
      <c r="G236" t="n">
        <v/>
      </c>
      <c r="H236" t="n">
        <v/>
      </c>
      <c r="I236" t="n">
        <v/>
      </c>
      <c r="J236" t="n">
        <v/>
      </c>
      <c r="K236" t="n">
        <v/>
      </c>
      <c r="L236" t="n">
        <v/>
      </c>
      <c r="M236" t="n">
        <v/>
      </c>
    </row>
    <row r="237">
      <c r="A237" s="68" t="n">
        <v>28915</v>
      </c>
      <c r="B237" t="n">
        <v>57.4</v>
      </c>
      <c r="C237" t="n">
        <v/>
      </c>
      <c r="D237" t="n">
        <v>68.40000000000001</v>
      </c>
      <c r="E237" t="n">
        <v>91.2</v>
      </c>
      <c r="F237" t="n">
        <v>53.7</v>
      </c>
      <c r="G237" t="n">
        <v/>
      </c>
      <c r="H237" t="n">
        <v/>
      </c>
      <c r="I237" t="n">
        <v/>
      </c>
      <c r="J237" t="n">
        <v/>
      </c>
      <c r="K237" t="n">
        <v/>
      </c>
      <c r="L237" t="n">
        <v/>
      </c>
      <c r="M237" t="n">
        <v/>
      </c>
    </row>
    <row r="238">
      <c r="A238" s="68"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8" t="n">
        <v>28976</v>
      </c>
      <c r="B239" t="n">
        <v>56.7</v>
      </c>
      <c r="C239" t="n">
        <v/>
      </c>
      <c r="D239" t="n">
        <v>68.09999999999999</v>
      </c>
      <c r="E239" t="n">
        <v>88.7</v>
      </c>
      <c r="F239" t="n">
        <v>54.9</v>
      </c>
      <c r="G239" t="n">
        <v/>
      </c>
      <c r="H239" t="n">
        <v/>
      </c>
      <c r="I239" t="n">
        <v/>
      </c>
      <c r="J239" t="n">
        <v/>
      </c>
      <c r="K239" t="n">
        <v/>
      </c>
      <c r="L239" t="n">
        <v/>
      </c>
      <c r="M239" t="n">
        <v/>
      </c>
    </row>
    <row r="240">
      <c r="A240" s="68" t="n">
        <v>29007</v>
      </c>
      <c r="B240" t="n">
        <v>56.4</v>
      </c>
      <c r="C240" t="n">
        <v/>
      </c>
      <c r="D240" t="n">
        <v>65.8</v>
      </c>
      <c r="E240" t="n">
        <v>88.2</v>
      </c>
      <c r="F240" t="n">
        <v>51.4</v>
      </c>
      <c r="G240" t="n">
        <v/>
      </c>
      <c r="H240" t="n">
        <v/>
      </c>
      <c r="I240" t="n">
        <v/>
      </c>
      <c r="J240" t="n">
        <v/>
      </c>
      <c r="K240" t="n">
        <v/>
      </c>
      <c r="L240" t="n">
        <v/>
      </c>
      <c r="M240" t="n">
        <v/>
      </c>
    </row>
    <row r="241">
      <c r="A241" s="68"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8" t="n">
        <v>29068</v>
      </c>
      <c r="B242" t="n">
        <v>55.7</v>
      </c>
      <c r="C242" t="n">
        <v/>
      </c>
      <c r="D242" t="n">
        <v>64.5</v>
      </c>
      <c r="E242" t="n">
        <v>88.2</v>
      </c>
      <c r="F242" t="n">
        <v>49.3</v>
      </c>
      <c r="G242" t="n">
        <v/>
      </c>
      <c r="H242" t="n">
        <v/>
      </c>
      <c r="I242" t="n">
        <v/>
      </c>
      <c r="J242" t="n">
        <v/>
      </c>
      <c r="K242" t="n">
        <v/>
      </c>
      <c r="L242" t="n">
        <v/>
      </c>
      <c r="M242" t="n">
        <v/>
      </c>
    </row>
    <row r="243">
      <c r="A243" s="68" t="n">
        <v>29099</v>
      </c>
      <c r="B243" t="n">
        <v>55.4</v>
      </c>
      <c r="C243" t="n">
        <v/>
      </c>
      <c r="D243" t="n">
        <v>66.7</v>
      </c>
      <c r="E243" t="n">
        <v>87.09999999999999</v>
      </c>
      <c r="F243" t="n">
        <v>53.6</v>
      </c>
      <c r="G243" t="n">
        <v/>
      </c>
      <c r="H243" t="n">
        <v/>
      </c>
      <c r="I243" t="n">
        <v/>
      </c>
      <c r="J243" t="n">
        <v/>
      </c>
      <c r="K243" t="n">
        <v/>
      </c>
      <c r="L243" t="n">
        <v/>
      </c>
      <c r="M243" t="n">
        <v/>
      </c>
    </row>
    <row r="244">
      <c r="A244" s="68"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8" t="n">
        <v>29160</v>
      </c>
      <c r="B245" t="n">
        <v>54.2</v>
      </c>
      <c r="C245" t="n">
        <v/>
      </c>
      <c r="D245" t="n">
        <v>63.3</v>
      </c>
      <c r="E245" t="n">
        <v>80.90000000000001</v>
      </c>
      <c r="F245" t="n">
        <v>52</v>
      </c>
      <c r="G245" t="n">
        <v/>
      </c>
      <c r="H245" t="n">
        <v/>
      </c>
      <c r="I245" t="n">
        <v/>
      </c>
      <c r="J245" t="n">
        <v/>
      </c>
      <c r="K245" t="n">
        <v/>
      </c>
      <c r="L245" t="n">
        <v/>
      </c>
      <c r="M245" t="n">
        <v/>
      </c>
    </row>
    <row r="246">
      <c r="A246" s="68" t="n">
        <v>29190</v>
      </c>
      <c r="B246" t="n">
        <v>53.8</v>
      </c>
      <c r="C246" t="n">
        <v/>
      </c>
      <c r="D246" t="n">
        <v>61</v>
      </c>
      <c r="E246" t="n">
        <v>75.8</v>
      </c>
      <c r="F246" t="n">
        <v>51.5</v>
      </c>
      <c r="G246" t="n">
        <v/>
      </c>
      <c r="H246" t="n">
        <v/>
      </c>
      <c r="I246" t="n">
        <v/>
      </c>
      <c r="J246" t="n">
        <v/>
      </c>
      <c r="K246" t="n">
        <v/>
      </c>
      <c r="L246" t="n">
        <v/>
      </c>
      <c r="M246" t="n">
        <v/>
      </c>
    </row>
    <row r="247">
      <c r="A247" s="68"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8" t="n">
        <v>29252</v>
      </c>
      <c r="B248" t="n">
        <v>53.5</v>
      </c>
      <c r="C248" t="n">
        <v/>
      </c>
      <c r="D248" t="n">
        <v>66.90000000000001</v>
      </c>
      <c r="E248" t="n">
        <v>85.5</v>
      </c>
      <c r="F248" t="n">
        <v>54.9</v>
      </c>
      <c r="G248" t="n">
        <v/>
      </c>
      <c r="H248" t="n">
        <v/>
      </c>
      <c r="I248" t="n">
        <v/>
      </c>
      <c r="J248" t="n">
        <v/>
      </c>
      <c r="K248" t="n">
        <v/>
      </c>
      <c r="L248" t="n">
        <v/>
      </c>
      <c r="M248" t="n">
        <v/>
      </c>
    </row>
    <row r="249">
      <c r="A249" s="68" t="n">
        <v>29281</v>
      </c>
      <c r="B249" t="n">
        <v>52.2</v>
      </c>
      <c r="C249" t="n">
        <v/>
      </c>
      <c r="D249" t="n">
        <v>56.5</v>
      </c>
      <c r="E249" t="n">
        <v>75.3</v>
      </c>
      <c r="F249" t="n">
        <v>44.3</v>
      </c>
      <c r="G249" t="n">
        <v/>
      </c>
      <c r="H249" t="n">
        <v/>
      </c>
      <c r="I249" t="n">
        <v/>
      </c>
      <c r="J249" t="n">
        <v/>
      </c>
      <c r="K249" t="n">
        <v/>
      </c>
      <c r="L249" t="n">
        <v/>
      </c>
      <c r="M249" t="n">
        <v/>
      </c>
    </row>
    <row r="250">
      <c r="A250" s="68"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8" t="n">
        <v>29342</v>
      </c>
      <c r="B251" t="n">
        <v>49.9</v>
      </c>
      <c r="C251" t="n">
        <v/>
      </c>
      <c r="D251" t="n">
        <v>51.7</v>
      </c>
      <c r="E251" t="n">
        <v>61.7</v>
      </c>
      <c r="F251" t="n">
        <v>45.3</v>
      </c>
      <c r="G251" t="n">
        <v/>
      </c>
      <c r="H251" t="n">
        <v/>
      </c>
      <c r="I251" t="n">
        <v/>
      </c>
      <c r="J251" t="n">
        <v/>
      </c>
      <c r="K251" t="n">
        <v/>
      </c>
      <c r="L251" t="n">
        <v/>
      </c>
      <c r="M251" t="n">
        <v/>
      </c>
    </row>
    <row r="252">
      <c r="A252" s="68" t="n">
        <v>29373</v>
      </c>
      <c r="B252" t="n">
        <v>50.2</v>
      </c>
      <c r="C252" t="n">
        <v/>
      </c>
      <c r="D252" t="n">
        <v>58.7</v>
      </c>
      <c r="E252" t="n">
        <v>67.40000000000001</v>
      </c>
      <c r="F252" t="n">
        <v>53</v>
      </c>
      <c r="G252" t="n">
        <v/>
      </c>
      <c r="H252" t="n">
        <v/>
      </c>
      <c r="I252" t="n">
        <v/>
      </c>
      <c r="J252" t="n">
        <v/>
      </c>
      <c r="K252" t="n">
        <v/>
      </c>
      <c r="L252" t="n">
        <v/>
      </c>
      <c r="M252" t="n">
        <v/>
      </c>
    </row>
    <row r="253">
      <c r="A253" s="68"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8" t="n">
        <v>29434</v>
      </c>
      <c r="B254" t="n">
        <v>50.9</v>
      </c>
      <c r="C254" t="n">
        <v/>
      </c>
      <c r="D254" t="n">
        <v>67.3</v>
      </c>
      <c r="E254" t="n">
        <v>79.40000000000001</v>
      </c>
      <c r="F254" t="n">
        <v>59.6</v>
      </c>
      <c r="G254" t="n">
        <v/>
      </c>
      <c r="H254" t="n">
        <v/>
      </c>
      <c r="I254" t="n">
        <v/>
      </c>
      <c r="J254" t="n">
        <v/>
      </c>
      <c r="K254" t="n">
        <v/>
      </c>
      <c r="L254" t="n">
        <v/>
      </c>
      <c r="M254" t="n">
        <v/>
      </c>
    </row>
    <row r="255">
      <c r="A255" s="68" t="n">
        <v>29465</v>
      </c>
      <c r="B255" t="n">
        <v>51.4</v>
      </c>
      <c r="C255" t="n">
        <v/>
      </c>
      <c r="D255" t="n">
        <v>73.7</v>
      </c>
      <c r="E255" t="n">
        <v>82.7</v>
      </c>
      <c r="F255" t="n">
        <v>67.90000000000001</v>
      </c>
      <c r="G255" t="n">
        <v/>
      </c>
      <c r="H255" t="n">
        <v/>
      </c>
      <c r="I255" t="n">
        <v/>
      </c>
      <c r="J255" t="n">
        <v/>
      </c>
      <c r="K255" t="n">
        <v/>
      </c>
      <c r="L255" t="n">
        <v/>
      </c>
      <c r="M255" t="n">
        <v/>
      </c>
    </row>
    <row r="256">
      <c r="A256" s="68"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8" t="n">
        <v>29526</v>
      </c>
      <c r="B257" t="n">
        <v>51.8</v>
      </c>
      <c r="C257" t="n">
        <v/>
      </c>
      <c r="D257" t="n">
        <v>76.7</v>
      </c>
      <c r="E257" t="n">
        <v>76.40000000000001</v>
      </c>
      <c r="F257" t="n">
        <v>76.90000000000001</v>
      </c>
      <c r="G257" t="n">
        <v/>
      </c>
      <c r="H257" t="n">
        <v/>
      </c>
      <c r="I257" t="n">
        <v/>
      </c>
      <c r="J257" t="n">
        <v/>
      </c>
      <c r="K257" t="n">
        <v/>
      </c>
      <c r="L257" t="n">
        <v/>
      </c>
      <c r="M257" t="n">
        <v/>
      </c>
    </row>
    <row r="258">
      <c r="A258" s="68" t="n">
        <v>29556</v>
      </c>
      <c r="B258" t="n">
        <v>51.5</v>
      </c>
      <c r="C258" t="n">
        <v/>
      </c>
      <c r="D258" t="n">
        <v>64.5</v>
      </c>
      <c r="E258" t="n">
        <v>70.90000000000001</v>
      </c>
      <c r="F258" t="n">
        <v>60.4</v>
      </c>
      <c r="G258" t="n">
        <v/>
      </c>
      <c r="H258" t="n">
        <v/>
      </c>
      <c r="I258" t="n">
        <v/>
      </c>
      <c r="J258" t="n">
        <v/>
      </c>
      <c r="K258" t="n">
        <v/>
      </c>
      <c r="L258" t="n">
        <v/>
      </c>
      <c r="M258" t="n">
        <v/>
      </c>
    </row>
    <row r="259">
      <c r="A259" s="68"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8" t="n">
        <v>29618</v>
      </c>
      <c r="B260" t="n">
        <v>50.5</v>
      </c>
      <c r="C260" t="n">
        <v/>
      </c>
      <c r="D260" t="n">
        <v>66.90000000000001</v>
      </c>
      <c r="E260" t="n">
        <v>74.40000000000001</v>
      </c>
      <c r="F260" t="n">
        <v>62.1</v>
      </c>
      <c r="G260" t="n">
        <v/>
      </c>
      <c r="H260" t="n">
        <v/>
      </c>
      <c r="I260" t="n">
        <v/>
      </c>
      <c r="J260" t="n">
        <v/>
      </c>
      <c r="K260" t="n">
        <v/>
      </c>
      <c r="L260" t="n">
        <v/>
      </c>
      <c r="M260" t="n">
        <v/>
      </c>
    </row>
    <row r="261">
      <c r="A261" s="68" t="n">
        <v>29646</v>
      </c>
      <c r="B261" t="n">
        <v>50.7</v>
      </c>
      <c r="C261" t="n">
        <v/>
      </c>
      <c r="D261" t="n">
        <v>66.5</v>
      </c>
      <c r="E261" t="n">
        <v>73.5</v>
      </c>
      <c r="F261" t="n">
        <v>62.1</v>
      </c>
      <c r="G261" t="n">
        <v/>
      </c>
      <c r="H261" t="n">
        <v/>
      </c>
      <c r="I261" t="n">
        <v/>
      </c>
      <c r="J261" t="n">
        <v/>
      </c>
      <c r="K261" t="n">
        <v/>
      </c>
      <c r="L261" t="n">
        <v/>
      </c>
      <c r="M261" t="n">
        <v/>
      </c>
    </row>
    <row r="262">
      <c r="A262" s="68"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8" t="n">
        <v>29707</v>
      </c>
      <c r="B263" t="n">
        <v>50.6</v>
      </c>
      <c r="C263" t="n">
        <v/>
      </c>
      <c r="D263" t="n">
        <v>76.3</v>
      </c>
      <c r="E263" t="n">
        <v>80.40000000000001</v>
      </c>
      <c r="F263" t="n">
        <v>73.59999999999999</v>
      </c>
      <c r="G263" t="n">
        <v/>
      </c>
      <c r="H263" t="n">
        <v/>
      </c>
      <c r="I263" t="n">
        <v/>
      </c>
      <c r="J263" t="n">
        <v/>
      </c>
      <c r="K263" t="n">
        <v/>
      </c>
      <c r="L263" t="n">
        <v/>
      </c>
      <c r="M263" t="n">
        <v/>
      </c>
    </row>
    <row r="264">
      <c r="A264" s="68" t="n">
        <v>29738</v>
      </c>
      <c r="B264" t="n">
        <v>50.2</v>
      </c>
      <c r="C264" t="n">
        <v/>
      </c>
      <c r="D264" t="n">
        <v>73.09999999999999</v>
      </c>
      <c r="E264" t="n">
        <v>76.09999999999999</v>
      </c>
      <c r="F264" t="n">
        <v>71.2</v>
      </c>
      <c r="G264" t="n">
        <v/>
      </c>
      <c r="H264" t="n">
        <v/>
      </c>
      <c r="I264" t="n">
        <v/>
      </c>
      <c r="J264" t="n">
        <v/>
      </c>
      <c r="K264" t="n">
        <v/>
      </c>
      <c r="L264" t="n">
        <v/>
      </c>
      <c r="M264" t="n">
        <v/>
      </c>
    </row>
    <row r="265">
      <c r="A265" s="68"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8" t="n">
        <v>29799</v>
      </c>
      <c r="B266" t="n">
        <v>49.6</v>
      </c>
      <c r="C266" t="n">
        <v/>
      </c>
      <c r="D266" t="n">
        <v>77.2</v>
      </c>
      <c r="E266" t="n">
        <v>87.09999999999999</v>
      </c>
      <c r="F266" t="n">
        <v>70.8</v>
      </c>
      <c r="G266" t="n">
        <v/>
      </c>
      <c r="H266" t="n">
        <v/>
      </c>
      <c r="I266" t="n">
        <v/>
      </c>
      <c r="J266" t="n">
        <v/>
      </c>
      <c r="K266" t="n">
        <v/>
      </c>
      <c r="L266" t="n">
        <v/>
      </c>
      <c r="M266" t="n">
        <v/>
      </c>
    </row>
    <row r="267">
      <c r="A267" s="68" t="n">
        <v>29830</v>
      </c>
      <c r="B267" t="n">
        <v>48.9</v>
      </c>
      <c r="C267" t="n">
        <v/>
      </c>
      <c r="D267" t="n">
        <v>73.09999999999999</v>
      </c>
      <c r="E267" t="n">
        <v>79.5</v>
      </c>
      <c r="F267" t="n">
        <v>69</v>
      </c>
      <c r="G267" t="n">
        <v/>
      </c>
      <c r="H267" t="n">
        <v/>
      </c>
      <c r="I267" t="n">
        <v/>
      </c>
      <c r="J267" t="n">
        <v/>
      </c>
      <c r="K267" t="n">
        <v/>
      </c>
      <c r="L267" t="n">
        <v/>
      </c>
      <c r="M267" t="n">
        <v/>
      </c>
    </row>
    <row r="268">
      <c r="A268" s="68"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8" t="n">
        <v>29891</v>
      </c>
      <c r="B269" t="n">
        <v>48.4</v>
      </c>
      <c r="C269" t="n">
        <v/>
      </c>
      <c r="D269" t="n">
        <v>62.5</v>
      </c>
      <c r="E269" t="n">
        <v>72.09999999999999</v>
      </c>
      <c r="F269" t="n">
        <v>56.3</v>
      </c>
      <c r="G269" t="n">
        <v/>
      </c>
      <c r="H269" t="n">
        <v/>
      </c>
      <c r="I269" t="n">
        <v/>
      </c>
      <c r="J269" t="n">
        <v/>
      </c>
      <c r="K269" t="n">
        <v/>
      </c>
      <c r="L269" t="n">
        <v/>
      </c>
      <c r="M269" t="n">
        <v/>
      </c>
    </row>
    <row r="270">
      <c r="A270" s="68" t="n">
        <v>29921</v>
      </c>
      <c r="B270" t="n">
        <v>48.3</v>
      </c>
      <c r="C270" t="n">
        <v/>
      </c>
      <c r="D270" t="n">
        <v>64.3</v>
      </c>
      <c r="E270" t="n">
        <v>75.90000000000001</v>
      </c>
      <c r="F270" t="n">
        <v>56.8</v>
      </c>
      <c r="G270" t="n">
        <v/>
      </c>
      <c r="H270" t="n">
        <v/>
      </c>
      <c r="I270" t="n">
        <v/>
      </c>
      <c r="J270" t="n">
        <v/>
      </c>
      <c r="K270" t="n">
        <v/>
      </c>
      <c r="L270" t="n">
        <v/>
      </c>
      <c r="M270" t="n">
        <v/>
      </c>
    </row>
    <row r="271">
      <c r="A271" s="68"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8" t="n">
        <v>29983</v>
      </c>
      <c r="B272" t="n">
        <v>48</v>
      </c>
      <c r="C272" t="n">
        <v/>
      </c>
      <c r="D272" t="n">
        <v>66.5</v>
      </c>
      <c r="E272" t="n">
        <v>78.59999999999999</v>
      </c>
      <c r="F272" t="n">
        <v>58.7</v>
      </c>
      <c r="G272" t="n">
        <v/>
      </c>
      <c r="H272" t="n">
        <v/>
      </c>
      <c r="I272" t="n">
        <v/>
      </c>
      <c r="J272" t="n">
        <v/>
      </c>
      <c r="K272" t="n">
        <v/>
      </c>
      <c r="L272" t="n">
        <v/>
      </c>
      <c r="M272" t="n">
        <v/>
      </c>
    </row>
    <row r="273">
      <c r="A273" s="68" t="n">
        <v>30011</v>
      </c>
      <c r="B273" t="n">
        <v>47.8</v>
      </c>
      <c r="C273" t="n">
        <v/>
      </c>
      <c r="D273" t="n">
        <v>62</v>
      </c>
      <c r="E273" t="n">
        <v>75.90000000000001</v>
      </c>
      <c r="F273" t="n">
        <v>53.1</v>
      </c>
      <c r="G273" t="n">
        <v/>
      </c>
      <c r="H273" t="n">
        <v/>
      </c>
      <c r="I273" t="n">
        <v/>
      </c>
      <c r="J273" t="n">
        <v/>
      </c>
      <c r="K273" t="n">
        <v/>
      </c>
      <c r="L273" t="n">
        <v/>
      </c>
      <c r="M273" t="n">
        <v/>
      </c>
    </row>
    <row r="274">
      <c r="A274" s="68"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8" t="n">
        <v>30072</v>
      </c>
      <c r="B275" t="n">
        <v>47.5</v>
      </c>
      <c r="C275" t="n">
        <v/>
      </c>
      <c r="D275" t="n">
        <v>67.5</v>
      </c>
      <c r="E275" t="n">
        <v>76.09999999999999</v>
      </c>
      <c r="F275" t="n">
        <v>62</v>
      </c>
      <c r="G275" t="n">
        <v/>
      </c>
      <c r="H275" t="n">
        <v/>
      </c>
      <c r="I275" t="n">
        <v/>
      </c>
      <c r="J275" t="n">
        <v/>
      </c>
      <c r="K275" t="n">
        <v/>
      </c>
      <c r="L275" t="n">
        <v/>
      </c>
      <c r="M275" t="n">
        <v/>
      </c>
    </row>
    <row r="276">
      <c r="A276" s="68" t="n">
        <v>30103</v>
      </c>
      <c r="B276" t="n">
        <v>47.2</v>
      </c>
      <c r="C276" t="n">
        <v/>
      </c>
      <c r="D276" t="n">
        <v>65.7</v>
      </c>
      <c r="E276" t="n">
        <v>74.3</v>
      </c>
      <c r="F276" t="n">
        <v>60.1</v>
      </c>
      <c r="G276" t="n">
        <v/>
      </c>
      <c r="H276" t="n">
        <v/>
      </c>
      <c r="I276" t="n">
        <v/>
      </c>
      <c r="J276" t="n">
        <v/>
      </c>
      <c r="K276" t="n">
        <v/>
      </c>
      <c r="L276" t="n">
        <v/>
      </c>
      <c r="M276" t="n">
        <v/>
      </c>
    </row>
    <row r="277">
      <c r="A277" s="68"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8" t="n">
        <v>30164</v>
      </c>
      <c r="B278" t="n">
        <v>46.9</v>
      </c>
      <c r="C278" t="n">
        <v/>
      </c>
      <c r="D278" t="n">
        <v>65.40000000000001</v>
      </c>
      <c r="E278" t="n">
        <v>72.5</v>
      </c>
      <c r="F278" t="n">
        <v>60.9</v>
      </c>
      <c r="G278" t="n">
        <v/>
      </c>
      <c r="H278" t="n">
        <v/>
      </c>
      <c r="I278" t="n">
        <v/>
      </c>
      <c r="J278" t="n">
        <v/>
      </c>
      <c r="K278" t="n">
        <v/>
      </c>
      <c r="L278" t="n">
        <v/>
      </c>
      <c r="M278" t="n">
        <v/>
      </c>
    </row>
    <row r="279">
      <c r="A279" s="68" t="n">
        <v>30195</v>
      </c>
      <c r="B279" t="n">
        <v>47.3</v>
      </c>
      <c r="C279" t="n">
        <v/>
      </c>
      <c r="D279" t="n">
        <v>69.3</v>
      </c>
      <c r="E279" t="n">
        <v>72.90000000000001</v>
      </c>
      <c r="F279" t="n">
        <v>66.90000000000001</v>
      </c>
      <c r="G279" t="n">
        <v/>
      </c>
      <c r="H279" t="n">
        <v/>
      </c>
      <c r="I279" t="n">
        <v/>
      </c>
      <c r="J279" t="n">
        <v/>
      </c>
      <c r="K279" t="n">
        <v/>
      </c>
      <c r="L279" t="n">
        <v/>
      </c>
      <c r="M279" t="n">
        <v/>
      </c>
    </row>
    <row r="280">
      <c r="A280" s="68"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8" t="n">
        <v>30256</v>
      </c>
      <c r="B281" t="n">
        <v>47.6</v>
      </c>
      <c r="C281" t="n">
        <v/>
      </c>
      <c r="D281" t="n">
        <v>72.09999999999999</v>
      </c>
      <c r="E281" t="n">
        <v>73.8</v>
      </c>
      <c r="F281" t="n">
        <v>71</v>
      </c>
      <c r="G281" t="n">
        <v/>
      </c>
      <c r="H281" t="n">
        <v/>
      </c>
      <c r="I281" t="n">
        <v/>
      </c>
      <c r="J281" t="n">
        <v/>
      </c>
      <c r="K281" t="n">
        <v/>
      </c>
      <c r="L281" t="n">
        <v/>
      </c>
      <c r="M281" t="n">
        <v/>
      </c>
    </row>
    <row r="282">
      <c r="A282" s="68" t="n">
        <v>30286</v>
      </c>
      <c r="B282" t="n">
        <v>48</v>
      </c>
      <c r="C282" t="n">
        <v/>
      </c>
      <c r="D282" t="n">
        <v>71.90000000000001</v>
      </c>
      <c r="E282" t="n">
        <v>78.09999999999999</v>
      </c>
      <c r="F282" t="n">
        <v>67.90000000000001</v>
      </c>
      <c r="G282" t="n">
        <v/>
      </c>
      <c r="H282" t="n">
        <v/>
      </c>
      <c r="I282" t="n">
        <v/>
      </c>
      <c r="J282" t="n">
        <v/>
      </c>
      <c r="K282" t="n">
        <v/>
      </c>
      <c r="L282" t="n">
        <v/>
      </c>
      <c r="M282" t="n">
        <v/>
      </c>
    </row>
    <row r="283">
      <c r="A283" s="68"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8" t="n">
        <v>30348</v>
      </c>
      <c r="B284" t="n">
        <v>49.4</v>
      </c>
      <c r="C284" t="n">
        <v/>
      </c>
      <c r="D284" t="n">
        <v>74.59999999999999</v>
      </c>
      <c r="E284" t="n">
        <v>79.90000000000001</v>
      </c>
      <c r="F284" t="n">
        <v>71.2</v>
      </c>
      <c r="G284" t="n">
        <v/>
      </c>
      <c r="H284" t="n">
        <v/>
      </c>
      <c r="I284" t="n">
        <v/>
      </c>
      <c r="J284" t="n">
        <v/>
      </c>
      <c r="K284" t="n">
        <v/>
      </c>
      <c r="L284" t="n">
        <v/>
      </c>
      <c r="M284" t="n">
        <v/>
      </c>
    </row>
    <row r="285">
      <c r="A285" s="68" t="n">
        <v>30376</v>
      </c>
      <c r="B285" t="n">
        <v>50.1</v>
      </c>
      <c r="C285" t="n">
        <v/>
      </c>
      <c r="D285" t="n">
        <v>80.8</v>
      </c>
      <c r="E285" t="n">
        <v>80.5</v>
      </c>
      <c r="F285" t="n">
        <v>80.90000000000001</v>
      </c>
      <c r="G285" t="n">
        <v/>
      </c>
      <c r="H285" t="n">
        <v/>
      </c>
      <c r="I285" t="n">
        <v/>
      </c>
      <c r="J285" t="n">
        <v/>
      </c>
      <c r="K285" t="n">
        <v/>
      </c>
      <c r="L285" t="n">
        <v/>
      </c>
      <c r="M285" t="n">
        <v/>
      </c>
    </row>
    <row r="286">
      <c r="A286" s="68"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8" t="n">
        <v>30437</v>
      </c>
      <c r="B287" t="n">
        <v>51.2</v>
      </c>
      <c r="C287" t="n">
        <v/>
      </c>
      <c r="D287" t="n">
        <v>93.3</v>
      </c>
      <c r="E287" t="n">
        <v>93.09999999999999</v>
      </c>
      <c r="F287" t="n">
        <v>93.40000000000001</v>
      </c>
      <c r="G287" t="n">
        <v/>
      </c>
      <c r="H287" t="n">
        <v/>
      </c>
      <c r="I287" t="n">
        <v/>
      </c>
      <c r="J287" t="n">
        <v/>
      </c>
      <c r="K287" t="n">
        <v/>
      </c>
      <c r="L287" t="n">
        <v/>
      </c>
      <c r="M287" t="n">
        <v/>
      </c>
    </row>
    <row r="288">
      <c r="A288" s="68" t="n">
        <v>30468</v>
      </c>
      <c r="B288" t="n">
        <v>51.9</v>
      </c>
      <c r="C288" t="n">
        <v/>
      </c>
      <c r="D288" t="n">
        <v>92.2</v>
      </c>
      <c r="E288" t="n">
        <v>96.90000000000001</v>
      </c>
      <c r="F288" t="n">
        <v>89.2</v>
      </c>
      <c r="G288" t="n">
        <v/>
      </c>
      <c r="H288" t="n">
        <v/>
      </c>
      <c r="I288" t="n">
        <v/>
      </c>
      <c r="J288" t="n">
        <v/>
      </c>
      <c r="K288" t="n">
        <v/>
      </c>
      <c r="L288" t="n">
        <v/>
      </c>
      <c r="M288" t="n">
        <v/>
      </c>
    </row>
    <row r="289">
      <c r="A289" s="68"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8" t="n">
        <v>30529</v>
      </c>
      <c r="B290" t="n">
        <v>52.6</v>
      </c>
      <c r="C290" t="n">
        <v/>
      </c>
      <c r="D290" t="n">
        <v>90.90000000000001</v>
      </c>
      <c r="E290" t="n">
        <v>95.09999999999999</v>
      </c>
      <c r="F290" t="n">
        <v>88.2</v>
      </c>
      <c r="G290" t="n">
        <v/>
      </c>
      <c r="H290" t="n">
        <v/>
      </c>
      <c r="I290" t="n">
        <v/>
      </c>
      <c r="J290" t="n">
        <v/>
      </c>
      <c r="K290" t="n">
        <v/>
      </c>
      <c r="L290" t="n">
        <v/>
      </c>
      <c r="M290" t="n">
        <v/>
      </c>
    </row>
    <row r="291">
      <c r="A291" s="68" t="n">
        <v>30560</v>
      </c>
      <c r="B291" t="n">
        <v>53.2</v>
      </c>
      <c r="C291" t="n">
        <v/>
      </c>
      <c r="D291" t="n">
        <v>89.90000000000001</v>
      </c>
      <c r="E291" t="n">
        <v>96.40000000000001</v>
      </c>
      <c r="F291" t="n">
        <v>85.8</v>
      </c>
      <c r="G291" t="n">
        <v/>
      </c>
      <c r="H291" t="n">
        <v/>
      </c>
      <c r="I291" t="n">
        <v/>
      </c>
      <c r="J291" t="n">
        <v/>
      </c>
      <c r="K291" t="n">
        <v/>
      </c>
      <c r="L291" t="n">
        <v/>
      </c>
      <c r="M291" t="n">
        <v/>
      </c>
    </row>
    <row r="292">
      <c r="A292" s="68"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8" t="n">
        <v>30621</v>
      </c>
      <c r="B293" t="n">
        <v>54.3</v>
      </c>
      <c r="C293" t="n">
        <v/>
      </c>
      <c r="D293" t="n">
        <v>91.09999999999999</v>
      </c>
      <c r="E293" t="n">
        <v>96.09999999999999</v>
      </c>
      <c r="F293" t="n">
        <v>87.90000000000001</v>
      </c>
      <c r="G293" t="n">
        <v/>
      </c>
      <c r="H293" t="n">
        <v/>
      </c>
      <c r="I293" t="n">
        <v/>
      </c>
      <c r="J293" t="n">
        <v/>
      </c>
      <c r="K293" t="n">
        <v/>
      </c>
      <c r="L293" t="n">
        <v/>
      </c>
      <c r="M293" t="n">
        <v/>
      </c>
    </row>
    <row r="294">
      <c r="A294" s="68" t="n">
        <v>30651</v>
      </c>
      <c r="B294" t="n">
        <v>54.9</v>
      </c>
      <c r="C294" t="n">
        <v/>
      </c>
      <c r="D294" t="n">
        <v>94.2</v>
      </c>
      <c r="E294" t="n">
        <v>99.3</v>
      </c>
      <c r="F294" t="n">
        <v>91</v>
      </c>
      <c r="G294" t="n">
        <v/>
      </c>
      <c r="H294" t="n">
        <v/>
      </c>
      <c r="I294" t="n">
        <v/>
      </c>
      <c r="J294" t="n">
        <v/>
      </c>
      <c r="K294" t="n">
        <v/>
      </c>
      <c r="L294" t="n">
        <v/>
      </c>
      <c r="M294" t="n">
        <v/>
      </c>
    </row>
    <row r="295">
      <c r="A295" s="68"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8" t="n">
        <v>30713</v>
      </c>
      <c r="B296" t="n">
        <v>56</v>
      </c>
      <c r="C296" t="n">
        <v/>
      </c>
      <c r="D296" t="n">
        <v>97.40000000000001</v>
      </c>
      <c r="E296" t="n">
        <v>103.9</v>
      </c>
      <c r="F296" t="n">
        <v>93.2</v>
      </c>
      <c r="G296" t="n">
        <v/>
      </c>
      <c r="H296" t="n">
        <v/>
      </c>
      <c r="I296" t="n">
        <v/>
      </c>
      <c r="J296" t="n">
        <v/>
      </c>
      <c r="K296" t="n">
        <v/>
      </c>
      <c r="L296" t="n">
        <v/>
      </c>
      <c r="M296" t="n">
        <v/>
      </c>
    </row>
    <row r="297">
      <c r="A297" s="68" t="n">
        <v>30742</v>
      </c>
      <c r="B297" t="n">
        <v>56.1</v>
      </c>
      <c r="C297" t="n">
        <v/>
      </c>
      <c r="D297" t="n">
        <v>101</v>
      </c>
      <c r="E297" t="n">
        <v>106</v>
      </c>
      <c r="F297" t="n">
        <v>97.7</v>
      </c>
      <c r="G297" t="n">
        <v/>
      </c>
      <c r="H297" t="n">
        <v/>
      </c>
      <c r="I297" t="n">
        <v/>
      </c>
      <c r="J297" t="n">
        <v/>
      </c>
      <c r="K297" t="n">
        <v/>
      </c>
      <c r="L297" t="n">
        <v/>
      </c>
      <c r="M297" t="n">
        <v/>
      </c>
    </row>
    <row r="298">
      <c r="A298" s="68"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8" t="n">
        <v>30803</v>
      </c>
      <c r="B299" t="n">
        <v>56.8</v>
      </c>
      <c r="C299" t="n">
        <v/>
      </c>
      <c r="D299" t="n">
        <v>98.09999999999999</v>
      </c>
      <c r="E299" t="n">
        <v>109.8</v>
      </c>
      <c r="F299" t="n">
        <v>90.59999999999999</v>
      </c>
      <c r="G299" t="n">
        <v/>
      </c>
      <c r="H299" t="n">
        <v/>
      </c>
      <c r="I299" t="n">
        <v/>
      </c>
      <c r="J299" t="n">
        <v/>
      </c>
      <c r="K299" t="n">
        <v/>
      </c>
      <c r="L299" t="n">
        <v/>
      </c>
      <c r="M299" t="n">
        <v/>
      </c>
    </row>
    <row r="300">
      <c r="A300" s="68" t="n">
        <v>30834</v>
      </c>
      <c r="B300" t="n">
        <v>57</v>
      </c>
      <c r="C300" t="n">
        <v/>
      </c>
      <c r="D300" t="n">
        <v>95.5</v>
      </c>
      <c r="E300" t="n">
        <v>104.4</v>
      </c>
      <c r="F300" t="n">
        <v>89.8</v>
      </c>
      <c r="G300" t="n">
        <v/>
      </c>
      <c r="H300" t="n">
        <v/>
      </c>
      <c r="I300" t="n">
        <v/>
      </c>
      <c r="J300" t="n">
        <v/>
      </c>
      <c r="K300" t="n">
        <v/>
      </c>
      <c r="L300" t="n">
        <v/>
      </c>
      <c r="M300" t="n">
        <v/>
      </c>
    </row>
    <row r="301">
      <c r="A301" s="68"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8" t="n">
        <v>30895</v>
      </c>
      <c r="B302" t="n">
        <v>57.2</v>
      </c>
      <c r="C302" t="n">
        <v/>
      </c>
      <c r="D302" t="n">
        <v>99.09999999999999</v>
      </c>
      <c r="E302" t="n">
        <v>107.5</v>
      </c>
      <c r="F302" t="n">
        <v>93.7</v>
      </c>
      <c r="G302" t="n">
        <v/>
      </c>
      <c r="H302" t="n">
        <v/>
      </c>
      <c r="I302" t="n">
        <v/>
      </c>
      <c r="J302" t="n">
        <v/>
      </c>
      <c r="K302" t="n">
        <v/>
      </c>
      <c r="L302" t="n">
        <v/>
      </c>
      <c r="M302" t="n">
        <v/>
      </c>
    </row>
    <row r="303">
      <c r="A303" s="68" t="n">
        <v>30926</v>
      </c>
      <c r="B303" t="n">
        <v>57.2</v>
      </c>
      <c r="C303" t="n">
        <v/>
      </c>
      <c r="D303" t="n">
        <v>100.9</v>
      </c>
      <c r="E303" t="n">
        <v>107.8</v>
      </c>
      <c r="F303" t="n">
        <v>96.40000000000001</v>
      </c>
      <c r="G303" t="n">
        <v/>
      </c>
      <c r="H303" t="n">
        <v/>
      </c>
      <c r="I303" t="n">
        <v/>
      </c>
      <c r="J303" t="n">
        <v/>
      </c>
      <c r="K303" t="n">
        <v/>
      </c>
      <c r="L303" t="n">
        <v/>
      </c>
      <c r="M303" t="n">
        <v/>
      </c>
    </row>
    <row r="304">
      <c r="A304" s="68"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8" t="n">
        <v>30987</v>
      </c>
      <c r="B305" t="n">
        <v>57.7</v>
      </c>
      <c r="C305" t="n">
        <v/>
      </c>
      <c r="D305" t="n">
        <v>95.7</v>
      </c>
      <c r="E305" t="n">
        <v>102.4</v>
      </c>
      <c r="F305" t="n">
        <v>91.5</v>
      </c>
      <c r="G305" t="n">
        <v/>
      </c>
      <c r="H305" t="n">
        <v/>
      </c>
      <c r="I305" t="n">
        <v/>
      </c>
      <c r="J305" t="n">
        <v/>
      </c>
      <c r="K305" t="n">
        <v/>
      </c>
      <c r="L305" t="n">
        <v/>
      </c>
      <c r="M305" t="n">
        <v/>
      </c>
    </row>
    <row r="306">
      <c r="A306" s="68" t="n">
        <v>31017</v>
      </c>
      <c r="B306" t="n">
        <v>58.1</v>
      </c>
      <c r="C306" t="n">
        <v/>
      </c>
      <c r="D306" t="n">
        <v>92.90000000000001</v>
      </c>
      <c r="E306" t="n">
        <v>100.6</v>
      </c>
      <c r="F306" t="n">
        <v>87.90000000000001</v>
      </c>
      <c r="G306" t="n">
        <v/>
      </c>
      <c r="H306" t="n">
        <v/>
      </c>
      <c r="I306" t="n">
        <v/>
      </c>
      <c r="J306" t="n">
        <v/>
      </c>
      <c r="K306" t="n">
        <v/>
      </c>
      <c r="L306" t="n">
        <v/>
      </c>
      <c r="M306" t="n">
        <v/>
      </c>
    </row>
    <row r="307">
      <c r="A307" s="68"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8" t="n">
        <v>31079</v>
      </c>
      <c r="B308" t="n">
        <v>58.7</v>
      </c>
      <c r="C308" t="n">
        <v>181.1799926757812</v>
      </c>
      <c r="D308" t="n">
        <v>93.7</v>
      </c>
      <c r="E308" t="n">
        <v>105.1</v>
      </c>
      <c r="F308" t="n">
        <v>86.5</v>
      </c>
      <c r="G308" t="n">
        <v/>
      </c>
      <c r="H308" t="n">
        <v/>
      </c>
      <c r="I308" t="n">
        <v/>
      </c>
      <c r="J308" t="n">
        <v/>
      </c>
      <c r="K308" t="n">
        <v/>
      </c>
      <c r="L308" t="n">
        <v/>
      </c>
      <c r="M308" t="n">
        <v/>
      </c>
    </row>
    <row r="309">
      <c r="A309" s="68" t="n">
        <v>31107</v>
      </c>
      <c r="B309" t="n">
        <v>58.9</v>
      </c>
      <c r="C309" t="n">
        <v>180.6600036621094</v>
      </c>
      <c r="D309" t="n">
        <v>93.7</v>
      </c>
      <c r="E309" t="n">
        <v>103.7</v>
      </c>
      <c r="F309" t="n">
        <v>87.3</v>
      </c>
      <c r="G309" t="n">
        <v/>
      </c>
      <c r="H309" t="n">
        <v/>
      </c>
      <c r="I309" t="n">
        <v/>
      </c>
      <c r="J309" t="n">
        <v/>
      </c>
      <c r="K309" t="n">
        <v/>
      </c>
      <c r="L309" t="n">
        <v/>
      </c>
      <c r="M309" t="n">
        <v/>
      </c>
    </row>
    <row r="310">
      <c r="A310" s="68"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8" t="n">
        <v>31168</v>
      </c>
      <c r="B311" t="n">
        <v>59.2</v>
      </c>
      <c r="C311" t="n">
        <v>189.5500030517578</v>
      </c>
      <c r="D311" t="n">
        <v>91.8</v>
      </c>
      <c r="E311" t="n">
        <v>103.7</v>
      </c>
      <c r="F311" t="n">
        <v>84.2</v>
      </c>
      <c r="G311" t="n">
        <v/>
      </c>
      <c r="H311" t="n">
        <v/>
      </c>
      <c r="I311" t="n">
        <v/>
      </c>
      <c r="J311" t="n">
        <v/>
      </c>
      <c r="K311" t="n">
        <v/>
      </c>
      <c r="L311" t="n">
        <v/>
      </c>
      <c r="M311" t="n">
        <v/>
      </c>
    </row>
    <row r="312">
      <c r="A312" s="68" t="n">
        <v>31199</v>
      </c>
      <c r="B312" t="n">
        <v>59.6</v>
      </c>
      <c r="C312" t="n">
        <v>191.8500061035156</v>
      </c>
      <c r="D312" t="n">
        <v>96.5</v>
      </c>
      <c r="E312" t="n">
        <v>104.9</v>
      </c>
      <c r="F312" t="n">
        <v>91.09999999999999</v>
      </c>
      <c r="G312" t="n">
        <v/>
      </c>
      <c r="H312" t="n">
        <v/>
      </c>
      <c r="I312" t="n">
        <v/>
      </c>
      <c r="J312" t="n">
        <v/>
      </c>
      <c r="K312" t="n">
        <v/>
      </c>
      <c r="L312" t="n">
        <v/>
      </c>
      <c r="M312" t="n">
        <v/>
      </c>
    </row>
    <row r="313">
      <c r="A313" s="68"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8" t="n">
        <v>31260</v>
      </c>
      <c r="B314" t="n">
        <v>60</v>
      </c>
      <c r="C314" t="n">
        <v>188.6300048828125</v>
      </c>
      <c r="D314" t="n">
        <v>92.40000000000001</v>
      </c>
      <c r="E314" t="n">
        <v>101.8</v>
      </c>
      <c r="F314" t="n">
        <v>86.3</v>
      </c>
      <c r="G314" t="n">
        <v/>
      </c>
      <c r="H314" t="n">
        <v/>
      </c>
      <c r="I314" t="n">
        <v/>
      </c>
      <c r="J314" t="n">
        <v/>
      </c>
      <c r="K314" t="n">
        <v/>
      </c>
      <c r="L314" t="n">
        <v/>
      </c>
      <c r="M314" t="n">
        <v/>
      </c>
    </row>
    <row r="315">
      <c r="A315" s="68" t="n">
        <v>31291</v>
      </c>
      <c r="B315" t="n">
        <v>60.2</v>
      </c>
      <c r="C315" t="n">
        <v>182.0800018310547</v>
      </c>
      <c r="D315" t="n">
        <v>92.09999999999999</v>
      </c>
      <c r="E315" t="n">
        <v>104.3</v>
      </c>
      <c r="F315" t="n">
        <v>84.2</v>
      </c>
      <c r="G315" t="n">
        <v/>
      </c>
      <c r="H315" t="n">
        <v/>
      </c>
      <c r="I315" t="n">
        <v/>
      </c>
      <c r="J315" t="n">
        <v/>
      </c>
      <c r="K315" t="n">
        <v/>
      </c>
      <c r="L315" t="n">
        <v/>
      </c>
      <c r="M315" t="n">
        <v/>
      </c>
    </row>
    <row r="316">
      <c r="A316" s="68"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8" t="n">
        <v>31352</v>
      </c>
      <c r="B317" t="n">
        <v>60.5</v>
      </c>
      <c r="C317" t="n">
        <v>202.1699981689453</v>
      </c>
      <c r="D317" t="n">
        <v>90.90000000000001</v>
      </c>
      <c r="E317" t="n">
        <v>100.7</v>
      </c>
      <c r="F317" t="n">
        <v>84.5</v>
      </c>
      <c r="G317" t="n">
        <v/>
      </c>
      <c r="H317" t="n">
        <v/>
      </c>
      <c r="I317" t="n">
        <v/>
      </c>
      <c r="J317" t="n">
        <v/>
      </c>
      <c r="K317" t="n">
        <v/>
      </c>
      <c r="L317" t="n">
        <v/>
      </c>
      <c r="M317" t="n">
        <v/>
      </c>
    </row>
    <row r="318">
      <c r="A318" s="68" t="n">
        <v>31382</v>
      </c>
      <c r="B318" t="n">
        <v>60.8</v>
      </c>
      <c r="C318" t="n">
        <v>211.2799987792969</v>
      </c>
      <c r="D318" t="n">
        <v>93.90000000000001</v>
      </c>
      <c r="E318" t="n">
        <v>103.1</v>
      </c>
      <c r="F318" t="n">
        <v>88.09999999999999</v>
      </c>
      <c r="G318" t="n">
        <v/>
      </c>
      <c r="H318" t="n">
        <v/>
      </c>
      <c r="I318" t="n">
        <v/>
      </c>
      <c r="J318" t="n">
        <v/>
      </c>
      <c r="K318" t="n">
        <v/>
      </c>
      <c r="L318" t="n">
        <v/>
      </c>
      <c r="M318" t="n">
        <v/>
      </c>
    </row>
    <row r="319">
      <c r="A319" s="68"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8" t="n">
        <v>31444</v>
      </c>
      <c r="B320" t="n">
        <v>61.2</v>
      </c>
      <c r="C320" t="n">
        <v>226.9199981689453</v>
      </c>
      <c r="D320" t="n">
        <v>95.90000000000001</v>
      </c>
      <c r="E320" t="n">
        <v>108.4</v>
      </c>
      <c r="F320" t="n">
        <v>87.8</v>
      </c>
      <c r="G320" t="n">
        <v/>
      </c>
      <c r="H320" t="n">
        <v/>
      </c>
      <c r="I320" t="n">
        <v/>
      </c>
      <c r="J320" t="n">
        <v/>
      </c>
      <c r="K320" t="n">
        <v/>
      </c>
      <c r="L320" t="n">
        <v/>
      </c>
      <c r="M320" t="n">
        <v/>
      </c>
    </row>
    <row r="321">
      <c r="A321" s="68" t="n">
        <v>31472</v>
      </c>
      <c r="B321" t="n">
        <v>61.3</v>
      </c>
      <c r="C321" t="n">
        <v>238.8999938964844</v>
      </c>
      <c r="D321" t="n">
        <v>95.09999999999999</v>
      </c>
      <c r="E321" t="n">
        <v>107.9</v>
      </c>
      <c r="F321" t="n">
        <v>86.90000000000001</v>
      </c>
      <c r="G321" t="n">
        <v/>
      </c>
      <c r="H321" t="n">
        <v/>
      </c>
      <c r="I321" t="n">
        <v/>
      </c>
      <c r="J321" t="n">
        <v/>
      </c>
      <c r="K321" t="n">
        <v/>
      </c>
      <c r="L321" t="n">
        <v/>
      </c>
      <c r="M321" t="n">
        <v/>
      </c>
    </row>
    <row r="322">
      <c r="A322" s="68"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8" t="n">
        <v>31533</v>
      </c>
      <c r="B323" t="n">
        <v>61.8</v>
      </c>
      <c r="C323" t="n">
        <v>247.3500061035156</v>
      </c>
      <c r="D323" t="n">
        <v>94.8</v>
      </c>
      <c r="E323" t="n">
        <v>106.2</v>
      </c>
      <c r="F323" t="n">
        <v>87.5</v>
      </c>
      <c r="G323" t="n">
        <v/>
      </c>
      <c r="H323" t="n">
        <v/>
      </c>
      <c r="I323" t="n">
        <v/>
      </c>
      <c r="J323" t="n">
        <v/>
      </c>
      <c r="K323" t="n">
        <v/>
      </c>
      <c r="L323" t="n">
        <v/>
      </c>
      <c r="M323" t="n">
        <v/>
      </c>
    </row>
    <row r="324">
      <c r="A324" s="68" t="n">
        <v>31564</v>
      </c>
      <c r="B324" t="n">
        <v>62.3</v>
      </c>
      <c r="C324" t="n">
        <v>250.8399963378906</v>
      </c>
      <c r="D324" t="n">
        <v>99.3</v>
      </c>
      <c r="E324" t="n">
        <v>113.3</v>
      </c>
      <c r="F324" t="n">
        <v>90.3</v>
      </c>
      <c r="G324" t="n">
        <v/>
      </c>
      <c r="H324" t="n">
        <v/>
      </c>
      <c r="I324" t="n">
        <v/>
      </c>
      <c r="J324" t="n">
        <v/>
      </c>
      <c r="K324" t="n">
        <v/>
      </c>
      <c r="L324" t="n">
        <v/>
      </c>
      <c r="M324" t="n">
        <v/>
      </c>
    </row>
    <row r="325">
      <c r="A325" s="68"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8" t="n">
        <v>31625</v>
      </c>
      <c r="B326" t="n">
        <v>62.4</v>
      </c>
      <c r="C326" t="n">
        <v>252.9299926757812</v>
      </c>
      <c r="D326" t="n">
        <v>94.90000000000001</v>
      </c>
      <c r="E326" t="n">
        <v>108.9</v>
      </c>
      <c r="F326" t="n">
        <v>85.90000000000001</v>
      </c>
      <c r="G326" t="n">
        <v/>
      </c>
      <c r="H326" t="n">
        <v/>
      </c>
      <c r="I326" t="n">
        <v/>
      </c>
      <c r="J326" t="n">
        <v/>
      </c>
      <c r="K326" t="n">
        <v/>
      </c>
      <c r="L326" t="n">
        <v/>
      </c>
      <c r="M326" t="n">
        <v/>
      </c>
    </row>
    <row r="327">
      <c r="A327" s="68" t="n">
        <v>31656</v>
      </c>
      <c r="B327" t="n">
        <v>62.6</v>
      </c>
      <c r="C327" t="n">
        <v>231.3200073242188</v>
      </c>
      <c r="D327" t="n">
        <v>91.90000000000001</v>
      </c>
      <c r="E327" t="n">
        <v>108.3</v>
      </c>
      <c r="F327" t="n">
        <v>81.3</v>
      </c>
      <c r="G327" t="n">
        <v/>
      </c>
      <c r="H327" t="n">
        <v/>
      </c>
      <c r="I327" t="n">
        <v/>
      </c>
      <c r="J327" t="n">
        <v/>
      </c>
      <c r="K327" t="n">
        <v/>
      </c>
      <c r="L327" t="n">
        <v/>
      </c>
      <c r="M327" t="n">
        <v/>
      </c>
    </row>
    <row r="328">
      <c r="A328" s="68"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8" t="n">
        <v>31717</v>
      </c>
      <c r="B329" t="n">
        <v>62.9</v>
      </c>
      <c r="C329" t="n">
        <v>249.2200012207031</v>
      </c>
      <c r="D329" t="n">
        <v>91.40000000000001</v>
      </c>
      <c r="E329" t="n">
        <v>106.7</v>
      </c>
      <c r="F329" t="n">
        <v>81.59999999999999</v>
      </c>
      <c r="G329" t="n">
        <v/>
      </c>
      <c r="H329" t="n">
        <v/>
      </c>
      <c r="I329" t="n">
        <v/>
      </c>
      <c r="J329" t="n">
        <v/>
      </c>
      <c r="K329" t="n">
        <v/>
      </c>
      <c r="L329" t="n">
        <v/>
      </c>
      <c r="M329" t="n">
        <v/>
      </c>
    </row>
    <row r="330">
      <c r="A330" s="68" t="n">
        <v>31747</v>
      </c>
      <c r="B330" t="n">
        <v>63.3</v>
      </c>
      <c r="C330" t="n">
        <v>242.1699981689453</v>
      </c>
      <c r="D330" t="n">
        <v>89.09999999999999</v>
      </c>
      <c r="E330" t="n">
        <v>105.8</v>
      </c>
      <c r="F330" t="n">
        <v>78.3</v>
      </c>
      <c r="G330" t="n">
        <v/>
      </c>
      <c r="H330" t="n">
        <v/>
      </c>
      <c r="I330" t="n">
        <v/>
      </c>
      <c r="J330" t="n">
        <v/>
      </c>
      <c r="K330" t="n">
        <v/>
      </c>
      <c r="L330" t="n">
        <v/>
      </c>
      <c r="M330" t="n">
        <v/>
      </c>
    </row>
    <row r="331">
      <c r="A331" s="68"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8" t="n">
        <v>31809</v>
      </c>
      <c r="B332" t="n">
        <v>63.8</v>
      </c>
      <c r="C332" t="n">
        <v>284.2000122070312</v>
      </c>
      <c r="D332" t="n">
        <v>90.2</v>
      </c>
      <c r="E332" t="n">
        <v>103.7</v>
      </c>
      <c r="F332" t="n">
        <v>81.59999999999999</v>
      </c>
      <c r="G332" t="n">
        <v/>
      </c>
      <c r="H332" t="n">
        <v/>
      </c>
      <c r="I332" t="n">
        <v/>
      </c>
      <c r="J332" t="n">
        <v/>
      </c>
      <c r="K332" t="n">
        <v/>
      </c>
      <c r="L332" t="n">
        <v/>
      </c>
      <c r="M332" t="n">
        <v/>
      </c>
    </row>
    <row r="333">
      <c r="A333" s="68" t="n">
        <v>31837</v>
      </c>
      <c r="B333" t="n">
        <v>63.9</v>
      </c>
      <c r="C333" t="n">
        <v>291.7000122070312</v>
      </c>
      <c r="D333" t="n">
        <v>90.8</v>
      </c>
      <c r="E333" t="n">
        <v>102.5</v>
      </c>
      <c r="F333" t="n">
        <v>83.3</v>
      </c>
      <c r="G333" t="n">
        <v/>
      </c>
      <c r="H333" t="n">
        <v/>
      </c>
      <c r="I333" t="n">
        <v/>
      </c>
      <c r="J333" t="n">
        <v/>
      </c>
      <c r="K333" t="n">
        <v/>
      </c>
      <c r="L333" t="n">
        <v/>
      </c>
      <c r="M333" t="n">
        <v/>
      </c>
    </row>
    <row r="334">
      <c r="A334" s="68"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8" t="n">
        <v>31898</v>
      </c>
      <c r="B335" t="n">
        <v>64.2</v>
      </c>
      <c r="C335" t="n">
        <v>290.1000061035156</v>
      </c>
      <c r="D335" t="n">
        <v>91.09999999999999</v>
      </c>
      <c r="E335" t="n">
        <v>107.4</v>
      </c>
      <c r="F335" t="n">
        <v>80.59999999999999</v>
      </c>
      <c r="G335" t="n">
        <v/>
      </c>
      <c r="H335" t="n">
        <v/>
      </c>
      <c r="I335" t="n">
        <v/>
      </c>
      <c r="J335" t="n">
        <v/>
      </c>
      <c r="K335" t="n">
        <v/>
      </c>
      <c r="L335" t="n">
        <v/>
      </c>
      <c r="M335" t="n">
        <v/>
      </c>
    </row>
    <row r="336">
      <c r="A336" s="68" t="n">
        <v>31929</v>
      </c>
      <c r="B336" t="n">
        <v>64.5</v>
      </c>
      <c r="C336" t="n">
        <v>304</v>
      </c>
      <c r="D336" t="n">
        <v>91.5</v>
      </c>
      <c r="E336" t="n">
        <v>108.1</v>
      </c>
      <c r="F336" t="n">
        <v>80.8</v>
      </c>
      <c r="G336" t="n">
        <v/>
      </c>
      <c r="H336" t="n">
        <v/>
      </c>
      <c r="I336" t="n">
        <v/>
      </c>
      <c r="J336" t="n">
        <v/>
      </c>
      <c r="K336" t="n">
        <v/>
      </c>
      <c r="L336" t="n">
        <v/>
      </c>
      <c r="M336" t="n">
        <v/>
      </c>
    </row>
    <row r="337">
      <c r="A337" s="68"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8" t="n">
        <v>31990</v>
      </c>
      <c r="B338" t="n">
        <v>65</v>
      </c>
      <c r="C338" t="n">
        <v>329.7999877929688</v>
      </c>
      <c r="D338" t="n">
        <v>94.40000000000001</v>
      </c>
      <c r="E338" t="n">
        <v>107.8</v>
      </c>
      <c r="F338" t="n">
        <v>85.8</v>
      </c>
      <c r="G338" t="n">
        <v/>
      </c>
      <c r="H338" t="n">
        <v/>
      </c>
      <c r="I338" t="n">
        <v/>
      </c>
      <c r="J338" t="n">
        <v/>
      </c>
      <c r="K338" t="n">
        <v/>
      </c>
      <c r="L338" t="n">
        <v/>
      </c>
      <c r="M338" t="n">
        <v/>
      </c>
    </row>
    <row r="339">
      <c r="A339" s="68" t="n">
        <v>32021</v>
      </c>
      <c r="B339" t="n">
        <v>65.40000000000001</v>
      </c>
      <c r="C339" t="n">
        <v>321.8299865722656</v>
      </c>
      <c r="D339" t="n">
        <v>93.59999999999999</v>
      </c>
      <c r="E339" t="n">
        <v>108.3</v>
      </c>
      <c r="F339" t="n">
        <v>84.2</v>
      </c>
      <c r="G339" t="n">
        <v/>
      </c>
      <c r="H339" t="n">
        <v/>
      </c>
      <c r="I339" t="n">
        <v/>
      </c>
      <c r="J339" t="n">
        <v/>
      </c>
      <c r="K339" t="n">
        <v/>
      </c>
      <c r="L339" t="n">
        <v/>
      </c>
      <c r="M339" t="n">
        <v/>
      </c>
    </row>
    <row r="340">
      <c r="A340" s="68"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8" t="n">
        <v>32082</v>
      </c>
      <c r="B341" t="n">
        <v>65.40000000000001</v>
      </c>
      <c r="C341" t="n">
        <v>230.3000030517578</v>
      </c>
      <c r="D341" t="n">
        <v>83.09999999999999</v>
      </c>
      <c r="E341" t="n">
        <v>99.3</v>
      </c>
      <c r="F341" t="n">
        <v>72.7</v>
      </c>
      <c r="G341" t="n">
        <v/>
      </c>
      <c r="H341" t="n">
        <v/>
      </c>
      <c r="I341" t="n">
        <v/>
      </c>
      <c r="J341" t="n">
        <v/>
      </c>
      <c r="K341" t="n">
        <v/>
      </c>
      <c r="L341" t="n">
        <v/>
      </c>
      <c r="M341" t="n">
        <v/>
      </c>
    </row>
    <row r="342">
      <c r="A342" s="68" t="n">
        <v>32112</v>
      </c>
      <c r="B342" t="n">
        <v>65.40000000000001</v>
      </c>
      <c r="C342" t="n">
        <v>247.0800018310547</v>
      </c>
      <c r="D342" t="n">
        <v>86.8</v>
      </c>
      <c r="E342" t="n">
        <v>102.7</v>
      </c>
      <c r="F342" t="n">
        <v>76.7</v>
      </c>
      <c r="G342" t="n">
        <v/>
      </c>
      <c r="H342" t="n">
        <v/>
      </c>
      <c r="I342" t="n">
        <v/>
      </c>
      <c r="J342" t="n">
        <v/>
      </c>
      <c r="K342" t="n">
        <v/>
      </c>
      <c r="L342" t="n">
        <v/>
      </c>
      <c r="M342" t="n">
        <v/>
      </c>
    </row>
    <row r="343">
      <c r="A343" s="68"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8"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8" t="n">
        <v>32203</v>
      </c>
      <c r="B345" t="n">
        <v>66.40000000000001</v>
      </c>
      <c r="C345" t="n">
        <v>258.8900146484375</v>
      </c>
      <c r="D345" t="n">
        <v>94.59999999999999</v>
      </c>
      <c r="E345" t="n">
        <v>109.1</v>
      </c>
      <c r="F345" t="n">
        <v>85.2</v>
      </c>
      <c r="G345" t="n">
        <v/>
      </c>
      <c r="H345" t="n">
        <v/>
      </c>
      <c r="I345" t="n">
        <v/>
      </c>
      <c r="J345" t="n">
        <v/>
      </c>
      <c r="K345" t="n">
        <v/>
      </c>
      <c r="L345" t="n">
        <v/>
      </c>
      <c r="M345" t="n">
        <v/>
      </c>
    </row>
    <row r="346">
      <c r="A346" s="68"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8" t="n">
        <v>32264</v>
      </c>
      <c r="B347" t="n">
        <v>66.8</v>
      </c>
      <c r="C347" t="n">
        <v>262.1600036621094</v>
      </c>
      <c r="D347" t="n">
        <v>94.8</v>
      </c>
      <c r="E347" t="n">
        <v>106.5</v>
      </c>
      <c r="F347" t="n">
        <v>87.3</v>
      </c>
      <c r="G347" t="n">
        <v/>
      </c>
      <c r="H347" t="n">
        <v/>
      </c>
      <c r="I347" t="n">
        <v/>
      </c>
      <c r="J347" t="n">
        <v/>
      </c>
      <c r="K347" t="n">
        <v/>
      </c>
      <c r="L347" t="n">
        <v/>
      </c>
      <c r="M347" t="n">
        <v/>
      </c>
    </row>
    <row r="348">
      <c r="A348" s="68" t="n">
        <v>32295</v>
      </c>
      <c r="B348" t="n">
        <v>67.2</v>
      </c>
      <c r="C348" t="n">
        <v>273.5</v>
      </c>
      <c r="D348" t="n">
        <v>94.7</v>
      </c>
      <c r="E348" t="n">
        <v>108.6</v>
      </c>
      <c r="F348" t="n">
        <v>85.7</v>
      </c>
      <c r="G348" t="n">
        <v/>
      </c>
      <c r="H348" t="n">
        <v/>
      </c>
      <c r="I348" t="n">
        <v/>
      </c>
      <c r="J348" t="n">
        <v/>
      </c>
      <c r="K348" t="n">
        <v/>
      </c>
      <c r="L348" t="n">
        <v/>
      </c>
      <c r="M348" t="n">
        <v/>
      </c>
    </row>
    <row r="349">
      <c r="A349" s="68"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8" t="n">
        <v>32356</v>
      </c>
      <c r="B350" t="n">
        <v>67.3</v>
      </c>
      <c r="C350" t="n">
        <v>261.5199890136719</v>
      </c>
      <c r="D350" t="n">
        <v>97.40000000000001</v>
      </c>
      <c r="E350" t="n">
        <v>110.8</v>
      </c>
      <c r="F350" t="n">
        <v>88.8</v>
      </c>
      <c r="G350" t="n">
        <v/>
      </c>
      <c r="H350" t="n">
        <v/>
      </c>
      <c r="I350" t="n">
        <v/>
      </c>
      <c r="J350" t="n">
        <v/>
      </c>
      <c r="K350" t="n">
        <v/>
      </c>
      <c r="L350" t="n">
        <v/>
      </c>
      <c r="M350" t="n">
        <v/>
      </c>
    </row>
    <row r="351">
      <c r="A351" s="68" t="n">
        <v>32387</v>
      </c>
      <c r="B351" t="n">
        <v>67.5</v>
      </c>
      <c r="C351" t="n">
        <v>271.9100036621094</v>
      </c>
      <c r="D351" t="n">
        <v>97.3</v>
      </c>
      <c r="E351" t="n">
        <v>109.4</v>
      </c>
      <c r="F351" t="n">
        <v>89.5</v>
      </c>
      <c r="G351" t="n">
        <v/>
      </c>
      <c r="H351" t="n">
        <v/>
      </c>
      <c r="I351" t="n">
        <v/>
      </c>
      <c r="J351" t="n">
        <v/>
      </c>
      <c r="K351" t="n">
        <v/>
      </c>
      <c r="L351" t="n">
        <v/>
      </c>
      <c r="M351" t="n">
        <v/>
      </c>
    </row>
    <row r="352">
      <c r="A352" s="68"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8" t="n">
        <v>32448</v>
      </c>
      <c r="B353" t="n">
        <v>67.90000000000001</v>
      </c>
      <c r="C353" t="n">
        <v>273.7000122070312</v>
      </c>
      <c r="D353" t="n">
        <v>93</v>
      </c>
      <c r="E353" t="n">
        <v>103.3</v>
      </c>
      <c r="F353" t="n">
        <v>86.3</v>
      </c>
      <c r="G353" t="n">
        <v/>
      </c>
      <c r="H353" t="n">
        <v/>
      </c>
      <c r="I353" t="n">
        <v/>
      </c>
      <c r="J353" t="n">
        <v/>
      </c>
      <c r="K353" t="n">
        <v/>
      </c>
      <c r="L353" t="n">
        <v/>
      </c>
      <c r="M353" t="n">
        <v/>
      </c>
    </row>
    <row r="354">
      <c r="A354" s="68" t="n">
        <v>32478</v>
      </c>
      <c r="B354" t="n">
        <v>68.09999999999999</v>
      </c>
      <c r="C354" t="n">
        <v>277.7200012207031</v>
      </c>
      <c r="D354" t="n">
        <v>91.90000000000001</v>
      </c>
      <c r="E354" t="n">
        <v>102</v>
      </c>
      <c r="F354" t="n">
        <v>85.5</v>
      </c>
      <c r="G354" t="n">
        <v/>
      </c>
      <c r="H354" t="n">
        <v/>
      </c>
      <c r="I354" t="n">
        <v/>
      </c>
      <c r="J354" t="n">
        <v/>
      </c>
      <c r="K354" t="n">
        <v/>
      </c>
      <c r="L354" t="n">
        <v/>
      </c>
      <c r="M354" t="n">
        <v/>
      </c>
    </row>
    <row r="355">
      <c r="A355" s="68"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8" t="n">
        <v>32540</v>
      </c>
      <c r="B356" t="n">
        <v>68.2</v>
      </c>
      <c r="C356" t="n">
        <v>288.8599853515625</v>
      </c>
      <c r="D356" t="n">
        <v>95.40000000000001</v>
      </c>
      <c r="E356" t="n">
        <v>105.7</v>
      </c>
      <c r="F356" t="n">
        <v>88.8</v>
      </c>
      <c r="G356" t="n">
        <v/>
      </c>
      <c r="H356" t="n">
        <v/>
      </c>
      <c r="I356" t="n">
        <v/>
      </c>
      <c r="J356" t="n">
        <v/>
      </c>
      <c r="K356" t="n">
        <v/>
      </c>
      <c r="L356" t="n">
        <v/>
      </c>
      <c r="M356" t="n">
        <v/>
      </c>
    </row>
    <row r="357">
      <c r="A357" s="68" t="n">
        <v>32568</v>
      </c>
      <c r="B357" t="n">
        <v>67.90000000000001</v>
      </c>
      <c r="C357" t="n">
        <v>294.8699951171875</v>
      </c>
      <c r="D357" t="n">
        <v>94.3</v>
      </c>
      <c r="E357" t="n">
        <v>104.8</v>
      </c>
      <c r="F357" t="n">
        <v>87.59999999999999</v>
      </c>
      <c r="G357" t="n">
        <v/>
      </c>
      <c r="H357" t="n">
        <v/>
      </c>
      <c r="I357" t="n">
        <v/>
      </c>
      <c r="J357" t="n">
        <v/>
      </c>
      <c r="K357" t="n">
        <v/>
      </c>
      <c r="L357" t="n">
        <v/>
      </c>
      <c r="M357" t="n">
        <v/>
      </c>
    </row>
    <row r="358">
      <c r="A358" s="68"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8" t="n">
        <v>32629</v>
      </c>
      <c r="B359" t="n">
        <v>67.8</v>
      </c>
      <c r="C359" t="n">
        <v>320.5199890136719</v>
      </c>
      <c r="D359" t="n">
        <v>90.7</v>
      </c>
      <c r="E359" t="n">
        <v>107.1</v>
      </c>
      <c r="F359" t="n">
        <v>80.09999999999999</v>
      </c>
      <c r="G359" t="n">
        <v/>
      </c>
      <c r="H359" t="n">
        <v/>
      </c>
      <c r="I359" t="n">
        <v/>
      </c>
      <c r="J359" t="n">
        <v/>
      </c>
      <c r="K359" t="n">
        <v/>
      </c>
      <c r="L359" t="n">
        <v/>
      </c>
      <c r="M359" t="n">
        <v/>
      </c>
    </row>
    <row r="360">
      <c r="A360" s="68" t="n">
        <v>32660</v>
      </c>
      <c r="B360" t="n">
        <v>67.7</v>
      </c>
      <c r="C360" t="n">
        <v>317.9800109863281</v>
      </c>
      <c r="D360" t="n">
        <v>90.59999999999999</v>
      </c>
      <c r="E360" t="n">
        <v>104.1</v>
      </c>
      <c r="F360" t="n">
        <v>82</v>
      </c>
      <c r="G360" t="n">
        <v/>
      </c>
      <c r="H360" t="n">
        <v/>
      </c>
      <c r="I360" t="n">
        <v/>
      </c>
      <c r="J360" t="n">
        <v/>
      </c>
      <c r="K360" t="n">
        <v/>
      </c>
      <c r="L360" t="n">
        <v/>
      </c>
      <c r="M360" t="n">
        <v/>
      </c>
    </row>
    <row r="361">
      <c r="A361" s="68"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8" t="n">
        <v>32721</v>
      </c>
      <c r="B362" t="n">
        <v>67.59999999999999</v>
      </c>
      <c r="C362" t="n">
        <v>351.4500122070312</v>
      </c>
      <c r="D362" t="n">
        <v>89.59999999999999</v>
      </c>
      <c r="E362" t="n">
        <v>103.9</v>
      </c>
      <c r="F362" t="n">
        <v>80.3</v>
      </c>
      <c r="G362" t="n">
        <v/>
      </c>
      <c r="H362" t="n">
        <v/>
      </c>
      <c r="I362" t="n">
        <v/>
      </c>
      <c r="J362" t="n">
        <v/>
      </c>
      <c r="K362" t="n">
        <v/>
      </c>
      <c r="L362" t="n">
        <v/>
      </c>
      <c r="M362" t="n">
        <v/>
      </c>
    </row>
    <row r="363">
      <c r="A363" s="68" t="n">
        <v>32752</v>
      </c>
      <c r="B363" t="n">
        <v>67.59999999999999</v>
      </c>
      <c r="C363" t="n">
        <v>349.1499938964844</v>
      </c>
      <c r="D363" t="n">
        <v>95.8</v>
      </c>
      <c r="E363" t="n">
        <v>107.1</v>
      </c>
      <c r="F363" t="n">
        <v>88.59999999999999</v>
      </c>
      <c r="G363" t="n">
        <v/>
      </c>
      <c r="H363" t="n">
        <v/>
      </c>
      <c r="I363" t="n">
        <v/>
      </c>
      <c r="J363" t="n">
        <v/>
      </c>
      <c r="K363" t="n">
        <v/>
      </c>
      <c r="L363" t="n">
        <v/>
      </c>
      <c r="M363" t="n">
        <v/>
      </c>
    </row>
    <row r="364">
      <c r="A364" s="68"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8" t="n">
        <v>32813</v>
      </c>
      <c r="B365" t="n">
        <v>67.5</v>
      </c>
      <c r="C365" t="n">
        <v>345.989990234375</v>
      </c>
      <c r="D365" t="n">
        <v>90.90000000000001</v>
      </c>
      <c r="E365" t="n">
        <v>101.2</v>
      </c>
      <c r="F365" t="n">
        <v>84.3</v>
      </c>
      <c r="G365" t="n">
        <v/>
      </c>
      <c r="H365" t="n">
        <v/>
      </c>
      <c r="I365" t="n">
        <v/>
      </c>
      <c r="J365" t="n">
        <v/>
      </c>
      <c r="K365" t="n">
        <v/>
      </c>
      <c r="L365" t="n">
        <v/>
      </c>
      <c r="M365" t="n">
        <v/>
      </c>
    </row>
    <row r="366">
      <c r="A366" s="68" t="n">
        <v>32843</v>
      </c>
      <c r="B366" t="n">
        <v>67.5</v>
      </c>
      <c r="C366" t="n">
        <v>353.3999938964844</v>
      </c>
      <c r="D366" t="n">
        <v>90.5</v>
      </c>
      <c r="E366" t="n">
        <v>98.2</v>
      </c>
      <c r="F366" t="n">
        <v>85.5</v>
      </c>
      <c r="G366" t="n">
        <v/>
      </c>
      <c r="H366" t="n">
        <v/>
      </c>
      <c r="I366" t="n">
        <v/>
      </c>
      <c r="J366" t="n">
        <v/>
      </c>
      <c r="K366" t="n">
        <v/>
      </c>
      <c r="L366" t="n">
        <v/>
      </c>
      <c r="M366" t="n">
        <v/>
      </c>
    </row>
    <row r="367">
      <c r="A367" s="68"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8" t="n">
        <v>32905</v>
      </c>
      <c r="B368" t="n">
        <v>67.3</v>
      </c>
      <c r="C368" t="n">
        <v>331.8900146484375</v>
      </c>
      <c r="D368" t="n">
        <v>89.5</v>
      </c>
      <c r="E368" t="n">
        <v>102.3</v>
      </c>
      <c r="F368" t="n">
        <v>81.3</v>
      </c>
      <c r="G368" t="n">
        <v/>
      </c>
      <c r="H368" t="n">
        <v/>
      </c>
      <c r="I368" t="n">
        <v/>
      </c>
      <c r="J368" t="n">
        <v/>
      </c>
      <c r="K368" t="n">
        <v/>
      </c>
      <c r="L368" t="n">
        <v/>
      </c>
      <c r="M368" t="n">
        <v/>
      </c>
    </row>
    <row r="369">
      <c r="A369" s="68" t="n">
        <v>32933</v>
      </c>
      <c r="B369" t="n">
        <v>67.3</v>
      </c>
      <c r="C369" t="n">
        <v>339.9400024414062</v>
      </c>
      <c r="D369" t="n">
        <v>91.3</v>
      </c>
      <c r="E369" t="n">
        <v>106.9</v>
      </c>
      <c r="F369" t="n">
        <v>81.3</v>
      </c>
      <c r="G369" t="n">
        <v/>
      </c>
      <c r="H369" t="n">
        <v/>
      </c>
      <c r="I369" t="n">
        <v/>
      </c>
      <c r="J369" t="n">
        <v/>
      </c>
      <c r="K369" t="n">
        <v/>
      </c>
      <c r="L369" t="n">
        <v/>
      </c>
      <c r="M369" t="n">
        <v/>
      </c>
    </row>
    <row r="370">
      <c r="A370" s="68"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8" t="n">
        <v>32994</v>
      </c>
      <c r="B371" t="n">
        <v>67.09999999999999</v>
      </c>
      <c r="C371" t="n">
        <v>361.2300109863281</v>
      </c>
      <c r="D371" t="n">
        <v>90.59999999999999</v>
      </c>
      <c r="E371" t="n">
        <v>108.1</v>
      </c>
      <c r="F371" t="n">
        <v>79.3</v>
      </c>
      <c r="G371" t="n">
        <v/>
      </c>
      <c r="H371" t="n">
        <v/>
      </c>
      <c r="I371" t="n">
        <v/>
      </c>
      <c r="J371" t="n">
        <v/>
      </c>
      <c r="K371" t="n">
        <v/>
      </c>
      <c r="L371" t="n">
        <v/>
      </c>
      <c r="M371" t="n">
        <v/>
      </c>
    </row>
    <row r="372">
      <c r="A372" s="68" t="n">
        <v>33025</v>
      </c>
      <c r="B372" t="n">
        <v>67.09999999999999</v>
      </c>
      <c r="C372" t="n">
        <v>358.0199890136719</v>
      </c>
      <c r="D372" t="n">
        <v>88.3</v>
      </c>
      <c r="E372" t="n">
        <v>106.5</v>
      </c>
      <c r="F372" t="n">
        <v>76.59999999999999</v>
      </c>
      <c r="G372" t="n">
        <v/>
      </c>
      <c r="H372" t="n">
        <v/>
      </c>
      <c r="I372" t="n">
        <v/>
      </c>
      <c r="J372" t="n">
        <v/>
      </c>
      <c r="K372" t="n">
        <v/>
      </c>
      <c r="L372" t="n">
        <v/>
      </c>
      <c r="M372" t="n">
        <v/>
      </c>
    </row>
    <row r="373">
      <c r="A373" s="68"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8" t="n">
        <v>33086</v>
      </c>
      <c r="B374" t="n">
        <v>65.90000000000001</v>
      </c>
      <c r="C374" t="n">
        <v>322.5599975585938</v>
      </c>
      <c r="D374" t="n">
        <v>76.40000000000001</v>
      </c>
      <c r="E374" t="n">
        <v>97.5</v>
      </c>
      <c r="F374" t="n">
        <v>62.9</v>
      </c>
      <c r="G374" t="n">
        <v/>
      </c>
      <c r="H374" t="n">
        <v/>
      </c>
      <c r="I374" t="n">
        <v/>
      </c>
      <c r="J374" t="n">
        <v/>
      </c>
      <c r="K374" t="n">
        <v/>
      </c>
      <c r="L374" t="n">
        <v/>
      </c>
      <c r="M374" t="n">
        <v/>
      </c>
    </row>
    <row r="375">
      <c r="A375" s="68" t="n">
        <v>33117</v>
      </c>
      <c r="B375" t="n">
        <v>65.09999999999999</v>
      </c>
      <c r="C375" t="n">
        <v>306.0499877929688</v>
      </c>
      <c r="D375" t="n">
        <v>72.8</v>
      </c>
      <c r="E375" t="n">
        <v>94.7</v>
      </c>
      <c r="F375" t="n">
        <v>58.8</v>
      </c>
      <c r="G375" t="n">
        <v/>
      </c>
      <c r="H375" t="n">
        <v/>
      </c>
      <c r="I375" t="n">
        <v/>
      </c>
      <c r="J375" t="n">
        <v/>
      </c>
      <c r="K375" t="n">
        <v/>
      </c>
      <c r="L375" t="n">
        <v/>
      </c>
      <c r="M375" t="n">
        <v/>
      </c>
    </row>
    <row r="376">
      <c r="A376" s="68"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8" t="n">
        <v>33178</v>
      </c>
      <c r="B377" t="n">
        <v>63.1</v>
      </c>
      <c r="C377" t="n">
        <v>322.2200012207031</v>
      </c>
      <c r="D377" t="n">
        <v>66</v>
      </c>
      <c r="E377" t="n">
        <v>86.7</v>
      </c>
      <c r="F377" t="n">
        <v>52.8</v>
      </c>
      <c r="G377" t="n">
        <v/>
      </c>
      <c r="H377" t="n">
        <v/>
      </c>
      <c r="I377" t="n">
        <v/>
      </c>
      <c r="J377" t="n">
        <v/>
      </c>
      <c r="K377" t="n">
        <v/>
      </c>
      <c r="L377" t="n">
        <v/>
      </c>
      <c r="M377" t="n">
        <v/>
      </c>
    </row>
    <row r="378">
      <c r="A378" s="68" t="n">
        <v>33208</v>
      </c>
      <c r="B378" t="n">
        <v>62.4</v>
      </c>
      <c r="C378" t="n">
        <v>330.2200012207031</v>
      </c>
      <c r="D378" t="n">
        <v>65.5</v>
      </c>
      <c r="E378" t="n">
        <v>84</v>
      </c>
      <c r="F378" t="n">
        <v>53.7</v>
      </c>
      <c r="G378" t="n">
        <v/>
      </c>
      <c r="H378" t="n">
        <v/>
      </c>
      <c r="I378" t="n">
        <v/>
      </c>
      <c r="J378" t="n">
        <v/>
      </c>
      <c r="K378" t="n">
        <v/>
      </c>
      <c r="L378" t="n">
        <v/>
      </c>
      <c r="M378" t="n">
        <v/>
      </c>
    </row>
    <row r="379">
      <c r="A379" s="68"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8" t="n">
        <v>33270</v>
      </c>
      <c r="B380" t="n">
        <v>61.5</v>
      </c>
      <c r="C380" t="n">
        <v>367.0700073242188</v>
      </c>
      <c r="D380" t="n">
        <v>70.40000000000001</v>
      </c>
      <c r="E380" t="n">
        <v>83.7</v>
      </c>
      <c r="F380" t="n">
        <v>62</v>
      </c>
      <c r="G380" t="n">
        <v/>
      </c>
      <c r="H380" t="n">
        <v/>
      </c>
      <c r="I380" t="n">
        <v/>
      </c>
      <c r="J380" t="n">
        <v/>
      </c>
      <c r="K380" t="n">
        <v/>
      </c>
      <c r="L380" t="n">
        <v/>
      </c>
      <c r="M380" t="n">
        <v/>
      </c>
    </row>
    <row r="381">
      <c r="A381" s="68" t="n">
        <v>33298</v>
      </c>
      <c r="B381" t="n">
        <v>61.2</v>
      </c>
      <c r="C381" t="n">
        <v>375.2200012207031</v>
      </c>
      <c r="D381" t="n">
        <v>87.7</v>
      </c>
      <c r="E381" t="n">
        <v>92.7</v>
      </c>
      <c r="F381" t="n">
        <v>84.5</v>
      </c>
      <c r="G381" t="n">
        <v/>
      </c>
      <c r="H381" t="n">
        <v/>
      </c>
      <c r="I381" t="n">
        <v/>
      </c>
      <c r="J381" t="n">
        <v/>
      </c>
      <c r="K381" t="n">
        <v/>
      </c>
      <c r="L381" t="n">
        <v/>
      </c>
      <c r="M381" t="n">
        <v/>
      </c>
    </row>
    <row r="382">
      <c r="A382" s="68"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8" t="n">
        <v>33359</v>
      </c>
      <c r="B383" t="n">
        <v>62.3</v>
      </c>
      <c r="C383" t="n">
        <v>389.8299865722656</v>
      </c>
      <c r="D383" t="n">
        <v>78.3</v>
      </c>
      <c r="E383" t="n">
        <v>89</v>
      </c>
      <c r="F383" t="n">
        <v>71.5</v>
      </c>
      <c r="G383" t="n">
        <v/>
      </c>
      <c r="H383" t="n">
        <v/>
      </c>
      <c r="I383" t="n">
        <v/>
      </c>
      <c r="J383" t="n">
        <v/>
      </c>
      <c r="K383" t="n">
        <v/>
      </c>
      <c r="L383" t="n">
        <v/>
      </c>
      <c r="M383" t="n">
        <v/>
      </c>
    </row>
    <row r="384">
      <c r="A384" s="68"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8"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8" t="n">
        <v>33451</v>
      </c>
      <c r="B386" t="n">
        <v>63.1</v>
      </c>
      <c r="C386" t="n">
        <v>395.4299926757812</v>
      </c>
      <c r="D386" t="n">
        <v>82</v>
      </c>
      <c r="E386" t="n">
        <v>92.3</v>
      </c>
      <c r="F386" t="n">
        <v>75.3</v>
      </c>
      <c r="G386" t="n">
        <v/>
      </c>
      <c r="H386" t="n">
        <v/>
      </c>
      <c r="I386" t="n">
        <v/>
      </c>
      <c r="J386" t="n">
        <v/>
      </c>
      <c r="K386" t="n">
        <v/>
      </c>
      <c r="L386" t="n">
        <v/>
      </c>
      <c r="M386" t="n">
        <v/>
      </c>
    </row>
    <row r="387">
      <c r="A387" s="68" t="n">
        <v>33482</v>
      </c>
      <c r="B387" t="n">
        <v>63.6</v>
      </c>
      <c r="C387" t="n">
        <v>387.8599853515625</v>
      </c>
      <c r="D387" t="n">
        <v>83</v>
      </c>
      <c r="E387" t="n">
        <v>93.2</v>
      </c>
      <c r="F387" t="n">
        <v>76.40000000000001</v>
      </c>
      <c r="G387" t="n">
        <v/>
      </c>
      <c r="H387" t="n">
        <v/>
      </c>
      <c r="I387" t="n">
        <v/>
      </c>
      <c r="J387" t="n">
        <v/>
      </c>
      <c r="K387" t="n">
        <v/>
      </c>
      <c r="L387" t="n">
        <v/>
      </c>
      <c r="M387" t="n">
        <v/>
      </c>
    </row>
    <row r="388">
      <c r="A388" s="68"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8" t="n">
        <v>33543</v>
      </c>
      <c r="B389" t="n">
        <v>63.5</v>
      </c>
      <c r="C389" t="n">
        <v>375.2200012207031</v>
      </c>
      <c r="D389" t="n">
        <v>69.09999999999999</v>
      </c>
      <c r="E389" t="n">
        <v>80.3</v>
      </c>
      <c r="F389" t="n">
        <v>61.9</v>
      </c>
      <c r="G389" t="n">
        <v/>
      </c>
      <c r="H389" t="n">
        <v/>
      </c>
      <c r="I389" t="n">
        <v/>
      </c>
      <c r="J389" t="n">
        <v/>
      </c>
      <c r="K389" t="n">
        <v/>
      </c>
      <c r="L389" t="n">
        <v/>
      </c>
      <c r="M389" t="n">
        <v/>
      </c>
    </row>
    <row r="390">
      <c r="A390" s="68" t="n">
        <v>33573</v>
      </c>
      <c r="B390" t="n">
        <v>63.3</v>
      </c>
      <c r="C390" t="n">
        <v>417.0899963378906</v>
      </c>
      <c r="D390" t="n">
        <v>68.2</v>
      </c>
      <c r="E390" t="n">
        <v>78.7</v>
      </c>
      <c r="F390" t="n">
        <v>61.5</v>
      </c>
      <c r="G390" t="n">
        <v/>
      </c>
      <c r="H390" t="n">
        <v/>
      </c>
      <c r="I390" t="n">
        <v/>
      </c>
      <c r="J390" t="n">
        <v/>
      </c>
      <c r="K390" t="n">
        <v/>
      </c>
      <c r="L390" t="n">
        <v/>
      </c>
      <c r="M390" t="n">
        <v/>
      </c>
    </row>
    <row r="391">
      <c r="A391" s="68"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8" t="n">
        <v>33635</v>
      </c>
      <c r="B392" t="n">
        <v>64</v>
      </c>
      <c r="C392" t="n">
        <v>412.7000122070312</v>
      </c>
      <c r="D392" t="n">
        <v>68.8</v>
      </c>
      <c r="E392" t="n">
        <v>79.7</v>
      </c>
      <c r="F392" t="n">
        <v>61.8</v>
      </c>
      <c r="G392" t="n">
        <v/>
      </c>
      <c r="H392" t="n">
        <v/>
      </c>
      <c r="I392" t="n">
        <v/>
      </c>
      <c r="J392" t="n">
        <v/>
      </c>
      <c r="K392" t="n">
        <v/>
      </c>
      <c r="L392" t="n">
        <v/>
      </c>
      <c r="M392" t="n">
        <v/>
      </c>
    </row>
    <row r="393">
      <c r="A393" s="68" t="n">
        <v>33664</v>
      </c>
      <c r="B393" t="n">
        <v>64.59999999999999</v>
      </c>
      <c r="C393" t="n">
        <v>403.6900024414062</v>
      </c>
      <c r="D393" t="n">
        <v>76</v>
      </c>
      <c r="E393" t="n">
        <v>84.90000000000001</v>
      </c>
      <c r="F393" t="n">
        <v>70.3</v>
      </c>
      <c r="G393" t="n">
        <v/>
      </c>
      <c r="H393" t="n">
        <v/>
      </c>
      <c r="I393" t="n">
        <v/>
      </c>
      <c r="J393" t="n">
        <v/>
      </c>
      <c r="K393" t="n">
        <v/>
      </c>
      <c r="L393" t="n">
        <v/>
      </c>
      <c r="M393" t="n">
        <v/>
      </c>
    </row>
    <row r="394">
      <c r="A394" s="68"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8" t="n">
        <v>33725</v>
      </c>
      <c r="B395" t="n">
        <v>65.59999999999999</v>
      </c>
      <c r="C395" t="n">
        <v>415.3500061035156</v>
      </c>
      <c r="D395" t="n">
        <v>79.2</v>
      </c>
      <c r="E395" t="n">
        <v>91.5</v>
      </c>
      <c r="F395" t="n">
        <v>71.2</v>
      </c>
      <c r="G395" t="n">
        <v/>
      </c>
      <c r="H395" t="n">
        <v/>
      </c>
      <c r="I395" t="n">
        <v/>
      </c>
      <c r="J395" t="n">
        <v/>
      </c>
      <c r="K395" t="n">
        <v/>
      </c>
      <c r="L395" t="n">
        <v/>
      </c>
      <c r="M395" t="n">
        <v/>
      </c>
    </row>
    <row r="396">
      <c r="A396" s="68"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8"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8" t="n">
        <v>33817</v>
      </c>
      <c r="B398" t="n">
        <v>66.5</v>
      </c>
      <c r="C398" t="n">
        <v>414.0299987792969</v>
      </c>
      <c r="D398" t="n">
        <v>76.09999999999999</v>
      </c>
      <c r="E398" t="n">
        <v>86.2</v>
      </c>
      <c r="F398" t="n">
        <v>69.5</v>
      </c>
      <c r="G398" t="n">
        <v/>
      </c>
      <c r="H398" t="n">
        <v/>
      </c>
      <c r="I398" t="n">
        <v/>
      </c>
      <c r="J398" t="n">
        <v/>
      </c>
      <c r="K398" t="n">
        <v/>
      </c>
      <c r="L398" t="n">
        <v/>
      </c>
      <c r="M398" t="n">
        <v/>
      </c>
    </row>
    <row r="399">
      <c r="A399" s="68"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8"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8" t="n">
        <v>33909</v>
      </c>
      <c r="B401" t="n">
        <v>67.40000000000001</v>
      </c>
      <c r="C401" t="n">
        <v>431.3500061035156</v>
      </c>
      <c r="D401" t="n">
        <v>85.3</v>
      </c>
      <c r="E401" t="n">
        <v>96.40000000000001</v>
      </c>
      <c r="F401" t="n">
        <v>78.2</v>
      </c>
      <c r="G401" t="n">
        <v/>
      </c>
      <c r="H401" t="n">
        <v/>
      </c>
      <c r="I401" t="n">
        <v/>
      </c>
      <c r="J401" t="n">
        <v/>
      </c>
      <c r="K401" t="n">
        <v/>
      </c>
      <c r="L401" t="n">
        <v/>
      </c>
      <c r="M401" t="n">
        <v/>
      </c>
    </row>
    <row r="402">
      <c r="A402" s="68" t="n">
        <v>33939</v>
      </c>
      <c r="B402" t="n">
        <v>68.3</v>
      </c>
      <c r="C402" t="n">
        <v>435.7099914550781</v>
      </c>
      <c r="D402" t="n">
        <v>91</v>
      </c>
      <c r="E402" t="n">
        <v>93.40000000000001</v>
      </c>
      <c r="F402" t="n">
        <v>89.5</v>
      </c>
      <c r="G402" t="n">
        <v/>
      </c>
      <c r="H402" t="n">
        <v/>
      </c>
      <c r="I402" t="n">
        <v/>
      </c>
      <c r="J402" t="n">
        <v/>
      </c>
      <c r="K402" t="n">
        <v/>
      </c>
      <c r="L402" t="n">
        <v/>
      </c>
      <c r="M402" t="n">
        <v/>
      </c>
    </row>
    <row r="403">
      <c r="A403" s="68"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8"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8" t="n">
        <v>34029</v>
      </c>
      <c r="B405" t="n">
        <v>69</v>
      </c>
      <c r="C405" t="n">
        <v>451.6700134277344</v>
      </c>
      <c r="D405" t="n">
        <v>85.90000000000001</v>
      </c>
      <c r="E405" t="n">
        <v>101.6</v>
      </c>
      <c r="F405" t="n">
        <v>75.8</v>
      </c>
      <c r="G405" t="n">
        <v/>
      </c>
      <c r="H405" t="n">
        <v/>
      </c>
      <c r="I405" t="n">
        <v/>
      </c>
      <c r="J405" t="n">
        <v/>
      </c>
      <c r="K405" t="n">
        <v/>
      </c>
      <c r="L405" t="n">
        <v/>
      </c>
      <c r="M405" t="n">
        <v/>
      </c>
    </row>
    <row r="406">
      <c r="A406" s="68"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8" t="n">
        <v>34090</v>
      </c>
      <c r="B407" t="n">
        <v>69.59999999999999</v>
      </c>
      <c r="C407" t="n">
        <v>450.1900024414062</v>
      </c>
      <c r="D407" t="n">
        <v>80.3</v>
      </c>
      <c r="E407" t="n">
        <v>98.7</v>
      </c>
      <c r="F407" t="n">
        <v>68.5</v>
      </c>
      <c r="G407" t="n">
        <v/>
      </c>
      <c r="H407" t="n">
        <v/>
      </c>
      <c r="I407" t="n">
        <v/>
      </c>
      <c r="J407" t="n">
        <v/>
      </c>
      <c r="K407" t="n">
        <v/>
      </c>
      <c r="L407" t="n">
        <v/>
      </c>
      <c r="M407" t="n">
        <v/>
      </c>
    </row>
    <row r="408">
      <c r="A408" s="68" t="n">
        <v>34121</v>
      </c>
      <c r="B408" t="n">
        <v>69.90000000000001</v>
      </c>
      <c r="C408" t="n">
        <v>450.5299987792969</v>
      </c>
      <c r="D408" t="n">
        <v>81.5</v>
      </c>
      <c r="E408" t="n">
        <v>98.7</v>
      </c>
      <c r="F408" t="n">
        <v>70.40000000000001</v>
      </c>
      <c r="G408" t="n">
        <v/>
      </c>
      <c r="H408" t="n">
        <v/>
      </c>
      <c r="I408" t="n">
        <v/>
      </c>
      <c r="J408" t="n">
        <v/>
      </c>
      <c r="K408" t="n">
        <v/>
      </c>
      <c r="L408" t="n">
        <v/>
      </c>
      <c r="M408" t="n">
        <v/>
      </c>
    </row>
    <row r="409">
      <c r="A409" s="68"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8" t="n">
        <v>34182</v>
      </c>
      <c r="B410" t="n">
        <v>70.40000000000001</v>
      </c>
      <c r="C410" t="n">
        <v>463.5599975585938</v>
      </c>
      <c r="D410" t="n">
        <v>77.3</v>
      </c>
      <c r="E410" t="n">
        <v>95.09999999999999</v>
      </c>
      <c r="F410" t="n">
        <v>65.8</v>
      </c>
      <c r="G410" t="n">
        <v/>
      </c>
      <c r="H410" t="n">
        <v/>
      </c>
      <c r="I410" t="n">
        <v/>
      </c>
      <c r="J410" t="n">
        <v/>
      </c>
      <c r="K410" t="n">
        <v/>
      </c>
      <c r="L410" t="n">
        <v/>
      </c>
      <c r="M410" t="n">
        <v/>
      </c>
    </row>
    <row r="411">
      <c r="A411" s="68" t="n">
        <v>34213</v>
      </c>
      <c r="B411" t="n">
        <v>70.8</v>
      </c>
      <c r="C411" t="n">
        <v>458.9299926757812</v>
      </c>
      <c r="D411" t="n">
        <v>77.90000000000001</v>
      </c>
      <c r="E411" t="n">
        <v>95.2</v>
      </c>
      <c r="F411" t="n">
        <v>66.8</v>
      </c>
      <c r="G411" t="n">
        <v/>
      </c>
      <c r="H411" t="n">
        <v/>
      </c>
      <c r="I411" t="n">
        <v/>
      </c>
      <c r="J411" t="n">
        <v/>
      </c>
      <c r="K411" t="n">
        <v/>
      </c>
      <c r="L411" t="n">
        <v/>
      </c>
      <c r="M411" t="n">
        <v/>
      </c>
    </row>
    <row r="412">
      <c r="A412" s="68"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8" t="n">
        <v>34274</v>
      </c>
      <c r="B413" t="n">
        <v>71.5</v>
      </c>
      <c r="C413" t="n">
        <v>461.7900085449219</v>
      </c>
      <c r="D413" t="n">
        <v>81.2</v>
      </c>
      <c r="E413" t="n">
        <v>98.2</v>
      </c>
      <c r="F413" t="n">
        <v>70.3</v>
      </c>
      <c r="G413" t="n">
        <v/>
      </c>
      <c r="H413" t="n">
        <v/>
      </c>
      <c r="I413" t="n">
        <v/>
      </c>
      <c r="J413" t="n">
        <v/>
      </c>
      <c r="K413" t="n">
        <v/>
      </c>
      <c r="L413" t="n">
        <v/>
      </c>
      <c r="M413" t="n">
        <v/>
      </c>
    </row>
    <row r="414">
      <c r="A414" s="68" t="n">
        <v>34304</v>
      </c>
      <c r="B414" t="n">
        <v>72.5</v>
      </c>
      <c r="C414" t="n">
        <v>466.4500122070312</v>
      </c>
      <c r="D414" t="n">
        <v>88.2</v>
      </c>
      <c r="E414" t="n">
        <v>102.9</v>
      </c>
      <c r="F414" t="n">
        <v>78.8</v>
      </c>
      <c r="G414" t="n">
        <v/>
      </c>
      <c r="H414" t="n">
        <v/>
      </c>
      <c r="I414" t="n">
        <v/>
      </c>
      <c r="J414" t="n">
        <v/>
      </c>
      <c r="K414" t="n">
        <v/>
      </c>
      <c r="L414" t="n">
        <v/>
      </c>
      <c r="M414" t="n">
        <v/>
      </c>
    </row>
    <row r="415">
      <c r="A415" s="68"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8" t="n">
        <v>34366</v>
      </c>
      <c r="B416" t="n">
        <v>72.59999999999999</v>
      </c>
      <c r="C416" t="n">
        <v>467.1400146484375</v>
      </c>
      <c r="D416" t="n">
        <v>93.2</v>
      </c>
      <c r="E416" t="n">
        <v>108.3</v>
      </c>
      <c r="F416" t="n">
        <v>83.5</v>
      </c>
      <c r="G416" t="n">
        <v/>
      </c>
      <c r="H416" t="n">
        <v/>
      </c>
      <c r="I416" t="n">
        <v/>
      </c>
      <c r="J416" t="n">
        <v/>
      </c>
      <c r="K416" t="n">
        <v/>
      </c>
      <c r="L416" t="n">
        <v/>
      </c>
      <c r="M416" t="n">
        <v/>
      </c>
    </row>
    <row r="417">
      <c r="A417" s="68" t="n">
        <v>34394</v>
      </c>
      <c r="B417" t="n">
        <v>73.59999999999999</v>
      </c>
      <c r="C417" t="n">
        <v>445.7699890136719</v>
      </c>
      <c r="D417" t="n">
        <v>91.5</v>
      </c>
      <c r="E417" t="n">
        <v>101.4</v>
      </c>
      <c r="F417" t="n">
        <v>85.09999999999999</v>
      </c>
      <c r="G417" t="n">
        <v/>
      </c>
      <c r="H417" t="n">
        <v/>
      </c>
      <c r="I417" t="n">
        <v/>
      </c>
      <c r="J417" t="n">
        <v/>
      </c>
      <c r="K417" t="n">
        <v/>
      </c>
      <c r="L417" t="n">
        <v/>
      </c>
      <c r="M417" t="n">
        <v/>
      </c>
    </row>
    <row r="418">
      <c r="A418" s="68"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8" t="n">
        <v>34455</v>
      </c>
      <c r="B419" t="n">
        <v>74.5</v>
      </c>
      <c r="C419" t="n">
        <v>456.5</v>
      </c>
      <c r="D419" t="n">
        <v>92.8</v>
      </c>
      <c r="E419" t="n">
        <v>106.3</v>
      </c>
      <c r="F419" t="n">
        <v>84.2</v>
      </c>
      <c r="G419" t="n">
        <v/>
      </c>
      <c r="H419" t="n">
        <v/>
      </c>
      <c r="I419" t="n">
        <v/>
      </c>
      <c r="J419" t="n">
        <v/>
      </c>
      <c r="K419" t="n">
        <v/>
      </c>
      <c r="L419" t="n">
        <v/>
      </c>
      <c r="M419" t="n">
        <v/>
      </c>
    </row>
    <row r="420">
      <c r="A420" s="68" t="n">
        <v>34486</v>
      </c>
      <c r="B420" t="n">
        <v>75.09999999999999</v>
      </c>
      <c r="C420" t="n">
        <v>444.2699890136719</v>
      </c>
      <c r="D420" t="n">
        <v>91.2</v>
      </c>
      <c r="E420" t="n">
        <v>104.5</v>
      </c>
      <c r="F420" t="n">
        <v>82.7</v>
      </c>
      <c r="G420" t="n">
        <v/>
      </c>
      <c r="H420" t="n">
        <v/>
      </c>
      <c r="I420" t="n">
        <v/>
      </c>
      <c r="J420" t="n">
        <v/>
      </c>
      <c r="K420" t="n">
        <v/>
      </c>
      <c r="L420" t="n">
        <v/>
      </c>
      <c r="M420" t="n">
        <v/>
      </c>
    </row>
    <row r="421">
      <c r="A421" s="68"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8" t="n">
        <v>34547</v>
      </c>
      <c r="B422" t="n">
        <v>76</v>
      </c>
      <c r="C422" t="n">
        <v>475.489990234375</v>
      </c>
      <c r="D422" t="n">
        <v>91.7</v>
      </c>
      <c r="E422" t="n">
        <v>108.7</v>
      </c>
      <c r="F422" t="n">
        <v>80.8</v>
      </c>
      <c r="G422" t="n">
        <v/>
      </c>
      <c r="H422" t="n">
        <v/>
      </c>
      <c r="I422" t="n">
        <v/>
      </c>
      <c r="J422" t="n">
        <v/>
      </c>
      <c r="K422" t="n">
        <v/>
      </c>
      <c r="L422" t="n">
        <v/>
      </c>
      <c r="M422" t="n">
        <v/>
      </c>
    </row>
    <row r="423">
      <c r="A423" s="68" t="n">
        <v>34578</v>
      </c>
      <c r="B423" t="n">
        <v>76.5</v>
      </c>
      <c r="C423" t="n">
        <v>462.7099914550781</v>
      </c>
      <c r="D423" t="n">
        <v>91.5</v>
      </c>
      <c r="E423" t="n">
        <v>104</v>
      </c>
      <c r="F423" t="n">
        <v>83.5</v>
      </c>
      <c r="G423" t="n">
        <v/>
      </c>
      <c r="H423" t="n">
        <v/>
      </c>
      <c r="I423" t="n">
        <v/>
      </c>
      <c r="J423" t="n">
        <v/>
      </c>
      <c r="K423" t="n">
        <v/>
      </c>
      <c r="L423" t="n">
        <v/>
      </c>
      <c r="M423" t="n">
        <v/>
      </c>
    </row>
    <row r="424">
      <c r="A424" s="68"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8" t="n">
        <v>34639</v>
      </c>
      <c r="B425" t="n">
        <v>77.09999999999999</v>
      </c>
      <c r="C425" t="n">
        <v>453.6900024414062</v>
      </c>
      <c r="D425" t="n">
        <v>91.59999999999999</v>
      </c>
      <c r="E425" t="n">
        <v>102.1</v>
      </c>
      <c r="F425" t="n">
        <v>84.8</v>
      </c>
      <c r="G425" t="n">
        <v/>
      </c>
      <c r="H425" t="n">
        <v/>
      </c>
      <c r="I425" t="n">
        <v/>
      </c>
      <c r="J425" t="n">
        <v/>
      </c>
      <c r="K425" t="n">
        <v/>
      </c>
      <c r="L425" t="n">
        <v/>
      </c>
      <c r="M425" t="n">
        <v/>
      </c>
    </row>
    <row r="426">
      <c r="A426" s="68" t="n">
        <v>34669</v>
      </c>
      <c r="B426" t="n">
        <v>77.7</v>
      </c>
      <c r="C426" t="n">
        <v>459.2699890136719</v>
      </c>
      <c r="D426" t="n">
        <v>95.09999999999999</v>
      </c>
      <c r="E426" t="n">
        <v>104.9</v>
      </c>
      <c r="F426" t="n">
        <v>88.8</v>
      </c>
      <c r="G426" t="n">
        <v/>
      </c>
      <c r="H426" t="n">
        <v/>
      </c>
      <c r="I426" t="n">
        <v/>
      </c>
      <c r="J426" t="n">
        <v/>
      </c>
      <c r="K426" t="n">
        <v/>
      </c>
      <c r="L426" t="n">
        <v/>
      </c>
      <c r="M426" t="n">
        <v/>
      </c>
    </row>
    <row r="427">
      <c r="A427" s="68"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8" t="n">
        <v>34731</v>
      </c>
      <c r="B428" t="n">
        <v>77.8</v>
      </c>
      <c r="C428" t="n">
        <v>487.3900146484375</v>
      </c>
      <c r="D428" t="n">
        <v>95.09999999999999</v>
      </c>
      <c r="E428" t="n">
        <v>109.3</v>
      </c>
      <c r="F428" t="n">
        <v>85.90000000000001</v>
      </c>
      <c r="G428" t="n">
        <v/>
      </c>
      <c r="H428" t="n">
        <v/>
      </c>
      <c r="I428" t="n">
        <v/>
      </c>
      <c r="J428" t="n">
        <v/>
      </c>
      <c r="K428" t="n">
        <v/>
      </c>
      <c r="L428" t="n">
        <v/>
      </c>
      <c r="M428" t="n">
        <v/>
      </c>
    </row>
    <row r="429">
      <c r="A429" s="68" t="n">
        <v>34759</v>
      </c>
      <c r="B429" t="n">
        <v>77.8</v>
      </c>
      <c r="C429" t="n">
        <v>500.7099914550781</v>
      </c>
      <c r="D429" t="n">
        <v>90.3</v>
      </c>
      <c r="E429" t="n">
        <v>106.5</v>
      </c>
      <c r="F429" t="n">
        <v>79.8</v>
      </c>
      <c r="G429" t="n">
        <v/>
      </c>
      <c r="H429" t="n">
        <v/>
      </c>
      <c r="I429" t="n">
        <v/>
      </c>
      <c r="J429" t="n">
        <v/>
      </c>
      <c r="K429" t="n">
        <v/>
      </c>
      <c r="L429" t="n">
        <v/>
      </c>
      <c r="M429" t="n">
        <v/>
      </c>
    </row>
    <row r="430">
      <c r="A430" s="68"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8" t="n">
        <v>34820</v>
      </c>
      <c r="B431" t="n">
        <v>77.7</v>
      </c>
      <c r="C431" t="n">
        <v>533.4000244140625</v>
      </c>
      <c r="D431" t="n">
        <v>89.8</v>
      </c>
      <c r="E431" t="n">
        <v>105</v>
      </c>
      <c r="F431" t="n">
        <v>80.09999999999999</v>
      </c>
      <c r="G431" t="n">
        <v/>
      </c>
      <c r="H431" t="n">
        <v/>
      </c>
      <c r="I431" t="n">
        <v/>
      </c>
      <c r="J431" t="n">
        <v/>
      </c>
      <c r="K431" t="n">
        <v/>
      </c>
      <c r="L431" t="n">
        <v/>
      </c>
      <c r="M431" t="n">
        <v/>
      </c>
    </row>
    <row r="432">
      <c r="A432" s="68" t="n">
        <v>34851</v>
      </c>
      <c r="B432" t="n">
        <v>77.7</v>
      </c>
      <c r="C432" t="n">
        <v>544.75</v>
      </c>
      <c r="D432" t="n">
        <v>92.7</v>
      </c>
      <c r="E432" t="n">
        <v>106.1</v>
      </c>
      <c r="F432" t="n">
        <v>84.09999999999999</v>
      </c>
      <c r="G432" t="n">
        <v/>
      </c>
      <c r="H432" t="n">
        <v/>
      </c>
      <c r="I432" t="n">
        <v/>
      </c>
      <c r="J432" t="n">
        <v/>
      </c>
      <c r="K432" t="n">
        <v/>
      </c>
      <c r="L432" t="n">
        <v/>
      </c>
      <c r="M432" t="n">
        <v/>
      </c>
    </row>
    <row r="433">
      <c r="A433" s="68"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8" t="n">
        <v>34912</v>
      </c>
      <c r="B434" t="n">
        <v>78.2</v>
      </c>
      <c r="C434" t="n">
        <v>561.8800048828125</v>
      </c>
      <c r="D434" t="n">
        <v>96.2</v>
      </c>
      <c r="E434" t="n">
        <v>111.8</v>
      </c>
      <c r="F434" t="n">
        <v>86.09999999999999</v>
      </c>
      <c r="G434" t="n">
        <v/>
      </c>
      <c r="H434" t="n">
        <v/>
      </c>
      <c r="I434" t="n">
        <v/>
      </c>
      <c r="J434" t="n">
        <v/>
      </c>
      <c r="K434" t="n">
        <v/>
      </c>
      <c r="L434" t="n">
        <v/>
      </c>
      <c r="M434" t="n">
        <v/>
      </c>
    </row>
    <row r="435">
      <c r="A435" s="68" t="n">
        <v>34943</v>
      </c>
      <c r="B435" t="n">
        <v>78.40000000000001</v>
      </c>
      <c r="C435" t="n">
        <v>584.4099731445312</v>
      </c>
      <c r="D435" t="n">
        <v>88.90000000000001</v>
      </c>
      <c r="E435" t="n">
        <v>104.6</v>
      </c>
      <c r="F435" t="n">
        <v>78.8</v>
      </c>
      <c r="G435" t="n">
        <v/>
      </c>
      <c r="H435" t="n">
        <v/>
      </c>
      <c r="I435" t="n">
        <v/>
      </c>
      <c r="J435" t="n">
        <v/>
      </c>
      <c r="K435" t="n">
        <v/>
      </c>
      <c r="L435" t="n">
        <v/>
      </c>
      <c r="M435" t="n">
        <v/>
      </c>
    </row>
    <row r="436">
      <c r="A436" s="68"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8" t="n">
        <v>35004</v>
      </c>
      <c r="B437" t="n">
        <v>78.3</v>
      </c>
      <c r="C437" t="n">
        <v>605.3699951171875</v>
      </c>
      <c r="D437" t="n">
        <v>88.2</v>
      </c>
      <c r="E437" t="n">
        <v>101.3</v>
      </c>
      <c r="F437" t="n">
        <v>79.7</v>
      </c>
      <c r="G437" t="n">
        <v/>
      </c>
      <c r="H437" t="n">
        <v/>
      </c>
      <c r="I437" t="n">
        <v/>
      </c>
      <c r="J437" t="n">
        <v/>
      </c>
      <c r="K437" t="n">
        <v/>
      </c>
      <c r="L437" t="n">
        <v/>
      </c>
      <c r="M437" t="n">
        <v/>
      </c>
    </row>
    <row r="438">
      <c r="A438" s="68" t="n">
        <v>35034</v>
      </c>
      <c r="B438" t="n">
        <v>78.40000000000001</v>
      </c>
      <c r="C438" t="n">
        <v>615.9299926757812</v>
      </c>
      <c r="D438" t="n">
        <v>91</v>
      </c>
      <c r="E438" t="n">
        <v>102.4</v>
      </c>
      <c r="F438" t="n">
        <v>83.7</v>
      </c>
      <c r="G438" t="n">
        <v/>
      </c>
      <c r="H438" t="n">
        <v/>
      </c>
      <c r="I438" t="n">
        <v/>
      </c>
      <c r="J438" t="n">
        <v/>
      </c>
      <c r="K438" t="n">
        <v/>
      </c>
      <c r="L438" t="n">
        <v/>
      </c>
      <c r="M438" t="n">
        <v/>
      </c>
    </row>
    <row r="439">
      <c r="A439" s="68"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8" t="n">
        <v>35096</v>
      </c>
      <c r="B440" t="n">
        <v>77.8</v>
      </c>
      <c r="C440" t="n">
        <v>640.4299926757812</v>
      </c>
      <c r="D440" t="n">
        <v>88.5</v>
      </c>
      <c r="E440" t="n">
        <v>105.2</v>
      </c>
      <c r="F440" t="n">
        <v>77.8</v>
      </c>
      <c r="G440" t="n">
        <v/>
      </c>
      <c r="H440" t="n">
        <v/>
      </c>
      <c r="I440" t="n">
        <v/>
      </c>
      <c r="J440" t="n">
        <v/>
      </c>
      <c r="K440" t="n">
        <v/>
      </c>
      <c r="L440" t="n">
        <v/>
      </c>
      <c r="M440" t="n">
        <v/>
      </c>
    </row>
    <row r="441">
      <c r="A441" s="68" t="n">
        <v>35125</v>
      </c>
      <c r="B441" t="n">
        <v>78</v>
      </c>
      <c r="C441" t="n">
        <v>645.5</v>
      </c>
      <c r="D441" t="n">
        <v>93.7</v>
      </c>
      <c r="E441" t="n">
        <v>105.4</v>
      </c>
      <c r="F441" t="n">
        <v>86.2</v>
      </c>
      <c r="G441" t="n">
        <v/>
      </c>
      <c r="H441" t="n">
        <v/>
      </c>
      <c r="I441" t="n">
        <v/>
      </c>
      <c r="J441" t="n">
        <v/>
      </c>
      <c r="K441" t="n">
        <v/>
      </c>
      <c r="L441" t="n">
        <v/>
      </c>
      <c r="M441" t="n">
        <v/>
      </c>
    </row>
    <row r="442">
      <c r="A442" s="68"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8" t="n">
        <v>35186</v>
      </c>
      <c r="B443" t="n">
        <v>79.09999999999999</v>
      </c>
      <c r="C443" t="n">
        <v>669.1199951171875</v>
      </c>
      <c r="D443" t="n">
        <v>89.40000000000001</v>
      </c>
      <c r="E443" t="n">
        <v>105.1</v>
      </c>
      <c r="F443" t="n">
        <v>79.2</v>
      </c>
      <c r="G443" t="n">
        <v/>
      </c>
      <c r="H443" t="n">
        <v/>
      </c>
      <c r="I443" t="n">
        <v/>
      </c>
      <c r="J443" t="n">
        <v/>
      </c>
      <c r="K443" t="n">
        <v/>
      </c>
      <c r="L443" t="n">
        <v/>
      </c>
      <c r="M443" t="n">
        <v/>
      </c>
    </row>
    <row r="444">
      <c r="A444" s="68" t="n">
        <v>35217</v>
      </c>
      <c r="B444" t="n">
        <v>79.59999999999999</v>
      </c>
      <c r="C444" t="n">
        <v>670.6300048828125</v>
      </c>
      <c r="D444" t="n">
        <v>92.40000000000001</v>
      </c>
      <c r="E444" t="n">
        <v>105.4</v>
      </c>
      <c r="F444" t="n">
        <v>84</v>
      </c>
      <c r="G444" t="n">
        <v/>
      </c>
      <c r="H444" t="n">
        <v/>
      </c>
      <c r="I444" t="n">
        <v/>
      </c>
      <c r="J444" t="n">
        <v/>
      </c>
      <c r="K444" t="n">
        <v/>
      </c>
      <c r="L444" t="n">
        <v/>
      </c>
      <c r="M444" t="n">
        <v/>
      </c>
    </row>
    <row r="445">
      <c r="A445" s="68"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8" t="n">
        <v>35278</v>
      </c>
      <c r="B446" t="n">
        <v>79.7</v>
      </c>
      <c r="C446" t="n">
        <v>651.989990234375</v>
      </c>
      <c r="D446" t="n">
        <v>95.3</v>
      </c>
      <c r="E446" t="n">
        <v>107.8</v>
      </c>
      <c r="F446" t="n">
        <v>87.3</v>
      </c>
      <c r="G446" t="n">
        <v/>
      </c>
      <c r="H446" t="n">
        <v/>
      </c>
      <c r="I446" t="n">
        <v/>
      </c>
      <c r="J446" t="n">
        <v/>
      </c>
      <c r="K446" t="n">
        <v/>
      </c>
      <c r="L446" t="n">
        <v/>
      </c>
      <c r="M446" t="n">
        <v/>
      </c>
    </row>
    <row r="447">
      <c r="A447" s="68" t="n">
        <v>35309</v>
      </c>
      <c r="B447" t="n">
        <v>80</v>
      </c>
      <c r="C447" t="n">
        <v>687.3300170898438</v>
      </c>
      <c r="D447" t="n">
        <v>94.7</v>
      </c>
      <c r="E447" t="n">
        <v>102</v>
      </c>
      <c r="F447" t="n">
        <v>90.09999999999999</v>
      </c>
      <c r="G447" t="n">
        <v/>
      </c>
      <c r="H447" t="n">
        <v/>
      </c>
      <c r="I447" t="n">
        <v/>
      </c>
      <c r="J447" t="n">
        <v/>
      </c>
      <c r="K447" t="n">
        <v/>
      </c>
      <c r="L447" t="n">
        <v/>
      </c>
      <c r="M447" t="n">
        <v/>
      </c>
    </row>
    <row r="448">
      <c r="A448" s="68"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8" t="n">
        <v>35370</v>
      </c>
      <c r="B449" t="n">
        <v>80.8</v>
      </c>
      <c r="C449" t="n">
        <v>757.02001953125</v>
      </c>
      <c r="D449" t="n">
        <v>99.2</v>
      </c>
      <c r="E449" t="n">
        <v>107.5</v>
      </c>
      <c r="F449" t="n">
        <v>93.90000000000001</v>
      </c>
      <c r="G449" t="n">
        <v/>
      </c>
      <c r="H449" t="n">
        <v/>
      </c>
      <c r="I449" t="n">
        <v/>
      </c>
      <c r="J449" t="n">
        <v/>
      </c>
      <c r="K449" t="n">
        <v/>
      </c>
      <c r="L449" t="n">
        <v/>
      </c>
      <c r="M449" t="n">
        <v/>
      </c>
    </row>
    <row r="450">
      <c r="A450" s="68" t="n">
        <v>35400</v>
      </c>
      <c r="B450" t="n">
        <v>80.8</v>
      </c>
      <c r="C450" t="n">
        <v>740.739990234375</v>
      </c>
      <c r="D450" t="n">
        <v>96.90000000000001</v>
      </c>
      <c r="E450" t="n">
        <v>104.9</v>
      </c>
      <c r="F450" t="n">
        <v>91.8</v>
      </c>
      <c r="G450" t="n">
        <v/>
      </c>
      <c r="H450" t="n">
        <v/>
      </c>
      <c r="I450" t="n">
        <v/>
      </c>
      <c r="J450" t="n">
        <v/>
      </c>
      <c r="K450" t="n">
        <v/>
      </c>
      <c r="L450" t="n">
        <v/>
      </c>
      <c r="M450" t="n">
        <v/>
      </c>
    </row>
    <row r="451">
      <c r="A451" s="68"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8" t="n">
        <v>35462</v>
      </c>
      <c r="B452" t="n">
        <v>82.40000000000001</v>
      </c>
      <c r="C452" t="n">
        <v>790.8200073242188</v>
      </c>
      <c r="D452" t="n">
        <v>99.7</v>
      </c>
      <c r="E452" t="n">
        <v>107.2</v>
      </c>
      <c r="F452" t="n">
        <v>94.90000000000001</v>
      </c>
      <c r="G452" t="n">
        <v/>
      </c>
      <c r="H452" t="n">
        <v/>
      </c>
      <c r="I452" t="n">
        <v/>
      </c>
      <c r="J452" t="n">
        <v/>
      </c>
      <c r="K452" t="n">
        <v/>
      </c>
      <c r="L452" t="n">
        <v/>
      </c>
      <c r="M452" t="n">
        <v/>
      </c>
    </row>
    <row r="453">
      <c r="A453" s="68" t="n">
        <v>35490</v>
      </c>
      <c r="B453" t="n">
        <v>82.8</v>
      </c>
      <c r="C453" t="n">
        <v>757.1199951171875</v>
      </c>
      <c r="D453" t="n">
        <v>100</v>
      </c>
      <c r="E453" t="n">
        <v>109.8</v>
      </c>
      <c r="F453" t="n">
        <v>93.59999999999999</v>
      </c>
      <c r="G453" t="n">
        <v/>
      </c>
      <c r="H453" t="n">
        <v/>
      </c>
      <c r="I453" t="n">
        <v/>
      </c>
      <c r="J453" t="n">
        <v/>
      </c>
      <c r="K453" t="n">
        <v/>
      </c>
      <c r="L453" t="n">
        <v/>
      </c>
      <c r="M453" t="n">
        <v/>
      </c>
    </row>
    <row r="454">
      <c r="A454" s="68"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8" t="n">
        <v>35551</v>
      </c>
      <c r="B455" t="n">
        <v>83.40000000000001</v>
      </c>
      <c r="C455" t="n">
        <v>848.280029296875</v>
      </c>
      <c r="D455" t="n">
        <v>103.2</v>
      </c>
      <c r="E455" t="n">
        <v>113.5</v>
      </c>
      <c r="F455" t="n">
        <v>96.59999999999999</v>
      </c>
      <c r="G455" t="n">
        <v/>
      </c>
      <c r="H455" t="n">
        <v/>
      </c>
      <c r="I455" t="n">
        <v/>
      </c>
      <c r="J455" t="n">
        <v/>
      </c>
      <c r="K455" t="n">
        <v/>
      </c>
      <c r="L455" t="n">
        <v/>
      </c>
      <c r="M455" t="n">
        <v/>
      </c>
    </row>
    <row r="456">
      <c r="A456" s="68" t="n">
        <v>35582</v>
      </c>
      <c r="B456" t="n">
        <v>84</v>
      </c>
      <c r="C456" t="n">
        <v>885.1400146484375</v>
      </c>
      <c r="D456" t="n">
        <v>104.5</v>
      </c>
      <c r="E456" t="n">
        <v>113.2</v>
      </c>
      <c r="F456" t="n">
        <v>98.90000000000001</v>
      </c>
      <c r="G456" t="n">
        <v/>
      </c>
      <c r="H456" t="n">
        <v/>
      </c>
      <c r="I456" t="n">
        <v/>
      </c>
      <c r="J456" t="n">
        <v/>
      </c>
      <c r="K456" t="n">
        <v/>
      </c>
      <c r="L456" t="n">
        <v/>
      </c>
      <c r="M456" t="n">
        <v/>
      </c>
    </row>
    <row r="457">
      <c r="A457" s="68"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8" t="n">
        <v>35643</v>
      </c>
      <c r="B458" t="n">
        <v>85.2</v>
      </c>
      <c r="C458" t="n">
        <v>899.469970703125</v>
      </c>
      <c r="D458" t="n">
        <v>104.4</v>
      </c>
      <c r="E458" t="n">
        <v>110.7</v>
      </c>
      <c r="F458" t="n">
        <v>100.3</v>
      </c>
      <c r="G458" t="n">
        <v/>
      </c>
      <c r="H458" t="n">
        <v/>
      </c>
      <c r="I458" t="n">
        <v/>
      </c>
      <c r="J458" t="n">
        <v/>
      </c>
      <c r="K458" t="n">
        <v/>
      </c>
      <c r="L458" t="n">
        <v/>
      </c>
      <c r="M458" t="n">
        <v/>
      </c>
    </row>
    <row r="459">
      <c r="A459" s="68" t="n">
        <v>35674</v>
      </c>
      <c r="B459" t="n">
        <v>85.8</v>
      </c>
      <c r="C459" t="n">
        <v>947.280029296875</v>
      </c>
      <c r="D459" t="n">
        <v>106</v>
      </c>
      <c r="E459" t="n">
        <v>114.1</v>
      </c>
      <c r="F459" t="n">
        <v>100.7</v>
      </c>
      <c r="G459" t="n">
        <v/>
      </c>
      <c r="H459" t="n">
        <v/>
      </c>
      <c r="I459" t="n">
        <v/>
      </c>
      <c r="J459" t="n">
        <v/>
      </c>
      <c r="K459" t="n">
        <v/>
      </c>
      <c r="L459" t="n">
        <v/>
      </c>
      <c r="M459" t="n">
        <v/>
      </c>
    </row>
    <row r="460">
      <c r="A460" s="68"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8" t="n">
        <v>35735</v>
      </c>
      <c r="B461" t="n">
        <v>86.3</v>
      </c>
      <c r="C461" t="n">
        <v>955.4000244140625</v>
      </c>
      <c r="D461" t="n">
        <v>107.2</v>
      </c>
      <c r="E461" t="n">
        <v>114.9</v>
      </c>
      <c r="F461" t="n">
        <v>102.3</v>
      </c>
      <c r="G461" t="n">
        <v/>
      </c>
      <c r="H461" t="n">
        <v/>
      </c>
      <c r="I461" t="n">
        <v/>
      </c>
      <c r="J461" t="n">
        <v/>
      </c>
      <c r="K461" t="n">
        <v/>
      </c>
      <c r="L461" t="n">
        <v/>
      </c>
      <c r="M461" t="n">
        <v/>
      </c>
    </row>
    <row r="462">
      <c r="A462" s="68" t="n">
        <v>35765</v>
      </c>
      <c r="B462" t="n">
        <v>86.59999999999999</v>
      </c>
      <c r="C462" t="n">
        <v>970.4299926757812</v>
      </c>
      <c r="D462" t="n">
        <v>102.1</v>
      </c>
      <c r="E462" t="n">
        <v>111.4</v>
      </c>
      <c r="F462" t="n">
        <v>96.09999999999999</v>
      </c>
      <c r="G462" t="n">
        <v/>
      </c>
      <c r="H462" t="n">
        <v/>
      </c>
      <c r="I462" t="n">
        <v/>
      </c>
      <c r="J462" t="n">
        <v/>
      </c>
      <c r="K462" t="n">
        <v/>
      </c>
      <c r="L462" t="n">
        <v/>
      </c>
      <c r="M462" t="n">
        <v/>
      </c>
    </row>
    <row r="463">
      <c r="A463" s="68"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8" t="n">
        <v>35827</v>
      </c>
      <c r="B464" t="n">
        <v>87.5</v>
      </c>
      <c r="C464" t="n">
        <v>1049.339965820312</v>
      </c>
      <c r="D464" t="n">
        <v>110.4</v>
      </c>
      <c r="E464" t="n">
        <v>120</v>
      </c>
      <c r="F464" t="n">
        <v>104.2</v>
      </c>
      <c r="G464" t="n">
        <v/>
      </c>
      <c r="H464" t="n">
        <v/>
      </c>
      <c r="I464" t="n">
        <v/>
      </c>
      <c r="J464" t="n">
        <v/>
      </c>
      <c r="K464" t="n">
        <v/>
      </c>
      <c r="L464" t="n">
        <v/>
      </c>
      <c r="M464" t="n">
        <v/>
      </c>
    </row>
    <row r="465">
      <c r="A465" s="68" t="n">
        <v>35855</v>
      </c>
      <c r="B465" t="n">
        <v>87.59999999999999</v>
      </c>
      <c r="C465" t="n">
        <v>1101.75</v>
      </c>
      <c r="D465" t="n">
        <v>106.5</v>
      </c>
      <c r="E465" t="n">
        <v>113.7</v>
      </c>
      <c r="F465" t="n">
        <v>101.9</v>
      </c>
      <c r="G465" t="n">
        <v/>
      </c>
      <c r="H465" t="n">
        <v/>
      </c>
      <c r="I465" t="n">
        <v/>
      </c>
      <c r="J465" t="n">
        <v/>
      </c>
      <c r="K465" t="n">
        <v/>
      </c>
      <c r="L465" t="n">
        <v/>
      </c>
      <c r="M465" t="n">
        <v/>
      </c>
    </row>
    <row r="466">
      <c r="A466" s="68"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8" t="n">
        <v>35916</v>
      </c>
      <c r="B467" t="n">
        <v>88</v>
      </c>
      <c r="C467" t="n">
        <v>1090.819946289062</v>
      </c>
      <c r="D467" t="n">
        <v>106.5</v>
      </c>
      <c r="E467" t="n">
        <v>113.9</v>
      </c>
      <c r="F467" t="n">
        <v>101.7</v>
      </c>
      <c r="G467" t="n">
        <v/>
      </c>
      <c r="H467" t="n">
        <v/>
      </c>
      <c r="I467" t="n">
        <v/>
      </c>
      <c r="J467" t="n">
        <v/>
      </c>
      <c r="K467" t="n">
        <v/>
      </c>
      <c r="L467" t="n">
        <v/>
      </c>
      <c r="M467" t="n">
        <v/>
      </c>
    </row>
    <row r="468">
      <c r="A468" s="68" t="n">
        <v>35947</v>
      </c>
      <c r="B468" t="n">
        <v>87.40000000000001</v>
      </c>
      <c r="C468" t="n">
        <v>1133.839965820312</v>
      </c>
      <c r="D468" t="n">
        <v>105.6</v>
      </c>
      <c r="E468" t="n">
        <v>115.4</v>
      </c>
      <c r="F468" t="n">
        <v>99.3</v>
      </c>
      <c r="G468" t="n">
        <v/>
      </c>
      <c r="H468" t="n">
        <v/>
      </c>
      <c r="I468" t="n">
        <v/>
      </c>
      <c r="J468" t="n">
        <v/>
      </c>
      <c r="K468" t="n">
        <v/>
      </c>
      <c r="L468" t="n">
        <v/>
      </c>
      <c r="M468" t="n">
        <v/>
      </c>
    </row>
    <row r="469">
      <c r="A469" s="68"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8" t="n">
        <v>36008</v>
      </c>
      <c r="B470" t="n">
        <v>87.8</v>
      </c>
      <c r="C470" t="n">
        <v>957.280029296875</v>
      </c>
      <c r="D470" t="n">
        <v>104.4</v>
      </c>
      <c r="E470" t="n">
        <v>113.9</v>
      </c>
      <c r="F470" t="n">
        <v>98.3</v>
      </c>
      <c r="G470" t="n">
        <v/>
      </c>
      <c r="H470" t="n">
        <v/>
      </c>
      <c r="I470" t="n">
        <v/>
      </c>
      <c r="J470" t="n">
        <v/>
      </c>
      <c r="K470" t="n">
        <v/>
      </c>
      <c r="L470" t="n">
        <v/>
      </c>
      <c r="M470" t="n">
        <v/>
      </c>
    </row>
    <row r="471">
      <c r="A471" s="68" t="n">
        <v>36039</v>
      </c>
      <c r="B471" t="n">
        <v>87.3</v>
      </c>
      <c r="C471" t="n">
        <v>1017.010009765625</v>
      </c>
      <c r="D471" t="n">
        <v>100.9</v>
      </c>
      <c r="E471" t="n">
        <v>111.7</v>
      </c>
      <c r="F471" t="n">
        <v>93.90000000000001</v>
      </c>
      <c r="G471" t="n">
        <v/>
      </c>
      <c r="H471" t="n">
        <v/>
      </c>
      <c r="I471" t="n">
        <v/>
      </c>
      <c r="J471" t="n">
        <v/>
      </c>
      <c r="K471" t="n">
        <v/>
      </c>
      <c r="L471" t="n">
        <v/>
      </c>
      <c r="M471" t="n">
        <v/>
      </c>
    </row>
    <row r="472">
      <c r="A472" s="68"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8" t="n">
        <v>36100</v>
      </c>
      <c r="B473" t="n">
        <v>87.09999999999999</v>
      </c>
      <c r="C473" t="n">
        <v>1163.630004882812</v>
      </c>
      <c r="D473" t="n">
        <v>102.7</v>
      </c>
      <c r="E473" t="n">
        <v>115.9</v>
      </c>
      <c r="F473" t="n">
        <v>94.3</v>
      </c>
      <c r="G473" t="n">
        <v/>
      </c>
      <c r="H473" t="n">
        <v/>
      </c>
      <c r="I473" t="n">
        <v/>
      </c>
      <c r="J473" t="n">
        <v/>
      </c>
      <c r="K473" t="n">
        <v/>
      </c>
      <c r="L473" t="n">
        <v/>
      </c>
      <c r="M473" t="n">
        <v/>
      </c>
    </row>
    <row r="474">
      <c r="A474" s="68" t="n">
        <v>36130</v>
      </c>
      <c r="B474" t="n">
        <v>87.3</v>
      </c>
      <c r="C474" t="n">
        <v>1229.22998046875</v>
      </c>
      <c r="D474" t="n">
        <v>100.5</v>
      </c>
      <c r="E474" t="n">
        <v>113.9</v>
      </c>
      <c r="F474" t="n">
        <v>91.90000000000001</v>
      </c>
      <c r="G474" t="n">
        <v/>
      </c>
      <c r="H474" t="n">
        <v/>
      </c>
      <c r="I474" t="n">
        <v/>
      </c>
      <c r="J474" t="n">
        <v/>
      </c>
      <c r="K474" t="n">
        <v/>
      </c>
      <c r="L474" t="n">
        <v/>
      </c>
      <c r="M474" t="n">
        <v/>
      </c>
    </row>
    <row r="475">
      <c r="A475" s="68"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8" t="n">
        <v>36192</v>
      </c>
      <c r="B476" t="n">
        <v>87.7</v>
      </c>
      <c r="C476" t="n">
        <v>1238.329956054688</v>
      </c>
      <c r="D476" t="n">
        <v>108.1</v>
      </c>
      <c r="E476" t="n">
        <v>115</v>
      </c>
      <c r="F476" t="n">
        <v>103.6</v>
      </c>
      <c r="G476" t="n">
        <v/>
      </c>
      <c r="H476" t="n">
        <v/>
      </c>
      <c r="I476" t="n">
        <v/>
      </c>
      <c r="J476" t="n">
        <v/>
      </c>
      <c r="K476" t="n">
        <v/>
      </c>
      <c r="L476" t="n">
        <v/>
      </c>
      <c r="M476" t="n">
        <v/>
      </c>
    </row>
    <row r="477">
      <c r="A477" s="68" t="n">
        <v>36220</v>
      </c>
      <c r="B477" t="n">
        <v>87.7</v>
      </c>
      <c r="C477" t="n">
        <v>1286.369995117188</v>
      </c>
      <c r="D477" t="n">
        <v>105.7</v>
      </c>
      <c r="E477" t="n">
        <v>116.3</v>
      </c>
      <c r="F477" t="n">
        <v>99</v>
      </c>
      <c r="G477" t="n">
        <v/>
      </c>
      <c r="H477" t="n">
        <v/>
      </c>
      <c r="I477" t="n">
        <v/>
      </c>
      <c r="J477" t="n">
        <v/>
      </c>
      <c r="K477" t="n">
        <v/>
      </c>
      <c r="L477" t="n">
        <v/>
      </c>
      <c r="M477" t="n">
        <v/>
      </c>
    </row>
    <row r="478">
      <c r="A478" s="68"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8" t="n">
        <v>36281</v>
      </c>
      <c r="B479" t="n">
        <v>88.3</v>
      </c>
      <c r="C479" t="n">
        <v>1301.839965820312</v>
      </c>
      <c r="D479" t="n">
        <v>106.8</v>
      </c>
      <c r="E479" t="n">
        <v>121.1</v>
      </c>
      <c r="F479" t="n">
        <v>97.59999999999999</v>
      </c>
      <c r="G479" t="n">
        <v/>
      </c>
      <c r="H479" t="n">
        <v/>
      </c>
      <c r="I479" t="n">
        <v/>
      </c>
      <c r="J479" t="n">
        <v/>
      </c>
      <c r="K479" t="n">
        <v/>
      </c>
      <c r="L479" t="n">
        <v/>
      </c>
      <c r="M479" t="n">
        <v/>
      </c>
    </row>
    <row r="480">
      <c r="A480" s="68" t="n">
        <v>36312</v>
      </c>
      <c r="B480" t="n">
        <v>88.59999999999999</v>
      </c>
      <c r="C480" t="n">
        <v>1372.7099609375</v>
      </c>
      <c r="D480" t="n">
        <v>107.3</v>
      </c>
      <c r="E480" t="n">
        <v>118.9</v>
      </c>
      <c r="F480" t="n">
        <v>99.8</v>
      </c>
      <c r="G480" t="n">
        <v/>
      </c>
      <c r="H480" t="n">
        <v/>
      </c>
      <c r="I480" t="n">
        <v/>
      </c>
      <c r="J480" t="n">
        <v/>
      </c>
      <c r="K480" t="n">
        <v/>
      </c>
      <c r="L480" t="n">
        <v/>
      </c>
      <c r="M480" t="n">
        <v/>
      </c>
    </row>
    <row r="481">
      <c r="A481" s="68"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8" t="n">
        <v>36373</v>
      </c>
      <c r="B482" t="n">
        <v>89.09999999999999</v>
      </c>
      <c r="C482" t="n">
        <v>1320.410034179688</v>
      </c>
      <c r="D482" t="n">
        <v>104.5</v>
      </c>
      <c r="E482" t="n">
        <v>114.1</v>
      </c>
      <c r="F482" t="n">
        <v>98.40000000000001</v>
      </c>
      <c r="G482" t="n">
        <v/>
      </c>
      <c r="H482" t="n">
        <v/>
      </c>
      <c r="I482" t="n">
        <v/>
      </c>
      <c r="J482" t="n">
        <v/>
      </c>
      <c r="K482" t="n">
        <v/>
      </c>
      <c r="L482" t="n">
        <v/>
      </c>
      <c r="M482" t="n">
        <v/>
      </c>
    </row>
    <row r="483">
      <c r="A483" s="68" t="n">
        <v>36404</v>
      </c>
      <c r="B483" t="n">
        <v>89.09999999999999</v>
      </c>
      <c r="C483" t="n">
        <v>1282.7099609375</v>
      </c>
      <c r="D483" t="n">
        <v>107.2</v>
      </c>
      <c r="E483" t="n">
        <v>115.9</v>
      </c>
      <c r="F483" t="n">
        <v>101.5</v>
      </c>
      <c r="G483" t="n">
        <v/>
      </c>
      <c r="H483" t="n">
        <v/>
      </c>
      <c r="I483" t="n">
        <v/>
      </c>
      <c r="J483" t="n">
        <v/>
      </c>
      <c r="K483" t="n">
        <v/>
      </c>
      <c r="L483" t="n">
        <v/>
      </c>
      <c r="M483" t="n">
        <v/>
      </c>
    </row>
    <row r="484">
      <c r="A484" s="68"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8" t="n">
        <v>36465</v>
      </c>
      <c r="B485" t="n">
        <v>89.90000000000001</v>
      </c>
      <c r="C485" t="n">
        <v>1388.910034179688</v>
      </c>
      <c r="D485" t="n">
        <v>107.2</v>
      </c>
      <c r="E485" t="n">
        <v>116.8</v>
      </c>
      <c r="F485" t="n">
        <v>101</v>
      </c>
      <c r="G485" t="n">
        <v/>
      </c>
      <c r="H485" t="n">
        <v/>
      </c>
      <c r="I485" t="n">
        <v/>
      </c>
      <c r="J485" t="n">
        <v/>
      </c>
      <c r="K485" t="n">
        <v/>
      </c>
      <c r="L485" t="n">
        <v/>
      </c>
      <c r="M485" t="n">
        <v/>
      </c>
    </row>
    <row r="486">
      <c r="A486" s="68" t="n">
        <v>36495</v>
      </c>
      <c r="B486" t="n">
        <v>90.7</v>
      </c>
      <c r="C486" t="n">
        <v>1469.25</v>
      </c>
      <c r="D486" t="n">
        <v>105.4</v>
      </c>
      <c r="E486" t="n">
        <v>112.2</v>
      </c>
      <c r="F486" t="n">
        <v>101.1</v>
      </c>
      <c r="G486" t="n">
        <v/>
      </c>
      <c r="H486" t="n">
        <v/>
      </c>
      <c r="I486" t="n">
        <v/>
      </c>
      <c r="J486" t="n">
        <v/>
      </c>
      <c r="K486" t="n">
        <v/>
      </c>
      <c r="L486" t="n">
        <v/>
      </c>
      <c r="M486" t="n">
        <v/>
      </c>
    </row>
    <row r="487">
      <c r="A487" s="68"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8" t="n">
        <v>36557</v>
      </c>
      <c r="B488" t="n">
        <v>90.59999999999999</v>
      </c>
      <c r="C488" t="n">
        <v>1366.420043945312</v>
      </c>
      <c r="D488" t="n">
        <v>111.3</v>
      </c>
      <c r="E488" t="n">
        <v>116.8</v>
      </c>
      <c r="F488" t="n">
        <v>107.8</v>
      </c>
      <c r="G488" t="n">
        <v/>
      </c>
      <c r="H488" t="n">
        <v/>
      </c>
      <c r="I488" t="n">
        <v/>
      </c>
      <c r="J488" t="n">
        <v/>
      </c>
      <c r="K488" t="n">
        <v/>
      </c>
      <c r="L488" t="n">
        <v/>
      </c>
      <c r="M488" t="n">
        <v/>
      </c>
    </row>
    <row r="489">
      <c r="A489" s="68" t="n">
        <v>36586</v>
      </c>
      <c r="B489" t="n">
        <v>91.59999999999999</v>
      </c>
      <c r="C489" t="n">
        <v>1498.579956054688</v>
      </c>
      <c r="D489" t="n">
        <v>107.1</v>
      </c>
      <c r="E489" t="n">
        <v>115.4</v>
      </c>
      <c r="F489" t="n">
        <v>101.7</v>
      </c>
      <c r="G489" t="n">
        <v/>
      </c>
      <c r="H489" t="n">
        <v/>
      </c>
      <c r="I489" t="n">
        <v/>
      </c>
      <c r="J489" t="n">
        <v/>
      </c>
      <c r="K489" t="n">
        <v/>
      </c>
      <c r="L489" t="n">
        <v/>
      </c>
      <c r="M489" t="n">
        <v/>
      </c>
    </row>
    <row r="490">
      <c r="A490" s="68"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8" t="n">
        <v>36647</v>
      </c>
      <c r="B491" t="n">
        <v>90.7</v>
      </c>
      <c r="C491" t="n">
        <v>1420.599975585938</v>
      </c>
      <c r="D491" t="n">
        <v>110.7</v>
      </c>
      <c r="E491" t="n">
        <v>119.9</v>
      </c>
      <c r="F491" t="n">
        <v>104.8</v>
      </c>
      <c r="G491" t="n">
        <v/>
      </c>
      <c r="H491" t="n">
        <v/>
      </c>
      <c r="I491" t="n">
        <v/>
      </c>
      <c r="J491" t="n">
        <v/>
      </c>
      <c r="K491" t="n">
        <v/>
      </c>
      <c r="L491" t="n">
        <v/>
      </c>
      <c r="M491" t="n">
        <v/>
      </c>
    </row>
    <row r="492">
      <c r="A492" s="68" t="n">
        <v>36678</v>
      </c>
      <c r="B492" t="n">
        <v>91</v>
      </c>
      <c r="C492" t="n">
        <v>1454.599975585938</v>
      </c>
      <c r="D492" t="n">
        <v>106.4</v>
      </c>
      <c r="E492" t="n">
        <v>115.1</v>
      </c>
      <c r="F492" t="n">
        <v>100.8</v>
      </c>
      <c r="G492" t="n">
        <v/>
      </c>
      <c r="H492" t="n">
        <v/>
      </c>
      <c r="I492" t="n">
        <v/>
      </c>
      <c r="J492" t="n">
        <v/>
      </c>
      <c r="K492" t="n">
        <v/>
      </c>
      <c r="L492" t="n">
        <v/>
      </c>
      <c r="M492" t="n">
        <v/>
      </c>
    </row>
    <row r="493">
      <c r="A493" s="68"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8" t="n">
        <v>36739</v>
      </c>
      <c r="B494" t="n">
        <v>90</v>
      </c>
      <c r="C494" t="n">
        <v>1517.680053710938</v>
      </c>
      <c r="D494" t="n">
        <v>107.3</v>
      </c>
      <c r="E494" t="n">
        <v>112.4</v>
      </c>
      <c r="F494" t="n">
        <v>104</v>
      </c>
      <c r="G494" t="n">
        <v/>
      </c>
      <c r="H494" t="n">
        <v/>
      </c>
      <c r="I494" t="n">
        <v/>
      </c>
      <c r="J494" t="n">
        <v/>
      </c>
      <c r="K494" t="n">
        <v/>
      </c>
      <c r="L494" t="n">
        <v/>
      </c>
      <c r="M494" t="n">
        <v/>
      </c>
    </row>
    <row r="495">
      <c r="A495" s="68" t="n">
        <v>36770</v>
      </c>
      <c r="B495" t="n">
        <v>90.3</v>
      </c>
      <c r="C495" t="n">
        <v>1436.510009765625</v>
      </c>
      <c r="D495" t="n">
        <v>106.8</v>
      </c>
      <c r="E495" t="n">
        <v>112</v>
      </c>
      <c r="F495" t="n">
        <v>103.4</v>
      </c>
      <c r="G495" t="n">
        <v/>
      </c>
      <c r="H495" t="n">
        <v/>
      </c>
      <c r="I495" t="n">
        <v/>
      </c>
      <c r="J495" t="n">
        <v/>
      </c>
      <c r="K495" t="n">
        <v/>
      </c>
      <c r="L495" t="n">
        <v/>
      </c>
      <c r="M495" t="n">
        <v/>
      </c>
    </row>
    <row r="496">
      <c r="A496" s="68"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8" t="n">
        <v>36831</v>
      </c>
      <c r="B497" t="n">
        <v>88.7</v>
      </c>
      <c r="C497" t="n">
        <v>1314.949951171875</v>
      </c>
      <c r="D497" t="n">
        <v>107.6</v>
      </c>
      <c r="E497" t="n">
        <v>116.9</v>
      </c>
      <c r="F497" t="n">
        <v>101.6</v>
      </c>
      <c r="G497" t="n">
        <v/>
      </c>
      <c r="H497" t="n">
        <v/>
      </c>
      <c r="I497" t="n">
        <v/>
      </c>
      <c r="J497" t="n">
        <v/>
      </c>
      <c r="K497" t="n">
        <v/>
      </c>
      <c r="L497" t="n">
        <v/>
      </c>
      <c r="M497" t="n">
        <v/>
      </c>
    </row>
    <row r="498">
      <c r="A498" s="68" t="n">
        <v>36861</v>
      </c>
      <c r="B498" t="n">
        <v>87.40000000000001</v>
      </c>
      <c r="C498" t="n">
        <v>1320.280029296875</v>
      </c>
      <c r="D498" t="n">
        <v>98.40000000000001</v>
      </c>
      <c r="E498" t="n">
        <v>110.5</v>
      </c>
      <c r="F498" t="n">
        <v>90.7</v>
      </c>
      <c r="G498" t="n">
        <v/>
      </c>
      <c r="H498" t="n">
        <v/>
      </c>
      <c r="I498" t="n">
        <v/>
      </c>
      <c r="J498" t="n">
        <v/>
      </c>
      <c r="K498" t="n">
        <v/>
      </c>
      <c r="L498" t="n">
        <v/>
      </c>
      <c r="M498" t="n">
        <v/>
      </c>
    </row>
    <row r="499">
      <c r="A499" s="68"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8" t="n">
        <v>36923</v>
      </c>
      <c r="B500" t="n">
        <v>85.90000000000001</v>
      </c>
      <c r="C500" t="n">
        <v>1239.93994140625</v>
      </c>
      <c r="D500" t="n">
        <v>90.59999999999999</v>
      </c>
      <c r="E500" t="n">
        <v>105.8</v>
      </c>
      <c r="F500" t="n">
        <v>80.8</v>
      </c>
      <c r="G500" t="n">
        <v/>
      </c>
      <c r="H500" t="n">
        <v/>
      </c>
      <c r="I500" t="n">
        <v/>
      </c>
      <c r="J500" t="n">
        <v/>
      </c>
      <c r="K500" t="n">
        <v/>
      </c>
      <c r="L500" t="n">
        <v/>
      </c>
      <c r="M500" t="n">
        <v/>
      </c>
    </row>
    <row r="501">
      <c r="A501" s="68" t="n">
        <v>36951</v>
      </c>
      <c r="B501" t="n">
        <v>84.59999999999999</v>
      </c>
      <c r="C501" t="n">
        <v>1160.329956054688</v>
      </c>
      <c r="D501" t="n">
        <v>91.5</v>
      </c>
      <c r="E501" t="n">
        <v>103.4</v>
      </c>
      <c r="F501" t="n">
        <v>83.90000000000001</v>
      </c>
      <c r="G501" t="n">
        <v/>
      </c>
      <c r="H501" t="n">
        <v/>
      </c>
      <c r="I501" t="n">
        <v/>
      </c>
      <c r="J501" t="n">
        <v/>
      </c>
      <c r="K501" t="n">
        <v/>
      </c>
      <c r="L501" t="n">
        <v/>
      </c>
      <c r="M501" t="n">
        <v/>
      </c>
    </row>
    <row r="502">
      <c r="A502" s="68"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8" t="n">
        <v>37012</v>
      </c>
      <c r="B503" t="n">
        <v>84</v>
      </c>
      <c r="C503" t="n">
        <v>1255.819946289062</v>
      </c>
      <c r="D503" t="n">
        <v>92</v>
      </c>
      <c r="E503" t="n">
        <v>102.2</v>
      </c>
      <c r="F503" t="n">
        <v>85.40000000000001</v>
      </c>
      <c r="G503" t="n">
        <v/>
      </c>
      <c r="H503" t="n">
        <v/>
      </c>
      <c r="I503" t="n">
        <v/>
      </c>
      <c r="J503" t="n">
        <v/>
      </c>
      <c r="K503" t="n">
        <v/>
      </c>
      <c r="L503" t="n">
        <v/>
      </c>
      <c r="M503" t="n">
        <v/>
      </c>
    </row>
    <row r="504">
      <c r="A504" s="68"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8"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8" t="n">
        <v>37104</v>
      </c>
      <c r="B506" t="n">
        <v>83.2</v>
      </c>
      <c r="C506" t="n">
        <v>1133.579956054688</v>
      </c>
      <c r="D506" t="n">
        <v>91.5</v>
      </c>
      <c r="E506" t="n">
        <v>101.2</v>
      </c>
      <c r="F506" t="n">
        <v>85.2</v>
      </c>
      <c r="G506" t="n">
        <v/>
      </c>
      <c r="H506" t="n">
        <v/>
      </c>
      <c r="I506" t="n">
        <v/>
      </c>
      <c r="J506" t="n">
        <v/>
      </c>
      <c r="K506" t="n">
        <v/>
      </c>
      <c r="L506" t="n">
        <v/>
      </c>
      <c r="M506" t="n">
        <v/>
      </c>
    </row>
    <row r="507">
      <c r="A507" s="68" t="n">
        <v>37135</v>
      </c>
      <c r="B507" t="n">
        <v>81.7</v>
      </c>
      <c r="C507" t="n">
        <v>1040.93994140625</v>
      </c>
      <c r="D507" t="n">
        <v>81.8</v>
      </c>
      <c r="E507" t="n">
        <v>94.59999999999999</v>
      </c>
      <c r="F507" t="n">
        <v>73.5</v>
      </c>
      <c r="G507" t="n">
        <v/>
      </c>
      <c r="H507" t="n">
        <v/>
      </c>
      <c r="I507" t="n">
        <v/>
      </c>
      <c r="J507" t="n">
        <v/>
      </c>
      <c r="K507" t="n">
        <v/>
      </c>
      <c r="L507" t="n">
        <v/>
      </c>
      <c r="M507" t="n">
        <v/>
      </c>
    </row>
    <row r="508">
      <c r="A508" s="68"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8"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8" t="n">
        <v>37226</v>
      </c>
      <c r="B510" t="n">
        <v>82.2</v>
      </c>
      <c r="C510" t="n">
        <v>1148.079956054688</v>
      </c>
      <c r="D510" t="n">
        <v>88.8</v>
      </c>
      <c r="E510" t="n">
        <v>99</v>
      </c>
      <c r="F510" t="n">
        <v>82.3</v>
      </c>
      <c r="G510" t="n">
        <v/>
      </c>
      <c r="H510" t="n">
        <v/>
      </c>
      <c r="I510" t="n">
        <v/>
      </c>
      <c r="J510" t="n">
        <v/>
      </c>
      <c r="K510" t="n">
        <v/>
      </c>
      <c r="L510" t="n">
        <v/>
      </c>
      <c r="M510" t="n">
        <v/>
      </c>
    </row>
    <row r="511">
      <c r="A511" s="68"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8" t="n">
        <v>37288</v>
      </c>
      <c r="B512" t="n">
        <v>83</v>
      </c>
      <c r="C512" t="n">
        <v>1106.72998046875</v>
      </c>
      <c r="D512" t="n">
        <v>90.7</v>
      </c>
      <c r="E512" t="n">
        <v>96.2</v>
      </c>
      <c r="F512" t="n">
        <v>87.2</v>
      </c>
      <c r="G512" t="n">
        <v/>
      </c>
      <c r="H512" t="n">
        <v/>
      </c>
      <c r="I512" t="n">
        <v/>
      </c>
      <c r="J512" t="n">
        <v/>
      </c>
      <c r="K512" t="n">
        <v/>
      </c>
      <c r="L512" t="n">
        <v/>
      </c>
      <c r="M512" t="n">
        <v/>
      </c>
    </row>
    <row r="513">
      <c r="A513" s="68" t="n">
        <v>37316</v>
      </c>
      <c r="B513" t="n">
        <v>83.40000000000001</v>
      </c>
      <c r="C513" t="n">
        <v>1147.390014648438</v>
      </c>
      <c r="D513" t="n">
        <v>95.7</v>
      </c>
      <c r="E513" t="n">
        <v>100.4</v>
      </c>
      <c r="F513" t="n">
        <v>92.7</v>
      </c>
      <c r="G513" t="n">
        <v/>
      </c>
      <c r="H513" t="n">
        <v/>
      </c>
      <c r="I513" t="n">
        <v/>
      </c>
      <c r="J513" t="n">
        <v/>
      </c>
      <c r="K513" t="n">
        <v/>
      </c>
      <c r="L513" t="n">
        <v/>
      </c>
      <c r="M513" t="n">
        <v/>
      </c>
    </row>
    <row r="514">
      <c r="A514" s="68"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8" t="n">
        <v>37377</v>
      </c>
      <c r="B515" t="n">
        <v>84.8</v>
      </c>
      <c r="C515" t="n">
        <v>1067.140014648438</v>
      </c>
      <c r="D515" t="n">
        <v>96.90000000000001</v>
      </c>
      <c r="E515" t="n">
        <v>103.5</v>
      </c>
      <c r="F515" t="n">
        <v>92.7</v>
      </c>
      <c r="G515" t="n">
        <v/>
      </c>
      <c r="H515" t="n">
        <v/>
      </c>
      <c r="I515" t="n">
        <v/>
      </c>
      <c r="J515" t="n">
        <v/>
      </c>
      <c r="K515" t="n">
        <v/>
      </c>
      <c r="L515" t="n">
        <v/>
      </c>
      <c r="M515" t="n">
        <v/>
      </c>
    </row>
    <row r="516">
      <c r="A516" s="68" t="n">
        <v>37408</v>
      </c>
      <c r="B516" t="n">
        <v>85</v>
      </c>
      <c r="C516" t="n">
        <v>989.8200073242188</v>
      </c>
      <c r="D516" t="n">
        <v>92.40000000000001</v>
      </c>
      <c r="E516" t="n">
        <v>99.5</v>
      </c>
      <c r="F516" t="n">
        <v>87.90000000000001</v>
      </c>
      <c r="G516" t="n">
        <v/>
      </c>
      <c r="H516" t="n">
        <v/>
      </c>
      <c r="I516" t="n">
        <v/>
      </c>
      <c r="J516" t="n">
        <v/>
      </c>
      <c r="K516" t="n">
        <v/>
      </c>
      <c r="L516" t="n">
        <v/>
      </c>
      <c r="M516" t="n">
        <v/>
      </c>
    </row>
    <row r="517">
      <c r="A517" s="68"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8" t="n">
        <v>37469</v>
      </c>
      <c r="B518" t="n">
        <v>84.7</v>
      </c>
      <c r="C518" t="n">
        <v>916.0700073242188</v>
      </c>
      <c r="D518" t="n">
        <v>87.59999999999999</v>
      </c>
      <c r="E518" t="n">
        <v>98.5</v>
      </c>
      <c r="F518" t="n">
        <v>80.59999999999999</v>
      </c>
      <c r="G518" t="n">
        <v/>
      </c>
      <c r="H518" t="n">
        <v/>
      </c>
      <c r="I518" t="n">
        <v/>
      </c>
      <c r="J518" t="n">
        <v/>
      </c>
      <c r="K518" t="n">
        <v/>
      </c>
      <c r="L518" t="n">
        <v/>
      </c>
      <c r="M518" t="n">
        <v/>
      </c>
    </row>
    <row r="519">
      <c r="A519" s="68"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8"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8" t="n">
        <v>37561</v>
      </c>
      <c r="B521" t="n">
        <v>84.8</v>
      </c>
      <c r="C521" t="n">
        <v>936.3099975585938</v>
      </c>
      <c r="D521" t="n">
        <v>84.2</v>
      </c>
      <c r="E521" t="n">
        <v>93.09999999999999</v>
      </c>
      <c r="F521" t="n">
        <v>78.5</v>
      </c>
      <c r="G521" t="n">
        <v/>
      </c>
      <c r="H521" t="n">
        <v/>
      </c>
      <c r="I521" t="n">
        <v/>
      </c>
      <c r="J521" t="n">
        <v/>
      </c>
      <c r="K521" t="n">
        <v/>
      </c>
      <c r="L521" t="n">
        <v/>
      </c>
      <c r="M521" t="n">
        <v/>
      </c>
    </row>
    <row r="522">
      <c r="A522" s="68" t="n">
        <v>37591</v>
      </c>
      <c r="B522" t="n">
        <v>84.8</v>
      </c>
      <c r="C522" t="n">
        <v>879.8200073242188</v>
      </c>
      <c r="D522" t="n">
        <v>86.7</v>
      </c>
      <c r="E522" t="n">
        <v>96</v>
      </c>
      <c r="F522" t="n">
        <v>80.8</v>
      </c>
      <c r="G522" t="n">
        <v/>
      </c>
      <c r="H522" t="n">
        <v/>
      </c>
      <c r="I522" t="n">
        <v/>
      </c>
      <c r="J522" t="n">
        <v/>
      </c>
      <c r="K522" t="n">
        <v/>
      </c>
      <c r="L522" t="n">
        <v/>
      </c>
      <c r="M522" t="n">
        <v/>
      </c>
    </row>
    <row r="523">
      <c r="A523" s="68"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8"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8" t="n">
        <v>37681</v>
      </c>
      <c r="B525" t="n">
        <v>84.7</v>
      </c>
      <c r="C525" t="n">
        <v>848.1799926757812</v>
      </c>
      <c r="D525" t="n">
        <v>77.59999999999999</v>
      </c>
      <c r="E525" t="n">
        <v>90</v>
      </c>
      <c r="F525" t="n">
        <v>69.59999999999999</v>
      </c>
      <c r="G525" t="n">
        <v/>
      </c>
      <c r="H525" t="n">
        <v/>
      </c>
      <c r="I525" t="n">
        <v/>
      </c>
      <c r="J525" t="n">
        <v/>
      </c>
      <c r="K525" t="n">
        <v/>
      </c>
      <c r="L525" t="n">
        <v/>
      </c>
      <c r="M525" t="n">
        <v/>
      </c>
    </row>
    <row r="526">
      <c r="A526" s="68"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8" t="n">
        <v>37742</v>
      </c>
      <c r="B527" t="n">
        <v>85.3</v>
      </c>
      <c r="C527" t="n">
        <v>963.5900268554688</v>
      </c>
      <c r="D527" t="n">
        <v>92.09999999999999</v>
      </c>
      <c r="E527" t="n">
        <v>93.2</v>
      </c>
      <c r="F527" t="n">
        <v>91.40000000000001</v>
      </c>
      <c r="G527" t="n">
        <v/>
      </c>
      <c r="H527" t="n">
        <v/>
      </c>
      <c r="I527" t="n">
        <v/>
      </c>
      <c r="J527" t="n">
        <v/>
      </c>
      <c r="K527" t="n">
        <v/>
      </c>
      <c r="L527" t="n">
        <v/>
      </c>
      <c r="M527" t="n">
        <v/>
      </c>
    </row>
    <row r="528">
      <c r="A528" s="68" t="n">
        <v>37773</v>
      </c>
      <c r="B528" t="n">
        <v>86</v>
      </c>
      <c r="C528" t="n">
        <v>974.5</v>
      </c>
      <c r="D528" t="n">
        <v>89.7</v>
      </c>
      <c r="E528" t="n">
        <v>94.7</v>
      </c>
      <c r="F528" t="n">
        <v>86.40000000000001</v>
      </c>
      <c r="G528" t="n">
        <v/>
      </c>
      <c r="H528" t="n">
        <v/>
      </c>
      <c r="I528" t="n">
        <v/>
      </c>
      <c r="J528" t="n">
        <v/>
      </c>
      <c r="K528" t="n">
        <v/>
      </c>
      <c r="L528" t="n">
        <v/>
      </c>
      <c r="M528" t="n">
        <v/>
      </c>
    </row>
    <row r="529">
      <c r="A529" s="68"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8" t="n">
        <v>37834</v>
      </c>
      <c r="B530" t="n">
        <v>86.90000000000001</v>
      </c>
      <c r="C530" t="n">
        <v>1008.010009765625</v>
      </c>
      <c r="D530" t="n">
        <v>89.3</v>
      </c>
      <c r="E530" t="n">
        <v>99.7</v>
      </c>
      <c r="F530" t="n">
        <v>82.5</v>
      </c>
      <c r="G530" t="n">
        <v/>
      </c>
      <c r="H530" t="n">
        <v/>
      </c>
      <c r="I530" t="n">
        <v/>
      </c>
      <c r="J530" t="n">
        <v/>
      </c>
      <c r="K530" t="n">
        <v/>
      </c>
      <c r="L530" t="n">
        <v/>
      </c>
      <c r="M530" t="n">
        <v/>
      </c>
    </row>
    <row r="531">
      <c r="A531" s="68" t="n">
        <v>37865</v>
      </c>
      <c r="B531" t="n">
        <v>87.90000000000001</v>
      </c>
      <c r="C531" t="n">
        <v>995.969970703125</v>
      </c>
      <c r="D531" t="n">
        <v>87.7</v>
      </c>
      <c r="E531" t="n">
        <v>98.40000000000001</v>
      </c>
      <c r="F531" t="n">
        <v>80.8</v>
      </c>
      <c r="G531" t="n">
        <v/>
      </c>
      <c r="H531" t="n">
        <v/>
      </c>
      <c r="I531" t="n">
        <v/>
      </c>
      <c r="J531" t="n">
        <v/>
      </c>
      <c r="K531" t="n">
        <v/>
      </c>
      <c r="L531" t="n">
        <v/>
      </c>
      <c r="M531" t="n">
        <v/>
      </c>
    </row>
    <row r="532">
      <c r="A532" s="68"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8" t="n">
        <v>37926</v>
      </c>
      <c r="B533" t="n">
        <v>89.8</v>
      </c>
      <c r="C533" t="n">
        <v>1058.199951171875</v>
      </c>
      <c r="D533" t="n">
        <v>93.7</v>
      </c>
      <c r="E533" t="n">
        <v>102.5</v>
      </c>
      <c r="F533" t="n">
        <v>88.09999999999999</v>
      </c>
      <c r="G533" t="n">
        <v/>
      </c>
      <c r="H533" t="n">
        <v/>
      </c>
      <c r="I533" t="n">
        <v/>
      </c>
      <c r="J533" t="n">
        <v/>
      </c>
      <c r="K533" t="n">
        <v/>
      </c>
      <c r="L533" t="n">
        <v/>
      </c>
      <c r="M533" t="n">
        <v/>
      </c>
    </row>
    <row r="534">
      <c r="A534" s="68" t="n">
        <v>37956</v>
      </c>
      <c r="B534" t="n">
        <v>90.59999999999999</v>
      </c>
      <c r="C534" t="n">
        <v>1111.920043945312</v>
      </c>
      <c r="D534" t="n">
        <v>92.59999999999999</v>
      </c>
      <c r="E534" t="n">
        <v>97</v>
      </c>
      <c r="F534" t="n">
        <v>89.8</v>
      </c>
      <c r="G534" t="n">
        <v/>
      </c>
      <c r="H534" t="n">
        <v/>
      </c>
      <c r="I534" t="n">
        <v/>
      </c>
      <c r="J534" t="n">
        <v/>
      </c>
      <c r="K534" t="n">
        <v/>
      </c>
      <c r="L534" t="n">
        <v/>
      </c>
      <c r="M534" t="n">
        <v/>
      </c>
    </row>
    <row r="535">
      <c r="A535" s="68"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8" t="n">
        <v>38018</v>
      </c>
      <c r="B536" t="n">
        <v>92.3</v>
      </c>
      <c r="C536" t="n">
        <v>1144.93994140625</v>
      </c>
      <c r="D536" t="n">
        <v>94.40000000000001</v>
      </c>
      <c r="E536" t="n">
        <v>103.6</v>
      </c>
      <c r="F536" t="n">
        <v>88.5</v>
      </c>
      <c r="G536" t="n">
        <v/>
      </c>
      <c r="H536" t="n">
        <v/>
      </c>
      <c r="I536" t="n">
        <v/>
      </c>
      <c r="J536" t="n">
        <v/>
      </c>
      <c r="K536" t="n">
        <v/>
      </c>
      <c r="L536" t="n">
        <v/>
      </c>
      <c r="M536" t="n">
        <v/>
      </c>
    </row>
    <row r="537">
      <c r="A537" s="68" t="n">
        <v>38047</v>
      </c>
      <c r="B537" t="n">
        <v>93.59999999999999</v>
      </c>
      <c r="C537" t="n">
        <v>1126.2099609375</v>
      </c>
      <c r="D537" t="n">
        <v>95.8</v>
      </c>
      <c r="E537" t="n">
        <v>106.8</v>
      </c>
      <c r="F537" t="n">
        <v>88.8</v>
      </c>
      <c r="G537" t="n">
        <v/>
      </c>
      <c r="H537" t="n">
        <v/>
      </c>
      <c r="I537" t="n">
        <v/>
      </c>
      <c r="J537" t="n">
        <v/>
      </c>
      <c r="K537" t="n">
        <v/>
      </c>
      <c r="L537" t="n">
        <v/>
      </c>
      <c r="M537" t="n">
        <v/>
      </c>
    </row>
    <row r="538">
      <c r="A538" s="68"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8" t="n">
        <v>38108</v>
      </c>
      <c r="B539" t="n">
        <v>94.7</v>
      </c>
      <c r="C539" t="n">
        <v>1120.680053710938</v>
      </c>
      <c r="D539" t="n">
        <v>90.2</v>
      </c>
      <c r="E539" t="n">
        <v>103.6</v>
      </c>
      <c r="F539" t="n">
        <v>81.59999999999999</v>
      </c>
      <c r="G539" t="n">
        <v/>
      </c>
      <c r="H539" t="n">
        <v/>
      </c>
      <c r="I539" t="n">
        <v/>
      </c>
      <c r="J539" t="n">
        <v/>
      </c>
      <c r="K539" t="n">
        <v/>
      </c>
      <c r="L539" t="n">
        <v/>
      </c>
      <c r="M539" t="n">
        <v/>
      </c>
    </row>
    <row r="540">
      <c r="A540" s="68" t="n">
        <v>38139</v>
      </c>
      <c r="B540" t="n">
        <v>95.09999999999999</v>
      </c>
      <c r="C540" t="n">
        <v>1140.839965820312</v>
      </c>
      <c r="D540" t="n">
        <v>95.59999999999999</v>
      </c>
      <c r="E540" t="n">
        <v>106.7</v>
      </c>
      <c r="F540" t="n">
        <v>88.5</v>
      </c>
      <c r="G540" t="n">
        <v/>
      </c>
      <c r="H540" t="n">
        <v/>
      </c>
      <c r="I540" t="n">
        <v/>
      </c>
      <c r="J540" t="n">
        <v/>
      </c>
      <c r="K540" t="n">
        <v/>
      </c>
      <c r="L540" t="n">
        <v/>
      </c>
      <c r="M540" t="n">
        <v/>
      </c>
    </row>
    <row r="541">
      <c r="A541" s="68"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8" t="n">
        <v>38200</v>
      </c>
      <c r="B542" t="n">
        <v>96</v>
      </c>
      <c r="C542" t="n">
        <v>1104.239990234375</v>
      </c>
      <c r="D542" t="n">
        <v>95.90000000000001</v>
      </c>
      <c r="E542" t="n">
        <v>107.9</v>
      </c>
      <c r="F542" t="n">
        <v>88.2</v>
      </c>
      <c r="G542" t="n">
        <v/>
      </c>
      <c r="H542" t="n">
        <v/>
      </c>
      <c r="I542" t="n">
        <v/>
      </c>
      <c r="J542" t="n">
        <v/>
      </c>
      <c r="K542" t="n">
        <v/>
      </c>
      <c r="L542" t="n">
        <v/>
      </c>
      <c r="M542" t="n">
        <v/>
      </c>
    </row>
    <row r="543">
      <c r="A543" s="68" t="n">
        <v>38231</v>
      </c>
      <c r="B543" t="n">
        <v>96.7</v>
      </c>
      <c r="C543" t="n">
        <v>1114.579956054688</v>
      </c>
      <c r="D543" t="n">
        <v>94.2</v>
      </c>
      <c r="E543" t="n">
        <v>103.7</v>
      </c>
      <c r="F543" t="n">
        <v>88</v>
      </c>
      <c r="G543" t="n">
        <v/>
      </c>
      <c r="H543" t="n">
        <v/>
      </c>
      <c r="I543" t="n">
        <v/>
      </c>
      <c r="J543" t="n">
        <v/>
      </c>
      <c r="K543" t="n">
        <v/>
      </c>
      <c r="L543" t="n">
        <v/>
      </c>
      <c r="M543" t="n">
        <v/>
      </c>
    </row>
    <row r="544">
      <c r="A544" s="68"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8" t="n">
        <v>38292</v>
      </c>
      <c r="B545" t="n">
        <v>97.7</v>
      </c>
      <c r="C545" t="n">
        <v>1173.819946289062</v>
      </c>
      <c r="D545" t="n">
        <v>92.8</v>
      </c>
      <c r="E545" t="n">
        <v>104.7</v>
      </c>
      <c r="F545" t="n">
        <v>85.2</v>
      </c>
      <c r="G545" t="n">
        <v/>
      </c>
      <c r="H545" t="n">
        <v/>
      </c>
      <c r="I545" t="n">
        <v/>
      </c>
      <c r="J545" t="n">
        <v/>
      </c>
      <c r="K545" t="n">
        <v/>
      </c>
      <c r="L545" t="n">
        <v/>
      </c>
      <c r="M545" t="n">
        <v/>
      </c>
    </row>
    <row r="546">
      <c r="A546" s="68"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8"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8"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8" t="n">
        <v>38412</v>
      </c>
      <c r="B549" t="n">
        <v>99.2</v>
      </c>
      <c r="C549" t="n">
        <v>1180.589965820312</v>
      </c>
      <c r="D549" t="n">
        <v>92.59999999999999</v>
      </c>
      <c r="E549" t="n">
        <v>108</v>
      </c>
      <c r="F549" t="n">
        <v>82.8</v>
      </c>
      <c r="G549" t="n">
        <v/>
      </c>
      <c r="H549" t="n">
        <v/>
      </c>
      <c r="I549" t="n">
        <v/>
      </c>
      <c r="J549" t="n">
        <v/>
      </c>
      <c r="K549" t="n">
        <v/>
      </c>
      <c r="L549" t="n">
        <v/>
      </c>
      <c r="M549" t="n">
        <v/>
      </c>
    </row>
    <row r="550">
      <c r="A550" s="68"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8" t="n">
        <v>38473</v>
      </c>
      <c r="B551" t="n">
        <v>99.59999999999999</v>
      </c>
      <c r="C551" t="n">
        <v>1191.5</v>
      </c>
      <c r="D551" t="n">
        <v>86.90000000000001</v>
      </c>
      <c r="E551" t="n">
        <v>104.9</v>
      </c>
      <c r="F551" t="n">
        <v>75.3</v>
      </c>
      <c r="G551" t="n">
        <v/>
      </c>
      <c r="H551" t="n">
        <v/>
      </c>
      <c r="I551" t="n">
        <v/>
      </c>
      <c r="J551" t="n">
        <v/>
      </c>
      <c r="K551" t="n">
        <v/>
      </c>
      <c r="L551" t="n">
        <v/>
      </c>
      <c r="M551" t="n">
        <v/>
      </c>
    </row>
    <row r="552">
      <c r="A552" s="68" t="n">
        <v>38504</v>
      </c>
      <c r="B552" t="n">
        <v>100.3</v>
      </c>
      <c r="C552" t="n">
        <v>1191.329956054688</v>
      </c>
      <c r="D552" t="n">
        <v>96</v>
      </c>
      <c r="E552" t="n">
        <v>113.2</v>
      </c>
      <c r="F552" t="n">
        <v>85</v>
      </c>
      <c r="G552" t="n">
        <v/>
      </c>
      <c r="H552" t="n">
        <v/>
      </c>
      <c r="I552" t="n">
        <v/>
      </c>
      <c r="J552" t="n">
        <v/>
      </c>
      <c r="K552" t="n">
        <v/>
      </c>
      <c r="L552" t="n">
        <v/>
      </c>
      <c r="M552" t="n">
        <v/>
      </c>
    </row>
    <row r="553">
      <c r="A553" s="68"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8" t="n">
        <v>38565</v>
      </c>
      <c r="B554" t="n">
        <v>101</v>
      </c>
      <c r="C554" t="n">
        <v>1220.329956054688</v>
      </c>
      <c r="D554" t="n">
        <v>89.09999999999999</v>
      </c>
      <c r="E554" t="n">
        <v>108.2</v>
      </c>
      <c r="F554" t="n">
        <v>76.90000000000001</v>
      </c>
      <c r="G554" t="n">
        <v/>
      </c>
      <c r="H554" t="n">
        <v/>
      </c>
      <c r="I554" t="n">
        <v/>
      </c>
      <c r="J554" t="n">
        <v/>
      </c>
      <c r="K554" t="n">
        <v/>
      </c>
      <c r="L554" t="n">
        <v/>
      </c>
      <c r="M554" t="n">
        <v/>
      </c>
    </row>
    <row r="555">
      <c r="A555" s="68" t="n">
        <v>38596</v>
      </c>
      <c r="B555" t="n">
        <v>100.3</v>
      </c>
      <c r="C555" t="n">
        <v>1228.81005859375</v>
      </c>
      <c r="D555" t="n">
        <v>76.90000000000001</v>
      </c>
      <c r="E555" t="n">
        <v>98.09999999999999</v>
      </c>
      <c r="F555" t="n">
        <v>63.3</v>
      </c>
      <c r="G555" t="n">
        <v/>
      </c>
      <c r="H555" t="n">
        <v/>
      </c>
      <c r="I555" t="n">
        <v/>
      </c>
      <c r="J555" t="n">
        <v/>
      </c>
      <c r="K555" t="n">
        <v/>
      </c>
      <c r="L555" t="n">
        <v/>
      </c>
      <c r="M555" t="n">
        <v/>
      </c>
    </row>
    <row r="556">
      <c r="A556" s="68"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8" t="n">
        <v>38657</v>
      </c>
      <c r="B557" t="n">
        <v>101.3</v>
      </c>
      <c r="C557" t="n">
        <v>1249.47998046875</v>
      </c>
      <c r="D557" t="n">
        <v>81.59999999999999</v>
      </c>
      <c r="E557" t="n">
        <v>100.2</v>
      </c>
      <c r="F557" t="n">
        <v>69.59999999999999</v>
      </c>
      <c r="G557" t="n">
        <v/>
      </c>
      <c r="H557" t="n">
        <v/>
      </c>
      <c r="I557" t="n">
        <v/>
      </c>
      <c r="J557" t="n">
        <v/>
      </c>
      <c r="K557" t="n">
        <v/>
      </c>
      <c r="L557" t="n">
        <v/>
      </c>
      <c r="M557" t="n">
        <v/>
      </c>
    </row>
    <row r="558">
      <c r="A558" s="68" t="n">
        <v>38687</v>
      </c>
      <c r="B558" t="n">
        <v>101.3</v>
      </c>
      <c r="C558" t="n">
        <v>1248.2900390625</v>
      </c>
      <c r="D558" t="n">
        <v>91.5</v>
      </c>
      <c r="E558" t="n">
        <v>109.1</v>
      </c>
      <c r="F558" t="n">
        <v>80.2</v>
      </c>
      <c r="G558" t="n">
        <v/>
      </c>
      <c r="H558" t="n">
        <v/>
      </c>
      <c r="I558" t="n">
        <v/>
      </c>
      <c r="J558" t="n">
        <v/>
      </c>
      <c r="K558" t="n">
        <v/>
      </c>
      <c r="L558" t="n">
        <v/>
      </c>
      <c r="M558" t="n">
        <v/>
      </c>
    </row>
    <row r="559">
      <c r="A559" s="68"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8" t="n">
        <v>38749</v>
      </c>
      <c r="B560" t="n">
        <v>102.1</v>
      </c>
      <c r="C560" t="n">
        <v>1280.660034179688</v>
      </c>
      <c r="D560" t="n">
        <v>86.7</v>
      </c>
      <c r="E560" t="n">
        <v>105.6</v>
      </c>
      <c r="F560" t="n">
        <v>74.5</v>
      </c>
      <c r="G560" t="n">
        <v/>
      </c>
      <c r="H560" t="n">
        <v/>
      </c>
      <c r="I560" t="n">
        <v/>
      </c>
      <c r="J560" t="n">
        <v/>
      </c>
      <c r="K560" t="n">
        <v/>
      </c>
      <c r="L560" t="n">
        <v/>
      </c>
      <c r="M560" t="n">
        <v/>
      </c>
    </row>
    <row r="561">
      <c r="A561" s="68" t="n">
        <v>38777</v>
      </c>
      <c r="B561" t="n">
        <v>102.4</v>
      </c>
      <c r="C561" t="n">
        <v>1294.869995117188</v>
      </c>
      <c r="D561" t="n">
        <v>88.90000000000001</v>
      </c>
      <c r="E561" t="n">
        <v>109.1</v>
      </c>
      <c r="F561" t="n">
        <v>76</v>
      </c>
      <c r="G561" t="n">
        <v/>
      </c>
      <c r="H561" t="n">
        <v/>
      </c>
      <c r="I561" t="n">
        <v/>
      </c>
      <c r="J561" t="n">
        <v/>
      </c>
      <c r="K561" t="n">
        <v/>
      </c>
      <c r="L561" t="n">
        <v/>
      </c>
      <c r="M561" t="n">
        <v/>
      </c>
    </row>
    <row r="562">
      <c r="A562" s="68"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8" t="n">
        <v>38838</v>
      </c>
      <c r="B563" t="n">
        <v>101.2</v>
      </c>
      <c r="C563" t="n">
        <v>1270.089965820312</v>
      </c>
      <c r="D563" t="n">
        <v>79.09999999999999</v>
      </c>
      <c r="E563" t="n">
        <v>96.09999999999999</v>
      </c>
      <c r="F563" t="n">
        <v>68.2</v>
      </c>
      <c r="G563" t="n">
        <v/>
      </c>
      <c r="H563" t="n">
        <v/>
      </c>
      <c r="I563" t="n">
        <v/>
      </c>
      <c r="J563" t="n">
        <v/>
      </c>
      <c r="K563" t="n">
        <v/>
      </c>
      <c r="L563" t="n">
        <v/>
      </c>
      <c r="M563" t="n">
        <v/>
      </c>
    </row>
    <row r="564">
      <c r="A564" s="68" t="n">
        <v>38869</v>
      </c>
      <c r="B564" t="n">
        <v>101.1</v>
      </c>
      <c r="C564" t="n">
        <v>1270.199951171875</v>
      </c>
      <c r="D564" t="n">
        <v>84.90000000000001</v>
      </c>
      <c r="E564" t="n">
        <v>105</v>
      </c>
      <c r="F564" t="n">
        <v>72</v>
      </c>
      <c r="G564" t="n">
        <v/>
      </c>
      <c r="H564" t="n">
        <v/>
      </c>
      <c r="I564" t="n">
        <v/>
      </c>
      <c r="J564" t="n">
        <v/>
      </c>
      <c r="K564" t="n">
        <v/>
      </c>
      <c r="L564" t="n">
        <v/>
      </c>
      <c r="M564" t="n">
        <v/>
      </c>
    </row>
    <row r="565">
      <c r="A565" s="68"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8" t="n">
        <v>38930</v>
      </c>
      <c r="B566" t="n">
        <v>100.4</v>
      </c>
      <c r="C566" t="n">
        <v>1303.819946289062</v>
      </c>
      <c r="D566" t="n">
        <v>82</v>
      </c>
      <c r="E566" t="n">
        <v>103.8</v>
      </c>
      <c r="F566" t="n">
        <v>68</v>
      </c>
      <c r="G566" t="n">
        <v/>
      </c>
      <c r="H566" t="n">
        <v/>
      </c>
      <c r="I566" t="n">
        <v/>
      </c>
      <c r="J566" t="n">
        <v/>
      </c>
      <c r="K566" t="n">
        <v/>
      </c>
      <c r="L566" t="n">
        <v/>
      </c>
      <c r="M566" t="n">
        <v/>
      </c>
    </row>
    <row r="567">
      <c r="A567" s="68" t="n">
        <v>38961</v>
      </c>
      <c r="B567" t="n">
        <v>100.4</v>
      </c>
      <c r="C567" t="n">
        <v>1335.849975585938</v>
      </c>
      <c r="D567" t="n">
        <v>85.40000000000001</v>
      </c>
      <c r="E567" t="n">
        <v>96.59999999999999</v>
      </c>
      <c r="F567" t="n">
        <v>78.2</v>
      </c>
      <c r="G567" t="n">
        <v/>
      </c>
      <c r="H567" t="n">
        <v/>
      </c>
      <c r="I567" t="n">
        <v/>
      </c>
      <c r="J567" t="n">
        <v/>
      </c>
      <c r="K567" t="n">
        <v/>
      </c>
      <c r="L567" t="n">
        <v/>
      </c>
      <c r="M567" t="n">
        <v/>
      </c>
    </row>
    <row r="568">
      <c r="A568" s="68"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8" t="n">
        <v>39022</v>
      </c>
      <c r="B569" t="n">
        <v>100</v>
      </c>
      <c r="C569" t="n">
        <v>1400.630004882812</v>
      </c>
      <c r="D569" t="n">
        <v>92.09999999999999</v>
      </c>
      <c r="E569" t="n">
        <v>106</v>
      </c>
      <c r="F569" t="n">
        <v>83.2</v>
      </c>
      <c r="G569" t="n">
        <v/>
      </c>
      <c r="H569" t="n">
        <v/>
      </c>
      <c r="I569" t="n">
        <v/>
      </c>
      <c r="J569" t="n">
        <v/>
      </c>
      <c r="K569" t="n">
        <v/>
      </c>
      <c r="L569" t="n">
        <v/>
      </c>
      <c r="M569" t="n">
        <v/>
      </c>
    </row>
    <row r="570">
      <c r="A570" s="68" t="n">
        <v>39052</v>
      </c>
      <c r="B570" t="n">
        <v>100.4</v>
      </c>
      <c r="C570" t="n">
        <v>1418.300048828125</v>
      </c>
      <c r="D570" t="n">
        <v>91.7</v>
      </c>
      <c r="E570" t="n">
        <v>108.1</v>
      </c>
      <c r="F570" t="n">
        <v>81.2</v>
      </c>
      <c r="G570" t="n">
        <v/>
      </c>
      <c r="H570" t="n">
        <v/>
      </c>
      <c r="I570" t="n">
        <v/>
      </c>
      <c r="J570" t="n">
        <v/>
      </c>
      <c r="K570" t="n">
        <v/>
      </c>
      <c r="L570" t="n">
        <v/>
      </c>
      <c r="M570" t="n">
        <v/>
      </c>
    </row>
    <row r="571">
      <c r="A571" s="68"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8" t="n">
        <v>39114</v>
      </c>
      <c r="B572" t="n">
        <v>99.90000000000001</v>
      </c>
      <c r="C572" t="n">
        <v>1406.819946289062</v>
      </c>
      <c r="D572" t="n">
        <v>91.3</v>
      </c>
      <c r="E572" t="n">
        <v>106.7</v>
      </c>
      <c r="F572" t="n">
        <v>81.5</v>
      </c>
      <c r="G572" t="n">
        <v/>
      </c>
      <c r="H572" t="n">
        <v/>
      </c>
      <c r="I572" t="n">
        <v/>
      </c>
      <c r="J572" t="n">
        <v/>
      </c>
      <c r="K572" t="n">
        <v/>
      </c>
      <c r="L572" t="n">
        <v/>
      </c>
      <c r="M572" t="n">
        <v/>
      </c>
    </row>
    <row r="573">
      <c r="A573" s="68" t="n">
        <v>39142</v>
      </c>
      <c r="B573" t="n">
        <v>100.2</v>
      </c>
      <c r="C573" t="n">
        <v>1420.859985351562</v>
      </c>
      <c r="D573" t="n">
        <v>88.40000000000001</v>
      </c>
      <c r="E573" t="n">
        <v>103.5</v>
      </c>
      <c r="F573" t="n">
        <v>78.7</v>
      </c>
      <c r="G573" t="n">
        <v/>
      </c>
      <c r="H573" t="n">
        <v/>
      </c>
      <c r="I573" t="n">
        <v/>
      </c>
      <c r="J573" t="n">
        <v/>
      </c>
      <c r="K573" t="n">
        <v/>
      </c>
      <c r="L573" t="n">
        <v/>
      </c>
      <c r="M573" t="n">
        <v/>
      </c>
    </row>
    <row r="574">
      <c r="A574" s="68"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8" t="n">
        <v>39203</v>
      </c>
      <c r="B575" t="n">
        <v>99.90000000000001</v>
      </c>
      <c r="C575" t="n">
        <v>1530.619995117188</v>
      </c>
      <c r="D575" t="n">
        <v>88.3</v>
      </c>
      <c r="E575" t="n">
        <v>105.1</v>
      </c>
      <c r="F575" t="n">
        <v>77.59999999999999</v>
      </c>
      <c r="G575" t="n">
        <v/>
      </c>
      <c r="H575" t="n">
        <v/>
      </c>
      <c r="I575" t="n">
        <v/>
      </c>
      <c r="J575" t="n">
        <v/>
      </c>
      <c r="K575" t="n">
        <v/>
      </c>
      <c r="L575" t="n">
        <v/>
      </c>
      <c r="M575" t="n">
        <v/>
      </c>
    </row>
    <row r="576">
      <c r="A576" s="68" t="n">
        <v>39234</v>
      </c>
      <c r="B576" t="n">
        <v>99.7</v>
      </c>
      <c r="C576" t="n">
        <v>1503.349975585938</v>
      </c>
      <c r="D576" t="n">
        <v>85.3</v>
      </c>
      <c r="E576" t="n">
        <v>101.9</v>
      </c>
      <c r="F576" t="n">
        <v>74.7</v>
      </c>
      <c r="G576" t="n">
        <v/>
      </c>
      <c r="H576" t="n">
        <v/>
      </c>
      <c r="I576" t="n">
        <v/>
      </c>
      <c r="J576" t="n">
        <v/>
      </c>
      <c r="K576" t="n">
        <v/>
      </c>
      <c r="L576" t="n">
        <v/>
      </c>
      <c r="M576" t="n">
        <v/>
      </c>
    </row>
    <row r="577">
      <c r="A577" s="68"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8" t="n">
        <v>39295</v>
      </c>
      <c r="B578" t="n">
        <v>99</v>
      </c>
      <c r="C578" t="n">
        <v>1473.989990234375</v>
      </c>
      <c r="D578" t="n">
        <v>83.40000000000001</v>
      </c>
      <c r="E578" t="n">
        <v>98.40000000000001</v>
      </c>
      <c r="F578" t="n">
        <v>73.7</v>
      </c>
      <c r="G578" t="n">
        <v/>
      </c>
      <c r="H578" t="n">
        <v/>
      </c>
      <c r="I578" t="n">
        <v/>
      </c>
      <c r="J578" t="n">
        <v/>
      </c>
      <c r="K578" t="n">
        <v/>
      </c>
      <c r="L578" t="n">
        <v/>
      </c>
      <c r="M578" t="n">
        <v/>
      </c>
    </row>
    <row r="579">
      <c r="A579" s="68" t="n">
        <v>39326</v>
      </c>
      <c r="B579" t="n">
        <v>98.3</v>
      </c>
      <c r="C579" t="n">
        <v>1526.75</v>
      </c>
      <c r="D579" t="n">
        <v>83.40000000000001</v>
      </c>
      <c r="E579" t="n">
        <v>97.90000000000001</v>
      </c>
      <c r="F579" t="n">
        <v>74.09999999999999</v>
      </c>
      <c r="G579" t="n">
        <v/>
      </c>
      <c r="H579" t="n">
        <v/>
      </c>
      <c r="I579" t="n">
        <v/>
      </c>
      <c r="J579" t="n">
        <v/>
      </c>
      <c r="K579" t="n">
        <v/>
      </c>
      <c r="L579" t="n">
        <v/>
      </c>
      <c r="M579" t="n">
        <v/>
      </c>
    </row>
    <row r="580">
      <c r="A580" s="68"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8" t="n">
        <v>39387</v>
      </c>
      <c r="B581" t="n">
        <v>96.8</v>
      </c>
      <c r="C581" t="n">
        <v>1481.140014648438</v>
      </c>
      <c r="D581" t="n">
        <v>76.09999999999999</v>
      </c>
      <c r="E581" t="n">
        <v>91.5</v>
      </c>
      <c r="F581" t="n">
        <v>66.2</v>
      </c>
      <c r="G581" t="n">
        <v/>
      </c>
      <c r="H581" t="n">
        <v/>
      </c>
      <c r="I581" t="n">
        <v/>
      </c>
      <c r="J581" t="n">
        <v/>
      </c>
      <c r="K581" t="n">
        <v/>
      </c>
      <c r="L581" t="n">
        <v/>
      </c>
      <c r="M581" t="n">
        <v/>
      </c>
    </row>
    <row r="582">
      <c r="A582" s="68" t="n">
        <v>39417</v>
      </c>
      <c r="B582" t="n">
        <v>95.8</v>
      </c>
      <c r="C582" t="n">
        <v>1468.359985351562</v>
      </c>
      <c r="D582" t="n">
        <v>75.5</v>
      </c>
      <c r="E582" t="n">
        <v>91</v>
      </c>
      <c r="F582" t="n">
        <v>65.59999999999999</v>
      </c>
      <c r="G582" t="n">
        <v/>
      </c>
      <c r="H582" t="n">
        <v/>
      </c>
      <c r="I582" t="n">
        <v/>
      </c>
      <c r="J582" t="n">
        <v/>
      </c>
      <c r="K582" t="n">
        <v/>
      </c>
      <c r="L582" t="n">
        <v/>
      </c>
      <c r="M582" t="n">
        <v/>
      </c>
    </row>
    <row r="583">
      <c r="A583" s="68"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8" t="n">
        <v>39479</v>
      </c>
      <c r="B584" t="n">
        <v>93.59999999999999</v>
      </c>
      <c r="C584" t="n">
        <v>1330.630004882812</v>
      </c>
      <c r="D584" t="n">
        <v>70.8</v>
      </c>
      <c r="E584" t="n">
        <v>83.8</v>
      </c>
      <c r="F584" t="n">
        <v>62.4</v>
      </c>
      <c r="G584" t="n">
        <v/>
      </c>
      <c r="H584" t="n">
        <v/>
      </c>
      <c r="I584" t="n">
        <v/>
      </c>
      <c r="J584" t="n">
        <v/>
      </c>
      <c r="K584" t="n">
        <v/>
      </c>
      <c r="L584" t="n">
        <v/>
      </c>
      <c r="M584" t="n">
        <v/>
      </c>
    </row>
    <row r="585">
      <c r="A585" s="68" t="n">
        <v>39508</v>
      </c>
      <c r="B585" t="n">
        <v>92.09999999999999</v>
      </c>
      <c r="C585" t="n">
        <v>1322.699951171875</v>
      </c>
      <c r="D585" t="n">
        <v>69.5</v>
      </c>
      <c r="E585" t="n">
        <v>84.2</v>
      </c>
      <c r="F585" t="n">
        <v>60.1</v>
      </c>
      <c r="G585" t="n">
        <v/>
      </c>
      <c r="H585" t="n">
        <v/>
      </c>
      <c r="I585" t="n">
        <v/>
      </c>
      <c r="J585" t="n">
        <v/>
      </c>
      <c r="K585" t="n">
        <v/>
      </c>
      <c r="L585" t="n">
        <v/>
      </c>
      <c r="M585" t="n">
        <v/>
      </c>
    </row>
    <row r="586">
      <c r="A586" s="68"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8" t="n">
        <v>39569</v>
      </c>
      <c r="B587" t="n">
        <v>90.8</v>
      </c>
      <c r="C587" t="n">
        <v>1400.380004882812</v>
      </c>
      <c r="D587" t="n">
        <v>59.8</v>
      </c>
      <c r="E587" t="n">
        <v>73.3</v>
      </c>
      <c r="F587" t="n">
        <v>51.1</v>
      </c>
      <c r="G587" t="n">
        <v/>
      </c>
      <c r="H587" t="n">
        <v/>
      </c>
      <c r="I587" t="n">
        <v/>
      </c>
      <c r="J587" t="n">
        <v/>
      </c>
      <c r="K587" t="n">
        <v/>
      </c>
      <c r="L587" t="n">
        <v/>
      </c>
      <c r="M587" t="n">
        <v/>
      </c>
    </row>
    <row r="588">
      <c r="A588" s="68" t="n">
        <v>39600</v>
      </c>
      <c r="B588" t="n">
        <v>90.3</v>
      </c>
      <c r="C588" t="n">
        <v>1280</v>
      </c>
      <c r="D588" t="n">
        <v>56.4</v>
      </c>
      <c r="E588" t="n">
        <v>67.59999999999999</v>
      </c>
      <c r="F588" t="n">
        <v>49.2</v>
      </c>
      <c r="G588" t="n">
        <v/>
      </c>
      <c r="H588" t="n">
        <v/>
      </c>
      <c r="I588" t="n">
        <v/>
      </c>
      <c r="J588" t="n">
        <v/>
      </c>
      <c r="K588" t="n">
        <v/>
      </c>
      <c r="L588" t="n">
        <v/>
      </c>
      <c r="M588" t="n">
        <v/>
      </c>
    </row>
    <row r="589">
      <c r="A589" s="68"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8" t="n">
        <v>39661</v>
      </c>
      <c r="B590" t="n">
        <v>87.2</v>
      </c>
      <c r="C590" t="n">
        <v>1282.829956054688</v>
      </c>
      <c r="D590" t="n">
        <v>63</v>
      </c>
      <c r="E590" t="n">
        <v>71</v>
      </c>
      <c r="F590" t="n">
        <v>57.9</v>
      </c>
      <c r="G590" t="n">
        <v/>
      </c>
      <c r="H590" t="n">
        <v/>
      </c>
      <c r="I590" t="n">
        <v/>
      </c>
      <c r="J590" t="n">
        <v/>
      </c>
      <c r="K590" t="n">
        <v/>
      </c>
      <c r="L590" t="n">
        <v/>
      </c>
      <c r="M590" t="n">
        <v/>
      </c>
    </row>
    <row r="591">
      <c r="A591" s="68" t="n">
        <v>39692</v>
      </c>
      <c r="B591" t="n">
        <v>85.2</v>
      </c>
      <c r="C591" t="n">
        <v>1166.359985351562</v>
      </c>
      <c r="D591" t="n">
        <v>70.3</v>
      </c>
      <c r="E591" t="n">
        <v>75</v>
      </c>
      <c r="F591" t="n">
        <v>67.2</v>
      </c>
      <c r="G591" t="n">
        <v/>
      </c>
      <c r="H591" t="n">
        <v/>
      </c>
      <c r="I591" t="n">
        <v/>
      </c>
      <c r="J591" t="n">
        <v/>
      </c>
      <c r="K591" t="n">
        <v/>
      </c>
      <c r="L591" t="n">
        <v/>
      </c>
      <c r="M591" t="n">
        <v/>
      </c>
    </row>
    <row r="592">
      <c r="A592" s="68"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8" t="n">
        <v>39753</v>
      </c>
      <c r="B593" t="n">
        <v>79.90000000000001</v>
      </c>
      <c r="C593" t="n">
        <v>896.239990234375</v>
      </c>
      <c r="D593" t="n">
        <v>55.3</v>
      </c>
      <c r="E593" t="n">
        <v>57.5</v>
      </c>
      <c r="F593" t="n">
        <v>53.9</v>
      </c>
      <c r="G593" t="n">
        <v/>
      </c>
      <c r="H593" t="n">
        <v/>
      </c>
      <c r="I593" t="n">
        <v/>
      </c>
      <c r="J593" t="n">
        <v/>
      </c>
      <c r="K593" t="n">
        <v/>
      </c>
      <c r="L593" t="n">
        <v/>
      </c>
      <c r="M593" t="n">
        <v/>
      </c>
    </row>
    <row r="594">
      <c r="A594" s="68" t="n">
        <v>39783</v>
      </c>
      <c r="B594" t="n">
        <v>77.59999999999999</v>
      </c>
      <c r="C594" t="n">
        <v>903.25</v>
      </c>
      <c r="D594" t="n">
        <v>60.1</v>
      </c>
      <c r="E594" t="n">
        <v>69.5</v>
      </c>
      <c r="F594" t="n">
        <v>54</v>
      </c>
      <c r="G594" t="n">
        <v/>
      </c>
      <c r="H594" t="n">
        <v/>
      </c>
      <c r="I594" t="n">
        <v/>
      </c>
      <c r="J594" t="n">
        <v/>
      </c>
      <c r="K594" t="n">
        <v/>
      </c>
      <c r="L594" t="n">
        <v/>
      </c>
      <c r="M594" t="n">
        <v/>
      </c>
    </row>
    <row r="595">
      <c r="A595" s="68"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8" t="n">
        <v>39845</v>
      </c>
      <c r="B596" t="n">
        <v>74.8</v>
      </c>
      <c r="C596" t="n">
        <v>735.0900268554688</v>
      </c>
      <c r="D596" t="n">
        <v>56.3</v>
      </c>
      <c r="E596" t="n">
        <v>65.5</v>
      </c>
      <c r="F596" t="n">
        <v>50.5</v>
      </c>
      <c r="G596" t="n">
        <v/>
      </c>
      <c r="H596" t="n">
        <v/>
      </c>
      <c r="I596" t="n">
        <v/>
      </c>
      <c r="J596" t="n">
        <v/>
      </c>
      <c r="K596" t="n">
        <v/>
      </c>
      <c r="L596" t="n">
        <v/>
      </c>
      <c r="M596" t="n">
        <v/>
      </c>
    </row>
    <row r="597">
      <c r="A597" s="68" t="n">
        <v>39873</v>
      </c>
      <c r="B597" t="n">
        <v>73.5</v>
      </c>
      <c r="C597" t="n">
        <v>797.8699951171875</v>
      </c>
      <c r="D597" t="n">
        <v>57.3</v>
      </c>
      <c r="E597" t="n">
        <v>63.3</v>
      </c>
      <c r="F597" t="n">
        <v>53.5</v>
      </c>
      <c r="G597" t="n">
        <v/>
      </c>
      <c r="H597" t="n">
        <v/>
      </c>
      <c r="I597" t="n">
        <v/>
      </c>
      <c r="J597" t="n">
        <v/>
      </c>
      <c r="K597" t="n">
        <v/>
      </c>
      <c r="L597" t="n">
        <v/>
      </c>
      <c r="M597" t="n">
        <v/>
      </c>
    </row>
    <row r="598">
      <c r="A598" s="68"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8" t="n">
        <v>39934</v>
      </c>
      <c r="B599" t="n">
        <v>74</v>
      </c>
      <c r="C599" t="n">
        <v>919.1400146484375</v>
      </c>
      <c r="D599" t="n">
        <v>68.7</v>
      </c>
      <c r="E599" t="n">
        <v>67.7</v>
      </c>
      <c r="F599" t="n">
        <v>69.40000000000001</v>
      </c>
      <c r="G599" t="n">
        <v/>
      </c>
      <c r="H599" t="n">
        <v/>
      </c>
      <c r="I599" t="n">
        <v/>
      </c>
      <c r="J599" t="n">
        <v/>
      </c>
      <c r="K599" t="n">
        <v/>
      </c>
      <c r="L599" t="n">
        <v/>
      </c>
      <c r="M599" t="n">
        <v/>
      </c>
    </row>
    <row r="600">
      <c r="A600" s="68" t="n">
        <v>39965</v>
      </c>
      <c r="B600" t="n">
        <v>74.59999999999999</v>
      </c>
      <c r="C600" t="n">
        <v>919.3200073242188</v>
      </c>
      <c r="D600" t="n">
        <v>70.8</v>
      </c>
      <c r="E600" t="n">
        <v>73.2</v>
      </c>
      <c r="F600" t="n">
        <v>69.2</v>
      </c>
      <c r="G600" t="n">
        <v/>
      </c>
      <c r="H600" t="n">
        <v/>
      </c>
      <c r="I600" t="n">
        <v/>
      </c>
      <c r="J600" t="n">
        <v/>
      </c>
      <c r="K600" t="n">
        <v/>
      </c>
      <c r="L600" t="n">
        <v/>
      </c>
      <c r="M600" t="n">
        <v/>
      </c>
    </row>
    <row r="601">
      <c r="A601" s="68"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8" t="n">
        <v>40026</v>
      </c>
      <c r="B602" t="n">
        <v>76</v>
      </c>
      <c r="C602" t="n">
        <v>1020.619995117188</v>
      </c>
      <c r="D602" t="n">
        <v>65.7</v>
      </c>
      <c r="E602" t="n">
        <v>66.59999999999999</v>
      </c>
      <c r="F602" t="n">
        <v>65</v>
      </c>
      <c r="G602" t="n">
        <v/>
      </c>
      <c r="H602" t="n">
        <v/>
      </c>
      <c r="I602" t="n">
        <v/>
      </c>
      <c r="J602" t="n">
        <v/>
      </c>
      <c r="K602" t="n">
        <v/>
      </c>
      <c r="L602" t="n">
        <v/>
      </c>
      <c r="M602" t="n">
        <v/>
      </c>
    </row>
    <row r="603">
      <c r="A603" s="68" t="n">
        <v>40057</v>
      </c>
      <c r="B603" t="n">
        <v>76.59999999999999</v>
      </c>
      <c r="C603" t="n">
        <v>1057.079956054688</v>
      </c>
      <c r="D603" t="n">
        <v>73.5</v>
      </c>
      <c r="E603" t="n">
        <v>73.40000000000001</v>
      </c>
      <c r="F603" t="n">
        <v>73.5</v>
      </c>
      <c r="G603" t="n">
        <v/>
      </c>
      <c r="H603" t="n">
        <v/>
      </c>
      <c r="I603" t="n">
        <v/>
      </c>
      <c r="J603" t="n">
        <v/>
      </c>
      <c r="K603" t="n">
        <v/>
      </c>
      <c r="L603" t="n">
        <v/>
      </c>
      <c r="M603" t="n">
        <v/>
      </c>
    </row>
    <row r="604">
      <c r="A604" s="68"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8" t="n">
        <v>40118</v>
      </c>
      <c r="B605" t="n">
        <v>77.8</v>
      </c>
      <c r="C605" t="n">
        <v>1095.630004882812</v>
      </c>
      <c r="D605" t="n">
        <v>67.40000000000001</v>
      </c>
      <c r="E605" t="n">
        <v>68.8</v>
      </c>
      <c r="F605" t="n">
        <v>66.5</v>
      </c>
      <c r="G605" t="n">
        <v/>
      </c>
      <c r="H605" t="n">
        <v/>
      </c>
      <c r="I605" t="n">
        <v/>
      </c>
      <c r="J605" t="n">
        <v/>
      </c>
      <c r="K605" t="n">
        <v/>
      </c>
      <c r="L605" t="n">
        <v/>
      </c>
      <c r="M605" t="n">
        <v/>
      </c>
    </row>
    <row r="606">
      <c r="A606" s="68" t="n">
        <v>40148</v>
      </c>
      <c r="B606" t="n">
        <v>78.59999999999999</v>
      </c>
      <c r="C606" t="n">
        <v>1115.099975585938</v>
      </c>
      <c r="D606" t="n">
        <v>72.5</v>
      </c>
      <c r="E606" t="n">
        <v>78</v>
      </c>
      <c r="F606" t="n">
        <v>68.90000000000001</v>
      </c>
      <c r="G606" t="n">
        <v/>
      </c>
      <c r="H606" t="n">
        <v/>
      </c>
      <c r="I606" t="n">
        <v/>
      </c>
      <c r="J606" t="n">
        <v/>
      </c>
      <c r="K606" t="n">
        <v/>
      </c>
      <c r="L606" t="n">
        <v/>
      </c>
      <c r="M606" t="n">
        <v/>
      </c>
    </row>
    <row r="607">
      <c r="A607" s="68"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8"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8"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8"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8" t="n">
        <v>40299</v>
      </c>
      <c r="B611" t="n">
        <v>81</v>
      </c>
      <c r="C611" t="n">
        <v>1089.410034179688</v>
      </c>
      <c r="D611" t="n">
        <v>73.59999999999999</v>
      </c>
      <c r="E611" t="n">
        <v>81</v>
      </c>
      <c r="F611" t="n">
        <v>68.8</v>
      </c>
      <c r="G611" t="n">
        <v/>
      </c>
      <c r="H611" t="n">
        <v/>
      </c>
      <c r="I611" t="n">
        <v/>
      </c>
      <c r="J611" t="n">
        <v/>
      </c>
      <c r="K611" t="n">
        <v/>
      </c>
      <c r="L611" t="n">
        <v/>
      </c>
      <c r="M611" t="n">
        <v/>
      </c>
    </row>
    <row r="612">
      <c r="A612" s="68" t="n">
        <v>40330</v>
      </c>
      <c r="B612" t="n">
        <v>81.09999999999999</v>
      </c>
      <c r="C612" t="n">
        <v>1030.7099609375</v>
      </c>
      <c r="D612" t="n">
        <v>76</v>
      </c>
      <c r="E612" t="n">
        <v>85.59999999999999</v>
      </c>
      <c r="F612" t="n">
        <v>69.8</v>
      </c>
      <c r="G612" t="n">
        <v/>
      </c>
      <c r="H612" t="n">
        <v/>
      </c>
      <c r="I612" t="n">
        <v/>
      </c>
      <c r="J612" t="n">
        <v/>
      </c>
      <c r="K612" t="n">
        <v/>
      </c>
      <c r="L612" t="n">
        <v/>
      </c>
      <c r="M612" t="n">
        <v/>
      </c>
    </row>
    <row r="613">
      <c r="A613" s="68"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8" t="n">
        <v>40391</v>
      </c>
      <c r="B614" t="n">
        <v>81.5</v>
      </c>
      <c r="C614" t="n">
        <v>1049.329956054688</v>
      </c>
      <c r="D614" t="n">
        <v>68.90000000000001</v>
      </c>
      <c r="E614" t="n">
        <v>78.3</v>
      </c>
      <c r="F614" t="n">
        <v>62.9</v>
      </c>
      <c r="G614" t="n">
        <v/>
      </c>
      <c r="H614" t="n">
        <v/>
      </c>
      <c r="I614" t="n">
        <v/>
      </c>
      <c r="J614" t="n">
        <v/>
      </c>
      <c r="K614" t="n">
        <v/>
      </c>
      <c r="L614" t="n">
        <v/>
      </c>
      <c r="M614" t="n">
        <v/>
      </c>
    </row>
    <row r="615">
      <c r="A615" s="68" t="n">
        <v>40422</v>
      </c>
      <c r="B615" t="n">
        <v>82</v>
      </c>
      <c r="C615" t="n">
        <v>1141.199951171875</v>
      </c>
      <c r="D615" t="n">
        <v>68.2</v>
      </c>
      <c r="E615" t="n">
        <v>79.59999999999999</v>
      </c>
      <c r="F615" t="n">
        <v>60.9</v>
      </c>
      <c r="G615" t="n">
        <v/>
      </c>
      <c r="H615" t="n">
        <v/>
      </c>
      <c r="I615" t="n">
        <v/>
      </c>
      <c r="J615" t="n">
        <v/>
      </c>
      <c r="K615" t="n">
        <v/>
      </c>
      <c r="L615" t="n">
        <v/>
      </c>
      <c r="M615" t="n">
        <v/>
      </c>
    </row>
    <row r="616">
      <c r="A616" s="68"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8" t="n">
        <v>40483</v>
      </c>
      <c r="B617" t="n">
        <v>82.8</v>
      </c>
      <c r="C617" t="n">
        <v>1180.550048828125</v>
      </c>
      <c r="D617" t="n">
        <v>71.59999999999999</v>
      </c>
      <c r="E617" t="n">
        <v>82.09999999999999</v>
      </c>
      <c r="F617" t="n">
        <v>64.8</v>
      </c>
      <c r="G617" t="n">
        <v/>
      </c>
      <c r="H617" t="n">
        <v/>
      </c>
      <c r="I617" t="n">
        <v/>
      </c>
      <c r="J617" t="n">
        <v/>
      </c>
      <c r="K617" t="n">
        <v/>
      </c>
      <c r="L617" t="n">
        <v/>
      </c>
      <c r="M617" t="n">
        <v/>
      </c>
    </row>
    <row r="618">
      <c r="A618" s="68" t="n">
        <v>40513</v>
      </c>
      <c r="B618" t="n">
        <v>83.7</v>
      </c>
      <c r="C618" t="n">
        <v>1257.640014648438</v>
      </c>
      <c r="D618" t="n">
        <v>74.5</v>
      </c>
      <c r="E618" t="n">
        <v>85.3</v>
      </c>
      <c r="F618" t="n">
        <v>67.5</v>
      </c>
      <c r="G618" t="n">
        <v/>
      </c>
      <c r="H618" t="n">
        <v/>
      </c>
      <c r="I618" t="n">
        <v/>
      </c>
      <c r="J618" t="n">
        <v/>
      </c>
      <c r="K618" t="n">
        <v/>
      </c>
      <c r="L618" t="n">
        <v/>
      </c>
      <c r="M618" t="n">
        <v/>
      </c>
    </row>
    <row r="619">
      <c r="A619" s="68"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8"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8" t="n">
        <v>40603</v>
      </c>
      <c r="B621" t="n">
        <v>85.3</v>
      </c>
      <c r="C621" t="n">
        <v>1325.829956054688</v>
      </c>
      <c r="D621" t="n">
        <v>67.5</v>
      </c>
      <c r="E621" t="n">
        <v>82.5</v>
      </c>
      <c r="F621" t="n">
        <v>57.9</v>
      </c>
      <c r="G621" t="n">
        <v/>
      </c>
      <c r="H621" t="n">
        <v/>
      </c>
      <c r="I621" t="n">
        <v/>
      </c>
      <c r="J621" t="n">
        <v/>
      </c>
      <c r="K621" t="n">
        <v/>
      </c>
      <c r="L621" t="n">
        <v/>
      </c>
      <c r="M621" t="n">
        <v/>
      </c>
    </row>
    <row r="622">
      <c r="A622" s="68"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8" t="n">
        <v>40664</v>
      </c>
      <c r="B623" t="n">
        <v>85.8</v>
      </c>
      <c r="C623" t="n">
        <v>1345.199951171875</v>
      </c>
      <c r="D623" t="n">
        <v>74.3</v>
      </c>
      <c r="E623" t="n">
        <v>81.90000000000001</v>
      </c>
      <c r="F623" t="n">
        <v>69.5</v>
      </c>
      <c r="G623" t="n">
        <v/>
      </c>
      <c r="H623" t="n">
        <v/>
      </c>
      <c r="I623" t="n">
        <v/>
      </c>
      <c r="J623" t="n">
        <v/>
      </c>
      <c r="K623" t="n">
        <v/>
      </c>
      <c r="L623" t="n">
        <v/>
      </c>
      <c r="M623" t="n">
        <v/>
      </c>
    </row>
    <row r="624">
      <c r="A624" s="68" t="n">
        <v>40695</v>
      </c>
      <c r="B624" t="n">
        <v>85.7</v>
      </c>
      <c r="C624" t="n">
        <v>1320.640014648438</v>
      </c>
      <c r="D624" t="n">
        <v>71.5</v>
      </c>
      <c r="E624" t="n">
        <v>82</v>
      </c>
      <c r="F624" t="n">
        <v>64.7</v>
      </c>
      <c r="G624" t="n">
        <v/>
      </c>
      <c r="H624" t="n">
        <v/>
      </c>
      <c r="I624" t="n">
        <v/>
      </c>
      <c r="J624" t="n">
        <v/>
      </c>
      <c r="K624" t="n">
        <v/>
      </c>
      <c r="L624" t="n">
        <v/>
      </c>
      <c r="M624" t="n">
        <v/>
      </c>
    </row>
    <row r="625">
      <c r="A625" s="68"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8" t="n">
        <v>40756</v>
      </c>
      <c r="B626" t="n">
        <v>85.59999999999999</v>
      </c>
      <c r="C626" t="n">
        <v>1218.890014648438</v>
      </c>
      <c r="D626" t="n">
        <v>55.8</v>
      </c>
      <c r="E626" t="n">
        <v>68.5</v>
      </c>
      <c r="F626" t="n">
        <v>47.6</v>
      </c>
      <c r="G626" t="n">
        <v/>
      </c>
      <c r="H626" t="n">
        <v/>
      </c>
      <c r="I626" t="n">
        <v/>
      </c>
      <c r="J626" t="n">
        <v/>
      </c>
      <c r="K626" t="n">
        <v/>
      </c>
      <c r="L626" t="n">
        <v/>
      </c>
      <c r="M626" t="n">
        <v/>
      </c>
    </row>
    <row r="627">
      <c r="A627" s="68" t="n">
        <v>40787</v>
      </c>
      <c r="B627" t="n">
        <v>85.2</v>
      </c>
      <c r="C627" t="n">
        <v>1131.420043945312</v>
      </c>
      <c r="D627" t="n">
        <v>59.5</v>
      </c>
      <c r="E627" t="n">
        <v>75.2</v>
      </c>
      <c r="F627" t="n">
        <v>49.4</v>
      </c>
      <c r="G627" t="n">
        <v/>
      </c>
      <c r="H627" t="n">
        <v/>
      </c>
      <c r="I627" t="n">
        <v/>
      </c>
      <c r="J627" t="n">
        <v/>
      </c>
      <c r="K627" t="n">
        <v/>
      </c>
      <c r="L627" t="n">
        <v/>
      </c>
      <c r="M627" t="n">
        <v/>
      </c>
    </row>
    <row r="628">
      <c r="A628" s="68"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8" t="n">
        <v>40848</v>
      </c>
      <c r="B629" t="n">
        <v>85.90000000000001</v>
      </c>
      <c r="C629" t="n">
        <v>1246.9599609375</v>
      </c>
      <c r="D629" t="n">
        <v>63.7</v>
      </c>
      <c r="E629" t="n">
        <v>77.40000000000001</v>
      </c>
      <c r="F629" t="n">
        <v>54.9</v>
      </c>
      <c r="G629" t="n">
        <v/>
      </c>
      <c r="H629" t="n">
        <v/>
      </c>
      <c r="I629" t="n">
        <v/>
      </c>
      <c r="J629" t="n">
        <v/>
      </c>
      <c r="K629" t="n">
        <v/>
      </c>
      <c r="L629" t="n">
        <v/>
      </c>
      <c r="M629" t="n">
        <v/>
      </c>
    </row>
    <row r="630">
      <c r="A630" s="68" t="n">
        <v>40878</v>
      </c>
      <c r="B630" t="n">
        <v>86.3</v>
      </c>
      <c r="C630" t="n">
        <v>1257.599975585938</v>
      </c>
      <c r="D630" t="n">
        <v>69.90000000000001</v>
      </c>
      <c r="E630" t="n">
        <v>79.59999999999999</v>
      </c>
      <c r="F630" t="n">
        <v>63.6</v>
      </c>
      <c r="G630" t="n">
        <v/>
      </c>
      <c r="H630" t="n">
        <v/>
      </c>
      <c r="I630" t="n">
        <v/>
      </c>
      <c r="J630" t="n">
        <v/>
      </c>
      <c r="K630" t="n">
        <v/>
      </c>
      <c r="L630" t="n">
        <v/>
      </c>
      <c r="M630" t="n">
        <v/>
      </c>
    </row>
    <row r="631">
      <c r="A631" s="68"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8" t="n">
        <v>40940</v>
      </c>
      <c r="B632" t="n">
        <v>87</v>
      </c>
      <c r="C632" t="n">
        <v>1365.680053710938</v>
      </c>
      <c r="D632" t="n">
        <v>75.3</v>
      </c>
      <c r="E632" t="n">
        <v>83</v>
      </c>
      <c r="F632" t="n">
        <v>70.3</v>
      </c>
      <c r="G632" t="n">
        <v/>
      </c>
      <c r="H632" t="n">
        <v/>
      </c>
      <c r="I632" t="n">
        <v/>
      </c>
      <c r="J632" t="n">
        <v/>
      </c>
      <c r="K632" t="n">
        <v/>
      </c>
      <c r="L632" t="n">
        <v/>
      </c>
      <c r="M632" t="n">
        <v/>
      </c>
    </row>
    <row r="633">
      <c r="A633" s="68" t="n">
        <v>40969</v>
      </c>
      <c r="B633" t="n">
        <v>87.5</v>
      </c>
      <c r="C633" t="n">
        <v>1408.469970703125</v>
      </c>
      <c r="D633" t="n">
        <v>76.2</v>
      </c>
      <c r="E633" t="n">
        <v>86</v>
      </c>
      <c r="F633" t="n">
        <v>69.8</v>
      </c>
      <c r="G633" t="n">
        <v/>
      </c>
      <c r="H633" t="n">
        <v/>
      </c>
      <c r="I633" t="n">
        <v/>
      </c>
      <c r="J633" t="n">
        <v/>
      </c>
      <c r="K633" t="n">
        <v/>
      </c>
      <c r="L633" t="n">
        <v/>
      </c>
      <c r="M633" t="n">
        <v/>
      </c>
    </row>
    <row r="634">
      <c r="A634" s="68"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8" t="n">
        <v>41030</v>
      </c>
      <c r="B635" t="n">
        <v>87.40000000000001</v>
      </c>
      <c r="C635" t="n">
        <v>1310.329956054688</v>
      </c>
      <c r="D635" t="n">
        <v>79.3</v>
      </c>
      <c r="E635" t="n">
        <v>87.2</v>
      </c>
      <c r="F635" t="n">
        <v>74.3</v>
      </c>
      <c r="G635" t="n">
        <v/>
      </c>
      <c r="H635" t="n">
        <v/>
      </c>
      <c r="I635" t="n">
        <v/>
      </c>
      <c r="J635" t="n">
        <v/>
      </c>
      <c r="K635" t="n">
        <v/>
      </c>
      <c r="L635" t="n">
        <v/>
      </c>
      <c r="M635" t="n">
        <v/>
      </c>
    </row>
    <row r="636">
      <c r="A636" s="68" t="n">
        <v>41061</v>
      </c>
      <c r="B636" t="n">
        <v>87</v>
      </c>
      <c r="C636" t="n">
        <v>1362.160034179688</v>
      </c>
      <c r="D636" t="n">
        <v>73.2</v>
      </c>
      <c r="E636" t="n">
        <v>81.5</v>
      </c>
      <c r="F636" t="n">
        <v>67.8</v>
      </c>
      <c r="G636" t="n">
        <v/>
      </c>
      <c r="H636" t="n">
        <v/>
      </c>
      <c r="I636" t="n">
        <v/>
      </c>
      <c r="J636" t="n">
        <v/>
      </c>
      <c r="K636" t="n">
        <v/>
      </c>
      <c r="L636" t="n">
        <v/>
      </c>
      <c r="M636" t="n">
        <v/>
      </c>
    </row>
    <row r="637">
      <c r="A637" s="68"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8" t="n">
        <v>41122</v>
      </c>
      <c r="B638" t="n">
        <v>86.90000000000001</v>
      </c>
      <c r="C638" t="n">
        <v>1406.579956054688</v>
      </c>
      <c r="D638" t="n">
        <v>74.3</v>
      </c>
      <c r="E638" t="n">
        <v>88.7</v>
      </c>
      <c r="F638" t="n">
        <v>65.09999999999999</v>
      </c>
      <c r="G638" t="n">
        <v/>
      </c>
      <c r="H638" t="n">
        <v/>
      </c>
      <c r="I638" t="n">
        <v/>
      </c>
      <c r="J638" t="n">
        <v/>
      </c>
      <c r="K638" t="n">
        <v/>
      </c>
      <c r="L638" t="n">
        <v/>
      </c>
      <c r="M638" t="n">
        <v/>
      </c>
    </row>
    <row r="639">
      <c r="A639" s="68" t="n">
        <v>41153</v>
      </c>
      <c r="B639" t="n">
        <v>87.40000000000001</v>
      </c>
      <c r="C639" t="n">
        <v>1440.670043945312</v>
      </c>
      <c r="D639" t="n">
        <v>78.3</v>
      </c>
      <c r="E639" t="n">
        <v>85.7</v>
      </c>
      <c r="F639" t="n">
        <v>73.5</v>
      </c>
      <c r="G639" t="n">
        <v/>
      </c>
      <c r="H639" t="n">
        <v/>
      </c>
      <c r="I639" t="n">
        <v/>
      </c>
      <c r="J639" t="n">
        <v/>
      </c>
      <c r="K639" t="n">
        <v/>
      </c>
      <c r="L639" t="n">
        <v/>
      </c>
      <c r="M639" t="n">
        <v/>
      </c>
    </row>
    <row r="640">
      <c r="A640" s="68"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8" t="n">
        <v>41214</v>
      </c>
      <c r="B641" t="n">
        <v>87.5</v>
      </c>
      <c r="C641" t="n">
        <v>1416.180053710938</v>
      </c>
      <c r="D641" t="n">
        <v>82.7</v>
      </c>
      <c r="E641" t="n">
        <v>90.59999999999999</v>
      </c>
      <c r="F641" t="n">
        <v>77.7</v>
      </c>
      <c r="G641" t="n">
        <v/>
      </c>
      <c r="H641" t="n">
        <v/>
      </c>
      <c r="I641" t="n">
        <v/>
      </c>
      <c r="J641" t="n">
        <v/>
      </c>
      <c r="K641" t="n">
        <v/>
      </c>
      <c r="L641" t="n">
        <v/>
      </c>
      <c r="M641" t="n">
        <v/>
      </c>
    </row>
    <row r="642">
      <c r="A642" s="68" t="n">
        <v>41244</v>
      </c>
      <c r="B642" t="n">
        <v>87.8</v>
      </c>
      <c r="C642" t="n">
        <v>1426.18994140625</v>
      </c>
      <c r="D642" t="n">
        <v>72.90000000000001</v>
      </c>
      <c r="E642" t="n">
        <v>87</v>
      </c>
      <c r="F642" t="n">
        <v>63.8</v>
      </c>
      <c r="G642" t="n">
        <v/>
      </c>
      <c r="H642" t="n">
        <v/>
      </c>
      <c r="I642" t="n">
        <v/>
      </c>
      <c r="J642" t="n">
        <v/>
      </c>
      <c r="K642" t="n">
        <v/>
      </c>
      <c r="L642" t="n">
        <v/>
      </c>
      <c r="M642" t="n">
        <v/>
      </c>
    </row>
    <row r="643">
      <c r="A643" s="68"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8" t="n">
        <v>41306</v>
      </c>
      <c r="B644" t="n">
        <v>88.59999999999999</v>
      </c>
      <c r="C644" t="n">
        <v>1514.680053710938</v>
      </c>
      <c r="D644" t="n">
        <v>77.59999999999999</v>
      </c>
      <c r="E644" t="n">
        <v>89</v>
      </c>
      <c r="F644" t="n">
        <v>70.2</v>
      </c>
      <c r="G644" t="n">
        <v/>
      </c>
      <c r="H644" t="n">
        <v/>
      </c>
      <c r="I644" t="n">
        <v/>
      </c>
      <c r="J644" t="n">
        <v/>
      </c>
      <c r="K644" t="n">
        <v/>
      </c>
      <c r="L644" t="n">
        <v/>
      </c>
      <c r="M644" t="n">
        <v/>
      </c>
    </row>
    <row r="645">
      <c r="A645" s="68" t="n">
        <v>41334</v>
      </c>
      <c r="B645" t="n">
        <v>88.5</v>
      </c>
      <c r="C645" t="n">
        <v>1569.18994140625</v>
      </c>
      <c r="D645" t="n">
        <v>78.59999999999999</v>
      </c>
      <c r="E645" t="n">
        <v>90.7</v>
      </c>
      <c r="F645" t="n">
        <v>70.8</v>
      </c>
      <c r="G645" t="n">
        <v/>
      </c>
      <c r="H645" t="n">
        <v/>
      </c>
      <c r="I645" t="n">
        <v/>
      </c>
      <c r="J645" t="n">
        <v/>
      </c>
      <c r="K645" t="n">
        <v/>
      </c>
      <c r="L645" t="n">
        <v/>
      </c>
      <c r="M645" t="n">
        <v/>
      </c>
    </row>
    <row r="646">
      <c r="A646" s="68"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8" t="n">
        <v>41395</v>
      </c>
      <c r="B647" t="n">
        <v>89.2</v>
      </c>
      <c r="C647" t="n">
        <v>1630.739990234375</v>
      </c>
      <c r="D647" t="n">
        <v>84.5</v>
      </c>
      <c r="E647" t="n">
        <v>98</v>
      </c>
      <c r="F647" t="n">
        <v>75.8</v>
      </c>
      <c r="G647" t="n">
        <v/>
      </c>
      <c r="H647" t="n">
        <v/>
      </c>
      <c r="I647" t="n">
        <v/>
      </c>
      <c r="J647" t="n">
        <v/>
      </c>
      <c r="K647" t="n">
        <v/>
      </c>
      <c r="L647" t="n">
        <v/>
      </c>
      <c r="M647" t="n">
        <v/>
      </c>
    </row>
    <row r="648">
      <c r="A648" s="68" t="n">
        <v>41426</v>
      </c>
      <c r="B648" t="n">
        <v>89.3</v>
      </c>
      <c r="C648" t="n">
        <v>1606.280029296875</v>
      </c>
      <c r="D648" t="n">
        <v>84.09999999999999</v>
      </c>
      <c r="E648" t="n">
        <v>93.8</v>
      </c>
      <c r="F648" t="n">
        <v>77.8</v>
      </c>
      <c r="G648" t="n">
        <v/>
      </c>
      <c r="H648" t="n">
        <v/>
      </c>
      <c r="I648" t="n">
        <v/>
      </c>
      <c r="J648" t="n">
        <v/>
      </c>
      <c r="K648" t="n">
        <v/>
      </c>
      <c r="L648" t="n">
        <v/>
      </c>
      <c r="M648" t="n">
        <v/>
      </c>
    </row>
    <row r="649">
      <c r="A649" s="68"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8" t="n">
        <v>41487</v>
      </c>
      <c r="B650" t="n">
        <v>90.09999999999999</v>
      </c>
      <c r="C650" t="n">
        <v>1632.969970703125</v>
      </c>
      <c r="D650" t="n">
        <v>82.09999999999999</v>
      </c>
      <c r="E650" t="n">
        <v>95.2</v>
      </c>
      <c r="F650" t="n">
        <v>73.7</v>
      </c>
      <c r="G650" t="n">
        <v/>
      </c>
      <c r="H650" t="n">
        <v/>
      </c>
      <c r="I650" t="n">
        <v/>
      </c>
      <c r="J650" t="n">
        <v/>
      </c>
      <c r="K650" t="n">
        <v/>
      </c>
      <c r="L650" t="n">
        <v/>
      </c>
      <c r="M650" t="n">
        <v/>
      </c>
    </row>
    <row r="651">
      <c r="A651" s="68" t="n">
        <v>41518</v>
      </c>
      <c r="B651" t="n">
        <v>90.90000000000001</v>
      </c>
      <c r="C651" t="n">
        <v>1681.550048828125</v>
      </c>
      <c r="D651" t="n">
        <v>77.5</v>
      </c>
      <c r="E651" t="n">
        <v>92.59999999999999</v>
      </c>
      <c r="F651" t="n">
        <v>67.8</v>
      </c>
      <c r="G651" t="n">
        <v/>
      </c>
      <c r="H651" t="n">
        <v/>
      </c>
      <c r="I651" t="n">
        <v/>
      </c>
      <c r="J651" t="n">
        <v/>
      </c>
      <c r="K651" t="n">
        <v/>
      </c>
      <c r="L651" t="n">
        <v/>
      </c>
      <c r="M651" t="n">
        <v/>
      </c>
    </row>
    <row r="652">
      <c r="A652" s="68"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8" t="n">
        <v>41579</v>
      </c>
      <c r="B653" t="n">
        <v>91.8</v>
      </c>
      <c r="C653" t="n">
        <v>1805.81005859375</v>
      </c>
      <c r="D653" t="n">
        <v>75.09999999999999</v>
      </c>
      <c r="E653" t="n">
        <v>88</v>
      </c>
      <c r="F653" t="n">
        <v>66.8</v>
      </c>
      <c r="G653" t="n">
        <v/>
      </c>
      <c r="H653" t="n">
        <v/>
      </c>
      <c r="I653" t="n">
        <v/>
      </c>
      <c r="J653" t="n">
        <v/>
      </c>
      <c r="K653" t="n">
        <v/>
      </c>
      <c r="L653" t="n">
        <v/>
      </c>
      <c r="M653" t="n">
        <v/>
      </c>
    </row>
    <row r="654">
      <c r="A654" s="68" t="n">
        <v>41609</v>
      </c>
      <c r="B654" t="n">
        <v>91.8</v>
      </c>
      <c r="C654" t="n">
        <v>1848.359985351562</v>
      </c>
      <c r="D654" t="n">
        <v>82.5</v>
      </c>
      <c r="E654" t="n">
        <v>98.59999999999999</v>
      </c>
      <c r="F654" t="n">
        <v>72.09999999999999</v>
      </c>
      <c r="G654" t="n">
        <v/>
      </c>
      <c r="H654" t="n">
        <v/>
      </c>
      <c r="I654" t="n">
        <v/>
      </c>
      <c r="J654" t="n">
        <v/>
      </c>
      <c r="K654" t="n">
        <v/>
      </c>
      <c r="L654" t="n">
        <v/>
      </c>
      <c r="M654" t="n">
        <v/>
      </c>
    </row>
    <row r="655">
      <c r="A655" s="68"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8" t="n">
        <v>41671</v>
      </c>
      <c r="B656" t="n">
        <v>92.5</v>
      </c>
      <c r="C656" t="n">
        <v>1859.449951171875</v>
      </c>
      <c r="D656" t="n">
        <v>81.59999999999999</v>
      </c>
      <c r="E656" t="n">
        <v>95.40000000000001</v>
      </c>
      <c r="F656" t="n">
        <v>72.7</v>
      </c>
      <c r="G656" t="n">
        <v/>
      </c>
      <c r="H656" t="n">
        <v/>
      </c>
      <c r="I656" t="n">
        <v/>
      </c>
      <c r="J656" t="n">
        <v/>
      </c>
      <c r="K656" t="n">
        <v/>
      </c>
      <c r="L656" t="n">
        <v/>
      </c>
      <c r="M656" t="n">
        <v/>
      </c>
    </row>
    <row r="657">
      <c r="A657" s="68" t="n">
        <v>41699</v>
      </c>
      <c r="B657" t="n">
        <v>93.40000000000001</v>
      </c>
      <c r="C657" t="n">
        <v>1872.339965820312</v>
      </c>
      <c r="D657" t="n">
        <v>80</v>
      </c>
      <c r="E657" t="n">
        <v>95.7</v>
      </c>
      <c r="F657" t="n">
        <v>70</v>
      </c>
      <c r="G657" t="n">
        <v/>
      </c>
      <c r="H657" t="n">
        <v/>
      </c>
      <c r="I657" t="n">
        <v/>
      </c>
      <c r="J657" t="n">
        <v/>
      </c>
      <c r="K657" t="n">
        <v/>
      </c>
      <c r="L657" t="n">
        <v/>
      </c>
      <c r="M657" t="n">
        <v/>
      </c>
    </row>
    <row r="658">
      <c r="A658" s="68"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8" t="n">
        <v>41760</v>
      </c>
      <c r="B659" t="n">
        <v>94</v>
      </c>
      <c r="C659" t="n">
        <v>1923.569946289062</v>
      </c>
      <c r="D659" t="n">
        <v>81.90000000000001</v>
      </c>
      <c r="E659" t="n">
        <v>94.5</v>
      </c>
      <c r="F659" t="n">
        <v>73.7</v>
      </c>
      <c r="G659" t="n">
        <v/>
      </c>
      <c r="H659" t="n">
        <v/>
      </c>
      <c r="I659" t="n">
        <v/>
      </c>
      <c r="J659" t="n">
        <v/>
      </c>
      <c r="K659" t="n">
        <v/>
      </c>
      <c r="L659" t="n">
        <v/>
      </c>
      <c r="M659" t="n">
        <v/>
      </c>
    </row>
    <row r="660">
      <c r="A660" s="68" t="n">
        <v>41791</v>
      </c>
      <c r="B660" t="n">
        <v>94.7</v>
      </c>
      <c r="C660" t="n">
        <v>1960.22998046875</v>
      </c>
      <c r="D660" t="n">
        <v>82.5</v>
      </c>
      <c r="E660" t="n">
        <v>96.59999999999999</v>
      </c>
      <c r="F660" t="n">
        <v>73.5</v>
      </c>
      <c r="G660" t="n">
        <v/>
      </c>
      <c r="H660" t="n">
        <v/>
      </c>
      <c r="I660" t="n">
        <v/>
      </c>
      <c r="J660" t="n">
        <v/>
      </c>
      <c r="K660" t="n">
        <v/>
      </c>
      <c r="L660" t="n">
        <v/>
      </c>
      <c r="M660" t="n">
        <v/>
      </c>
    </row>
    <row r="661">
      <c r="A661" s="68"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8" t="n">
        <v>41852</v>
      </c>
      <c r="B662" t="n">
        <v>95.5</v>
      </c>
      <c r="C662" t="n">
        <v>2003.369995117188</v>
      </c>
      <c r="D662" t="n">
        <v>82.5</v>
      </c>
      <c r="E662" t="n">
        <v>99.8</v>
      </c>
      <c r="F662" t="n">
        <v>71.3</v>
      </c>
      <c r="G662" t="n">
        <v/>
      </c>
      <c r="H662" t="n">
        <v/>
      </c>
      <c r="I662" t="n">
        <v/>
      </c>
      <c r="J662" t="n">
        <v/>
      </c>
      <c r="K662" t="n">
        <v/>
      </c>
      <c r="L662" t="n">
        <v/>
      </c>
      <c r="M662" t="n">
        <v/>
      </c>
    </row>
    <row r="663">
      <c r="A663" s="68"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8"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8" t="n">
        <v>41944</v>
      </c>
      <c r="B665" t="n">
        <v>96.8</v>
      </c>
      <c r="C665" t="n">
        <v>2067.56005859375</v>
      </c>
      <c r="D665" t="n">
        <v>88.8</v>
      </c>
      <c r="E665" t="n">
        <v>102.7</v>
      </c>
      <c r="F665" t="n">
        <v>79.90000000000001</v>
      </c>
      <c r="G665" t="n">
        <v/>
      </c>
      <c r="H665" t="n">
        <v/>
      </c>
      <c r="I665" t="n">
        <v/>
      </c>
      <c r="J665" t="n">
        <v/>
      </c>
      <c r="K665" t="n">
        <v/>
      </c>
      <c r="L665" t="n">
        <v/>
      </c>
      <c r="M665" t="n">
        <v/>
      </c>
    </row>
    <row r="666">
      <c r="A666" s="68" t="n">
        <v>41974</v>
      </c>
      <c r="B666" t="n">
        <v>97.3</v>
      </c>
      <c r="C666" t="n">
        <v>2058.89990234375</v>
      </c>
      <c r="D666" t="n">
        <v>93.59999999999999</v>
      </c>
      <c r="E666" t="n">
        <v>104.8</v>
      </c>
      <c r="F666" t="n">
        <v>86.40000000000001</v>
      </c>
      <c r="G666" t="n">
        <v/>
      </c>
      <c r="H666" t="n">
        <v/>
      </c>
      <c r="I666" t="n">
        <v/>
      </c>
      <c r="J666" t="n">
        <v/>
      </c>
      <c r="K666" t="n">
        <v/>
      </c>
      <c r="L666" t="n">
        <v/>
      </c>
      <c r="M666" t="n">
        <v/>
      </c>
    </row>
    <row r="667">
      <c r="A667" s="68"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8" t="n">
        <v>42036</v>
      </c>
      <c r="B668" t="n">
        <v>97.40000000000001</v>
      </c>
      <c r="C668" t="n">
        <v>2104.5</v>
      </c>
      <c r="D668" t="n">
        <v>95.40000000000001</v>
      </c>
      <c r="E668" t="n">
        <v>106.9</v>
      </c>
      <c r="F668" t="n">
        <v>88</v>
      </c>
      <c r="G668" t="n">
        <v/>
      </c>
      <c r="H668" t="n">
        <v/>
      </c>
      <c r="I668" t="n">
        <v/>
      </c>
      <c r="J668" t="n">
        <v/>
      </c>
      <c r="K668" t="n">
        <v/>
      </c>
      <c r="L668" t="n">
        <v/>
      </c>
      <c r="M668" t="n">
        <v/>
      </c>
    </row>
    <row r="669">
      <c r="A669" s="68" t="n">
        <v>42064</v>
      </c>
      <c r="B669" t="n">
        <v>97.90000000000001</v>
      </c>
      <c r="C669" t="n">
        <v>2067.889892578125</v>
      </c>
      <c r="D669" t="n">
        <v>93</v>
      </c>
      <c r="E669" t="n">
        <v>105</v>
      </c>
      <c r="F669" t="n">
        <v>85.3</v>
      </c>
      <c r="G669" t="n">
        <v/>
      </c>
      <c r="H669" t="n">
        <v/>
      </c>
      <c r="I669" t="n">
        <v/>
      </c>
      <c r="J669" t="n">
        <v/>
      </c>
      <c r="K669" t="n">
        <v/>
      </c>
      <c r="L669" t="n">
        <v/>
      </c>
      <c r="M669" t="n">
        <v/>
      </c>
    </row>
    <row r="670">
      <c r="A670" s="68"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8" t="n">
        <v>42125</v>
      </c>
      <c r="B671" t="n">
        <v>98.8</v>
      </c>
      <c r="C671" t="n">
        <v>2107.389892578125</v>
      </c>
      <c r="D671" t="n">
        <v>90.7</v>
      </c>
      <c r="E671" t="n">
        <v>100.8</v>
      </c>
      <c r="F671" t="n">
        <v>84.2</v>
      </c>
      <c r="G671" t="n">
        <v/>
      </c>
      <c r="H671" t="n">
        <v/>
      </c>
      <c r="I671" t="n">
        <v/>
      </c>
      <c r="J671" t="n">
        <v/>
      </c>
      <c r="K671" t="n">
        <v/>
      </c>
      <c r="L671" t="n">
        <v/>
      </c>
      <c r="M671" t="n">
        <v/>
      </c>
    </row>
    <row r="672">
      <c r="A672" s="68" t="n">
        <v>42156</v>
      </c>
      <c r="B672" t="n">
        <v>99.3</v>
      </c>
      <c r="C672" t="n">
        <v>2063.110107421875</v>
      </c>
      <c r="D672" t="n">
        <v>96.09999999999999</v>
      </c>
      <c r="E672" t="n">
        <v>108.9</v>
      </c>
      <c r="F672" t="n">
        <v>87.8</v>
      </c>
      <c r="G672" t="n">
        <v/>
      </c>
      <c r="H672" t="n">
        <v/>
      </c>
      <c r="I672" t="n">
        <v/>
      </c>
      <c r="J672" t="n">
        <v/>
      </c>
      <c r="K672" t="n">
        <v/>
      </c>
      <c r="L672" t="n">
        <v/>
      </c>
      <c r="M672" t="n">
        <v/>
      </c>
    </row>
    <row r="673">
      <c r="A673" s="68"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8"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8" t="n">
        <v>42248</v>
      </c>
      <c r="B675" t="n">
        <v>99</v>
      </c>
      <c r="C675" t="n">
        <v>1920.030029296875</v>
      </c>
      <c r="D675" t="n">
        <v>87.2</v>
      </c>
      <c r="E675" t="n">
        <v>101.2</v>
      </c>
      <c r="F675" t="n">
        <v>78.2</v>
      </c>
      <c r="G675" t="n">
        <v/>
      </c>
      <c r="H675" t="n">
        <v/>
      </c>
      <c r="I675" t="n">
        <v/>
      </c>
      <c r="J675" t="n">
        <v/>
      </c>
      <c r="K675" t="n">
        <v/>
      </c>
      <c r="L675" t="n">
        <v/>
      </c>
      <c r="M675" t="n">
        <v/>
      </c>
    </row>
    <row r="676">
      <c r="A676" s="68"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8" t="n">
        <v>42309</v>
      </c>
      <c r="B677" t="n">
        <v>99.8</v>
      </c>
      <c r="C677" t="n">
        <v>2080.409912109375</v>
      </c>
      <c r="D677" t="n">
        <v>91.3</v>
      </c>
      <c r="E677" t="n">
        <v>104.3</v>
      </c>
      <c r="F677" t="n">
        <v>82.90000000000001</v>
      </c>
      <c r="G677" t="n">
        <v/>
      </c>
      <c r="H677" t="n">
        <v/>
      </c>
      <c r="I677" t="n">
        <v/>
      </c>
      <c r="J677" t="n">
        <v/>
      </c>
      <c r="K677" t="n">
        <v/>
      </c>
      <c r="L677" t="n">
        <v/>
      </c>
      <c r="M677" t="n">
        <v/>
      </c>
    </row>
    <row r="678">
      <c r="A678" s="68" t="n">
        <v>42339</v>
      </c>
      <c r="B678" t="n">
        <v>99.59999999999999</v>
      </c>
      <c r="C678" t="n">
        <v>2043.93994140625</v>
      </c>
      <c r="D678" t="n">
        <v>92.59999999999999</v>
      </c>
      <c r="E678" t="n">
        <v>108.1</v>
      </c>
      <c r="F678" t="n">
        <v>82.7</v>
      </c>
      <c r="G678" t="n">
        <v/>
      </c>
      <c r="H678" t="n">
        <v/>
      </c>
      <c r="I678" t="n">
        <v/>
      </c>
      <c r="J678" t="n">
        <v/>
      </c>
      <c r="K678" t="n">
        <v/>
      </c>
      <c r="L678" t="n">
        <v/>
      </c>
      <c r="M678" t="n">
        <v/>
      </c>
    </row>
    <row r="679">
      <c r="A679" s="68"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8" t="n">
        <v>42401</v>
      </c>
      <c r="B680" t="n">
        <v>99.2</v>
      </c>
      <c r="C680" t="n">
        <v>1932.22998046875</v>
      </c>
      <c r="D680" t="n">
        <v>91.7</v>
      </c>
      <c r="E680" t="n">
        <v>106.8</v>
      </c>
      <c r="F680" t="n">
        <v>81.90000000000001</v>
      </c>
      <c r="G680" t="n">
        <v/>
      </c>
      <c r="H680" t="n">
        <v/>
      </c>
      <c r="I680" t="n">
        <v/>
      </c>
      <c r="J680" t="n">
        <v/>
      </c>
      <c r="K680" t="n">
        <v/>
      </c>
      <c r="L680" t="n">
        <v/>
      </c>
      <c r="M680" t="n">
        <v/>
      </c>
    </row>
    <row r="681">
      <c r="A681" s="68" t="n">
        <v>42430</v>
      </c>
      <c r="B681" t="n">
        <v>99.2</v>
      </c>
      <c r="C681" t="n">
        <v>2059.739990234375</v>
      </c>
      <c r="D681" t="n">
        <v>91</v>
      </c>
      <c r="E681" t="n">
        <v>105.6</v>
      </c>
      <c r="F681" t="n">
        <v>81.5</v>
      </c>
      <c r="G681" t="n">
        <v/>
      </c>
      <c r="H681" t="n">
        <v/>
      </c>
      <c r="I681" t="n">
        <v/>
      </c>
      <c r="J681" t="n">
        <v/>
      </c>
      <c r="K681" t="n">
        <v/>
      </c>
      <c r="L681" t="n">
        <v/>
      </c>
      <c r="M681" t="n">
        <v/>
      </c>
    </row>
    <row r="682">
      <c r="A682" s="68"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8" t="n">
        <v>42491</v>
      </c>
      <c r="B683" t="n">
        <v>99.5</v>
      </c>
      <c r="C683" t="n">
        <v>2096.949951171875</v>
      </c>
      <c r="D683" t="n">
        <v>94.7</v>
      </c>
      <c r="E683" t="n">
        <v>109.9</v>
      </c>
      <c r="F683" t="n">
        <v>84.90000000000001</v>
      </c>
      <c r="G683" t="n">
        <v/>
      </c>
      <c r="H683" t="n">
        <v/>
      </c>
      <c r="I683" t="n">
        <v/>
      </c>
      <c r="J683" t="n">
        <v/>
      </c>
      <c r="K683" t="n">
        <v/>
      </c>
      <c r="L683" t="n">
        <v/>
      </c>
      <c r="M683" t="n">
        <v/>
      </c>
    </row>
    <row r="684">
      <c r="A684" s="68" t="n">
        <v>42522</v>
      </c>
      <c r="B684" t="n">
        <v>99.8</v>
      </c>
      <c r="C684" t="n">
        <v>2098.860107421875</v>
      </c>
      <c r="D684" t="n">
        <v>93.5</v>
      </c>
      <c r="E684" t="n">
        <v>110.8</v>
      </c>
      <c r="F684" t="n">
        <v>82.40000000000001</v>
      </c>
      <c r="G684" t="n">
        <v/>
      </c>
      <c r="H684" t="n">
        <v/>
      </c>
      <c r="I684" t="n">
        <v/>
      </c>
      <c r="J684" t="n">
        <v/>
      </c>
      <c r="K684" t="n">
        <v/>
      </c>
      <c r="L684" t="n">
        <v/>
      </c>
      <c r="M684" t="n">
        <v/>
      </c>
    </row>
    <row r="685">
      <c r="A685" s="68"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8" t="n">
        <v>42583</v>
      </c>
      <c r="B686" t="n">
        <v>100.2</v>
      </c>
      <c r="C686" t="n">
        <v>2170.949951171875</v>
      </c>
      <c r="D686" t="n">
        <v>89.8</v>
      </c>
      <c r="E686" t="n">
        <v>107</v>
      </c>
      <c r="F686" t="n">
        <v>78.7</v>
      </c>
      <c r="G686" t="n">
        <v/>
      </c>
      <c r="H686" t="n">
        <v/>
      </c>
      <c r="I686" t="n">
        <v/>
      </c>
      <c r="J686" t="n">
        <v/>
      </c>
      <c r="K686" t="n">
        <v/>
      </c>
      <c r="L686" t="n">
        <v/>
      </c>
      <c r="M686" t="n">
        <v/>
      </c>
    </row>
    <row r="687">
      <c r="A687" s="68" t="n">
        <v>42614</v>
      </c>
      <c r="B687" t="n">
        <v>100.4</v>
      </c>
      <c r="C687" t="n">
        <v>2168.27001953125</v>
      </c>
      <c r="D687" t="n">
        <v>91.2</v>
      </c>
      <c r="E687" t="n">
        <v>104.2</v>
      </c>
      <c r="F687" t="n">
        <v>82.7</v>
      </c>
      <c r="G687" t="n">
        <v/>
      </c>
      <c r="H687" t="n">
        <v/>
      </c>
      <c r="I687" t="n">
        <v/>
      </c>
      <c r="J687" t="n">
        <v/>
      </c>
      <c r="K687" t="n">
        <v/>
      </c>
      <c r="L687" t="n">
        <v/>
      </c>
      <c r="M687" t="n">
        <v/>
      </c>
    </row>
    <row r="688">
      <c r="A688" s="68"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8" t="n">
        <v>42675</v>
      </c>
      <c r="B689" t="n">
        <v>100.7</v>
      </c>
      <c r="C689" t="n">
        <v>2198.81005859375</v>
      </c>
      <c r="D689" t="n">
        <v>93.8</v>
      </c>
      <c r="E689" t="n">
        <v>107.3</v>
      </c>
      <c r="F689" t="n">
        <v>85.2</v>
      </c>
      <c r="G689" t="n">
        <v/>
      </c>
      <c r="H689" t="n">
        <v/>
      </c>
      <c r="I689" t="n">
        <v/>
      </c>
      <c r="J689" t="n">
        <v/>
      </c>
      <c r="K689" t="n">
        <v/>
      </c>
      <c r="L689" t="n">
        <v/>
      </c>
      <c r="M689" t="n">
        <v/>
      </c>
    </row>
    <row r="690">
      <c r="A690" s="68" t="n">
        <v>42705</v>
      </c>
      <c r="B690" t="n">
        <v>101.2</v>
      </c>
      <c r="C690" t="n">
        <v>2238.830078125</v>
      </c>
      <c r="D690" t="n">
        <v>98.2</v>
      </c>
      <c r="E690" t="n">
        <v>111.9</v>
      </c>
      <c r="F690" t="n">
        <v>89.5</v>
      </c>
      <c r="G690" t="n">
        <v/>
      </c>
      <c r="H690" t="n">
        <v/>
      </c>
      <c r="I690" t="n">
        <v/>
      </c>
      <c r="J690" t="n">
        <v/>
      </c>
      <c r="K690" t="n">
        <v/>
      </c>
      <c r="L690" t="n">
        <v/>
      </c>
      <c r="M690" t="n">
        <v/>
      </c>
    </row>
    <row r="691">
      <c r="A691" s="68" t="n">
        <v>42736</v>
      </c>
      <c r="B691" t="n">
        <v>101.8</v>
      </c>
      <c r="C691" t="n">
        <v>2278.8701171875</v>
      </c>
      <c r="D691" t="n">
        <v>98.5</v>
      </c>
      <c r="E691" t="n">
        <v>111.3</v>
      </c>
      <c r="F691" t="n">
        <v>90.3</v>
      </c>
      <c r="G691" t="n">
        <v>17896.623</v>
      </c>
      <c r="H691" t="n">
        <v>0.004697143142591666</v>
      </c>
      <c r="I691" t="n">
        <v>0.01850393786581968</v>
      </c>
      <c r="J691" t="n">
        <v>0.01892136651452603</v>
      </c>
      <c r="K691" t="n">
        <v>0.004719310419164807</v>
      </c>
      <c r="L691" t="n">
        <v>0.01901129394955658</v>
      </c>
      <c r="M691" t="n">
        <v>0.01885278869645634</v>
      </c>
    </row>
    <row r="692">
      <c r="A692" s="68" t="n">
        <v>42767</v>
      </c>
      <c r="B692" t="n">
        <v>102.1</v>
      </c>
      <c r="C692" t="n">
        <v>2363.639892578125</v>
      </c>
      <c r="D692" t="n">
        <v>96.3</v>
      </c>
      <c r="E692" t="n">
        <v>111.5</v>
      </c>
      <c r="F692" t="n">
        <v>86.5</v>
      </c>
      <c r="G692" t="n">
        <v/>
      </c>
      <c r="H692" t="n">
        <v/>
      </c>
      <c r="I692" t="n">
        <v/>
      </c>
      <c r="J692" t="n">
        <v/>
      </c>
      <c r="K692" t="n">
        <v/>
      </c>
      <c r="L692" t="n">
        <v/>
      </c>
      <c r="M692" t="n">
        <v/>
      </c>
    </row>
    <row r="693">
      <c r="A693" s="68" t="n">
        <v>42795</v>
      </c>
      <c r="B693" t="n">
        <v>102.6</v>
      </c>
      <c r="C693" t="n">
        <v>2362.719970703125</v>
      </c>
      <c r="D693" t="n">
        <v>96.90000000000001</v>
      </c>
      <c r="E693" t="n">
        <v>113.2</v>
      </c>
      <c r="F693" t="n">
        <v>86.5</v>
      </c>
      <c r="G693" t="n">
        <v/>
      </c>
      <c r="H693" t="n">
        <v/>
      </c>
      <c r="I693" t="n">
        <v/>
      </c>
      <c r="J693" t="n">
        <v/>
      </c>
      <c r="K693" t="n">
        <v/>
      </c>
      <c r="L693" t="n">
        <v/>
      </c>
      <c r="M693" t="n">
        <v/>
      </c>
    </row>
    <row r="694">
      <c r="A694" s="68" t="n">
        <v>42826</v>
      </c>
      <c r="B694" t="n">
        <v>102.8</v>
      </c>
      <c r="C694" t="n">
        <v>2384.199951171875</v>
      </c>
      <c r="D694" t="n">
        <v>97</v>
      </c>
      <c r="E694" t="n">
        <v>112.7</v>
      </c>
      <c r="F694" t="n">
        <v>87</v>
      </c>
      <c r="G694" t="n">
        <v>17996.802</v>
      </c>
      <c r="H694" t="n">
        <v>0.005566488979542037</v>
      </c>
      <c r="I694" t="n">
        <v>0.02101601162250945</v>
      </c>
      <c r="J694" t="n">
        <v>0.0224525616040907</v>
      </c>
      <c r="K694" t="n">
        <v>0.005597648226707356</v>
      </c>
      <c r="L694" t="n">
        <v>0.02257929746199983</v>
      </c>
      <c r="M694" t="n">
        <v>0.02146716582907564</v>
      </c>
    </row>
    <row r="695">
      <c r="A695" s="68" t="n">
        <v>42856</v>
      </c>
      <c r="B695" t="n">
        <v>103.2</v>
      </c>
      <c r="C695" t="n">
        <v>2411.800048828125</v>
      </c>
      <c r="D695" t="n">
        <v>97.09999999999999</v>
      </c>
      <c r="E695" t="n">
        <v>111.7</v>
      </c>
      <c r="F695" t="n">
        <v>87.7</v>
      </c>
      <c r="G695" t="n">
        <v/>
      </c>
      <c r="H695" t="n">
        <v/>
      </c>
      <c r="I695" t="n">
        <v/>
      </c>
      <c r="J695" t="n">
        <v/>
      </c>
      <c r="K695" t="n">
        <v/>
      </c>
      <c r="L695" t="n">
        <v/>
      </c>
      <c r="M695" t="n">
        <v/>
      </c>
    </row>
    <row r="696">
      <c r="A696" s="68" t="n">
        <v>42887</v>
      </c>
      <c r="B696" t="n">
        <v>103.8</v>
      </c>
      <c r="C696" t="n">
        <v>2423.409912109375</v>
      </c>
      <c r="D696" t="n">
        <v>95</v>
      </c>
      <c r="E696" t="n">
        <v>112.4</v>
      </c>
      <c r="F696" t="n">
        <v>83.8</v>
      </c>
      <c r="G696" t="n">
        <v/>
      </c>
      <c r="H696" t="n">
        <v/>
      </c>
      <c r="I696" t="n">
        <v/>
      </c>
      <c r="J696" t="n">
        <v/>
      </c>
      <c r="K696" t="n">
        <v/>
      </c>
      <c r="L696" t="n">
        <v/>
      </c>
      <c r="M696" t="n">
        <v/>
      </c>
    </row>
    <row r="697">
      <c r="A697" s="68" t="n">
        <v>42917</v>
      </c>
      <c r="B697" t="n">
        <v>104.1</v>
      </c>
      <c r="C697" t="n">
        <v>2470.300048828125</v>
      </c>
      <c r="D697" t="n">
        <v>93.40000000000001</v>
      </c>
      <c r="E697" t="n">
        <v>113.4</v>
      </c>
      <c r="F697" t="n">
        <v>80.5</v>
      </c>
      <c r="G697" t="n">
        <v>18126.226</v>
      </c>
      <c r="H697" t="n">
        <v>0.007140151513061741</v>
      </c>
      <c r="I697" t="n">
        <v>0.02216330084376071</v>
      </c>
      <c r="J697" t="n">
        <v>0.02886795530323116</v>
      </c>
      <c r="K697" t="n">
        <v>0.007191499912039876</v>
      </c>
      <c r="L697" t="n">
        <v>0.02907779605929184</v>
      </c>
      <c r="M697" t="n">
        <v>0.02266564638337372</v>
      </c>
    </row>
    <row r="698">
      <c r="A698" s="68" t="n">
        <v>42948</v>
      </c>
      <c r="B698" t="n">
        <v>104.5</v>
      </c>
      <c r="C698" t="n">
        <v>2471.64990234375</v>
      </c>
      <c r="D698" t="n">
        <v>96.8</v>
      </c>
      <c r="E698" t="n">
        <v>110.9</v>
      </c>
      <c r="F698" t="n">
        <v>87.7</v>
      </c>
      <c r="G698" t="n">
        <v/>
      </c>
      <c r="H698" t="n">
        <v/>
      </c>
      <c r="I698" t="n">
        <v/>
      </c>
      <c r="J698" t="n">
        <v/>
      </c>
      <c r="K698" t="n">
        <v/>
      </c>
      <c r="L698" t="n">
        <v/>
      </c>
      <c r="M698" t="n">
        <v/>
      </c>
    </row>
    <row r="699">
      <c r="A699" s="68" t="n">
        <v>42979</v>
      </c>
      <c r="B699" t="n">
        <v>104.5</v>
      </c>
      <c r="C699" t="n">
        <v>2519.360107421875</v>
      </c>
      <c r="D699" t="n">
        <v>95.09999999999999</v>
      </c>
      <c r="E699" t="n">
        <v>111.7</v>
      </c>
      <c r="F699" t="n">
        <v>84.40000000000001</v>
      </c>
      <c r="G699" t="n">
        <v/>
      </c>
      <c r="H699" t="n">
        <v/>
      </c>
      <c r="I699" t="n">
        <v/>
      </c>
      <c r="J699" t="n">
        <v/>
      </c>
      <c r="K699" t="n">
        <v/>
      </c>
      <c r="L699" t="n">
        <v/>
      </c>
      <c r="M699" t="n">
        <v/>
      </c>
    </row>
    <row r="700">
      <c r="A700" s="68" t="n">
        <v>43009</v>
      </c>
      <c r="B700" t="n">
        <v>105.9</v>
      </c>
      <c r="C700" t="n">
        <v>2575.260009765625</v>
      </c>
      <c r="D700" t="n">
        <v>100.7</v>
      </c>
      <c r="E700" t="n">
        <v>116.5</v>
      </c>
      <c r="F700" t="n">
        <v>90.5</v>
      </c>
      <c r="G700" t="n">
        <v>18296.685</v>
      </c>
      <c r="H700" t="n">
        <v>0.009316387094165011</v>
      </c>
      <c r="I700" t="n">
        <v>0.02645971114439583</v>
      </c>
      <c r="J700" t="n">
        <v>0.03778956078679774</v>
      </c>
      <c r="K700" t="n">
        <v>0.009403998383337081</v>
      </c>
      <c r="L700" t="n">
        <v>0.03814993904506303</v>
      </c>
      <c r="M700" t="n">
        <v>0.02717885581859093</v>
      </c>
    </row>
    <row r="701">
      <c r="A701" s="68" t="n">
        <v>43040</v>
      </c>
      <c r="B701" t="n">
        <v>106.3</v>
      </c>
      <c r="C701" t="n">
        <v>2647.580078125</v>
      </c>
      <c r="D701" t="n">
        <v>98.5</v>
      </c>
      <c r="E701" t="n">
        <v>113.5</v>
      </c>
      <c r="F701" t="n">
        <v>88.90000000000001</v>
      </c>
      <c r="G701" t="n">
        <v/>
      </c>
      <c r="H701" t="n">
        <v/>
      </c>
      <c r="I701" t="n">
        <v/>
      </c>
      <c r="J701" t="n">
        <v/>
      </c>
      <c r="K701" t="n">
        <v/>
      </c>
      <c r="L701" t="n">
        <v/>
      </c>
      <c r="M701" t="n">
        <v/>
      </c>
    </row>
    <row r="702">
      <c r="A702" s="68" t="n">
        <v>43070</v>
      </c>
      <c r="B702" t="n">
        <v>107</v>
      </c>
      <c r="C702" t="n">
        <v>2673.610107421875</v>
      </c>
      <c r="D702" t="n">
        <v>95.90000000000001</v>
      </c>
      <c r="E702" t="n">
        <v>113.8</v>
      </c>
      <c r="F702" t="n">
        <v>84.3</v>
      </c>
      <c r="G702" t="n">
        <v/>
      </c>
      <c r="H702" t="n">
        <v/>
      </c>
      <c r="I702" t="n">
        <v/>
      </c>
      <c r="J702" t="n">
        <v/>
      </c>
      <c r="K702" t="n">
        <v/>
      </c>
      <c r="L702" t="n">
        <v/>
      </c>
      <c r="M702" t="n">
        <v/>
      </c>
    </row>
    <row r="703">
      <c r="A703" s="68" t="n">
        <v>43101</v>
      </c>
      <c r="B703" t="n">
        <v>107.9</v>
      </c>
      <c r="C703" t="n">
        <v>2823.81005859375</v>
      </c>
      <c r="D703" t="n">
        <v>95.7</v>
      </c>
      <c r="E703" t="n">
        <v>110.5</v>
      </c>
      <c r="F703" t="n">
        <v>86.3</v>
      </c>
      <c r="G703" t="n">
        <v>18436.262</v>
      </c>
      <c r="H703" t="n">
        <v>0.007570786312322829</v>
      </c>
      <c r="I703" t="n">
        <v>0.0292705213236826</v>
      </c>
      <c r="J703" t="n">
        <v>0.03062878509997158</v>
      </c>
      <c r="K703" t="n">
        <v>0.007628540361272956</v>
      </c>
      <c r="L703" t="n">
        <v>0.03086510836024359</v>
      </c>
      <c r="M703" t="n">
        <v>0.03015311883141301</v>
      </c>
    </row>
    <row r="704">
      <c r="A704" s="68" t="n">
        <v>43132</v>
      </c>
      <c r="B704" t="n">
        <v>108.7</v>
      </c>
      <c r="C704" t="n">
        <v>2713.830078125</v>
      </c>
      <c r="D704" t="n">
        <v>99.7</v>
      </c>
      <c r="E704" t="n">
        <v>114.9</v>
      </c>
      <c r="F704" t="n">
        <v>90</v>
      </c>
      <c r="G704" t="n">
        <v/>
      </c>
      <c r="H704" t="n">
        <v/>
      </c>
      <c r="I704" t="n">
        <v/>
      </c>
      <c r="J704" t="n">
        <v/>
      </c>
      <c r="K704" t="n">
        <v/>
      </c>
      <c r="L704" t="n">
        <v/>
      </c>
      <c r="M704" t="n">
        <v/>
      </c>
    </row>
    <row r="705">
      <c r="A705" s="68" t="n">
        <v>43160</v>
      </c>
      <c r="B705" t="n">
        <v>109</v>
      </c>
      <c r="C705" t="n">
        <v>2640.8701171875</v>
      </c>
      <c r="D705" t="n">
        <v>101.4</v>
      </c>
      <c r="E705" t="n">
        <v>121.2</v>
      </c>
      <c r="F705" t="n">
        <v>88.8</v>
      </c>
      <c r="G705" t="n">
        <v/>
      </c>
      <c r="H705" t="n">
        <v/>
      </c>
      <c r="I705" t="n">
        <v/>
      </c>
      <c r="J705" t="n">
        <v/>
      </c>
      <c r="K705" t="n">
        <v/>
      </c>
      <c r="L705" t="n">
        <v/>
      </c>
      <c r="M705" t="n">
        <v/>
      </c>
    </row>
    <row r="706">
      <c r="A706" s="68" t="n">
        <v>43191</v>
      </c>
      <c r="B706" t="n">
        <v>109.4</v>
      </c>
      <c r="C706" t="n">
        <v>2648.050048828125</v>
      </c>
      <c r="D706" t="n">
        <v>98.8</v>
      </c>
      <c r="E706" t="n">
        <v>114.9</v>
      </c>
      <c r="F706" t="n">
        <v>88.40000000000001</v>
      </c>
      <c r="G706" t="n">
        <v>18590.004</v>
      </c>
      <c r="H706" t="n">
        <v>0.008270143459893931</v>
      </c>
      <c r="I706" t="n">
        <v>0.03190972955142996</v>
      </c>
      <c r="J706" t="n">
        <v>0.03349321270944627</v>
      </c>
      <c r="K706" t="n">
        <v>0.008339109088382559</v>
      </c>
      <c r="L706" t="n">
        <v>0.03377600526305358</v>
      </c>
      <c r="M706" t="n">
        <v>0.03296152283055629</v>
      </c>
    </row>
    <row r="707">
      <c r="A707" s="68" t="n">
        <v>43221</v>
      </c>
      <c r="B707" t="n">
        <v>109.4</v>
      </c>
      <c r="C707" t="n">
        <v>2705.27001953125</v>
      </c>
      <c r="D707" t="n">
        <v>98</v>
      </c>
      <c r="E707" t="n">
        <v>111.8</v>
      </c>
      <c r="F707" t="n">
        <v>89.09999999999999</v>
      </c>
      <c r="G707" t="n">
        <v/>
      </c>
      <c r="H707" t="n">
        <v/>
      </c>
      <c r="I707" t="n">
        <v/>
      </c>
      <c r="J707" t="n">
        <v/>
      </c>
      <c r="K707" t="n">
        <v/>
      </c>
      <c r="L707" t="n">
        <v/>
      </c>
      <c r="M707" t="n">
        <v/>
      </c>
    </row>
    <row r="708">
      <c r="A708" s="68" t="n">
        <v>43252</v>
      </c>
      <c r="B708" t="n">
        <v>109.9</v>
      </c>
      <c r="C708" t="n">
        <v>2718.3701171875</v>
      </c>
      <c r="D708" t="n">
        <v>98.2</v>
      </c>
      <c r="E708" t="n">
        <v>116.5</v>
      </c>
      <c r="F708" t="n">
        <v>86.3</v>
      </c>
      <c r="G708" t="n">
        <v/>
      </c>
      <c r="H708" t="n">
        <v/>
      </c>
      <c r="I708" t="n">
        <v/>
      </c>
      <c r="J708" t="n">
        <v/>
      </c>
      <c r="K708" t="n">
        <v/>
      </c>
      <c r="L708" t="n">
        <v/>
      </c>
      <c r="M708" t="n">
        <v/>
      </c>
    </row>
    <row r="709">
      <c r="A709" s="68" t="n">
        <v>43282</v>
      </c>
      <c r="B709" t="n">
        <v>110.7</v>
      </c>
      <c r="C709" t="n">
        <v>2816.2900390625</v>
      </c>
      <c r="D709" t="n">
        <v>97.90000000000001</v>
      </c>
      <c r="E709" t="n">
        <v>114.4</v>
      </c>
      <c r="F709" t="n">
        <v>87.3</v>
      </c>
      <c r="G709" t="n">
        <v>18679.599</v>
      </c>
      <c r="H709" t="n">
        <v>0.00479640917345161</v>
      </c>
      <c r="I709" t="n">
        <v>0.02962445821240593</v>
      </c>
      <c r="J709" t="n">
        <v>0.01932411184476712</v>
      </c>
      <c r="K709" t="n">
        <v>0.004819525590204151</v>
      </c>
      <c r="L709" t="n">
        <v>0.01941791765026113</v>
      </c>
      <c r="M709" t="n">
        <v>0.03052885912379111</v>
      </c>
    </row>
    <row r="710">
      <c r="A710" s="68" t="n">
        <v>43313</v>
      </c>
      <c r="B710" t="n">
        <v>111.3</v>
      </c>
      <c r="C710" t="n">
        <v>2901.52001953125</v>
      </c>
      <c r="D710" t="n">
        <v>96.2</v>
      </c>
      <c r="E710" t="n">
        <v>110.3</v>
      </c>
      <c r="F710" t="n">
        <v>87.09999999999999</v>
      </c>
      <c r="G710" t="n">
        <v/>
      </c>
      <c r="H710" t="n">
        <v/>
      </c>
      <c r="I710" t="n">
        <v/>
      </c>
      <c r="J710" t="n">
        <v/>
      </c>
      <c r="K710" t="n">
        <v/>
      </c>
      <c r="L710" t="n">
        <v/>
      </c>
      <c r="M710" t="n">
        <v/>
      </c>
    </row>
    <row r="711">
      <c r="A711" s="68" t="n">
        <v>43344</v>
      </c>
      <c r="B711" t="n">
        <v>111.8</v>
      </c>
      <c r="C711" t="n">
        <v>2913.97998046875</v>
      </c>
      <c r="D711" t="n">
        <v>100.1</v>
      </c>
      <c r="E711" t="n">
        <v>115.2</v>
      </c>
      <c r="F711" t="n">
        <v>90.5</v>
      </c>
      <c r="G711" t="n">
        <v/>
      </c>
      <c r="H711" t="n">
        <v/>
      </c>
      <c r="I711" t="n">
        <v/>
      </c>
      <c r="J711" t="n">
        <v/>
      </c>
      <c r="K711" t="n">
        <v/>
      </c>
      <c r="L711" t="n">
        <v/>
      </c>
      <c r="M711" t="n">
        <v/>
      </c>
    </row>
    <row r="712">
      <c r="A712" s="68" t="n">
        <v>43374</v>
      </c>
      <c r="B712" t="n">
        <v>112.1</v>
      </c>
      <c r="C712" t="n">
        <v>2711.739990234375</v>
      </c>
      <c r="D712" t="n">
        <v>98.59999999999999</v>
      </c>
      <c r="E712" t="n">
        <v>113.1</v>
      </c>
      <c r="F712" t="n">
        <v>89.3</v>
      </c>
      <c r="G712" t="n">
        <v>18721.281</v>
      </c>
      <c r="H712" t="n">
        <v>0.002226450209256551</v>
      </c>
      <c r="I712" t="n">
        <v>0.02267985828533837</v>
      </c>
      <c r="J712" t="n">
        <v>0.008935587491576857</v>
      </c>
      <c r="K712" t="n">
        <v>0.002231418351111322</v>
      </c>
      <c r="L712" t="n">
        <v>0.008955593239346138</v>
      </c>
      <c r="M712" t="n">
        <v>0.02320617095391857</v>
      </c>
    </row>
    <row r="713">
      <c r="A713" s="68" t="n">
        <v>43405</v>
      </c>
      <c r="B713" t="n">
        <v>111.8</v>
      </c>
      <c r="C713" t="n">
        <v>2760.169921875</v>
      </c>
      <c r="D713" t="n">
        <v>97.5</v>
      </c>
      <c r="E713" t="n">
        <v>112.3</v>
      </c>
      <c r="F713" t="n">
        <v>88.09999999999999</v>
      </c>
      <c r="G713" t="n">
        <v/>
      </c>
      <c r="H713" t="n">
        <v/>
      </c>
      <c r="I713" t="n">
        <v/>
      </c>
      <c r="J713" t="n">
        <v/>
      </c>
      <c r="K713" t="n">
        <v/>
      </c>
      <c r="L713" t="n">
        <v/>
      </c>
      <c r="M713" t="n">
        <v/>
      </c>
    </row>
    <row r="714">
      <c r="A714" s="68" t="n">
        <v>43435</v>
      </c>
      <c r="B714" t="n">
        <v>111.7</v>
      </c>
      <c r="C714" t="n">
        <v>2506.85009765625</v>
      </c>
      <c r="D714" t="n">
        <v>98.3</v>
      </c>
      <c r="E714" t="n">
        <v>116.1</v>
      </c>
      <c r="F714" t="n">
        <v>87</v>
      </c>
      <c r="G714" t="n">
        <v/>
      </c>
      <c r="H714" t="n">
        <v/>
      </c>
      <c r="I714" t="n">
        <v/>
      </c>
      <c r="J714" t="n">
        <v/>
      </c>
      <c r="K714" t="n">
        <v/>
      </c>
      <c r="L714" t="n">
        <v/>
      </c>
      <c r="M714" t="n">
        <v/>
      </c>
    </row>
    <row r="715">
      <c r="A715" s="68" t="n">
        <v>43466</v>
      </c>
      <c r="B715" t="n">
        <v>111</v>
      </c>
      <c r="C715" t="n">
        <v>2704.10009765625</v>
      </c>
      <c r="D715" t="n">
        <v>91.2</v>
      </c>
      <c r="E715" t="n">
        <v>108.8</v>
      </c>
      <c r="F715" t="n">
        <v>79.90000000000001</v>
      </c>
      <c r="G715" t="n">
        <v>18833.195</v>
      </c>
      <c r="H715" t="n">
        <v>0.00594237993075528</v>
      </c>
      <c r="I715" t="n">
        <v>0.02107624330338007</v>
      </c>
      <c r="J715" t="n">
        <v>0.02398223159180835</v>
      </c>
      <c r="K715" t="n">
        <v>0.005977902900982079</v>
      </c>
      <c r="L715" t="n">
        <v>0.02412687930866952</v>
      </c>
      <c r="M715" t="n">
        <v>0.0215300151408133</v>
      </c>
    </row>
    <row r="716">
      <c r="A716" s="68" t="n">
        <v>43497</v>
      </c>
      <c r="B716" t="n">
        <v>111.1</v>
      </c>
      <c r="C716" t="n">
        <v>2784.489990234375</v>
      </c>
      <c r="D716" t="n">
        <v>93.8</v>
      </c>
      <c r="E716" t="n">
        <v>108.5</v>
      </c>
      <c r="F716" t="n">
        <v>84.40000000000001</v>
      </c>
      <c r="G716" t="n">
        <v/>
      </c>
      <c r="H716" t="n">
        <v/>
      </c>
      <c r="I716" t="n">
        <v/>
      </c>
      <c r="J716" t="n">
        <v/>
      </c>
      <c r="K716" t="n">
        <v/>
      </c>
      <c r="L716" t="n">
        <v/>
      </c>
      <c r="M716" t="n">
        <v/>
      </c>
    </row>
    <row r="717">
      <c r="A717" s="68" t="n">
        <v>43525</v>
      </c>
      <c r="B717" t="n">
        <v>111.5</v>
      </c>
      <c r="C717" t="n">
        <v>2834.39990234375</v>
      </c>
      <c r="D717" t="n">
        <v>98.40000000000001</v>
      </c>
      <c r="E717" t="n">
        <v>113.3</v>
      </c>
      <c r="F717" t="n">
        <v>88.8</v>
      </c>
      <c r="G717" t="n">
        <v/>
      </c>
      <c r="H717" t="n">
        <v/>
      </c>
      <c r="I717" t="n">
        <v/>
      </c>
      <c r="J717" t="n">
        <v/>
      </c>
      <c r="K717" t="n">
        <v/>
      </c>
      <c r="L717" t="n">
        <v/>
      </c>
      <c r="M717" t="n">
        <v/>
      </c>
    </row>
    <row r="718">
      <c r="A718" s="68" t="n">
        <v>43556</v>
      </c>
      <c r="B718" t="n">
        <v>111.5</v>
      </c>
      <c r="C718" t="n">
        <v>2945.830078125</v>
      </c>
      <c r="D718" t="n">
        <v>97.2</v>
      </c>
      <c r="E718" t="n">
        <v>112.3</v>
      </c>
      <c r="F718" t="n">
        <v>87.40000000000001</v>
      </c>
      <c r="G718" t="n">
        <v>18982.528</v>
      </c>
      <c r="H718" t="n">
        <v>0.007866865783103217</v>
      </c>
      <c r="I718" t="n">
        <v>0.02067817310739632</v>
      </c>
      <c r="J718" t="n">
        <v>0.03184073987103631</v>
      </c>
      <c r="K718" t="n">
        <v>0.007929244082058234</v>
      </c>
      <c r="L718" t="n">
        <v>0.03209621189016532</v>
      </c>
      <c r="M718" t="n">
        <v>0.02111478835615084</v>
      </c>
    </row>
    <row r="719">
      <c r="A719" s="68" t="n">
        <v>43586</v>
      </c>
      <c r="B719" t="n">
        <v>111.4</v>
      </c>
      <c r="C719" t="n">
        <v>2752.06005859375</v>
      </c>
      <c r="D719" t="n">
        <v>100</v>
      </c>
      <c r="E719" t="n">
        <v>110</v>
      </c>
      <c r="F719" t="n">
        <v>93.5</v>
      </c>
      <c r="G719" t="n">
        <v/>
      </c>
      <c r="H719" t="n">
        <v/>
      </c>
      <c r="I719" t="n">
        <v/>
      </c>
      <c r="J719" t="n">
        <v/>
      </c>
      <c r="K719" t="n">
        <v/>
      </c>
      <c r="L719" t="n">
        <v/>
      </c>
      <c r="M719" t="n">
        <v/>
      </c>
    </row>
    <row r="720">
      <c r="A720" s="68" t="n">
        <v>43617</v>
      </c>
      <c r="B720" t="n">
        <v>111.5</v>
      </c>
      <c r="C720" t="n">
        <v>2941.760009765625</v>
      </c>
      <c r="D720" t="n">
        <v>98.2</v>
      </c>
      <c r="E720" t="n">
        <v>111.9</v>
      </c>
      <c r="F720" t="n">
        <v>89.3</v>
      </c>
      <c r="G720" t="n">
        <v/>
      </c>
      <c r="H720" t="n">
        <v/>
      </c>
      <c r="I720" t="n">
        <v/>
      </c>
      <c r="J720" t="n">
        <v/>
      </c>
      <c r="K720" t="n">
        <v/>
      </c>
      <c r="L720" t="n">
        <v/>
      </c>
      <c r="M720" t="n">
        <v/>
      </c>
    </row>
    <row r="721">
      <c r="A721" s="68" t="n">
        <v>43647</v>
      </c>
      <c r="B721" t="n">
        <v>112</v>
      </c>
      <c r="C721" t="n">
        <v>2980.3798828125</v>
      </c>
      <c r="D721" t="n">
        <v>98.40000000000001</v>
      </c>
      <c r="E721" t="n">
        <v>110.7</v>
      </c>
      <c r="F721" t="n">
        <v>90.5</v>
      </c>
      <c r="G721" t="n">
        <v>19112.653</v>
      </c>
      <c r="H721" t="n">
        <v>0.006808316982472293</v>
      </c>
      <c r="I721" t="n">
        <v>0.0226579742749476</v>
      </c>
      <c r="J721" t="n">
        <v>0.02751265150788296</v>
      </c>
      <c r="K721" t="n">
        <v>0.006854987913095664</v>
      </c>
      <c r="L721" t="n">
        <v>0.02770318750334555</v>
      </c>
      <c r="M721" t="n">
        <v>0.02318325998325768</v>
      </c>
    </row>
    <row r="722">
      <c r="A722" s="68" t="n">
        <v>43678</v>
      </c>
      <c r="B722" t="n">
        <v>111.8</v>
      </c>
      <c r="C722" t="n">
        <v>2926.4599609375</v>
      </c>
      <c r="D722" t="n">
        <v>89.8</v>
      </c>
      <c r="E722" t="n">
        <v>105.3</v>
      </c>
      <c r="F722" t="n">
        <v>79.90000000000001</v>
      </c>
      <c r="G722" t="n">
        <v/>
      </c>
      <c r="H722" t="n">
        <v/>
      </c>
      <c r="I722" t="n">
        <v/>
      </c>
      <c r="J722" t="n">
        <v/>
      </c>
      <c r="K722" t="n">
        <v/>
      </c>
      <c r="L722" t="n">
        <v/>
      </c>
      <c r="M722" t="n">
        <v/>
      </c>
    </row>
    <row r="723">
      <c r="A723" s="68" t="n">
        <v>43709</v>
      </c>
      <c r="B723" t="n">
        <v>111.7</v>
      </c>
      <c r="C723" t="n">
        <v>2976.739990234375</v>
      </c>
      <c r="D723" t="n">
        <v>93.2</v>
      </c>
      <c r="E723" t="n">
        <v>108.5</v>
      </c>
      <c r="F723" t="n">
        <v>83.40000000000001</v>
      </c>
      <c r="G723" t="n">
        <v/>
      </c>
      <c r="H723" t="n">
        <v/>
      </c>
      <c r="I723" t="n">
        <v/>
      </c>
      <c r="J723" t="n">
        <v/>
      </c>
      <c r="K723" t="n">
        <v/>
      </c>
      <c r="L723" t="n">
        <v/>
      </c>
      <c r="M723" t="n">
        <v/>
      </c>
    </row>
    <row r="724">
      <c r="A724" s="68" t="n">
        <v>43739</v>
      </c>
      <c r="B724" t="n">
        <v>111.4</v>
      </c>
      <c r="C724" t="n">
        <v>3037.56005859375</v>
      </c>
      <c r="D724" t="n">
        <v>95.5</v>
      </c>
      <c r="E724" t="n">
        <v>113.2</v>
      </c>
      <c r="F724" t="n">
        <v>84.2</v>
      </c>
      <c r="G724" t="n">
        <v>19202.31</v>
      </c>
      <c r="H724" t="n">
        <v>0.004669073668741046</v>
      </c>
      <c r="I724" t="n">
        <v>0.02505057985211166</v>
      </c>
      <c r="J724" t="n">
        <v>0.0188075037916331</v>
      </c>
      <c r="K724" t="n">
        <v>0.004690976182113644</v>
      </c>
      <c r="L724" t="n">
        <v>0.01889634966248899</v>
      </c>
      <c r="M724" t="n">
        <v>0.02569423534639549</v>
      </c>
    </row>
    <row r="725">
      <c r="A725" s="68" t="n">
        <v>43770</v>
      </c>
      <c r="B725" t="n">
        <v>111.6</v>
      </c>
      <c r="C725" t="n">
        <v>3140.97998046875</v>
      </c>
      <c r="D725" t="n">
        <v>96.8</v>
      </c>
      <c r="E725" t="n">
        <v>111.6</v>
      </c>
      <c r="F725" t="n">
        <v>87.3</v>
      </c>
      <c r="G725" t="n">
        <v/>
      </c>
      <c r="H725" t="n">
        <v/>
      </c>
      <c r="I725" t="n">
        <v/>
      </c>
      <c r="J725" t="n">
        <v/>
      </c>
      <c r="K725" t="n">
        <v/>
      </c>
      <c r="L725" t="n">
        <v/>
      </c>
      <c r="M725" t="n">
        <v/>
      </c>
    </row>
    <row r="726">
      <c r="A726" s="68" t="n">
        <v>43800</v>
      </c>
      <c r="B726" t="n">
        <v>111.4</v>
      </c>
      <c r="C726" t="n">
        <v>3230.780029296875</v>
      </c>
      <c r="D726" t="n">
        <v>99.3</v>
      </c>
      <c r="E726" t="n">
        <v>115.5</v>
      </c>
      <c r="F726" t="n">
        <v>88.90000000000001</v>
      </c>
      <c r="G726" t="n">
        <v/>
      </c>
      <c r="H726" t="n">
        <v/>
      </c>
      <c r="I726" t="n">
        <v/>
      </c>
      <c r="J726" t="n">
        <v/>
      </c>
      <c r="K726" t="n">
        <v/>
      </c>
      <c r="L726" t="n">
        <v/>
      </c>
      <c r="M726" t="n">
        <v/>
      </c>
    </row>
    <row r="727">
      <c r="A727" s="68" t="n">
        <v>43831</v>
      </c>
      <c r="B727" t="n">
        <v>112</v>
      </c>
      <c r="C727" t="n">
        <v>3225.52001953125</v>
      </c>
      <c r="D727" t="n">
        <v>99.8</v>
      </c>
      <c r="E727" t="n">
        <v>114.4</v>
      </c>
      <c r="F727" t="n">
        <v>90.5</v>
      </c>
      <c r="G727" t="n">
        <v>18951.992</v>
      </c>
      <c r="H727" t="n">
        <v>-0.01320800473111233</v>
      </c>
      <c r="I727" t="n">
        <v>0.006268312059228321</v>
      </c>
      <c r="J727" t="n">
        <v>-0.05179449677638337</v>
      </c>
      <c r="K727" t="n">
        <v>-0.01303582746034216</v>
      </c>
      <c r="L727" t="n">
        <v>-0.05113254503727427</v>
      </c>
      <c r="M727" t="n">
        <v>0.006307851641742077</v>
      </c>
    </row>
    <row r="728">
      <c r="A728" s="68" t="n">
        <v>43862</v>
      </c>
      <c r="B728" t="n">
        <v>111.9</v>
      </c>
      <c r="C728" t="n">
        <v>2954.219970703125</v>
      </c>
      <c r="D728" t="n">
        <v>101</v>
      </c>
      <c r="E728" t="n">
        <v>114.8</v>
      </c>
      <c r="F728" t="n">
        <v>92.09999999999999</v>
      </c>
      <c r="G728" t="n">
        <v/>
      </c>
      <c r="H728" t="n">
        <v/>
      </c>
      <c r="I728" t="n">
        <v/>
      </c>
      <c r="J728" t="n">
        <v/>
      </c>
      <c r="K728" t="n">
        <v/>
      </c>
      <c r="L728" t="n">
        <v/>
      </c>
      <c r="M728" t="n">
        <v/>
      </c>
    </row>
    <row r="729">
      <c r="A729" s="68" t="n">
        <v>43891</v>
      </c>
      <c r="B729" t="n">
        <v>103.4</v>
      </c>
      <c r="C729" t="n">
        <v>2584.590087890625</v>
      </c>
      <c r="D729" t="n">
        <v>89.09999999999999</v>
      </c>
      <c r="E729" t="n">
        <v>103.7</v>
      </c>
      <c r="F729" t="n">
        <v>79.7</v>
      </c>
      <c r="G729" t="n">
        <v/>
      </c>
      <c r="H729" t="n">
        <v/>
      </c>
      <c r="I729" t="n">
        <v/>
      </c>
      <c r="J729" t="n">
        <v/>
      </c>
      <c r="K729" t="n">
        <v/>
      </c>
      <c r="L729" t="n">
        <v/>
      </c>
      <c r="M729" t="n">
        <v/>
      </c>
    </row>
    <row r="730">
      <c r="A730" s="68" t="n">
        <v>43922</v>
      </c>
      <c r="B730" t="n">
        <v>96.8</v>
      </c>
      <c r="C730" t="n">
        <v>2912.429931640625</v>
      </c>
      <c r="D730" t="n">
        <v>71.8</v>
      </c>
      <c r="E730" t="n">
        <v>74.3</v>
      </c>
      <c r="F730" t="n">
        <v>70.09999999999999</v>
      </c>
      <c r="G730" t="n">
        <v>17258.205</v>
      </c>
      <c r="H730" t="n">
        <v>-0.09814386838028616</v>
      </c>
      <c r="I730" t="n">
        <v>-0.09991322967828906</v>
      </c>
      <c r="J730" t="n">
        <v>-0.338470753372294</v>
      </c>
      <c r="K730" t="n">
        <v>-0.08937250501161022</v>
      </c>
      <c r="L730" t="n">
        <v>-0.3123569846108508</v>
      </c>
      <c r="M730" t="n">
        <v>-0.09083737424225038</v>
      </c>
    </row>
    <row r="731">
      <c r="A731" s="68" t="n">
        <v>43952</v>
      </c>
      <c r="B731" t="n">
        <v>99.8</v>
      </c>
      <c r="C731" t="n">
        <v>3044.31005859375</v>
      </c>
      <c r="D731" t="n">
        <v>72.3</v>
      </c>
      <c r="E731" t="n">
        <v>82.3</v>
      </c>
      <c r="F731" t="n">
        <v>65.90000000000001</v>
      </c>
      <c r="G731" t="n">
        <v/>
      </c>
      <c r="H731" t="n">
        <v/>
      </c>
      <c r="I731" t="n">
        <v/>
      </c>
      <c r="J731" t="n">
        <v/>
      </c>
      <c r="K731" t="n">
        <v/>
      </c>
      <c r="L731" t="n">
        <v/>
      </c>
      <c r="M731" t="n">
        <v/>
      </c>
    </row>
    <row r="732">
      <c r="A732" s="68" t="n">
        <v>43983</v>
      </c>
      <c r="B732" t="n">
        <v>102.8</v>
      </c>
      <c r="C732" t="n">
        <v>3100.2900390625</v>
      </c>
      <c r="D732" t="n">
        <v>78.09999999999999</v>
      </c>
      <c r="E732" t="n">
        <v>87.09999999999999</v>
      </c>
      <c r="F732" t="n">
        <v>72.3</v>
      </c>
      <c r="G732" t="n">
        <v/>
      </c>
      <c r="H732" t="n">
        <v/>
      </c>
      <c r="I732" t="n">
        <v/>
      </c>
      <c r="J732" t="n">
        <v/>
      </c>
      <c r="K732" t="n">
        <v/>
      </c>
      <c r="L732" t="n">
        <v/>
      </c>
      <c r="M732" t="n">
        <v/>
      </c>
    </row>
    <row r="733">
      <c r="A733" s="68" t="n">
        <v>44013</v>
      </c>
      <c r="B733" t="n">
        <v>104.9</v>
      </c>
      <c r="C733" t="n">
        <v>3271.1201171875</v>
      </c>
      <c r="D733" t="n">
        <v>72.5</v>
      </c>
      <c r="E733" t="n">
        <v>82.8</v>
      </c>
      <c r="F733" t="n">
        <v>65.90000000000001</v>
      </c>
      <c r="G733" t="n">
        <v>18560.774</v>
      </c>
      <c r="H733" t="n">
        <v>0.07017859276773691</v>
      </c>
      <c r="I733" t="n">
        <v>-0.02973361994494395</v>
      </c>
      <c r="J733" t="n">
        <v>0.3116713644063489</v>
      </c>
      <c r="K733" t="n">
        <v>0.07547534636423657</v>
      </c>
      <c r="L733" t="n">
        <v>0.3378327930079323</v>
      </c>
      <c r="M733" t="n">
        <v>-0.02887505988833666</v>
      </c>
    </row>
    <row r="734">
      <c r="A734" s="68" t="n">
        <v>44044</v>
      </c>
      <c r="B734" t="n">
        <v>106.5</v>
      </c>
      <c r="C734" t="n">
        <v>3500.31005859375</v>
      </c>
      <c r="D734" t="n">
        <v>74.09999999999999</v>
      </c>
      <c r="E734" t="n">
        <v>82.90000000000001</v>
      </c>
      <c r="F734" t="n">
        <v>68.5</v>
      </c>
      <c r="G734" t="n">
        <v/>
      </c>
      <c r="H734" t="n">
        <v/>
      </c>
      <c r="I734" t="n">
        <v/>
      </c>
      <c r="J734" t="n">
        <v/>
      </c>
      <c r="K734" t="n">
        <v/>
      </c>
      <c r="L734" t="n">
        <v/>
      </c>
      <c r="M734" t="n">
        <v/>
      </c>
    </row>
    <row r="735">
      <c r="A735" s="68" t="n">
        <v>44075</v>
      </c>
      <c r="B735" t="n">
        <v>107.5</v>
      </c>
      <c r="C735" t="n">
        <v>3363</v>
      </c>
      <c r="D735" t="n">
        <v>80.40000000000001</v>
      </c>
      <c r="E735" t="n">
        <v>87.8</v>
      </c>
      <c r="F735" t="n">
        <v>75.59999999999999</v>
      </c>
      <c r="G735" t="n">
        <v/>
      </c>
      <c r="H735" t="n">
        <v/>
      </c>
      <c r="I735" t="n">
        <v/>
      </c>
      <c r="J735" t="n">
        <v/>
      </c>
      <c r="K735" t="n">
        <v/>
      </c>
      <c r="L735" t="n">
        <v/>
      </c>
      <c r="M735" t="n">
        <v/>
      </c>
    </row>
    <row r="736">
      <c r="A736" s="68" t="n">
        <v>44105</v>
      </c>
      <c r="B736" t="n">
        <v>108.2</v>
      </c>
      <c r="C736" t="n">
        <v>3269.9599609375</v>
      </c>
      <c r="D736" t="n">
        <v>81.8</v>
      </c>
      <c r="E736" t="n">
        <v>85.90000000000001</v>
      </c>
      <c r="F736" t="n">
        <v>79.2</v>
      </c>
      <c r="G736" t="n">
        <v>18767.778</v>
      </c>
      <c r="H736" t="n">
        <v>0.01102975536049058</v>
      </c>
      <c r="I736" t="n">
        <v>-0.02315308716887012</v>
      </c>
      <c r="J736" t="n">
        <v>0.04485433658365645</v>
      </c>
      <c r="K736" t="n">
        <v>0.01115276765936578</v>
      </c>
      <c r="L736" t="n">
        <v>0.04536294038119415</v>
      </c>
      <c r="M736" t="n">
        <v>-0.0226291524300984</v>
      </c>
    </row>
    <row r="737">
      <c r="A737" s="68" t="n">
        <v>44136</v>
      </c>
      <c r="B737" t="n">
        <v>109.2</v>
      </c>
      <c r="C737" t="n">
        <v>3621.6298828125</v>
      </c>
      <c r="D737" t="n">
        <v>76.90000000000001</v>
      </c>
      <c r="E737" t="n">
        <v>87</v>
      </c>
      <c r="F737" t="n">
        <v>70.5</v>
      </c>
      <c r="G737" t="n">
        <v/>
      </c>
      <c r="H737" t="n">
        <v/>
      </c>
      <c r="I737" t="n">
        <v/>
      </c>
      <c r="J737" t="n">
        <v/>
      </c>
      <c r="K737" t="n">
        <v/>
      </c>
      <c r="L737" t="n">
        <v/>
      </c>
      <c r="M737" t="n">
        <v/>
      </c>
    </row>
    <row r="738">
      <c r="A738" s="68" t="n">
        <v>44166</v>
      </c>
      <c r="B738" t="n">
        <v>109.6</v>
      </c>
      <c r="C738" t="n">
        <v>3756.070068359375</v>
      </c>
      <c r="D738" t="n">
        <v>80.7</v>
      </c>
      <c r="E738" t="n">
        <v>90</v>
      </c>
      <c r="F738" t="n">
        <v>74.59999999999999</v>
      </c>
      <c r="G738" t="n">
        <v/>
      </c>
      <c r="H738" t="n">
        <v/>
      </c>
      <c r="I738" t="n">
        <v/>
      </c>
      <c r="J738" t="n">
        <v/>
      </c>
      <c r="K738" t="n">
        <v/>
      </c>
      <c r="L738" t="n">
        <v/>
      </c>
      <c r="M738" t="n">
        <v/>
      </c>
    </row>
    <row r="739">
      <c r="A739" s="68" t="n">
        <v>44197</v>
      </c>
      <c r="B739" t="n">
        <v>110.1</v>
      </c>
      <c r="C739" t="n">
        <v>3714.239990234375</v>
      </c>
      <c r="D739" t="n">
        <v>79</v>
      </c>
      <c r="E739" t="n">
        <v>86.7</v>
      </c>
      <c r="F739" t="n">
        <v>74</v>
      </c>
      <c r="G739" t="n">
        <v>19055.655</v>
      </c>
      <c r="H739" t="n">
        <v>0.0151071689742494</v>
      </c>
      <c r="I739" t="n">
        <v>0.005440012426757331</v>
      </c>
      <c r="J739" t="n">
        <v>0.06181187873934513</v>
      </c>
      <c r="K739" t="n">
        <v>0.01533889627211066</v>
      </c>
      <c r="L739" t="n">
        <v>0.06278176672776592</v>
      </c>
      <c r="M739" t="n">
        <v>0.005469768032827393</v>
      </c>
    </row>
    <row r="740">
      <c r="A740" s="68" t="n">
        <v>44228</v>
      </c>
      <c r="B740" t="n">
        <v>110.1</v>
      </c>
      <c r="C740" t="n">
        <v>3811.14990234375</v>
      </c>
      <c r="D740" t="n">
        <v>76.8</v>
      </c>
      <c r="E740" t="n">
        <v>86.2</v>
      </c>
      <c r="F740" t="n">
        <v>70.7</v>
      </c>
      <c r="G740" t="n">
        <v/>
      </c>
      <c r="H740" t="n">
        <v/>
      </c>
      <c r="I740" t="n">
        <v/>
      </c>
      <c r="J740" t="n">
        <v/>
      </c>
      <c r="K740" t="n">
        <v/>
      </c>
      <c r="L740" t="n">
        <v/>
      </c>
      <c r="M740" t="n">
        <v/>
      </c>
    </row>
    <row r="741">
      <c r="A741" s="68" t="n">
        <v>44256</v>
      </c>
      <c r="B741" t="n">
        <v>111.6</v>
      </c>
      <c r="C741" t="n">
        <v>3972.889892578125</v>
      </c>
      <c r="D741" t="n">
        <v>84.90000000000001</v>
      </c>
      <c r="E741" t="n">
        <v>93</v>
      </c>
      <c r="F741" t="n">
        <v>79.7</v>
      </c>
      <c r="G741" t="n">
        <v/>
      </c>
      <c r="H741" t="n">
        <v/>
      </c>
      <c r="I741" t="n">
        <v/>
      </c>
      <c r="J741" t="n">
        <v/>
      </c>
      <c r="K741" t="n">
        <v/>
      </c>
      <c r="L741" t="n">
        <v/>
      </c>
      <c r="M741" t="n">
        <v/>
      </c>
    </row>
    <row r="742">
      <c r="A742" s="68" t="n">
        <v>44287</v>
      </c>
      <c r="B742" t="n">
        <v>113</v>
      </c>
      <c r="C742" t="n">
        <v>4181.169921875</v>
      </c>
      <c r="D742" t="n">
        <v>88.3</v>
      </c>
      <c r="E742" t="n">
        <v>97.2</v>
      </c>
      <c r="F742" t="n">
        <v>82.7</v>
      </c>
      <c r="G742" t="n">
        <v>19368.31</v>
      </c>
      <c r="H742" t="n">
        <v>0.01614260614374731</v>
      </c>
      <c r="I742" t="n">
        <v>0.1089462632516724</v>
      </c>
      <c r="J742" t="n">
        <v>0.06615082087982849</v>
      </c>
      <c r="K742" t="n">
        <v>0.01640746539544311</v>
      </c>
      <c r="L742" t="n">
        <v>0.06726283145896073</v>
      </c>
      <c r="M742" t="n">
        <v>0.12226677108077</v>
      </c>
    </row>
    <row r="743">
      <c r="A743" s="68" t="n">
        <v>44317</v>
      </c>
      <c r="B743" t="n">
        <v>114.5</v>
      </c>
      <c r="C743" t="n">
        <v>4204.10986328125</v>
      </c>
      <c r="D743" t="n">
        <v>82.90000000000001</v>
      </c>
      <c r="E743" t="n">
        <v>89.40000000000001</v>
      </c>
      <c r="F743" t="n">
        <v>78.8</v>
      </c>
      <c r="G743" t="n">
        <v/>
      </c>
      <c r="H743" t="n">
        <v/>
      </c>
      <c r="I743" t="n">
        <v/>
      </c>
      <c r="J743" t="n">
        <v/>
      </c>
      <c r="K743" t="n">
        <v/>
      </c>
      <c r="L743" t="n">
        <v/>
      </c>
      <c r="M743" t="n">
        <v/>
      </c>
    </row>
    <row r="744">
      <c r="A744" s="68" t="n">
        <v>44348</v>
      </c>
      <c r="B744" t="n">
        <v>115.1</v>
      </c>
      <c r="C744" t="n">
        <v>4297.5</v>
      </c>
      <c r="D744" t="n">
        <v>85.5</v>
      </c>
      <c r="E744" t="n">
        <v>88.59999999999999</v>
      </c>
      <c r="F744" t="n">
        <v>83.5</v>
      </c>
      <c r="G744" t="n">
        <v/>
      </c>
      <c r="H744" t="n">
        <v/>
      </c>
      <c r="I744" t="n">
        <v/>
      </c>
      <c r="J744" t="n">
        <v/>
      </c>
      <c r="K744" t="n">
        <v/>
      </c>
      <c r="L744" t="n">
        <v/>
      </c>
      <c r="M744" t="n">
        <v/>
      </c>
    </row>
    <row r="745">
      <c r="A745" s="68" t="n">
        <v>44378</v>
      </c>
      <c r="B745" t="n">
        <v>116</v>
      </c>
      <c r="C745" t="n">
        <v>4395.259765625</v>
      </c>
      <c r="D745" t="n">
        <v>81.2</v>
      </c>
      <c r="E745" t="n">
        <v>84.5</v>
      </c>
      <c r="F745" t="n">
        <v>79</v>
      </c>
      <c r="G745" t="n">
        <v>19478.893</v>
      </c>
      <c r="H745" t="n">
        <v>0.005677067993545564</v>
      </c>
      <c r="I745" t="n">
        <v>0.04713404401369209</v>
      </c>
      <c r="J745" t="n">
        <v>0.02290237948610852</v>
      </c>
      <c r="K745" t="n">
        <v>0.005709481105992145</v>
      </c>
      <c r="L745" t="n">
        <v>0.02303425900825307</v>
      </c>
      <c r="M745" t="n">
        <v>0.04946555569288213</v>
      </c>
    </row>
    <row r="746">
      <c r="A746" s="68" t="n">
        <v>44409</v>
      </c>
      <c r="B746" t="n">
        <v>117.1</v>
      </c>
      <c r="C746" t="n">
        <v>4522.68017578125</v>
      </c>
      <c r="D746" t="n">
        <v>70.3</v>
      </c>
      <c r="E746" t="n">
        <v>78.5</v>
      </c>
      <c r="F746" t="n">
        <v>65.09999999999999</v>
      </c>
      <c r="G746" t="n">
        <v/>
      </c>
      <c r="H746" t="n">
        <v/>
      </c>
      <c r="I746" t="n">
        <v/>
      </c>
      <c r="J746" t="n">
        <v/>
      </c>
      <c r="K746" t="n">
        <v/>
      </c>
      <c r="L746" t="n">
        <v/>
      </c>
      <c r="M746" t="n">
        <v/>
      </c>
    </row>
    <row r="747">
      <c r="A747" s="68" t="n">
        <v>44440</v>
      </c>
      <c r="B747" t="n">
        <v>117.5</v>
      </c>
      <c r="C747" t="n">
        <v>4307.5400390625</v>
      </c>
      <c r="D747" t="n">
        <v>72.8</v>
      </c>
      <c r="E747" t="n">
        <v>80.09999999999999</v>
      </c>
      <c r="F747" t="n">
        <v>68.09999999999999</v>
      </c>
      <c r="G747" t="n">
        <v/>
      </c>
      <c r="H747" t="n">
        <v/>
      </c>
      <c r="I747" t="n">
        <v/>
      </c>
      <c r="J747" t="n">
        <v/>
      </c>
      <c r="K747" t="n">
        <v/>
      </c>
      <c r="L747" t="n">
        <v/>
      </c>
      <c r="M747" t="n">
        <v/>
      </c>
    </row>
    <row r="748">
      <c r="A748" s="68" t="n">
        <v>44470</v>
      </c>
      <c r="B748" t="n">
        <v>118.3</v>
      </c>
      <c r="C748" t="n">
        <v>4605.3798828125</v>
      </c>
      <c r="D748" t="n">
        <v>71.7</v>
      </c>
      <c r="E748" t="n">
        <v>77.7</v>
      </c>
      <c r="F748" t="n">
        <v>67.90000000000001</v>
      </c>
      <c r="G748" t="n">
        <v>19805.962</v>
      </c>
      <c r="H748" t="n">
        <v>0.01679094392068376</v>
      </c>
      <c r="I748" t="n">
        <v>0.05531736362184171</v>
      </c>
      <c r="J748" t="n">
        <v>0.06887440582969107</v>
      </c>
      <c r="K748" t="n">
        <v>0.01679094392068376</v>
      </c>
      <c r="L748" t="n">
        <v>0.06887440582969107</v>
      </c>
      <c r="M748" t="n">
        <v>0.05531736362184171</v>
      </c>
    </row>
    <row r="749">
      <c r="A749" s="68" t="n">
        <v>44501</v>
      </c>
      <c r="B749" t="n">
        <v>119.9</v>
      </c>
      <c r="C749" t="n">
        <v>4567</v>
      </c>
      <c r="D749" t="n">
        <v>67.40000000000001</v>
      </c>
      <c r="E749" t="n">
        <v>73.59999999999999</v>
      </c>
      <c r="F749" t="n">
        <v>63.5</v>
      </c>
      <c r="G749" t="n">
        <v/>
      </c>
      <c r="H749" t="n">
        <v/>
      </c>
      <c r="I749" t="n">
        <v/>
      </c>
      <c r="J749" t="n">
        <v/>
      </c>
      <c r="K749" t="n">
        <v/>
      </c>
      <c r="L749" t="n">
        <v/>
      </c>
      <c r="M749" t="n">
        <v/>
      </c>
    </row>
    <row r="750">
      <c r="A750" s="68" t="n">
        <v>44531</v>
      </c>
      <c r="B750" t="n">
        <v>120.8</v>
      </c>
      <c r="C750" t="n">
        <v>4766.18017578125</v>
      </c>
      <c r="D750" t="n">
        <v>70.59999999999999</v>
      </c>
      <c r="E750" t="n">
        <v>74.2</v>
      </c>
      <c r="F750" t="n">
        <v>68.3</v>
      </c>
      <c r="G750" t="n">
        <v/>
      </c>
      <c r="H750" t="n">
        <v/>
      </c>
      <c r="I750" t="n">
        <v/>
      </c>
      <c r="J750" t="n">
        <v/>
      </c>
      <c r="K750" t="n">
        <v/>
      </c>
      <c r="L750" t="n">
        <v/>
      </c>
      <c r="M750" t="n">
        <v/>
      </c>
    </row>
    <row r="751">
      <c r="A751" s="68" t="n">
        <v>44562</v>
      </c>
      <c r="B751" t="n">
        <v>119.6</v>
      </c>
      <c r="C751" t="n">
        <v>4515.5498046875</v>
      </c>
      <c r="D751" t="n">
        <v>67.2</v>
      </c>
      <c r="E751" t="n">
        <v>72</v>
      </c>
      <c r="F751" t="n">
        <v>64.09999999999999</v>
      </c>
      <c r="G751" t="n">
        <v>19735.895</v>
      </c>
      <c r="H751" t="n">
        <v/>
      </c>
      <c r="I751" t="n">
        <v/>
      </c>
      <c r="J751" t="n">
        <v/>
      </c>
      <c r="K751" t="n">
        <v>-0.00355417395181028</v>
      </c>
      <c r="L751" t="n">
        <v>-0.01414108232026046</v>
      </c>
      <c r="M751" t="n">
        <v>0.03569753965423921</v>
      </c>
    </row>
    <row r="752">
      <c r="A752" s="68" t="n">
        <v>44593</v>
      </c>
      <c r="B752" t="n">
        <v>119.9</v>
      </c>
      <c r="C752" t="n">
        <v>4373.93994140625</v>
      </c>
      <c r="D752" t="n">
        <v>62.8</v>
      </c>
      <c r="E752" t="n">
        <v>68.2</v>
      </c>
      <c r="F752" t="n">
        <v>59.4</v>
      </c>
      <c r="G752" t="n">
        <v/>
      </c>
      <c r="H752" t="n">
        <v/>
      </c>
      <c r="I752" t="n">
        <v/>
      </c>
      <c r="J752" t="n">
        <v/>
      </c>
      <c r="K752" t="n">
        <v/>
      </c>
      <c r="L752" t="n">
        <v/>
      </c>
      <c r="M752" t="n">
        <v/>
      </c>
    </row>
    <row r="753">
      <c r="A753" s="68" t="n">
        <v>44621</v>
      </c>
      <c r="B753" t="n">
        <v>119.8</v>
      </c>
      <c r="C753" t="n">
        <v>4530.41015625</v>
      </c>
      <c r="D753" t="n">
        <v>59.4</v>
      </c>
      <c r="E753" t="n">
        <v>67.2</v>
      </c>
      <c r="F753" t="n">
        <v>54.3</v>
      </c>
      <c r="G753" t="n">
        <v/>
      </c>
      <c r="H753" t="n">
        <v/>
      </c>
      <c r="I753" t="n">
        <v/>
      </c>
      <c r="J753" t="n">
        <v/>
      </c>
      <c r="K753" t="n">
        <v/>
      </c>
      <c r="L753" t="n">
        <v/>
      </c>
      <c r="M753" t="n">
        <v/>
      </c>
    </row>
    <row r="754">
      <c r="A754" s="68" t="n">
        <v>44652</v>
      </c>
      <c r="B754" t="n">
        <v>119.2</v>
      </c>
      <c r="C754" t="n">
        <v>4131.93017578125</v>
      </c>
      <c r="D754" t="n">
        <v>65.2</v>
      </c>
      <c r="E754" t="n">
        <v>69.40000000000001</v>
      </c>
      <c r="F754" t="n">
        <v>62.5</v>
      </c>
      <c r="G754" t="n">
        <v/>
      </c>
      <c r="H754" t="n">
        <v/>
      </c>
      <c r="I754" t="n">
        <v/>
      </c>
      <c r="J754" t="n">
        <v/>
      </c>
      <c r="K754" t="n">
        <v/>
      </c>
      <c r="L754" t="n">
        <v/>
      </c>
      <c r="M754" t="n">
        <v/>
      </c>
    </row>
    <row r="755">
      <c r="A755" s="68" t="n">
        <v>44682</v>
      </c>
      <c r="B755" t="n">
        <v>118.3</v>
      </c>
      <c r="C755" t="n">
        <v>4132.14990234375</v>
      </c>
      <c r="D755" t="n">
        <v>58.4</v>
      </c>
      <c r="E755" t="n">
        <v>63.3</v>
      </c>
      <c r="F755" t="n">
        <v>55.2</v>
      </c>
      <c r="G755" t="n">
        <v/>
      </c>
      <c r="H755" t="n">
        <v/>
      </c>
      <c r="I755" t="n">
        <v/>
      </c>
      <c r="J755" t="n">
        <v/>
      </c>
      <c r="K755" t="n">
        <v/>
      </c>
      <c r="L755" t="n">
        <v/>
      </c>
      <c r="M755" t="n">
        <v/>
      </c>
    </row>
    <row r="756">
      <c r="A756" s="68" t="n">
        <v>44713</v>
      </c>
      <c r="B756" t="n">
        <v/>
      </c>
      <c r="C756" t="n">
        <v>3785.3798828125</v>
      </c>
      <c r="D756" t="n">
        <v>50</v>
      </c>
      <c r="E756" t="n">
        <v>53.8</v>
      </c>
      <c r="F756" t="n">
        <v>47.5</v>
      </c>
      <c r="G756" t="n">
        <v/>
      </c>
      <c r="H756" t="n">
        <v/>
      </c>
      <c r="I756" t="n">
        <v/>
      </c>
      <c r="J756" t="n">
        <v/>
      </c>
      <c r="K756" t="n">
        <v/>
      </c>
      <c r="L756" t="n">
        <v/>
      </c>
      <c r="M756"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67"/>
  <sheetViews>
    <sheetView zoomScale="150" zoomScaleNormal="150" workbookViewId="0">
      <pane ySplit="9" topLeftCell="A753" activePane="bottomLeft" state="frozen"/>
      <selection activeCell="F487" sqref="F487"/>
      <selection pane="bottomLeft" activeCell="A762" sqref="A762:F767"/>
    </sheetView>
  </sheetViews>
  <sheetFormatPr baseColWidth="10" defaultColWidth="9.1640625" defaultRowHeight="15"/>
  <cols>
    <col width="11.33203125" customWidth="1" style="16" min="1" max="1"/>
    <col width="13.6640625" customWidth="1" style="2" min="2" max="2"/>
    <col width="13.6640625" customWidth="1" style="16" min="3" max="3"/>
    <col width="13.6640625" customWidth="1" style="3" min="4" max="4"/>
    <col width="13.6640625" customWidth="1" style="2" min="5" max="5"/>
    <col width="13.6640625" customWidth="1" style="16" min="6" max="6"/>
    <col width="9.1640625" customWidth="1" style="55" min="7" max="24"/>
    <col width="9.1640625" customWidth="1" style="55" min="25"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S&amp;P 500</t>
        </is>
      </c>
      <c r="F9" s="50" t="inlineStr">
        <is>
          <t>S&amp;P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Row],[S&amp;P 500]]-E10)/E10</f>
        <v/>
      </c>
    </row>
    <row r="22">
      <c r="A22" s="6" t="n">
        <v>21916</v>
      </c>
      <c r="B22" s="2" t="n">
        <v>28.7</v>
      </c>
      <c r="C22" s="4">
        <f>(Table3[[#This Row],[Conference Board Leading Indicator]]-B10)/B10</f>
        <v/>
      </c>
      <c r="D22" s="3" t="n">
        <v>0.04927102925876761</v>
      </c>
      <c r="E22" s="2" t="n">
        <v>55.610001</v>
      </c>
      <c r="F22" s="4">
        <f>(Table3[[#This Row],[S&amp;P 500]]-E11)/E11</f>
        <v/>
      </c>
    </row>
    <row r="23">
      <c r="A23" s="6" t="n">
        <v>21947</v>
      </c>
      <c r="B23" s="2" t="n">
        <v>28.7</v>
      </c>
      <c r="C23" s="4">
        <f>(Table3[[#This Row],[Conference Board Leading Indicator]]-B11)/B11</f>
        <v/>
      </c>
      <c r="E23" s="2" t="n">
        <v>56.119999</v>
      </c>
      <c r="F23" s="4">
        <f>(Table3[[#This Row],[S&amp;P 500]]-E12)/E12</f>
        <v/>
      </c>
    </row>
    <row r="24">
      <c r="A24" s="6" t="n">
        <v>21976</v>
      </c>
      <c r="B24" s="2" t="n">
        <v>28.6</v>
      </c>
      <c r="C24" s="4">
        <f>(Table3[[#This Row],[Conference Board Leading Indicator]]-B12)/B12</f>
        <v/>
      </c>
      <c r="E24" s="2" t="n">
        <v>55.34</v>
      </c>
      <c r="F24" s="4">
        <f>(Table3[[#This Row],[S&amp;P 500]]-E13)/E13</f>
        <v/>
      </c>
    </row>
    <row r="25">
      <c r="A25" s="6" t="n">
        <v>22007</v>
      </c>
      <c r="B25" s="2" t="n">
        <v>28.7</v>
      </c>
      <c r="C25" s="4">
        <f>(Table3[[#This Row],[Conference Board Leading Indicator]]-B13)/B13</f>
        <v/>
      </c>
      <c r="D25" s="3" t="n">
        <v>0.02058276270368818</v>
      </c>
      <c r="E25" s="2" t="n">
        <v>54.369999</v>
      </c>
      <c r="F25" s="4">
        <f>(Table3[[#This Row],[S&amp;P 500]]-E14)/E14</f>
        <v/>
      </c>
    </row>
    <row r="26">
      <c r="A26" s="6" t="n">
        <v>22037</v>
      </c>
      <c r="B26" s="2" t="n">
        <v>28.7</v>
      </c>
      <c r="C26" s="4">
        <f>(Table3[[#This Row],[Conference Board Leading Indicator]]-B14)/B14</f>
        <v/>
      </c>
      <c r="E26" s="2" t="n">
        <v>55.830002</v>
      </c>
      <c r="F26" s="4">
        <f>(Table3[[#This Row],[S&amp;P 500]]-E15)/E15</f>
        <v/>
      </c>
    </row>
    <row r="27">
      <c r="A27" s="6" t="n">
        <v>22068</v>
      </c>
      <c r="B27" s="2" t="n">
        <v>28.8</v>
      </c>
      <c r="C27" s="4">
        <f>(Table3[[#This Row],[Conference Board Leading Indicator]]-B15)/B15</f>
        <v/>
      </c>
      <c r="E27" s="2" t="n">
        <v>56.919998</v>
      </c>
      <c r="F27" s="4">
        <f>(Table3[[#This Row],[S&amp;P 500]]-E16)/E16</f>
        <v/>
      </c>
    </row>
    <row r="28">
      <c r="A28" s="6" t="n">
        <v>22098</v>
      </c>
      <c r="B28" s="2" t="n">
        <v>28.8</v>
      </c>
      <c r="C28" s="4">
        <f>(Table3[[#This Row],[Conference Board Leading Indicator]]-B16)/B16</f>
        <v/>
      </c>
      <c r="D28" s="3" t="n">
        <v>0.02484651697696126</v>
      </c>
      <c r="E28" s="2" t="n">
        <v>55.509998</v>
      </c>
      <c r="F28" s="4">
        <f>(Table3[[#This Row],[S&amp;P 500]]-E17)/E17</f>
        <v/>
      </c>
    </row>
    <row r="29">
      <c r="A29" s="6" t="n">
        <v>22129</v>
      </c>
      <c r="B29" s="2" t="n">
        <v>28.9</v>
      </c>
      <c r="C29" s="4">
        <f>(Table3[[#This Row],[Conference Board Leading Indicator]]-B17)/B17</f>
        <v/>
      </c>
      <c r="E29" s="2" t="n">
        <v>56.959999</v>
      </c>
      <c r="F29" s="4">
        <f>(Table3[[#This Row],[S&amp;P 500]]-E18)/E18</f>
        <v/>
      </c>
    </row>
    <row r="30">
      <c r="A30" s="6" t="n">
        <v>22160</v>
      </c>
      <c r="B30" s="2" t="n">
        <v>28.9</v>
      </c>
      <c r="C30" s="4">
        <f>(Table3[[#This Row],[Conference Board Leading Indicator]]-B18)/B18</f>
        <v/>
      </c>
      <c r="E30" s="2" t="n">
        <v>53.52</v>
      </c>
      <c r="F30" s="4">
        <f>(Table3[[#This Row],[S&amp;P 500]]-E19)/E19</f>
        <v/>
      </c>
    </row>
    <row r="31">
      <c r="A31" s="6" t="n">
        <v>22190</v>
      </c>
      <c r="B31" s="2" t="n">
        <v>28.9</v>
      </c>
      <c r="C31" s="4">
        <f>(Table3[[#This Row],[Conference Board Leading Indicator]]-B19)/B19</f>
        <v/>
      </c>
      <c r="D31" s="3" t="n">
        <v>0.008817766879468773</v>
      </c>
      <c r="E31" s="2" t="n">
        <v>53.389999</v>
      </c>
      <c r="F31" s="4">
        <f>(Table3[[#This Row],[S&amp;P 500]]-E20)/E20</f>
        <v/>
      </c>
    </row>
    <row r="32">
      <c r="A32" s="6" t="n">
        <v>22221</v>
      </c>
      <c r="B32" s="2" t="n">
        <v>28.9</v>
      </c>
      <c r="C32" s="4">
        <f>(Table3[[#This Row],[Conference Board Leading Indicator]]-B20)/B20</f>
        <v/>
      </c>
      <c r="E32" s="2" t="n">
        <v>55.540001</v>
      </c>
      <c r="F32" s="4">
        <f>(Table3[[#This Row],[S&amp;P 500]]-E21)/E21</f>
        <v/>
      </c>
    </row>
    <row r="33">
      <c r="A33" s="6" t="n">
        <v>22251</v>
      </c>
      <c r="B33" s="2" t="n">
        <v>28.9</v>
      </c>
      <c r="C33" s="4">
        <f>(Table3[[#This Row],[Conference Board Leading Indicator]]-B21)/B21</f>
        <v/>
      </c>
      <c r="E33" s="2" t="n">
        <v>58.110001</v>
      </c>
      <c r="F33" s="4">
        <f>(Table3[[#This Row],[S&amp;P 500]]-E22)/E22</f>
        <v/>
      </c>
    </row>
    <row r="34">
      <c r="A34" s="6" t="n">
        <v>22282</v>
      </c>
      <c r="B34" s="2" t="n">
        <v>29.1</v>
      </c>
      <c r="C34" s="4">
        <f>(Table3[[#This Row],[Conference Board Leading Indicator]]-B22)/B22</f>
        <v/>
      </c>
      <c r="D34" s="3" t="n">
        <v>-0.006694941047214442</v>
      </c>
      <c r="E34" s="2" t="n">
        <v>61.779999</v>
      </c>
      <c r="F34" s="4">
        <f>(Table3[[#This Row],[S&amp;P 500]]-E23)/E23</f>
        <v/>
      </c>
    </row>
    <row r="35">
      <c r="A35" s="6" t="n">
        <v>22313</v>
      </c>
      <c r="B35" s="2" t="n">
        <v>29.2</v>
      </c>
      <c r="C35" s="4">
        <f>(Table3[[#This Row],[Conference Board Leading Indicator]]-B23)/B23</f>
        <v/>
      </c>
      <c r="E35" s="2" t="n">
        <v>63.439999</v>
      </c>
      <c r="F35" s="4">
        <f>(Table3[[#This Row],[S&amp;P 500]]-E24)/E24</f>
        <v/>
      </c>
    </row>
    <row r="36">
      <c r="A36" s="6" t="n">
        <v>22341</v>
      </c>
      <c r="B36" s="2" t="n">
        <v>29.6</v>
      </c>
      <c r="C36" s="4">
        <f>(Table3[[#This Row],[Conference Board Leading Indicator]]-B24)/B24</f>
        <v/>
      </c>
      <c r="E36" s="2" t="n">
        <v>65.05999799999999</v>
      </c>
      <c r="F36" s="4">
        <f>(Table3[[#This Row],[S&amp;P 500]]-E25)/E25</f>
        <v/>
      </c>
    </row>
    <row r="37">
      <c r="A37" s="6" t="n">
        <v>22372</v>
      </c>
      <c r="B37" s="2" t="n">
        <v>29.9</v>
      </c>
      <c r="C37" s="4">
        <f>(Table3[[#This Row],[Conference Board Leading Indicator]]-B25)/B25</f>
        <v/>
      </c>
      <c r="D37" s="3" t="n">
        <v>0.01564445159246773</v>
      </c>
      <c r="E37" s="2" t="n">
        <v>65.30999799999999</v>
      </c>
      <c r="F37" s="4">
        <f>(Table3[[#This Row],[S&amp;P 500]]-E26)/E26</f>
        <v/>
      </c>
    </row>
    <row r="38">
      <c r="A38" s="6" t="n">
        <v>22402</v>
      </c>
      <c r="B38" s="2" t="n">
        <v>30.2</v>
      </c>
      <c r="C38" s="4">
        <f>(Table3[[#This Row],[Conference Board Leading Indicator]]-B26)/B26</f>
        <v/>
      </c>
      <c r="E38" s="2" t="n">
        <v>66.55999799999999</v>
      </c>
      <c r="F38" s="4">
        <f>(Table3[[#This Row],[S&amp;P 500]]-E27)/E27</f>
        <v/>
      </c>
    </row>
    <row r="39">
      <c r="A39" s="6" t="n">
        <v>22433</v>
      </c>
      <c r="B39" s="2" t="n">
        <v>30.6</v>
      </c>
      <c r="C39" s="4">
        <f>(Table3[[#This Row],[Conference Board Leading Indicator]]-B27)/B27</f>
        <v/>
      </c>
      <c r="E39" s="2" t="n">
        <v>64.639999</v>
      </c>
      <c r="F39" s="4">
        <f>(Table3[[#This Row],[S&amp;P 500]]-E28)/E28</f>
        <v/>
      </c>
    </row>
    <row r="40">
      <c r="A40" s="6" t="n">
        <v>22463</v>
      </c>
      <c r="B40" s="2" t="n">
        <v>30.7</v>
      </c>
      <c r="C40" s="4">
        <f>(Table3[[#This Row],[Conference Board Leading Indicator]]-B28)/B28</f>
        <v/>
      </c>
      <c r="D40" s="3" t="n">
        <v>0.03010113838331919</v>
      </c>
      <c r="E40" s="2" t="n">
        <v>66.760002</v>
      </c>
      <c r="F40" s="4">
        <f>(Table3[[#This Row],[S&amp;P 500]]-E29)/E29</f>
        <v/>
      </c>
    </row>
    <row r="41">
      <c r="A41" s="6" t="n">
        <v>22494</v>
      </c>
      <c r="B41" s="2" t="n">
        <v>31.2</v>
      </c>
      <c r="C41" s="4">
        <f>(Table3[[#This Row],[Conference Board Leading Indicator]]-B29)/B29</f>
        <v/>
      </c>
      <c r="E41" s="2" t="n">
        <v>68.06999999999999</v>
      </c>
      <c r="F41" s="4">
        <f>(Table3[[#This Row],[S&amp;P 500]]-E30)/E30</f>
        <v/>
      </c>
    </row>
    <row r="42">
      <c r="A42" s="6" t="n">
        <v>22525</v>
      </c>
      <c r="B42" s="2" t="n">
        <v>31.2</v>
      </c>
      <c r="C42" s="4">
        <f>(Table3[[#This Row],[Conference Board Leading Indicator]]-B30)/B30</f>
        <v/>
      </c>
      <c r="E42" s="2" t="n">
        <v>66.730003</v>
      </c>
      <c r="F42" s="4">
        <f>(Table3[[#This Row],[S&amp;P 500]]-E31)/E31</f>
        <v/>
      </c>
    </row>
    <row r="43">
      <c r="A43" s="6" t="n">
        <v>22555</v>
      </c>
      <c r="B43" s="2" t="n">
        <v>31.7</v>
      </c>
      <c r="C43" s="4">
        <f>(Table3[[#This Row],[Conference Board Leading Indicator]]-B31)/B31</f>
        <v/>
      </c>
      <c r="D43" s="3" t="n">
        <v>0.06395774269192939</v>
      </c>
      <c r="E43" s="2" t="n">
        <v>68.620003</v>
      </c>
      <c r="F43" s="4">
        <f>(Table3[[#This Row],[S&amp;P 500]]-E32)/E32</f>
        <v/>
      </c>
    </row>
    <row r="44">
      <c r="A44" s="6" t="n">
        <v>22586</v>
      </c>
      <c r="B44" s="2" t="n">
        <v>32.1</v>
      </c>
      <c r="C44" s="4">
        <f>(Table3[[#This Row],[Conference Board Leading Indicator]]-B32)/B32</f>
        <v/>
      </c>
      <c r="E44" s="2" t="n">
        <v>71.31999999999999</v>
      </c>
      <c r="F44" s="4">
        <f>(Table3[[#This Row],[S&amp;P 500]]-E33)/E33</f>
        <v/>
      </c>
    </row>
    <row r="45">
      <c r="A45" s="6" t="n">
        <v>22616</v>
      </c>
      <c r="B45" s="2" t="n">
        <v>32.4</v>
      </c>
      <c r="C45" s="4">
        <f>(Table3[[#This Row],[Conference Board Leading Indicator]]-B33)/B33</f>
        <v/>
      </c>
      <c r="E45" s="2" t="n">
        <v>71.550003</v>
      </c>
      <c r="F45" s="4">
        <f>(Table3[[#This Row],[S&amp;P 500]]-E34)/E34</f>
        <v/>
      </c>
    </row>
    <row r="46">
      <c r="A46" s="6" t="n">
        <v>22647</v>
      </c>
      <c r="B46" s="2" t="n">
        <v>32.4</v>
      </c>
      <c r="C46" s="4">
        <f>(Table3[[#This Row],[Conference Board Leading Indicator]]-B34)/B34</f>
        <v/>
      </c>
      <c r="D46" s="3" t="n">
        <v>0.07567337651122097</v>
      </c>
      <c r="E46" s="2" t="n">
        <v>68.839996</v>
      </c>
      <c r="F46" s="4">
        <f>(Table3[[#This Row],[S&amp;P 500]]-E35)/E35</f>
        <v/>
      </c>
    </row>
    <row r="47">
      <c r="A47" s="6" t="n">
        <v>22678</v>
      </c>
      <c r="B47" s="2" t="n">
        <v>32.8</v>
      </c>
      <c r="C47" s="4">
        <f>(Table3[[#This Row],[Conference Board Leading Indicator]]-B35)/B35</f>
        <v/>
      </c>
      <c r="E47" s="2" t="n">
        <v>69.959999</v>
      </c>
      <c r="F47" s="4">
        <f>(Table3[[#This Row],[S&amp;P 500]]-E36)/E36</f>
        <v/>
      </c>
    </row>
    <row r="48">
      <c r="A48" s="6" t="n">
        <v>22706</v>
      </c>
      <c r="B48" s="2" t="n">
        <v>32.9</v>
      </c>
      <c r="C48" s="4">
        <f>(Table3[[#This Row],[Conference Board Leading Indicator]]-B36)/B36</f>
        <v/>
      </c>
      <c r="E48" s="2" t="n">
        <v>69.550003</v>
      </c>
      <c r="F48" s="4">
        <f>(Table3[[#This Row],[S&amp;P 500]]-E37)/E37</f>
        <v/>
      </c>
    </row>
    <row r="49">
      <c r="A49" s="6" t="n">
        <v>22737</v>
      </c>
      <c r="B49" s="2" t="n">
        <v>33.1</v>
      </c>
      <c r="C49" s="4">
        <f>(Table3[[#This Row],[Conference Board Leading Indicator]]-B37)/B37</f>
        <v/>
      </c>
      <c r="D49" s="3" t="n">
        <v>0.06727713226025882</v>
      </c>
      <c r="E49" s="2" t="n">
        <v>65.239998</v>
      </c>
      <c r="F49" s="4">
        <f>(Table3[[#This Row],[S&amp;P 500]]-E38)/E38</f>
        <v/>
      </c>
    </row>
    <row r="50">
      <c r="A50" s="6" t="n">
        <v>22767</v>
      </c>
      <c r="B50" s="2" t="n">
        <v>33.1</v>
      </c>
      <c r="C50" s="4">
        <f>(Table3[[#This Row],[Conference Board Leading Indicator]]-B38)/B38</f>
        <v/>
      </c>
      <c r="E50" s="2" t="n">
        <v>59.630001</v>
      </c>
      <c r="F50" s="4">
        <f>(Table3[[#This Row],[S&amp;P 500]]-E39)/E39</f>
        <v/>
      </c>
    </row>
    <row r="51">
      <c r="A51" s="6" t="n">
        <v>22798</v>
      </c>
      <c r="B51" s="2" t="n">
        <v>33</v>
      </c>
      <c r="C51" s="4">
        <f>(Table3[[#This Row],[Conference Board Leading Indicator]]-B39)/B39</f>
        <v/>
      </c>
      <c r="E51" s="2" t="n">
        <v>54.75</v>
      </c>
      <c r="F51" s="4">
        <f>(Table3[[#This Row],[S&amp;P 500]]-E40)/E40</f>
        <v/>
      </c>
    </row>
    <row r="52">
      <c r="A52" s="6" t="n">
        <v>22828</v>
      </c>
      <c r="B52" s="2" t="n">
        <v>33.2</v>
      </c>
      <c r="C52" s="4">
        <f>(Table3[[#This Row],[Conference Board Leading Indicator]]-B40)/B40</f>
        <v/>
      </c>
      <c r="D52" s="3" t="n">
        <v>0.0600397736926111</v>
      </c>
      <c r="E52" s="2" t="n">
        <v>58.23</v>
      </c>
      <c r="F52" s="4">
        <f>(Table3[[#This Row],[S&amp;P 500]]-E41)/E41</f>
        <v/>
      </c>
    </row>
    <row r="53">
      <c r="A53" s="6" t="n">
        <v>22859</v>
      </c>
      <c r="B53" s="2" t="n">
        <v>33.4</v>
      </c>
      <c r="C53" s="4">
        <f>(Table3[[#This Row],[Conference Board Leading Indicator]]-B41)/B41</f>
        <v/>
      </c>
      <c r="E53" s="2" t="n">
        <v>59.119999</v>
      </c>
      <c r="F53" s="4">
        <f>(Table3[[#This Row],[S&amp;P 500]]-E42)/E42</f>
        <v/>
      </c>
    </row>
    <row r="54">
      <c r="A54" s="6" t="n">
        <v>22890</v>
      </c>
      <c r="B54" s="2" t="n">
        <v>33.5</v>
      </c>
      <c r="C54" s="4">
        <f>(Table3[[#This Row],[Conference Board Leading Indicator]]-B42)/B42</f>
        <v/>
      </c>
      <c r="E54" s="2" t="n">
        <v>56.27</v>
      </c>
      <c r="F54" s="4">
        <f>(Table3[[#This Row],[S&amp;P 500]]-E43)/E43</f>
        <v/>
      </c>
    </row>
    <row r="55">
      <c r="A55" s="6" t="n">
        <v>22920</v>
      </c>
      <c r="B55" s="2" t="n">
        <v>33.6</v>
      </c>
      <c r="C55" s="4">
        <f>(Table3[[#This Row],[Conference Board Leading Indicator]]-B43)/B43</f>
        <v/>
      </c>
      <c r="D55" s="3" t="n">
        <v>0.04307008332458499</v>
      </c>
      <c r="E55" s="2" t="n">
        <v>56.52</v>
      </c>
      <c r="F55" s="4">
        <f>(Table3[[#This Row],[S&amp;P 500]]-E44)/E44</f>
        <v/>
      </c>
    </row>
    <row r="56">
      <c r="A56" s="6" t="n">
        <v>22951</v>
      </c>
      <c r="B56" s="2" t="n">
        <v>34</v>
      </c>
      <c r="C56" s="4">
        <f>(Table3[[#This Row],[Conference Board Leading Indicator]]-B44)/B44</f>
        <v/>
      </c>
      <c r="E56" s="2" t="n">
        <v>62.259998</v>
      </c>
      <c r="F56" s="4">
        <f>(Table3[[#This Row],[S&amp;P 500]]-E45)/E45</f>
        <v/>
      </c>
    </row>
    <row r="57">
      <c r="A57" s="6" t="n">
        <v>22981</v>
      </c>
      <c r="B57" s="2" t="n">
        <v>34.1</v>
      </c>
      <c r="C57" s="4">
        <f>(Table3[[#This Row],[Conference Board Leading Indicator]]-B45)/B45</f>
        <v/>
      </c>
      <c r="E57" s="2" t="n">
        <v>63.099998</v>
      </c>
      <c r="F57" s="4">
        <f>(Table3[[#This Row],[S&amp;P 500]]-E46)/E46</f>
        <v/>
      </c>
    </row>
    <row r="58">
      <c r="A58" s="6" t="n">
        <v>23012</v>
      </c>
      <c r="B58" s="2" t="n">
        <v>34.4</v>
      </c>
      <c r="C58" s="4">
        <f>(Table3[[#This Row],[Conference Board Leading Indicator]]-B46)/B46</f>
        <v/>
      </c>
      <c r="D58" s="3" t="n">
        <v>0.03597858775893176</v>
      </c>
      <c r="E58" s="2" t="n">
        <v>66.199997</v>
      </c>
      <c r="F58" s="4">
        <f>(Table3[[#This Row],[S&amp;P 500]]-E47)/E47</f>
        <v/>
      </c>
    </row>
    <row r="59">
      <c r="A59" s="6" t="n">
        <v>23043</v>
      </c>
      <c r="B59" s="2" t="n">
        <v>34.7</v>
      </c>
      <c r="C59" s="4">
        <f>(Table3[[#This Row],[Conference Board Leading Indicator]]-B47)/B47</f>
        <v/>
      </c>
      <c r="E59" s="2" t="n">
        <v>64.290001</v>
      </c>
      <c r="F59" s="4">
        <f>(Table3[[#This Row],[S&amp;P 500]]-E48)/E48</f>
        <v/>
      </c>
    </row>
    <row r="60">
      <c r="A60" s="6" t="n">
        <v>23071</v>
      </c>
      <c r="B60" s="2" t="n">
        <v>35</v>
      </c>
      <c r="C60" s="4">
        <f>(Table3[[#This Row],[Conference Board Leading Indicator]]-B48)/B48</f>
        <v/>
      </c>
      <c r="E60" s="2" t="n">
        <v>66.56999999999999</v>
      </c>
      <c r="F60" s="4">
        <f>(Table3[[#This Row],[S&amp;P 500]]-E49)/E49</f>
        <v/>
      </c>
    </row>
    <row r="61">
      <c r="A61" s="6" t="n">
        <v>23102</v>
      </c>
      <c r="B61" s="2" t="n">
        <v>35.3</v>
      </c>
      <c r="C61" s="4">
        <f>(Table3[[#This Row],[Conference Board Leading Indicator]]-B49)/B49</f>
        <v/>
      </c>
      <c r="D61" s="3" t="n">
        <v>0.0382214372014702</v>
      </c>
      <c r="E61" s="2" t="n">
        <v>69.800003</v>
      </c>
      <c r="F61" s="4">
        <f>(Table3[[#This Row],[S&amp;P 500]]-E50)/E50</f>
        <v/>
      </c>
    </row>
    <row r="62">
      <c r="A62" s="6" t="n">
        <v>23132</v>
      </c>
      <c r="B62" s="2" t="n">
        <v>35.6</v>
      </c>
      <c r="C62" s="4">
        <f>(Table3[[#This Row],[Conference Board Leading Indicator]]-B50)/B50</f>
        <v/>
      </c>
      <c r="E62" s="2" t="n">
        <v>70.800003</v>
      </c>
      <c r="F62" s="4">
        <f>(Table3[[#This Row],[S&amp;P 500]]-E51)/E51</f>
        <v/>
      </c>
    </row>
    <row r="63">
      <c r="A63" s="6" t="n">
        <v>23163</v>
      </c>
      <c r="B63" s="2" t="n">
        <v>35.7</v>
      </c>
      <c r="C63" s="4">
        <f>(Table3[[#This Row],[Conference Board Leading Indicator]]-B51)/B51</f>
        <v/>
      </c>
      <c r="E63" s="2" t="n">
        <v>69.370003</v>
      </c>
      <c r="F63" s="4">
        <f>(Table3[[#This Row],[S&amp;P 500]]-E52)/E52</f>
        <v/>
      </c>
    </row>
    <row r="64">
      <c r="A64" s="6" t="n">
        <v>23193</v>
      </c>
      <c r="B64" s="2" t="n">
        <v>35.9</v>
      </c>
      <c r="C64" s="4">
        <f>(Table3[[#This Row],[Conference Board Leading Indicator]]-B52)/B52</f>
        <v/>
      </c>
      <c r="D64" s="3" t="n">
        <v>0.04816912675835707</v>
      </c>
      <c r="E64" s="2" t="n">
        <v>69.129997</v>
      </c>
      <c r="F64" s="4">
        <f>(Table3[[#This Row],[S&amp;P 500]]-E53)/E53</f>
        <v/>
      </c>
    </row>
    <row r="65">
      <c r="A65" s="6" t="n">
        <v>23224</v>
      </c>
      <c r="B65" s="2" t="n">
        <v>36</v>
      </c>
      <c r="C65" s="4">
        <f>(Table3[[#This Row],[Conference Board Leading Indicator]]-B53)/B53</f>
        <v/>
      </c>
      <c r="E65" s="2" t="n">
        <v>72.5</v>
      </c>
      <c r="F65" s="4">
        <f>(Table3[[#This Row],[S&amp;P 500]]-E54)/E54</f>
        <v/>
      </c>
    </row>
    <row r="66">
      <c r="A66" s="6" t="n">
        <v>23255</v>
      </c>
      <c r="B66" s="2" t="n">
        <v>36.4</v>
      </c>
      <c r="C66" s="4">
        <f>(Table3[[#This Row],[Conference Board Leading Indicator]]-B54)/B54</f>
        <v/>
      </c>
      <c r="E66" s="2" t="n">
        <v>71.699997</v>
      </c>
      <c r="F66" s="4">
        <f>(Table3[[#This Row],[S&amp;P 500]]-E55)/E55</f>
        <v/>
      </c>
    </row>
    <row r="67">
      <c r="A67" s="6" t="n">
        <v>23285</v>
      </c>
      <c r="B67" s="2" t="n">
        <v>36.6</v>
      </c>
      <c r="C67" s="4">
        <f>(Table3[[#This Row],[Conference Board Leading Indicator]]-B55)/B55</f>
        <v/>
      </c>
      <c r="D67" s="3" t="n">
        <v>0.0515826383597535</v>
      </c>
      <c r="E67" s="2" t="n">
        <v>74.010002</v>
      </c>
      <c r="F67" s="4">
        <f>(Table3[[#This Row],[S&amp;P 500]]-E56)/E56</f>
        <v/>
      </c>
    </row>
    <row r="68">
      <c r="A68" s="6" t="n">
        <v>23316</v>
      </c>
      <c r="B68" s="2" t="n">
        <v>36.8</v>
      </c>
      <c r="C68" s="4">
        <f>(Table3[[#This Row],[Conference Board Leading Indicator]]-B56)/B56</f>
        <v/>
      </c>
      <c r="E68" s="2" t="n">
        <v>73.230003</v>
      </c>
      <c r="F68" s="4">
        <f>(Table3[[#This Row],[S&amp;P 500]]-E57)/E57</f>
        <v/>
      </c>
    </row>
    <row r="69">
      <c r="A69" s="6" t="n">
        <v>23346</v>
      </c>
      <c r="B69" s="2" t="n">
        <v>37</v>
      </c>
      <c r="C69" s="4">
        <f>(Table3[[#This Row],[Conference Board Leading Indicator]]-B57)/B57</f>
        <v/>
      </c>
      <c r="E69" s="2" t="n">
        <v>75.019997</v>
      </c>
      <c r="F69" s="4">
        <f>(Table3[[#This Row],[S&amp;P 500]]-E58)/E58</f>
        <v/>
      </c>
    </row>
    <row r="70">
      <c r="A70" s="6" t="n">
        <v>23377</v>
      </c>
      <c r="B70" s="2" t="n">
        <v>37.2</v>
      </c>
      <c r="C70" s="4">
        <f>(Table3[[#This Row],[Conference Board Leading Indicator]]-B58)/B58</f>
        <v/>
      </c>
      <c r="D70" s="3" t="n">
        <v>0.06215835107795649</v>
      </c>
      <c r="E70" s="2" t="n">
        <v>77.040001</v>
      </c>
      <c r="F70" s="4">
        <f>(Table3[[#This Row],[S&amp;P 500]]-E59)/E59</f>
        <v/>
      </c>
    </row>
    <row r="71">
      <c r="A71" s="6" t="n">
        <v>23408</v>
      </c>
      <c r="B71" s="2" t="n">
        <v>37.5</v>
      </c>
      <c r="C71" s="4">
        <f>(Table3[[#This Row],[Conference Board Leading Indicator]]-B59)/B59</f>
        <v/>
      </c>
      <c r="E71" s="2" t="n">
        <v>77.800003</v>
      </c>
      <c r="F71" s="4">
        <f>(Table3[[#This Row],[S&amp;P 500]]-E60)/E60</f>
        <v/>
      </c>
    </row>
    <row r="72">
      <c r="A72" s="6" t="n">
        <v>23437</v>
      </c>
      <c r="B72" s="2" t="n">
        <v>37.7</v>
      </c>
      <c r="C72" s="4">
        <f>(Table3[[#This Row],[Conference Board Leading Indicator]]-B60)/B60</f>
        <v/>
      </c>
      <c r="E72" s="2" t="n">
        <v>78.980003</v>
      </c>
      <c r="F72" s="4">
        <f>(Table3[[#This Row],[S&amp;P 500]]-E61)/E61</f>
        <v/>
      </c>
    </row>
    <row r="73">
      <c r="A73" s="6" t="n">
        <v>23468</v>
      </c>
      <c r="B73" s="2" t="n">
        <v>38</v>
      </c>
      <c r="C73" s="4">
        <f>(Table3[[#This Row],[Conference Board Leading Indicator]]-B61)/B61</f>
        <v/>
      </c>
      <c r="D73" s="3" t="n">
        <v>0.06180732430442998</v>
      </c>
      <c r="E73" s="2" t="n">
        <v>79.459999</v>
      </c>
      <c r="F73" s="4">
        <f>(Table3[[#This Row],[S&amp;P 500]]-E62)/E62</f>
        <v/>
      </c>
    </row>
    <row r="74">
      <c r="A74" s="6" t="n">
        <v>23498</v>
      </c>
      <c r="B74" s="2" t="n">
        <v>38.3</v>
      </c>
      <c r="C74" s="4">
        <f>(Table3[[#This Row],[Conference Board Leading Indicator]]-B62)/B62</f>
        <v/>
      </c>
      <c r="E74" s="2" t="n">
        <v>80.370003</v>
      </c>
      <c r="F74" s="4">
        <f>(Table3[[#This Row],[S&amp;P 500]]-E63)/E63</f>
        <v/>
      </c>
    </row>
    <row r="75">
      <c r="A75" s="6" t="n">
        <v>23529</v>
      </c>
      <c r="B75" s="2" t="n">
        <v>38.5</v>
      </c>
      <c r="C75" s="4">
        <f>(Table3[[#This Row],[Conference Board Leading Indicator]]-B63)/B63</f>
        <v/>
      </c>
      <c r="E75" s="2" t="n">
        <v>81.69000200000001</v>
      </c>
      <c r="F75" s="4">
        <f>(Table3[[#This Row],[S&amp;P 500]]-E64)/E64</f>
        <v/>
      </c>
    </row>
    <row r="76">
      <c r="A76" s="6" t="n">
        <v>23559</v>
      </c>
      <c r="B76" s="2" t="n">
        <v>38.8</v>
      </c>
      <c r="C76" s="4">
        <f>(Table3[[#This Row],[Conference Board Leading Indicator]]-B64)/B64</f>
        <v/>
      </c>
      <c r="D76" s="3" t="n">
        <v>0.05519819986667664</v>
      </c>
      <c r="E76" s="2" t="n">
        <v>83.18000000000001</v>
      </c>
      <c r="F76" s="4">
        <f>(Table3[[#This Row],[S&amp;P 500]]-E65)/E65</f>
        <v/>
      </c>
    </row>
    <row r="77">
      <c r="A77" s="6" t="n">
        <v>23590</v>
      </c>
      <c r="B77" s="2" t="n">
        <v>39.1</v>
      </c>
      <c r="C77" s="4">
        <f>(Table3[[#This Row],[Conference Board Leading Indicator]]-B65)/B65</f>
        <v/>
      </c>
      <c r="E77" s="2" t="n">
        <v>81.83000199999999</v>
      </c>
      <c r="F77" s="4">
        <f>(Table3[[#This Row],[S&amp;P 500]]-E66)/E66</f>
        <v/>
      </c>
    </row>
    <row r="78">
      <c r="A78" s="6" t="n">
        <v>23621</v>
      </c>
      <c r="B78" s="2" t="n">
        <v>39.4</v>
      </c>
      <c r="C78" s="4">
        <f>(Table3[[#This Row],[Conference Board Leading Indicator]]-B66)/B66</f>
        <v/>
      </c>
      <c r="E78" s="2" t="n">
        <v>84.18000000000001</v>
      </c>
      <c r="F78" s="4">
        <f>(Table3[[#This Row],[S&amp;P 500]]-E67)/E67</f>
        <v/>
      </c>
    </row>
    <row r="79">
      <c r="A79" s="6" t="n">
        <v>23651</v>
      </c>
      <c r="B79" s="2" t="n">
        <v>39.5</v>
      </c>
      <c r="C79" s="4">
        <f>(Table3[[#This Row],[Conference Board Leading Indicator]]-B67)/B67</f>
        <v/>
      </c>
      <c r="D79" s="3" t="n">
        <v>0.05156362469825782</v>
      </c>
      <c r="E79" s="2" t="n">
        <v>84.860001</v>
      </c>
      <c r="F79" s="4">
        <f>(Table3[[#This Row],[S&amp;P 500]]-E68)/E68</f>
        <v/>
      </c>
    </row>
    <row r="80">
      <c r="A80" s="6" t="n">
        <v>23682</v>
      </c>
      <c r="B80" s="2" t="n">
        <v>39.8</v>
      </c>
      <c r="C80" s="4">
        <f>(Table3[[#This Row],[Conference Board Leading Indicator]]-B68)/B68</f>
        <v/>
      </c>
      <c r="E80" s="2" t="n">
        <v>84.41999800000001</v>
      </c>
      <c r="F80" s="4">
        <f>(Table3[[#This Row],[S&amp;P 500]]-E69)/E69</f>
        <v/>
      </c>
    </row>
    <row r="81">
      <c r="A81" s="6" t="n">
        <v>23712</v>
      </c>
      <c r="B81" s="2" t="n">
        <v>40.1</v>
      </c>
      <c r="C81" s="4">
        <f>(Table3[[#This Row],[Conference Board Leading Indicator]]-B69)/B69</f>
        <v/>
      </c>
      <c r="E81" s="2" t="n">
        <v>84.75</v>
      </c>
      <c r="F81" s="4">
        <f>(Table3[[#This Row],[S&amp;P 500]]-E70)/E70</f>
        <v/>
      </c>
    </row>
    <row r="82">
      <c r="A82" s="6" t="n">
        <v>23743</v>
      </c>
      <c r="B82" s="2" t="n">
        <v>40.5</v>
      </c>
      <c r="C82" s="4">
        <f>(Table3[[#This Row],[Conference Board Leading Indicator]]-B70)/B70</f>
        <v/>
      </c>
      <c r="D82" s="3" t="n">
        <v>0.05477147588673737</v>
      </c>
      <c r="E82" s="2" t="n">
        <v>87.55999799999999</v>
      </c>
      <c r="F82" s="4">
        <f>(Table3[[#This Row],[S&amp;P 500]]-E71)/E71</f>
        <v/>
      </c>
    </row>
    <row r="83">
      <c r="A83" s="6" t="n">
        <v>23774</v>
      </c>
      <c r="B83" s="2" t="n">
        <v>40.6</v>
      </c>
      <c r="C83" s="4">
        <f>(Table3[[#This Row],[Conference Board Leading Indicator]]-B71)/B71</f>
        <v/>
      </c>
      <c r="E83" s="2" t="n">
        <v>87.43000000000001</v>
      </c>
      <c r="F83" s="4">
        <f>(Table3[[#This Row],[S&amp;P 500]]-E72)/E72</f>
        <v/>
      </c>
    </row>
    <row r="84">
      <c r="A84" s="6" t="n">
        <v>23802</v>
      </c>
      <c r="B84" s="2" t="n">
        <v>41.1</v>
      </c>
      <c r="C84" s="4">
        <f>(Table3[[#This Row],[Conference Board Leading Indicator]]-B72)/B72</f>
        <v/>
      </c>
      <c r="E84" s="2" t="n">
        <v>86.160004</v>
      </c>
      <c r="F84" s="4">
        <f>(Table3[[#This Row],[S&amp;P 500]]-E73)/E73</f>
        <v/>
      </c>
    </row>
    <row r="85">
      <c r="A85" s="6" t="n">
        <v>23833</v>
      </c>
      <c r="B85" s="2" t="n">
        <v>41.2</v>
      </c>
      <c r="C85" s="4">
        <f>(Table3[[#This Row],[Conference Board Leading Indicator]]-B73)/B73</f>
        <v/>
      </c>
      <c r="D85" s="3" t="n">
        <v>0.05659292280884887</v>
      </c>
      <c r="E85" s="2" t="n">
        <v>89.110001</v>
      </c>
      <c r="F85" s="4">
        <f>(Table3[[#This Row],[S&amp;P 500]]-E74)/E74</f>
        <v/>
      </c>
    </row>
    <row r="86">
      <c r="A86" s="6" t="n">
        <v>23863</v>
      </c>
      <c r="B86" s="2" t="n">
        <v>41.4</v>
      </c>
      <c r="C86" s="4">
        <f>(Table3[[#This Row],[Conference Board Leading Indicator]]-B74)/B74</f>
        <v/>
      </c>
      <c r="E86" s="2" t="n">
        <v>88.41999800000001</v>
      </c>
      <c r="F86" s="4">
        <f>(Table3[[#This Row],[S&amp;P 500]]-E75)/E75</f>
        <v/>
      </c>
    </row>
    <row r="87">
      <c r="A87" s="6" t="n">
        <v>23894</v>
      </c>
      <c r="B87" s="2" t="n">
        <v>41.6</v>
      </c>
      <c r="C87" s="4">
        <f>(Table3[[#This Row],[Conference Board Leading Indicator]]-B75)/B75</f>
        <v/>
      </c>
      <c r="E87" s="2" t="n">
        <v>84.120003</v>
      </c>
      <c r="F87" s="4">
        <f>(Table3[[#This Row],[S&amp;P 500]]-E76)/E76</f>
        <v/>
      </c>
    </row>
    <row r="88">
      <c r="A88" s="6" t="n">
        <v>23924</v>
      </c>
      <c r="B88" s="2" t="n">
        <v>41.8</v>
      </c>
      <c r="C88" s="4">
        <f>(Table3[[#This Row],[Conference Board Leading Indicator]]-B76)/B76</f>
        <v/>
      </c>
      <c r="D88" s="3" t="n">
        <v>0.06346922615671097</v>
      </c>
      <c r="E88" s="2" t="n">
        <v>85.25</v>
      </c>
      <c r="F88" s="4">
        <f>(Table3[[#This Row],[S&amp;P 500]]-E77)/E77</f>
        <v/>
      </c>
    </row>
    <row r="89">
      <c r="A89" s="6" t="n">
        <v>23955</v>
      </c>
      <c r="B89" s="2" t="n">
        <v>41.9</v>
      </c>
      <c r="C89" s="4">
        <f>(Table3[[#This Row],[Conference Board Leading Indicator]]-B77)/B77</f>
        <v/>
      </c>
      <c r="E89" s="2" t="n">
        <v>87.16999800000001</v>
      </c>
      <c r="F89" s="4">
        <f>(Table3[[#This Row],[S&amp;P 500]]-E78)/E78</f>
        <v/>
      </c>
    </row>
    <row r="90">
      <c r="A90" s="6" t="n">
        <v>23986</v>
      </c>
      <c r="B90" s="2" t="n">
        <v>42.3</v>
      </c>
      <c r="C90" s="4">
        <f>(Table3[[#This Row],[Conference Board Leading Indicator]]-B78)/B78</f>
        <v/>
      </c>
      <c r="E90" s="2" t="n">
        <v>89.959999</v>
      </c>
      <c r="F90" s="4">
        <f>(Table3[[#This Row],[S&amp;P 500]]-E79)/E79</f>
        <v/>
      </c>
    </row>
    <row r="91">
      <c r="A91" s="6" t="n">
        <v>24016</v>
      </c>
      <c r="B91" s="2" t="n">
        <v>42.8</v>
      </c>
      <c r="C91" s="4">
        <f>(Table3[[#This Row],[Conference Board Leading Indicator]]-B79)/B79</f>
        <v/>
      </c>
      <c r="D91" s="3" t="n">
        <v>0.08462169736040953</v>
      </c>
      <c r="E91" s="2" t="n">
        <v>92.41999800000001</v>
      </c>
      <c r="F91" s="4">
        <f>(Table3[[#This Row],[S&amp;P 500]]-E80)/E80</f>
        <v/>
      </c>
    </row>
    <row r="92">
      <c r="A92" s="6" t="n">
        <v>24047</v>
      </c>
      <c r="B92" s="2" t="n">
        <v>43.1</v>
      </c>
      <c r="C92" s="4">
        <f>(Table3[[#This Row],[Conference Board Leading Indicator]]-B80)/B80</f>
        <v/>
      </c>
      <c r="E92" s="2" t="n">
        <v>91.610001</v>
      </c>
      <c r="F92" s="4">
        <f>(Table3[[#This Row],[S&amp;P 500]]-E81)/E81</f>
        <v/>
      </c>
    </row>
    <row r="93">
      <c r="A93" s="6" t="n">
        <v>24077</v>
      </c>
      <c r="B93" s="2" t="n">
        <v>43.5</v>
      </c>
      <c r="C93" s="4">
        <f>(Table3[[#This Row],[Conference Board Leading Indicator]]-B81)/B81</f>
        <v/>
      </c>
      <c r="E93" s="2" t="n">
        <v>92.43000000000001</v>
      </c>
      <c r="F93" s="4">
        <f>(Table3[[#This Row],[S&amp;P 500]]-E82)/E82</f>
        <v/>
      </c>
    </row>
    <row r="94">
      <c r="A94" s="6" t="n">
        <v>24108</v>
      </c>
      <c r="B94" s="2" t="n">
        <v>43.7</v>
      </c>
      <c r="C94" s="4">
        <f>(Table3[[#This Row],[Conference Board Leading Indicator]]-B82)/B82</f>
        <v/>
      </c>
      <c r="D94" s="3" t="n">
        <v>0.084774897835247</v>
      </c>
      <c r="E94" s="2" t="n">
        <v>92.879997</v>
      </c>
      <c r="F94" s="4">
        <f>(Table3[[#This Row],[S&amp;P 500]]-E83)/E83</f>
        <v/>
      </c>
    </row>
    <row r="95">
      <c r="A95" s="6" t="n">
        <v>24139</v>
      </c>
      <c r="B95" s="2" t="n">
        <v>43.9</v>
      </c>
      <c r="C95" s="4">
        <f>(Table3[[#This Row],[Conference Board Leading Indicator]]-B83)/B83</f>
        <v/>
      </c>
      <c r="E95" s="2" t="n">
        <v>91.220001</v>
      </c>
      <c r="F95" s="4">
        <f>(Table3[[#This Row],[S&amp;P 500]]-E84)/E84</f>
        <v/>
      </c>
    </row>
    <row r="96">
      <c r="A96" s="6" t="n">
        <v>24167</v>
      </c>
      <c r="B96" s="2" t="n">
        <v>44.3</v>
      </c>
      <c r="C96" s="4">
        <f>(Table3[[#This Row],[Conference Board Leading Indicator]]-B84)/B84</f>
        <v/>
      </c>
      <c r="E96" s="2" t="n">
        <v>89.230003</v>
      </c>
      <c r="F96" s="4">
        <f>(Table3[[#This Row],[S&amp;P 500]]-E85)/E85</f>
        <v/>
      </c>
    </row>
    <row r="97">
      <c r="A97" s="6" t="n">
        <v>24198</v>
      </c>
      <c r="B97" s="2" t="n">
        <v>44.5</v>
      </c>
      <c r="C97" s="4">
        <f>(Table3[[#This Row],[Conference Board Leading Indicator]]-B85)/B85</f>
        <v/>
      </c>
      <c r="D97" s="3" t="n">
        <v>0.07490174733793456</v>
      </c>
      <c r="E97" s="2" t="n">
        <v>91.05999799999999</v>
      </c>
      <c r="F97" s="4">
        <f>(Table3[[#This Row],[S&amp;P 500]]-E86)/E86</f>
        <v/>
      </c>
    </row>
    <row r="98">
      <c r="A98" s="6" t="n">
        <v>24228</v>
      </c>
      <c r="B98" s="2" t="n">
        <v>44.3</v>
      </c>
      <c r="C98" s="4">
        <f>(Table3[[#This Row],[Conference Board Leading Indicator]]-B86)/B86</f>
        <v/>
      </c>
      <c r="E98" s="2" t="n">
        <v>86.129997</v>
      </c>
      <c r="F98" s="4">
        <f>(Table3[[#This Row],[S&amp;P 500]]-E87)/E87</f>
        <v/>
      </c>
    </row>
    <row r="99">
      <c r="A99" s="6" t="n">
        <v>24259</v>
      </c>
      <c r="B99" s="2" t="n">
        <v>44.2</v>
      </c>
      <c r="C99" s="4">
        <f>(Table3[[#This Row],[Conference Board Leading Indicator]]-B87)/B87</f>
        <v/>
      </c>
      <c r="E99" s="2" t="n">
        <v>84.739998</v>
      </c>
      <c r="F99" s="4">
        <f>(Table3[[#This Row],[S&amp;P 500]]-E88)/E88</f>
        <v/>
      </c>
    </row>
    <row r="100">
      <c r="A100" s="6" t="n">
        <v>24289</v>
      </c>
      <c r="B100" s="2" t="n">
        <v>44.1</v>
      </c>
      <c r="C100" s="4">
        <f>(Table3[[#This Row],[Conference Board Leading Indicator]]-B88)/B88</f>
        <v/>
      </c>
      <c r="D100" s="3" t="n">
        <v>0.06042896625657584</v>
      </c>
      <c r="E100" s="2" t="n">
        <v>83.599998</v>
      </c>
      <c r="F100" s="4">
        <f>(Table3[[#This Row],[S&amp;P 500]]-E89)/E89</f>
        <v/>
      </c>
    </row>
    <row r="101">
      <c r="A101" s="6" t="n">
        <v>24320</v>
      </c>
      <c r="B101" s="2" t="n">
        <v>44</v>
      </c>
      <c r="C101" s="4">
        <f>(Table3[[#This Row],[Conference Board Leading Indicator]]-B89)/B89</f>
        <v/>
      </c>
      <c r="E101" s="2" t="n">
        <v>77.099998</v>
      </c>
      <c r="F101" s="4">
        <f>(Table3[[#This Row],[S&amp;P 500]]-E90)/E90</f>
        <v/>
      </c>
    </row>
    <row r="102">
      <c r="A102" s="6" t="n">
        <v>24351</v>
      </c>
      <c r="B102" s="2" t="n">
        <v>43.9</v>
      </c>
      <c r="C102" s="4">
        <f>(Table3[[#This Row],[Conference Board Leading Indicator]]-B90)/B90</f>
        <v/>
      </c>
      <c r="E102" s="2" t="n">
        <v>76.55999799999999</v>
      </c>
      <c r="F102" s="4">
        <f>(Table3[[#This Row],[S&amp;P 500]]-E91)/E91</f>
        <v/>
      </c>
    </row>
    <row r="103">
      <c r="A103" s="6" t="n">
        <v>24381</v>
      </c>
      <c r="B103" s="2" t="n">
        <v>43.8</v>
      </c>
      <c r="C103" s="4">
        <f>(Table3[[#This Row],[Conference Board Leading Indicator]]-B91)/B91</f>
        <v/>
      </c>
      <c r="D103" s="3" t="n">
        <v>0.04505002704572997</v>
      </c>
      <c r="E103" s="2" t="n">
        <v>80.199997</v>
      </c>
      <c r="F103" s="4">
        <f>(Table3[[#This Row],[S&amp;P 500]]-E92)/E92</f>
        <v/>
      </c>
    </row>
    <row r="104">
      <c r="A104" s="6" t="n">
        <v>24412</v>
      </c>
      <c r="B104" s="2" t="n">
        <v>43.8</v>
      </c>
      <c r="C104" s="4">
        <f>(Table3[[#This Row],[Conference Board Leading Indicator]]-B92)/B92</f>
        <v/>
      </c>
      <c r="E104" s="2" t="n">
        <v>80.449997</v>
      </c>
      <c r="F104" s="4">
        <f>(Table3[[#This Row],[S&amp;P 500]]-E93)/E93</f>
        <v/>
      </c>
    </row>
    <row r="105">
      <c r="A105" s="6" t="n">
        <v>24442</v>
      </c>
      <c r="B105" s="2" t="n">
        <v>43.7</v>
      </c>
      <c r="C105" s="4">
        <f>(Table3[[#This Row],[Conference Board Leading Indicator]]-B93)/B93</f>
        <v/>
      </c>
      <c r="E105" s="2" t="n">
        <v>80.33000199999999</v>
      </c>
      <c r="F105" s="4">
        <f>(Table3[[#This Row],[S&amp;P 500]]-E94)/E94</f>
        <v/>
      </c>
    </row>
    <row r="106">
      <c r="A106" s="6" t="n">
        <v>24473</v>
      </c>
      <c r="B106" s="2" t="n">
        <v>44</v>
      </c>
      <c r="C106" s="4">
        <f>(Table3[[#This Row],[Conference Board Leading Indicator]]-B94)/B94</f>
        <v/>
      </c>
      <c r="D106" s="3" t="n">
        <v>0.02925050599168132</v>
      </c>
      <c r="E106" s="2" t="n">
        <v>86.610001</v>
      </c>
      <c r="F106" s="4">
        <f>(Table3[[#This Row],[S&amp;P 500]]-E95)/E95</f>
        <v/>
      </c>
    </row>
    <row r="107">
      <c r="A107" s="6" t="n">
        <v>24504</v>
      </c>
      <c r="B107" s="2" t="n">
        <v>43.7</v>
      </c>
      <c r="C107" s="4">
        <f>(Table3[[#This Row],[Conference Board Leading Indicator]]-B95)/B95</f>
        <v/>
      </c>
      <c r="E107" s="2" t="n">
        <v>86.779999</v>
      </c>
      <c r="F107" s="4">
        <f>(Table3[[#This Row],[S&amp;P 500]]-E96)/E96</f>
        <v/>
      </c>
    </row>
    <row r="108">
      <c r="A108" s="6" t="n">
        <v>24532</v>
      </c>
      <c r="B108" s="2" t="n">
        <v>44</v>
      </c>
      <c r="C108" s="4">
        <f>(Table3[[#This Row],[Conference Board Leading Indicator]]-B96)/B96</f>
        <v/>
      </c>
      <c r="E108" s="2" t="n">
        <v>90.199997</v>
      </c>
      <c r="F108" s="4">
        <f>(Table3[[#This Row],[S&amp;P 500]]-E97)/E97</f>
        <v/>
      </c>
    </row>
    <row r="109">
      <c r="A109" s="6" t="n">
        <v>24563</v>
      </c>
      <c r="B109" s="2" t="n">
        <v>44.1</v>
      </c>
      <c r="C109" s="4">
        <f>(Table3[[#This Row],[Conference Board Leading Indicator]]-B97)/B97</f>
        <v/>
      </c>
      <c r="D109" s="3" t="n">
        <v>0.02637486948032069</v>
      </c>
      <c r="E109" s="2" t="n">
        <v>94.010002</v>
      </c>
      <c r="F109" s="4">
        <f>(Table3[[#This Row],[S&amp;P 500]]-E98)/E98</f>
        <v/>
      </c>
    </row>
    <row r="110">
      <c r="A110" s="6" t="n">
        <v>24593</v>
      </c>
      <c r="B110" s="2" t="n">
        <v>44.5</v>
      </c>
      <c r="C110" s="4">
        <f>(Table3[[#This Row],[Conference Board Leading Indicator]]-B98)/B98</f>
        <v/>
      </c>
      <c r="E110" s="2" t="n">
        <v>89.08000199999999</v>
      </c>
      <c r="F110" s="4">
        <f>(Table3[[#This Row],[S&amp;P 500]]-E99)/E99</f>
        <v/>
      </c>
    </row>
    <row r="111">
      <c r="A111" s="6" t="n">
        <v>24624</v>
      </c>
      <c r="B111" s="2" t="n">
        <v>44.8</v>
      </c>
      <c r="C111" s="4">
        <f>(Table3[[#This Row],[Conference Board Leading Indicator]]-B99)/B99</f>
        <v/>
      </c>
      <c r="E111" s="2" t="n">
        <v>90.639999</v>
      </c>
      <c r="F111" s="4">
        <f>(Table3[[#This Row],[S&amp;P 500]]-E100)/E100</f>
        <v/>
      </c>
    </row>
    <row r="112">
      <c r="A112" s="6" t="n">
        <v>24654</v>
      </c>
      <c r="B112" s="2" t="n">
        <v>45</v>
      </c>
      <c r="C112" s="4">
        <f>(Table3[[#This Row],[Conference Board Leading Indicator]]-B100)/B100</f>
        <v/>
      </c>
      <c r="D112" s="3" t="n">
        <v>0.02738476339339287</v>
      </c>
      <c r="E112" s="2" t="n">
        <v>94.75</v>
      </c>
      <c r="F112" s="4">
        <f>(Table3[[#This Row],[S&amp;P 500]]-E101)/E101</f>
        <v/>
      </c>
    </row>
    <row r="113">
      <c r="A113" s="6" t="n">
        <v>24685</v>
      </c>
      <c r="B113" s="2" t="n">
        <v>45.5</v>
      </c>
      <c r="C113" s="4">
        <f>(Table3[[#This Row],[Conference Board Leading Indicator]]-B101)/B101</f>
        <v/>
      </c>
      <c r="E113" s="2" t="n">
        <v>93.639999</v>
      </c>
      <c r="F113" s="4">
        <f>(Table3[[#This Row],[S&amp;P 500]]-E102)/E102</f>
        <v/>
      </c>
    </row>
    <row r="114">
      <c r="A114" s="6" t="n">
        <v>24716</v>
      </c>
      <c r="B114" s="2" t="n">
        <v>45.7</v>
      </c>
      <c r="C114" s="4">
        <f>(Table3[[#This Row],[Conference Board Leading Indicator]]-B102)/B102</f>
        <v/>
      </c>
      <c r="E114" s="2" t="n">
        <v>96.709999</v>
      </c>
      <c r="F114" s="4">
        <f>(Table3[[#This Row],[S&amp;P 500]]-E103)/E103</f>
        <v/>
      </c>
    </row>
    <row r="115">
      <c r="A115" s="6" t="n">
        <v>24746</v>
      </c>
      <c r="B115" s="2" t="n">
        <v>45.8</v>
      </c>
      <c r="C115" s="4">
        <f>(Table3[[#This Row],[Conference Board Leading Indicator]]-B103)/B103</f>
        <v/>
      </c>
      <c r="D115" s="3" t="n">
        <v>0.02670862011171818</v>
      </c>
      <c r="E115" s="2" t="n">
        <v>93.300003</v>
      </c>
      <c r="F115" s="4">
        <f>(Table3[[#This Row],[S&amp;P 500]]-E104)/E104</f>
        <v/>
      </c>
    </row>
    <row r="116">
      <c r="A116" s="6" t="n">
        <v>24777</v>
      </c>
      <c r="B116" s="2" t="n">
        <v>46.1</v>
      </c>
      <c r="C116" s="4">
        <f>(Table3[[#This Row],[Conference Board Leading Indicator]]-B104)/B104</f>
        <v/>
      </c>
      <c r="E116" s="2" t="n">
        <v>94</v>
      </c>
      <c r="F116" s="4">
        <f>(Table3[[#This Row],[S&amp;P 500]]-E105)/E105</f>
        <v/>
      </c>
    </row>
    <row r="117">
      <c r="A117" s="6" t="n">
        <v>24807</v>
      </c>
      <c r="B117" s="2" t="n">
        <v>46.5</v>
      </c>
      <c r="C117" s="4">
        <f>(Table3[[#This Row],[Conference Board Leading Indicator]]-B105)/B105</f>
        <v/>
      </c>
      <c r="E117" s="2" t="n">
        <v>96.470001</v>
      </c>
      <c r="F117" s="4">
        <f>(Table3[[#This Row],[S&amp;P 500]]-E106)/E106</f>
        <v/>
      </c>
    </row>
    <row r="118">
      <c r="A118" s="6" t="n">
        <v>24838</v>
      </c>
      <c r="B118" s="2" t="n">
        <v>46.6</v>
      </c>
      <c r="C118" s="4">
        <f>(Table3[[#This Row],[Conference Board Leading Indicator]]-B106)/B106</f>
        <v/>
      </c>
      <c r="D118" s="3" t="n">
        <v>0.03845187981015043</v>
      </c>
      <c r="E118" s="2" t="n">
        <v>92.239998</v>
      </c>
      <c r="F118" s="4">
        <f>(Table3[[#This Row],[S&amp;P 500]]-E107)/E107</f>
        <v/>
      </c>
    </row>
    <row r="119">
      <c r="A119" s="6" t="n">
        <v>24869</v>
      </c>
      <c r="B119" s="2" t="n">
        <v>46.8</v>
      </c>
      <c r="C119" s="4">
        <f>(Table3[[#This Row],[Conference Board Leading Indicator]]-B107)/B107</f>
        <v/>
      </c>
      <c r="E119" s="2" t="n">
        <v>89.360001</v>
      </c>
      <c r="F119" s="4">
        <f>(Table3[[#This Row],[S&amp;P 500]]-E108)/E108</f>
        <v/>
      </c>
    </row>
    <row r="120">
      <c r="A120" s="6" t="n">
        <v>24898</v>
      </c>
      <c r="B120" s="2" t="n">
        <v>46.9</v>
      </c>
      <c r="C120" s="4">
        <f>(Table3[[#This Row],[Conference Board Leading Indicator]]-B108)/B108</f>
        <v/>
      </c>
      <c r="E120" s="2" t="n">
        <v>90.199997</v>
      </c>
      <c r="F120" s="4">
        <f>(Table3[[#This Row],[S&amp;P 500]]-E109)/E109</f>
        <v/>
      </c>
    </row>
    <row r="121">
      <c r="A121" s="6" t="n">
        <v>24929</v>
      </c>
      <c r="B121" s="2" t="n">
        <v>47</v>
      </c>
      <c r="C121" s="4">
        <f>(Table3[[#This Row],[Conference Board Leading Indicator]]-B109)/B109</f>
        <v/>
      </c>
      <c r="D121" s="3" t="n">
        <v>0.05515592602630465</v>
      </c>
      <c r="E121" s="2" t="n">
        <v>97.459999</v>
      </c>
      <c r="F121" s="4">
        <f>(Table3[[#This Row],[S&amp;P 500]]-E110)/E110</f>
        <v/>
      </c>
    </row>
    <row r="122">
      <c r="A122" s="6" t="n">
        <v>24959</v>
      </c>
      <c r="B122" s="2" t="n">
        <v>47.3</v>
      </c>
      <c r="C122" s="4">
        <f>(Table3[[#This Row],[Conference Board Leading Indicator]]-B110)/B110</f>
        <v/>
      </c>
      <c r="E122" s="2" t="n">
        <v>98.68000000000001</v>
      </c>
      <c r="F122" s="4">
        <f>(Table3[[#This Row],[S&amp;P 500]]-E111)/E111</f>
        <v/>
      </c>
    </row>
    <row r="123">
      <c r="A123" s="6" t="n">
        <v>24990</v>
      </c>
      <c r="B123" s="2" t="n">
        <v>47.5</v>
      </c>
      <c r="C123" s="4">
        <f>(Table3[[#This Row],[Conference Board Leading Indicator]]-B111)/B111</f>
        <v/>
      </c>
      <c r="E123" s="2" t="n">
        <v>99.58000199999999</v>
      </c>
      <c r="F123" s="4">
        <f>(Table3[[#This Row],[S&amp;P 500]]-E112)/E112</f>
        <v/>
      </c>
    </row>
    <row r="124">
      <c r="A124" s="6" t="n">
        <v>25020</v>
      </c>
      <c r="B124" s="2" t="n">
        <v>47.6</v>
      </c>
      <c r="C124" s="4">
        <f>(Table3[[#This Row],[Conference Board Leading Indicator]]-B112)/B112</f>
        <v/>
      </c>
      <c r="D124" s="3" t="n">
        <v>0.05336684340654598</v>
      </c>
      <c r="E124" s="2" t="n">
        <v>97.739998</v>
      </c>
      <c r="F124" s="4">
        <f>(Table3[[#This Row],[S&amp;P 500]]-E113)/E113</f>
        <v/>
      </c>
    </row>
    <row r="125">
      <c r="A125" s="6" t="n">
        <v>25051</v>
      </c>
      <c r="B125" s="2" t="n">
        <v>47.5</v>
      </c>
      <c r="C125" s="4">
        <f>(Table3[[#This Row],[Conference Board Leading Indicator]]-B113)/B113</f>
        <v/>
      </c>
      <c r="E125" s="2" t="n">
        <v>98.860001</v>
      </c>
      <c r="F125" s="4">
        <f>(Table3[[#This Row],[S&amp;P 500]]-E114)/E114</f>
        <v/>
      </c>
    </row>
    <row r="126">
      <c r="A126" s="6" t="n">
        <v>25082</v>
      </c>
      <c r="B126" s="2" t="n">
        <v>48</v>
      </c>
      <c r="C126" s="4">
        <f>(Table3[[#This Row],[Conference Board Leading Indicator]]-B114)/B114</f>
        <v/>
      </c>
      <c r="E126" s="2" t="n">
        <v>102.669998</v>
      </c>
      <c r="F126" s="4">
        <f>(Table3[[#This Row],[S&amp;P 500]]-E115)/E115</f>
        <v/>
      </c>
    </row>
    <row r="127">
      <c r="A127" s="6" t="n">
        <v>25112</v>
      </c>
      <c r="B127" s="2" t="n">
        <v>48.3</v>
      </c>
      <c r="C127" s="4">
        <f>(Table3[[#This Row],[Conference Board Leading Indicator]]-B115)/B115</f>
        <v/>
      </c>
      <c r="D127" s="3" t="n">
        <v>0.0495956002065058</v>
      </c>
      <c r="E127" s="2" t="n">
        <v>103.410004</v>
      </c>
      <c r="F127" s="4">
        <f>(Table3[[#This Row],[S&amp;P 500]]-E116)/E116</f>
        <v/>
      </c>
    </row>
    <row r="128">
      <c r="A128" s="6" t="n">
        <v>25143</v>
      </c>
      <c r="B128" s="2" t="n">
        <v>48.4</v>
      </c>
      <c r="C128" s="4">
        <f>(Table3[[#This Row],[Conference Board Leading Indicator]]-B116)/B116</f>
        <v/>
      </c>
      <c r="E128" s="2" t="n">
        <v>108.370003</v>
      </c>
      <c r="F128" s="4">
        <f>(Table3[[#This Row],[S&amp;P 500]]-E117)/E117</f>
        <v/>
      </c>
    </row>
    <row r="129">
      <c r="A129" s="6" t="n">
        <v>25173</v>
      </c>
      <c r="B129" s="2" t="n">
        <v>48.4</v>
      </c>
      <c r="C129" s="4">
        <f>(Table3[[#This Row],[Conference Board Leading Indicator]]-B117)/B117</f>
        <v/>
      </c>
      <c r="E129" s="2" t="n">
        <v>103.860001</v>
      </c>
      <c r="F129" s="4">
        <f>(Table3[[#This Row],[S&amp;P 500]]-E118)/E118</f>
        <v/>
      </c>
    </row>
    <row r="130">
      <c r="A130" s="6" t="n">
        <v>25204</v>
      </c>
      <c r="B130" s="2" t="n">
        <v>48.5</v>
      </c>
      <c r="C130" s="4">
        <f>(Table3[[#This Row],[Conference Board Leading Indicator]]-B118)/B118</f>
        <v/>
      </c>
      <c r="D130" s="3" t="n">
        <v>0.04471599002376419</v>
      </c>
      <c r="E130" s="2" t="n">
        <v>103.010002</v>
      </c>
      <c r="F130" s="4">
        <f>(Table3[[#This Row],[S&amp;P 500]]-E119)/E119</f>
        <v/>
      </c>
    </row>
    <row r="131">
      <c r="A131" s="6" t="n">
        <v>25235</v>
      </c>
      <c r="B131" s="2" t="n">
        <v>48.7</v>
      </c>
      <c r="C131" s="4">
        <f>(Table3[[#This Row],[Conference Board Leading Indicator]]-B119)/B119</f>
        <v/>
      </c>
      <c r="E131" s="2" t="n">
        <v>98.129997</v>
      </c>
      <c r="F131" s="4">
        <f>(Table3[[#This Row],[S&amp;P 500]]-E120)/E120</f>
        <v/>
      </c>
    </row>
    <row r="132">
      <c r="A132" s="6" t="n">
        <v>25263</v>
      </c>
      <c r="B132" s="2" t="n">
        <v>48.8</v>
      </c>
      <c r="C132" s="4">
        <f>(Table3[[#This Row],[Conference Board Leading Indicator]]-B120)/B120</f>
        <v/>
      </c>
      <c r="E132" s="2" t="n">
        <v>101.510002</v>
      </c>
      <c r="F132" s="4">
        <f>(Table3[[#This Row],[S&amp;P 500]]-E121)/E121</f>
        <v/>
      </c>
    </row>
    <row r="133">
      <c r="A133" s="6" t="n">
        <v>25294</v>
      </c>
      <c r="B133" s="2" t="n">
        <v>49.1</v>
      </c>
      <c r="C133" s="4">
        <f>(Table3[[#This Row],[Conference Board Leading Indicator]]-B121)/B121</f>
        <v/>
      </c>
      <c r="D133" s="3" t="n">
        <v>0.0306714490482571</v>
      </c>
      <c r="E133" s="2" t="n">
        <v>103.690002</v>
      </c>
      <c r="F133" s="4">
        <f>(Table3[[#This Row],[S&amp;P 500]]-E122)/E122</f>
        <v/>
      </c>
    </row>
    <row r="134">
      <c r="A134" s="6" t="n">
        <v>25324</v>
      </c>
      <c r="B134" s="2" t="n">
        <v>48.8</v>
      </c>
      <c r="C134" s="4">
        <f>(Table3[[#This Row],[Conference Board Leading Indicator]]-B122)/B122</f>
        <v/>
      </c>
      <c r="E134" s="2" t="n">
        <v>103.459999</v>
      </c>
      <c r="F134" s="4">
        <f>(Table3[[#This Row],[S&amp;P 500]]-E123)/E123</f>
        <v/>
      </c>
    </row>
    <row r="135">
      <c r="A135" s="6" t="n">
        <v>25355</v>
      </c>
      <c r="B135" s="2" t="n">
        <v>48.5</v>
      </c>
      <c r="C135" s="4">
        <f>(Table3[[#This Row],[Conference Board Leading Indicator]]-B123)/B123</f>
        <v/>
      </c>
      <c r="E135" s="2" t="n">
        <v>97.709999</v>
      </c>
      <c r="F135" s="4">
        <f>(Table3[[#This Row],[S&amp;P 500]]-E124)/E124</f>
        <v/>
      </c>
    </row>
    <row r="136">
      <c r="A136" s="6" t="n">
        <v>25385</v>
      </c>
      <c r="B136" s="2" t="n">
        <v>48.2</v>
      </c>
      <c r="C136" s="4">
        <f>(Table3[[#This Row],[Conference Board Leading Indicator]]-B124)/B124</f>
        <v/>
      </c>
      <c r="D136" s="3" t="n">
        <v>0.02950081426930541</v>
      </c>
      <c r="E136" s="2" t="n">
        <v>91.83000199999999</v>
      </c>
      <c r="F136" s="4">
        <f>(Table3[[#This Row],[S&amp;P 500]]-E125)/E125</f>
        <v/>
      </c>
    </row>
    <row r="137">
      <c r="A137" s="6" t="n">
        <v>25416</v>
      </c>
      <c r="B137" s="2" t="n">
        <v>48.1</v>
      </c>
      <c r="C137" s="4">
        <f>(Table3[[#This Row],[Conference Board Leading Indicator]]-B125)/B125</f>
        <v/>
      </c>
      <c r="E137" s="2" t="n">
        <v>95.510002</v>
      </c>
      <c r="F137" s="4">
        <f>(Table3[[#This Row],[S&amp;P 500]]-E126)/E126</f>
        <v/>
      </c>
    </row>
    <row r="138">
      <c r="A138" s="6" t="n">
        <v>25447</v>
      </c>
      <c r="B138" s="2" t="n">
        <v>48.2</v>
      </c>
      <c r="C138" s="4">
        <f>(Table3[[#This Row],[Conference Board Leading Indicator]]-B126)/B126</f>
        <v/>
      </c>
      <c r="E138" s="2" t="n">
        <v>93.120003</v>
      </c>
      <c r="F138" s="4">
        <f>(Table3[[#This Row],[S&amp;P 500]]-E127)/E127</f>
        <v/>
      </c>
    </row>
    <row r="139">
      <c r="A139" s="6" t="n">
        <v>25477</v>
      </c>
      <c r="B139" s="2" t="n">
        <v>47.9</v>
      </c>
      <c r="C139" s="4">
        <f>(Table3[[#This Row],[Conference Board Leading Indicator]]-B127)/B127</f>
        <v/>
      </c>
      <c r="D139" s="3" t="n">
        <v>0.02046656823768431</v>
      </c>
      <c r="E139" s="2" t="n">
        <v>97.120003</v>
      </c>
      <c r="F139" s="4">
        <f>(Table3[[#This Row],[S&amp;P 500]]-E128)/E128</f>
        <v/>
      </c>
    </row>
    <row r="140">
      <c r="A140" s="6" t="n">
        <v>25508</v>
      </c>
      <c r="B140" s="2" t="n">
        <v>47.7</v>
      </c>
      <c r="C140" s="4">
        <f>(Table3[[#This Row],[Conference Board Leading Indicator]]-B128)/B128</f>
        <v/>
      </c>
      <c r="E140" s="2" t="n">
        <v>93.80999799999999</v>
      </c>
      <c r="F140" s="4">
        <f>(Table3[[#This Row],[S&amp;P 500]]-E129)/E129</f>
        <v/>
      </c>
    </row>
    <row r="141">
      <c r="A141" s="6" t="n">
        <v>25538</v>
      </c>
      <c r="B141" s="2" t="n">
        <v>47.4</v>
      </c>
      <c r="C141" s="4">
        <f>(Table3[[#This Row],[Conference Board Leading Indicator]]-B129)/B129</f>
        <v/>
      </c>
      <c r="E141" s="2" t="n">
        <v>92.05999799999999</v>
      </c>
      <c r="F141" s="4">
        <f>(Table3[[#This Row],[S&amp;P 500]]-E130)/E130</f>
        <v/>
      </c>
    </row>
    <row r="142">
      <c r="A142" s="6" t="n">
        <v>25569</v>
      </c>
      <c r="B142" s="2" t="n">
        <v>46.9</v>
      </c>
      <c r="C142" s="4">
        <f>(Table3[[#This Row],[Conference Board Leading Indicator]]-B130)/B130</f>
        <v/>
      </c>
      <c r="D142" s="3" t="n">
        <v>0.003249397177786164</v>
      </c>
      <c r="E142" s="2" t="n">
        <v>85.019997</v>
      </c>
      <c r="F142" s="4">
        <f>(Table3[[#This Row],[S&amp;P 500]]-E131)/E131</f>
        <v/>
      </c>
    </row>
    <row r="143">
      <c r="A143" s="6" t="n">
        <v>25600</v>
      </c>
      <c r="B143" s="2" t="n">
        <v>46.5</v>
      </c>
      <c r="C143" s="4">
        <f>(Table3[[#This Row],[Conference Board Leading Indicator]]-B131)/B131</f>
        <v/>
      </c>
      <c r="E143" s="2" t="n">
        <v>89.5</v>
      </c>
      <c r="F143" s="4">
        <f>(Table3[[#This Row],[S&amp;P 500]]-E132)/E132</f>
        <v/>
      </c>
    </row>
    <row r="144">
      <c r="A144" s="6" t="n">
        <v>25628</v>
      </c>
      <c r="B144" s="2" t="n">
        <v>46.2</v>
      </c>
      <c r="C144" s="4">
        <f>(Table3[[#This Row],[Conference Board Leading Indicator]]-B132)/B132</f>
        <v/>
      </c>
      <c r="E144" s="2" t="n">
        <v>89.629997</v>
      </c>
      <c r="F144" s="4">
        <f>(Table3[[#This Row],[S&amp;P 500]]-E133)/E133</f>
        <v/>
      </c>
    </row>
    <row r="145">
      <c r="A145" s="6" t="n">
        <v>25659</v>
      </c>
      <c r="B145" s="2" t="n">
        <v>45.8</v>
      </c>
      <c r="C145" s="4">
        <f>(Table3[[#This Row],[Conference Board Leading Indicator]]-B133)/B133</f>
        <v/>
      </c>
      <c r="D145" s="3" t="n">
        <v>0.001628182716301533</v>
      </c>
      <c r="E145" s="2" t="n">
        <v>81.519997</v>
      </c>
      <c r="F145" s="4">
        <f>(Table3[[#This Row],[S&amp;P 500]]-E134)/E134</f>
        <v/>
      </c>
    </row>
    <row r="146">
      <c r="A146" s="6" t="n">
        <v>25689</v>
      </c>
      <c r="B146" s="2" t="n">
        <v>45.8</v>
      </c>
      <c r="C146" s="4">
        <f>(Table3[[#This Row],[Conference Board Leading Indicator]]-B134)/B134</f>
        <v/>
      </c>
      <c r="E146" s="2" t="n">
        <v>76.550003</v>
      </c>
      <c r="F146" s="4">
        <f>(Table3[[#This Row],[S&amp;P 500]]-E135)/E135</f>
        <v/>
      </c>
    </row>
    <row r="147">
      <c r="A147" s="6" t="n">
        <v>25720</v>
      </c>
      <c r="B147" s="2" t="n">
        <v>45.8</v>
      </c>
      <c r="C147" s="4">
        <f>(Table3[[#This Row],[Conference Board Leading Indicator]]-B135)/B135</f>
        <v/>
      </c>
      <c r="E147" s="2" t="n">
        <v>72.720001</v>
      </c>
      <c r="F147" s="4">
        <f>(Table3[[#This Row],[S&amp;P 500]]-E136)/E136</f>
        <v/>
      </c>
    </row>
    <row r="148">
      <c r="A148" s="6" t="n">
        <v>25750</v>
      </c>
      <c r="B148" s="2" t="n">
        <v>45.9</v>
      </c>
      <c r="C148" s="4">
        <f>(Table3[[#This Row],[Conference Board Leading Indicator]]-B136)/B136</f>
        <v/>
      </c>
      <c r="D148" s="3" t="n">
        <v>0.004225907196300262</v>
      </c>
      <c r="E148" s="2" t="n">
        <v>78.050003</v>
      </c>
      <c r="F148" s="4">
        <f>(Table3[[#This Row],[S&amp;P 500]]-E137)/E137</f>
        <v/>
      </c>
    </row>
    <row r="149">
      <c r="A149" s="6" t="n">
        <v>25781</v>
      </c>
      <c r="B149" s="2" t="n">
        <v>46</v>
      </c>
      <c r="C149" s="4">
        <f>(Table3[[#This Row],[Conference Board Leading Indicator]]-B137)/B137</f>
        <v/>
      </c>
      <c r="E149" s="2" t="n">
        <v>81.519997</v>
      </c>
      <c r="F149" s="4">
        <f>(Table3[[#This Row],[S&amp;P 500]]-E138)/E138</f>
        <v/>
      </c>
    </row>
    <row r="150">
      <c r="A150" s="6" t="n">
        <v>25812</v>
      </c>
      <c r="B150" s="2" t="n">
        <v>46</v>
      </c>
      <c r="C150" s="4">
        <f>(Table3[[#This Row],[Conference Board Leading Indicator]]-B138)/B138</f>
        <v/>
      </c>
      <c r="E150" s="2" t="n">
        <v>84.300003</v>
      </c>
      <c r="F150" s="4">
        <f>(Table3[[#This Row],[S&amp;P 500]]-E139)/E139</f>
        <v/>
      </c>
    </row>
    <row r="151">
      <c r="A151" s="6" t="n">
        <v>25842</v>
      </c>
      <c r="B151" s="2" t="n">
        <v>45.9</v>
      </c>
      <c r="C151" s="4">
        <f>(Table3[[#This Row],[Conference Board Leading Indicator]]-B139)/B139</f>
        <v/>
      </c>
      <c r="D151" s="3" t="n">
        <v>-0.00166709311509965</v>
      </c>
      <c r="E151" s="2" t="n">
        <v>83.25</v>
      </c>
      <c r="F151" s="4">
        <f>(Table3[[#This Row],[S&amp;P 500]]-E140)/E140</f>
        <v/>
      </c>
    </row>
    <row r="152">
      <c r="A152" s="6" t="n">
        <v>25873</v>
      </c>
      <c r="B152" s="2" t="n">
        <v>45.9</v>
      </c>
      <c r="C152" s="4">
        <f>(Table3[[#This Row],[Conference Board Leading Indicator]]-B140)/B140</f>
        <v/>
      </c>
      <c r="E152" s="2" t="n">
        <v>87.199997</v>
      </c>
      <c r="F152" s="4">
        <f>(Table3[[#This Row],[S&amp;P 500]]-E141)/E141</f>
        <v/>
      </c>
    </row>
    <row r="153">
      <c r="A153" s="6" t="n">
        <v>25903</v>
      </c>
      <c r="B153" s="2" t="n">
        <v>46.5</v>
      </c>
      <c r="C153" s="4">
        <f>(Table3[[#This Row],[Conference Board Leading Indicator]]-B141)/B141</f>
        <v/>
      </c>
      <c r="E153" s="2" t="n">
        <v>92.150002</v>
      </c>
      <c r="F153" s="4">
        <f>(Table3[[#This Row],[S&amp;P 500]]-E142)/E142</f>
        <v/>
      </c>
    </row>
    <row r="154">
      <c r="A154" s="6" t="n">
        <v>25934</v>
      </c>
      <c r="B154" s="2" t="n">
        <v>46.8</v>
      </c>
      <c r="C154" s="4">
        <f>(Table3[[#This Row],[Conference Board Leading Indicator]]-B142)/B142</f>
        <v/>
      </c>
      <c r="D154" s="3" t="n">
        <v>0.02697244294345454</v>
      </c>
      <c r="E154" s="2" t="n">
        <v>95.879997</v>
      </c>
      <c r="F154" s="4">
        <f>(Table3[[#This Row],[S&amp;P 500]]-E143)/E143</f>
        <v/>
      </c>
    </row>
    <row r="155">
      <c r="A155" s="6" t="n">
        <v>25965</v>
      </c>
      <c r="B155" s="2" t="n">
        <v>47.2</v>
      </c>
      <c r="C155" s="4">
        <f>(Table3[[#This Row],[Conference Board Leading Indicator]]-B143)/B143</f>
        <v/>
      </c>
      <c r="E155" s="2" t="n">
        <v>96.75</v>
      </c>
      <c r="F155" s="4">
        <f>(Table3[[#This Row],[S&amp;P 500]]-E144)/E144</f>
        <v/>
      </c>
    </row>
    <row r="156">
      <c r="A156" s="6" t="n">
        <v>25993</v>
      </c>
      <c r="B156" s="2" t="n">
        <v>47.6</v>
      </c>
      <c r="C156" s="4">
        <f>(Table3[[#This Row],[Conference Board Leading Indicator]]-B144)/B144</f>
        <v/>
      </c>
      <c r="E156" s="2" t="n">
        <v>100.309998</v>
      </c>
      <c r="F156" s="4">
        <f>(Table3[[#This Row],[S&amp;P 500]]-E145)/E145</f>
        <v/>
      </c>
    </row>
    <row r="157">
      <c r="A157" s="6" t="n">
        <v>26024</v>
      </c>
      <c r="B157" s="2" t="n">
        <v>47.8</v>
      </c>
      <c r="C157" s="4">
        <f>(Table3[[#This Row],[Conference Board Leading Indicator]]-B145)/B145</f>
        <v/>
      </c>
      <c r="D157" s="3" t="n">
        <v>0.03106622704102268</v>
      </c>
      <c r="E157" s="2" t="n">
        <v>103.949997</v>
      </c>
      <c r="F157" s="4">
        <f>(Table3[[#This Row],[S&amp;P 500]]-E146)/E146</f>
        <v/>
      </c>
    </row>
    <row r="158">
      <c r="A158" s="6" t="n">
        <v>26054</v>
      </c>
      <c r="B158" s="2" t="n">
        <v>48.1</v>
      </c>
      <c r="C158" s="4">
        <f>(Table3[[#This Row],[Conference Board Leading Indicator]]-B146)/B146</f>
        <v/>
      </c>
      <c r="E158" s="2" t="n">
        <v>99.629997</v>
      </c>
      <c r="F158" s="4">
        <f>(Table3[[#This Row],[S&amp;P 500]]-E147)/E147</f>
        <v/>
      </c>
    </row>
    <row r="159">
      <c r="A159" s="6" t="n">
        <v>26085</v>
      </c>
      <c r="B159" s="2" t="n">
        <v>48.2</v>
      </c>
      <c r="C159" s="4">
        <f>(Table3[[#This Row],[Conference Board Leading Indicator]]-B147)/B147</f>
        <v/>
      </c>
      <c r="E159" s="2" t="n">
        <v>98.699997</v>
      </c>
      <c r="F159" s="4">
        <f>(Table3[[#This Row],[S&amp;P 500]]-E148)/E148</f>
        <v/>
      </c>
    </row>
    <row r="160">
      <c r="A160" s="6" t="n">
        <v>26115</v>
      </c>
      <c r="B160" s="2" t="n">
        <v>48.4</v>
      </c>
      <c r="C160" s="4">
        <f>(Table3[[#This Row],[Conference Board Leading Indicator]]-B148)/B148</f>
        <v/>
      </c>
      <c r="D160" s="3" t="n">
        <v>0.03005897386713874</v>
      </c>
      <c r="E160" s="2" t="n">
        <v>95.58000199999999</v>
      </c>
      <c r="F160" s="4">
        <f>(Table3[[#This Row],[S&amp;P 500]]-E149)/E149</f>
        <v/>
      </c>
    </row>
    <row r="161">
      <c r="A161" s="6" t="n">
        <v>26146</v>
      </c>
      <c r="B161" s="2" t="n">
        <v>48.5</v>
      </c>
      <c r="C161" s="4">
        <f>(Table3[[#This Row],[Conference Board Leading Indicator]]-B149)/B149</f>
        <v/>
      </c>
      <c r="E161" s="2" t="n">
        <v>99.029999</v>
      </c>
      <c r="F161" s="4">
        <f>(Table3[[#This Row],[S&amp;P 500]]-E150)/E150</f>
        <v/>
      </c>
    </row>
    <row r="162">
      <c r="A162" s="6" t="n">
        <v>26177</v>
      </c>
      <c r="B162" s="2" t="n">
        <v>48.7</v>
      </c>
      <c r="C162" s="4">
        <f>(Table3[[#This Row],[Conference Board Leading Indicator]]-B150)/B150</f>
        <v/>
      </c>
      <c r="E162" s="2" t="n">
        <v>98.339996</v>
      </c>
      <c r="F162" s="4">
        <f>(Table3[[#This Row],[S&amp;P 500]]-E151)/E151</f>
        <v/>
      </c>
    </row>
    <row r="163">
      <c r="A163" s="6" t="n">
        <v>26207</v>
      </c>
      <c r="B163" s="2" t="n">
        <v>49</v>
      </c>
      <c r="C163" s="4">
        <f>(Table3[[#This Row],[Conference Board Leading Indicator]]-B151)/B151</f>
        <v/>
      </c>
      <c r="D163" s="3" t="n">
        <v>0.04367208414299667</v>
      </c>
      <c r="E163" s="2" t="n">
        <v>94.230003</v>
      </c>
      <c r="F163" s="4">
        <f>(Table3[[#This Row],[S&amp;P 500]]-E152)/E152</f>
        <v/>
      </c>
    </row>
    <row r="164">
      <c r="A164" s="6" t="n">
        <v>26238</v>
      </c>
      <c r="B164" s="2" t="n">
        <v>49.2</v>
      </c>
      <c r="C164" s="4">
        <f>(Table3[[#This Row],[Conference Board Leading Indicator]]-B152)/B152</f>
        <v/>
      </c>
      <c r="E164" s="2" t="n">
        <v>93.989998</v>
      </c>
      <c r="F164" s="4">
        <f>(Table3[[#This Row],[S&amp;P 500]]-E153)/E153</f>
        <v/>
      </c>
    </row>
    <row r="165">
      <c r="A165" s="6" t="n">
        <v>26268</v>
      </c>
      <c r="B165" s="2" t="n">
        <v>49.7</v>
      </c>
      <c r="C165" s="4">
        <f>(Table3[[#This Row],[Conference Board Leading Indicator]]-B153)/B153</f>
        <v/>
      </c>
      <c r="E165" s="2" t="n">
        <v>102.089996</v>
      </c>
      <c r="F165" s="4">
        <f>(Table3[[#This Row],[S&amp;P 500]]-E154)/E154</f>
        <v/>
      </c>
    </row>
    <row r="166">
      <c r="A166" s="6" t="n">
        <v>26299</v>
      </c>
      <c r="B166" s="2" t="n">
        <v>50.2</v>
      </c>
      <c r="C166" s="4">
        <f>(Table3[[#This Row],[Conference Board Leading Indicator]]-B154)/B154</f>
        <v/>
      </c>
      <c r="D166" s="3" t="n">
        <v>0.034760715822844</v>
      </c>
      <c r="E166" s="2" t="n">
        <v>103.940002</v>
      </c>
      <c r="F166" s="4">
        <f>(Table3[[#This Row],[S&amp;P 500]]-E155)/E155</f>
        <v/>
      </c>
    </row>
    <row r="167">
      <c r="A167" s="6" t="n">
        <v>26330</v>
      </c>
      <c r="B167" s="2" t="n">
        <v>50.8</v>
      </c>
      <c r="C167" s="4">
        <f>(Table3[[#This Row],[Conference Board Leading Indicator]]-B155)/B155</f>
        <v/>
      </c>
      <c r="E167" s="2" t="n">
        <v>106.57</v>
      </c>
      <c r="F167" s="4">
        <f>(Table3[[#This Row],[S&amp;P 500]]-E156)/E156</f>
        <v/>
      </c>
    </row>
    <row r="168">
      <c r="A168" s="6" t="n">
        <v>26359</v>
      </c>
      <c r="B168" s="2" t="n">
        <v>51.2</v>
      </c>
      <c r="C168" s="4">
        <f>(Table3[[#This Row],[Conference Board Leading Indicator]]-B156)/B156</f>
        <v/>
      </c>
      <c r="E168" s="2" t="n">
        <v>107.199997</v>
      </c>
      <c r="F168" s="4">
        <f>(Table3[[#This Row],[S&amp;P 500]]-E157)/E157</f>
        <v/>
      </c>
    </row>
    <row r="169">
      <c r="A169" s="6" t="n">
        <v>26390</v>
      </c>
      <c r="B169" s="2" t="n">
        <v>51.5</v>
      </c>
      <c r="C169" s="4">
        <f>(Table3[[#This Row],[Conference Board Leading Indicator]]-B157)/B157</f>
        <v/>
      </c>
      <c r="D169" s="3" t="n">
        <v>0.05255181346387874</v>
      </c>
      <c r="E169" s="2" t="n">
        <v>107.669998</v>
      </c>
      <c r="F169" s="4">
        <f>(Table3[[#This Row],[S&amp;P 500]]-E158)/E158</f>
        <v/>
      </c>
    </row>
    <row r="170">
      <c r="A170" s="6" t="n">
        <v>26420</v>
      </c>
      <c r="B170" s="2" t="n">
        <v>51.7</v>
      </c>
      <c r="C170" s="4">
        <f>(Table3[[#This Row],[Conference Board Leading Indicator]]-B158)/B158</f>
        <v/>
      </c>
      <c r="E170" s="2" t="n">
        <v>109.529999</v>
      </c>
      <c r="F170" s="4">
        <f>(Table3[[#This Row],[S&amp;P 500]]-E159)/E159</f>
        <v/>
      </c>
    </row>
    <row r="171">
      <c r="A171" s="6" t="n">
        <v>26451</v>
      </c>
      <c r="B171" s="2" t="n">
        <v>52.1</v>
      </c>
      <c r="C171" s="4">
        <f>(Table3[[#This Row],[Conference Board Leading Indicator]]-B159)/B159</f>
        <v/>
      </c>
      <c r="E171" s="2" t="n">
        <v>107.139999</v>
      </c>
      <c r="F171" s="4">
        <f>(Table3[[#This Row],[S&amp;P 500]]-E160)/E160</f>
        <v/>
      </c>
    </row>
    <row r="172">
      <c r="A172" s="6" t="n">
        <v>26481</v>
      </c>
      <c r="B172" s="2" t="n">
        <v>52.4</v>
      </c>
      <c r="C172" s="4">
        <f>(Table3[[#This Row],[Conference Board Leading Indicator]]-B160)/B160</f>
        <v/>
      </c>
      <c r="D172" s="3" t="n">
        <v>0.05381924715632706</v>
      </c>
      <c r="E172" s="2" t="n">
        <v>107.389999</v>
      </c>
      <c r="F172" s="4">
        <f>(Table3[[#This Row],[S&amp;P 500]]-E161)/E161</f>
        <v/>
      </c>
    </row>
    <row r="173">
      <c r="A173" s="6" t="n">
        <v>26512</v>
      </c>
      <c r="B173" s="2" t="n">
        <v>53.1</v>
      </c>
      <c r="C173" s="4">
        <f>(Table3[[#This Row],[Conference Board Leading Indicator]]-B161)/B161</f>
        <v/>
      </c>
      <c r="E173" s="2" t="n">
        <v>111.089996</v>
      </c>
      <c r="F173" s="4">
        <f>(Table3[[#This Row],[S&amp;P 500]]-E162)/E162</f>
        <v/>
      </c>
    </row>
    <row r="174">
      <c r="A174" s="6" t="n">
        <v>26543</v>
      </c>
      <c r="B174" s="2" t="n">
        <v>53.7</v>
      </c>
      <c r="C174" s="4">
        <f>(Table3[[#This Row],[Conference Board Leading Indicator]]-B162)/B162</f>
        <v/>
      </c>
      <c r="E174" s="2" t="n">
        <v>110.550003</v>
      </c>
      <c r="F174" s="4">
        <f>(Table3[[#This Row],[S&amp;P 500]]-E163)/E163</f>
        <v/>
      </c>
    </row>
    <row r="175">
      <c r="A175" s="6" t="n">
        <v>26573</v>
      </c>
      <c r="B175" s="2" t="n">
        <v>54.1</v>
      </c>
      <c r="C175" s="4">
        <f>(Table3[[#This Row],[Conference Board Leading Indicator]]-B163)/B163</f>
        <v/>
      </c>
      <c r="D175" s="3" t="n">
        <v>0.06894469201134869</v>
      </c>
      <c r="E175" s="2" t="n">
        <v>111.580002</v>
      </c>
      <c r="F175" s="4">
        <f>(Table3[[#This Row],[S&amp;P 500]]-E164)/E164</f>
        <v/>
      </c>
    </row>
    <row r="176">
      <c r="A176" s="6" t="n">
        <v>26604</v>
      </c>
      <c r="B176" s="2" t="n">
        <v>54.7</v>
      </c>
      <c r="C176" s="4">
        <f>(Table3[[#This Row],[Conference Board Leading Indicator]]-B164)/B164</f>
        <v/>
      </c>
      <c r="E176" s="2" t="n">
        <v>116.669998</v>
      </c>
      <c r="F176" s="4">
        <f>(Table3[[#This Row],[S&amp;P 500]]-E165)/E165</f>
        <v/>
      </c>
    </row>
    <row r="177">
      <c r="A177" s="6" t="n">
        <v>26634</v>
      </c>
      <c r="B177" s="2" t="n">
        <v>55.3</v>
      </c>
      <c r="C177" s="4">
        <f>(Table3[[#This Row],[Conference Board Leading Indicator]]-B165)/B165</f>
        <v/>
      </c>
      <c r="E177" s="2" t="n">
        <v>118.050003</v>
      </c>
      <c r="F177" s="4">
        <f>(Table3[[#This Row],[S&amp;P 500]]-E166)/E166</f>
        <v/>
      </c>
    </row>
    <row r="178">
      <c r="A178" s="6" t="n">
        <v>26665</v>
      </c>
      <c r="B178" s="2" t="n">
        <v>55.6</v>
      </c>
      <c r="C178" s="4">
        <f>(Table3[[#This Row],[Conference Board Leading Indicator]]-B166)/B166</f>
        <v/>
      </c>
      <c r="D178" s="3" t="n">
        <v>0.0756189413062283</v>
      </c>
      <c r="E178" s="2" t="n">
        <v>116.029999</v>
      </c>
      <c r="F178" s="4">
        <f>(Table3[[#This Row],[S&amp;P 500]]-E167)/E167</f>
        <v/>
      </c>
    </row>
    <row r="179">
      <c r="A179" s="6" t="n">
        <v>26696</v>
      </c>
      <c r="B179" s="2" t="n">
        <v>55.8</v>
      </c>
      <c r="C179" s="4">
        <f>(Table3[[#This Row],[Conference Board Leading Indicator]]-B167)/B167</f>
        <v/>
      </c>
      <c r="E179" s="2" t="n">
        <v>111.68</v>
      </c>
      <c r="F179" s="4">
        <f>(Table3[[#This Row],[S&amp;P 500]]-E168)/E168</f>
        <v/>
      </c>
    </row>
    <row r="180">
      <c r="A180" s="6" t="n">
        <v>26724</v>
      </c>
      <c r="B180" s="2" t="n">
        <v>55.7</v>
      </c>
      <c r="C180" s="4">
        <f>(Table3[[#This Row],[Conference Board Leading Indicator]]-B168)/B168</f>
        <v/>
      </c>
      <c r="E180" s="2" t="n">
        <v>111.519997</v>
      </c>
      <c r="F180" s="4">
        <f>(Table3[[#This Row],[S&amp;P 500]]-E169)/E169</f>
        <v/>
      </c>
    </row>
    <row r="181">
      <c r="A181" s="6" t="n">
        <v>26755</v>
      </c>
      <c r="B181" s="2" t="n">
        <v>55.4</v>
      </c>
      <c r="C181" s="4">
        <f>(Table3[[#This Row],[Conference Board Leading Indicator]]-B169)/B169</f>
        <v/>
      </c>
      <c r="D181" s="3" t="n">
        <v>0.06319667402603331</v>
      </c>
      <c r="E181" s="2" t="n">
        <v>106.970001</v>
      </c>
      <c r="F181" s="4">
        <f>(Table3[[#This Row],[S&amp;P 500]]-E170)/E170</f>
        <v/>
      </c>
    </row>
    <row r="182">
      <c r="A182" s="6" t="n">
        <v>26785</v>
      </c>
      <c r="B182" s="2" t="n">
        <v>55.4</v>
      </c>
      <c r="C182" s="4">
        <f>(Table3[[#This Row],[Conference Board Leading Indicator]]-B170)/B170</f>
        <v/>
      </c>
      <c r="E182" s="2" t="n">
        <v>104.949997</v>
      </c>
      <c r="F182" s="4">
        <f>(Table3[[#This Row],[S&amp;P 500]]-E171)/E171</f>
        <v/>
      </c>
    </row>
    <row r="183">
      <c r="A183" s="6" t="n">
        <v>26816</v>
      </c>
      <c r="B183" s="2" t="n">
        <v>55.3</v>
      </c>
      <c r="C183" s="4">
        <f>(Table3[[#This Row],[Conference Board Leading Indicator]]-B171)/B171</f>
        <v/>
      </c>
      <c r="E183" s="2" t="n">
        <v>104.260002</v>
      </c>
      <c r="F183" s="4">
        <f>(Table3[[#This Row],[S&amp;P 500]]-E172)/E172</f>
        <v/>
      </c>
    </row>
    <row r="184">
      <c r="A184" s="6" t="n">
        <v>26846</v>
      </c>
      <c r="B184" s="2" t="n">
        <v>54.9</v>
      </c>
      <c r="C184" s="4">
        <f>(Table3[[#This Row],[Conference Board Leading Indicator]]-B172)/B172</f>
        <v/>
      </c>
      <c r="D184" s="3" t="n">
        <v>0.04771080884655608</v>
      </c>
      <c r="E184" s="2" t="n">
        <v>108.220001</v>
      </c>
      <c r="F184" s="4">
        <f>(Table3[[#This Row],[S&amp;P 500]]-E173)/E173</f>
        <v/>
      </c>
    </row>
    <row r="185">
      <c r="A185" s="6" t="n">
        <v>26877</v>
      </c>
      <c r="B185" s="2" t="n">
        <v>54.4</v>
      </c>
      <c r="C185" s="4">
        <f>(Table3[[#This Row],[Conference Board Leading Indicator]]-B173)/B173</f>
        <v/>
      </c>
      <c r="E185" s="2" t="n">
        <v>104.25</v>
      </c>
      <c r="F185" s="4">
        <f>(Table3[[#This Row],[S&amp;P 500]]-E174)/E174</f>
        <v/>
      </c>
    </row>
    <row r="186">
      <c r="A186" s="6" t="n">
        <v>26908</v>
      </c>
      <c r="B186" s="2" t="n">
        <v>54.2</v>
      </c>
      <c r="C186" s="4">
        <f>(Table3[[#This Row],[Conference Board Leading Indicator]]-B174)/B174</f>
        <v/>
      </c>
      <c r="E186" s="2" t="n">
        <v>108.43</v>
      </c>
      <c r="F186" s="4">
        <f>(Table3[[#This Row],[S&amp;P 500]]-E175)/E175</f>
        <v/>
      </c>
    </row>
    <row r="187">
      <c r="A187" s="6" t="n">
        <v>26938</v>
      </c>
      <c r="B187" s="2" t="n">
        <v>54.1</v>
      </c>
      <c r="C187" s="4">
        <f>(Table3[[#This Row],[Conference Board Leading Indicator]]-B175)/B175</f>
        <v/>
      </c>
      <c r="D187" s="3" t="n">
        <v>0.04023757099925256</v>
      </c>
      <c r="E187" s="2" t="n">
        <v>108.290001</v>
      </c>
      <c r="F187" s="4">
        <f>(Table3[[#This Row],[S&amp;P 500]]-E176)/E176</f>
        <v/>
      </c>
    </row>
    <row r="188">
      <c r="A188" s="6" t="n">
        <v>26969</v>
      </c>
      <c r="B188" s="2" t="n">
        <v>53.8</v>
      </c>
      <c r="C188" s="4">
        <f>(Table3[[#This Row],[Conference Board Leading Indicator]]-B176)/B176</f>
        <v/>
      </c>
      <c r="E188" s="2" t="n">
        <v>95.959999</v>
      </c>
      <c r="F188" s="4">
        <f>(Table3[[#This Row],[S&amp;P 500]]-E177)/E177</f>
        <v/>
      </c>
    </row>
    <row r="189">
      <c r="A189" s="6" t="n">
        <v>26999</v>
      </c>
      <c r="B189" s="2" t="n">
        <v>53.2</v>
      </c>
      <c r="C189" s="4">
        <f>(Table3[[#This Row],[Conference Board Leading Indicator]]-B177)/B177</f>
        <v/>
      </c>
      <c r="E189" s="2" t="n">
        <v>97.550003</v>
      </c>
      <c r="F189" s="4">
        <f>(Table3[[#This Row],[S&amp;P 500]]-E178)/E178</f>
        <v/>
      </c>
    </row>
    <row r="190">
      <c r="A190" s="6" t="n">
        <v>27030</v>
      </c>
      <c r="B190" s="2" t="n">
        <v>52.8</v>
      </c>
      <c r="C190" s="4">
        <f>(Table3[[#This Row],[Conference Board Leading Indicator]]-B178)/B178</f>
        <v/>
      </c>
      <c r="D190" s="3" t="n">
        <v>0.006387757282945335</v>
      </c>
      <c r="E190" s="2" t="n">
        <v>96.56999999999999</v>
      </c>
      <c r="F190" s="4">
        <f>(Table3[[#This Row],[S&amp;P 500]]-E179)/E179</f>
        <v/>
      </c>
    </row>
    <row r="191">
      <c r="A191" s="6" t="n">
        <v>27061</v>
      </c>
      <c r="B191" s="2" t="n">
        <v>52.5</v>
      </c>
      <c r="C191" s="4">
        <f>(Table3[[#This Row],[Conference Board Leading Indicator]]-B179)/B179</f>
        <v/>
      </c>
      <c r="E191" s="2" t="n">
        <v>96.220001</v>
      </c>
      <c r="F191" s="4">
        <f>(Table3[[#This Row],[S&amp;P 500]]-E180)/E180</f>
        <v/>
      </c>
    </row>
    <row r="192">
      <c r="A192" s="6" t="n">
        <v>27089</v>
      </c>
      <c r="B192" s="2" t="n">
        <v>52.4</v>
      </c>
      <c r="C192" s="4">
        <f>(Table3[[#This Row],[Conference Board Leading Indicator]]-B180)/B180</f>
        <v/>
      </c>
      <c r="E192" s="2" t="n">
        <v>93.980003</v>
      </c>
      <c r="F192" s="4">
        <f>(Table3[[#This Row],[S&amp;P 500]]-E181)/E181</f>
        <v/>
      </c>
    </row>
    <row r="193">
      <c r="A193" s="6" t="n">
        <v>27120</v>
      </c>
      <c r="B193" s="2" t="n">
        <v>51.6</v>
      </c>
      <c r="C193" s="4">
        <f>(Table3[[#This Row],[Conference Board Leading Indicator]]-B181)/B181</f>
        <v/>
      </c>
      <c r="D193" s="3" t="n">
        <v>-0.002084115665614427</v>
      </c>
      <c r="E193" s="2" t="n">
        <v>90.30999799999999</v>
      </c>
      <c r="F193" s="4">
        <f>(Table3[[#This Row],[S&amp;P 500]]-E182)/E182</f>
        <v/>
      </c>
    </row>
    <row r="194">
      <c r="A194" s="6" t="n">
        <v>27150</v>
      </c>
      <c r="B194" s="2" t="n">
        <v>51.4</v>
      </c>
      <c r="C194" s="4">
        <f>(Table3[[#This Row],[Conference Board Leading Indicator]]-B182)/B182</f>
        <v/>
      </c>
      <c r="E194" s="2" t="n">
        <v>87.279999</v>
      </c>
      <c r="F194" s="4">
        <f>(Table3[[#This Row],[S&amp;P 500]]-E183)/E183</f>
        <v/>
      </c>
    </row>
    <row r="195">
      <c r="A195" s="6" t="n">
        <v>27181</v>
      </c>
      <c r="B195" s="2" t="n">
        <v>50.8</v>
      </c>
      <c r="C195" s="4">
        <f>(Table3[[#This Row],[Conference Board Leading Indicator]]-B183)/B183</f>
        <v/>
      </c>
      <c r="E195" s="2" t="n">
        <v>86</v>
      </c>
      <c r="F195" s="4">
        <f>(Table3[[#This Row],[S&amp;P 500]]-E184)/E184</f>
        <v/>
      </c>
    </row>
    <row r="196">
      <c r="A196" s="6" t="n">
        <v>27211</v>
      </c>
      <c r="B196" s="2" t="n">
        <v>50.3</v>
      </c>
      <c r="C196" s="4">
        <f>(Table3[[#This Row],[Conference Board Leading Indicator]]-B184)/B184</f>
        <v/>
      </c>
      <c r="D196" s="3" t="n">
        <v>-0.006289808075289526</v>
      </c>
      <c r="E196" s="2" t="n">
        <v>79.30999799999999</v>
      </c>
      <c r="F196" s="4">
        <f>(Table3[[#This Row],[S&amp;P 500]]-E185)/E185</f>
        <v/>
      </c>
    </row>
    <row r="197">
      <c r="A197" s="6" t="n">
        <v>27242</v>
      </c>
      <c r="B197" s="2" t="n">
        <v>49.4</v>
      </c>
      <c r="C197" s="4">
        <f>(Table3[[#This Row],[Conference Board Leading Indicator]]-B185)/B185</f>
        <v/>
      </c>
      <c r="E197" s="2" t="n">
        <v>72.150002</v>
      </c>
      <c r="F197" s="4">
        <f>(Table3[[#This Row],[S&amp;P 500]]-E186)/E186</f>
        <v/>
      </c>
    </row>
    <row r="198">
      <c r="A198" s="6" t="n">
        <v>27273</v>
      </c>
      <c r="B198" s="2" t="n">
        <v>48.5</v>
      </c>
      <c r="C198" s="4">
        <f>(Table3[[#This Row],[Conference Board Leading Indicator]]-B186)/B186</f>
        <v/>
      </c>
      <c r="E198" s="2" t="n">
        <v>63.540001</v>
      </c>
      <c r="F198" s="4">
        <f>(Table3[[#This Row],[S&amp;P 500]]-E187)/E187</f>
        <v/>
      </c>
    </row>
    <row r="199">
      <c r="A199" s="6" t="n">
        <v>27303</v>
      </c>
      <c r="B199" s="2" t="n">
        <v>47.9</v>
      </c>
      <c r="C199" s="4">
        <f>(Table3[[#This Row],[Conference Board Leading Indicator]]-B187)/B187</f>
        <v/>
      </c>
      <c r="D199" s="3" t="n">
        <v>-0.01945439563125444</v>
      </c>
      <c r="E199" s="2" t="n">
        <v>73.900002</v>
      </c>
      <c r="F199" s="4">
        <f>(Table3[[#This Row],[S&amp;P 500]]-E188)/E188</f>
        <v/>
      </c>
    </row>
    <row r="200">
      <c r="A200" s="6" t="n">
        <v>27334</v>
      </c>
      <c r="B200" s="2" t="n">
        <v>47.1</v>
      </c>
      <c r="C200" s="4">
        <f>(Table3[[#This Row],[Conference Board Leading Indicator]]-B188)/B188</f>
        <v/>
      </c>
      <c r="E200" s="2" t="n">
        <v>69.970001</v>
      </c>
      <c r="F200" s="4">
        <f>(Table3[[#This Row],[S&amp;P 500]]-E189)/E189</f>
        <v/>
      </c>
    </row>
    <row r="201">
      <c r="A201" s="6" t="n">
        <v>27364</v>
      </c>
      <c r="B201" s="2" t="n">
        <v>46.3</v>
      </c>
      <c r="C201" s="4">
        <f>(Table3[[#This Row],[Conference Board Leading Indicator]]-B189)/B189</f>
        <v/>
      </c>
      <c r="E201" s="2" t="n">
        <v>68.55999799999999</v>
      </c>
      <c r="F201" s="4">
        <f>(Table3[[#This Row],[S&amp;P 500]]-E190)/E190</f>
        <v/>
      </c>
    </row>
    <row r="202">
      <c r="A202" s="6" t="n">
        <v>27395</v>
      </c>
      <c r="B202" s="2" t="n">
        <v>45.9</v>
      </c>
      <c r="C202" s="4">
        <f>(Table3[[#This Row],[Conference Board Leading Indicator]]-B190)/B190</f>
        <v/>
      </c>
      <c r="D202" s="3" t="n">
        <v>-0.02299059663694922</v>
      </c>
      <c r="E202" s="2" t="n">
        <v>76.980003</v>
      </c>
      <c r="F202" s="4">
        <f>(Table3[[#This Row],[S&amp;P 500]]-E191)/E191</f>
        <v/>
      </c>
    </row>
    <row r="203">
      <c r="A203" s="6" t="n">
        <v>27426</v>
      </c>
      <c r="B203" s="2" t="n">
        <v>45.8</v>
      </c>
      <c r="C203" s="4">
        <f>(Table3[[#This Row],[Conference Board Leading Indicator]]-B191)/B191</f>
        <v/>
      </c>
      <c r="E203" s="2" t="n">
        <v>81.589996</v>
      </c>
      <c r="F203" s="4">
        <f>(Table3[[#This Row],[S&amp;P 500]]-E192)/E192</f>
        <v/>
      </c>
    </row>
    <row r="204">
      <c r="A204" s="6" t="n">
        <v>27454</v>
      </c>
      <c r="B204" s="2" t="n">
        <v>45.6</v>
      </c>
      <c r="C204" s="4">
        <f>(Table3[[#This Row],[Conference Board Leading Indicator]]-B192)/B192</f>
        <v/>
      </c>
      <c r="E204" s="2" t="n">
        <v>83.360001</v>
      </c>
      <c r="F204" s="4">
        <f>(Table3[[#This Row],[S&amp;P 500]]-E193)/E193</f>
        <v/>
      </c>
    </row>
    <row r="205">
      <c r="A205" s="6" t="n">
        <v>27485</v>
      </c>
      <c r="B205" s="2" t="n">
        <v>46.2</v>
      </c>
      <c r="C205" s="4">
        <f>(Table3[[#This Row],[Conference Board Leading Indicator]]-B193)/B193</f>
        <v/>
      </c>
      <c r="D205" s="3" t="n">
        <v>-0.01834261209618054</v>
      </c>
      <c r="E205" s="2" t="n">
        <v>87.300003</v>
      </c>
      <c r="F205" s="4">
        <f>(Table3[[#This Row],[S&amp;P 500]]-E194)/E194</f>
        <v/>
      </c>
    </row>
    <row r="206">
      <c r="A206" s="6" t="n">
        <v>27515</v>
      </c>
      <c r="B206" s="2" t="n">
        <v>46.5</v>
      </c>
      <c r="C206" s="4">
        <f>(Table3[[#This Row],[Conference Board Leading Indicator]]-B194)/B194</f>
        <v/>
      </c>
      <c r="E206" s="2" t="n">
        <v>91.150002</v>
      </c>
      <c r="F206" s="4">
        <f>(Table3[[#This Row],[S&amp;P 500]]-E195)/E195</f>
        <v/>
      </c>
    </row>
    <row r="207">
      <c r="A207" s="6" t="n">
        <v>27546</v>
      </c>
      <c r="B207" s="2" t="n">
        <v>46.8</v>
      </c>
      <c r="C207" s="4">
        <f>(Table3[[#This Row],[Conference Board Leading Indicator]]-B195)/B195</f>
        <v/>
      </c>
      <c r="E207" s="2" t="n">
        <v>95.19000200000001</v>
      </c>
      <c r="F207" s="4">
        <f>(Table3[[#This Row],[S&amp;P 500]]-E196)/E196</f>
        <v/>
      </c>
    </row>
    <row r="208">
      <c r="A208" s="6" t="n">
        <v>27576</v>
      </c>
      <c r="B208" s="2" t="n">
        <v>47.3</v>
      </c>
      <c r="C208" s="4">
        <f>(Table3[[#This Row],[Conference Board Leading Indicator]]-B196)/B196</f>
        <v/>
      </c>
      <c r="D208" s="3" t="n">
        <v>0.007986824656804968</v>
      </c>
      <c r="E208" s="2" t="n">
        <v>88.75</v>
      </c>
      <c r="F208" s="4">
        <f>(Table3[[#This Row],[S&amp;P 500]]-E197)/E197</f>
        <v/>
      </c>
    </row>
    <row r="209">
      <c r="A209" s="6" t="n">
        <v>27607</v>
      </c>
      <c r="B209" s="2" t="n">
        <v>47.4</v>
      </c>
      <c r="C209" s="4">
        <f>(Table3[[#This Row],[Conference Board Leading Indicator]]-B197)/B197</f>
        <v/>
      </c>
      <c r="E209" s="2" t="n">
        <v>86.879997</v>
      </c>
      <c r="F209" s="4">
        <f>(Table3[[#This Row],[S&amp;P 500]]-E198)/E198</f>
        <v/>
      </c>
    </row>
    <row r="210">
      <c r="A210" s="6" t="n">
        <v>27638</v>
      </c>
      <c r="B210" s="2" t="n">
        <v>47.6</v>
      </c>
      <c r="C210" s="4">
        <f>(Table3[[#This Row],[Conference Board Leading Indicator]]-B198)/B198</f>
        <v/>
      </c>
      <c r="E210" s="2" t="n">
        <v>83.870003</v>
      </c>
      <c r="F210" s="4">
        <f>(Table3[[#This Row],[S&amp;P 500]]-E199)/E199</f>
        <v/>
      </c>
    </row>
    <row r="211">
      <c r="A211" s="6" t="n">
        <v>27668</v>
      </c>
      <c r="B211" s="2" t="n">
        <v>48</v>
      </c>
      <c r="C211" s="4">
        <f>(Table3[[#This Row],[Conference Board Leading Indicator]]-B199)/B199</f>
        <v/>
      </c>
      <c r="D211" s="3" t="n">
        <v>0.02553998681747399</v>
      </c>
      <c r="E211" s="2" t="n">
        <v>89.040001</v>
      </c>
      <c r="F211" s="4">
        <f>(Table3[[#This Row],[S&amp;P 500]]-E200)/E200</f>
        <v/>
      </c>
    </row>
    <row r="212">
      <c r="A212" s="6" t="n">
        <v>27699</v>
      </c>
      <c r="B212" s="2" t="n">
        <v>48.2</v>
      </c>
      <c r="C212" s="4">
        <f>(Table3[[#This Row],[Conference Board Leading Indicator]]-B200)/B200</f>
        <v/>
      </c>
      <c r="E212" s="2" t="n">
        <v>91.239998</v>
      </c>
      <c r="F212" s="4">
        <f>(Table3[[#This Row],[S&amp;P 500]]-E201)/E201</f>
        <v/>
      </c>
    </row>
    <row r="213">
      <c r="A213" s="6" t="n">
        <v>27729</v>
      </c>
      <c r="B213" s="2" t="n">
        <v>48.5</v>
      </c>
      <c r="C213" s="4">
        <f>(Table3[[#This Row],[Conference Board Leading Indicator]]-B201)/B201</f>
        <v/>
      </c>
      <c r="E213" s="2" t="n">
        <v>90.19000200000001</v>
      </c>
      <c r="F213" s="4">
        <f>(Table3[[#This Row],[S&amp;P 500]]-E202)/E202</f>
        <v/>
      </c>
    </row>
    <row r="214">
      <c r="A214" s="6" t="n">
        <v>27760</v>
      </c>
      <c r="B214" s="2" t="n">
        <v>49.2</v>
      </c>
      <c r="C214" s="4">
        <f>(Table3[[#This Row],[Conference Board Leading Indicator]]-B202)/B202</f>
        <v/>
      </c>
      <c r="D214" s="3" t="n">
        <v>0.06152386486609245</v>
      </c>
      <c r="E214" s="2" t="n">
        <v>100.860001</v>
      </c>
      <c r="F214" s="4">
        <f>(Table3[[#This Row],[S&amp;P 500]]-E203)/E203</f>
        <v/>
      </c>
    </row>
    <row r="215">
      <c r="A215" s="6" t="n">
        <v>27791</v>
      </c>
      <c r="B215" s="2" t="n">
        <v>49.9</v>
      </c>
      <c r="C215" s="4">
        <f>(Table3[[#This Row],[Conference Board Leading Indicator]]-B203)/B203</f>
        <v/>
      </c>
      <c r="E215" s="2" t="n">
        <v>99.709999</v>
      </c>
      <c r="F215" s="4">
        <f>(Table3[[#This Row],[S&amp;P 500]]-E204)/E204</f>
        <v/>
      </c>
    </row>
    <row r="216">
      <c r="A216" s="6" t="n">
        <v>27820</v>
      </c>
      <c r="B216" s="2" t="n">
        <v>50.1</v>
      </c>
      <c r="C216" s="4">
        <f>(Table3[[#This Row],[Conference Board Leading Indicator]]-B204)/B204</f>
        <v/>
      </c>
      <c r="E216" s="2" t="n">
        <v>102.769997</v>
      </c>
      <c r="F216" s="4">
        <f>(Table3[[#This Row],[S&amp;P 500]]-E205)/E205</f>
        <v/>
      </c>
    </row>
    <row r="217">
      <c r="A217" s="6" t="n">
        <v>27851</v>
      </c>
      <c r="B217" s="2" t="n">
        <v>50.3</v>
      </c>
      <c r="C217" s="4">
        <f>(Table3[[#This Row],[Conference Board Leading Indicator]]-B205)/B205</f>
        <v/>
      </c>
      <c r="D217" s="3" t="n">
        <v>0.06172572389849315</v>
      </c>
      <c r="E217" s="2" t="n">
        <v>101.639999</v>
      </c>
      <c r="F217" s="4">
        <f>(Table3[[#This Row],[S&amp;P 500]]-E206)/E206</f>
        <v/>
      </c>
    </row>
    <row r="218">
      <c r="A218" s="6" t="n">
        <v>27881</v>
      </c>
      <c r="B218" s="2" t="n">
        <v>50.7</v>
      </c>
      <c r="C218" s="4">
        <f>(Table3[[#This Row],[Conference Board Leading Indicator]]-B206)/B206</f>
        <v/>
      </c>
      <c r="E218" s="2" t="n">
        <v>100.18</v>
      </c>
      <c r="F218" s="4">
        <f>(Table3[[#This Row],[S&amp;P 500]]-E207)/E207</f>
        <v/>
      </c>
    </row>
    <row r="219">
      <c r="A219" s="6" t="n">
        <v>27912</v>
      </c>
      <c r="B219" s="2" t="n">
        <v>50.8</v>
      </c>
      <c r="C219" s="4">
        <f>(Table3[[#This Row],[Conference Board Leading Indicator]]-B207)/B207</f>
        <v/>
      </c>
      <c r="E219" s="2" t="n">
        <v>104.279999</v>
      </c>
      <c r="F219" s="4">
        <f>(Table3[[#This Row],[S&amp;P 500]]-E208)/E208</f>
        <v/>
      </c>
    </row>
    <row r="220">
      <c r="A220" s="6" t="n">
        <v>27942</v>
      </c>
      <c r="B220" s="2" t="n">
        <v>51.3</v>
      </c>
      <c r="C220" s="4">
        <f>(Table3[[#This Row],[Conference Board Leading Indicator]]-B208)/B208</f>
        <v/>
      </c>
      <c r="D220" s="3" t="n">
        <v>0.04958630717571949</v>
      </c>
      <c r="E220" s="2" t="n">
        <v>103.440002</v>
      </c>
      <c r="F220" s="4">
        <f>(Table3[[#This Row],[S&amp;P 500]]-E209)/E209</f>
        <v/>
      </c>
    </row>
    <row r="221">
      <c r="A221" s="6" t="n">
        <v>27973</v>
      </c>
      <c r="B221" s="2" t="n">
        <v>51.5</v>
      </c>
      <c r="C221" s="4">
        <f>(Table3[[#This Row],[Conference Board Leading Indicator]]-B209)/B209</f>
        <v/>
      </c>
      <c r="E221" s="2" t="n">
        <v>102.910004</v>
      </c>
      <c r="F221" s="4">
        <f>(Table3[[#This Row],[S&amp;P 500]]-E210)/E210</f>
        <v/>
      </c>
    </row>
    <row r="222">
      <c r="A222" s="6" t="n">
        <v>28004</v>
      </c>
      <c r="B222" s="2" t="n">
        <v>51.9</v>
      </c>
      <c r="C222" s="4">
        <f>(Table3[[#This Row],[Conference Board Leading Indicator]]-B210)/B210</f>
        <v/>
      </c>
      <c r="E222" s="2" t="n">
        <v>105.239998</v>
      </c>
      <c r="F222" s="4">
        <f>(Table3[[#This Row],[S&amp;P 500]]-E211)/E211</f>
        <v/>
      </c>
    </row>
    <row r="223">
      <c r="A223" s="6" t="n">
        <v>28034</v>
      </c>
      <c r="B223" s="2" t="n">
        <v>51.9</v>
      </c>
      <c r="C223" s="4">
        <f>(Table3[[#This Row],[Conference Board Leading Indicator]]-B211)/B211</f>
        <v/>
      </c>
      <c r="D223" s="3" t="n">
        <v>0.04314812641450343</v>
      </c>
      <c r="E223" s="2" t="n">
        <v>102.900002</v>
      </c>
      <c r="F223" s="4">
        <f>(Table3[[#This Row],[S&amp;P 500]]-E212)/E212</f>
        <v/>
      </c>
    </row>
    <row r="224">
      <c r="A224" s="6" t="n">
        <v>28065</v>
      </c>
      <c r="B224" s="2" t="n">
        <v>52.4</v>
      </c>
      <c r="C224" s="4">
        <f>(Table3[[#This Row],[Conference Board Leading Indicator]]-B212)/B212</f>
        <v/>
      </c>
      <c r="E224" s="2" t="n">
        <v>102.099998</v>
      </c>
      <c r="F224" s="4">
        <f>(Table3[[#This Row],[S&amp;P 500]]-E213)/E213</f>
        <v/>
      </c>
    </row>
    <row r="225">
      <c r="A225" s="6" t="n">
        <v>28095</v>
      </c>
      <c r="B225" s="2" t="n">
        <v>52.9</v>
      </c>
      <c r="C225" s="4">
        <f>(Table3[[#This Row],[Conference Board Leading Indicator]]-B213)/B213</f>
        <v/>
      </c>
      <c r="E225" s="2" t="n">
        <v>107.459999</v>
      </c>
      <c r="F225" s="4">
        <f>(Table3[[#This Row],[S&amp;P 500]]-E214)/E214</f>
        <v/>
      </c>
    </row>
    <row r="226">
      <c r="A226" s="6" t="n">
        <v>28126</v>
      </c>
      <c r="B226" s="2" t="n">
        <v>52.9</v>
      </c>
      <c r="C226" s="4">
        <f>(Table3[[#This Row],[Conference Board Leading Indicator]]-B214)/B214</f>
        <v/>
      </c>
      <c r="D226" s="3" t="n">
        <v>0.03225978436200012</v>
      </c>
      <c r="E226" s="2" t="n">
        <v>102.029999</v>
      </c>
      <c r="F226" s="4">
        <f>(Table3[[#This Row],[S&amp;P 500]]-E215)/E215</f>
        <v/>
      </c>
    </row>
    <row r="227">
      <c r="A227" s="6" t="n">
        <v>28157</v>
      </c>
      <c r="B227" s="2" t="n">
        <v>53.2</v>
      </c>
      <c r="C227" s="4">
        <f>(Table3[[#This Row],[Conference Board Leading Indicator]]-B215)/B215</f>
        <v/>
      </c>
      <c r="E227" s="2" t="n">
        <v>99.81999999999999</v>
      </c>
      <c r="F227" s="4">
        <f>(Table3[[#This Row],[S&amp;P 500]]-E216)/E216</f>
        <v/>
      </c>
    </row>
    <row r="228">
      <c r="A228" s="6" t="n">
        <v>28185</v>
      </c>
      <c r="B228" s="2" t="n">
        <v>54</v>
      </c>
      <c r="C228" s="4">
        <f>(Table3[[#This Row],[Conference Board Leading Indicator]]-B216)/B216</f>
        <v/>
      </c>
      <c r="E228" s="2" t="n">
        <v>98.41999800000001</v>
      </c>
      <c r="F228" s="4">
        <f>(Table3[[#This Row],[S&amp;P 500]]-E217)/E217</f>
        <v/>
      </c>
    </row>
    <row r="229">
      <c r="A229" s="6" t="n">
        <v>28216</v>
      </c>
      <c r="B229" s="2" t="n">
        <v>54.1</v>
      </c>
      <c r="C229" s="4">
        <f>(Table3[[#This Row],[Conference Board Leading Indicator]]-B217)/B217</f>
        <v/>
      </c>
      <c r="D229" s="3" t="n">
        <v>0.04466339250302256</v>
      </c>
      <c r="E229" s="2" t="n">
        <v>98.44000200000001</v>
      </c>
      <c r="F229" s="4">
        <f>(Table3[[#This Row],[S&amp;P 500]]-E218)/E218</f>
        <v/>
      </c>
    </row>
    <row r="230">
      <c r="A230" s="6" t="n">
        <v>28246</v>
      </c>
      <c r="B230" s="2" t="n">
        <v>54.4</v>
      </c>
      <c r="C230" s="4">
        <f>(Table3[[#This Row],[Conference Board Leading Indicator]]-B218)/B218</f>
        <v/>
      </c>
      <c r="E230" s="2" t="n">
        <v>96.120003</v>
      </c>
      <c r="F230" s="4">
        <f>(Table3[[#This Row],[S&amp;P 500]]-E219)/E219</f>
        <v/>
      </c>
    </row>
    <row r="231">
      <c r="A231" s="6" t="n">
        <v>28277</v>
      </c>
      <c r="B231" s="2" t="n">
        <v>54.8</v>
      </c>
      <c r="C231" s="4">
        <f>(Table3[[#This Row],[Conference Board Leading Indicator]]-B219)/B219</f>
        <v/>
      </c>
      <c r="E231" s="2" t="n">
        <v>100.480003</v>
      </c>
      <c r="F231" s="4">
        <f>(Table3[[#This Row],[S&amp;P 500]]-E220)/E220</f>
        <v/>
      </c>
    </row>
    <row r="232">
      <c r="A232" s="6" t="n">
        <v>28307</v>
      </c>
      <c r="B232" s="2" t="n">
        <v>54.8</v>
      </c>
      <c r="C232" s="4">
        <f>(Table3[[#This Row],[Conference Board Leading Indicator]]-B220)/B220</f>
        <v/>
      </c>
      <c r="D232" s="3" t="n">
        <v>0.05770891988872243</v>
      </c>
      <c r="E232" s="2" t="n">
        <v>98.849998</v>
      </c>
      <c r="F232" s="4">
        <f>(Table3[[#This Row],[S&amp;P 500]]-E221)/E221</f>
        <v/>
      </c>
    </row>
    <row r="233">
      <c r="A233" s="6" t="n">
        <v>28338</v>
      </c>
      <c r="B233" s="2" t="n">
        <v>55.1</v>
      </c>
      <c r="C233" s="4">
        <f>(Table3[[#This Row],[Conference Board Leading Indicator]]-B221)/B221</f>
        <v/>
      </c>
      <c r="E233" s="2" t="n">
        <v>96.769997</v>
      </c>
      <c r="F233" s="4">
        <f>(Table3[[#This Row],[S&amp;P 500]]-E222)/E222</f>
        <v/>
      </c>
    </row>
    <row r="234">
      <c r="A234" s="6" t="n">
        <v>28369</v>
      </c>
      <c r="B234" s="2" t="n">
        <v>55.2</v>
      </c>
      <c r="C234" s="4">
        <f>(Table3[[#This Row],[Conference Board Leading Indicator]]-B222)/B222</f>
        <v/>
      </c>
      <c r="E234" s="2" t="n">
        <v>96.529999</v>
      </c>
      <c r="F234" s="4">
        <f>(Table3[[#This Row],[S&amp;P 500]]-E223)/E223</f>
        <v/>
      </c>
    </row>
    <row r="235">
      <c r="A235" s="6" t="n">
        <v>28399</v>
      </c>
      <c r="B235" s="2" t="n">
        <v>55.3</v>
      </c>
      <c r="C235" s="4">
        <f>(Table3[[#This Row],[Conference Board Leading Indicator]]-B223)/B223</f>
        <v/>
      </c>
      <c r="D235" s="3" t="n">
        <v>0.05012029616689948</v>
      </c>
      <c r="E235" s="2" t="n">
        <v>92.339996</v>
      </c>
      <c r="F235" s="4">
        <f>(Table3[[#This Row],[S&amp;P 500]]-E224)/E224</f>
        <v/>
      </c>
    </row>
    <row r="236">
      <c r="A236" s="6" t="n">
        <v>28430</v>
      </c>
      <c r="B236" s="2" t="n">
        <v>55.5</v>
      </c>
      <c r="C236" s="4">
        <f>(Table3[[#This Row],[Conference Board Leading Indicator]]-B224)/B224</f>
        <v/>
      </c>
      <c r="E236" s="2" t="n">
        <v>94.83000199999999</v>
      </c>
      <c r="F236" s="4">
        <f>(Table3[[#This Row],[S&amp;P 500]]-E225)/E225</f>
        <v/>
      </c>
    </row>
    <row r="237">
      <c r="A237" s="6" t="n">
        <v>28460</v>
      </c>
      <c r="B237" s="2" t="n">
        <v>55.6</v>
      </c>
      <c r="C237" s="4">
        <f>(Table3[[#This Row],[Conference Board Leading Indicator]]-B225)/B225</f>
        <v/>
      </c>
      <c r="E237" s="2" t="n">
        <v>95.099998</v>
      </c>
      <c r="F237" s="4">
        <f>(Table3[[#This Row],[S&amp;P 500]]-E226)/E226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Row],[S&amp;P 500]]-E227)/E227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Row],[S&amp;P 500]]-E228)/E228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Row],[S&amp;P 500]]-E229)/E229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Row],[S&amp;P 500]]-E230)/E230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Row],[S&amp;P 500]]-E231)/E231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Row],[S&amp;P 500]]-E232)/E232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Row],[S&amp;P 500]]-E233)/E233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Row],[S&amp;P 500]]-E234)/E234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Row],[S&amp;P 500]]-E235)/E235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Row],[S&amp;P 500]]-E236)/E236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Row],[S&amp;P 500]]-E237)/E237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Row],[S&amp;P 500]]-E238)/E238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Row],[S&amp;P 500]]-E239)/E239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Row],[S&amp;P 500]]-E240)/E240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Row],[S&amp;P 500]]-E241)/E241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Row],[S&amp;P 500]]-E242)/E242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Row],[S&amp;P 500]]-E243)/E243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Row],[S&amp;P 500]]-E244)/E244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Row],[S&amp;P 500]]-E245)/E245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Row],[S&amp;P 500]]-E246)/E246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Row],[S&amp;P 500]]-E247)/E247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Row],[S&amp;P 500]]-E248)/E248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Row],[S&amp;P 500]]-E249)/E249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Row],[S&amp;P 500]]-E250)/E250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Row],[S&amp;P 500]]-E251)/E251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Row],[S&amp;P 500]]-E252)/E252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Row],[S&amp;P 500]]-E253)/E253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Row],[S&amp;P 500]]-E254)/E254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Row],[S&amp;P 500]]-E255)/E255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Row],[S&amp;P 500]]-E256)/E256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Row],[S&amp;P 500]]-E257)/E257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Row],[S&amp;P 500]]-E258)/E258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Row],[S&amp;P 500]]-E259)/E259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Row],[S&amp;P 500]]-E260)/E260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Row],[S&amp;P 500]]-E261)/E261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Row],[S&amp;P 500]]-E262)/E262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Row],[S&amp;P 500]]-E263)/E263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Row],[S&amp;P 500]]-E264)/E264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Row],[S&amp;P 500]]-E265)/E265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Row],[S&amp;P 500]]-E266)/E266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Row],[S&amp;P 500]]-E267)/E267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Row],[S&amp;P 500]]-E268)/E268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Row],[S&amp;P 500]]-E269)/E269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Row],[S&amp;P 500]]-E270)/E270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Row],[S&amp;P 500]]-E271)/E271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Row],[S&amp;P 500]]-E272)/E272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Row],[S&amp;P 500]]-E273)/E273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Row],[S&amp;P 500]]-E274)/E274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Row],[S&amp;P 500]]-E275)/E275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Row],[S&amp;P 500]]-E276)/E276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Row],[S&amp;P 500]]-E277)/E277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Row],[S&amp;P 500]]-E278)/E278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Row],[S&amp;P 500]]-E279)/E279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Row],[S&amp;P 500]]-E280)/E280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Row],[S&amp;P 500]]-E281)/E281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Row],[S&amp;P 500]]-E282)/E282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Row],[S&amp;P 500]]-E283)/E283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Row],[S&amp;P 500]]-E284)/E284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Row],[S&amp;P 500]]-E285)/E285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Row],[S&amp;P 500]]-E286)/E286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Row],[S&amp;P 500]]-E287)/E287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Row],[S&amp;P 500]]-E288)/E288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Row],[S&amp;P 500]]-E289)/E289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Row],[S&amp;P 500]]-E290)/E290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Row],[S&amp;P 500]]-E291)/E291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Row],[S&amp;P 500]]-E292)/E292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Row],[S&amp;P 500]]-E293)/E293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Row],[S&amp;P 500]]-E294)/E294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Row],[S&amp;P 500]]-E295)/E295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Row],[S&amp;P 500]]-E296)/E296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Row],[S&amp;P 500]]-E297)/E297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Row],[S&amp;P 500]]-E298)/E298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Row],[S&amp;P 500]]-E299)/E299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Row],[S&amp;P 500]]-E300)/E300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Row],[S&amp;P 500]]-E301)/E301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Row],[S&amp;P 500]]-E302)/E302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Row],[S&amp;P 500]]-E303)/E303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Row],[S&amp;P 500]]-E304)/E304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Row],[S&amp;P 500]]-E305)/E305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Row],[S&amp;P 500]]-E306)/E306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Row],[S&amp;P 500]]-E307)/E307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Row],[S&amp;P 500]]-E308)/E308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Row],[S&amp;P 500]]-E309)/E309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Row],[S&amp;P 500]]-E310)/E310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Row],[S&amp;P 500]]-E311)/E311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Row],[S&amp;P 500]]-E312)/E312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Row],[S&amp;P 500]]-E313)/E313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Row],[S&amp;P 500]]-E314)/E314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Row],[S&amp;P 500]]-E315)/E315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Row],[S&amp;P 500]]-E316)/E316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Row],[S&amp;P 500]]-E317)/E317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Row],[S&amp;P 500]]-E318)/E318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Row],[S&amp;P 500]]-E319)/E319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Row],[S&amp;P 500]]-E320)/E320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Row],[S&amp;P 500]]-E321)/E321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Row],[S&amp;P 500]]-E322)/E322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Row],[S&amp;P 500]]-E323)/E323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Row],[S&amp;P 500]]-E324)/E324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Row],[S&amp;P 500]]-E325)/E325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Row],[S&amp;P 500]]-E326)/E326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Row],[S&amp;P 500]]-E327)/E327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Row],[S&amp;P 500]]-E328)/E328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Row],[S&amp;P 500]]-E329)/E329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Row],[S&amp;P 500]]-E330)/E330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Row],[S&amp;P 500]]-E331)/E331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Row],[S&amp;P 500]]-E332)/E332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Row],[S&amp;P 500]]-E333)/E333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Row],[S&amp;P 500]]-E334)/E334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Row],[S&amp;P 500]]-E335)/E335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Row],[S&amp;P 500]]-E336)/E336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Row],[S&amp;P 500]]-E337)/E337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Row],[S&amp;P 500]]-E338)/E338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Row],[S&amp;P 500]]-E339)/E339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Row],[S&amp;P 500]]-E340)/E340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Row],[S&amp;P 500]]-E341)/E341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Row],[S&amp;P 500]]-E342)/E342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Row],[S&amp;P 500]]-E343)/E343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Row],[S&amp;P 500]]-E344)/E344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Row],[S&amp;P 500]]-E345)/E345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Row],[S&amp;P 500]]-E346)/E346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Row],[S&amp;P 500]]-E347)/E347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Row],[S&amp;P 500]]-E348)/E348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Row],[S&amp;P 500]]-E349)/E349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Row],[S&amp;P 500]]-E350)/E350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Row],[S&amp;P 500]]-E351)/E351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Row],[S&amp;P 500]]-E352)/E352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Row],[S&amp;P 500]]-E353)/E353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Row],[S&amp;P 500]]-E354)/E354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Row],[S&amp;P 500]]-E355)/E355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Row],[S&amp;P 500]]-E356)/E356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Row],[S&amp;P 500]]-E357)/E357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Row],[S&amp;P 500]]-E358)/E358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Row],[S&amp;P 500]]-E359)/E359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Row],[S&amp;P 500]]-E360)/E360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Row],[S&amp;P 500]]-E361)/E361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Row],[S&amp;P 500]]-E362)/E362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Row],[S&amp;P 500]]-E363)/E363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Row],[S&amp;P 500]]-E364)/E364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Row],[S&amp;P 500]]-E365)/E365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Row],[S&amp;P 500]]-E366)/E366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Row],[S&amp;P 500]]-E367)/E367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Row],[S&amp;P 500]]-E368)/E368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Row],[S&amp;P 500]]-E369)/E369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Row],[S&amp;P 500]]-E370)/E370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Row],[S&amp;P 500]]-E371)/E371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Row],[S&amp;P 500]]-E372)/E372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Row],[S&amp;P 500]]-E373)/E373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Row],[S&amp;P 500]]-E374)/E374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Row],[S&amp;P 500]]-E375)/E375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Row],[S&amp;P 500]]-E376)/E376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Row],[S&amp;P 500]]-E377)/E377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Row],[S&amp;P 500]]-E378)/E378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Row],[S&amp;P 500]]-E379)/E379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Row],[S&amp;P 500]]-E380)/E380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Row],[S&amp;P 500]]-E381)/E381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Row],[S&amp;P 500]]-E382)/E382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Row],[S&amp;P 500]]-E383)/E383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Row],[S&amp;P 500]]-E384)/E384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Row],[S&amp;P 500]]-E385)/E385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Row],[S&amp;P 500]]-E386)/E386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Row],[S&amp;P 500]]-E387)/E387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Row],[S&amp;P 500]]-E388)/E388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Row],[S&amp;P 500]]-E389)/E389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Row],[S&amp;P 500]]-E390)/E390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Row],[S&amp;P 500]]-E391)/E391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Row],[S&amp;P 500]]-E392)/E392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Row],[S&amp;P 500]]-E393)/E393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Row],[S&amp;P 500]]-E394)/E394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Row],[S&amp;P 500]]-E395)/E395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Row],[S&amp;P 500]]-E396)/E396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Row],[S&amp;P 500]]-E397)/E397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Row],[S&amp;P 500]]-E398)/E398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Row],[S&amp;P 500]]-E399)/E399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Row],[S&amp;P 500]]-E400)/E400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Row],[S&amp;P 500]]-E401)/E401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Row],[S&amp;P 500]]-E402)/E402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Row],[S&amp;P 500]]-E403)/E403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Row],[S&amp;P 500]]-E404)/E404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Row],[S&amp;P 500]]-E405)/E405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Row],[S&amp;P 500]]-E406)/E406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Row],[S&amp;P 500]]-E407)/E407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Row],[S&amp;P 500]]-E408)/E408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Row],[S&amp;P 500]]-E409)/E409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Row],[S&amp;P 500]]-E410)/E410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Row],[S&amp;P 500]]-E411)/E411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Row],[S&amp;P 500]]-E412)/E412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Row],[S&amp;P 500]]-E413)/E413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Row],[S&amp;P 500]]-E414)/E414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Row],[S&amp;P 500]]-E415)/E415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Row],[S&amp;P 500]]-E416)/E416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Row],[S&amp;P 500]]-E417)/E417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Row],[S&amp;P 500]]-E418)/E418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Row],[S&amp;P 500]]-E419)/E419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Row],[S&amp;P 500]]-E420)/E420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Row],[S&amp;P 500]]-E421)/E421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Row],[S&amp;P 500]]-E422)/E422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Row],[S&amp;P 500]]-E423)/E423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Row],[S&amp;P 500]]-E424)/E424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Row],[S&amp;P 500]]-E425)/E425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Row],[S&amp;P 500]]-E426)/E426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Row],[S&amp;P 500]]-E427)/E427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Row],[S&amp;P 500]]-E428)/E428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Row],[S&amp;P 500]]-E429)/E429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Row],[S&amp;P 500]]-E430)/E430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Row],[S&amp;P 500]]-E431)/E431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Row],[S&amp;P 500]]-E432)/E432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Row],[S&amp;P 500]]-E433)/E433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Row],[S&amp;P 500]]-E434)/E434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Row],[S&amp;P 500]]-E435)/E435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Row],[S&amp;P 500]]-E436)/E436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Row],[S&amp;P 500]]-E437)/E437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Row],[S&amp;P 500]]-E438)/E438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Row],[S&amp;P 500]]-E439)/E439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Row],[S&amp;P 500]]-E440)/E440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Row],[S&amp;P 500]]-E441)/E441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Row],[S&amp;P 500]]-E442)/E442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Row],[S&amp;P 500]]-E443)/E443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Row],[S&amp;P 500]]-E444)/E444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Row],[S&amp;P 500]]-E445)/E445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Row],[S&amp;P 500]]-E446)/E446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Row],[S&amp;P 500]]-E447)/E447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Row],[S&amp;P 500]]-E448)/E448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Row],[S&amp;P 500]]-E449)/E449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Row],[S&amp;P 500]]-E450)/E450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Row],[S&amp;P 500]]-E451)/E451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Row],[S&amp;P 500]]-E452)/E452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Row],[S&amp;P 500]]-E453)/E453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Row],[S&amp;P 500]]-E454)/E454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Row],[S&amp;P 500]]-E455)/E455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Row],[S&amp;P 500]]-E456)/E456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Row],[S&amp;P 500]]-E457)/E457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Row],[S&amp;P 500]]-E458)/E458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Row],[S&amp;P 500]]-E459)/E459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Row],[S&amp;P 500]]-E460)/E460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Row],[S&amp;P 500]]-E461)/E461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Row],[S&amp;P 500]]-E462)/E462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Row],[S&amp;P 500]]-E463)/E463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Row],[S&amp;P 500]]-E464)/E464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Row],[S&amp;P 500]]-E465)/E465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Row],[S&amp;P 500]]-E466)/E466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Row],[S&amp;P 500]]-E467)/E467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Row],[S&amp;P 500]]-E468)/E468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Row],[S&amp;P 500]]-E469)/E469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Row],[S&amp;P 500]]-E470)/E470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Row],[S&amp;P 500]]-E471)/E471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Row],[S&amp;P 500]]-E472)/E472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Row],[S&amp;P 500]]-E473)/E473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Row],[S&amp;P 500]]-E474)/E474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Row],[S&amp;P 500]]-E475)/E475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Row],[S&amp;P 500]]-E476)/E476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Row],[S&amp;P 500]]-E477)/E477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Row],[S&amp;P 500]]-E478)/E478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Row],[S&amp;P 500]]-E479)/E479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Row],[S&amp;P 500]]-E480)/E480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Row],[S&amp;P 500]]-E481)/E481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Row],[S&amp;P 500]]-E482)/E482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Row],[S&amp;P 500]]-E483)/E483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Row],[S&amp;P 500]]-E484)/E484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Row],[S&amp;P 500]]-E485)/E485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Row],[S&amp;P 500]]-E486)/E486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Row],[S&amp;P 500]]-E487)/E487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Row],[S&amp;P 500]]-E488)/E488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Row],[S&amp;P 500]]-E489)/E489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Row],[S&amp;P 500]]-E490)/E490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Row],[S&amp;P 500]]-E491)/E491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Row],[S&amp;P 500]]-E492)/E492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Row],[S&amp;P 500]]-E493)/E493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Row],[S&amp;P 500]]-E494)/E494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Row],[S&amp;P 500]]-E495)/E495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Row],[S&amp;P 500]]-E496)/E496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Row],[S&amp;P 500]]-E497)/E497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Row],[S&amp;P 500]]-E498)/E498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Row],[S&amp;P 500]]-E499)/E499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Row],[S&amp;P 500]]-E500)/E500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Row],[S&amp;P 500]]-E501)/E501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Row],[S&amp;P 500]]-E502)/E502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Row],[S&amp;P 500]]-E503)/E503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Row],[S&amp;P 500]]-E504)/E504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Row],[S&amp;P 500]]-E505)/E505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Row],[S&amp;P 500]]-E506)/E506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Row],[S&amp;P 500]]-E507)/E507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Row],[S&amp;P 500]]-E508)/E508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Row],[S&amp;P 500]]-E509)/E509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Row],[S&amp;P 500]]-E510)/E510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Row],[S&amp;P 500]]-E511)/E511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Row],[S&amp;P 500]]-E512)/E512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Row],[S&amp;P 500]]-E513)/E513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Row],[S&amp;P 500]]-E514)/E514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Row],[S&amp;P 500]]-E515)/E515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Row],[S&amp;P 500]]-E516)/E516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Row],[S&amp;P 500]]-E517)/E517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Row],[S&amp;P 500]]-E518)/E518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Row],[S&amp;P 500]]-E519)/E519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Row],[S&amp;P 500]]-E520)/E520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Row],[S&amp;P 500]]-E521)/E521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Row],[S&amp;P 500]]-E522)/E522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Row],[S&amp;P 500]]-E523)/E523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Row],[S&amp;P 500]]-E524)/E524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Row],[S&amp;P 500]]-E525)/E525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Row],[S&amp;P 500]]-E526)/E526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Row],[S&amp;P 500]]-E527)/E527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Row],[S&amp;P 500]]-E528)/E528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Row],[S&amp;P 500]]-E529)/E529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Row],[S&amp;P 500]]-E530)/E530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Row],[S&amp;P 500]]-E531)/E531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Row],[S&amp;P 500]]-E532)/E532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Row],[S&amp;P 500]]-E533)/E533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Row],[S&amp;P 500]]-E534)/E534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Row],[S&amp;P 500]]-E535)/E535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Row],[S&amp;P 500]]-E536)/E536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Row],[S&amp;P 500]]-E537)/E537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Row],[S&amp;P 500]]-E538)/E538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Row],[S&amp;P 500]]-E539)/E539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Row],[S&amp;P 500]]-E540)/E540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Row],[S&amp;P 500]]-E541)/E541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Row],[S&amp;P 500]]-E542)/E542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Row],[S&amp;P 500]]-E543)/E543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Row],[S&amp;P 500]]-E544)/E544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Row],[S&amp;P 500]]-E545)/E545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Row],[S&amp;P 500]]-E546)/E546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Row],[S&amp;P 500]]-E547)/E547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Row],[S&amp;P 500]]-E548)/E548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Row],[S&amp;P 500]]-E549)/E549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Row],[S&amp;P 500]]-E550)/E550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Row],[S&amp;P 500]]-E551)/E551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Row],[S&amp;P 500]]-E552)/E552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Row],[S&amp;P 500]]-E553)/E553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Row],[S&amp;P 500]]-E554)/E554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Row],[S&amp;P 500]]-E555)/E555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Row],[S&amp;P 500]]-E556)/E556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Row],[S&amp;P 500]]-E557)/E557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Row],[S&amp;P 500]]-E558)/E558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Row],[S&amp;P 500]]-E559)/E559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Row],[S&amp;P 500]]-E560)/E560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Row],[S&amp;P 500]]-E561)/E561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Row],[S&amp;P 500]]-E562)/E562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Row],[S&amp;P 500]]-E563)/E563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Row],[S&amp;P 500]]-E564)/E564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Row],[S&amp;P 500]]-E565)/E565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Row],[S&amp;P 500]]-E566)/E566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Row],[S&amp;P 500]]-E567)/E567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Row],[S&amp;P 500]]-E568)/E568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Row],[S&amp;P 500]]-E569)/E569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Row],[S&amp;P 500]]-E570)/E570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Row],[S&amp;P 500]]-E571)/E571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Row],[S&amp;P 500]]-E572)/E572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Row],[S&amp;P 500]]-E573)/E573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Row],[S&amp;P 500]]-E574)/E574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Row],[S&amp;P 500]]-E575)/E575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Row],[S&amp;P 500]]-E576)/E576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Row],[S&amp;P 500]]-E577)/E577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Row],[S&amp;P 500]]-E578)/E578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Row],[S&amp;P 500]]-E579)/E579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Row],[S&amp;P 500]]-E580)/E580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Row],[S&amp;P 500]]-E581)/E581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Row],[S&amp;P 500]]-E582)/E582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Row],[S&amp;P 500]]-E583)/E583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Row],[S&amp;P 500]]-E584)/E584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Row],[S&amp;P 500]]-E585)/E585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Row],[S&amp;P 500]]-E586)/E586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Row],[S&amp;P 500]]-E587)/E587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Row],[S&amp;P 500]]-E588)/E588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Row],[S&amp;P 500]]-E589)/E589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Row],[S&amp;P 500]]-E590)/E590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Row],[S&amp;P 500]]-E591)/E591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Row],[S&amp;P 500]]-E592)/E592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Row],[S&amp;P 500]]-E593)/E593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Row],[S&amp;P 500]]-E594)/E594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Row],[S&amp;P 500]]-E595)/E595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Row],[S&amp;P 500]]-E596)/E596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Row],[S&amp;P 500]]-E597)/E597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Row],[S&amp;P 500]]-E598)/E598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Row],[S&amp;P 500]]-E599)/E599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Row],[S&amp;P 500]]-E600)/E600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Row],[S&amp;P 500]]-E601)/E601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Row],[S&amp;P 500]]-E602)/E602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Row],[S&amp;P 500]]-E603)/E603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Row],[S&amp;P 500]]-E604)/E604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Row],[S&amp;P 500]]-E605)/E605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Row],[S&amp;P 500]]-E606)/E606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Row],[S&amp;P 500]]-E607)/E607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Row],[S&amp;P 500]]-E608)/E608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Row],[S&amp;P 500]]-E609)/E609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Row],[S&amp;P 500]]-E610)/E610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Row],[S&amp;P 500]]-E611)/E611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Row],[S&amp;P 500]]-E612)/E612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Row],[S&amp;P 500]]-E613)/E613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Row],[S&amp;P 500]]-E614)/E614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Row],[S&amp;P 500]]-E615)/E615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Row],[S&amp;P 500]]-E616)/E616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Row],[S&amp;P 500]]-E617)/E617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Row],[S&amp;P 500]]-E618)/E618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Row],[S&amp;P 500]]-E619)/E619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Row],[S&amp;P 500]]-E620)/E620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Row],[S&amp;P 500]]-E621)/E621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Row],[S&amp;P 500]]-E622)/E622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Row],[S&amp;P 500]]-E623)/E623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Row],[S&amp;P 500]]-E624)/E624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Row],[S&amp;P 500]]-E625)/E625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Row],[S&amp;P 500]]-E626)/E626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Row],[S&amp;P 500]]-E627)/E627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Row],[S&amp;P 500]]-E628)/E628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Row],[S&amp;P 500]]-E629)/E629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Row],[S&amp;P 500]]-E630)/E630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Row],[S&amp;P 500]]-E631)/E631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Row],[S&amp;P 500]]-E632)/E632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Row],[S&amp;P 500]]-E633)/E633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Row],[S&amp;P 500]]-E634)/E634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Row],[S&amp;P 500]]-E635)/E635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Row],[S&amp;P 500]]-E636)/E636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Row],[S&amp;P 500]]-E637)/E637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Row],[S&amp;P 500]]-E638)/E638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Row],[S&amp;P 500]]-E639)/E639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Row],[S&amp;P 500]]-E640)/E640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Row],[S&amp;P 500]]-E641)/E641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Row],[S&amp;P 500]]-E642)/E642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Row],[S&amp;P 500]]-E643)/E643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Row],[S&amp;P 500]]-E644)/E644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Row],[S&amp;P 500]]-E645)/E645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Row],[S&amp;P 500]]-E646)/E646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Row],[S&amp;P 500]]-E647)/E647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Row],[S&amp;P 500]]-E648)/E648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Row],[S&amp;P 500]]-E649)/E649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Row],[S&amp;P 500]]-E650)/E650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Row],[S&amp;P 500]]-E651)/E651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Row],[S&amp;P 500]]-E652)/E652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Row],[S&amp;P 500]]-E653)/E653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Row],[S&amp;P 500]]-E654)/E654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Row],[S&amp;P 500]]-E655)/E655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Row],[S&amp;P 500]]-E656)/E656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Row],[S&amp;P 500]]-E657)/E657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Row],[S&amp;P 500]]-E658)/E658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Row],[S&amp;P 500]]-E659)/E659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Row],[S&amp;P 500]]-E660)/E660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Row],[S&amp;P 500]]-E661)/E661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Row],[S&amp;P 500]]-E662)/E662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Row],[S&amp;P 500]]-E663)/E663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Row],[S&amp;P 500]]-E664)/E664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Row],[S&amp;P 500]]-E665)/E665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Row],[S&amp;P 500]]-E666)/E666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Row],[S&amp;P 500]]-E667)/E667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Row],[S&amp;P 500]]-E668)/E668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Row],[S&amp;P 500]]-E669)/E669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Row],[S&amp;P 500]]-E670)/E670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Row],[S&amp;P 500]]-E671)/E671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Row],[S&amp;P 500]]-E672)/E672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Row],[S&amp;P 500]]-E673)/E673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Row],[S&amp;P 500]]-E674)/E674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Row],[S&amp;P 500]]-E675)/E675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Row],[S&amp;P 500]]-E676)/E676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Row],[S&amp;P 500]]-E677)/E677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Row],[S&amp;P 500]]-E678)/E678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Row],[S&amp;P 500]]-E679)/E679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Row],[S&amp;P 500]]-E680)/E680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Row],[S&amp;P 500]]-E681)/E681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Row],[S&amp;P 500]]-E682)/E682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Row],[S&amp;P 500]]-E683)/E683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Row],[S&amp;P 500]]-E684)/E684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Row],[S&amp;P 500]]-E685)/E685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Row],[S&amp;P 500]]-E686)/E686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Row],[S&amp;P 500]]-E687)/E687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Row],[S&amp;P 500]]-E688)/E688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Row],[S&amp;P 500]]-E689)/E689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Row],[S&amp;P 500]]-E690)/E690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Row],[S&amp;P 500]]-E691)/E691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Row],[S&amp;P 500]]-E692)/E692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Row],[S&amp;P 500]]-E693)/E693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Row],[S&amp;P 500]]-E694)/E694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Row],[S&amp;P 500]]-E695)/E695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Row],[S&amp;P 500]]-E696)/E696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Row],[S&amp;P 500]]-E697)/E697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Row],[S&amp;P 500]]-E698)/E698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Row],[S&amp;P 500]]-E699)/E699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Row],[S&amp;P 500]]-E700)/E700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Row],[S&amp;P 500]]-E701)/E701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Row],[S&amp;P 500]]-E702)/E702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Row],[S&amp;P 500]]-E703)/E703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Row],[S&amp;P 500]]-E704)/E704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Row],[S&amp;P 500]]-E705)/E705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Row],[S&amp;P 500]]-E706)/E706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Row],[S&amp;P 500]]-E707)/E707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Row],[S&amp;P 500]]-E708)/E708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Row],[S&amp;P 500]]-E709)/E709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Row],[S&amp;P 500]]-E710)/E710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Row],[S&amp;P 500]]-E711)/E711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Row],[S&amp;P 500]]-E712)/E712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Row],[S&amp;P 500]]-E713)/E713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Row],[S&amp;P 500]]-E714)/E714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Row],[S&amp;P 500]]-E715)/E715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Row],[S&amp;P 500]]-E716)/E716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Row],[S&amp;P 500]]-E717)/E717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Row],[S&amp;P 500]]-E718)/E718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Row],[S&amp;P 500]]-E719)/E719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Row],[S&amp;P 500]]-E720)/E720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Row],[S&amp;P 500]]-E721)/E721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Row],[S&amp;P 500]]-E722)/E722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Row],[S&amp;P 500]]-E723)/E723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Row],[S&amp;P 500]]-E724)/E724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Row],[S&amp;P 500]]-E725)/E725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Row],[S&amp;P 500]]-E726)/E726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Row],[S&amp;P 500]]-E727)/E727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Row],[S&amp;P 500]]-E728)/E728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Row],[S&amp;P 500]]-E729)/E729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Row],[S&amp;P 500]]-E730)/E730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Row],[S&amp;P 500]]-E731)/E731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Row],[S&amp;P 500]]-E732)/E732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Row],[S&amp;P 500]]-E733)/E733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Row],[S&amp;P 500]]-E734)/E734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Row],[S&amp;P 500]]-E735)/E735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Row],[S&amp;P 500]]-E736)/E736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Row],[S&amp;P 500]]-E737)/E737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Row],[S&amp;P 500]]-E738)/E738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Row],[S&amp;P 500]]-E739)/E739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Row],[S&amp;P 500]]-E740)/E740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Row],[S&amp;P 500]]-E741)/E741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Row],[S&amp;P 500]]-E742)/E742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Row],[S&amp;P 500]]-E743)/E743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Row],[S&amp;P 500]]-E744)/E744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Row],[S&amp;P 500]]-E745)/E745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Row],[S&amp;P 500]]-E746)/E746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Row],[S&amp;P 500]]-E747)/E747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Row],[S&amp;P 500]]-E748)/E748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Row],[S&amp;P 500]]-E749)/E749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Row],[S&amp;P 500]]-E750)/E750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Row],[S&amp;P 500]]-E751)/E751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Row],[S&amp;P 500]]-E752)/E752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Row],[S&amp;P 500]]-E753)/E753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Row],[S&amp;P 500]]-E754)/E754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Row],[S&amp;P 500]]-E755)/E755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Row],[S&amp;P 500]]-E756)/E756</f>
        <v/>
      </c>
    </row>
  </sheetData>
  <conditionalFormatting sqref="B622:B767">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tableParts count="1">
    <tablePart xmlns:r="http://schemas.openxmlformats.org/officeDocument/2006/relationships" r:id="rId2"/>
  </tableParts>
</worksheet>
</file>

<file path=xl/worksheets/sheet4.xml><?xml version="1.0" encoding="utf-8"?>
<worksheet xmlns="http://schemas.openxmlformats.org/spreadsheetml/2006/main">
  <sheetPr>
    <outlinePr summaryBelow="1" summaryRight="1"/>
    <pageSetUpPr/>
  </sheetPr>
  <dimension ref="A1:D273"/>
  <sheetViews>
    <sheetView zoomScale="150" zoomScaleNormal="150" workbookViewId="0">
      <pane ySplit="6" topLeftCell="A260" activePane="bottomLeft" state="frozen"/>
      <selection activeCell="M746" sqref="M746"/>
      <selection pane="bottomLeft" activeCell="I275" sqref="I275"/>
    </sheetView>
  </sheetViews>
  <sheetFormatPr baseColWidth="10" defaultColWidth="9.1640625" defaultRowHeight="15"/>
  <cols>
    <col width="14.1640625" customWidth="1" style="16" min="1" max="1"/>
    <col width="16" customWidth="1" style="16" min="2" max="4"/>
    <col width="9.1640625" customWidth="1" style="55" min="5" max="22"/>
    <col width="9.1640625" customWidth="1" style="55" min="23"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sheetData>
  <conditionalFormatting sqref="B127:B27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37"/>
  <sheetViews>
    <sheetView tabSelected="1" zoomScale="170" zoomScaleNormal="170" workbookViewId="0">
      <pane ySplit="6" topLeftCell="A522" activePane="bottomLeft" state="frozen"/>
      <selection activeCell="M746" sqref="M746"/>
      <selection pane="bottomLeft" activeCell="F540" sqref="F540"/>
    </sheetView>
  </sheetViews>
  <sheetFormatPr baseColWidth="10" defaultColWidth="9.1640625" defaultRowHeight="15"/>
  <cols>
    <col width="11.6640625" customWidth="1" style="16" min="1" max="1"/>
    <col width="15" customWidth="1" style="16" min="2" max="4"/>
    <col width="9.1640625" customWidth="1" style="55" min="5" max="22"/>
    <col width="9.1640625" customWidth="1" style="55" min="23"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q0q %</t>
        </is>
      </c>
    </row>
    <row r="7">
      <c r="A7" s="23" t="n">
        <v>28491</v>
      </c>
      <c r="B7" s="18">
        <f>VLOOKUP(Table48[[#This Row],[Date]],'DB LEI'!$A:$F,5)</f>
        <v/>
      </c>
      <c r="C7" s="24">
        <f>IF(VLOOKUP(Table48[[#This Row],[Date]],'DB LEI'!$A:$I,9)=0,"",VLOOKUP(Table48[[#This Row],[Date]],'DB LEI'!$A:$I,9))</f>
        <v/>
      </c>
      <c r="D7" s="24">
        <f>IF(VLOOKUP(Table48[[#This Row],[Date]],'DB LEI'!$A:$I,8)=0,"",VLOOKUP(Table48[[#This Row],[Date]],'DB LEI'!$A:$I,8))</f>
        <v/>
      </c>
    </row>
    <row r="8">
      <c r="A8" s="23" t="n">
        <v>28522</v>
      </c>
      <c r="B8" s="18">
        <f>VLOOKUP(Table48[[#This Row],[Date]],'DB LEI'!$A:$F,5)</f>
        <v/>
      </c>
      <c r="C8" s="24">
        <f>IF(VLOOKUP(Table48[[#This Row],[Date]],'DB LEI'!$A:$I,9)=0,"",VLOOKUP(Table48[[#This Row],[Date]],'DB LEI'!$A:$I,9))</f>
        <v/>
      </c>
      <c r="D8" s="24">
        <f>IF(VLOOKUP(Table48[[#This Row],[Date]],'DB LEI'!$A:$I,8)=0,"",VLOOKUP(Table48[[#This Row],[Date]],'DB LEI'!$A:$I,8))</f>
        <v/>
      </c>
    </row>
    <row r="9">
      <c r="A9" s="23" t="n">
        <v>28550</v>
      </c>
      <c r="B9" s="18">
        <f>VLOOKUP(Table48[[#This Row],[Date]],'DB LEI'!$A:$F,5)</f>
        <v/>
      </c>
      <c r="C9" s="24">
        <f>IF(VLOOKUP(Table48[[#This Row],[Date]],'DB LEI'!$A:$I,9)=0,"",VLOOKUP(Table48[[#This Row],[Date]],'DB LEI'!$A:$I,9))</f>
        <v/>
      </c>
      <c r="D9" s="24">
        <f>IF(VLOOKUP(Table48[[#This Row],[Date]],'DB LEI'!$A:$I,8)=0,"",VLOOKUP(Table48[[#This Row],[Date]],'DB LEI'!$A:$I,8))</f>
        <v/>
      </c>
    </row>
    <row r="10">
      <c r="A10" s="23" t="n">
        <v>28581</v>
      </c>
      <c r="B10" s="18">
        <f>VLOOKUP(Table48[[#This Row],[Date]],'DB LEI'!$A:$F,5)</f>
        <v/>
      </c>
      <c r="C10" s="24">
        <f>IF(VLOOKUP(Table48[[#This Row],[Date]],'DB LEI'!$A:$I,9)=0,"",VLOOKUP(Table48[[#This Row],[Date]],'DB LEI'!$A:$I,9))</f>
        <v/>
      </c>
      <c r="D10" s="24">
        <f>IF(VLOOKUP(Table48[[#This Row],[Date]],'DB LEI'!$A:$I,8)=0,"",VLOOKUP(Table48[[#This Row],[Date]],'DB LEI'!$A:$I,8))</f>
        <v/>
      </c>
    </row>
    <row r="11">
      <c r="A11" s="23" t="n">
        <v>28611</v>
      </c>
      <c r="B11" s="18">
        <f>VLOOKUP(Table48[[#This Row],[Date]],'DB LEI'!$A:$F,5)</f>
        <v/>
      </c>
      <c r="C11" s="24">
        <f>IF(VLOOKUP(Table48[[#This Row],[Date]],'DB LEI'!$A:$I,9)=0,"",VLOOKUP(Table48[[#This Row],[Date]],'DB LEI'!$A:$I,9))</f>
        <v/>
      </c>
      <c r="D11" s="24">
        <f>IF(VLOOKUP(Table48[[#This Row],[Date]],'DB LEI'!$A:$I,8)=0,"",VLOOKUP(Table48[[#This Row],[Date]],'DB LEI'!$A:$I,8))</f>
        <v/>
      </c>
    </row>
    <row r="12">
      <c r="A12" s="23" t="n">
        <v>28642</v>
      </c>
      <c r="B12" s="18">
        <f>VLOOKUP(Table48[[#This Row],[Date]],'DB LEI'!$A:$F,5)</f>
        <v/>
      </c>
      <c r="C12" s="24">
        <f>IF(VLOOKUP(Table48[[#This Row],[Date]],'DB LEI'!$A:$I,9)=0,"",VLOOKUP(Table48[[#This Row],[Date]],'DB LEI'!$A:$I,9))</f>
        <v/>
      </c>
      <c r="D12" s="24">
        <f>IF(VLOOKUP(Table48[[#This Row],[Date]],'DB LEI'!$A:$I,8)=0,"",VLOOKUP(Table48[[#This Row],[Date]],'DB LEI'!$A:$I,8))</f>
        <v/>
      </c>
    </row>
    <row r="13">
      <c r="A13" s="23" t="n">
        <v>28672</v>
      </c>
      <c r="B13" s="18">
        <f>VLOOKUP(Table48[[#This Row],[Date]],'DB LEI'!$A:$F,5)</f>
        <v/>
      </c>
      <c r="C13" s="24">
        <f>IF(VLOOKUP(Table48[[#This Row],[Date]],'DB LEI'!$A:$I,9)=0,"",VLOOKUP(Table48[[#This Row],[Date]],'DB LEI'!$A:$I,9))</f>
        <v/>
      </c>
      <c r="D13" s="24">
        <f>IF(VLOOKUP(Table48[[#This Row],[Date]],'DB LEI'!$A:$I,8)=0,"",VLOOKUP(Table48[[#This Row],[Date]],'DB LEI'!$A:$I,8))</f>
        <v/>
      </c>
    </row>
    <row r="14">
      <c r="A14" s="23" t="n">
        <v>28703</v>
      </c>
      <c r="B14" s="18">
        <f>VLOOKUP(Table48[[#This Row],[Date]],'DB LEI'!$A:$F,5)</f>
        <v/>
      </c>
      <c r="C14" s="24">
        <f>IF(VLOOKUP(Table48[[#This Row],[Date]],'DB LEI'!$A:$I,9)=0,"",VLOOKUP(Table48[[#This Row],[Date]],'DB LEI'!$A:$I,9))</f>
        <v/>
      </c>
      <c r="D14" s="24">
        <f>IF(VLOOKUP(Table48[[#This Row],[Date]],'DB LEI'!$A:$I,8)=0,"",VLOOKUP(Table48[[#This Row],[Date]],'DB LEI'!$A:$I,8))</f>
        <v/>
      </c>
    </row>
    <row r="15">
      <c r="A15" s="23" t="n">
        <v>28734</v>
      </c>
      <c r="B15" s="18">
        <f>VLOOKUP(Table48[[#This Row],[Date]],'DB LEI'!$A:$F,5)</f>
        <v/>
      </c>
      <c r="C15" s="24">
        <f>IF(VLOOKUP(Table48[[#This Row],[Date]],'DB LEI'!$A:$I,9)=0,"",VLOOKUP(Table48[[#This Row],[Date]],'DB LEI'!$A:$I,9))</f>
        <v/>
      </c>
      <c r="D15" s="24">
        <f>IF(VLOOKUP(Table48[[#This Row],[Date]],'DB LEI'!$A:$I,8)=0,"",VLOOKUP(Table48[[#This Row],[Date]],'DB LEI'!$A:$I,8))</f>
        <v/>
      </c>
    </row>
    <row r="16">
      <c r="A16" s="23" t="n">
        <v>28764</v>
      </c>
      <c r="B16" s="18">
        <f>VLOOKUP(Table48[[#This Row],[Date]],'DB LEI'!$A:$F,5)</f>
        <v/>
      </c>
      <c r="C16" s="24">
        <f>IF(VLOOKUP(Table48[[#This Row],[Date]],'DB LEI'!$A:$I,9)=0,"",VLOOKUP(Table48[[#This Row],[Date]],'DB LEI'!$A:$I,9))</f>
        <v/>
      </c>
      <c r="D16" s="24">
        <f>IF(VLOOKUP(Table48[[#This Row],[Date]],'DB LEI'!$A:$I,8)=0,"",VLOOKUP(Table48[[#This Row],[Date]],'DB LEI'!$A:$I,8))</f>
        <v/>
      </c>
    </row>
    <row r="17">
      <c r="A17" s="23" t="n">
        <v>28795</v>
      </c>
      <c r="B17" s="18">
        <f>VLOOKUP(Table48[[#This Row],[Date]],'DB LEI'!$A:$F,5)</f>
        <v/>
      </c>
      <c r="C17" s="24">
        <f>IF(VLOOKUP(Table48[[#This Row],[Date]],'DB LEI'!$A:$I,9)=0,"",VLOOKUP(Table48[[#This Row],[Date]],'DB LEI'!$A:$I,9))</f>
        <v/>
      </c>
      <c r="D17" s="24">
        <f>IF(VLOOKUP(Table48[[#This Row],[Date]],'DB LEI'!$A:$I,8)=0,"",VLOOKUP(Table48[[#This Row],[Date]],'DB LEI'!$A:$I,8))</f>
        <v/>
      </c>
    </row>
    <row r="18">
      <c r="A18" s="23" t="n">
        <v>28825</v>
      </c>
      <c r="B18" s="18">
        <f>VLOOKUP(Table48[[#This Row],[Date]],'DB LEI'!$A:$F,5)</f>
        <v/>
      </c>
      <c r="C18" s="24">
        <f>IF(VLOOKUP(Table48[[#This Row],[Date]],'DB LEI'!$A:$I,9)=0,"",VLOOKUP(Table48[[#This Row],[Date]],'DB LEI'!$A:$I,9))</f>
        <v/>
      </c>
      <c r="D18" s="24">
        <f>IF(VLOOKUP(Table48[[#This Row],[Date]],'DB LEI'!$A:$I,8)=0,"",VLOOKUP(Table48[[#This Row],[Date]],'DB LEI'!$A:$I,8))</f>
        <v/>
      </c>
    </row>
    <row r="19">
      <c r="A19" s="23" t="n">
        <v>28856</v>
      </c>
      <c r="B19" s="18">
        <f>VLOOKUP(Table48[[#This Row],[Date]],'DB LEI'!$A:$F,5)</f>
        <v/>
      </c>
      <c r="C19" s="24">
        <f>IF(VLOOKUP(Table48[[#This Row],[Date]],'DB LEI'!$A:$I,9)=0,"",VLOOKUP(Table48[[#This Row],[Date]],'DB LEI'!$A:$I,9))</f>
        <v/>
      </c>
      <c r="D19" s="24">
        <f>IF(VLOOKUP(Table48[[#This Row],[Date]],'DB LEI'!$A:$I,8)=0,"",VLOOKUP(Table48[[#This Row],[Date]],'DB LEI'!$A:$I,8))</f>
        <v/>
      </c>
    </row>
    <row r="20">
      <c r="A20" s="23" t="n">
        <v>28887</v>
      </c>
      <c r="B20" s="18">
        <f>VLOOKUP(Table48[[#This Row],[Date]],'DB LEI'!$A:$F,5)</f>
        <v/>
      </c>
      <c r="C20" s="24">
        <f>IF(VLOOKUP(Table48[[#This Row],[Date]],'DB LEI'!$A:$I,9)=0,"",VLOOKUP(Table48[[#This Row],[Date]],'DB LEI'!$A:$I,9))</f>
        <v/>
      </c>
      <c r="D20" s="24">
        <f>IF(VLOOKUP(Table48[[#This Row],[Date]],'DB LEI'!$A:$I,8)=0,"",VLOOKUP(Table48[[#This Row],[Date]],'DB LEI'!$A:$I,8))</f>
        <v/>
      </c>
    </row>
    <row r="21">
      <c r="A21" s="23" t="n">
        <v>28915</v>
      </c>
      <c r="B21" s="18">
        <f>VLOOKUP(Table48[[#This Row],[Date]],'DB LEI'!$A:$F,5)</f>
        <v/>
      </c>
      <c r="C21" s="24">
        <f>IF(VLOOKUP(Table48[[#This Row],[Date]],'DB LEI'!$A:$I,9)=0,"",VLOOKUP(Table48[[#This Row],[Date]],'DB LEI'!$A:$I,9))</f>
        <v/>
      </c>
      <c r="D21" s="24">
        <f>IF(VLOOKUP(Table48[[#This Row],[Date]],'DB LEI'!$A:$I,8)=0,"",VLOOKUP(Table48[[#This Row],[Date]],'DB LEI'!$A:$I,8))</f>
        <v/>
      </c>
    </row>
    <row r="22">
      <c r="A22" s="23" t="n">
        <v>28946</v>
      </c>
      <c r="B22" s="18">
        <f>VLOOKUP(Table48[[#This Row],[Date]],'DB LEI'!$A:$F,5)</f>
        <v/>
      </c>
      <c r="C22" s="24">
        <f>IF(VLOOKUP(Table48[[#This Row],[Date]],'DB LEI'!$A:$I,9)=0,"",VLOOKUP(Table48[[#This Row],[Date]],'DB LEI'!$A:$I,9))</f>
        <v/>
      </c>
      <c r="D22" s="24">
        <f>IF(VLOOKUP(Table48[[#This Row],[Date]],'DB LEI'!$A:$I,8)=0,"",VLOOKUP(Table48[[#This Row],[Date]],'DB LEI'!$A:$I,8))</f>
        <v/>
      </c>
    </row>
    <row r="23">
      <c r="A23" s="23" t="n">
        <v>28976</v>
      </c>
      <c r="B23" s="18">
        <f>VLOOKUP(Table48[[#This Row],[Date]],'DB LEI'!$A:$F,5)</f>
        <v/>
      </c>
      <c r="C23" s="24">
        <f>IF(VLOOKUP(Table48[[#This Row],[Date]],'DB LEI'!$A:$I,9)=0,"",VLOOKUP(Table48[[#This Row],[Date]],'DB LEI'!$A:$I,9))</f>
        <v/>
      </c>
      <c r="D23" s="24">
        <f>IF(VLOOKUP(Table48[[#This Row],[Date]],'DB LEI'!$A:$I,8)=0,"",VLOOKUP(Table48[[#This Row],[Date]],'DB LEI'!$A:$I,8))</f>
        <v/>
      </c>
    </row>
    <row r="24">
      <c r="A24" s="23" t="n">
        <v>29007</v>
      </c>
      <c r="B24" s="18">
        <f>VLOOKUP(Table48[[#This Row],[Date]],'DB LEI'!$A:$F,5)</f>
        <v/>
      </c>
      <c r="C24" s="24">
        <f>IF(VLOOKUP(Table48[[#This Row],[Date]],'DB LEI'!$A:$I,9)=0,"",VLOOKUP(Table48[[#This Row],[Date]],'DB LEI'!$A:$I,9))</f>
        <v/>
      </c>
      <c r="D24" s="24">
        <f>IF(VLOOKUP(Table48[[#This Row],[Date]],'DB LEI'!$A:$I,8)=0,"",VLOOKUP(Table48[[#This Row],[Date]],'DB LEI'!$A:$I,8))</f>
        <v/>
      </c>
    </row>
    <row r="25">
      <c r="A25" s="23" t="n">
        <v>29037</v>
      </c>
      <c r="B25" s="18">
        <f>VLOOKUP(Table48[[#This Row],[Date]],'DB LEI'!$A:$F,5)</f>
        <v/>
      </c>
      <c r="C25" s="24">
        <f>IF(VLOOKUP(Table48[[#This Row],[Date]],'DB LEI'!$A:$I,9)=0,"",VLOOKUP(Table48[[#This Row],[Date]],'DB LEI'!$A:$I,9))</f>
        <v/>
      </c>
      <c r="D25" s="24">
        <f>IF(VLOOKUP(Table48[[#This Row],[Date]],'DB LEI'!$A:$I,8)=0,"",VLOOKUP(Table48[[#This Row],[Date]],'DB LEI'!$A:$I,8))</f>
        <v/>
      </c>
    </row>
    <row r="26">
      <c r="A26" s="23" t="n">
        <v>29068</v>
      </c>
      <c r="B26" s="18">
        <f>VLOOKUP(Table48[[#This Row],[Date]],'DB LEI'!$A:$F,5)</f>
        <v/>
      </c>
      <c r="C26" s="24">
        <f>IF(VLOOKUP(Table48[[#This Row],[Date]],'DB LEI'!$A:$I,9)=0,"",VLOOKUP(Table48[[#This Row],[Date]],'DB LEI'!$A:$I,9))</f>
        <v/>
      </c>
      <c r="D26" s="24">
        <f>IF(VLOOKUP(Table48[[#This Row],[Date]],'DB LEI'!$A:$I,8)=0,"",VLOOKUP(Table48[[#This Row],[Date]],'DB LEI'!$A:$I,8))</f>
        <v/>
      </c>
    </row>
    <row r="27">
      <c r="A27" s="23" t="n">
        <v>29099</v>
      </c>
      <c r="B27" s="18">
        <f>VLOOKUP(Table48[[#This Row],[Date]],'DB LEI'!$A:$F,5)</f>
        <v/>
      </c>
      <c r="C27" s="24">
        <f>IF(VLOOKUP(Table48[[#This Row],[Date]],'DB LEI'!$A:$I,9)=0,"",VLOOKUP(Table48[[#This Row],[Date]],'DB LEI'!$A:$I,9))</f>
        <v/>
      </c>
      <c r="D27" s="24">
        <f>IF(VLOOKUP(Table48[[#This Row],[Date]],'DB LEI'!$A:$I,8)=0,"",VLOOKUP(Table48[[#This Row],[Date]],'DB LEI'!$A:$I,8))</f>
        <v/>
      </c>
    </row>
    <row r="28">
      <c r="A28" s="23" t="n">
        <v>29129</v>
      </c>
      <c r="B28" s="18">
        <f>VLOOKUP(Table48[[#This Row],[Date]],'DB LEI'!$A:$F,5)</f>
        <v/>
      </c>
      <c r="C28" s="24">
        <f>IF(VLOOKUP(Table48[[#This Row],[Date]],'DB LEI'!$A:$I,9)=0,"",VLOOKUP(Table48[[#This Row],[Date]],'DB LEI'!$A:$I,9))</f>
        <v/>
      </c>
      <c r="D28" s="24">
        <f>IF(VLOOKUP(Table48[[#This Row],[Date]],'DB LEI'!$A:$I,8)=0,"",VLOOKUP(Table48[[#This Row],[Date]],'DB LEI'!$A:$I,8))</f>
        <v/>
      </c>
    </row>
    <row r="29">
      <c r="A29" s="23" t="n">
        <v>29160</v>
      </c>
      <c r="B29" s="18">
        <f>VLOOKUP(Table48[[#This Row],[Date]],'DB LEI'!$A:$F,5)</f>
        <v/>
      </c>
      <c r="C29" s="24">
        <f>IF(VLOOKUP(Table48[[#This Row],[Date]],'DB LEI'!$A:$I,9)=0,"",VLOOKUP(Table48[[#This Row],[Date]],'DB LEI'!$A:$I,9))</f>
        <v/>
      </c>
      <c r="D29" s="24">
        <f>IF(VLOOKUP(Table48[[#This Row],[Date]],'DB LEI'!$A:$I,8)=0,"",VLOOKUP(Table48[[#This Row],[Date]],'DB LEI'!$A:$I,8))</f>
        <v/>
      </c>
    </row>
    <row r="30">
      <c r="A30" s="23" t="n">
        <v>29190</v>
      </c>
      <c r="B30" s="18">
        <f>VLOOKUP(Table48[[#This Row],[Date]],'DB LEI'!$A:$F,5)</f>
        <v/>
      </c>
      <c r="C30" s="24">
        <f>IF(VLOOKUP(Table48[[#This Row],[Date]],'DB LEI'!$A:$I,9)=0,"",VLOOKUP(Table48[[#This Row],[Date]],'DB LEI'!$A:$I,9))</f>
        <v/>
      </c>
      <c r="D30" s="24">
        <f>IF(VLOOKUP(Table48[[#This Row],[Date]],'DB LEI'!$A:$I,8)=0,"",VLOOKUP(Table48[[#This Row],[Date]],'DB LEI'!$A:$I,8))</f>
        <v/>
      </c>
    </row>
    <row r="31">
      <c r="A31" s="23" t="n">
        <v>29221</v>
      </c>
      <c r="B31" s="18">
        <f>VLOOKUP(Table48[[#This Row],[Date]],'DB LEI'!$A:$F,5)</f>
        <v/>
      </c>
      <c r="C31" s="24">
        <f>IF(VLOOKUP(Table48[[#This Row],[Date]],'DB LEI'!$A:$I,9)=0,"",VLOOKUP(Table48[[#This Row],[Date]],'DB LEI'!$A:$I,9))</f>
        <v/>
      </c>
      <c r="D31" s="24">
        <f>IF(VLOOKUP(Table48[[#This Row],[Date]],'DB LEI'!$A:$I,8)=0,"",VLOOKUP(Table48[[#This Row],[Date]],'DB LEI'!$A:$I,8))</f>
        <v/>
      </c>
    </row>
    <row r="32">
      <c r="A32" s="23" t="n">
        <v>29252</v>
      </c>
      <c r="B32" s="18">
        <f>VLOOKUP(Table48[[#This Row],[Date]],'DB LEI'!$A:$F,5)</f>
        <v/>
      </c>
      <c r="C32" s="24">
        <f>IF(VLOOKUP(Table48[[#This Row],[Date]],'DB LEI'!$A:$I,9)=0,"",VLOOKUP(Table48[[#This Row],[Date]],'DB LEI'!$A:$I,9))</f>
        <v/>
      </c>
      <c r="D32" s="24">
        <f>IF(VLOOKUP(Table48[[#This Row],[Date]],'DB LEI'!$A:$I,8)=0,"",VLOOKUP(Table48[[#This Row],[Date]],'DB LEI'!$A:$I,8))</f>
        <v/>
      </c>
    </row>
    <row r="33">
      <c r="A33" s="23" t="n">
        <v>29342</v>
      </c>
      <c r="B33" s="18">
        <f>VLOOKUP(Table48[[#This Row],[Date]],'DB LEI'!$A:$F,5)</f>
        <v/>
      </c>
      <c r="C33" s="24">
        <f>IF(VLOOKUP(Table48[[#This Row],[Date]],'DB LEI'!$A:$I,9)=0,"",VLOOKUP(Table48[[#This Row],[Date]],'DB LEI'!$A:$I,9))</f>
        <v/>
      </c>
      <c r="D33" s="24">
        <f>IF(VLOOKUP(Table48[[#This Row],[Date]],'DB LEI'!$A:$I,8)=0,"",VLOOKUP(Table48[[#This Row],[Date]],'DB LEI'!$A:$I,8))</f>
        <v/>
      </c>
    </row>
    <row r="34">
      <c r="A34" s="23" t="n">
        <v>29312</v>
      </c>
      <c r="B34" s="18">
        <f>VLOOKUP(Table48[[#This Row],[Date]],'DB LEI'!$A:$F,5)</f>
        <v/>
      </c>
      <c r="C34" s="24">
        <f>IF(VLOOKUP(Table48[[#This Row],[Date]],'DB LEI'!$A:$I,9)=0,"",VLOOKUP(Table48[[#This Row],[Date]],'DB LEI'!$A:$I,9))</f>
        <v/>
      </c>
      <c r="D34" s="24">
        <f>IF(VLOOKUP(Table48[[#This Row],[Date]],'DB LEI'!$A:$I,8)=0,"",VLOOKUP(Table48[[#This Row],[Date]],'DB LEI'!$A:$I,8))</f>
        <v/>
      </c>
    </row>
    <row r="35">
      <c r="A35" s="23" t="n">
        <v>29281</v>
      </c>
      <c r="B35" s="18">
        <f>VLOOKUP(Table48[[#This Row],[Date]],'DB LEI'!$A:$F,5)</f>
        <v/>
      </c>
      <c r="C35" s="24">
        <f>IF(VLOOKUP(Table48[[#This Row],[Date]],'DB LEI'!$A:$I,9)=0,"",VLOOKUP(Table48[[#This Row],[Date]],'DB LEI'!$A:$I,9))</f>
        <v/>
      </c>
      <c r="D35" s="24">
        <f>IF(VLOOKUP(Table48[[#This Row],[Date]],'DB LEI'!$A:$I,8)=0,"",VLOOKUP(Table48[[#This Row],[Date]],'DB LEI'!$A:$I,8))</f>
        <v/>
      </c>
    </row>
    <row r="36">
      <c r="A36" s="23" t="n">
        <v>29252</v>
      </c>
      <c r="B36" s="18">
        <f>VLOOKUP(Table48[[#This Row],[Date]],'DB LEI'!$A:$F,5)</f>
        <v/>
      </c>
      <c r="C36" s="24">
        <f>IF(VLOOKUP(Table48[[#This Row],[Date]],'DB LEI'!$A:$I,9)=0,"",VLOOKUP(Table48[[#This Row],[Date]],'DB LEI'!$A:$I,9))</f>
        <v/>
      </c>
      <c r="D36" s="24">
        <f>IF(VLOOKUP(Table48[[#This Row],[Date]],'DB LEI'!$A:$I,8)=0,"",VLOOKUP(Table48[[#This Row],[Date]],'DB LEI'!$A:$I,8))</f>
        <v/>
      </c>
    </row>
    <row r="37">
      <c r="A37" s="23" t="n">
        <v>29403</v>
      </c>
      <c r="B37" s="18">
        <f>VLOOKUP(Table48[[#This Row],[Date]],'DB LEI'!$A:$F,5)</f>
        <v/>
      </c>
      <c r="C37" s="24">
        <f>IF(VLOOKUP(Table48[[#This Row],[Date]],'DB LEI'!$A:$I,9)=0,"",VLOOKUP(Table48[[#This Row],[Date]],'DB LEI'!$A:$I,9))</f>
        <v/>
      </c>
      <c r="D37" s="24">
        <f>IF(VLOOKUP(Table48[[#This Row],[Date]],'DB LEI'!$A:$I,8)=0,"",VLOOKUP(Table48[[#This Row],[Date]],'DB LEI'!$A:$I,8))</f>
        <v/>
      </c>
    </row>
    <row r="38">
      <c r="A38" s="23" t="n">
        <v>29434</v>
      </c>
      <c r="B38" s="18">
        <f>VLOOKUP(Table48[[#This Row],[Date]],'DB LEI'!$A:$F,5)</f>
        <v/>
      </c>
      <c r="C38" s="24">
        <f>IF(VLOOKUP(Table48[[#This Row],[Date]],'DB LEI'!$A:$I,9)=0,"",VLOOKUP(Table48[[#This Row],[Date]],'DB LEI'!$A:$I,9))</f>
        <v/>
      </c>
      <c r="D38" s="24">
        <f>IF(VLOOKUP(Table48[[#This Row],[Date]],'DB LEI'!$A:$I,8)=0,"",VLOOKUP(Table48[[#This Row],[Date]],'DB LEI'!$A:$I,8))</f>
        <v/>
      </c>
    </row>
    <row r="39">
      <c r="A39" s="23" t="n">
        <v>29465</v>
      </c>
      <c r="B39" s="18">
        <f>VLOOKUP(Table48[[#This Row],[Date]],'DB LEI'!$A:$F,5)</f>
        <v/>
      </c>
      <c r="C39" s="24">
        <f>IF(VLOOKUP(Table48[[#This Row],[Date]],'DB LEI'!$A:$I,9)=0,"",VLOOKUP(Table48[[#This Row],[Date]],'DB LEI'!$A:$I,9))</f>
        <v/>
      </c>
      <c r="D39" s="24">
        <f>IF(VLOOKUP(Table48[[#This Row],[Date]],'DB LEI'!$A:$I,8)=0,"",VLOOKUP(Table48[[#This Row],[Date]],'DB LEI'!$A:$I,8))</f>
        <v/>
      </c>
    </row>
    <row r="40">
      <c r="A40" s="23" t="n">
        <v>29495</v>
      </c>
      <c r="B40" s="18">
        <f>VLOOKUP(Table48[[#This Row],[Date]],'DB LEI'!$A:$F,5)</f>
        <v/>
      </c>
      <c r="C40" s="24">
        <f>IF(VLOOKUP(Table48[[#This Row],[Date]],'DB LEI'!$A:$I,9)=0,"",VLOOKUP(Table48[[#This Row],[Date]],'DB LEI'!$A:$I,9))</f>
        <v/>
      </c>
      <c r="D40" s="24">
        <f>IF(VLOOKUP(Table48[[#This Row],[Date]],'DB LEI'!$A:$I,8)=0,"",VLOOKUP(Table48[[#This Row],[Date]],'DB LEI'!$A:$I,8))</f>
        <v/>
      </c>
    </row>
    <row r="41">
      <c r="A41" s="23" t="n">
        <v>29526</v>
      </c>
      <c r="B41" s="18">
        <f>VLOOKUP(Table48[[#This Row],[Date]],'DB LEI'!$A:$F,5)</f>
        <v/>
      </c>
      <c r="C41" s="24">
        <f>IF(VLOOKUP(Table48[[#This Row],[Date]],'DB LEI'!$A:$I,9)=0,"",VLOOKUP(Table48[[#This Row],[Date]],'DB LEI'!$A:$I,9))</f>
        <v/>
      </c>
      <c r="D41" s="24">
        <f>IF(VLOOKUP(Table48[[#This Row],[Date]],'DB LEI'!$A:$I,8)=0,"",VLOOKUP(Table48[[#This Row],[Date]],'DB LEI'!$A:$I,8))</f>
        <v/>
      </c>
    </row>
    <row r="42">
      <c r="A42" s="23" t="n">
        <v>29556</v>
      </c>
      <c r="B42" s="18">
        <f>VLOOKUP(Table48[[#This Row],[Date]],'DB LEI'!$A:$F,5)</f>
        <v/>
      </c>
      <c r="C42" s="24">
        <f>IF(VLOOKUP(Table48[[#This Row],[Date]],'DB LEI'!$A:$I,9)=0,"",VLOOKUP(Table48[[#This Row],[Date]],'DB LEI'!$A:$I,9))</f>
        <v/>
      </c>
      <c r="D42" s="24">
        <f>IF(VLOOKUP(Table48[[#This Row],[Date]],'DB LEI'!$A:$I,8)=0,"",VLOOKUP(Table48[[#This Row],[Date]],'DB LEI'!$A:$I,8))</f>
        <v/>
      </c>
    </row>
    <row r="43">
      <c r="A43" s="23" t="n">
        <v>29587</v>
      </c>
      <c r="B43" s="18">
        <f>VLOOKUP(Table48[[#This Row],[Date]],'DB LEI'!$A:$F,5)</f>
        <v/>
      </c>
      <c r="C43" s="24">
        <f>IF(VLOOKUP(Table48[[#This Row],[Date]],'DB LEI'!$A:$I,9)=0,"",VLOOKUP(Table48[[#This Row],[Date]],'DB LEI'!$A:$I,9))</f>
        <v/>
      </c>
      <c r="D43" s="24">
        <f>IF(VLOOKUP(Table48[[#This Row],[Date]],'DB LEI'!$A:$I,8)=0,"",VLOOKUP(Table48[[#This Row],[Date]],'DB LEI'!$A:$I,8))</f>
        <v/>
      </c>
    </row>
    <row r="44">
      <c r="A44" s="23" t="n">
        <v>29618</v>
      </c>
      <c r="B44" s="18">
        <f>VLOOKUP(Table48[[#This Row],[Date]],'DB LEI'!$A:$F,5)</f>
        <v/>
      </c>
      <c r="C44" s="24">
        <f>IF(VLOOKUP(Table48[[#This Row],[Date]],'DB LEI'!$A:$I,9)=0,"",VLOOKUP(Table48[[#This Row],[Date]],'DB LEI'!$A:$I,9))</f>
        <v/>
      </c>
      <c r="D44" s="24">
        <f>IF(VLOOKUP(Table48[[#This Row],[Date]],'DB LEI'!$A:$I,8)=0,"",VLOOKUP(Table48[[#This Row],[Date]],'DB LEI'!$A:$I,8))</f>
        <v/>
      </c>
    </row>
    <row r="45">
      <c r="A45" s="23" t="n">
        <v>29646</v>
      </c>
      <c r="B45" s="18">
        <f>VLOOKUP(Table48[[#This Row],[Date]],'DB LEI'!$A:$F,5)</f>
        <v/>
      </c>
      <c r="C45" s="24">
        <f>IF(VLOOKUP(Table48[[#This Row],[Date]],'DB LEI'!$A:$I,9)=0,"",VLOOKUP(Table48[[#This Row],[Date]],'DB LEI'!$A:$I,9))</f>
        <v/>
      </c>
      <c r="D45" s="24">
        <f>IF(VLOOKUP(Table48[[#This Row],[Date]],'DB LEI'!$A:$I,8)=0,"",VLOOKUP(Table48[[#This Row],[Date]],'DB LEI'!$A:$I,8))</f>
        <v/>
      </c>
    </row>
    <row r="46">
      <c r="A46" s="23" t="n">
        <v>29677</v>
      </c>
      <c r="B46" s="18">
        <f>VLOOKUP(Table48[[#This Row],[Date]],'DB LEI'!$A:$F,5)</f>
        <v/>
      </c>
      <c r="C46" s="24">
        <f>IF(VLOOKUP(Table48[[#This Row],[Date]],'DB LEI'!$A:$I,9)=0,"",VLOOKUP(Table48[[#This Row],[Date]],'DB LEI'!$A:$I,9))</f>
        <v/>
      </c>
      <c r="D46" s="24">
        <f>IF(VLOOKUP(Table48[[#This Row],[Date]],'DB LEI'!$A:$I,8)=0,"",VLOOKUP(Table48[[#This Row],[Date]],'DB LEI'!$A:$I,8))</f>
        <v/>
      </c>
    </row>
    <row r="47">
      <c r="A47" s="23" t="n">
        <v>29707</v>
      </c>
      <c r="B47" s="18">
        <f>VLOOKUP(Table48[[#This Row],[Date]],'DB LEI'!$A:$F,5)</f>
        <v/>
      </c>
      <c r="C47" s="24">
        <f>IF(VLOOKUP(Table48[[#This Row],[Date]],'DB LEI'!$A:$I,9)=0,"",VLOOKUP(Table48[[#This Row],[Date]],'DB LEI'!$A:$I,9))</f>
        <v/>
      </c>
      <c r="D47" s="24">
        <f>IF(VLOOKUP(Table48[[#This Row],[Date]],'DB LEI'!$A:$I,8)=0,"",VLOOKUP(Table48[[#This Row],[Date]],'DB LEI'!$A:$I,8))</f>
        <v/>
      </c>
    </row>
    <row r="48">
      <c r="A48" s="23" t="n">
        <v>29738</v>
      </c>
      <c r="B48" s="18">
        <f>VLOOKUP(Table48[[#This Row],[Date]],'DB LEI'!$A:$F,5)</f>
        <v/>
      </c>
      <c r="C48" s="24">
        <f>IF(VLOOKUP(Table48[[#This Row],[Date]],'DB LEI'!$A:$I,9)=0,"",VLOOKUP(Table48[[#This Row],[Date]],'DB LEI'!$A:$I,9))</f>
        <v/>
      </c>
      <c r="D48" s="24">
        <f>IF(VLOOKUP(Table48[[#This Row],[Date]],'DB LEI'!$A:$I,8)=0,"",VLOOKUP(Table48[[#This Row],[Date]],'DB LEI'!$A:$I,8))</f>
        <v/>
      </c>
    </row>
    <row r="49">
      <c r="A49" s="23" t="n">
        <v>29768</v>
      </c>
      <c r="B49" s="18">
        <f>VLOOKUP(Table48[[#This Row],[Date]],'DB LEI'!$A:$F,5)</f>
        <v/>
      </c>
      <c r="C49" s="24">
        <f>IF(VLOOKUP(Table48[[#This Row],[Date]],'DB LEI'!$A:$I,9)=0,"",VLOOKUP(Table48[[#This Row],[Date]],'DB LEI'!$A:$I,9))</f>
        <v/>
      </c>
      <c r="D49" s="24">
        <f>IF(VLOOKUP(Table48[[#This Row],[Date]],'DB LEI'!$A:$I,8)=0,"",VLOOKUP(Table48[[#This Row],[Date]],'DB LEI'!$A:$I,8))</f>
        <v/>
      </c>
    </row>
    <row r="50">
      <c r="A50" s="23" t="n">
        <v>29799</v>
      </c>
      <c r="B50" s="18">
        <f>VLOOKUP(Table48[[#This Row],[Date]],'DB LEI'!$A:$F,5)</f>
        <v/>
      </c>
      <c r="C50" s="24">
        <f>IF(VLOOKUP(Table48[[#This Row],[Date]],'DB LEI'!$A:$I,9)=0,"",VLOOKUP(Table48[[#This Row],[Date]],'DB LEI'!$A:$I,9))</f>
        <v/>
      </c>
      <c r="D50" s="24">
        <f>IF(VLOOKUP(Table48[[#This Row],[Date]],'DB LEI'!$A:$I,8)=0,"",VLOOKUP(Table48[[#This Row],[Date]],'DB LEI'!$A:$I,8))</f>
        <v/>
      </c>
    </row>
    <row r="51">
      <c r="A51" s="23" t="n">
        <v>29830</v>
      </c>
      <c r="B51" s="18">
        <f>VLOOKUP(Table48[[#This Row],[Date]],'DB LEI'!$A:$F,5)</f>
        <v/>
      </c>
      <c r="C51" s="24">
        <f>IF(VLOOKUP(Table48[[#This Row],[Date]],'DB LEI'!$A:$I,9)=0,"",VLOOKUP(Table48[[#This Row],[Date]],'DB LEI'!$A:$I,9))</f>
        <v/>
      </c>
      <c r="D51" s="24">
        <f>IF(VLOOKUP(Table48[[#This Row],[Date]],'DB LEI'!$A:$I,8)=0,"",VLOOKUP(Table48[[#This Row],[Date]],'DB LEI'!$A:$I,8))</f>
        <v/>
      </c>
    </row>
    <row r="52">
      <c r="A52" s="23" t="n">
        <v>29860</v>
      </c>
      <c r="B52" s="18">
        <f>VLOOKUP(Table48[[#This Row],[Date]],'DB LEI'!$A:$F,5)</f>
        <v/>
      </c>
      <c r="C52" s="24">
        <f>IF(VLOOKUP(Table48[[#This Row],[Date]],'DB LEI'!$A:$I,9)=0,"",VLOOKUP(Table48[[#This Row],[Date]],'DB LEI'!$A:$I,9))</f>
        <v/>
      </c>
      <c r="D52" s="24">
        <f>IF(VLOOKUP(Table48[[#This Row],[Date]],'DB LEI'!$A:$I,8)=0,"",VLOOKUP(Table48[[#This Row],[Date]],'DB LEI'!$A:$I,8))</f>
        <v/>
      </c>
    </row>
    <row r="53">
      <c r="A53" s="23" t="n">
        <v>29891</v>
      </c>
      <c r="B53" s="18">
        <f>VLOOKUP(Table48[[#This Row],[Date]],'DB LEI'!$A:$F,5)</f>
        <v/>
      </c>
      <c r="C53" s="24">
        <f>IF(VLOOKUP(Table48[[#This Row],[Date]],'DB LEI'!$A:$I,9)=0,"",VLOOKUP(Table48[[#This Row],[Date]],'DB LEI'!$A:$I,9))</f>
        <v/>
      </c>
      <c r="D53" s="24">
        <f>IF(VLOOKUP(Table48[[#This Row],[Date]],'DB LEI'!$A:$I,8)=0,"",VLOOKUP(Table48[[#This Row],[Date]],'DB LEI'!$A:$I,8))</f>
        <v/>
      </c>
    </row>
    <row r="54">
      <c r="A54" s="23" t="n">
        <v>29921</v>
      </c>
      <c r="B54" s="18">
        <f>VLOOKUP(Table48[[#This Row],[Date]],'DB LEI'!$A:$F,5)</f>
        <v/>
      </c>
      <c r="C54" s="24">
        <f>IF(VLOOKUP(Table48[[#This Row],[Date]],'DB LEI'!$A:$I,9)=0,"",VLOOKUP(Table48[[#This Row],[Date]],'DB LEI'!$A:$I,9))</f>
        <v/>
      </c>
      <c r="D54" s="24">
        <f>IF(VLOOKUP(Table48[[#This Row],[Date]],'DB LEI'!$A:$I,8)=0,"",VLOOKUP(Table48[[#This Row],[Date]],'DB LEI'!$A:$I,8))</f>
        <v/>
      </c>
    </row>
    <row r="55">
      <c r="A55" s="23" t="n">
        <v>29952</v>
      </c>
      <c r="B55" s="18">
        <f>VLOOKUP(Table48[[#This Row],[Date]],'DB LEI'!$A:$F,5)</f>
        <v/>
      </c>
      <c r="C55" s="24">
        <f>IF(VLOOKUP(Table48[[#This Row],[Date]],'DB LEI'!$A:$I,9)=0,"",VLOOKUP(Table48[[#This Row],[Date]],'DB LEI'!$A:$I,9))</f>
        <v/>
      </c>
      <c r="D55" s="24">
        <f>IF(VLOOKUP(Table48[[#This Row],[Date]],'DB LEI'!$A:$I,8)=0,"",VLOOKUP(Table48[[#This Row],[Date]],'DB LEI'!$A:$I,8))</f>
        <v/>
      </c>
    </row>
    <row r="56">
      <c r="A56" s="23" t="n">
        <v>29983</v>
      </c>
      <c r="B56" s="18">
        <f>VLOOKUP(Table48[[#This Row],[Date]],'DB LEI'!$A:$F,5)</f>
        <v/>
      </c>
      <c r="C56" s="24">
        <f>IF(VLOOKUP(Table48[[#This Row],[Date]],'DB LEI'!$A:$I,9)=0,"",VLOOKUP(Table48[[#This Row],[Date]],'DB LEI'!$A:$I,9))</f>
        <v/>
      </c>
      <c r="D56" s="24">
        <f>IF(VLOOKUP(Table48[[#This Row],[Date]],'DB LEI'!$A:$I,8)=0,"",VLOOKUP(Table48[[#This Row],[Date]],'DB LEI'!$A:$I,8))</f>
        <v/>
      </c>
    </row>
    <row r="57">
      <c r="A57" s="23" t="n">
        <v>30011</v>
      </c>
      <c r="B57" s="18">
        <f>VLOOKUP(Table48[[#This Row],[Date]],'DB LEI'!$A:$F,5)</f>
        <v/>
      </c>
      <c r="C57" s="24">
        <f>IF(VLOOKUP(Table48[[#This Row],[Date]],'DB LEI'!$A:$I,9)=0,"",VLOOKUP(Table48[[#This Row],[Date]],'DB LEI'!$A:$I,9))</f>
        <v/>
      </c>
      <c r="D57" s="24">
        <f>IF(VLOOKUP(Table48[[#This Row],[Date]],'DB LEI'!$A:$I,8)=0,"",VLOOKUP(Table48[[#This Row],[Date]],'DB LEI'!$A:$I,8))</f>
        <v/>
      </c>
    </row>
    <row r="58">
      <c r="A58" s="23" t="n">
        <v>30042</v>
      </c>
      <c r="B58" s="18">
        <f>VLOOKUP(Table48[[#This Row],[Date]],'DB LEI'!$A:$F,5)</f>
        <v/>
      </c>
      <c r="C58" s="24">
        <f>IF(VLOOKUP(Table48[[#This Row],[Date]],'DB LEI'!$A:$I,9)=0,"",VLOOKUP(Table48[[#This Row],[Date]],'DB LEI'!$A:$I,9))</f>
        <v/>
      </c>
      <c r="D58" s="24">
        <f>IF(VLOOKUP(Table48[[#This Row],[Date]],'DB LEI'!$A:$I,8)=0,"",VLOOKUP(Table48[[#This Row],[Date]],'DB LEI'!$A:$I,8))</f>
        <v/>
      </c>
    </row>
    <row r="59">
      <c r="A59" s="23" t="n">
        <v>30072</v>
      </c>
      <c r="B59" s="18">
        <f>VLOOKUP(Table48[[#This Row],[Date]],'DB LEI'!$A:$F,5)</f>
        <v/>
      </c>
      <c r="C59" s="24">
        <f>IF(VLOOKUP(Table48[[#This Row],[Date]],'DB LEI'!$A:$I,9)=0,"",VLOOKUP(Table48[[#This Row],[Date]],'DB LEI'!$A:$I,9))</f>
        <v/>
      </c>
      <c r="D59" s="24">
        <f>IF(VLOOKUP(Table48[[#This Row],[Date]],'DB LEI'!$A:$I,8)=0,"",VLOOKUP(Table48[[#This Row],[Date]],'DB LEI'!$A:$I,8))</f>
        <v/>
      </c>
    </row>
    <row r="60">
      <c r="A60" s="23" t="n">
        <v>30103</v>
      </c>
      <c r="B60" s="18">
        <f>VLOOKUP(Table48[[#This Row],[Date]],'DB LEI'!$A:$F,5)</f>
        <v/>
      </c>
      <c r="C60" s="24">
        <f>IF(VLOOKUP(Table48[[#This Row],[Date]],'DB LEI'!$A:$I,9)=0,"",VLOOKUP(Table48[[#This Row],[Date]],'DB LEI'!$A:$I,9))</f>
        <v/>
      </c>
      <c r="D60" s="24">
        <f>IF(VLOOKUP(Table48[[#This Row],[Date]],'DB LEI'!$A:$I,8)=0,"",VLOOKUP(Table48[[#This Row],[Date]],'DB LEI'!$A:$I,8))</f>
        <v/>
      </c>
    </row>
    <row r="61">
      <c r="A61" s="23" t="n">
        <v>30133</v>
      </c>
      <c r="B61" s="18">
        <f>VLOOKUP(Table48[[#This Row],[Date]],'DB LEI'!$A:$F,5)</f>
        <v/>
      </c>
      <c r="C61" s="24">
        <f>IF(VLOOKUP(Table48[[#This Row],[Date]],'DB LEI'!$A:$I,9)=0,"",VLOOKUP(Table48[[#This Row],[Date]],'DB LEI'!$A:$I,9))</f>
        <v/>
      </c>
      <c r="D61" s="24">
        <f>IF(VLOOKUP(Table48[[#This Row],[Date]],'DB LEI'!$A:$I,8)=0,"",VLOOKUP(Table48[[#This Row],[Date]],'DB LEI'!$A:$I,8))</f>
        <v/>
      </c>
    </row>
    <row r="62">
      <c r="A62" s="23" t="n">
        <v>30164</v>
      </c>
      <c r="B62" s="18">
        <f>VLOOKUP(Table48[[#This Row],[Date]],'DB LEI'!$A:$F,5)</f>
        <v/>
      </c>
      <c r="C62" s="24">
        <f>IF(VLOOKUP(Table48[[#This Row],[Date]],'DB LEI'!$A:$I,9)=0,"",VLOOKUP(Table48[[#This Row],[Date]],'DB LEI'!$A:$I,9))</f>
        <v/>
      </c>
      <c r="D62" s="24">
        <f>IF(VLOOKUP(Table48[[#This Row],[Date]],'DB LEI'!$A:$I,8)=0,"",VLOOKUP(Table48[[#This Row],[Date]],'DB LEI'!$A:$I,8))</f>
        <v/>
      </c>
    </row>
    <row r="63">
      <c r="A63" s="23" t="n">
        <v>30195</v>
      </c>
      <c r="B63" s="18">
        <f>VLOOKUP(Table48[[#This Row],[Date]],'DB LEI'!$A:$F,5)</f>
        <v/>
      </c>
      <c r="C63" s="24">
        <f>IF(VLOOKUP(Table48[[#This Row],[Date]],'DB LEI'!$A:$I,9)=0,"",VLOOKUP(Table48[[#This Row],[Date]],'DB LEI'!$A:$I,9))</f>
        <v/>
      </c>
      <c r="D63" s="24">
        <f>IF(VLOOKUP(Table48[[#This Row],[Date]],'DB LEI'!$A:$I,8)=0,"",VLOOKUP(Table48[[#This Row],[Date]],'DB LEI'!$A:$I,8))</f>
        <v/>
      </c>
    </row>
    <row r="64">
      <c r="A64" s="23" t="n">
        <v>30225</v>
      </c>
      <c r="B64" s="18">
        <f>VLOOKUP(Table48[[#This Row],[Date]],'DB LEI'!$A:$F,5)</f>
        <v/>
      </c>
      <c r="C64" s="24">
        <f>IF(VLOOKUP(Table48[[#This Row],[Date]],'DB LEI'!$A:$I,9)=0,"",VLOOKUP(Table48[[#This Row],[Date]],'DB LEI'!$A:$I,9))</f>
        <v/>
      </c>
      <c r="D64" s="24">
        <f>IF(VLOOKUP(Table48[[#This Row],[Date]],'DB LEI'!$A:$I,8)=0,"",VLOOKUP(Table48[[#This Row],[Date]],'DB LEI'!$A:$I,8))</f>
        <v/>
      </c>
    </row>
    <row r="65">
      <c r="A65" s="23" t="n">
        <v>30256</v>
      </c>
      <c r="B65" s="18">
        <f>VLOOKUP(Table48[[#This Row],[Date]],'DB LEI'!$A:$F,5)</f>
        <v/>
      </c>
      <c r="C65" s="24">
        <f>IF(VLOOKUP(Table48[[#This Row],[Date]],'DB LEI'!$A:$I,9)=0,"",VLOOKUP(Table48[[#This Row],[Date]],'DB LEI'!$A:$I,9))</f>
        <v/>
      </c>
      <c r="D65" s="24">
        <f>IF(VLOOKUP(Table48[[#This Row],[Date]],'DB LEI'!$A:$I,8)=0,"",VLOOKUP(Table48[[#This Row],[Date]],'DB LEI'!$A:$I,8))</f>
        <v/>
      </c>
    </row>
    <row r="66">
      <c r="A66" s="23" t="n">
        <v>30286</v>
      </c>
      <c r="B66" s="18">
        <f>VLOOKUP(Table48[[#This Row],[Date]],'DB LEI'!$A:$F,5)</f>
        <v/>
      </c>
      <c r="C66" s="24">
        <f>IF(VLOOKUP(Table48[[#This Row],[Date]],'DB LEI'!$A:$I,9)=0,"",VLOOKUP(Table48[[#This Row],[Date]],'DB LEI'!$A:$I,9))</f>
        <v/>
      </c>
      <c r="D66" s="24">
        <f>IF(VLOOKUP(Table48[[#This Row],[Date]],'DB LEI'!$A:$I,8)=0,"",VLOOKUP(Table48[[#This Row],[Date]],'DB LEI'!$A:$I,8))</f>
        <v/>
      </c>
    </row>
    <row r="67">
      <c r="A67" s="23" t="n">
        <v>30317</v>
      </c>
      <c r="B67" s="18">
        <f>VLOOKUP(Table48[[#This Row],[Date]],'DB LEI'!$A:$F,5)</f>
        <v/>
      </c>
      <c r="C67" s="24">
        <f>IF(VLOOKUP(Table48[[#This Row],[Date]],'DB LEI'!$A:$I,9)=0,"",VLOOKUP(Table48[[#This Row],[Date]],'DB LEI'!$A:$I,9))</f>
        <v/>
      </c>
      <c r="D67" s="24">
        <f>IF(VLOOKUP(Table48[[#This Row],[Date]],'DB LEI'!$A:$I,8)=0,"",VLOOKUP(Table48[[#This Row],[Date]],'DB LEI'!$A:$I,8))</f>
        <v/>
      </c>
    </row>
    <row r="68">
      <c r="A68" s="23" t="n">
        <v>30348</v>
      </c>
      <c r="B68" s="18">
        <f>VLOOKUP(Table48[[#This Row],[Date]],'DB LEI'!$A:$F,5)</f>
        <v/>
      </c>
      <c r="C68" s="24">
        <f>IF(VLOOKUP(Table48[[#This Row],[Date]],'DB LEI'!$A:$I,9)=0,"",VLOOKUP(Table48[[#This Row],[Date]],'DB LEI'!$A:$I,9))</f>
        <v/>
      </c>
      <c r="D68" s="24">
        <f>IF(VLOOKUP(Table48[[#This Row],[Date]],'DB LEI'!$A:$I,8)=0,"",VLOOKUP(Table48[[#This Row],[Date]],'DB LEI'!$A:$I,8))</f>
        <v/>
      </c>
    </row>
    <row r="69">
      <c r="A69" s="23" t="n">
        <v>30376</v>
      </c>
      <c r="B69" s="18">
        <f>VLOOKUP(Table48[[#This Row],[Date]],'DB LEI'!$A:$F,5)</f>
        <v/>
      </c>
      <c r="C69" s="24">
        <f>IF(VLOOKUP(Table48[[#This Row],[Date]],'DB LEI'!$A:$I,9)=0,"",VLOOKUP(Table48[[#This Row],[Date]],'DB LEI'!$A:$I,9))</f>
        <v/>
      </c>
      <c r="D69" s="24">
        <f>IF(VLOOKUP(Table48[[#This Row],[Date]],'DB LEI'!$A:$I,8)=0,"",VLOOKUP(Table48[[#This Row],[Date]],'DB LEI'!$A:$I,8))</f>
        <v/>
      </c>
    </row>
    <row r="70">
      <c r="A70" s="23" t="n">
        <v>30407</v>
      </c>
      <c r="B70" s="18">
        <f>VLOOKUP(Table48[[#This Row],[Date]],'DB LEI'!$A:$F,5)</f>
        <v/>
      </c>
      <c r="C70" s="24">
        <f>IF(VLOOKUP(Table48[[#This Row],[Date]],'DB LEI'!$A:$I,9)=0,"",VLOOKUP(Table48[[#This Row],[Date]],'DB LEI'!$A:$I,9))</f>
        <v/>
      </c>
      <c r="D70" s="24">
        <f>IF(VLOOKUP(Table48[[#This Row],[Date]],'DB LEI'!$A:$I,8)=0,"",VLOOKUP(Table48[[#This Row],[Date]],'DB LEI'!$A:$I,8))</f>
        <v/>
      </c>
    </row>
    <row r="71">
      <c r="A71" s="23" t="n">
        <v>30437</v>
      </c>
      <c r="B71" s="18">
        <f>VLOOKUP(Table48[[#This Row],[Date]],'DB LEI'!$A:$F,5)</f>
        <v/>
      </c>
      <c r="C71" s="24">
        <f>IF(VLOOKUP(Table48[[#This Row],[Date]],'DB LEI'!$A:$I,9)=0,"",VLOOKUP(Table48[[#This Row],[Date]],'DB LEI'!$A:$I,9))</f>
        <v/>
      </c>
      <c r="D71" s="24">
        <f>IF(VLOOKUP(Table48[[#This Row],[Date]],'DB LEI'!$A:$I,8)=0,"",VLOOKUP(Table48[[#This Row],[Date]],'DB LEI'!$A:$I,8))</f>
        <v/>
      </c>
    </row>
    <row r="72">
      <c r="A72" s="23" t="n">
        <v>30468</v>
      </c>
      <c r="B72" s="18">
        <f>VLOOKUP(Table48[[#This Row],[Date]],'DB LEI'!$A:$F,5)</f>
        <v/>
      </c>
      <c r="C72" s="24">
        <f>IF(VLOOKUP(Table48[[#This Row],[Date]],'DB LEI'!$A:$I,9)=0,"",VLOOKUP(Table48[[#This Row],[Date]],'DB LEI'!$A:$I,9))</f>
        <v/>
      </c>
      <c r="D72" s="24">
        <f>IF(VLOOKUP(Table48[[#This Row],[Date]],'DB LEI'!$A:$I,8)=0,"",VLOOKUP(Table48[[#This Row],[Date]],'DB LEI'!$A:$I,8))</f>
        <v/>
      </c>
    </row>
    <row r="73">
      <c r="A73" s="23" t="n">
        <v>30498</v>
      </c>
      <c r="B73" s="18">
        <f>VLOOKUP(Table48[[#This Row],[Date]],'DB LEI'!$A:$F,5)</f>
        <v/>
      </c>
      <c r="C73" s="24">
        <f>IF(VLOOKUP(Table48[[#This Row],[Date]],'DB LEI'!$A:$I,9)=0,"",VLOOKUP(Table48[[#This Row],[Date]],'DB LEI'!$A:$I,9))</f>
        <v/>
      </c>
      <c r="D73" s="24">
        <f>IF(VLOOKUP(Table48[[#This Row],[Date]],'DB LEI'!$A:$I,8)=0,"",VLOOKUP(Table48[[#This Row],[Date]],'DB LEI'!$A:$I,8))</f>
        <v/>
      </c>
    </row>
    <row r="74">
      <c r="A74" s="23" t="n">
        <v>30529</v>
      </c>
      <c r="B74" s="18">
        <f>VLOOKUP(Table48[[#This Row],[Date]],'DB LEI'!$A:$F,5)</f>
        <v/>
      </c>
      <c r="C74" s="24">
        <f>IF(VLOOKUP(Table48[[#This Row],[Date]],'DB LEI'!$A:$I,9)=0,"",VLOOKUP(Table48[[#This Row],[Date]],'DB LEI'!$A:$I,9))</f>
        <v/>
      </c>
      <c r="D74" s="24">
        <f>IF(VLOOKUP(Table48[[#This Row],[Date]],'DB LEI'!$A:$I,8)=0,"",VLOOKUP(Table48[[#This Row],[Date]],'DB LEI'!$A:$I,8))</f>
        <v/>
      </c>
    </row>
    <row r="75">
      <c r="A75" s="23" t="n">
        <v>30560</v>
      </c>
      <c r="B75" s="18">
        <f>VLOOKUP(Table48[[#This Row],[Date]],'DB LEI'!$A:$F,5)</f>
        <v/>
      </c>
      <c r="C75" s="24">
        <f>IF(VLOOKUP(Table48[[#This Row],[Date]],'DB LEI'!$A:$I,9)=0,"",VLOOKUP(Table48[[#This Row],[Date]],'DB LEI'!$A:$I,9))</f>
        <v/>
      </c>
      <c r="D75" s="24">
        <f>IF(VLOOKUP(Table48[[#This Row],[Date]],'DB LEI'!$A:$I,8)=0,"",VLOOKUP(Table48[[#This Row],[Date]],'DB LEI'!$A:$I,8))</f>
        <v/>
      </c>
    </row>
    <row r="76">
      <c r="A76" s="23" t="n">
        <v>30590</v>
      </c>
      <c r="B76" s="18">
        <f>VLOOKUP(Table48[[#This Row],[Date]],'DB LEI'!$A:$F,5)</f>
        <v/>
      </c>
      <c r="C76" s="24">
        <f>IF(VLOOKUP(Table48[[#This Row],[Date]],'DB LEI'!$A:$I,9)=0,"",VLOOKUP(Table48[[#This Row],[Date]],'DB LEI'!$A:$I,9))</f>
        <v/>
      </c>
      <c r="D76" s="24">
        <f>IF(VLOOKUP(Table48[[#This Row],[Date]],'DB LEI'!$A:$I,8)=0,"",VLOOKUP(Table48[[#This Row],[Date]],'DB LEI'!$A:$I,8))</f>
        <v/>
      </c>
    </row>
    <row r="77">
      <c r="A77" s="23" t="n">
        <v>30621</v>
      </c>
      <c r="B77" s="18">
        <f>VLOOKUP(Table48[[#This Row],[Date]],'DB LEI'!$A:$F,5)</f>
        <v/>
      </c>
      <c r="C77" s="24">
        <f>IF(VLOOKUP(Table48[[#This Row],[Date]],'DB LEI'!$A:$I,9)=0,"",VLOOKUP(Table48[[#This Row],[Date]],'DB LEI'!$A:$I,9))</f>
        <v/>
      </c>
      <c r="D77" s="24">
        <f>IF(VLOOKUP(Table48[[#This Row],[Date]],'DB LEI'!$A:$I,8)=0,"",VLOOKUP(Table48[[#This Row],[Date]],'DB LEI'!$A:$I,8))</f>
        <v/>
      </c>
    </row>
    <row r="78">
      <c r="A78" s="23" t="n">
        <v>30651</v>
      </c>
      <c r="B78" s="18">
        <f>VLOOKUP(Table48[[#This Row],[Date]],'DB LEI'!$A:$F,5)</f>
        <v/>
      </c>
      <c r="C78" s="24">
        <f>IF(VLOOKUP(Table48[[#This Row],[Date]],'DB LEI'!$A:$I,9)=0,"",VLOOKUP(Table48[[#This Row],[Date]],'DB LEI'!$A:$I,9))</f>
        <v/>
      </c>
      <c r="D78" s="24">
        <f>IF(VLOOKUP(Table48[[#This Row],[Date]],'DB LEI'!$A:$I,8)=0,"",VLOOKUP(Table48[[#This Row],[Date]],'DB LEI'!$A:$I,8))</f>
        <v/>
      </c>
    </row>
    <row r="79">
      <c r="A79" s="23" t="n">
        <v>30682</v>
      </c>
      <c r="B79" s="18">
        <f>VLOOKUP(Table48[[#This Row],[Date]],'DB LEI'!$A:$F,5)</f>
        <v/>
      </c>
      <c r="C79" s="24">
        <f>IF(VLOOKUP(Table48[[#This Row],[Date]],'DB LEI'!$A:$I,9)=0,"",VLOOKUP(Table48[[#This Row],[Date]],'DB LEI'!$A:$I,9))</f>
        <v/>
      </c>
      <c r="D79" s="24">
        <f>IF(VLOOKUP(Table48[[#This Row],[Date]],'DB LEI'!$A:$I,8)=0,"",VLOOKUP(Table48[[#This Row],[Date]],'DB LEI'!$A:$I,8))</f>
        <v/>
      </c>
    </row>
    <row r="80">
      <c r="A80" s="23" t="n">
        <v>30713</v>
      </c>
      <c r="B80" s="18">
        <f>VLOOKUP(Table48[[#This Row],[Date]],'DB LEI'!$A:$F,5)</f>
        <v/>
      </c>
      <c r="C80" s="24">
        <f>IF(VLOOKUP(Table48[[#This Row],[Date]],'DB LEI'!$A:$I,9)=0,"",VLOOKUP(Table48[[#This Row],[Date]],'DB LEI'!$A:$I,9))</f>
        <v/>
      </c>
      <c r="D80" s="24">
        <f>IF(VLOOKUP(Table48[[#This Row],[Date]],'DB LEI'!$A:$I,8)=0,"",VLOOKUP(Table48[[#This Row],[Date]],'DB LEI'!$A:$I,8))</f>
        <v/>
      </c>
    </row>
    <row r="81">
      <c r="A81" s="23" t="n">
        <v>30742</v>
      </c>
      <c r="B81" s="18">
        <f>VLOOKUP(Table48[[#This Row],[Date]],'DB LEI'!$A:$F,5)</f>
        <v/>
      </c>
      <c r="C81" s="24">
        <f>IF(VLOOKUP(Table48[[#This Row],[Date]],'DB LEI'!$A:$I,9)=0,"",VLOOKUP(Table48[[#This Row],[Date]],'DB LEI'!$A:$I,9))</f>
        <v/>
      </c>
      <c r="D81" s="24">
        <f>IF(VLOOKUP(Table48[[#This Row],[Date]],'DB LEI'!$A:$I,8)=0,"",VLOOKUP(Table48[[#This Row],[Date]],'DB LEI'!$A:$I,8))</f>
        <v/>
      </c>
    </row>
    <row r="82">
      <c r="A82" s="23" t="n">
        <v>30773</v>
      </c>
      <c r="B82" s="18">
        <f>VLOOKUP(Table48[[#This Row],[Date]],'DB LEI'!$A:$F,5)</f>
        <v/>
      </c>
      <c r="C82" s="24">
        <f>IF(VLOOKUP(Table48[[#This Row],[Date]],'DB LEI'!$A:$I,9)=0,"",VLOOKUP(Table48[[#This Row],[Date]],'DB LEI'!$A:$I,9))</f>
        <v/>
      </c>
      <c r="D82" s="24">
        <f>IF(VLOOKUP(Table48[[#This Row],[Date]],'DB LEI'!$A:$I,8)=0,"",VLOOKUP(Table48[[#This Row],[Date]],'DB LEI'!$A:$I,8))</f>
        <v/>
      </c>
    </row>
    <row r="83">
      <c r="A83" s="23" t="n">
        <v>30803</v>
      </c>
      <c r="B83" s="18">
        <f>VLOOKUP(Table48[[#This Row],[Date]],'DB LEI'!$A:$F,5)</f>
        <v/>
      </c>
      <c r="C83" s="24">
        <f>IF(VLOOKUP(Table48[[#This Row],[Date]],'DB LEI'!$A:$I,9)=0,"",VLOOKUP(Table48[[#This Row],[Date]],'DB LEI'!$A:$I,9))</f>
        <v/>
      </c>
      <c r="D83" s="24">
        <f>IF(VLOOKUP(Table48[[#This Row],[Date]],'DB LEI'!$A:$I,8)=0,"",VLOOKUP(Table48[[#This Row],[Date]],'DB LEI'!$A:$I,8))</f>
        <v/>
      </c>
    </row>
    <row r="84">
      <c r="A84" s="23" t="n">
        <v>30834</v>
      </c>
      <c r="B84" s="18">
        <f>VLOOKUP(Table48[[#This Row],[Date]],'DB LEI'!$A:$F,5)</f>
        <v/>
      </c>
      <c r="C84" s="24">
        <f>IF(VLOOKUP(Table48[[#This Row],[Date]],'DB LEI'!$A:$I,9)=0,"",VLOOKUP(Table48[[#This Row],[Date]],'DB LEI'!$A:$I,9))</f>
        <v/>
      </c>
      <c r="D84" s="24">
        <f>IF(VLOOKUP(Table48[[#This Row],[Date]],'DB LEI'!$A:$I,8)=0,"",VLOOKUP(Table48[[#This Row],[Date]],'DB LEI'!$A:$I,8))</f>
        <v/>
      </c>
    </row>
    <row r="85">
      <c r="A85" s="23" t="n">
        <v>30864</v>
      </c>
      <c r="B85" s="18">
        <f>VLOOKUP(Table48[[#This Row],[Date]],'DB LEI'!$A:$F,5)</f>
        <v/>
      </c>
      <c r="C85" s="24">
        <f>IF(VLOOKUP(Table48[[#This Row],[Date]],'DB LEI'!$A:$I,9)=0,"",VLOOKUP(Table48[[#This Row],[Date]],'DB LEI'!$A:$I,9))</f>
        <v/>
      </c>
      <c r="D85" s="24">
        <f>IF(VLOOKUP(Table48[[#This Row],[Date]],'DB LEI'!$A:$I,8)=0,"",VLOOKUP(Table48[[#This Row],[Date]],'DB LEI'!$A:$I,8))</f>
        <v/>
      </c>
    </row>
    <row r="86">
      <c r="A86" s="23" t="n">
        <v>30895</v>
      </c>
      <c r="B86" s="18">
        <f>VLOOKUP(Table48[[#This Row],[Date]],'DB LEI'!$A:$F,5)</f>
        <v/>
      </c>
      <c r="C86" s="24">
        <f>IF(VLOOKUP(Table48[[#This Row],[Date]],'DB LEI'!$A:$I,9)=0,"",VLOOKUP(Table48[[#This Row],[Date]],'DB LEI'!$A:$I,9))</f>
        <v/>
      </c>
      <c r="D86" s="24">
        <f>IF(VLOOKUP(Table48[[#This Row],[Date]],'DB LEI'!$A:$I,8)=0,"",VLOOKUP(Table48[[#This Row],[Date]],'DB LEI'!$A:$I,8))</f>
        <v/>
      </c>
    </row>
    <row r="87">
      <c r="A87" s="23" t="n">
        <v>30926</v>
      </c>
      <c r="B87" s="18">
        <f>VLOOKUP(Table48[[#This Row],[Date]],'DB LEI'!$A:$F,5)</f>
        <v/>
      </c>
      <c r="C87" s="24">
        <f>IF(VLOOKUP(Table48[[#This Row],[Date]],'DB LEI'!$A:$I,9)=0,"",VLOOKUP(Table48[[#This Row],[Date]],'DB LEI'!$A:$I,9))</f>
        <v/>
      </c>
      <c r="D87" s="24">
        <f>IF(VLOOKUP(Table48[[#This Row],[Date]],'DB LEI'!$A:$I,8)=0,"",VLOOKUP(Table48[[#This Row],[Date]],'DB LEI'!$A:$I,8))</f>
        <v/>
      </c>
    </row>
    <row r="88">
      <c r="A88" s="23" t="n">
        <v>30956</v>
      </c>
      <c r="B88" s="18">
        <f>VLOOKUP(Table48[[#This Row],[Date]],'DB LEI'!$A:$F,5)</f>
        <v/>
      </c>
      <c r="C88" s="24">
        <f>IF(VLOOKUP(Table48[[#This Row],[Date]],'DB LEI'!$A:$I,9)=0,"",VLOOKUP(Table48[[#This Row],[Date]],'DB LEI'!$A:$I,9))</f>
        <v/>
      </c>
      <c r="D88" s="24">
        <f>IF(VLOOKUP(Table48[[#This Row],[Date]],'DB LEI'!$A:$I,8)=0,"",VLOOKUP(Table48[[#This Row],[Date]],'DB LEI'!$A:$I,8))</f>
        <v/>
      </c>
    </row>
    <row r="89">
      <c r="A89" s="23" t="n">
        <v>30987</v>
      </c>
      <c r="B89" s="18">
        <f>VLOOKUP(Table48[[#This Row],[Date]],'DB LEI'!$A:$F,5)</f>
        <v/>
      </c>
      <c r="C89" s="24">
        <f>IF(VLOOKUP(Table48[[#This Row],[Date]],'DB LEI'!$A:$I,9)=0,"",VLOOKUP(Table48[[#This Row],[Date]],'DB LEI'!$A:$I,9))</f>
        <v/>
      </c>
      <c r="D89" s="24">
        <f>IF(VLOOKUP(Table48[[#This Row],[Date]],'DB LEI'!$A:$I,8)=0,"",VLOOKUP(Table48[[#This Row],[Date]],'DB LEI'!$A:$I,8))</f>
        <v/>
      </c>
    </row>
    <row r="90">
      <c r="A90" s="23" t="n">
        <v>31017</v>
      </c>
      <c r="B90" s="18">
        <f>VLOOKUP(Table48[[#This Row],[Date]],'DB LEI'!$A:$F,5)</f>
        <v/>
      </c>
      <c r="C90" s="24">
        <f>IF(VLOOKUP(Table48[[#This Row],[Date]],'DB LEI'!$A:$I,9)=0,"",VLOOKUP(Table48[[#This Row],[Date]],'DB LEI'!$A:$I,9))</f>
        <v/>
      </c>
      <c r="D90" s="24">
        <f>IF(VLOOKUP(Table48[[#This Row],[Date]],'DB LEI'!$A:$I,8)=0,"",VLOOKUP(Table48[[#This Row],[Date]],'DB LEI'!$A:$I,8))</f>
        <v/>
      </c>
    </row>
    <row r="91">
      <c r="A91" s="23" t="n">
        <v>31048</v>
      </c>
      <c r="B91" s="18">
        <f>VLOOKUP(Table48[[#This Row],[Date]],'DB LEI'!$A:$F,5)</f>
        <v/>
      </c>
      <c r="C91" s="24">
        <f>IF(VLOOKUP(Table48[[#This Row],[Date]],'DB LEI'!$A:$I,9)=0,"",VLOOKUP(Table48[[#This Row],[Date]],'DB LEI'!$A:$I,9))</f>
        <v/>
      </c>
      <c r="D91" s="24">
        <f>IF(VLOOKUP(Table48[[#This Row],[Date]],'DB LEI'!$A:$I,8)=0,"",VLOOKUP(Table48[[#This Row],[Date]],'DB LEI'!$A:$I,8))</f>
        <v/>
      </c>
    </row>
    <row r="92">
      <c r="A92" s="23" t="n">
        <v>31079</v>
      </c>
      <c r="B92" s="18">
        <f>VLOOKUP(Table48[[#This Row],[Date]],'DB LEI'!$A:$F,5)</f>
        <v/>
      </c>
      <c r="C92" s="24">
        <f>IF(VLOOKUP(Table48[[#This Row],[Date]],'DB LEI'!$A:$I,9)=0,"",VLOOKUP(Table48[[#This Row],[Date]],'DB LEI'!$A:$I,9))</f>
        <v/>
      </c>
      <c r="D92" s="24">
        <f>IF(VLOOKUP(Table48[[#This Row],[Date]],'DB LEI'!$A:$I,8)=0,"",VLOOKUP(Table48[[#This Row],[Date]],'DB LEI'!$A:$I,8))</f>
        <v/>
      </c>
    </row>
    <row r="93">
      <c r="A93" s="23" t="n">
        <v>31107</v>
      </c>
      <c r="B93" s="18">
        <f>VLOOKUP(Table48[[#This Row],[Date]],'DB LEI'!$A:$F,5)</f>
        <v/>
      </c>
      <c r="C93" s="24">
        <f>IF(VLOOKUP(Table48[[#This Row],[Date]],'DB LEI'!$A:$I,9)=0,"",VLOOKUP(Table48[[#This Row],[Date]],'DB LEI'!$A:$I,9))</f>
        <v/>
      </c>
      <c r="D93" s="24">
        <f>IF(VLOOKUP(Table48[[#This Row],[Date]],'DB LEI'!$A:$I,8)=0,"",VLOOKUP(Table48[[#This Row],[Date]],'DB LEI'!$A:$I,8))</f>
        <v/>
      </c>
    </row>
    <row r="94">
      <c r="A94" s="23" t="n">
        <v>31138</v>
      </c>
      <c r="B94" s="18">
        <f>VLOOKUP(Table48[[#This Row],[Date]],'DB LEI'!$A:$F,5)</f>
        <v/>
      </c>
      <c r="C94" s="24">
        <f>IF(VLOOKUP(Table48[[#This Row],[Date]],'DB LEI'!$A:$I,9)=0,"",VLOOKUP(Table48[[#This Row],[Date]],'DB LEI'!$A:$I,9))</f>
        <v/>
      </c>
      <c r="D94" s="24">
        <f>IF(VLOOKUP(Table48[[#This Row],[Date]],'DB LEI'!$A:$I,8)=0,"",VLOOKUP(Table48[[#This Row],[Date]],'DB LEI'!$A:$I,8))</f>
        <v/>
      </c>
    </row>
    <row r="95">
      <c r="A95" s="23" t="n">
        <v>31168</v>
      </c>
      <c r="B95" s="18">
        <f>VLOOKUP(Table48[[#This Row],[Date]],'DB LEI'!$A:$F,5)</f>
        <v/>
      </c>
      <c r="C95" s="24">
        <f>IF(VLOOKUP(Table48[[#This Row],[Date]],'DB LEI'!$A:$I,9)=0,"",VLOOKUP(Table48[[#This Row],[Date]],'DB LEI'!$A:$I,9))</f>
        <v/>
      </c>
      <c r="D95" s="24">
        <f>IF(VLOOKUP(Table48[[#This Row],[Date]],'DB LEI'!$A:$I,8)=0,"",VLOOKUP(Table48[[#This Row],[Date]],'DB LEI'!$A:$I,8))</f>
        <v/>
      </c>
    </row>
    <row r="96">
      <c r="A96" s="23" t="n">
        <v>31199</v>
      </c>
      <c r="B96" s="18">
        <f>VLOOKUP(Table48[[#This Row],[Date]],'DB LEI'!$A:$F,5)</f>
        <v/>
      </c>
      <c r="C96" s="24">
        <f>IF(VLOOKUP(Table48[[#This Row],[Date]],'DB LEI'!$A:$I,9)=0,"",VLOOKUP(Table48[[#This Row],[Date]],'DB LEI'!$A:$I,9))</f>
        <v/>
      </c>
      <c r="D96" s="24">
        <f>IF(VLOOKUP(Table48[[#This Row],[Date]],'DB LEI'!$A:$I,8)=0,"",VLOOKUP(Table48[[#This Row],[Date]],'DB LEI'!$A:$I,8))</f>
        <v/>
      </c>
    </row>
    <row r="97">
      <c r="A97" s="23" t="n">
        <v>31229</v>
      </c>
      <c r="B97" s="18">
        <f>VLOOKUP(Table48[[#This Row],[Date]],'DB LEI'!$A:$F,5)</f>
        <v/>
      </c>
      <c r="C97" s="24">
        <f>IF(VLOOKUP(Table48[[#This Row],[Date]],'DB LEI'!$A:$I,9)=0,"",VLOOKUP(Table48[[#This Row],[Date]],'DB LEI'!$A:$I,9))</f>
        <v/>
      </c>
      <c r="D97" s="24">
        <f>IF(VLOOKUP(Table48[[#This Row],[Date]],'DB LEI'!$A:$I,8)=0,"",VLOOKUP(Table48[[#This Row],[Date]],'DB LEI'!$A:$I,8))</f>
        <v/>
      </c>
    </row>
    <row r="98">
      <c r="A98" s="23" t="n">
        <v>31260</v>
      </c>
      <c r="B98" s="18">
        <f>VLOOKUP(Table48[[#This Row],[Date]],'DB LEI'!$A:$F,5)</f>
        <v/>
      </c>
      <c r="C98" s="24">
        <f>IF(VLOOKUP(Table48[[#This Row],[Date]],'DB LEI'!$A:$I,9)=0,"",VLOOKUP(Table48[[#This Row],[Date]],'DB LEI'!$A:$I,9))</f>
        <v/>
      </c>
      <c r="D98" s="24">
        <f>IF(VLOOKUP(Table48[[#This Row],[Date]],'DB LEI'!$A:$I,8)=0,"",VLOOKUP(Table48[[#This Row],[Date]],'DB LEI'!$A:$I,8))</f>
        <v/>
      </c>
    </row>
    <row r="99">
      <c r="A99" s="23" t="n">
        <v>31291</v>
      </c>
      <c r="B99" s="18">
        <f>VLOOKUP(Table48[[#This Row],[Date]],'DB LEI'!$A:$F,5)</f>
        <v/>
      </c>
      <c r="C99" s="24">
        <f>IF(VLOOKUP(Table48[[#This Row],[Date]],'DB LEI'!$A:$I,9)=0,"",VLOOKUP(Table48[[#This Row],[Date]],'DB LEI'!$A:$I,9))</f>
        <v/>
      </c>
      <c r="D99" s="24">
        <f>IF(VLOOKUP(Table48[[#This Row],[Date]],'DB LEI'!$A:$I,8)=0,"",VLOOKUP(Table48[[#This Row],[Date]],'DB LEI'!$A:$I,8))</f>
        <v/>
      </c>
    </row>
    <row r="100">
      <c r="A100" s="23" t="n">
        <v>31321</v>
      </c>
      <c r="B100" s="18">
        <f>VLOOKUP(Table48[[#This Row],[Date]],'DB LEI'!$A:$F,5)</f>
        <v/>
      </c>
      <c r="C100" s="24">
        <f>IF(VLOOKUP(Table48[[#This Row],[Date]],'DB LEI'!$A:$I,9)=0,"",VLOOKUP(Table48[[#This Row],[Date]],'DB LEI'!$A:$I,9))</f>
        <v/>
      </c>
      <c r="D100" s="24">
        <f>IF(VLOOKUP(Table48[[#This Row],[Date]],'DB LEI'!$A:$I,8)=0,"",VLOOKUP(Table48[[#This Row],[Date]],'DB LEI'!$A:$I,8))</f>
        <v/>
      </c>
    </row>
    <row r="101">
      <c r="A101" s="23" t="n">
        <v>31352</v>
      </c>
      <c r="B101" s="18">
        <f>VLOOKUP(Table48[[#This Row],[Date]],'DB LEI'!$A:$F,5)</f>
        <v/>
      </c>
      <c r="C101" s="24">
        <f>IF(VLOOKUP(Table48[[#This Row],[Date]],'DB LEI'!$A:$I,9)=0,"",VLOOKUP(Table48[[#This Row],[Date]],'DB LEI'!$A:$I,9))</f>
        <v/>
      </c>
      <c r="D101" s="24">
        <f>IF(VLOOKUP(Table48[[#This Row],[Date]],'DB LEI'!$A:$I,8)=0,"",VLOOKUP(Table48[[#This Row],[Date]],'DB LEI'!$A:$I,8))</f>
        <v/>
      </c>
    </row>
    <row r="102">
      <c r="A102" s="23" t="n">
        <v>31382</v>
      </c>
      <c r="B102" s="18">
        <f>VLOOKUP(Table48[[#This Row],[Date]],'DB LEI'!$A:$F,5)</f>
        <v/>
      </c>
      <c r="C102" s="24">
        <f>IF(VLOOKUP(Table48[[#This Row],[Date]],'DB LEI'!$A:$I,9)=0,"",VLOOKUP(Table48[[#This Row],[Date]],'DB LEI'!$A:$I,9))</f>
        <v/>
      </c>
      <c r="D102" s="24">
        <f>IF(VLOOKUP(Table48[[#This Row],[Date]],'DB LEI'!$A:$I,8)=0,"",VLOOKUP(Table48[[#This Row],[Date]],'DB LEI'!$A:$I,8))</f>
        <v/>
      </c>
    </row>
    <row r="103">
      <c r="A103" s="23" t="n">
        <v>31413</v>
      </c>
      <c r="B103" s="18">
        <f>VLOOKUP(Table48[[#This Row],[Date]],'DB LEI'!$A:$F,5)</f>
        <v/>
      </c>
      <c r="C103" s="24">
        <f>IF(VLOOKUP(Table48[[#This Row],[Date]],'DB LEI'!$A:$I,9)=0,"",VLOOKUP(Table48[[#This Row],[Date]],'DB LEI'!$A:$I,9))</f>
        <v/>
      </c>
      <c r="D103" s="24">
        <f>IF(VLOOKUP(Table48[[#This Row],[Date]],'DB LEI'!$A:$I,8)=0,"",VLOOKUP(Table48[[#This Row],[Date]],'DB LEI'!$A:$I,8))</f>
        <v/>
      </c>
    </row>
    <row r="104">
      <c r="A104" s="23" t="n">
        <v>31444</v>
      </c>
      <c r="B104" s="18">
        <f>VLOOKUP(Table48[[#This Row],[Date]],'DB LEI'!$A:$F,5)</f>
        <v/>
      </c>
      <c r="C104" s="24">
        <f>IF(VLOOKUP(Table48[[#This Row],[Date]],'DB LEI'!$A:$I,9)=0,"",VLOOKUP(Table48[[#This Row],[Date]],'DB LEI'!$A:$I,9))</f>
        <v/>
      </c>
      <c r="D104" s="24">
        <f>IF(VLOOKUP(Table48[[#This Row],[Date]],'DB LEI'!$A:$I,8)=0,"",VLOOKUP(Table48[[#This Row],[Date]],'DB LEI'!$A:$I,8))</f>
        <v/>
      </c>
    </row>
    <row r="105">
      <c r="A105" s="23" t="n">
        <v>31472</v>
      </c>
      <c r="B105" s="18">
        <f>VLOOKUP(Table48[[#This Row],[Date]],'DB LEI'!$A:$F,5)</f>
        <v/>
      </c>
      <c r="C105" s="24">
        <f>IF(VLOOKUP(Table48[[#This Row],[Date]],'DB LEI'!$A:$I,9)=0,"",VLOOKUP(Table48[[#This Row],[Date]],'DB LEI'!$A:$I,9))</f>
        <v/>
      </c>
      <c r="D105" s="24">
        <f>IF(VLOOKUP(Table48[[#This Row],[Date]],'DB LEI'!$A:$I,8)=0,"",VLOOKUP(Table48[[#This Row],[Date]],'DB LEI'!$A:$I,8))</f>
        <v/>
      </c>
    </row>
    <row r="106">
      <c r="A106" s="23" t="n">
        <v>31503</v>
      </c>
      <c r="B106" s="18">
        <f>VLOOKUP(Table48[[#This Row],[Date]],'DB LEI'!$A:$F,5)</f>
        <v/>
      </c>
      <c r="C106" s="24">
        <f>IF(VLOOKUP(Table48[[#This Row],[Date]],'DB LEI'!$A:$I,9)=0,"",VLOOKUP(Table48[[#This Row],[Date]],'DB LEI'!$A:$I,9))</f>
        <v/>
      </c>
      <c r="D106" s="24">
        <f>IF(VLOOKUP(Table48[[#This Row],[Date]],'DB LEI'!$A:$I,8)=0,"",VLOOKUP(Table48[[#This Row],[Date]],'DB LEI'!$A:$I,8))</f>
        <v/>
      </c>
    </row>
    <row r="107">
      <c r="A107" s="23" t="n">
        <v>31533</v>
      </c>
      <c r="B107" s="18">
        <f>VLOOKUP(Table48[[#This Row],[Date]],'DB LEI'!$A:$F,5)</f>
        <v/>
      </c>
      <c r="C107" s="24">
        <f>IF(VLOOKUP(Table48[[#This Row],[Date]],'DB LEI'!$A:$I,9)=0,"",VLOOKUP(Table48[[#This Row],[Date]],'DB LEI'!$A:$I,9))</f>
        <v/>
      </c>
      <c r="D107" s="24">
        <f>IF(VLOOKUP(Table48[[#This Row],[Date]],'DB LEI'!$A:$I,8)=0,"",VLOOKUP(Table48[[#This Row],[Date]],'DB LEI'!$A:$I,8))</f>
        <v/>
      </c>
    </row>
    <row r="108">
      <c r="A108" s="23" t="n">
        <v>31564</v>
      </c>
      <c r="B108" s="18">
        <f>VLOOKUP(Table48[[#This Row],[Date]],'DB LEI'!$A:$F,5)</f>
        <v/>
      </c>
      <c r="C108" s="24">
        <f>IF(VLOOKUP(Table48[[#This Row],[Date]],'DB LEI'!$A:$I,9)=0,"",VLOOKUP(Table48[[#This Row],[Date]],'DB LEI'!$A:$I,9))</f>
        <v/>
      </c>
      <c r="D108" s="24">
        <f>IF(VLOOKUP(Table48[[#This Row],[Date]],'DB LEI'!$A:$I,8)=0,"",VLOOKUP(Table48[[#This Row],[Date]],'DB LEI'!$A:$I,8))</f>
        <v/>
      </c>
    </row>
    <row r="109">
      <c r="A109" s="23" t="n">
        <v>31594</v>
      </c>
      <c r="B109" s="18">
        <f>VLOOKUP(Table48[[#This Row],[Date]],'DB LEI'!$A:$F,5)</f>
        <v/>
      </c>
      <c r="C109" s="24">
        <f>IF(VLOOKUP(Table48[[#This Row],[Date]],'DB LEI'!$A:$I,9)=0,"",VLOOKUP(Table48[[#This Row],[Date]],'DB LEI'!$A:$I,9))</f>
        <v/>
      </c>
      <c r="D109" s="24">
        <f>IF(VLOOKUP(Table48[[#This Row],[Date]],'DB LEI'!$A:$I,8)=0,"",VLOOKUP(Table48[[#This Row],[Date]],'DB LEI'!$A:$I,8))</f>
        <v/>
      </c>
    </row>
    <row r="110">
      <c r="A110" s="23" t="n">
        <v>31625</v>
      </c>
      <c r="B110" s="18">
        <f>VLOOKUP(Table48[[#This Row],[Date]],'DB LEI'!$A:$F,5)</f>
        <v/>
      </c>
      <c r="C110" s="24">
        <f>IF(VLOOKUP(Table48[[#This Row],[Date]],'DB LEI'!$A:$I,9)=0,"",VLOOKUP(Table48[[#This Row],[Date]],'DB LEI'!$A:$I,9))</f>
        <v/>
      </c>
      <c r="D110" s="24">
        <f>IF(VLOOKUP(Table48[[#This Row],[Date]],'DB LEI'!$A:$I,8)=0,"",VLOOKUP(Table48[[#This Row],[Date]],'DB LEI'!$A:$I,8))</f>
        <v/>
      </c>
    </row>
    <row r="111">
      <c r="A111" s="23" t="n">
        <v>31656</v>
      </c>
      <c r="B111" s="18">
        <f>VLOOKUP(Table48[[#This Row],[Date]],'DB LEI'!$A:$F,5)</f>
        <v/>
      </c>
      <c r="C111" s="24">
        <f>IF(VLOOKUP(Table48[[#This Row],[Date]],'DB LEI'!$A:$I,9)=0,"",VLOOKUP(Table48[[#This Row],[Date]],'DB LEI'!$A:$I,9))</f>
        <v/>
      </c>
      <c r="D111" s="24">
        <f>IF(VLOOKUP(Table48[[#This Row],[Date]],'DB LEI'!$A:$I,8)=0,"",VLOOKUP(Table48[[#This Row],[Date]],'DB LEI'!$A:$I,8))</f>
        <v/>
      </c>
    </row>
    <row r="112">
      <c r="A112" s="23" t="n">
        <v>31686</v>
      </c>
      <c r="B112" s="18">
        <f>VLOOKUP(Table48[[#This Row],[Date]],'DB LEI'!$A:$F,5)</f>
        <v/>
      </c>
      <c r="C112" s="24">
        <f>IF(VLOOKUP(Table48[[#This Row],[Date]],'DB LEI'!$A:$I,9)=0,"",VLOOKUP(Table48[[#This Row],[Date]],'DB LEI'!$A:$I,9))</f>
        <v/>
      </c>
      <c r="D112" s="24">
        <f>IF(VLOOKUP(Table48[[#This Row],[Date]],'DB LEI'!$A:$I,8)=0,"",VLOOKUP(Table48[[#This Row],[Date]],'DB LEI'!$A:$I,8))</f>
        <v/>
      </c>
    </row>
    <row r="113">
      <c r="A113" s="23" t="n">
        <v>31717</v>
      </c>
      <c r="B113" s="18">
        <f>VLOOKUP(Table48[[#This Row],[Date]],'DB LEI'!$A:$F,5)</f>
        <v/>
      </c>
      <c r="C113" s="24">
        <f>IF(VLOOKUP(Table48[[#This Row],[Date]],'DB LEI'!$A:$I,9)=0,"",VLOOKUP(Table48[[#This Row],[Date]],'DB LEI'!$A:$I,9))</f>
        <v/>
      </c>
      <c r="D113" s="24">
        <f>IF(VLOOKUP(Table48[[#This Row],[Date]],'DB LEI'!$A:$I,8)=0,"",VLOOKUP(Table48[[#This Row],[Date]],'DB LEI'!$A:$I,8))</f>
        <v/>
      </c>
    </row>
    <row r="114">
      <c r="A114" s="23" t="n">
        <v>31747</v>
      </c>
      <c r="B114" s="18">
        <f>VLOOKUP(Table48[[#This Row],[Date]],'DB LEI'!$A:$F,5)</f>
        <v/>
      </c>
      <c r="C114" s="24">
        <f>IF(VLOOKUP(Table48[[#This Row],[Date]],'DB LEI'!$A:$I,9)=0,"",VLOOKUP(Table48[[#This Row],[Date]],'DB LEI'!$A:$I,9))</f>
        <v/>
      </c>
      <c r="D114" s="24">
        <f>IF(VLOOKUP(Table48[[#This Row],[Date]],'DB LEI'!$A:$I,8)=0,"",VLOOKUP(Table48[[#This Row],[Date]],'DB LEI'!$A:$I,8))</f>
        <v/>
      </c>
    </row>
    <row r="115">
      <c r="A115" s="23" t="n">
        <v>31778</v>
      </c>
      <c r="B115" s="18">
        <f>VLOOKUP(Table48[[#This Row],[Date]],'DB LEI'!$A:$F,5)</f>
        <v/>
      </c>
      <c r="C115" s="24">
        <f>IF(VLOOKUP(Table48[[#This Row],[Date]],'DB LEI'!$A:$I,9)=0,"",VLOOKUP(Table48[[#This Row],[Date]],'DB LEI'!$A:$I,9))</f>
        <v/>
      </c>
      <c r="D115" s="24">
        <f>IF(VLOOKUP(Table48[[#This Row],[Date]],'DB LEI'!$A:$I,8)=0,"",VLOOKUP(Table48[[#This Row],[Date]],'DB LEI'!$A:$I,8))</f>
        <v/>
      </c>
    </row>
    <row r="116">
      <c r="A116" s="23" t="n">
        <v>31809</v>
      </c>
      <c r="B116" s="18">
        <f>VLOOKUP(Table48[[#This Row],[Date]],'DB LEI'!$A:$F,5)</f>
        <v/>
      </c>
      <c r="C116" s="24">
        <f>IF(VLOOKUP(Table48[[#This Row],[Date]],'DB LEI'!$A:$I,9)=0,"",VLOOKUP(Table48[[#This Row],[Date]],'DB LEI'!$A:$I,9))</f>
        <v/>
      </c>
      <c r="D116" s="24">
        <f>IF(VLOOKUP(Table48[[#This Row],[Date]],'DB LEI'!$A:$I,8)=0,"",VLOOKUP(Table48[[#This Row],[Date]],'DB LEI'!$A:$I,8))</f>
        <v/>
      </c>
    </row>
    <row r="117">
      <c r="A117" s="23" t="n">
        <v>31837</v>
      </c>
      <c r="B117" s="18">
        <f>VLOOKUP(Table48[[#This Row],[Date]],'DB LEI'!$A:$F,5)</f>
        <v/>
      </c>
      <c r="C117" s="24">
        <f>IF(VLOOKUP(Table48[[#This Row],[Date]],'DB LEI'!$A:$I,9)=0,"",VLOOKUP(Table48[[#This Row],[Date]],'DB LEI'!$A:$I,9))</f>
        <v/>
      </c>
      <c r="D117" s="24">
        <f>IF(VLOOKUP(Table48[[#This Row],[Date]],'DB LEI'!$A:$I,8)=0,"",VLOOKUP(Table48[[#This Row],[Date]],'DB LEI'!$A:$I,8))</f>
        <v/>
      </c>
    </row>
    <row r="118">
      <c r="A118" s="23" t="n">
        <v>31868</v>
      </c>
      <c r="B118" s="18">
        <f>VLOOKUP(Table48[[#This Row],[Date]],'DB LEI'!$A:$F,5)</f>
        <v/>
      </c>
      <c r="C118" s="24">
        <f>IF(VLOOKUP(Table48[[#This Row],[Date]],'DB LEI'!$A:$I,9)=0,"",VLOOKUP(Table48[[#This Row],[Date]],'DB LEI'!$A:$I,9))</f>
        <v/>
      </c>
      <c r="D118" s="24">
        <f>IF(VLOOKUP(Table48[[#This Row],[Date]],'DB LEI'!$A:$I,8)=0,"",VLOOKUP(Table48[[#This Row],[Date]],'DB LEI'!$A:$I,8))</f>
        <v/>
      </c>
    </row>
    <row r="119">
      <c r="A119" s="23" t="n">
        <v>31898</v>
      </c>
      <c r="B119" s="18">
        <f>VLOOKUP(Table48[[#This Row],[Date]],'DB LEI'!$A:$F,5)</f>
        <v/>
      </c>
      <c r="C119" s="24">
        <f>IF(VLOOKUP(Table48[[#This Row],[Date]],'DB LEI'!$A:$I,9)=0,"",VLOOKUP(Table48[[#This Row],[Date]],'DB LEI'!$A:$I,9))</f>
        <v/>
      </c>
      <c r="D119" s="24">
        <f>IF(VLOOKUP(Table48[[#This Row],[Date]],'DB LEI'!$A:$I,8)=0,"",VLOOKUP(Table48[[#This Row],[Date]],'DB LEI'!$A:$I,8))</f>
        <v/>
      </c>
    </row>
    <row r="120">
      <c r="A120" s="23" t="n">
        <v>31929</v>
      </c>
      <c r="B120" s="18">
        <f>VLOOKUP(Table48[[#This Row],[Date]],'DB LEI'!$A:$F,5)</f>
        <v/>
      </c>
      <c r="C120" s="24">
        <f>IF(VLOOKUP(Table48[[#This Row],[Date]],'DB LEI'!$A:$I,9)=0,"",VLOOKUP(Table48[[#This Row],[Date]],'DB LEI'!$A:$I,9))</f>
        <v/>
      </c>
      <c r="D120" s="24">
        <f>IF(VLOOKUP(Table48[[#This Row],[Date]],'DB LEI'!$A:$I,8)=0,"",VLOOKUP(Table48[[#This Row],[Date]],'DB LEI'!$A:$I,8))</f>
        <v/>
      </c>
    </row>
    <row r="121">
      <c r="A121" s="23" t="n">
        <v>31959</v>
      </c>
      <c r="B121" s="18">
        <f>VLOOKUP(Table48[[#This Row],[Date]],'DB LEI'!$A:$F,5)</f>
        <v/>
      </c>
      <c r="C121" s="24">
        <f>IF(VLOOKUP(Table48[[#This Row],[Date]],'DB LEI'!$A:$I,9)=0,"",VLOOKUP(Table48[[#This Row],[Date]],'DB LEI'!$A:$I,9))</f>
        <v/>
      </c>
      <c r="D121" s="24">
        <f>IF(VLOOKUP(Table48[[#This Row],[Date]],'DB LEI'!$A:$I,8)=0,"",VLOOKUP(Table48[[#This Row],[Date]],'DB LEI'!$A:$I,8))</f>
        <v/>
      </c>
    </row>
    <row r="122">
      <c r="A122" s="23" t="n">
        <v>31990</v>
      </c>
      <c r="B122" s="18">
        <f>VLOOKUP(Table48[[#This Row],[Date]],'DB LEI'!$A:$F,5)</f>
        <v/>
      </c>
      <c r="C122" s="24">
        <f>IF(VLOOKUP(Table48[[#This Row],[Date]],'DB LEI'!$A:$I,9)=0,"",VLOOKUP(Table48[[#This Row],[Date]],'DB LEI'!$A:$I,9))</f>
        <v/>
      </c>
      <c r="D122" s="24">
        <f>IF(VLOOKUP(Table48[[#This Row],[Date]],'DB LEI'!$A:$I,8)=0,"",VLOOKUP(Table48[[#This Row],[Date]],'DB LEI'!$A:$I,8))</f>
        <v/>
      </c>
    </row>
    <row r="123">
      <c r="A123" s="23" t="n">
        <v>32021</v>
      </c>
      <c r="B123" s="18">
        <f>VLOOKUP(Table48[[#This Row],[Date]],'DB LEI'!$A:$F,5)</f>
        <v/>
      </c>
      <c r="C123" s="24">
        <f>IF(VLOOKUP(Table48[[#This Row],[Date]],'DB LEI'!$A:$I,9)=0,"",VLOOKUP(Table48[[#This Row],[Date]],'DB LEI'!$A:$I,9))</f>
        <v/>
      </c>
      <c r="D123" s="24">
        <f>IF(VLOOKUP(Table48[[#This Row],[Date]],'DB LEI'!$A:$I,8)=0,"",VLOOKUP(Table48[[#This Row],[Date]],'DB LEI'!$A:$I,8))</f>
        <v/>
      </c>
    </row>
    <row r="124">
      <c r="A124" s="23" t="n">
        <v>32051</v>
      </c>
      <c r="B124" s="18">
        <f>VLOOKUP(Table48[[#This Row],[Date]],'DB LEI'!$A:$F,5)</f>
        <v/>
      </c>
      <c r="C124" s="24">
        <f>IF(VLOOKUP(Table48[[#This Row],[Date]],'DB LEI'!$A:$I,9)=0,"",VLOOKUP(Table48[[#This Row],[Date]],'DB LEI'!$A:$I,9))</f>
        <v/>
      </c>
      <c r="D124" s="24">
        <f>IF(VLOOKUP(Table48[[#This Row],[Date]],'DB LEI'!$A:$I,8)=0,"",VLOOKUP(Table48[[#This Row],[Date]],'DB LEI'!$A:$I,8))</f>
        <v/>
      </c>
    </row>
    <row r="125">
      <c r="A125" s="23" t="n">
        <v>32082</v>
      </c>
      <c r="B125" s="18">
        <f>VLOOKUP(Table48[[#This Row],[Date]],'DB LEI'!$A:$F,5)</f>
        <v/>
      </c>
      <c r="C125" s="24">
        <f>IF(VLOOKUP(Table48[[#This Row],[Date]],'DB LEI'!$A:$I,9)=0,"",VLOOKUP(Table48[[#This Row],[Date]],'DB LEI'!$A:$I,9))</f>
        <v/>
      </c>
      <c r="D125" s="24">
        <f>IF(VLOOKUP(Table48[[#This Row],[Date]],'DB LEI'!$A:$I,8)=0,"",VLOOKUP(Table48[[#This Row],[Date]],'DB LEI'!$A:$I,8))</f>
        <v/>
      </c>
    </row>
    <row r="126">
      <c r="A126" s="23" t="n">
        <v>32112</v>
      </c>
      <c r="B126" s="18">
        <f>VLOOKUP(Table48[[#This Row],[Date]],'DB LEI'!$A:$F,5)</f>
        <v/>
      </c>
      <c r="C126" s="24">
        <f>IF(VLOOKUP(Table48[[#This Row],[Date]],'DB LEI'!$A:$I,9)=0,"",VLOOKUP(Table48[[#This Row],[Date]],'DB LEI'!$A:$I,9))</f>
        <v/>
      </c>
      <c r="D126" s="24">
        <f>IF(VLOOKUP(Table48[[#This Row],[Date]],'DB LEI'!$A:$I,8)=0,"",VLOOKUP(Table48[[#This Row],[Date]],'DB LEI'!$A:$I,8))</f>
        <v/>
      </c>
    </row>
    <row r="127">
      <c r="A127" s="23" t="n">
        <v>32143</v>
      </c>
      <c r="B127" s="18">
        <f>VLOOKUP(Table48[[#This Row],[Date]],'DB LEI'!$A:$F,5)</f>
        <v/>
      </c>
      <c r="C127" s="24">
        <f>IF(VLOOKUP(Table48[[#This Row],[Date]],'DB LEI'!$A:$I,9)=0,"",VLOOKUP(Table48[[#This Row],[Date]],'DB LEI'!$A:$I,9))</f>
        <v/>
      </c>
      <c r="D127" s="24">
        <f>IF(VLOOKUP(Table48[[#This Row],[Date]],'DB LEI'!$A:$I,8)=0,"",VLOOKUP(Table48[[#This Row],[Date]],'DB LEI'!$A:$I,8))</f>
        <v/>
      </c>
    </row>
    <row r="128">
      <c r="A128" s="23" t="n">
        <v>32174</v>
      </c>
      <c r="B128" s="18">
        <f>VLOOKUP(Table48[[#This Row],[Date]],'DB LEI'!$A:$F,5)</f>
        <v/>
      </c>
      <c r="C128" s="24">
        <f>IF(VLOOKUP(Table48[[#This Row],[Date]],'DB LEI'!$A:$I,9)=0,"",VLOOKUP(Table48[[#This Row],[Date]],'DB LEI'!$A:$I,9))</f>
        <v/>
      </c>
      <c r="D128" s="24">
        <f>IF(VLOOKUP(Table48[[#This Row],[Date]],'DB LEI'!$A:$I,8)=0,"",VLOOKUP(Table48[[#This Row],[Date]],'DB LEI'!$A:$I,8))</f>
        <v/>
      </c>
    </row>
    <row r="129">
      <c r="A129" s="23" t="n">
        <v>32203</v>
      </c>
      <c r="B129" s="18">
        <f>VLOOKUP(Table48[[#This Row],[Date]],'DB LEI'!$A:$F,5)</f>
        <v/>
      </c>
      <c r="C129" s="24">
        <f>IF(VLOOKUP(Table48[[#This Row],[Date]],'DB LEI'!$A:$I,9)=0,"",VLOOKUP(Table48[[#This Row],[Date]],'DB LEI'!$A:$I,9))</f>
        <v/>
      </c>
      <c r="D129" s="24">
        <f>IF(VLOOKUP(Table48[[#This Row],[Date]],'DB LEI'!$A:$I,8)=0,"",VLOOKUP(Table48[[#This Row],[Date]],'DB LEI'!$A:$I,8))</f>
        <v/>
      </c>
    </row>
    <row r="130">
      <c r="A130" s="23" t="n">
        <v>32234</v>
      </c>
      <c r="B130" s="18">
        <f>VLOOKUP(Table48[[#This Row],[Date]],'DB LEI'!$A:$F,5)</f>
        <v/>
      </c>
      <c r="C130" s="24">
        <f>IF(VLOOKUP(Table48[[#This Row],[Date]],'DB LEI'!$A:$I,9)=0,"",VLOOKUP(Table48[[#This Row],[Date]],'DB LEI'!$A:$I,9))</f>
        <v/>
      </c>
      <c r="D130" s="24">
        <f>IF(VLOOKUP(Table48[[#This Row],[Date]],'DB LEI'!$A:$I,8)=0,"",VLOOKUP(Table48[[#This Row],[Date]],'DB LEI'!$A:$I,8))</f>
        <v/>
      </c>
    </row>
    <row r="131">
      <c r="A131" s="23" t="n">
        <v>32264</v>
      </c>
      <c r="B131" s="18">
        <f>VLOOKUP(Table48[[#This Row],[Date]],'DB LEI'!$A:$F,5)</f>
        <v/>
      </c>
      <c r="C131" s="24">
        <f>IF(VLOOKUP(Table48[[#This Row],[Date]],'DB LEI'!$A:$I,9)=0,"",VLOOKUP(Table48[[#This Row],[Date]],'DB LEI'!$A:$I,9))</f>
        <v/>
      </c>
      <c r="D131" s="24">
        <f>IF(VLOOKUP(Table48[[#This Row],[Date]],'DB LEI'!$A:$I,8)=0,"",VLOOKUP(Table48[[#This Row],[Date]],'DB LEI'!$A:$I,8))</f>
        <v/>
      </c>
    </row>
    <row r="132">
      <c r="A132" s="23" t="n">
        <v>32295</v>
      </c>
      <c r="B132" s="18">
        <f>VLOOKUP(Table48[[#This Row],[Date]],'DB LEI'!$A:$F,5)</f>
        <v/>
      </c>
      <c r="C132" s="24">
        <f>IF(VLOOKUP(Table48[[#This Row],[Date]],'DB LEI'!$A:$I,9)=0,"",VLOOKUP(Table48[[#This Row],[Date]],'DB LEI'!$A:$I,9))</f>
        <v/>
      </c>
      <c r="D132" s="24">
        <f>IF(VLOOKUP(Table48[[#This Row],[Date]],'DB LEI'!$A:$I,8)=0,"",VLOOKUP(Table48[[#This Row],[Date]],'DB LEI'!$A:$I,8))</f>
        <v/>
      </c>
    </row>
    <row r="133">
      <c r="A133" s="23" t="n">
        <v>32325</v>
      </c>
      <c r="B133" s="18">
        <f>VLOOKUP(Table48[[#This Row],[Date]],'DB LEI'!$A:$F,5)</f>
        <v/>
      </c>
      <c r="C133" s="24">
        <f>IF(VLOOKUP(Table48[[#This Row],[Date]],'DB LEI'!$A:$I,9)=0,"",VLOOKUP(Table48[[#This Row],[Date]],'DB LEI'!$A:$I,9))</f>
        <v/>
      </c>
      <c r="D133" s="24">
        <f>IF(VLOOKUP(Table48[[#This Row],[Date]],'DB LEI'!$A:$I,8)=0,"",VLOOKUP(Table48[[#This Row],[Date]],'DB LEI'!$A:$I,8))</f>
        <v/>
      </c>
    </row>
    <row r="134">
      <c r="A134" s="23" t="n">
        <v>32356</v>
      </c>
      <c r="B134" s="18">
        <f>VLOOKUP(Table48[[#This Row],[Date]],'DB LEI'!$A:$F,5)</f>
        <v/>
      </c>
      <c r="C134" s="24">
        <f>IF(VLOOKUP(Table48[[#This Row],[Date]],'DB LEI'!$A:$I,9)=0,"",VLOOKUP(Table48[[#This Row],[Date]],'DB LEI'!$A:$I,9))</f>
        <v/>
      </c>
      <c r="D134" s="24">
        <f>IF(VLOOKUP(Table48[[#This Row],[Date]],'DB LEI'!$A:$I,8)=0,"",VLOOKUP(Table48[[#This Row],[Date]],'DB LEI'!$A:$I,8))</f>
        <v/>
      </c>
    </row>
    <row r="135">
      <c r="A135" s="23" t="n">
        <v>32387</v>
      </c>
      <c r="B135" s="18">
        <f>VLOOKUP(Table48[[#This Row],[Date]],'DB LEI'!$A:$F,5)</f>
        <v/>
      </c>
      <c r="C135" s="24">
        <f>IF(VLOOKUP(Table48[[#This Row],[Date]],'DB LEI'!$A:$I,9)=0,"",VLOOKUP(Table48[[#This Row],[Date]],'DB LEI'!$A:$I,9))</f>
        <v/>
      </c>
      <c r="D135" s="24">
        <f>IF(VLOOKUP(Table48[[#This Row],[Date]],'DB LEI'!$A:$I,8)=0,"",VLOOKUP(Table48[[#This Row],[Date]],'DB LEI'!$A:$I,8))</f>
        <v/>
      </c>
    </row>
    <row r="136">
      <c r="A136" s="23" t="n">
        <v>32417</v>
      </c>
      <c r="B136" s="18">
        <f>VLOOKUP(Table48[[#This Row],[Date]],'DB LEI'!$A:$F,5)</f>
        <v/>
      </c>
      <c r="C136" s="24">
        <f>IF(VLOOKUP(Table48[[#This Row],[Date]],'DB LEI'!$A:$I,9)=0,"",VLOOKUP(Table48[[#This Row],[Date]],'DB LEI'!$A:$I,9))</f>
        <v/>
      </c>
      <c r="D136" s="24">
        <f>IF(VLOOKUP(Table48[[#This Row],[Date]],'DB LEI'!$A:$I,8)=0,"",VLOOKUP(Table48[[#This Row],[Date]],'DB LEI'!$A:$I,8))</f>
        <v/>
      </c>
    </row>
    <row r="137">
      <c r="A137" s="23" t="n">
        <v>32448</v>
      </c>
      <c r="B137" s="18">
        <f>VLOOKUP(Table48[[#This Row],[Date]],'DB LEI'!$A:$F,5)</f>
        <v/>
      </c>
      <c r="C137" s="24">
        <f>IF(VLOOKUP(Table48[[#This Row],[Date]],'DB LEI'!$A:$I,9)=0,"",VLOOKUP(Table48[[#This Row],[Date]],'DB LEI'!$A:$I,9))</f>
        <v/>
      </c>
      <c r="D137" s="24">
        <f>IF(VLOOKUP(Table48[[#This Row],[Date]],'DB LEI'!$A:$I,8)=0,"",VLOOKUP(Table48[[#This Row],[Date]],'DB LEI'!$A:$I,8))</f>
        <v/>
      </c>
    </row>
    <row r="138">
      <c r="A138" s="23" t="n">
        <v>32478</v>
      </c>
      <c r="B138" s="18">
        <f>VLOOKUP(Table48[[#This Row],[Date]],'DB LEI'!$A:$F,5)</f>
        <v/>
      </c>
      <c r="C138" s="24">
        <f>IF(VLOOKUP(Table48[[#This Row],[Date]],'DB LEI'!$A:$I,9)=0,"",VLOOKUP(Table48[[#This Row],[Date]],'DB LEI'!$A:$I,9))</f>
        <v/>
      </c>
      <c r="D138" s="24">
        <f>IF(VLOOKUP(Table48[[#This Row],[Date]],'DB LEI'!$A:$I,8)=0,"",VLOOKUP(Table48[[#This Row],[Date]],'DB LEI'!$A:$I,8))</f>
        <v/>
      </c>
    </row>
    <row r="139">
      <c r="A139" s="23" t="n">
        <v>32509</v>
      </c>
      <c r="B139" s="18">
        <f>VLOOKUP(Table48[[#This Row],[Date]],'DB LEI'!$A:$F,5)</f>
        <v/>
      </c>
      <c r="C139" s="24">
        <f>IF(VLOOKUP(Table48[[#This Row],[Date]],'DB LEI'!$A:$I,9)=0,"",VLOOKUP(Table48[[#This Row],[Date]],'DB LEI'!$A:$I,9))</f>
        <v/>
      </c>
      <c r="D139" s="24">
        <f>IF(VLOOKUP(Table48[[#This Row],[Date]],'DB LEI'!$A:$I,8)=0,"",VLOOKUP(Table48[[#This Row],[Date]],'DB LEI'!$A:$I,8))</f>
        <v/>
      </c>
    </row>
    <row r="140">
      <c r="A140" s="23" t="n">
        <v>32540</v>
      </c>
      <c r="B140" s="18">
        <f>VLOOKUP(Table48[[#This Row],[Date]],'DB LEI'!$A:$F,5)</f>
        <v/>
      </c>
      <c r="C140" s="24">
        <f>IF(VLOOKUP(Table48[[#This Row],[Date]],'DB LEI'!$A:$I,9)=0,"",VLOOKUP(Table48[[#This Row],[Date]],'DB LEI'!$A:$I,9))</f>
        <v/>
      </c>
      <c r="D140" s="24">
        <f>IF(VLOOKUP(Table48[[#This Row],[Date]],'DB LEI'!$A:$I,8)=0,"",VLOOKUP(Table48[[#This Row],[Date]],'DB LEI'!$A:$I,8))</f>
        <v/>
      </c>
    </row>
    <row r="141">
      <c r="A141" s="23" t="n">
        <v>32568</v>
      </c>
      <c r="B141" s="18">
        <f>VLOOKUP(Table48[[#This Row],[Date]],'DB LEI'!$A:$F,5)</f>
        <v/>
      </c>
      <c r="C141" s="24">
        <f>IF(VLOOKUP(Table48[[#This Row],[Date]],'DB LEI'!$A:$I,9)=0,"",VLOOKUP(Table48[[#This Row],[Date]],'DB LEI'!$A:$I,9))</f>
        <v/>
      </c>
      <c r="D141" s="24">
        <f>IF(VLOOKUP(Table48[[#This Row],[Date]],'DB LEI'!$A:$I,8)=0,"",VLOOKUP(Table48[[#This Row],[Date]],'DB LEI'!$A:$I,8))</f>
        <v/>
      </c>
    </row>
    <row r="142">
      <c r="A142" s="23" t="n">
        <v>32599</v>
      </c>
      <c r="B142" s="18">
        <f>VLOOKUP(Table48[[#This Row],[Date]],'DB LEI'!$A:$F,5)</f>
        <v/>
      </c>
      <c r="C142" s="24">
        <f>IF(VLOOKUP(Table48[[#This Row],[Date]],'DB LEI'!$A:$I,9)=0,"",VLOOKUP(Table48[[#This Row],[Date]],'DB LEI'!$A:$I,9))</f>
        <v/>
      </c>
      <c r="D142" s="24">
        <f>IF(VLOOKUP(Table48[[#This Row],[Date]],'DB LEI'!$A:$I,8)=0,"",VLOOKUP(Table48[[#This Row],[Date]],'DB LEI'!$A:$I,8))</f>
        <v/>
      </c>
    </row>
    <row r="143">
      <c r="A143" s="23" t="n">
        <v>32629</v>
      </c>
      <c r="B143" s="18">
        <f>VLOOKUP(Table48[[#This Row],[Date]],'DB LEI'!$A:$F,5)</f>
        <v/>
      </c>
      <c r="C143" s="24">
        <f>IF(VLOOKUP(Table48[[#This Row],[Date]],'DB LEI'!$A:$I,9)=0,"",VLOOKUP(Table48[[#This Row],[Date]],'DB LEI'!$A:$I,9))</f>
        <v/>
      </c>
      <c r="D143" s="24">
        <f>IF(VLOOKUP(Table48[[#This Row],[Date]],'DB LEI'!$A:$I,8)=0,"",VLOOKUP(Table48[[#This Row],[Date]],'DB LEI'!$A:$I,8))</f>
        <v/>
      </c>
    </row>
    <row r="144">
      <c r="A144" s="23" t="n">
        <v>32660</v>
      </c>
      <c r="B144" s="18">
        <f>VLOOKUP(Table48[[#This Row],[Date]],'DB LEI'!$A:$F,5)</f>
        <v/>
      </c>
      <c r="C144" s="24">
        <f>IF(VLOOKUP(Table48[[#This Row],[Date]],'DB LEI'!$A:$I,9)=0,"",VLOOKUP(Table48[[#This Row],[Date]],'DB LEI'!$A:$I,9))</f>
        <v/>
      </c>
      <c r="D144" s="24">
        <f>IF(VLOOKUP(Table48[[#This Row],[Date]],'DB LEI'!$A:$I,8)=0,"",VLOOKUP(Table48[[#This Row],[Date]],'DB LEI'!$A:$I,8))</f>
        <v/>
      </c>
    </row>
    <row r="145">
      <c r="A145" s="23" t="n">
        <v>32690</v>
      </c>
      <c r="B145" s="18">
        <f>VLOOKUP(Table48[[#This Row],[Date]],'DB LEI'!$A:$F,5)</f>
        <v/>
      </c>
      <c r="C145" s="24">
        <f>IF(VLOOKUP(Table48[[#This Row],[Date]],'DB LEI'!$A:$I,9)=0,"",VLOOKUP(Table48[[#This Row],[Date]],'DB LEI'!$A:$I,9))</f>
        <v/>
      </c>
      <c r="D145" s="24">
        <f>IF(VLOOKUP(Table48[[#This Row],[Date]],'DB LEI'!$A:$I,8)=0,"",VLOOKUP(Table48[[#This Row],[Date]],'DB LEI'!$A:$I,8))</f>
        <v/>
      </c>
    </row>
    <row r="146">
      <c r="A146" s="23" t="n">
        <v>32721</v>
      </c>
      <c r="B146" s="18">
        <f>VLOOKUP(Table48[[#This Row],[Date]],'DB LEI'!$A:$F,5)</f>
        <v/>
      </c>
      <c r="C146" s="24">
        <f>IF(VLOOKUP(Table48[[#This Row],[Date]],'DB LEI'!$A:$I,9)=0,"",VLOOKUP(Table48[[#This Row],[Date]],'DB LEI'!$A:$I,9))</f>
        <v/>
      </c>
      <c r="D146" s="24">
        <f>IF(VLOOKUP(Table48[[#This Row],[Date]],'DB LEI'!$A:$I,8)=0,"",VLOOKUP(Table48[[#This Row],[Date]],'DB LEI'!$A:$I,8))</f>
        <v/>
      </c>
    </row>
    <row r="147">
      <c r="A147" s="23" t="n">
        <v>32752</v>
      </c>
      <c r="B147" s="18">
        <f>VLOOKUP(Table48[[#This Row],[Date]],'DB LEI'!$A:$F,5)</f>
        <v/>
      </c>
      <c r="C147" s="24">
        <f>IF(VLOOKUP(Table48[[#This Row],[Date]],'DB LEI'!$A:$I,9)=0,"",VLOOKUP(Table48[[#This Row],[Date]],'DB LEI'!$A:$I,9))</f>
        <v/>
      </c>
      <c r="D147" s="24">
        <f>IF(VLOOKUP(Table48[[#This Row],[Date]],'DB LEI'!$A:$I,8)=0,"",VLOOKUP(Table48[[#This Row],[Date]],'DB LEI'!$A:$I,8))</f>
        <v/>
      </c>
    </row>
    <row r="148">
      <c r="A148" s="23" t="n">
        <v>32782</v>
      </c>
      <c r="B148" s="18">
        <f>VLOOKUP(Table48[[#This Row],[Date]],'DB LEI'!$A:$F,5)</f>
        <v/>
      </c>
      <c r="C148" s="24">
        <f>IF(VLOOKUP(Table48[[#This Row],[Date]],'DB LEI'!$A:$I,9)=0,"",VLOOKUP(Table48[[#This Row],[Date]],'DB LEI'!$A:$I,9))</f>
        <v/>
      </c>
      <c r="D148" s="24">
        <f>IF(VLOOKUP(Table48[[#This Row],[Date]],'DB LEI'!$A:$I,8)=0,"",VLOOKUP(Table48[[#This Row],[Date]],'DB LEI'!$A:$I,8))</f>
        <v/>
      </c>
    </row>
    <row r="149">
      <c r="A149" s="23" t="n">
        <v>32813</v>
      </c>
      <c r="B149" s="18">
        <f>VLOOKUP(Table48[[#This Row],[Date]],'DB LEI'!$A:$F,5)</f>
        <v/>
      </c>
      <c r="C149" s="24">
        <f>IF(VLOOKUP(Table48[[#This Row],[Date]],'DB LEI'!$A:$I,9)=0,"",VLOOKUP(Table48[[#This Row],[Date]],'DB LEI'!$A:$I,9))</f>
        <v/>
      </c>
      <c r="D149" s="24">
        <f>IF(VLOOKUP(Table48[[#This Row],[Date]],'DB LEI'!$A:$I,8)=0,"",VLOOKUP(Table48[[#This Row],[Date]],'DB LEI'!$A:$I,8))</f>
        <v/>
      </c>
    </row>
    <row r="150">
      <c r="A150" s="23" t="n">
        <v>32843</v>
      </c>
      <c r="B150" s="18">
        <f>VLOOKUP(Table48[[#This Row],[Date]],'DB LEI'!$A:$F,5)</f>
        <v/>
      </c>
      <c r="C150" s="24">
        <f>IF(VLOOKUP(Table48[[#This Row],[Date]],'DB LEI'!$A:$I,9)=0,"",VLOOKUP(Table48[[#This Row],[Date]],'DB LEI'!$A:$I,9))</f>
        <v/>
      </c>
      <c r="D150" s="24">
        <f>IF(VLOOKUP(Table48[[#This Row],[Date]],'DB LEI'!$A:$I,8)=0,"",VLOOKUP(Table48[[#This Row],[Date]],'DB LEI'!$A:$I,8))</f>
        <v/>
      </c>
    </row>
    <row r="151">
      <c r="A151" s="23" t="n">
        <v>32874</v>
      </c>
      <c r="B151" s="18">
        <f>VLOOKUP(Table48[[#This Row],[Date]],'DB LEI'!$A:$F,5)</f>
        <v/>
      </c>
      <c r="C151" s="24">
        <f>IF(VLOOKUP(Table48[[#This Row],[Date]],'DB LEI'!$A:$I,9)=0,"",VLOOKUP(Table48[[#This Row],[Date]],'DB LEI'!$A:$I,9))</f>
        <v/>
      </c>
      <c r="D151" s="24">
        <f>IF(VLOOKUP(Table48[[#This Row],[Date]],'DB LEI'!$A:$I,8)=0,"",VLOOKUP(Table48[[#This Row],[Date]],'DB LEI'!$A:$I,8))</f>
        <v/>
      </c>
    </row>
    <row r="152">
      <c r="A152" s="23" t="n">
        <v>32905</v>
      </c>
      <c r="B152" s="18">
        <f>VLOOKUP(Table48[[#This Row],[Date]],'DB LEI'!$A:$F,5)</f>
        <v/>
      </c>
      <c r="C152" s="24">
        <f>IF(VLOOKUP(Table48[[#This Row],[Date]],'DB LEI'!$A:$I,9)=0,"",VLOOKUP(Table48[[#This Row],[Date]],'DB LEI'!$A:$I,9))</f>
        <v/>
      </c>
      <c r="D152" s="24">
        <f>IF(VLOOKUP(Table48[[#This Row],[Date]],'DB LEI'!$A:$I,8)=0,"",VLOOKUP(Table48[[#This Row],[Date]],'DB LEI'!$A:$I,8))</f>
        <v/>
      </c>
    </row>
    <row r="153">
      <c r="A153" s="23" t="n">
        <v>32933</v>
      </c>
      <c r="B153" s="18">
        <f>VLOOKUP(Table48[[#This Row],[Date]],'DB LEI'!$A:$F,5)</f>
        <v/>
      </c>
      <c r="C153" s="24">
        <f>IF(VLOOKUP(Table48[[#This Row],[Date]],'DB LEI'!$A:$I,9)=0,"",VLOOKUP(Table48[[#This Row],[Date]],'DB LEI'!$A:$I,9))</f>
        <v/>
      </c>
      <c r="D153" s="24">
        <f>IF(VLOOKUP(Table48[[#This Row],[Date]],'DB LEI'!$A:$I,8)=0,"",VLOOKUP(Table48[[#This Row],[Date]],'DB LEI'!$A:$I,8))</f>
        <v/>
      </c>
    </row>
    <row r="154">
      <c r="A154" s="23" t="n">
        <v>32964</v>
      </c>
      <c r="B154" s="18">
        <f>VLOOKUP(Table48[[#This Row],[Date]],'DB LEI'!$A:$F,5)</f>
        <v/>
      </c>
      <c r="C154" s="24">
        <f>IF(VLOOKUP(Table48[[#This Row],[Date]],'DB LEI'!$A:$I,9)=0,"",VLOOKUP(Table48[[#This Row],[Date]],'DB LEI'!$A:$I,9))</f>
        <v/>
      </c>
      <c r="D154" s="24">
        <f>IF(VLOOKUP(Table48[[#This Row],[Date]],'DB LEI'!$A:$I,8)=0,"",VLOOKUP(Table48[[#This Row],[Date]],'DB LEI'!$A:$I,8))</f>
        <v/>
      </c>
    </row>
    <row r="155">
      <c r="A155" s="23" t="n">
        <v>32994</v>
      </c>
      <c r="B155" s="18">
        <f>VLOOKUP(Table48[[#This Row],[Date]],'DB LEI'!$A:$F,5)</f>
        <v/>
      </c>
      <c r="C155" s="24">
        <f>IF(VLOOKUP(Table48[[#This Row],[Date]],'DB LEI'!$A:$I,9)=0,"",VLOOKUP(Table48[[#This Row],[Date]],'DB LEI'!$A:$I,9))</f>
        <v/>
      </c>
      <c r="D155" s="24">
        <f>IF(VLOOKUP(Table48[[#This Row],[Date]],'DB LEI'!$A:$I,8)=0,"",VLOOKUP(Table48[[#This Row],[Date]],'DB LEI'!$A:$I,8))</f>
        <v/>
      </c>
    </row>
    <row r="156">
      <c r="A156" s="23" t="n">
        <v>33025</v>
      </c>
      <c r="B156" s="18">
        <f>VLOOKUP(Table48[[#This Row],[Date]],'DB LEI'!$A:$F,5)</f>
        <v/>
      </c>
      <c r="C156" s="24">
        <f>IF(VLOOKUP(Table48[[#This Row],[Date]],'DB LEI'!$A:$I,9)=0,"",VLOOKUP(Table48[[#This Row],[Date]],'DB LEI'!$A:$I,9))</f>
        <v/>
      </c>
      <c r="D156" s="24">
        <f>IF(VLOOKUP(Table48[[#This Row],[Date]],'DB LEI'!$A:$I,8)=0,"",VLOOKUP(Table48[[#This Row],[Date]],'DB LEI'!$A:$I,8))</f>
        <v/>
      </c>
    </row>
    <row r="157">
      <c r="A157" s="23" t="n">
        <v>33055</v>
      </c>
      <c r="B157" s="18">
        <f>VLOOKUP(Table48[[#This Row],[Date]],'DB LEI'!$A:$F,5)</f>
        <v/>
      </c>
      <c r="C157" s="24">
        <f>IF(VLOOKUP(Table48[[#This Row],[Date]],'DB LEI'!$A:$I,9)=0,"",VLOOKUP(Table48[[#This Row],[Date]],'DB LEI'!$A:$I,9))</f>
        <v/>
      </c>
      <c r="D157" s="24">
        <f>IF(VLOOKUP(Table48[[#This Row],[Date]],'DB LEI'!$A:$I,8)=0,"",VLOOKUP(Table48[[#This Row],[Date]],'DB LEI'!$A:$I,8))</f>
        <v/>
      </c>
    </row>
    <row r="158">
      <c r="A158" s="23" t="n">
        <v>33086</v>
      </c>
      <c r="B158" s="18">
        <f>VLOOKUP(Table48[[#This Row],[Date]],'DB LEI'!$A:$F,5)</f>
        <v/>
      </c>
      <c r="C158" s="24">
        <f>IF(VLOOKUP(Table48[[#This Row],[Date]],'DB LEI'!$A:$I,9)=0,"",VLOOKUP(Table48[[#This Row],[Date]],'DB LEI'!$A:$I,9))</f>
        <v/>
      </c>
      <c r="D158" s="24">
        <f>IF(VLOOKUP(Table48[[#This Row],[Date]],'DB LEI'!$A:$I,8)=0,"",VLOOKUP(Table48[[#This Row],[Date]],'DB LEI'!$A:$I,8))</f>
        <v/>
      </c>
    </row>
    <row r="159">
      <c r="A159" s="23" t="n">
        <v>33117</v>
      </c>
      <c r="B159" s="18">
        <f>VLOOKUP(Table48[[#This Row],[Date]],'DB LEI'!$A:$F,5)</f>
        <v/>
      </c>
      <c r="C159" s="24">
        <f>IF(VLOOKUP(Table48[[#This Row],[Date]],'DB LEI'!$A:$I,9)=0,"",VLOOKUP(Table48[[#This Row],[Date]],'DB LEI'!$A:$I,9))</f>
        <v/>
      </c>
      <c r="D159" s="24">
        <f>IF(VLOOKUP(Table48[[#This Row],[Date]],'DB LEI'!$A:$I,8)=0,"",VLOOKUP(Table48[[#This Row],[Date]],'DB LEI'!$A:$I,8))</f>
        <v/>
      </c>
    </row>
    <row r="160">
      <c r="A160" s="23" t="n">
        <v>33147</v>
      </c>
      <c r="B160" s="18">
        <f>VLOOKUP(Table48[[#This Row],[Date]],'DB LEI'!$A:$F,5)</f>
        <v/>
      </c>
      <c r="C160" s="24">
        <f>IF(VLOOKUP(Table48[[#This Row],[Date]],'DB LEI'!$A:$I,9)=0,"",VLOOKUP(Table48[[#This Row],[Date]],'DB LEI'!$A:$I,9))</f>
        <v/>
      </c>
      <c r="D160" s="24">
        <f>IF(VLOOKUP(Table48[[#This Row],[Date]],'DB LEI'!$A:$I,8)=0,"",VLOOKUP(Table48[[#This Row],[Date]],'DB LEI'!$A:$I,8))</f>
        <v/>
      </c>
    </row>
    <row r="161">
      <c r="A161" s="23" t="n">
        <v>33178</v>
      </c>
      <c r="B161" s="18">
        <f>VLOOKUP(Table48[[#This Row],[Date]],'DB LEI'!$A:$F,5)</f>
        <v/>
      </c>
      <c r="C161" s="24">
        <f>IF(VLOOKUP(Table48[[#This Row],[Date]],'DB LEI'!$A:$I,9)=0,"",VLOOKUP(Table48[[#This Row],[Date]],'DB LEI'!$A:$I,9))</f>
        <v/>
      </c>
      <c r="D161" s="24">
        <f>IF(VLOOKUP(Table48[[#This Row],[Date]],'DB LEI'!$A:$I,8)=0,"",VLOOKUP(Table48[[#This Row],[Date]],'DB LEI'!$A:$I,8))</f>
        <v/>
      </c>
    </row>
    <row r="162">
      <c r="A162" s="23" t="n">
        <v>33208</v>
      </c>
      <c r="B162" s="18">
        <f>VLOOKUP(Table48[[#This Row],[Date]],'DB LEI'!$A:$F,5)</f>
        <v/>
      </c>
      <c r="C162" s="24">
        <f>IF(VLOOKUP(Table48[[#This Row],[Date]],'DB LEI'!$A:$I,9)=0,"",VLOOKUP(Table48[[#This Row],[Date]],'DB LEI'!$A:$I,9))</f>
        <v/>
      </c>
      <c r="D162" s="24">
        <f>IF(VLOOKUP(Table48[[#This Row],[Date]],'DB LEI'!$A:$I,8)=0,"",VLOOKUP(Table48[[#This Row],[Date]],'DB LEI'!$A:$I,8))</f>
        <v/>
      </c>
    </row>
    <row r="163">
      <c r="A163" s="23" t="n">
        <v>33239</v>
      </c>
      <c r="B163" s="18">
        <f>VLOOKUP(Table48[[#This Row],[Date]],'DB LEI'!$A:$F,5)</f>
        <v/>
      </c>
      <c r="C163" s="24">
        <f>IF(VLOOKUP(Table48[[#This Row],[Date]],'DB LEI'!$A:$I,9)=0,"",VLOOKUP(Table48[[#This Row],[Date]],'DB LEI'!$A:$I,9))</f>
        <v/>
      </c>
      <c r="D163" s="24">
        <f>IF(VLOOKUP(Table48[[#This Row],[Date]],'DB LEI'!$A:$I,8)=0,"",VLOOKUP(Table48[[#This Row],[Date]],'DB LEI'!$A:$I,8))</f>
        <v/>
      </c>
    </row>
    <row r="164">
      <c r="A164" s="23" t="n">
        <v>33270</v>
      </c>
      <c r="B164" s="18">
        <f>VLOOKUP(Table48[[#This Row],[Date]],'DB LEI'!$A:$F,5)</f>
        <v/>
      </c>
      <c r="C164" s="24">
        <f>IF(VLOOKUP(Table48[[#This Row],[Date]],'DB LEI'!$A:$I,9)=0,"",VLOOKUP(Table48[[#This Row],[Date]],'DB LEI'!$A:$I,9))</f>
        <v/>
      </c>
      <c r="D164" s="24">
        <f>IF(VLOOKUP(Table48[[#This Row],[Date]],'DB LEI'!$A:$I,8)=0,"",VLOOKUP(Table48[[#This Row],[Date]],'DB LEI'!$A:$I,8))</f>
        <v/>
      </c>
    </row>
    <row r="165">
      <c r="A165" s="23" t="n">
        <v>33298</v>
      </c>
      <c r="B165" s="18">
        <f>VLOOKUP(Table48[[#This Row],[Date]],'DB LEI'!$A:$F,5)</f>
        <v/>
      </c>
      <c r="C165" s="24">
        <f>IF(VLOOKUP(Table48[[#This Row],[Date]],'DB LEI'!$A:$I,9)=0,"",VLOOKUP(Table48[[#This Row],[Date]],'DB LEI'!$A:$I,9))</f>
        <v/>
      </c>
      <c r="D165" s="24">
        <f>IF(VLOOKUP(Table48[[#This Row],[Date]],'DB LEI'!$A:$I,8)=0,"",VLOOKUP(Table48[[#This Row],[Date]],'DB LEI'!$A:$I,8))</f>
        <v/>
      </c>
    </row>
    <row r="166">
      <c r="A166" s="23" t="n">
        <v>33329</v>
      </c>
      <c r="B166" s="18">
        <f>VLOOKUP(Table48[[#This Row],[Date]],'DB LEI'!$A:$F,5)</f>
        <v/>
      </c>
      <c r="C166" s="24">
        <f>IF(VLOOKUP(Table48[[#This Row],[Date]],'DB LEI'!$A:$I,9)=0,"",VLOOKUP(Table48[[#This Row],[Date]],'DB LEI'!$A:$I,9))</f>
        <v/>
      </c>
      <c r="D166" s="24">
        <f>IF(VLOOKUP(Table48[[#This Row],[Date]],'DB LEI'!$A:$I,8)=0,"",VLOOKUP(Table48[[#This Row],[Date]],'DB LEI'!$A:$I,8))</f>
        <v/>
      </c>
    </row>
    <row r="167">
      <c r="A167" s="23" t="n">
        <v>33359</v>
      </c>
      <c r="B167" s="18">
        <f>VLOOKUP(Table48[[#This Row],[Date]],'DB LEI'!$A:$F,5)</f>
        <v/>
      </c>
      <c r="C167" s="24">
        <f>IF(VLOOKUP(Table48[[#This Row],[Date]],'DB LEI'!$A:$I,9)=0,"",VLOOKUP(Table48[[#This Row],[Date]],'DB LEI'!$A:$I,9))</f>
        <v/>
      </c>
      <c r="D167" s="24">
        <f>IF(VLOOKUP(Table48[[#This Row],[Date]],'DB LEI'!$A:$I,8)=0,"",VLOOKUP(Table48[[#This Row],[Date]],'DB LEI'!$A:$I,8))</f>
        <v/>
      </c>
    </row>
    <row r="168">
      <c r="A168" s="23" t="n">
        <v>33390</v>
      </c>
      <c r="B168" s="18">
        <f>VLOOKUP(Table48[[#This Row],[Date]],'DB LEI'!$A:$F,5)</f>
        <v/>
      </c>
      <c r="C168" s="24">
        <f>IF(VLOOKUP(Table48[[#This Row],[Date]],'DB LEI'!$A:$I,9)=0,"",VLOOKUP(Table48[[#This Row],[Date]],'DB LEI'!$A:$I,9))</f>
        <v/>
      </c>
      <c r="D168" s="24">
        <f>IF(VLOOKUP(Table48[[#This Row],[Date]],'DB LEI'!$A:$I,8)=0,"",VLOOKUP(Table48[[#This Row],[Date]],'DB LEI'!$A:$I,8))</f>
        <v/>
      </c>
    </row>
    <row r="169">
      <c r="A169" s="23" t="n">
        <v>33420</v>
      </c>
      <c r="B169" s="18">
        <f>VLOOKUP(Table48[[#This Row],[Date]],'DB LEI'!$A:$F,5)</f>
        <v/>
      </c>
      <c r="C169" s="24">
        <f>IF(VLOOKUP(Table48[[#This Row],[Date]],'DB LEI'!$A:$I,9)=0,"",VLOOKUP(Table48[[#This Row],[Date]],'DB LEI'!$A:$I,9))</f>
        <v/>
      </c>
      <c r="D169" s="24">
        <f>IF(VLOOKUP(Table48[[#This Row],[Date]],'DB LEI'!$A:$I,8)=0,"",VLOOKUP(Table48[[#This Row],[Date]],'DB LEI'!$A:$I,8))</f>
        <v/>
      </c>
    </row>
    <row r="170">
      <c r="A170" s="23" t="n">
        <v>33451</v>
      </c>
      <c r="B170" s="18">
        <f>VLOOKUP(Table48[[#This Row],[Date]],'DB LEI'!$A:$F,5)</f>
        <v/>
      </c>
      <c r="C170" s="24">
        <f>IF(VLOOKUP(Table48[[#This Row],[Date]],'DB LEI'!$A:$I,9)=0,"",VLOOKUP(Table48[[#This Row],[Date]],'DB LEI'!$A:$I,9))</f>
        <v/>
      </c>
      <c r="D170" s="24">
        <f>IF(VLOOKUP(Table48[[#This Row],[Date]],'DB LEI'!$A:$I,8)=0,"",VLOOKUP(Table48[[#This Row],[Date]],'DB LEI'!$A:$I,8))</f>
        <v/>
      </c>
    </row>
    <row r="171">
      <c r="A171" s="23" t="n">
        <v>33482</v>
      </c>
      <c r="B171" s="18">
        <f>VLOOKUP(Table48[[#This Row],[Date]],'DB LEI'!$A:$F,5)</f>
        <v/>
      </c>
      <c r="C171" s="24">
        <f>IF(VLOOKUP(Table48[[#This Row],[Date]],'DB LEI'!$A:$I,9)=0,"",VLOOKUP(Table48[[#This Row],[Date]],'DB LEI'!$A:$I,9))</f>
        <v/>
      </c>
      <c r="D171" s="24">
        <f>IF(VLOOKUP(Table48[[#This Row],[Date]],'DB LEI'!$A:$I,8)=0,"",VLOOKUP(Table48[[#This Row],[Date]],'DB LEI'!$A:$I,8))</f>
        <v/>
      </c>
    </row>
    <row r="172">
      <c r="A172" s="23" t="n">
        <v>33512</v>
      </c>
      <c r="B172" s="18">
        <f>VLOOKUP(Table48[[#This Row],[Date]],'DB LEI'!$A:$F,5)</f>
        <v/>
      </c>
      <c r="C172" s="24">
        <f>IF(VLOOKUP(Table48[[#This Row],[Date]],'DB LEI'!$A:$I,9)=0,"",VLOOKUP(Table48[[#This Row],[Date]],'DB LEI'!$A:$I,9))</f>
        <v/>
      </c>
      <c r="D172" s="24">
        <f>IF(VLOOKUP(Table48[[#This Row],[Date]],'DB LEI'!$A:$I,8)=0,"",VLOOKUP(Table48[[#This Row],[Date]],'DB LEI'!$A:$I,8))</f>
        <v/>
      </c>
    </row>
    <row r="173">
      <c r="A173" s="23" t="n">
        <v>33543</v>
      </c>
      <c r="B173" s="18">
        <f>VLOOKUP(Table48[[#This Row],[Date]],'DB LEI'!$A:$F,5)</f>
        <v/>
      </c>
      <c r="C173" s="24">
        <f>IF(VLOOKUP(Table48[[#This Row],[Date]],'DB LEI'!$A:$I,9)=0,"",VLOOKUP(Table48[[#This Row],[Date]],'DB LEI'!$A:$I,9))</f>
        <v/>
      </c>
      <c r="D173" s="24">
        <f>IF(VLOOKUP(Table48[[#This Row],[Date]],'DB LEI'!$A:$I,8)=0,"",VLOOKUP(Table48[[#This Row],[Date]],'DB LEI'!$A:$I,8))</f>
        <v/>
      </c>
    </row>
    <row r="174">
      <c r="A174" s="23" t="n">
        <v>33573</v>
      </c>
      <c r="B174" s="18">
        <f>VLOOKUP(Table48[[#This Row],[Date]],'DB LEI'!$A:$F,5)</f>
        <v/>
      </c>
      <c r="C174" s="24">
        <f>IF(VLOOKUP(Table48[[#This Row],[Date]],'DB LEI'!$A:$I,9)=0,"",VLOOKUP(Table48[[#This Row],[Date]],'DB LEI'!$A:$I,9))</f>
        <v/>
      </c>
      <c r="D174" s="24">
        <f>IF(VLOOKUP(Table48[[#This Row],[Date]],'DB LEI'!$A:$I,8)=0,"",VLOOKUP(Table48[[#This Row],[Date]],'DB LEI'!$A:$I,8))</f>
        <v/>
      </c>
    </row>
    <row r="175">
      <c r="A175" s="23" t="n">
        <v>33604</v>
      </c>
      <c r="B175" s="18">
        <f>VLOOKUP(Table48[[#This Row],[Date]],'DB LEI'!$A:$F,5)</f>
        <v/>
      </c>
      <c r="C175" s="24">
        <f>IF(VLOOKUP(Table48[[#This Row],[Date]],'DB LEI'!$A:$I,9)=0,"",VLOOKUP(Table48[[#This Row],[Date]],'DB LEI'!$A:$I,9))</f>
        <v/>
      </c>
      <c r="D175" s="24">
        <f>IF(VLOOKUP(Table48[[#This Row],[Date]],'DB LEI'!$A:$I,8)=0,"",VLOOKUP(Table48[[#This Row],[Date]],'DB LEI'!$A:$I,8))</f>
        <v/>
      </c>
    </row>
    <row r="176">
      <c r="A176" s="23" t="n">
        <v>33635</v>
      </c>
      <c r="B176" s="18">
        <f>VLOOKUP(Table48[[#This Row],[Date]],'DB LEI'!$A:$F,5)</f>
        <v/>
      </c>
      <c r="C176" s="24">
        <f>IF(VLOOKUP(Table48[[#This Row],[Date]],'DB LEI'!$A:$I,9)=0,"",VLOOKUP(Table48[[#This Row],[Date]],'DB LEI'!$A:$I,9))</f>
        <v/>
      </c>
      <c r="D176" s="24">
        <f>IF(VLOOKUP(Table48[[#This Row],[Date]],'DB LEI'!$A:$I,8)=0,"",VLOOKUP(Table48[[#This Row],[Date]],'DB LEI'!$A:$I,8))</f>
        <v/>
      </c>
    </row>
    <row r="177">
      <c r="A177" s="23" t="n">
        <v>33664</v>
      </c>
      <c r="B177" s="18">
        <f>VLOOKUP(Table48[[#This Row],[Date]],'DB LEI'!$A:$F,5)</f>
        <v/>
      </c>
      <c r="C177" s="24">
        <f>IF(VLOOKUP(Table48[[#This Row],[Date]],'DB LEI'!$A:$I,9)=0,"",VLOOKUP(Table48[[#This Row],[Date]],'DB LEI'!$A:$I,9))</f>
        <v/>
      </c>
      <c r="D177" s="24">
        <f>IF(VLOOKUP(Table48[[#This Row],[Date]],'DB LEI'!$A:$I,8)=0,"",VLOOKUP(Table48[[#This Row],[Date]],'DB LEI'!$A:$I,8))</f>
        <v/>
      </c>
    </row>
    <row r="178">
      <c r="A178" s="23" t="n">
        <v>33695</v>
      </c>
      <c r="B178" s="18">
        <f>VLOOKUP(Table48[[#This Row],[Date]],'DB LEI'!$A:$F,5)</f>
        <v/>
      </c>
      <c r="C178" s="24">
        <f>IF(VLOOKUP(Table48[[#This Row],[Date]],'DB LEI'!$A:$I,9)=0,"",VLOOKUP(Table48[[#This Row],[Date]],'DB LEI'!$A:$I,9))</f>
        <v/>
      </c>
      <c r="D178" s="24">
        <f>IF(VLOOKUP(Table48[[#This Row],[Date]],'DB LEI'!$A:$I,8)=0,"",VLOOKUP(Table48[[#This Row],[Date]],'DB LEI'!$A:$I,8))</f>
        <v/>
      </c>
    </row>
    <row r="179">
      <c r="A179" s="23" t="n">
        <v>33725</v>
      </c>
      <c r="B179" s="18">
        <f>VLOOKUP(Table48[[#This Row],[Date]],'DB LEI'!$A:$F,5)</f>
        <v/>
      </c>
      <c r="C179" s="24">
        <f>IF(VLOOKUP(Table48[[#This Row],[Date]],'DB LEI'!$A:$I,9)=0,"",VLOOKUP(Table48[[#This Row],[Date]],'DB LEI'!$A:$I,9))</f>
        <v/>
      </c>
      <c r="D179" s="24">
        <f>IF(VLOOKUP(Table48[[#This Row],[Date]],'DB LEI'!$A:$I,8)=0,"",VLOOKUP(Table48[[#This Row],[Date]],'DB LEI'!$A:$I,8))</f>
        <v/>
      </c>
    </row>
    <row r="180">
      <c r="A180" s="23" t="n">
        <v>33756</v>
      </c>
      <c r="B180" s="18">
        <f>VLOOKUP(Table48[[#This Row],[Date]],'DB LEI'!$A:$F,5)</f>
        <v/>
      </c>
      <c r="C180" s="24">
        <f>IF(VLOOKUP(Table48[[#This Row],[Date]],'DB LEI'!$A:$I,9)=0,"",VLOOKUP(Table48[[#This Row],[Date]],'DB LEI'!$A:$I,9))</f>
        <v/>
      </c>
      <c r="D180" s="24">
        <f>IF(VLOOKUP(Table48[[#This Row],[Date]],'DB LEI'!$A:$I,8)=0,"",VLOOKUP(Table48[[#This Row],[Date]],'DB LEI'!$A:$I,8))</f>
        <v/>
      </c>
    </row>
    <row r="181">
      <c r="A181" s="23" t="n">
        <v>33786</v>
      </c>
      <c r="B181" s="18">
        <f>VLOOKUP(Table48[[#This Row],[Date]],'DB LEI'!$A:$F,5)</f>
        <v/>
      </c>
      <c r="C181" s="24">
        <f>IF(VLOOKUP(Table48[[#This Row],[Date]],'DB LEI'!$A:$I,9)=0,"",VLOOKUP(Table48[[#This Row],[Date]],'DB LEI'!$A:$I,9))</f>
        <v/>
      </c>
      <c r="D181" s="24">
        <f>IF(VLOOKUP(Table48[[#This Row],[Date]],'DB LEI'!$A:$I,8)=0,"",VLOOKUP(Table48[[#This Row],[Date]],'DB LEI'!$A:$I,8))</f>
        <v/>
      </c>
    </row>
    <row r="182">
      <c r="A182" s="23" t="n">
        <v>33817</v>
      </c>
      <c r="B182" s="18">
        <f>VLOOKUP(Table48[[#This Row],[Date]],'DB LEI'!$A:$F,5)</f>
        <v/>
      </c>
      <c r="C182" s="24">
        <f>IF(VLOOKUP(Table48[[#This Row],[Date]],'DB LEI'!$A:$I,9)=0,"",VLOOKUP(Table48[[#This Row],[Date]],'DB LEI'!$A:$I,9))</f>
        <v/>
      </c>
      <c r="D182" s="24">
        <f>IF(VLOOKUP(Table48[[#This Row],[Date]],'DB LEI'!$A:$I,8)=0,"",VLOOKUP(Table48[[#This Row],[Date]],'DB LEI'!$A:$I,8))</f>
        <v/>
      </c>
    </row>
    <row r="183">
      <c r="A183" s="23" t="n">
        <v>33848</v>
      </c>
      <c r="B183" s="18">
        <f>VLOOKUP(Table48[[#This Row],[Date]],'DB LEI'!$A:$F,5)</f>
        <v/>
      </c>
      <c r="C183" s="24">
        <f>IF(VLOOKUP(Table48[[#This Row],[Date]],'DB LEI'!$A:$I,9)=0,"",VLOOKUP(Table48[[#This Row],[Date]],'DB LEI'!$A:$I,9))</f>
        <v/>
      </c>
      <c r="D183" s="24">
        <f>IF(VLOOKUP(Table48[[#This Row],[Date]],'DB LEI'!$A:$I,8)=0,"",VLOOKUP(Table48[[#This Row],[Date]],'DB LEI'!$A:$I,8))</f>
        <v/>
      </c>
    </row>
    <row r="184">
      <c r="A184" s="23" t="n">
        <v>33878</v>
      </c>
      <c r="B184" s="18">
        <f>VLOOKUP(Table48[[#This Row],[Date]],'DB LEI'!$A:$F,5)</f>
        <v/>
      </c>
      <c r="C184" s="24">
        <f>IF(VLOOKUP(Table48[[#This Row],[Date]],'DB LEI'!$A:$I,9)=0,"",VLOOKUP(Table48[[#This Row],[Date]],'DB LEI'!$A:$I,9))</f>
        <v/>
      </c>
      <c r="D184" s="24">
        <f>IF(VLOOKUP(Table48[[#This Row],[Date]],'DB LEI'!$A:$I,8)=0,"",VLOOKUP(Table48[[#This Row],[Date]],'DB LEI'!$A:$I,8))</f>
        <v/>
      </c>
    </row>
    <row r="185">
      <c r="A185" s="23" t="n">
        <v>33909</v>
      </c>
      <c r="B185" s="18">
        <f>VLOOKUP(Table48[[#This Row],[Date]],'DB LEI'!$A:$F,5)</f>
        <v/>
      </c>
      <c r="C185" s="24">
        <f>IF(VLOOKUP(Table48[[#This Row],[Date]],'DB LEI'!$A:$I,9)=0,"",VLOOKUP(Table48[[#This Row],[Date]],'DB LEI'!$A:$I,9))</f>
        <v/>
      </c>
      <c r="D185" s="24">
        <f>IF(VLOOKUP(Table48[[#This Row],[Date]],'DB LEI'!$A:$I,8)=0,"",VLOOKUP(Table48[[#This Row],[Date]],'DB LEI'!$A:$I,8))</f>
        <v/>
      </c>
    </row>
    <row r="186">
      <c r="A186" s="23" t="n">
        <v>33939</v>
      </c>
      <c r="B186" s="18">
        <f>VLOOKUP(Table48[[#This Row],[Date]],'DB LEI'!$A:$F,5)</f>
        <v/>
      </c>
      <c r="C186" s="24">
        <f>IF(VLOOKUP(Table48[[#This Row],[Date]],'DB LEI'!$A:$I,9)=0,"",VLOOKUP(Table48[[#This Row],[Date]],'DB LEI'!$A:$I,9))</f>
        <v/>
      </c>
      <c r="D186" s="24">
        <f>IF(VLOOKUP(Table48[[#This Row],[Date]],'DB LEI'!$A:$I,8)=0,"",VLOOKUP(Table48[[#This Row],[Date]],'DB LEI'!$A:$I,8))</f>
        <v/>
      </c>
    </row>
    <row r="187">
      <c r="A187" s="23" t="n">
        <v>33970</v>
      </c>
      <c r="B187" s="18">
        <f>VLOOKUP(Table48[[#This Row],[Date]],'DB LEI'!$A:$F,5)</f>
        <v/>
      </c>
      <c r="C187" s="24">
        <f>IF(VLOOKUP(Table48[[#This Row],[Date]],'DB LEI'!$A:$I,9)=0,"",VLOOKUP(Table48[[#This Row],[Date]],'DB LEI'!$A:$I,9))</f>
        <v/>
      </c>
      <c r="D187" s="24">
        <f>IF(VLOOKUP(Table48[[#This Row],[Date]],'DB LEI'!$A:$I,8)=0,"",VLOOKUP(Table48[[#This Row],[Date]],'DB LEI'!$A:$I,8))</f>
        <v/>
      </c>
    </row>
    <row r="188">
      <c r="A188" s="23" t="n">
        <v>34001</v>
      </c>
      <c r="B188" s="18">
        <f>VLOOKUP(Table48[[#This Row],[Date]],'DB LEI'!$A:$F,5)</f>
        <v/>
      </c>
      <c r="C188" s="24">
        <f>IF(VLOOKUP(Table48[[#This Row],[Date]],'DB LEI'!$A:$I,9)=0,"",VLOOKUP(Table48[[#This Row],[Date]],'DB LEI'!$A:$I,9))</f>
        <v/>
      </c>
      <c r="D188" s="24">
        <f>IF(VLOOKUP(Table48[[#This Row],[Date]],'DB LEI'!$A:$I,8)=0,"",VLOOKUP(Table48[[#This Row],[Date]],'DB LEI'!$A:$I,8))</f>
        <v/>
      </c>
    </row>
    <row r="189">
      <c r="A189" s="23" t="n">
        <v>34029</v>
      </c>
      <c r="B189" s="18">
        <f>VLOOKUP(Table48[[#This Row],[Date]],'DB LEI'!$A:$F,5)</f>
        <v/>
      </c>
      <c r="C189" s="24">
        <f>IF(VLOOKUP(Table48[[#This Row],[Date]],'DB LEI'!$A:$I,9)=0,"",VLOOKUP(Table48[[#This Row],[Date]],'DB LEI'!$A:$I,9))</f>
        <v/>
      </c>
      <c r="D189" s="24">
        <f>IF(VLOOKUP(Table48[[#This Row],[Date]],'DB LEI'!$A:$I,8)=0,"",VLOOKUP(Table48[[#This Row],[Date]],'DB LEI'!$A:$I,8))</f>
        <v/>
      </c>
    </row>
    <row r="190">
      <c r="A190" s="23" t="n">
        <v>34060</v>
      </c>
      <c r="B190" s="18">
        <f>VLOOKUP(Table48[[#This Row],[Date]],'DB LEI'!$A:$F,5)</f>
        <v/>
      </c>
      <c r="C190" s="24">
        <f>IF(VLOOKUP(Table48[[#This Row],[Date]],'DB LEI'!$A:$I,9)=0,"",VLOOKUP(Table48[[#This Row],[Date]],'DB LEI'!$A:$I,9))</f>
        <v/>
      </c>
      <c r="D190" s="24">
        <f>IF(VLOOKUP(Table48[[#This Row],[Date]],'DB LEI'!$A:$I,8)=0,"",VLOOKUP(Table48[[#This Row],[Date]],'DB LEI'!$A:$I,8))</f>
        <v/>
      </c>
    </row>
    <row r="191">
      <c r="A191" s="23" t="n">
        <v>34090</v>
      </c>
      <c r="B191" s="18">
        <f>VLOOKUP(Table48[[#This Row],[Date]],'DB LEI'!$A:$F,5)</f>
        <v/>
      </c>
      <c r="C191" s="24">
        <f>IF(VLOOKUP(Table48[[#This Row],[Date]],'DB LEI'!$A:$I,9)=0,"",VLOOKUP(Table48[[#This Row],[Date]],'DB LEI'!$A:$I,9))</f>
        <v/>
      </c>
      <c r="D191" s="24">
        <f>IF(VLOOKUP(Table48[[#This Row],[Date]],'DB LEI'!$A:$I,8)=0,"",VLOOKUP(Table48[[#This Row],[Date]],'DB LEI'!$A:$I,8))</f>
        <v/>
      </c>
    </row>
    <row r="192">
      <c r="A192" s="23" t="n">
        <v>34121</v>
      </c>
      <c r="B192" s="18">
        <f>VLOOKUP(Table48[[#This Row],[Date]],'DB LEI'!$A:$F,5)</f>
        <v/>
      </c>
      <c r="C192" s="24">
        <f>IF(VLOOKUP(Table48[[#This Row],[Date]],'DB LEI'!$A:$I,9)=0,"",VLOOKUP(Table48[[#This Row],[Date]],'DB LEI'!$A:$I,9))</f>
        <v/>
      </c>
      <c r="D192" s="24">
        <f>IF(VLOOKUP(Table48[[#This Row],[Date]],'DB LEI'!$A:$I,8)=0,"",VLOOKUP(Table48[[#This Row],[Date]],'DB LEI'!$A:$I,8))</f>
        <v/>
      </c>
    </row>
    <row r="193">
      <c r="A193" s="23" t="n">
        <v>34151</v>
      </c>
      <c r="B193" s="18">
        <f>VLOOKUP(Table48[[#This Row],[Date]],'DB LEI'!$A:$F,5)</f>
        <v/>
      </c>
      <c r="C193" s="24">
        <f>IF(VLOOKUP(Table48[[#This Row],[Date]],'DB LEI'!$A:$I,9)=0,"",VLOOKUP(Table48[[#This Row],[Date]],'DB LEI'!$A:$I,9))</f>
        <v/>
      </c>
      <c r="D193" s="24">
        <f>IF(VLOOKUP(Table48[[#This Row],[Date]],'DB LEI'!$A:$I,8)=0,"",VLOOKUP(Table48[[#This Row],[Date]],'DB LEI'!$A:$I,8))</f>
        <v/>
      </c>
    </row>
    <row r="194">
      <c r="A194" s="23" t="n">
        <v>34182</v>
      </c>
      <c r="B194" s="18">
        <f>VLOOKUP(Table48[[#This Row],[Date]],'DB LEI'!$A:$F,5)</f>
        <v/>
      </c>
      <c r="C194" s="24">
        <f>IF(VLOOKUP(Table48[[#This Row],[Date]],'DB LEI'!$A:$I,9)=0,"",VLOOKUP(Table48[[#This Row],[Date]],'DB LEI'!$A:$I,9))</f>
        <v/>
      </c>
      <c r="D194" s="24">
        <f>IF(VLOOKUP(Table48[[#This Row],[Date]],'DB LEI'!$A:$I,8)=0,"",VLOOKUP(Table48[[#This Row],[Date]],'DB LEI'!$A:$I,8))</f>
        <v/>
      </c>
    </row>
    <row r="195">
      <c r="A195" s="23" t="n">
        <v>34213</v>
      </c>
      <c r="B195" s="18">
        <f>VLOOKUP(Table48[[#This Row],[Date]],'DB LEI'!$A:$F,5)</f>
        <v/>
      </c>
      <c r="C195" s="24">
        <f>IF(VLOOKUP(Table48[[#This Row],[Date]],'DB LEI'!$A:$I,9)=0,"",VLOOKUP(Table48[[#This Row],[Date]],'DB LEI'!$A:$I,9))</f>
        <v/>
      </c>
      <c r="D195" s="24">
        <f>IF(VLOOKUP(Table48[[#This Row],[Date]],'DB LEI'!$A:$I,8)=0,"",VLOOKUP(Table48[[#This Row],[Date]],'DB LEI'!$A:$I,8))</f>
        <v/>
      </c>
    </row>
    <row r="196">
      <c r="A196" s="23" t="n">
        <v>34243</v>
      </c>
      <c r="B196" s="18">
        <f>VLOOKUP(Table48[[#This Row],[Date]],'DB LEI'!$A:$F,5)</f>
        <v/>
      </c>
      <c r="C196" s="24">
        <f>IF(VLOOKUP(Table48[[#This Row],[Date]],'DB LEI'!$A:$I,9)=0,"",VLOOKUP(Table48[[#This Row],[Date]],'DB LEI'!$A:$I,9))</f>
        <v/>
      </c>
      <c r="D196" s="24">
        <f>IF(VLOOKUP(Table48[[#This Row],[Date]],'DB LEI'!$A:$I,8)=0,"",VLOOKUP(Table48[[#This Row],[Date]],'DB LEI'!$A:$I,8))</f>
        <v/>
      </c>
    </row>
    <row r="197">
      <c r="A197" s="23" t="n">
        <v>34274</v>
      </c>
      <c r="B197" s="18">
        <f>VLOOKUP(Table48[[#This Row],[Date]],'DB LEI'!$A:$F,5)</f>
        <v/>
      </c>
      <c r="C197" s="24">
        <f>IF(VLOOKUP(Table48[[#This Row],[Date]],'DB LEI'!$A:$I,9)=0,"",VLOOKUP(Table48[[#This Row],[Date]],'DB LEI'!$A:$I,9))</f>
        <v/>
      </c>
      <c r="D197" s="24">
        <f>IF(VLOOKUP(Table48[[#This Row],[Date]],'DB LEI'!$A:$I,8)=0,"",VLOOKUP(Table48[[#This Row],[Date]],'DB LEI'!$A:$I,8))</f>
        <v/>
      </c>
    </row>
    <row r="198">
      <c r="A198" s="23" t="n">
        <v>34304</v>
      </c>
      <c r="B198" s="18">
        <f>VLOOKUP(Table48[[#This Row],[Date]],'DB LEI'!$A:$F,5)</f>
        <v/>
      </c>
      <c r="C198" s="24">
        <f>IF(VLOOKUP(Table48[[#This Row],[Date]],'DB LEI'!$A:$I,9)=0,"",VLOOKUP(Table48[[#This Row],[Date]],'DB LEI'!$A:$I,9))</f>
        <v/>
      </c>
      <c r="D198" s="24">
        <f>IF(VLOOKUP(Table48[[#This Row],[Date]],'DB LEI'!$A:$I,8)=0,"",VLOOKUP(Table48[[#This Row],[Date]],'DB LEI'!$A:$I,8))</f>
        <v/>
      </c>
    </row>
    <row r="199">
      <c r="A199" s="23" t="n">
        <v>34335</v>
      </c>
      <c r="B199" s="18">
        <f>VLOOKUP(Table48[[#This Row],[Date]],'DB LEI'!$A:$F,5)</f>
        <v/>
      </c>
      <c r="C199" s="24">
        <f>IF(VLOOKUP(Table48[[#This Row],[Date]],'DB LEI'!$A:$I,9)=0,"",VLOOKUP(Table48[[#This Row],[Date]],'DB LEI'!$A:$I,9))</f>
        <v/>
      </c>
      <c r="D199" s="24">
        <f>IF(VLOOKUP(Table48[[#This Row],[Date]],'DB LEI'!$A:$I,8)=0,"",VLOOKUP(Table48[[#This Row],[Date]],'DB LEI'!$A:$I,8))</f>
        <v/>
      </c>
    </row>
    <row r="200">
      <c r="A200" s="23" t="n">
        <v>34366</v>
      </c>
      <c r="B200" s="18">
        <f>VLOOKUP(Table48[[#This Row],[Date]],'DB LEI'!$A:$F,5)</f>
        <v/>
      </c>
      <c r="C200" s="24">
        <f>IF(VLOOKUP(Table48[[#This Row],[Date]],'DB LEI'!$A:$I,9)=0,"",VLOOKUP(Table48[[#This Row],[Date]],'DB LEI'!$A:$I,9))</f>
        <v/>
      </c>
      <c r="D200" s="24">
        <f>IF(VLOOKUP(Table48[[#This Row],[Date]],'DB LEI'!$A:$I,8)=0,"",VLOOKUP(Table48[[#This Row],[Date]],'DB LEI'!$A:$I,8))</f>
        <v/>
      </c>
    </row>
    <row r="201">
      <c r="A201" s="23" t="n">
        <v>34394</v>
      </c>
      <c r="B201" s="18">
        <f>VLOOKUP(Table48[[#This Row],[Date]],'DB LEI'!$A:$F,5)</f>
        <v/>
      </c>
      <c r="C201" s="24">
        <f>IF(VLOOKUP(Table48[[#This Row],[Date]],'DB LEI'!$A:$I,9)=0,"",VLOOKUP(Table48[[#This Row],[Date]],'DB LEI'!$A:$I,9))</f>
        <v/>
      </c>
      <c r="D201" s="24">
        <f>IF(VLOOKUP(Table48[[#This Row],[Date]],'DB LEI'!$A:$I,8)=0,"",VLOOKUP(Table48[[#This Row],[Date]],'DB LEI'!$A:$I,8))</f>
        <v/>
      </c>
    </row>
    <row r="202">
      <c r="A202" s="23" t="n">
        <v>34425</v>
      </c>
      <c r="B202" s="18">
        <f>VLOOKUP(Table48[[#This Row],[Date]],'DB LEI'!$A:$F,5)</f>
        <v/>
      </c>
      <c r="C202" s="24">
        <f>IF(VLOOKUP(Table48[[#This Row],[Date]],'DB LEI'!$A:$I,9)=0,"",VLOOKUP(Table48[[#This Row],[Date]],'DB LEI'!$A:$I,9))</f>
        <v/>
      </c>
      <c r="D202" s="24">
        <f>IF(VLOOKUP(Table48[[#This Row],[Date]],'DB LEI'!$A:$I,8)=0,"",VLOOKUP(Table48[[#This Row],[Date]],'DB LEI'!$A:$I,8))</f>
        <v/>
      </c>
    </row>
    <row r="203">
      <c r="A203" s="23" t="n">
        <v>34455</v>
      </c>
      <c r="B203" s="18">
        <f>VLOOKUP(Table48[[#This Row],[Date]],'DB LEI'!$A:$F,5)</f>
        <v/>
      </c>
      <c r="C203" s="24">
        <f>IF(VLOOKUP(Table48[[#This Row],[Date]],'DB LEI'!$A:$I,9)=0,"",VLOOKUP(Table48[[#This Row],[Date]],'DB LEI'!$A:$I,9))</f>
        <v/>
      </c>
      <c r="D203" s="24">
        <f>IF(VLOOKUP(Table48[[#This Row],[Date]],'DB LEI'!$A:$I,8)=0,"",VLOOKUP(Table48[[#This Row],[Date]],'DB LEI'!$A:$I,8))</f>
        <v/>
      </c>
    </row>
    <row r="204">
      <c r="A204" s="23" t="n">
        <v>34486</v>
      </c>
      <c r="B204" s="18">
        <f>VLOOKUP(Table48[[#This Row],[Date]],'DB LEI'!$A:$F,5)</f>
        <v/>
      </c>
      <c r="C204" s="24">
        <f>IF(VLOOKUP(Table48[[#This Row],[Date]],'DB LEI'!$A:$I,9)=0,"",VLOOKUP(Table48[[#This Row],[Date]],'DB LEI'!$A:$I,9))</f>
        <v/>
      </c>
      <c r="D204" s="24">
        <f>IF(VLOOKUP(Table48[[#This Row],[Date]],'DB LEI'!$A:$I,8)=0,"",VLOOKUP(Table48[[#This Row],[Date]],'DB LEI'!$A:$I,8))</f>
        <v/>
      </c>
    </row>
    <row r="205">
      <c r="A205" s="23" t="n">
        <v>34516</v>
      </c>
      <c r="B205" s="18">
        <f>VLOOKUP(Table48[[#This Row],[Date]],'DB LEI'!$A:$F,5)</f>
        <v/>
      </c>
      <c r="C205" s="24">
        <f>IF(VLOOKUP(Table48[[#This Row],[Date]],'DB LEI'!$A:$I,9)=0,"",VLOOKUP(Table48[[#This Row],[Date]],'DB LEI'!$A:$I,9))</f>
        <v/>
      </c>
      <c r="D205" s="24">
        <f>IF(VLOOKUP(Table48[[#This Row],[Date]],'DB LEI'!$A:$I,8)=0,"",VLOOKUP(Table48[[#This Row],[Date]],'DB LEI'!$A:$I,8))</f>
        <v/>
      </c>
    </row>
    <row r="206">
      <c r="A206" s="23" t="n">
        <v>34547</v>
      </c>
      <c r="B206" s="18">
        <f>VLOOKUP(Table48[[#This Row],[Date]],'DB LEI'!$A:$F,5)</f>
        <v/>
      </c>
      <c r="C206" s="24">
        <f>IF(VLOOKUP(Table48[[#This Row],[Date]],'DB LEI'!$A:$I,9)=0,"",VLOOKUP(Table48[[#This Row],[Date]],'DB LEI'!$A:$I,9))</f>
        <v/>
      </c>
      <c r="D206" s="24">
        <f>IF(VLOOKUP(Table48[[#This Row],[Date]],'DB LEI'!$A:$I,8)=0,"",VLOOKUP(Table48[[#This Row],[Date]],'DB LEI'!$A:$I,8))</f>
        <v/>
      </c>
    </row>
    <row r="207">
      <c r="A207" s="23" t="n">
        <v>34578</v>
      </c>
      <c r="B207" s="18">
        <f>VLOOKUP(Table48[[#This Row],[Date]],'DB LEI'!$A:$F,5)</f>
        <v/>
      </c>
      <c r="C207" s="24">
        <f>IF(VLOOKUP(Table48[[#This Row],[Date]],'DB LEI'!$A:$I,9)=0,"",VLOOKUP(Table48[[#This Row],[Date]],'DB LEI'!$A:$I,9))</f>
        <v/>
      </c>
      <c r="D207" s="24">
        <f>IF(VLOOKUP(Table48[[#This Row],[Date]],'DB LEI'!$A:$I,8)=0,"",VLOOKUP(Table48[[#This Row],[Date]],'DB LEI'!$A:$I,8))</f>
        <v/>
      </c>
    </row>
    <row r="208">
      <c r="A208" s="23" t="n">
        <v>34608</v>
      </c>
      <c r="B208" s="18">
        <f>VLOOKUP(Table48[[#This Row],[Date]],'DB LEI'!$A:$F,5)</f>
        <v/>
      </c>
      <c r="C208" s="24">
        <f>IF(VLOOKUP(Table48[[#This Row],[Date]],'DB LEI'!$A:$I,9)=0,"",VLOOKUP(Table48[[#This Row],[Date]],'DB LEI'!$A:$I,9))</f>
        <v/>
      </c>
      <c r="D208" s="24">
        <f>IF(VLOOKUP(Table48[[#This Row],[Date]],'DB LEI'!$A:$I,8)=0,"",VLOOKUP(Table48[[#This Row],[Date]],'DB LEI'!$A:$I,8))</f>
        <v/>
      </c>
    </row>
    <row r="209">
      <c r="A209" s="23" t="n">
        <v>34639</v>
      </c>
      <c r="B209" s="18">
        <f>VLOOKUP(Table48[[#This Row],[Date]],'DB LEI'!$A:$F,5)</f>
        <v/>
      </c>
      <c r="C209" s="24">
        <f>IF(VLOOKUP(Table48[[#This Row],[Date]],'DB LEI'!$A:$I,9)=0,"",VLOOKUP(Table48[[#This Row],[Date]],'DB LEI'!$A:$I,9))</f>
        <v/>
      </c>
      <c r="D209" s="24">
        <f>IF(VLOOKUP(Table48[[#This Row],[Date]],'DB LEI'!$A:$I,8)=0,"",VLOOKUP(Table48[[#This Row],[Date]],'DB LEI'!$A:$I,8))</f>
        <v/>
      </c>
    </row>
    <row r="210">
      <c r="A210" s="23" t="n">
        <v>34669</v>
      </c>
      <c r="B210" s="18">
        <f>VLOOKUP(Table48[[#This Row],[Date]],'DB LEI'!$A:$F,5)</f>
        <v/>
      </c>
      <c r="C210" s="24">
        <f>IF(VLOOKUP(Table48[[#This Row],[Date]],'DB LEI'!$A:$I,9)=0,"",VLOOKUP(Table48[[#This Row],[Date]],'DB LEI'!$A:$I,9))</f>
        <v/>
      </c>
      <c r="D210" s="24">
        <f>IF(VLOOKUP(Table48[[#This Row],[Date]],'DB LEI'!$A:$I,8)=0,"",VLOOKUP(Table48[[#This Row],[Date]],'DB LEI'!$A:$I,8))</f>
        <v/>
      </c>
    </row>
    <row r="211">
      <c r="A211" s="23" t="n">
        <v>34700</v>
      </c>
      <c r="B211" s="18">
        <f>VLOOKUP(Table48[[#This Row],[Date]],'DB LEI'!$A:$F,5)</f>
        <v/>
      </c>
      <c r="C211" s="24">
        <f>IF(VLOOKUP(Table48[[#This Row],[Date]],'DB LEI'!$A:$I,9)=0,"",VLOOKUP(Table48[[#This Row],[Date]],'DB LEI'!$A:$I,9))</f>
        <v/>
      </c>
      <c r="D211" s="24">
        <f>IF(VLOOKUP(Table48[[#This Row],[Date]],'DB LEI'!$A:$I,8)=0,"",VLOOKUP(Table48[[#This Row],[Date]],'DB LEI'!$A:$I,8))</f>
        <v/>
      </c>
    </row>
    <row r="212">
      <c r="A212" s="23" t="n">
        <v>34731</v>
      </c>
      <c r="B212" s="18">
        <f>VLOOKUP(Table48[[#This Row],[Date]],'DB LEI'!$A:$F,5)</f>
        <v/>
      </c>
      <c r="C212" s="24">
        <f>IF(VLOOKUP(Table48[[#This Row],[Date]],'DB LEI'!$A:$I,9)=0,"",VLOOKUP(Table48[[#This Row],[Date]],'DB LEI'!$A:$I,9))</f>
        <v/>
      </c>
      <c r="D212" s="24">
        <f>IF(VLOOKUP(Table48[[#This Row],[Date]],'DB LEI'!$A:$I,8)=0,"",VLOOKUP(Table48[[#This Row],[Date]],'DB LEI'!$A:$I,8))</f>
        <v/>
      </c>
    </row>
    <row r="213">
      <c r="A213" s="23" t="n">
        <v>34759</v>
      </c>
      <c r="B213" s="18">
        <f>VLOOKUP(Table48[[#This Row],[Date]],'DB LEI'!$A:$F,5)</f>
        <v/>
      </c>
      <c r="C213" s="24">
        <f>IF(VLOOKUP(Table48[[#This Row],[Date]],'DB LEI'!$A:$I,9)=0,"",VLOOKUP(Table48[[#This Row],[Date]],'DB LEI'!$A:$I,9))</f>
        <v/>
      </c>
      <c r="D213" s="24">
        <f>IF(VLOOKUP(Table48[[#This Row],[Date]],'DB LEI'!$A:$I,8)=0,"",VLOOKUP(Table48[[#This Row],[Date]],'DB LEI'!$A:$I,8))</f>
        <v/>
      </c>
    </row>
    <row r="214">
      <c r="A214" s="23" t="n">
        <v>34790</v>
      </c>
      <c r="B214" s="18">
        <f>VLOOKUP(Table48[[#This Row],[Date]],'DB LEI'!$A:$F,5)</f>
        <v/>
      </c>
      <c r="C214" s="24">
        <f>IF(VLOOKUP(Table48[[#This Row],[Date]],'DB LEI'!$A:$I,9)=0,"",VLOOKUP(Table48[[#This Row],[Date]],'DB LEI'!$A:$I,9))</f>
        <v/>
      </c>
      <c r="D214" s="24">
        <f>IF(VLOOKUP(Table48[[#This Row],[Date]],'DB LEI'!$A:$I,8)=0,"",VLOOKUP(Table48[[#This Row],[Date]],'DB LEI'!$A:$I,8))</f>
        <v/>
      </c>
    </row>
    <row r="215">
      <c r="A215" s="23" t="n">
        <v>34820</v>
      </c>
      <c r="B215" s="18">
        <f>VLOOKUP(Table48[[#This Row],[Date]],'DB LEI'!$A:$F,5)</f>
        <v/>
      </c>
      <c r="C215" s="24">
        <f>IF(VLOOKUP(Table48[[#This Row],[Date]],'DB LEI'!$A:$I,9)=0,"",VLOOKUP(Table48[[#This Row],[Date]],'DB LEI'!$A:$I,9))</f>
        <v/>
      </c>
      <c r="D215" s="24">
        <f>IF(VLOOKUP(Table48[[#This Row],[Date]],'DB LEI'!$A:$I,8)=0,"",VLOOKUP(Table48[[#This Row],[Date]],'DB LEI'!$A:$I,8))</f>
        <v/>
      </c>
    </row>
    <row r="216">
      <c r="A216" s="23" t="n">
        <v>34851</v>
      </c>
      <c r="B216" s="18">
        <f>VLOOKUP(Table48[[#This Row],[Date]],'DB LEI'!$A:$F,5)</f>
        <v/>
      </c>
      <c r="C216" s="24">
        <f>IF(VLOOKUP(Table48[[#This Row],[Date]],'DB LEI'!$A:$I,9)=0,"",VLOOKUP(Table48[[#This Row],[Date]],'DB LEI'!$A:$I,9))</f>
        <v/>
      </c>
      <c r="D216" s="24">
        <f>IF(VLOOKUP(Table48[[#This Row],[Date]],'DB LEI'!$A:$I,8)=0,"",VLOOKUP(Table48[[#This Row],[Date]],'DB LEI'!$A:$I,8))</f>
        <v/>
      </c>
    </row>
    <row r="217">
      <c r="A217" s="23" t="n">
        <v>34881</v>
      </c>
      <c r="B217" s="18">
        <f>VLOOKUP(Table48[[#This Row],[Date]],'DB LEI'!$A:$F,5)</f>
        <v/>
      </c>
      <c r="C217" s="24">
        <f>IF(VLOOKUP(Table48[[#This Row],[Date]],'DB LEI'!$A:$I,9)=0,"",VLOOKUP(Table48[[#This Row],[Date]],'DB LEI'!$A:$I,9))</f>
        <v/>
      </c>
      <c r="D217" s="24">
        <f>IF(VLOOKUP(Table48[[#This Row],[Date]],'DB LEI'!$A:$I,8)=0,"",VLOOKUP(Table48[[#This Row],[Date]],'DB LEI'!$A:$I,8))</f>
        <v/>
      </c>
    </row>
    <row r="218">
      <c r="A218" s="23" t="n">
        <v>34912</v>
      </c>
      <c r="B218" s="18">
        <f>VLOOKUP(Table48[[#This Row],[Date]],'DB LEI'!$A:$F,5)</f>
        <v/>
      </c>
      <c r="C218" s="24">
        <f>IF(VLOOKUP(Table48[[#This Row],[Date]],'DB LEI'!$A:$I,9)=0,"",VLOOKUP(Table48[[#This Row],[Date]],'DB LEI'!$A:$I,9))</f>
        <v/>
      </c>
      <c r="D218" s="24">
        <f>IF(VLOOKUP(Table48[[#This Row],[Date]],'DB LEI'!$A:$I,8)=0,"",VLOOKUP(Table48[[#This Row],[Date]],'DB LEI'!$A:$I,8))</f>
        <v/>
      </c>
    </row>
    <row r="219">
      <c r="A219" s="23" t="n">
        <v>34943</v>
      </c>
      <c r="B219" s="18">
        <f>VLOOKUP(Table48[[#This Row],[Date]],'DB LEI'!$A:$F,5)</f>
        <v/>
      </c>
      <c r="C219" s="24">
        <f>IF(VLOOKUP(Table48[[#This Row],[Date]],'DB LEI'!$A:$I,9)=0,"",VLOOKUP(Table48[[#This Row],[Date]],'DB LEI'!$A:$I,9))</f>
        <v/>
      </c>
      <c r="D219" s="24">
        <f>IF(VLOOKUP(Table48[[#This Row],[Date]],'DB LEI'!$A:$I,8)=0,"",VLOOKUP(Table48[[#This Row],[Date]],'DB LEI'!$A:$I,8))</f>
        <v/>
      </c>
    </row>
    <row r="220">
      <c r="A220" s="23" t="n">
        <v>34973</v>
      </c>
      <c r="B220" s="18">
        <f>VLOOKUP(Table48[[#This Row],[Date]],'DB LEI'!$A:$F,5)</f>
        <v/>
      </c>
      <c r="C220" s="24">
        <f>IF(VLOOKUP(Table48[[#This Row],[Date]],'DB LEI'!$A:$I,9)=0,"",VLOOKUP(Table48[[#This Row],[Date]],'DB LEI'!$A:$I,9))</f>
        <v/>
      </c>
      <c r="D220" s="24">
        <f>IF(VLOOKUP(Table48[[#This Row],[Date]],'DB LEI'!$A:$I,8)=0,"",VLOOKUP(Table48[[#This Row],[Date]],'DB LEI'!$A:$I,8))</f>
        <v/>
      </c>
    </row>
    <row r="221">
      <c r="A221" s="23" t="n">
        <v>35004</v>
      </c>
      <c r="B221" s="18">
        <f>VLOOKUP(Table48[[#This Row],[Date]],'DB LEI'!$A:$F,5)</f>
        <v/>
      </c>
      <c r="C221" s="24">
        <f>IF(VLOOKUP(Table48[[#This Row],[Date]],'DB LEI'!$A:$I,9)=0,"",VLOOKUP(Table48[[#This Row],[Date]],'DB LEI'!$A:$I,9))</f>
        <v/>
      </c>
      <c r="D221" s="24">
        <f>IF(VLOOKUP(Table48[[#This Row],[Date]],'DB LEI'!$A:$I,8)=0,"",VLOOKUP(Table48[[#This Row],[Date]],'DB LEI'!$A:$I,8))</f>
        <v/>
      </c>
    </row>
    <row r="222">
      <c r="A222" s="23" t="n">
        <v>35034</v>
      </c>
      <c r="B222" s="18">
        <f>VLOOKUP(Table48[[#This Row],[Date]],'DB LEI'!$A:$F,5)</f>
        <v/>
      </c>
      <c r="C222" s="24">
        <f>IF(VLOOKUP(Table48[[#This Row],[Date]],'DB LEI'!$A:$I,9)=0,"",VLOOKUP(Table48[[#This Row],[Date]],'DB LEI'!$A:$I,9))</f>
        <v/>
      </c>
      <c r="D222" s="24">
        <f>IF(VLOOKUP(Table48[[#This Row],[Date]],'DB LEI'!$A:$I,8)=0,"",VLOOKUP(Table48[[#This Row],[Date]],'DB LEI'!$A:$I,8))</f>
        <v/>
      </c>
    </row>
    <row r="223">
      <c r="A223" s="23" t="n">
        <v>35065</v>
      </c>
      <c r="B223" s="18">
        <f>VLOOKUP(Table48[[#This Row],[Date]],'DB LEI'!$A:$F,5)</f>
        <v/>
      </c>
      <c r="C223" s="24">
        <f>IF(VLOOKUP(Table48[[#This Row],[Date]],'DB LEI'!$A:$I,9)=0,"",VLOOKUP(Table48[[#This Row],[Date]],'DB LEI'!$A:$I,9))</f>
        <v/>
      </c>
      <c r="D223" s="24">
        <f>IF(VLOOKUP(Table48[[#This Row],[Date]],'DB LEI'!$A:$I,8)=0,"",VLOOKUP(Table48[[#This Row],[Date]],'DB LEI'!$A:$I,8))</f>
        <v/>
      </c>
    </row>
    <row r="224">
      <c r="A224" s="23" t="n">
        <v>35096</v>
      </c>
      <c r="B224" s="18">
        <f>VLOOKUP(Table48[[#This Row],[Date]],'DB LEI'!$A:$F,5)</f>
        <v/>
      </c>
      <c r="C224" s="24">
        <f>IF(VLOOKUP(Table48[[#This Row],[Date]],'DB LEI'!$A:$I,9)=0,"",VLOOKUP(Table48[[#This Row],[Date]],'DB LEI'!$A:$I,9))</f>
        <v/>
      </c>
      <c r="D224" s="24">
        <f>IF(VLOOKUP(Table48[[#This Row],[Date]],'DB LEI'!$A:$I,8)=0,"",VLOOKUP(Table48[[#This Row],[Date]],'DB LEI'!$A:$I,8))</f>
        <v/>
      </c>
    </row>
    <row r="225">
      <c r="A225" s="23" t="n">
        <v>35125</v>
      </c>
      <c r="B225" s="18">
        <f>VLOOKUP(Table48[[#This Row],[Date]],'DB LEI'!$A:$F,5)</f>
        <v/>
      </c>
      <c r="C225" s="24">
        <f>IF(VLOOKUP(Table48[[#This Row],[Date]],'DB LEI'!$A:$I,9)=0,"",VLOOKUP(Table48[[#This Row],[Date]],'DB LEI'!$A:$I,9))</f>
        <v/>
      </c>
      <c r="D225" s="24">
        <f>IF(VLOOKUP(Table48[[#This Row],[Date]],'DB LEI'!$A:$I,8)=0,"",VLOOKUP(Table48[[#This Row],[Date]],'DB LEI'!$A:$I,8))</f>
        <v/>
      </c>
    </row>
    <row r="226">
      <c r="A226" s="23" t="n">
        <v>35156</v>
      </c>
      <c r="B226" s="18">
        <f>VLOOKUP(Table48[[#This Row],[Date]],'DB LEI'!$A:$F,5)</f>
        <v/>
      </c>
      <c r="C226" s="24">
        <f>IF(VLOOKUP(Table48[[#This Row],[Date]],'DB LEI'!$A:$I,9)=0,"",VLOOKUP(Table48[[#This Row],[Date]],'DB LEI'!$A:$I,9))</f>
        <v/>
      </c>
      <c r="D226" s="24">
        <f>IF(VLOOKUP(Table48[[#This Row],[Date]],'DB LEI'!$A:$I,8)=0,"",VLOOKUP(Table48[[#This Row],[Date]],'DB LEI'!$A:$I,8))</f>
        <v/>
      </c>
    </row>
    <row r="227">
      <c r="A227" s="23" t="n">
        <v>35186</v>
      </c>
      <c r="B227" s="18">
        <f>VLOOKUP(Table48[[#This Row],[Date]],'DB LEI'!$A:$F,5)</f>
        <v/>
      </c>
      <c r="C227" s="24">
        <f>IF(VLOOKUP(Table48[[#This Row],[Date]],'DB LEI'!$A:$I,9)=0,"",VLOOKUP(Table48[[#This Row],[Date]],'DB LEI'!$A:$I,9))</f>
        <v/>
      </c>
      <c r="D227" s="24">
        <f>IF(VLOOKUP(Table48[[#This Row],[Date]],'DB LEI'!$A:$I,8)=0,"",VLOOKUP(Table48[[#This Row],[Date]],'DB LEI'!$A:$I,8))</f>
        <v/>
      </c>
    </row>
    <row r="228">
      <c r="A228" s="23" t="n">
        <v>35217</v>
      </c>
      <c r="B228" s="18">
        <f>VLOOKUP(Table48[[#This Row],[Date]],'DB LEI'!$A:$F,5)</f>
        <v/>
      </c>
      <c r="C228" s="24">
        <f>IF(VLOOKUP(Table48[[#This Row],[Date]],'DB LEI'!$A:$I,9)=0,"",VLOOKUP(Table48[[#This Row],[Date]],'DB LEI'!$A:$I,9))</f>
        <v/>
      </c>
      <c r="D228" s="24">
        <f>IF(VLOOKUP(Table48[[#This Row],[Date]],'DB LEI'!$A:$I,8)=0,"",VLOOKUP(Table48[[#This Row],[Date]],'DB LEI'!$A:$I,8))</f>
        <v/>
      </c>
    </row>
    <row r="229">
      <c r="A229" s="23" t="n">
        <v>35247</v>
      </c>
      <c r="B229" s="18">
        <f>VLOOKUP(Table48[[#This Row],[Date]],'DB LEI'!$A:$F,5)</f>
        <v/>
      </c>
      <c r="C229" s="24">
        <f>IF(VLOOKUP(Table48[[#This Row],[Date]],'DB LEI'!$A:$I,9)=0,"",VLOOKUP(Table48[[#This Row],[Date]],'DB LEI'!$A:$I,9))</f>
        <v/>
      </c>
      <c r="D229" s="24">
        <f>IF(VLOOKUP(Table48[[#This Row],[Date]],'DB LEI'!$A:$I,8)=0,"",VLOOKUP(Table48[[#This Row],[Date]],'DB LEI'!$A:$I,8))</f>
        <v/>
      </c>
    </row>
    <row r="230">
      <c r="A230" s="23" t="n">
        <v>35278</v>
      </c>
      <c r="B230" s="18">
        <f>VLOOKUP(Table48[[#This Row],[Date]],'DB LEI'!$A:$F,5)</f>
        <v/>
      </c>
      <c r="C230" s="24">
        <f>IF(VLOOKUP(Table48[[#This Row],[Date]],'DB LEI'!$A:$I,9)=0,"",VLOOKUP(Table48[[#This Row],[Date]],'DB LEI'!$A:$I,9))</f>
        <v/>
      </c>
      <c r="D230" s="24">
        <f>IF(VLOOKUP(Table48[[#This Row],[Date]],'DB LEI'!$A:$I,8)=0,"",VLOOKUP(Table48[[#This Row],[Date]],'DB LEI'!$A:$I,8))</f>
        <v/>
      </c>
    </row>
    <row r="231">
      <c r="A231" s="23" t="n">
        <v>35309</v>
      </c>
      <c r="B231" s="18">
        <f>VLOOKUP(Table48[[#This Row],[Date]],'DB LEI'!$A:$F,5)</f>
        <v/>
      </c>
      <c r="C231" s="24">
        <f>IF(VLOOKUP(Table48[[#This Row],[Date]],'DB LEI'!$A:$I,9)=0,"",VLOOKUP(Table48[[#This Row],[Date]],'DB LEI'!$A:$I,9))</f>
        <v/>
      </c>
      <c r="D231" s="24">
        <f>IF(VLOOKUP(Table48[[#This Row],[Date]],'DB LEI'!$A:$I,8)=0,"",VLOOKUP(Table48[[#This Row],[Date]],'DB LEI'!$A:$I,8))</f>
        <v/>
      </c>
    </row>
    <row r="232">
      <c r="A232" s="23" t="n">
        <v>35339</v>
      </c>
      <c r="B232" s="18">
        <f>VLOOKUP(Table48[[#This Row],[Date]],'DB LEI'!$A:$F,5)</f>
        <v/>
      </c>
      <c r="C232" s="24">
        <f>IF(VLOOKUP(Table48[[#This Row],[Date]],'DB LEI'!$A:$I,9)=0,"",VLOOKUP(Table48[[#This Row],[Date]],'DB LEI'!$A:$I,9))</f>
        <v/>
      </c>
      <c r="D232" s="24">
        <f>IF(VLOOKUP(Table48[[#This Row],[Date]],'DB LEI'!$A:$I,8)=0,"",VLOOKUP(Table48[[#This Row],[Date]],'DB LEI'!$A:$I,8))</f>
        <v/>
      </c>
    </row>
    <row r="233">
      <c r="A233" s="23" t="n">
        <v>35370</v>
      </c>
      <c r="B233" s="18">
        <f>VLOOKUP(Table48[[#This Row],[Date]],'DB LEI'!$A:$F,5)</f>
        <v/>
      </c>
      <c r="C233" s="24">
        <f>IF(VLOOKUP(Table48[[#This Row],[Date]],'DB LEI'!$A:$I,9)=0,"",VLOOKUP(Table48[[#This Row],[Date]],'DB LEI'!$A:$I,9))</f>
        <v/>
      </c>
      <c r="D233" s="24">
        <f>IF(VLOOKUP(Table48[[#This Row],[Date]],'DB LEI'!$A:$I,8)=0,"",VLOOKUP(Table48[[#This Row],[Date]],'DB LEI'!$A:$I,8))</f>
        <v/>
      </c>
    </row>
    <row r="234">
      <c r="A234" s="23" t="n">
        <v>35400</v>
      </c>
      <c r="B234" s="18">
        <f>VLOOKUP(Table48[[#This Row],[Date]],'DB LEI'!$A:$F,5)</f>
        <v/>
      </c>
      <c r="C234" s="24">
        <f>IF(VLOOKUP(Table48[[#This Row],[Date]],'DB LEI'!$A:$I,9)=0,"",VLOOKUP(Table48[[#This Row],[Date]],'DB LEI'!$A:$I,9))</f>
        <v/>
      </c>
      <c r="D234" s="24">
        <f>IF(VLOOKUP(Table48[[#This Row],[Date]],'DB LEI'!$A:$I,8)=0,"",VLOOKUP(Table48[[#This Row],[Date]],'DB LEI'!$A:$I,8))</f>
        <v/>
      </c>
    </row>
    <row r="235">
      <c r="A235" s="23" t="n">
        <v>35431</v>
      </c>
      <c r="B235" s="18">
        <f>VLOOKUP(Table48[[#This Row],[Date]],'DB LEI'!$A:$F,5)</f>
        <v/>
      </c>
      <c r="C235" s="24">
        <f>IF(VLOOKUP(Table48[[#This Row],[Date]],'DB LEI'!$A:$I,9)=0,"",VLOOKUP(Table48[[#This Row],[Date]],'DB LEI'!$A:$I,9))</f>
        <v/>
      </c>
      <c r="D235" s="24">
        <f>IF(VLOOKUP(Table48[[#This Row],[Date]],'DB LEI'!$A:$I,8)=0,"",VLOOKUP(Table48[[#This Row],[Date]],'DB LEI'!$A:$I,8))</f>
        <v/>
      </c>
    </row>
    <row r="236">
      <c r="A236" s="23" t="n">
        <v>35462</v>
      </c>
      <c r="B236" s="18">
        <f>VLOOKUP(Table48[[#This Row],[Date]],'DB LEI'!$A:$F,5)</f>
        <v/>
      </c>
      <c r="C236" s="24">
        <f>IF(VLOOKUP(Table48[[#This Row],[Date]],'DB LEI'!$A:$I,9)=0,"",VLOOKUP(Table48[[#This Row],[Date]],'DB LEI'!$A:$I,9))</f>
        <v/>
      </c>
      <c r="D236" s="24">
        <f>IF(VLOOKUP(Table48[[#This Row],[Date]],'DB LEI'!$A:$I,8)=0,"",VLOOKUP(Table48[[#This Row],[Date]],'DB LEI'!$A:$I,8))</f>
        <v/>
      </c>
    </row>
    <row r="237">
      <c r="A237" s="23" t="n">
        <v>35490</v>
      </c>
      <c r="B237" s="18">
        <f>VLOOKUP(Table48[[#This Row],[Date]],'DB LEI'!$A:$F,5)</f>
        <v/>
      </c>
      <c r="C237" s="24">
        <f>IF(VLOOKUP(Table48[[#This Row],[Date]],'DB LEI'!$A:$I,9)=0,"",VLOOKUP(Table48[[#This Row],[Date]],'DB LEI'!$A:$I,9))</f>
        <v/>
      </c>
      <c r="D237" s="24">
        <f>IF(VLOOKUP(Table48[[#This Row],[Date]],'DB LEI'!$A:$I,8)=0,"",VLOOKUP(Table48[[#This Row],[Date]],'DB LEI'!$A:$I,8))</f>
        <v/>
      </c>
    </row>
    <row r="238">
      <c r="A238" s="23" t="n">
        <v>35521</v>
      </c>
      <c r="B238" s="18">
        <f>VLOOKUP(Table48[[#This Row],[Date]],'DB LEI'!$A:$F,5)</f>
        <v/>
      </c>
      <c r="C238" s="24">
        <f>IF(VLOOKUP(Table48[[#This Row],[Date]],'DB LEI'!$A:$I,9)=0,"",VLOOKUP(Table48[[#This Row],[Date]],'DB LEI'!$A:$I,9))</f>
        <v/>
      </c>
      <c r="D238" s="24">
        <f>IF(VLOOKUP(Table48[[#This Row],[Date]],'DB LEI'!$A:$I,8)=0,"",VLOOKUP(Table48[[#This Row],[Date]],'DB LEI'!$A:$I,8))</f>
        <v/>
      </c>
    </row>
    <row r="239">
      <c r="A239" s="23" t="n">
        <v>35551</v>
      </c>
      <c r="B239" s="18">
        <f>VLOOKUP(Table48[[#This Row],[Date]],'DB LEI'!$A:$F,5)</f>
        <v/>
      </c>
      <c r="C239" s="24">
        <f>IF(VLOOKUP(Table48[[#This Row],[Date]],'DB LEI'!$A:$I,9)=0,"",VLOOKUP(Table48[[#This Row],[Date]],'DB LEI'!$A:$I,9))</f>
        <v/>
      </c>
      <c r="D239" s="24">
        <f>IF(VLOOKUP(Table48[[#This Row],[Date]],'DB LEI'!$A:$I,8)=0,"",VLOOKUP(Table48[[#This Row],[Date]],'DB LEI'!$A:$I,8))</f>
        <v/>
      </c>
    </row>
    <row r="240">
      <c r="A240" s="23" t="n">
        <v>35582</v>
      </c>
      <c r="B240" s="18">
        <f>VLOOKUP(Table48[[#This Row],[Date]],'DB LEI'!$A:$F,5)</f>
        <v/>
      </c>
      <c r="C240" s="24">
        <f>IF(VLOOKUP(Table48[[#This Row],[Date]],'DB LEI'!$A:$I,9)=0,"",VLOOKUP(Table48[[#This Row],[Date]],'DB LEI'!$A:$I,9))</f>
        <v/>
      </c>
      <c r="D240" s="24">
        <f>IF(VLOOKUP(Table48[[#This Row],[Date]],'DB LEI'!$A:$I,8)=0,"",VLOOKUP(Table48[[#This Row],[Date]],'DB LEI'!$A:$I,8))</f>
        <v/>
      </c>
    </row>
    <row r="241">
      <c r="A241" s="23" t="n">
        <v>35612</v>
      </c>
      <c r="B241" s="18">
        <f>VLOOKUP(Table48[[#This Row],[Date]],'DB LEI'!$A:$F,5)</f>
        <v/>
      </c>
      <c r="C241" s="24">
        <f>IF(VLOOKUP(Table48[[#This Row],[Date]],'DB LEI'!$A:$I,9)=0,"",VLOOKUP(Table48[[#This Row],[Date]],'DB LEI'!$A:$I,9))</f>
        <v/>
      </c>
      <c r="D241" s="24">
        <f>IF(VLOOKUP(Table48[[#This Row],[Date]],'DB LEI'!$A:$I,8)=0,"",VLOOKUP(Table48[[#This Row],[Date]],'DB LEI'!$A:$I,8))</f>
        <v/>
      </c>
    </row>
    <row r="242">
      <c r="A242" s="23" t="n">
        <v>35643</v>
      </c>
      <c r="B242" s="18">
        <f>VLOOKUP(Table48[[#This Row],[Date]],'DB LEI'!$A:$F,5)</f>
        <v/>
      </c>
      <c r="C242" s="24">
        <f>IF(VLOOKUP(Table48[[#This Row],[Date]],'DB LEI'!$A:$I,9)=0,"",VLOOKUP(Table48[[#This Row],[Date]],'DB LEI'!$A:$I,9))</f>
        <v/>
      </c>
      <c r="D242" s="24">
        <f>IF(VLOOKUP(Table48[[#This Row],[Date]],'DB LEI'!$A:$I,8)=0,"",VLOOKUP(Table48[[#This Row],[Date]],'DB LEI'!$A:$I,8))</f>
        <v/>
      </c>
    </row>
    <row r="243">
      <c r="A243" s="23" t="n">
        <v>35674</v>
      </c>
      <c r="B243" s="18">
        <f>VLOOKUP(Table48[[#This Row],[Date]],'DB LEI'!$A:$F,5)</f>
        <v/>
      </c>
      <c r="C243" s="24">
        <f>IF(VLOOKUP(Table48[[#This Row],[Date]],'DB LEI'!$A:$I,9)=0,"",VLOOKUP(Table48[[#This Row],[Date]],'DB LEI'!$A:$I,9))</f>
        <v/>
      </c>
      <c r="D243" s="24">
        <f>IF(VLOOKUP(Table48[[#This Row],[Date]],'DB LEI'!$A:$I,8)=0,"",VLOOKUP(Table48[[#This Row],[Date]],'DB LEI'!$A:$I,8))</f>
        <v/>
      </c>
    </row>
    <row r="244">
      <c r="A244" s="23" t="n">
        <v>35704</v>
      </c>
      <c r="B244" s="18">
        <f>VLOOKUP(Table48[[#This Row],[Date]],'DB LEI'!$A:$F,5)</f>
        <v/>
      </c>
      <c r="C244" s="24">
        <f>IF(VLOOKUP(Table48[[#This Row],[Date]],'DB LEI'!$A:$I,9)=0,"",VLOOKUP(Table48[[#This Row],[Date]],'DB LEI'!$A:$I,9))</f>
        <v/>
      </c>
      <c r="D244" s="24">
        <f>IF(VLOOKUP(Table48[[#This Row],[Date]],'DB LEI'!$A:$I,8)=0,"",VLOOKUP(Table48[[#This Row],[Date]],'DB LEI'!$A:$I,8))</f>
        <v/>
      </c>
    </row>
    <row r="245">
      <c r="A245" s="23" t="n">
        <v>35735</v>
      </c>
      <c r="B245" s="18">
        <f>VLOOKUP(Table48[[#This Row],[Date]],'DB LEI'!$A:$F,5)</f>
        <v/>
      </c>
      <c r="C245" s="24">
        <f>IF(VLOOKUP(Table48[[#This Row],[Date]],'DB LEI'!$A:$I,9)=0,"",VLOOKUP(Table48[[#This Row],[Date]],'DB LEI'!$A:$I,9))</f>
        <v/>
      </c>
      <c r="D245" s="24">
        <f>IF(VLOOKUP(Table48[[#This Row],[Date]],'DB LEI'!$A:$I,8)=0,"",VLOOKUP(Table48[[#This Row],[Date]],'DB LEI'!$A:$I,8))</f>
        <v/>
      </c>
    </row>
    <row r="246">
      <c r="A246" s="23" t="n">
        <v>35765</v>
      </c>
      <c r="B246" s="18">
        <f>VLOOKUP(Table48[[#This Row],[Date]],'DB LEI'!$A:$F,5)</f>
        <v/>
      </c>
      <c r="C246" s="24">
        <f>IF(VLOOKUP(Table48[[#This Row],[Date]],'DB LEI'!$A:$I,9)=0,"",VLOOKUP(Table48[[#This Row],[Date]],'DB LEI'!$A:$I,9))</f>
        <v/>
      </c>
      <c r="D246" s="24">
        <f>IF(VLOOKUP(Table48[[#This Row],[Date]],'DB LEI'!$A:$I,8)=0,"",VLOOKUP(Table48[[#This Row],[Date]],'DB LEI'!$A:$I,8))</f>
        <v/>
      </c>
    </row>
    <row r="247">
      <c r="A247" s="23" t="n">
        <v>35796</v>
      </c>
      <c r="B247" s="18">
        <f>VLOOKUP(Table48[[#This Row],[Date]],'DB LEI'!$A:$F,5)</f>
        <v/>
      </c>
      <c r="C247" s="24">
        <f>IF(VLOOKUP(Table48[[#This Row],[Date]],'DB LEI'!$A:$I,9)=0,"",VLOOKUP(Table48[[#This Row],[Date]],'DB LEI'!$A:$I,9))</f>
        <v/>
      </c>
      <c r="D247" s="24">
        <f>IF(VLOOKUP(Table48[[#This Row],[Date]],'DB LEI'!$A:$I,8)=0,"",VLOOKUP(Table48[[#This Row],[Date]],'DB LEI'!$A:$I,8))</f>
        <v/>
      </c>
    </row>
    <row r="248">
      <c r="A248" s="23" t="n">
        <v>35827</v>
      </c>
      <c r="B248" s="18">
        <f>VLOOKUP(Table48[[#This Row],[Date]],'DB LEI'!$A:$F,5)</f>
        <v/>
      </c>
      <c r="C248" s="24">
        <f>IF(VLOOKUP(Table48[[#This Row],[Date]],'DB LEI'!$A:$I,9)=0,"",VLOOKUP(Table48[[#This Row],[Date]],'DB LEI'!$A:$I,9))</f>
        <v/>
      </c>
      <c r="D248" s="24">
        <f>IF(VLOOKUP(Table48[[#This Row],[Date]],'DB LEI'!$A:$I,8)=0,"",VLOOKUP(Table48[[#This Row],[Date]],'DB LEI'!$A:$I,8))</f>
        <v/>
      </c>
    </row>
    <row r="249">
      <c r="A249" s="23" t="n">
        <v>35855</v>
      </c>
      <c r="B249" s="18">
        <f>VLOOKUP(Table48[[#This Row],[Date]],'DB LEI'!$A:$F,5)</f>
        <v/>
      </c>
      <c r="C249" s="24">
        <f>IF(VLOOKUP(Table48[[#This Row],[Date]],'DB LEI'!$A:$I,9)=0,"",VLOOKUP(Table48[[#This Row],[Date]],'DB LEI'!$A:$I,9))</f>
        <v/>
      </c>
      <c r="D249" s="24">
        <f>IF(VLOOKUP(Table48[[#This Row],[Date]],'DB LEI'!$A:$I,8)=0,"",VLOOKUP(Table48[[#This Row],[Date]],'DB LEI'!$A:$I,8))</f>
        <v/>
      </c>
    </row>
    <row r="250">
      <c r="A250" s="23" t="n">
        <v>35886</v>
      </c>
      <c r="B250" s="18">
        <f>VLOOKUP(Table48[[#This Row],[Date]],'DB LEI'!$A:$F,5)</f>
        <v/>
      </c>
      <c r="C250" s="24">
        <f>IF(VLOOKUP(Table48[[#This Row],[Date]],'DB LEI'!$A:$I,9)=0,"",VLOOKUP(Table48[[#This Row],[Date]],'DB LEI'!$A:$I,9))</f>
        <v/>
      </c>
      <c r="D250" s="24">
        <f>IF(VLOOKUP(Table48[[#This Row],[Date]],'DB LEI'!$A:$I,8)=0,"",VLOOKUP(Table48[[#This Row],[Date]],'DB LEI'!$A:$I,8))</f>
        <v/>
      </c>
    </row>
    <row r="251">
      <c r="A251" s="23" t="n">
        <v>35916</v>
      </c>
      <c r="B251" s="18">
        <f>VLOOKUP(Table48[[#This Row],[Date]],'DB LEI'!$A:$F,5)</f>
        <v/>
      </c>
      <c r="C251" s="24">
        <f>IF(VLOOKUP(Table48[[#This Row],[Date]],'DB LEI'!$A:$I,9)=0,"",VLOOKUP(Table48[[#This Row],[Date]],'DB LEI'!$A:$I,9))</f>
        <v/>
      </c>
      <c r="D251" s="24">
        <f>IF(VLOOKUP(Table48[[#This Row],[Date]],'DB LEI'!$A:$I,8)=0,"",VLOOKUP(Table48[[#This Row],[Date]],'DB LEI'!$A:$I,8))</f>
        <v/>
      </c>
    </row>
    <row r="252">
      <c r="A252" s="23" t="n">
        <v>35947</v>
      </c>
      <c r="B252" s="18">
        <f>VLOOKUP(Table48[[#This Row],[Date]],'DB LEI'!$A:$F,5)</f>
        <v/>
      </c>
      <c r="C252" s="24">
        <f>IF(VLOOKUP(Table48[[#This Row],[Date]],'DB LEI'!$A:$I,9)=0,"",VLOOKUP(Table48[[#This Row],[Date]],'DB LEI'!$A:$I,9))</f>
        <v/>
      </c>
      <c r="D252" s="24">
        <f>IF(VLOOKUP(Table48[[#This Row],[Date]],'DB LEI'!$A:$I,8)=0,"",VLOOKUP(Table48[[#This Row],[Date]],'DB LEI'!$A:$I,8))</f>
        <v/>
      </c>
    </row>
    <row r="253">
      <c r="A253" s="23" t="n">
        <v>35977</v>
      </c>
      <c r="B253" s="18">
        <f>VLOOKUP(Table48[[#This Row],[Date]],'DB LEI'!$A:$F,5)</f>
        <v/>
      </c>
      <c r="C253" s="24">
        <f>IF(VLOOKUP(Table48[[#This Row],[Date]],'DB LEI'!$A:$I,9)=0,"",VLOOKUP(Table48[[#This Row],[Date]],'DB LEI'!$A:$I,9))</f>
        <v/>
      </c>
      <c r="D253" s="24">
        <f>IF(VLOOKUP(Table48[[#This Row],[Date]],'DB LEI'!$A:$I,8)=0,"",VLOOKUP(Table48[[#This Row],[Date]],'DB LEI'!$A:$I,8))</f>
        <v/>
      </c>
    </row>
    <row r="254">
      <c r="A254" s="23" t="n">
        <v>36008</v>
      </c>
      <c r="B254" s="18">
        <f>VLOOKUP(Table48[[#This Row],[Date]],'DB LEI'!$A:$F,5)</f>
        <v/>
      </c>
      <c r="C254" s="24">
        <f>IF(VLOOKUP(Table48[[#This Row],[Date]],'DB LEI'!$A:$I,9)=0,"",VLOOKUP(Table48[[#This Row],[Date]],'DB LEI'!$A:$I,9))</f>
        <v/>
      </c>
      <c r="D254" s="24">
        <f>IF(VLOOKUP(Table48[[#This Row],[Date]],'DB LEI'!$A:$I,8)=0,"",VLOOKUP(Table48[[#This Row],[Date]],'DB LEI'!$A:$I,8))</f>
        <v/>
      </c>
    </row>
    <row r="255">
      <c r="A255" s="23" t="n">
        <v>36039</v>
      </c>
      <c r="B255" s="18">
        <f>VLOOKUP(Table48[[#This Row],[Date]],'DB LEI'!$A:$F,5)</f>
        <v/>
      </c>
      <c r="C255" s="24">
        <f>IF(VLOOKUP(Table48[[#This Row],[Date]],'DB LEI'!$A:$I,9)=0,"",VLOOKUP(Table48[[#This Row],[Date]],'DB LEI'!$A:$I,9))</f>
        <v/>
      </c>
      <c r="D255" s="24">
        <f>IF(VLOOKUP(Table48[[#This Row],[Date]],'DB LEI'!$A:$I,8)=0,"",VLOOKUP(Table48[[#This Row],[Date]],'DB LEI'!$A:$I,8))</f>
        <v/>
      </c>
    </row>
    <row r="256">
      <c r="A256" s="23" t="n">
        <v>36069</v>
      </c>
      <c r="B256" s="18">
        <f>VLOOKUP(Table48[[#This Row],[Date]],'DB LEI'!$A:$F,5)</f>
        <v/>
      </c>
      <c r="C256" s="24">
        <f>IF(VLOOKUP(Table48[[#This Row],[Date]],'DB LEI'!$A:$I,9)=0,"",VLOOKUP(Table48[[#This Row],[Date]],'DB LEI'!$A:$I,9))</f>
        <v/>
      </c>
      <c r="D256" s="24">
        <f>IF(VLOOKUP(Table48[[#This Row],[Date]],'DB LEI'!$A:$I,8)=0,"",VLOOKUP(Table48[[#This Row],[Date]],'DB LEI'!$A:$I,8))</f>
        <v/>
      </c>
    </row>
    <row r="257">
      <c r="A257" s="23" t="n">
        <v>36100</v>
      </c>
      <c r="B257" s="18">
        <f>VLOOKUP(Table48[[#This Row],[Date]],'DB LEI'!$A:$F,5)</f>
        <v/>
      </c>
      <c r="C257" s="24">
        <f>IF(VLOOKUP(Table48[[#This Row],[Date]],'DB LEI'!$A:$I,9)=0,"",VLOOKUP(Table48[[#This Row],[Date]],'DB LEI'!$A:$I,9))</f>
        <v/>
      </c>
      <c r="D257" s="24">
        <f>IF(VLOOKUP(Table48[[#This Row],[Date]],'DB LEI'!$A:$I,8)=0,"",VLOOKUP(Table48[[#This Row],[Date]],'DB LEI'!$A:$I,8))</f>
        <v/>
      </c>
    </row>
    <row r="258">
      <c r="A258" s="23" t="n">
        <v>36130</v>
      </c>
      <c r="B258" s="18">
        <f>VLOOKUP(Table48[[#This Row],[Date]],'DB LEI'!$A:$F,5)</f>
        <v/>
      </c>
      <c r="C258" s="24">
        <f>IF(VLOOKUP(Table48[[#This Row],[Date]],'DB LEI'!$A:$I,9)=0,"",VLOOKUP(Table48[[#This Row],[Date]],'DB LEI'!$A:$I,9))</f>
        <v/>
      </c>
      <c r="D258" s="24">
        <f>IF(VLOOKUP(Table48[[#This Row],[Date]],'DB LEI'!$A:$I,8)=0,"",VLOOKUP(Table48[[#This Row],[Date]],'DB LEI'!$A:$I,8))</f>
        <v/>
      </c>
    </row>
    <row r="259">
      <c r="A259" s="23" t="n">
        <v>36161</v>
      </c>
      <c r="B259" s="18">
        <f>VLOOKUP(Table48[[#This Row],[Date]],'DB LEI'!$A:$F,5)</f>
        <v/>
      </c>
      <c r="C259" s="24">
        <f>IF(VLOOKUP(Table48[[#This Row],[Date]],'DB LEI'!$A:$I,9)=0,"",VLOOKUP(Table48[[#This Row],[Date]],'DB LEI'!$A:$I,9))</f>
        <v/>
      </c>
      <c r="D259" s="24">
        <f>IF(VLOOKUP(Table48[[#This Row],[Date]],'DB LEI'!$A:$I,8)=0,"",VLOOKUP(Table48[[#This Row],[Date]],'DB LEI'!$A:$I,8))</f>
        <v/>
      </c>
    </row>
    <row r="260">
      <c r="A260" s="23" t="n">
        <v>36192</v>
      </c>
      <c r="B260" s="18">
        <f>VLOOKUP(Table48[[#This Row],[Date]],'DB LEI'!$A:$F,5)</f>
        <v/>
      </c>
      <c r="C260" s="24">
        <f>IF(VLOOKUP(Table48[[#This Row],[Date]],'DB LEI'!$A:$I,9)=0,"",VLOOKUP(Table48[[#This Row],[Date]],'DB LEI'!$A:$I,9))</f>
        <v/>
      </c>
      <c r="D260" s="24">
        <f>IF(VLOOKUP(Table48[[#This Row],[Date]],'DB LEI'!$A:$I,8)=0,"",VLOOKUP(Table48[[#This Row],[Date]],'DB LEI'!$A:$I,8))</f>
        <v/>
      </c>
    </row>
    <row r="261">
      <c r="A261" s="23" t="n">
        <v>36220</v>
      </c>
      <c r="B261" s="18">
        <f>VLOOKUP(Table48[[#This Row],[Date]],'DB LEI'!$A:$F,5)</f>
        <v/>
      </c>
      <c r="C261" s="24">
        <f>IF(VLOOKUP(Table48[[#This Row],[Date]],'DB LEI'!$A:$I,9)=0,"",VLOOKUP(Table48[[#This Row],[Date]],'DB LEI'!$A:$I,9))</f>
        <v/>
      </c>
      <c r="D261" s="24">
        <f>IF(VLOOKUP(Table48[[#This Row],[Date]],'DB LEI'!$A:$I,8)=0,"",VLOOKUP(Table48[[#This Row],[Date]],'DB LEI'!$A:$I,8))</f>
        <v/>
      </c>
    </row>
    <row r="262">
      <c r="A262" s="23" t="n">
        <v>36251</v>
      </c>
      <c r="B262" s="18">
        <f>VLOOKUP(Table48[[#This Row],[Date]],'DB LEI'!$A:$F,5)</f>
        <v/>
      </c>
      <c r="C262" s="24">
        <f>IF(VLOOKUP(Table48[[#This Row],[Date]],'DB LEI'!$A:$I,9)=0,"",VLOOKUP(Table48[[#This Row],[Date]],'DB LEI'!$A:$I,9))</f>
        <v/>
      </c>
      <c r="D262" s="24">
        <f>IF(VLOOKUP(Table48[[#This Row],[Date]],'DB LEI'!$A:$I,8)=0,"",VLOOKUP(Table48[[#This Row],[Date]],'DB LEI'!$A:$I,8))</f>
        <v/>
      </c>
    </row>
    <row r="263">
      <c r="A263" s="23" t="n">
        <v>36281</v>
      </c>
      <c r="B263" s="18">
        <f>VLOOKUP(Table48[[#This Row],[Date]],'DB LEI'!$A:$F,5)</f>
        <v/>
      </c>
      <c r="C263" s="24">
        <f>IF(VLOOKUP(Table48[[#This Row],[Date]],'DB LEI'!$A:$I,9)=0,"",VLOOKUP(Table48[[#This Row],[Date]],'DB LEI'!$A:$I,9))</f>
        <v/>
      </c>
      <c r="D263" s="24">
        <f>IF(VLOOKUP(Table48[[#This Row],[Date]],'DB LEI'!$A:$I,8)=0,"",VLOOKUP(Table48[[#This Row],[Date]],'DB LEI'!$A:$I,8))</f>
        <v/>
      </c>
    </row>
    <row r="264">
      <c r="A264" s="23" t="n">
        <v>36312</v>
      </c>
      <c r="B264" s="18">
        <f>VLOOKUP(Table48[[#This Row],[Date]],'DB LEI'!$A:$F,5)</f>
        <v/>
      </c>
      <c r="C264" s="24">
        <f>IF(VLOOKUP(Table48[[#This Row],[Date]],'DB LEI'!$A:$I,9)=0,"",VLOOKUP(Table48[[#This Row],[Date]],'DB LEI'!$A:$I,9))</f>
        <v/>
      </c>
      <c r="D264" s="24">
        <f>IF(VLOOKUP(Table48[[#This Row],[Date]],'DB LEI'!$A:$I,8)=0,"",VLOOKUP(Table48[[#This Row],[Date]],'DB LEI'!$A:$I,8))</f>
        <v/>
      </c>
    </row>
    <row r="265">
      <c r="A265" s="23" t="n">
        <v>36342</v>
      </c>
      <c r="B265" s="18">
        <f>VLOOKUP(Table48[[#This Row],[Date]],'DB LEI'!$A:$F,5)</f>
        <v/>
      </c>
      <c r="C265" s="24">
        <f>IF(VLOOKUP(Table48[[#This Row],[Date]],'DB LEI'!$A:$I,9)=0,"",VLOOKUP(Table48[[#This Row],[Date]],'DB LEI'!$A:$I,9))</f>
        <v/>
      </c>
      <c r="D265" s="24">
        <f>IF(VLOOKUP(Table48[[#This Row],[Date]],'DB LEI'!$A:$I,8)=0,"",VLOOKUP(Table48[[#This Row],[Date]],'DB LEI'!$A:$I,8))</f>
        <v/>
      </c>
    </row>
    <row r="266">
      <c r="A266" s="23" t="n">
        <v>36373</v>
      </c>
      <c r="B266" s="18">
        <f>VLOOKUP(Table48[[#This Row],[Date]],'DB LEI'!$A:$F,5)</f>
        <v/>
      </c>
      <c r="C266" s="24">
        <f>IF(VLOOKUP(Table48[[#This Row],[Date]],'DB LEI'!$A:$I,9)=0,"",VLOOKUP(Table48[[#This Row],[Date]],'DB LEI'!$A:$I,9))</f>
        <v/>
      </c>
      <c r="D266" s="24">
        <f>IF(VLOOKUP(Table48[[#This Row],[Date]],'DB LEI'!$A:$I,8)=0,"",VLOOKUP(Table48[[#This Row],[Date]],'DB LEI'!$A:$I,8))</f>
        <v/>
      </c>
    </row>
    <row r="267">
      <c r="A267" s="23" t="n">
        <v>36404</v>
      </c>
      <c r="B267" s="18">
        <f>VLOOKUP(Table48[[#This Row],[Date]],'DB LEI'!$A:$F,5)</f>
        <v/>
      </c>
      <c r="C267" s="24">
        <f>IF(VLOOKUP(Table48[[#This Row],[Date]],'DB LEI'!$A:$I,9)=0,"",VLOOKUP(Table48[[#This Row],[Date]],'DB LEI'!$A:$I,9))</f>
        <v/>
      </c>
      <c r="D267" s="24">
        <f>IF(VLOOKUP(Table48[[#This Row],[Date]],'DB LEI'!$A:$I,8)=0,"",VLOOKUP(Table48[[#This Row],[Date]],'DB LEI'!$A:$I,8))</f>
        <v/>
      </c>
    </row>
    <row r="268">
      <c r="A268" s="23" t="n">
        <v>36434</v>
      </c>
      <c r="B268" s="18">
        <f>VLOOKUP(Table48[[#This Row],[Date]],'DB LEI'!$A:$F,5)</f>
        <v/>
      </c>
      <c r="C268" s="24">
        <f>IF(VLOOKUP(Table48[[#This Row],[Date]],'DB LEI'!$A:$I,9)=0,"",VLOOKUP(Table48[[#This Row],[Date]],'DB LEI'!$A:$I,9))</f>
        <v/>
      </c>
      <c r="D268" s="24">
        <f>IF(VLOOKUP(Table48[[#This Row],[Date]],'DB LEI'!$A:$I,8)=0,"",VLOOKUP(Table48[[#This Row],[Date]],'DB LEI'!$A:$I,8))</f>
        <v/>
      </c>
    </row>
    <row r="269">
      <c r="A269" s="23" t="n">
        <v>36465</v>
      </c>
      <c r="B269" s="18">
        <f>VLOOKUP(Table48[[#This Row],[Date]],'DB LEI'!$A:$F,5)</f>
        <v/>
      </c>
      <c r="C269" s="24">
        <f>IF(VLOOKUP(Table48[[#This Row],[Date]],'DB LEI'!$A:$I,9)=0,"",VLOOKUP(Table48[[#This Row],[Date]],'DB LEI'!$A:$I,9))</f>
        <v/>
      </c>
      <c r="D269" s="24">
        <f>IF(VLOOKUP(Table48[[#This Row],[Date]],'DB LEI'!$A:$I,8)=0,"",VLOOKUP(Table48[[#This Row],[Date]],'DB LEI'!$A:$I,8))</f>
        <v/>
      </c>
    </row>
    <row r="270">
      <c r="A270" s="23" t="n">
        <v>36495</v>
      </c>
      <c r="B270" s="18">
        <f>VLOOKUP(Table48[[#This Row],[Date]],'DB LEI'!$A:$F,5)</f>
        <v/>
      </c>
      <c r="C270" s="24">
        <f>IF(VLOOKUP(Table48[[#This Row],[Date]],'DB LEI'!$A:$I,9)=0,"",VLOOKUP(Table48[[#This Row],[Date]],'DB LEI'!$A:$I,9))</f>
        <v/>
      </c>
      <c r="D270" s="24">
        <f>IF(VLOOKUP(Table48[[#This Row],[Date]],'DB LEI'!$A:$I,8)=0,"",VLOOKUP(Table48[[#This Row],[Date]],'DB LEI'!$A:$I,8))</f>
        <v/>
      </c>
    </row>
    <row r="271">
      <c r="A271" s="23" t="n">
        <v>36526</v>
      </c>
      <c r="B271" s="18">
        <f>VLOOKUP(Table48[[#This Row],[Date]],'DB LEI'!$A:$F,5)</f>
        <v/>
      </c>
      <c r="C271" s="24">
        <f>IF(VLOOKUP(Table48[[#This Row],[Date]],'DB LEI'!$A:$I,9)=0,"",VLOOKUP(Table48[[#This Row],[Date]],'DB LEI'!$A:$I,9))</f>
        <v/>
      </c>
      <c r="D271" s="24">
        <f>IF(VLOOKUP(Table48[[#This Row],[Date]],'DB LEI'!$A:$I,8)=0,"",VLOOKUP(Table48[[#This Row],[Date]],'DB LEI'!$A:$I,8))</f>
        <v/>
      </c>
    </row>
    <row r="272">
      <c r="A272" s="23" t="n">
        <v>36557</v>
      </c>
      <c r="B272" s="18">
        <f>VLOOKUP(Table48[[#This Row],[Date]],'DB LEI'!$A:$F,5)</f>
        <v/>
      </c>
      <c r="C272" s="24">
        <f>IF(VLOOKUP(Table48[[#This Row],[Date]],'DB LEI'!$A:$I,9)=0,"",VLOOKUP(Table48[[#This Row],[Date]],'DB LEI'!$A:$I,9))</f>
        <v/>
      </c>
      <c r="D272" s="24">
        <f>IF(VLOOKUP(Table48[[#This Row],[Date]],'DB LEI'!$A:$I,8)=0,"",VLOOKUP(Table48[[#This Row],[Date]],'DB LEI'!$A:$I,8))</f>
        <v/>
      </c>
    </row>
    <row r="273">
      <c r="A273" s="23" t="n">
        <v>36586</v>
      </c>
      <c r="B273" s="18">
        <f>VLOOKUP(Table48[[#This Row],[Date]],'DB LEI'!$A:$F,5)</f>
        <v/>
      </c>
      <c r="C273" s="24">
        <f>IF(VLOOKUP(Table48[[#This Row],[Date]],'DB LEI'!$A:$I,9)=0,"",VLOOKUP(Table48[[#This Row],[Date]],'DB LEI'!$A:$I,9))</f>
        <v/>
      </c>
      <c r="D273" s="24">
        <f>IF(VLOOKUP(Table48[[#This Row],[Date]],'DB LEI'!$A:$I,8)=0,"",VLOOKUP(Table48[[#This Row],[Date]],'DB LEI'!$A:$I,8))</f>
        <v/>
      </c>
    </row>
    <row r="274">
      <c r="A274" s="23" t="n">
        <v>36617</v>
      </c>
      <c r="B274" s="18">
        <f>VLOOKUP(Table48[[#This Row],[Date]],'DB LEI'!$A:$F,5)</f>
        <v/>
      </c>
      <c r="C274" s="24">
        <f>IF(VLOOKUP(Table48[[#This Row],[Date]],'DB LEI'!$A:$I,9)=0,"",VLOOKUP(Table48[[#This Row],[Date]],'DB LEI'!$A:$I,9))</f>
        <v/>
      </c>
      <c r="D274" s="24">
        <f>IF(VLOOKUP(Table48[[#This Row],[Date]],'DB LEI'!$A:$I,8)=0,"",VLOOKUP(Table48[[#This Row],[Date]],'DB LEI'!$A:$I,8))</f>
        <v/>
      </c>
    </row>
    <row r="275">
      <c r="A275" s="23" t="n">
        <v>36647</v>
      </c>
      <c r="B275" s="18">
        <f>VLOOKUP(Table48[[#This Row],[Date]],'DB LEI'!$A:$F,5)</f>
        <v/>
      </c>
      <c r="C275" s="24">
        <f>IF(VLOOKUP(Table48[[#This Row],[Date]],'DB LEI'!$A:$I,9)=0,"",VLOOKUP(Table48[[#This Row],[Date]],'DB LEI'!$A:$I,9))</f>
        <v/>
      </c>
      <c r="D275" s="24">
        <f>IF(VLOOKUP(Table48[[#This Row],[Date]],'DB LEI'!$A:$I,8)=0,"",VLOOKUP(Table48[[#This Row],[Date]],'DB LEI'!$A:$I,8))</f>
        <v/>
      </c>
    </row>
    <row r="276">
      <c r="A276" s="23" t="n">
        <v>36678</v>
      </c>
      <c r="B276" s="18">
        <f>VLOOKUP(Table48[[#This Row],[Date]],'DB LEI'!$A:$F,5)</f>
        <v/>
      </c>
      <c r="C276" s="24">
        <f>IF(VLOOKUP(Table48[[#This Row],[Date]],'DB LEI'!$A:$I,9)=0,"",VLOOKUP(Table48[[#This Row],[Date]],'DB LEI'!$A:$I,9))</f>
        <v/>
      </c>
      <c r="D276" s="24">
        <f>IF(VLOOKUP(Table48[[#This Row],[Date]],'DB LEI'!$A:$I,8)=0,"",VLOOKUP(Table48[[#This Row],[Date]],'DB LEI'!$A:$I,8))</f>
        <v/>
      </c>
    </row>
    <row r="277">
      <c r="A277" s="23" t="n">
        <v>36708</v>
      </c>
      <c r="B277" s="18">
        <f>VLOOKUP(Table48[[#This Row],[Date]],'DB LEI'!$A:$F,5)</f>
        <v/>
      </c>
      <c r="C277" s="24">
        <f>IF(VLOOKUP(Table48[[#This Row],[Date]],'DB LEI'!$A:$I,9)=0,"",VLOOKUP(Table48[[#This Row],[Date]],'DB LEI'!$A:$I,9))</f>
        <v/>
      </c>
      <c r="D277" s="24">
        <f>IF(VLOOKUP(Table48[[#This Row],[Date]],'DB LEI'!$A:$I,8)=0,"",VLOOKUP(Table48[[#This Row],[Date]],'DB LEI'!$A:$I,8))</f>
        <v/>
      </c>
    </row>
    <row r="278">
      <c r="A278" s="23" t="n">
        <v>36739</v>
      </c>
      <c r="B278" s="18">
        <f>VLOOKUP(Table48[[#This Row],[Date]],'DB LEI'!$A:$F,5)</f>
        <v/>
      </c>
      <c r="C278" s="24">
        <f>IF(VLOOKUP(Table48[[#This Row],[Date]],'DB LEI'!$A:$I,9)=0,"",VLOOKUP(Table48[[#This Row],[Date]],'DB LEI'!$A:$I,9))</f>
        <v/>
      </c>
      <c r="D278" s="24">
        <f>IF(VLOOKUP(Table48[[#This Row],[Date]],'DB LEI'!$A:$I,8)=0,"",VLOOKUP(Table48[[#This Row],[Date]],'DB LEI'!$A:$I,8))</f>
        <v/>
      </c>
    </row>
    <row r="279">
      <c r="A279" s="23" t="n">
        <v>36770</v>
      </c>
      <c r="B279" s="18">
        <f>VLOOKUP(Table48[[#This Row],[Date]],'DB LEI'!$A:$F,5)</f>
        <v/>
      </c>
      <c r="C279" s="24">
        <f>IF(VLOOKUP(Table48[[#This Row],[Date]],'DB LEI'!$A:$I,9)=0,"",VLOOKUP(Table48[[#This Row],[Date]],'DB LEI'!$A:$I,9))</f>
        <v/>
      </c>
      <c r="D279" s="24">
        <f>IF(VLOOKUP(Table48[[#This Row],[Date]],'DB LEI'!$A:$I,8)=0,"",VLOOKUP(Table48[[#This Row],[Date]],'DB LEI'!$A:$I,8))</f>
        <v/>
      </c>
    </row>
    <row r="280">
      <c r="A280" s="23" t="n">
        <v>36800</v>
      </c>
      <c r="B280" s="18">
        <f>VLOOKUP(Table48[[#This Row],[Date]],'DB LEI'!$A:$F,5)</f>
        <v/>
      </c>
      <c r="C280" s="24">
        <f>IF(VLOOKUP(Table48[[#This Row],[Date]],'DB LEI'!$A:$I,9)=0,"",VLOOKUP(Table48[[#This Row],[Date]],'DB LEI'!$A:$I,9))</f>
        <v/>
      </c>
      <c r="D280" s="24">
        <f>IF(VLOOKUP(Table48[[#This Row],[Date]],'DB LEI'!$A:$I,8)=0,"",VLOOKUP(Table48[[#This Row],[Date]],'DB LEI'!$A:$I,8))</f>
        <v/>
      </c>
    </row>
    <row r="281">
      <c r="A281" s="23" t="n">
        <v>36831</v>
      </c>
      <c r="B281" s="18">
        <f>VLOOKUP(Table48[[#This Row],[Date]],'DB LEI'!$A:$F,5)</f>
        <v/>
      </c>
      <c r="C281" s="24">
        <f>IF(VLOOKUP(Table48[[#This Row],[Date]],'DB LEI'!$A:$I,9)=0,"",VLOOKUP(Table48[[#This Row],[Date]],'DB LEI'!$A:$I,9))</f>
        <v/>
      </c>
      <c r="D281" s="24">
        <f>IF(VLOOKUP(Table48[[#This Row],[Date]],'DB LEI'!$A:$I,8)=0,"",VLOOKUP(Table48[[#This Row],[Date]],'DB LEI'!$A:$I,8))</f>
        <v/>
      </c>
    </row>
    <row r="282">
      <c r="A282" s="23" t="n">
        <v>36861</v>
      </c>
      <c r="B282" s="18">
        <f>VLOOKUP(Table48[[#This Row],[Date]],'DB LEI'!$A:$F,5)</f>
        <v/>
      </c>
      <c r="C282" s="24">
        <f>IF(VLOOKUP(Table48[[#This Row],[Date]],'DB LEI'!$A:$I,9)=0,"",VLOOKUP(Table48[[#This Row],[Date]],'DB LEI'!$A:$I,9))</f>
        <v/>
      </c>
      <c r="D282" s="24">
        <f>IF(VLOOKUP(Table48[[#This Row],[Date]],'DB LEI'!$A:$I,8)=0,"",VLOOKUP(Table48[[#This Row],[Date]],'DB LEI'!$A:$I,8))</f>
        <v/>
      </c>
    </row>
    <row r="283">
      <c r="A283" s="23" t="n">
        <v>36892</v>
      </c>
      <c r="B283" s="18">
        <f>VLOOKUP(Table48[[#This Row],[Date]],'DB LEI'!$A:$F,5)</f>
        <v/>
      </c>
      <c r="C283" s="24">
        <f>IF(VLOOKUP(Table48[[#This Row],[Date]],'DB LEI'!$A:$I,9)=0,"",VLOOKUP(Table48[[#This Row],[Date]],'DB LEI'!$A:$I,9))</f>
        <v/>
      </c>
      <c r="D283" s="24">
        <f>IF(VLOOKUP(Table48[[#This Row],[Date]],'DB LEI'!$A:$I,8)=0,"",VLOOKUP(Table48[[#This Row],[Date]],'DB LEI'!$A:$I,8))</f>
        <v/>
      </c>
    </row>
    <row r="284">
      <c r="A284" s="23" t="n">
        <v>36923</v>
      </c>
      <c r="B284" s="18">
        <f>VLOOKUP(Table48[[#This Row],[Date]],'DB LEI'!$A:$F,5)</f>
        <v/>
      </c>
      <c r="C284" s="24">
        <f>IF(VLOOKUP(Table48[[#This Row],[Date]],'DB LEI'!$A:$I,9)=0,"",VLOOKUP(Table48[[#This Row],[Date]],'DB LEI'!$A:$I,9))</f>
        <v/>
      </c>
      <c r="D284" s="24">
        <f>IF(VLOOKUP(Table48[[#This Row],[Date]],'DB LEI'!$A:$I,8)=0,"",VLOOKUP(Table48[[#This Row],[Date]],'DB LEI'!$A:$I,8))</f>
        <v/>
      </c>
    </row>
    <row r="285">
      <c r="A285" s="23" t="n">
        <v>36951</v>
      </c>
      <c r="B285" s="18">
        <f>VLOOKUP(Table48[[#This Row],[Date]],'DB LEI'!$A:$F,5)</f>
        <v/>
      </c>
      <c r="C285" s="24">
        <f>IF(VLOOKUP(Table48[[#This Row],[Date]],'DB LEI'!$A:$I,9)=0,"",VLOOKUP(Table48[[#This Row],[Date]],'DB LEI'!$A:$I,9))</f>
        <v/>
      </c>
      <c r="D285" s="24">
        <f>IF(VLOOKUP(Table48[[#This Row],[Date]],'DB LEI'!$A:$I,8)=0,"",VLOOKUP(Table48[[#This Row],[Date]],'DB LEI'!$A:$I,8))</f>
        <v/>
      </c>
    </row>
    <row r="286">
      <c r="A286" s="23" t="n">
        <v>36982</v>
      </c>
      <c r="B286" s="18">
        <f>VLOOKUP(Table48[[#This Row],[Date]],'DB LEI'!$A:$F,5)</f>
        <v/>
      </c>
      <c r="C286" s="24">
        <f>IF(VLOOKUP(Table48[[#This Row],[Date]],'DB LEI'!$A:$I,9)=0,"",VLOOKUP(Table48[[#This Row],[Date]],'DB LEI'!$A:$I,9))</f>
        <v/>
      </c>
      <c r="D286" s="24">
        <f>IF(VLOOKUP(Table48[[#This Row],[Date]],'DB LEI'!$A:$I,8)=0,"",VLOOKUP(Table48[[#This Row],[Date]],'DB LEI'!$A:$I,8))</f>
        <v/>
      </c>
    </row>
    <row r="287">
      <c r="A287" s="23" t="n">
        <v>37012</v>
      </c>
      <c r="B287" s="18">
        <f>VLOOKUP(Table48[[#This Row],[Date]],'DB LEI'!$A:$F,5)</f>
        <v/>
      </c>
      <c r="C287" s="24">
        <f>IF(VLOOKUP(Table48[[#This Row],[Date]],'DB LEI'!$A:$I,9)=0,"",VLOOKUP(Table48[[#This Row],[Date]],'DB LEI'!$A:$I,9))</f>
        <v/>
      </c>
      <c r="D287" s="24">
        <f>IF(VLOOKUP(Table48[[#This Row],[Date]],'DB LEI'!$A:$I,8)=0,"",VLOOKUP(Table48[[#This Row],[Date]],'DB LEI'!$A:$I,8))</f>
        <v/>
      </c>
    </row>
    <row r="288">
      <c r="A288" s="23" t="n">
        <v>37043</v>
      </c>
      <c r="B288" s="18">
        <f>VLOOKUP(Table48[[#This Row],[Date]],'DB LEI'!$A:$F,5)</f>
        <v/>
      </c>
      <c r="C288" s="24">
        <f>IF(VLOOKUP(Table48[[#This Row],[Date]],'DB LEI'!$A:$I,9)=0,"",VLOOKUP(Table48[[#This Row],[Date]],'DB LEI'!$A:$I,9))</f>
        <v/>
      </c>
      <c r="D288" s="24">
        <f>IF(VLOOKUP(Table48[[#This Row],[Date]],'DB LEI'!$A:$I,8)=0,"",VLOOKUP(Table48[[#This Row],[Date]],'DB LEI'!$A:$I,8))</f>
        <v/>
      </c>
    </row>
    <row r="289">
      <c r="A289" s="23" t="n">
        <v>37073</v>
      </c>
      <c r="B289" s="18">
        <f>VLOOKUP(Table48[[#This Row],[Date]],'DB LEI'!$A:$F,5)</f>
        <v/>
      </c>
      <c r="C289" s="24">
        <f>IF(VLOOKUP(Table48[[#This Row],[Date]],'DB LEI'!$A:$I,9)=0,"",VLOOKUP(Table48[[#This Row],[Date]],'DB LEI'!$A:$I,9))</f>
        <v/>
      </c>
      <c r="D289" s="24">
        <f>IF(VLOOKUP(Table48[[#This Row],[Date]],'DB LEI'!$A:$I,8)=0,"",VLOOKUP(Table48[[#This Row],[Date]],'DB LEI'!$A:$I,8))</f>
        <v/>
      </c>
    </row>
    <row r="290">
      <c r="A290" s="23" t="n">
        <v>37104</v>
      </c>
      <c r="B290" s="18">
        <f>VLOOKUP(Table48[[#This Row],[Date]],'DB LEI'!$A:$F,5)</f>
        <v/>
      </c>
      <c r="C290" s="24">
        <f>IF(VLOOKUP(Table48[[#This Row],[Date]],'DB LEI'!$A:$I,9)=0,"",VLOOKUP(Table48[[#This Row],[Date]],'DB LEI'!$A:$I,9))</f>
        <v/>
      </c>
      <c r="D290" s="24">
        <f>IF(VLOOKUP(Table48[[#This Row],[Date]],'DB LEI'!$A:$I,8)=0,"",VLOOKUP(Table48[[#This Row],[Date]],'DB LEI'!$A:$I,8))</f>
        <v/>
      </c>
    </row>
    <row r="291">
      <c r="A291" s="23" t="n">
        <v>37135</v>
      </c>
      <c r="B291" s="18">
        <f>VLOOKUP(Table48[[#This Row],[Date]],'DB LEI'!$A:$F,5)</f>
        <v/>
      </c>
      <c r="C291" s="24">
        <f>IF(VLOOKUP(Table48[[#This Row],[Date]],'DB LEI'!$A:$I,9)=0,"",VLOOKUP(Table48[[#This Row],[Date]],'DB LEI'!$A:$I,9))</f>
        <v/>
      </c>
      <c r="D291" s="24">
        <f>IF(VLOOKUP(Table48[[#This Row],[Date]],'DB LEI'!$A:$I,8)=0,"",VLOOKUP(Table48[[#This Row],[Date]],'DB LEI'!$A:$I,8))</f>
        <v/>
      </c>
    </row>
    <row r="292">
      <c r="A292" s="23" t="n">
        <v>37165</v>
      </c>
      <c r="B292" s="18">
        <f>VLOOKUP(Table48[[#This Row],[Date]],'DB LEI'!$A:$F,5)</f>
        <v/>
      </c>
      <c r="C292" s="24">
        <f>IF(VLOOKUP(Table48[[#This Row],[Date]],'DB LEI'!$A:$I,9)=0,"",VLOOKUP(Table48[[#This Row],[Date]],'DB LEI'!$A:$I,9))</f>
        <v/>
      </c>
      <c r="D292" s="24">
        <f>IF(VLOOKUP(Table48[[#This Row],[Date]],'DB LEI'!$A:$I,8)=0,"",VLOOKUP(Table48[[#This Row],[Date]],'DB LEI'!$A:$I,8))</f>
        <v/>
      </c>
    </row>
    <row r="293">
      <c r="A293" s="23" t="n">
        <v>37196</v>
      </c>
      <c r="B293" s="18">
        <f>VLOOKUP(Table48[[#This Row],[Date]],'DB LEI'!$A:$F,5)</f>
        <v/>
      </c>
      <c r="C293" s="24">
        <f>IF(VLOOKUP(Table48[[#This Row],[Date]],'DB LEI'!$A:$I,9)=0,"",VLOOKUP(Table48[[#This Row],[Date]],'DB LEI'!$A:$I,9))</f>
        <v/>
      </c>
      <c r="D293" s="24">
        <f>IF(VLOOKUP(Table48[[#This Row],[Date]],'DB LEI'!$A:$I,8)=0,"",VLOOKUP(Table48[[#This Row],[Date]],'DB LEI'!$A:$I,8))</f>
        <v/>
      </c>
    </row>
    <row r="294">
      <c r="A294" s="23" t="n">
        <v>37226</v>
      </c>
      <c r="B294" s="18">
        <f>VLOOKUP(Table48[[#This Row],[Date]],'DB LEI'!$A:$F,5)</f>
        <v/>
      </c>
      <c r="C294" s="24">
        <f>IF(VLOOKUP(Table48[[#This Row],[Date]],'DB LEI'!$A:$I,9)=0,"",VLOOKUP(Table48[[#This Row],[Date]],'DB LEI'!$A:$I,9))</f>
        <v/>
      </c>
      <c r="D294" s="24">
        <f>IF(VLOOKUP(Table48[[#This Row],[Date]],'DB LEI'!$A:$I,8)=0,"",VLOOKUP(Table48[[#This Row],[Date]],'DB LEI'!$A:$I,8))</f>
        <v/>
      </c>
    </row>
    <row r="295">
      <c r="A295" s="23" t="n">
        <v>37257</v>
      </c>
      <c r="B295" s="18">
        <f>VLOOKUP(Table48[[#This Row],[Date]],'DB LEI'!$A:$F,5)</f>
        <v/>
      </c>
      <c r="C295" s="24">
        <f>IF(VLOOKUP(Table48[[#This Row],[Date]],'DB LEI'!$A:$I,9)=0,"",VLOOKUP(Table48[[#This Row],[Date]],'DB LEI'!$A:$I,9))</f>
        <v/>
      </c>
      <c r="D295" s="24">
        <f>IF(VLOOKUP(Table48[[#This Row],[Date]],'DB LEI'!$A:$I,8)=0,"",VLOOKUP(Table48[[#This Row],[Date]],'DB LEI'!$A:$I,8))</f>
        <v/>
      </c>
    </row>
    <row r="296">
      <c r="A296" s="23" t="n">
        <v>37288</v>
      </c>
      <c r="B296" s="18">
        <f>VLOOKUP(Table48[[#This Row],[Date]],'DB LEI'!$A:$F,5)</f>
        <v/>
      </c>
      <c r="C296" s="24">
        <f>IF(VLOOKUP(Table48[[#This Row],[Date]],'DB LEI'!$A:$I,9)=0,"",VLOOKUP(Table48[[#This Row],[Date]],'DB LEI'!$A:$I,9))</f>
        <v/>
      </c>
      <c r="D296" s="24">
        <f>IF(VLOOKUP(Table48[[#This Row],[Date]],'DB LEI'!$A:$I,8)=0,"",VLOOKUP(Table48[[#This Row],[Date]],'DB LEI'!$A:$I,8))</f>
        <v/>
      </c>
    </row>
    <row r="297">
      <c r="A297" s="23" t="n">
        <v>37316</v>
      </c>
      <c r="B297" s="18">
        <f>VLOOKUP(Table48[[#This Row],[Date]],'DB LEI'!$A:$F,5)</f>
        <v/>
      </c>
      <c r="C297" s="24">
        <f>IF(VLOOKUP(Table48[[#This Row],[Date]],'DB LEI'!$A:$I,9)=0,"",VLOOKUP(Table48[[#This Row],[Date]],'DB LEI'!$A:$I,9))</f>
        <v/>
      </c>
      <c r="D297" s="24">
        <f>IF(VLOOKUP(Table48[[#This Row],[Date]],'DB LEI'!$A:$I,8)=0,"",VLOOKUP(Table48[[#This Row],[Date]],'DB LEI'!$A:$I,8))</f>
        <v/>
      </c>
    </row>
    <row r="298">
      <c r="A298" s="23" t="n">
        <v>37347</v>
      </c>
      <c r="B298" s="18">
        <f>VLOOKUP(Table48[[#This Row],[Date]],'DB LEI'!$A:$F,5)</f>
        <v/>
      </c>
      <c r="C298" s="24">
        <f>IF(VLOOKUP(Table48[[#This Row],[Date]],'DB LEI'!$A:$I,9)=0,"",VLOOKUP(Table48[[#This Row],[Date]],'DB LEI'!$A:$I,9))</f>
        <v/>
      </c>
      <c r="D298" s="24">
        <f>IF(VLOOKUP(Table48[[#This Row],[Date]],'DB LEI'!$A:$I,8)=0,"",VLOOKUP(Table48[[#This Row],[Date]],'DB LEI'!$A:$I,8))</f>
        <v/>
      </c>
    </row>
    <row r="299">
      <c r="A299" s="23" t="n">
        <v>37377</v>
      </c>
      <c r="B299" s="18">
        <f>VLOOKUP(Table48[[#This Row],[Date]],'DB LEI'!$A:$F,5)</f>
        <v/>
      </c>
      <c r="C299" s="24">
        <f>IF(VLOOKUP(Table48[[#This Row],[Date]],'DB LEI'!$A:$I,9)=0,"",VLOOKUP(Table48[[#This Row],[Date]],'DB LEI'!$A:$I,9))</f>
        <v/>
      </c>
      <c r="D299" s="24">
        <f>IF(VLOOKUP(Table48[[#This Row],[Date]],'DB LEI'!$A:$I,8)=0,"",VLOOKUP(Table48[[#This Row],[Date]],'DB LEI'!$A:$I,8))</f>
        <v/>
      </c>
    </row>
    <row r="300">
      <c r="A300" s="23" t="n">
        <v>37408</v>
      </c>
      <c r="B300" s="18">
        <f>VLOOKUP(Table48[[#This Row],[Date]],'DB LEI'!$A:$F,5)</f>
        <v/>
      </c>
      <c r="C300" s="24">
        <f>IF(VLOOKUP(Table48[[#This Row],[Date]],'DB LEI'!$A:$I,9)=0,"",VLOOKUP(Table48[[#This Row],[Date]],'DB LEI'!$A:$I,9))</f>
        <v/>
      </c>
      <c r="D300" s="24">
        <f>IF(VLOOKUP(Table48[[#This Row],[Date]],'DB LEI'!$A:$I,8)=0,"",VLOOKUP(Table48[[#This Row],[Date]],'DB LEI'!$A:$I,8))</f>
        <v/>
      </c>
    </row>
    <row r="301">
      <c r="A301" s="23" t="n">
        <v>37438</v>
      </c>
      <c r="B301" s="18">
        <f>VLOOKUP(Table48[[#This Row],[Date]],'DB LEI'!$A:$F,5)</f>
        <v/>
      </c>
      <c r="C301" s="24">
        <f>IF(VLOOKUP(Table48[[#This Row],[Date]],'DB LEI'!$A:$I,9)=0,"",VLOOKUP(Table48[[#This Row],[Date]],'DB LEI'!$A:$I,9))</f>
        <v/>
      </c>
      <c r="D301" s="24">
        <f>IF(VLOOKUP(Table48[[#This Row],[Date]],'DB LEI'!$A:$I,8)=0,"",VLOOKUP(Table48[[#This Row],[Date]],'DB LEI'!$A:$I,8))</f>
        <v/>
      </c>
    </row>
    <row r="302">
      <c r="A302" s="23" t="n">
        <v>37469</v>
      </c>
      <c r="B302" s="18">
        <f>VLOOKUP(Table48[[#This Row],[Date]],'DB LEI'!$A:$F,5)</f>
        <v/>
      </c>
      <c r="C302" s="24">
        <f>IF(VLOOKUP(Table48[[#This Row],[Date]],'DB LEI'!$A:$I,9)=0,"",VLOOKUP(Table48[[#This Row],[Date]],'DB LEI'!$A:$I,9))</f>
        <v/>
      </c>
      <c r="D302" s="24">
        <f>IF(VLOOKUP(Table48[[#This Row],[Date]],'DB LEI'!$A:$I,8)=0,"",VLOOKUP(Table48[[#This Row],[Date]],'DB LEI'!$A:$I,8))</f>
        <v/>
      </c>
    </row>
    <row r="303">
      <c r="A303" s="23" t="n">
        <v>37500</v>
      </c>
      <c r="B303" s="18">
        <f>VLOOKUP(Table48[[#This Row],[Date]],'DB LEI'!$A:$F,5)</f>
        <v/>
      </c>
      <c r="C303" s="24">
        <f>IF(VLOOKUP(Table48[[#This Row],[Date]],'DB LEI'!$A:$I,9)=0,"",VLOOKUP(Table48[[#This Row],[Date]],'DB LEI'!$A:$I,9))</f>
        <v/>
      </c>
      <c r="D303" s="24">
        <f>IF(VLOOKUP(Table48[[#This Row],[Date]],'DB LEI'!$A:$I,8)=0,"",VLOOKUP(Table48[[#This Row],[Date]],'DB LEI'!$A:$I,8))</f>
        <v/>
      </c>
    </row>
    <row r="304">
      <c r="A304" s="23" t="n">
        <v>37530</v>
      </c>
      <c r="B304" s="18">
        <f>VLOOKUP(Table48[[#This Row],[Date]],'DB LEI'!$A:$F,5)</f>
        <v/>
      </c>
      <c r="C304" s="24">
        <f>IF(VLOOKUP(Table48[[#This Row],[Date]],'DB LEI'!$A:$I,9)=0,"",VLOOKUP(Table48[[#This Row],[Date]],'DB LEI'!$A:$I,9))</f>
        <v/>
      </c>
      <c r="D304" s="24">
        <f>IF(VLOOKUP(Table48[[#This Row],[Date]],'DB LEI'!$A:$I,8)=0,"",VLOOKUP(Table48[[#This Row],[Date]],'DB LEI'!$A:$I,8))</f>
        <v/>
      </c>
    </row>
    <row r="305">
      <c r="A305" s="23" t="n">
        <v>37561</v>
      </c>
      <c r="B305" s="18">
        <f>VLOOKUP(Table48[[#This Row],[Date]],'DB LEI'!$A:$F,5)</f>
        <v/>
      </c>
      <c r="C305" s="24">
        <f>IF(VLOOKUP(Table48[[#This Row],[Date]],'DB LEI'!$A:$I,9)=0,"",VLOOKUP(Table48[[#This Row],[Date]],'DB LEI'!$A:$I,9))</f>
        <v/>
      </c>
      <c r="D305" s="24">
        <f>IF(VLOOKUP(Table48[[#This Row],[Date]],'DB LEI'!$A:$I,8)=0,"",VLOOKUP(Table48[[#This Row],[Date]],'DB LEI'!$A:$I,8))</f>
        <v/>
      </c>
    </row>
    <row r="306">
      <c r="A306" s="23" t="n">
        <v>37591</v>
      </c>
      <c r="B306" s="18">
        <f>VLOOKUP(Table48[[#This Row],[Date]],'DB LEI'!$A:$F,5)</f>
        <v/>
      </c>
      <c r="C306" s="24">
        <f>IF(VLOOKUP(Table48[[#This Row],[Date]],'DB LEI'!$A:$I,9)=0,"",VLOOKUP(Table48[[#This Row],[Date]],'DB LEI'!$A:$I,9))</f>
        <v/>
      </c>
      <c r="D306" s="24">
        <f>IF(VLOOKUP(Table48[[#This Row],[Date]],'DB LEI'!$A:$I,8)=0,"",VLOOKUP(Table48[[#This Row],[Date]],'DB LEI'!$A:$I,8))</f>
        <v/>
      </c>
    </row>
    <row r="307">
      <c r="A307" s="23" t="n">
        <v>37622</v>
      </c>
      <c r="B307" s="18">
        <f>VLOOKUP(Table48[[#This Row],[Date]],'DB LEI'!$A:$F,5)</f>
        <v/>
      </c>
      <c r="C307" s="24">
        <f>IF(VLOOKUP(Table48[[#This Row],[Date]],'DB LEI'!$A:$I,9)=0,"",VLOOKUP(Table48[[#This Row],[Date]],'DB LEI'!$A:$I,9))</f>
        <v/>
      </c>
      <c r="D307" s="24">
        <f>IF(VLOOKUP(Table48[[#This Row],[Date]],'DB LEI'!$A:$I,8)=0,"",VLOOKUP(Table48[[#This Row],[Date]],'DB LEI'!$A:$I,8))</f>
        <v/>
      </c>
    </row>
    <row r="308">
      <c r="A308" s="23" t="n">
        <v>37653</v>
      </c>
      <c r="B308" s="18">
        <f>VLOOKUP(Table48[[#This Row],[Date]],'DB LEI'!$A:$F,5)</f>
        <v/>
      </c>
      <c r="C308" s="24">
        <f>IF(VLOOKUP(Table48[[#This Row],[Date]],'DB LEI'!$A:$I,9)=0,"",VLOOKUP(Table48[[#This Row],[Date]],'DB LEI'!$A:$I,9))</f>
        <v/>
      </c>
      <c r="D308" s="24">
        <f>IF(VLOOKUP(Table48[[#This Row],[Date]],'DB LEI'!$A:$I,8)=0,"",VLOOKUP(Table48[[#This Row],[Date]],'DB LEI'!$A:$I,8))</f>
        <v/>
      </c>
    </row>
    <row r="309">
      <c r="A309" s="23" t="n">
        <v>37681</v>
      </c>
      <c r="B309" s="18">
        <f>VLOOKUP(Table48[[#This Row],[Date]],'DB LEI'!$A:$F,5)</f>
        <v/>
      </c>
      <c r="C309" s="24">
        <f>IF(VLOOKUP(Table48[[#This Row],[Date]],'DB LEI'!$A:$I,9)=0,"",VLOOKUP(Table48[[#This Row],[Date]],'DB LEI'!$A:$I,9))</f>
        <v/>
      </c>
      <c r="D309" s="24">
        <f>IF(VLOOKUP(Table48[[#This Row],[Date]],'DB LEI'!$A:$I,8)=0,"",VLOOKUP(Table48[[#This Row],[Date]],'DB LEI'!$A:$I,8))</f>
        <v/>
      </c>
    </row>
    <row r="310">
      <c r="A310" s="23" t="n">
        <v>37712</v>
      </c>
      <c r="B310" s="18">
        <f>VLOOKUP(Table48[[#This Row],[Date]],'DB LEI'!$A:$F,5)</f>
        <v/>
      </c>
      <c r="C310" s="24">
        <f>IF(VLOOKUP(Table48[[#This Row],[Date]],'DB LEI'!$A:$I,9)=0,"",VLOOKUP(Table48[[#This Row],[Date]],'DB LEI'!$A:$I,9))</f>
        <v/>
      </c>
      <c r="D310" s="24">
        <f>IF(VLOOKUP(Table48[[#This Row],[Date]],'DB LEI'!$A:$I,8)=0,"",VLOOKUP(Table48[[#This Row],[Date]],'DB LEI'!$A:$I,8))</f>
        <v/>
      </c>
    </row>
    <row r="311">
      <c r="A311" s="23" t="n">
        <v>37742</v>
      </c>
      <c r="B311" s="18">
        <f>VLOOKUP(Table48[[#This Row],[Date]],'DB LEI'!$A:$F,5)</f>
        <v/>
      </c>
      <c r="C311" s="24">
        <f>IF(VLOOKUP(Table48[[#This Row],[Date]],'DB LEI'!$A:$I,9)=0,"",VLOOKUP(Table48[[#This Row],[Date]],'DB LEI'!$A:$I,9))</f>
        <v/>
      </c>
      <c r="D311" s="24">
        <f>IF(VLOOKUP(Table48[[#This Row],[Date]],'DB LEI'!$A:$I,8)=0,"",VLOOKUP(Table48[[#This Row],[Date]],'DB LEI'!$A:$I,8))</f>
        <v/>
      </c>
    </row>
    <row r="312">
      <c r="A312" s="23" t="n">
        <v>37773</v>
      </c>
      <c r="B312" s="18">
        <f>VLOOKUP(Table48[[#This Row],[Date]],'DB LEI'!$A:$F,5)</f>
        <v/>
      </c>
      <c r="C312" s="24">
        <f>IF(VLOOKUP(Table48[[#This Row],[Date]],'DB LEI'!$A:$I,9)=0,"",VLOOKUP(Table48[[#This Row],[Date]],'DB LEI'!$A:$I,9))</f>
        <v/>
      </c>
      <c r="D312" s="24">
        <f>IF(VLOOKUP(Table48[[#This Row],[Date]],'DB LEI'!$A:$I,8)=0,"",VLOOKUP(Table48[[#This Row],[Date]],'DB LEI'!$A:$I,8))</f>
        <v/>
      </c>
    </row>
    <row r="313">
      <c r="A313" s="23" t="n">
        <v>37803</v>
      </c>
      <c r="B313" s="18">
        <f>VLOOKUP(Table48[[#This Row],[Date]],'DB LEI'!$A:$F,5)</f>
        <v/>
      </c>
      <c r="C313" s="24">
        <f>IF(VLOOKUP(Table48[[#This Row],[Date]],'DB LEI'!$A:$I,9)=0,"",VLOOKUP(Table48[[#This Row],[Date]],'DB LEI'!$A:$I,9))</f>
        <v/>
      </c>
      <c r="D313" s="24">
        <f>IF(VLOOKUP(Table48[[#This Row],[Date]],'DB LEI'!$A:$I,8)=0,"",VLOOKUP(Table48[[#This Row],[Date]],'DB LEI'!$A:$I,8))</f>
        <v/>
      </c>
    </row>
    <row r="314">
      <c r="A314" s="23" t="n">
        <v>37834</v>
      </c>
      <c r="B314" s="18">
        <f>VLOOKUP(Table48[[#This Row],[Date]],'DB LEI'!$A:$F,5)</f>
        <v/>
      </c>
      <c r="C314" s="24">
        <f>IF(VLOOKUP(Table48[[#This Row],[Date]],'DB LEI'!$A:$I,9)=0,"",VLOOKUP(Table48[[#This Row],[Date]],'DB LEI'!$A:$I,9))</f>
        <v/>
      </c>
      <c r="D314" s="24">
        <f>IF(VLOOKUP(Table48[[#This Row],[Date]],'DB LEI'!$A:$I,8)=0,"",VLOOKUP(Table48[[#This Row],[Date]],'DB LEI'!$A:$I,8))</f>
        <v/>
      </c>
    </row>
    <row r="315">
      <c r="A315" s="23" t="n">
        <v>37865</v>
      </c>
      <c r="B315" s="18">
        <f>VLOOKUP(Table48[[#This Row],[Date]],'DB LEI'!$A:$F,5)</f>
        <v/>
      </c>
      <c r="C315" s="24">
        <f>IF(VLOOKUP(Table48[[#This Row],[Date]],'DB LEI'!$A:$I,9)=0,"",VLOOKUP(Table48[[#This Row],[Date]],'DB LEI'!$A:$I,9))</f>
        <v/>
      </c>
      <c r="D315" s="24">
        <f>IF(VLOOKUP(Table48[[#This Row],[Date]],'DB LEI'!$A:$I,8)=0,"",VLOOKUP(Table48[[#This Row],[Date]],'DB LEI'!$A:$I,8))</f>
        <v/>
      </c>
    </row>
    <row r="316">
      <c r="A316" s="23" t="n">
        <v>37895</v>
      </c>
      <c r="B316" s="18">
        <f>VLOOKUP(Table48[[#This Row],[Date]],'DB LEI'!$A:$F,5)</f>
        <v/>
      </c>
      <c r="C316" s="24">
        <f>IF(VLOOKUP(Table48[[#This Row],[Date]],'DB LEI'!$A:$I,9)=0,"",VLOOKUP(Table48[[#This Row],[Date]],'DB LEI'!$A:$I,9))</f>
        <v/>
      </c>
      <c r="D316" s="24">
        <f>IF(VLOOKUP(Table48[[#This Row],[Date]],'DB LEI'!$A:$I,8)=0,"",VLOOKUP(Table48[[#This Row],[Date]],'DB LEI'!$A:$I,8))</f>
        <v/>
      </c>
    </row>
    <row r="317">
      <c r="A317" s="23" t="n">
        <v>37926</v>
      </c>
      <c r="B317" s="18">
        <f>VLOOKUP(Table48[[#This Row],[Date]],'DB LEI'!$A:$F,5)</f>
        <v/>
      </c>
      <c r="C317" s="24">
        <f>IF(VLOOKUP(Table48[[#This Row],[Date]],'DB LEI'!$A:$I,9)=0,"",VLOOKUP(Table48[[#This Row],[Date]],'DB LEI'!$A:$I,9))</f>
        <v/>
      </c>
      <c r="D317" s="24">
        <f>IF(VLOOKUP(Table48[[#This Row],[Date]],'DB LEI'!$A:$I,8)=0,"",VLOOKUP(Table48[[#This Row],[Date]],'DB LEI'!$A:$I,8))</f>
        <v/>
      </c>
    </row>
    <row r="318">
      <c r="A318" s="23" t="n">
        <v>37956</v>
      </c>
      <c r="B318" s="18">
        <f>VLOOKUP(Table48[[#This Row],[Date]],'DB LEI'!$A:$F,5)</f>
        <v/>
      </c>
      <c r="C318" s="24">
        <f>IF(VLOOKUP(Table48[[#This Row],[Date]],'DB LEI'!$A:$I,9)=0,"",VLOOKUP(Table48[[#This Row],[Date]],'DB LEI'!$A:$I,9))</f>
        <v/>
      </c>
      <c r="D318" s="24">
        <f>IF(VLOOKUP(Table48[[#This Row],[Date]],'DB LEI'!$A:$I,8)=0,"",VLOOKUP(Table48[[#This Row],[Date]],'DB LEI'!$A:$I,8))</f>
        <v/>
      </c>
    </row>
    <row r="319">
      <c r="A319" s="23" t="n">
        <v>37987</v>
      </c>
      <c r="B319" s="18">
        <f>VLOOKUP(Table48[[#This Row],[Date]],'DB LEI'!$A:$F,5)</f>
        <v/>
      </c>
      <c r="C319" s="24">
        <f>IF(VLOOKUP(Table48[[#This Row],[Date]],'DB LEI'!$A:$I,9)=0,"",VLOOKUP(Table48[[#This Row],[Date]],'DB LEI'!$A:$I,9))</f>
        <v/>
      </c>
      <c r="D319" s="24">
        <f>IF(VLOOKUP(Table48[[#This Row],[Date]],'DB LEI'!$A:$I,8)=0,"",VLOOKUP(Table48[[#This Row],[Date]],'DB LEI'!$A:$I,8))</f>
        <v/>
      </c>
    </row>
    <row r="320">
      <c r="A320" s="23" t="n">
        <v>38018</v>
      </c>
      <c r="B320" s="18">
        <f>VLOOKUP(Table48[[#This Row],[Date]],'DB LEI'!$A:$F,5)</f>
        <v/>
      </c>
      <c r="C320" s="24">
        <f>IF(VLOOKUP(Table48[[#This Row],[Date]],'DB LEI'!$A:$I,9)=0,"",VLOOKUP(Table48[[#This Row],[Date]],'DB LEI'!$A:$I,9))</f>
        <v/>
      </c>
      <c r="D320" s="24">
        <f>IF(VLOOKUP(Table48[[#This Row],[Date]],'DB LEI'!$A:$I,8)=0,"",VLOOKUP(Table48[[#This Row],[Date]],'DB LEI'!$A:$I,8))</f>
        <v/>
      </c>
    </row>
    <row r="321">
      <c r="A321" s="23" t="n">
        <v>38047</v>
      </c>
      <c r="B321" s="18">
        <f>VLOOKUP(Table48[[#This Row],[Date]],'DB LEI'!$A:$F,5)</f>
        <v/>
      </c>
      <c r="C321" s="24">
        <f>IF(VLOOKUP(Table48[[#This Row],[Date]],'DB LEI'!$A:$I,9)=0,"",VLOOKUP(Table48[[#This Row],[Date]],'DB LEI'!$A:$I,9))</f>
        <v/>
      </c>
      <c r="D321" s="24">
        <f>IF(VLOOKUP(Table48[[#This Row],[Date]],'DB LEI'!$A:$I,8)=0,"",VLOOKUP(Table48[[#This Row],[Date]],'DB LEI'!$A:$I,8))</f>
        <v/>
      </c>
    </row>
    <row r="322">
      <c r="A322" s="23" t="n">
        <v>38078</v>
      </c>
      <c r="B322" s="18">
        <f>VLOOKUP(Table48[[#This Row],[Date]],'DB LEI'!$A:$F,5)</f>
        <v/>
      </c>
      <c r="C322" s="24">
        <f>IF(VLOOKUP(Table48[[#This Row],[Date]],'DB LEI'!$A:$I,9)=0,"",VLOOKUP(Table48[[#This Row],[Date]],'DB LEI'!$A:$I,9))</f>
        <v/>
      </c>
      <c r="D322" s="24">
        <f>IF(VLOOKUP(Table48[[#This Row],[Date]],'DB LEI'!$A:$I,8)=0,"",VLOOKUP(Table48[[#This Row],[Date]],'DB LEI'!$A:$I,8))</f>
        <v/>
      </c>
    </row>
    <row r="323">
      <c r="A323" s="23" t="n">
        <v>38108</v>
      </c>
      <c r="B323" s="18">
        <f>VLOOKUP(Table48[[#This Row],[Date]],'DB LEI'!$A:$F,5)</f>
        <v/>
      </c>
      <c r="C323" s="24">
        <f>IF(VLOOKUP(Table48[[#This Row],[Date]],'DB LEI'!$A:$I,9)=0,"",VLOOKUP(Table48[[#This Row],[Date]],'DB LEI'!$A:$I,9))</f>
        <v/>
      </c>
      <c r="D323" s="24">
        <f>IF(VLOOKUP(Table48[[#This Row],[Date]],'DB LEI'!$A:$I,8)=0,"",VLOOKUP(Table48[[#This Row],[Date]],'DB LEI'!$A:$I,8))</f>
        <v/>
      </c>
    </row>
    <row r="324">
      <c r="A324" s="23" t="n">
        <v>38139</v>
      </c>
      <c r="B324" s="18">
        <f>VLOOKUP(Table48[[#This Row],[Date]],'DB LEI'!$A:$F,5)</f>
        <v/>
      </c>
      <c r="C324" s="24">
        <f>IF(VLOOKUP(Table48[[#This Row],[Date]],'DB LEI'!$A:$I,9)=0,"",VLOOKUP(Table48[[#This Row],[Date]],'DB LEI'!$A:$I,9))</f>
        <v/>
      </c>
      <c r="D324" s="24">
        <f>IF(VLOOKUP(Table48[[#This Row],[Date]],'DB LEI'!$A:$I,8)=0,"",VLOOKUP(Table48[[#This Row],[Date]],'DB LEI'!$A:$I,8))</f>
        <v/>
      </c>
    </row>
    <row r="325">
      <c r="A325" s="23" t="n">
        <v>38169</v>
      </c>
      <c r="B325" s="18">
        <f>VLOOKUP(Table48[[#This Row],[Date]],'DB LEI'!$A:$F,5)</f>
        <v/>
      </c>
      <c r="C325" s="24">
        <f>IF(VLOOKUP(Table48[[#This Row],[Date]],'DB LEI'!$A:$I,9)=0,"",VLOOKUP(Table48[[#This Row],[Date]],'DB LEI'!$A:$I,9))</f>
        <v/>
      </c>
      <c r="D325" s="24">
        <f>IF(VLOOKUP(Table48[[#This Row],[Date]],'DB LEI'!$A:$I,8)=0,"",VLOOKUP(Table48[[#This Row],[Date]],'DB LEI'!$A:$I,8))</f>
        <v/>
      </c>
    </row>
    <row r="326">
      <c r="A326" s="23" t="n">
        <v>38200</v>
      </c>
      <c r="B326" s="18">
        <f>VLOOKUP(Table48[[#This Row],[Date]],'DB LEI'!$A:$F,5)</f>
        <v/>
      </c>
      <c r="C326" s="24">
        <f>IF(VLOOKUP(Table48[[#This Row],[Date]],'DB LEI'!$A:$I,9)=0,"",VLOOKUP(Table48[[#This Row],[Date]],'DB LEI'!$A:$I,9))</f>
        <v/>
      </c>
      <c r="D326" s="24">
        <f>IF(VLOOKUP(Table48[[#This Row],[Date]],'DB LEI'!$A:$I,8)=0,"",VLOOKUP(Table48[[#This Row],[Date]],'DB LEI'!$A:$I,8))</f>
        <v/>
      </c>
    </row>
    <row r="327">
      <c r="A327" s="23" t="n">
        <v>38231</v>
      </c>
      <c r="B327" s="18">
        <f>VLOOKUP(Table48[[#This Row],[Date]],'DB LEI'!$A:$F,5)</f>
        <v/>
      </c>
      <c r="C327" s="24">
        <f>IF(VLOOKUP(Table48[[#This Row],[Date]],'DB LEI'!$A:$I,9)=0,"",VLOOKUP(Table48[[#This Row],[Date]],'DB LEI'!$A:$I,9))</f>
        <v/>
      </c>
      <c r="D327" s="24">
        <f>IF(VLOOKUP(Table48[[#This Row],[Date]],'DB LEI'!$A:$I,8)=0,"",VLOOKUP(Table48[[#This Row],[Date]],'DB LEI'!$A:$I,8))</f>
        <v/>
      </c>
    </row>
    <row r="328">
      <c r="A328" s="23" t="n">
        <v>38261</v>
      </c>
      <c r="B328" s="18">
        <f>VLOOKUP(Table48[[#This Row],[Date]],'DB LEI'!$A:$F,5)</f>
        <v/>
      </c>
      <c r="C328" s="24">
        <f>IF(VLOOKUP(Table48[[#This Row],[Date]],'DB LEI'!$A:$I,9)=0,"",VLOOKUP(Table48[[#This Row],[Date]],'DB LEI'!$A:$I,9))</f>
        <v/>
      </c>
      <c r="D328" s="24">
        <f>IF(VLOOKUP(Table48[[#This Row],[Date]],'DB LEI'!$A:$I,8)=0,"",VLOOKUP(Table48[[#This Row],[Date]],'DB LEI'!$A:$I,8))</f>
        <v/>
      </c>
    </row>
    <row r="329">
      <c r="A329" s="23" t="n">
        <v>38292</v>
      </c>
      <c r="B329" s="18">
        <f>VLOOKUP(Table48[[#This Row],[Date]],'DB LEI'!$A:$F,5)</f>
        <v/>
      </c>
      <c r="C329" s="24">
        <f>IF(VLOOKUP(Table48[[#This Row],[Date]],'DB LEI'!$A:$I,9)=0,"",VLOOKUP(Table48[[#This Row],[Date]],'DB LEI'!$A:$I,9))</f>
        <v/>
      </c>
      <c r="D329" s="24">
        <f>IF(VLOOKUP(Table48[[#This Row],[Date]],'DB LEI'!$A:$I,8)=0,"",VLOOKUP(Table48[[#This Row],[Date]],'DB LEI'!$A:$I,8))</f>
        <v/>
      </c>
    </row>
    <row r="330">
      <c r="A330" s="23" t="n">
        <v>38322</v>
      </c>
      <c r="B330" s="18">
        <f>VLOOKUP(Table48[[#This Row],[Date]],'DB LEI'!$A:$F,5)</f>
        <v/>
      </c>
      <c r="C330" s="24">
        <f>IF(VLOOKUP(Table48[[#This Row],[Date]],'DB LEI'!$A:$I,9)=0,"",VLOOKUP(Table48[[#This Row],[Date]],'DB LEI'!$A:$I,9))</f>
        <v/>
      </c>
      <c r="D330" s="24">
        <f>IF(VLOOKUP(Table48[[#This Row],[Date]],'DB LEI'!$A:$I,8)=0,"",VLOOKUP(Table48[[#This Row],[Date]],'DB LEI'!$A:$I,8))</f>
        <v/>
      </c>
    </row>
    <row r="331">
      <c r="A331" s="23" t="n">
        <v>38353</v>
      </c>
      <c r="B331" s="18">
        <f>VLOOKUP(Table48[[#This Row],[Date]],'DB LEI'!$A:$F,5)</f>
        <v/>
      </c>
      <c r="C331" s="24">
        <f>IF(VLOOKUP(Table48[[#This Row],[Date]],'DB LEI'!$A:$I,9)=0,"",VLOOKUP(Table48[[#This Row],[Date]],'DB LEI'!$A:$I,9))</f>
        <v/>
      </c>
      <c r="D331" s="24">
        <f>IF(VLOOKUP(Table48[[#This Row],[Date]],'DB LEI'!$A:$I,8)=0,"",VLOOKUP(Table48[[#This Row],[Date]],'DB LEI'!$A:$I,8))</f>
        <v/>
      </c>
    </row>
    <row r="332">
      <c r="A332" s="23" t="n">
        <v>38384</v>
      </c>
      <c r="B332" s="18">
        <f>VLOOKUP(Table48[[#This Row],[Date]],'DB LEI'!$A:$F,5)</f>
        <v/>
      </c>
      <c r="C332" s="24">
        <f>IF(VLOOKUP(Table48[[#This Row],[Date]],'DB LEI'!$A:$I,9)=0,"",VLOOKUP(Table48[[#This Row],[Date]],'DB LEI'!$A:$I,9))</f>
        <v/>
      </c>
      <c r="D332" s="24">
        <f>IF(VLOOKUP(Table48[[#This Row],[Date]],'DB LEI'!$A:$I,8)=0,"",VLOOKUP(Table48[[#This Row],[Date]],'DB LEI'!$A:$I,8))</f>
        <v/>
      </c>
    </row>
    <row r="333">
      <c r="A333" s="23" t="n">
        <v>38412</v>
      </c>
      <c r="B333" s="18">
        <f>VLOOKUP(Table48[[#This Row],[Date]],'DB LEI'!$A:$F,5)</f>
        <v/>
      </c>
      <c r="C333" s="24">
        <f>IF(VLOOKUP(Table48[[#This Row],[Date]],'DB LEI'!$A:$I,9)=0,"",VLOOKUP(Table48[[#This Row],[Date]],'DB LEI'!$A:$I,9))</f>
        <v/>
      </c>
      <c r="D333" s="24">
        <f>IF(VLOOKUP(Table48[[#This Row],[Date]],'DB LEI'!$A:$I,8)=0,"",VLOOKUP(Table48[[#This Row],[Date]],'DB LEI'!$A:$I,8))</f>
        <v/>
      </c>
    </row>
    <row r="334">
      <c r="A334" s="23" t="n">
        <v>38443</v>
      </c>
      <c r="B334" s="18">
        <f>VLOOKUP(Table48[[#This Row],[Date]],'DB LEI'!$A:$F,5)</f>
        <v/>
      </c>
      <c r="C334" s="24">
        <f>IF(VLOOKUP(Table48[[#This Row],[Date]],'DB LEI'!$A:$I,9)=0,"",VLOOKUP(Table48[[#This Row],[Date]],'DB LEI'!$A:$I,9))</f>
        <v/>
      </c>
      <c r="D334" s="24">
        <f>IF(VLOOKUP(Table48[[#This Row],[Date]],'DB LEI'!$A:$I,8)=0,"",VLOOKUP(Table48[[#This Row],[Date]],'DB LEI'!$A:$I,8))</f>
        <v/>
      </c>
    </row>
    <row r="335">
      <c r="A335" s="23" t="n">
        <v>38473</v>
      </c>
      <c r="B335" s="18">
        <f>VLOOKUP(Table48[[#This Row],[Date]],'DB LEI'!$A:$F,5)</f>
        <v/>
      </c>
      <c r="C335" s="24">
        <f>IF(VLOOKUP(Table48[[#This Row],[Date]],'DB LEI'!$A:$I,9)=0,"",VLOOKUP(Table48[[#This Row],[Date]],'DB LEI'!$A:$I,9))</f>
        <v/>
      </c>
      <c r="D335" s="24">
        <f>IF(VLOOKUP(Table48[[#This Row],[Date]],'DB LEI'!$A:$I,8)=0,"",VLOOKUP(Table48[[#This Row],[Date]],'DB LEI'!$A:$I,8))</f>
        <v/>
      </c>
    </row>
    <row r="336">
      <c r="A336" s="23" t="n">
        <v>38504</v>
      </c>
      <c r="B336" s="18">
        <f>VLOOKUP(Table48[[#This Row],[Date]],'DB LEI'!$A:$F,5)</f>
        <v/>
      </c>
      <c r="C336" s="24">
        <f>IF(VLOOKUP(Table48[[#This Row],[Date]],'DB LEI'!$A:$I,9)=0,"",VLOOKUP(Table48[[#This Row],[Date]],'DB LEI'!$A:$I,9))</f>
        <v/>
      </c>
      <c r="D336" s="24">
        <f>IF(VLOOKUP(Table48[[#This Row],[Date]],'DB LEI'!$A:$I,8)=0,"",VLOOKUP(Table48[[#This Row],[Date]],'DB LEI'!$A:$I,8))</f>
        <v/>
      </c>
    </row>
    <row r="337">
      <c r="A337" s="23" t="n">
        <v>38534</v>
      </c>
      <c r="B337" s="18">
        <f>VLOOKUP(Table48[[#This Row],[Date]],'DB LEI'!$A:$F,5)</f>
        <v/>
      </c>
      <c r="C337" s="24">
        <f>IF(VLOOKUP(Table48[[#This Row],[Date]],'DB LEI'!$A:$I,9)=0,"",VLOOKUP(Table48[[#This Row],[Date]],'DB LEI'!$A:$I,9))</f>
        <v/>
      </c>
      <c r="D337" s="24">
        <f>IF(VLOOKUP(Table48[[#This Row],[Date]],'DB LEI'!$A:$I,8)=0,"",VLOOKUP(Table48[[#This Row],[Date]],'DB LEI'!$A:$I,8))</f>
        <v/>
      </c>
    </row>
    <row r="338">
      <c r="A338" s="23" t="n">
        <v>38565</v>
      </c>
      <c r="B338" s="18">
        <f>VLOOKUP(Table48[[#This Row],[Date]],'DB LEI'!$A:$F,5)</f>
        <v/>
      </c>
      <c r="C338" s="24">
        <f>IF(VLOOKUP(Table48[[#This Row],[Date]],'DB LEI'!$A:$I,9)=0,"",VLOOKUP(Table48[[#This Row],[Date]],'DB LEI'!$A:$I,9))</f>
        <v/>
      </c>
      <c r="D338" s="24">
        <f>IF(VLOOKUP(Table48[[#This Row],[Date]],'DB LEI'!$A:$I,8)=0,"",VLOOKUP(Table48[[#This Row],[Date]],'DB LEI'!$A:$I,8))</f>
        <v/>
      </c>
    </row>
    <row r="339">
      <c r="A339" s="23" t="n">
        <v>38596</v>
      </c>
      <c r="B339" s="18">
        <f>VLOOKUP(Table48[[#This Row],[Date]],'DB LEI'!$A:$F,5)</f>
        <v/>
      </c>
      <c r="C339" s="24">
        <f>IF(VLOOKUP(Table48[[#This Row],[Date]],'DB LEI'!$A:$I,9)=0,"",VLOOKUP(Table48[[#This Row],[Date]],'DB LEI'!$A:$I,9))</f>
        <v/>
      </c>
      <c r="D339" s="24">
        <f>IF(VLOOKUP(Table48[[#This Row],[Date]],'DB LEI'!$A:$I,8)=0,"",VLOOKUP(Table48[[#This Row],[Date]],'DB LEI'!$A:$I,8))</f>
        <v/>
      </c>
    </row>
    <row r="340">
      <c r="A340" s="23" t="n">
        <v>38626</v>
      </c>
      <c r="B340" s="18">
        <f>VLOOKUP(Table48[[#This Row],[Date]],'DB LEI'!$A:$F,5)</f>
        <v/>
      </c>
      <c r="C340" s="24">
        <f>IF(VLOOKUP(Table48[[#This Row],[Date]],'DB LEI'!$A:$I,9)=0,"",VLOOKUP(Table48[[#This Row],[Date]],'DB LEI'!$A:$I,9))</f>
        <v/>
      </c>
      <c r="D340" s="24">
        <f>IF(VLOOKUP(Table48[[#This Row],[Date]],'DB LEI'!$A:$I,8)=0,"",VLOOKUP(Table48[[#This Row],[Date]],'DB LEI'!$A:$I,8))</f>
        <v/>
      </c>
    </row>
    <row r="341">
      <c r="A341" s="23" t="n">
        <v>38657</v>
      </c>
      <c r="B341" s="18">
        <f>VLOOKUP(Table48[[#This Row],[Date]],'DB LEI'!$A:$F,5)</f>
        <v/>
      </c>
      <c r="C341" s="24">
        <f>IF(VLOOKUP(Table48[[#This Row],[Date]],'DB LEI'!$A:$I,9)=0,"",VLOOKUP(Table48[[#This Row],[Date]],'DB LEI'!$A:$I,9))</f>
        <v/>
      </c>
      <c r="D341" s="24">
        <f>IF(VLOOKUP(Table48[[#This Row],[Date]],'DB LEI'!$A:$I,8)=0,"",VLOOKUP(Table48[[#This Row],[Date]],'DB LEI'!$A:$I,8))</f>
        <v/>
      </c>
    </row>
    <row r="342">
      <c r="A342" s="23" t="n">
        <v>38687</v>
      </c>
      <c r="B342" s="18">
        <f>VLOOKUP(Table48[[#This Row],[Date]],'DB LEI'!$A:$F,5)</f>
        <v/>
      </c>
      <c r="C342" s="24">
        <f>IF(VLOOKUP(Table48[[#This Row],[Date]],'DB LEI'!$A:$I,9)=0,"",VLOOKUP(Table48[[#This Row],[Date]],'DB LEI'!$A:$I,9))</f>
        <v/>
      </c>
      <c r="D342" s="24">
        <f>IF(VLOOKUP(Table48[[#This Row],[Date]],'DB LEI'!$A:$I,8)=0,"",VLOOKUP(Table48[[#This Row],[Date]],'DB LEI'!$A:$I,8))</f>
        <v/>
      </c>
    </row>
    <row r="343">
      <c r="A343" s="23" t="n">
        <v>38718</v>
      </c>
      <c r="B343" s="18">
        <f>VLOOKUP(Table48[[#This Row],[Date]],'DB LEI'!$A:$F,5)</f>
        <v/>
      </c>
      <c r="C343" s="24">
        <f>IF(VLOOKUP(Table48[[#This Row],[Date]],'DB LEI'!$A:$I,9)=0,"",VLOOKUP(Table48[[#This Row],[Date]],'DB LEI'!$A:$I,9))</f>
        <v/>
      </c>
      <c r="D343" s="24">
        <f>IF(VLOOKUP(Table48[[#This Row],[Date]],'DB LEI'!$A:$I,8)=0,"",VLOOKUP(Table48[[#This Row],[Date]],'DB LEI'!$A:$I,8))</f>
        <v/>
      </c>
    </row>
    <row r="344">
      <c r="A344" s="23" t="n">
        <v>38749</v>
      </c>
      <c r="B344" s="18">
        <f>VLOOKUP(Table48[[#This Row],[Date]],'DB LEI'!$A:$F,5)</f>
        <v/>
      </c>
      <c r="C344" s="24">
        <f>IF(VLOOKUP(Table48[[#This Row],[Date]],'DB LEI'!$A:$I,9)=0,"",VLOOKUP(Table48[[#This Row],[Date]],'DB LEI'!$A:$I,9))</f>
        <v/>
      </c>
      <c r="D344" s="24">
        <f>IF(VLOOKUP(Table48[[#This Row],[Date]],'DB LEI'!$A:$I,8)=0,"",VLOOKUP(Table48[[#This Row],[Date]],'DB LEI'!$A:$I,8))</f>
        <v/>
      </c>
    </row>
    <row r="345">
      <c r="A345" s="23" t="n">
        <v>38777</v>
      </c>
      <c r="B345" s="18">
        <f>VLOOKUP(Table48[[#This Row],[Date]],'DB LEI'!$A:$F,5)</f>
        <v/>
      </c>
      <c r="C345" s="24">
        <f>IF(VLOOKUP(Table48[[#This Row],[Date]],'DB LEI'!$A:$I,9)=0,"",VLOOKUP(Table48[[#This Row],[Date]],'DB LEI'!$A:$I,9))</f>
        <v/>
      </c>
      <c r="D345" s="24">
        <f>IF(VLOOKUP(Table48[[#This Row],[Date]],'DB LEI'!$A:$I,8)=0,"",VLOOKUP(Table48[[#This Row],[Date]],'DB LEI'!$A:$I,8))</f>
        <v/>
      </c>
    </row>
    <row r="346">
      <c r="A346" s="23" t="n">
        <v>38808</v>
      </c>
      <c r="B346" s="18">
        <f>VLOOKUP(Table48[[#This Row],[Date]],'DB LEI'!$A:$F,5)</f>
        <v/>
      </c>
      <c r="C346" s="24">
        <f>IF(VLOOKUP(Table48[[#This Row],[Date]],'DB LEI'!$A:$I,9)=0,"",VLOOKUP(Table48[[#This Row],[Date]],'DB LEI'!$A:$I,9))</f>
        <v/>
      </c>
      <c r="D346" s="24">
        <f>IF(VLOOKUP(Table48[[#This Row],[Date]],'DB LEI'!$A:$I,8)=0,"",VLOOKUP(Table48[[#This Row],[Date]],'DB LEI'!$A:$I,8))</f>
        <v/>
      </c>
    </row>
    <row r="347">
      <c r="A347" s="23" t="n">
        <v>38838</v>
      </c>
      <c r="B347" s="18">
        <f>VLOOKUP(Table48[[#This Row],[Date]],'DB LEI'!$A:$F,5)</f>
        <v/>
      </c>
      <c r="C347" s="24">
        <f>IF(VLOOKUP(Table48[[#This Row],[Date]],'DB LEI'!$A:$I,9)=0,"",VLOOKUP(Table48[[#This Row],[Date]],'DB LEI'!$A:$I,9))</f>
        <v/>
      </c>
      <c r="D347" s="24">
        <f>IF(VLOOKUP(Table48[[#This Row],[Date]],'DB LEI'!$A:$I,8)=0,"",VLOOKUP(Table48[[#This Row],[Date]],'DB LEI'!$A:$I,8))</f>
        <v/>
      </c>
    </row>
    <row r="348">
      <c r="A348" s="23" t="n">
        <v>38869</v>
      </c>
      <c r="B348" s="18">
        <f>VLOOKUP(Table48[[#This Row],[Date]],'DB LEI'!$A:$F,5)</f>
        <v/>
      </c>
      <c r="C348" s="24">
        <f>IF(VLOOKUP(Table48[[#This Row],[Date]],'DB LEI'!$A:$I,9)=0,"",VLOOKUP(Table48[[#This Row],[Date]],'DB LEI'!$A:$I,9))</f>
        <v/>
      </c>
      <c r="D348" s="24">
        <f>IF(VLOOKUP(Table48[[#This Row],[Date]],'DB LEI'!$A:$I,8)=0,"",VLOOKUP(Table48[[#This Row],[Date]],'DB LEI'!$A:$I,8))</f>
        <v/>
      </c>
    </row>
    <row r="349">
      <c r="A349" s="23" t="n">
        <v>38899</v>
      </c>
      <c r="B349" s="18">
        <f>VLOOKUP(Table48[[#This Row],[Date]],'DB LEI'!$A:$F,5)</f>
        <v/>
      </c>
      <c r="C349" s="24">
        <f>IF(VLOOKUP(Table48[[#This Row],[Date]],'DB LEI'!$A:$I,9)=0,"",VLOOKUP(Table48[[#This Row],[Date]],'DB LEI'!$A:$I,9))</f>
        <v/>
      </c>
      <c r="D349" s="24">
        <f>IF(VLOOKUP(Table48[[#This Row],[Date]],'DB LEI'!$A:$I,8)=0,"",VLOOKUP(Table48[[#This Row],[Date]],'DB LEI'!$A:$I,8))</f>
        <v/>
      </c>
    </row>
    <row r="350">
      <c r="A350" s="23" t="n">
        <v>38930</v>
      </c>
      <c r="B350" s="18">
        <f>VLOOKUP(Table48[[#This Row],[Date]],'DB LEI'!$A:$F,5)</f>
        <v/>
      </c>
      <c r="C350" s="24">
        <f>IF(VLOOKUP(Table48[[#This Row],[Date]],'DB LEI'!$A:$I,9)=0,"",VLOOKUP(Table48[[#This Row],[Date]],'DB LEI'!$A:$I,9))</f>
        <v/>
      </c>
      <c r="D350" s="24">
        <f>IF(VLOOKUP(Table48[[#This Row],[Date]],'DB LEI'!$A:$I,8)=0,"",VLOOKUP(Table48[[#This Row],[Date]],'DB LEI'!$A:$I,8))</f>
        <v/>
      </c>
    </row>
    <row r="351">
      <c r="A351" s="23" t="n">
        <v>38961</v>
      </c>
      <c r="B351" s="18">
        <f>VLOOKUP(Table48[[#This Row],[Date]],'DB LEI'!$A:$F,5)</f>
        <v/>
      </c>
      <c r="C351" s="24">
        <f>IF(VLOOKUP(Table48[[#This Row],[Date]],'DB LEI'!$A:$I,9)=0,"",VLOOKUP(Table48[[#This Row],[Date]],'DB LEI'!$A:$I,9))</f>
        <v/>
      </c>
      <c r="D351" s="24">
        <f>IF(VLOOKUP(Table48[[#This Row],[Date]],'DB LEI'!$A:$I,8)=0,"",VLOOKUP(Table48[[#This Row],[Date]],'DB LEI'!$A:$I,8))</f>
        <v/>
      </c>
    </row>
    <row r="352">
      <c r="A352" s="23" t="n">
        <v>38991</v>
      </c>
      <c r="B352" s="18">
        <f>VLOOKUP(Table48[[#This Row],[Date]],'DB LEI'!$A:$F,5)</f>
        <v/>
      </c>
      <c r="C352" s="24">
        <f>IF(VLOOKUP(Table48[[#This Row],[Date]],'DB LEI'!$A:$I,9)=0,"",VLOOKUP(Table48[[#This Row],[Date]],'DB LEI'!$A:$I,9))</f>
        <v/>
      </c>
      <c r="D352" s="24">
        <f>IF(VLOOKUP(Table48[[#This Row],[Date]],'DB LEI'!$A:$I,8)=0,"",VLOOKUP(Table48[[#This Row],[Date]],'DB LEI'!$A:$I,8))</f>
        <v/>
      </c>
    </row>
    <row r="353">
      <c r="A353" s="23" t="n">
        <v>39022</v>
      </c>
      <c r="B353" s="18">
        <f>VLOOKUP(Table48[[#This Row],[Date]],'DB LEI'!$A:$F,5)</f>
        <v/>
      </c>
      <c r="C353" s="24">
        <f>IF(VLOOKUP(Table48[[#This Row],[Date]],'DB LEI'!$A:$I,9)=0,"",VLOOKUP(Table48[[#This Row],[Date]],'DB LEI'!$A:$I,9))</f>
        <v/>
      </c>
      <c r="D353" s="24">
        <f>IF(VLOOKUP(Table48[[#This Row],[Date]],'DB LEI'!$A:$I,8)=0,"",VLOOKUP(Table48[[#This Row],[Date]],'DB LEI'!$A:$I,8))</f>
        <v/>
      </c>
    </row>
    <row r="354">
      <c r="A354" s="23" t="n">
        <v>39052</v>
      </c>
      <c r="B354" s="18">
        <f>VLOOKUP(Table48[[#This Row],[Date]],'DB LEI'!$A:$F,5)</f>
        <v/>
      </c>
      <c r="C354" s="24">
        <f>IF(VLOOKUP(Table48[[#This Row],[Date]],'DB LEI'!$A:$I,9)=0,"",VLOOKUP(Table48[[#This Row],[Date]],'DB LEI'!$A:$I,9))</f>
        <v/>
      </c>
      <c r="D354" s="24">
        <f>IF(VLOOKUP(Table48[[#This Row],[Date]],'DB LEI'!$A:$I,8)=0,"",VLOOKUP(Table48[[#This Row],[Date]],'DB LEI'!$A:$I,8))</f>
        <v/>
      </c>
    </row>
    <row r="355">
      <c r="A355" s="23" t="n">
        <v>39083</v>
      </c>
      <c r="B355" s="18">
        <f>VLOOKUP(Table48[[#This Row],[Date]],'DB LEI'!$A:$F,5)</f>
        <v/>
      </c>
      <c r="C355" s="24">
        <f>IF(VLOOKUP(Table48[[#This Row],[Date]],'DB LEI'!$A:$I,9)=0,"",VLOOKUP(Table48[[#This Row],[Date]],'DB LEI'!$A:$I,9))</f>
        <v/>
      </c>
      <c r="D355" s="24">
        <f>IF(VLOOKUP(Table48[[#This Row],[Date]],'DB LEI'!$A:$I,8)=0,"",VLOOKUP(Table48[[#This Row],[Date]],'DB LEI'!$A:$I,8))</f>
        <v/>
      </c>
    </row>
    <row r="356">
      <c r="A356" s="23" t="n">
        <v>39114</v>
      </c>
      <c r="B356" s="18">
        <f>VLOOKUP(Table48[[#This Row],[Date]],'DB LEI'!$A:$F,5)</f>
        <v/>
      </c>
      <c r="C356" s="24">
        <f>IF(VLOOKUP(Table48[[#This Row],[Date]],'DB LEI'!$A:$I,9)=0,"",VLOOKUP(Table48[[#This Row],[Date]],'DB LEI'!$A:$I,9))</f>
        <v/>
      </c>
      <c r="D356" s="24">
        <f>IF(VLOOKUP(Table48[[#This Row],[Date]],'DB LEI'!$A:$I,8)=0,"",VLOOKUP(Table48[[#This Row],[Date]],'DB LEI'!$A:$I,8))</f>
        <v/>
      </c>
    </row>
    <row r="357">
      <c r="A357" s="23" t="n">
        <v>39142</v>
      </c>
      <c r="B357" s="18">
        <f>VLOOKUP(Table48[[#This Row],[Date]],'DB LEI'!$A:$F,5)</f>
        <v/>
      </c>
      <c r="C357" s="24">
        <f>IF(VLOOKUP(Table48[[#This Row],[Date]],'DB LEI'!$A:$I,9)=0,"",VLOOKUP(Table48[[#This Row],[Date]],'DB LEI'!$A:$I,9))</f>
        <v/>
      </c>
      <c r="D357" s="24">
        <f>IF(VLOOKUP(Table48[[#This Row],[Date]],'DB LEI'!$A:$I,8)=0,"",VLOOKUP(Table48[[#This Row],[Date]],'DB LEI'!$A:$I,8))</f>
        <v/>
      </c>
    </row>
    <row r="358">
      <c r="A358" s="23" t="n">
        <v>39173</v>
      </c>
      <c r="B358" s="18">
        <f>VLOOKUP(Table48[[#This Row],[Date]],'DB LEI'!$A:$F,5)</f>
        <v/>
      </c>
      <c r="C358" s="24">
        <f>IF(VLOOKUP(Table48[[#This Row],[Date]],'DB LEI'!$A:$I,9)=0,"",VLOOKUP(Table48[[#This Row],[Date]],'DB LEI'!$A:$I,9))</f>
        <v/>
      </c>
      <c r="D358" s="24">
        <f>IF(VLOOKUP(Table48[[#This Row],[Date]],'DB LEI'!$A:$I,8)=0,"",VLOOKUP(Table48[[#This Row],[Date]],'DB LEI'!$A:$I,8))</f>
        <v/>
      </c>
    </row>
    <row r="359">
      <c r="A359" s="23" t="n">
        <v>39203</v>
      </c>
      <c r="B359" s="18">
        <f>VLOOKUP(Table48[[#This Row],[Date]],'DB LEI'!$A:$F,5)</f>
        <v/>
      </c>
      <c r="C359" s="24">
        <f>IF(VLOOKUP(Table48[[#This Row],[Date]],'DB LEI'!$A:$I,9)=0,"",VLOOKUP(Table48[[#This Row],[Date]],'DB LEI'!$A:$I,9))</f>
        <v/>
      </c>
      <c r="D359" s="24">
        <f>IF(VLOOKUP(Table48[[#This Row],[Date]],'DB LEI'!$A:$I,8)=0,"",VLOOKUP(Table48[[#This Row],[Date]],'DB LEI'!$A:$I,8))</f>
        <v/>
      </c>
    </row>
    <row r="360">
      <c r="A360" s="23" t="n">
        <v>39234</v>
      </c>
      <c r="B360" s="18">
        <f>VLOOKUP(Table48[[#This Row],[Date]],'DB LEI'!$A:$F,5)</f>
        <v/>
      </c>
      <c r="C360" s="24">
        <f>IF(VLOOKUP(Table48[[#This Row],[Date]],'DB LEI'!$A:$I,9)=0,"",VLOOKUP(Table48[[#This Row],[Date]],'DB LEI'!$A:$I,9))</f>
        <v/>
      </c>
      <c r="D360" s="24">
        <f>IF(VLOOKUP(Table48[[#This Row],[Date]],'DB LEI'!$A:$I,8)=0,"",VLOOKUP(Table48[[#This Row],[Date]],'DB LEI'!$A:$I,8))</f>
        <v/>
      </c>
    </row>
    <row r="361">
      <c r="A361" s="23" t="n">
        <v>39264</v>
      </c>
      <c r="B361" s="18">
        <f>VLOOKUP(Table48[[#This Row],[Date]],'DB LEI'!$A:$F,5)</f>
        <v/>
      </c>
      <c r="C361" s="24">
        <f>IF(VLOOKUP(Table48[[#This Row],[Date]],'DB LEI'!$A:$I,9)=0,"",VLOOKUP(Table48[[#This Row],[Date]],'DB LEI'!$A:$I,9))</f>
        <v/>
      </c>
      <c r="D361" s="24">
        <f>IF(VLOOKUP(Table48[[#This Row],[Date]],'DB LEI'!$A:$I,8)=0,"",VLOOKUP(Table48[[#This Row],[Date]],'DB LEI'!$A:$I,8))</f>
        <v/>
      </c>
    </row>
    <row r="362">
      <c r="A362" s="23" t="n">
        <v>39295</v>
      </c>
      <c r="B362" s="18">
        <f>VLOOKUP(Table48[[#This Row],[Date]],'DB LEI'!$A:$F,5)</f>
        <v/>
      </c>
      <c r="C362" s="24">
        <f>IF(VLOOKUP(Table48[[#This Row],[Date]],'DB LEI'!$A:$I,9)=0,"",VLOOKUP(Table48[[#This Row],[Date]],'DB LEI'!$A:$I,9))</f>
        <v/>
      </c>
      <c r="D362" s="24">
        <f>IF(VLOOKUP(Table48[[#This Row],[Date]],'DB LEI'!$A:$I,8)=0,"",VLOOKUP(Table48[[#This Row],[Date]],'DB LEI'!$A:$I,8))</f>
        <v/>
      </c>
    </row>
    <row r="363">
      <c r="A363" s="23" t="n">
        <v>39326</v>
      </c>
      <c r="B363" s="18">
        <f>VLOOKUP(Table48[[#This Row],[Date]],'DB LEI'!$A:$F,5)</f>
        <v/>
      </c>
      <c r="C363" s="24">
        <f>IF(VLOOKUP(Table48[[#This Row],[Date]],'DB LEI'!$A:$I,9)=0,"",VLOOKUP(Table48[[#This Row],[Date]],'DB LEI'!$A:$I,9))</f>
        <v/>
      </c>
      <c r="D363" s="24">
        <f>IF(VLOOKUP(Table48[[#This Row],[Date]],'DB LEI'!$A:$I,8)=0,"",VLOOKUP(Table48[[#This Row],[Date]],'DB LEI'!$A:$I,8))</f>
        <v/>
      </c>
    </row>
    <row r="364">
      <c r="A364" s="23" t="n">
        <v>39356</v>
      </c>
      <c r="B364" s="18">
        <f>VLOOKUP(Table48[[#This Row],[Date]],'DB LEI'!$A:$F,5)</f>
        <v/>
      </c>
      <c r="C364" s="24">
        <f>IF(VLOOKUP(Table48[[#This Row],[Date]],'DB LEI'!$A:$I,9)=0,"",VLOOKUP(Table48[[#This Row],[Date]],'DB LEI'!$A:$I,9))</f>
        <v/>
      </c>
      <c r="D364" s="24">
        <f>IF(VLOOKUP(Table48[[#This Row],[Date]],'DB LEI'!$A:$I,8)=0,"",VLOOKUP(Table48[[#This Row],[Date]],'DB LEI'!$A:$I,8))</f>
        <v/>
      </c>
    </row>
    <row r="365">
      <c r="A365" s="23" t="n">
        <v>39387</v>
      </c>
      <c r="B365" s="18">
        <f>VLOOKUP(Table48[[#This Row],[Date]],'DB LEI'!$A:$F,5)</f>
        <v/>
      </c>
      <c r="C365" s="24">
        <f>IF(VLOOKUP(Table48[[#This Row],[Date]],'DB LEI'!$A:$I,9)=0,"",VLOOKUP(Table48[[#This Row],[Date]],'DB LEI'!$A:$I,9))</f>
        <v/>
      </c>
      <c r="D365" s="24">
        <f>IF(VLOOKUP(Table48[[#This Row],[Date]],'DB LEI'!$A:$I,8)=0,"",VLOOKUP(Table48[[#This Row],[Date]],'DB LEI'!$A:$I,8))</f>
        <v/>
      </c>
    </row>
    <row r="366">
      <c r="A366" s="23" t="n">
        <v>39417</v>
      </c>
      <c r="B366" s="18">
        <f>VLOOKUP(Table48[[#This Row],[Date]],'DB LEI'!$A:$F,5)</f>
        <v/>
      </c>
      <c r="C366" s="24">
        <f>IF(VLOOKUP(Table48[[#This Row],[Date]],'DB LEI'!$A:$I,9)=0,"",VLOOKUP(Table48[[#This Row],[Date]],'DB LEI'!$A:$I,9))</f>
        <v/>
      </c>
      <c r="D366" s="24">
        <f>IF(VLOOKUP(Table48[[#This Row],[Date]],'DB LEI'!$A:$I,8)=0,"",VLOOKUP(Table48[[#This Row],[Date]],'DB LEI'!$A:$I,8))</f>
        <v/>
      </c>
    </row>
    <row r="367">
      <c r="A367" s="23" t="n">
        <v>39448</v>
      </c>
      <c r="B367" s="18">
        <f>VLOOKUP(Table48[[#This Row],[Date]],'DB LEI'!$A:$F,5)</f>
        <v/>
      </c>
      <c r="C367" s="24">
        <f>IF(VLOOKUP(Table48[[#This Row],[Date]],'DB LEI'!$A:$I,9)=0,"",VLOOKUP(Table48[[#This Row],[Date]],'DB LEI'!$A:$I,9))</f>
        <v/>
      </c>
      <c r="D367" s="24">
        <f>IF(VLOOKUP(Table48[[#This Row],[Date]],'DB LEI'!$A:$I,8)=0,"",VLOOKUP(Table48[[#This Row],[Date]],'DB LEI'!$A:$I,8))</f>
        <v/>
      </c>
    </row>
    <row r="368">
      <c r="A368" s="23" t="n">
        <v>39479</v>
      </c>
      <c r="B368" s="18">
        <f>VLOOKUP(Table48[[#This Row],[Date]],'DB LEI'!$A:$F,5)</f>
        <v/>
      </c>
      <c r="C368" s="24">
        <f>IF(VLOOKUP(Table48[[#This Row],[Date]],'DB LEI'!$A:$I,9)=0,"",VLOOKUP(Table48[[#This Row],[Date]],'DB LEI'!$A:$I,9))</f>
        <v/>
      </c>
      <c r="D368" s="24">
        <f>IF(VLOOKUP(Table48[[#This Row],[Date]],'DB LEI'!$A:$I,8)=0,"",VLOOKUP(Table48[[#This Row],[Date]],'DB LEI'!$A:$I,8))</f>
        <v/>
      </c>
    </row>
    <row r="369">
      <c r="A369" s="23" t="n">
        <v>39508</v>
      </c>
      <c r="B369" s="18">
        <f>VLOOKUP(Table48[[#This Row],[Date]],'DB LEI'!$A:$F,5)</f>
        <v/>
      </c>
      <c r="C369" s="24">
        <f>IF(VLOOKUP(Table48[[#This Row],[Date]],'DB LEI'!$A:$I,9)=0,"",VLOOKUP(Table48[[#This Row],[Date]],'DB LEI'!$A:$I,9))</f>
        <v/>
      </c>
      <c r="D369" s="24">
        <f>IF(VLOOKUP(Table48[[#This Row],[Date]],'DB LEI'!$A:$I,8)=0,"",VLOOKUP(Table48[[#This Row],[Date]],'DB LEI'!$A:$I,8))</f>
        <v/>
      </c>
    </row>
    <row r="370">
      <c r="A370" s="23" t="n">
        <v>39539</v>
      </c>
      <c r="B370" s="18">
        <f>VLOOKUP(Table48[[#This Row],[Date]],'DB LEI'!$A:$F,5)</f>
        <v/>
      </c>
      <c r="C370" s="24">
        <f>IF(VLOOKUP(Table48[[#This Row],[Date]],'DB LEI'!$A:$I,9)=0,"",VLOOKUP(Table48[[#This Row],[Date]],'DB LEI'!$A:$I,9))</f>
        <v/>
      </c>
      <c r="D370" s="24">
        <f>IF(VLOOKUP(Table48[[#This Row],[Date]],'DB LEI'!$A:$I,8)=0,"",VLOOKUP(Table48[[#This Row],[Date]],'DB LEI'!$A:$I,8))</f>
        <v/>
      </c>
    </row>
    <row r="371">
      <c r="A371" s="23" t="n">
        <v>39845</v>
      </c>
      <c r="B371" s="18">
        <f>VLOOKUP(Table48[[#This Row],[Date]],'DB LEI'!$A:$F,5)</f>
        <v/>
      </c>
      <c r="C371" s="24">
        <f>IF(VLOOKUP(Table48[[#This Row],[Date]],'DB LEI'!$A:$I,9)=0,"",VLOOKUP(Table48[[#This Row],[Date]],'DB LEI'!$A:$I,9))</f>
        <v/>
      </c>
      <c r="D371" s="24">
        <f>IF(VLOOKUP(Table48[[#This Row],[Date]],'DB LEI'!$A:$I,8)=0,"",VLOOKUP(Table48[[#This Row],[Date]],'DB LEI'!$A:$I,8))</f>
        <v/>
      </c>
    </row>
    <row r="372">
      <c r="A372" s="23" t="n">
        <v>39600</v>
      </c>
      <c r="B372" s="18">
        <f>VLOOKUP(Table48[[#This Row],[Date]],'DB LEI'!$A:$F,5)</f>
        <v/>
      </c>
      <c r="C372" s="24">
        <f>IF(VLOOKUP(Table48[[#This Row],[Date]],'DB LEI'!$A:$I,9)=0,"",VLOOKUP(Table48[[#This Row],[Date]],'DB LEI'!$A:$I,9))</f>
        <v/>
      </c>
      <c r="D372" s="24">
        <f>IF(VLOOKUP(Table48[[#This Row],[Date]],'DB LEI'!$A:$I,8)=0,"",VLOOKUP(Table48[[#This Row],[Date]],'DB LEI'!$A:$I,8))</f>
        <v/>
      </c>
    </row>
    <row r="373">
      <c r="A373" s="23" t="n">
        <v>39630</v>
      </c>
      <c r="B373" s="18">
        <f>VLOOKUP(Table48[[#This Row],[Date]],'DB LEI'!$A:$F,5)</f>
        <v/>
      </c>
      <c r="C373" s="24">
        <f>IF(VLOOKUP(Table48[[#This Row],[Date]],'DB LEI'!$A:$I,9)=0,"",VLOOKUP(Table48[[#This Row],[Date]],'DB LEI'!$A:$I,9))</f>
        <v/>
      </c>
      <c r="D373" s="24">
        <f>IF(VLOOKUP(Table48[[#This Row],[Date]],'DB LEI'!$A:$I,8)=0,"",VLOOKUP(Table48[[#This Row],[Date]],'DB LEI'!$A:$I,8))</f>
        <v/>
      </c>
    </row>
    <row r="374">
      <c r="A374" s="23" t="n">
        <v>39661</v>
      </c>
      <c r="B374" s="18">
        <f>VLOOKUP(Table48[[#This Row],[Date]],'DB LEI'!$A:$F,5)</f>
        <v/>
      </c>
      <c r="C374" s="24">
        <f>IF(VLOOKUP(Table48[[#This Row],[Date]],'DB LEI'!$A:$I,9)=0,"",VLOOKUP(Table48[[#This Row],[Date]],'DB LEI'!$A:$I,9))</f>
        <v/>
      </c>
      <c r="D374" s="24">
        <f>IF(VLOOKUP(Table48[[#This Row],[Date]],'DB LEI'!$A:$I,8)=0,"",VLOOKUP(Table48[[#This Row],[Date]],'DB LEI'!$A:$I,8))</f>
        <v/>
      </c>
    </row>
    <row r="375">
      <c r="A375" s="23" t="n">
        <v>39692</v>
      </c>
      <c r="B375" s="18">
        <f>VLOOKUP(Table48[[#This Row],[Date]],'DB LEI'!$A:$F,5)</f>
        <v/>
      </c>
      <c r="C375" s="24">
        <f>IF(VLOOKUP(Table48[[#This Row],[Date]],'DB LEI'!$A:$I,9)=0,"",VLOOKUP(Table48[[#This Row],[Date]],'DB LEI'!$A:$I,9))</f>
        <v/>
      </c>
      <c r="D375" s="24">
        <f>IF(VLOOKUP(Table48[[#This Row],[Date]],'DB LEI'!$A:$I,8)=0,"",VLOOKUP(Table48[[#This Row],[Date]],'DB LEI'!$A:$I,8))</f>
        <v/>
      </c>
    </row>
    <row r="376">
      <c r="A376" s="23" t="n">
        <v>29281</v>
      </c>
      <c r="B376" s="18">
        <f>VLOOKUP(Table48[[#This Row],[Date]],'DB LEI'!$A:$F,5)</f>
        <v/>
      </c>
      <c r="C376" s="24">
        <f>IF(VLOOKUP(Table48[[#This Row],[Date]],'DB LEI'!$A:$I,9)=0,"",VLOOKUP(Table48[[#This Row],[Date]],'DB LEI'!$A:$I,9))</f>
        <v/>
      </c>
      <c r="D376" s="24">
        <f>IF(VLOOKUP(Table48[[#This Row],[Date]],'DB LEI'!$A:$I,8)=0,"",VLOOKUP(Table48[[#This Row],[Date]],'DB LEI'!$A:$I,8))</f>
        <v/>
      </c>
    </row>
    <row r="377">
      <c r="A377" s="23" t="n">
        <v>39873</v>
      </c>
      <c r="B377" s="18">
        <f>VLOOKUP(Table48[[#This Row],[Date]],'DB LEI'!$A:$F,5)</f>
        <v/>
      </c>
      <c r="C377" s="24">
        <f>IF(VLOOKUP(Table48[[#This Row],[Date]],'DB LEI'!$A:$I,9)=0,"",VLOOKUP(Table48[[#This Row],[Date]],'DB LEI'!$A:$I,9))</f>
        <v/>
      </c>
      <c r="D377" s="24">
        <f>IF(VLOOKUP(Table48[[#This Row],[Date]],'DB LEI'!$A:$I,8)=0,"",VLOOKUP(Table48[[#This Row],[Date]],'DB LEI'!$A:$I,8))</f>
        <v/>
      </c>
    </row>
    <row r="378">
      <c r="A378" s="23" t="n">
        <v>39783</v>
      </c>
      <c r="B378" s="18">
        <f>VLOOKUP(Table48[[#This Row],[Date]],'DB LEI'!$A:$F,5)</f>
        <v/>
      </c>
      <c r="C378" s="24">
        <f>IF(VLOOKUP(Table48[[#This Row],[Date]],'DB LEI'!$A:$I,9)=0,"",VLOOKUP(Table48[[#This Row],[Date]],'DB LEI'!$A:$I,9))</f>
        <v/>
      </c>
      <c r="D378" s="24">
        <f>IF(VLOOKUP(Table48[[#This Row],[Date]],'DB LEI'!$A:$I,8)=0,"",VLOOKUP(Table48[[#This Row],[Date]],'DB LEI'!$A:$I,8))</f>
        <v/>
      </c>
    </row>
    <row r="379">
      <c r="A379" s="23" t="n">
        <v>39814</v>
      </c>
      <c r="B379" s="18">
        <f>VLOOKUP(Table48[[#This Row],[Date]],'DB LEI'!$A:$F,5)</f>
        <v/>
      </c>
      <c r="C379" s="24">
        <f>IF(VLOOKUP(Table48[[#This Row],[Date]],'DB LEI'!$A:$I,9)=0,"",VLOOKUP(Table48[[#This Row],[Date]],'DB LEI'!$A:$I,9))</f>
        <v/>
      </c>
      <c r="D379" s="24">
        <f>IF(VLOOKUP(Table48[[#This Row],[Date]],'DB LEI'!$A:$I,8)=0,"",VLOOKUP(Table48[[#This Row],[Date]],'DB LEI'!$A:$I,8))</f>
        <v/>
      </c>
    </row>
    <row r="380">
      <c r="A380" s="23" t="n">
        <v>39722</v>
      </c>
      <c r="B380" s="18">
        <f>VLOOKUP(Table48[[#This Row],[Date]],'DB LEI'!$A:$F,5)</f>
        <v/>
      </c>
      <c r="C380" s="24">
        <f>IF(VLOOKUP(Table48[[#This Row],[Date]],'DB LEI'!$A:$I,9)=0,"",VLOOKUP(Table48[[#This Row],[Date]],'DB LEI'!$A:$I,9))</f>
        <v/>
      </c>
      <c r="D380" s="24">
        <f>IF(VLOOKUP(Table48[[#This Row],[Date]],'DB LEI'!$A:$I,8)=0,"",VLOOKUP(Table48[[#This Row],[Date]],'DB LEI'!$A:$I,8))</f>
        <v/>
      </c>
    </row>
    <row r="381">
      <c r="A381" s="23" t="n">
        <v>39873</v>
      </c>
      <c r="B381" s="18">
        <f>VLOOKUP(Table48[[#This Row],[Date]],'DB LEI'!$A:$F,5)</f>
        <v/>
      </c>
      <c r="C381" s="24">
        <f>IF(VLOOKUP(Table48[[#This Row],[Date]],'DB LEI'!$A:$I,9)=0,"",VLOOKUP(Table48[[#This Row],[Date]],'DB LEI'!$A:$I,9))</f>
        <v/>
      </c>
      <c r="D381" s="24">
        <f>IF(VLOOKUP(Table48[[#This Row],[Date]],'DB LEI'!$A:$I,8)=0,"",VLOOKUP(Table48[[#This Row],[Date]],'DB LEI'!$A:$I,8))</f>
        <v/>
      </c>
    </row>
    <row r="382">
      <c r="A382" s="23" t="n">
        <v>39904</v>
      </c>
      <c r="B382" s="18">
        <f>VLOOKUP(Table48[[#This Row],[Date]],'DB LEI'!$A:$F,5)</f>
        <v/>
      </c>
      <c r="C382" s="24">
        <f>IF(VLOOKUP(Table48[[#This Row],[Date]],'DB LEI'!$A:$I,9)=0,"",VLOOKUP(Table48[[#This Row],[Date]],'DB LEI'!$A:$I,9))</f>
        <v/>
      </c>
      <c r="D382" s="24">
        <f>IF(VLOOKUP(Table48[[#This Row],[Date]],'DB LEI'!$A:$I,8)=0,"",VLOOKUP(Table48[[#This Row],[Date]],'DB LEI'!$A:$I,8))</f>
        <v/>
      </c>
    </row>
    <row r="383">
      <c r="A383" s="23" t="n">
        <v>39934</v>
      </c>
      <c r="B383" s="18">
        <f>VLOOKUP(Table48[[#This Row],[Date]],'DB LEI'!$A:$F,5)</f>
        <v/>
      </c>
      <c r="C383" s="24">
        <f>IF(VLOOKUP(Table48[[#This Row],[Date]],'DB LEI'!$A:$I,9)=0,"",VLOOKUP(Table48[[#This Row],[Date]],'DB LEI'!$A:$I,9))</f>
        <v/>
      </c>
      <c r="D383" s="24">
        <f>IF(VLOOKUP(Table48[[#This Row],[Date]],'DB LEI'!$A:$I,8)=0,"",VLOOKUP(Table48[[#This Row],[Date]],'DB LEI'!$A:$I,8))</f>
        <v/>
      </c>
    </row>
    <row r="384">
      <c r="A384" s="23" t="n">
        <v>39973</v>
      </c>
      <c r="B384" s="18">
        <f>VLOOKUP(Table48[[#This Row],[Date]],'DB LEI'!$A:$F,5)</f>
        <v/>
      </c>
      <c r="C384" s="24">
        <f>IF(VLOOKUP(Table48[[#This Row],[Date]],'DB LEI'!$A:$I,9)=0,"",VLOOKUP(Table48[[#This Row],[Date]],'DB LEI'!$A:$I,9))</f>
        <v/>
      </c>
      <c r="D384" s="24">
        <f>IF(VLOOKUP(Table48[[#This Row],[Date]],'DB LEI'!$A:$I,8)=0,"",VLOOKUP(Table48[[#This Row],[Date]],'DB LEI'!$A:$I,8))</f>
        <v/>
      </c>
    </row>
    <row r="385">
      <c r="A385" s="23" t="n">
        <v>39995</v>
      </c>
      <c r="B385" s="18">
        <f>VLOOKUP(Table48[[#This Row],[Date]],'DB LEI'!$A:$F,5)</f>
        <v/>
      </c>
      <c r="C385" s="24">
        <f>IF(VLOOKUP(Table48[[#This Row],[Date]],'DB LEI'!$A:$I,9)=0,"",VLOOKUP(Table48[[#This Row],[Date]],'DB LEI'!$A:$I,9))</f>
        <v/>
      </c>
      <c r="D385" s="24">
        <f>IF(VLOOKUP(Table48[[#This Row],[Date]],'DB LEI'!$A:$I,8)=0,"",VLOOKUP(Table48[[#This Row],[Date]],'DB LEI'!$A:$I,8))</f>
        <v/>
      </c>
    </row>
    <row r="386">
      <c r="A386" s="23" t="n">
        <v>40026</v>
      </c>
      <c r="B386" s="18">
        <f>VLOOKUP(Table48[[#This Row],[Date]],'DB LEI'!$A:$F,5)</f>
        <v/>
      </c>
      <c r="C386" s="24">
        <f>IF(VLOOKUP(Table48[[#This Row],[Date]],'DB LEI'!$A:$I,9)=0,"",VLOOKUP(Table48[[#This Row],[Date]],'DB LEI'!$A:$I,9))</f>
        <v/>
      </c>
      <c r="D386" s="24">
        <f>IF(VLOOKUP(Table48[[#This Row],[Date]],'DB LEI'!$A:$I,8)=0,"",VLOOKUP(Table48[[#This Row],[Date]],'DB LEI'!$A:$I,8))</f>
        <v/>
      </c>
    </row>
    <row r="387">
      <c r="A387" s="23" t="n">
        <v>40057</v>
      </c>
      <c r="B387" s="18">
        <f>VLOOKUP(Table48[[#This Row],[Date]],'DB LEI'!$A:$F,5)</f>
        <v/>
      </c>
      <c r="C387" s="24">
        <f>IF(VLOOKUP(Table48[[#This Row],[Date]],'DB LEI'!$A:$I,9)=0,"",VLOOKUP(Table48[[#This Row],[Date]],'DB LEI'!$A:$I,9))</f>
        <v/>
      </c>
      <c r="D387" s="24">
        <f>IF(VLOOKUP(Table48[[#This Row],[Date]],'DB LEI'!$A:$I,8)=0,"",VLOOKUP(Table48[[#This Row],[Date]],'DB LEI'!$A:$I,8))</f>
        <v/>
      </c>
    </row>
    <row r="388">
      <c r="A388" s="23" t="n">
        <v>40087</v>
      </c>
      <c r="B388" s="18">
        <f>VLOOKUP(Table48[[#This Row],[Date]],'DB LEI'!$A:$F,5)</f>
        <v/>
      </c>
      <c r="C388" s="24">
        <f>IF(VLOOKUP(Table48[[#This Row],[Date]],'DB LEI'!$A:$I,9)=0,"",VLOOKUP(Table48[[#This Row],[Date]],'DB LEI'!$A:$I,9))</f>
        <v/>
      </c>
      <c r="D388" s="24">
        <f>IF(VLOOKUP(Table48[[#This Row],[Date]],'DB LEI'!$A:$I,8)=0,"",VLOOKUP(Table48[[#This Row],[Date]],'DB LEI'!$A:$I,8))</f>
        <v/>
      </c>
    </row>
    <row r="389">
      <c r="A389" s="23" t="n">
        <v>40118</v>
      </c>
      <c r="B389" s="18">
        <f>VLOOKUP(Table48[[#This Row],[Date]],'DB LEI'!$A:$F,5)</f>
        <v/>
      </c>
      <c r="C389" s="24">
        <f>IF(VLOOKUP(Table48[[#This Row],[Date]],'DB LEI'!$A:$I,9)=0,"",VLOOKUP(Table48[[#This Row],[Date]],'DB LEI'!$A:$I,9))</f>
        <v/>
      </c>
      <c r="D389" s="24">
        <f>IF(VLOOKUP(Table48[[#This Row],[Date]],'DB LEI'!$A:$I,8)=0,"",VLOOKUP(Table48[[#This Row],[Date]],'DB LEI'!$A:$I,8))</f>
        <v/>
      </c>
    </row>
    <row r="390">
      <c r="A390" s="23" t="n">
        <v>40148</v>
      </c>
      <c r="B390" s="18">
        <f>VLOOKUP(Table48[[#This Row],[Date]],'DB LEI'!$A:$F,5)</f>
        <v/>
      </c>
      <c r="C390" s="24">
        <f>IF(VLOOKUP(Table48[[#This Row],[Date]],'DB LEI'!$A:$I,9)=0,"",VLOOKUP(Table48[[#This Row],[Date]],'DB LEI'!$A:$I,9))</f>
        <v/>
      </c>
      <c r="D390" s="24">
        <f>IF(VLOOKUP(Table48[[#This Row],[Date]],'DB LEI'!$A:$I,8)=0,"",VLOOKUP(Table48[[#This Row],[Date]],'DB LEI'!$A:$I,8))</f>
        <v/>
      </c>
    </row>
    <row r="391">
      <c r="A391" s="23" t="n">
        <v>40179</v>
      </c>
      <c r="B391" s="18">
        <f>VLOOKUP(Table48[[#This Row],[Date]],'DB LEI'!$A:$F,5)</f>
        <v/>
      </c>
      <c r="C391" s="24">
        <f>IF(VLOOKUP(Table48[[#This Row],[Date]],'DB LEI'!$A:$I,9)=0,"",VLOOKUP(Table48[[#This Row],[Date]],'DB LEI'!$A:$I,9))</f>
        <v/>
      </c>
      <c r="D391" s="24">
        <f>IF(VLOOKUP(Table48[[#This Row],[Date]],'DB LEI'!$A:$I,8)=0,"",VLOOKUP(Table48[[#This Row],[Date]],'DB LEI'!$A:$I,8))</f>
        <v/>
      </c>
    </row>
    <row r="392">
      <c r="A392" s="23" t="n">
        <v>40210</v>
      </c>
      <c r="B392" s="18">
        <f>VLOOKUP(Table48[[#This Row],[Date]],'DB LEI'!$A:$F,5)</f>
        <v/>
      </c>
      <c r="C392" s="24">
        <f>IF(VLOOKUP(Table48[[#This Row],[Date]],'DB LEI'!$A:$I,9)=0,"",VLOOKUP(Table48[[#This Row],[Date]],'DB LEI'!$A:$I,9))</f>
        <v/>
      </c>
      <c r="D392" s="24">
        <f>IF(VLOOKUP(Table48[[#This Row],[Date]],'DB LEI'!$A:$I,8)=0,"",VLOOKUP(Table48[[#This Row],[Date]],'DB LEI'!$A:$I,8))</f>
        <v/>
      </c>
    </row>
    <row r="393">
      <c r="A393" s="23" t="n">
        <v>40238</v>
      </c>
      <c r="B393" s="18">
        <f>VLOOKUP(Table48[[#This Row],[Date]],'DB LEI'!$A:$F,5)</f>
        <v/>
      </c>
      <c r="C393" s="24">
        <f>IF(VLOOKUP(Table48[[#This Row],[Date]],'DB LEI'!$A:$I,9)=0,"",VLOOKUP(Table48[[#This Row],[Date]],'DB LEI'!$A:$I,9))</f>
        <v/>
      </c>
      <c r="D393" s="24">
        <f>IF(VLOOKUP(Table48[[#This Row],[Date]],'DB LEI'!$A:$I,8)=0,"",VLOOKUP(Table48[[#This Row],[Date]],'DB LEI'!$A:$I,8))</f>
        <v/>
      </c>
    </row>
    <row r="394">
      <c r="A394" s="23" t="n">
        <v>40269</v>
      </c>
      <c r="B394" s="18">
        <f>VLOOKUP(Table48[[#This Row],[Date]],'DB LEI'!$A:$F,5)</f>
        <v/>
      </c>
      <c r="C394" s="24">
        <f>IF(VLOOKUP(Table48[[#This Row],[Date]],'DB LEI'!$A:$I,9)=0,"",VLOOKUP(Table48[[#This Row],[Date]],'DB LEI'!$A:$I,9))</f>
        <v/>
      </c>
      <c r="D394" s="24">
        <f>IF(VLOOKUP(Table48[[#This Row],[Date]],'DB LEI'!$A:$I,8)=0,"",VLOOKUP(Table48[[#This Row],[Date]],'DB LEI'!$A:$I,8))</f>
        <v/>
      </c>
    </row>
    <row r="395">
      <c r="A395" s="23" t="n">
        <v>40299</v>
      </c>
      <c r="B395" s="18">
        <f>VLOOKUP(Table48[[#This Row],[Date]],'DB LEI'!$A:$F,5)</f>
        <v/>
      </c>
      <c r="C395" s="24">
        <f>IF(VLOOKUP(Table48[[#This Row],[Date]],'DB LEI'!$A:$I,9)=0,"",VLOOKUP(Table48[[#This Row],[Date]],'DB LEI'!$A:$I,9))</f>
        <v/>
      </c>
      <c r="D395" s="24">
        <f>IF(VLOOKUP(Table48[[#This Row],[Date]],'DB LEI'!$A:$I,8)=0,"",VLOOKUP(Table48[[#This Row],[Date]],'DB LEI'!$A:$I,8))</f>
        <v/>
      </c>
    </row>
    <row r="396">
      <c r="A396" s="23" t="n">
        <v>40330</v>
      </c>
      <c r="B396" s="18">
        <f>VLOOKUP(Table48[[#This Row],[Date]],'DB LEI'!$A:$F,5)</f>
        <v/>
      </c>
      <c r="C396" s="24">
        <f>IF(VLOOKUP(Table48[[#This Row],[Date]],'DB LEI'!$A:$I,9)=0,"",VLOOKUP(Table48[[#This Row],[Date]],'DB LEI'!$A:$I,9))</f>
        <v/>
      </c>
      <c r="D396" s="24">
        <f>IF(VLOOKUP(Table48[[#This Row],[Date]],'DB LEI'!$A:$I,8)=0,"",VLOOKUP(Table48[[#This Row],[Date]],'DB LEI'!$A:$I,8))</f>
        <v/>
      </c>
    </row>
    <row r="397">
      <c r="A397" s="23" t="n">
        <v>40360</v>
      </c>
      <c r="B397" s="18">
        <f>VLOOKUP(Table48[[#This Row],[Date]],'DB LEI'!$A:$F,5)</f>
        <v/>
      </c>
      <c r="C397" s="24">
        <f>IF(VLOOKUP(Table48[[#This Row],[Date]],'DB LEI'!$A:$I,9)=0,"",VLOOKUP(Table48[[#This Row],[Date]],'DB LEI'!$A:$I,9))</f>
        <v/>
      </c>
      <c r="D397" s="24">
        <f>IF(VLOOKUP(Table48[[#This Row],[Date]],'DB LEI'!$A:$I,8)=0,"",VLOOKUP(Table48[[#This Row],[Date]],'DB LEI'!$A:$I,8))</f>
        <v/>
      </c>
    </row>
    <row r="398">
      <c r="A398" s="23" t="n">
        <v>40391</v>
      </c>
      <c r="B398" s="18">
        <f>VLOOKUP(Table48[[#This Row],[Date]],'DB LEI'!$A:$F,5)</f>
        <v/>
      </c>
      <c r="C398" s="24">
        <f>IF(VLOOKUP(Table48[[#This Row],[Date]],'DB LEI'!$A:$I,9)=0,"",VLOOKUP(Table48[[#This Row],[Date]],'DB LEI'!$A:$I,9))</f>
        <v/>
      </c>
      <c r="D398" s="24">
        <f>IF(VLOOKUP(Table48[[#This Row],[Date]],'DB LEI'!$A:$I,8)=0,"",VLOOKUP(Table48[[#This Row],[Date]],'DB LEI'!$A:$I,8))</f>
        <v/>
      </c>
    </row>
    <row r="399">
      <c r="A399" s="23" t="n">
        <v>40422</v>
      </c>
      <c r="B399" s="18">
        <f>VLOOKUP(Table48[[#This Row],[Date]],'DB LEI'!$A:$F,5)</f>
        <v/>
      </c>
      <c r="C399" s="24">
        <f>IF(VLOOKUP(Table48[[#This Row],[Date]],'DB LEI'!$A:$I,9)=0,"",VLOOKUP(Table48[[#This Row],[Date]],'DB LEI'!$A:$I,9))</f>
        <v/>
      </c>
      <c r="D399" s="24">
        <f>IF(VLOOKUP(Table48[[#This Row],[Date]],'DB LEI'!$A:$I,8)=0,"",VLOOKUP(Table48[[#This Row],[Date]],'DB LEI'!$A:$I,8))</f>
        <v/>
      </c>
    </row>
    <row r="400">
      <c r="A400" s="23" t="n">
        <v>40452</v>
      </c>
      <c r="B400" s="18">
        <f>VLOOKUP(Table48[[#This Row],[Date]],'DB LEI'!$A:$F,5)</f>
        <v/>
      </c>
      <c r="C400" s="24">
        <f>IF(VLOOKUP(Table48[[#This Row],[Date]],'DB LEI'!$A:$I,9)=0,"",VLOOKUP(Table48[[#This Row],[Date]],'DB LEI'!$A:$I,9))</f>
        <v/>
      </c>
      <c r="D400" s="24">
        <f>IF(VLOOKUP(Table48[[#This Row],[Date]],'DB LEI'!$A:$I,8)=0,"",VLOOKUP(Table48[[#This Row],[Date]],'DB LEI'!$A:$I,8))</f>
        <v/>
      </c>
    </row>
    <row r="401">
      <c r="A401" s="23" t="n">
        <v>40483</v>
      </c>
      <c r="B401" s="18">
        <f>VLOOKUP(Table48[[#This Row],[Date]],'DB LEI'!$A:$F,5)</f>
        <v/>
      </c>
      <c r="C401" s="24">
        <f>IF(VLOOKUP(Table48[[#This Row],[Date]],'DB LEI'!$A:$I,9)=0,"",VLOOKUP(Table48[[#This Row],[Date]],'DB LEI'!$A:$I,9))</f>
        <v/>
      </c>
      <c r="D401" s="24">
        <f>IF(VLOOKUP(Table48[[#This Row],[Date]],'DB LEI'!$A:$I,8)=0,"",VLOOKUP(Table48[[#This Row],[Date]],'DB LEI'!$A:$I,8))</f>
        <v/>
      </c>
    </row>
    <row r="402">
      <c r="A402" s="23" t="n">
        <v>40513</v>
      </c>
      <c r="B402" s="18">
        <f>VLOOKUP(Table48[[#This Row],[Date]],'DB LEI'!$A:$F,5)</f>
        <v/>
      </c>
      <c r="C402" s="24">
        <f>IF(VLOOKUP(Table48[[#This Row],[Date]],'DB LEI'!$A:$I,9)=0,"",VLOOKUP(Table48[[#This Row],[Date]],'DB LEI'!$A:$I,9))</f>
        <v/>
      </c>
      <c r="D402" s="24">
        <f>IF(VLOOKUP(Table48[[#This Row],[Date]],'DB LEI'!$A:$I,8)=0,"",VLOOKUP(Table48[[#This Row],[Date]],'DB LEI'!$A:$I,8))</f>
        <v/>
      </c>
    </row>
    <row r="403">
      <c r="A403" s="23" t="n">
        <v>40544</v>
      </c>
      <c r="B403" s="18">
        <f>VLOOKUP(Table48[[#This Row],[Date]],'DB LEI'!$A:$F,5)</f>
        <v/>
      </c>
      <c r="C403" s="24">
        <f>IF(VLOOKUP(Table48[[#This Row],[Date]],'DB LEI'!$A:$I,9)=0,"",VLOOKUP(Table48[[#This Row],[Date]],'DB LEI'!$A:$I,9))</f>
        <v/>
      </c>
      <c r="D403" s="24">
        <f>IF(VLOOKUP(Table48[[#This Row],[Date]],'DB LEI'!$A:$I,8)=0,"",VLOOKUP(Table48[[#This Row],[Date]],'DB LEI'!$A:$I,8))</f>
        <v/>
      </c>
    </row>
    <row r="404">
      <c r="A404" s="23" t="n">
        <v>40575</v>
      </c>
      <c r="B404" s="18">
        <f>VLOOKUP(Table48[[#This Row],[Date]],'DB LEI'!$A:$F,5)</f>
        <v/>
      </c>
      <c r="C404" s="24">
        <f>IF(VLOOKUP(Table48[[#This Row],[Date]],'DB LEI'!$A:$I,9)=0,"",VLOOKUP(Table48[[#This Row],[Date]],'DB LEI'!$A:$I,9))</f>
        <v/>
      </c>
      <c r="D404" s="24">
        <f>IF(VLOOKUP(Table48[[#This Row],[Date]],'DB LEI'!$A:$I,8)=0,"",VLOOKUP(Table48[[#This Row],[Date]],'DB LEI'!$A:$I,8))</f>
        <v/>
      </c>
    </row>
    <row r="405">
      <c r="A405" s="23" t="n">
        <v>40603</v>
      </c>
      <c r="B405" s="18">
        <f>VLOOKUP(Table48[[#This Row],[Date]],'DB LEI'!$A:$F,5)</f>
        <v/>
      </c>
      <c r="C405" s="24">
        <f>IF(VLOOKUP(Table48[[#This Row],[Date]],'DB LEI'!$A:$I,9)=0,"",VLOOKUP(Table48[[#This Row],[Date]],'DB LEI'!$A:$I,9))</f>
        <v/>
      </c>
      <c r="D405" s="24">
        <f>IF(VLOOKUP(Table48[[#This Row],[Date]],'DB LEI'!$A:$I,8)=0,"",VLOOKUP(Table48[[#This Row],[Date]],'DB LEI'!$A:$I,8))</f>
        <v/>
      </c>
    </row>
    <row r="406">
      <c r="A406" s="23" t="n">
        <v>40634</v>
      </c>
      <c r="B406" s="18">
        <f>VLOOKUP(Table48[[#This Row],[Date]],'DB LEI'!$A:$F,5)</f>
        <v/>
      </c>
      <c r="C406" s="24">
        <f>IF(VLOOKUP(Table48[[#This Row],[Date]],'DB LEI'!$A:$I,9)=0,"",VLOOKUP(Table48[[#This Row],[Date]],'DB LEI'!$A:$I,9))</f>
        <v/>
      </c>
      <c r="D406" s="24">
        <f>IF(VLOOKUP(Table48[[#This Row],[Date]],'DB LEI'!$A:$I,8)=0,"",VLOOKUP(Table48[[#This Row],[Date]],'DB LEI'!$A:$I,8))</f>
        <v/>
      </c>
    </row>
    <row r="407">
      <c r="A407" s="23" t="n">
        <v>40664</v>
      </c>
      <c r="B407" s="18">
        <f>VLOOKUP(Table48[[#This Row],[Date]],'DB LEI'!$A:$F,5)</f>
        <v/>
      </c>
      <c r="C407" s="24">
        <f>IF(VLOOKUP(Table48[[#This Row],[Date]],'DB LEI'!$A:$I,9)=0,"",VLOOKUP(Table48[[#This Row],[Date]],'DB LEI'!$A:$I,9))</f>
        <v/>
      </c>
      <c r="D407" s="24">
        <f>IF(VLOOKUP(Table48[[#This Row],[Date]],'DB LEI'!$A:$I,8)=0,"",VLOOKUP(Table48[[#This Row],[Date]],'DB LEI'!$A:$I,8))</f>
        <v/>
      </c>
    </row>
    <row r="408">
      <c r="A408" s="23" t="n">
        <v>40695</v>
      </c>
      <c r="B408" s="18">
        <f>VLOOKUP(Table48[[#This Row],[Date]],'DB LEI'!$A:$F,5)</f>
        <v/>
      </c>
      <c r="C408" s="24">
        <f>IF(VLOOKUP(Table48[[#This Row],[Date]],'DB LEI'!$A:$I,9)=0,"",VLOOKUP(Table48[[#This Row],[Date]],'DB LEI'!$A:$I,9))</f>
        <v/>
      </c>
      <c r="D408" s="24">
        <f>IF(VLOOKUP(Table48[[#This Row],[Date]],'DB LEI'!$A:$I,8)=0,"",VLOOKUP(Table48[[#This Row],[Date]],'DB LEI'!$A:$I,8))</f>
        <v/>
      </c>
    </row>
    <row r="409">
      <c r="A409" s="23" t="n">
        <v>40725</v>
      </c>
      <c r="B409" s="18">
        <f>VLOOKUP(Table48[[#This Row],[Date]],'DB LEI'!$A:$F,5)</f>
        <v/>
      </c>
      <c r="C409" s="24">
        <f>IF(VLOOKUP(Table48[[#This Row],[Date]],'DB LEI'!$A:$I,9)=0,"",VLOOKUP(Table48[[#This Row],[Date]],'DB LEI'!$A:$I,9))</f>
        <v/>
      </c>
      <c r="D409" s="24">
        <f>IF(VLOOKUP(Table48[[#This Row],[Date]],'DB LEI'!$A:$I,8)=0,"",VLOOKUP(Table48[[#This Row],[Date]],'DB LEI'!$A:$I,8))</f>
        <v/>
      </c>
    </row>
    <row r="410">
      <c r="A410" s="23" t="n">
        <v>40787</v>
      </c>
      <c r="B410" s="18">
        <f>VLOOKUP(Table48[[#This Row],[Date]],'DB LEI'!$A:$F,5)</f>
        <v/>
      </c>
      <c r="C410" s="24">
        <f>IF(VLOOKUP(Table48[[#This Row],[Date]],'DB LEI'!$A:$I,9)=0,"",VLOOKUP(Table48[[#This Row],[Date]],'DB LEI'!$A:$I,9))</f>
        <v/>
      </c>
      <c r="D410" s="24">
        <f>IF(VLOOKUP(Table48[[#This Row],[Date]],'DB LEI'!$A:$I,8)=0,"",VLOOKUP(Table48[[#This Row],[Date]],'DB LEI'!$A:$I,8))</f>
        <v/>
      </c>
    </row>
    <row r="411">
      <c r="A411" s="23" t="n">
        <v>39569</v>
      </c>
      <c r="B411" s="18">
        <f>VLOOKUP(Table48[[#This Row],[Date]],'DB LEI'!$A:$F,5)</f>
        <v/>
      </c>
      <c r="C411" s="24">
        <f>IF(VLOOKUP(Table48[[#This Row],[Date]],'DB LEI'!$A:$I,9)=0,"",VLOOKUP(Table48[[#This Row],[Date]],'DB LEI'!$A:$I,9))</f>
        <v/>
      </c>
      <c r="D411" s="24">
        <f>IF(VLOOKUP(Table48[[#This Row],[Date]],'DB LEI'!$A:$I,8)=0,"",VLOOKUP(Table48[[#This Row],[Date]],'DB LEI'!$A:$I,8))</f>
        <v/>
      </c>
    </row>
    <row r="412">
      <c r="A412" s="23" t="n">
        <v>40817</v>
      </c>
      <c r="B412" s="18">
        <f>VLOOKUP(Table48[[#This Row],[Date]],'DB LEI'!$A:$F,5)</f>
        <v/>
      </c>
      <c r="C412" s="24">
        <f>IF(VLOOKUP(Table48[[#This Row],[Date]],'DB LEI'!$A:$I,9)=0,"",VLOOKUP(Table48[[#This Row],[Date]],'DB LEI'!$A:$I,9))</f>
        <v/>
      </c>
      <c r="D412" s="24">
        <f>IF(VLOOKUP(Table48[[#This Row],[Date]],'DB LEI'!$A:$I,8)=0,"",VLOOKUP(Table48[[#This Row],[Date]],'DB LEI'!$A:$I,8))</f>
        <v/>
      </c>
    </row>
    <row r="413">
      <c r="A413" s="23" t="n">
        <v>40848</v>
      </c>
      <c r="B413" s="18">
        <f>VLOOKUP(Table48[[#This Row],[Date]],'DB LEI'!$A:$F,5)</f>
        <v/>
      </c>
      <c r="C413" s="24">
        <f>IF(VLOOKUP(Table48[[#This Row],[Date]],'DB LEI'!$A:$I,9)=0,"",VLOOKUP(Table48[[#This Row],[Date]],'DB LEI'!$A:$I,9))</f>
        <v/>
      </c>
      <c r="D413" s="24">
        <f>IF(VLOOKUP(Table48[[#This Row],[Date]],'DB LEI'!$A:$I,8)=0,"",VLOOKUP(Table48[[#This Row],[Date]],'DB LEI'!$A:$I,8))</f>
        <v/>
      </c>
    </row>
    <row r="414">
      <c r="A414" s="23" t="n">
        <v>40878</v>
      </c>
      <c r="B414" s="18">
        <f>VLOOKUP(Table48[[#This Row],[Date]],'DB LEI'!$A:$F,5)</f>
        <v/>
      </c>
      <c r="C414" s="24">
        <f>IF(VLOOKUP(Table48[[#This Row],[Date]],'DB LEI'!$A:$I,9)=0,"",VLOOKUP(Table48[[#This Row],[Date]],'DB LEI'!$A:$I,9))</f>
        <v/>
      </c>
      <c r="D414" s="24">
        <f>IF(VLOOKUP(Table48[[#This Row],[Date]],'DB LEI'!$A:$I,8)=0,"",VLOOKUP(Table48[[#This Row],[Date]],'DB LEI'!$A:$I,8))</f>
        <v/>
      </c>
    </row>
    <row r="415">
      <c r="A415" s="23" t="n">
        <v>40909</v>
      </c>
      <c r="B415" s="18">
        <f>VLOOKUP(Table48[[#This Row],[Date]],'DB LEI'!$A:$F,5)</f>
        <v/>
      </c>
      <c r="C415" s="24">
        <f>IF(VLOOKUP(Table48[[#This Row],[Date]],'DB LEI'!$A:$I,9)=0,"",VLOOKUP(Table48[[#This Row],[Date]],'DB LEI'!$A:$I,9))</f>
        <v/>
      </c>
      <c r="D415" s="24">
        <f>IF(VLOOKUP(Table48[[#This Row],[Date]],'DB LEI'!$A:$I,8)=0,"",VLOOKUP(Table48[[#This Row],[Date]],'DB LEI'!$A:$I,8))</f>
        <v/>
      </c>
    </row>
    <row r="416">
      <c r="A416" s="23" t="n">
        <v>40940</v>
      </c>
      <c r="B416" s="18">
        <f>VLOOKUP(Table48[[#This Row],[Date]],'DB LEI'!$A:$F,5)</f>
        <v/>
      </c>
      <c r="C416" s="24">
        <f>IF(VLOOKUP(Table48[[#This Row],[Date]],'DB LEI'!$A:$I,9)=0,"",VLOOKUP(Table48[[#This Row],[Date]],'DB LEI'!$A:$I,9))</f>
        <v/>
      </c>
      <c r="D416" s="24">
        <f>IF(VLOOKUP(Table48[[#This Row],[Date]],'DB LEI'!$A:$I,8)=0,"",VLOOKUP(Table48[[#This Row],[Date]],'DB LEI'!$A:$I,8))</f>
        <v/>
      </c>
    </row>
    <row r="417">
      <c r="A417" s="25" t="n">
        <v>40969</v>
      </c>
      <c r="B417" s="18">
        <f>VLOOKUP(Table48[[#This Row],[Date]],'DB LEI'!$A:$F,5)</f>
        <v/>
      </c>
      <c r="C417" s="24">
        <f>IF(VLOOKUP(Table48[[#This Row],[Date]],'DB LEI'!$A:$I,9)=0,"",VLOOKUP(Table48[[#This Row],[Date]],'DB LEI'!$A:$I,9))</f>
        <v/>
      </c>
      <c r="D417" s="24">
        <f>IF(VLOOKUP(Table48[[#This Row],[Date]],'DB LEI'!$A:$I,8)=0,"",VLOOKUP(Table48[[#This Row],[Date]],'DB LEI'!$A:$I,8))</f>
        <v/>
      </c>
    </row>
    <row r="418">
      <c r="A418" s="25" t="n">
        <v>41000</v>
      </c>
      <c r="B418" s="18">
        <f>VLOOKUP(Table48[[#This Row],[Date]],'DB LEI'!$A:$F,5)</f>
        <v/>
      </c>
      <c r="C418" s="24">
        <f>IF(VLOOKUP(Table48[[#This Row],[Date]],'DB LEI'!$A:$I,9)=0,"",VLOOKUP(Table48[[#This Row],[Date]],'DB LEI'!$A:$I,9))</f>
        <v/>
      </c>
      <c r="D418" s="24">
        <f>IF(VLOOKUP(Table48[[#This Row],[Date]],'DB LEI'!$A:$I,8)=0,"",VLOOKUP(Table48[[#This Row],[Date]],'DB LEI'!$A:$I,8))</f>
        <v/>
      </c>
    </row>
    <row r="419">
      <c r="A419" s="25" t="n">
        <v>41030</v>
      </c>
      <c r="B419" s="18">
        <f>VLOOKUP(Table48[[#This Row],[Date]],'DB LEI'!$A:$F,5)</f>
        <v/>
      </c>
      <c r="C419" s="24">
        <f>IF(VLOOKUP(Table48[[#This Row],[Date]],'DB LEI'!$A:$I,9)=0,"",VLOOKUP(Table48[[#This Row],[Date]],'DB LEI'!$A:$I,9))</f>
        <v/>
      </c>
      <c r="D419" s="24">
        <f>IF(VLOOKUP(Table48[[#This Row],[Date]],'DB LEI'!$A:$I,8)=0,"",VLOOKUP(Table48[[#This Row],[Date]],'DB LEI'!$A:$I,8))</f>
        <v/>
      </c>
    </row>
    <row r="420">
      <c r="A420" s="25" t="n">
        <v>41061</v>
      </c>
      <c r="B420" s="18">
        <f>VLOOKUP(Table48[[#This Row],[Date]],'DB LEI'!$A:$F,5)</f>
        <v/>
      </c>
      <c r="C420" s="24">
        <f>IF(VLOOKUP(Table48[[#This Row],[Date]],'DB LEI'!$A:$I,9)=0,"",VLOOKUP(Table48[[#This Row],[Date]],'DB LEI'!$A:$I,9))</f>
        <v/>
      </c>
      <c r="D420" s="24">
        <f>IF(VLOOKUP(Table48[[#This Row],[Date]],'DB LEI'!$A:$I,8)=0,"",VLOOKUP(Table48[[#This Row],[Date]],'DB LEI'!$A:$I,8))</f>
        <v/>
      </c>
    </row>
    <row r="421">
      <c r="A421" s="25" t="n">
        <v>41091</v>
      </c>
      <c r="B421" s="18">
        <f>VLOOKUP(Table48[[#This Row],[Date]],'DB LEI'!$A:$F,5)</f>
        <v/>
      </c>
      <c r="C421" s="24">
        <f>IF(VLOOKUP(Table48[[#This Row],[Date]],'DB LEI'!$A:$I,9)=0,"",VLOOKUP(Table48[[#This Row],[Date]],'DB LEI'!$A:$I,9))</f>
        <v/>
      </c>
      <c r="D421" s="24">
        <f>IF(VLOOKUP(Table48[[#This Row],[Date]],'DB LEI'!$A:$I,8)=0,"",VLOOKUP(Table48[[#This Row],[Date]],'DB LEI'!$A:$I,8))</f>
        <v/>
      </c>
    </row>
    <row r="422">
      <c r="A422" s="25" t="n">
        <v>41122</v>
      </c>
      <c r="B422" s="18">
        <f>VLOOKUP(Table48[[#This Row],[Date]],'DB LEI'!$A:$F,5)</f>
        <v/>
      </c>
      <c r="C422" s="24">
        <f>IF(VLOOKUP(Table48[[#This Row],[Date]],'DB LEI'!$A:$I,9)=0,"",VLOOKUP(Table48[[#This Row],[Date]],'DB LEI'!$A:$I,9))</f>
        <v/>
      </c>
      <c r="D422" s="24">
        <f>IF(VLOOKUP(Table48[[#This Row],[Date]],'DB LEI'!$A:$I,8)=0,"",VLOOKUP(Table48[[#This Row],[Date]],'DB LEI'!$A:$I,8))</f>
        <v/>
      </c>
    </row>
    <row r="423">
      <c r="A423" s="25" t="n">
        <v>41153</v>
      </c>
      <c r="B423" s="18">
        <f>VLOOKUP(Table48[[#This Row],[Date]],'DB LEI'!$A:$F,5)</f>
        <v/>
      </c>
      <c r="C423" s="24">
        <f>IF(VLOOKUP(Table48[[#This Row],[Date]],'DB LEI'!$A:$I,9)=0,"",VLOOKUP(Table48[[#This Row],[Date]],'DB LEI'!$A:$I,9))</f>
        <v/>
      </c>
      <c r="D423" s="24">
        <f>IF(VLOOKUP(Table48[[#This Row],[Date]],'DB LEI'!$A:$I,8)=0,"",VLOOKUP(Table48[[#This Row],[Date]],'DB LEI'!$A:$I,8))</f>
        <v/>
      </c>
    </row>
    <row r="424">
      <c r="A424" s="25" t="n">
        <v>41183</v>
      </c>
      <c r="B424" s="18">
        <f>VLOOKUP(Table48[[#This Row],[Date]],'DB LEI'!$A:$F,5)</f>
        <v/>
      </c>
      <c r="C424" s="24">
        <f>IF(VLOOKUP(Table48[[#This Row],[Date]],'DB LEI'!$A:$I,9)=0,"",VLOOKUP(Table48[[#This Row],[Date]],'DB LEI'!$A:$I,9))</f>
        <v/>
      </c>
      <c r="D424" s="24">
        <f>IF(VLOOKUP(Table48[[#This Row],[Date]],'DB LEI'!$A:$I,8)=0,"",VLOOKUP(Table48[[#This Row],[Date]],'DB LEI'!$A:$I,8))</f>
        <v/>
      </c>
    </row>
    <row r="425">
      <c r="A425" s="25" t="n">
        <v>41214</v>
      </c>
      <c r="B425" s="18">
        <f>VLOOKUP(Table48[[#This Row],[Date]],'DB LEI'!$A:$F,5)</f>
        <v/>
      </c>
      <c r="C425" s="24">
        <f>IF(VLOOKUP(Table48[[#This Row],[Date]],'DB LEI'!$A:$I,9)=0,"",VLOOKUP(Table48[[#This Row],[Date]],'DB LEI'!$A:$I,9))</f>
        <v/>
      </c>
      <c r="D425" s="24">
        <f>IF(VLOOKUP(Table48[[#This Row],[Date]],'DB LEI'!$A:$I,8)=0,"",VLOOKUP(Table48[[#This Row],[Date]],'DB LEI'!$A:$I,8))</f>
        <v/>
      </c>
    </row>
    <row r="426">
      <c r="A426" s="25" t="n">
        <v>41244</v>
      </c>
      <c r="B426" s="18">
        <f>VLOOKUP(Table48[[#This Row],[Date]],'DB LEI'!$A:$F,5)</f>
        <v/>
      </c>
      <c r="C426" s="24">
        <f>IF(VLOOKUP(Table48[[#This Row],[Date]],'DB LEI'!$A:$I,9)=0,"",VLOOKUP(Table48[[#This Row],[Date]],'DB LEI'!$A:$I,9))</f>
        <v/>
      </c>
      <c r="D426" s="24">
        <f>IF(VLOOKUP(Table48[[#This Row],[Date]],'DB LEI'!$A:$I,8)=0,"",VLOOKUP(Table48[[#This Row],[Date]],'DB LEI'!$A:$I,8))</f>
        <v/>
      </c>
    </row>
    <row r="427">
      <c r="A427" s="25" t="n">
        <v>41275</v>
      </c>
      <c r="B427" s="18">
        <f>VLOOKUP(Table48[[#This Row],[Date]],'DB LEI'!$A:$F,5)</f>
        <v/>
      </c>
      <c r="C427" s="24">
        <f>IF(VLOOKUP(Table48[[#This Row],[Date]],'DB LEI'!$A:$I,9)=0,"",VLOOKUP(Table48[[#This Row],[Date]],'DB LEI'!$A:$I,9))</f>
        <v/>
      </c>
      <c r="D427" s="24">
        <f>IF(VLOOKUP(Table48[[#This Row],[Date]],'DB LEI'!$A:$I,8)=0,"",VLOOKUP(Table48[[#This Row],[Date]],'DB LEI'!$A:$I,8))</f>
        <v/>
      </c>
    </row>
    <row r="428">
      <c r="A428" s="25" t="n">
        <v>41306</v>
      </c>
      <c r="B428" s="18">
        <f>VLOOKUP(Table48[[#This Row],[Date]],'DB LEI'!$A:$F,5)</f>
        <v/>
      </c>
      <c r="C428" s="24">
        <f>IF(VLOOKUP(Table48[[#This Row],[Date]],'DB LEI'!$A:$I,9)=0,"",VLOOKUP(Table48[[#This Row],[Date]],'DB LEI'!$A:$I,9))</f>
        <v/>
      </c>
      <c r="D428" s="24">
        <f>IF(VLOOKUP(Table48[[#This Row],[Date]],'DB LEI'!$A:$I,8)=0,"",VLOOKUP(Table48[[#This Row],[Date]],'DB LEI'!$A:$I,8))</f>
        <v/>
      </c>
    </row>
    <row r="429">
      <c r="A429" s="25" t="n">
        <v>41334</v>
      </c>
      <c r="B429" s="18">
        <f>VLOOKUP(Table48[[#This Row],[Date]],'DB LEI'!$A:$F,5)</f>
        <v/>
      </c>
      <c r="C429" s="24">
        <f>IF(VLOOKUP(Table48[[#This Row],[Date]],'DB LEI'!$A:$I,9)=0,"",VLOOKUP(Table48[[#This Row],[Date]],'DB LEI'!$A:$I,9))</f>
        <v/>
      </c>
      <c r="D429" s="24">
        <f>IF(VLOOKUP(Table48[[#This Row],[Date]],'DB LEI'!$A:$I,8)=0,"",VLOOKUP(Table48[[#This Row],[Date]],'DB LEI'!$A:$I,8))</f>
        <v/>
      </c>
    </row>
    <row r="430">
      <c r="A430" s="25" t="n">
        <v>41365</v>
      </c>
      <c r="B430" s="18">
        <f>VLOOKUP(Table48[[#This Row],[Date]],'DB LEI'!$A:$F,5)</f>
        <v/>
      </c>
      <c r="C430" s="24">
        <f>IF(VLOOKUP(Table48[[#This Row],[Date]],'DB LEI'!$A:$I,9)=0,"",VLOOKUP(Table48[[#This Row],[Date]],'DB LEI'!$A:$I,9))</f>
        <v/>
      </c>
      <c r="D430" s="24">
        <f>IF(VLOOKUP(Table48[[#This Row],[Date]],'DB LEI'!$A:$I,8)=0,"",VLOOKUP(Table48[[#This Row],[Date]],'DB LEI'!$A:$I,8))</f>
        <v/>
      </c>
    </row>
    <row r="431">
      <c r="A431" s="25" t="n">
        <v>41395</v>
      </c>
      <c r="B431" s="18">
        <f>VLOOKUP(Table48[[#This Row],[Date]],'DB LEI'!$A:$F,5)</f>
        <v/>
      </c>
      <c r="C431" s="24">
        <f>IF(VLOOKUP(Table48[[#This Row],[Date]],'DB LEI'!$A:$I,9)=0,"",VLOOKUP(Table48[[#This Row],[Date]],'DB LEI'!$A:$I,9))</f>
        <v/>
      </c>
      <c r="D431" s="24">
        <f>IF(VLOOKUP(Table48[[#This Row],[Date]],'DB LEI'!$A:$I,8)=0,"",VLOOKUP(Table48[[#This Row],[Date]],'DB LEI'!$A:$I,8))</f>
        <v/>
      </c>
    </row>
    <row r="432">
      <c r="A432" s="25" t="n">
        <v>41426</v>
      </c>
      <c r="B432" s="18">
        <f>VLOOKUP(Table48[[#This Row],[Date]],'DB LEI'!$A:$F,5)</f>
        <v/>
      </c>
      <c r="C432" s="24">
        <f>IF(VLOOKUP(Table48[[#This Row],[Date]],'DB LEI'!$A:$I,9)=0,"",VLOOKUP(Table48[[#This Row],[Date]],'DB LEI'!$A:$I,9))</f>
        <v/>
      </c>
      <c r="D432" s="24">
        <f>IF(VLOOKUP(Table48[[#This Row],[Date]],'DB LEI'!$A:$I,8)=0,"",VLOOKUP(Table48[[#This Row],[Date]],'DB LEI'!$A:$I,8))</f>
        <v/>
      </c>
    </row>
    <row r="433">
      <c r="A433" s="25" t="n">
        <v>41456</v>
      </c>
      <c r="B433" s="18">
        <f>VLOOKUP(Table48[[#This Row],[Date]],'DB LEI'!$A:$F,5)</f>
        <v/>
      </c>
      <c r="C433" s="24">
        <f>IF(VLOOKUP(Table48[[#This Row],[Date]],'DB LEI'!$A:$I,9)=0,"",VLOOKUP(Table48[[#This Row],[Date]],'DB LEI'!$A:$I,9))</f>
        <v/>
      </c>
      <c r="D433" s="24">
        <f>IF(VLOOKUP(Table48[[#This Row],[Date]],'DB LEI'!$A:$I,8)=0,"",VLOOKUP(Table48[[#This Row],[Date]],'DB LEI'!$A:$I,8))</f>
        <v/>
      </c>
    </row>
    <row r="434">
      <c r="A434" s="25" t="n">
        <v>41487</v>
      </c>
      <c r="B434" s="18">
        <f>VLOOKUP(Table48[[#This Row],[Date]],'DB LEI'!$A:$F,5)</f>
        <v/>
      </c>
      <c r="C434" s="24">
        <f>IF(VLOOKUP(Table48[[#This Row],[Date]],'DB LEI'!$A:$I,9)=0,"",VLOOKUP(Table48[[#This Row],[Date]],'DB LEI'!$A:$I,9))</f>
        <v/>
      </c>
      <c r="D434" s="24">
        <f>IF(VLOOKUP(Table48[[#This Row],[Date]],'DB LEI'!$A:$I,8)=0,"",VLOOKUP(Table48[[#This Row],[Date]],'DB LEI'!$A:$I,8))</f>
        <v/>
      </c>
    </row>
    <row r="435">
      <c r="A435" s="25" t="n">
        <v>41518</v>
      </c>
      <c r="B435" s="18">
        <f>VLOOKUP(Table48[[#This Row],[Date]],'DB LEI'!$A:$F,5)</f>
        <v/>
      </c>
      <c r="C435" s="24">
        <f>IF(VLOOKUP(Table48[[#This Row],[Date]],'DB LEI'!$A:$I,9)=0,"",VLOOKUP(Table48[[#This Row],[Date]],'DB LEI'!$A:$I,9))</f>
        <v/>
      </c>
      <c r="D435" s="24">
        <f>IF(VLOOKUP(Table48[[#This Row],[Date]],'DB LEI'!$A:$I,8)=0,"",VLOOKUP(Table48[[#This Row],[Date]],'DB LEI'!$A:$I,8))</f>
        <v/>
      </c>
    </row>
    <row r="436">
      <c r="A436" s="25" t="n">
        <v>41548</v>
      </c>
      <c r="B436" s="18">
        <f>VLOOKUP(Table48[[#This Row],[Date]],'DB LEI'!$A:$F,5)</f>
        <v/>
      </c>
      <c r="C436" s="24">
        <f>IF(VLOOKUP(Table48[[#This Row],[Date]],'DB LEI'!$A:$I,9)=0,"",VLOOKUP(Table48[[#This Row],[Date]],'DB LEI'!$A:$I,9))</f>
        <v/>
      </c>
      <c r="D436" s="24">
        <f>IF(VLOOKUP(Table48[[#This Row],[Date]],'DB LEI'!$A:$I,8)=0,"",VLOOKUP(Table48[[#This Row],[Date]],'DB LEI'!$A:$I,8))</f>
        <v/>
      </c>
    </row>
    <row r="437">
      <c r="A437" s="25" t="n">
        <v>41579</v>
      </c>
      <c r="B437" s="18">
        <f>VLOOKUP(Table48[[#This Row],[Date]],'DB LEI'!$A:$F,5)</f>
        <v/>
      </c>
      <c r="C437" s="24">
        <f>IF(VLOOKUP(Table48[[#This Row],[Date]],'DB LEI'!$A:$I,9)=0,"",VLOOKUP(Table48[[#This Row],[Date]],'DB LEI'!$A:$I,9))</f>
        <v/>
      </c>
      <c r="D437" s="24">
        <f>IF(VLOOKUP(Table48[[#This Row],[Date]],'DB LEI'!$A:$I,8)=0,"",VLOOKUP(Table48[[#This Row],[Date]],'DB LEI'!$A:$I,8))</f>
        <v/>
      </c>
    </row>
    <row r="438">
      <c r="A438" s="25" t="n">
        <v>41609</v>
      </c>
      <c r="B438" s="18">
        <f>VLOOKUP(Table48[[#This Row],[Date]],'DB LEI'!$A:$F,5)</f>
        <v/>
      </c>
      <c r="C438" s="24">
        <f>IF(VLOOKUP(Table48[[#This Row],[Date]],'DB LEI'!$A:$I,9)=0,"",VLOOKUP(Table48[[#This Row],[Date]],'DB LEI'!$A:$I,9))</f>
        <v/>
      </c>
      <c r="D438" s="24">
        <f>IF(VLOOKUP(Table48[[#This Row],[Date]],'DB LEI'!$A:$I,8)=0,"",VLOOKUP(Table48[[#This Row],[Date]],'DB LEI'!$A:$I,8))</f>
        <v/>
      </c>
    </row>
    <row r="439">
      <c r="A439" s="25" t="n">
        <v>41640</v>
      </c>
      <c r="B439" s="18">
        <f>VLOOKUP(Table48[[#This Row],[Date]],'DB LEI'!$A:$F,5)</f>
        <v/>
      </c>
      <c r="C439" s="24">
        <f>IF(VLOOKUP(Table48[[#This Row],[Date]],'DB LEI'!$A:$I,9)=0,"",VLOOKUP(Table48[[#This Row],[Date]],'DB LEI'!$A:$I,9))</f>
        <v/>
      </c>
      <c r="D439" s="24">
        <f>IF(VLOOKUP(Table48[[#This Row],[Date]],'DB LEI'!$A:$I,8)=0,"",VLOOKUP(Table48[[#This Row],[Date]],'DB LEI'!$A:$I,8))</f>
        <v/>
      </c>
    </row>
    <row r="440">
      <c r="A440" s="25" t="n">
        <v>41671</v>
      </c>
      <c r="B440" s="18">
        <f>VLOOKUP(Table48[[#This Row],[Date]],'DB LEI'!$A:$F,5)</f>
        <v/>
      </c>
      <c r="C440" s="24">
        <f>IF(VLOOKUP(Table48[[#This Row],[Date]],'DB LEI'!$A:$I,9)=0,"",VLOOKUP(Table48[[#This Row],[Date]],'DB LEI'!$A:$I,9))</f>
        <v/>
      </c>
      <c r="D440" s="24">
        <f>IF(VLOOKUP(Table48[[#This Row],[Date]],'DB LEI'!$A:$I,8)=0,"",VLOOKUP(Table48[[#This Row],[Date]],'DB LEI'!$A:$I,8))</f>
        <v/>
      </c>
    </row>
    <row r="441">
      <c r="A441" s="25" t="n">
        <v>41699</v>
      </c>
      <c r="B441" s="18">
        <f>VLOOKUP(Table48[[#This Row],[Date]],'DB LEI'!$A:$F,5)</f>
        <v/>
      </c>
      <c r="C441" s="24">
        <f>IF(VLOOKUP(Table48[[#This Row],[Date]],'DB LEI'!$A:$I,9)=0,"",VLOOKUP(Table48[[#This Row],[Date]],'DB LEI'!$A:$I,9))</f>
        <v/>
      </c>
      <c r="D441" s="24">
        <f>IF(VLOOKUP(Table48[[#This Row],[Date]],'DB LEI'!$A:$I,8)=0,"",VLOOKUP(Table48[[#This Row],[Date]],'DB LEI'!$A:$I,8))</f>
        <v/>
      </c>
    </row>
    <row r="442">
      <c r="A442" s="25" t="n">
        <v>41730</v>
      </c>
      <c r="B442" s="18">
        <f>VLOOKUP(Table48[[#This Row],[Date]],'DB LEI'!$A:$F,5)</f>
        <v/>
      </c>
      <c r="C442" s="24">
        <f>IF(VLOOKUP(Table48[[#This Row],[Date]],'DB LEI'!$A:$I,9)=0,"",VLOOKUP(Table48[[#This Row],[Date]],'DB LEI'!$A:$I,9))</f>
        <v/>
      </c>
      <c r="D442" s="24">
        <f>IF(VLOOKUP(Table48[[#This Row],[Date]],'DB LEI'!$A:$I,8)=0,"",VLOOKUP(Table48[[#This Row],[Date]],'DB LEI'!$A:$I,8))</f>
        <v/>
      </c>
    </row>
    <row r="443">
      <c r="A443" s="25" t="n">
        <v>41760</v>
      </c>
      <c r="B443" s="18">
        <f>VLOOKUP(Table48[[#This Row],[Date]],'DB LEI'!$A:$F,5)</f>
        <v/>
      </c>
      <c r="C443" s="24">
        <f>IF(VLOOKUP(Table48[[#This Row],[Date]],'DB LEI'!$A:$I,9)=0,"",VLOOKUP(Table48[[#This Row],[Date]],'DB LEI'!$A:$I,9))</f>
        <v/>
      </c>
      <c r="D443" s="24">
        <f>IF(VLOOKUP(Table48[[#This Row],[Date]],'DB LEI'!$A:$I,8)=0,"",VLOOKUP(Table48[[#This Row],[Date]],'DB LEI'!$A:$I,8))</f>
        <v/>
      </c>
    </row>
    <row r="444">
      <c r="A444" s="25" t="n">
        <v>41791</v>
      </c>
      <c r="B444" s="18">
        <f>VLOOKUP(Table48[[#This Row],[Date]],'DB LEI'!$A:$F,5)</f>
        <v/>
      </c>
      <c r="C444" s="24">
        <f>IF(VLOOKUP(Table48[[#This Row],[Date]],'DB LEI'!$A:$I,9)=0,"",VLOOKUP(Table48[[#This Row],[Date]],'DB LEI'!$A:$I,9))</f>
        <v/>
      </c>
      <c r="D444" s="24">
        <f>IF(VLOOKUP(Table48[[#This Row],[Date]],'DB LEI'!$A:$I,8)=0,"",VLOOKUP(Table48[[#This Row],[Date]],'DB LEI'!$A:$I,8))</f>
        <v/>
      </c>
    </row>
    <row r="445">
      <c r="A445" s="25" t="n">
        <v>41821</v>
      </c>
      <c r="B445" s="18">
        <f>VLOOKUP(Table48[[#This Row],[Date]],'DB LEI'!$A:$F,5)</f>
        <v/>
      </c>
      <c r="C445" s="24">
        <f>IF(VLOOKUP(Table48[[#This Row],[Date]],'DB LEI'!$A:$I,9)=0,"",VLOOKUP(Table48[[#This Row],[Date]],'DB LEI'!$A:$I,9))</f>
        <v/>
      </c>
      <c r="D445" s="24">
        <f>IF(VLOOKUP(Table48[[#This Row],[Date]],'DB LEI'!$A:$I,8)=0,"",VLOOKUP(Table48[[#This Row],[Date]],'DB LEI'!$A:$I,8))</f>
        <v/>
      </c>
    </row>
    <row r="446">
      <c r="A446" s="25" t="n">
        <v>41852</v>
      </c>
      <c r="B446" s="18">
        <f>VLOOKUP(Table48[[#This Row],[Date]],'DB LEI'!$A:$F,5)</f>
        <v/>
      </c>
      <c r="C446" s="24">
        <f>IF(VLOOKUP(Table48[[#This Row],[Date]],'DB LEI'!$A:$I,9)=0,"",VLOOKUP(Table48[[#This Row],[Date]],'DB LEI'!$A:$I,9))</f>
        <v/>
      </c>
      <c r="D446" s="24">
        <f>IF(VLOOKUP(Table48[[#This Row],[Date]],'DB LEI'!$A:$I,8)=0,"",VLOOKUP(Table48[[#This Row],[Date]],'DB LEI'!$A:$I,8))</f>
        <v/>
      </c>
    </row>
    <row r="447">
      <c r="A447" s="25" t="n">
        <v>41883</v>
      </c>
      <c r="B447" s="18">
        <f>VLOOKUP(Table48[[#This Row],[Date]],'DB LEI'!$A:$F,5)</f>
        <v/>
      </c>
      <c r="C447" s="24">
        <f>IF(VLOOKUP(Table48[[#This Row],[Date]],'DB LEI'!$A:$I,9)=0,"",VLOOKUP(Table48[[#This Row],[Date]],'DB LEI'!$A:$I,9))</f>
        <v/>
      </c>
      <c r="D447" s="24">
        <f>IF(VLOOKUP(Table48[[#This Row],[Date]],'DB LEI'!$A:$I,8)=0,"",VLOOKUP(Table48[[#This Row],[Date]],'DB LEI'!$A:$I,8))</f>
        <v/>
      </c>
    </row>
    <row r="448">
      <c r="A448" s="25" t="n">
        <v>41913</v>
      </c>
      <c r="B448" s="18">
        <f>VLOOKUP(Table48[[#This Row],[Date]],'DB LEI'!$A:$F,5)</f>
        <v/>
      </c>
      <c r="C448" s="24">
        <f>IF(VLOOKUP(Table48[[#This Row],[Date]],'DB LEI'!$A:$I,9)=0,"",VLOOKUP(Table48[[#This Row],[Date]],'DB LEI'!$A:$I,9))</f>
        <v/>
      </c>
      <c r="D448" s="24">
        <f>IF(VLOOKUP(Table48[[#This Row],[Date]],'DB LEI'!$A:$I,8)=0,"",VLOOKUP(Table48[[#This Row],[Date]],'DB LEI'!$A:$I,8))</f>
        <v/>
      </c>
    </row>
    <row r="449">
      <c r="A449" s="25" t="n">
        <v>41944</v>
      </c>
      <c r="B449" s="18">
        <f>VLOOKUP(Table48[[#This Row],[Date]],'DB LEI'!$A:$F,5)</f>
        <v/>
      </c>
      <c r="C449" s="24">
        <f>IF(VLOOKUP(Table48[[#This Row],[Date]],'DB LEI'!$A:$I,9)=0,"",VLOOKUP(Table48[[#This Row],[Date]],'DB LEI'!$A:$I,9))</f>
        <v/>
      </c>
      <c r="D449" s="24">
        <f>IF(VLOOKUP(Table48[[#This Row],[Date]],'DB LEI'!$A:$I,8)=0,"",VLOOKUP(Table48[[#This Row],[Date]],'DB LEI'!$A:$I,8))</f>
        <v/>
      </c>
    </row>
    <row r="450">
      <c r="A450" s="25" t="n">
        <v>41974</v>
      </c>
      <c r="B450" s="18">
        <f>VLOOKUP(Table48[[#This Row],[Date]],'DB LEI'!$A:$F,5)</f>
        <v/>
      </c>
      <c r="C450" s="24">
        <f>IF(VLOOKUP(Table48[[#This Row],[Date]],'DB LEI'!$A:$I,9)=0,"",VLOOKUP(Table48[[#This Row],[Date]],'DB LEI'!$A:$I,9))</f>
        <v/>
      </c>
      <c r="D450" s="24">
        <f>IF(VLOOKUP(Table48[[#This Row],[Date]],'DB LEI'!$A:$I,8)=0,"",VLOOKUP(Table48[[#This Row],[Date]],'DB LEI'!$A:$I,8))</f>
        <v/>
      </c>
    </row>
    <row r="451">
      <c r="A451" s="25" t="n">
        <v>42005</v>
      </c>
      <c r="B451" s="18">
        <f>VLOOKUP(Table48[[#This Row],[Date]],'DB LEI'!$A:$F,5)</f>
        <v/>
      </c>
      <c r="C451" s="24">
        <f>IF(VLOOKUP(Table48[[#This Row],[Date]],'DB LEI'!$A:$I,9)=0,"",VLOOKUP(Table48[[#This Row],[Date]],'DB LEI'!$A:$I,9))</f>
        <v/>
      </c>
      <c r="D451" s="24">
        <f>IF(VLOOKUP(Table48[[#This Row],[Date]],'DB LEI'!$A:$I,8)=0,"",VLOOKUP(Table48[[#This Row],[Date]],'DB LEI'!$A:$I,8))</f>
        <v/>
      </c>
    </row>
    <row r="452">
      <c r="A452" s="25" t="n">
        <v>42036</v>
      </c>
      <c r="B452" s="18">
        <f>VLOOKUP(Table48[[#This Row],[Date]],'DB LEI'!$A:$F,5)</f>
        <v/>
      </c>
      <c r="C452" s="24">
        <f>IF(VLOOKUP(Table48[[#This Row],[Date]],'DB LEI'!$A:$I,9)=0,"",VLOOKUP(Table48[[#This Row],[Date]],'DB LEI'!$A:$I,9))</f>
        <v/>
      </c>
      <c r="D452" s="24">
        <f>IF(VLOOKUP(Table48[[#This Row],[Date]],'DB LEI'!$A:$I,8)=0,"",VLOOKUP(Table48[[#This Row],[Date]],'DB LEI'!$A:$I,8))</f>
        <v/>
      </c>
    </row>
    <row r="453">
      <c r="A453" s="25" t="n">
        <v>42064</v>
      </c>
      <c r="B453" s="18">
        <f>VLOOKUP(Table48[[#This Row],[Date]],'DB LEI'!$A:$F,5)</f>
        <v/>
      </c>
      <c r="C453" s="24">
        <f>IF(VLOOKUP(Table48[[#This Row],[Date]],'DB LEI'!$A:$I,9)=0,"",VLOOKUP(Table48[[#This Row],[Date]],'DB LEI'!$A:$I,9))</f>
        <v/>
      </c>
      <c r="D453" s="24">
        <f>IF(VLOOKUP(Table48[[#This Row],[Date]],'DB LEI'!$A:$I,8)=0,"",VLOOKUP(Table48[[#This Row],[Date]],'DB LEI'!$A:$I,8))</f>
        <v/>
      </c>
    </row>
    <row r="454">
      <c r="A454" s="25" t="n">
        <v>42095</v>
      </c>
      <c r="B454" s="18">
        <f>VLOOKUP(Table48[[#This Row],[Date]],'DB LEI'!$A:$F,5)</f>
        <v/>
      </c>
      <c r="C454" s="24">
        <f>IF(VLOOKUP(Table48[[#This Row],[Date]],'DB LEI'!$A:$I,9)=0,"",VLOOKUP(Table48[[#This Row],[Date]],'DB LEI'!$A:$I,9))</f>
        <v/>
      </c>
      <c r="D454" s="24">
        <f>IF(VLOOKUP(Table48[[#This Row],[Date]],'DB LEI'!$A:$I,8)=0,"",VLOOKUP(Table48[[#This Row],[Date]],'DB LEI'!$A:$I,8))</f>
        <v/>
      </c>
    </row>
    <row r="455">
      <c r="A455" s="25" t="n">
        <v>42125</v>
      </c>
      <c r="B455" s="18">
        <f>VLOOKUP(Table48[[#This Row],[Date]],'DB LEI'!$A:$F,5)</f>
        <v/>
      </c>
      <c r="C455" s="24">
        <f>IF(VLOOKUP(Table48[[#This Row],[Date]],'DB LEI'!$A:$I,9)=0,"",VLOOKUP(Table48[[#This Row],[Date]],'DB LEI'!$A:$I,9))</f>
        <v/>
      </c>
      <c r="D455" s="24">
        <f>IF(VLOOKUP(Table48[[#This Row],[Date]],'DB LEI'!$A:$I,8)=0,"",VLOOKUP(Table48[[#This Row],[Date]],'DB LEI'!$A:$I,8))</f>
        <v/>
      </c>
    </row>
    <row r="456">
      <c r="A456" s="25" t="n">
        <v>42156</v>
      </c>
      <c r="B456" s="18">
        <f>VLOOKUP(Table48[[#This Row],[Date]],'DB LEI'!$A:$F,5)</f>
        <v/>
      </c>
      <c r="C456" s="24">
        <f>IF(VLOOKUP(Table48[[#This Row],[Date]],'DB LEI'!$A:$I,9)=0,"",VLOOKUP(Table48[[#This Row],[Date]],'DB LEI'!$A:$I,9))</f>
        <v/>
      </c>
      <c r="D456" s="24">
        <f>IF(VLOOKUP(Table48[[#This Row],[Date]],'DB LEI'!$A:$I,8)=0,"",VLOOKUP(Table48[[#This Row],[Date]],'DB LEI'!$A:$I,8))</f>
        <v/>
      </c>
    </row>
    <row r="457">
      <c r="A457" s="25" t="n">
        <v>42186</v>
      </c>
      <c r="B457" s="18">
        <f>VLOOKUP(Table48[[#This Row],[Date]],'DB LEI'!$A:$F,5)</f>
        <v/>
      </c>
      <c r="C457" s="24">
        <f>IF(VLOOKUP(Table48[[#This Row],[Date]],'DB LEI'!$A:$I,9)=0,"",VLOOKUP(Table48[[#This Row],[Date]],'DB LEI'!$A:$I,9))</f>
        <v/>
      </c>
      <c r="D457" s="24">
        <f>IF(VLOOKUP(Table48[[#This Row],[Date]],'DB LEI'!$A:$I,8)=0,"",VLOOKUP(Table48[[#This Row],[Date]],'DB LEI'!$A:$I,8))</f>
        <v/>
      </c>
    </row>
    <row r="458">
      <c r="A458" s="25" t="n">
        <v>42217</v>
      </c>
      <c r="B458" s="18">
        <f>VLOOKUP(Table48[[#This Row],[Date]],'DB LEI'!$A:$F,5)</f>
        <v/>
      </c>
      <c r="C458" s="24">
        <f>IF(VLOOKUP(Table48[[#This Row],[Date]],'DB LEI'!$A:$I,9)=0,"",VLOOKUP(Table48[[#This Row],[Date]],'DB LEI'!$A:$I,9))</f>
        <v/>
      </c>
      <c r="D458" s="24">
        <f>IF(VLOOKUP(Table48[[#This Row],[Date]],'DB LEI'!$A:$I,8)=0,"",VLOOKUP(Table48[[#This Row],[Date]],'DB LEI'!$A:$I,8))</f>
        <v/>
      </c>
    </row>
    <row r="459">
      <c r="A459" s="25" t="n">
        <v>42248</v>
      </c>
      <c r="B459" s="18">
        <f>VLOOKUP(Table48[[#This Row],[Date]],'DB LEI'!$A:$F,5)</f>
        <v/>
      </c>
      <c r="C459" s="24">
        <f>IF(VLOOKUP(Table48[[#This Row],[Date]],'DB LEI'!$A:$I,9)=0,"",VLOOKUP(Table48[[#This Row],[Date]],'DB LEI'!$A:$I,9))</f>
        <v/>
      </c>
      <c r="D459" s="24">
        <f>IF(VLOOKUP(Table48[[#This Row],[Date]],'DB LEI'!$A:$I,8)=0,"",VLOOKUP(Table48[[#This Row],[Date]],'DB LEI'!$A:$I,8))</f>
        <v/>
      </c>
    </row>
    <row r="460">
      <c r="A460" s="25" t="n">
        <v>42278</v>
      </c>
      <c r="B460" s="18">
        <f>VLOOKUP(Table48[[#This Row],[Date]],'DB LEI'!$A:$F,5)</f>
        <v/>
      </c>
      <c r="C460" s="24">
        <f>IF(VLOOKUP(Table48[[#This Row],[Date]],'DB LEI'!$A:$I,9)=0,"",VLOOKUP(Table48[[#This Row],[Date]],'DB LEI'!$A:$I,9))</f>
        <v/>
      </c>
      <c r="D460" s="24">
        <f>IF(VLOOKUP(Table48[[#This Row],[Date]],'DB LEI'!$A:$I,8)=0,"",VLOOKUP(Table48[[#This Row],[Date]],'DB LEI'!$A:$I,8))</f>
        <v/>
      </c>
    </row>
    <row r="461">
      <c r="A461" s="25" t="n">
        <v>42309</v>
      </c>
      <c r="B461" s="18">
        <f>VLOOKUP(Table48[[#This Row],[Date]],'DB LEI'!$A:$F,5)</f>
        <v/>
      </c>
      <c r="C461" s="24">
        <f>IF(VLOOKUP(Table48[[#This Row],[Date]],'DB LEI'!$A:$I,9)=0,"",VLOOKUP(Table48[[#This Row],[Date]],'DB LEI'!$A:$I,9))</f>
        <v/>
      </c>
      <c r="D461" s="24">
        <f>IF(VLOOKUP(Table48[[#This Row],[Date]],'DB LEI'!$A:$I,8)=0,"",VLOOKUP(Table48[[#This Row],[Date]],'DB LEI'!$A:$I,8))</f>
        <v/>
      </c>
    </row>
    <row r="462">
      <c r="A462" s="25" t="n">
        <v>42339</v>
      </c>
      <c r="B462" s="18">
        <f>VLOOKUP(Table48[[#This Row],[Date]],'DB LEI'!$A:$F,5)</f>
        <v/>
      </c>
      <c r="C462" s="24">
        <f>IF(VLOOKUP(Table48[[#This Row],[Date]],'DB LEI'!$A:$I,9)=0,"",VLOOKUP(Table48[[#This Row],[Date]],'DB LEI'!$A:$I,9))</f>
        <v/>
      </c>
      <c r="D462" s="24">
        <f>IF(VLOOKUP(Table48[[#This Row],[Date]],'DB LEI'!$A:$I,8)=0,"",VLOOKUP(Table48[[#This Row],[Date]],'DB LEI'!$A:$I,8))</f>
        <v/>
      </c>
    </row>
    <row r="463">
      <c r="A463" s="25" t="n">
        <v>42370</v>
      </c>
      <c r="B463" s="18">
        <f>VLOOKUP(Table48[[#This Row],[Date]],'DB LEI'!$A:$F,5)</f>
        <v/>
      </c>
      <c r="C463" s="24">
        <f>IF(VLOOKUP(Table48[[#This Row],[Date]],'DB LEI'!$A:$I,9)=0,"",VLOOKUP(Table48[[#This Row],[Date]],'DB LEI'!$A:$I,9))</f>
        <v/>
      </c>
      <c r="D463" s="24">
        <f>IF(VLOOKUP(Table48[[#This Row],[Date]],'DB LEI'!$A:$I,8)=0,"",VLOOKUP(Table48[[#This Row],[Date]],'DB LEI'!$A:$I,8))</f>
        <v/>
      </c>
    </row>
    <row r="464">
      <c r="A464" s="25" t="n">
        <v>42401</v>
      </c>
      <c r="B464" s="18">
        <f>VLOOKUP(Table48[[#This Row],[Date]],'DB LEI'!$A:$F,5)</f>
        <v/>
      </c>
      <c r="C464" s="24">
        <f>IF(VLOOKUP(Table48[[#This Row],[Date]],'DB LEI'!$A:$I,9)=0,"",VLOOKUP(Table48[[#This Row],[Date]],'DB LEI'!$A:$I,9))</f>
        <v/>
      </c>
      <c r="D464" s="24">
        <f>IF(VLOOKUP(Table48[[#This Row],[Date]],'DB LEI'!$A:$I,8)=0,"",VLOOKUP(Table48[[#This Row],[Date]],'DB LEI'!$A:$I,8))</f>
        <v/>
      </c>
    </row>
    <row r="465">
      <c r="A465" s="25" t="n">
        <v>42430</v>
      </c>
      <c r="B465" s="18">
        <f>VLOOKUP(Table48[[#This Row],[Date]],'DB LEI'!$A:$F,5)</f>
        <v/>
      </c>
      <c r="C465" s="24">
        <f>IF(VLOOKUP(Table48[[#This Row],[Date]],'DB LEI'!$A:$I,9)=0,"",VLOOKUP(Table48[[#This Row],[Date]],'DB LEI'!$A:$I,9))</f>
        <v/>
      </c>
      <c r="D465" s="24">
        <f>IF(VLOOKUP(Table48[[#This Row],[Date]],'DB LEI'!$A:$I,8)=0,"",VLOOKUP(Table48[[#This Row],[Date]],'DB LEI'!$A:$I,8))</f>
        <v/>
      </c>
    </row>
    <row r="466">
      <c r="A466" s="25" t="n">
        <v>42461</v>
      </c>
      <c r="B466" s="18">
        <f>VLOOKUP(Table48[[#This Row],[Date]],'DB LEI'!$A:$F,5)</f>
        <v/>
      </c>
      <c r="C466" s="24">
        <f>IF(VLOOKUP(Table48[[#This Row],[Date]],'DB LEI'!$A:$I,9)=0,"",VLOOKUP(Table48[[#This Row],[Date]],'DB LEI'!$A:$I,9))</f>
        <v/>
      </c>
      <c r="D466" s="24">
        <f>IF(VLOOKUP(Table48[[#This Row],[Date]],'DB LEI'!$A:$I,8)=0,"",VLOOKUP(Table48[[#This Row],[Date]],'DB LEI'!$A:$I,8))</f>
        <v/>
      </c>
    </row>
    <row r="467">
      <c r="A467" s="25" t="n">
        <v>42491</v>
      </c>
      <c r="B467" s="18">
        <f>VLOOKUP(Table48[[#This Row],[Date]],'DB LEI'!$A:$F,5)</f>
        <v/>
      </c>
      <c r="C467" s="24">
        <f>IF(VLOOKUP(Table48[[#This Row],[Date]],'DB LEI'!$A:$I,9)=0,"",VLOOKUP(Table48[[#This Row],[Date]],'DB LEI'!$A:$I,9))</f>
        <v/>
      </c>
      <c r="D467" s="24">
        <f>IF(VLOOKUP(Table48[[#This Row],[Date]],'DB LEI'!$A:$I,8)=0,"",VLOOKUP(Table48[[#This Row],[Date]],'DB LEI'!$A:$I,8))</f>
        <v/>
      </c>
    </row>
    <row r="468">
      <c r="A468" s="25" t="n">
        <v>42522</v>
      </c>
      <c r="B468" s="18">
        <f>VLOOKUP(Table48[[#This Row],[Date]],'DB LEI'!$A:$F,5)</f>
        <v/>
      </c>
      <c r="C468" s="24">
        <f>IF(VLOOKUP(Table48[[#This Row],[Date]],'DB LEI'!$A:$I,9)=0,"",VLOOKUP(Table48[[#This Row],[Date]],'DB LEI'!$A:$I,9))</f>
        <v/>
      </c>
      <c r="D468" s="24">
        <f>IF(VLOOKUP(Table48[[#This Row],[Date]],'DB LEI'!$A:$I,8)=0,"",VLOOKUP(Table48[[#This Row],[Date]],'DB LEI'!$A:$I,8))</f>
        <v/>
      </c>
    </row>
    <row r="469">
      <c r="A469" s="25" t="n">
        <v>42552</v>
      </c>
      <c r="B469" s="18">
        <f>VLOOKUP(Table48[[#This Row],[Date]],'DB LEI'!$A:$F,5)</f>
        <v/>
      </c>
      <c r="C469" s="24">
        <f>IF(VLOOKUP(Table48[[#This Row],[Date]],'DB LEI'!$A:$I,9)=0,"",VLOOKUP(Table48[[#This Row],[Date]],'DB LEI'!$A:$I,9))</f>
        <v/>
      </c>
      <c r="D469" s="24">
        <f>IF(VLOOKUP(Table48[[#This Row],[Date]],'DB LEI'!$A:$I,8)=0,"",VLOOKUP(Table48[[#This Row],[Date]],'DB LEI'!$A:$I,8))</f>
        <v/>
      </c>
    </row>
    <row r="470">
      <c r="A470" s="25" t="n">
        <v>42583</v>
      </c>
      <c r="B470" s="18">
        <f>VLOOKUP(Table48[[#This Row],[Date]],'DB LEI'!$A:$F,5)</f>
        <v/>
      </c>
      <c r="C470" s="24">
        <f>IF(VLOOKUP(Table48[[#This Row],[Date]],'DB LEI'!$A:$I,9)=0,"",VLOOKUP(Table48[[#This Row],[Date]],'DB LEI'!$A:$I,9))</f>
        <v/>
      </c>
      <c r="D470" s="24">
        <f>IF(VLOOKUP(Table48[[#This Row],[Date]],'DB LEI'!$A:$I,8)=0,"",VLOOKUP(Table48[[#This Row],[Date]],'DB LEI'!$A:$I,8))</f>
        <v/>
      </c>
    </row>
    <row r="471">
      <c r="A471" s="25" t="n">
        <v>42614</v>
      </c>
      <c r="B471" s="18">
        <f>VLOOKUP(Table48[[#This Row],[Date]],'DB LEI'!$A:$F,5)</f>
        <v/>
      </c>
      <c r="C471" s="24">
        <f>IF(VLOOKUP(Table48[[#This Row],[Date]],'DB LEI'!$A:$I,9)=0,"",VLOOKUP(Table48[[#This Row],[Date]],'DB LEI'!$A:$I,9))</f>
        <v/>
      </c>
      <c r="D471" s="24">
        <f>IF(VLOOKUP(Table48[[#This Row],[Date]],'DB LEI'!$A:$I,8)=0,"",VLOOKUP(Table48[[#This Row],[Date]],'DB LEI'!$A:$I,8))</f>
        <v/>
      </c>
    </row>
    <row r="472">
      <c r="A472" s="25" t="n">
        <v>42644</v>
      </c>
      <c r="B472" s="18">
        <f>VLOOKUP(Table48[[#This Row],[Date]],'DB LEI'!$A:$F,5)</f>
        <v/>
      </c>
      <c r="C472" s="24">
        <f>IF(VLOOKUP(Table48[[#This Row],[Date]],'DB LEI'!$A:$I,9)=0,"",VLOOKUP(Table48[[#This Row],[Date]],'DB LEI'!$A:$I,9))</f>
        <v/>
      </c>
      <c r="D472" s="24">
        <f>IF(VLOOKUP(Table48[[#This Row],[Date]],'DB LEI'!$A:$I,8)=0,"",VLOOKUP(Table48[[#This Row],[Date]],'DB LEI'!$A:$I,8))</f>
        <v/>
      </c>
    </row>
    <row r="473">
      <c r="A473" s="25" t="n">
        <v>42675</v>
      </c>
      <c r="B473" s="18">
        <f>VLOOKUP(Table48[[#This Row],[Date]],'DB LEI'!$A:$F,5)</f>
        <v/>
      </c>
      <c r="C473" s="24">
        <f>IF(VLOOKUP(Table48[[#This Row],[Date]],'DB LEI'!$A:$I,9)=0,"",VLOOKUP(Table48[[#This Row],[Date]],'DB LEI'!$A:$I,9))</f>
        <v/>
      </c>
      <c r="D473" s="24">
        <f>IF(VLOOKUP(Table48[[#This Row],[Date]],'DB LEI'!$A:$I,8)=0,"",VLOOKUP(Table48[[#This Row],[Date]],'DB LEI'!$A:$I,8))</f>
        <v/>
      </c>
    </row>
    <row r="474">
      <c r="A474" s="25" t="n">
        <v>42705</v>
      </c>
      <c r="B474" s="18">
        <f>VLOOKUP(Table48[[#This Row],[Date]],'DB LEI'!$A:$F,5)</f>
        <v/>
      </c>
      <c r="C474" s="24">
        <f>IF(VLOOKUP(Table48[[#This Row],[Date]],'DB LEI'!$A:$I,9)=0,"",VLOOKUP(Table48[[#This Row],[Date]],'DB LEI'!$A:$I,9))</f>
        <v/>
      </c>
      <c r="D474" s="24">
        <f>IF(VLOOKUP(Table48[[#This Row],[Date]],'DB LEI'!$A:$I,8)=0,"",VLOOKUP(Table48[[#This Row],[Date]],'DB LEI'!$A:$I,8))</f>
        <v/>
      </c>
    </row>
    <row r="475">
      <c r="A475" s="25" t="n">
        <v>42736</v>
      </c>
      <c r="B475" s="18">
        <f>VLOOKUP(Table48[[#This Row],[Date]],'DB LEI'!$A:$F,5)</f>
        <v/>
      </c>
      <c r="C475" s="24">
        <f>IF(VLOOKUP(Table48[[#This Row],[Date]],'DB LEI'!$A:$I,9)=0,"",VLOOKUP(Table48[[#This Row],[Date]],'DB LEI'!$A:$I,9))</f>
        <v/>
      </c>
      <c r="D475" s="24">
        <f>IF(VLOOKUP(Table48[[#This Row],[Date]],'DB LEI'!$A:$I,8)=0,"",VLOOKUP(Table48[[#This Row],[Date]],'DB LEI'!$A:$I,8))</f>
        <v/>
      </c>
    </row>
    <row r="476">
      <c r="A476" s="25" t="n">
        <v>42767</v>
      </c>
      <c r="B476" s="18">
        <f>VLOOKUP(Table48[[#This Row],[Date]],'DB LEI'!$A:$F,5)</f>
        <v/>
      </c>
      <c r="C476" s="24">
        <f>IF(VLOOKUP(Table48[[#This Row],[Date]],'DB LEI'!$A:$I,9)=0,"",VLOOKUP(Table48[[#This Row],[Date]],'DB LEI'!$A:$I,9))</f>
        <v/>
      </c>
      <c r="D476" s="24">
        <f>IF(VLOOKUP(Table48[[#This Row],[Date]],'DB LEI'!$A:$I,8)=0,"",VLOOKUP(Table48[[#This Row],[Date]],'DB LEI'!$A:$I,8))</f>
        <v/>
      </c>
    </row>
    <row r="477">
      <c r="A477" s="25" t="n">
        <v>42795</v>
      </c>
      <c r="B477" s="18">
        <f>VLOOKUP(Table48[[#This Row],[Date]],'DB LEI'!$A:$F,5)</f>
        <v/>
      </c>
      <c r="C477" s="24">
        <f>IF(VLOOKUP(Table48[[#This Row],[Date]],'DB LEI'!$A:$I,9)=0,"",VLOOKUP(Table48[[#This Row],[Date]],'DB LEI'!$A:$I,9))</f>
        <v/>
      </c>
      <c r="D477" s="24">
        <f>IF(VLOOKUP(Table48[[#This Row],[Date]],'DB LEI'!$A:$I,8)=0,"",VLOOKUP(Table48[[#This Row],[Date]],'DB LEI'!$A:$I,8))</f>
        <v/>
      </c>
    </row>
    <row r="478">
      <c r="A478" s="25" t="n">
        <v>42826</v>
      </c>
      <c r="B478" s="18">
        <f>VLOOKUP(Table48[[#This Row],[Date]],'DB LEI'!$A:$F,5)</f>
        <v/>
      </c>
      <c r="C478" s="24">
        <f>IF(VLOOKUP(Table48[[#This Row],[Date]],'DB LEI'!$A:$I,9)=0,"",VLOOKUP(Table48[[#This Row],[Date]],'DB LEI'!$A:$I,9))</f>
        <v/>
      </c>
      <c r="D478" s="24">
        <f>IF(VLOOKUP(Table48[[#This Row],[Date]],'DB LEI'!$A:$I,8)=0,"",VLOOKUP(Table48[[#This Row],[Date]],'DB LEI'!$A:$I,8))</f>
        <v/>
      </c>
    </row>
    <row r="479">
      <c r="A479" s="25" t="n">
        <v>42856</v>
      </c>
      <c r="B479" s="18">
        <f>VLOOKUP(Table48[[#This Row],[Date]],'DB LEI'!$A:$F,5)</f>
        <v/>
      </c>
      <c r="C479" s="24">
        <f>IF(VLOOKUP(Table48[[#This Row],[Date]],'DB LEI'!$A:$I,9)=0,"",VLOOKUP(Table48[[#This Row],[Date]],'DB LEI'!$A:$I,9))</f>
        <v/>
      </c>
      <c r="D479" s="24">
        <f>IF(VLOOKUP(Table48[[#This Row],[Date]],'DB LEI'!$A:$I,8)=0,"",VLOOKUP(Table48[[#This Row],[Date]],'DB LEI'!$A:$I,8))</f>
        <v/>
      </c>
    </row>
    <row r="480">
      <c r="A480" s="25" t="n">
        <v>42887</v>
      </c>
      <c r="B480" s="18">
        <f>VLOOKUP(Table48[[#This Row],[Date]],'DB LEI'!$A:$F,5)</f>
        <v/>
      </c>
      <c r="C480" s="24">
        <f>IF(VLOOKUP(Table48[[#This Row],[Date]],'DB LEI'!$A:$I,9)=0,"",VLOOKUP(Table48[[#This Row],[Date]],'DB LEI'!$A:$I,9))</f>
        <v/>
      </c>
      <c r="D480" s="24">
        <f>IF(VLOOKUP(Table48[[#This Row],[Date]],'DB LEI'!$A:$I,8)=0,"",VLOOKUP(Table48[[#This Row],[Date]],'DB LEI'!$A:$I,8))</f>
        <v/>
      </c>
    </row>
    <row r="481">
      <c r="A481" s="25" t="n">
        <v>42917</v>
      </c>
      <c r="B481" s="18">
        <f>VLOOKUP(Table48[[#This Row],[Date]],'DB LEI'!$A:$F,5)</f>
        <v/>
      </c>
      <c r="C481" s="24">
        <f>IF(VLOOKUP(Table48[[#This Row],[Date]],'DB LEI'!$A:$I,9)=0,"",VLOOKUP(Table48[[#This Row],[Date]],'DB LEI'!$A:$I,9))</f>
        <v/>
      </c>
      <c r="D481" s="24">
        <f>IF(VLOOKUP(Table48[[#This Row],[Date]],'DB LEI'!$A:$I,8)=0,"",VLOOKUP(Table48[[#This Row],[Date]],'DB LEI'!$A:$I,8))</f>
        <v/>
      </c>
    </row>
    <row r="482">
      <c r="A482" s="25" t="n">
        <v>42948</v>
      </c>
      <c r="B482" s="18">
        <f>VLOOKUP(Table48[[#This Row],[Date]],'DB LEI'!$A:$F,5)</f>
        <v/>
      </c>
      <c r="C482" s="24">
        <f>IF(VLOOKUP(Table48[[#This Row],[Date]],'DB LEI'!$A:$I,9)=0,"",VLOOKUP(Table48[[#This Row],[Date]],'DB LEI'!$A:$I,9))</f>
        <v/>
      </c>
      <c r="D482" s="24">
        <f>IF(VLOOKUP(Table48[[#This Row],[Date]],'DB LEI'!$A:$I,8)=0,"",VLOOKUP(Table48[[#This Row],[Date]],'DB LEI'!$A:$I,8))</f>
        <v/>
      </c>
    </row>
    <row r="483">
      <c r="A483" s="25" t="n">
        <v>42979</v>
      </c>
      <c r="B483" s="18">
        <f>VLOOKUP(Table48[[#This Row],[Date]],'DB LEI'!$A:$F,5)</f>
        <v/>
      </c>
      <c r="C483" s="24">
        <f>IF(VLOOKUP(Table48[[#This Row],[Date]],'DB LEI'!$A:$I,9)=0,"",VLOOKUP(Table48[[#This Row],[Date]],'DB LEI'!$A:$I,9))</f>
        <v/>
      </c>
      <c r="D483" s="24">
        <f>IF(VLOOKUP(Table48[[#This Row],[Date]],'DB LEI'!$A:$I,8)=0,"",VLOOKUP(Table48[[#This Row],[Date]],'DB LEI'!$A:$I,8))</f>
        <v/>
      </c>
    </row>
    <row r="484">
      <c r="A484" s="25" t="n">
        <v>43009</v>
      </c>
      <c r="B484" s="18">
        <f>VLOOKUP(Table48[[#This Row],[Date]],'DB LEI'!$A:$F,5)</f>
        <v/>
      </c>
      <c r="C484" s="24">
        <f>IF(VLOOKUP(Table48[[#This Row],[Date]],'DB LEI'!$A:$I,9)=0,"",VLOOKUP(Table48[[#This Row],[Date]],'DB LEI'!$A:$I,9))</f>
        <v/>
      </c>
      <c r="D484" s="24">
        <f>IF(VLOOKUP(Table48[[#This Row],[Date]],'DB LEI'!$A:$I,8)=0,"",VLOOKUP(Table48[[#This Row],[Date]],'DB LEI'!$A:$I,8))</f>
        <v/>
      </c>
    </row>
    <row r="485">
      <c r="A485" s="25" t="n">
        <v>43040</v>
      </c>
      <c r="B485" s="18">
        <f>VLOOKUP(Table48[[#This Row],[Date]],'DB LEI'!$A:$F,5)</f>
        <v/>
      </c>
      <c r="C485" s="24">
        <f>IF(VLOOKUP(Table48[[#This Row],[Date]],'DB LEI'!$A:$I,9)=0,"",VLOOKUP(Table48[[#This Row],[Date]],'DB LEI'!$A:$I,9))</f>
        <v/>
      </c>
      <c r="D485" s="24">
        <f>IF(VLOOKUP(Table48[[#This Row],[Date]],'DB LEI'!$A:$I,8)=0,"",VLOOKUP(Table48[[#This Row],[Date]],'DB LEI'!$A:$I,8))</f>
        <v/>
      </c>
    </row>
    <row r="486">
      <c r="A486" s="25" t="n">
        <v>43070</v>
      </c>
      <c r="B486" s="18">
        <f>VLOOKUP(Table48[[#This Row],[Date]],'DB LEI'!$A:$F,5)</f>
        <v/>
      </c>
      <c r="C486" s="24">
        <f>IF(VLOOKUP(Table48[[#This Row],[Date]],'DB LEI'!$A:$I,9)=0,"",VLOOKUP(Table48[[#This Row],[Date]],'DB LEI'!$A:$I,9))</f>
        <v/>
      </c>
      <c r="D486" s="24">
        <f>IF(VLOOKUP(Table48[[#This Row],[Date]],'DB LEI'!$A:$I,8)=0,"",VLOOKUP(Table48[[#This Row],[Date]],'DB LEI'!$A:$I,8))</f>
        <v/>
      </c>
    </row>
    <row r="487">
      <c r="A487" s="25" t="n">
        <v>43101</v>
      </c>
      <c r="B487" s="18">
        <f>VLOOKUP(Table48[[#This Row],[Date]],'DB LEI'!$A:$F,5)</f>
        <v/>
      </c>
      <c r="C487" s="24">
        <f>IF(VLOOKUP(Table48[[#This Row],[Date]],'DB LEI'!$A:$I,9)=0,"",VLOOKUP(Table48[[#This Row],[Date]],'DB LEI'!$A:$I,9))</f>
        <v/>
      </c>
      <c r="D487" s="24">
        <f>IF(VLOOKUP(Table48[[#This Row],[Date]],'DB LEI'!$A:$I,8)=0,"",VLOOKUP(Table48[[#This Row],[Date]],'DB LEI'!$A:$I,8))</f>
        <v/>
      </c>
    </row>
    <row r="488">
      <c r="A488" s="25" t="n">
        <v>43132</v>
      </c>
      <c r="B488" s="18">
        <f>VLOOKUP(Table48[[#This Row],[Date]],'DB LEI'!$A:$F,5)</f>
        <v/>
      </c>
      <c r="C488" s="24">
        <f>IF(VLOOKUP(Table48[[#This Row],[Date]],'DB LEI'!$A:$I,9)=0,"",VLOOKUP(Table48[[#This Row],[Date]],'DB LEI'!$A:$I,9))</f>
        <v/>
      </c>
      <c r="D488" s="24">
        <f>IF(VLOOKUP(Table48[[#This Row],[Date]],'DB LEI'!$A:$I,8)=0,"",VLOOKUP(Table48[[#This Row],[Date]],'DB LEI'!$A:$I,8))</f>
        <v/>
      </c>
    </row>
    <row r="489">
      <c r="A489" s="25" t="n">
        <v>43160</v>
      </c>
      <c r="B489" s="18">
        <f>VLOOKUP(Table48[[#This Row],[Date]],'DB LEI'!$A:$F,5)</f>
        <v/>
      </c>
      <c r="C489" s="24">
        <f>IF(VLOOKUP(Table48[[#This Row],[Date]],'DB LEI'!$A:$I,9)=0,"",VLOOKUP(Table48[[#This Row],[Date]],'DB LEI'!$A:$I,9))</f>
        <v/>
      </c>
      <c r="D489" s="24">
        <f>IF(VLOOKUP(Table48[[#This Row],[Date]],'DB LEI'!$A:$I,8)=0,"",VLOOKUP(Table48[[#This Row],[Date]],'DB LEI'!$A:$I,8))</f>
        <v/>
      </c>
    </row>
    <row r="490">
      <c r="A490" s="25" t="n">
        <v>43191</v>
      </c>
      <c r="B490" s="18">
        <f>VLOOKUP(Table48[[#This Row],[Date]],'DB LEI'!$A:$F,5)</f>
        <v/>
      </c>
      <c r="C490" s="24">
        <f>IF(VLOOKUP(Table48[[#This Row],[Date]],'DB LEI'!$A:$I,9)=0,"",VLOOKUP(Table48[[#This Row],[Date]],'DB LEI'!$A:$I,9))</f>
        <v/>
      </c>
      <c r="D490" s="24">
        <f>IF(VLOOKUP(Table48[[#This Row],[Date]],'DB LEI'!$A:$I,8)=0,"",VLOOKUP(Table48[[#This Row],[Date]],'DB LEI'!$A:$I,8))</f>
        <v/>
      </c>
    </row>
    <row r="491">
      <c r="A491" s="25" t="n">
        <v>43221</v>
      </c>
      <c r="B491" s="18">
        <f>VLOOKUP(Table48[[#This Row],[Date]],'DB LEI'!$A:$F,5)</f>
        <v/>
      </c>
      <c r="C491" s="24">
        <f>IF(VLOOKUP(Table48[[#This Row],[Date]],'DB LEI'!$A:$I,9)=0,"",VLOOKUP(Table48[[#This Row],[Date]],'DB LEI'!$A:$I,9))</f>
        <v/>
      </c>
      <c r="D491" s="24">
        <f>IF(VLOOKUP(Table48[[#This Row],[Date]],'DB LEI'!$A:$I,8)=0,"",VLOOKUP(Table48[[#This Row],[Date]],'DB LEI'!$A:$I,8))</f>
        <v/>
      </c>
    </row>
    <row r="492">
      <c r="A492" s="25" t="n">
        <v>43252</v>
      </c>
      <c r="B492" s="18">
        <f>VLOOKUP(Table48[[#This Row],[Date]],'DB LEI'!$A:$F,5)</f>
        <v/>
      </c>
      <c r="C492" s="24">
        <f>IF(VLOOKUP(Table48[[#This Row],[Date]],'DB LEI'!$A:$I,9)=0,"",VLOOKUP(Table48[[#This Row],[Date]],'DB LEI'!$A:$I,9))</f>
        <v/>
      </c>
      <c r="D492" s="24">
        <f>IF(VLOOKUP(Table48[[#This Row],[Date]],'DB LEI'!$A:$I,8)=0,"",VLOOKUP(Table48[[#This Row],[Date]],'DB LEI'!$A:$I,8))</f>
        <v/>
      </c>
    </row>
    <row r="493">
      <c r="A493" s="25" t="n">
        <v>43282</v>
      </c>
      <c r="B493" s="18">
        <f>VLOOKUP(Table48[[#This Row],[Date]],'DB LEI'!$A:$F,5)</f>
        <v/>
      </c>
      <c r="C493" s="24">
        <f>IF(VLOOKUP(Table48[[#This Row],[Date]],'DB LEI'!$A:$I,9)=0,"",VLOOKUP(Table48[[#This Row],[Date]],'DB LEI'!$A:$I,9))</f>
        <v/>
      </c>
      <c r="D493" s="24">
        <f>IF(VLOOKUP(Table48[[#This Row],[Date]],'DB LEI'!$A:$I,8)=0,"",VLOOKUP(Table48[[#This Row],[Date]],'DB LEI'!$A:$I,8))</f>
        <v/>
      </c>
    </row>
    <row r="494">
      <c r="A494" s="25" t="n">
        <v>43313</v>
      </c>
      <c r="B494" s="18">
        <f>VLOOKUP(Table48[[#This Row],[Date]],'DB LEI'!$A:$F,5)</f>
        <v/>
      </c>
      <c r="C494" s="24">
        <f>IF(VLOOKUP(Table48[[#This Row],[Date]],'DB LEI'!$A:$I,9)=0,"",VLOOKUP(Table48[[#This Row],[Date]],'DB LEI'!$A:$I,9))</f>
        <v/>
      </c>
      <c r="D494" s="24">
        <f>IF(VLOOKUP(Table48[[#This Row],[Date]],'DB LEI'!$A:$I,8)=0,"",VLOOKUP(Table48[[#This Row],[Date]],'DB LEI'!$A:$I,8))</f>
        <v/>
      </c>
    </row>
    <row r="495">
      <c r="A495" s="25" t="n">
        <v>43344</v>
      </c>
      <c r="B495" s="18">
        <f>VLOOKUP(Table48[[#This Row],[Date]],'DB LEI'!$A:$F,5)</f>
        <v/>
      </c>
      <c r="C495" s="24">
        <f>IF(VLOOKUP(Table48[[#This Row],[Date]],'DB LEI'!$A:$I,9)=0,"",VLOOKUP(Table48[[#This Row],[Date]],'DB LEI'!$A:$I,9))</f>
        <v/>
      </c>
      <c r="D495" s="24">
        <f>IF(VLOOKUP(Table48[[#This Row],[Date]],'DB LEI'!$A:$I,8)=0,"",VLOOKUP(Table48[[#This Row],[Date]],'DB LEI'!$A:$I,8))</f>
        <v/>
      </c>
    </row>
    <row r="496">
      <c r="A496" s="25" t="n">
        <v>43374</v>
      </c>
      <c r="B496" s="18">
        <f>VLOOKUP(Table48[[#This Row],[Date]],'DB LEI'!$A:$F,5)</f>
        <v/>
      </c>
      <c r="C496" s="24">
        <f>IF(VLOOKUP(Table48[[#This Row],[Date]],'DB LEI'!$A:$I,9)=0,"",VLOOKUP(Table48[[#This Row],[Date]],'DB LEI'!$A:$I,9))</f>
        <v/>
      </c>
      <c r="D496" s="24">
        <f>IF(VLOOKUP(Table48[[#This Row],[Date]],'DB LEI'!$A:$I,8)=0,"",VLOOKUP(Table48[[#This Row],[Date]],'DB LEI'!$A:$I,8))</f>
        <v/>
      </c>
    </row>
    <row r="497">
      <c r="A497" s="25" t="n">
        <v>43405</v>
      </c>
      <c r="B497" s="18">
        <f>VLOOKUP(Table48[[#This Row],[Date]],'DB LEI'!$A:$F,5)</f>
        <v/>
      </c>
      <c r="C497" s="24">
        <f>IF(VLOOKUP(Table48[[#This Row],[Date]],'DB LEI'!$A:$I,9)=0,"",VLOOKUP(Table48[[#This Row],[Date]],'DB LEI'!$A:$I,9))</f>
        <v/>
      </c>
      <c r="D497" s="24">
        <f>IF(VLOOKUP(Table48[[#This Row],[Date]],'DB LEI'!$A:$I,8)=0,"",VLOOKUP(Table48[[#This Row],[Date]],'DB LEI'!$A:$I,8))</f>
        <v/>
      </c>
    </row>
    <row r="498">
      <c r="A498" s="25" t="n">
        <v>43435</v>
      </c>
      <c r="B498" s="18">
        <f>VLOOKUP(Table48[[#This Row],[Date]],'DB LEI'!$A:$F,5)</f>
        <v/>
      </c>
      <c r="C498" s="24">
        <f>IF(VLOOKUP(Table48[[#This Row],[Date]],'DB LEI'!$A:$I,9)=0,"",VLOOKUP(Table48[[#This Row],[Date]],'DB LEI'!$A:$I,9))</f>
        <v/>
      </c>
      <c r="D498" s="24">
        <f>IF(VLOOKUP(Table48[[#This Row],[Date]],'DB LEI'!$A:$I,8)=0,"",VLOOKUP(Table48[[#This Row],[Date]],'DB LEI'!$A:$I,8))</f>
        <v/>
      </c>
    </row>
    <row r="499">
      <c r="A499" s="25" t="n">
        <v>43466</v>
      </c>
      <c r="B499" s="18">
        <f>VLOOKUP(Table48[[#This Row],[Date]],'DB LEI'!$A:$F,5)</f>
        <v/>
      </c>
      <c r="C499" s="24">
        <f>IF(VLOOKUP(Table48[[#This Row],[Date]],'DB LEI'!$A:$I,9)=0,"",VLOOKUP(Table48[[#This Row],[Date]],'DB LEI'!$A:$I,9))</f>
        <v/>
      </c>
      <c r="D499" s="24">
        <f>IF(VLOOKUP(Table48[[#This Row],[Date]],'DB LEI'!$A:$I,8)=0,"",VLOOKUP(Table48[[#This Row],[Date]],'DB LEI'!$A:$I,8))</f>
        <v/>
      </c>
    </row>
    <row r="500">
      <c r="A500" s="25" t="n">
        <v>43497</v>
      </c>
      <c r="B500" s="18">
        <f>VLOOKUP(Table48[[#This Row],[Date]],'DB LEI'!$A:$F,5)</f>
        <v/>
      </c>
      <c r="C500" s="24">
        <f>IF(VLOOKUP(Table48[[#This Row],[Date]],'DB LEI'!$A:$I,9)=0,"",VLOOKUP(Table48[[#This Row],[Date]],'DB LEI'!$A:$I,9))</f>
        <v/>
      </c>
      <c r="D500" s="24">
        <f>IF(VLOOKUP(Table48[[#This Row],[Date]],'DB LEI'!$A:$I,8)=0,"",VLOOKUP(Table48[[#This Row],[Date]],'DB LEI'!$A:$I,8))</f>
        <v/>
      </c>
    </row>
    <row r="501">
      <c r="A501" s="25" t="n">
        <v>43525</v>
      </c>
      <c r="B501" s="18">
        <f>VLOOKUP(Table48[[#This Row],[Date]],'DB LEI'!$A:$F,5)</f>
        <v/>
      </c>
      <c r="C501" s="24">
        <f>IF(VLOOKUP(Table48[[#This Row],[Date]],'DB LEI'!$A:$I,9)=0,"",VLOOKUP(Table48[[#This Row],[Date]],'DB LEI'!$A:$I,9))</f>
        <v/>
      </c>
      <c r="D501" s="24">
        <f>IF(VLOOKUP(Table48[[#This Row],[Date]],'DB LEI'!$A:$I,8)=0,"",VLOOKUP(Table48[[#This Row],[Date]],'DB LEI'!$A:$I,8))</f>
        <v/>
      </c>
    </row>
    <row r="502">
      <c r="A502" s="25" t="n">
        <v>43556</v>
      </c>
      <c r="B502" s="18">
        <f>VLOOKUP(Table48[[#This Row],[Date]],'DB LEI'!$A:$F,5)</f>
        <v/>
      </c>
      <c r="C502" s="24">
        <f>IF(VLOOKUP(Table48[[#This Row],[Date]],'DB LEI'!$A:$I,9)=0,"",VLOOKUP(Table48[[#This Row],[Date]],'DB LEI'!$A:$I,9))</f>
        <v/>
      </c>
      <c r="D502" s="24">
        <f>IF(VLOOKUP(Table48[[#This Row],[Date]],'DB LEI'!$A:$I,8)=0,"",VLOOKUP(Table48[[#This Row],[Date]],'DB LEI'!$A:$I,8))</f>
        <v/>
      </c>
    </row>
    <row r="503">
      <c r="A503" s="25" t="n">
        <v>43586</v>
      </c>
      <c r="B503" s="18">
        <f>VLOOKUP(Table48[[#This Row],[Date]],'DB LEI'!$A:$F,5)</f>
        <v/>
      </c>
      <c r="C503" s="24">
        <f>IF(VLOOKUP(Table48[[#This Row],[Date]],'DB LEI'!$A:$I,9)=0,"",VLOOKUP(Table48[[#This Row],[Date]],'DB LEI'!$A:$I,9))</f>
        <v/>
      </c>
      <c r="D503" s="24">
        <f>IF(VLOOKUP(Table48[[#This Row],[Date]],'DB LEI'!$A:$I,8)=0,"",VLOOKUP(Table48[[#This Row],[Date]],'DB LEI'!$A:$I,8))</f>
        <v/>
      </c>
    </row>
    <row r="504">
      <c r="A504" s="25" t="n">
        <v>43617</v>
      </c>
      <c r="B504" s="18">
        <f>VLOOKUP(Table48[[#This Row],[Date]],'DB LEI'!$A:$F,5)</f>
        <v/>
      </c>
      <c r="C504" s="24">
        <f>IF(VLOOKUP(Table48[[#This Row],[Date]],'DB LEI'!$A:$I,9)=0,"",VLOOKUP(Table48[[#This Row],[Date]],'DB LEI'!$A:$I,9))</f>
        <v/>
      </c>
      <c r="D504" s="24">
        <f>IF(VLOOKUP(Table48[[#This Row],[Date]],'DB LEI'!$A:$I,8)=0,"",VLOOKUP(Table48[[#This Row],[Date]],'DB LEI'!$A:$I,8))</f>
        <v/>
      </c>
    </row>
    <row r="505">
      <c r="A505" s="25" t="n">
        <v>43647</v>
      </c>
      <c r="B505" s="18">
        <f>VLOOKUP(Table48[[#This Row],[Date]],'DB LEI'!$A:$F,5)</f>
        <v/>
      </c>
      <c r="C505" s="24">
        <f>IF(VLOOKUP(Table48[[#This Row],[Date]],'DB LEI'!$A:$I,9)=0,"",VLOOKUP(Table48[[#This Row],[Date]],'DB LEI'!$A:$I,9))</f>
        <v/>
      </c>
      <c r="D505" s="24">
        <f>IF(VLOOKUP(Table48[[#This Row],[Date]],'DB LEI'!$A:$I,8)=0,"",VLOOKUP(Table48[[#This Row],[Date]],'DB LEI'!$A:$I,8))</f>
        <v/>
      </c>
    </row>
    <row r="506">
      <c r="A506" s="25" t="n">
        <v>43678</v>
      </c>
      <c r="B506" s="18">
        <f>VLOOKUP(Table48[[#This Row],[Date]],'DB LEI'!$A:$F,5)</f>
        <v/>
      </c>
      <c r="C506" s="24">
        <f>IF(VLOOKUP(Table48[[#This Row],[Date]],'DB LEI'!$A:$I,9)=0,"",VLOOKUP(Table48[[#This Row],[Date]],'DB LEI'!$A:$I,9))</f>
        <v/>
      </c>
      <c r="D506" s="24">
        <f>IF(VLOOKUP(Table48[[#This Row],[Date]],'DB LEI'!$A:$I,8)=0,"",VLOOKUP(Table48[[#This Row],[Date]],'DB LEI'!$A:$I,8))</f>
        <v/>
      </c>
    </row>
    <row r="507">
      <c r="A507" s="25" t="n">
        <v>43709</v>
      </c>
      <c r="B507" s="18">
        <f>VLOOKUP(Table48[[#This Row],[Date]],'DB LEI'!$A:$F,5)</f>
        <v/>
      </c>
      <c r="C507" s="24">
        <f>IF(VLOOKUP(Table48[[#This Row],[Date]],'DB LEI'!$A:$I,9)=0,"",VLOOKUP(Table48[[#This Row],[Date]],'DB LEI'!$A:$I,9))</f>
        <v/>
      </c>
      <c r="D507" s="24">
        <f>IF(VLOOKUP(Table48[[#This Row],[Date]],'DB LEI'!$A:$I,8)=0,"",VLOOKUP(Table48[[#This Row],[Date]],'DB LEI'!$A:$I,8))</f>
        <v/>
      </c>
    </row>
    <row r="508">
      <c r="A508" s="25" t="n">
        <v>43739</v>
      </c>
      <c r="B508" s="18">
        <f>VLOOKUP(Table48[[#This Row],[Date]],'DB LEI'!$A:$F,5)</f>
        <v/>
      </c>
      <c r="C508" s="24">
        <f>IF(VLOOKUP(Table48[[#This Row],[Date]],'DB LEI'!$A:$I,9)=0,"",VLOOKUP(Table48[[#This Row],[Date]],'DB LEI'!$A:$I,9))</f>
        <v/>
      </c>
      <c r="D508" s="24">
        <f>IF(VLOOKUP(Table48[[#This Row],[Date]],'DB LEI'!$A:$I,8)=0,"",VLOOKUP(Table48[[#This Row],[Date]],'DB LEI'!$A:$I,8))</f>
        <v/>
      </c>
    </row>
    <row r="509">
      <c r="A509" s="25" t="n">
        <v>43770</v>
      </c>
      <c r="B509" s="18">
        <f>VLOOKUP(Table48[[#This Row],[Date]],'DB LEI'!$A:$F,5)</f>
        <v/>
      </c>
      <c r="C509" s="24">
        <f>IF(VLOOKUP(Table48[[#This Row],[Date]],'DB LEI'!$A:$I,9)=0,"",VLOOKUP(Table48[[#This Row],[Date]],'DB LEI'!$A:$I,9))</f>
        <v/>
      </c>
      <c r="D509" s="24">
        <f>IF(VLOOKUP(Table48[[#This Row],[Date]],'DB LEI'!$A:$I,8)=0,"",VLOOKUP(Table48[[#This Row],[Date]],'DB LEI'!$A:$I,8))</f>
        <v/>
      </c>
    </row>
    <row r="510">
      <c r="A510" s="25" t="n">
        <v>43800</v>
      </c>
      <c r="B510" s="18">
        <f>VLOOKUP(Table48[[#This Row],[Date]],'DB LEI'!$A:$F,5)</f>
        <v/>
      </c>
      <c r="C510" s="24">
        <f>IF(VLOOKUP(Table48[[#This Row],[Date]],'DB LEI'!$A:$I,9)=0,"",VLOOKUP(Table48[[#This Row],[Date]],'DB LEI'!$A:$I,9))</f>
        <v/>
      </c>
      <c r="D510" s="24">
        <f>IF(VLOOKUP(Table48[[#This Row],[Date]],'DB LEI'!$A:$I,8)=0,"",VLOOKUP(Table48[[#This Row],[Date]],'DB LEI'!$A:$I,8))</f>
        <v/>
      </c>
    </row>
    <row r="511">
      <c r="A511" s="25" t="n">
        <v>43831</v>
      </c>
      <c r="B511" s="18">
        <f>VLOOKUP(Table48[[#This Row],[Date]],'DB LEI'!$A:$F,5)</f>
        <v/>
      </c>
      <c r="C511" s="24">
        <f>IF(VLOOKUP(Table48[[#This Row],[Date]],'DB LEI'!$A:$I,9)=0,"",VLOOKUP(Table48[[#This Row],[Date]],'DB LEI'!$A:$I,9))</f>
        <v/>
      </c>
      <c r="D511" s="24">
        <f>IF(VLOOKUP(Table48[[#This Row],[Date]],'DB LEI'!$A:$I,8)=0,"",VLOOKUP(Table48[[#This Row],[Date]],'DB LEI'!$A:$I,8))</f>
        <v/>
      </c>
    </row>
    <row r="512">
      <c r="A512" s="25" t="n">
        <v>43862</v>
      </c>
      <c r="B512" s="18">
        <f>VLOOKUP(Table48[[#This Row],[Date]],'DB LEI'!$A:$F,5)</f>
        <v/>
      </c>
      <c r="C512" s="24">
        <f>IF(VLOOKUP(Table48[[#This Row],[Date]],'DB LEI'!$A:$I,9)=0,"",VLOOKUP(Table48[[#This Row],[Date]],'DB LEI'!$A:$I,9))</f>
        <v/>
      </c>
      <c r="D512" s="24">
        <f>IF(VLOOKUP(Table48[[#This Row],[Date]],'DB LEI'!$A:$I,8)=0,"",VLOOKUP(Table48[[#This Row],[Date]],'DB LEI'!$A:$I,8))</f>
        <v/>
      </c>
    </row>
    <row r="513">
      <c r="A513" s="25" t="n">
        <v>43891</v>
      </c>
      <c r="B513" s="18">
        <f>VLOOKUP(Table48[[#This Row],[Date]],'DB LEI'!$A:$F,5)</f>
        <v/>
      </c>
      <c r="C513" s="24">
        <f>IF(VLOOKUP(Table48[[#This Row],[Date]],'DB LEI'!$A:$I,9)=0,"",VLOOKUP(Table48[[#This Row],[Date]],'DB LEI'!$A:$I,9))</f>
        <v/>
      </c>
      <c r="D513" s="24">
        <f>IF(VLOOKUP(Table48[[#This Row],[Date]],'DB LEI'!$A:$I,8)=0,"",VLOOKUP(Table48[[#This Row],[Date]],'DB LEI'!$A:$I,8))</f>
        <v/>
      </c>
    </row>
    <row r="514">
      <c r="A514" s="25" t="n">
        <v>43922</v>
      </c>
      <c r="B514" s="18">
        <f>VLOOKUP(Table48[[#This Row],[Date]],'DB LEI'!$A:$F,5)</f>
        <v/>
      </c>
      <c r="C514" s="24">
        <f>IF(VLOOKUP(Table48[[#This Row],[Date]],'DB LEI'!$A:$I,9)=0,"",VLOOKUP(Table48[[#This Row],[Date]],'DB LEI'!$A:$I,9))</f>
        <v/>
      </c>
      <c r="D514" s="24">
        <f>IF(VLOOKUP(Table48[[#This Row],[Date]],'DB LEI'!$A:$I,8)=0,"",VLOOKUP(Table48[[#This Row],[Date]],'DB LEI'!$A:$I,8))</f>
        <v/>
      </c>
    </row>
    <row r="515">
      <c r="A515" s="25" t="n">
        <v>43952</v>
      </c>
      <c r="B515" s="18">
        <f>VLOOKUP(Table48[[#This Row],[Date]],'DB LEI'!$A:$F,5)</f>
        <v/>
      </c>
      <c r="C515" s="24">
        <f>IF(VLOOKUP(Table48[[#This Row],[Date]],'DB LEI'!$A:$I,9)=0,"",VLOOKUP(Table48[[#This Row],[Date]],'DB LEI'!$A:$I,9))</f>
        <v/>
      </c>
      <c r="D515" s="24">
        <f>IF(VLOOKUP(Table48[[#This Row],[Date]],'DB LEI'!$A:$I,8)=0,"",VLOOKUP(Table48[[#This Row],[Date]],'DB LEI'!$A:$I,8))</f>
        <v/>
      </c>
    </row>
    <row r="516">
      <c r="A516" s="25" t="n">
        <v>43983</v>
      </c>
      <c r="B516" s="18">
        <f>VLOOKUP(Table48[[#This Row],[Date]],'DB LEI'!$A:$F,5)</f>
        <v/>
      </c>
      <c r="C516" s="24">
        <f>IF(VLOOKUP(Table48[[#This Row],[Date]],'DB LEI'!$A:$I,9)=0,"",VLOOKUP(Table48[[#This Row],[Date]],'DB LEI'!$A:$I,9))</f>
        <v/>
      </c>
      <c r="D516" s="24">
        <f>IF(VLOOKUP(Table48[[#This Row],[Date]],'DB LEI'!$A:$I,8)=0,"",VLOOKUP(Table48[[#This Row],[Date]],'DB LEI'!$A:$I,8))</f>
        <v/>
      </c>
    </row>
    <row r="517">
      <c r="A517" s="25" t="n">
        <v>44013</v>
      </c>
      <c r="B517" s="18">
        <f>VLOOKUP(Table48[[#This Row],[Date]],'DB LEI'!$A:$F,5)</f>
        <v/>
      </c>
      <c r="C517" s="24">
        <f>IF(VLOOKUP(Table48[[#This Row],[Date]],'DB LEI'!$A:$I,9)=0,"",VLOOKUP(Table48[[#This Row],[Date]],'DB LEI'!$A:$I,9))</f>
        <v/>
      </c>
      <c r="D517" s="24">
        <f>IF(VLOOKUP(Table48[[#This Row],[Date]],'DB LEI'!$A:$I,8)=0,"",VLOOKUP(Table48[[#This Row],[Date]],'DB LEI'!$A:$I,8))</f>
        <v/>
      </c>
    </row>
    <row r="518">
      <c r="A518" s="25" t="n">
        <v>44044</v>
      </c>
      <c r="B518" s="18">
        <f>VLOOKUP(Table48[[#This Row],[Date]],'DB LEI'!$A:$F,5)</f>
        <v/>
      </c>
      <c r="C518" s="24">
        <f>IF(VLOOKUP(Table48[[#This Row],[Date]],'DB LEI'!$A:$I,9)=0,"",VLOOKUP(Table48[[#This Row],[Date]],'DB LEI'!$A:$I,9))</f>
        <v/>
      </c>
      <c r="D518" s="24">
        <f>IF(VLOOKUP(Table48[[#This Row],[Date]],'DB LEI'!$A:$I,8)=0,"",VLOOKUP(Table48[[#This Row],[Date]],'DB LEI'!$A:$I,8))</f>
        <v/>
      </c>
    </row>
    <row r="519">
      <c r="A519" s="25" t="n">
        <v>44075</v>
      </c>
      <c r="B519" s="18">
        <f>VLOOKUP(Table48[[#This Row],[Date]],'DB LEI'!$A:$F,5)</f>
        <v/>
      </c>
      <c r="C519" s="24">
        <f>IF(VLOOKUP(Table48[[#This Row],[Date]],'DB LEI'!$A:$I,9)=0,"",VLOOKUP(Table48[[#This Row],[Date]],'DB LEI'!$A:$I,9))</f>
        <v/>
      </c>
      <c r="D519" s="24">
        <f>IF(VLOOKUP(Table48[[#This Row],[Date]],'DB LEI'!$A:$I,8)=0,"",VLOOKUP(Table48[[#This Row],[Date]],'DB LEI'!$A:$I,8))</f>
        <v/>
      </c>
    </row>
    <row r="520">
      <c r="A520" s="25" t="n">
        <v>44105</v>
      </c>
      <c r="B520" s="18">
        <f>VLOOKUP(Table48[[#This Row],[Date]],'DB LEI'!$A:$F,5)</f>
        <v/>
      </c>
      <c r="C520" s="24">
        <f>IF(VLOOKUP(Table48[[#This Row],[Date]],'DB LEI'!$A:$I,9)=0,"",VLOOKUP(Table48[[#This Row],[Date]],'DB LEI'!$A:$I,9))</f>
        <v/>
      </c>
      <c r="D520" s="24">
        <f>IF(VLOOKUP(Table48[[#This Row],[Date]],'DB LEI'!$A:$I,8)=0,"",VLOOKUP(Table48[[#This Row],[Date]],'DB LEI'!$A:$I,8))</f>
        <v/>
      </c>
    </row>
    <row r="521">
      <c r="A521" s="25" t="n">
        <v>44136</v>
      </c>
      <c r="B521" s="18">
        <f>VLOOKUP(Table48[[#This Row],[Date]],'DB LEI'!$A:$F,5)</f>
        <v/>
      </c>
      <c r="C521" s="24">
        <f>IF(VLOOKUP(Table48[[#This Row],[Date]],'DB LEI'!$A:$I,9)=0,"",VLOOKUP(Table48[[#This Row],[Date]],'DB LEI'!$A:$I,9))</f>
        <v/>
      </c>
      <c r="D521" s="24">
        <f>IF(VLOOKUP(Table48[[#This Row],[Date]],'DB LEI'!$A:$I,8)=0,"",VLOOKUP(Table48[[#This Row],[Date]],'DB LEI'!$A:$I,8))</f>
        <v/>
      </c>
    </row>
    <row r="522">
      <c r="A522" s="25" t="n">
        <v>44166</v>
      </c>
      <c r="B522" s="18">
        <f>VLOOKUP(Table48[[#This Row],[Date]],'DB LEI'!$A:$F,5)</f>
        <v/>
      </c>
      <c r="C522" s="24">
        <f>IF(VLOOKUP(Table48[[#This Row],[Date]],'DB LEI'!$A:$I,9)=0,"",VLOOKUP(Table48[[#This Row],[Date]],'DB LEI'!$A:$I,9))</f>
        <v/>
      </c>
      <c r="D522" s="24">
        <f>IF(VLOOKUP(Table48[[#This Row],[Date]],'DB LEI'!$A:$I,8)=0,"",VLOOKUP(Table48[[#This Row],[Date]],'DB LEI'!$A:$I,8))</f>
        <v/>
      </c>
    </row>
    <row r="523">
      <c r="A523" s="25" t="n">
        <v>44197</v>
      </c>
      <c r="B523" s="18">
        <f>VLOOKUP(Table48[[#This Row],[Date]],'DB LEI'!$A:$F,5)</f>
        <v/>
      </c>
      <c r="C523" s="24">
        <f>IF(VLOOKUP(Table48[[#This Row],[Date]],'DB LEI'!$A:$I,9)=0,"",VLOOKUP(Table48[[#This Row],[Date]],'DB LEI'!$A:$I,9))</f>
        <v/>
      </c>
      <c r="D523" s="24">
        <f>IF(VLOOKUP(Table48[[#This Row],[Date]],'DB LEI'!$A:$I,8)=0,"",VLOOKUP(Table48[[#This Row],[Date]],'DB LEI'!$A:$I,8))</f>
        <v/>
      </c>
    </row>
    <row r="524">
      <c r="A524" s="25" t="n">
        <v>44228</v>
      </c>
      <c r="B524" s="18">
        <f>VLOOKUP(Table48[[#This Row],[Date]],'DB LEI'!$A:$F,5)</f>
        <v/>
      </c>
      <c r="C524" s="24">
        <f>IF(VLOOKUP(Table48[[#This Row],[Date]],'DB LEI'!$A:$I,9)=0,"",VLOOKUP(Table48[[#This Row],[Date]],'DB LEI'!$A:$I,9))</f>
        <v/>
      </c>
      <c r="D524" s="24">
        <f>IF(VLOOKUP(Table48[[#This Row],[Date]],'DB LEI'!$A:$I,8)=0,"",VLOOKUP(Table48[[#This Row],[Date]],'DB LEI'!$A:$I,8))</f>
        <v/>
      </c>
    </row>
    <row r="525">
      <c r="A525" s="25" t="n">
        <v>44256</v>
      </c>
      <c r="B525" s="18">
        <f>VLOOKUP(Table48[[#This Row],[Date]],'DB LEI'!$A:$F,5)</f>
        <v/>
      </c>
      <c r="C525" s="24">
        <f>IF(VLOOKUP(Table48[[#This Row],[Date]],'DB LEI'!$A:$I,9)=0,"",VLOOKUP(Table48[[#This Row],[Date]],'DB LEI'!$A:$I,9))</f>
        <v/>
      </c>
      <c r="D525" s="24">
        <f>IF(VLOOKUP(Table48[[#This Row],[Date]],'DB LEI'!$A:$I,8)=0,"",VLOOKUP(Table48[[#This Row],[Date]],'DB LEI'!$A:$I,8))</f>
        <v/>
      </c>
    </row>
    <row r="526">
      <c r="A526" s="25" t="n">
        <v>44287</v>
      </c>
      <c r="B526" s="18">
        <f>VLOOKUP(Table48[[#This Row],[Date]],'DB LEI'!$A:$F,5)</f>
        <v/>
      </c>
      <c r="C526" s="24">
        <f>IF(VLOOKUP(Table48[[#This Row],[Date]],'DB LEI'!$A:$I,9)=0,"",VLOOKUP(Table48[[#This Row],[Date]],'DB LEI'!$A:$I,9))</f>
        <v/>
      </c>
      <c r="D526" s="24">
        <f>IF(VLOOKUP(Table48[[#This Row],[Date]],'DB LEI'!$A:$I,8)=0,"",VLOOKUP(Table48[[#This Row],[Date]],'DB LEI'!$A:$I,8))</f>
        <v/>
      </c>
    </row>
    <row r="527">
      <c r="A527" s="25" t="n">
        <v>44317</v>
      </c>
      <c r="B527" s="18">
        <f>VLOOKUP(Table48[[#This Row],[Date]],'DB LEI'!$A:$F,5)</f>
        <v/>
      </c>
      <c r="C527" s="24">
        <f>IF(VLOOKUP(Table48[[#This Row],[Date]],'DB LEI'!$A:$I,9)=0,"",VLOOKUP(Table48[[#This Row],[Date]],'DB LEI'!$A:$I,9))</f>
        <v/>
      </c>
      <c r="D527" s="24">
        <f>IF(VLOOKUP(Table48[[#This Row],[Date]],'DB LEI'!$A:$I,8)=0,"",VLOOKUP(Table48[[#This Row],[Date]],'DB LEI'!$A:$I,8))</f>
        <v/>
      </c>
    </row>
    <row r="528">
      <c r="A528" s="25" t="n">
        <v>44348</v>
      </c>
      <c r="B528" s="18">
        <f>VLOOKUP(Table48[[#This Row],[Date]],'DB LEI'!$A:$F,5)</f>
        <v/>
      </c>
      <c r="C528" s="24">
        <f>IF(VLOOKUP(Table48[[#This Row],[Date]],'DB LEI'!$A:$I,9)=0,"",VLOOKUP(Table48[[#This Row],[Date]],'DB LEI'!$A:$I,9))</f>
        <v/>
      </c>
      <c r="D528" s="24">
        <f>IF(VLOOKUP(Table48[[#This Row],[Date]],'DB LEI'!$A:$I,8)=0,"",VLOOKUP(Table48[[#This Row],[Date]],'DB LEI'!$A:$I,8))</f>
        <v/>
      </c>
    </row>
    <row r="529">
      <c r="A529" s="25" t="n">
        <v>44378</v>
      </c>
      <c r="B529" s="18">
        <f>VLOOKUP(Table48[[#This Row],[Date]],'DB LEI'!$A:$F,5)</f>
        <v/>
      </c>
      <c r="C529" s="24">
        <f>IF(VLOOKUP(Table48[[#This Row],[Date]],'DB LEI'!$A:$I,9)=0,"",VLOOKUP(Table48[[#This Row],[Date]],'DB LEI'!$A:$I,9))</f>
        <v/>
      </c>
      <c r="D529" s="24">
        <f>IF(VLOOKUP(Table48[[#This Row],[Date]],'DB LEI'!$A:$I,8)=0,"",VLOOKUP(Table48[[#This Row],[Date]],'DB LEI'!$A:$I,8))</f>
        <v/>
      </c>
    </row>
    <row r="530">
      <c r="A530" s="25" t="n">
        <v>44409</v>
      </c>
      <c r="B530" s="18">
        <f>VLOOKUP(Table48[[#This Row],[Date]],'DB LEI'!$A:$F,5)</f>
        <v/>
      </c>
      <c r="C530" s="24">
        <f>IF(VLOOKUP(Table48[[#This Row],[Date]],'DB LEI'!$A:$I,9)=0,"",VLOOKUP(Table48[[#This Row],[Date]],'DB LEI'!$A:$I,9))</f>
        <v/>
      </c>
      <c r="D530" s="24">
        <f>IF(VLOOKUP(Table48[[#This Row],[Date]],'DB LEI'!$A:$I,8)=0,"",VLOOKUP(Table48[[#This Row],[Date]],'DB LEI'!$A:$I,8))</f>
        <v/>
      </c>
    </row>
    <row r="531">
      <c r="A531" s="25" t="n">
        <v>44440</v>
      </c>
      <c r="B531" s="18">
        <f>VLOOKUP(Table48[[#This Row],[Date]],'DB LEI'!$A:$F,5)</f>
        <v/>
      </c>
      <c r="C531" s="24">
        <f>IF(VLOOKUP(Table48[[#This Row],[Date]],'DB LEI'!$A:$I,9)=0,"",VLOOKUP(Table48[[#This Row],[Date]],'DB LEI'!$A:$I,9))</f>
        <v/>
      </c>
      <c r="D531" s="24">
        <f>IF(VLOOKUP(Table48[[#This Row],[Date]],'DB LEI'!$A:$I,8)=0,"",VLOOKUP(Table48[[#This Row],[Date]],'DB LEI'!$A:$I,8))</f>
        <v/>
      </c>
    </row>
    <row r="532">
      <c r="A532" s="25" t="n">
        <v>44470</v>
      </c>
      <c r="B532" s="18">
        <f>VLOOKUP(Table48[[#This Row],[Date]],'DB LEI'!$A:$F,5)</f>
        <v/>
      </c>
      <c r="C532" s="24">
        <f>IF(VLOOKUP(Table48[[#This Row],[Date]],'DB LEI'!$A:$I,9)=0,"",VLOOKUP(Table48[[#This Row],[Date]],'DB LEI'!$A:$I,9))</f>
        <v/>
      </c>
      <c r="D532" s="24">
        <f>IF(VLOOKUP(Table48[[#This Row],[Date]],'DB LEI'!$A:$I,8)=0,"",VLOOKUP(Table48[[#This Row],[Date]],'DB LEI'!$A:$I,8))</f>
        <v/>
      </c>
    </row>
    <row r="533">
      <c r="A533" s="25" t="n">
        <v>44501</v>
      </c>
      <c r="B533" s="18">
        <f>VLOOKUP(Table48[[#This Row],[Date]],'DB LEI'!$A:$F,5)</f>
        <v/>
      </c>
      <c r="C533" s="24">
        <f>IF(VLOOKUP(Table48[[#This Row],[Date]],'DB LEI'!$A:$I,9)=0,"",VLOOKUP(Table48[[#This Row],[Date]],'DB LEI'!$A:$I,9))</f>
        <v/>
      </c>
      <c r="D533" s="24">
        <f>IF(VLOOKUP(Table48[[#This Row],[Date]],'DB LEI'!$A:$I,8)=0,"",VLOOKUP(Table48[[#This Row],[Date]],'DB LEI'!$A:$I,8))</f>
        <v/>
      </c>
    </row>
    <row r="534">
      <c r="A534" s="25" t="n">
        <v>44531</v>
      </c>
      <c r="B534" s="18">
        <f>VLOOKUP(Table48[[#This Row],[Date]],'DB LEI'!$A:$F,5)</f>
        <v/>
      </c>
      <c r="C534" s="24">
        <f>IF(VLOOKUP(Table48[[#This Row],[Date]],'DB LEI'!$A:$I,9)=0,"",VLOOKUP(Table48[[#This Row],[Date]],'DB LEI'!$A:$I,9))</f>
        <v/>
      </c>
      <c r="D534" s="24">
        <f>IF(VLOOKUP(Table48[[#This Row],[Date]],'DB LEI'!$A:$I,8)=0,"",VLOOKUP(Table48[[#This Row],[Date]],'DB LEI'!$A:$I,8))</f>
        <v/>
      </c>
    </row>
    <row r="535">
      <c r="A535" s="25" t="n">
        <v>44562</v>
      </c>
      <c r="B535" s="18">
        <f>VLOOKUP(Table48[[#This Row],[Date]],'DB LEI'!$A:$F,5)</f>
        <v/>
      </c>
      <c r="C535" s="24">
        <f>IF(VLOOKUP(Table48[[#This Row],[Date]],'DB LEI'!$A:$I,9)=0,"",VLOOKUP(Table48[[#This Row],[Date]],'DB LEI'!$A:$I,9))</f>
        <v/>
      </c>
      <c r="D535" s="24">
        <f>IF(VLOOKUP(Table48[[#This Row],[Date]],'DB LEI'!$A:$I,8)=0,"",VLOOKUP(Table48[[#This Row],[Date]],'DB LEI'!$A:$I,8))</f>
        <v/>
      </c>
    </row>
    <row r="536">
      <c r="A536" s="25" t="n">
        <v>44593</v>
      </c>
      <c r="B536" s="18">
        <f>VLOOKUP(Table48[[#This Row],[Date]],'DB LEI'!$A:$F,5)</f>
        <v/>
      </c>
      <c r="C536" s="24">
        <f>IF(VLOOKUP(Table48[[#This Row],[Date]],'DB LEI'!$A:$I,9)=0,"",VLOOKUP(Table48[[#This Row],[Date]],'DB LEI'!$A:$I,9))</f>
        <v/>
      </c>
      <c r="D536" s="24">
        <f>IF(VLOOKUP(Table48[[#This Row],[Date]],'DB LEI'!$A:$I,8)=0,"",VLOOKUP(Table48[[#This Row],[Date]],'DB LEI'!$A:$I,8))</f>
        <v/>
      </c>
    </row>
    <row r="537">
      <c r="A537" s="25" t="n">
        <v>44621</v>
      </c>
      <c r="B537" s="18">
        <f>VLOOKUP(Table48[[#This Row],[Date]],'DB LEI'!$A:$F,5)</f>
        <v/>
      </c>
      <c r="C537" s="24">
        <f>IF(VLOOKUP(Table48[[#This Row],[Date]],'DB LEI'!$A:$I,9)=0,"",VLOOKUP(Table48[[#This Row],[Date]],'DB LEI'!$A:$I,9))</f>
        <v/>
      </c>
      <c r="D537" s="24">
        <f>IF(VLOOKUP(Table48[[#This Row],[Date]],'DB LEI'!$A:$I,8)=0,"",VLOOKUP(Table48[[#This Row],[Date]],'DB LEI'!$A:$I,8))</f>
        <v/>
      </c>
    </row>
  </sheetData>
  <conditionalFormatting sqref="B391:B53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2022-04-02T13:18:29Z</dcterms:modified>
  <cp:lastModifiedBy>Mark Mukherjee</cp:lastModifiedBy>
</cp:coreProperties>
</file>